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6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17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-77-KATOSI-ROAD\MCC\"/>
    </mc:Choice>
  </mc:AlternateContent>
  <xr:revisionPtr revIDLastSave="0" documentId="13_ncr:1_{BBDC0F18-AA74-466A-92CC-DC00F93EC86D}" xr6:coauthVersionLast="45" xr6:coauthVersionMax="45" xr10:uidLastSave="{00000000-0000-0000-0000-000000000000}"/>
  <bookViews>
    <workbookView xWindow="-120" yWindow="-120" windowWidth="20730" windowHeight="11160" tabRatio="912" firstSheet="14" activeTab="16" xr2:uid="{00000000-000D-0000-FFFF-FFFF00000000}"/>
  </bookViews>
  <sheets>
    <sheet name="29.10-MUKONO-KATOSI" sheetId="93" r:id="rId1"/>
    <sheet name="29.10 KATOSI-MUKONO" sheetId="94" r:id="rId2"/>
    <sheet name="30.10 MUKONO-KATOSI" sheetId="96" r:id="rId3"/>
    <sheet name="30.10 KATOSI-MUKONO" sheetId="95" r:id="rId4"/>
    <sheet name="31.10 MUKONO-KATOSI" sheetId="97" r:id="rId5"/>
    <sheet name="31.10 KATOSI-MUKONO" sheetId="98" r:id="rId6"/>
    <sheet name="1.11 MUKONO-KATOSI 24hr" sheetId="109" r:id="rId7"/>
    <sheet name="1.11 KATOSI-MUKONO-24hr" sheetId="101" r:id="rId8"/>
    <sheet name="2.11 MUKONO-KATOSI 24hr" sheetId="110" r:id="rId9"/>
    <sheet name="2.11 KATOSI-MUKONO 24hr" sheetId="105" r:id="rId10"/>
    <sheet name="3.11 MUKONO-KATOSI" sheetId="99" r:id="rId11"/>
    <sheet name="3.11 KATOSI-MUKONO" sheetId="100" r:id="rId12"/>
    <sheet name="4.11 MUKONO-KATOSI" sheetId="103" r:id="rId13"/>
    <sheet name="4.11 KATOSI-MUKONO" sheetId="104" r:id="rId14"/>
    <sheet name="Avg Week MUKONO-KATOSI" sheetId="107" r:id="rId15"/>
    <sheet name="Avg Week KATOSI-MUKONO" sheetId="108" r:id="rId16"/>
    <sheet name="Avg Week MUKONO-KATOSI-2Dir" sheetId="111" r:id="rId17"/>
  </sheets>
  <definedNames>
    <definedName name="_xlnm.Print_Area" localSheetId="7">'1.11 KATOSI-MUKONO-24hr'!$A$1:$AF$108</definedName>
    <definedName name="_xlnm.Print_Area" localSheetId="6">'1.11 MUKONO-KATOSI 24hr'!$A$1:$AF$108</definedName>
    <definedName name="_xlnm.Print_Area" localSheetId="9">'2.11 KATOSI-MUKONO 24hr'!$A$1:$AF$108</definedName>
    <definedName name="_xlnm.Print_Area" localSheetId="8">'2.11 MUKONO-KATOSI 24hr'!$A$1:$AF$108</definedName>
    <definedName name="_xlnm.Print_Area" localSheetId="1">'29.10 KATOSI-MUKONO'!$A$1:$AF$60</definedName>
    <definedName name="_xlnm.Print_Area" localSheetId="0">'29.10-MUKONO-KATOSI'!$A$1:$AF$60</definedName>
    <definedName name="_xlnm.Print_Area" localSheetId="11">'3.11 KATOSI-MUKONO'!$A$1:$AF$60</definedName>
    <definedName name="_xlnm.Print_Area" localSheetId="10">'3.11 MUKONO-KATOSI'!$A$1:$AF$60</definedName>
    <definedName name="_xlnm.Print_Area" localSheetId="3">'30.10 KATOSI-MUKONO'!$A$1:$AF$60</definedName>
    <definedName name="_xlnm.Print_Area" localSheetId="2">'30.10 MUKONO-KATOSI'!$A$1:$AF$60</definedName>
    <definedName name="_xlnm.Print_Area" localSheetId="5">'31.10 KATOSI-MUKONO'!$A$1:$AF$60</definedName>
    <definedName name="_xlnm.Print_Area" localSheetId="4">'31.10 MUKONO-KATOSI'!$A$1:$AF$60</definedName>
    <definedName name="_xlnm.Print_Area" localSheetId="13">'4.11 KATOSI-MUKONO'!$A$1:$AF$60</definedName>
    <definedName name="_xlnm.Print_Area" localSheetId="12">'4.11 MUKONO-KATOSI'!$A$1:$AF$60</definedName>
    <definedName name="_xlnm.Print_Area" localSheetId="15">'Avg Week KATOSI-MUKONO'!$A$1:$AF$108</definedName>
    <definedName name="_xlnm.Print_Area" localSheetId="14">'Avg Week MUKONO-KATOSI'!$A$1:$AF$108</definedName>
    <definedName name="_xlnm.Print_Area" localSheetId="16">'Avg Week MUKONO-KATOSI-2Dir'!$A$1:$AF$108</definedName>
    <definedName name="_xlnm.Print_Titles" localSheetId="7">'1.11 KATOSI-MUKONO-24hr'!$1:$8</definedName>
    <definedName name="_xlnm.Print_Titles" localSheetId="6">'1.11 MUKONO-KATOSI 24hr'!$1:$8</definedName>
    <definedName name="_xlnm.Print_Titles" localSheetId="9">'2.11 KATOSI-MUKONO 24hr'!$1:$8</definedName>
    <definedName name="_xlnm.Print_Titles" localSheetId="8">'2.11 MUKONO-KATOSI 24hr'!$1:$8</definedName>
    <definedName name="_xlnm.Print_Titles" localSheetId="1">'29.10 KATOSI-MUKONO'!$1:$8</definedName>
    <definedName name="_xlnm.Print_Titles" localSheetId="0">'29.10-MUKONO-KATOSI'!$1:$8</definedName>
    <definedName name="_xlnm.Print_Titles" localSheetId="11">'3.11 KATOSI-MUKONO'!$1:$8</definedName>
    <definedName name="_xlnm.Print_Titles" localSheetId="10">'3.11 MUKONO-KATOSI'!$1:$8</definedName>
    <definedName name="_xlnm.Print_Titles" localSheetId="3">'30.10 KATOSI-MUKONO'!$1:$8</definedName>
    <definedName name="_xlnm.Print_Titles" localSheetId="2">'30.10 MUKONO-KATOSI'!$1:$8</definedName>
    <definedName name="_xlnm.Print_Titles" localSheetId="5">'31.10 KATOSI-MUKONO'!$1:$8</definedName>
    <definedName name="_xlnm.Print_Titles" localSheetId="4">'31.10 MUKONO-KATOSI'!$1:$8</definedName>
    <definedName name="_xlnm.Print_Titles" localSheetId="13">'4.11 KATOSI-MUKONO'!$1:$8</definedName>
    <definedName name="_xlnm.Print_Titles" localSheetId="12">'4.11 MUKONO-KATOSI'!$1:$8</definedName>
    <definedName name="_xlnm.Print_Titles" localSheetId="15">'Avg Week KATOSI-MUKONO'!$1:$8</definedName>
    <definedName name="_xlnm.Print_Titles" localSheetId="14">'Avg Week MUKONO-KATOSI'!$1:$8</definedName>
    <definedName name="_xlnm.Print_Titles" localSheetId="16">'Avg Week MUKONO-KATOSI-2Dir'!$1:$8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0" i="111" l="1"/>
  <c r="D83" i="111"/>
  <c r="N85" i="111"/>
  <c r="M88" i="111"/>
  <c r="L91" i="111"/>
  <c r="K94" i="111"/>
  <c r="AA31" i="111" s="1"/>
  <c r="J97" i="111"/>
  <c r="I100" i="111"/>
  <c r="H103" i="111"/>
  <c r="C62" i="111"/>
  <c r="C94" i="111"/>
  <c r="D58" i="108"/>
  <c r="E58" i="108"/>
  <c r="F58" i="108"/>
  <c r="G58" i="108"/>
  <c r="W22" i="108" s="1"/>
  <c r="H58" i="108"/>
  <c r="I58" i="108"/>
  <c r="J58" i="108"/>
  <c r="K58" i="108"/>
  <c r="AA22" i="108" s="1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AD22" i="108" s="1"/>
  <c r="D62" i="108"/>
  <c r="E62" i="108"/>
  <c r="F62" i="108"/>
  <c r="G62" i="108"/>
  <c r="W23" i="108" s="1"/>
  <c r="H62" i="108"/>
  <c r="I62" i="108"/>
  <c r="J62" i="108"/>
  <c r="K62" i="108"/>
  <c r="AA23" i="108" s="1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W24" i="108" s="1"/>
  <c r="H66" i="108"/>
  <c r="I66" i="108"/>
  <c r="J66" i="108"/>
  <c r="K66" i="108"/>
  <c r="AA24" i="108" s="1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W25" i="108" s="1"/>
  <c r="H70" i="108"/>
  <c r="I70" i="108"/>
  <c r="J70" i="108"/>
  <c r="K70" i="108"/>
  <c r="AA25" i="108" s="1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W26" i="108" s="1"/>
  <c r="H74" i="108"/>
  <c r="I74" i="108"/>
  <c r="J74" i="108"/>
  <c r="K74" i="108"/>
  <c r="AA26" i="108" s="1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W27" i="108" s="1"/>
  <c r="H78" i="108"/>
  <c r="I78" i="108"/>
  <c r="J78" i="108"/>
  <c r="K78" i="108"/>
  <c r="AA27" i="108" s="1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W28" i="108" s="1"/>
  <c r="H82" i="108"/>
  <c r="I82" i="108"/>
  <c r="J82" i="108"/>
  <c r="K82" i="108"/>
  <c r="AA28" i="108" s="1"/>
  <c r="L82" i="108"/>
  <c r="M82" i="108"/>
  <c r="N82" i="108"/>
  <c r="D83" i="108"/>
  <c r="E83" i="108"/>
  <c r="U28" i="108" s="1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W29" i="108" s="1"/>
  <c r="H86" i="108"/>
  <c r="I86" i="108"/>
  <c r="J86" i="108"/>
  <c r="K86" i="108"/>
  <c r="AA29" i="108" s="1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W30" i="108" s="1"/>
  <c r="H90" i="108"/>
  <c r="I90" i="108"/>
  <c r="J90" i="108"/>
  <c r="K90" i="108"/>
  <c r="AA30" i="108" s="1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Y30" i="108" s="1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W31" i="108" s="1"/>
  <c r="H94" i="108"/>
  <c r="I94" i="108"/>
  <c r="J94" i="108"/>
  <c r="K94" i="108"/>
  <c r="AA31" i="108" s="1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W32" i="108" s="1"/>
  <c r="H98" i="108"/>
  <c r="I98" i="108"/>
  <c r="J98" i="108"/>
  <c r="K98" i="108"/>
  <c r="AA32" i="108" s="1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W33" i="108" s="1"/>
  <c r="H102" i="108"/>
  <c r="I102" i="108"/>
  <c r="J102" i="108"/>
  <c r="K102" i="108"/>
  <c r="AA33" i="108" s="1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P63" i="108" s="1"/>
  <c r="C64" i="108"/>
  <c r="C65" i="108"/>
  <c r="C66" i="108"/>
  <c r="C67" i="108"/>
  <c r="P67" i="108" s="1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P79" i="108" s="1"/>
  <c r="C80" i="108"/>
  <c r="C81" i="108"/>
  <c r="C82" i="108"/>
  <c r="C83" i="108"/>
  <c r="P83" i="108" s="1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P95" i="108" s="1"/>
  <c r="C96" i="108"/>
  <c r="C97" i="108"/>
  <c r="C98" i="108"/>
  <c r="C99" i="108"/>
  <c r="P99" i="108" s="1"/>
  <c r="C100" i="108"/>
  <c r="C101" i="108"/>
  <c r="C102" i="108"/>
  <c r="C103" i="108"/>
  <c r="C104" i="108"/>
  <c r="C105" i="108"/>
  <c r="D58" i="107"/>
  <c r="D58" i="111" s="1"/>
  <c r="E58" i="107"/>
  <c r="F58" i="107"/>
  <c r="G58" i="107"/>
  <c r="H58" i="107"/>
  <c r="I58" i="107"/>
  <c r="J58" i="107"/>
  <c r="K58" i="107"/>
  <c r="L58" i="107"/>
  <c r="L58" i="111" s="1"/>
  <c r="AB22" i="111" s="1"/>
  <c r="M58" i="107"/>
  <c r="N58" i="107"/>
  <c r="D59" i="107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D62" i="107"/>
  <c r="D62" i="111" s="1"/>
  <c r="T23" i="111" s="1"/>
  <c r="E62" i="107"/>
  <c r="F62" i="107"/>
  <c r="G62" i="107"/>
  <c r="H62" i="107"/>
  <c r="H62" i="111" s="1"/>
  <c r="X23" i="111" s="1"/>
  <c r="I62" i="107"/>
  <c r="J62" i="107"/>
  <c r="K62" i="107"/>
  <c r="L62" i="107"/>
  <c r="M62" i="107"/>
  <c r="N62" i="107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D66" i="111" s="1"/>
  <c r="T24" i="111" s="1"/>
  <c r="E66" i="107"/>
  <c r="F66" i="107"/>
  <c r="F66" i="111" s="1"/>
  <c r="G66" i="107"/>
  <c r="H66" i="107"/>
  <c r="I66" i="107"/>
  <c r="J66" i="107"/>
  <c r="K66" i="107"/>
  <c r="L66" i="107"/>
  <c r="L66" i="111" s="1"/>
  <c r="AB24" i="111" s="1"/>
  <c r="M66" i="107"/>
  <c r="N66" i="107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E70" i="107"/>
  <c r="F70" i="107"/>
  <c r="G70" i="107"/>
  <c r="H70" i="107"/>
  <c r="H70" i="111" s="1"/>
  <c r="I70" i="107"/>
  <c r="J70" i="107"/>
  <c r="K70" i="107"/>
  <c r="L70" i="107"/>
  <c r="M70" i="107"/>
  <c r="N70" i="107"/>
  <c r="D71" i="107"/>
  <c r="D71" i="111" s="1"/>
  <c r="E71" i="107"/>
  <c r="E71" i="111" s="1"/>
  <c r="F71" i="107"/>
  <c r="F71" i="111" s="1"/>
  <c r="G71" i="107"/>
  <c r="G71" i="111" s="1"/>
  <c r="H71" i="107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K73" i="107"/>
  <c r="K73" i="111" s="1"/>
  <c r="L73" i="107"/>
  <c r="L73" i="111" s="1"/>
  <c r="M73" i="107"/>
  <c r="M73" i="111" s="1"/>
  <c r="N73" i="107"/>
  <c r="N73" i="111" s="1"/>
  <c r="D74" i="107"/>
  <c r="D74" i="111" s="1"/>
  <c r="E74" i="107"/>
  <c r="F74" i="107"/>
  <c r="G74" i="107"/>
  <c r="H74" i="107"/>
  <c r="I74" i="107"/>
  <c r="J74" i="107"/>
  <c r="J74" i="111" s="1"/>
  <c r="K74" i="107"/>
  <c r="L74" i="107"/>
  <c r="L74" i="111" s="1"/>
  <c r="M74" i="107"/>
  <c r="N74" i="107"/>
  <c r="D75" i="107"/>
  <c r="E75" i="107"/>
  <c r="E75" i="111" s="1"/>
  <c r="F75" i="107"/>
  <c r="F75" i="111" s="1"/>
  <c r="G75" i="107"/>
  <c r="G75" i="111" s="1"/>
  <c r="H75" i="107"/>
  <c r="I75" i="107"/>
  <c r="I75" i="111" s="1"/>
  <c r="J75" i="107"/>
  <c r="J75" i="111" s="1"/>
  <c r="K75" i="107"/>
  <c r="K75" i="111" s="1"/>
  <c r="L75" i="107"/>
  <c r="M75" i="107"/>
  <c r="M75" i="111" s="1"/>
  <c r="N75" i="107"/>
  <c r="N75" i="111" s="1"/>
  <c r="D76" i="107"/>
  <c r="D76" i="111" s="1"/>
  <c r="E76" i="107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N76" i="107"/>
  <c r="N76" i="111" s="1"/>
  <c r="D77" i="107"/>
  <c r="D77" i="111" s="1"/>
  <c r="E77" i="107"/>
  <c r="E77" i="111" s="1"/>
  <c r="F77" i="107"/>
  <c r="G77" i="107"/>
  <c r="G77" i="111" s="1"/>
  <c r="H77" i="107"/>
  <c r="H77" i="111" s="1"/>
  <c r="I77" i="107"/>
  <c r="I77" i="111" s="1"/>
  <c r="J77" i="107"/>
  <c r="K77" i="107"/>
  <c r="K77" i="111" s="1"/>
  <c r="L77" i="107"/>
  <c r="L77" i="111" s="1"/>
  <c r="M77" i="107"/>
  <c r="M77" i="111" s="1"/>
  <c r="N77" i="107"/>
  <c r="D78" i="107"/>
  <c r="E78" i="107"/>
  <c r="F78" i="107"/>
  <c r="G78" i="107"/>
  <c r="H78" i="107"/>
  <c r="H78" i="111" s="1"/>
  <c r="I78" i="107"/>
  <c r="J78" i="107"/>
  <c r="K78" i="107"/>
  <c r="AA27" i="107" s="1"/>
  <c r="L78" i="107"/>
  <c r="L78" i="111" s="1"/>
  <c r="M78" i="107"/>
  <c r="N78" i="107"/>
  <c r="D79" i="107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M79" i="107"/>
  <c r="M79" i="111" s="1"/>
  <c r="N79" i="107"/>
  <c r="N79" i="111" s="1"/>
  <c r="D80" i="107"/>
  <c r="D80" i="111" s="1"/>
  <c r="E80" i="107"/>
  <c r="F80" i="107"/>
  <c r="F80" i="111" s="1"/>
  <c r="G80" i="107"/>
  <c r="G80" i="111" s="1"/>
  <c r="H80" i="107"/>
  <c r="H80" i="111" s="1"/>
  <c r="I80" i="107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D82" i="107"/>
  <c r="D82" i="111" s="1"/>
  <c r="E82" i="107"/>
  <c r="F82" i="107"/>
  <c r="G82" i="107"/>
  <c r="W28" i="107" s="1"/>
  <c r="H82" i="107"/>
  <c r="I82" i="107"/>
  <c r="J82" i="107"/>
  <c r="K82" i="107"/>
  <c r="L82" i="107"/>
  <c r="L82" i="111" s="1"/>
  <c r="M82" i="107"/>
  <c r="N82" i="107"/>
  <c r="N82" i="111" s="1"/>
  <c r="D83" i="107"/>
  <c r="E83" i="107"/>
  <c r="E83" i="111" s="1"/>
  <c r="F83" i="107"/>
  <c r="F83" i="111" s="1"/>
  <c r="G83" i="107"/>
  <c r="G83" i="111" s="1"/>
  <c r="H83" i="107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K85" i="107"/>
  <c r="K85" i="111" s="1"/>
  <c r="L85" i="107"/>
  <c r="L85" i="111" s="1"/>
  <c r="M85" i="107"/>
  <c r="M85" i="111" s="1"/>
  <c r="N85" i="107"/>
  <c r="D86" i="107"/>
  <c r="E86" i="107"/>
  <c r="F86" i="107"/>
  <c r="G86" i="107"/>
  <c r="H86" i="107"/>
  <c r="H86" i="111" s="1"/>
  <c r="I86" i="107"/>
  <c r="J86" i="107"/>
  <c r="K86" i="107"/>
  <c r="AA29" i="107" s="1"/>
  <c r="L86" i="107"/>
  <c r="M86" i="107"/>
  <c r="N86" i="107"/>
  <c r="D87" i="107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J88" i="107"/>
  <c r="J88" i="111" s="1"/>
  <c r="K88" i="107"/>
  <c r="K88" i="111" s="1"/>
  <c r="L88" i="107"/>
  <c r="L88" i="111" s="1"/>
  <c r="M88" i="107"/>
  <c r="N88" i="107"/>
  <c r="N88" i="111" s="1"/>
  <c r="D89" i="107"/>
  <c r="D89" i="111" s="1"/>
  <c r="E89" i="107"/>
  <c r="E89" i="111" s="1"/>
  <c r="F89" i="107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D90" i="107"/>
  <c r="D90" i="111" s="1"/>
  <c r="E90" i="107"/>
  <c r="F90" i="107"/>
  <c r="G90" i="107"/>
  <c r="W30" i="107" s="1"/>
  <c r="H90" i="107"/>
  <c r="I90" i="107"/>
  <c r="J90" i="107"/>
  <c r="K90" i="107"/>
  <c r="L90" i="107"/>
  <c r="L90" i="111" s="1"/>
  <c r="M90" i="107"/>
  <c r="N90" i="107"/>
  <c r="D91" i="107"/>
  <c r="D91" i="111" s="1"/>
  <c r="E91" i="107"/>
  <c r="E91" i="111" s="1"/>
  <c r="F91" i="107"/>
  <c r="F91" i="111" s="1"/>
  <c r="G91" i="107"/>
  <c r="G91" i="111" s="1"/>
  <c r="H91" i="107"/>
  <c r="I91" i="107"/>
  <c r="I91" i="111" s="1"/>
  <c r="J91" i="107"/>
  <c r="J91" i="111" s="1"/>
  <c r="K91" i="107"/>
  <c r="K91" i="111" s="1"/>
  <c r="L91" i="107"/>
  <c r="M91" i="107"/>
  <c r="M91" i="111" s="1"/>
  <c r="N91" i="107"/>
  <c r="N91" i="111" s="1"/>
  <c r="D92" i="107"/>
  <c r="D92" i="111" s="1"/>
  <c r="E92" i="107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K93" i="107"/>
  <c r="K93" i="111" s="1"/>
  <c r="L93" i="107"/>
  <c r="L93" i="111" s="1"/>
  <c r="M93" i="107"/>
  <c r="M93" i="111" s="1"/>
  <c r="N93" i="107"/>
  <c r="N93" i="111" s="1"/>
  <c r="D94" i="107"/>
  <c r="D94" i="111" s="1"/>
  <c r="E94" i="107"/>
  <c r="F94" i="107"/>
  <c r="G94" i="107"/>
  <c r="H94" i="107"/>
  <c r="H94" i="111" s="1"/>
  <c r="I94" i="107"/>
  <c r="J94" i="107"/>
  <c r="K94" i="107"/>
  <c r="AA31" i="107" s="1"/>
  <c r="L94" i="107"/>
  <c r="M94" i="107"/>
  <c r="N94" i="107"/>
  <c r="D95" i="107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E97" i="111" s="1"/>
  <c r="F97" i="107"/>
  <c r="G97" i="107"/>
  <c r="G97" i="111" s="1"/>
  <c r="H97" i="107"/>
  <c r="H97" i="111" s="1"/>
  <c r="I97" i="107"/>
  <c r="I97" i="111" s="1"/>
  <c r="J97" i="107"/>
  <c r="K97" i="107"/>
  <c r="K97" i="111" s="1"/>
  <c r="L97" i="107"/>
  <c r="L97" i="111" s="1"/>
  <c r="M97" i="107"/>
  <c r="M97" i="111" s="1"/>
  <c r="N97" i="107"/>
  <c r="D98" i="107"/>
  <c r="D98" i="111" s="1"/>
  <c r="E98" i="107"/>
  <c r="F98" i="107"/>
  <c r="F98" i="111" s="1"/>
  <c r="G98" i="107"/>
  <c r="W32" i="107" s="1"/>
  <c r="H98" i="107"/>
  <c r="I98" i="107"/>
  <c r="J98" i="107"/>
  <c r="K98" i="107"/>
  <c r="L98" i="107"/>
  <c r="L98" i="111" s="1"/>
  <c r="M98" i="107"/>
  <c r="N98" i="107"/>
  <c r="D99" i="107"/>
  <c r="D99" i="111" s="1"/>
  <c r="E99" i="107"/>
  <c r="E99" i="111" s="1"/>
  <c r="F99" i="107"/>
  <c r="F99" i="111" s="1"/>
  <c r="G99" i="107"/>
  <c r="G99" i="111" s="1"/>
  <c r="H99" i="107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F100" i="107"/>
  <c r="F100" i="111" s="1"/>
  <c r="G100" i="107"/>
  <c r="G100" i="111" s="1"/>
  <c r="H100" i="107"/>
  <c r="H100" i="111" s="1"/>
  <c r="I100" i="107"/>
  <c r="J100" i="107"/>
  <c r="J100" i="111" s="1"/>
  <c r="K100" i="107"/>
  <c r="K100" i="111" s="1"/>
  <c r="L100" i="107"/>
  <c r="L100" i="111" s="1"/>
  <c r="M100" i="107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K101" i="107"/>
  <c r="K101" i="111" s="1"/>
  <c r="L101" i="107"/>
  <c r="L101" i="111" s="1"/>
  <c r="M101" i="107"/>
  <c r="M101" i="111" s="1"/>
  <c r="N101" i="107"/>
  <c r="N101" i="111" s="1"/>
  <c r="D102" i="107"/>
  <c r="E102" i="107"/>
  <c r="F102" i="107"/>
  <c r="G102" i="107"/>
  <c r="H102" i="107"/>
  <c r="X33" i="107" s="1"/>
  <c r="I102" i="107"/>
  <c r="J102" i="107"/>
  <c r="K102" i="107"/>
  <c r="AA33" i="107" s="1"/>
  <c r="L102" i="107"/>
  <c r="M102" i="107"/>
  <c r="N102" i="107"/>
  <c r="D103" i="107"/>
  <c r="E103" i="107"/>
  <c r="E103" i="111" s="1"/>
  <c r="F103" i="107"/>
  <c r="F103" i="111" s="1"/>
  <c r="G103" i="107"/>
  <c r="G103" i="111" s="1"/>
  <c r="H103" i="107"/>
  <c r="I103" i="107"/>
  <c r="I103" i="111" s="1"/>
  <c r="J103" i="107"/>
  <c r="J103" i="111" s="1"/>
  <c r="K103" i="107"/>
  <c r="K103" i="111" s="1"/>
  <c r="L103" i="107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C59" i="107"/>
  <c r="C59" i="111" s="1"/>
  <c r="C60" i="107"/>
  <c r="C61" i="107"/>
  <c r="C62" i="107"/>
  <c r="C63" i="107"/>
  <c r="P63" i="107" s="1"/>
  <c r="C64" i="107"/>
  <c r="C65" i="107"/>
  <c r="C66" i="107"/>
  <c r="C67" i="107"/>
  <c r="P67" i="107" s="1"/>
  <c r="C68" i="107"/>
  <c r="C69" i="107"/>
  <c r="C70" i="107"/>
  <c r="C71" i="107"/>
  <c r="C72" i="107"/>
  <c r="C73" i="107"/>
  <c r="C74" i="107"/>
  <c r="C75" i="107"/>
  <c r="C75" i="111" s="1"/>
  <c r="C76" i="107"/>
  <c r="C77" i="107"/>
  <c r="C78" i="107"/>
  <c r="C79" i="107"/>
  <c r="P79" i="107" s="1"/>
  <c r="C80" i="107"/>
  <c r="C81" i="107"/>
  <c r="C82" i="107"/>
  <c r="C83" i="107"/>
  <c r="P83" i="107" s="1"/>
  <c r="C84" i="107"/>
  <c r="C85" i="107"/>
  <c r="C86" i="107"/>
  <c r="C86" i="111" s="1"/>
  <c r="C87" i="107"/>
  <c r="C88" i="107"/>
  <c r="C89" i="107"/>
  <c r="C90" i="107"/>
  <c r="C91" i="107"/>
  <c r="C91" i="111" s="1"/>
  <c r="C92" i="107"/>
  <c r="C93" i="107"/>
  <c r="C94" i="107"/>
  <c r="C95" i="107"/>
  <c r="P95" i="107" s="1"/>
  <c r="C96" i="107"/>
  <c r="C97" i="107"/>
  <c r="C98" i="107"/>
  <c r="C99" i="107"/>
  <c r="P99" i="107" s="1"/>
  <c r="C100" i="107"/>
  <c r="C101" i="107"/>
  <c r="C102" i="107"/>
  <c r="C103" i="107"/>
  <c r="C104" i="107"/>
  <c r="C105" i="107"/>
  <c r="C58" i="107"/>
  <c r="C58" i="108"/>
  <c r="P91" i="111" l="1"/>
  <c r="AB32" i="111"/>
  <c r="AB28" i="111"/>
  <c r="X27" i="111"/>
  <c r="AB26" i="111"/>
  <c r="S31" i="108"/>
  <c r="P94" i="108"/>
  <c r="O94" i="108"/>
  <c r="S28" i="108"/>
  <c r="P82" i="108"/>
  <c r="O82" i="108"/>
  <c r="S25" i="108"/>
  <c r="P70" i="108"/>
  <c r="O70" i="108"/>
  <c r="P91" i="108"/>
  <c r="P75" i="108"/>
  <c r="P59" i="108"/>
  <c r="K102" i="111"/>
  <c r="AA33" i="111" s="1"/>
  <c r="G82" i="111"/>
  <c r="W28" i="111" s="1"/>
  <c r="T32" i="111"/>
  <c r="T31" i="111"/>
  <c r="T30" i="111"/>
  <c r="S32" i="108"/>
  <c r="P98" i="108"/>
  <c r="O98" i="108"/>
  <c r="S29" i="108"/>
  <c r="P86" i="108"/>
  <c r="AF29" i="108" s="1"/>
  <c r="O86" i="108"/>
  <c r="S26" i="108"/>
  <c r="P74" i="108"/>
  <c r="O74" i="108"/>
  <c r="S23" i="108"/>
  <c r="P62" i="108"/>
  <c r="O62" i="108"/>
  <c r="P58" i="107"/>
  <c r="AF22" i="107" s="1"/>
  <c r="O58" i="107"/>
  <c r="S22" i="107"/>
  <c r="C58" i="111"/>
  <c r="S31" i="107"/>
  <c r="P94" i="107"/>
  <c r="O94" i="107"/>
  <c r="S29" i="107"/>
  <c r="P86" i="107"/>
  <c r="O86" i="107"/>
  <c r="S27" i="107"/>
  <c r="P78" i="107"/>
  <c r="O78" i="107"/>
  <c r="P74" i="107"/>
  <c r="S26" i="107"/>
  <c r="O74" i="107"/>
  <c r="C74" i="111"/>
  <c r="S24" i="107"/>
  <c r="P66" i="107"/>
  <c r="O66" i="107"/>
  <c r="C66" i="111"/>
  <c r="S23" i="107"/>
  <c r="P62" i="107"/>
  <c r="O62" i="107"/>
  <c r="I104" i="111"/>
  <c r="L103" i="111"/>
  <c r="D103" i="111"/>
  <c r="W33" i="107"/>
  <c r="G102" i="111"/>
  <c r="W33" i="111" s="1"/>
  <c r="E100" i="111"/>
  <c r="H99" i="111"/>
  <c r="F97" i="111"/>
  <c r="I96" i="111"/>
  <c r="J93" i="111"/>
  <c r="P91" i="107"/>
  <c r="F89" i="111"/>
  <c r="I88" i="111"/>
  <c r="J85" i="111"/>
  <c r="E84" i="111"/>
  <c r="F81" i="111"/>
  <c r="I80" i="111"/>
  <c r="N77" i="111"/>
  <c r="F77" i="111"/>
  <c r="L75" i="111"/>
  <c r="P75" i="107"/>
  <c r="D75" i="111"/>
  <c r="T26" i="111" s="1"/>
  <c r="J73" i="111"/>
  <c r="E72" i="111"/>
  <c r="H71" i="111"/>
  <c r="X25" i="111" s="1"/>
  <c r="X25" i="107"/>
  <c r="AA25" i="107"/>
  <c r="K70" i="111"/>
  <c r="AA25" i="111" s="1"/>
  <c r="W25" i="107"/>
  <c r="G70" i="111"/>
  <c r="W25" i="111" s="1"/>
  <c r="AA24" i="107"/>
  <c r="K66" i="111"/>
  <c r="AA24" i="111" s="1"/>
  <c r="W24" i="107"/>
  <c r="G66" i="111"/>
  <c r="W24" i="111" s="1"/>
  <c r="AA23" i="107"/>
  <c r="K62" i="111"/>
  <c r="AA23" i="111" s="1"/>
  <c r="W23" i="107"/>
  <c r="G62" i="111"/>
  <c r="W23" i="111" s="1"/>
  <c r="D59" i="111"/>
  <c r="T22" i="111" s="1"/>
  <c r="P59" i="107"/>
  <c r="AA22" i="107"/>
  <c r="K58" i="111"/>
  <c r="AA22" i="111" s="1"/>
  <c r="W22" i="107"/>
  <c r="G58" i="111"/>
  <c r="W22" i="111" s="1"/>
  <c r="C78" i="111"/>
  <c r="G90" i="111"/>
  <c r="W30" i="111" s="1"/>
  <c r="K78" i="111"/>
  <c r="AA27" i="111" s="1"/>
  <c r="O59" i="111"/>
  <c r="P59" i="111"/>
  <c r="X31" i="111"/>
  <c r="AB30" i="111"/>
  <c r="X29" i="111"/>
  <c r="T28" i="111"/>
  <c r="S33" i="108"/>
  <c r="P102" i="108"/>
  <c r="O102" i="108"/>
  <c r="S30" i="108"/>
  <c r="P90" i="108"/>
  <c r="O90" i="108"/>
  <c r="P78" i="108"/>
  <c r="O78" i="108"/>
  <c r="S27" i="108"/>
  <c r="P66" i="108"/>
  <c r="O66" i="108"/>
  <c r="S24" i="108"/>
  <c r="S33" i="107"/>
  <c r="P102" i="107"/>
  <c r="O102" i="107"/>
  <c r="S32" i="107"/>
  <c r="P98" i="107"/>
  <c r="O98" i="107"/>
  <c r="C98" i="111"/>
  <c r="P90" i="107"/>
  <c r="O90" i="107"/>
  <c r="S30" i="107"/>
  <c r="C90" i="111"/>
  <c r="S28" i="107"/>
  <c r="P82" i="107"/>
  <c r="O82" i="107"/>
  <c r="C82" i="111"/>
  <c r="S25" i="107"/>
  <c r="P70" i="107"/>
  <c r="O70" i="107"/>
  <c r="N105" i="111"/>
  <c r="F105" i="111"/>
  <c r="J101" i="111"/>
  <c r="M100" i="111"/>
  <c r="AA32" i="107"/>
  <c r="K98" i="111"/>
  <c r="AA32" i="111" s="1"/>
  <c r="N97" i="111"/>
  <c r="L95" i="111"/>
  <c r="D95" i="111"/>
  <c r="W31" i="107"/>
  <c r="G94" i="111"/>
  <c r="W31" i="111" s="1"/>
  <c r="M92" i="111"/>
  <c r="E92" i="111"/>
  <c r="H91" i="111"/>
  <c r="O91" i="111" s="1"/>
  <c r="AA30" i="107"/>
  <c r="K90" i="111"/>
  <c r="AA30" i="111" s="1"/>
  <c r="N89" i="111"/>
  <c r="L87" i="111"/>
  <c r="D87" i="111"/>
  <c r="W29" i="107"/>
  <c r="G86" i="111"/>
  <c r="W29" i="111" s="1"/>
  <c r="M84" i="111"/>
  <c r="H83" i="111"/>
  <c r="AA28" i="107"/>
  <c r="K82" i="111"/>
  <c r="AA28" i="111" s="1"/>
  <c r="N81" i="111"/>
  <c r="L79" i="111"/>
  <c r="AB27" i="111" s="1"/>
  <c r="D79" i="111"/>
  <c r="W27" i="107"/>
  <c r="G78" i="111"/>
  <c r="W27" i="111" s="1"/>
  <c r="J77" i="111"/>
  <c r="Z26" i="111" s="1"/>
  <c r="M76" i="111"/>
  <c r="E76" i="111"/>
  <c r="H75" i="111"/>
  <c r="O75" i="111" s="1"/>
  <c r="AA26" i="107"/>
  <c r="K74" i="111"/>
  <c r="AA26" i="111" s="1"/>
  <c r="W26" i="107"/>
  <c r="G74" i="111"/>
  <c r="W26" i="111" s="1"/>
  <c r="M72" i="111"/>
  <c r="AC32" i="108"/>
  <c r="C102" i="111"/>
  <c r="C70" i="111"/>
  <c r="G98" i="111"/>
  <c r="W32" i="111" s="1"/>
  <c r="K86" i="111"/>
  <c r="AA29" i="111" s="1"/>
  <c r="O105" i="107"/>
  <c r="P105" i="107"/>
  <c r="C105" i="111"/>
  <c r="O93" i="107"/>
  <c r="P93" i="107"/>
  <c r="C93" i="111"/>
  <c r="O81" i="107"/>
  <c r="P81" i="107"/>
  <c r="C81" i="111"/>
  <c r="O69" i="107"/>
  <c r="P69" i="107"/>
  <c r="C69" i="111"/>
  <c r="O61" i="107"/>
  <c r="P61" i="107"/>
  <c r="C61" i="111"/>
  <c r="AD33" i="107"/>
  <c r="N102" i="111"/>
  <c r="AD33" i="111" s="1"/>
  <c r="Z33" i="107"/>
  <c r="J102" i="111"/>
  <c r="Z33" i="111" s="1"/>
  <c r="V33" i="107"/>
  <c r="F102" i="111"/>
  <c r="V33" i="111" s="1"/>
  <c r="AD32" i="107"/>
  <c r="N98" i="111"/>
  <c r="AD32" i="111" s="1"/>
  <c r="Z32" i="107"/>
  <c r="J98" i="111"/>
  <c r="V32" i="111"/>
  <c r="AD31" i="107"/>
  <c r="N94" i="111"/>
  <c r="Z31" i="107"/>
  <c r="J94" i="111"/>
  <c r="Z31" i="111" s="1"/>
  <c r="V31" i="107"/>
  <c r="F94" i="111"/>
  <c r="V31" i="111" s="1"/>
  <c r="AD30" i="107"/>
  <c r="N90" i="111"/>
  <c r="AD30" i="111" s="1"/>
  <c r="Z30" i="107"/>
  <c r="J90" i="111"/>
  <c r="Z30" i="111" s="1"/>
  <c r="V30" i="107"/>
  <c r="F90" i="111"/>
  <c r="V30" i="111" s="1"/>
  <c r="AD29" i="107"/>
  <c r="N86" i="111"/>
  <c r="AD29" i="111" s="1"/>
  <c r="Z29" i="107"/>
  <c r="J86" i="111"/>
  <c r="Z29" i="111" s="1"/>
  <c r="V29" i="107"/>
  <c r="F86" i="111"/>
  <c r="V29" i="111" s="1"/>
  <c r="AD28" i="111"/>
  <c r="Z28" i="107"/>
  <c r="J82" i="111"/>
  <c r="Z28" i="111" s="1"/>
  <c r="V28" i="107"/>
  <c r="F82" i="111"/>
  <c r="V28" i="111" s="1"/>
  <c r="AD27" i="107"/>
  <c r="N78" i="111"/>
  <c r="AD27" i="111" s="1"/>
  <c r="Z27" i="107"/>
  <c r="J78" i="111"/>
  <c r="Z27" i="111" s="1"/>
  <c r="V27" i="107"/>
  <c r="F78" i="111"/>
  <c r="V27" i="111" s="1"/>
  <c r="AD26" i="107"/>
  <c r="N74" i="111"/>
  <c r="AD26" i="111" s="1"/>
  <c r="V26" i="107"/>
  <c r="F74" i="111"/>
  <c r="V26" i="111" s="1"/>
  <c r="AD25" i="107"/>
  <c r="N70" i="111"/>
  <c r="AD25" i="111" s="1"/>
  <c r="Z25" i="107"/>
  <c r="J70" i="111"/>
  <c r="Z25" i="111" s="1"/>
  <c r="V25" i="107"/>
  <c r="F70" i="111"/>
  <c r="V25" i="111" s="1"/>
  <c r="AD24" i="107"/>
  <c r="N66" i="111"/>
  <c r="AD24" i="111" s="1"/>
  <c r="Z24" i="107"/>
  <c r="J66" i="111"/>
  <c r="Z24" i="111" s="1"/>
  <c r="V24" i="111"/>
  <c r="AD23" i="107"/>
  <c r="N62" i="111"/>
  <c r="AD23" i="111" s="1"/>
  <c r="Z23" i="107"/>
  <c r="J62" i="111"/>
  <c r="Z23" i="111" s="1"/>
  <c r="V23" i="107"/>
  <c r="F62" i="111"/>
  <c r="V23" i="111" s="1"/>
  <c r="AD22" i="107"/>
  <c r="N58" i="111"/>
  <c r="AD22" i="111" s="1"/>
  <c r="Z22" i="107"/>
  <c r="J58" i="111"/>
  <c r="Z22" i="111" s="1"/>
  <c r="V22" i="107"/>
  <c r="F58" i="111"/>
  <c r="V22" i="111" s="1"/>
  <c r="O105" i="108"/>
  <c r="P105" i="108"/>
  <c r="O101" i="108"/>
  <c r="P101" i="108"/>
  <c r="O97" i="108"/>
  <c r="P97" i="108"/>
  <c r="O93" i="108"/>
  <c r="P93" i="108"/>
  <c r="O89" i="108"/>
  <c r="P89" i="108"/>
  <c r="O85" i="108"/>
  <c r="P85" i="108"/>
  <c r="O81" i="108"/>
  <c r="P81" i="108"/>
  <c r="O77" i="108"/>
  <c r="P77" i="108"/>
  <c r="O73" i="108"/>
  <c r="P73" i="108"/>
  <c r="O69" i="108"/>
  <c r="P69" i="108"/>
  <c r="O65" i="108"/>
  <c r="P65" i="108"/>
  <c r="O61" i="108"/>
  <c r="P61" i="108"/>
  <c r="AD33" i="108"/>
  <c r="Z33" i="108"/>
  <c r="V33" i="108"/>
  <c r="AD32" i="108"/>
  <c r="Z32" i="108"/>
  <c r="V32" i="108"/>
  <c r="AD31" i="108"/>
  <c r="Z31" i="108"/>
  <c r="V31" i="108"/>
  <c r="AD30" i="108"/>
  <c r="Z30" i="108"/>
  <c r="V30" i="108"/>
  <c r="AD29" i="108"/>
  <c r="Z29" i="108"/>
  <c r="V29" i="108"/>
  <c r="AD28" i="108"/>
  <c r="Z28" i="108"/>
  <c r="V28" i="108"/>
  <c r="AD27" i="108"/>
  <c r="Z27" i="108"/>
  <c r="V27" i="108"/>
  <c r="AD26" i="108"/>
  <c r="Z26" i="108"/>
  <c r="V26" i="108"/>
  <c r="AD24" i="108"/>
  <c r="V22" i="108"/>
  <c r="C99" i="111"/>
  <c r="C83" i="111"/>
  <c r="C67" i="111"/>
  <c r="H102" i="111"/>
  <c r="X33" i="111" s="1"/>
  <c r="Z26" i="107"/>
  <c r="T31" i="107"/>
  <c r="O97" i="107"/>
  <c r="P97" i="107"/>
  <c r="C97" i="111"/>
  <c r="O85" i="107"/>
  <c r="P85" i="107"/>
  <c r="C85" i="111"/>
  <c r="O73" i="107"/>
  <c r="P73" i="107"/>
  <c r="C73" i="111"/>
  <c r="S22" i="108"/>
  <c r="P58" i="108"/>
  <c r="O58" i="108"/>
  <c r="P104" i="107"/>
  <c r="C104" i="111"/>
  <c r="O104" i="107"/>
  <c r="P100" i="107"/>
  <c r="C100" i="111"/>
  <c r="O100" i="107"/>
  <c r="P96" i="107"/>
  <c r="C96" i="111"/>
  <c r="O96" i="107"/>
  <c r="P92" i="107"/>
  <c r="C92" i="111"/>
  <c r="O92" i="107"/>
  <c r="P88" i="107"/>
  <c r="C88" i="111"/>
  <c r="O88" i="107"/>
  <c r="P84" i="107"/>
  <c r="C84" i="111"/>
  <c r="O84" i="107"/>
  <c r="P80" i="107"/>
  <c r="C80" i="111"/>
  <c r="O80" i="107"/>
  <c r="P76" i="107"/>
  <c r="C76" i="111"/>
  <c r="O76" i="107"/>
  <c r="P72" i="107"/>
  <c r="C72" i="111"/>
  <c r="O72" i="107"/>
  <c r="P68" i="107"/>
  <c r="C68" i="111"/>
  <c r="O68" i="107"/>
  <c r="P64" i="107"/>
  <c r="C64" i="111"/>
  <c r="O64" i="107"/>
  <c r="P60" i="107"/>
  <c r="C60" i="111"/>
  <c r="O60" i="107"/>
  <c r="AC33" i="107"/>
  <c r="M102" i="111"/>
  <c r="AC33" i="111" s="1"/>
  <c r="I102" i="111"/>
  <c r="Y33" i="107"/>
  <c r="U33" i="107"/>
  <c r="E102" i="111"/>
  <c r="U33" i="111" s="1"/>
  <c r="AC32" i="107"/>
  <c r="M98" i="111"/>
  <c r="AC32" i="111" s="1"/>
  <c r="Y32" i="107"/>
  <c r="I98" i="111"/>
  <c r="Y32" i="111" s="1"/>
  <c r="U32" i="107"/>
  <c r="E98" i="111"/>
  <c r="U32" i="111" s="1"/>
  <c r="AC31" i="107"/>
  <c r="M94" i="111"/>
  <c r="AC31" i="111" s="1"/>
  <c r="Y31" i="107"/>
  <c r="I94" i="111"/>
  <c r="Y31" i="111" s="1"/>
  <c r="E94" i="111"/>
  <c r="U31" i="111" s="1"/>
  <c r="U31" i="107"/>
  <c r="AC30" i="107"/>
  <c r="M90" i="111"/>
  <c r="AC30" i="111" s="1"/>
  <c r="Y30" i="107"/>
  <c r="I90" i="111"/>
  <c r="Y30" i="111" s="1"/>
  <c r="U30" i="107"/>
  <c r="E90" i="111"/>
  <c r="U30" i="111" s="1"/>
  <c r="AC29" i="107"/>
  <c r="M86" i="111"/>
  <c r="AC29" i="111" s="1"/>
  <c r="Y29" i="107"/>
  <c r="I86" i="111"/>
  <c r="Y29" i="111" s="1"/>
  <c r="U29" i="107"/>
  <c r="E86" i="111"/>
  <c r="U29" i="111" s="1"/>
  <c r="AC28" i="107"/>
  <c r="M82" i="111"/>
  <c r="AC28" i="111" s="1"/>
  <c r="Y28" i="107"/>
  <c r="I82" i="111"/>
  <c r="Y28" i="111" s="1"/>
  <c r="U28" i="107"/>
  <c r="E82" i="111"/>
  <c r="U28" i="111" s="1"/>
  <c r="M78" i="111"/>
  <c r="AC27" i="111" s="1"/>
  <c r="AC27" i="107"/>
  <c r="Y27" i="107"/>
  <c r="I78" i="111"/>
  <c r="Y27" i="111" s="1"/>
  <c r="U27" i="107"/>
  <c r="E78" i="111"/>
  <c r="U27" i="111" s="1"/>
  <c r="AC26" i="107"/>
  <c r="M74" i="111"/>
  <c r="AC26" i="111" s="1"/>
  <c r="Y26" i="107"/>
  <c r="I74" i="111"/>
  <c r="Y26" i="111" s="1"/>
  <c r="U26" i="107"/>
  <c r="E74" i="111"/>
  <c r="U26" i="111" s="1"/>
  <c r="AC25" i="107"/>
  <c r="M70" i="111"/>
  <c r="I70" i="111"/>
  <c r="Y25" i="111" s="1"/>
  <c r="Y25" i="107"/>
  <c r="U25" i="107"/>
  <c r="E70" i="111"/>
  <c r="U25" i="111" s="1"/>
  <c r="AC24" i="107"/>
  <c r="M66" i="111"/>
  <c r="AC24" i="111" s="1"/>
  <c r="Y24" i="107"/>
  <c r="I66" i="111"/>
  <c r="Y24" i="111" s="1"/>
  <c r="U24" i="107"/>
  <c r="E66" i="111"/>
  <c r="U24" i="111" s="1"/>
  <c r="AC23" i="107"/>
  <c r="M62" i="111"/>
  <c r="AC23" i="111" s="1"/>
  <c r="Y23" i="107"/>
  <c r="I62" i="111"/>
  <c r="Y23" i="111" s="1"/>
  <c r="E62" i="111"/>
  <c r="U23" i="111" s="1"/>
  <c r="U23" i="107"/>
  <c r="AC22" i="107"/>
  <c r="M58" i="111"/>
  <c r="AC22" i="111" s="1"/>
  <c r="Y22" i="107"/>
  <c r="I58" i="111"/>
  <c r="Y22" i="111" s="1"/>
  <c r="U22" i="107"/>
  <c r="E58" i="111"/>
  <c r="U22" i="111" s="1"/>
  <c r="P104" i="108"/>
  <c r="O104" i="108"/>
  <c r="P100" i="108"/>
  <c r="O100" i="108"/>
  <c r="P96" i="108"/>
  <c r="O96" i="108"/>
  <c r="P92" i="108"/>
  <c r="O92" i="108"/>
  <c r="P88" i="108"/>
  <c r="O88" i="108"/>
  <c r="P84" i="108"/>
  <c r="O84" i="108"/>
  <c r="P80" i="108"/>
  <c r="O80" i="108"/>
  <c r="P76" i="108"/>
  <c r="O76" i="108"/>
  <c r="P72" i="108"/>
  <c r="O72" i="108"/>
  <c r="P68" i="108"/>
  <c r="O68" i="108"/>
  <c r="P64" i="108"/>
  <c r="O64" i="108"/>
  <c r="P60" i="108"/>
  <c r="O60" i="108"/>
  <c r="AC33" i="108"/>
  <c r="Y33" i="108"/>
  <c r="U33" i="108"/>
  <c r="Y32" i="108"/>
  <c r="U32" i="108"/>
  <c r="AC31" i="108"/>
  <c r="Y31" i="108"/>
  <c r="U31" i="108"/>
  <c r="AC30" i="108"/>
  <c r="U30" i="108"/>
  <c r="AC24" i="108"/>
  <c r="Y23" i="108"/>
  <c r="T23" i="107"/>
  <c r="AB27" i="107"/>
  <c r="V32" i="107"/>
  <c r="O101" i="107"/>
  <c r="P101" i="107"/>
  <c r="C101" i="111"/>
  <c r="O89" i="107"/>
  <c r="P89" i="107"/>
  <c r="C89" i="111"/>
  <c r="O77" i="107"/>
  <c r="P77" i="107"/>
  <c r="C77" i="111"/>
  <c r="O65" i="107"/>
  <c r="P65" i="107"/>
  <c r="C65" i="111"/>
  <c r="O103" i="107"/>
  <c r="O99" i="107"/>
  <c r="O95" i="107"/>
  <c r="O91" i="107"/>
  <c r="O87" i="107"/>
  <c r="O83" i="107"/>
  <c r="O79" i="107"/>
  <c r="O75" i="107"/>
  <c r="O71" i="107"/>
  <c r="O67" i="107"/>
  <c r="O63" i="107"/>
  <c r="O59" i="107"/>
  <c r="AB33" i="107"/>
  <c r="T33" i="107"/>
  <c r="AB32" i="107"/>
  <c r="X32" i="107"/>
  <c r="T32" i="107"/>
  <c r="AB31" i="107"/>
  <c r="X31" i="107"/>
  <c r="AB30" i="107"/>
  <c r="X30" i="107"/>
  <c r="T30" i="107"/>
  <c r="AB29" i="107"/>
  <c r="X29" i="107"/>
  <c r="T29" i="107"/>
  <c r="AB28" i="107"/>
  <c r="X28" i="107"/>
  <c r="T28" i="107"/>
  <c r="X27" i="107"/>
  <c r="T27" i="107"/>
  <c r="AB26" i="107"/>
  <c r="X26" i="107"/>
  <c r="T26" i="107"/>
  <c r="AB25" i="107"/>
  <c r="T25" i="107"/>
  <c r="AB24" i="107"/>
  <c r="X24" i="107"/>
  <c r="T24" i="107"/>
  <c r="AB23" i="107"/>
  <c r="X23" i="107"/>
  <c r="AB22" i="107"/>
  <c r="X22" i="107"/>
  <c r="T22" i="107"/>
  <c r="O103" i="108"/>
  <c r="O99" i="108"/>
  <c r="O95" i="108"/>
  <c r="O91" i="108"/>
  <c r="O87" i="108"/>
  <c r="O83" i="108"/>
  <c r="O79" i="108"/>
  <c r="O75" i="108"/>
  <c r="O71" i="108"/>
  <c r="O67" i="108"/>
  <c r="O63" i="108"/>
  <c r="O59" i="108"/>
  <c r="AB33" i="108"/>
  <c r="X33" i="108"/>
  <c r="T33" i="108"/>
  <c r="AB32" i="108"/>
  <c r="X32" i="108"/>
  <c r="T32" i="108"/>
  <c r="AB31" i="108"/>
  <c r="X31" i="108"/>
  <c r="T31" i="108"/>
  <c r="AB30" i="108"/>
  <c r="X30" i="108"/>
  <c r="T30" i="108"/>
  <c r="AB29" i="108"/>
  <c r="X29" i="108"/>
  <c r="T29" i="108"/>
  <c r="AB28" i="108"/>
  <c r="X28" i="108"/>
  <c r="T28" i="108"/>
  <c r="AB27" i="108"/>
  <c r="X27" i="108"/>
  <c r="T27" i="108"/>
  <c r="AB26" i="108"/>
  <c r="X26" i="108"/>
  <c r="T26" i="108"/>
  <c r="AB25" i="108"/>
  <c r="X25" i="108"/>
  <c r="T25" i="108"/>
  <c r="AB24" i="108"/>
  <c r="X24" i="108"/>
  <c r="T24" i="108"/>
  <c r="AB23" i="108"/>
  <c r="X23" i="108"/>
  <c r="T23" i="108"/>
  <c r="AB22" i="108"/>
  <c r="X22" i="108"/>
  <c r="T22" i="108"/>
  <c r="C103" i="111"/>
  <c r="C95" i="111"/>
  <c r="C87" i="111"/>
  <c r="C79" i="111"/>
  <c r="C71" i="111"/>
  <c r="C63" i="111"/>
  <c r="S23" i="111" s="1"/>
  <c r="L102" i="111"/>
  <c r="AB33" i="111" s="1"/>
  <c r="D102" i="111"/>
  <c r="T33" i="111" s="1"/>
  <c r="H98" i="111"/>
  <c r="X32" i="111" s="1"/>
  <c r="L94" i="111"/>
  <c r="AB31" i="111" s="1"/>
  <c r="H90" i="111"/>
  <c r="X30" i="111" s="1"/>
  <c r="L86" i="111"/>
  <c r="AB29" i="111" s="1"/>
  <c r="D86" i="111"/>
  <c r="H82" i="111"/>
  <c r="X28" i="111" s="1"/>
  <c r="D78" i="111"/>
  <c r="T27" i="111" s="1"/>
  <c r="H74" i="111"/>
  <c r="X26" i="111" s="1"/>
  <c r="L70" i="111"/>
  <c r="AB25" i="111" s="1"/>
  <c r="D70" i="111"/>
  <c r="T25" i="111" s="1"/>
  <c r="H66" i="111"/>
  <c r="X24" i="111" s="1"/>
  <c r="L62" i="111"/>
  <c r="AB23" i="111" s="1"/>
  <c r="H58" i="111"/>
  <c r="X22" i="111" s="1"/>
  <c r="P71" i="108"/>
  <c r="P87" i="108"/>
  <c r="P103" i="108"/>
  <c r="P71" i="107"/>
  <c r="P87" i="107"/>
  <c r="P103" i="107"/>
  <c r="V24" i="107"/>
  <c r="AD28" i="107"/>
  <c r="AD25" i="108"/>
  <c r="Z25" i="108"/>
  <c r="V25" i="108"/>
  <c r="Z24" i="108"/>
  <c r="V24" i="108"/>
  <c r="AD23" i="108"/>
  <c r="Z23" i="108"/>
  <c r="V23" i="108"/>
  <c r="Z22" i="108"/>
  <c r="AC29" i="108"/>
  <c r="Y29" i="108"/>
  <c r="U29" i="108"/>
  <c r="AC28" i="108"/>
  <c r="Y28" i="108"/>
  <c r="AC27" i="108"/>
  <c r="Y27" i="108"/>
  <c r="U27" i="108"/>
  <c r="AC26" i="108"/>
  <c r="Y26" i="108"/>
  <c r="U26" i="108"/>
  <c r="AC25" i="108"/>
  <c r="Y25" i="108"/>
  <c r="U25" i="108"/>
  <c r="Y24" i="108"/>
  <c r="U24" i="108"/>
  <c r="AC23" i="108"/>
  <c r="U23" i="108"/>
  <c r="AC22" i="108"/>
  <c r="Y22" i="108"/>
  <c r="U22" i="108"/>
  <c r="O77" i="111" l="1"/>
  <c r="P77" i="111"/>
  <c r="P64" i="111"/>
  <c r="O64" i="111"/>
  <c r="P80" i="111"/>
  <c r="O80" i="111"/>
  <c r="AE22" i="108"/>
  <c r="O83" i="111"/>
  <c r="P83" i="111"/>
  <c r="P61" i="111"/>
  <c r="O61" i="111"/>
  <c r="O105" i="111"/>
  <c r="P105" i="111"/>
  <c r="AF32" i="107"/>
  <c r="S26" i="111"/>
  <c r="P74" i="111"/>
  <c r="O74" i="111"/>
  <c r="T29" i="111"/>
  <c r="P71" i="111"/>
  <c r="O71" i="111"/>
  <c r="O103" i="111"/>
  <c r="P103" i="111"/>
  <c r="P65" i="111"/>
  <c r="O65" i="111"/>
  <c r="Y33" i="111"/>
  <c r="P60" i="111"/>
  <c r="O60" i="111"/>
  <c r="P76" i="111"/>
  <c r="O76" i="111"/>
  <c r="P92" i="111"/>
  <c r="O92" i="111"/>
  <c r="AF22" i="108"/>
  <c r="O97" i="111"/>
  <c r="P97" i="111"/>
  <c r="O99" i="111"/>
  <c r="P99" i="111"/>
  <c r="O93" i="111"/>
  <c r="P93" i="111"/>
  <c r="S25" i="111"/>
  <c r="P70" i="111"/>
  <c r="O70" i="111"/>
  <c r="AF30" i="107"/>
  <c r="AE27" i="108"/>
  <c r="P75" i="111"/>
  <c r="AE23" i="107"/>
  <c r="AE24" i="107"/>
  <c r="AE26" i="107"/>
  <c r="AF27" i="107"/>
  <c r="S22" i="111"/>
  <c r="P58" i="111"/>
  <c r="AF22" i="111" s="1"/>
  <c r="O58" i="111"/>
  <c r="AE22" i="111" s="1"/>
  <c r="AE23" i="108"/>
  <c r="AF26" i="108"/>
  <c r="AE31" i="108"/>
  <c r="O86" i="111"/>
  <c r="P63" i="111"/>
  <c r="O63" i="111"/>
  <c r="P96" i="111"/>
  <c r="O96" i="111"/>
  <c r="AE30" i="107"/>
  <c r="P62" i="111"/>
  <c r="P66" i="111"/>
  <c r="S24" i="111"/>
  <c r="O66" i="111"/>
  <c r="AF29" i="107"/>
  <c r="AE26" i="108"/>
  <c r="AF25" i="108"/>
  <c r="O79" i="111"/>
  <c r="P79" i="111"/>
  <c r="O101" i="111"/>
  <c r="P101" i="111"/>
  <c r="AC25" i="111"/>
  <c r="P72" i="111"/>
  <c r="O72" i="111"/>
  <c r="P88" i="111"/>
  <c r="O88" i="111"/>
  <c r="P104" i="111"/>
  <c r="O104" i="111"/>
  <c r="O85" i="111"/>
  <c r="P85" i="111"/>
  <c r="Z32" i="111"/>
  <c r="O81" i="111"/>
  <c r="P81" i="111"/>
  <c r="S33" i="111"/>
  <c r="P102" i="111"/>
  <c r="O102" i="111"/>
  <c r="AE33" i="111" s="1"/>
  <c r="S28" i="111"/>
  <c r="P82" i="111"/>
  <c r="O82" i="111"/>
  <c r="S30" i="111"/>
  <c r="P90" i="111"/>
  <c r="AF30" i="111" s="1"/>
  <c r="O90" i="111"/>
  <c r="S32" i="111"/>
  <c r="P98" i="111"/>
  <c r="O98" i="111"/>
  <c r="AE32" i="111" s="1"/>
  <c r="AE33" i="107"/>
  <c r="AE24" i="108"/>
  <c r="AF27" i="108"/>
  <c r="AE33" i="108"/>
  <c r="AF23" i="107"/>
  <c r="AF24" i="107"/>
  <c r="AE31" i="107"/>
  <c r="AF23" i="108"/>
  <c r="AE32" i="108"/>
  <c r="AE28" i="108"/>
  <c r="AF31" i="108"/>
  <c r="O94" i="111"/>
  <c r="AE31" i="111" s="1"/>
  <c r="P86" i="111"/>
  <c r="O95" i="111"/>
  <c r="P95" i="111"/>
  <c r="AF25" i="107"/>
  <c r="AF28" i="107"/>
  <c r="AF30" i="108"/>
  <c r="S27" i="111"/>
  <c r="P78" i="111"/>
  <c r="AF27" i="111" s="1"/>
  <c r="O78" i="111"/>
  <c r="AE27" i="107"/>
  <c r="S31" i="111"/>
  <c r="O87" i="111"/>
  <c r="P87" i="111"/>
  <c r="O89" i="111"/>
  <c r="P89" i="111"/>
  <c r="P68" i="111"/>
  <c r="O68" i="111"/>
  <c r="P84" i="111"/>
  <c r="O84" i="111"/>
  <c r="P100" i="111"/>
  <c r="O100" i="111"/>
  <c r="P73" i="111"/>
  <c r="O73" i="111"/>
  <c r="O67" i="111"/>
  <c r="P67" i="111"/>
  <c r="AD31" i="111"/>
  <c r="P69" i="111"/>
  <c r="O69" i="111"/>
  <c r="AE25" i="107"/>
  <c r="AE28" i="107"/>
  <c r="AE32" i="107"/>
  <c r="AF33" i="107"/>
  <c r="AF24" i="108"/>
  <c r="AE30" i="108"/>
  <c r="AF33" i="108"/>
  <c r="O62" i="111"/>
  <c r="AE23" i="111" s="1"/>
  <c r="AF26" i="107"/>
  <c r="AE29" i="107"/>
  <c r="AF31" i="107"/>
  <c r="AE22" i="107"/>
  <c r="AE29" i="108"/>
  <c r="AF32" i="108"/>
  <c r="AE25" i="108"/>
  <c r="AF28" i="108"/>
  <c r="P94" i="111"/>
  <c r="S29" i="111"/>
  <c r="D54" i="107"/>
  <c r="J19" i="107"/>
  <c r="AE29" i="111" l="1"/>
  <c r="AF31" i="111"/>
  <c r="AE28" i="111"/>
  <c r="AF33" i="111"/>
  <c r="AF23" i="111"/>
  <c r="AE25" i="111"/>
  <c r="AE26" i="111"/>
  <c r="AF32" i="111"/>
  <c r="AF24" i="111"/>
  <c r="AE27" i="111"/>
  <c r="AF29" i="111"/>
  <c r="AE30" i="111"/>
  <c r="AF28" i="111"/>
  <c r="AE24" i="111"/>
  <c r="AF25" i="111"/>
  <c r="AF26" i="111"/>
  <c r="C3" i="94"/>
  <c r="K6" i="98" l="1"/>
  <c r="K6" i="99" s="1"/>
  <c r="K6" i="100" s="1"/>
  <c r="K6" i="101" s="1"/>
  <c r="K6" i="109" s="1"/>
  <c r="K6" i="105" s="1"/>
  <c r="K6" i="110" s="1"/>
  <c r="K6" i="103" s="1"/>
  <c r="K5" i="99"/>
  <c r="K5" i="100" s="1"/>
  <c r="K5" i="110" s="1"/>
  <c r="G5" i="98"/>
  <c r="G5" i="105" s="1"/>
  <c r="G5" i="110" s="1"/>
  <c r="G5" i="103" s="1"/>
  <c r="K6" i="97"/>
  <c r="G5" i="97"/>
  <c r="K6" i="96"/>
  <c r="K5" i="96"/>
  <c r="G5" i="96"/>
  <c r="K6" i="95"/>
  <c r="G5" i="95"/>
  <c r="K6" i="94"/>
  <c r="G5" i="94"/>
  <c r="G6" i="104"/>
  <c r="G6" i="108" s="1"/>
  <c r="G6" i="109"/>
  <c r="G6" i="100"/>
  <c r="G6" i="98"/>
  <c r="G6" i="103"/>
  <c r="G6" i="107" s="1"/>
  <c r="G6" i="99"/>
  <c r="G6" i="97"/>
  <c r="D6" i="104"/>
  <c r="D6" i="108" s="1"/>
  <c r="D6" i="100"/>
  <c r="D6" i="98"/>
  <c r="D6" i="103"/>
  <c r="D6" i="107" s="1"/>
  <c r="D6" i="99"/>
  <c r="D6" i="97"/>
  <c r="D5" i="104"/>
  <c r="D5" i="110"/>
  <c r="D5" i="109"/>
  <c r="D5" i="100"/>
  <c r="D5" i="98"/>
  <c r="D5" i="96"/>
  <c r="D5" i="94"/>
  <c r="K6" i="107" l="1"/>
  <c r="K6" i="104"/>
  <c r="K6" i="108" s="1"/>
  <c r="K6" i="111" s="1"/>
  <c r="K5" i="107"/>
  <c r="K5" i="108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X26" i="98" l="1"/>
  <c r="AA27" i="99"/>
  <c r="AA39" i="101"/>
  <c r="X39" i="105"/>
  <c r="AD38" i="101"/>
  <c r="Y39" i="109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W16" i="108" s="1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W18" i="108" s="1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5" i="108" s="1"/>
  <c r="AA16" i="94"/>
  <c r="K34" i="108"/>
  <c r="AA18" i="94"/>
  <c r="K42" i="108"/>
  <c r="AA18" i="108" s="1"/>
  <c r="M54" i="108"/>
  <c r="AC21" i="108" s="1"/>
  <c r="M50" i="108"/>
  <c r="M46" i="108"/>
  <c r="C42" i="108"/>
  <c r="S18" i="108" s="1"/>
  <c r="C34" i="108"/>
  <c r="S16" i="108" s="1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U21" i="108" s="1"/>
  <c r="E50" i="108"/>
  <c r="C46" i="108"/>
  <c r="C38" i="108"/>
  <c r="S17" i="108" s="1"/>
  <c r="C30" i="108"/>
  <c r="S15" i="108" s="1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Y20" i="108" s="1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W13" i="108" s="1"/>
  <c r="I22" i="108"/>
  <c r="Y13" i="108" s="1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W20" i="108" s="1"/>
  <c r="C50" i="108"/>
  <c r="K46" i="108"/>
  <c r="G46" i="108"/>
  <c r="G38" i="108"/>
  <c r="W17" i="108" s="1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AB13" i="108" s="1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AA12" i="107" s="1"/>
  <c r="L18" i="107"/>
  <c r="AB12" i="107" s="1"/>
  <c r="M18" i="107"/>
  <c r="N18" i="107"/>
  <c r="C19" i="107"/>
  <c r="D19" i="107"/>
  <c r="E19" i="107"/>
  <c r="F19" i="107"/>
  <c r="G19" i="107"/>
  <c r="H19" i="107"/>
  <c r="I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A10" i="107" l="1"/>
  <c r="K106" i="107"/>
  <c r="Z21" i="107"/>
  <c r="AC20" i="107"/>
  <c r="U20" i="107"/>
  <c r="Y19" i="107"/>
  <c r="AC18" i="107"/>
  <c r="U18" i="107"/>
  <c r="AC17" i="107"/>
  <c r="U17" i="107"/>
  <c r="Y16" i="107"/>
  <c r="AC15" i="107"/>
  <c r="U15" i="107"/>
  <c r="Y14" i="107"/>
  <c r="Y13" i="107"/>
  <c r="X12" i="107"/>
  <c r="X11" i="107"/>
  <c r="AB18" i="108"/>
  <c r="AB17" i="108"/>
  <c r="AB16" i="108"/>
  <c r="AB35" i="108" s="1"/>
  <c r="AB15" i="108"/>
  <c r="T14" i="108"/>
  <c r="AC17" i="108"/>
  <c r="AC12" i="108"/>
  <c r="AC11" i="108"/>
  <c r="AB21" i="108"/>
  <c r="AB20" i="108"/>
  <c r="AB19" i="108"/>
  <c r="AD11" i="108"/>
  <c r="Z10" i="107"/>
  <c r="J106" i="107"/>
  <c r="AC21" i="107"/>
  <c r="U21" i="107"/>
  <c r="X20" i="107"/>
  <c r="AB19" i="107"/>
  <c r="T19" i="107"/>
  <c r="AB18" i="107"/>
  <c r="T18" i="107"/>
  <c r="X17" i="107"/>
  <c r="X16" i="107"/>
  <c r="AB15" i="107"/>
  <c r="T15" i="107"/>
  <c r="X14" i="107"/>
  <c r="AB13" i="107"/>
  <c r="T13" i="107"/>
  <c r="S12" i="107"/>
  <c r="AA11" i="107"/>
  <c r="S11" i="107"/>
  <c r="AB10" i="108"/>
  <c r="L106" i="108"/>
  <c r="Z17" i="108"/>
  <c r="Z15" i="108"/>
  <c r="Z14" i="108"/>
  <c r="W19" i="108"/>
  <c r="Y21" i="108"/>
  <c r="AA21" i="108"/>
  <c r="Z10" i="108"/>
  <c r="J106" i="108"/>
  <c r="AA17" i="108"/>
  <c r="Y15" i="108"/>
  <c r="AC14" i="108"/>
  <c r="AA12" i="108"/>
  <c r="AA11" i="108"/>
  <c r="Z19" i="108"/>
  <c r="AD12" i="108"/>
  <c r="AC10" i="107"/>
  <c r="M106" i="107"/>
  <c r="Y10" i="107"/>
  <c r="I106" i="107"/>
  <c r="U10" i="107"/>
  <c r="E106" i="107"/>
  <c r="T21" i="107"/>
  <c r="AB21" i="107"/>
  <c r="X21" i="107"/>
  <c r="S21" i="107"/>
  <c r="AA20" i="107"/>
  <c r="W20" i="107"/>
  <c r="S20" i="107"/>
  <c r="AA19" i="107"/>
  <c r="W19" i="107"/>
  <c r="S19" i="107"/>
  <c r="AA18" i="107"/>
  <c r="W18" i="107"/>
  <c r="S18" i="107"/>
  <c r="AA17" i="107"/>
  <c r="W17" i="107"/>
  <c r="S17" i="107"/>
  <c r="AA16" i="107"/>
  <c r="W16" i="107"/>
  <c r="S16" i="107"/>
  <c r="AA15" i="107"/>
  <c r="W15" i="107"/>
  <c r="S15" i="107"/>
  <c r="AA14" i="107"/>
  <c r="W14" i="107"/>
  <c r="S14" i="107"/>
  <c r="AA13" i="107"/>
  <c r="W13" i="107"/>
  <c r="S13" i="107"/>
  <c r="AD12" i="107"/>
  <c r="Z12" i="107"/>
  <c r="V12" i="107"/>
  <c r="AD11" i="107"/>
  <c r="Z11" i="107"/>
  <c r="V11" i="107"/>
  <c r="AF25" i="101"/>
  <c r="S38" i="105"/>
  <c r="S35" i="110"/>
  <c r="S10" i="108"/>
  <c r="C106" i="108"/>
  <c r="X18" i="108"/>
  <c r="X17" i="108"/>
  <c r="X16" i="108"/>
  <c r="X15" i="108"/>
  <c r="X14" i="108"/>
  <c r="X13" i="108"/>
  <c r="X12" i="108"/>
  <c r="X11" i="108"/>
  <c r="W14" i="108"/>
  <c r="AA19" i="108"/>
  <c r="S21" i="108"/>
  <c r="AC13" i="108"/>
  <c r="U13" i="108"/>
  <c r="V11" i="108"/>
  <c r="S19" i="108"/>
  <c r="F106" i="108"/>
  <c r="V10" i="108"/>
  <c r="AC19" i="108"/>
  <c r="Y19" i="108"/>
  <c r="AC18" i="108"/>
  <c r="Y17" i="108"/>
  <c r="AC16" i="108"/>
  <c r="U15" i="108"/>
  <c r="Y14" i="108"/>
  <c r="Y38" i="108" s="1"/>
  <c r="Y12" i="108"/>
  <c r="Y11" i="108"/>
  <c r="AC10" i="108"/>
  <c r="M106" i="108"/>
  <c r="U10" i="108"/>
  <c r="E106" i="108"/>
  <c r="X21" i="108"/>
  <c r="X20" i="108"/>
  <c r="X19" i="108"/>
  <c r="AD13" i="108"/>
  <c r="Z12" i="108"/>
  <c r="S10" i="107"/>
  <c r="C106" i="107"/>
  <c r="W10" i="107"/>
  <c r="G106" i="107"/>
  <c r="AD21" i="107"/>
  <c r="V21" i="107"/>
  <c r="Y20" i="107"/>
  <c r="AC19" i="107"/>
  <c r="U19" i="107"/>
  <c r="Y18" i="107"/>
  <c r="Y17" i="107"/>
  <c r="AC16" i="107"/>
  <c r="U16" i="107"/>
  <c r="Y15" i="107"/>
  <c r="AC14" i="107"/>
  <c r="U14" i="107"/>
  <c r="AC13" i="107"/>
  <c r="U13" i="107"/>
  <c r="T12" i="107"/>
  <c r="AB11" i="107"/>
  <c r="T11" i="107"/>
  <c r="X10" i="108"/>
  <c r="H106" i="108"/>
  <c r="T18" i="108"/>
  <c r="T17" i="108"/>
  <c r="T16" i="108"/>
  <c r="T15" i="108"/>
  <c r="AB14" i="108"/>
  <c r="AB38" i="108" s="1"/>
  <c r="N106" i="108"/>
  <c r="AD10" i="108"/>
  <c r="AC15" i="108"/>
  <c r="U12" i="108"/>
  <c r="U11" i="108"/>
  <c r="Y10" i="108"/>
  <c r="I106" i="108"/>
  <c r="T21" i="108"/>
  <c r="T20" i="108"/>
  <c r="T39" i="108" s="1"/>
  <c r="N106" i="107"/>
  <c r="AD10" i="107"/>
  <c r="V10" i="107"/>
  <c r="F106" i="107"/>
  <c r="Y21" i="107"/>
  <c r="AB20" i="107"/>
  <c r="T20" i="107"/>
  <c r="X19" i="107"/>
  <c r="X18" i="107"/>
  <c r="AB17" i="107"/>
  <c r="T17" i="107"/>
  <c r="AB16" i="107"/>
  <c r="T16" i="107"/>
  <c r="X15" i="107"/>
  <c r="AB14" i="107"/>
  <c r="T14" i="107"/>
  <c r="X13" i="107"/>
  <c r="W12" i="107"/>
  <c r="W11" i="107"/>
  <c r="Z18" i="108"/>
  <c r="Z16" i="108"/>
  <c r="AB12" i="108"/>
  <c r="AB11" i="108"/>
  <c r="V13" i="108"/>
  <c r="AA20" i="108"/>
  <c r="W35" i="108"/>
  <c r="U18" i="108"/>
  <c r="U16" i="108"/>
  <c r="S12" i="108"/>
  <c r="S11" i="108"/>
  <c r="G106" i="108"/>
  <c r="W10" i="108"/>
  <c r="Z21" i="108"/>
  <c r="Z20" i="108"/>
  <c r="Z11" i="108"/>
  <c r="AB10" i="107"/>
  <c r="L106" i="107"/>
  <c r="X10" i="107"/>
  <c r="H106" i="107"/>
  <c r="T10" i="107"/>
  <c r="D106" i="107"/>
  <c r="AA21" i="107"/>
  <c r="W21" i="107"/>
  <c r="AD20" i="107"/>
  <c r="Z20" i="107"/>
  <c r="V20" i="107"/>
  <c r="AD19" i="107"/>
  <c r="Z19" i="107"/>
  <c r="V19" i="107"/>
  <c r="AD18" i="107"/>
  <c r="Z18" i="107"/>
  <c r="V18" i="107"/>
  <c r="AD17" i="107"/>
  <c r="Z17" i="107"/>
  <c r="V17" i="107"/>
  <c r="AD16" i="107"/>
  <c r="Z16" i="107"/>
  <c r="V16" i="107"/>
  <c r="AD15" i="107"/>
  <c r="Z15" i="107"/>
  <c r="V15" i="107"/>
  <c r="AD14" i="107"/>
  <c r="Z14" i="107"/>
  <c r="V14" i="107"/>
  <c r="AD13" i="107"/>
  <c r="Z13" i="107"/>
  <c r="V13" i="107"/>
  <c r="AC12" i="107"/>
  <c r="Y12" i="107"/>
  <c r="U12" i="107"/>
  <c r="AC11" i="107"/>
  <c r="Y11" i="107"/>
  <c r="U11" i="107"/>
  <c r="X36" i="101"/>
  <c r="Y38" i="105"/>
  <c r="U38" i="109"/>
  <c r="T10" i="108"/>
  <c r="D106" i="108"/>
  <c r="V19" i="108"/>
  <c r="AD18" i="108"/>
  <c r="V18" i="108"/>
  <c r="AD17" i="108"/>
  <c r="V17" i="108"/>
  <c r="AD16" i="108"/>
  <c r="V16" i="108"/>
  <c r="AD15" i="108"/>
  <c r="V15" i="108"/>
  <c r="AD14" i="108"/>
  <c r="V14" i="108"/>
  <c r="T13" i="108"/>
  <c r="T12" i="108"/>
  <c r="T11" i="108"/>
  <c r="W15" i="108"/>
  <c r="W38" i="108" s="1"/>
  <c r="S20" i="108"/>
  <c r="W21" i="108"/>
  <c r="AA13" i="108"/>
  <c r="S13" i="108"/>
  <c r="V12" i="108"/>
  <c r="U20" i="108"/>
  <c r="S14" i="108"/>
  <c r="AC20" i="108"/>
  <c r="AA16" i="108"/>
  <c r="AA14" i="108"/>
  <c r="U19" i="108"/>
  <c r="Y18" i="108"/>
  <c r="U17" i="108"/>
  <c r="Y16" i="108"/>
  <c r="U14" i="108"/>
  <c r="W12" i="108"/>
  <c r="W11" i="108"/>
  <c r="AA10" i="108"/>
  <c r="K106" i="108"/>
  <c r="AD21" i="108"/>
  <c r="V21" i="108"/>
  <c r="AD20" i="108"/>
  <c r="V20" i="108"/>
  <c r="AD19" i="108"/>
  <c r="Z13" i="108"/>
  <c r="AB26" i="98"/>
  <c r="AF28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U20" i="111" s="1"/>
  <c r="C50" i="111"/>
  <c r="S20" i="111" s="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U18" i="111" s="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AB21" i="111" s="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AB20" i="111" s="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AB19" i="111" s="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AB18" i="111" s="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AB17" i="111" s="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AB16" i="111" s="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AB15" i="111" s="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AB14" i="111" s="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AD13" i="111" s="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X11" i="111" s="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W15" i="111" s="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U14" i="111" s="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W13" i="111" s="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W12" i="111" s="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W11" i="111" s="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AD21" i="111" s="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AD20" i="111" s="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AD19" i="111" s="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AD18" i="111" s="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AD17" i="111" s="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AD16" i="111" s="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AD15" i="111" s="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AD14" i="111" s="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AB13" i="111" s="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U21" i="111" s="1"/>
  <c r="C54" i="111"/>
  <c r="S21" i="111" s="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W20" i="111" s="1"/>
  <c r="G49" i="111"/>
  <c r="E49" i="111"/>
  <c r="K48" i="111"/>
  <c r="E48" i="111"/>
  <c r="C48" i="111"/>
  <c r="M47" i="111"/>
  <c r="I47" i="111"/>
  <c r="G47" i="111"/>
  <c r="M46" i="111"/>
  <c r="AC19" i="111" s="1"/>
  <c r="K46" i="111"/>
  <c r="I46" i="111"/>
  <c r="Y19" i="111" s="1"/>
  <c r="C46" i="111"/>
  <c r="S19" i="111" s="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W17" i="111" s="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W16" i="111" s="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U15" i="111" s="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W14" i="111" s="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U13" i="111" s="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U12" i="111" s="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U11" i="111" s="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AE19" i="108" s="1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AF20" i="108" s="1"/>
  <c r="P42" i="108"/>
  <c r="P34" i="108"/>
  <c r="AF16" i="108" s="1"/>
  <c r="O54" i="108"/>
  <c r="O42" i="108"/>
  <c r="O34" i="108"/>
  <c r="P18" i="108"/>
  <c r="AF12" i="108" s="1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AE17" i="107" s="1"/>
  <c r="P37" i="107"/>
  <c r="O36" i="107"/>
  <c r="O35" i="107"/>
  <c r="O34" i="107"/>
  <c r="AE16" i="107" s="1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AE14" i="107" s="1"/>
  <c r="O23" i="107"/>
  <c r="O21" i="107"/>
  <c r="O18" i="107"/>
  <c r="AE12" i="107" s="1"/>
  <c r="O16" i="107"/>
  <c r="O14" i="107"/>
  <c r="O12" i="107"/>
  <c r="P26" i="107"/>
  <c r="P38" i="107"/>
  <c r="AF17" i="107" s="1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F13" i="107" l="1"/>
  <c r="AE10" i="108"/>
  <c r="O106" i="108"/>
  <c r="W10" i="111"/>
  <c r="G106" i="111"/>
  <c r="S36" i="111"/>
  <c r="S39" i="111"/>
  <c r="W35" i="111"/>
  <c r="U16" i="111"/>
  <c r="U35" i="111" s="1"/>
  <c r="AD38" i="111"/>
  <c r="AD35" i="111"/>
  <c r="U17" i="111"/>
  <c r="AA37" i="108"/>
  <c r="AA41" i="108"/>
  <c r="AA34" i="108"/>
  <c r="AA40" i="108"/>
  <c r="V38" i="107"/>
  <c r="V35" i="107"/>
  <c r="V38" i="108"/>
  <c r="V35" i="108"/>
  <c r="T36" i="108"/>
  <c r="AC35" i="108"/>
  <c r="AC38" i="108"/>
  <c r="W38" i="107"/>
  <c r="W35" i="107"/>
  <c r="AB38" i="107"/>
  <c r="AB35" i="107"/>
  <c r="AE15" i="107"/>
  <c r="AF18" i="107"/>
  <c r="AE21" i="107"/>
  <c r="AF12" i="107"/>
  <c r="AE16" i="108"/>
  <c r="AF17" i="108"/>
  <c r="Y12" i="111"/>
  <c r="Y14" i="111"/>
  <c r="AC15" i="111"/>
  <c r="AC16" i="111"/>
  <c r="W18" i="111"/>
  <c r="W38" i="111" s="1"/>
  <c r="X10" i="111"/>
  <c r="H106" i="111"/>
  <c r="AA11" i="111"/>
  <c r="AA12" i="111"/>
  <c r="AA14" i="111"/>
  <c r="Y15" i="111"/>
  <c r="Y16" i="111"/>
  <c r="AD11" i="111"/>
  <c r="AA17" i="111"/>
  <c r="Y18" i="111"/>
  <c r="S36" i="108"/>
  <c r="S39" i="108"/>
  <c r="S37" i="108"/>
  <c r="S41" i="108"/>
  <c r="S42" i="108" s="1"/>
  <c r="S40" i="108"/>
  <c r="S34" i="108"/>
  <c r="AA38" i="107"/>
  <c r="AA35" i="107"/>
  <c r="S36" i="107"/>
  <c r="S39" i="107"/>
  <c r="AB39" i="107"/>
  <c r="AB36" i="107"/>
  <c r="AF10" i="107"/>
  <c r="P106" i="107"/>
  <c r="AF16" i="107"/>
  <c r="AE18" i="107"/>
  <c r="AE19" i="107"/>
  <c r="AE20" i="107"/>
  <c r="AF21" i="107"/>
  <c r="AF11" i="107"/>
  <c r="AE18" i="108"/>
  <c r="AF15" i="108"/>
  <c r="AE20" i="108"/>
  <c r="AE39" i="108" s="1"/>
  <c r="AE14" i="108"/>
  <c r="AF10" i="108"/>
  <c r="P106" i="108"/>
  <c r="H107" i="108" s="1"/>
  <c r="AC11" i="111"/>
  <c r="AC12" i="111"/>
  <c r="AC13" i="111"/>
  <c r="Y17" i="111"/>
  <c r="AC18" i="111"/>
  <c r="AA19" i="111"/>
  <c r="AC21" i="111"/>
  <c r="AD10" i="111"/>
  <c r="N106" i="111"/>
  <c r="Z11" i="111"/>
  <c r="V12" i="111"/>
  <c r="V13" i="111"/>
  <c r="V14" i="111"/>
  <c r="V15" i="111"/>
  <c r="V16" i="111"/>
  <c r="V17" i="111"/>
  <c r="V18" i="111"/>
  <c r="V19" i="111"/>
  <c r="V20" i="111"/>
  <c r="V21" i="111"/>
  <c r="AC14" i="111"/>
  <c r="AA15" i="111"/>
  <c r="AA16" i="111"/>
  <c r="T14" i="111"/>
  <c r="T38" i="111" s="1"/>
  <c r="T15" i="111"/>
  <c r="T16" i="111"/>
  <c r="T17" i="111"/>
  <c r="T18" i="111"/>
  <c r="T19" i="111"/>
  <c r="T20" i="111"/>
  <c r="T21" i="111"/>
  <c r="U10" i="111"/>
  <c r="E106" i="111"/>
  <c r="AA18" i="111"/>
  <c r="AA20" i="111"/>
  <c r="AA21" i="111"/>
  <c r="AB10" i="111"/>
  <c r="L106" i="111"/>
  <c r="AD39" i="108"/>
  <c r="AD36" i="108"/>
  <c r="S38" i="108"/>
  <c r="S35" i="108"/>
  <c r="T41" i="108"/>
  <c r="T37" i="108"/>
  <c r="T34" i="108"/>
  <c r="T40" i="108"/>
  <c r="T42" i="108" s="1"/>
  <c r="AD38" i="107"/>
  <c r="AD35" i="107"/>
  <c r="V39" i="107"/>
  <c r="V36" i="107"/>
  <c r="AD41" i="107"/>
  <c r="AD37" i="107"/>
  <c r="AD34" i="107"/>
  <c r="AD40" i="107"/>
  <c r="Y35" i="108"/>
  <c r="W37" i="107"/>
  <c r="W41" i="107"/>
  <c r="W42" i="107" s="1"/>
  <c r="W40" i="107"/>
  <c r="W34" i="107"/>
  <c r="AD38" i="108"/>
  <c r="AD35" i="108"/>
  <c r="AC39" i="108"/>
  <c r="AC36" i="108"/>
  <c r="AA36" i="108"/>
  <c r="AA39" i="108"/>
  <c r="X38" i="108"/>
  <c r="X35" i="108"/>
  <c r="W36" i="107"/>
  <c r="W39" i="107"/>
  <c r="Y34" i="107"/>
  <c r="Y37" i="107"/>
  <c r="Y41" i="107"/>
  <c r="Y40" i="107"/>
  <c r="Z39" i="108"/>
  <c r="Z36" i="108"/>
  <c r="Z41" i="107"/>
  <c r="Z40" i="107"/>
  <c r="Z34" i="107"/>
  <c r="Z37" i="107"/>
  <c r="Y39" i="107"/>
  <c r="Y36" i="107"/>
  <c r="AE12" i="108"/>
  <c r="AF19" i="108"/>
  <c r="U38" i="111"/>
  <c r="V10" i="111"/>
  <c r="F106" i="111"/>
  <c r="AB38" i="111"/>
  <c r="AB35" i="111"/>
  <c r="AD39" i="111"/>
  <c r="AD36" i="111"/>
  <c r="Z12" i="111"/>
  <c r="AB39" i="111"/>
  <c r="AB36" i="111"/>
  <c r="AC10" i="111"/>
  <c r="M106" i="111"/>
  <c r="U19" i="111"/>
  <c r="W21" i="111"/>
  <c r="T10" i="111"/>
  <c r="D106" i="111"/>
  <c r="V39" i="108"/>
  <c r="V36" i="108"/>
  <c r="AD39" i="107"/>
  <c r="AD36" i="107"/>
  <c r="X39" i="107"/>
  <c r="X36" i="107"/>
  <c r="AC35" i="107"/>
  <c r="AC38" i="107"/>
  <c r="U39" i="107"/>
  <c r="U36" i="107"/>
  <c r="S37" i="107"/>
  <c r="S41" i="107"/>
  <c r="S42" i="107" s="1"/>
  <c r="S34" i="107"/>
  <c r="S40" i="107"/>
  <c r="U34" i="107"/>
  <c r="U40" i="107"/>
  <c r="U37" i="107"/>
  <c r="U41" i="107"/>
  <c r="AC34" i="107"/>
  <c r="AC40" i="107"/>
  <c r="AC37" i="107"/>
  <c r="AC41" i="107"/>
  <c r="W36" i="108"/>
  <c r="W39" i="108"/>
  <c r="T39" i="107"/>
  <c r="T36" i="107"/>
  <c r="AB39" i="108"/>
  <c r="AB36" i="108"/>
  <c r="AE10" i="107"/>
  <c r="O106" i="107"/>
  <c r="AF14" i="107"/>
  <c r="AF19" i="107"/>
  <c r="AF20" i="107"/>
  <c r="AF18" i="108"/>
  <c r="AF11" i="108"/>
  <c r="AE13" i="108"/>
  <c r="AA10" i="111"/>
  <c r="K106" i="111"/>
  <c r="Y11" i="111"/>
  <c r="Y13" i="111"/>
  <c r="Y20" i="111"/>
  <c r="Y36" i="111" s="1"/>
  <c r="AA13" i="111"/>
  <c r="S10" i="111"/>
  <c r="C106" i="111"/>
  <c r="W19" i="111"/>
  <c r="Y21" i="111"/>
  <c r="Z10" i="111"/>
  <c r="J106" i="111"/>
  <c r="Z38" i="108"/>
  <c r="Z35" i="108"/>
  <c r="T38" i="108"/>
  <c r="T35" i="108"/>
  <c r="Z38" i="107"/>
  <c r="Z35" i="107"/>
  <c r="X41" i="107"/>
  <c r="X34" i="107"/>
  <c r="X40" i="107"/>
  <c r="X37" i="107"/>
  <c r="V41" i="107"/>
  <c r="V42" i="107" s="1"/>
  <c r="V37" i="107"/>
  <c r="V34" i="107"/>
  <c r="V40" i="107"/>
  <c r="AC39" i="107"/>
  <c r="AC36" i="107"/>
  <c r="AC34" i="108"/>
  <c r="AC40" i="108"/>
  <c r="AC37" i="108"/>
  <c r="AC41" i="108"/>
  <c r="Y39" i="108"/>
  <c r="Y36" i="108"/>
  <c r="Z41" i="108"/>
  <c r="Z42" i="108" s="1"/>
  <c r="Z34" i="108"/>
  <c r="Z40" i="108"/>
  <c r="Z37" i="108"/>
  <c r="Y35" i="107"/>
  <c r="Y38" i="107"/>
  <c r="AF15" i="107"/>
  <c r="AE11" i="107"/>
  <c r="AE13" i="107"/>
  <c r="AE21" i="108"/>
  <c r="AF21" i="108"/>
  <c r="AF14" i="108"/>
  <c r="AE11" i="108"/>
  <c r="AE15" i="108"/>
  <c r="AE17" i="108"/>
  <c r="AF13" i="108"/>
  <c r="X42" i="109"/>
  <c r="S15" i="111"/>
  <c r="S16" i="111"/>
  <c r="AC17" i="111"/>
  <c r="AC39" i="111"/>
  <c r="AB12" i="111"/>
  <c r="Z13" i="111"/>
  <c r="Z14" i="111"/>
  <c r="Z15" i="111"/>
  <c r="Z16" i="111"/>
  <c r="Z17" i="111"/>
  <c r="Z18" i="111"/>
  <c r="Z19" i="111"/>
  <c r="Z20" i="111"/>
  <c r="Z21" i="111"/>
  <c r="S11" i="111"/>
  <c r="S12" i="111"/>
  <c r="S13" i="111"/>
  <c r="S14" i="111"/>
  <c r="V11" i="111"/>
  <c r="X12" i="111"/>
  <c r="X13" i="111"/>
  <c r="X14" i="111"/>
  <c r="X15" i="111"/>
  <c r="X16" i="111"/>
  <c r="X17" i="111"/>
  <c r="X18" i="111"/>
  <c r="X19" i="111"/>
  <c r="X20" i="111"/>
  <c r="X21" i="111"/>
  <c r="Y10" i="111"/>
  <c r="I106" i="111"/>
  <c r="S17" i="111"/>
  <c r="S18" i="111"/>
  <c r="AC20" i="111"/>
  <c r="AC36" i="111" s="1"/>
  <c r="U39" i="108"/>
  <c r="U36" i="108"/>
  <c r="AA38" i="108"/>
  <c r="AA35" i="108"/>
  <c r="Z39" i="107"/>
  <c r="Z36" i="107"/>
  <c r="T41" i="107"/>
  <c r="T40" i="107"/>
  <c r="T42" i="107" s="1"/>
  <c r="T37" i="107"/>
  <c r="T34" i="107"/>
  <c r="AB41" i="107"/>
  <c r="AB34" i="107"/>
  <c r="AB37" i="107"/>
  <c r="AB40" i="107"/>
  <c r="AB42" i="107" s="1"/>
  <c r="W37" i="108"/>
  <c r="W41" i="108"/>
  <c r="W40" i="108"/>
  <c r="W34" i="108"/>
  <c r="X38" i="107"/>
  <c r="X35" i="107"/>
  <c r="Y34" i="108"/>
  <c r="Y37" i="108"/>
  <c r="Y40" i="108"/>
  <c r="Y41" i="108"/>
  <c r="Y42" i="108" s="1"/>
  <c r="AD41" i="108"/>
  <c r="AD42" i="108" s="1"/>
  <c r="AD37" i="108"/>
  <c r="AD34" i="108"/>
  <c r="AD40" i="108"/>
  <c r="X41" i="108"/>
  <c r="X34" i="108"/>
  <c r="X40" i="108"/>
  <c r="X37" i="108"/>
  <c r="U35" i="107"/>
  <c r="U38" i="107"/>
  <c r="X39" i="108"/>
  <c r="X36" i="108"/>
  <c r="U34" i="108"/>
  <c r="U40" i="108"/>
  <c r="U37" i="108"/>
  <c r="U41" i="108"/>
  <c r="U42" i="108" s="1"/>
  <c r="V41" i="108"/>
  <c r="V42" i="108" s="1"/>
  <c r="V37" i="108"/>
  <c r="V34" i="108"/>
  <c r="V40" i="108"/>
  <c r="U35" i="108"/>
  <c r="U38" i="108"/>
  <c r="S38" i="107"/>
  <c r="S35" i="107"/>
  <c r="AA36" i="107"/>
  <c r="AA39" i="107"/>
  <c r="AB41" i="108"/>
  <c r="AB37" i="108"/>
  <c r="AB34" i="108"/>
  <c r="AB40" i="108"/>
  <c r="AB42" i="108" s="1"/>
  <c r="T38" i="107"/>
  <c r="T35" i="107"/>
  <c r="AA37" i="107"/>
  <c r="AA41" i="107"/>
  <c r="AA34" i="107"/>
  <c r="AA40" i="107"/>
  <c r="AE24" i="98"/>
  <c r="S42" i="110"/>
  <c r="O47" i="111"/>
  <c r="O52" i="111"/>
  <c r="O12" i="111"/>
  <c r="P26" i="111"/>
  <c r="P46" i="111"/>
  <c r="P10" i="111"/>
  <c r="O22" i="111"/>
  <c r="AE13" i="111" s="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AE14" i="111" s="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AE21" i="111" s="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10" i="111" l="1"/>
  <c r="O106" i="111"/>
  <c r="AF21" i="111"/>
  <c r="X39" i="111"/>
  <c r="X36" i="111"/>
  <c r="AE38" i="107"/>
  <c r="AE35" i="107"/>
  <c r="S37" i="111"/>
  <c r="S41" i="111"/>
  <c r="S40" i="111"/>
  <c r="S34" i="111"/>
  <c r="AA37" i="111"/>
  <c r="AA41" i="111"/>
  <c r="AA42" i="111" s="1"/>
  <c r="AA34" i="111"/>
  <c r="AA40" i="111"/>
  <c r="AE37" i="107"/>
  <c r="AE41" i="107"/>
  <c r="AE40" i="107"/>
  <c r="AE34" i="107"/>
  <c r="U39" i="111"/>
  <c r="U36" i="111"/>
  <c r="T39" i="111"/>
  <c r="T36" i="111"/>
  <c r="X41" i="111"/>
  <c r="X34" i="111"/>
  <c r="X40" i="111"/>
  <c r="X42" i="111" s="1"/>
  <c r="X37" i="111"/>
  <c r="AF11" i="111"/>
  <c r="AE17" i="111"/>
  <c r="AE18" i="111"/>
  <c r="AE38" i="111" s="1"/>
  <c r="W42" i="108"/>
  <c r="Z38" i="111"/>
  <c r="Z35" i="111"/>
  <c r="AF38" i="108"/>
  <c r="AF35" i="108"/>
  <c r="Y35" i="111"/>
  <c r="Y38" i="111"/>
  <c r="AF39" i="107"/>
  <c r="AF36" i="107"/>
  <c r="Y42" i="107"/>
  <c r="U34" i="111"/>
  <c r="U37" i="111"/>
  <c r="U40" i="111"/>
  <c r="U41" i="111"/>
  <c r="U42" i="111" s="1"/>
  <c r="V38" i="111"/>
  <c r="V35" i="111"/>
  <c r="AD41" i="111"/>
  <c r="AD37" i="111"/>
  <c r="AD34" i="111"/>
  <c r="AD40" i="111"/>
  <c r="AE36" i="108"/>
  <c r="AF13" i="111"/>
  <c r="AF20" i="111"/>
  <c r="AF15" i="111"/>
  <c r="AE11" i="111"/>
  <c r="AE16" i="111"/>
  <c r="AF19" i="111"/>
  <c r="X42" i="108"/>
  <c r="X38" i="111"/>
  <c r="X35" i="111"/>
  <c r="S38" i="111"/>
  <c r="S35" i="111"/>
  <c r="X42" i="107"/>
  <c r="W36" i="111"/>
  <c r="W39" i="111"/>
  <c r="T35" i="111"/>
  <c r="T41" i="111"/>
  <c r="T37" i="111"/>
  <c r="T34" i="111"/>
  <c r="T40" i="111"/>
  <c r="T42" i="111" s="1"/>
  <c r="AC34" i="111"/>
  <c r="AC40" i="111"/>
  <c r="AC37" i="111"/>
  <c r="AC41" i="111"/>
  <c r="AC42" i="111" s="1"/>
  <c r="AF39" i="108"/>
  <c r="AF36" i="108"/>
  <c r="AD42" i="107"/>
  <c r="AC35" i="111"/>
  <c r="AC38" i="111"/>
  <c r="AF41" i="108"/>
  <c r="AF34" i="108"/>
  <c r="AF40" i="108"/>
  <c r="AF42" i="108" s="1"/>
  <c r="AF37" i="108"/>
  <c r="AE39" i="107"/>
  <c r="AE36" i="107"/>
  <c r="AF41" i="107"/>
  <c r="AF34" i="107"/>
  <c r="AF40" i="107"/>
  <c r="AF37" i="107"/>
  <c r="Y39" i="111"/>
  <c r="W37" i="111"/>
  <c r="W41" i="111"/>
  <c r="W40" i="111"/>
  <c r="W34" i="111"/>
  <c r="Z41" i="111"/>
  <c r="Z34" i="111"/>
  <c r="Z40" i="111"/>
  <c r="Z37" i="111"/>
  <c r="AB41" i="111"/>
  <c r="AB37" i="111"/>
  <c r="AB34" i="111"/>
  <c r="AB40" i="111"/>
  <c r="AB42" i="111" s="1"/>
  <c r="AE37" i="108"/>
  <c r="AE41" i="108"/>
  <c r="AE40" i="108"/>
  <c r="AE34" i="108"/>
  <c r="AE19" i="111"/>
  <c r="AF16" i="111"/>
  <c r="AF10" i="111"/>
  <c r="P106" i="111"/>
  <c r="N107" i="111" s="1"/>
  <c r="Y34" i="111"/>
  <c r="Y37" i="111"/>
  <c r="Y40" i="111"/>
  <c r="Y41" i="111"/>
  <c r="Y42" i="111" s="1"/>
  <c r="AA38" i="111"/>
  <c r="AA35" i="111"/>
  <c r="AE38" i="108"/>
  <c r="AE35" i="108"/>
  <c r="Z42" i="107"/>
  <c r="AF12" i="111"/>
  <c r="AE12" i="111"/>
  <c r="AE20" i="111"/>
  <c r="AF18" i="111"/>
  <c r="AE15" i="111"/>
  <c r="AE35" i="111" s="1"/>
  <c r="AF17" i="111"/>
  <c r="AF14" i="111"/>
  <c r="AA42" i="107"/>
  <c r="Z39" i="111"/>
  <c r="Z36" i="111"/>
  <c r="AC42" i="108"/>
  <c r="AC42" i="107"/>
  <c r="U42" i="107"/>
  <c r="V41" i="111"/>
  <c r="V42" i="111" s="1"/>
  <c r="V37" i="111"/>
  <c r="V34" i="111"/>
  <c r="V40" i="111"/>
  <c r="V39" i="111"/>
  <c r="V36" i="111"/>
  <c r="AA36" i="111"/>
  <c r="AA39" i="111"/>
  <c r="AA42" i="108"/>
  <c r="AF38" i="107"/>
  <c r="AF35" i="107"/>
  <c r="K108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41" i="111" l="1"/>
  <c r="AF34" i="111"/>
  <c r="AF40" i="111"/>
  <c r="AF42" i="111" s="1"/>
  <c r="AF37" i="111"/>
  <c r="AE42" i="107"/>
  <c r="S42" i="111"/>
  <c r="AE42" i="108"/>
  <c r="W42" i="111"/>
  <c r="AF42" i="107"/>
  <c r="AF38" i="111"/>
  <c r="AF35" i="111"/>
  <c r="AF39" i="111"/>
  <c r="AF36" i="111"/>
  <c r="AE39" i="111"/>
  <c r="AE36" i="111"/>
  <c r="Z42" i="111"/>
  <c r="AD42" i="111"/>
  <c r="AE37" i="111"/>
  <c r="AE41" i="111"/>
  <c r="AE40" i="111"/>
  <c r="AE34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E42" i="111" l="1"/>
</calcChain>
</file>

<file path=xl/sharedStrings.xml><?xml version="1.0" encoding="utf-8"?>
<sst xmlns="http://schemas.openxmlformats.org/spreadsheetml/2006/main" count="2349" uniqueCount="186">
  <si>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</si>
  <si>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</si>
  <si>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</si>
  <si>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</si>
  <si>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</si>
  <si>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</si>
  <si>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</si>
  <si>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</si>
  <si>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</si>
  <si>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</si>
  <si>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</si>
  <si>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</si>
  <si>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</si>
  <si>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</si>
  <si>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</si>
  <si>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</si>
  <si>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</si>
  <si>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</si>
  <si>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</si>
  <si>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</si>
  <si>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</si>
  <si>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</si>
  <si>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</si>
  <si>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</si>
  <si>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</si>
  <si>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</si>
  <si>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</si>
  <si>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</si>
  <si>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</si>
  <si>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</si>
  <si>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</si>
  <si>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</si>
  <si>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</si>
  <si>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</si>
  <si>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</si>
  <si>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</si>
  <si>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</si>
  <si>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</si>
  <si>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</si>
  <si>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</si>
  <si>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</si>
  <si>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</si>
  <si>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</si>
  <si>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</si>
  <si>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</si>
  <si>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</si>
  <si>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</si>
  <si>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</si>
  <si>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</si>
  <si>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</si>
  <si>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</si>
  <si>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</si>
  <si>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</si>
  <si>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</si>
  <si>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</si>
  <si>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</si>
  <si>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</si>
  <si>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</si>
  <si>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</si>
  <si>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</si>
  <si>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</si>
  <si>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</si>
  <si>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</si>
  <si>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</si>
  <si>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</si>
  <si>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</si>
  <si>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</si>
  <si>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</si>
  <si>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</si>
  <si>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</si>
  <si>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</si>
  <si>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</si>
  <si>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</si>
  <si>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</si>
  <si>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</si>
  <si>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</si>
  <si>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</si>
  <si>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</si>
  <si>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</si>
  <si>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</si>
  <si>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</si>
  <si>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</si>
  <si>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</si>
  <si>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</si>
  <si>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</si>
  <si>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</si>
  <si>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</si>
  <si>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</si>
  <si>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</si>
  <si>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</si>
  <si>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</si>
  <si>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</si>
  <si>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</si>
  <si>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</si>
  <si>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</si>
  <si>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</si>
  <si>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</si>
  <si>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</si>
  <si>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</si>
  <si>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</si>
  <si>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</si>
  <si>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</si>
  <si>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</si>
  <si>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</si>
  <si>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</si>
  <si>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</si>
  <si>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</si>
  <si>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</si>
  <si>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</si>
  <si>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</si>
  <si>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</si>
  <si>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</si>
  <si>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</si>
  <si>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</si>
  <si>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</si>
  <si>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</si>
  <si>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</si>
  <si>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</si>
  <si>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</si>
  <si>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</si>
  <si>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</si>
  <si>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</si>
  <si>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</si>
  <si>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</si>
  <si>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</si>
  <si>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</si>
  <si>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</si>
  <si>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</si>
  <si>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</si>
  <si>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</si>
  <si>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</si>
  <si>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</si>
  <si>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</si>
  <si>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</si>
  <si>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</si>
  <si>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</si>
  <si>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</si>
  <si>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</si>
  <si>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</si>
  <si>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</si>
  <si>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</si>
  <si>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</si>
  <si>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</si>
  <si>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</si>
  <si>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</si>
  <si>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</si>
  <si>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</si>
  <si>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</si>
  <si>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</si>
  <si>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</si>
  <si>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</si>
  <si>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</si>
  <si>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</si>
  <si>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</si>
  <si>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</si>
  <si>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</si>
  <si>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</si>
  <si>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</si>
  <si>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</si>
  <si>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</si>
  <si>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</si>
  <si>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</si>
  <si>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</si>
  <si>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C2 - STN077 - KATOSI ROAD</t>
  </si>
  <si>
    <t>29.10.2019</t>
  </si>
  <si>
    <t>MUKONO</t>
  </si>
  <si>
    <t>KATOSI</t>
  </si>
  <si>
    <t>LUV GUEST HOUSE</t>
  </si>
  <si>
    <t>KIRABO DAN</t>
  </si>
  <si>
    <t>VICTOR M</t>
  </si>
  <si>
    <t>MOSES</t>
  </si>
  <si>
    <t>30.10.2019</t>
  </si>
  <si>
    <t>HAMUZA</t>
  </si>
  <si>
    <t>31.10.2019</t>
  </si>
  <si>
    <t>GUBYA JAMES</t>
  </si>
  <si>
    <t>1.11.2019</t>
  </si>
  <si>
    <t>h</t>
  </si>
  <si>
    <t>HUMUZA</t>
  </si>
  <si>
    <t>SHELL PETROL STATION</t>
  </si>
  <si>
    <t>KATUMBA JOHN</t>
  </si>
  <si>
    <t>2.11.2019</t>
  </si>
  <si>
    <t>HR</t>
  </si>
  <si>
    <t>3.11.2019</t>
  </si>
  <si>
    <t>4.11.2019</t>
  </si>
  <si>
    <t>KIRABO D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</si>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</sst>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2" borderId="4" xfId="0" applyFill="1" applyBorder="1"/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'29.10-MUKONO-KATOSI'!$AE$9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'29.10-MUKONO-KATOSI'!$R$10:$R$21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'29.10-MUKONO-KATOSI'!$AE$10:$AE$21</c:f>
              <c:numCache>
                <c:formatCode>0</c:formatCode>
                <c:ptCount val="12"/>
                <c:pt idx="0">
                  <c:v>133</c:v>
                </c:pt>
                <c:pt idx="1">
                  <c:v>139</c:v>
                </c:pt>
                <c:pt idx="2">
                  <c:v>172</c:v>
                </c:pt>
                <c:pt idx="3">
                  <c:v>176</c:v>
                </c:pt>
                <c:pt idx="4">
                  <c:v>189</c:v>
                </c:pt>
                <c:pt idx="5">
                  <c:v>131</c:v>
                </c:pt>
                <c:pt idx="6">
                  <c:v>158</c:v>
                </c:pt>
                <c:pt idx="7">
                  <c:v>188</c:v>
                </c:pt>
                <c:pt idx="8">
                  <c:v>148</c:v>
                </c:pt>
                <c:pt idx="9">
                  <c:v>133</c:v>
                </c:pt>
                <c:pt idx="10">
                  <c:v>143</c:v>
                </c:pt>
                <c:pt idx="11">
                  <c:v>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'29.10-MUKONO-KATOSI'!$AF$9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'29.10-MUKONO-KATOSI'!$R$10:$R$21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'29.10-MUKONO-KATOSI'!$AF$10:$AF$21</c:f>
              <c:numCache>
                <c:formatCode>0</c:formatCode>
                <c:ptCount val="12"/>
                <c:pt idx="0">
                  <c:v>446</c:v>
                </c:pt>
                <c:pt idx="1">
                  <c:v>606</c:v>
                </c:pt>
                <c:pt idx="2">
                  <c:v>654</c:v>
                </c:pt>
                <c:pt idx="3">
                  <c:v>627</c:v>
                </c:pt>
                <c:pt idx="4">
                  <c:v>557</c:v>
                </c:pt>
                <c:pt idx="5">
                  <c:v>514</c:v>
                </c:pt>
                <c:pt idx="6">
                  <c:v>581</c:v>
                </c:pt>
                <c:pt idx="7">
                  <c:v>543</c:v>
                </c:pt>
                <c:pt idx="8">
                  <c:v>504</c:v>
                </c:pt>
                <c:pt idx="9">
                  <c:v>525</c:v>
                </c:pt>
                <c:pt idx="10">
                  <c:v>546</c:v>
                </c:pt>
                <c:pt idx="11">
                  <c:v>612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25376"/>
        <c:axId val="103127296"/>
      </c:lineChart>
      <c:catAx>
        <c:axId val="103125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127296"/>
        <c:crosses val="autoZero"/>
        <c:auto val="1"/>
        <c:lblAlgn val="ctr"/>
        <c:lblOffset val="100"/>
        <c:noMultiLvlLbl val="0"/>
      </c:catAx>
      <c:valAx>
        <c:axId val="103127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12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'29.10-MUKONO-KATOSI'!$C$9:$N$9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'29.10-MUKONO-KATOSI'!$C$59:$N$59</c:f>
              <c:numCache>
                <c:formatCode>0.0%</c:formatCode>
                <c:ptCount val="12"/>
                <c:pt idx="0">
                  <c:v>9.1139240506329114E-2</c:v>
                </c:pt>
                <c:pt idx="1">
                  <c:v>3.2166790766939686E-2</c:v>
                </c:pt>
                <c:pt idx="2">
                  <c:v>2.5465376023827254E-2</c:v>
                </c:pt>
                <c:pt idx="3">
                  <c:v>5.4504839910647807E-2</c:v>
                </c:pt>
                <c:pt idx="4">
                  <c:v>4.9143708116157854E-3</c:v>
                </c:pt>
                <c:pt idx="5">
                  <c:v>0</c:v>
                </c:pt>
                <c:pt idx="6">
                  <c:v>4.6314221891288164E-2</c:v>
                </c:pt>
                <c:pt idx="7">
                  <c:v>9.6798212956068497E-3</c:v>
                </c:pt>
                <c:pt idx="8">
                  <c:v>2.8294862248696949E-3</c:v>
                </c:pt>
                <c:pt idx="9">
                  <c:v>4.6165301563663441E-3</c:v>
                </c:pt>
                <c:pt idx="10">
                  <c:v>0.72807148175725989</c:v>
                </c:pt>
                <c:pt idx="11">
                  <c:v>2.9784065524944157E-4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'29.10-MUKONO-KATOSI'!$C$9:$N$9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'29.10-MUKONO-KATOSI'!$C$60:$N$60</c:f>
              <c:numCache>
                <c:formatCode>0.00%</c:formatCode>
                <c:ptCount val="12"/>
                <c:pt idx="0">
                  <c:v>0.33515881708652795</c:v>
                </c:pt>
                <c:pt idx="1">
                  <c:v>0.11829134720700986</c:v>
                </c:pt>
                <c:pt idx="2">
                  <c:v>9.3647316538882808E-2</c:v>
                </c:pt>
                <c:pt idx="3">
                  <c:v>0.2004381161007667</c:v>
                </c:pt>
                <c:pt idx="4">
                  <c:v>1.8072289156626505E-2</c:v>
                </c:pt>
                <c:pt idx="5">
                  <c:v>0</c:v>
                </c:pt>
                <c:pt idx="6">
                  <c:v>0.17031763417305587</c:v>
                </c:pt>
                <c:pt idx="7">
                  <c:v>3.5596933187294635E-2</c:v>
                </c:pt>
                <c:pt idx="8">
                  <c:v>1.0405257393209201E-2</c:v>
                </c:pt>
                <c:pt idx="9">
                  <c:v>1.6976998904709748E-2</c:v>
                </c:pt>
                <c:pt idx="11">
                  <c:v>1.0952902519167579E-3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KATOSI-MUKONO'!$AE$9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KATOSI-MUKONO'!$AE$10:$AE$21</c:f>
              <c:numCache>
                <c:formatCode>0</c:formatCode>
                <c:ptCount val="12"/>
                <c:pt idx="0">
                  <c:v>286</c:v>
                </c:pt>
                <c:pt idx="1">
                  <c:v>333</c:v>
                </c:pt>
                <c:pt idx="2">
                  <c:v>200</c:v>
                </c:pt>
                <c:pt idx="3">
                  <c:v>156</c:v>
                </c:pt>
                <c:pt idx="4">
                  <c:v>111</c:v>
                </c:pt>
                <c:pt idx="5">
                  <c:v>160</c:v>
                </c:pt>
                <c:pt idx="6">
                  <c:v>124</c:v>
                </c:pt>
                <c:pt idx="7">
                  <c:v>162</c:v>
                </c:pt>
                <c:pt idx="8">
                  <c:v>212</c:v>
                </c:pt>
                <c:pt idx="9">
                  <c:v>213</c:v>
                </c:pt>
                <c:pt idx="10">
                  <c:v>180</c:v>
                </c:pt>
                <c:pt idx="11">
                  <c:v>183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'29.10 KATOSI-MUKONO'!$AF$9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KATOSI-MUKONO'!$AF$10:$AF$21</c:f>
              <c:numCache>
                <c:formatCode>0</c:formatCode>
                <c:ptCount val="12"/>
                <c:pt idx="0">
                  <c:v>671</c:v>
                </c:pt>
                <c:pt idx="1">
                  <c:v>752</c:v>
                </c:pt>
                <c:pt idx="2">
                  <c:v>593</c:v>
                </c:pt>
                <c:pt idx="3">
                  <c:v>399</c:v>
                </c:pt>
                <c:pt idx="4">
                  <c:v>395</c:v>
                </c:pt>
                <c:pt idx="5">
                  <c:v>541</c:v>
                </c:pt>
                <c:pt idx="6">
                  <c:v>542</c:v>
                </c:pt>
                <c:pt idx="7">
                  <c:v>493</c:v>
                </c:pt>
                <c:pt idx="8">
                  <c:v>623</c:v>
                </c:pt>
                <c:pt idx="9">
                  <c:v>594</c:v>
                </c:pt>
                <c:pt idx="10">
                  <c:v>656</c:v>
                </c:pt>
                <c:pt idx="11">
                  <c:v>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63872"/>
        <c:axId val="104681856"/>
      </c:lineChart>
      <c:catAx>
        <c:axId val="103663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81856"/>
        <c:crosses val="autoZero"/>
        <c:auto val="1"/>
        <c:lblAlgn val="ctr"/>
        <c:lblOffset val="100"/>
        <c:noMultiLvlLbl val="0"/>
      </c:catAx>
      <c:valAx>
        <c:axId val="104681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66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KATOSI-MUKONO'!$C$59:$N$59</c:f>
              <c:numCache>
                <c:formatCode>0.0%</c:formatCode>
                <c:ptCount val="12"/>
                <c:pt idx="0">
                  <c:v>9.1374269005847955E-2</c:v>
                </c:pt>
                <c:pt idx="1">
                  <c:v>4.4444444444444446E-2</c:v>
                </c:pt>
                <c:pt idx="2">
                  <c:v>2.4707602339181286E-2</c:v>
                </c:pt>
                <c:pt idx="3">
                  <c:v>0.10307017543859649</c:v>
                </c:pt>
                <c:pt idx="4">
                  <c:v>6.871345029239766E-3</c:v>
                </c:pt>
                <c:pt idx="5">
                  <c:v>4.3859649122807018E-4</c:v>
                </c:pt>
                <c:pt idx="6">
                  <c:v>5.3362573099415202E-2</c:v>
                </c:pt>
                <c:pt idx="7">
                  <c:v>8.3333333333333332E-3</c:v>
                </c:pt>
                <c:pt idx="8">
                  <c:v>3.0701754385964912E-3</c:v>
                </c:pt>
                <c:pt idx="9">
                  <c:v>3.5087719298245615E-3</c:v>
                </c:pt>
                <c:pt idx="10">
                  <c:v>0.66081871345029242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KATOSI-MUKONO'!$S$9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'29.10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KATOSI-MUKONO'!$S$10:$S$21</c:f>
              <c:numCache>
                <c:formatCode>0</c:formatCode>
                <c:ptCount val="12"/>
                <c:pt idx="0">
                  <c:v>94</c:v>
                </c:pt>
                <c:pt idx="1">
                  <c:v>93</c:v>
                </c:pt>
                <c:pt idx="2">
                  <c:v>55</c:v>
                </c:pt>
                <c:pt idx="3">
                  <c:v>36</c:v>
                </c:pt>
                <c:pt idx="4">
                  <c:v>28</c:v>
                </c:pt>
                <c:pt idx="5">
                  <c:v>41</c:v>
                </c:pt>
                <c:pt idx="6">
                  <c:v>27</c:v>
                </c:pt>
                <c:pt idx="7">
                  <c:v>35</c:v>
                </c:pt>
                <c:pt idx="8">
                  <c:v>52</c:v>
                </c:pt>
                <c:pt idx="9">
                  <c:v>60</c:v>
                </c:pt>
                <c:pt idx="10">
                  <c:v>55</c:v>
                </c:pt>
                <c:pt idx="11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'29.10 KATOSI-MUKONO'!$T$9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'29.10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KATOSI-MUKONO'!$T$10:$T$21</c:f>
              <c:numCache>
                <c:formatCode>0</c:formatCode>
                <c:ptCount val="12"/>
                <c:pt idx="0">
                  <c:v>37</c:v>
                </c:pt>
                <c:pt idx="1">
                  <c:v>49</c:v>
                </c:pt>
                <c:pt idx="2">
                  <c:v>18</c:v>
                </c:pt>
                <c:pt idx="3">
                  <c:v>18</c:v>
                </c:pt>
                <c:pt idx="4">
                  <c:v>14</c:v>
                </c:pt>
                <c:pt idx="5">
                  <c:v>16</c:v>
                </c:pt>
                <c:pt idx="6">
                  <c:v>13</c:v>
                </c:pt>
                <c:pt idx="7">
                  <c:v>24</c:v>
                </c:pt>
                <c:pt idx="8">
                  <c:v>26</c:v>
                </c:pt>
                <c:pt idx="9">
                  <c:v>20</c:v>
                </c:pt>
                <c:pt idx="10">
                  <c:v>33</c:v>
                </c:pt>
                <c:pt idx="11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'29.10 KATOSI-MUKONO'!$U$9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'29.10 KATOSI-MUKONO'!$U$10:$U$21</c:f>
              <c:numCache>
                <c:formatCode>0</c:formatCode>
                <c:ptCount val="12"/>
                <c:pt idx="0">
                  <c:v>14</c:v>
                </c:pt>
                <c:pt idx="1">
                  <c:v>28</c:v>
                </c:pt>
                <c:pt idx="2">
                  <c:v>18</c:v>
                </c:pt>
                <c:pt idx="3">
                  <c:v>4</c:v>
                </c:pt>
                <c:pt idx="4">
                  <c:v>4</c:v>
                </c:pt>
                <c:pt idx="5">
                  <c:v>18</c:v>
                </c:pt>
                <c:pt idx="6">
                  <c:v>14</c:v>
                </c:pt>
                <c:pt idx="7">
                  <c:v>12</c:v>
                </c:pt>
                <c:pt idx="8">
                  <c:v>12</c:v>
                </c:pt>
                <c:pt idx="9">
                  <c:v>20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'29.10 KATOSI-MUKONO'!$V$9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'29.10 KATOSI-MUKONO'!$V$10:$V$21</c:f>
              <c:numCache>
                <c:formatCode>0</c:formatCode>
                <c:ptCount val="12"/>
                <c:pt idx="0">
                  <c:v>100</c:v>
                </c:pt>
                <c:pt idx="1">
                  <c:v>117</c:v>
                </c:pt>
                <c:pt idx="2">
                  <c:v>74</c:v>
                </c:pt>
                <c:pt idx="3">
                  <c:v>57</c:v>
                </c:pt>
                <c:pt idx="4">
                  <c:v>45</c:v>
                </c:pt>
                <c:pt idx="5">
                  <c:v>54</c:v>
                </c:pt>
                <c:pt idx="6">
                  <c:v>24</c:v>
                </c:pt>
                <c:pt idx="7">
                  <c:v>36</c:v>
                </c:pt>
                <c:pt idx="8">
                  <c:v>69</c:v>
                </c:pt>
                <c:pt idx="9">
                  <c:v>50</c:v>
                </c:pt>
                <c:pt idx="10">
                  <c:v>39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'29.10 KATOSI-MUKONO'!$W$9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'29.10 KATOSI-MUKONO'!$W$10:$W$21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'29.10 KATOSI-MUKONO'!$X$9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'29.10 KATOSI-MUKONO'!$X$10:$X$21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'29.10 KATOSI-MUKONO'!$Y$9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KATOSI-MUKONO'!$Y$10:$Y$21</c:f>
              <c:numCache>
                <c:formatCode>0</c:formatCode>
                <c:ptCount val="12"/>
                <c:pt idx="0">
                  <c:v>32</c:v>
                </c:pt>
                <c:pt idx="1">
                  <c:v>28</c:v>
                </c:pt>
                <c:pt idx="2">
                  <c:v>23</c:v>
                </c:pt>
                <c:pt idx="3">
                  <c:v>36</c:v>
                </c:pt>
                <c:pt idx="4">
                  <c:v>13</c:v>
                </c:pt>
                <c:pt idx="5">
                  <c:v>18</c:v>
                </c:pt>
                <c:pt idx="6">
                  <c:v>36</c:v>
                </c:pt>
                <c:pt idx="7">
                  <c:v>40</c:v>
                </c:pt>
                <c:pt idx="8">
                  <c:v>38</c:v>
                </c:pt>
                <c:pt idx="9">
                  <c:v>41</c:v>
                </c:pt>
                <c:pt idx="10">
                  <c:v>26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'29.10 KATOSI-MUKONO'!$Z$9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KATOSI-MUKONO'!$Z$10:$Z$21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'29.10 KATOSI-MUKONO'!$AA$9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KATOSI-MUKONO'!$AA$10:$AA$21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'29.10 KATOSI-MUKONO'!$AB$9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KATOSI-MUKONO'!$AB$10:$AB$21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'29.10 KATOSI-MUKONO'!$AC$9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KATOSI-MUKONO'!$AC$10:$AC$21</c:f>
              <c:numCache>
                <c:formatCode>0</c:formatCode>
                <c:ptCount val="12"/>
                <c:pt idx="0">
                  <c:v>385</c:v>
                </c:pt>
                <c:pt idx="1">
                  <c:v>419</c:v>
                </c:pt>
                <c:pt idx="2">
                  <c:v>393</c:v>
                </c:pt>
                <c:pt idx="3">
                  <c:v>243</c:v>
                </c:pt>
                <c:pt idx="4">
                  <c:v>284</c:v>
                </c:pt>
                <c:pt idx="5">
                  <c:v>381</c:v>
                </c:pt>
                <c:pt idx="6">
                  <c:v>418</c:v>
                </c:pt>
                <c:pt idx="7">
                  <c:v>331</c:v>
                </c:pt>
                <c:pt idx="8">
                  <c:v>411</c:v>
                </c:pt>
                <c:pt idx="9">
                  <c:v>381</c:v>
                </c:pt>
                <c:pt idx="10">
                  <c:v>476</c:v>
                </c:pt>
                <c:pt idx="11">
                  <c:v>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'29.10 KATOSI-MUKONO'!$AD$9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KATOSI-MUKONO'!$AD$10:$AD$21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546880"/>
        <c:axId val="103548416"/>
      </c:lineChart>
      <c:catAx>
        <c:axId val="10354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548416"/>
        <c:crosses val="autoZero"/>
        <c:auto val="1"/>
        <c:lblAlgn val="ctr"/>
        <c:lblOffset val="100"/>
        <c:noMultiLvlLbl val="0"/>
      </c:catAx>
      <c:valAx>
        <c:axId val="1035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54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KATOSI-MUKONO'!$C$60:$N$60</c:f>
              <c:numCache>
                <c:formatCode>0.00%</c:formatCode>
                <c:ptCount val="12"/>
                <c:pt idx="0">
                  <c:v>0.26939655172413796</c:v>
                </c:pt>
                <c:pt idx="1">
                  <c:v>0.1310344827586207</c:v>
                </c:pt>
                <c:pt idx="2">
                  <c:v>7.2844827586206903E-2</c:v>
                </c:pt>
                <c:pt idx="3">
                  <c:v>0.30387931034482757</c:v>
                </c:pt>
                <c:pt idx="4">
                  <c:v>2.0258620689655171E-2</c:v>
                </c:pt>
                <c:pt idx="5">
                  <c:v>1.2931034482758621E-3</c:v>
                </c:pt>
                <c:pt idx="6">
                  <c:v>0.15732758620689655</c:v>
                </c:pt>
                <c:pt idx="7">
                  <c:v>2.456896551724138E-2</c:v>
                </c:pt>
                <c:pt idx="8">
                  <c:v>9.0517241379310352E-3</c:v>
                </c:pt>
                <c:pt idx="9">
                  <c:v>1.0344827586206896E-2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MUKONO-KATOSI'!$AE$9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MUKONO-KATOSI'!$AE$10:$AE$21</c:f>
              <c:numCache>
                <c:formatCode>0</c:formatCode>
                <c:ptCount val="12"/>
                <c:pt idx="0">
                  <c:v>145</c:v>
                </c:pt>
                <c:pt idx="1">
                  <c:v>183</c:v>
                </c:pt>
                <c:pt idx="2">
                  <c:v>175</c:v>
                </c:pt>
                <c:pt idx="3">
                  <c:v>155</c:v>
                </c:pt>
                <c:pt idx="4">
                  <c:v>183</c:v>
                </c:pt>
                <c:pt idx="5">
                  <c:v>155</c:v>
                </c:pt>
                <c:pt idx="6">
                  <c:v>162</c:v>
                </c:pt>
                <c:pt idx="7">
                  <c:v>156</c:v>
                </c:pt>
                <c:pt idx="8">
                  <c:v>118</c:v>
                </c:pt>
                <c:pt idx="9">
                  <c:v>158</c:v>
                </c:pt>
                <c:pt idx="10">
                  <c:v>155</c:v>
                </c:pt>
                <c:pt idx="11">
                  <c:v>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'30.10 MUKONO-KATOSI'!$AF$9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MUKONO-KATOSI'!$AF$10:$AF$21</c:f>
              <c:numCache>
                <c:formatCode>0</c:formatCode>
                <c:ptCount val="12"/>
                <c:pt idx="0">
                  <c:v>434</c:v>
                </c:pt>
                <c:pt idx="1">
                  <c:v>660</c:v>
                </c:pt>
                <c:pt idx="2">
                  <c:v>684</c:v>
                </c:pt>
                <c:pt idx="3">
                  <c:v>595</c:v>
                </c:pt>
                <c:pt idx="4">
                  <c:v>619</c:v>
                </c:pt>
                <c:pt idx="5">
                  <c:v>586</c:v>
                </c:pt>
                <c:pt idx="6">
                  <c:v>552</c:v>
                </c:pt>
                <c:pt idx="7">
                  <c:v>449</c:v>
                </c:pt>
                <c:pt idx="8">
                  <c:v>424</c:v>
                </c:pt>
                <c:pt idx="9">
                  <c:v>490</c:v>
                </c:pt>
                <c:pt idx="10">
                  <c:v>455</c:v>
                </c:pt>
                <c:pt idx="11">
                  <c:v>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01632"/>
        <c:axId val="106503552"/>
      </c:lineChart>
      <c:catAx>
        <c:axId val="106501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503552"/>
        <c:crosses val="autoZero"/>
        <c:auto val="1"/>
        <c:lblAlgn val="ctr"/>
        <c:lblOffset val="100"/>
        <c:noMultiLvlLbl val="0"/>
      </c:catAx>
      <c:valAx>
        <c:axId val="10650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50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MUKONO-KATOSI'!$C$59:$N$59</c:f>
              <c:numCache>
                <c:formatCode>0.0%</c:formatCode>
                <c:ptCount val="12"/>
                <c:pt idx="0">
                  <c:v>7.5095201827875102E-2</c:v>
                </c:pt>
                <c:pt idx="1">
                  <c:v>4.9352627570449351E-2</c:v>
                </c:pt>
                <c:pt idx="2">
                  <c:v>2.6199543031226201E-2</c:v>
                </c:pt>
                <c:pt idx="3">
                  <c:v>5.6359482102056359E-2</c:v>
                </c:pt>
                <c:pt idx="4">
                  <c:v>5.3313023610053311E-3</c:v>
                </c:pt>
                <c:pt idx="5">
                  <c:v>3.0464584920030462E-4</c:v>
                </c:pt>
                <c:pt idx="6">
                  <c:v>5.6816450875856815E-2</c:v>
                </c:pt>
                <c:pt idx="7">
                  <c:v>1.0357958872810357E-2</c:v>
                </c:pt>
                <c:pt idx="8">
                  <c:v>2.8941355674028941E-3</c:v>
                </c:pt>
                <c:pt idx="9">
                  <c:v>4.2650418888042652E-3</c:v>
                </c:pt>
                <c:pt idx="10">
                  <c:v>0.70723533891850721</c:v>
                </c:pt>
                <c:pt idx="11">
                  <c:v>5.7882711348057883E-3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MUKONO-KATOSI'!$S$9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MUKONO-KATOSI'!$S$10:$S$21</c:f>
              <c:numCache>
                <c:formatCode>0</c:formatCode>
                <c:ptCount val="12"/>
                <c:pt idx="0">
                  <c:v>31</c:v>
                </c:pt>
                <c:pt idx="1">
                  <c:v>50</c:v>
                </c:pt>
                <c:pt idx="2">
                  <c:v>42</c:v>
                </c:pt>
                <c:pt idx="3">
                  <c:v>42</c:v>
                </c:pt>
                <c:pt idx="4">
                  <c:v>57</c:v>
                </c:pt>
                <c:pt idx="5">
                  <c:v>34</c:v>
                </c:pt>
                <c:pt idx="6">
                  <c:v>38</c:v>
                </c:pt>
                <c:pt idx="7">
                  <c:v>34</c:v>
                </c:pt>
                <c:pt idx="8">
                  <c:v>23</c:v>
                </c:pt>
                <c:pt idx="9">
                  <c:v>41</c:v>
                </c:pt>
                <c:pt idx="10">
                  <c:v>39</c:v>
                </c:pt>
                <c:pt idx="11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'30.10 MUKONO-KATOSI'!$T$9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MUKONO-KATOSI'!$T$10:$T$21</c:f>
              <c:numCache>
                <c:formatCode>0</c:formatCode>
                <c:ptCount val="12"/>
                <c:pt idx="0">
                  <c:v>19</c:v>
                </c:pt>
                <c:pt idx="1">
                  <c:v>34</c:v>
                </c:pt>
                <c:pt idx="2">
                  <c:v>24</c:v>
                </c:pt>
                <c:pt idx="3">
                  <c:v>29</c:v>
                </c:pt>
                <c:pt idx="4">
                  <c:v>27</c:v>
                </c:pt>
                <c:pt idx="5">
                  <c:v>26</c:v>
                </c:pt>
                <c:pt idx="6">
                  <c:v>35</c:v>
                </c:pt>
                <c:pt idx="7">
                  <c:v>28</c:v>
                </c:pt>
                <c:pt idx="8">
                  <c:v>18</c:v>
                </c:pt>
                <c:pt idx="9">
                  <c:v>31</c:v>
                </c:pt>
                <c:pt idx="10">
                  <c:v>22</c:v>
                </c:pt>
                <c:pt idx="11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'30.10 MUKONO-KATOSI'!$U$9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MUKONO-KATOSI'!$U$10:$U$21</c:f>
              <c:numCache>
                <c:formatCode>0</c:formatCode>
                <c:ptCount val="12"/>
                <c:pt idx="0">
                  <c:v>8</c:v>
                </c:pt>
                <c:pt idx="1">
                  <c:v>12</c:v>
                </c:pt>
                <c:pt idx="2">
                  <c:v>22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12</c:v>
                </c:pt>
                <c:pt idx="7">
                  <c:v>19</c:v>
                </c:pt>
                <c:pt idx="8">
                  <c:v>9</c:v>
                </c:pt>
                <c:pt idx="9">
                  <c:v>19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'30.10 MUKONO-KATOSI'!$V$9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MUKONO-KATOSI'!$V$10:$V$21</c:f>
              <c:numCache>
                <c:formatCode>0</c:formatCode>
                <c:ptCount val="12"/>
                <c:pt idx="0">
                  <c:v>25</c:v>
                </c:pt>
                <c:pt idx="1">
                  <c:v>29</c:v>
                </c:pt>
                <c:pt idx="2">
                  <c:v>30</c:v>
                </c:pt>
                <c:pt idx="3">
                  <c:v>30</c:v>
                </c:pt>
                <c:pt idx="4">
                  <c:v>28</c:v>
                </c:pt>
                <c:pt idx="5">
                  <c:v>33</c:v>
                </c:pt>
                <c:pt idx="6">
                  <c:v>31</c:v>
                </c:pt>
                <c:pt idx="7">
                  <c:v>34</c:v>
                </c:pt>
                <c:pt idx="8">
                  <c:v>25</c:v>
                </c:pt>
                <c:pt idx="9">
                  <c:v>33</c:v>
                </c:pt>
                <c:pt idx="10">
                  <c:v>31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'30.10 MUKONO-KATOSI'!$W$9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MUKONO-KATOSI'!$W$10:$W$21</c:f>
              <c:numCache>
                <c:formatCode>0</c:formatCode>
                <c:ptCount val="12"/>
                <c:pt idx="0">
                  <c:v>2</c:v>
                </c:pt>
                <c:pt idx="1">
                  <c:v>14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'30.10 MUKONO-KATOSI'!$X$9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MUKONO-KATOSI'!$X$10:$X$21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'30.10 MUKONO-KATOSI'!$Y$9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MUKONO-KATOSI'!$Y$10:$Y$21</c:f>
              <c:numCache>
                <c:formatCode>0</c:formatCode>
                <c:ptCount val="12"/>
                <c:pt idx="0">
                  <c:v>17</c:v>
                </c:pt>
                <c:pt idx="1">
                  <c:v>28</c:v>
                </c:pt>
                <c:pt idx="2">
                  <c:v>46</c:v>
                </c:pt>
                <c:pt idx="3">
                  <c:v>31</c:v>
                </c:pt>
                <c:pt idx="4">
                  <c:v>44</c:v>
                </c:pt>
                <c:pt idx="5">
                  <c:v>39</c:v>
                </c:pt>
                <c:pt idx="6">
                  <c:v>33</c:v>
                </c:pt>
                <c:pt idx="7">
                  <c:v>31</c:v>
                </c:pt>
                <c:pt idx="8">
                  <c:v>25</c:v>
                </c:pt>
                <c:pt idx="9">
                  <c:v>24</c:v>
                </c:pt>
                <c:pt idx="10">
                  <c:v>32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'30.10 MUKONO-KATOSI'!$Z$9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MUKONO-KATOSI'!$Z$10:$Z$21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9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11</c:v>
                </c:pt>
                <c:pt idx="9">
                  <c:v>3</c:v>
                </c:pt>
                <c:pt idx="10">
                  <c:v>10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'30.10 MUKONO-KATOSI'!$AA$9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MUKONO-KATOSI'!$AA$10:$AA$21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'30.10 MUKONO-KATOSI'!$AB$9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MUKONO-KATOSI'!$AB$10:$AB$21</c:f>
              <c:numCache>
                <c:formatCode>0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'30.10 MUKONO-KATOSI'!$AC$9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MUKONO-KATOSI'!$AC$10:$AC$21</c:f>
              <c:numCache>
                <c:formatCode>0</c:formatCode>
                <c:ptCount val="12"/>
                <c:pt idx="0">
                  <c:v>289</c:v>
                </c:pt>
                <c:pt idx="1">
                  <c:v>477</c:v>
                </c:pt>
                <c:pt idx="2">
                  <c:v>509</c:v>
                </c:pt>
                <c:pt idx="3">
                  <c:v>440</c:v>
                </c:pt>
                <c:pt idx="4">
                  <c:v>436</c:v>
                </c:pt>
                <c:pt idx="5">
                  <c:v>431</c:v>
                </c:pt>
                <c:pt idx="6">
                  <c:v>390</c:v>
                </c:pt>
                <c:pt idx="7">
                  <c:v>293</c:v>
                </c:pt>
                <c:pt idx="8">
                  <c:v>306</c:v>
                </c:pt>
                <c:pt idx="9">
                  <c:v>332</c:v>
                </c:pt>
                <c:pt idx="10">
                  <c:v>300</c:v>
                </c:pt>
                <c:pt idx="11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'30.10 MUKONO-KATOSI'!$AD$9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MUKONO-KATOSI'!$AD$10:$AD$21</c:f>
              <c:numCache>
                <c:formatCode>0</c:formatCode>
                <c:ptCount val="12"/>
                <c:pt idx="0">
                  <c:v>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85792"/>
        <c:axId val="106803968"/>
      </c:lineChart>
      <c:catAx>
        <c:axId val="10678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803968"/>
        <c:crosses val="autoZero"/>
        <c:auto val="1"/>
        <c:lblAlgn val="ctr"/>
        <c:lblOffset val="100"/>
        <c:noMultiLvlLbl val="0"/>
      </c:catAx>
      <c:valAx>
        <c:axId val="10680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78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MUKONO-KATOSI'!$C$60:$N$60</c:f>
              <c:numCache>
                <c:formatCode>0.00%</c:formatCode>
                <c:ptCount val="12"/>
                <c:pt idx="0">
                  <c:v>0.25650364203954212</c:v>
                </c:pt>
                <c:pt idx="1">
                  <c:v>0.16857440166493237</c:v>
                </c:pt>
                <c:pt idx="2">
                  <c:v>8.9490114464099893E-2</c:v>
                </c:pt>
                <c:pt idx="3">
                  <c:v>0.19250780437044746</c:v>
                </c:pt>
                <c:pt idx="4">
                  <c:v>1.8210197710718003E-2</c:v>
                </c:pt>
                <c:pt idx="5">
                  <c:v>1.0405827263267431E-3</c:v>
                </c:pt>
                <c:pt idx="6">
                  <c:v>0.19406867845993755</c:v>
                </c:pt>
                <c:pt idx="7">
                  <c:v>3.5379812695109258E-2</c:v>
                </c:pt>
                <c:pt idx="8">
                  <c:v>9.8855359001040581E-3</c:v>
                </c:pt>
                <c:pt idx="9">
                  <c:v>1.4568158168574402E-2</c:v>
                </c:pt>
                <c:pt idx="11">
                  <c:v>1.9771071800208116E-2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KATOSI-MUKONO'!$AE$9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KATOSI-MUKONO'!$AE$10:$AE$21</c:f>
              <c:numCache>
                <c:formatCode>0</c:formatCode>
                <c:ptCount val="12"/>
                <c:pt idx="0">
                  <c:v>276</c:v>
                </c:pt>
                <c:pt idx="1">
                  <c:v>144</c:v>
                </c:pt>
                <c:pt idx="2">
                  <c:v>97</c:v>
                </c:pt>
                <c:pt idx="3">
                  <c:v>107</c:v>
                </c:pt>
                <c:pt idx="4">
                  <c:v>91</c:v>
                </c:pt>
                <c:pt idx="5">
                  <c:v>105</c:v>
                </c:pt>
                <c:pt idx="6">
                  <c:v>115</c:v>
                </c:pt>
                <c:pt idx="7">
                  <c:v>136</c:v>
                </c:pt>
                <c:pt idx="8">
                  <c:v>111</c:v>
                </c:pt>
                <c:pt idx="9">
                  <c:v>138</c:v>
                </c:pt>
                <c:pt idx="10">
                  <c:v>102</c:v>
                </c:pt>
                <c:pt idx="11">
                  <c:v>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'30.10 KATOSI-MUKONO'!$AF$9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KATOSI-MUKONO'!$AF$10:$AF$21</c:f>
              <c:numCache>
                <c:formatCode>0</c:formatCode>
                <c:ptCount val="12"/>
                <c:pt idx="0">
                  <c:v>970</c:v>
                </c:pt>
                <c:pt idx="1">
                  <c:v>715</c:v>
                </c:pt>
                <c:pt idx="2">
                  <c:v>837</c:v>
                </c:pt>
                <c:pt idx="3">
                  <c:v>805</c:v>
                </c:pt>
                <c:pt idx="4">
                  <c:v>823</c:v>
                </c:pt>
                <c:pt idx="5">
                  <c:v>855</c:v>
                </c:pt>
                <c:pt idx="6">
                  <c:v>898</c:v>
                </c:pt>
                <c:pt idx="7">
                  <c:v>614</c:v>
                </c:pt>
                <c:pt idx="8">
                  <c:v>642</c:v>
                </c:pt>
                <c:pt idx="9">
                  <c:v>648</c:v>
                </c:pt>
                <c:pt idx="10">
                  <c:v>588</c:v>
                </c:pt>
                <c:pt idx="11">
                  <c:v>734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57824"/>
        <c:axId val="104976384"/>
      </c:lineChart>
      <c:catAx>
        <c:axId val="1049578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976384"/>
        <c:crosses val="autoZero"/>
        <c:auto val="1"/>
        <c:lblAlgn val="ctr"/>
        <c:lblOffset val="100"/>
        <c:noMultiLvlLbl val="0"/>
      </c:catAx>
      <c:valAx>
        <c:axId val="104976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95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KATOSI-MUKONO'!$C$59:$N$59</c:f>
              <c:numCache>
                <c:formatCode>0.0%</c:formatCode>
                <c:ptCount val="12"/>
                <c:pt idx="0">
                  <c:v>4.3816409245262353E-2</c:v>
                </c:pt>
                <c:pt idx="1">
                  <c:v>2.2127286668857486E-2</c:v>
                </c:pt>
                <c:pt idx="2">
                  <c:v>1.2159053565560303E-2</c:v>
                </c:pt>
                <c:pt idx="3">
                  <c:v>4.2830540037243951E-2</c:v>
                </c:pt>
                <c:pt idx="4">
                  <c:v>4.3816409245262351E-3</c:v>
                </c:pt>
                <c:pt idx="5">
                  <c:v>1.0954102311315588E-4</c:v>
                </c:pt>
                <c:pt idx="6">
                  <c:v>3.4505422280644099E-2</c:v>
                </c:pt>
                <c:pt idx="7">
                  <c:v>4.2720999014130793E-3</c:v>
                </c:pt>
                <c:pt idx="8">
                  <c:v>1.7526563698104941E-3</c:v>
                </c:pt>
                <c:pt idx="9">
                  <c:v>1.5335743235841822E-3</c:v>
                </c:pt>
                <c:pt idx="10">
                  <c:v>0.83251177565998469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KATOSI-MUKONO'!$S$9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KATOSI-MUKONO'!$S$10:$S$21</c:f>
              <c:numCache>
                <c:formatCode>0</c:formatCode>
                <c:ptCount val="12"/>
                <c:pt idx="0">
                  <c:v>54</c:v>
                </c:pt>
                <c:pt idx="1">
                  <c:v>46</c:v>
                </c:pt>
                <c:pt idx="2">
                  <c:v>34</c:v>
                </c:pt>
                <c:pt idx="3">
                  <c:v>32</c:v>
                </c:pt>
                <c:pt idx="4">
                  <c:v>22</c:v>
                </c:pt>
                <c:pt idx="5">
                  <c:v>22</c:v>
                </c:pt>
                <c:pt idx="6">
                  <c:v>24</c:v>
                </c:pt>
                <c:pt idx="7">
                  <c:v>33</c:v>
                </c:pt>
                <c:pt idx="8">
                  <c:v>27</c:v>
                </c:pt>
                <c:pt idx="9">
                  <c:v>35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'30.10 KATOSI-MUKONO'!$T$9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KATOSI-MUKONO'!$T$10:$T$21</c:f>
              <c:numCache>
                <c:formatCode>0</c:formatCode>
                <c:ptCount val="12"/>
                <c:pt idx="0">
                  <c:v>37</c:v>
                </c:pt>
                <c:pt idx="1">
                  <c:v>25</c:v>
                </c:pt>
                <c:pt idx="2">
                  <c:v>14</c:v>
                </c:pt>
                <c:pt idx="3">
                  <c:v>12</c:v>
                </c:pt>
                <c:pt idx="4">
                  <c:v>13</c:v>
                </c:pt>
                <c:pt idx="5">
                  <c:v>17</c:v>
                </c:pt>
                <c:pt idx="6">
                  <c:v>8</c:v>
                </c:pt>
                <c:pt idx="7">
                  <c:v>15</c:v>
                </c:pt>
                <c:pt idx="8">
                  <c:v>14</c:v>
                </c:pt>
                <c:pt idx="9">
                  <c:v>19</c:v>
                </c:pt>
                <c:pt idx="10">
                  <c:v>9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'30.10 KATOSI-MUKONO'!$U$9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KATOSI-MUKONO'!$U$10:$U$21</c:f>
              <c:numCache>
                <c:formatCode>0</c:formatCode>
                <c:ptCount val="12"/>
                <c:pt idx="0">
                  <c:v>18</c:v>
                </c:pt>
                <c:pt idx="1">
                  <c:v>10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10</c:v>
                </c:pt>
                <c:pt idx="6">
                  <c:v>7</c:v>
                </c:pt>
                <c:pt idx="7">
                  <c:v>8</c:v>
                </c:pt>
                <c:pt idx="8">
                  <c:v>12</c:v>
                </c:pt>
                <c:pt idx="9">
                  <c:v>12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'30.10 KATOSI-MUKONO'!$V$9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KATOSI-MUKONO'!$V$10:$V$21</c:f>
              <c:numCache>
                <c:formatCode>0</c:formatCode>
                <c:ptCount val="12"/>
                <c:pt idx="0">
                  <c:v>107</c:v>
                </c:pt>
                <c:pt idx="1">
                  <c:v>23</c:v>
                </c:pt>
                <c:pt idx="2">
                  <c:v>27</c:v>
                </c:pt>
                <c:pt idx="3">
                  <c:v>28</c:v>
                </c:pt>
                <c:pt idx="4">
                  <c:v>23</c:v>
                </c:pt>
                <c:pt idx="5">
                  <c:v>18</c:v>
                </c:pt>
                <c:pt idx="6">
                  <c:v>32</c:v>
                </c:pt>
                <c:pt idx="7">
                  <c:v>35</c:v>
                </c:pt>
                <c:pt idx="8">
                  <c:v>23</c:v>
                </c:pt>
                <c:pt idx="9">
                  <c:v>34</c:v>
                </c:pt>
                <c:pt idx="10">
                  <c:v>25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'30.10 KATOSI-MUKONO'!$W$9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KATOSI-MUKONO'!$W$10:$W$21</c:f>
              <c:numCache>
                <c:formatCode>0</c:formatCode>
                <c:ptCount val="12"/>
                <c:pt idx="0">
                  <c:v>8</c:v>
                </c:pt>
                <c:pt idx="1">
                  <c:v>11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'30.10 KATOSI-MUKONO'!$X$9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KATOSI-MUKONO'!$X$10:$X$21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'30.10 KATOSI-MUKONO'!$Y$9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KATOSI-MUKONO'!$Y$10:$Y$21</c:f>
              <c:numCache>
                <c:formatCode>0</c:formatCode>
                <c:ptCount val="12"/>
                <c:pt idx="0">
                  <c:v>51</c:v>
                </c:pt>
                <c:pt idx="1">
                  <c:v>28</c:v>
                </c:pt>
                <c:pt idx="2">
                  <c:v>13</c:v>
                </c:pt>
                <c:pt idx="3">
                  <c:v>22</c:v>
                </c:pt>
                <c:pt idx="4">
                  <c:v>19</c:v>
                </c:pt>
                <c:pt idx="5">
                  <c:v>28</c:v>
                </c:pt>
                <c:pt idx="6">
                  <c:v>33</c:v>
                </c:pt>
                <c:pt idx="7">
                  <c:v>38</c:v>
                </c:pt>
                <c:pt idx="8">
                  <c:v>24</c:v>
                </c:pt>
                <c:pt idx="9">
                  <c:v>27</c:v>
                </c:pt>
                <c:pt idx="10">
                  <c:v>15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'30.10 KATOSI-MUKONO'!$Z$9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KATOSI-MUKONO'!$Z$10:$Z$21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7</c:v>
                </c:pt>
                <c:pt idx="4">
                  <c:v>6</c:v>
                </c:pt>
                <c:pt idx="5">
                  <c:v>2</c:v>
                </c:pt>
                <c:pt idx="6">
                  <c:v>6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'30.10 KATOSI-MUKONO'!$AA$9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KATOSI-MUKONO'!$AA$10:$AA$21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'30.10 KATOSI-MUKONO'!$AB$9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KATOSI-MUKONO'!$AB$10:$AB$21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'30.10 KATOSI-MUKONO'!$AC$9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KATOSI-MUKONO'!$AC$10:$AC$21</c:f>
              <c:numCache>
                <c:formatCode>0</c:formatCode>
                <c:ptCount val="12"/>
                <c:pt idx="0">
                  <c:v>694</c:v>
                </c:pt>
                <c:pt idx="1">
                  <c:v>571</c:v>
                </c:pt>
                <c:pt idx="2">
                  <c:v>740</c:v>
                </c:pt>
                <c:pt idx="3">
                  <c:v>698</c:v>
                </c:pt>
                <c:pt idx="4">
                  <c:v>732</c:v>
                </c:pt>
                <c:pt idx="5">
                  <c:v>750</c:v>
                </c:pt>
                <c:pt idx="6">
                  <c:v>783</c:v>
                </c:pt>
                <c:pt idx="7">
                  <c:v>478</c:v>
                </c:pt>
                <c:pt idx="8">
                  <c:v>531</c:v>
                </c:pt>
                <c:pt idx="9">
                  <c:v>510</c:v>
                </c:pt>
                <c:pt idx="10">
                  <c:v>486</c:v>
                </c:pt>
                <c:pt idx="11">
                  <c:v>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'30.10 KATOSI-MUKONO'!$AD$9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KATOSI-MUKONO'!$AD$10:$AD$21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221504"/>
        <c:axId val="105231488"/>
      </c:lineChart>
      <c:catAx>
        <c:axId val="10522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5231488"/>
        <c:crosses val="autoZero"/>
        <c:auto val="1"/>
        <c:lblAlgn val="ctr"/>
        <c:lblOffset val="100"/>
        <c:noMultiLvlLbl val="0"/>
      </c:catAx>
      <c:valAx>
        <c:axId val="1052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522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KATOSI-MUKONO'!$C$60:$N$60</c:f>
              <c:numCache>
                <c:formatCode>0.00%</c:formatCode>
                <c:ptCount val="12"/>
                <c:pt idx="0">
                  <c:v>0.26160889470241988</c:v>
                </c:pt>
                <c:pt idx="1">
                  <c:v>0.13211249182472204</c:v>
                </c:pt>
                <c:pt idx="2">
                  <c:v>7.2596468279921514E-2</c:v>
                </c:pt>
                <c:pt idx="3">
                  <c:v>0.25572269457161545</c:v>
                </c:pt>
                <c:pt idx="4">
                  <c:v>2.6160889470241987E-2</c:v>
                </c:pt>
                <c:pt idx="5">
                  <c:v>6.5402223675604975E-4</c:v>
                </c:pt>
                <c:pt idx="6">
                  <c:v>0.20601700457815567</c:v>
                </c:pt>
                <c:pt idx="7">
                  <c:v>2.5506867233485938E-2</c:v>
                </c:pt>
                <c:pt idx="8">
                  <c:v>1.0464355788096796E-2</c:v>
                </c:pt>
                <c:pt idx="9">
                  <c:v>9.1563113145846954E-3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MUKONO-KATOSI'!$AE$9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MUKONO-KATOSI'!$AE$10:$AE$21</c:f>
              <c:numCache>
                <c:formatCode>0</c:formatCode>
                <c:ptCount val="12"/>
                <c:pt idx="0">
                  <c:v>206</c:v>
                </c:pt>
                <c:pt idx="1">
                  <c:v>214</c:v>
                </c:pt>
                <c:pt idx="2">
                  <c:v>207</c:v>
                </c:pt>
                <c:pt idx="3">
                  <c:v>144</c:v>
                </c:pt>
                <c:pt idx="4">
                  <c:v>258</c:v>
                </c:pt>
                <c:pt idx="5">
                  <c:v>185</c:v>
                </c:pt>
                <c:pt idx="6">
                  <c:v>157</c:v>
                </c:pt>
                <c:pt idx="7">
                  <c:v>157</c:v>
                </c:pt>
                <c:pt idx="8">
                  <c:v>131</c:v>
                </c:pt>
                <c:pt idx="9">
                  <c:v>134</c:v>
                </c:pt>
                <c:pt idx="10">
                  <c:v>161</c:v>
                </c:pt>
                <c:pt idx="11">
                  <c:v>147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'31.10 MUKONO-KATOSI'!$AF$9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MUKONO-KATOSI'!$AF$10:$AF$21</c:f>
              <c:numCache>
                <c:formatCode>0</c:formatCode>
                <c:ptCount val="12"/>
                <c:pt idx="0">
                  <c:v>554</c:v>
                </c:pt>
                <c:pt idx="1">
                  <c:v>553</c:v>
                </c:pt>
                <c:pt idx="2">
                  <c:v>567</c:v>
                </c:pt>
                <c:pt idx="3">
                  <c:v>416</c:v>
                </c:pt>
                <c:pt idx="4">
                  <c:v>474</c:v>
                </c:pt>
                <c:pt idx="5">
                  <c:v>521</c:v>
                </c:pt>
                <c:pt idx="6">
                  <c:v>444</c:v>
                </c:pt>
                <c:pt idx="7">
                  <c:v>298</c:v>
                </c:pt>
                <c:pt idx="8">
                  <c:v>393</c:v>
                </c:pt>
                <c:pt idx="9">
                  <c:v>508</c:v>
                </c:pt>
                <c:pt idx="10">
                  <c:v>480</c:v>
                </c:pt>
                <c:pt idx="11">
                  <c:v>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99264"/>
        <c:axId val="107101184"/>
      </c:lineChart>
      <c:catAx>
        <c:axId val="1070992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101184"/>
        <c:crosses val="autoZero"/>
        <c:auto val="1"/>
        <c:lblAlgn val="ctr"/>
        <c:lblOffset val="100"/>
        <c:noMultiLvlLbl val="0"/>
      </c:catAx>
      <c:valAx>
        <c:axId val="107101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09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MUKONO-KATOSI'!$C$59:$N$59</c:f>
              <c:numCache>
                <c:formatCode>0.0%</c:formatCode>
                <c:ptCount val="12"/>
                <c:pt idx="0">
                  <c:v>0.15655680224403928</c:v>
                </c:pt>
                <c:pt idx="1">
                  <c:v>2.0862552594670406E-2</c:v>
                </c:pt>
                <c:pt idx="2">
                  <c:v>3.4011220196353435E-2</c:v>
                </c:pt>
                <c:pt idx="3">
                  <c:v>6.3639551192145857E-2</c:v>
                </c:pt>
                <c:pt idx="4">
                  <c:v>6.4866760168302944E-3</c:v>
                </c:pt>
                <c:pt idx="5">
                  <c:v>8.7657784011220194E-4</c:v>
                </c:pt>
                <c:pt idx="6">
                  <c:v>4.8387096774193547E-2</c:v>
                </c:pt>
                <c:pt idx="7">
                  <c:v>1.3323983169705469E-2</c:v>
                </c:pt>
                <c:pt idx="8">
                  <c:v>4.7335203366058905E-3</c:v>
                </c:pt>
                <c:pt idx="9">
                  <c:v>1.8934081346423562E-2</c:v>
                </c:pt>
                <c:pt idx="10">
                  <c:v>0.6316619915848527</c:v>
                </c:pt>
                <c:pt idx="11">
                  <c:v>5.2594670406732116E-4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MUKONO-KATOSI'!$S$9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'31.10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MUKONO-KATOSI'!$S$10:$S$21</c:f>
              <c:numCache>
                <c:formatCode>0</c:formatCode>
                <c:ptCount val="12"/>
                <c:pt idx="0">
                  <c:v>99</c:v>
                </c:pt>
                <c:pt idx="1">
                  <c:v>114</c:v>
                </c:pt>
                <c:pt idx="2">
                  <c:v>108</c:v>
                </c:pt>
                <c:pt idx="3">
                  <c:v>47</c:v>
                </c:pt>
                <c:pt idx="4">
                  <c:v>73</c:v>
                </c:pt>
                <c:pt idx="5">
                  <c:v>77</c:v>
                </c:pt>
                <c:pt idx="6">
                  <c:v>76</c:v>
                </c:pt>
                <c:pt idx="7">
                  <c:v>57</c:v>
                </c:pt>
                <c:pt idx="8">
                  <c:v>61</c:v>
                </c:pt>
                <c:pt idx="9">
                  <c:v>51</c:v>
                </c:pt>
                <c:pt idx="10">
                  <c:v>72</c:v>
                </c:pt>
                <c:pt idx="11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'31.10 MUKONO-KATOSI'!$T$9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'31.10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MUKONO-KATOSI'!$T$10:$T$21</c:f>
              <c:numCache>
                <c:formatCode>0</c:formatCode>
                <c:ptCount val="12"/>
                <c:pt idx="0">
                  <c:v>17</c:v>
                </c:pt>
                <c:pt idx="1">
                  <c:v>11</c:v>
                </c:pt>
                <c:pt idx="2">
                  <c:v>14</c:v>
                </c:pt>
                <c:pt idx="3">
                  <c:v>12</c:v>
                </c:pt>
                <c:pt idx="4">
                  <c:v>8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4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'31.10 MUKONO-KATOSI'!$U$9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'31.10 MUKONO-KATOSI'!$U$10:$U$21</c:f>
              <c:numCache>
                <c:formatCode>0</c:formatCode>
                <c:ptCount val="12"/>
                <c:pt idx="0">
                  <c:v>19</c:v>
                </c:pt>
                <c:pt idx="1">
                  <c:v>14</c:v>
                </c:pt>
                <c:pt idx="2">
                  <c:v>22</c:v>
                </c:pt>
                <c:pt idx="3">
                  <c:v>14</c:v>
                </c:pt>
                <c:pt idx="4">
                  <c:v>18</c:v>
                </c:pt>
                <c:pt idx="5">
                  <c:v>19</c:v>
                </c:pt>
                <c:pt idx="6">
                  <c:v>17</c:v>
                </c:pt>
                <c:pt idx="7">
                  <c:v>15</c:v>
                </c:pt>
                <c:pt idx="8">
                  <c:v>18</c:v>
                </c:pt>
                <c:pt idx="9">
                  <c:v>11</c:v>
                </c:pt>
                <c:pt idx="10">
                  <c:v>13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'31.10 MUKONO-KATOSI'!$V$9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'31.10 MUKONO-KATOSI'!$V$10:$V$21</c:f>
              <c:numCache>
                <c:formatCode>0</c:formatCode>
                <c:ptCount val="12"/>
                <c:pt idx="0">
                  <c:v>21</c:v>
                </c:pt>
                <c:pt idx="1">
                  <c:v>31</c:v>
                </c:pt>
                <c:pt idx="2">
                  <c:v>27</c:v>
                </c:pt>
                <c:pt idx="3">
                  <c:v>27</c:v>
                </c:pt>
                <c:pt idx="4">
                  <c:v>32</c:v>
                </c:pt>
                <c:pt idx="5">
                  <c:v>38</c:v>
                </c:pt>
                <c:pt idx="6">
                  <c:v>21</c:v>
                </c:pt>
                <c:pt idx="7">
                  <c:v>39</c:v>
                </c:pt>
                <c:pt idx="8">
                  <c:v>24</c:v>
                </c:pt>
                <c:pt idx="9">
                  <c:v>31</c:v>
                </c:pt>
                <c:pt idx="10">
                  <c:v>36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'31.10 MUKONO-KATOSI'!$W$9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'31.10 MUKONO-KATOSI'!$W$10:$W$21</c:f>
              <c:numCache>
                <c:formatCode>0</c:formatCode>
                <c:ptCount val="12"/>
                <c:pt idx="0">
                  <c:v>10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'31.10 MUKONO-KATOSI'!$X$9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'31.10 MUKONO-KATOSI'!$X$10:$X$21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'31.10 MUKONO-KATOSI'!$Y$9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MUKONO-KATOSI'!$Y$10:$Y$21</c:f>
              <c:numCache>
                <c:formatCode>0</c:formatCode>
                <c:ptCount val="12"/>
                <c:pt idx="0">
                  <c:v>18</c:v>
                </c:pt>
                <c:pt idx="1">
                  <c:v>30</c:v>
                </c:pt>
                <c:pt idx="2">
                  <c:v>21</c:v>
                </c:pt>
                <c:pt idx="3">
                  <c:v>33</c:v>
                </c:pt>
                <c:pt idx="4">
                  <c:v>37</c:v>
                </c:pt>
                <c:pt idx="5">
                  <c:v>23</c:v>
                </c:pt>
                <c:pt idx="6">
                  <c:v>19</c:v>
                </c:pt>
                <c:pt idx="7">
                  <c:v>20</c:v>
                </c:pt>
                <c:pt idx="8">
                  <c:v>15</c:v>
                </c:pt>
                <c:pt idx="9">
                  <c:v>19</c:v>
                </c:pt>
                <c:pt idx="10">
                  <c:v>22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'31.10 MUKONO-KATOSI'!$Z$9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MUKONO-KATOSI'!$Z$10:$Z$21</c:f>
              <c:numCache>
                <c:formatCode>0</c:formatCode>
                <c:ptCount val="12"/>
                <c:pt idx="0">
                  <c:v>12</c:v>
                </c:pt>
                <c:pt idx="1">
                  <c:v>0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'31.10 MUKONO-KATOSI'!$AA$9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MUKONO-KATOSI'!$AA$10:$AA$21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'31.10 MUKONO-KATOSI'!$AB$9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MUKONO-KATOSI'!$AB$10:$AB$21</c:f>
              <c:numCache>
                <c:formatCode>0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1</c:v>
                </c:pt>
                <c:pt idx="3">
                  <c:v>1</c:v>
                </c:pt>
                <c:pt idx="4">
                  <c:v>82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'31.10 MUKONO-KATOSI'!$AC$9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MUKONO-KATOSI'!$AC$10:$AC$21</c:f>
              <c:numCache>
                <c:formatCode>0</c:formatCode>
                <c:ptCount val="12"/>
                <c:pt idx="0">
                  <c:v>348</c:v>
                </c:pt>
                <c:pt idx="1">
                  <c:v>339</c:v>
                </c:pt>
                <c:pt idx="2">
                  <c:v>360</c:v>
                </c:pt>
                <c:pt idx="3">
                  <c:v>272</c:v>
                </c:pt>
                <c:pt idx="4">
                  <c:v>216</c:v>
                </c:pt>
                <c:pt idx="5">
                  <c:v>336</c:v>
                </c:pt>
                <c:pt idx="6">
                  <c:v>287</c:v>
                </c:pt>
                <c:pt idx="7">
                  <c:v>141</c:v>
                </c:pt>
                <c:pt idx="8">
                  <c:v>262</c:v>
                </c:pt>
                <c:pt idx="9">
                  <c:v>374</c:v>
                </c:pt>
                <c:pt idx="10">
                  <c:v>319</c:v>
                </c:pt>
                <c:pt idx="11">
                  <c:v>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'31.10 MUKONO-KATOSI'!$AD$9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MUKONO-KATOSI'!$AD$10:$AD$21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891904"/>
        <c:axId val="106897792"/>
      </c:lineChart>
      <c:catAx>
        <c:axId val="10689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897792"/>
        <c:crosses val="autoZero"/>
        <c:auto val="1"/>
        <c:lblAlgn val="ctr"/>
        <c:lblOffset val="100"/>
        <c:noMultiLvlLbl val="0"/>
      </c:catAx>
      <c:valAx>
        <c:axId val="10689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89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MUKONO-KATOSI'!$C$60:$N$60</c:f>
              <c:numCache>
                <c:formatCode>0.00%</c:formatCode>
                <c:ptCount val="12"/>
                <c:pt idx="0">
                  <c:v>0.42503569728700619</c:v>
                </c:pt>
                <c:pt idx="1">
                  <c:v>5.6639695383150883E-2</c:v>
                </c:pt>
                <c:pt idx="2">
                  <c:v>9.2336982389338407E-2</c:v>
                </c:pt>
                <c:pt idx="3">
                  <c:v>0.17277486910994763</c:v>
                </c:pt>
                <c:pt idx="4">
                  <c:v>1.7610661589719183E-2</c:v>
                </c:pt>
                <c:pt idx="5">
                  <c:v>2.3798191337458352E-3</c:v>
                </c:pt>
                <c:pt idx="6">
                  <c:v>0.13136601618277011</c:v>
                </c:pt>
                <c:pt idx="7">
                  <c:v>3.6173250832936696E-2</c:v>
                </c:pt>
                <c:pt idx="8">
                  <c:v>1.285102332222751E-2</c:v>
                </c:pt>
                <c:pt idx="9">
                  <c:v>5.140409328891004E-2</c:v>
                </c:pt>
                <c:pt idx="11">
                  <c:v>1.4278914802475012E-3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KATOSI-MUKONO'!$AE$9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KATOSI-MUKONO'!$AE$10:$AE$21</c:f>
              <c:numCache>
                <c:formatCode>0</c:formatCode>
                <c:ptCount val="12"/>
                <c:pt idx="0">
                  <c:v>108</c:v>
                </c:pt>
                <c:pt idx="1">
                  <c:v>99</c:v>
                </c:pt>
                <c:pt idx="2">
                  <c:v>79</c:v>
                </c:pt>
                <c:pt idx="3">
                  <c:v>105</c:v>
                </c:pt>
                <c:pt idx="4">
                  <c:v>130</c:v>
                </c:pt>
                <c:pt idx="5">
                  <c:v>209</c:v>
                </c:pt>
                <c:pt idx="6">
                  <c:v>60</c:v>
                </c:pt>
                <c:pt idx="7">
                  <c:v>53</c:v>
                </c:pt>
                <c:pt idx="8">
                  <c:v>132</c:v>
                </c:pt>
                <c:pt idx="9">
                  <c:v>163</c:v>
                </c:pt>
                <c:pt idx="10">
                  <c:v>173</c:v>
                </c:pt>
                <c:pt idx="11">
                  <c:v>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'31.10 KATOSI-MUKONO'!$AF$9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KATOSI-MUKONO'!$AF$10:$AF$21</c:f>
              <c:numCache>
                <c:formatCode>0</c:formatCode>
                <c:ptCount val="12"/>
                <c:pt idx="0">
                  <c:v>456</c:v>
                </c:pt>
                <c:pt idx="1">
                  <c:v>468</c:v>
                </c:pt>
                <c:pt idx="2">
                  <c:v>559</c:v>
                </c:pt>
                <c:pt idx="3">
                  <c:v>564</c:v>
                </c:pt>
                <c:pt idx="4">
                  <c:v>560</c:v>
                </c:pt>
                <c:pt idx="5">
                  <c:v>460</c:v>
                </c:pt>
                <c:pt idx="6">
                  <c:v>487</c:v>
                </c:pt>
                <c:pt idx="7">
                  <c:v>353</c:v>
                </c:pt>
                <c:pt idx="8">
                  <c:v>294</c:v>
                </c:pt>
                <c:pt idx="9">
                  <c:v>490</c:v>
                </c:pt>
                <c:pt idx="10">
                  <c:v>380</c:v>
                </c:pt>
                <c:pt idx="11">
                  <c:v>413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59328"/>
        <c:axId val="107461248"/>
      </c:lineChart>
      <c:catAx>
        <c:axId val="1074593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461248"/>
        <c:crosses val="autoZero"/>
        <c:auto val="1"/>
        <c:lblAlgn val="ctr"/>
        <c:lblOffset val="100"/>
        <c:noMultiLvlLbl val="0"/>
      </c:catAx>
      <c:valAx>
        <c:axId val="107461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45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KATOSI-MUKONO'!$C$59:$N$59</c:f>
              <c:numCache>
                <c:formatCode>0.0%</c:formatCode>
                <c:ptCount val="12"/>
                <c:pt idx="0">
                  <c:v>6.6374908825674692E-2</c:v>
                </c:pt>
                <c:pt idx="1">
                  <c:v>3.2275711159737416E-2</c:v>
                </c:pt>
                <c:pt idx="2">
                  <c:v>1.8417213712618525E-2</c:v>
                </c:pt>
                <c:pt idx="3">
                  <c:v>5.7622173595915392E-2</c:v>
                </c:pt>
                <c:pt idx="4">
                  <c:v>3.4646243617797228E-3</c:v>
                </c:pt>
                <c:pt idx="5">
                  <c:v>3.6469730123997083E-4</c:v>
                </c:pt>
                <c:pt idx="6">
                  <c:v>3.5193289569657185E-2</c:v>
                </c:pt>
                <c:pt idx="7">
                  <c:v>7.1115973741794312E-3</c:v>
                </c:pt>
                <c:pt idx="8">
                  <c:v>2.1881838074398249E-3</c:v>
                </c:pt>
                <c:pt idx="9">
                  <c:v>4.4128373450036472E-2</c:v>
                </c:pt>
                <c:pt idx="10">
                  <c:v>0.73249452954048144</c:v>
                </c:pt>
                <c:pt idx="11">
                  <c:v>3.6469730123997083E-4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KATOSI-MUKONO'!$C$60:$N$60</c:f>
              <c:numCache>
                <c:formatCode>0.00%</c:formatCode>
                <c:ptCount val="12"/>
                <c:pt idx="0">
                  <c:v>0.24812542603953647</c:v>
                </c:pt>
                <c:pt idx="1">
                  <c:v>0.12065439672801637</c:v>
                </c:pt>
                <c:pt idx="2">
                  <c:v>6.8847989093387865E-2</c:v>
                </c:pt>
                <c:pt idx="3">
                  <c:v>0.21540558963871848</c:v>
                </c:pt>
                <c:pt idx="4">
                  <c:v>1.2951601908657124E-2</c:v>
                </c:pt>
                <c:pt idx="5">
                  <c:v>1.3633265167007499E-3</c:v>
                </c:pt>
                <c:pt idx="6">
                  <c:v>0.13156100886162236</c:v>
                </c:pt>
                <c:pt idx="7">
                  <c:v>2.6584867075664622E-2</c:v>
                </c:pt>
                <c:pt idx="8">
                  <c:v>8.1799591002044997E-3</c:v>
                </c:pt>
                <c:pt idx="9">
                  <c:v>0.16496250852079072</c:v>
                </c:pt>
                <c:pt idx="11">
                  <c:v>1.3633265167007499E-3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'1.11 MUKONO-KATOSI 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'1.11 MUKONO-KATOSI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'1.11 MUKONO-KATOSI 24hr'!$AE$10:$AE$33</c:f>
              <c:numCache>
                <c:formatCode>0</c:formatCode>
                <c:ptCount val="24"/>
                <c:pt idx="0">
                  <c:v>123</c:v>
                </c:pt>
                <c:pt idx="1">
                  <c:v>271</c:v>
                </c:pt>
                <c:pt idx="2">
                  <c:v>163</c:v>
                </c:pt>
                <c:pt idx="3">
                  <c:v>156</c:v>
                </c:pt>
                <c:pt idx="4">
                  <c:v>164</c:v>
                </c:pt>
                <c:pt idx="5">
                  <c:v>204</c:v>
                </c:pt>
                <c:pt idx="6">
                  <c:v>178</c:v>
                </c:pt>
                <c:pt idx="7">
                  <c:v>173</c:v>
                </c:pt>
                <c:pt idx="8">
                  <c:v>174</c:v>
                </c:pt>
                <c:pt idx="9">
                  <c:v>177</c:v>
                </c:pt>
                <c:pt idx="10">
                  <c:v>161</c:v>
                </c:pt>
                <c:pt idx="11">
                  <c:v>163</c:v>
                </c:pt>
                <c:pt idx="12">
                  <c:v>99</c:v>
                </c:pt>
                <c:pt idx="13">
                  <c:v>111</c:v>
                </c:pt>
                <c:pt idx="14">
                  <c:v>99</c:v>
                </c:pt>
                <c:pt idx="15">
                  <c:v>80</c:v>
                </c:pt>
                <c:pt idx="16">
                  <c:v>59</c:v>
                </c:pt>
                <c:pt idx="17">
                  <c:v>50</c:v>
                </c:pt>
                <c:pt idx="18">
                  <c:v>23</c:v>
                </c:pt>
                <c:pt idx="19">
                  <c:v>16</c:v>
                </c:pt>
                <c:pt idx="20">
                  <c:v>8</c:v>
                </c:pt>
                <c:pt idx="21">
                  <c:v>16</c:v>
                </c:pt>
                <c:pt idx="22">
                  <c:v>30</c:v>
                </c:pt>
                <c:pt idx="23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'1.11 MUKONO-KATOSI 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'1.11 MUKONO-KATOSI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'1.11 MUKONO-KATOSI 24hr'!$AF$10:$AF$33</c:f>
              <c:numCache>
                <c:formatCode>0</c:formatCode>
                <c:ptCount val="24"/>
                <c:pt idx="0">
                  <c:v>524</c:v>
                </c:pt>
                <c:pt idx="1">
                  <c:v>500</c:v>
                </c:pt>
                <c:pt idx="2">
                  <c:v>546</c:v>
                </c:pt>
                <c:pt idx="3">
                  <c:v>520</c:v>
                </c:pt>
                <c:pt idx="4">
                  <c:v>538</c:v>
                </c:pt>
                <c:pt idx="5">
                  <c:v>542</c:v>
                </c:pt>
                <c:pt idx="6">
                  <c:v>483</c:v>
                </c:pt>
                <c:pt idx="7">
                  <c:v>487</c:v>
                </c:pt>
                <c:pt idx="8">
                  <c:v>565</c:v>
                </c:pt>
                <c:pt idx="9">
                  <c:v>559</c:v>
                </c:pt>
                <c:pt idx="10">
                  <c:v>456</c:v>
                </c:pt>
                <c:pt idx="11">
                  <c:v>477</c:v>
                </c:pt>
                <c:pt idx="12">
                  <c:v>377</c:v>
                </c:pt>
                <c:pt idx="13">
                  <c:v>340</c:v>
                </c:pt>
                <c:pt idx="14">
                  <c:v>345</c:v>
                </c:pt>
                <c:pt idx="15">
                  <c:v>297</c:v>
                </c:pt>
                <c:pt idx="16">
                  <c:v>230</c:v>
                </c:pt>
                <c:pt idx="17">
                  <c:v>128</c:v>
                </c:pt>
                <c:pt idx="18">
                  <c:v>50</c:v>
                </c:pt>
                <c:pt idx="19">
                  <c:v>32</c:v>
                </c:pt>
                <c:pt idx="20">
                  <c:v>24</c:v>
                </c:pt>
                <c:pt idx="21">
                  <c:v>39</c:v>
                </c:pt>
                <c:pt idx="22">
                  <c:v>75</c:v>
                </c:pt>
                <c:pt idx="23">
                  <c:v>255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32288"/>
        <c:axId val="129950848"/>
      </c:lineChart>
      <c:catAx>
        <c:axId val="129932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950848"/>
        <c:crosses val="autoZero"/>
        <c:auto val="1"/>
        <c:lblAlgn val="ctr"/>
        <c:lblOffset val="100"/>
        <c:noMultiLvlLbl val="0"/>
      </c:catAx>
      <c:valAx>
        <c:axId val="129950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93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MUKONO-KATOSI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MUKONO-KATOSI 24hr'!$C$107:$N$107</c:f>
              <c:numCache>
                <c:formatCode>0.0%</c:formatCode>
                <c:ptCount val="12"/>
                <c:pt idx="0">
                  <c:v>0.13243533198235785</c:v>
                </c:pt>
                <c:pt idx="1">
                  <c:v>1.6688520681845273E-2</c:v>
                </c:pt>
                <c:pt idx="2">
                  <c:v>3.2900226487066399E-2</c:v>
                </c:pt>
                <c:pt idx="3">
                  <c:v>6.556204553582072E-2</c:v>
                </c:pt>
                <c:pt idx="4">
                  <c:v>5.9601859578018836E-3</c:v>
                </c:pt>
                <c:pt idx="5">
                  <c:v>2.3840743831207532E-4</c:v>
                </c:pt>
                <c:pt idx="6">
                  <c:v>4.7443080224102992E-2</c:v>
                </c:pt>
                <c:pt idx="7">
                  <c:v>1.3470020264632256E-2</c:v>
                </c:pt>
                <c:pt idx="8">
                  <c:v>3.6953152938371675E-3</c:v>
                </c:pt>
                <c:pt idx="9">
                  <c:v>1.7880557873405651E-3</c:v>
                </c:pt>
                <c:pt idx="10">
                  <c:v>0.66801764215043513</c:v>
                </c:pt>
                <c:pt idx="11">
                  <c:v>1.1801168196447729E-2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MUKONO-KATOSI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MUKONO-KATOSI 24hr'!$C$108:$N$108</c:f>
              <c:numCache>
                <c:formatCode>0.00%</c:formatCode>
                <c:ptCount val="12"/>
                <c:pt idx="0">
                  <c:v>0.39892280071813285</c:v>
                </c:pt>
                <c:pt idx="1">
                  <c:v>5.0269299820466788E-2</c:v>
                </c:pt>
                <c:pt idx="2">
                  <c:v>9.9102333931777378E-2</c:v>
                </c:pt>
                <c:pt idx="3">
                  <c:v>0.19748653500897667</c:v>
                </c:pt>
                <c:pt idx="4">
                  <c:v>1.7953321364452424E-2</c:v>
                </c:pt>
                <c:pt idx="5">
                  <c:v>7.18132854578097E-4</c:v>
                </c:pt>
                <c:pt idx="6">
                  <c:v>0.14290843806104128</c:v>
                </c:pt>
                <c:pt idx="7">
                  <c:v>4.0574506283662479E-2</c:v>
                </c:pt>
                <c:pt idx="8">
                  <c:v>1.1131059245960502E-2</c:v>
                </c:pt>
                <c:pt idx="9">
                  <c:v>5.3859964093357273E-3</c:v>
                </c:pt>
                <c:pt idx="11">
                  <c:v>3.5547576301615799E-2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'1.11 KATOSI-MUKONO-24hr'!$AE$9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'1.11 KATOSI-MUKONO-24hr'!$R$10:$R$33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'1.11 KATOSI-MUKONO-24hr'!$AE$10:$AE$33</c:f>
              <c:numCache>
                <c:formatCode>0</c:formatCode>
                <c:ptCount val="24"/>
                <c:pt idx="0">
                  <c:v>88</c:v>
                </c:pt>
                <c:pt idx="1">
                  <c:v>105</c:v>
                </c:pt>
                <c:pt idx="2">
                  <c:v>198</c:v>
                </c:pt>
                <c:pt idx="3">
                  <c:v>148</c:v>
                </c:pt>
                <c:pt idx="4">
                  <c:v>137</c:v>
                </c:pt>
                <c:pt idx="5">
                  <c:v>176</c:v>
                </c:pt>
                <c:pt idx="6">
                  <c:v>167</c:v>
                </c:pt>
                <c:pt idx="7">
                  <c:v>168</c:v>
                </c:pt>
                <c:pt idx="8">
                  <c:v>144</c:v>
                </c:pt>
                <c:pt idx="9">
                  <c:v>223</c:v>
                </c:pt>
                <c:pt idx="10">
                  <c:v>239</c:v>
                </c:pt>
                <c:pt idx="11">
                  <c:v>229</c:v>
                </c:pt>
                <c:pt idx="12">
                  <c:v>158</c:v>
                </c:pt>
                <c:pt idx="13">
                  <c:v>131</c:v>
                </c:pt>
                <c:pt idx="14">
                  <c:v>95</c:v>
                </c:pt>
                <c:pt idx="15">
                  <c:v>70</c:v>
                </c:pt>
                <c:pt idx="16">
                  <c:v>47</c:v>
                </c:pt>
                <c:pt idx="17">
                  <c:v>19</c:v>
                </c:pt>
                <c:pt idx="18">
                  <c:v>12</c:v>
                </c:pt>
                <c:pt idx="19">
                  <c:v>13</c:v>
                </c:pt>
                <c:pt idx="20">
                  <c:v>10</c:v>
                </c:pt>
                <c:pt idx="21">
                  <c:v>12</c:v>
                </c:pt>
                <c:pt idx="22">
                  <c:v>40</c:v>
                </c:pt>
                <c:pt idx="23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'1.11 KATOSI-MUKONO-24hr'!$AF$9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'1.11 KATOSI-MUKONO-24hr'!$R$10:$R$33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'1.11 KATOSI-MUKONO-24hr'!$AF$10:$AF$33</c:f>
              <c:numCache>
                <c:formatCode>0</c:formatCode>
                <c:ptCount val="24"/>
                <c:pt idx="0">
                  <c:v>523</c:v>
                </c:pt>
                <c:pt idx="1">
                  <c:v>447</c:v>
                </c:pt>
                <c:pt idx="2">
                  <c:v>454</c:v>
                </c:pt>
                <c:pt idx="3">
                  <c:v>387</c:v>
                </c:pt>
                <c:pt idx="4">
                  <c:v>378</c:v>
                </c:pt>
                <c:pt idx="5">
                  <c:v>320</c:v>
                </c:pt>
                <c:pt idx="6">
                  <c:v>368</c:v>
                </c:pt>
                <c:pt idx="7">
                  <c:v>341</c:v>
                </c:pt>
                <c:pt idx="8">
                  <c:v>436</c:v>
                </c:pt>
                <c:pt idx="9">
                  <c:v>483</c:v>
                </c:pt>
                <c:pt idx="10">
                  <c:v>541</c:v>
                </c:pt>
                <c:pt idx="11">
                  <c:v>473</c:v>
                </c:pt>
                <c:pt idx="12">
                  <c:v>412</c:v>
                </c:pt>
                <c:pt idx="13">
                  <c:v>364</c:v>
                </c:pt>
                <c:pt idx="14">
                  <c:v>231</c:v>
                </c:pt>
                <c:pt idx="15">
                  <c:v>189</c:v>
                </c:pt>
                <c:pt idx="16">
                  <c:v>142</c:v>
                </c:pt>
                <c:pt idx="17">
                  <c:v>64</c:v>
                </c:pt>
                <c:pt idx="18">
                  <c:v>30</c:v>
                </c:pt>
                <c:pt idx="19">
                  <c:v>29</c:v>
                </c:pt>
                <c:pt idx="20">
                  <c:v>24</c:v>
                </c:pt>
                <c:pt idx="21">
                  <c:v>30</c:v>
                </c:pt>
                <c:pt idx="22">
                  <c:v>91</c:v>
                </c:pt>
                <c:pt idx="23">
                  <c:v>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80288"/>
        <c:axId val="129990656"/>
      </c:lineChart>
      <c:catAx>
        <c:axId val="129980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990656"/>
        <c:crosses val="autoZero"/>
        <c:auto val="1"/>
        <c:lblAlgn val="ctr"/>
        <c:lblOffset val="100"/>
        <c:noMultiLvlLbl val="0"/>
      </c:catAx>
      <c:valAx>
        <c:axId val="129990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98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KATOSI-MUKONO-24hr'!$C$9:$N$9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KATOSI-MUKONO-24hr'!$C$107:$N$107</c:f>
              <c:numCache>
                <c:formatCode>0.0%</c:formatCode>
                <c:ptCount val="12"/>
                <c:pt idx="0">
                  <c:v>8.4905660377358486E-2</c:v>
                </c:pt>
                <c:pt idx="1">
                  <c:v>7.3327615780445971E-2</c:v>
                </c:pt>
                <c:pt idx="2">
                  <c:v>4.0594625500285877E-2</c:v>
                </c:pt>
                <c:pt idx="3">
                  <c:v>7.9045168667810181E-2</c:v>
                </c:pt>
                <c:pt idx="4">
                  <c:v>6.5751858204688395E-3</c:v>
                </c:pt>
                <c:pt idx="5">
                  <c:v>2.001143510577473E-3</c:v>
                </c:pt>
                <c:pt idx="6">
                  <c:v>4.7026872498570613E-2</c:v>
                </c:pt>
                <c:pt idx="7">
                  <c:v>2.5871926815323042E-2</c:v>
                </c:pt>
                <c:pt idx="8">
                  <c:v>7.2898799313893658E-3</c:v>
                </c:pt>
                <c:pt idx="9">
                  <c:v>1.9439679817038306E-2</c:v>
                </c:pt>
                <c:pt idx="10">
                  <c:v>0.61377930245854773</c:v>
                </c:pt>
                <c:pt idx="11">
                  <c:v>1.429388221841052E-4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KATOSI-MUKONO-24hr'!$C$9:$N$9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KATOSI-MUKONO-24hr'!$C$108:$N$108</c:f>
              <c:numCache>
                <c:formatCode>0.00%</c:formatCode>
                <c:ptCount val="12"/>
                <c:pt idx="0">
                  <c:v>0.21983715766099185</c:v>
                </c:pt>
                <c:pt idx="1">
                  <c:v>0.18985936343449297</c:v>
                </c:pt>
                <c:pt idx="2">
                  <c:v>0.10510732790525537</c:v>
                </c:pt>
                <c:pt idx="3">
                  <c:v>0.20466321243523317</c:v>
                </c:pt>
                <c:pt idx="4">
                  <c:v>1.7024426350851222E-2</c:v>
                </c:pt>
                <c:pt idx="5">
                  <c:v>5.1813471502590676E-3</c:v>
                </c:pt>
                <c:pt idx="6">
                  <c:v>0.12176165803108809</c:v>
                </c:pt>
                <c:pt idx="7">
                  <c:v>6.6987416728349375E-2</c:v>
                </c:pt>
                <c:pt idx="8">
                  <c:v>1.8874907475943746E-2</c:v>
                </c:pt>
                <c:pt idx="9">
                  <c:v>5.0333086602516654E-2</c:v>
                </c:pt>
                <c:pt idx="11">
                  <c:v>3.7009622501850479E-4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'2.11 MUKONO-KATOSI 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'2.11 MUKONO-KATOSI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MUKONO-KATOSI 24hr'!$AE$10:$AE$33</c:f>
              <c:numCache>
                <c:formatCode>0</c:formatCode>
                <c:ptCount val="24"/>
                <c:pt idx="0">
                  <c:v>102</c:v>
                </c:pt>
                <c:pt idx="1">
                  <c:v>154</c:v>
                </c:pt>
                <c:pt idx="2">
                  <c:v>143</c:v>
                </c:pt>
                <c:pt idx="3">
                  <c:v>186</c:v>
                </c:pt>
                <c:pt idx="4">
                  <c:v>229</c:v>
                </c:pt>
                <c:pt idx="5">
                  <c:v>189</c:v>
                </c:pt>
                <c:pt idx="6">
                  <c:v>182</c:v>
                </c:pt>
                <c:pt idx="7">
                  <c:v>186</c:v>
                </c:pt>
                <c:pt idx="8">
                  <c:v>162</c:v>
                </c:pt>
                <c:pt idx="9">
                  <c:v>177</c:v>
                </c:pt>
                <c:pt idx="10">
                  <c:v>159</c:v>
                </c:pt>
                <c:pt idx="11">
                  <c:v>119</c:v>
                </c:pt>
                <c:pt idx="12">
                  <c:v>118</c:v>
                </c:pt>
                <c:pt idx="13">
                  <c:v>127</c:v>
                </c:pt>
                <c:pt idx="14">
                  <c:v>101</c:v>
                </c:pt>
                <c:pt idx="15">
                  <c:v>64</c:v>
                </c:pt>
                <c:pt idx="16">
                  <c:v>84</c:v>
                </c:pt>
                <c:pt idx="17">
                  <c:v>53</c:v>
                </c:pt>
                <c:pt idx="18">
                  <c:v>40</c:v>
                </c:pt>
                <c:pt idx="19">
                  <c:v>16</c:v>
                </c:pt>
                <c:pt idx="20">
                  <c:v>7</c:v>
                </c:pt>
                <c:pt idx="21">
                  <c:v>17</c:v>
                </c:pt>
                <c:pt idx="22">
                  <c:v>36</c:v>
                </c:pt>
                <c:pt idx="2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'2.11 MUKONO-KATOSI 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'2.11 MUKONO-KATOSI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MUKONO-KATOSI 24hr'!$AF$10:$AF$33</c:f>
              <c:numCache>
                <c:formatCode>0</c:formatCode>
                <c:ptCount val="24"/>
                <c:pt idx="0">
                  <c:v>370</c:v>
                </c:pt>
                <c:pt idx="1">
                  <c:v>483</c:v>
                </c:pt>
                <c:pt idx="2">
                  <c:v>412</c:v>
                </c:pt>
                <c:pt idx="3">
                  <c:v>488</c:v>
                </c:pt>
                <c:pt idx="4">
                  <c:v>533</c:v>
                </c:pt>
                <c:pt idx="5">
                  <c:v>429</c:v>
                </c:pt>
                <c:pt idx="6">
                  <c:v>449</c:v>
                </c:pt>
                <c:pt idx="7">
                  <c:v>366</c:v>
                </c:pt>
                <c:pt idx="8">
                  <c:v>447</c:v>
                </c:pt>
                <c:pt idx="9">
                  <c:v>527</c:v>
                </c:pt>
                <c:pt idx="10">
                  <c:v>439</c:v>
                </c:pt>
                <c:pt idx="11">
                  <c:v>332</c:v>
                </c:pt>
                <c:pt idx="12">
                  <c:v>452</c:v>
                </c:pt>
                <c:pt idx="13">
                  <c:v>521</c:v>
                </c:pt>
                <c:pt idx="14">
                  <c:v>484</c:v>
                </c:pt>
                <c:pt idx="15">
                  <c:v>302</c:v>
                </c:pt>
                <c:pt idx="16">
                  <c:v>264</c:v>
                </c:pt>
                <c:pt idx="17">
                  <c:v>118</c:v>
                </c:pt>
                <c:pt idx="18">
                  <c:v>84</c:v>
                </c:pt>
                <c:pt idx="19">
                  <c:v>36</c:v>
                </c:pt>
                <c:pt idx="20">
                  <c:v>21</c:v>
                </c:pt>
                <c:pt idx="21">
                  <c:v>45</c:v>
                </c:pt>
                <c:pt idx="22">
                  <c:v>87</c:v>
                </c:pt>
                <c:pt idx="23">
                  <c:v>176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54176"/>
        <c:axId val="131956096"/>
      </c:lineChart>
      <c:catAx>
        <c:axId val="131954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956096"/>
        <c:crosses val="autoZero"/>
        <c:auto val="1"/>
        <c:lblAlgn val="ctr"/>
        <c:lblOffset val="100"/>
        <c:noMultiLvlLbl val="0"/>
      </c:catAx>
      <c:valAx>
        <c:axId val="131956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95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MUKONO-KATOSI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MUKONO-KATOSI 24hr'!$C$107:$N$107</c:f>
              <c:numCache>
                <c:formatCode>0.0%</c:formatCode>
                <c:ptCount val="12"/>
                <c:pt idx="0">
                  <c:v>0.15130324221233313</c:v>
                </c:pt>
                <c:pt idx="1">
                  <c:v>2.6827717736808646E-2</c:v>
                </c:pt>
                <c:pt idx="2">
                  <c:v>3.1786395422759059E-2</c:v>
                </c:pt>
                <c:pt idx="3">
                  <c:v>6.3572790845518118E-2</c:v>
                </c:pt>
                <c:pt idx="4">
                  <c:v>2.1614748887476159E-3</c:v>
                </c:pt>
                <c:pt idx="5">
                  <c:v>1.2714558169103624E-4</c:v>
                </c:pt>
                <c:pt idx="6">
                  <c:v>5.162110616656071E-2</c:v>
                </c:pt>
                <c:pt idx="7">
                  <c:v>9.7902097902097911E-3</c:v>
                </c:pt>
                <c:pt idx="8">
                  <c:v>3.5600762873490145E-3</c:v>
                </c:pt>
                <c:pt idx="9">
                  <c:v>3.4329307056579785E-3</c:v>
                </c:pt>
                <c:pt idx="10">
                  <c:v>0.65581691036236489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MUKONO-KATOSI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MUKONO-KATOSI 24hr'!$C$108:$N$108</c:f>
              <c:numCache>
                <c:formatCode>0.00%</c:formatCode>
                <c:ptCount val="12"/>
                <c:pt idx="0">
                  <c:v>0.43960103435537495</c:v>
                </c:pt>
                <c:pt idx="1">
                  <c:v>7.7946065755448837E-2</c:v>
                </c:pt>
                <c:pt idx="2">
                  <c:v>9.2353158478019948E-2</c:v>
                </c:pt>
                <c:pt idx="3">
                  <c:v>0.1847063169560399</c:v>
                </c:pt>
                <c:pt idx="4">
                  <c:v>6.2800147765053561E-3</c:v>
                </c:pt>
                <c:pt idx="5">
                  <c:v>3.6941263391207979E-4</c:v>
                </c:pt>
                <c:pt idx="6">
                  <c:v>0.14998152936830439</c:v>
                </c:pt>
                <c:pt idx="7">
                  <c:v>2.8444772811230146E-2</c:v>
                </c:pt>
                <c:pt idx="8">
                  <c:v>1.0343553749538234E-2</c:v>
                </c:pt>
                <c:pt idx="9">
                  <c:v>9.9741411156261551E-3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'2.11 KATOSI-MUKONO 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'2.11 KATOSI-MUKONO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KATOSI-MUKONO 24hr'!$AE$10:$AE$33</c:f>
              <c:numCache>
                <c:formatCode>0</c:formatCode>
                <c:ptCount val="24"/>
                <c:pt idx="0">
                  <c:v>88</c:v>
                </c:pt>
                <c:pt idx="1">
                  <c:v>118</c:v>
                </c:pt>
                <c:pt idx="2">
                  <c:v>100</c:v>
                </c:pt>
                <c:pt idx="3">
                  <c:v>140</c:v>
                </c:pt>
                <c:pt idx="4">
                  <c:v>147</c:v>
                </c:pt>
                <c:pt idx="5">
                  <c:v>134</c:v>
                </c:pt>
                <c:pt idx="6">
                  <c:v>144</c:v>
                </c:pt>
                <c:pt idx="7">
                  <c:v>143</c:v>
                </c:pt>
                <c:pt idx="8">
                  <c:v>203</c:v>
                </c:pt>
                <c:pt idx="9">
                  <c:v>153</c:v>
                </c:pt>
                <c:pt idx="10">
                  <c:v>226</c:v>
                </c:pt>
                <c:pt idx="11">
                  <c:v>134</c:v>
                </c:pt>
                <c:pt idx="12">
                  <c:v>206</c:v>
                </c:pt>
                <c:pt idx="13">
                  <c:v>234</c:v>
                </c:pt>
                <c:pt idx="14">
                  <c:v>146</c:v>
                </c:pt>
                <c:pt idx="15">
                  <c:v>48</c:v>
                </c:pt>
                <c:pt idx="16">
                  <c:v>62</c:v>
                </c:pt>
                <c:pt idx="17">
                  <c:v>21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37</c:v>
                </c:pt>
                <c:pt idx="22">
                  <c:v>69</c:v>
                </c:pt>
                <c:pt idx="23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'2.11 KATOSI-MUKONO 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'2.11 KATOSI-MUKONO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KATOSI-MUKONO 24hr'!$AF$10:$AF$33</c:f>
              <c:numCache>
                <c:formatCode>0</c:formatCode>
                <c:ptCount val="24"/>
                <c:pt idx="0">
                  <c:v>386</c:v>
                </c:pt>
                <c:pt idx="1">
                  <c:v>365</c:v>
                </c:pt>
                <c:pt idx="2">
                  <c:v>347</c:v>
                </c:pt>
                <c:pt idx="3">
                  <c:v>353</c:v>
                </c:pt>
                <c:pt idx="4">
                  <c:v>418</c:v>
                </c:pt>
                <c:pt idx="5">
                  <c:v>298</c:v>
                </c:pt>
                <c:pt idx="6">
                  <c:v>356</c:v>
                </c:pt>
                <c:pt idx="7">
                  <c:v>205</c:v>
                </c:pt>
                <c:pt idx="8">
                  <c:v>410</c:v>
                </c:pt>
                <c:pt idx="9">
                  <c:v>346</c:v>
                </c:pt>
                <c:pt idx="10">
                  <c:v>481</c:v>
                </c:pt>
                <c:pt idx="11">
                  <c:v>301</c:v>
                </c:pt>
                <c:pt idx="12">
                  <c:v>541</c:v>
                </c:pt>
                <c:pt idx="13">
                  <c:v>526</c:v>
                </c:pt>
                <c:pt idx="14">
                  <c:v>498</c:v>
                </c:pt>
                <c:pt idx="15">
                  <c:v>179</c:v>
                </c:pt>
                <c:pt idx="16">
                  <c:v>192</c:v>
                </c:pt>
                <c:pt idx="17">
                  <c:v>61</c:v>
                </c:pt>
                <c:pt idx="18">
                  <c:v>24</c:v>
                </c:pt>
                <c:pt idx="19">
                  <c:v>24</c:v>
                </c:pt>
                <c:pt idx="20">
                  <c:v>25</c:v>
                </c:pt>
                <c:pt idx="21">
                  <c:v>71</c:v>
                </c:pt>
                <c:pt idx="22">
                  <c:v>172</c:v>
                </c:pt>
                <c:pt idx="23">
                  <c:v>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68000"/>
        <c:axId val="131569920"/>
      </c:lineChart>
      <c:catAx>
        <c:axId val="131568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569920"/>
        <c:crosses val="autoZero"/>
        <c:auto val="1"/>
        <c:lblAlgn val="ctr"/>
        <c:lblOffset val="100"/>
        <c:noMultiLvlLbl val="0"/>
      </c:catAx>
      <c:valAx>
        <c:axId val="131569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5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KATOSI-MUKONO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KATOSI-MUKONO 24hr'!$C$107:$N$107</c:f>
              <c:numCache>
                <c:formatCode>0.0%</c:formatCode>
                <c:ptCount val="12"/>
                <c:pt idx="0">
                  <c:v>0.10056113408151211</c:v>
                </c:pt>
                <c:pt idx="1">
                  <c:v>9.1110454813939756E-2</c:v>
                </c:pt>
                <c:pt idx="2">
                  <c:v>3.3963378617838158E-2</c:v>
                </c:pt>
                <c:pt idx="3">
                  <c:v>8.0478440637920853E-2</c:v>
                </c:pt>
                <c:pt idx="4">
                  <c:v>5.9066745422327229E-3</c:v>
                </c:pt>
                <c:pt idx="5">
                  <c:v>2.9533372711163615E-4</c:v>
                </c:pt>
                <c:pt idx="6">
                  <c:v>4.5333727111636149E-2</c:v>
                </c:pt>
                <c:pt idx="7">
                  <c:v>1.7424689899586534E-2</c:v>
                </c:pt>
                <c:pt idx="8">
                  <c:v>7.8263437684583572E-3</c:v>
                </c:pt>
                <c:pt idx="9">
                  <c:v>5.1683402244536323E-3</c:v>
                </c:pt>
                <c:pt idx="10">
                  <c:v>0.61193148257531005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KATOSI-MUKONO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KATOSI-MUKONO 24hr'!$C$108:$N$108</c:f>
              <c:numCache>
                <c:formatCode>0.00%</c:formatCode>
                <c:ptCount val="12"/>
                <c:pt idx="0">
                  <c:v>0.2591324200913242</c:v>
                </c:pt>
                <c:pt idx="1">
                  <c:v>0.234779299847793</c:v>
                </c:pt>
                <c:pt idx="2">
                  <c:v>8.7519025875190254E-2</c:v>
                </c:pt>
                <c:pt idx="3">
                  <c:v>0.2073820395738204</c:v>
                </c:pt>
                <c:pt idx="4">
                  <c:v>1.5220700152207001E-2</c:v>
                </c:pt>
                <c:pt idx="5">
                  <c:v>7.6103500761035003E-4</c:v>
                </c:pt>
                <c:pt idx="6">
                  <c:v>0.11681887366818873</c:v>
                </c:pt>
                <c:pt idx="7">
                  <c:v>4.4901065449010652E-2</c:v>
                </c:pt>
                <c:pt idx="8">
                  <c:v>2.0167427701674276E-2</c:v>
                </c:pt>
                <c:pt idx="9">
                  <c:v>1.3318112633181126E-2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'3.11 MUKONO-KATOSI'!$AE$9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'3.11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MUKONO-KATOSI'!$AE$10:$AE$21</c:f>
              <c:numCache>
                <c:formatCode>0</c:formatCode>
                <c:ptCount val="12"/>
                <c:pt idx="0">
                  <c:v>99</c:v>
                </c:pt>
                <c:pt idx="1">
                  <c:v>112</c:v>
                </c:pt>
                <c:pt idx="2">
                  <c:v>202</c:v>
                </c:pt>
                <c:pt idx="3">
                  <c:v>185</c:v>
                </c:pt>
                <c:pt idx="4">
                  <c:v>246</c:v>
                </c:pt>
                <c:pt idx="5">
                  <c:v>286</c:v>
                </c:pt>
                <c:pt idx="6">
                  <c:v>244</c:v>
                </c:pt>
                <c:pt idx="7">
                  <c:v>245</c:v>
                </c:pt>
                <c:pt idx="8">
                  <c:v>248</c:v>
                </c:pt>
                <c:pt idx="9">
                  <c:v>202</c:v>
                </c:pt>
                <c:pt idx="10">
                  <c:v>168</c:v>
                </c:pt>
                <c:pt idx="11">
                  <c:v>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'3.11 MUKONO-KATOSI'!$AF$9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'3.11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MUKONO-KATOSI'!$AF$10:$AF$21</c:f>
              <c:numCache>
                <c:formatCode>0</c:formatCode>
                <c:ptCount val="12"/>
                <c:pt idx="0">
                  <c:v>266</c:v>
                </c:pt>
                <c:pt idx="1">
                  <c:v>409</c:v>
                </c:pt>
                <c:pt idx="2">
                  <c:v>521</c:v>
                </c:pt>
                <c:pt idx="3">
                  <c:v>467</c:v>
                </c:pt>
                <c:pt idx="4">
                  <c:v>646</c:v>
                </c:pt>
                <c:pt idx="5">
                  <c:v>646</c:v>
                </c:pt>
                <c:pt idx="6">
                  <c:v>590</c:v>
                </c:pt>
                <c:pt idx="7">
                  <c:v>726</c:v>
                </c:pt>
                <c:pt idx="8">
                  <c:v>666</c:v>
                </c:pt>
                <c:pt idx="9">
                  <c:v>718</c:v>
                </c:pt>
                <c:pt idx="10">
                  <c:v>599</c:v>
                </c:pt>
                <c:pt idx="11">
                  <c:v>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18528"/>
        <c:axId val="107741184"/>
      </c:lineChart>
      <c:catAx>
        <c:axId val="1077185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741184"/>
        <c:crosses val="autoZero"/>
        <c:auto val="1"/>
        <c:lblAlgn val="ctr"/>
        <c:lblOffset val="100"/>
        <c:noMultiLvlLbl val="0"/>
      </c:catAx>
      <c:valAx>
        <c:axId val="107741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71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'3.11 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'3.11 MUKONO-KATOSI'!$C$59:$N$59</c:f>
              <c:numCache>
                <c:formatCode>0.0%</c:formatCode>
                <c:ptCount val="12"/>
                <c:pt idx="0">
                  <c:v>0.1299549876579062</c:v>
                </c:pt>
                <c:pt idx="1">
                  <c:v>7.3907361695948887E-2</c:v>
                </c:pt>
                <c:pt idx="2">
                  <c:v>2.6717003049223174E-2</c:v>
                </c:pt>
                <c:pt idx="3">
                  <c:v>5.6483229272542471E-2</c:v>
                </c:pt>
                <c:pt idx="4">
                  <c:v>4.7916364164367646E-3</c:v>
                </c:pt>
                <c:pt idx="5">
                  <c:v>0</c:v>
                </c:pt>
                <c:pt idx="6">
                  <c:v>4.5447945404385071E-2</c:v>
                </c:pt>
                <c:pt idx="7">
                  <c:v>7.5504573834761146E-3</c:v>
                </c:pt>
                <c:pt idx="8">
                  <c:v>4.5012342093799914E-3</c:v>
                </c:pt>
                <c:pt idx="9">
                  <c:v>1.4520110352838681E-3</c:v>
                </c:pt>
                <c:pt idx="10">
                  <c:v>0.64919413387541747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'3.11 MUKONO-KATOSI'!$S$9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'3.11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MUKONO-KATOSI'!$S$10:$S$21</c:f>
              <c:numCache>
                <c:formatCode>0</c:formatCode>
                <c:ptCount val="12"/>
                <c:pt idx="0">
                  <c:v>29</c:v>
                </c:pt>
                <c:pt idx="1">
                  <c:v>41</c:v>
                </c:pt>
                <c:pt idx="2">
                  <c:v>68</c:v>
                </c:pt>
                <c:pt idx="3">
                  <c:v>67</c:v>
                </c:pt>
                <c:pt idx="4">
                  <c:v>94</c:v>
                </c:pt>
                <c:pt idx="5">
                  <c:v>109</c:v>
                </c:pt>
                <c:pt idx="6">
                  <c:v>92</c:v>
                </c:pt>
                <c:pt idx="7">
                  <c:v>98</c:v>
                </c:pt>
                <c:pt idx="8">
                  <c:v>84</c:v>
                </c:pt>
                <c:pt idx="9">
                  <c:v>88</c:v>
                </c:pt>
                <c:pt idx="10">
                  <c:v>62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'3.11 MUKONO-KATOSI'!$T$9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'3.11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MUKONO-KATOSI'!$T$10:$T$21</c:f>
              <c:numCache>
                <c:formatCode>0</c:formatCode>
                <c:ptCount val="12"/>
                <c:pt idx="0">
                  <c:v>19</c:v>
                </c:pt>
                <c:pt idx="1">
                  <c:v>14</c:v>
                </c:pt>
                <c:pt idx="2">
                  <c:v>34</c:v>
                </c:pt>
                <c:pt idx="3">
                  <c:v>39</c:v>
                </c:pt>
                <c:pt idx="4">
                  <c:v>57</c:v>
                </c:pt>
                <c:pt idx="5">
                  <c:v>79</c:v>
                </c:pt>
                <c:pt idx="6">
                  <c:v>72</c:v>
                </c:pt>
                <c:pt idx="7">
                  <c:v>51</c:v>
                </c:pt>
                <c:pt idx="8">
                  <c:v>59</c:v>
                </c:pt>
                <c:pt idx="9">
                  <c:v>32</c:v>
                </c:pt>
                <c:pt idx="10">
                  <c:v>26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'3.11 MUKONO-KATOSI'!$U$9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'3.11 MUKONO-KATOSI'!$U$10:$U$21</c:f>
              <c:numCache>
                <c:formatCode>0</c:formatCode>
                <c:ptCount val="12"/>
                <c:pt idx="0">
                  <c:v>8</c:v>
                </c:pt>
                <c:pt idx="1">
                  <c:v>14</c:v>
                </c:pt>
                <c:pt idx="2">
                  <c:v>16</c:v>
                </c:pt>
                <c:pt idx="3">
                  <c:v>17</c:v>
                </c:pt>
                <c:pt idx="4">
                  <c:v>14</c:v>
                </c:pt>
                <c:pt idx="5">
                  <c:v>18</c:v>
                </c:pt>
                <c:pt idx="6">
                  <c:v>14</c:v>
                </c:pt>
                <c:pt idx="7">
                  <c:v>25</c:v>
                </c:pt>
                <c:pt idx="8">
                  <c:v>20</c:v>
                </c:pt>
                <c:pt idx="9">
                  <c:v>12</c:v>
                </c:pt>
                <c:pt idx="10">
                  <c:v>10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'3.11 MUKONO-KATOSI'!$V$9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'3.11 MUKONO-KATOSI'!$V$10:$V$21</c:f>
              <c:numCache>
                <c:formatCode>0</c:formatCode>
                <c:ptCount val="12"/>
                <c:pt idx="0">
                  <c:v>15</c:v>
                </c:pt>
                <c:pt idx="1">
                  <c:v>24</c:v>
                </c:pt>
                <c:pt idx="2">
                  <c:v>37</c:v>
                </c:pt>
                <c:pt idx="3">
                  <c:v>31</c:v>
                </c:pt>
                <c:pt idx="4">
                  <c:v>39</c:v>
                </c:pt>
                <c:pt idx="5">
                  <c:v>34</c:v>
                </c:pt>
                <c:pt idx="6">
                  <c:v>36</c:v>
                </c:pt>
                <c:pt idx="7">
                  <c:v>35</c:v>
                </c:pt>
                <c:pt idx="8">
                  <c:v>30</c:v>
                </c:pt>
                <c:pt idx="9">
                  <c:v>31</c:v>
                </c:pt>
                <c:pt idx="10">
                  <c:v>35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'3.11 MUKONO-KATOSI'!$W$9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'3.11 MUKONO-KATOSI'!$W$10:$W$21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'3.11 MUKONO-KATOSI'!$X$9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'3.11 MUKONO-KATOSI'!$X$10:$X$21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'3.11 MUKONO-KATOSI'!$Y$9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MUKONO-KATOSI'!$Y$10:$Y$21</c:f>
              <c:numCache>
                <c:formatCode>0</c:formatCode>
                <c:ptCount val="12"/>
                <c:pt idx="0">
                  <c:v>18</c:v>
                </c:pt>
                <c:pt idx="1">
                  <c:v>13</c:v>
                </c:pt>
                <c:pt idx="2">
                  <c:v>30</c:v>
                </c:pt>
                <c:pt idx="3">
                  <c:v>16</c:v>
                </c:pt>
                <c:pt idx="4">
                  <c:v>37</c:v>
                </c:pt>
                <c:pt idx="5">
                  <c:v>33</c:v>
                </c:pt>
                <c:pt idx="6">
                  <c:v>20</c:v>
                </c:pt>
                <c:pt idx="7">
                  <c:v>21</c:v>
                </c:pt>
                <c:pt idx="8">
                  <c:v>41</c:v>
                </c:pt>
                <c:pt idx="9">
                  <c:v>31</c:v>
                </c:pt>
                <c:pt idx="10">
                  <c:v>32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'3.11 MUKONO-KATOSI'!$Z$9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MUKONO-KATOSI'!$Z$10:$Z$21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  <c:pt idx="6">
                  <c:v>4</c:v>
                </c:pt>
                <c:pt idx="7">
                  <c:v>5</c:v>
                </c:pt>
                <c:pt idx="8">
                  <c:v>9</c:v>
                </c:pt>
                <c:pt idx="9">
                  <c:v>4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'3.11 MUKONO-KATOSI'!$AA$9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MUKONO-KATOSI'!$AA$10:$AA$21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'3.11 MUKONO-KATOSI'!$AB$9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MUKONO-KATOSI'!$AB$10:$AB$21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'3.11 MUKONO-KATOSI'!$AC$9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MUKONO-KATOSI'!$AC$10:$AC$21</c:f>
              <c:numCache>
                <c:formatCode>0</c:formatCode>
                <c:ptCount val="12"/>
                <c:pt idx="0">
                  <c:v>167</c:v>
                </c:pt>
                <c:pt idx="1">
                  <c:v>297</c:v>
                </c:pt>
                <c:pt idx="2">
                  <c:v>319</c:v>
                </c:pt>
                <c:pt idx="3">
                  <c:v>282</c:v>
                </c:pt>
                <c:pt idx="4">
                  <c:v>400</c:v>
                </c:pt>
                <c:pt idx="5">
                  <c:v>360</c:v>
                </c:pt>
                <c:pt idx="6">
                  <c:v>346</c:v>
                </c:pt>
                <c:pt idx="7">
                  <c:v>481</c:v>
                </c:pt>
                <c:pt idx="8">
                  <c:v>418</c:v>
                </c:pt>
                <c:pt idx="9">
                  <c:v>516</c:v>
                </c:pt>
                <c:pt idx="10">
                  <c:v>431</c:v>
                </c:pt>
                <c:pt idx="11">
                  <c:v>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'3.11 MUKONO-KATOSI'!$AD$9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MUKONO-KATOSI'!$AD$10:$AD$21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78112"/>
        <c:axId val="107988096"/>
      </c:lineChart>
      <c:catAx>
        <c:axId val="1079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988096"/>
        <c:crosses val="autoZero"/>
        <c:auto val="1"/>
        <c:lblAlgn val="ctr"/>
        <c:lblOffset val="100"/>
        <c:noMultiLvlLbl val="0"/>
      </c:catAx>
      <c:valAx>
        <c:axId val="1079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97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'3.11 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'3.11 MUKONO-KATOSI'!$C$60:$N$60</c:f>
              <c:numCache>
                <c:formatCode>0.00%</c:formatCode>
                <c:ptCount val="12"/>
                <c:pt idx="0">
                  <c:v>0.37044701986754969</c:v>
                </c:pt>
                <c:pt idx="1">
                  <c:v>0.21067880794701987</c:v>
                </c:pt>
                <c:pt idx="2">
                  <c:v>7.6158940397350994E-2</c:v>
                </c:pt>
                <c:pt idx="3">
                  <c:v>0.16100993377483444</c:v>
                </c:pt>
                <c:pt idx="4">
                  <c:v>1.3658940397350994E-2</c:v>
                </c:pt>
                <c:pt idx="5">
                  <c:v>0</c:v>
                </c:pt>
                <c:pt idx="6">
                  <c:v>0.12955298013245034</c:v>
                </c:pt>
                <c:pt idx="7">
                  <c:v>2.1523178807947019E-2</c:v>
                </c:pt>
                <c:pt idx="8">
                  <c:v>1.2831125827814569E-2</c:v>
                </c:pt>
                <c:pt idx="9">
                  <c:v>4.1390728476821195E-3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'3.11 KATOSI-MUKONO'!$AE$9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'3.11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KATOSI-MUKONO'!$AE$10:$AE$21</c:f>
              <c:numCache>
                <c:formatCode>0</c:formatCode>
                <c:ptCount val="12"/>
                <c:pt idx="0">
                  <c:v>101</c:v>
                </c:pt>
                <c:pt idx="1">
                  <c:v>87</c:v>
                </c:pt>
                <c:pt idx="2">
                  <c:v>78</c:v>
                </c:pt>
                <c:pt idx="3">
                  <c:v>114</c:v>
                </c:pt>
                <c:pt idx="4">
                  <c:v>131</c:v>
                </c:pt>
                <c:pt idx="5">
                  <c:v>151</c:v>
                </c:pt>
                <c:pt idx="6">
                  <c:v>157</c:v>
                </c:pt>
                <c:pt idx="7">
                  <c:v>116</c:v>
                </c:pt>
                <c:pt idx="8">
                  <c:v>193</c:v>
                </c:pt>
                <c:pt idx="9">
                  <c:v>336</c:v>
                </c:pt>
                <c:pt idx="10">
                  <c:v>311</c:v>
                </c:pt>
                <c:pt idx="11">
                  <c:v>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'3.11 KATOSI-MUKONO'!$AF$9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'3.11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KATOSI-MUKONO'!$AF$10:$AF$21</c:f>
              <c:numCache>
                <c:formatCode>0</c:formatCode>
                <c:ptCount val="12"/>
                <c:pt idx="0">
                  <c:v>185</c:v>
                </c:pt>
                <c:pt idx="1">
                  <c:v>364</c:v>
                </c:pt>
                <c:pt idx="2">
                  <c:v>411</c:v>
                </c:pt>
                <c:pt idx="3">
                  <c:v>469</c:v>
                </c:pt>
                <c:pt idx="4">
                  <c:v>486</c:v>
                </c:pt>
                <c:pt idx="5">
                  <c:v>522</c:v>
                </c:pt>
                <c:pt idx="6">
                  <c:v>486</c:v>
                </c:pt>
                <c:pt idx="7">
                  <c:v>457</c:v>
                </c:pt>
                <c:pt idx="8">
                  <c:v>567</c:v>
                </c:pt>
                <c:pt idx="9">
                  <c:v>636</c:v>
                </c:pt>
                <c:pt idx="10">
                  <c:v>681</c:v>
                </c:pt>
                <c:pt idx="11">
                  <c:v>789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86784"/>
        <c:axId val="108088704"/>
      </c:lineChart>
      <c:catAx>
        <c:axId val="108086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088704"/>
        <c:crosses val="autoZero"/>
        <c:auto val="1"/>
        <c:lblAlgn val="ctr"/>
        <c:lblOffset val="100"/>
        <c:noMultiLvlLbl val="0"/>
      </c:catAx>
      <c:valAx>
        <c:axId val="108088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08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'3.11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'3.11 KATOSI-MUKONO'!$C$59:$N$59</c:f>
              <c:numCache>
                <c:formatCode>0.0%</c:formatCode>
                <c:ptCount val="12"/>
                <c:pt idx="0">
                  <c:v>0.13447877085742607</c:v>
                </c:pt>
                <c:pt idx="1">
                  <c:v>4.9231785891293574E-2</c:v>
                </c:pt>
                <c:pt idx="2">
                  <c:v>2.3459441599207004E-2</c:v>
                </c:pt>
                <c:pt idx="3">
                  <c:v>8.0455972245167692E-2</c:v>
                </c:pt>
                <c:pt idx="4">
                  <c:v>4.2953907153477616E-3</c:v>
                </c:pt>
                <c:pt idx="5">
                  <c:v>0</c:v>
                </c:pt>
                <c:pt idx="6">
                  <c:v>5.4353213282669753E-2</c:v>
                </c:pt>
                <c:pt idx="7">
                  <c:v>7.9299520898727903E-3</c:v>
                </c:pt>
                <c:pt idx="8">
                  <c:v>1.4868660168511482E-3</c:v>
                </c:pt>
                <c:pt idx="9">
                  <c:v>4.9562200561704939E-4</c:v>
                </c:pt>
                <c:pt idx="10">
                  <c:v>0.64381298529654718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'3.11 KATOSI-MUKONO'!$S$9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'3.11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KATOSI-MUKONO'!$S$10:$S$21</c:f>
              <c:numCache>
                <c:formatCode>0</c:formatCode>
                <c:ptCount val="12"/>
                <c:pt idx="0">
                  <c:v>31</c:v>
                </c:pt>
                <c:pt idx="1">
                  <c:v>23</c:v>
                </c:pt>
                <c:pt idx="2">
                  <c:v>34</c:v>
                </c:pt>
                <c:pt idx="3">
                  <c:v>48</c:v>
                </c:pt>
                <c:pt idx="4">
                  <c:v>38</c:v>
                </c:pt>
                <c:pt idx="5">
                  <c:v>41</c:v>
                </c:pt>
                <c:pt idx="6">
                  <c:v>57</c:v>
                </c:pt>
                <c:pt idx="7">
                  <c:v>38</c:v>
                </c:pt>
                <c:pt idx="8">
                  <c:v>91</c:v>
                </c:pt>
                <c:pt idx="9">
                  <c:v>105</c:v>
                </c:pt>
                <c:pt idx="10">
                  <c:v>133</c:v>
                </c:pt>
                <c:pt idx="11">
                  <c:v>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'3.11 KATOSI-MUKONO'!$T$9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'3.11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KATOSI-MUKONO'!$T$10:$T$21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18</c:v>
                </c:pt>
                <c:pt idx="3">
                  <c:v>16</c:v>
                </c:pt>
                <c:pt idx="4">
                  <c:v>11</c:v>
                </c:pt>
                <c:pt idx="5">
                  <c:v>13</c:v>
                </c:pt>
                <c:pt idx="6">
                  <c:v>25</c:v>
                </c:pt>
                <c:pt idx="7">
                  <c:v>16</c:v>
                </c:pt>
                <c:pt idx="8">
                  <c:v>18</c:v>
                </c:pt>
                <c:pt idx="9">
                  <c:v>38</c:v>
                </c:pt>
                <c:pt idx="10">
                  <c:v>51</c:v>
                </c:pt>
                <c:pt idx="11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'3.11 KATOSI-MUKONO'!$U$9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'3.11 KATOSI-MUKONO'!$U$10:$U$21</c:f>
              <c:numCache>
                <c:formatCode>0</c:formatCode>
                <c:ptCount val="12"/>
                <c:pt idx="0">
                  <c:v>13</c:v>
                </c:pt>
                <c:pt idx="1">
                  <c:v>8</c:v>
                </c:pt>
                <c:pt idx="2">
                  <c:v>2</c:v>
                </c:pt>
                <c:pt idx="3">
                  <c:v>4</c:v>
                </c:pt>
                <c:pt idx="4">
                  <c:v>9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21</c:v>
                </c:pt>
                <c:pt idx="9">
                  <c:v>23</c:v>
                </c:pt>
                <c:pt idx="10">
                  <c:v>11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'3.11 KATOSI-MUKONO'!$V$9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'3.11 KATOSI-MUKONO'!$V$10:$V$21</c:f>
              <c:numCache>
                <c:formatCode>0</c:formatCode>
                <c:ptCount val="12"/>
                <c:pt idx="0">
                  <c:v>25</c:v>
                </c:pt>
                <c:pt idx="1">
                  <c:v>33</c:v>
                </c:pt>
                <c:pt idx="2">
                  <c:v>12</c:v>
                </c:pt>
                <c:pt idx="3">
                  <c:v>18</c:v>
                </c:pt>
                <c:pt idx="4">
                  <c:v>49</c:v>
                </c:pt>
                <c:pt idx="5">
                  <c:v>37</c:v>
                </c:pt>
                <c:pt idx="6">
                  <c:v>32</c:v>
                </c:pt>
                <c:pt idx="7">
                  <c:v>20</c:v>
                </c:pt>
                <c:pt idx="8">
                  <c:v>41</c:v>
                </c:pt>
                <c:pt idx="9">
                  <c:v>77</c:v>
                </c:pt>
                <c:pt idx="10">
                  <c:v>70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'3.11 KATOSI-MUKONO'!$W$9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'3.11 KATOSI-MUKONO'!$W$10:$W$21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'3.11 KATOSI-MUKONO'!$X$9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'3.11 KATOSI-MUKONO'!$X$10:$X$21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'3.11 KATOSI-MUKONO'!$Y$9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KATOSI-MUKONO'!$Y$10:$Y$21</c:f>
              <c:numCache>
                <c:formatCode>0</c:formatCode>
                <c:ptCount val="12"/>
                <c:pt idx="0">
                  <c:v>20</c:v>
                </c:pt>
                <c:pt idx="1">
                  <c:v>15</c:v>
                </c:pt>
                <c:pt idx="2">
                  <c:v>7</c:v>
                </c:pt>
                <c:pt idx="3">
                  <c:v>16</c:v>
                </c:pt>
                <c:pt idx="4">
                  <c:v>18</c:v>
                </c:pt>
                <c:pt idx="5">
                  <c:v>27</c:v>
                </c:pt>
                <c:pt idx="6">
                  <c:v>25</c:v>
                </c:pt>
                <c:pt idx="7">
                  <c:v>25</c:v>
                </c:pt>
                <c:pt idx="8">
                  <c:v>21</c:v>
                </c:pt>
                <c:pt idx="9">
                  <c:v>91</c:v>
                </c:pt>
                <c:pt idx="10">
                  <c:v>38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'3.11 KATOSI-MUKONO'!$Z$9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KATOSI-MUKONO'!$Z$10:$Z$21</c:f>
              <c:numCache>
                <c:formatCode>0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  <c:pt idx="5">
                  <c:v>13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'3.11 KATOSI-MUKONO'!$AA$9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KATOSI-MUKONO'!$AA$10:$AA$21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'3.11 KATOSI-MUKONO'!$AB$9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KATOSI-MUKONO'!$AB$10:$AB$21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'3.11 KATOSI-MUKONO'!$AC$9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KATOSI-MUKONO'!$AC$10:$AC$21</c:f>
              <c:numCache>
                <c:formatCode>0</c:formatCode>
                <c:ptCount val="12"/>
                <c:pt idx="0">
                  <c:v>84</c:v>
                </c:pt>
                <c:pt idx="1">
                  <c:v>277</c:v>
                </c:pt>
                <c:pt idx="2">
                  <c:v>333</c:v>
                </c:pt>
                <c:pt idx="3">
                  <c:v>355</c:v>
                </c:pt>
                <c:pt idx="4">
                  <c:v>355</c:v>
                </c:pt>
                <c:pt idx="5">
                  <c:v>371</c:v>
                </c:pt>
                <c:pt idx="6">
                  <c:v>329</c:v>
                </c:pt>
                <c:pt idx="7">
                  <c:v>341</c:v>
                </c:pt>
                <c:pt idx="8">
                  <c:v>374</c:v>
                </c:pt>
                <c:pt idx="9">
                  <c:v>300</c:v>
                </c:pt>
                <c:pt idx="10">
                  <c:v>370</c:v>
                </c:pt>
                <c:pt idx="11">
                  <c:v>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'3.11 KATOSI-MUKONO'!$AD$9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KATOSI-MUKONO'!$AD$10:$AD$21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89024"/>
        <c:axId val="108307200"/>
      </c:lineChart>
      <c:catAx>
        <c:axId val="10828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307200"/>
        <c:crosses val="autoZero"/>
        <c:auto val="1"/>
        <c:lblAlgn val="ctr"/>
        <c:lblOffset val="100"/>
        <c:noMultiLvlLbl val="0"/>
      </c:catAx>
      <c:valAx>
        <c:axId val="1083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8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'3.11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'3.11 KATOSI-MUKONO'!$C$60:$N$60</c:f>
              <c:numCache>
                <c:formatCode>0.00%</c:formatCode>
                <c:ptCount val="12"/>
                <c:pt idx="0">
                  <c:v>0.37755102040816324</c:v>
                </c:pt>
                <c:pt idx="1">
                  <c:v>0.13821892393320964</c:v>
                </c:pt>
                <c:pt idx="2">
                  <c:v>6.5862708719851573E-2</c:v>
                </c:pt>
                <c:pt idx="3">
                  <c:v>0.22588126159554731</c:v>
                </c:pt>
                <c:pt idx="4">
                  <c:v>1.2059369202226345E-2</c:v>
                </c:pt>
                <c:pt idx="5">
                  <c:v>0</c:v>
                </c:pt>
                <c:pt idx="6">
                  <c:v>0.15259740259740259</c:v>
                </c:pt>
                <c:pt idx="7">
                  <c:v>2.2263450834879406E-2</c:v>
                </c:pt>
                <c:pt idx="8">
                  <c:v>4.1743970315398886E-3</c:v>
                </c:pt>
                <c:pt idx="9">
                  <c:v>1.3914656771799629E-3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'4.11 MUKONO-KATOSI'!$AE$9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'4.11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MUKONO-KATOSI'!$AE$10:$AE$21</c:f>
              <c:numCache>
                <c:formatCode>0</c:formatCode>
                <c:ptCount val="12"/>
                <c:pt idx="0">
                  <c:v>138</c:v>
                </c:pt>
                <c:pt idx="1">
                  <c:v>174</c:v>
                </c:pt>
                <c:pt idx="2">
                  <c:v>184</c:v>
                </c:pt>
                <c:pt idx="3">
                  <c:v>175</c:v>
                </c:pt>
                <c:pt idx="4">
                  <c:v>145</c:v>
                </c:pt>
                <c:pt idx="5">
                  <c:v>174</c:v>
                </c:pt>
                <c:pt idx="6">
                  <c:v>153</c:v>
                </c:pt>
                <c:pt idx="7">
                  <c:v>151</c:v>
                </c:pt>
                <c:pt idx="8">
                  <c:v>215</c:v>
                </c:pt>
                <c:pt idx="9">
                  <c:v>165</c:v>
                </c:pt>
                <c:pt idx="10">
                  <c:v>174</c:v>
                </c:pt>
                <c:pt idx="11">
                  <c:v>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'4.11 MUKONO-KATOSI'!$AF$9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'4.11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MUKONO-KATOSI'!$AF$10:$AF$21</c:f>
              <c:numCache>
                <c:formatCode>0</c:formatCode>
                <c:ptCount val="12"/>
                <c:pt idx="0">
                  <c:v>571</c:v>
                </c:pt>
                <c:pt idx="1">
                  <c:v>620</c:v>
                </c:pt>
                <c:pt idx="2">
                  <c:v>648</c:v>
                </c:pt>
                <c:pt idx="3">
                  <c:v>523</c:v>
                </c:pt>
                <c:pt idx="4">
                  <c:v>582</c:v>
                </c:pt>
                <c:pt idx="5">
                  <c:v>575</c:v>
                </c:pt>
                <c:pt idx="6">
                  <c:v>580</c:v>
                </c:pt>
                <c:pt idx="7">
                  <c:v>501</c:v>
                </c:pt>
                <c:pt idx="8">
                  <c:v>700</c:v>
                </c:pt>
                <c:pt idx="9">
                  <c:v>498</c:v>
                </c:pt>
                <c:pt idx="10">
                  <c:v>582</c:v>
                </c:pt>
                <c:pt idx="11">
                  <c:v>572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180608"/>
        <c:axId val="132002176"/>
      </c:lineChart>
      <c:catAx>
        <c:axId val="132180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002176"/>
        <c:crosses val="autoZero"/>
        <c:auto val="1"/>
        <c:lblAlgn val="ctr"/>
        <c:lblOffset val="100"/>
        <c:noMultiLvlLbl val="0"/>
      </c:catAx>
      <c:valAx>
        <c:axId val="132002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18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'4.11 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'4.11 MUKONO-KATOSI'!$C$59:$N$59</c:f>
              <c:numCache>
                <c:formatCode>0.0%</c:formatCode>
                <c:ptCount val="12"/>
                <c:pt idx="0">
                  <c:v>7.7675489067894135E-2</c:v>
                </c:pt>
                <c:pt idx="1">
                  <c:v>4.7324510932105872E-2</c:v>
                </c:pt>
                <c:pt idx="2">
                  <c:v>2.5172612197928653E-2</c:v>
                </c:pt>
                <c:pt idx="3">
                  <c:v>5.163981588032221E-2</c:v>
                </c:pt>
                <c:pt idx="4">
                  <c:v>3.0207134637514382E-3</c:v>
                </c:pt>
                <c:pt idx="5">
                  <c:v>1.4384349827387802E-4</c:v>
                </c:pt>
                <c:pt idx="6">
                  <c:v>5.4372842347525895E-2</c:v>
                </c:pt>
                <c:pt idx="7">
                  <c:v>1.6254315304948218E-2</c:v>
                </c:pt>
                <c:pt idx="8">
                  <c:v>7.1921749136939009E-3</c:v>
                </c:pt>
                <c:pt idx="9">
                  <c:v>6.0414269275028765E-3</c:v>
                </c:pt>
                <c:pt idx="10">
                  <c:v>0.71073072497123135</c:v>
                </c:pt>
                <c:pt idx="11">
                  <c:v>4.3153049482163404E-4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'4.11 MUKONO-KATOSI'!$S$9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'4.11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MUKONO-KATOSI'!$S$10:$S$21</c:f>
              <c:numCache>
                <c:formatCode>0</c:formatCode>
                <c:ptCount val="12"/>
                <c:pt idx="0">
                  <c:v>47</c:v>
                </c:pt>
                <c:pt idx="1">
                  <c:v>47</c:v>
                </c:pt>
                <c:pt idx="2">
                  <c:v>43</c:v>
                </c:pt>
                <c:pt idx="3">
                  <c:v>39</c:v>
                </c:pt>
                <c:pt idx="4">
                  <c:v>37</c:v>
                </c:pt>
                <c:pt idx="5">
                  <c:v>48</c:v>
                </c:pt>
                <c:pt idx="6">
                  <c:v>43</c:v>
                </c:pt>
                <c:pt idx="7">
                  <c:v>37</c:v>
                </c:pt>
                <c:pt idx="8">
                  <c:v>57</c:v>
                </c:pt>
                <c:pt idx="9">
                  <c:v>40</c:v>
                </c:pt>
                <c:pt idx="10">
                  <c:v>58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'4.11 MUKONO-KATOSI'!$T$9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'4.11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MUKONO-KATOSI'!$T$10:$T$21</c:f>
              <c:numCache>
                <c:formatCode>0</c:formatCode>
                <c:ptCount val="12"/>
                <c:pt idx="0">
                  <c:v>19</c:v>
                </c:pt>
                <c:pt idx="1">
                  <c:v>25</c:v>
                </c:pt>
                <c:pt idx="2">
                  <c:v>28</c:v>
                </c:pt>
                <c:pt idx="3">
                  <c:v>29</c:v>
                </c:pt>
                <c:pt idx="4">
                  <c:v>24</c:v>
                </c:pt>
                <c:pt idx="5">
                  <c:v>24</c:v>
                </c:pt>
                <c:pt idx="6">
                  <c:v>18</c:v>
                </c:pt>
                <c:pt idx="7">
                  <c:v>18</c:v>
                </c:pt>
                <c:pt idx="8">
                  <c:v>67</c:v>
                </c:pt>
                <c:pt idx="9">
                  <c:v>33</c:v>
                </c:pt>
                <c:pt idx="10">
                  <c:v>17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'4.11 MUKONO-KATOSI'!$U$9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'4.11 MUKONO-KATOSI'!$U$10:$U$21</c:f>
              <c:numCache>
                <c:formatCode>0</c:formatCode>
                <c:ptCount val="12"/>
                <c:pt idx="0">
                  <c:v>10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12</c:v>
                </c:pt>
                <c:pt idx="5">
                  <c:v>13</c:v>
                </c:pt>
                <c:pt idx="6">
                  <c:v>11</c:v>
                </c:pt>
                <c:pt idx="7">
                  <c:v>21</c:v>
                </c:pt>
                <c:pt idx="8">
                  <c:v>19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'4.11 MUKONO-KATOSI'!$V$9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'4.11 MUKONO-KATOSI'!$V$10:$V$21</c:f>
              <c:numCache>
                <c:formatCode>0</c:formatCode>
                <c:ptCount val="12"/>
                <c:pt idx="0">
                  <c:v>21</c:v>
                </c:pt>
                <c:pt idx="1">
                  <c:v>37</c:v>
                </c:pt>
                <c:pt idx="2">
                  <c:v>28</c:v>
                </c:pt>
                <c:pt idx="3">
                  <c:v>33</c:v>
                </c:pt>
                <c:pt idx="4">
                  <c:v>25</c:v>
                </c:pt>
                <c:pt idx="5">
                  <c:v>27</c:v>
                </c:pt>
                <c:pt idx="6">
                  <c:v>34</c:v>
                </c:pt>
                <c:pt idx="7">
                  <c:v>25</c:v>
                </c:pt>
                <c:pt idx="8">
                  <c:v>27</c:v>
                </c:pt>
                <c:pt idx="9">
                  <c:v>29</c:v>
                </c:pt>
                <c:pt idx="10">
                  <c:v>40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'4.11 MUKONO-KATOSI'!$W$9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'4.11 MUKONO-KATOSI'!$W$10:$W$21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'4.11 MUKONO-KATOSI'!$X$9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'4.11 MUKONO-KATOSI'!$X$10:$X$21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'4.11 MUKONO-KATOSI'!$Y$9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MUKONO-KATOSI'!$Y$10:$Y$21</c:f>
              <c:numCache>
                <c:formatCode>0</c:formatCode>
                <c:ptCount val="12"/>
                <c:pt idx="0">
                  <c:v>28</c:v>
                </c:pt>
                <c:pt idx="1">
                  <c:v>28</c:v>
                </c:pt>
                <c:pt idx="2">
                  <c:v>43</c:v>
                </c:pt>
                <c:pt idx="3">
                  <c:v>39</c:v>
                </c:pt>
                <c:pt idx="4">
                  <c:v>30</c:v>
                </c:pt>
                <c:pt idx="5">
                  <c:v>37</c:v>
                </c:pt>
                <c:pt idx="6">
                  <c:v>29</c:v>
                </c:pt>
                <c:pt idx="7">
                  <c:v>26</c:v>
                </c:pt>
                <c:pt idx="8">
                  <c:v>23</c:v>
                </c:pt>
                <c:pt idx="9">
                  <c:v>27</c:v>
                </c:pt>
                <c:pt idx="10">
                  <c:v>32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'4.11 MUKONO-KATOSI'!$Z$9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MUKONO-KATOSI'!$Z$10:$Z$21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15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'4.11 MUKONO-KATOSI'!$AA$9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MUKONO-KATOSI'!$AA$10:$AA$21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'4.11 MUKONO-KATOSI'!$AB$9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MUKONO-KATOSI'!$AB$10:$AB$21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'4.11 MUKONO-KATOSI'!$AC$9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MUKONO-KATOSI'!$AC$10:$AC$21</c:f>
              <c:numCache>
                <c:formatCode>0</c:formatCode>
                <c:ptCount val="12"/>
                <c:pt idx="0">
                  <c:v>433</c:v>
                </c:pt>
                <c:pt idx="1">
                  <c:v>446</c:v>
                </c:pt>
                <c:pt idx="2">
                  <c:v>464</c:v>
                </c:pt>
                <c:pt idx="3">
                  <c:v>348</c:v>
                </c:pt>
                <c:pt idx="4">
                  <c:v>437</c:v>
                </c:pt>
                <c:pt idx="5">
                  <c:v>401</c:v>
                </c:pt>
                <c:pt idx="6">
                  <c:v>427</c:v>
                </c:pt>
                <c:pt idx="7">
                  <c:v>350</c:v>
                </c:pt>
                <c:pt idx="8">
                  <c:v>485</c:v>
                </c:pt>
                <c:pt idx="9">
                  <c:v>333</c:v>
                </c:pt>
                <c:pt idx="10">
                  <c:v>408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'4.11 MUKONO-KATOSI'!$AD$9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MUKONO-KATOSI'!$AD$10:$AD$21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31232"/>
        <c:axId val="132252800"/>
      </c:lineChart>
      <c:catAx>
        <c:axId val="13243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252800"/>
        <c:crosses val="autoZero"/>
        <c:auto val="1"/>
        <c:lblAlgn val="ctr"/>
        <c:lblOffset val="100"/>
        <c:noMultiLvlLbl val="0"/>
      </c:catAx>
      <c:valAx>
        <c:axId val="1322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43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'4.11 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'4.11 MUKONO-KATOSI'!$C$60:$N$60</c:f>
              <c:numCache>
                <c:formatCode>0.00%</c:formatCode>
                <c:ptCount val="12"/>
                <c:pt idx="0">
                  <c:v>0.26852312282446544</c:v>
                </c:pt>
                <c:pt idx="1">
                  <c:v>0.1636001989060169</c:v>
                </c:pt>
                <c:pt idx="2">
                  <c:v>8.7021382396817504E-2</c:v>
                </c:pt>
                <c:pt idx="3">
                  <c:v>0.17851815017404277</c:v>
                </c:pt>
                <c:pt idx="4">
                  <c:v>1.04425658876181E-2</c:v>
                </c:pt>
                <c:pt idx="5">
                  <c:v>4.9726504226752855E-4</c:v>
                </c:pt>
                <c:pt idx="6">
                  <c:v>0.1879661859771258</c:v>
                </c:pt>
                <c:pt idx="7">
                  <c:v>5.6190949776230729E-2</c:v>
                </c:pt>
                <c:pt idx="8">
                  <c:v>2.4863252113376429E-2</c:v>
                </c:pt>
                <c:pt idx="9">
                  <c:v>2.0885131775236199E-2</c:v>
                </c:pt>
                <c:pt idx="11">
                  <c:v>1.4917951268025858E-3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'4.11 KATOSI-MUKONO'!$AE$9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'4.11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KATOSI-MUKONO'!$AE$10:$AE$21</c:f>
              <c:numCache>
                <c:formatCode>0</c:formatCode>
                <c:ptCount val="12"/>
                <c:pt idx="0">
                  <c:v>143</c:v>
                </c:pt>
                <c:pt idx="1">
                  <c:v>119</c:v>
                </c:pt>
                <c:pt idx="2">
                  <c:v>148</c:v>
                </c:pt>
                <c:pt idx="3">
                  <c:v>128</c:v>
                </c:pt>
                <c:pt idx="4">
                  <c:v>121</c:v>
                </c:pt>
                <c:pt idx="5">
                  <c:v>140</c:v>
                </c:pt>
                <c:pt idx="6">
                  <c:v>131</c:v>
                </c:pt>
                <c:pt idx="7">
                  <c:v>132</c:v>
                </c:pt>
                <c:pt idx="8">
                  <c:v>172</c:v>
                </c:pt>
                <c:pt idx="9">
                  <c:v>117</c:v>
                </c:pt>
                <c:pt idx="10">
                  <c:v>186</c:v>
                </c:pt>
                <c:pt idx="11">
                  <c:v>217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'4.11 KATOSI-MUKONO'!$AF$9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'4.11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KATOSI-MUKONO'!$AF$10:$AF$21</c:f>
              <c:numCache>
                <c:formatCode>0</c:formatCode>
                <c:ptCount val="12"/>
                <c:pt idx="0">
                  <c:v>509</c:v>
                </c:pt>
                <c:pt idx="1">
                  <c:v>491</c:v>
                </c:pt>
                <c:pt idx="2">
                  <c:v>579</c:v>
                </c:pt>
                <c:pt idx="3">
                  <c:v>557</c:v>
                </c:pt>
                <c:pt idx="4">
                  <c:v>521</c:v>
                </c:pt>
                <c:pt idx="5">
                  <c:v>545</c:v>
                </c:pt>
                <c:pt idx="6">
                  <c:v>545</c:v>
                </c:pt>
                <c:pt idx="7">
                  <c:v>400</c:v>
                </c:pt>
                <c:pt idx="8">
                  <c:v>588</c:v>
                </c:pt>
                <c:pt idx="9">
                  <c:v>504</c:v>
                </c:pt>
                <c:pt idx="10">
                  <c:v>589</c:v>
                </c:pt>
                <c:pt idx="11">
                  <c:v>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83264"/>
        <c:axId val="132685184"/>
      </c:lineChart>
      <c:catAx>
        <c:axId val="1326832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685184"/>
        <c:crosses val="autoZero"/>
        <c:auto val="1"/>
        <c:lblAlgn val="ctr"/>
        <c:lblOffset val="100"/>
        <c:noMultiLvlLbl val="0"/>
      </c:catAx>
      <c:valAx>
        <c:axId val="132685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68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'4.11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'4.11 KATOSI-MUKONO'!$C$59:$N$59</c:f>
              <c:numCache>
                <c:formatCode>0.0%</c:formatCode>
                <c:ptCount val="12"/>
                <c:pt idx="0">
                  <c:v>7.6601023414482869E-2</c:v>
                </c:pt>
                <c:pt idx="1">
                  <c:v>2.8221429679020003E-2</c:v>
                </c:pt>
                <c:pt idx="2">
                  <c:v>2.2949294464258023E-2</c:v>
                </c:pt>
                <c:pt idx="3">
                  <c:v>6.8382694991471552E-2</c:v>
                </c:pt>
                <c:pt idx="4">
                  <c:v>4.496821212591099E-3</c:v>
                </c:pt>
                <c:pt idx="5">
                  <c:v>0</c:v>
                </c:pt>
                <c:pt idx="6">
                  <c:v>4.8224530935028688E-2</c:v>
                </c:pt>
                <c:pt idx="7">
                  <c:v>1.4730966041246706E-2</c:v>
                </c:pt>
                <c:pt idx="8">
                  <c:v>3.1012560086835167E-3</c:v>
                </c:pt>
                <c:pt idx="9">
                  <c:v>5.2721352147619789E-3</c:v>
                </c:pt>
                <c:pt idx="10">
                  <c:v>0.72801984803845554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'4.11 KATOSI-MUKONO'!$S$9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'4.11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KATOSI-MUKONO'!$S$10:$S$21</c:f>
              <c:numCache>
                <c:formatCode>0</c:formatCode>
                <c:ptCount val="12"/>
                <c:pt idx="0">
                  <c:v>53</c:v>
                </c:pt>
                <c:pt idx="1">
                  <c:v>33</c:v>
                </c:pt>
                <c:pt idx="2">
                  <c:v>39</c:v>
                </c:pt>
                <c:pt idx="3">
                  <c:v>41</c:v>
                </c:pt>
                <c:pt idx="4">
                  <c:v>27</c:v>
                </c:pt>
                <c:pt idx="5">
                  <c:v>38</c:v>
                </c:pt>
                <c:pt idx="6">
                  <c:v>37</c:v>
                </c:pt>
                <c:pt idx="7">
                  <c:v>40</c:v>
                </c:pt>
                <c:pt idx="8">
                  <c:v>42</c:v>
                </c:pt>
                <c:pt idx="9">
                  <c:v>28</c:v>
                </c:pt>
                <c:pt idx="10">
                  <c:v>60</c:v>
                </c:pt>
                <c:pt idx="11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'4.11 KATOSI-MUKONO'!$T$9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'4.11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KATOSI-MUKONO'!$T$10:$T$21</c:f>
              <c:numCache>
                <c:formatCode>0</c:formatCode>
                <c:ptCount val="12"/>
                <c:pt idx="0">
                  <c:v>12</c:v>
                </c:pt>
                <c:pt idx="1">
                  <c:v>15</c:v>
                </c:pt>
                <c:pt idx="2">
                  <c:v>11</c:v>
                </c:pt>
                <c:pt idx="3">
                  <c:v>8</c:v>
                </c:pt>
                <c:pt idx="4">
                  <c:v>14</c:v>
                </c:pt>
                <c:pt idx="5">
                  <c:v>15</c:v>
                </c:pt>
                <c:pt idx="6">
                  <c:v>10</c:v>
                </c:pt>
                <c:pt idx="7">
                  <c:v>14</c:v>
                </c:pt>
                <c:pt idx="8">
                  <c:v>24</c:v>
                </c:pt>
                <c:pt idx="9">
                  <c:v>15</c:v>
                </c:pt>
                <c:pt idx="10">
                  <c:v>21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'4.11 KATOSI-MUKONO'!$U$9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'4.11 KATOSI-MUKONO'!$U$10:$U$21</c:f>
              <c:numCache>
                <c:formatCode>0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10</c:v>
                </c:pt>
                <c:pt idx="6">
                  <c:v>13</c:v>
                </c:pt>
                <c:pt idx="7">
                  <c:v>7</c:v>
                </c:pt>
                <c:pt idx="8">
                  <c:v>11</c:v>
                </c:pt>
                <c:pt idx="9">
                  <c:v>11</c:v>
                </c:pt>
                <c:pt idx="10">
                  <c:v>25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'4.11 KATOSI-MUKONO'!$V$9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'4.11 KATOSI-MUKONO'!$V$10:$V$21</c:f>
              <c:numCache>
                <c:formatCode>0</c:formatCode>
                <c:ptCount val="12"/>
                <c:pt idx="0">
                  <c:v>46</c:v>
                </c:pt>
                <c:pt idx="1">
                  <c:v>33</c:v>
                </c:pt>
                <c:pt idx="2">
                  <c:v>49</c:v>
                </c:pt>
                <c:pt idx="3">
                  <c:v>28</c:v>
                </c:pt>
                <c:pt idx="4">
                  <c:v>26</c:v>
                </c:pt>
                <c:pt idx="5">
                  <c:v>31</c:v>
                </c:pt>
                <c:pt idx="6">
                  <c:v>21</c:v>
                </c:pt>
                <c:pt idx="7">
                  <c:v>26</c:v>
                </c:pt>
                <c:pt idx="8">
                  <c:v>42</c:v>
                </c:pt>
                <c:pt idx="9">
                  <c:v>26</c:v>
                </c:pt>
                <c:pt idx="10">
                  <c:v>42</c:v>
                </c:pt>
                <c:pt idx="11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'4.11 KATOSI-MUKONO'!$W$9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'4.11 KATOSI-MUKONO'!$W$10:$W$21</c:f>
              <c:numCache>
                <c:formatCode>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'4.11 KATOSI-MUKONO'!$X$9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'4.11 KATOSI-MUKONO'!$X$10:$X$21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'4.11 KATOSI-MUKONO'!$Y$9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KATOSI-MUKONO'!$Y$10:$Y$21</c:f>
              <c:numCache>
                <c:formatCode>0</c:formatCode>
                <c:ptCount val="12"/>
                <c:pt idx="0">
                  <c:v>12</c:v>
                </c:pt>
                <c:pt idx="1">
                  <c:v>20</c:v>
                </c:pt>
                <c:pt idx="2">
                  <c:v>30</c:v>
                </c:pt>
                <c:pt idx="3">
                  <c:v>32</c:v>
                </c:pt>
                <c:pt idx="4">
                  <c:v>26</c:v>
                </c:pt>
                <c:pt idx="5">
                  <c:v>33</c:v>
                </c:pt>
                <c:pt idx="6">
                  <c:v>31</c:v>
                </c:pt>
                <c:pt idx="7">
                  <c:v>27</c:v>
                </c:pt>
                <c:pt idx="8">
                  <c:v>30</c:v>
                </c:pt>
                <c:pt idx="9">
                  <c:v>26</c:v>
                </c:pt>
                <c:pt idx="10">
                  <c:v>17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'4.11 KATOSI-MUKONO'!$Z$9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KATOSI-MUKONO'!$Z$10:$Z$21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3</c:v>
                </c:pt>
                <c:pt idx="6">
                  <c:v>11</c:v>
                </c:pt>
                <c:pt idx="7">
                  <c:v>6</c:v>
                </c:pt>
                <c:pt idx="8">
                  <c:v>17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'4.11 KATOSI-MUKONO'!$AA$9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KATOSI-MUKONO'!$AA$10:$AA$21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'4.11 KATOSI-MUKONO'!$AB$9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KATOSI-MUKONO'!$AB$10:$AB$21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'4.11 KATOSI-MUKONO'!$AC$9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KATOSI-MUKONO'!$AC$10:$AC$21</c:f>
              <c:numCache>
                <c:formatCode>0</c:formatCode>
                <c:ptCount val="12"/>
                <c:pt idx="0">
                  <c:v>366</c:v>
                </c:pt>
                <c:pt idx="1">
                  <c:v>372</c:v>
                </c:pt>
                <c:pt idx="2">
                  <c:v>431</c:v>
                </c:pt>
                <c:pt idx="3">
                  <c:v>429</c:v>
                </c:pt>
                <c:pt idx="4">
                  <c:v>400</c:v>
                </c:pt>
                <c:pt idx="5">
                  <c:v>405</c:v>
                </c:pt>
                <c:pt idx="6">
                  <c:v>414</c:v>
                </c:pt>
                <c:pt idx="7">
                  <c:v>268</c:v>
                </c:pt>
                <c:pt idx="8">
                  <c:v>416</c:v>
                </c:pt>
                <c:pt idx="9">
                  <c:v>387</c:v>
                </c:pt>
                <c:pt idx="10">
                  <c:v>403</c:v>
                </c:pt>
                <c:pt idx="11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'4.11 KATOSI-MUKONO'!$AD$9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KATOSI-MUKONO'!$AD$10:$AD$21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93696"/>
        <c:axId val="132580096"/>
      </c:lineChart>
      <c:catAx>
        <c:axId val="13289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580096"/>
        <c:crosses val="autoZero"/>
        <c:auto val="1"/>
        <c:lblAlgn val="ctr"/>
        <c:lblOffset val="100"/>
        <c:noMultiLvlLbl val="0"/>
      </c:catAx>
      <c:valAx>
        <c:axId val="13258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89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'4.11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'4.11 KATOSI-MUKONO'!$C$60:$N$60</c:f>
              <c:numCache>
                <c:formatCode>0.00%</c:formatCode>
                <c:ptCount val="12"/>
                <c:pt idx="0">
                  <c:v>0.28164196123147095</c:v>
                </c:pt>
                <c:pt idx="1">
                  <c:v>0.10376282782212087</c:v>
                </c:pt>
                <c:pt idx="2">
                  <c:v>8.4378563283922459E-2</c:v>
                </c:pt>
                <c:pt idx="3">
                  <c:v>0.25142531356898518</c:v>
                </c:pt>
                <c:pt idx="4">
                  <c:v>1.6533637400228049E-2</c:v>
                </c:pt>
                <c:pt idx="5">
                  <c:v>0</c:v>
                </c:pt>
                <c:pt idx="6">
                  <c:v>0.17730900798175597</c:v>
                </c:pt>
                <c:pt idx="7">
                  <c:v>5.416191562143672E-2</c:v>
                </c:pt>
                <c:pt idx="8">
                  <c:v>1.1402508551881414E-2</c:v>
                </c:pt>
                <c:pt idx="9">
                  <c:v>1.9384264538198404E-2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MUKONO-KATOSI'!$AE$9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MUKONO-KATOSI'!$AE$10:$AE$21</c:f>
              <c:numCache>
                <c:formatCode>0</c:formatCode>
                <c:ptCount val="12"/>
                <c:pt idx="0">
                  <c:v>146.85714285714283</c:v>
                </c:pt>
                <c:pt idx="1">
                  <c:v>143.71428571428572</c:v>
                </c:pt>
                <c:pt idx="2">
                  <c:v>165.71428571428572</c:v>
                </c:pt>
                <c:pt idx="3">
                  <c:v>153.57142857142856</c:v>
                </c:pt>
                <c:pt idx="4">
                  <c:v>173.28571428571431</c:v>
                </c:pt>
                <c:pt idx="5">
                  <c:v>170.14285714285717</c:v>
                </c:pt>
                <c:pt idx="6">
                  <c:v>162.57142857142858</c:v>
                </c:pt>
                <c:pt idx="7">
                  <c:v>169.71428571428572</c:v>
                </c:pt>
                <c:pt idx="8">
                  <c:v>171.42857142857144</c:v>
                </c:pt>
                <c:pt idx="9">
                  <c:v>164</c:v>
                </c:pt>
                <c:pt idx="10">
                  <c:v>173.28571428571428</c:v>
                </c:pt>
                <c:pt idx="11">
                  <c:v>153.57142857142856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MUKONO-KATOSI'!$AF$9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MUKONO-KATOSI'!$AF$10:$AF$21</c:f>
              <c:numCache>
                <c:formatCode>0</c:formatCode>
                <c:ptCount val="12"/>
                <c:pt idx="0">
                  <c:v>530.85714285714289</c:v>
                </c:pt>
                <c:pt idx="1">
                  <c:v>530.71428571428567</c:v>
                </c:pt>
                <c:pt idx="2">
                  <c:v>575.42857142857133</c:v>
                </c:pt>
                <c:pt idx="3">
                  <c:v>511.14285714285711</c:v>
                </c:pt>
                <c:pt idx="4">
                  <c:v>554</c:v>
                </c:pt>
                <c:pt idx="5">
                  <c:v>532.71428571428578</c:v>
                </c:pt>
                <c:pt idx="6">
                  <c:v>545.28571428571433</c:v>
                </c:pt>
                <c:pt idx="7">
                  <c:v>461.14285714285711</c:v>
                </c:pt>
                <c:pt idx="8">
                  <c:v>535.85714285714289</c:v>
                </c:pt>
                <c:pt idx="9">
                  <c:v>532.28571428571422</c:v>
                </c:pt>
                <c:pt idx="10">
                  <c:v>545.28571428571422</c:v>
                </c:pt>
                <c:pt idx="11">
                  <c:v>545.85714285714289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08864"/>
        <c:axId val="133110784"/>
      </c:lineChart>
      <c:catAx>
        <c:axId val="1331088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110784"/>
        <c:crosses val="autoZero"/>
        <c:auto val="1"/>
        <c:lblAlgn val="ctr"/>
        <c:lblOffset val="100"/>
        <c:noMultiLvlLbl val="0"/>
      </c:catAx>
      <c:valAx>
        <c:axId val="133110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10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MUKONO-KATOSI'!$C$107:$N$107</c:f>
              <c:numCache>
                <c:formatCode>0.0%</c:formatCode>
                <c:ptCount val="12"/>
                <c:pt idx="0">
                  <c:v>9.9129035927268003E-2</c:v>
                </c:pt>
                <c:pt idx="1">
                  <c:v>4.2418875221397118E-2</c:v>
                </c:pt>
                <c:pt idx="2">
                  <c:v>2.6575778749126588E-2</c:v>
                </c:pt>
                <c:pt idx="3">
                  <c:v>6.2113062836157987E-2</c:v>
                </c:pt>
                <c:pt idx="4">
                  <c:v>4.4360670122357447E-3</c:v>
                </c:pt>
                <c:pt idx="5">
                  <c:v>4.8747989145447732E-4</c:v>
                </c:pt>
                <c:pt idx="6">
                  <c:v>4.2240132594530466E-2</c:v>
                </c:pt>
                <c:pt idx="7">
                  <c:v>1.2357615248371003E-2</c:v>
                </c:pt>
                <c:pt idx="8">
                  <c:v>4.5335629905266404E-3</c:v>
                </c:pt>
                <c:pt idx="9">
                  <c:v>6.5728538697778722E-3</c:v>
                </c:pt>
                <c:pt idx="10">
                  <c:v>0.69898929169171764</c:v>
                </c:pt>
                <c:pt idx="11">
                  <c:v>1.462439674363432E-4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MUKONO-KATOSI'!$S$9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MUKONO-KATOSI'!$S$10:$S$21</c:f>
              <c:numCache>
                <c:formatCode>0</c:formatCode>
                <c:ptCount val="12"/>
                <c:pt idx="0">
                  <c:v>45.857142857142861</c:v>
                </c:pt>
                <c:pt idx="1">
                  <c:v>53.857142857142861</c:v>
                </c:pt>
                <c:pt idx="2">
                  <c:v>52</c:v>
                </c:pt>
                <c:pt idx="3">
                  <c:v>44.285714285714292</c:v>
                </c:pt>
                <c:pt idx="4">
                  <c:v>49.142857142857139</c:v>
                </c:pt>
                <c:pt idx="5">
                  <c:v>49.571428571428569</c:v>
                </c:pt>
                <c:pt idx="6">
                  <c:v>50.714285714285715</c:v>
                </c:pt>
                <c:pt idx="7">
                  <c:v>50.714285714285708</c:v>
                </c:pt>
                <c:pt idx="8">
                  <c:v>50</c:v>
                </c:pt>
                <c:pt idx="9">
                  <c:v>48.428571428571431</c:v>
                </c:pt>
                <c:pt idx="10">
                  <c:v>51.285714285714285</c:v>
                </c:pt>
                <c:pt idx="11">
                  <c:v>47.142857142857139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68-4FCD-A619-4501F07B66D1}"/>
            </c:ext>
          </c:extLst>
        </c:ser>
        <c:ser>
          <c:idx val="1"/>
          <c:order val="1"/>
          <c:tx>
            <c:strRef>
              <c:f>'Avg Week MUKONO-KATOSI'!$T$9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MUKONO-KATOSI'!$R$10:$R$21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MUKONO-KATOSI'!$T$10:$T$21</c:f>
              <c:numCache>
                <c:formatCode>0</c:formatCode>
                <c:ptCount val="12"/>
                <c:pt idx="0">
                  <c:v>19.571428571428573</c:v>
                </c:pt>
                <c:pt idx="1">
                  <c:v>18.428571428571427</c:v>
                </c:pt>
                <c:pt idx="2">
                  <c:v>24.857142857142861</c:v>
                </c:pt>
                <c:pt idx="3">
                  <c:v>23.714285714285715</c:v>
                </c:pt>
                <c:pt idx="4">
                  <c:v>26.428571428571423</c:v>
                </c:pt>
                <c:pt idx="5">
                  <c:v>29.571428571428569</c:v>
                </c:pt>
                <c:pt idx="6">
                  <c:v>27.714285714285715</c:v>
                </c:pt>
                <c:pt idx="7">
                  <c:v>25.571428571428573</c:v>
                </c:pt>
                <c:pt idx="8">
                  <c:v>37.428571428571431</c:v>
                </c:pt>
                <c:pt idx="9">
                  <c:v>27.857142857142854</c:v>
                </c:pt>
                <c:pt idx="10">
                  <c:v>28</c:v>
                </c:pt>
                <c:pt idx="11">
                  <c:v>25.285714285714285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68-4FCD-A619-4501F07B66D1}"/>
            </c:ext>
          </c:extLst>
        </c:ser>
        <c:ser>
          <c:idx val="2"/>
          <c:order val="2"/>
          <c:tx>
            <c:strRef>
              <c:f>'Avg Week MUKONO-KATOSI'!$U$9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MUKONO-KATOSI'!$U$10:$U$21</c:f>
              <c:numCache>
                <c:formatCode>0</c:formatCode>
                <c:ptCount val="12"/>
                <c:pt idx="0">
                  <c:v>11.285714285714286</c:v>
                </c:pt>
                <c:pt idx="1">
                  <c:v>12.285714285714285</c:v>
                </c:pt>
                <c:pt idx="2">
                  <c:v>14.714285714285715</c:v>
                </c:pt>
                <c:pt idx="3">
                  <c:v>12.714285714285715</c:v>
                </c:pt>
                <c:pt idx="4">
                  <c:v>14.571428571428569</c:v>
                </c:pt>
                <c:pt idx="5">
                  <c:v>15.428571428571429</c:v>
                </c:pt>
                <c:pt idx="6">
                  <c:v>12.428571428571429</c:v>
                </c:pt>
                <c:pt idx="7">
                  <c:v>17.571428571428573</c:v>
                </c:pt>
                <c:pt idx="8">
                  <c:v>16.714285714285715</c:v>
                </c:pt>
                <c:pt idx="9">
                  <c:v>15.857142857142858</c:v>
                </c:pt>
                <c:pt idx="10">
                  <c:v>15</c:v>
                </c:pt>
                <c:pt idx="11">
                  <c:v>15.571428571428573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68-4FCD-A619-4501F07B66D1}"/>
            </c:ext>
          </c:extLst>
        </c:ser>
        <c:ser>
          <c:idx val="3"/>
          <c:order val="3"/>
          <c:tx>
            <c:strRef>
              <c:f>'Avg Week MUKONO-KATOSI'!$V$9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MUKONO-KATOSI'!$V$10:$V$21</c:f>
              <c:numCache>
                <c:formatCode>0</c:formatCode>
                <c:ptCount val="12"/>
                <c:pt idx="0">
                  <c:v>34.428571428571431</c:v>
                </c:pt>
                <c:pt idx="1">
                  <c:v>27.714285714285715</c:v>
                </c:pt>
                <c:pt idx="2">
                  <c:v>26.142857142857146</c:v>
                </c:pt>
                <c:pt idx="3">
                  <c:v>30.285714285714288</c:v>
                </c:pt>
                <c:pt idx="4">
                  <c:v>31</c:v>
                </c:pt>
                <c:pt idx="5">
                  <c:v>27.571428571428569</c:v>
                </c:pt>
                <c:pt idx="6">
                  <c:v>29</c:v>
                </c:pt>
                <c:pt idx="7">
                  <c:v>32.571428571428577</c:v>
                </c:pt>
                <c:pt idx="8">
                  <c:v>27</c:v>
                </c:pt>
                <c:pt idx="9">
                  <c:v>32.142857142857146</c:v>
                </c:pt>
                <c:pt idx="10">
                  <c:v>41.857142857142861</c:v>
                </c:pt>
                <c:pt idx="11">
                  <c:v>31.857142857142861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68-4FCD-A619-4501F07B66D1}"/>
            </c:ext>
          </c:extLst>
        </c:ser>
        <c:ser>
          <c:idx val="4"/>
          <c:order val="4"/>
          <c:tx>
            <c:strRef>
              <c:f>'Avg Week MUKONO-KATOSI'!$W$9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MUKONO-KATOSI'!$W$10:$W$21</c:f>
              <c:numCache>
                <c:formatCode>0</c:formatCode>
                <c:ptCount val="12"/>
                <c:pt idx="0">
                  <c:v>4.5714285714285712</c:v>
                </c:pt>
                <c:pt idx="1">
                  <c:v>3.7142857142857144</c:v>
                </c:pt>
                <c:pt idx="2">
                  <c:v>2.2857142857142856</c:v>
                </c:pt>
                <c:pt idx="3">
                  <c:v>2.1428571428571428</c:v>
                </c:pt>
                <c:pt idx="4">
                  <c:v>1.5714285714285714</c:v>
                </c:pt>
                <c:pt idx="5">
                  <c:v>1.8571428571428572</c:v>
                </c:pt>
                <c:pt idx="6">
                  <c:v>3.8571428571428572</c:v>
                </c:pt>
                <c:pt idx="7">
                  <c:v>1.7142857142857142</c:v>
                </c:pt>
                <c:pt idx="8">
                  <c:v>1.2857142857142856</c:v>
                </c:pt>
                <c:pt idx="9">
                  <c:v>3.5714285714285712</c:v>
                </c:pt>
                <c:pt idx="10">
                  <c:v>2.8571428571428572</c:v>
                </c:pt>
                <c:pt idx="11">
                  <c:v>1.5714285714285712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68-4FCD-A619-4501F07B66D1}"/>
            </c:ext>
          </c:extLst>
        </c:ser>
        <c:ser>
          <c:idx val="5"/>
          <c:order val="5"/>
          <c:tx>
            <c:strRef>
              <c:f>'Avg Week MUKONO-KATOSI'!$X$9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MUKONO-KATOSI'!$X$10:$X$21</c:f>
              <c:numCache>
                <c:formatCode>0</c:formatCode>
                <c:ptCount val="12"/>
                <c:pt idx="0">
                  <c:v>0.5714285714285714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0.8571428571428571</c:v>
                </c:pt>
                <c:pt idx="6">
                  <c:v>0</c:v>
                </c:pt>
                <c:pt idx="7">
                  <c:v>0.2857142857142857</c:v>
                </c:pt>
                <c:pt idx="8">
                  <c:v>0.14285714285714285</c:v>
                </c:pt>
                <c:pt idx="9">
                  <c:v>0</c:v>
                </c:pt>
                <c:pt idx="10">
                  <c:v>0.2857142857142857</c:v>
                </c:pt>
                <c:pt idx="11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68-4FCD-A619-4501F07B66D1}"/>
            </c:ext>
          </c:extLst>
        </c:ser>
        <c:ser>
          <c:idx val="6"/>
          <c:order val="6"/>
          <c:tx>
            <c:strRef>
              <c:f>'Avg Week MUKONO-KATOSI'!$Y$9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MUKONO-KATOSI'!$Y$10:$Y$21</c:f>
              <c:numCache>
                <c:formatCode>0</c:formatCode>
                <c:ptCount val="12"/>
                <c:pt idx="0">
                  <c:v>22.714285714285712</c:v>
                </c:pt>
                <c:pt idx="1">
                  <c:v>19.857142857142861</c:v>
                </c:pt>
                <c:pt idx="2">
                  <c:v>21</c:v>
                </c:pt>
                <c:pt idx="3">
                  <c:v>28.714285714285715</c:v>
                </c:pt>
                <c:pt idx="4">
                  <c:v>29.142857142857146</c:v>
                </c:pt>
                <c:pt idx="5">
                  <c:v>25.428571428571431</c:v>
                </c:pt>
                <c:pt idx="6">
                  <c:v>27.428571428571427</c:v>
                </c:pt>
                <c:pt idx="7">
                  <c:v>27.571428571428569</c:v>
                </c:pt>
                <c:pt idx="8">
                  <c:v>25.285714285714285</c:v>
                </c:pt>
                <c:pt idx="9">
                  <c:v>23.571428571428573</c:v>
                </c:pt>
                <c:pt idx="10">
                  <c:v>21.714285714285715</c:v>
                </c:pt>
                <c:pt idx="11">
                  <c:v>21.428571428571431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68-4FCD-A619-4501F07B66D1}"/>
            </c:ext>
          </c:extLst>
        </c:ser>
        <c:ser>
          <c:idx val="7"/>
          <c:order val="7"/>
          <c:tx>
            <c:strRef>
              <c:f>'Avg Week MUKONO-KATOSI'!$Z$9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MUKONO-KATOSI'!$Z$10:$Z$21</c:f>
              <c:numCache>
                <c:formatCode>0</c:formatCode>
                <c:ptCount val="12"/>
                <c:pt idx="0">
                  <c:v>4.7142857142857144</c:v>
                </c:pt>
                <c:pt idx="1">
                  <c:v>3</c:v>
                </c:pt>
                <c:pt idx="2">
                  <c:v>8.428571428571427</c:v>
                </c:pt>
                <c:pt idx="3">
                  <c:v>6.8571428571428577</c:v>
                </c:pt>
                <c:pt idx="4">
                  <c:v>5.5714285714285712</c:v>
                </c:pt>
                <c:pt idx="5">
                  <c:v>7.2857142857142856</c:v>
                </c:pt>
                <c:pt idx="6">
                  <c:v>7.4285714285714288</c:v>
                </c:pt>
                <c:pt idx="7">
                  <c:v>8.1428571428571423</c:v>
                </c:pt>
                <c:pt idx="8">
                  <c:v>6.8571428571428577</c:v>
                </c:pt>
                <c:pt idx="9">
                  <c:v>7.2857142857142856</c:v>
                </c:pt>
                <c:pt idx="10">
                  <c:v>8.7142857142857135</c:v>
                </c:pt>
                <c:pt idx="11">
                  <c:v>6.8571428571428577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68-4FCD-A619-4501F07B66D1}"/>
            </c:ext>
          </c:extLst>
        </c:ser>
        <c:ser>
          <c:idx val="8"/>
          <c:order val="8"/>
          <c:tx>
            <c:strRef>
              <c:f>'Avg Week MUKONO-KATOSI'!$AA$9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MUKONO-KATOSI'!$AA$10:$AA$21</c:f>
              <c:numCache>
                <c:formatCode>0</c:formatCode>
                <c:ptCount val="12"/>
                <c:pt idx="0">
                  <c:v>0.8571428571428571</c:v>
                </c:pt>
                <c:pt idx="1">
                  <c:v>1.857142857142857</c:v>
                </c:pt>
                <c:pt idx="2">
                  <c:v>3.2857142857142856</c:v>
                </c:pt>
                <c:pt idx="3">
                  <c:v>2.714285714285714</c:v>
                </c:pt>
                <c:pt idx="4">
                  <c:v>2.4285714285714284</c:v>
                </c:pt>
                <c:pt idx="5">
                  <c:v>3.7142857142857144</c:v>
                </c:pt>
                <c:pt idx="6">
                  <c:v>2.5714285714285712</c:v>
                </c:pt>
                <c:pt idx="7">
                  <c:v>3.4285714285714284</c:v>
                </c:pt>
                <c:pt idx="8">
                  <c:v>4.2857142857142856</c:v>
                </c:pt>
                <c:pt idx="9">
                  <c:v>2.7142857142857144</c:v>
                </c:pt>
                <c:pt idx="10">
                  <c:v>1.7142857142857142</c:v>
                </c:pt>
                <c:pt idx="11">
                  <c:v>2.2857142857142856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68-4FCD-A619-4501F07B66D1}"/>
            </c:ext>
          </c:extLst>
        </c:ser>
        <c:ser>
          <c:idx val="9"/>
          <c:order val="9"/>
          <c:tx>
            <c:strRef>
              <c:f>'Avg Week MUKONO-KATOSI'!$AB$9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MUKONO-KATOSI'!$AB$10:$AB$21</c:f>
              <c:numCache>
                <c:formatCode>0</c:formatCode>
                <c:ptCount val="12"/>
                <c:pt idx="0">
                  <c:v>2.2857142857142856</c:v>
                </c:pt>
                <c:pt idx="1">
                  <c:v>2.8571428571428568</c:v>
                </c:pt>
                <c:pt idx="2">
                  <c:v>11.857142857142858</c:v>
                </c:pt>
                <c:pt idx="3">
                  <c:v>2.1428571428571428</c:v>
                </c:pt>
                <c:pt idx="4">
                  <c:v>13.285714285714285</c:v>
                </c:pt>
                <c:pt idx="5">
                  <c:v>8.7142857142857135</c:v>
                </c:pt>
                <c:pt idx="6">
                  <c:v>1.4285714285714284</c:v>
                </c:pt>
                <c:pt idx="7">
                  <c:v>2</c:v>
                </c:pt>
                <c:pt idx="8">
                  <c:v>2.1428571428571423</c:v>
                </c:pt>
                <c:pt idx="9">
                  <c:v>2.4285714285714284</c:v>
                </c:pt>
                <c:pt idx="10">
                  <c:v>1.8571428571428568</c:v>
                </c:pt>
                <c:pt idx="11">
                  <c:v>1.2857142857142856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68-4FCD-A619-4501F07B66D1}"/>
            </c:ext>
          </c:extLst>
        </c:ser>
        <c:ser>
          <c:idx val="10"/>
          <c:order val="10"/>
          <c:tx>
            <c:strRef>
              <c:f>'Avg Week MUKONO-KATOSI'!$AC$9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MUKONO-KATOSI'!$AC$10:$AC$21</c:f>
              <c:numCache>
                <c:formatCode>0</c:formatCode>
                <c:ptCount val="12"/>
                <c:pt idx="0">
                  <c:v>384</c:v>
                </c:pt>
                <c:pt idx="1">
                  <c:v>387</c:v>
                </c:pt>
                <c:pt idx="2">
                  <c:v>409.71428571428572</c:v>
                </c:pt>
                <c:pt idx="3">
                  <c:v>357.57142857142856</c:v>
                </c:pt>
                <c:pt idx="4">
                  <c:v>380.71428571428572</c:v>
                </c:pt>
                <c:pt idx="5">
                  <c:v>362.57142857142856</c:v>
                </c:pt>
                <c:pt idx="6">
                  <c:v>382.71428571428572</c:v>
                </c:pt>
                <c:pt idx="7">
                  <c:v>291.42857142857144</c:v>
                </c:pt>
                <c:pt idx="8">
                  <c:v>364.42857142857144</c:v>
                </c:pt>
                <c:pt idx="9">
                  <c:v>368.28571428571428</c:v>
                </c:pt>
                <c:pt idx="10">
                  <c:v>372</c:v>
                </c:pt>
                <c:pt idx="11">
                  <c:v>392.28571428571428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68-4FCD-A619-4501F07B66D1}"/>
            </c:ext>
          </c:extLst>
        </c:ser>
        <c:ser>
          <c:idx val="11"/>
          <c:order val="11"/>
          <c:tx>
            <c:strRef>
              <c:f>'Avg Week MUKONO-KATOSI'!$AD$9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MUKONO-KATOSI'!$AD$10:$AD$21</c:f>
              <c:numCache>
                <c:formatCode>0</c:formatCode>
                <c:ptCount val="12"/>
                <c:pt idx="0">
                  <c:v>0</c:v>
                </c:pt>
                <c:pt idx="1">
                  <c:v>0.14285714285714285</c:v>
                </c:pt>
                <c:pt idx="2">
                  <c:v>0.14285714285714285</c:v>
                </c:pt>
                <c:pt idx="3">
                  <c:v>0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</c:v>
                </c:pt>
                <c:pt idx="7">
                  <c:v>0.14285714285714285</c:v>
                </c:pt>
                <c:pt idx="8">
                  <c:v>0.2857142857142857</c:v>
                </c:pt>
                <c:pt idx="9">
                  <c:v>0.14285714285714285</c:v>
                </c:pt>
                <c:pt idx="10">
                  <c:v>0</c:v>
                </c:pt>
                <c:pt idx="11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68-4FCD-A619-4501F07B6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57856"/>
        <c:axId val="133267840"/>
      </c:lineChart>
      <c:catAx>
        <c:axId val="13325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267840"/>
        <c:crosses val="autoZero"/>
        <c:auto val="1"/>
        <c:lblAlgn val="ctr"/>
        <c:lblOffset val="100"/>
        <c:noMultiLvlLbl val="0"/>
      </c:catAx>
      <c:valAx>
        <c:axId val="1332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2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401834578394184E-2"/>
          <c:y val="0.14759613090321752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MUKONO-KATOSI'!$C$9:$N$9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MUKONO-KATOSI'!$C$108:$N$108</c:f>
              <c:numCache>
                <c:formatCode>0.00%</c:formatCode>
                <c:ptCount val="12"/>
                <c:pt idx="0">
                  <c:v>0.32932062943669194</c:v>
                </c:pt>
                <c:pt idx="1">
                  <c:v>0.14092148236119734</c:v>
                </c:pt>
                <c:pt idx="2">
                  <c:v>8.8288482820049086E-2</c:v>
                </c:pt>
                <c:pt idx="3">
                  <c:v>0.20634834948311689</c:v>
                </c:pt>
                <c:pt idx="4">
                  <c:v>1.4737239871521497E-2</c:v>
                </c:pt>
                <c:pt idx="5">
                  <c:v>1.6194769089584058E-3</c:v>
                </c:pt>
                <c:pt idx="6">
                  <c:v>0.14032767416124589</c:v>
                </c:pt>
                <c:pt idx="7">
                  <c:v>4.1053739642095598E-2</c:v>
                </c:pt>
                <c:pt idx="8">
                  <c:v>1.5061135253313179E-2</c:v>
                </c:pt>
                <c:pt idx="9">
                  <c:v>2.1835946989122515E-2</c:v>
                </c:pt>
                <c:pt idx="11">
                  <c:v>4.8584307268752176E-4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KATOSI-MUKONO'!$AE$9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KATOSI-MUKONO'!$AE$10:$AE$21</c:f>
              <c:numCache>
                <c:formatCode>0</c:formatCode>
                <c:ptCount val="12"/>
                <c:pt idx="0">
                  <c:v>144.85714285714286</c:v>
                </c:pt>
                <c:pt idx="1">
                  <c:v>178</c:v>
                </c:pt>
                <c:pt idx="2">
                  <c:v>140.85714285714286</c:v>
                </c:pt>
                <c:pt idx="3">
                  <c:v>142.85714285714289</c:v>
                </c:pt>
                <c:pt idx="4">
                  <c:v>152.71428571428572</c:v>
                </c:pt>
                <c:pt idx="5">
                  <c:v>172.57142857142856</c:v>
                </c:pt>
                <c:pt idx="6">
                  <c:v>141.99999999999997</c:v>
                </c:pt>
                <c:pt idx="7">
                  <c:v>139.71428571428572</c:v>
                </c:pt>
                <c:pt idx="8">
                  <c:v>166.14285714285717</c:v>
                </c:pt>
                <c:pt idx="9">
                  <c:v>191.57142857142858</c:v>
                </c:pt>
                <c:pt idx="10">
                  <c:v>189.28571428571431</c:v>
                </c:pt>
                <c:pt idx="11">
                  <c:v>199.42857142857144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KATOSI-MUKONO'!$AF$9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KATOSI-MUKONO'!$AF$10:$AF$21</c:f>
              <c:numCache>
                <c:formatCode>0</c:formatCode>
                <c:ptCount val="12"/>
                <c:pt idx="0">
                  <c:v>450.71428571428567</c:v>
                </c:pt>
                <c:pt idx="1">
                  <c:v>531.14285714285722</c:v>
                </c:pt>
                <c:pt idx="2">
                  <c:v>540.57142857142856</c:v>
                </c:pt>
                <c:pt idx="3">
                  <c:v>513.14285714285711</c:v>
                </c:pt>
                <c:pt idx="4">
                  <c:v>521.71428571428578</c:v>
                </c:pt>
                <c:pt idx="5">
                  <c:v>517.85714285714289</c:v>
                </c:pt>
                <c:pt idx="6">
                  <c:v>506.28571428571428</c:v>
                </c:pt>
                <c:pt idx="7">
                  <c:v>429.28571428571428</c:v>
                </c:pt>
                <c:pt idx="8">
                  <c:v>501.14285714285711</c:v>
                </c:pt>
                <c:pt idx="9">
                  <c:v>542.85714285714278</c:v>
                </c:pt>
                <c:pt idx="10">
                  <c:v>522.28571428571433</c:v>
                </c:pt>
                <c:pt idx="11">
                  <c:v>547.14285714285711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72032"/>
        <c:axId val="133773952"/>
      </c:lineChart>
      <c:catAx>
        <c:axId val="133772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773952"/>
        <c:crosses val="autoZero"/>
        <c:auto val="1"/>
        <c:lblAlgn val="ctr"/>
        <c:lblOffset val="100"/>
        <c:noMultiLvlLbl val="0"/>
      </c:catAx>
      <c:valAx>
        <c:axId val="133773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77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KATOSI-MUKONO'!$C$107:$N$107</c:f>
              <c:numCache>
                <c:formatCode>0.0%</c:formatCode>
                <c:ptCount val="12"/>
                <c:pt idx="0">
                  <c:v>0.10599423383105981</c:v>
                </c:pt>
                <c:pt idx="1">
                  <c:v>4.4459744395197717E-2</c:v>
                </c:pt>
                <c:pt idx="2">
                  <c:v>2.7436636688325654E-2</c:v>
                </c:pt>
                <c:pt idx="3">
                  <c:v>7.3970480657515353E-2</c:v>
                </c:pt>
                <c:pt idx="4">
                  <c:v>5.5510133826756729E-3</c:v>
                </c:pt>
                <c:pt idx="5">
                  <c:v>1.3769955677955155E-4</c:v>
                </c:pt>
                <c:pt idx="6">
                  <c:v>4.8573518653986826E-2</c:v>
                </c:pt>
                <c:pt idx="7">
                  <c:v>1.2186410774990315E-2</c:v>
                </c:pt>
                <c:pt idx="8">
                  <c:v>3.5801884762683409E-3</c:v>
                </c:pt>
                <c:pt idx="9">
                  <c:v>6.8333405051852489E-3</c:v>
                </c:pt>
                <c:pt idx="10">
                  <c:v>0.66878092861138583</c:v>
                </c:pt>
                <c:pt idx="11">
                  <c:v>2.4958044666293722E-3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KATOSI-MUKONO'!$S$9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KATOSI-MUKONO'!$S$10:$S$21</c:f>
              <c:numCache>
                <c:formatCode>0</c:formatCode>
                <c:ptCount val="12"/>
                <c:pt idx="0">
                  <c:v>51.142857142857153</c:v>
                </c:pt>
                <c:pt idx="1">
                  <c:v>47.857142857142861</c:v>
                </c:pt>
                <c:pt idx="2">
                  <c:v>44.714285714285722</c:v>
                </c:pt>
                <c:pt idx="3">
                  <c:v>45.857142857142854</c:v>
                </c:pt>
                <c:pt idx="4">
                  <c:v>52</c:v>
                </c:pt>
                <c:pt idx="5">
                  <c:v>50.285714285714285</c:v>
                </c:pt>
                <c:pt idx="6">
                  <c:v>49.714285714285715</c:v>
                </c:pt>
                <c:pt idx="7">
                  <c:v>46.714285714285715</c:v>
                </c:pt>
                <c:pt idx="8">
                  <c:v>56</c:v>
                </c:pt>
                <c:pt idx="9">
                  <c:v>63.857142857142861</c:v>
                </c:pt>
                <c:pt idx="10">
                  <c:v>65.571428571428569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B2-4E89-BB96-27269775CB4B}"/>
            </c:ext>
          </c:extLst>
        </c:ser>
        <c:ser>
          <c:idx val="1"/>
          <c:order val="1"/>
          <c:tx>
            <c:strRef>
              <c:f>'Avg Week KATOSI-MUKONO'!$T$9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KATOSI-MUKONO'!$R$10:$R$21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KATOSI-MUKONO'!$T$10:$T$21</c:f>
              <c:numCache>
                <c:formatCode>0</c:formatCode>
                <c:ptCount val="12"/>
                <c:pt idx="0">
                  <c:v>12.571428571428571</c:v>
                </c:pt>
                <c:pt idx="1">
                  <c:v>20.571428571428569</c:v>
                </c:pt>
                <c:pt idx="2">
                  <c:v>13.714285714285715</c:v>
                </c:pt>
                <c:pt idx="3">
                  <c:v>14.571428571428569</c:v>
                </c:pt>
                <c:pt idx="4">
                  <c:v>14</c:v>
                </c:pt>
                <c:pt idx="5">
                  <c:v>15.142857142857142</c:v>
                </c:pt>
                <c:pt idx="6">
                  <c:v>16.285714285714285</c:v>
                </c:pt>
                <c:pt idx="7">
                  <c:v>16.285714285714285</c:v>
                </c:pt>
                <c:pt idx="8">
                  <c:v>18.714285714285715</c:v>
                </c:pt>
                <c:pt idx="9">
                  <c:v>23.285714285714285</c:v>
                </c:pt>
                <c:pt idx="10">
                  <c:v>22.285714285714285</c:v>
                </c:pt>
                <c:pt idx="11">
                  <c:v>29.571428571428569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B2-4E89-BB96-27269775CB4B}"/>
            </c:ext>
          </c:extLst>
        </c:ser>
        <c:ser>
          <c:idx val="2"/>
          <c:order val="2"/>
          <c:tx>
            <c:strRef>
              <c:f>'Avg Week KATOSI-MUKONO'!$U$9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KATOSI-MUKONO'!$U$10:$U$21</c:f>
              <c:numCache>
                <c:formatCode>0</c:formatCode>
                <c:ptCount val="12"/>
                <c:pt idx="0">
                  <c:v>9.8571428571428577</c:v>
                </c:pt>
                <c:pt idx="1">
                  <c:v>12.571428571428573</c:v>
                </c:pt>
                <c:pt idx="2">
                  <c:v>13.571428571428573</c:v>
                </c:pt>
                <c:pt idx="3">
                  <c:v>11.714285714285715</c:v>
                </c:pt>
                <c:pt idx="4">
                  <c:v>13.857142857142858</c:v>
                </c:pt>
                <c:pt idx="5">
                  <c:v>14.142857142857144</c:v>
                </c:pt>
                <c:pt idx="6">
                  <c:v>12.857142857142858</c:v>
                </c:pt>
                <c:pt idx="7">
                  <c:v>14.142857142857142</c:v>
                </c:pt>
                <c:pt idx="8">
                  <c:v>14</c:v>
                </c:pt>
                <c:pt idx="9">
                  <c:v>17.857142857142858</c:v>
                </c:pt>
                <c:pt idx="10">
                  <c:v>14.428571428571429</c:v>
                </c:pt>
                <c:pt idx="11">
                  <c:v>13.714285714285715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B2-4E89-BB96-27269775CB4B}"/>
            </c:ext>
          </c:extLst>
        </c:ser>
        <c:ser>
          <c:idx val="3"/>
          <c:order val="3"/>
          <c:tx>
            <c:strRef>
              <c:f>'Avg Week KATOSI-MUKONO'!$V$9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KATOSI-MUKONO'!$V$10:$V$21</c:f>
              <c:numCache>
                <c:formatCode>0</c:formatCode>
                <c:ptCount val="12"/>
                <c:pt idx="0">
                  <c:v>39</c:v>
                </c:pt>
                <c:pt idx="1">
                  <c:v>44.428571428571431</c:v>
                </c:pt>
                <c:pt idx="2">
                  <c:v>32.428571428571431</c:v>
                </c:pt>
                <c:pt idx="3">
                  <c:v>31.285714285714285</c:v>
                </c:pt>
                <c:pt idx="4">
                  <c:v>34.142857142857139</c:v>
                </c:pt>
                <c:pt idx="5">
                  <c:v>34.857142857142854</c:v>
                </c:pt>
                <c:pt idx="6">
                  <c:v>27.571428571428569</c:v>
                </c:pt>
                <c:pt idx="7">
                  <c:v>25.857142857142854</c:v>
                </c:pt>
                <c:pt idx="8">
                  <c:v>37</c:v>
                </c:pt>
                <c:pt idx="9">
                  <c:v>39.857142857142854</c:v>
                </c:pt>
                <c:pt idx="10">
                  <c:v>38.714285714285715</c:v>
                </c:pt>
                <c:pt idx="11">
                  <c:v>46.285714285714285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B2-4E89-BB96-27269775CB4B}"/>
            </c:ext>
          </c:extLst>
        </c:ser>
        <c:ser>
          <c:idx val="4"/>
          <c:order val="4"/>
          <c:tx>
            <c:strRef>
              <c:f>'Avg Week KATOSI-MUKONO'!$W$9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KATOSI-MUKONO'!$W$10:$W$21</c:f>
              <c:numCache>
                <c:formatCode>0</c:formatCode>
                <c:ptCount val="12"/>
                <c:pt idx="0">
                  <c:v>3.4285714285714284</c:v>
                </c:pt>
                <c:pt idx="1">
                  <c:v>6.4285714285714279</c:v>
                </c:pt>
                <c:pt idx="2">
                  <c:v>2</c:v>
                </c:pt>
                <c:pt idx="3">
                  <c:v>0.8571428571428571</c:v>
                </c:pt>
                <c:pt idx="4">
                  <c:v>0.99999999999999989</c:v>
                </c:pt>
                <c:pt idx="5">
                  <c:v>1.7142857142857144</c:v>
                </c:pt>
                <c:pt idx="6">
                  <c:v>1.714285714285714</c:v>
                </c:pt>
                <c:pt idx="7">
                  <c:v>1.1428571428571428</c:v>
                </c:pt>
                <c:pt idx="8">
                  <c:v>1.4285714285714284</c:v>
                </c:pt>
                <c:pt idx="9">
                  <c:v>2.7142857142857144</c:v>
                </c:pt>
                <c:pt idx="10">
                  <c:v>3.7142857142857144</c:v>
                </c:pt>
                <c:pt idx="11">
                  <c:v>3.4285714285714288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B2-4E89-BB96-27269775CB4B}"/>
            </c:ext>
          </c:extLst>
        </c:ser>
        <c:ser>
          <c:idx val="5"/>
          <c:order val="5"/>
          <c:tx>
            <c:strRef>
              <c:f>'Avg Week KATOSI-MUKONO'!$X$9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KATOSI-MUKONO'!$X$10:$X$21</c:f>
              <c:numCache>
                <c:formatCode>0</c:formatCode>
                <c:ptCount val="12"/>
                <c:pt idx="0">
                  <c:v>0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0.14285714285714285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0.42857142857142855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B2-4E89-BB96-27269775CB4B}"/>
            </c:ext>
          </c:extLst>
        </c:ser>
        <c:ser>
          <c:idx val="6"/>
          <c:order val="6"/>
          <c:tx>
            <c:strRef>
              <c:f>'Avg Week KATOSI-MUKONO'!$Y$9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KATOSI-MUKONO'!$Y$10:$Y$21</c:f>
              <c:numCache>
                <c:formatCode>0</c:formatCode>
                <c:ptCount val="12"/>
                <c:pt idx="0">
                  <c:v>18.285714285714285</c:v>
                </c:pt>
                <c:pt idx="1">
                  <c:v>23</c:v>
                </c:pt>
                <c:pt idx="2">
                  <c:v>27.142857142857142</c:v>
                </c:pt>
                <c:pt idx="3">
                  <c:v>29.714285714285715</c:v>
                </c:pt>
                <c:pt idx="4">
                  <c:v>29</c:v>
                </c:pt>
                <c:pt idx="5">
                  <c:v>25.857142857142858</c:v>
                </c:pt>
                <c:pt idx="6">
                  <c:v>24.714285714285715</c:v>
                </c:pt>
                <c:pt idx="7">
                  <c:v>25.857142857142854</c:v>
                </c:pt>
                <c:pt idx="8">
                  <c:v>28.857142857142858</c:v>
                </c:pt>
                <c:pt idx="9">
                  <c:v>35.714285714285708</c:v>
                </c:pt>
                <c:pt idx="10">
                  <c:v>24.142857142857142</c:v>
                </c:pt>
                <c:pt idx="11">
                  <c:v>24.857142857142858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B2-4E89-BB96-27269775CB4B}"/>
            </c:ext>
          </c:extLst>
        </c:ser>
        <c:ser>
          <c:idx val="7"/>
          <c:order val="7"/>
          <c:tx>
            <c:strRef>
              <c:f>'Avg Week KATOSI-MUKONO'!$Z$9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KATOSI-MUKONO'!$Z$10:$Z$21</c:f>
              <c:numCache>
                <c:formatCode>0</c:formatCode>
                <c:ptCount val="12"/>
                <c:pt idx="0">
                  <c:v>3.4285714285714288</c:v>
                </c:pt>
                <c:pt idx="1">
                  <c:v>5.1428571428571423</c:v>
                </c:pt>
                <c:pt idx="2">
                  <c:v>4.7142857142857144</c:v>
                </c:pt>
                <c:pt idx="3">
                  <c:v>5.5714285714285712</c:v>
                </c:pt>
                <c:pt idx="4">
                  <c:v>5.4285714285714288</c:v>
                </c:pt>
                <c:pt idx="5">
                  <c:v>5.7142857142857144</c:v>
                </c:pt>
                <c:pt idx="6">
                  <c:v>5.1428571428571423</c:v>
                </c:pt>
                <c:pt idx="7">
                  <c:v>5</c:v>
                </c:pt>
                <c:pt idx="8">
                  <c:v>7.2857142857142856</c:v>
                </c:pt>
                <c:pt idx="9">
                  <c:v>4.7142857142857144</c:v>
                </c:pt>
                <c:pt idx="10">
                  <c:v>5.4285714285714288</c:v>
                </c:pt>
                <c:pt idx="11">
                  <c:v>5.5714285714285712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B2-4E89-BB96-27269775CB4B}"/>
            </c:ext>
          </c:extLst>
        </c:ser>
        <c:ser>
          <c:idx val="8"/>
          <c:order val="8"/>
          <c:tx>
            <c:strRef>
              <c:f>'Avg Week KATOSI-MUKONO'!$AA$9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KATOSI-MUKONO'!$AA$10:$AA$21</c:f>
              <c:numCache>
                <c:formatCode>0</c:formatCode>
                <c:ptCount val="12"/>
                <c:pt idx="0">
                  <c:v>0.99999999999999989</c:v>
                </c:pt>
                <c:pt idx="1">
                  <c:v>1.857142857142857</c:v>
                </c:pt>
                <c:pt idx="2">
                  <c:v>1.5714285714285714</c:v>
                </c:pt>
                <c:pt idx="3">
                  <c:v>1.714285714285714</c:v>
                </c:pt>
                <c:pt idx="4">
                  <c:v>1.4285714285714284</c:v>
                </c:pt>
                <c:pt idx="5">
                  <c:v>2.2857142857142856</c:v>
                </c:pt>
                <c:pt idx="6">
                  <c:v>1.8571428571428568</c:v>
                </c:pt>
                <c:pt idx="7">
                  <c:v>1.5714285714285714</c:v>
                </c:pt>
                <c:pt idx="8">
                  <c:v>1.2857142857142856</c:v>
                </c:pt>
                <c:pt idx="9">
                  <c:v>1</c:v>
                </c:pt>
                <c:pt idx="10">
                  <c:v>1.2857142857142856</c:v>
                </c:pt>
                <c:pt idx="11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B2-4E89-BB96-27269775CB4B}"/>
            </c:ext>
          </c:extLst>
        </c:ser>
        <c:ser>
          <c:idx val="9"/>
          <c:order val="9"/>
          <c:tx>
            <c:strRef>
              <c:f>'Avg Week KATOSI-MUKONO'!$AB$9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KATOSI-MUKONO'!$AB$10:$AB$21</c:f>
              <c:numCache>
                <c:formatCode>0</c:formatCode>
                <c:ptCount val="12"/>
                <c:pt idx="0">
                  <c:v>0.14285714285714285</c:v>
                </c:pt>
                <c:pt idx="1">
                  <c:v>1.714285714285714</c:v>
                </c:pt>
                <c:pt idx="2">
                  <c:v>0.85714285714285698</c:v>
                </c:pt>
                <c:pt idx="3">
                  <c:v>1.4285714285714284</c:v>
                </c:pt>
                <c:pt idx="4">
                  <c:v>1.5714285714285714</c:v>
                </c:pt>
                <c:pt idx="5">
                  <c:v>22.571428571428573</c:v>
                </c:pt>
                <c:pt idx="6">
                  <c:v>2</c:v>
                </c:pt>
                <c:pt idx="7">
                  <c:v>2.7142857142857144</c:v>
                </c:pt>
                <c:pt idx="8">
                  <c:v>1.5714285714285712</c:v>
                </c:pt>
                <c:pt idx="9">
                  <c:v>2.4285714285714284</c:v>
                </c:pt>
                <c:pt idx="10">
                  <c:v>13.571428571428571</c:v>
                </c:pt>
                <c:pt idx="11">
                  <c:v>1.1428571428571428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B2-4E89-BB96-27269775CB4B}"/>
            </c:ext>
          </c:extLst>
        </c:ser>
        <c:ser>
          <c:idx val="10"/>
          <c:order val="10"/>
          <c:tx>
            <c:strRef>
              <c:f>'Avg Week KATOSI-MUKONO'!$AC$9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KATOSI-MUKONO'!$AC$10:$AC$21</c:f>
              <c:numCache>
                <c:formatCode>0</c:formatCode>
                <c:ptCount val="12"/>
                <c:pt idx="0">
                  <c:v>305.85714285714283</c:v>
                </c:pt>
                <c:pt idx="1">
                  <c:v>353.14285714285717</c:v>
                </c:pt>
                <c:pt idx="2">
                  <c:v>399.71428571428572</c:v>
                </c:pt>
                <c:pt idx="3">
                  <c:v>370.28571428571428</c:v>
                </c:pt>
                <c:pt idx="4">
                  <c:v>369</c:v>
                </c:pt>
                <c:pt idx="5">
                  <c:v>345.28571428571422</c:v>
                </c:pt>
                <c:pt idx="6">
                  <c:v>364.28571428571428</c:v>
                </c:pt>
                <c:pt idx="7">
                  <c:v>289.57142857142856</c:v>
                </c:pt>
                <c:pt idx="8">
                  <c:v>334.99999999999994</c:v>
                </c:pt>
                <c:pt idx="9">
                  <c:v>351.28571428571428</c:v>
                </c:pt>
                <c:pt idx="10">
                  <c:v>333</c:v>
                </c:pt>
                <c:pt idx="11">
                  <c:v>347.71428571428578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B2-4E89-BB96-27269775CB4B}"/>
            </c:ext>
          </c:extLst>
        </c:ser>
        <c:ser>
          <c:idx val="11"/>
          <c:order val="11"/>
          <c:tx>
            <c:strRef>
              <c:f>'Avg Week KATOSI-MUKONO'!$AD$9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KATOSI-MUKONO'!$AD$10:$AD$21</c:f>
              <c:numCache>
                <c:formatCode>0</c:formatCode>
                <c:ptCount val="12"/>
                <c:pt idx="0">
                  <c:v>6</c:v>
                </c:pt>
                <c:pt idx="1">
                  <c:v>14.142857142857142</c:v>
                </c:pt>
                <c:pt idx="2">
                  <c:v>0</c:v>
                </c:pt>
                <c:pt idx="3">
                  <c:v>0</c:v>
                </c:pt>
                <c:pt idx="4">
                  <c:v>0.2857142857142857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</c:v>
                </c:pt>
                <c:pt idx="9">
                  <c:v>0.14285714285714285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B2-4E89-BB96-27269775C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00544"/>
        <c:axId val="133910528"/>
      </c:lineChart>
      <c:catAx>
        <c:axId val="13390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910528"/>
        <c:crosses val="autoZero"/>
        <c:auto val="1"/>
        <c:lblAlgn val="ctr"/>
        <c:lblOffset val="100"/>
        <c:noMultiLvlLbl val="0"/>
      </c:catAx>
      <c:valAx>
        <c:axId val="13391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90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KATOSI-MUKONO'!$C$9:$N$9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KATOSI-MUKONO'!$C$108:$N$108</c:f>
              <c:numCache>
                <c:formatCode>0.00%</c:formatCode>
                <c:ptCount val="12"/>
                <c:pt idx="0">
                  <c:v>0.32001247206776484</c:v>
                </c:pt>
                <c:pt idx="1">
                  <c:v>0.13423062931975263</c:v>
                </c:pt>
                <c:pt idx="2">
                  <c:v>8.2835316738554279E-2</c:v>
                </c:pt>
                <c:pt idx="3">
                  <c:v>0.22332796341526787</c:v>
                </c:pt>
                <c:pt idx="4">
                  <c:v>1.675934105908642E-2</c:v>
                </c:pt>
                <c:pt idx="5">
                  <c:v>4.15735592163384E-4</c:v>
                </c:pt>
                <c:pt idx="6">
                  <c:v>0.14665073013563373</c:v>
                </c:pt>
                <c:pt idx="7">
                  <c:v>3.6792599906459493E-2</c:v>
                </c:pt>
                <c:pt idx="8">
                  <c:v>1.0809125396247985E-2</c:v>
                </c:pt>
                <c:pt idx="9">
                  <c:v>2.0630878761107939E-2</c:v>
                </c:pt>
                <c:pt idx="11">
                  <c:v>7.5352076079613353E-3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MUKONO-KATOSI-2Dir'!$C$9:$N$9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MUKONO-KATOSI-2Dir'!$C$107:$N$107</c:f>
              <c:numCache>
                <c:formatCode>0.0%</c:formatCode>
                <c:ptCount val="12"/>
                <c:pt idx="0">
                  <c:v>0.10246283595999614</c:v>
                </c:pt>
                <c:pt idx="1">
                  <c:v>4.340993910823019E-2</c:v>
                </c:pt>
                <c:pt idx="2">
                  <c:v>2.6993818879374111E-2</c:v>
                </c:pt>
                <c:pt idx="3">
                  <c:v>6.7871128441095455E-2</c:v>
                </c:pt>
                <c:pt idx="4">
                  <c:v>4.9774947027921611E-3</c:v>
                </c:pt>
                <c:pt idx="5">
                  <c:v>3.1762350748295903E-4</c:v>
                </c:pt>
                <c:pt idx="6">
                  <c:v>4.5315680153127952E-2</c:v>
                </c:pt>
                <c:pt idx="7">
                  <c:v>1.2274476861545399E-2</c:v>
                </c:pt>
                <c:pt idx="8">
                  <c:v>4.0705960037947632E-3</c:v>
                </c:pt>
                <c:pt idx="9">
                  <c:v>6.6993484538839937E-3</c:v>
                </c:pt>
                <c:pt idx="10">
                  <c:v>0.68431984687203506</c:v>
                </c:pt>
                <c:pt idx="11">
                  <c:v>1.2872110566414651E-3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MUKONO-KATOSI-2Dir'!$C$9:$N$9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MUKONO-KATOSI-2Dir'!$C$108:$N$108</c:f>
              <c:numCache>
                <c:formatCode>0.00%</c:formatCode>
                <c:ptCount val="12"/>
                <c:pt idx="0">
                  <c:v>0.32457801019394983</c:v>
                </c:pt>
                <c:pt idx="1">
                  <c:v>0.13751241146488377</c:v>
                </c:pt>
                <c:pt idx="2">
                  <c:v>8.5510028463626139E-2</c:v>
                </c:pt>
                <c:pt idx="3">
                  <c:v>0.21499966902760309</c:v>
                </c:pt>
                <c:pt idx="4">
                  <c:v>1.5767524988415969E-2</c:v>
                </c:pt>
                <c:pt idx="5">
                  <c:v>1.0061560865823791E-3</c:v>
                </c:pt>
                <c:pt idx="6">
                  <c:v>0.1435493479843781</c:v>
                </c:pt>
                <c:pt idx="7">
                  <c:v>3.8882637188058504E-2</c:v>
                </c:pt>
                <c:pt idx="8">
                  <c:v>1.2894684583305749E-2</c:v>
                </c:pt>
                <c:pt idx="9">
                  <c:v>2.1221950089362555E-2</c:v>
                </c:pt>
                <c:pt idx="11">
                  <c:v>4.0775799298338501E-3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MUKONO-KATOSI-2Dir'!$AE$9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MUKONO-KATOSI-2Dir'!$R$10:$R$33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MUKONO-KATOSI-2Dir'!$AE$10:$AE$33</c:f>
              <c:numCache>
                <c:formatCode>0</c:formatCode>
                <c:ptCount val="24"/>
                <c:pt idx="0">
                  <c:v>291.71428571428572</c:v>
                </c:pt>
                <c:pt idx="1">
                  <c:v>321.71428571428572</c:v>
                </c:pt>
                <c:pt idx="2">
                  <c:v>306.57142857142856</c:v>
                </c:pt>
                <c:pt idx="3">
                  <c:v>296.42857142857144</c:v>
                </c:pt>
                <c:pt idx="4">
                  <c:v>326</c:v>
                </c:pt>
                <c:pt idx="5">
                  <c:v>342.71428571428572</c:v>
                </c:pt>
                <c:pt idx="6">
                  <c:v>304.57142857142856</c:v>
                </c:pt>
                <c:pt idx="7">
                  <c:v>309.4285714285715</c:v>
                </c:pt>
                <c:pt idx="8">
                  <c:v>337.57142857142856</c:v>
                </c:pt>
                <c:pt idx="9">
                  <c:v>355.57142857142856</c:v>
                </c:pt>
                <c:pt idx="10">
                  <c:v>362.57142857142856</c:v>
                </c:pt>
                <c:pt idx="11">
                  <c:v>353</c:v>
                </c:pt>
                <c:pt idx="12">
                  <c:v>290.5</c:v>
                </c:pt>
                <c:pt idx="13">
                  <c:v>301.5</c:v>
                </c:pt>
                <c:pt idx="14">
                  <c:v>220.5</c:v>
                </c:pt>
                <c:pt idx="15">
                  <c:v>131</c:v>
                </c:pt>
                <c:pt idx="16">
                  <c:v>126</c:v>
                </c:pt>
                <c:pt idx="17">
                  <c:v>71.5</c:v>
                </c:pt>
                <c:pt idx="18">
                  <c:v>38.5</c:v>
                </c:pt>
                <c:pt idx="19">
                  <c:v>24</c:v>
                </c:pt>
                <c:pt idx="20">
                  <c:v>15</c:v>
                </c:pt>
                <c:pt idx="21">
                  <c:v>41</c:v>
                </c:pt>
                <c:pt idx="22">
                  <c:v>87.5</c:v>
                </c:pt>
                <c:pt idx="23">
                  <c:v>140.5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EE-43EB-AD74-0C72B2A709E9}"/>
            </c:ext>
          </c:extLst>
        </c:ser>
        <c:ser>
          <c:idx val="1"/>
          <c:order val="1"/>
          <c:tx>
            <c:strRef>
              <c:f>'Avg Week MUKONO-KATOSI-2Dir'!$AF$9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MUKONO-KATOSI-2Dir'!$R$10:$R$33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MUKONO-KATOSI-2Dir'!$AF$10:$AF$33</c:f>
              <c:numCache>
                <c:formatCode>0</c:formatCode>
                <c:ptCount val="24"/>
                <c:pt idx="0">
                  <c:v>981.57142857142856</c:v>
                </c:pt>
                <c:pt idx="1">
                  <c:v>1061.8571428571429</c:v>
                </c:pt>
                <c:pt idx="2">
                  <c:v>1116</c:v>
                </c:pt>
                <c:pt idx="3">
                  <c:v>1024.2857142857142</c:v>
                </c:pt>
                <c:pt idx="4">
                  <c:v>1075.7142857142858</c:v>
                </c:pt>
                <c:pt idx="5">
                  <c:v>1050.5714285714284</c:v>
                </c:pt>
                <c:pt idx="6">
                  <c:v>1051.5714285714287</c:v>
                </c:pt>
                <c:pt idx="7">
                  <c:v>890.42857142857133</c:v>
                </c:pt>
                <c:pt idx="8">
                  <c:v>1037</c:v>
                </c:pt>
                <c:pt idx="9">
                  <c:v>1075.1428571428571</c:v>
                </c:pt>
                <c:pt idx="10">
                  <c:v>1067.5714285714287</c:v>
                </c:pt>
                <c:pt idx="11">
                  <c:v>1093</c:v>
                </c:pt>
                <c:pt idx="12">
                  <c:v>891</c:v>
                </c:pt>
                <c:pt idx="13">
                  <c:v>875.5</c:v>
                </c:pt>
                <c:pt idx="14">
                  <c:v>779</c:v>
                </c:pt>
                <c:pt idx="15">
                  <c:v>483.5</c:v>
                </c:pt>
                <c:pt idx="16">
                  <c:v>414</c:v>
                </c:pt>
                <c:pt idx="17">
                  <c:v>185.5</c:v>
                </c:pt>
                <c:pt idx="18">
                  <c:v>94</c:v>
                </c:pt>
                <c:pt idx="19">
                  <c:v>60.5</c:v>
                </c:pt>
                <c:pt idx="20">
                  <c:v>47</c:v>
                </c:pt>
                <c:pt idx="21">
                  <c:v>92.5</c:v>
                </c:pt>
                <c:pt idx="22">
                  <c:v>212.5</c:v>
                </c:pt>
                <c:pt idx="23">
                  <c:v>431.5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EE-43EB-AD74-0C72B2A709E9}"/>
            </c:ext>
          </c:extLst>
        </c:ser>
        <c:ser>
          <c:idx val="5"/>
          <c:order val="2"/>
          <c:tx>
            <c:strRef>
              <c:f>'Avg Week MUKONO-KATOSI-2Dir'!$AC$9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MUKONO-KATOSI-2Dir'!$R$10:$R$33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MUKONO-KATOSI-2Dir'!$AC$10:$AC$33</c:f>
              <c:numCache>
                <c:formatCode>0</c:formatCode>
                <c:ptCount val="24"/>
                <c:pt idx="0">
                  <c:v>689.85714285714289</c:v>
                </c:pt>
                <c:pt idx="1">
                  <c:v>740.14285714285711</c:v>
                </c:pt>
                <c:pt idx="2">
                  <c:v>809.42857142857156</c:v>
                </c:pt>
                <c:pt idx="3">
                  <c:v>727.85714285714289</c:v>
                </c:pt>
                <c:pt idx="4">
                  <c:v>749.71428571428555</c:v>
                </c:pt>
                <c:pt idx="5">
                  <c:v>707.85714285714278</c:v>
                </c:pt>
                <c:pt idx="6">
                  <c:v>747</c:v>
                </c:pt>
                <c:pt idx="7">
                  <c:v>581</c:v>
                </c:pt>
                <c:pt idx="8">
                  <c:v>699.42857142857144</c:v>
                </c:pt>
                <c:pt idx="9">
                  <c:v>719.57142857142856</c:v>
                </c:pt>
                <c:pt idx="10">
                  <c:v>704.99999999999989</c:v>
                </c:pt>
                <c:pt idx="11">
                  <c:v>740</c:v>
                </c:pt>
                <c:pt idx="12">
                  <c:v>600.5</c:v>
                </c:pt>
                <c:pt idx="13">
                  <c:v>574</c:v>
                </c:pt>
                <c:pt idx="14">
                  <c:v>558.5</c:v>
                </c:pt>
                <c:pt idx="15">
                  <c:v>352.5</c:v>
                </c:pt>
                <c:pt idx="16">
                  <c:v>288</c:v>
                </c:pt>
                <c:pt idx="17">
                  <c:v>114</c:v>
                </c:pt>
                <c:pt idx="18">
                  <c:v>55.5</c:v>
                </c:pt>
                <c:pt idx="19">
                  <c:v>36.5</c:v>
                </c:pt>
                <c:pt idx="20">
                  <c:v>32</c:v>
                </c:pt>
                <c:pt idx="21">
                  <c:v>51.5</c:v>
                </c:pt>
                <c:pt idx="22">
                  <c:v>125</c:v>
                </c:pt>
                <c:pt idx="23">
                  <c:v>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EE-43EB-AD74-0C72B2A70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05792"/>
        <c:axId val="157506944"/>
      </c:lineChart>
      <c:catAx>
        <c:axId val="157505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506944"/>
        <c:crosses val="autoZero"/>
        <c:auto val="1"/>
        <c:lblAlgn val="ctr"/>
        <c:lblOffset val="100"/>
        <c:noMultiLvlLbl val="0"/>
      </c:catAx>
      <c:valAx>
        <c:axId val="157506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50579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MUKONO-KATOSI-2Dir'!$S$9:$AF$9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MUKONO-KATOSI-2Dir'!$S$41:$AF$41</c:f>
              <c:numCache>
                <c:formatCode>0</c:formatCode>
                <c:ptCount val="14"/>
                <c:pt idx="0">
                  <c:v>1751.2142857142858</c:v>
                </c:pt>
                <c:pt idx="1">
                  <c:v>741.92857142857133</c:v>
                </c:pt>
                <c:pt idx="2">
                  <c:v>461.35714285714289</c:v>
                </c:pt>
                <c:pt idx="3">
                  <c:v>1160</c:v>
                </c:pt>
                <c:pt idx="4">
                  <c:v>85.071428571428555</c:v>
                </c:pt>
                <c:pt idx="5">
                  <c:v>5.4285714285714288</c:v>
                </c:pt>
                <c:pt idx="6">
                  <c:v>774.50000000000011</c:v>
                </c:pt>
                <c:pt idx="7">
                  <c:v>209.78571428571428</c:v>
                </c:pt>
                <c:pt idx="8">
                  <c:v>69.571428571428569</c:v>
                </c:pt>
                <c:pt idx="9">
                  <c:v>114.5</c:v>
                </c:pt>
                <c:pt idx="10">
                  <c:v>11695.857142857143</c:v>
                </c:pt>
                <c:pt idx="11">
                  <c:v>21.999999999999993</c:v>
                </c:pt>
                <c:pt idx="12">
                  <c:v>5395.3571428571431</c:v>
                </c:pt>
                <c:pt idx="13">
                  <c:v>17091.214285714286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A-4C17-8366-7DF3B1222E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7815168"/>
        <c:axId val="157816704"/>
      </c:barChart>
      <c:catAx>
        <c:axId val="1578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16704"/>
        <c:crosses val="autoZero"/>
        <c:auto val="1"/>
        <c:lblAlgn val="ctr"/>
        <c:lblOffset val="100"/>
        <c:noMultiLvlLbl val="0"/>
      </c:catAx>
      <c:valAx>
        <c:axId val="15781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1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MUKONO-KATOSI-2Dir'!$S$9:$AF$9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MUKONO-KATOSI-2Dir'!$S$42:$AF$42</c:f>
              <c:numCache>
                <c:formatCode>0.000</c:formatCode>
                <c:ptCount val="14"/>
                <c:pt idx="0">
                  <c:v>1.4114565342544616</c:v>
                </c:pt>
                <c:pt idx="1">
                  <c:v>1.3961021505376345</c:v>
                </c:pt>
                <c:pt idx="2">
                  <c:v>1.3695928753180662</c:v>
                </c:pt>
                <c:pt idx="3">
                  <c:v>1.4445828144458284</c:v>
                </c:pt>
                <c:pt idx="4">
                  <c:v>1.4044811320754715</c:v>
                </c:pt>
                <c:pt idx="5">
                  <c:v>1.2258064516129032</c:v>
                </c:pt>
                <c:pt idx="6">
                  <c:v>1.2675941080196398</c:v>
                </c:pt>
                <c:pt idx="7">
                  <c:v>1.4539603960396039</c:v>
                </c:pt>
                <c:pt idx="8">
                  <c:v>1.4034582132564841</c:v>
                </c:pt>
                <c:pt idx="9">
                  <c:v>1.1009615384615385</c:v>
                </c:pt>
                <c:pt idx="10">
                  <c:v>1.3573228555323453</c:v>
                </c:pt>
                <c:pt idx="11">
                  <c:v>1</c:v>
                </c:pt>
                <c:pt idx="12">
                  <c:v>1.3806433924328279</c:v>
                </c:pt>
                <c:pt idx="13">
                  <c:v>1.3645991354236766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F7-98AD-953C56EF98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7861376"/>
        <c:axId val="157862912"/>
      </c:barChart>
      <c:catAx>
        <c:axId val="1578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62912"/>
        <c:crosses val="autoZero"/>
        <c:auto val="1"/>
        <c:lblAlgn val="ctr"/>
        <c:lblOffset val="100"/>
        <c:noMultiLvlLbl val="0"/>
      </c:catAx>
      <c:valAx>
        <c:axId val="15786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6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4.xml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9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3.xml"/><Relationship Id="rId2" Type="http://schemas.openxmlformats.org/officeDocument/2006/relationships/image" Target="../media/image2.emf"/><Relationship Id="rId16" Type="http://schemas.openxmlformats.org/officeDocument/2006/relationships/chart" Target="../charts/chart62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61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153913</xdr:colOff>
      <xdr:row>7</xdr:row>
      <xdr:rowOff>221910</xdr:rowOff>
    </xdr:from>
    <xdr:to>
      <xdr:col>7</xdr:col>
      <xdr:colOff>861100</xdr:colOff>
      <xdr:row>7</xdr:row>
      <xdr:rowOff>603336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37163" y="209516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22224</xdr:rowOff>
    </xdr:from>
    <xdr:to>
      <xdr:col>27</xdr:col>
      <xdr:colOff>698500</xdr:colOff>
      <xdr:row>56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58</xdr:row>
      <xdr:rowOff>9525</xdr:rowOff>
    </xdr:from>
    <xdr:to>
      <xdr:col>23</xdr:col>
      <xdr:colOff>15876</xdr:colOff>
      <xdr:row>73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0528A59-0010-4D7E-82B3-4199F0C17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15875</xdr:colOff>
      <xdr:row>58</xdr:row>
      <xdr:rowOff>15875</xdr:rowOff>
    </xdr:from>
    <xdr:to>
      <xdr:col>31</xdr:col>
      <xdr:colOff>15875</xdr:colOff>
      <xdr:row>72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131085</xdr:colOff>
      <xdr:row>42</xdr:row>
      <xdr:rowOff>276225</xdr:rowOff>
    </xdr:from>
    <xdr:to>
      <xdr:col>27</xdr:col>
      <xdr:colOff>714374</xdr:colOff>
      <xdr:row>57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57</xdr:row>
      <xdr:rowOff>279400</xdr:rowOff>
    </xdr:from>
    <xdr:to>
      <xdr:col>23</xdr:col>
      <xdr:colOff>31750</xdr:colOff>
      <xdr:row>73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B52FC5F-8151-4468-9056-5691CAE9E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15875</xdr:colOff>
      <xdr:row>58</xdr:row>
      <xdr:rowOff>0</xdr:rowOff>
    </xdr:from>
    <xdr:to>
      <xdr:col>31</xdr:col>
      <xdr:colOff>15875</xdr:colOff>
      <xdr:row>73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57149</xdr:rowOff>
    </xdr:from>
    <xdr:to>
      <xdr:col>23</xdr:col>
      <xdr:colOff>650875</xdr:colOff>
      <xdr:row>74</xdr:row>
      <xdr:rowOff>47624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74</xdr:row>
      <xdr:rowOff>63500</xdr:rowOff>
    </xdr:from>
    <xdr:to>
      <xdr:col>23</xdr:col>
      <xdr:colOff>650874</xdr:colOff>
      <xdr:row>90</xdr:row>
      <xdr:rowOff>79375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1</xdr:rowOff>
    </xdr:from>
    <xdr:to>
      <xdr:col>28</xdr:col>
      <xdr:colOff>15876</xdr:colOff>
      <xdr:row>58</xdr:row>
      <xdr:rowOff>63501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666749</xdr:colOff>
      <xdr:row>58</xdr:row>
      <xdr:rowOff>79326</xdr:rowOff>
    </xdr:from>
    <xdr:to>
      <xdr:col>30</xdr:col>
      <xdr:colOff>698499</xdr:colOff>
      <xdr:row>74</xdr:row>
      <xdr:rowOff>63500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666749</xdr:colOff>
      <xdr:row>74</xdr:row>
      <xdr:rowOff>79374</xdr:rowOff>
    </xdr:from>
    <xdr:to>
      <xdr:col>30</xdr:col>
      <xdr:colOff>698499</xdr:colOff>
      <xdr:row>90</xdr:row>
      <xdr:rowOff>77787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1" t="s">
        <v>96</v>
      </c>
      <c r="C3" s="58" t="s">
        <v>163</v>
      </c>
      <c r="D3" s="58"/>
      <c r="E3" s="58"/>
      <c r="F3" s="58"/>
      <c r="G3" s="58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164</v>
      </c>
      <c r="E5" s="3"/>
      <c r="F5" s="41" t="s">
        <v>1</v>
      </c>
      <c r="G5" s="53" t="s">
        <v>167</v>
      </c>
      <c r="H5" s="54"/>
      <c r="I5" s="14"/>
      <c r="J5" s="2" t="s">
        <v>5</v>
      </c>
      <c r="K5" s="53" t="s">
        <v>168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">
        <v>165</v>
      </c>
      <c r="E6" s="54"/>
      <c r="F6" s="2" t="s">
        <v>2</v>
      </c>
      <c r="G6" s="53" t="s">
        <v>166</v>
      </c>
      <c r="H6" s="54"/>
      <c r="J6" s="2" t="s">
        <v>21</v>
      </c>
      <c r="K6" s="53" t="s">
        <v>169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2</v>
      </c>
      <c r="E10" s="50">
        <v>1</v>
      </c>
      <c r="F10" s="50">
        <v>6</v>
      </c>
      <c r="G10" s="50">
        <v>1</v>
      </c>
      <c r="H10" s="50">
        <v>0</v>
      </c>
      <c r="I10" s="50">
        <v>3</v>
      </c>
      <c r="J10" s="50">
        <v>2</v>
      </c>
      <c r="K10" s="50">
        <v>0</v>
      </c>
      <c r="L10" s="50">
        <v>1</v>
      </c>
      <c r="M10" s="50">
        <v>39</v>
      </c>
      <c r="N10" s="50">
        <v>0</v>
      </c>
      <c r="O10" s="15">
        <f t="shared" ref="O10:O57" si="0">SUM(C10:L10,N10)</f>
        <v>19</v>
      </c>
      <c r="P10" s="15">
        <f t="shared" ref="P10:P57" si="1">SUM(C10:N10)</f>
        <v>58</v>
      </c>
      <c r="R10" s="1" t="s">
        <v>6</v>
      </c>
      <c r="S10" s="17">
        <f t="shared" ref="S10:AF10" si="2">SUM(C10:C13)</f>
        <v>41</v>
      </c>
      <c r="T10" s="17">
        <f t="shared" si="2"/>
        <v>18</v>
      </c>
      <c r="U10" s="17">
        <f t="shared" si="2"/>
        <v>10</v>
      </c>
      <c r="V10" s="17">
        <f t="shared" si="2"/>
        <v>25</v>
      </c>
      <c r="W10" s="17">
        <f t="shared" si="2"/>
        <v>3</v>
      </c>
      <c r="X10" s="17">
        <f t="shared" si="2"/>
        <v>0</v>
      </c>
      <c r="Y10" s="17">
        <f t="shared" si="2"/>
        <v>25</v>
      </c>
      <c r="Z10" s="17">
        <f t="shared" si="2"/>
        <v>3</v>
      </c>
      <c r="AA10" s="17">
        <f t="shared" si="2"/>
        <v>1</v>
      </c>
      <c r="AB10" s="17">
        <f t="shared" si="2"/>
        <v>7</v>
      </c>
      <c r="AC10" s="17">
        <f t="shared" si="2"/>
        <v>313</v>
      </c>
      <c r="AD10" s="17">
        <f t="shared" si="2"/>
        <v>0</v>
      </c>
      <c r="AE10" s="31">
        <f t="shared" si="2"/>
        <v>133</v>
      </c>
      <c r="AF10" s="31">
        <f t="shared" si="2"/>
        <v>446</v>
      </c>
    </row>
    <row r="11" spans="2:32" s="6" customFormat="1" ht="23.1" customHeight="1" x14ac:dyDescent="0.25">
      <c r="B11" s="23" t="s">
        <v>38</v>
      </c>
      <c r="C11" s="50">
        <v>10</v>
      </c>
      <c r="D11" s="50">
        <v>3</v>
      </c>
      <c r="E11" s="50">
        <v>1</v>
      </c>
      <c r="F11" s="50">
        <v>5</v>
      </c>
      <c r="G11" s="50">
        <v>0</v>
      </c>
      <c r="H11" s="50">
        <v>0</v>
      </c>
      <c r="I11" s="50">
        <v>4</v>
      </c>
      <c r="J11" s="50">
        <v>0</v>
      </c>
      <c r="K11" s="50">
        <v>1</v>
      </c>
      <c r="L11" s="50">
        <v>0</v>
      </c>
      <c r="M11" s="50">
        <v>85</v>
      </c>
      <c r="N11" s="50">
        <v>0</v>
      </c>
      <c r="O11" s="15">
        <f t="shared" si="0"/>
        <v>24</v>
      </c>
      <c r="P11" s="15">
        <f t="shared" si="1"/>
        <v>109</v>
      </c>
      <c r="R11" s="1" t="s">
        <v>7</v>
      </c>
      <c r="S11" s="17">
        <f t="shared" ref="S11:AF11" si="3">SUM(C14:C17)</f>
        <v>57</v>
      </c>
      <c r="T11" s="17">
        <f t="shared" si="3"/>
        <v>18</v>
      </c>
      <c r="U11" s="17">
        <f t="shared" si="3"/>
        <v>14</v>
      </c>
      <c r="V11" s="17">
        <f t="shared" si="3"/>
        <v>24</v>
      </c>
      <c r="W11" s="17">
        <f t="shared" si="3"/>
        <v>1</v>
      </c>
      <c r="X11" s="17">
        <f t="shared" si="3"/>
        <v>0</v>
      </c>
      <c r="Y11" s="17">
        <f t="shared" si="3"/>
        <v>19</v>
      </c>
      <c r="Z11" s="17">
        <f t="shared" si="3"/>
        <v>2</v>
      </c>
      <c r="AA11" s="17">
        <f t="shared" si="3"/>
        <v>0</v>
      </c>
      <c r="AB11" s="17">
        <f t="shared" si="3"/>
        <v>4</v>
      </c>
      <c r="AC11" s="17">
        <f t="shared" si="3"/>
        <v>467</v>
      </c>
      <c r="AD11" s="17">
        <f t="shared" si="3"/>
        <v>0</v>
      </c>
      <c r="AE11" s="31">
        <f t="shared" si="3"/>
        <v>139</v>
      </c>
      <c r="AF11" s="31">
        <f t="shared" si="3"/>
        <v>606</v>
      </c>
    </row>
    <row r="12" spans="2:32" ht="23.1" customHeight="1" x14ac:dyDescent="0.25">
      <c r="B12" s="23" t="s">
        <v>39</v>
      </c>
      <c r="C12" s="50">
        <v>11</v>
      </c>
      <c r="D12" s="50">
        <v>5</v>
      </c>
      <c r="E12" s="50">
        <v>4</v>
      </c>
      <c r="F12" s="50">
        <v>8</v>
      </c>
      <c r="G12" s="50">
        <v>1</v>
      </c>
      <c r="H12" s="50">
        <v>0</v>
      </c>
      <c r="I12" s="50">
        <v>8</v>
      </c>
      <c r="J12" s="50">
        <v>0</v>
      </c>
      <c r="K12" s="50">
        <v>0</v>
      </c>
      <c r="L12" s="50">
        <v>1</v>
      </c>
      <c r="M12" s="50">
        <v>101</v>
      </c>
      <c r="N12" s="50">
        <v>0</v>
      </c>
      <c r="O12" s="15">
        <f t="shared" si="0"/>
        <v>38</v>
      </c>
      <c r="P12" s="15">
        <f t="shared" si="1"/>
        <v>139</v>
      </c>
      <c r="R12" s="1" t="s">
        <v>8</v>
      </c>
      <c r="S12" s="17">
        <f t="shared" ref="S12:AF12" si="4">SUM(C18:C21)</f>
        <v>58</v>
      </c>
      <c r="T12" s="17">
        <f t="shared" si="4"/>
        <v>28</v>
      </c>
      <c r="U12" s="17">
        <f t="shared" si="4"/>
        <v>19</v>
      </c>
      <c r="V12" s="17">
        <f t="shared" si="4"/>
        <v>30</v>
      </c>
      <c r="W12" s="17">
        <f t="shared" si="4"/>
        <v>2</v>
      </c>
      <c r="X12" s="17">
        <f t="shared" si="4"/>
        <v>0</v>
      </c>
      <c r="Y12" s="17">
        <f t="shared" si="4"/>
        <v>23</v>
      </c>
      <c r="Z12" s="17">
        <f t="shared" si="4"/>
        <v>6</v>
      </c>
      <c r="AA12" s="17">
        <f t="shared" si="4"/>
        <v>5</v>
      </c>
      <c r="AB12" s="17">
        <f t="shared" si="4"/>
        <v>1</v>
      </c>
      <c r="AC12" s="17">
        <f t="shared" si="4"/>
        <v>482</v>
      </c>
      <c r="AD12" s="17">
        <f t="shared" si="4"/>
        <v>0</v>
      </c>
      <c r="AE12" s="31">
        <f t="shared" si="4"/>
        <v>172</v>
      </c>
      <c r="AF12" s="31">
        <f t="shared" si="4"/>
        <v>654</v>
      </c>
    </row>
    <row r="13" spans="2:32" ht="23.1" customHeight="1" x14ac:dyDescent="0.25">
      <c r="B13" s="23" t="s">
        <v>40</v>
      </c>
      <c r="C13" s="50">
        <v>17</v>
      </c>
      <c r="D13" s="50">
        <v>8</v>
      </c>
      <c r="E13" s="50">
        <v>4</v>
      </c>
      <c r="F13" s="50">
        <v>6</v>
      </c>
      <c r="G13" s="50">
        <v>1</v>
      </c>
      <c r="H13" s="50">
        <v>0</v>
      </c>
      <c r="I13" s="50">
        <v>10</v>
      </c>
      <c r="J13" s="50">
        <v>1</v>
      </c>
      <c r="K13" s="50">
        <v>0</v>
      </c>
      <c r="L13" s="50">
        <v>5</v>
      </c>
      <c r="M13" s="50">
        <v>88</v>
      </c>
      <c r="N13" s="50">
        <v>0</v>
      </c>
      <c r="O13" s="15">
        <f t="shared" si="0"/>
        <v>52</v>
      </c>
      <c r="P13" s="15">
        <f t="shared" si="1"/>
        <v>140</v>
      </c>
      <c r="R13" s="1" t="s">
        <v>9</v>
      </c>
      <c r="S13" s="17">
        <f t="shared" ref="S13:AF13" si="5">SUM(C22:C25)</f>
        <v>62</v>
      </c>
      <c r="T13" s="17">
        <f t="shared" si="5"/>
        <v>21</v>
      </c>
      <c r="U13" s="17">
        <f t="shared" si="5"/>
        <v>13</v>
      </c>
      <c r="V13" s="17">
        <f t="shared" si="5"/>
        <v>33</v>
      </c>
      <c r="W13" s="17">
        <f t="shared" si="5"/>
        <v>3</v>
      </c>
      <c r="X13" s="17">
        <f t="shared" si="5"/>
        <v>0</v>
      </c>
      <c r="Y13" s="17">
        <f t="shared" si="5"/>
        <v>32</v>
      </c>
      <c r="Z13" s="17">
        <f t="shared" si="5"/>
        <v>5</v>
      </c>
      <c r="AA13" s="17">
        <f t="shared" si="5"/>
        <v>3</v>
      </c>
      <c r="AB13" s="17">
        <f t="shared" si="5"/>
        <v>4</v>
      </c>
      <c r="AC13" s="17">
        <f t="shared" si="5"/>
        <v>451</v>
      </c>
      <c r="AD13" s="17">
        <f t="shared" si="5"/>
        <v>0</v>
      </c>
      <c r="AE13" s="31">
        <f t="shared" si="5"/>
        <v>176</v>
      </c>
      <c r="AF13" s="31">
        <f t="shared" si="5"/>
        <v>627</v>
      </c>
    </row>
    <row r="14" spans="2:32" ht="23.1" customHeight="1" x14ac:dyDescent="0.25">
      <c r="B14" s="23" t="s">
        <v>41</v>
      </c>
      <c r="C14" s="50">
        <v>12</v>
      </c>
      <c r="D14" s="50">
        <v>4</v>
      </c>
      <c r="E14" s="50">
        <v>3</v>
      </c>
      <c r="F14" s="50">
        <v>7</v>
      </c>
      <c r="G14" s="50">
        <v>1</v>
      </c>
      <c r="H14" s="50">
        <v>0</v>
      </c>
      <c r="I14" s="50">
        <v>8</v>
      </c>
      <c r="J14" s="50">
        <v>2</v>
      </c>
      <c r="K14" s="50">
        <v>0</v>
      </c>
      <c r="L14" s="50">
        <v>1</v>
      </c>
      <c r="M14" s="50">
        <v>105</v>
      </c>
      <c r="N14" s="50">
        <v>0</v>
      </c>
      <c r="O14" s="15">
        <f t="shared" si="0"/>
        <v>38</v>
      </c>
      <c r="P14" s="15">
        <f t="shared" si="1"/>
        <v>143</v>
      </c>
      <c r="R14" s="1" t="s">
        <v>10</v>
      </c>
      <c r="S14" s="17">
        <f t="shared" ref="S14:AF14" si="6">SUM(C26:C29)</f>
        <v>53</v>
      </c>
      <c r="T14" s="17">
        <f t="shared" si="6"/>
        <v>28</v>
      </c>
      <c r="U14" s="17">
        <f t="shared" si="6"/>
        <v>23</v>
      </c>
      <c r="V14" s="17">
        <f t="shared" si="6"/>
        <v>35</v>
      </c>
      <c r="W14" s="17">
        <f t="shared" si="6"/>
        <v>2</v>
      </c>
      <c r="X14" s="17">
        <f t="shared" si="6"/>
        <v>0</v>
      </c>
      <c r="Y14" s="17">
        <f t="shared" si="6"/>
        <v>40</v>
      </c>
      <c r="Z14" s="17">
        <f t="shared" si="6"/>
        <v>4</v>
      </c>
      <c r="AA14" s="17">
        <f t="shared" si="6"/>
        <v>2</v>
      </c>
      <c r="AB14" s="17">
        <f t="shared" si="6"/>
        <v>2</v>
      </c>
      <c r="AC14" s="17">
        <f t="shared" si="6"/>
        <v>368</v>
      </c>
      <c r="AD14" s="17">
        <f t="shared" si="6"/>
        <v>0</v>
      </c>
      <c r="AE14" s="31">
        <f t="shared" si="6"/>
        <v>189</v>
      </c>
      <c r="AF14" s="31">
        <f t="shared" si="6"/>
        <v>557</v>
      </c>
    </row>
    <row r="15" spans="2:32" ht="23.1" customHeight="1" x14ac:dyDescent="0.25">
      <c r="B15" s="23" t="s">
        <v>42</v>
      </c>
      <c r="C15" s="50">
        <v>8</v>
      </c>
      <c r="D15" s="50">
        <v>3</v>
      </c>
      <c r="E15" s="50">
        <v>5</v>
      </c>
      <c r="F15" s="50">
        <v>2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2</v>
      </c>
      <c r="M15" s="50">
        <v>127</v>
      </c>
      <c r="N15" s="50">
        <v>0</v>
      </c>
      <c r="O15" s="15">
        <f t="shared" si="0"/>
        <v>23</v>
      </c>
      <c r="P15" s="15">
        <f t="shared" si="1"/>
        <v>150</v>
      </c>
      <c r="R15" s="1" t="s">
        <v>11</v>
      </c>
      <c r="S15" s="17">
        <f t="shared" ref="S15:AF15" si="7">SUM(C30:C33)</f>
        <v>36</v>
      </c>
      <c r="T15" s="17">
        <f t="shared" si="7"/>
        <v>16</v>
      </c>
      <c r="U15" s="17">
        <f t="shared" si="7"/>
        <v>15</v>
      </c>
      <c r="V15" s="17">
        <f t="shared" si="7"/>
        <v>32</v>
      </c>
      <c r="W15" s="17">
        <f t="shared" si="7"/>
        <v>1</v>
      </c>
      <c r="X15" s="17">
        <f t="shared" si="7"/>
        <v>0</v>
      </c>
      <c r="Y15" s="17">
        <f t="shared" si="7"/>
        <v>18</v>
      </c>
      <c r="Z15" s="17">
        <f t="shared" si="7"/>
        <v>10</v>
      </c>
      <c r="AA15" s="17">
        <f t="shared" si="7"/>
        <v>0</v>
      </c>
      <c r="AB15" s="17">
        <f t="shared" si="7"/>
        <v>3</v>
      </c>
      <c r="AC15" s="17">
        <f t="shared" si="7"/>
        <v>383</v>
      </c>
      <c r="AD15" s="17">
        <f t="shared" si="7"/>
        <v>0</v>
      </c>
      <c r="AE15" s="31">
        <f t="shared" si="7"/>
        <v>131</v>
      </c>
      <c r="AF15" s="31">
        <f t="shared" si="7"/>
        <v>514</v>
      </c>
    </row>
    <row r="16" spans="2:32" ht="23.1" customHeight="1" x14ac:dyDescent="0.25">
      <c r="B16" s="23" t="s">
        <v>43</v>
      </c>
      <c r="C16" s="50">
        <v>22</v>
      </c>
      <c r="D16" s="50">
        <v>6</v>
      </c>
      <c r="E16" s="50">
        <v>3</v>
      </c>
      <c r="F16" s="50">
        <v>8</v>
      </c>
      <c r="G16" s="50">
        <v>0</v>
      </c>
      <c r="H16" s="50">
        <v>0</v>
      </c>
      <c r="I16" s="50">
        <v>6</v>
      </c>
      <c r="J16" s="50">
        <v>0</v>
      </c>
      <c r="K16" s="50">
        <v>0</v>
      </c>
      <c r="L16" s="50">
        <v>0</v>
      </c>
      <c r="M16" s="50">
        <v>123</v>
      </c>
      <c r="N16" s="50">
        <v>0</v>
      </c>
      <c r="O16" s="15">
        <f t="shared" si="0"/>
        <v>45</v>
      </c>
      <c r="P16" s="15">
        <f t="shared" si="1"/>
        <v>168</v>
      </c>
      <c r="R16" s="1" t="s">
        <v>12</v>
      </c>
      <c r="S16" s="17">
        <f t="shared" ref="S16:AF16" si="8">SUM(C34:C37)</f>
        <v>60</v>
      </c>
      <c r="T16" s="17">
        <f t="shared" si="8"/>
        <v>11</v>
      </c>
      <c r="U16" s="17">
        <f t="shared" si="8"/>
        <v>13</v>
      </c>
      <c r="V16" s="17">
        <f t="shared" si="8"/>
        <v>32</v>
      </c>
      <c r="W16" s="17">
        <f t="shared" si="8"/>
        <v>5</v>
      </c>
      <c r="X16" s="17">
        <f t="shared" si="8"/>
        <v>0</v>
      </c>
      <c r="Y16" s="17">
        <f t="shared" si="8"/>
        <v>32</v>
      </c>
      <c r="Z16" s="17">
        <f t="shared" si="8"/>
        <v>2</v>
      </c>
      <c r="AA16" s="17">
        <f t="shared" si="8"/>
        <v>2</v>
      </c>
      <c r="AB16" s="17">
        <f t="shared" si="8"/>
        <v>1</v>
      </c>
      <c r="AC16" s="17">
        <f t="shared" si="8"/>
        <v>423</v>
      </c>
      <c r="AD16" s="17">
        <f t="shared" si="8"/>
        <v>0</v>
      </c>
      <c r="AE16" s="31">
        <f t="shared" si="8"/>
        <v>158</v>
      </c>
      <c r="AF16" s="31">
        <f t="shared" si="8"/>
        <v>581</v>
      </c>
    </row>
    <row r="17" spans="2:32" ht="23.1" customHeight="1" x14ac:dyDescent="0.25">
      <c r="B17" s="23" t="s">
        <v>44</v>
      </c>
      <c r="C17" s="50">
        <v>15</v>
      </c>
      <c r="D17" s="50">
        <v>5</v>
      </c>
      <c r="E17" s="50">
        <v>3</v>
      </c>
      <c r="F17" s="50">
        <v>7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1</v>
      </c>
      <c r="M17" s="50">
        <v>112</v>
      </c>
      <c r="N17" s="50">
        <v>0</v>
      </c>
      <c r="O17" s="15">
        <f t="shared" si="0"/>
        <v>33</v>
      </c>
      <c r="P17" s="15">
        <f t="shared" si="1"/>
        <v>145</v>
      </c>
      <c r="R17" s="1" t="s">
        <v>13</v>
      </c>
      <c r="S17" s="17">
        <f t="shared" ref="S17:AF17" si="9">SUM(C38:C41)</f>
        <v>63</v>
      </c>
      <c r="T17" s="17">
        <f t="shared" si="9"/>
        <v>19</v>
      </c>
      <c r="U17" s="17">
        <f t="shared" si="9"/>
        <v>21</v>
      </c>
      <c r="V17" s="17">
        <f t="shared" si="9"/>
        <v>32</v>
      </c>
      <c r="W17" s="17">
        <f t="shared" si="9"/>
        <v>4</v>
      </c>
      <c r="X17" s="17">
        <f t="shared" si="9"/>
        <v>0</v>
      </c>
      <c r="Y17" s="17">
        <f t="shared" si="9"/>
        <v>38</v>
      </c>
      <c r="Z17" s="17">
        <f t="shared" si="9"/>
        <v>3</v>
      </c>
      <c r="AA17" s="17">
        <f t="shared" si="9"/>
        <v>2</v>
      </c>
      <c r="AB17" s="17">
        <f t="shared" si="9"/>
        <v>5</v>
      </c>
      <c r="AC17" s="17">
        <f t="shared" si="9"/>
        <v>355</v>
      </c>
      <c r="AD17" s="17">
        <f t="shared" si="9"/>
        <v>1</v>
      </c>
      <c r="AE17" s="31">
        <f t="shared" si="9"/>
        <v>188</v>
      </c>
      <c r="AF17" s="31">
        <f t="shared" si="9"/>
        <v>543</v>
      </c>
    </row>
    <row r="18" spans="2:32" ht="23.1" customHeight="1" x14ac:dyDescent="0.25">
      <c r="B18" s="23" t="s">
        <v>45</v>
      </c>
      <c r="C18" s="50">
        <v>18</v>
      </c>
      <c r="D18" s="50">
        <v>1</v>
      </c>
      <c r="E18" s="50">
        <v>2</v>
      </c>
      <c r="F18" s="50">
        <v>7</v>
      </c>
      <c r="G18" s="50">
        <v>1</v>
      </c>
      <c r="H18" s="50">
        <v>0</v>
      </c>
      <c r="I18" s="50">
        <v>10</v>
      </c>
      <c r="J18" s="50">
        <v>0</v>
      </c>
      <c r="K18" s="50">
        <v>0</v>
      </c>
      <c r="L18" s="50">
        <v>1</v>
      </c>
      <c r="M18" s="50">
        <v>128</v>
      </c>
      <c r="N18" s="50">
        <v>0</v>
      </c>
      <c r="O18" s="15">
        <f t="shared" si="0"/>
        <v>40</v>
      </c>
      <c r="P18" s="15">
        <f t="shared" si="1"/>
        <v>168</v>
      </c>
      <c r="R18" s="1" t="s">
        <v>14</v>
      </c>
      <c r="S18" s="17">
        <f t="shared" ref="S18:AF18" si="10">SUM(C42:C45)</f>
        <v>51</v>
      </c>
      <c r="T18" s="17">
        <f t="shared" si="10"/>
        <v>17</v>
      </c>
      <c r="U18" s="17">
        <f t="shared" si="10"/>
        <v>11</v>
      </c>
      <c r="V18" s="17">
        <f t="shared" si="10"/>
        <v>29</v>
      </c>
      <c r="W18" s="17">
        <f t="shared" si="10"/>
        <v>3</v>
      </c>
      <c r="X18" s="17">
        <f t="shared" si="10"/>
        <v>0</v>
      </c>
      <c r="Y18" s="17">
        <f t="shared" si="10"/>
        <v>31</v>
      </c>
      <c r="Z18" s="17">
        <f t="shared" si="10"/>
        <v>3</v>
      </c>
      <c r="AA18" s="17">
        <f t="shared" si="10"/>
        <v>1</v>
      </c>
      <c r="AB18" s="17">
        <f t="shared" si="10"/>
        <v>1</v>
      </c>
      <c r="AC18" s="17">
        <f t="shared" si="10"/>
        <v>356</v>
      </c>
      <c r="AD18" s="17">
        <f t="shared" si="10"/>
        <v>1</v>
      </c>
      <c r="AE18" s="31">
        <f t="shared" si="10"/>
        <v>148</v>
      </c>
      <c r="AF18" s="31">
        <f t="shared" si="10"/>
        <v>504</v>
      </c>
    </row>
    <row r="19" spans="2:32" ht="23.1" customHeight="1" x14ac:dyDescent="0.25">
      <c r="B19" s="23" t="s">
        <v>46</v>
      </c>
      <c r="C19" s="50">
        <v>14</v>
      </c>
      <c r="D19" s="50">
        <v>10</v>
      </c>
      <c r="E19" s="50">
        <v>7</v>
      </c>
      <c r="F19" s="50">
        <v>9</v>
      </c>
      <c r="G19" s="50">
        <v>0</v>
      </c>
      <c r="H19" s="50">
        <v>0</v>
      </c>
      <c r="I19" s="50">
        <v>5</v>
      </c>
      <c r="J19" s="50">
        <v>1</v>
      </c>
      <c r="K19" s="50">
        <v>2</v>
      </c>
      <c r="L19" s="50">
        <v>0</v>
      </c>
      <c r="M19" s="50">
        <v>124</v>
      </c>
      <c r="N19" s="50">
        <v>0</v>
      </c>
      <c r="O19" s="15">
        <f t="shared" si="0"/>
        <v>48</v>
      </c>
      <c r="P19" s="15">
        <f t="shared" si="1"/>
        <v>172</v>
      </c>
      <c r="R19" s="1" t="s">
        <v>15</v>
      </c>
      <c r="S19" s="17">
        <f t="shared" ref="S19:AF19" si="11">SUM(C46:C49)</f>
        <v>39</v>
      </c>
      <c r="T19" s="17">
        <f t="shared" si="11"/>
        <v>19</v>
      </c>
      <c r="U19" s="17">
        <f t="shared" si="11"/>
        <v>12</v>
      </c>
      <c r="V19" s="17">
        <f t="shared" si="11"/>
        <v>26</v>
      </c>
      <c r="W19" s="17">
        <f t="shared" si="11"/>
        <v>3</v>
      </c>
      <c r="X19" s="17">
        <f t="shared" si="11"/>
        <v>0</v>
      </c>
      <c r="Y19" s="17">
        <f t="shared" si="11"/>
        <v>25</v>
      </c>
      <c r="Z19" s="17">
        <f t="shared" si="11"/>
        <v>7</v>
      </c>
      <c r="AA19" s="17">
        <f t="shared" si="11"/>
        <v>2</v>
      </c>
      <c r="AB19" s="17">
        <f t="shared" si="11"/>
        <v>0</v>
      </c>
      <c r="AC19" s="17">
        <f t="shared" si="11"/>
        <v>392</v>
      </c>
      <c r="AD19" s="17">
        <f t="shared" si="11"/>
        <v>0</v>
      </c>
      <c r="AE19" s="31">
        <f t="shared" si="11"/>
        <v>133</v>
      </c>
      <c r="AF19" s="31">
        <f t="shared" si="11"/>
        <v>525</v>
      </c>
    </row>
    <row r="20" spans="2:32" ht="23.1" customHeight="1" x14ac:dyDescent="0.25">
      <c r="B20" s="23" t="s">
        <v>47</v>
      </c>
      <c r="C20" s="50">
        <v>12</v>
      </c>
      <c r="D20" s="50">
        <v>12</v>
      </c>
      <c r="E20" s="50">
        <v>4</v>
      </c>
      <c r="F20" s="50">
        <v>7</v>
      </c>
      <c r="G20" s="50">
        <v>1</v>
      </c>
      <c r="H20" s="50">
        <v>0</v>
      </c>
      <c r="I20" s="50">
        <v>6</v>
      </c>
      <c r="J20" s="50">
        <v>3</v>
      </c>
      <c r="K20" s="50">
        <v>2</v>
      </c>
      <c r="L20" s="50">
        <v>0</v>
      </c>
      <c r="M20" s="50">
        <v>123</v>
      </c>
      <c r="N20" s="50">
        <v>0</v>
      </c>
      <c r="O20" s="15">
        <f t="shared" si="0"/>
        <v>47</v>
      </c>
      <c r="P20" s="15">
        <f t="shared" si="1"/>
        <v>170</v>
      </c>
      <c r="R20" s="1" t="s">
        <v>16</v>
      </c>
      <c r="S20" s="17">
        <f t="shared" ref="S20:AF20" si="12">SUM(C50:C53)</f>
        <v>57</v>
      </c>
      <c r="T20" s="17">
        <f t="shared" si="12"/>
        <v>8</v>
      </c>
      <c r="U20" s="17">
        <f t="shared" si="12"/>
        <v>10</v>
      </c>
      <c r="V20" s="17">
        <f t="shared" si="12"/>
        <v>40</v>
      </c>
      <c r="W20" s="17">
        <f t="shared" si="12"/>
        <v>2</v>
      </c>
      <c r="X20" s="17">
        <f t="shared" si="12"/>
        <v>0</v>
      </c>
      <c r="Y20" s="17">
        <f t="shared" si="12"/>
        <v>11</v>
      </c>
      <c r="Z20" s="17">
        <f t="shared" si="12"/>
        <v>13</v>
      </c>
      <c r="AA20" s="17">
        <f t="shared" si="12"/>
        <v>0</v>
      </c>
      <c r="AB20" s="17">
        <f t="shared" si="12"/>
        <v>2</v>
      </c>
      <c r="AC20" s="17">
        <f t="shared" si="12"/>
        <v>403</v>
      </c>
      <c r="AD20" s="17">
        <f t="shared" si="12"/>
        <v>0</v>
      </c>
      <c r="AE20" s="31">
        <f t="shared" si="12"/>
        <v>143</v>
      </c>
      <c r="AF20" s="31">
        <f t="shared" si="12"/>
        <v>546</v>
      </c>
    </row>
    <row r="21" spans="2:32" ht="23.1" customHeight="1" x14ac:dyDescent="0.25">
      <c r="B21" s="23" t="s">
        <v>48</v>
      </c>
      <c r="C21" s="50">
        <v>14</v>
      </c>
      <c r="D21" s="50">
        <v>5</v>
      </c>
      <c r="E21" s="50">
        <v>6</v>
      </c>
      <c r="F21" s="50">
        <v>7</v>
      </c>
      <c r="G21" s="50">
        <v>0</v>
      </c>
      <c r="H21" s="50">
        <v>0</v>
      </c>
      <c r="I21" s="50">
        <v>2</v>
      </c>
      <c r="J21" s="50">
        <v>2</v>
      </c>
      <c r="K21" s="50">
        <v>1</v>
      </c>
      <c r="L21" s="50">
        <v>0</v>
      </c>
      <c r="M21" s="50">
        <v>107</v>
      </c>
      <c r="N21" s="50">
        <v>0</v>
      </c>
      <c r="O21" s="15">
        <f t="shared" si="0"/>
        <v>37</v>
      </c>
      <c r="P21" s="15">
        <f t="shared" si="1"/>
        <v>144</v>
      </c>
      <c r="R21" s="36" t="s">
        <v>20</v>
      </c>
      <c r="S21" s="34">
        <f t="shared" ref="S21:AF21" si="13">SUM(C54:C57)</f>
        <v>35</v>
      </c>
      <c r="T21" s="17">
        <f t="shared" si="13"/>
        <v>13</v>
      </c>
      <c r="U21" s="17">
        <f t="shared" si="13"/>
        <v>10</v>
      </c>
      <c r="V21" s="17">
        <f t="shared" si="13"/>
        <v>28</v>
      </c>
      <c r="W21" s="17">
        <f t="shared" si="13"/>
        <v>4</v>
      </c>
      <c r="X21" s="17">
        <f t="shared" si="13"/>
        <v>0</v>
      </c>
      <c r="Y21" s="17">
        <f t="shared" si="13"/>
        <v>17</v>
      </c>
      <c r="Z21" s="17">
        <f t="shared" si="13"/>
        <v>7</v>
      </c>
      <c r="AA21" s="17">
        <f t="shared" si="13"/>
        <v>1</v>
      </c>
      <c r="AB21" s="17">
        <f t="shared" si="13"/>
        <v>1</v>
      </c>
      <c r="AC21" s="17">
        <f t="shared" si="13"/>
        <v>496</v>
      </c>
      <c r="AD21" s="17">
        <f t="shared" si="13"/>
        <v>0</v>
      </c>
      <c r="AE21" s="31">
        <f t="shared" si="13"/>
        <v>116</v>
      </c>
      <c r="AF21" s="31">
        <f t="shared" si="13"/>
        <v>612</v>
      </c>
    </row>
    <row r="22" spans="2:32" ht="23.1" customHeight="1" x14ac:dyDescent="0.25">
      <c r="B22" s="23" t="s">
        <v>49</v>
      </c>
      <c r="C22" s="50">
        <v>17</v>
      </c>
      <c r="D22" s="50">
        <v>4</v>
      </c>
      <c r="E22" s="50">
        <v>2</v>
      </c>
      <c r="F22" s="50">
        <v>12</v>
      </c>
      <c r="G22" s="50">
        <v>2</v>
      </c>
      <c r="H22" s="50">
        <v>0</v>
      </c>
      <c r="I22" s="50">
        <v>7</v>
      </c>
      <c r="J22" s="50">
        <v>1</v>
      </c>
      <c r="K22" s="50">
        <v>3</v>
      </c>
      <c r="L22" s="50">
        <v>0</v>
      </c>
      <c r="M22" s="50">
        <v>98</v>
      </c>
      <c r="N22" s="50">
        <v>0</v>
      </c>
      <c r="O22" s="15">
        <f t="shared" si="0"/>
        <v>48</v>
      </c>
      <c r="P22" s="15">
        <f t="shared" si="1"/>
        <v>146</v>
      </c>
      <c r="R22" s="38" t="s">
        <v>90</v>
      </c>
      <c r="S22" s="39">
        <f>MAX(S10:S12)</f>
        <v>58</v>
      </c>
      <c r="T22" s="39">
        <f t="shared" ref="T22:AF22" si="14">MAX(T10:T12)</f>
        <v>28</v>
      </c>
      <c r="U22" s="39">
        <f t="shared" si="14"/>
        <v>19</v>
      </c>
      <c r="V22" s="39">
        <f t="shared" si="14"/>
        <v>30</v>
      </c>
      <c r="W22" s="39">
        <f t="shared" si="14"/>
        <v>3</v>
      </c>
      <c r="X22" s="39">
        <f t="shared" si="14"/>
        <v>0</v>
      </c>
      <c r="Y22" s="39">
        <f t="shared" si="14"/>
        <v>25</v>
      </c>
      <c r="Z22" s="39">
        <f t="shared" si="14"/>
        <v>6</v>
      </c>
      <c r="AA22" s="39">
        <f t="shared" si="14"/>
        <v>5</v>
      </c>
      <c r="AB22" s="39">
        <f t="shared" si="14"/>
        <v>7</v>
      </c>
      <c r="AC22" s="39">
        <f t="shared" si="14"/>
        <v>482</v>
      </c>
      <c r="AD22" s="39">
        <f t="shared" si="14"/>
        <v>0</v>
      </c>
      <c r="AE22" s="40">
        <f t="shared" si="14"/>
        <v>172</v>
      </c>
      <c r="AF22" s="40">
        <f t="shared" si="14"/>
        <v>654</v>
      </c>
    </row>
    <row r="23" spans="2:32" ht="23.1" customHeight="1" x14ac:dyDescent="0.25">
      <c r="B23" s="23" t="s">
        <v>50</v>
      </c>
      <c r="C23" s="50">
        <v>11</v>
      </c>
      <c r="D23" s="50">
        <v>5</v>
      </c>
      <c r="E23" s="50">
        <v>6</v>
      </c>
      <c r="F23" s="50">
        <v>9</v>
      </c>
      <c r="G23" s="50">
        <v>1</v>
      </c>
      <c r="H23" s="50">
        <v>0</v>
      </c>
      <c r="I23" s="50">
        <v>7</v>
      </c>
      <c r="J23" s="50">
        <v>1</v>
      </c>
      <c r="K23" s="50">
        <v>0</v>
      </c>
      <c r="L23" s="50">
        <v>2</v>
      </c>
      <c r="M23" s="50">
        <v>103</v>
      </c>
      <c r="N23" s="50">
        <v>0</v>
      </c>
      <c r="O23" s="15">
        <f t="shared" si="0"/>
        <v>42</v>
      </c>
      <c r="P23" s="15">
        <f t="shared" si="1"/>
        <v>145</v>
      </c>
      <c r="R23" s="38" t="s">
        <v>91</v>
      </c>
      <c r="S23" s="39">
        <f>MAX(S13:S18)</f>
        <v>63</v>
      </c>
      <c r="T23" s="39">
        <f t="shared" ref="T23:AF23" si="15">MAX(T13:T18)</f>
        <v>28</v>
      </c>
      <c r="U23" s="39">
        <f t="shared" si="15"/>
        <v>23</v>
      </c>
      <c r="V23" s="39">
        <f t="shared" si="15"/>
        <v>35</v>
      </c>
      <c r="W23" s="39">
        <f t="shared" si="15"/>
        <v>5</v>
      </c>
      <c r="X23" s="39">
        <f t="shared" si="15"/>
        <v>0</v>
      </c>
      <c r="Y23" s="39">
        <f t="shared" si="15"/>
        <v>40</v>
      </c>
      <c r="Z23" s="39">
        <f t="shared" si="15"/>
        <v>10</v>
      </c>
      <c r="AA23" s="39">
        <f t="shared" si="15"/>
        <v>3</v>
      </c>
      <c r="AB23" s="39">
        <f t="shared" si="15"/>
        <v>5</v>
      </c>
      <c r="AC23" s="39">
        <f t="shared" si="15"/>
        <v>451</v>
      </c>
      <c r="AD23" s="39">
        <f t="shared" si="15"/>
        <v>1</v>
      </c>
      <c r="AE23" s="40">
        <f t="shared" si="15"/>
        <v>189</v>
      </c>
      <c r="AF23" s="40">
        <f t="shared" si="15"/>
        <v>627</v>
      </c>
    </row>
    <row r="24" spans="2:32" ht="23.1" customHeight="1" x14ac:dyDescent="0.25">
      <c r="B24" s="23" t="s">
        <v>51</v>
      </c>
      <c r="C24" s="50">
        <v>21</v>
      </c>
      <c r="D24" s="50">
        <v>5</v>
      </c>
      <c r="E24" s="50">
        <v>3</v>
      </c>
      <c r="F24" s="50">
        <v>9</v>
      </c>
      <c r="G24" s="50">
        <v>0</v>
      </c>
      <c r="H24" s="50">
        <v>0</v>
      </c>
      <c r="I24" s="50">
        <v>11</v>
      </c>
      <c r="J24" s="50">
        <v>2</v>
      </c>
      <c r="K24" s="50">
        <v>0</v>
      </c>
      <c r="L24" s="50">
        <v>1</v>
      </c>
      <c r="M24" s="50">
        <v>123</v>
      </c>
      <c r="N24" s="50">
        <v>0</v>
      </c>
      <c r="O24" s="15">
        <f t="shared" si="0"/>
        <v>52</v>
      </c>
      <c r="P24" s="15">
        <f t="shared" si="1"/>
        <v>175</v>
      </c>
      <c r="R24" s="38" t="s">
        <v>92</v>
      </c>
      <c r="S24" s="39">
        <f>MAX(S19:S21)</f>
        <v>57</v>
      </c>
      <c r="T24" s="39">
        <f t="shared" ref="T24:AF24" si="16">MAX(T19:T21)</f>
        <v>19</v>
      </c>
      <c r="U24" s="39">
        <f t="shared" si="16"/>
        <v>12</v>
      </c>
      <c r="V24" s="39">
        <f t="shared" si="16"/>
        <v>40</v>
      </c>
      <c r="W24" s="39">
        <f t="shared" si="16"/>
        <v>4</v>
      </c>
      <c r="X24" s="39">
        <f t="shared" si="16"/>
        <v>0</v>
      </c>
      <c r="Y24" s="39">
        <f t="shared" si="16"/>
        <v>25</v>
      </c>
      <c r="Z24" s="39">
        <f t="shared" si="16"/>
        <v>13</v>
      </c>
      <c r="AA24" s="39">
        <f t="shared" si="16"/>
        <v>2</v>
      </c>
      <c r="AB24" s="39">
        <f t="shared" si="16"/>
        <v>2</v>
      </c>
      <c r="AC24" s="39">
        <f t="shared" si="16"/>
        <v>496</v>
      </c>
      <c r="AD24" s="39">
        <f t="shared" si="16"/>
        <v>0</v>
      </c>
      <c r="AE24" s="40">
        <f t="shared" si="16"/>
        <v>143</v>
      </c>
      <c r="AF24" s="40">
        <f t="shared" si="16"/>
        <v>612</v>
      </c>
    </row>
    <row r="25" spans="2:32" ht="23.1" customHeight="1" x14ac:dyDescent="0.25">
      <c r="B25" s="23" t="s">
        <v>52</v>
      </c>
      <c r="C25" s="50">
        <v>13</v>
      </c>
      <c r="D25" s="50">
        <v>7</v>
      </c>
      <c r="E25" s="50">
        <v>2</v>
      </c>
      <c r="F25" s="50">
        <v>3</v>
      </c>
      <c r="G25" s="50">
        <v>0</v>
      </c>
      <c r="H25" s="50">
        <v>0</v>
      </c>
      <c r="I25" s="50">
        <v>7</v>
      </c>
      <c r="J25" s="50">
        <v>1</v>
      </c>
      <c r="K25" s="50">
        <v>0</v>
      </c>
      <c r="L25" s="50">
        <v>1</v>
      </c>
      <c r="M25" s="50">
        <v>127</v>
      </c>
      <c r="N25" s="50">
        <v>0</v>
      </c>
      <c r="O25" s="15">
        <f t="shared" si="0"/>
        <v>34</v>
      </c>
      <c r="P25" s="15">
        <f t="shared" si="1"/>
        <v>161</v>
      </c>
      <c r="R25" s="37" t="s">
        <v>85</v>
      </c>
      <c r="S25" s="35">
        <f t="shared" ref="S25:AF25" si="17">SUM(S10:S12)</f>
        <v>156</v>
      </c>
      <c r="T25" s="16">
        <f t="shared" si="17"/>
        <v>64</v>
      </c>
      <c r="U25" s="16">
        <f t="shared" si="17"/>
        <v>43</v>
      </c>
      <c r="V25" s="16">
        <f t="shared" si="17"/>
        <v>79</v>
      </c>
      <c r="W25" s="16">
        <f t="shared" si="17"/>
        <v>6</v>
      </c>
      <c r="X25" s="16">
        <f t="shared" si="17"/>
        <v>0</v>
      </c>
      <c r="Y25" s="16">
        <f t="shared" si="17"/>
        <v>67</v>
      </c>
      <c r="Z25" s="16">
        <f t="shared" si="17"/>
        <v>11</v>
      </c>
      <c r="AA25" s="16">
        <f t="shared" si="17"/>
        <v>6</v>
      </c>
      <c r="AB25" s="16">
        <f t="shared" si="17"/>
        <v>12</v>
      </c>
      <c r="AC25" s="16">
        <f t="shared" si="17"/>
        <v>1262</v>
      </c>
      <c r="AD25" s="16">
        <f t="shared" si="17"/>
        <v>0</v>
      </c>
      <c r="AE25" s="32">
        <f t="shared" si="17"/>
        <v>444</v>
      </c>
      <c r="AF25" s="32">
        <f t="shared" si="17"/>
        <v>1706</v>
      </c>
    </row>
    <row r="26" spans="2:32" ht="23.1" customHeight="1" x14ac:dyDescent="0.25">
      <c r="B26" s="23" t="s">
        <v>53</v>
      </c>
      <c r="C26" s="50">
        <v>13</v>
      </c>
      <c r="D26" s="50">
        <v>6</v>
      </c>
      <c r="E26" s="50">
        <v>5</v>
      </c>
      <c r="F26" s="50">
        <v>10</v>
      </c>
      <c r="G26" s="50">
        <v>0</v>
      </c>
      <c r="H26" s="50">
        <v>0</v>
      </c>
      <c r="I26" s="50">
        <v>6</v>
      </c>
      <c r="J26" s="50">
        <v>3</v>
      </c>
      <c r="K26" s="50">
        <v>2</v>
      </c>
      <c r="L26" s="50">
        <v>0</v>
      </c>
      <c r="M26" s="50">
        <v>100</v>
      </c>
      <c r="N26" s="50">
        <v>0</v>
      </c>
      <c r="O26" s="15">
        <f t="shared" si="0"/>
        <v>45</v>
      </c>
      <c r="P26" s="15">
        <f t="shared" si="1"/>
        <v>145</v>
      </c>
      <c r="R26" s="28" t="s">
        <v>86</v>
      </c>
      <c r="S26" s="16">
        <f t="shared" ref="S26:AF26" si="18">SUM(S13:S18)</f>
        <v>325</v>
      </c>
      <c r="T26" s="16">
        <f t="shared" si="18"/>
        <v>112</v>
      </c>
      <c r="U26" s="16">
        <f t="shared" si="18"/>
        <v>96</v>
      </c>
      <c r="V26" s="16">
        <f t="shared" si="18"/>
        <v>193</v>
      </c>
      <c r="W26" s="16">
        <f t="shared" si="18"/>
        <v>18</v>
      </c>
      <c r="X26" s="16">
        <f t="shared" si="18"/>
        <v>0</v>
      </c>
      <c r="Y26" s="16">
        <f t="shared" si="18"/>
        <v>191</v>
      </c>
      <c r="Z26" s="16">
        <f t="shared" si="18"/>
        <v>27</v>
      </c>
      <c r="AA26" s="16">
        <f t="shared" si="18"/>
        <v>10</v>
      </c>
      <c r="AB26" s="16">
        <f t="shared" si="18"/>
        <v>16</v>
      </c>
      <c r="AC26" s="16">
        <f t="shared" si="18"/>
        <v>2336</v>
      </c>
      <c r="AD26" s="16">
        <f t="shared" si="18"/>
        <v>2</v>
      </c>
      <c r="AE26" s="32">
        <f t="shared" si="18"/>
        <v>990</v>
      </c>
      <c r="AF26" s="32">
        <f t="shared" si="18"/>
        <v>3326</v>
      </c>
    </row>
    <row r="27" spans="2:32" ht="23.1" customHeight="1" x14ac:dyDescent="0.25">
      <c r="B27" s="23" t="s">
        <v>54</v>
      </c>
      <c r="C27" s="50">
        <v>19</v>
      </c>
      <c r="D27" s="50">
        <v>8</v>
      </c>
      <c r="E27" s="50">
        <v>10</v>
      </c>
      <c r="F27" s="50">
        <v>8</v>
      </c>
      <c r="G27" s="50">
        <v>1</v>
      </c>
      <c r="H27" s="50">
        <v>0</v>
      </c>
      <c r="I27" s="50">
        <v>11</v>
      </c>
      <c r="J27" s="50">
        <v>0</v>
      </c>
      <c r="K27" s="50">
        <v>0</v>
      </c>
      <c r="L27" s="50">
        <v>1</v>
      </c>
      <c r="M27" s="50">
        <v>115</v>
      </c>
      <c r="N27" s="50">
        <v>0</v>
      </c>
      <c r="O27" s="15">
        <f t="shared" si="0"/>
        <v>58</v>
      </c>
      <c r="P27" s="15">
        <f t="shared" si="1"/>
        <v>173</v>
      </c>
      <c r="R27" s="29" t="s">
        <v>87</v>
      </c>
      <c r="S27" s="16">
        <f t="shared" ref="S27:AF27" si="19">SUM(S19:S21)</f>
        <v>131</v>
      </c>
      <c r="T27" s="16">
        <f t="shared" si="19"/>
        <v>40</v>
      </c>
      <c r="U27" s="16">
        <f t="shared" si="19"/>
        <v>32</v>
      </c>
      <c r="V27" s="16">
        <f t="shared" si="19"/>
        <v>94</v>
      </c>
      <c r="W27" s="16">
        <f t="shared" si="19"/>
        <v>9</v>
      </c>
      <c r="X27" s="16">
        <f t="shared" si="19"/>
        <v>0</v>
      </c>
      <c r="Y27" s="16">
        <f t="shared" si="19"/>
        <v>53</v>
      </c>
      <c r="Z27" s="16">
        <f t="shared" si="19"/>
        <v>27</v>
      </c>
      <c r="AA27" s="16">
        <f t="shared" si="19"/>
        <v>3</v>
      </c>
      <c r="AB27" s="16">
        <f t="shared" si="19"/>
        <v>3</v>
      </c>
      <c r="AC27" s="16">
        <f t="shared" si="19"/>
        <v>1291</v>
      </c>
      <c r="AD27" s="16">
        <f t="shared" si="19"/>
        <v>0</v>
      </c>
      <c r="AE27" s="32">
        <f t="shared" si="19"/>
        <v>392</v>
      </c>
      <c r="AF27" s="32">
        <f t="shared" si="19"/>
        <v>1683</v>
      </c>
    </row>
    <row r="28" spans="2:32" ht="23.1" customHeight="1" x14ac:dyDescent="0.25">
      <c r="B28" s="23" t="s">
        <v>55</v>
      </c>
      <c r="C28" s="50">
        <v>11</v>
      </c>
      <c r="D28" s="50">
        <v>8</v>
      </c>
      <c r="E28" s="50">
        <v>2</v>
      </c>
      <c r="F28" s="50">
        <v>7</v>
      </c>
      <c r="G28" s="50">
        <v>0</v>
      </c>
      <c r="H28" s="50">
        <v>0</v>
      </c>
      <c r="I28" s="50">
        <v>10</v>
      </c>
      <c r="J28" s="50">
        <v>0</v>
      </c>
      <c r="K28" s="50">
        <v>0</v>
      </c>
      <c r="L28" s="50">
        <v>0</v>
      </c>
      <c r="M28" s="50">
        <v>57</v>
      </c>
      <c r="N28" s="50">
        <v>0</v>
      </c>
      <c r="O28" s="15">
        <f t="shared" si="0"/>
        <v>38</v>
      </c>
      <c r="P28" s="15">
        <f t="shared" si="1"/>
        <v>95</v>
      </c>
      <c r="R28" s="5" t="s">
        <v>17</v>
      </c>
      <c r="S28" s="16">
        <f t="shared" ref="S28:AF28" si="20">SUM(S10:S21)</f>
        <v>612</v>
      </c>
      <c r="T28" s="16">
        <f t="shared" si="20"/>
        <v>216</v>
      </c>
      <c r="U28" s="16">
        <f t="shared" si="20"/>
        <v>171</v>
      </c>
      <c r="V28" s="16">
        <f t="shared" si="20"/>
        <v>366</v>
      </c>
      <c r="W28" s="16">
        <f t="shared" si="20"/>
        <v>33</v>
      </c>
      <c r="X28" s="16">
        <f t="shared" si="20"/>
        <v>0</v>
      </c>
      <c r="Y28" s="16">
        <f t="shared" si="20"/>
        <v>311</v>
      </c>
      <c r="Z28" s="16">
        <f t="shared" si="20"/>
        <v>65</v>
      </c>
      <c r="AA28" s="16">
        <f t="shared" si="20"/>
        <v>19</v>
      </c>
      <c r="AB28" s="16">
        <f t="shared" si="20"/>
        <v>31</v>
      </c>
      <c r="AC28" s="16">
        <f t="shared" si="20"/>
        <v>4889</v>
      </c>
      <c r="AD28" s="16">
        <f t="shared" si="20"/>
        <v>2</v>
      </c>
      <c r="AE28" s="32">
        <f t="shared" si="20"/>
        <v>1826</v>
      </c>
      <c r="AF28" s="32">
        <f t="shared" si="20"/>
        <v>6715</v>
      </c>
    </row>
    <row r="29" spans="2:32" ht="23.1" customHeight="1" x14ac:dyDescent="0.25">
      <c r="B29" s="23" t="s">
        <v>56</v>
      </c>
      <c r="C29" s="50">
        <v>10</v>
      </c>
      <c r="D29" s="50">
        <v>6</v>
      </c>
      <c r="E29" s="50">
        <v>6</v>
      </c>
      <c r="F29" s="50">
        <v>10</v>
      </c>
      <c r="G29" s="50">
        <v>1</v>
      </c>
      <c r="H29" s="50">
        <v>0</v>
      </c>
      <c r="I29" s="50">
        <v>13</v>
      </c>
      <c r="J29" s="50">
        <v>1</v>
      </c>
      <c r="K29" s="50">
        <v>0</v>
      </c>
      <c r="L29" s="50">
        <v>1</v>
      </c>
      <c r="M29" s="50">
        <v>96</v>
      </c>
      <c r="N29" s="50">
        <v>0</v>
      </c>
      <c r="O29" s="15">
        <f t="shared" si="0"/>
        <v>48</v>
      </c>
      <c r="P29" s="15">
        <f t="shared" si="1"/>
        <v>144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4</v>
      </c>
      <c r="E30" s="50">
        <v>4</v>
      </c>
      <c r="F30" s="50">
        <v>9</v>
      </c>
      <c r="G30" s="50">
        <v>0</v>
      </c>
      <c r="H30" s="50">
        <v>0</v>
      </c>
      <c r="I30" s="50">
        <v>3</v>
      </c>
      <c r="J30" s="50">
        <v>2</v>
      </c>
      <c r="K30" s="50">
        <v>0</v>
      </c>
      <c r="L30" s="50">
        <v>2</v>
      </c>
      <c r="M30" s="50">
        <v>93</v>
      </c>
      <c r="N30" s="50">
        <v>0</v>
      </c>
      <c r="O30" s="15">
        <f t="shared" si="0"/>
        <v>35</v>
      </c>
      <c r="P30" s="15">
        <f t="shared" si="1"/>
        <v>128</v>
      </c>
    </row>
    <row r="31" spans="2:32" ht="23.1" customHeight="1" x14ac:dyDescent="0.25">
      <c r="B31" s="24" t="s">
        <v>58</v>
      </c>
      <c r="C31" s="50">
        <v>1</v>
      </c>
      <c r="D31" s="50">
        <v>2</v>
      </c>
      <c r="E31" s="50">
        <v>2</v>
      </c>
      <c r="F31" s="50">
        <v>6</v>
      </c>
      <c r="G31" s="50">
        <v>0</v>
      </c>
      <c r="H31" s="50">
        <v>0</v>
      </c>
      <c r="I31" s="50">
        <v>3</v>
      </c>
      <c r="J31" s="50">
        <v>5</v>
      </c>
      <c r="K31" s="50">
        <v>0</v>
      </c>
      <c r="L31" s="50">
        <v>0</v>
      </c>
      <c r="M31" s="50">
        <v>88</v>
      </c>
      <c r="N31" s="50">
        <v>0</v>
      </c>
      <c r="O31" s="15">
        <f t="shared" si="0"/>
        <v>19</v>
      </c>
      <c r="P31" s="15">
        <f t="shared" si="1"/>
        <v>107</v>
      </c>
    </row>
    <row r="32" spans="2:32" ht="23.1" customHeight="1" x14ac:dyDescent="0.25">
      <c r="B32" s="24" t="s">
        <v>59</v>
      </c>
      <c r="C32" s="50">
        <v>10</v>
      </c>
      <c r="D32" s="50">
        <v>3</v>
      </c>
      <c r="E32" s="50">
        <v>2</v>
      </c>
      <c r="F32" s="50">
        <v>9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0</v>
      </c>
      <c r="M32" s="50">
        <v>110</v>
      </c>
      <c r="N32" s="50">
        <v>0</v>
      </c>
      <c r="O32" s="15">
        <f t="shared" si="0"/>
        <v>29</v>
      </c>
      <c r="P32" s="15">
        <f t="shared" si="1"/>
        <v>139</v>
      </c>
    </row>
    <row r="33" spans="2:20" ht="23.1" customHeight="1" x14ac:dyDescent="0.25">
      <c r="B33" s="23" t="s">
        <v>60</v>
      </c>
      <c r="C33" s="50">
        <v>14</v>
      </c>
      <c r="D33" s="50">
        <v>7</v>
      </c>
      <c r="E33" s="50">
        <v>7</v>
      </c>
      <c r="F33" s="50">
        <v>8</v>
      </c>
      <c r="G33" s="50">
        <v>1</v>
      </c>
      <c r="H33" s="50">
        <v>0</v>
      </c>
      <c r="I33" s="50">
        <v>8</v>
      </c>
      <c r="J33" s="50">
        <v>2</v>
      </c>
      <c r="K33" s="50">
        <v>0</v>
      </c>
      <c r="L33" s="50">
        <v>1</v>
      </c>
      <c r="M33" s="50">
        <v>92</v>
      </c>
      <c r="N33" s="50">
        <v>0</v>
      </c>
      <c r="O33" s="15">
        <f t="shared" si="0"/>
        <v>48</v>
      </c>
      <c r="P33" s="15">
        <f t="shared" si="1"/>
        <v>140</v>
      </c>
    </row>
    <row r="34" spans="2:20" ht="23.1" customHeight="1" x14ac:dyDescent="0.25">
      <c r="B34" s="24" t="s">
        <v>61</v>
      </c>
      <c r="C34" s="50">
        <v>14</v>
      </c>
      <c r="D34" s="50">
        <v>1</v>
      </c>
      <c r="E34" s="50">
        <v>2</v>
      </c>
      <c r="F34" s="50">
        <v>7</v>
      </c>
      <c r="G34" s="50">
        <v>1</v>
      </c>
      <c r="H34" s="50">
        <v>0</v>
      </c>
      <c r="I34" s="50">
        <v>8</v>
      </c>
      <c r="J34" s="50">
        <v>0</v>
      </c>
      <c r="K34" s="50">
        <v>0</v>
      </c>
      <c r="L34" s="50">
        <v>0</v>
      </c>
      <c r="M34" s="50">
        <v>100</v>
      </c>
      <c r="N34" s="50">
        <v>0</v>
      </c>
      <c r="O34" s="15">
        <f t="shared" si="0"/>
        <v>33</v>
      </c>
      <c r="P34" s="15">
        <f t="shared" si="1"/>
        <v>133</v>
      </c>
    </row>
    <row r="35" spans="2:20" ht="23.1" customHeight="1" x14ac:dyDescent="0.25">
      <c r="B35" s="24" t="s">
        <v>62</v>
      </c>
      <c r="C35" s="50">
        <v>17</v>
      </c>
      <c r="D35" s="50">
        <v>3</v>
      </c>
      <c r="E35" s="50">
        <v>9</v>
      </c>
      <c r="F35" s="50">
        <v>9</v>
      </c>
      <c r="G35" s="50">
        <v>2</v>
      </c>
      <c r="H35" s="50">
        <v>0</v>
      </c>
      <c r="I35" s="50">
        <v>9</v>
      </c>
      <c r="J35" s="50">
        <v>0</v>
      </c>
      <c r="K35" s="50">
        <v>1</v>
      </c>
      <c r="L35" s="50">
        <v>1</v>
      </c>
      <c r="M35" s="50">
        <v>110</v>
      </c>
      <c r="N35" s="50">
        <v>0</v>
      </c>
      <c r="O35" s="15">
        <f t="shared" si="0"/>
        <v>51</v>
      </c>
      <c r="P35" s="15">
        <f t="shared" si="1"/>
        <v>161</v>
      </c>
    </row>
    <row r="36" spans="2:20" ht="23.1" customHeight="1" x14ac:dyDescent="0.25">
      <c r="B36" s="24" t="s">
        <v>63</v>
      </c>
      <c r="C36" s="50">
        <v>16</v>
      </c>
      <c r="D36" s="50">
        <v>1</v>
      </c>
      <c r="E36" s="50">
        <v>1</v>
      </c>
      <c r="F36" s="50">
        <v>6</v>
      </c>
      <c r="G36" s="50">
        <v>1</v>
      </c>
      <c r="H36" s="50">
        <v>0</v>
      </c>
      <c r="I36" s="50">
        <v>11</v>
      </c>
      <c r="J36" s="50">
        <v>1</v>
      </c>
      <c r="K36" s="50">
        <v>1</v>
      </c>
      <c r="L36" s="50">
        <v>0</v>
      </c>
      <c r="M36" s="50">
        <v>102</v>
      </c>
      <c r="N36" s="50">
        <v>0</v>
      </c>
      <c r="O36" s="15">
        <f t="shared" si="0"/>
        <v>38</v>
      </c>
      <c r="P36" s="15">
        <f t="shared" si="1"/>
        <v>140</v>
      </c>
    </row>
    <row r="37" spans="2:20" ht="23.1" customHeight="1" x14ac:dyDescent="0.25">
      <c r="B37" s="23" t="s">
        <v>64</v>
      </c>
      <c r="C37" s="50">
        <v>13</v>
      </c>
      <c r="D37" s="50">
        <v>6</v>
      </c>
      <c r="E37" s="50">
        <v>1</v>
      </c>
      <c r="F37" s="50">
        <v>10</v>
      </c>
      <c r="G37" s="50">
        <v>1</v>
      </c>
      <c r="H37" s="50">
        <v>0</v>
      </c>
      <c r="I37" s="50">
        <v>4</v>
      </c>
      <c r="J37" s="50">
        <v>1</v>
      </c>
      <c r="K37" s="50">
        <v>0</v>
      </c>
      <c r="L37" s="50">
        <v>0</v>
      </c>
      <c r="M37" s="50">
        <v>111</v>
      </c>
      <c r="N37" s="50">
        <v>0</v>
      </c>
      <c r="O37" s="15">
        <f t="shared" si="0"/>
        <v>36</v>
      </c>
      <c r="P37" s="15">
        <f t="shared" si="1"/>
        <v>147</v>
      </c>
    </row>
    <row r="38" spans="2:20" ht="23.1" customHeight="1" x14ac:dyDescent="0.25">
      <c r="B38" s="24" t="s">
        <v>65</v>
      </c>
      <c r="C38" s="50">
        <v>11</v>
      </c>
      <c r="D38" s="50">
        <v>2</v>
      </c>
      <c r="E38" s="50">
        <v>5</v>
      </c>
      <c r="F38" s="50">
        <v>11</v>
      </c>
      <c r="G38" s="50">
        <v>1</v>
      </c>
      <c r="H38" s="50">
        <v>0</v>
      </c>
      <c r="I38" s="50">
        <v>8</v>
      </c>
      <c r="J38" s="50">
        <v>0</v>
      </c>
      <c r="K38" s="50">
        <v>0</v>
      </c>
      <c r="L38" s="50">
        <v>1</v>
      </c>
      <c r="M38" s="50">
        <v>84</v>
      </c>
      <c r="N38" s="50">
        <v>0</v>
      </c>
      <c r="O38" s="15">
        <f t="shared" si="0"/>
        <v>39</v>
      </c>
      <c r="P38" s="15">
        <f t="shared" si="1"/>
        <v>123</v>
      </c>
    </row>
    <row r="39" spans="2:20" ht="23.1" customHeight="1" x14ac:dyDescent="0.25">
      <c r="B39" s="24" t="s">
        <v>66</v>
      </c>
      <c r="C39" s="50">
        <v>18</v>
      </c>
      <c r="D39" s="50">
        <v>4</v>
      </c>
      <c r="E39" s="50">
        <v>6</v>
      </c>
      <c r="F39" s="50">
        <v>4</v>
      </c>
      <c r="G39" s="50">
        <v>2</v>
      </c>
      <c r="H39" s="50">
        <v>0</v>
      </c>
      <c r="I39" s="50">
        <v>9</v>
      </c>
      <c r="J39" s="50">
        <v>0</v>
      </c>
      <c r="K39" s="50">
        <v>0</v>
      </c>
      <c r="L39" s="50">
        <v>2</v>
      </c>
      <c r="M39" s="50">
        <v>103</v>
      </c>
      <c r="N39" s="50">
        <v>1</v>
      </c>
      <c r="O39" s="15">
        <f t="shared" si="0"/>
        <v>46</v>
      </c>
      <c r="P39" s="15">
        <f t="shared" si="1"/>
        <v>149</v>
      </c>
    </row>
    <row r="40" spans="2:20" ht="23.1" customHeight="1" x14ac:dyDescent="0.25">
      <c r="B40" s="24" t="s">
        <v>67</v>
      </c>
      <c r="C40" s="50">
        <v>17</v>
      </c>
      <c r="D40" s="50">
        <v>5</v>
      </c>
      <c r="E40" s="50">
        <v>2</v>
      </c>
      <c r="F40" s="50">
        <v>9</v>
      </c>
      <c r="G40" s="50">
        <v>0</v>
      </c>
      <c r="H40" s="50">
        <v>0</v>
      </c>
      <c r="I40" s="50">
        <v>7</v>
      </c>
      <c r="J40" s="50">
        <v>2</v>
      </c>
      <c r="K40" s="50">
        <v>0</v>
      </c>
      <c r="L40" s="50">
        <v>1</v>
      </c>
      <c r="M40" s="50">
        <v>86</v>
      </c>
      <c r="N40" s="50">
        <v>0</v>
      </c>
      <c r="O40" s="15">
        <f t="shared" si="0"/>
        <v>43</v>
      </c>
      <c r="P40" s="15">
        <f t="shared" si="1"/>
        <v>129</v>
      </c>
    </row>
    <row r="41" spans="2:20" ht="23.1" customHeight="1" x14ac:dyDescent="0.25">
      <c r="B41" s="23" t="s">
        <v>68</v>
      </c>
      <c r="C41" s="50">
        <v>17</v>
      </c>
      <c r="D41" s="50">
        <v>8</v>
      </c>
      <c r="E41" s="50">
        <v>8</v>
      </c>
      <c r="F41" s="50">
        <v>8</v>
      </c>
      <c r="G41" s="50">
        <v>1</v>
      </c>
      <c r="H41" s="50">
        <v>0</v>
      </c>
      <c r="I41" s="50">
        <v>14</v>
      </c>
      <c r="J41" s="50">
        <v>1</v>
      </c>
      <c r="K41" s="50">
        <v>2</v>
      </c>
      <c r="L41" s="50">
        <v>1</v>
      </c>
      <c r="M41" s="50">
        <v>82</v>
      </c>
      <c r="N41" s="50">
        <v>0</v>
      </c>
      <c r="O41" s="15">
        <f t="shared" si="0"/>
        <v>60</v>
      </c>
      <c r="P41" s="15">
        <f t="shared" si="1"/>
        <v>142</v>
      </c>
    </row>
    <row r="42" spans="2:20" ht="23.1" customHeight="1" x14ac:dyDescent="0.25">
      <c r="B42" s="24" t="s">
        <v>69</v>
      </c>
      <c r="C42" s="50">
        <v>11</v>
      </c>
      <c r="D42" s="50">
        <v>4</v>
      </c>
      <c r="E42" s="50">
        <v>6</v>
      </c>
      <c r="F42" s="50">
        <v>7</v>
      </c>
      <c r="G42" s="50">
        <v>0</v>
      </c>
      <c r="H42" s="50">
        <v>0</v>
      </c>
      <c r="I42" s="50">
        <v>7</v>
      </c>
      <c r="J42" s="50">
        <v>2</v>
      </c>
      <c r="K42" s="50">
        <v>0</v>
      </c>
      <c r="L42" s="50">
        <v>0</v>
      </c>
      <c r="M42" s="50">
        <v>75</v>
      </c>
      <c r="N42" s="50">
        <v>1</v>
      </c>
      <c r="O42" s="15">
        <f t="shared" si="0"/>
        <v>38</v>
      </c>
      <c r="P42" s="15">
        <f t="shared" si="1"/>
        <v>113</v>
      </c>
    </row>
    <row r="43" spans="2:20" ht="23.1" customHeight="1" x14ac:dyDescent="0.25">
      <c r="B43" s="23" t="s">
        <v>70</v>
      </c>
      <c r="C43" s="50">
        <v>13</v>
      </c>
      <c r="D43" s="50">
        <v>4</v>
      </c>
      <c r="E43" s="50">
        <v>3</v>
      </c>
      <c r="F43" s="50">
        <v>7</v>
      </c>
      <c r="G43" s="50">
        <v>3</v>
      </c>
      <c r="H43" s="50">
        <v>0</v>
      </c>
      <c r="I43" s="50">
        <v>13</v>
      </c>
      <c r="J43" s="50">
        <v>1</v>
      </c>
      <c r="K43" s="50">
        <v>0</v>
      </c>
      <c r="L43" s="50">
        <v>0</v>
      </c>
      <c r="M43" s="50">
        <v>99</v>
      </c>
      <c r="N43" s="50">
        <v>0</v>
      </c>
      <c r="O43" s="15">
        <f t="shared" si="0"/>
        <v>44</v>
      </c>
      <c r="P43" s="15">
        <f t="shared" si="1"/>
        <v>143</v>
      </c>
    </row>
    <row r="44" spans="2:20" ht="23.1" customHeight="1" x14ac:dyDescent="0.25">
      <c r="B44" s="25" t="s">
        <v>71</v>
      </c>
      <c r="C44" s="50">
        <v>15</v>
      </c>
      <c r="D44" s="50">
        <v>4</v>
      </c>
      <c r="E44" s="50">
        <v>1</v>
      </c>
      <c r="F44" s="50">
        <v>9</v>
      </c>
      <c r="G44" s="50">
        <v>0</v>
      </c>
      <c r="H44" s="50">
        <v>0</v>
      </c>
      <c r="I44" s="50">
        <v>5</v>
      </c>
      <c r="J44" s="50">
        <v>0</v>
      </c>
      <c r="K44" s="50">
        <v>1</v>
      </c>
      <c r="L44" s="50">
        <v>0</v>
      </c>
      <c r="M44" s="50">
        <v>97</v>
      </c>
      <c r="N44" s="50">
        <v>0</v>
      </c>
      <c r="O44" s="15">
        <f t="shared" si="0"/>
        <v>35</v>
      </c>
      <c r="P44" s="15">
        <f t="shared" si="1"/>
        <v>132</v>
      </c>
    </row>
    <row r="45" spans="2:20" ht="23.1" customHeight="1" x14ac:dyDescent="0.25">
      <c r="B45" s="23" t="s">
        <v>72</v>
      </c>
      <c r="C45" s="50">
        <v>12</v>
      </c>
      <c r="D45" s="50">
        <v>5</v>
      </c>
      <c r="E45" s="50">
        <v>1</v>
      </c>
      <c r="F45" s="50">
        <v>6</v>
      </c>
      <c r="G45" s="50">
        <v>0</v>
      </c>
      <c r="H45" s="50">
        <v>0</v>
      </c>
      <c r="I45" s="50">
        <v>6</v>
      </c>
      <c r="J45" s="50">
        <v>0</v>
      </c>
      <c r="K45" s="50">
        <v>0</v>
      </c>
      <c r="L45" s="50">
        <v>1</v>
      </c>
      <c r="M45" s="50">
        <v>85</v>
      </c>
      <c r="N45" s="50">
        <v>0</v>
      </c>
      <c r="O45" s="15">
        <f t="shared" si="0"/>
        <v>31</v>
      </c>
      <c r="P45" s="15">
        <f t="shared" si="1"/>
        <v>116</v>
      </c>
    </row>
    <row r="46" spans="2:20" ht="23.1" customHeight="1" x14ac:dyDescent="0.25">
      <c r="B46" s="24" t="s">
        <v>73</v>
      </c>
      <c r="C46" s="50">
        <v>10</v>
      </c>
      <c r="D46" s="50">
        <v>5</v>
      </c>
      <c r="E46" s="50">
        <v>4</v>
      </c>
      <c r="F46" s="50">
        <v>4</v>
      </c>
      <c r="G46" s="50">
        <v>2</v>
      </c>
      <c r="H46" s="50">
        <v>0</v>
      </c>
      <c r="I46" s="50">
        <v>6</v>
      </c>
      <c r="J46" s="50">
        <v>3</v>
      </c>
      <c r="K46" s="50">
        <v>0</v>
      </c>
      <c r="L46" s="50">
        <v>0</v>
      </c>
      <c r="M46" s="50">
        <v>94</v>
      </c>
      <c r="N46" s="50">
        <v>0</v>
      </c>
      <c r="O46" s="15">
        <f t="shared" si="0"/>
        <v>34</v>
      </c>
      <c r="P46" s="15">
        <f t="shared" si="1"/>
        <v>128</v>
      </c>
      <c r="R46" s="8"/>
      <c r="T46"/>
    </row>
    <row r="47" spans="2:20" ht="23.1" customHeight="1" x14ac:dyDescent="0.25">
      <c r="B47" s="24" t="s">
        <v>74</v>
      </c>
      <c r="C47" s="50">
        <v>10</v>
      </c>
      <c r="D47" s="50">
        <v>3</v>
      </c>
      <c r="E47" s="50">
        <v>3</v>
      </c>
      <c r="F47" s="50">
        <v>6</v>
      </c>
      <c r="G47" s="50">
        <v>0</v>
      </c>
      <c r="H47" s="50">
        <v>0</v>
      </c>
      <c r="I47" s="50">
        <v>3</v>
      </c>
      <c r="J47" s="50">
        <v>0</v>
      </c>
      <c r="K47" s="50">
        <v>1</v>
      </c>
      <c r="L47" s="50">
        <v>0</v>
      </c>
      <c r="M47" s="50">
        <v>99</v>
      </c>
      <c r="N47" s="50">
        <v>0</v>
      </c>
      <c r="O47" s="15">
        <f t="shared" si="0"/>
        <v>26</v>
      </c>
      <c r="P47" s="15">
        <f t="shared" si="1"/>
        <v>125</v>
      </c>
      <c r="R47" s="8"/>
      <c r="T47"/>
    </row>
    <row r="48" spans="2:20" ht="23.1" customHeight="1" x14ac:dyDescent="0.25">
      <c r="B48" s="24" t="s">
        <v>75</v>
      </c>
      <c r="C48" s="50">
        <v>12</v>
      </c>
      <c r="D48" s="50">
        <v>3</v>
      </c>
      <c r="E48" s="50">
        <v>2</v>
      </c>
      <c r="F48" s="50">
        <v>4</v>
      </c>
      <c r="G48" s="50">
        <v>1</v>
      </c>
      <c r="H48" s="50">
        <v>0</v>
      </c>
      <c r="I48" s="50">
        <v>9</v>
      </c>
      <c r="J48" s="50">
        <v>4</v>
      </c>
      <c r="K48" s="50">
        <v>1</v>
      </c>
      <c r="L48" s="50">
        <v>0</v>
      </c>
      <c r="M48" s="50">
        <v>82</v>
      </c>
      <c r="N48" s="50">
        <v>0</v>
      </c>
      <c r="O48" s="15">
        <f t="shared" si="0"/>
        <v>36</v>
      </c>
      <c r="P48" s="15">
        <f t="shared" si="1"/>
        <v>118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8</v>
      </c>
      <c r="E49" s="50">
        <v>3</v>
      </c>
      <c r="F49" s="50">
        <v>12</v>
      </c>
      <c r="G49" s="50">
        <v>0</v>
      </c>
      <c r="H49" s="50">
        <v>0</v>
      </c>
      <c r="I49" s="50">
        <v>7</v>
      </c>
      <c r="J49" s="50">
        <v>0</v>
      </c>
      <c r="K49" s="50">
        <v>0</v>
      </c>
      <c r="L49" s="50">
        <v>0</v>
      </c>
      <c r="M49" s="50">
        <v>117</v>
      </c>
      <c r="N49" s="50">
        <v>0</v>
      </c>
      <c r="O49" s="15">
        <f t="shared" si="0"/>
        <v>37</v>
      </c>
      <c r="P49" s="15">
        <f t="shared" si="1"/>
        <v>154</v>
      </c>
      <c r="R49" s="8"/>
      <c r="T49"/>
    </row>
    <row r="50" spans="2:20" ht="23.1" customHeight="1" x14ac:dyDescent="0.25">
      <c r="B50" s="24" t="s">
        <v>77</v>
      </c>
      <c r="C50" s="50">
        <v>16</v>
      </c>
      <c r="D50" s="50">
        <v>1</v>
      </c>
      <c r="E50" s="50">
        <v>2</v>
      </c>
      <c r="F50" s="50">
        <v>9</v>
      </c>
      <c r="G50" s="50">
        <v>0</v>
      </c>
      <c r="H50" s="50">
        <v>0</v>
      </c>
      <c r="I50" s="50">
        <v>5</v>
      </c>
      <c r="J50" s="50">
        <v>7</v>
      </c>
      <c r="K50" s="50">
        <v>0</v>
      </c>
      <c r="L50" s="50">
        <v>0</v>
      </c>
      <c r="M50" s="50">
        <v>106</v>
      </c>
      <c r="N50" s="50">
        <v>0</v>
      </c>
      <c r="O50" s="15">
        <f t="shared" si="0"/>
        <v>40</v>
      </c>
      <c r="P50" s="15">
        <f t="shared" si="1"/>
        <v>146</v>
      </c>
      <c r="R50" s="8"/>
      <c r="T50"/>
    </row>
    <row r="51" spans="2:20" ht="23.1" customHeight="1" x14ac:dyDescent="0.25">
      <c r="B51" s="24" t="s">
        <v>78</v>
      </c>
      <c r="C51" s="50">
        <v>11</v>
      </c>
      <c r="D51" s="50">
        <v>2</v>
      </c>
      <c r="E51" s="50">
        <v>1</v>
      </c>
      <c r="F51" s="50">
        <v>9</v>
      </c>
      <c r="G51" s="50">
        <v>0</v>
      </c>
      <c r="H51" s="50">
        <v>0</v>
      </c>
      <c r="I51" s="50">
        <v>2</v>
      </c>
      <c r="J51" s="50">
        <v>2</v>
      </c>
      <c r="K51" s="50">
        <v>0</v>
      </c>
      <c r="L51" s="50">
        <v>0</v>
      </c>
      <c r="M51" s="50">
        <v>71</v>
      </c>
      <c r="N51" s="50">
        <v>0</v>
      </c>
      <c r="O51" s="15">
        <f t="shared" si="0"/>
        <v>27</v>
      </c>
      <c r="P51" s="15">
        <f t="shared" si="1"/>
        <v>98</v>
      </c>
      <c r="R51" s="8"/>
      <c r="T51"/>
    </row>
    <row r="52" spans="2:20" ht="23.1" customHeight="1" x14ac:dyDescent="0.25">
      <c r="B52" s="24" t="s">
        <v>79</v>
      </c>
      <c r="C52" s="50">
        <v>14</v>
      </c>
      <c r="D52" s="50">
        <v>0</v>
      </c>
      <c r="E52" s="50">
        <v>3</v>
      </c>
      <c r="F52" s="50">
        <v>10</v>
      </c>
      <c r="G52" s="50">
        <v>2</v>
      </c>
      <c r="H52" s="50">
        <v>0</v>
      </c>
      <c r="I52" s="50">
        <v>3</v>
      </c>
      <c r="J52" s="50">
        <v>1</v>
      </c>
      <c r="K52" s="50">
        <v>0</v>
      </c>
      <c r="L52" s="50">
        <v>1</v>
      </c>
      <c r="M52" s="50">
        <v>116</v>
      </c>
      <c r="N52" s="50">
        <v>0</v>
      </c>
      <c r="O52" s="15">
        <f t="shared" si="0"/>
        <v>34</v>
      </c>
      <c r="P52" s="15">
        <f t="shared" si="1"/>
        <v>150</v>
      </c>
      <c r="R52" s="8"/>
      <c r="T52"/>
    </row>
    <row r="53" spans="2:20" ht="23.1" customHeight="1" x14ac:dyDescent="0.25">
      <c r="B53" s="23" t="s">
        <v>80</v>
      </c>
      <c r="C53" s="50">
        <v>16</v>
      </c>
      <c r="D53" s="50">
        <v>5</v>
      </c>
      <c r="E53" s="50">
        <v>4</v>
      </c>
      <c r="F53" s="50">
        <v>12</v>
      </c>
      <c r="G53" s="50">
        <v>0</v>
      </c>
      <c r="H53" s="50">
        <v>0</v>
      </c>
      <c r="I53" s="50">
        <v>1</v>
      </c>
      <c r="J53" s="50">
        <v>3</v>
      </c>
      <c r="K53" s="50">
        <v>0</v>
      </c>
      <c r="L53" s="50">
        <v>1</v>
      </c>
      <c r="M53" s="50">
        <v>110</v>
      </c>
      <c r="N53" s="50">
        <v>0</v>
      </c>
      <c r="O53" s="15">
        <f t="shared" si="0"/>
        <v>42</v>
      </c>
      <c r="P53" s="15">
        <f t="shared" si="1"/>
        <v>152</v>
      </c>
      <c r="R53" s="8"/>
      <c r="T53"/>
    </row>
    <row r="54" spans="2:20" ht="23.1" customHeight="1" x14ac:dyDescent="0.25">
      <c r="B54" s="23" t="s">
        <v>81</v>
      </c>
      <c r="C54" s="50">
        <v>13</v>
      </c>
      <c r="D54" s="50">
        <v>2</v>
      </c>
      <c r="E54" s="50">
        <v>3</v>
      </c>
      <c r="F54" s="50">
        <v>10</v>
      </c>
      <c r="G54" s="50">
        <v>2</v>
      </c>
      <c r="H54" s="50">
        <v>0</v>
      </c>
      <c r="I54" s="50">
        <v>4</v>
      </c>
      <c r="J54" s="50">
        <v>1</v>
      </c>
      <c r="K54" s="50">
        <v>0</v>
      </c>
      <c r="L54" s="50">
        <v>0</v>
      </c>
      <c r="M54" s="50">
        <v>146</v>
      </c>
      <c r="N54" s="50">
        <v>0</v>
      </c>
      <c r="O54" s="15">
        <f t="shared" si="0"/>
        <v>35</v>
      </c>
      <c r="P54" s="15">
        <f t="shared" si="1"/>
        <v>181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0</v>
      </c>
      <c r="E55" s="50">
        <v>1</v>
      </c>
      <c r="F55" s="50">
        <v>7</v>
      </c>
      <c r="G55" s="50">
        <v>0</v>
      </c>
      <c r="H55" s="50">
        <v>0</v>
      </c>
      <c r="I55" s="50">
        <v>4</v>
      </c>
      <c r="J55" s="50">
        <v>5</v>
      </c>
      <c r="K55" s="50">
        <v>0</v>
      </c>
      <c r="L55" s="50">
        <v>0</v>
      </c>
      <c r="M55" s="50">
        <v>131</v>
      </c>
      <c r="N55" s="50">
        <v>0</v>
      </c>
      <c r="O55" s="15">
        <f t="shared" si="0"/>
        <v>29</v>
      </c>
      <c r="P55" s="15">
        <f t="shared" si="1"/>
        <v>160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4</v>
      </c>
      <c r="E56" s="50">
        <v>2</v>
      </c>
      <c r="F56" s="50">
        <v>6</v>
      </c>
      <c r="G56" s="50">
        <v>1</v>
      </c>
      <c r="H56" s="50">
        <v>0</v>
      </c>
      <c r="I56" s="50">
        <v>4</v>
      </c>
      <c r="J56" s="50">
        <v>1</v>
      </c>
      <c r="K56" s="50">
        <v>1</v>
      </c>
      <c r="L56" s="50">
        <v>0</v>
      </c>
      <c r="M56" s="50">
        <v>94</v>
      </c>
      <c r="N56" s="50">
        <v>0</v>
      </c>
      <c r="O56" s="15">
        <f t="shared" si="0"/>
        <v>28</v>
      </c>
      <c r="P56" s="15">
        <f t="shared" si="1"/>
        <v>122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7</v>
      </c>
      <c r="E57" s="50">
        <v>4</v>
      </c>
      <c r="F57" s="50">
        <v>5</v>
      </c>
      <c r="G57" s="50">
        <v>1</v>
      </c>
      <c r="H57" s="50">
        <v>0</v>
      </c>
      <c r="I57" s="50">
        <v>5</v>
      </c>
      <c r="J57" s="50">
        <v>0</v>
      </c>
      <c r="K57" s="50">
        <v>0</v>
      </c>
      <c r="L57" s="50">
        <v>1</v>
      </c>
      <c r="M57" s="50">
        <v>125</v>
      </c>
      <c r="N57" s="50">
        <v>0</v>
      </c>
      <c r="O57" s="15">
        <f t="shared" si="0"/>
        <v>24</v>
      </c>
      <c r="P57" s="15">
        <f t="shared" si="1"/>
        <v>149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612</v>
      </c>
      <c r="D58" s="16">
        <f t="shared" si="21"/>
        <v>216</v>
      </c>
      <c r="E58" s="16">
        <f t="shared" si="21"/>
        <v>171</v>
      </c>
      <c r="F58" s="16">
        <f t="shared" si="21"/>
        <v>366</v>
      </c>
      <c r="G58" s="16">
        <f t="shared" si="21"/>
        <v>33</v>
      </c>
      <c r="H58" s="16">
        <f t="shared" si="21"/>
        <v>0</v>
      </c>
      <c r="I58" s="16">
        <f t="shared" si="21"/>
        <v>311</v>
      </c>
      <c r="J58" s="16">
        <f t="shared" si="21"/>
        <v>65</v>
      </c>
      <c r="K58" s="16">
        <f t="shared" si="21"/>
        <v>19</v>
      </c>
      <c r="L58" s="16">
        <f t="shared" si="21"/>
        <v>31</v>
      </c>
      <c r="M58" s="16">
        <f t="shared" si="21"/>
        <v>4889</v>
      </c>
      <c r="N58" s="16">
        <f t="shared" si="21"/>
        <v>2</v>
      </c>
      <c r="O58" s="16">
        <f t="shared" si="21"/>
        <v>1826</v>
      </c>
      <c r="P58" s="16">
        <f t="shared" si="21"/>
        <v>6715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9.1139240506329114E-2</v>
      </c>
      <c r="D59" s="43">
        <f t="shared" si="22"/>
        <v>3.2166790766939686E-2</v>
      </c>
      <c r="E59" s="43">
        <f t="shared" si="22"/>
        <v>2.5465376023827254E-2</v>
      </c>
      <c r="F59" s="43">
        <f t="shared" si="22"/>
        <v>5.4504839910647807E-2</v>
      </c>
      <c r="G59" s="43">
        <f t="shared" si="22"/>
        <v>4.9143708116157854E-3</v>
      </c>
      <c r="H59" s="43">
        <f t="shared" si="22"/>
        <v>0</v>
      </c>
      <c r="I59" s="43">
        <f t="shared" si="22"/>
        <v>4.6314221891288164E-2</v>
      </c>
      <c r="J59" s="43">
        <f t="shared" si="22"/>
        <v>9.6798212956068497E-3</v>
      </c>
      <c r="K59" s="43">
        <f t="shared" si="22"/>
        <v>2.8294862248696949E-3</v>
      </c>
      <c r="L59" s="43">
        <f t="shared" si="22"/>
        <v>4.6165301563663441E-3</v>
      </c>
      <c r="M59" s="43">
        <f t="shared" si="22"/>
        <v>0.72807148175725989</v>
      </c>
      <c r="N59" s="43">
        <f t="shared" si="22"/>
        <v>2.9784065524944157E-4</v>
      </c>
      <c r="R59" s="8"/>
      <c r="T59"/>
    </row>
    <row r="60" spans="2:20" ht="23.1" customHeight="1" x14ac:dyDescent="0.25">
      <c r="B60" s="42" t="s">
        <v>94</v>
      </c>
      <c r="C60" s="44">
        <f>C58/$O$58</f>
        <v>0.33515881708652795</v>
      </c>
      <c r="D60" s="44">
        <f t="shared" ref="D60:N60" si="23">D58/$O$58</f>
        <v>0.11829134720700986</v>
      </c>
      <c r="E60" s="44">
        <f t="shared" si="23"/>
        <v>9.3647316538882808E-2</v>
      </c>
      <c r="F60" s="44">
        <f t="shared" si="23"/>
        <v>0.2004381161007667</v>
      </c>
      <c r="G60" s="44">
        <f t="shared" si="23"/>
        <v>1.8072289156626505E-2</v>
      </c>
      <c r="H60" s="44">
        <f t="shared" si="23"/>
        <v>0</v>
      </c>
      <c r="I60" s="44">
        <f t="shared" si="23"/>
        <v>0.17031763417305587</v>
      </c>
      <c r="J60" s="44">
        <f t="shared" si="23"/>
        <v>3.5596933187294635E-2</v>
      </c>
      <c r="K60" s="44">
        <f t="shared" si="23"/>
        <v>1.0405257393209201E-2</v>
      </c>
      <c r="L60" s="44">
        <f t="shared" si="23"/>
        <v>1.6976998904709748E-2</v>
      </c>
      <c r="M60" s="44"/>
      <c r="N60" s="44">
        <f t="shared" si="23"/>
        <v>1.0952902519167579E-3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'29.10-MUKONO-KATOSI'!C3:G3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'29.10-MUKONO-KATOSI'!D5</f>
        <v>29.10.2019</v>
      </c>
      <c r="E5" s="3"/>
      <c r="F5" s="41" t="s">
        <v>1</v>
      </c>
      <c r="G5" s="53" t="str">
        <f>'29.10-MUKONO-KATOSI'!G5:H5</f>
        <v>LUV GUEST HOUSE</v>
      </c>
      <c r="H5" s="54"/>
      <c r="I5" s="14"/>
      <c r="J5" s="2" t="s">
        <v>5</v>
      </c>
      <c r="K5" s="53" t="s">
        <v>170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">
        <v>166</v>
      </c>
      <c r="E6" s="54"/>
      <c r="F6" s="2" t="s">
        <v>2</v>
      </c>
      <c r="G6" s="53" t="s">
        <v>165</v>
      </c>
      <c r="H6" s="54"/>
      <c r="J6" s="2" t="s">
        <v>21</v>
      </c>
      <c r="K6" s="53" t="str">
        <f>'29.10-MUKONO-KATOSI'!K6:L6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5</v>
      </c>
      <c r="E10" s="50">
        <v>0</v>
      </c>
      <c r="F10" s="50">
        <v>2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45</v>
      </c>
      <c r="N10" s="50">
        <v>0</v>
      </c>
      <c r="O10" s="15">
        <f t="shared" ref="O10:O57" si="0">SUM(C10:L10,N10)</f>
        <v>11</v>
      </c>
      <c r="P10" s="15">
        <f t="shared" ref="P10:P57" si="1">SUM(C10:N10)</f>
        <v>56</v>
      </c>
      <c r="R10" s="1" t="s">
        <v>6</v>
      </c>
      <c r="S10" s="17">
        <f t="shared" ref="S10:AF10" si="2">SUM(C10:C13)</f>
        <v>94</v>
      </c>
      <c r="T10" s="17">
        <f t="shared" si="2"/>
        <v>37</v>
      </c>
      <c r="U10" s="17">
        <f t="shared" si="2"/>
        <v>14</v>
      </c>
      <c r="V10" s="17">
        <f t="shared" si="2"/>
        <v>100</v>
      </c>
      <c r="W10" s="17">
        <f t="shared" si="2"/>
        <v>8</v>
      </c>
      <c r="X10" s="17">
        <f t="shared" si="2"/>
        <v>0</v>
      </c>
      <c r="Y10" s="17">
        <f t="shared" si="2"/>
        <v>32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385</v>
      </c>
      <c r="AD10" s="17">
        <f t="shared" si="2"/>
        <v>0</v>
      </c>
      <c r="AE10" s="31">
        <f t="shared" si="2"/>
        <v>286</v>
      </c>
      <c r="AF10" s="31">
        <f t="shared" si="2"/>
        <v>671</v>
      </c>
    </row>
    <row r="11" spans="2:32" s="6" customFormat="1" ht="23.1" customHeight="1" x14ac:dyDescent="0.25">
      <c r="B11" s="23" t="s">
        <v>38</v>
      </c>
      <c r="C11" s="50">
        <v>20</v>
      </c>
      <c r="D11" s="50">
        <v>7</v>
      </c>
      <c r="E11" s="50">
        <v>2</v>
      </c>
      <c r="F11" s="50">
        <v>3</v>
      </c>
      <c r="G11" s="50">
        <v>0</v>
      </c>
      <c r="H11" s="50">
        <v>0</v>
      </c>
      <c r="I11" s="50">
        <v>6</v>
      </c>
      <c r="J11" s="50">
        <v>0</v>
      </c>
      <c r="K11" s="50">
        <v>0</v>
      </c>
      <c r="L11" s="50">
        <v>0</v>
      </c>
      <c r="M11" s="50">
        <v>110</v>
      </c>
      <c r="N11" s="50">
        <v>0</v>
      </c>
      <c r="O11" s="15">
        <f t="shared" si="0"/>
        <v>38</v>
      </c>
      <c r="P11" s="15">
        <f t="shared" si="1"/>
        <v>148</v>
      </c>
      <c r="R11" s="1" t="s">
        <v>7</v>
      </c>
      <c r="S11" s="17">
        <f t="shared" ref="S11:AF11" si="3">SUM(C14:C17)</f>
        <v>93</v>
      </c>
      <c r="T11" s="17">
        <f t="shared" si="3"/>
        <v>49</v>
      </c>
      <c r="U11" s="17">
        <f t="shared" si="3"/>
        <v>28</v>
      </c>
      <c r="V11" s="17">
        <f t="shared" si="3"/>
        <v>117</v>
      </c>
      <c r="W11" s="17">
        <f t="shared" si="3"/>
        <v>9</v>
      </c>
      <c r="X11" s="17">
        <f t="shared" si="3"/>
        <v>1</v>
      </c>
      <c r="Y11" s="17">
        <f t="shared" si="3"/>
        <v>28</v>
      </c>
      <c r="Z11" s="17">
        <f t="shared" si="3"/>
        <v>3</v>
      </c>
      <c r="AA11" s="17">
        <f t="shared" si="3"/>
        <v>5</v>
      </c>
      <c r="AB11" s="17">
        <f t="shared" si="3"/>
        <v>0</v>
      </c>
      <c r="AC11" s="17">
        <f t="shared" si="3"/>
        <v>419</v>
      </c>
      <c r="AD11" s="17">
        <f t="shared" si="3"/>
        <v>0</v>
      </c>
      <c r="AE11" s="31">
        <f t="shared" si="3"/>
        <v>333</v>
      </c>
      <c r="AF11" s="31">
        <f t="shared" si="3"/>
        <v>752</v>
      </c>
    </row>
    <row r="12" spans="2:32" ht="23.1" customHeight="1" x14ac:dyDescent="0.25">
      <c r="B12" s="23" t="s">
        <v>39</v>
      </c>
      <c r="C12" s="50">
        <v>36</v>
      </c>
      <c r="D12" s="50">
        <v>20</v>
      </c>
      <c r="E12" s="50">
        <v>5</v>
      </c>
      <c r="F12" s="50">
        <v>35</v>
      </c>
      <c r="G12" s="50">
        <v>1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120</v>
      </c>
      <c r="N12" s="50">
        <v>0</v>
      </c>
      <c r="O12" s="15">
        <f t="shared" si="0"/>
        <v>99</v>
      </c>
      <c r="P12" s="15">
        <f t="shared" si="1"/>
        <v>219</v>
      </c>
      <c r="R12" s="1" t="s">
        <v>8</v>
      </c>
      <c r="S12" s="17">
        <f t="shared" ref="S12:AF12" si="4">SUM(C18:C21)</f>
        <v>55</v>
      </c>
      <c r="T12" s="17">
        <f t="shared" si="4"/>
        <v>18</v>
      </c>
      <c r="U12" s="17">
        <f t="shared" si="4"/>
        <v>18</v>
      </c>
      <c r="V12" s="17">
        <f t="shared" si="4"/>
        <v>74</v>
      </c>
      <c r="W12" s="17">
        <f t="shared" si="4"/>
        <v>5</v>
      </c>
      <c r="X12" s="17">
        <f t="shared" si="4"/>
        <v>0</v>
      </c>
      <c r="Y12" s="17">
        <f t="shared" si="4"/>
        <v>23</v>
      </c>
      <c r="Z12" s="17">
        <f t="shared" si="4"/>
        <v>2</v>
      </c>
      <c r="AA12" s="17">
        <f t="shared" si="4"/>
        <v>2</v>
      </c>
      <c r="AB12" s="17">
        <f t="shared" si="4"/>
        <v>3</v>
      </c>
      <c r="AC12" s="17">
        <f t="shared" si="4"/>
        <v>393</v>
      </c>
      <c r="AD12" s="17">
        <f t="shared" si="4"/>
        <v>0</v>
      </c>
      <c r="AE12" s="31">
        <f t="shared" si="4"/>
        <v>200</v>
      </c>
      <c r="AF12" s="31">
        <f t="shared" si="4"/>
        <v>593</v>
      </c>
    </row>
    <row r="13" spans="2:32" ht="23.1" customHeight="1" x14ac:dyDescent="0.25">
      <c r="B13" s="23" t="s">
        <v>40</v>
      </c>
      <c r="C13" s="50">
        <v>35</v>
      </c>
      <c r="D13" s="50">
        <v>5</v>
      </c>
      <c r="E13" s="50">
        <v>7</v>
      </c>
      <c r="F13" s="50">
        <v>60</v>
      </c>
      <c r="G13" s="50">
        <v>6</v>
      </c>
      <c r="H13" s="50">
        <v>0</v>
      </c>
      <c r="I13" s="50">
        <v>25</v>
      </c>
      <c r="J13" s="50">
        <v>0</v>
      </c>
      <c r="K13" s="50">
        <v>0</v>
      </c>
      <c r="L13" s="50">
        <v>0</v>
      </c>
      <c r="M13" s="50">
        <v>110</v>
      </c>
      <c r="N13" s="50">
        <v>0</v>
      </c>
      <c r="O13" s="15">
        <f t="shared" si="0"/>
        <v>138</v>
      </c>
      <c r="P13" s="15">
        <f t="shared" si="1"/>
        <v>248</v>
      </c>
      <c r="R13" s="1" t="s">
        <v>9</v>
      </c>
      <c r="S13" s="17">
        <f t="shared" ref="S13:AF13" si="5">SUM(C22:C25)</f>
        <v>36</v>
      </c>
      <c r="T13" s="17">
        <f t="shared" si="5"/>
        <v>18</v>
      </c>
      <c r="U13" s="17">
        <f t="shared" si="5"/>
        <v>4</v>
      </c>
      <c r="V13" s="17">
        <f t="shared" si="5"/>
        <v>57</v>
      </c>
      <c r="W13" s="17">
        <f t="shared" si="5"/>
        <v>0</v>
      </c>
      <c r="X13" s="17">
        <f t="shared" si="5"/>
        <v>0</v>
      </c>
      <c r="Y13" s="17">
        <f t="shared" si="5"/>
        <v>36</v>
      </c>
      <c r="Z13" s="17">
        <f t="shared" si="5"/>
        <v>3</v>
      </c>
      <c r="AA13" s="17">
        <f t="shared" si="5"/>
        <v>0</v>
      </c>
      <c r="AB13" s="17">
        <f t="shared" si="5"/>
        <v>2</v>
      </c>
      <c r="AC13" s="17">
        <f t="shared" si="5"/>
        <v>243</v>
      </c>
      <c r="AD13" s="17">
        <f t="shared" si="5"/>
        <v>0</v>
      </c>
      <c r="AE13" s="31">
        <f t="shared" si="5"/>
        <v>156</v>
      </c>
      <c r="AF13" s="31">
        <f t="shared" si="5"/>
        <v>399</v>
      </c>
    </row>
    <row r="14" spans="2:32" ht="23.1" customHeight="1" x14ac:dyDescent="0.25">
      <c r="B14" s="23" t="s">
        <v>41</v>
      </c>
      <c r="C14" s="50">
        <v>37</v>
      </c>
      <c r="D14" s="50">
        <v>27</v>
      </c>
      <c r="E14" s="50">
        <v>11</v>
      </c>
      <c r="F14" s="50">
        <v>47</v>
      </c>
      <c r="G14" s="50">
        <v>7</v>
      </c>
      <c r="H14" s="50">
        <v>1</v>
      </c>
      <c r="I14" s="50">
        <v>15</v>
      </c>
      <c r="J14" s="50">
        <v>2</v>
      </c>
      <c r="K14" s="50">
        <v>3</v>
      </c>
      <c r="L14" s="50">
        <v>0</v>
      </c>
      <c r="M14" s="50">
        <v>107</v>
      </c>
      <c r="N14" s="50">
        <v>0</v>
      </c>
      <c r="O14" s="15">
        <f t="shared" si="0"/>
        <v>150</v>
      </c>
      <c r="P14" s="15">
        <f t="shared" si="1"/>
        <v>257</v>
      </c>
      <c r="R14" s="1" t="s">
        <v>10</v>
      </c>
      <c r="S14" s="17">
        <f t="shared" ref="S14:AF14" si="6">SUM(C26:C29)</f>
        <v>28</v>
      </c>
      <c r="T14" s="17">
        <f t="shared" si="6"/>
        <v>14</v>
      </c>
      <c r="U14" s="17">
        <f t="shared" si="6"/>
        <v>4</v>
      </c>
      <c r="V14" s="17">
        <f t="shared" si="6"/>
        <v>45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2</v>
      </c>
      <c r="AA14" s="17">
        <f t="shared" si="6"/>
        <v>2</v>
      </c>
      <c r="AB14" s="17">
        <f t="shared" si="6"/>
        <v>3</v>
      </c>
      <c r="AC14" s="17">
        <f t="shared" si="6"/>
        <v>284</v>
      </c>
      <c r="AD14" s="17">
        <f t="shared" si="6"/>
        <v>0</v>
      </c>
      <c r="AE14" s="31">
        <f t="shared" si="6"/>
        <v>111</v>
      </c>
      <c r="AF14" s="31">
        <f t="shared" si="6"/>
        <v>395</v>
      </c>
    </row>
    <row r="15" spans="2:32" ht="23.1" customHeight="1" x14ac:dyDescent="0.25">
      <c r="B15" s="23" t="s">
        <v>42</v>
      </c>
      <c r="C15" s="50">
        <v>20</v>
      </c>
      <c r="D15" s="50">
        <v>10</v>
      </c>
      <c r="E15" s="50">
        <v>6</v>
      </c>
      <c r="F15" s="50">
        <v>16</v>
      </c>
      <c r="G15" s="50">
        <v>0</v>
      </c>
      <c r="H15" s="50">
        <v>0</v>
      </c>
      <c r="I15" s="50">
        <v>6</v>
      </c>
      <c r="J15" s="50">
        <v>0</v>
      </c>
      <c r="K15" s="50">
        <v>2</v>
      </c>
      <c r="L15" s="50">
        <v>0</v>
      </c>
      <c r="M15" s="50">
        <v>80</v>
      </c>
      <c r="N15" s="50">
        <v>0</v>
      </c>
      <c r="O15" s="15">
        <f t="shared" si="0"/>
        <v>60</v>
      </c>
      <c r="P15" s="15">
        <f t="shared" si="1"/>
        <v>140</v>
      </c>
      <c r="R15" s="1" t="s">
        <v>11</v>
      </c>
      <c r="S15" s="17">
        <f t="shared" ref="S15:AF15" si="7">SUM(C30:C33)</f>
        <v>41</v>
      </c>
      <c r="T15" s="17">
        <f t="shared" si="7"/>
        <v>16</v>
      </c>
      <c r="U15" s="17">
        <f t="shared" si="7"/>
        <v>18</v>
      </c>
      <c r="V15" s="17">
        <f t="shared" si="7"/>
        <v>54</v>
      </c>
      <c r="W15" s="17">
        <f t="shared" si="7"/>
        <v>2</v>
      </c>
      <c r="X15" s="17">
        <f t="shared" si="7"/>
        <v>0</v>
      </c>
      <c r="Y15" s="17">
        <f t="shared" si="7"/>
        <v>18</v>
      </c>
      <c r="Z15" s="17">
        <f t="shared" si="7"/>
        <v>6</v>
      </c>
      <c r="AA15" s="17">
        <f t="shared" si="7"/>
        <v>2</v>
      </c>
      <c r="AB15" s="17">
        <f t="shared" si="7"/>
        <v>3</v>
      </c>
      <c r="AC15" s="17">
        <f t="shared" si="7"/>
        <v>381</v>
      </c>
      <c r="AD15" s="17">
        <f t="shared" si="7"/>
        <v>0</v>
      </c>
      <c r="AE15" s="31">
        <f t="shared" si="7"/>
        <v>160</v>
      </c>
      <c r="AF15" s="31">
        <f t="shared" si="7"/>
        <v>541</v>
      </c>
    </row>
    <row r="16" spans="2:32" ht="23.1" customHeight="1" x14ac:dyDescent="0.25">
      <c r="B16" s="23" t="s">
        <v>43</v>
      </c>
      <c r="C16" s="50">
        <v>21</v>
      </c>
      <c r="D16" s="50">
        <v>10</v>
      </c>
      <c r="E16" s="50">
        <v>1</v>
      </c>
      <c r="F16" s="50">
        <v>28</v>
      </c>
      <c r="G16" s="50">
        <v>2</v>
      </c>
      <c r="H16" s="50">
        <v>0</v>
      </c>
      <c r="I16" s="50">
        <v>7</v>
      </c>
      <c r="J16" s="50">
        <v>0</v>
      </c>
      <c r="K16" s="50">
        <v>0</v>
      </c>
      <c r="L16" s="50">
        <v>0</v>
      </c>
      <c r="M16" s="50">
        <v>127</v>
      </c>
      <c r="N16" s="50">
        <v>0</v>
      </c>
      <c r="O16" s="15">
        <f t="shared" si="0"/>
        <v>69</v>
      </c>
      <c r="P16" s="15">
        <f t="shared" si="1"/>
        <v>196</v>
      </c>
      <c r="R16" s="1" t="s">
        <v>12</v>
      </c>
      <c r="S16" s="17">
        <f t="shared" ref="S16:AF16" si="8">SUM(C34:C37)</f>
        <v>27</v>
      </c>
      <c r="T16" s="17">
        <f t="shared" si="8"/>
        <v>13</v>
      </c>
      <c r="U16" s="17">
        <f t="shared" si="8"/>
        <v>14</v>
      </c>
      <c r="V16" s="17">
        <f t="shared" si="8"/>
        <v>24</v>
      </c>
      <c r="W16" s="17">
        <f t="shared" si="8"/>
        <v>1</v>
      </c>
      <c r="X16" s="17">
        <f t="shared" si="8"/>
        <v>0</v>
      </c>
      <c r="Y16" s="17">
        <f t="shared" si="8"/>
        <v>36</v>
      </c>
      <c r="Z16" s="17">
        <f t="shared" si="8"/>
        <v>3</v>
      </c>
      <c r="AA16" s="17">
        <f t="shared" si="8"/>
        <v>3</v>
      </c>
      <c r="AB16" s="17">
        <f t="shared" si="8"/>
        <v>3</v>
      </c>
      <c r="AC16" s="17">
        <f t="shared" si="8"/>
        <v>418</v>
      </c>
      <c r="AD16" s="17">
        <f t="shared" si="8"/>
        <v>0</v>
      </c>
      <c r="AE16" s="31">
        <f t="shared" si="8"/>
        <v>124</v>
      </c>
      <c r="AF16" s="31">
        <f t="shared" si="8"/>
        <v>542</v>
      </c>
    </row>
    <row r="17" spans="2:32" ht="23.1" customHeight="1" x14ac:dyDescent="0.25">
      <c r="B17" s="23" t="s">
        <v>44</v>
      </c>
      <c r="C17" s="50">
        <v>15</v>
      </c>
      <c r="D17" s="50">
        <v>2</v>
      </c>
      <c r="E17" s="50">
        <v>10</v>
      </c>
      <c r="F17" s="50">
        <v>26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105</v>
      </c>
      <c r="N17" s="50">
        <v>0</v>
      </c>
      <c r="O17" s="15">
        <f t="shared" si="0"/>
        <v>54</v>
      </c>
      <c r="P17" s="15">
        <f t="shared" si="1"/>
        <v>159</v>
      </c>
      <c r="R17" s="1" t="s">
        <v>13</v>
      </c>
      <c r="S17" s="17">
        <f t="shared" ref="S17:AF17" si="9">SUM(C38:C41)</f>
        <v>35</v>
      </c>
      <c r="T17" s="17">
        <f t="shared" si="9"/>
        <v>24</v>
      </c>
      <c r="U17" s="17">
        <f t="shared" si="9"/>
        <v>12</v>
      </c>
      <c r="V17" s="17">
        <f t="shared" si="9"/>
        <v>36</v>
      </c>
      <c r="W17" s="17">
        <f t="shared" si="9"/>
        <v>4</v>
      </c>
      <c r="X17" s="17">
        <f t="shared" si="9"/>
        <v>2</v>
      </c>
      <c r="Y17" s="17">
        <f t="shared" si="9"/>
        <v>40</v>
      </c>
      <c r="Z17" s="17">
        <f t="shared" si="9"/>
        <v>7</v>
      </c>
      <c r="AA17" s="17">
        <f t="shared" si="9"/>
        <v>0</v>
      </c>
      <c r="AB17" s="17">
        <f t="shared" si="9"/>
        <v>2</v>
      </c>
      <c r="AC17" s="17">
        <f t="shared" si="9"/>
        <v>331</v>
      </c>
      <c r="AD17" s="17">
        <f t="shared" si="9"/>
        <v>0</v>
      </c>
      <c r="AE17" s="31">
        <f t="shared" si="9"/>
        <v>162</v>
      </c>
      <c r="AF17" s="31">
        <f t="shared" si="9"/>
        <v>493</v>
      </c>
    </row>
    <row r="18" spans="2:32" ht="23.1" customHeight="1" x14ac:dyDescent="0.25">
      <c r="B18" s="23" t="s">
        <v>45</v>
      </c>
      <c r="C18" s="50">
        <v>30</v>
      </c>
      <c r="D18" s="50">
        <v>12</v>
      </c>
      <c r="E18" s="50">
        <v>16</v>
      </c>
      <c r="F18" s="50">
        <v>37</v>
      </c>
      <c r="G18" s="50">
        <v>2</v>
      </c>
      <c r="H18" s="50">
        <v>0</v>
      </c>
      <c r="I18" s="50">
        <v>7</v>
      </c>
      <c r="J18" s="50">
        <v>0</v>
      </c>
      <c r="K18" s="50">
        <v>0</v>
      </c>
      <c r="L18" s="50">
        <v>1</v>
      </c>
      <c r="M18" s="50">
        <v>140</v>
      </c>
      <c r="N18" s="50">
        <v>0</v>
      </c>
      <c r="O18" s="15">
        <f t="shared" si="0"/>
        <v>105</v>
      </c>
      <c r="P18" s="15">
        <f t="shared" si="1"/>
        <v>245</v>
      </c>
      <c r="R18" s="1" t="s">
        <v>14</v>
      </c>
      <c r="S18" s="17">
        <f t="shared" ref="S18:AF18" si="10">SUM(C42:C45)</f>
        <v>52</v>
      </c>
      <c r="T18" s="17">
        <f t="shared" si="10"/>
        <v>26</v>
      </c>
      <c r="U18" s="17">
        <f t="shared" si="10"/>
        <v>12</v>
      </c>
      <c r="V18" s="17">
        <f t="shared" si="10"/>
        <v>69</v>
      </c>
      <c r="W18" s="17">
        <f t="shared" si="10"/>
        <v>3</v>
      </c>
      <c r="X18" s="17">
        <f t="shared" si="10"/>
        <v>0</v>
      </c>
      <c r="Y18" s="17">
        <f t="shared" si="10"/>
        <v>38</v>
      </c>
      <c r="Z18" s="17">
        <f t="shared" si="10"/>
        <v>9</v>
      </c>
      <c r="AA18" s="17">
        <f t="shared" si="10"/>
        <v>1</v>
      </c>
      <c r="AB18" s="17">
        <f t="shared" si="10"/>
        <v>2</v>
      </c>
      <c r="AC18" s="17">
        <f t="shared" si="10"/>
        <v>411</v>
      </c>
      <c r="AD18" s="17">
        <f t="shared" si="10"/>
        <v>0</v>
      </c>
      <c r="AE18" s="31">
        <f t="shared" si="10"/>
        <v>212</v>
      </c>
      <c r="AF18" s="31">
        <f t="shared" si="10"/>
        <v>623</v>
      </c>
    </row>
    <row r="19" spans="2:32" ht="23.1" customHeight="1" x14ac:dyDescent="0.25">
      <c r="B19" s="23" t="s">
        <v>46</v>
      </c>
      <c r="C19" s="50">
        <v>17</v>
      </c>
      <c r="D19" s="50">
        <v>1</v>
      </c>
      <c r="E19" s="50">
        <v>0</v>
      </c>
      <c r="F19" s="50">
        <v>15</v>
      </c>
      <c r="G19" s="50">
        <v>0</v>
      </c>
      <c r="H19" s="50">
        <v>0</v>
      </c>
      <c r="I19" s="50">
        <v>6</v>
      </c>
      <c r="J19" s="50">
        <v>0</v>
      </c>
      <c r="K19" s="50">
        <v>2</v>
      </c>
      <c r="L19" s="50">
        <v>2</v>
      </c>
      <c r="M19" s="50">
        <v>50</v>
      </c>
      <c r="N19" s="50">
        <v>0</v>
      </c>
      <c r="O19" s="15">
        <f t="shared" si="0"/>
        <v>43</v>
      </c>
      <c r="P19" s="15">
        <f t="shared" si="1"/>
        <v>93</v>
      </c>
      <c r="R19" s="1" t="s">
        <v>15</v>
      </c>
      <c r="S19" s="17">
        <f t="shared" ref="S19:AF19" si="11">SUM(C46:C49)</f>
        <v>60</v>
      </c>
      <c r="T19" s="17">
        <f t="shared" si="11"/>
        <v>20</v>
      </c>
      <c r="U19" s="17">
        <f t="shared" si="11"/>
        <v>20</v>
      </c>
      <c r="V19" s="17">
        <f t="shared" si="11"/>
        <v>50</v>
      </c>
      <c r="W19" s="17">
        <f t="shared" si="11"/>
        <v>6</v>
      </c>
      <c r="X19" s="17">
        <f t="shared" si="11"/>
        <v>0</v>
      </c>
      <c r="Y19" s="17">
        <f t="shared" si="11"/>
        <v>41</v>
      </c>
      <c r="Z19" s="17">
        <f t="shared" si="11"/>
        <v>10</v>
      </c>
      <c r="AA19" s="17">
        <f t="shared" si="11"/>
        <v>4</v>
      </c>
      <c r="AB19" s="17">
        <f t="shared" si="11"/>
        <v>2</v>
      </c>
      <c r="AC19" s="17">
        <f t="shared" si="11"/>
        <v>381</v>
      </c>
      <c r="AD19" s="17">
        <f t="shared" si="11"/>
        <v>0</v>
      </c>
      <c r="AE19" s="31">
        <f t="shared" si="11"/>
        <v>213</v>
      </c>
      <c r="AF19" s="31">
        <f t="shared" si="11"/>
        <v>594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1</v>
      </c>
      <c r="F20" s="50">
        <v>17</v>
      </c>
      <c r="G20" s="50">
        <v>2</v>
      </c>
      <c r="H20" s="50">
        <v>0</v>
      </c>
      <c r="I20" s="50">
        <v>5</v>
      </c>
      <c r="J20" s="50">
        <v>1</v>
      </c>
      <c r="K20" s="50">
        <v>0</v>
      </c>
      <c r="L20" s="50">
        <v>0</v>
      </c>
      <c r="M20" s="50">
        <v>98</v>
      </c>
      <c r="N20" s="50">
        <v>0</v>
      </c>
      <c r="O20" s="15">
        <f t="shared" si="0"/>
        <v>28</v>
      </c>
      <c r="P20" s="15">
        <f t="shared" si="1"/>
        <v>126</v>
      </c>
      <c r="R20" s="1" t="s">
        <v>16</v>
      </c>
      <c r="S20" s="17">
        <f t="shared" ref="S20:AF20" si="12">SUM(C50:C53)</f>
        <v>55</v>
      </c>
      <c r="T20" s="17">
        <f t="shared" si="12"/>
        <v>33</v>
      </c>
      <c r="U20" s="17">
        <f t="shared" si="12"/>
        <v>14</v>
      </c>
      <c r="V20" s="17">
        <f t="shared" si="12"/>
        <v>39</v>
      </c>
      <c r="W20" s="17">
        <f t="shared" si="12"/>
        <v>4</v>
      </c>
      <c r="X20" s="17">
        <f t="shared" si="12"/>
        <v>0</v>
      </c>
      <c r="Y20" s="17">
        <f t="shared" si="12"/>
        <v>26</v>
      </c>
      <c r="Z20" s="17">
        <f t="shared" si="12"/>
        <v>6</v>
      </c>
      <c r="AA20" s="17">
        <f t="shared" si="12"/>
        <v>1</v>
      </c>
      <c r="AB20" s="17">
        <f t="shared" si="12"/>
        <v>2</v>
      </c>
      <c r="AC20" s="17">
        <f t="shared" si="12"/>
        <v>476</v>
      </c>
      <c r="AD20" s="17">
        <f t="shared" si="12"/>
        <v>0</v>
      </c>
      <c r="AE20" s="31">
        <f t="shared" si="12"/>
        <v>180</v>
      </c>
      <c r="AF20" s="31">
        <f t="shared" si="12"/>
        <v>656</v>
      </c>
    </row>
    <row r="21" spans="2:32" ht="23.1" customHeight="1" x14ac:dyDescent="0.25">
      <c r="B21" s="23" t="s">
        <v>48</v>
      </c>
      <c r="C21" s="50">
        <v>7</v>
      </c>
      <c r="D21" s="50">
        <v>4</v>
      </c>
      <c r="E21" s="50">
        <v>1</v>
      </c>
      <c r="F21" s="50">
        <v>5</v>
      </c>
      <c r="G21" s="50">
        <v>1</v>
      </c>
      <c r="H21" s="50">
        <v>0</v>
      </c>
      <c r="I21" s="50">
        <v>5</v>
      </c>
      <c r="J21" s="50">
        <v>1</v>
      </c>
      <c r="K21" s="50">
        <v>0</v>
      </c>
      <c r="L21" s="50">
        <v>0</v>
      </c>
      <c r="M21" s="50">
        <v>105</v>
      </c>
      <c r="N21" s="50">
        <v>0</v>
      </c>
      <c r="O21" s="15">
        <f t="shared" si="0"/>
        <v>24</v>
      </c>
      <c r="P21" s="15">
        <f t="shared" si="1"/>
        <v>129</v>
      </c>
      <c r="R21" s="36" t="s">
        <v>20</v>
      </c>
      <c r="S21" s="34">
        <f t="shared" ref="S21:AF21" si="13">SUM(C54:C57)</f>
        <v>49</v>
      </c>
      <c r="T21" s="17">
        <f t="shared" si="13"/>
        <v>36</v>
      </c>
      <c r="U21" s="17">
        <f t="shared" si="13"/>
        <v>11</v>
      </c>
      <c r="V21" s="17">
        <f t="shared" si="13"/>
        <v>40</v>
      </c>
      <c r="W21" s="17">
        <f t="shared" si="13"/>
        <v>5</v>
      </c>
      <c r="X21" s="17">
        <f t="shared" si="13"/>
        <v>0</v>
      </c>
      <c r="Y21" s="17">
        <f t="shared" si="13"/>
        <v>34</v>
      </c>
      <c r="Z21" s="17">
        <f t="shared" si="13"/>
        <v>5</v>
      </c>
      <c r="AA21" s="17">
        <f t="shared" si="13"/>
        <v>1</v>
      </c>
      <c r="AB21" s="17">
        <f t="shared" si="13"/>
        <v>2</v>
      </c>
      <c r="AC21" s="17">
        <f t="shared" si="13"/>
        <v>398</v>
      </c>
      <c r="AD21" s="17">
        <f t="shared" si="13"/>
        <v>0</v>
      </c>
      <c r="AE21" s="31">
        <f t="shared" si="13"/>
        <v>183</v>
      </c>
      <c r="AF21" s="31">
        <f t="shared" si="13"/>
        <v>581</v>
      </c>
    </row>
    <row r="22" spans="2:32" ht="23.1" customHeight="1" x14ac:dyDescent="0.25">
      <c r="B22" s="23" t="s">
        <v>49</v>
      </c>
      <c r="C22" s="50">
        <v>6</v>
      </c>
      <c r="D22" s="50">
        <v>2</v>
      </c>
      <c r="E22" s="50">
        <v>0</v>
      </c>
      <c r="F22" s="50">
        <v>6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40</v>
      </c>
      <c r="N22" s="50">
        <v>0</v>
      </c>
      <c r="O22" s="15">
        <f t="shared" si="0"/>
        <v>17</v>
      </c>
      <c r="P22" s="15">
        <f t="shared" si="1"/>
        <v>57</v>
      </c>
      <c r="R22" s="38" t="s">
        <v>90</v>
      </c>
      <c r="S22" s="39">
        <f>MAX(S10:S12)</f>
        <v>94</v>
      </c>
      <c r="T22" s="39">
        <f t="shared" ref="T22:AF22" si="14">MAX(T10:T12)</f>
        <v>49</v>
      </c>
      <c r="U22" s="39">
        <f t="shared" si="14"/>
        <v>28</v>
      </c>
      <c r="V22" s="39">
        <f t="shared" si="14"/>
        <v>117</v>
      </c>
      <c r="W22" s="39">
        <f t="shared" si="14"/>
        <v>9</v>
      </c>
      <c r="X22" s="39">
        <f t="shared" si="14"/>
        <v>1</v>
      </c>
      <c r="Y22" s="39">
        <f t="shared" si="14"/>
        <v>32</v>
      </c>
      <c r="Z22" s="39">
        <f t="shared" si="14"/>
        <v>3</v>
      </c>
      <c r="AA22" s="39">
        <f t="shared" si="14"/>
        <v>5</v>
      </c>
      <c r="AB22" s="39">
        <f t="shared" si="14"/>
        <v>3</v>
      </c>
      <c r="AC22" s="39">
        <f t="shared" si="14"/>
        <v>419</v>
      </c>
      <c r="AD22" s="39">
        <f t="shared" si="14"/>
        <v>0</v>
      </c>
      <c r="AE22" s="40">
        <f t="shared" si="14"/>
        <v>333</v>
      </c>
      <c r="AF22" s="40">
        <f t="shared" si="14"/>
        <v>752</v>
      </c>
    </row>
    <row r="23" spans="2:32" ht="23.1" customHeight="1" x14ac:dyDescent="0.25">
      <c r="B23" s="23" t="s">
        <v>50</v>
      </c>
      <c r="C23" s="50">
        <v>8</v>
      </c>
      <c r="D23" s="50">
        <v>1</v>
      </c>
      <c r="E23" s="50">
        <v>2</v>
      </c>
      <c r="F23" s="50">
        <v>10</v>
      </c>
      <c r="G23" s="50">
        <v>0</v>
      </c>
      <c r="H23" s="50">
        <v>0</v>
      </c>
      <c r="I23" s="50">
        <v>15</v>
      </c>
      <c r="J23" s="50">
        <v>1</v>
      </c>
      <c r="K23" s="50">
        <v>0</v>
      </c>
      <c r="L23" s="50">
        <v>1</v>
      </c>
      <c r="M23" s="50">
        <v>72</v>
      </c>
      <c r="N23" s="50">
        <v>0</v>
      </c>
      <c r="O23" s="15">
        <f t="shared" si="0"/>
        <v>38</v>
      </c>
      <c r="P23" s="15">
        <f t="shared" si="1"/>
        <v>110</v>
      </c>
      <c r="R23" s="38" t="s">
        <v>91</v>
      </c>
      <c r="S23" s="39">
        <f>MAX(S13:S18)</f>
        <v>52</v>
      </c>
      <c r="T23" s="39">
        <f t="shared" ref="T23:AF23" si="15">MAX(T13:T18)</f>
        <v>26</v>
      </c>
      <c r="U23" s="39">
        <f t="shared" si="15"/>
        <v>18</v>
      </c>
      <c r="V23" s="39">
        <f t="shared" si="15"/>
        <v>69</v>
      </c>
      <c r="W23" s="39">
        <f t="shared" si="15"/>
        <v>4</v>
      </c>
      <c r="X23" s="39">
        <f t="shared" si="15"/>
        <v>2</v>
      </c>
      <c r="Y23" s="39">
        <f t="shared" si="15"/>
        <v>40</v>
      </c>
      <c r="Z23" s="39">
        <f t="shared" si="15"/>
        <v>9</v>
      </c>
      <c r="AA23" s="39">
        <f t="shared" si="15"/>
        <v>3</v>
      </c>
      <c r="AB23" s="39">
        <f t="shared" si="15"/>
        <v>3</v>
      </c>
      <c r="AC23" s="39">
        <f t="shared" si="15"/>
        <v>418</v>
      </c>
      <c r="AD23" s="39">
        <f t="shared" si="15"/>
        <v>0</v>
      </c>
      <c r="AE23" s="40">
        <f t="shared" si="15"/>
        <v>212</v>
      </c>
      <c r="AF23" s="40">
        <f t="shared" si="15"/>
        <v>623</v>
      </c>
    </row>
    <row r="24" spans="2:32" ht="23.1" customHeight="1" x14ac:dyDescent="0.25">
      <c r="B24" s="23" t="s">
        <v>51</v>
      </c>
      <c r="C24" s="50">
        <v>10</v>
      </c>
      <c r="D24" s="50">
        <v>5</v>
      </c>
      <c r="E24" s="50">
        <v>0</v>
      </c>
      <c r="F24" s="50">
        <v>25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36</v>
      </c>
      <c r="N24" s="50">
        <v>0</v>
      </c>
      <c r="O24" s="15">
        <f t="shared" si="0"/>
        <v>44</v>
      </c>
      <c r="P24" s="15">
        <f t="shared" si="1"/>
        <v>80</v>
      </c>
      <c r="R24" s="38" t="s">
        <v>92</v>
      </c>
      <c r="S24" s="39">
        <f>MAX(S19:S21)</f>
        <v>60</v>
      </c>
      <c r="T24" s="39">
        <f t="shared" ref="T24:AF24" si="16">MAX(T19:T21)</f>
        <v>36</v>
      </c>
      <c r="U24" s="39">
        <f t="shared" si="16"/>
        <v>20</v>
      </c>
      <c r="V24" s="39">
        <f t="shared" si="16"/>
        <v>50</v>
      </c>
      <c r="W24" s="39">
        <f t="shared" si="16"/>
        <v>6</v>
      </c>
      <c r="X24" s="39">
        <f t="shared" si="16"/>
        <v>0</v>
      </c>
      <c r="Y24" s="39">
        <f t="shared" si="16"/>
        <v>41</v>
      </c>
      <c r="Z24" s="39">
        <f t="shared" si="16"/>
        <v>10</v>
      </c>
      <c r="AA24" s="39">
        <f t="shared" si="16"/>
        <v>4</v>
      </c>
      <c r="AB24" s="39">
        <f t="shared" si="16"/>
        <v>2</v>
      </c>
      <c r="AC24" s="39">
        <f t="shared" si="16"/>
        <v>476</v>
      </c>
      <c r="AD24" s="39">
        <f t="shared" si="16"/>
        <v>0</v>
      </c>
      <c r="AE24" s="40">
        <f t="shared" si="16"/>
        <v>213</v>
      </c>
      <c r="AF24" s="40">
        <f t="shared" si="16"/>
        <v>656</v>
      </c>
    </row>
    <row r="25" spans="2:32" ht="23.1" customHeight="1" x14ac:dyDescent="0.25">
      <c r="B25" s="23" t="s">
        <v>52</v>
      </c>
      <c r="C25" s="50">
        <v>12</v>
      </c>
      <c r="D25" s="50">
        <v>10</v>
      </c>
      <c r="E25" s="50">
        <v>2</v>
      </c>
      <c r="F25" s="50">
        <v>16</v>
      </c>
      <c r="G25" s="50">
        <v>0</v>
      </c>
      <c r="H25" s="50">
        <v>0</v>
      </c>
      <c r="I25" s="50">
        <v>15</v>
      </c>
      <c r="J25" s="50">
        <v>1</v>
      </c>
      <c r="K25" s="50">
        <v>0</v>
      </c>
      <c r="L25" s="50">
        <v>1</v>
      </c>
      <c r="M25" s="50">
        <v>95</v>
      </c>
      <c r="N25" s="50">
        <v>0</v>
      </c>
      <c r="O25" s="15">
        <f t="shared" si="0"/>
        <v>57</v>
      </c>
      <c r="P25" s="15">
        <f t="shared" si="1"/>
        <v>152</v>
      </c>
      <c r="R25" s="37" t="s">
        <v>85</v>
      </c>
      <c r="S25" s="35">
        <f t="shared" ref="S25:AF25" si="17">SUM(S10:S12)</f>
        <v>242</v>
      </c>
      <c r="T25" s="16">
        <f t="shared" si="17"/>
        <v>104</v>
      </c>
      <c r="U25" s="16">
        <f t="shared" si="17"/>
        <v>60</v>
      </c>
      <c r="V25" s="16">
        <f t="shared" si="17"/>
        <v>291</v>
      </c>
      <c r="W25" s="16">
        <f t="shared" si="17"/>
        <v>22</v>
      </c>
      <c r="X25" s="16">
        <f t="shared" si="17"/>
        <v>1</v>
      </c>
      <c r="Y25" s="16">
        <f t="shared" si="17"/>
        <v>83</v>
      </c>
      <c r="Z25" s="16">
        <f t="shared" si="17"/>
        <v>6</v>
      </c>
      <c r="AA25" s="16">
        <f t="shared" si="17"/>
        <v>7</v>
      </c>
      <c r="AB25" s="16">
        <f t="shared" si="17"/>
        <v>3</v>
      </c>
      <c r="AC25" s="16">
        <f t="shared" si="17"/>
        <v>1197</v>
      </c>
      <c r="AD25" s="16">
        <f t="shared" si="17"/>
        <v>0</v>
      </c>
      <c r="AE25" s="32">
        <f t="shared" si="17"/>
        <v>819</v>
      </c>
      <c r="AF25" s="32">
        <f t="shared" si="17"/>
        <v>2016</v>
      </c>
    </row>
    <row r="26" spans="2:32" ht="23.1" customHeight="1" x14ac:dyDescent="0.25">
      <c r="B26" s="23" t="s">
        <v>53</v>
      </c>
      <c r="C26" s="50">
        <v>3</v>
      </c>
      <c r="D26" s="50">
        <v>2</v>
      </c>
      <c r="E26" s="50">
        <v>0</v>
      </c>
      <c r="F26" s="50">
        <v>12</v>
      </c>
      <c r="G26" s="50">
        <v>0</v>
      </c>
      <c r="H26" s="50">
        <v>0</v>
      </c>
      <c r="I26" s="50">
        <v>2</v>
      </c>
      <c r="J26" s="50">
        <v>2</v>
      </c>
      <c r="K26" s="50">
        <v>0</v>
      </c>
      <c r="L26" s="50">
        <v>1</v>
      </c>
      <c r="M26" s="50">
        <v>65</v>
      </c>
      <c r="N26" s="50">
        <v>0</v>
      </c>
      <c r="O26" s="15">
        <f t="shared" si="0"/>
        <v>22</v>
      </c>
      <c r="P26" s="15">
        <f t="shared" si="1"/>
        <v>87</v>
      </c>
      <c r="R26" s="28" t="s">
        <v>86</v>
      </c>
      <c r="S26" s="16">
        <f t="shared" ref="S26:AF26" si="18">SUM(S13:S18)</f>
        <v>219</v>
      </c>
      <c r="T26" s="16">
        <f t="shared" si="18"/>
        <v>111</v>
      </c>
      <c r="U26" s="16">
        <f t="shared" si="18"/>
        <v>64</v>
      </c>
      <c r="V26" s="16">
        <f t="shared" si="18"/>
        <v>285</v>
      </c>
      <c r="W26" s="16">
        <f t="shared" si="18"/>
        <v>10</v>
      </c>
      <c r="X26" s="16">
        <f t="shared" si="18"/>
        <v>2</v>
      </c>
      <c r="Y26" s="16">
        <f t="shared" si="18"/>
        <v>181</v>
      </c>
      <c r="Z26" s="16">
        <f t="shared" si="18"/>
        <v>30</v>
      </c>
      <c r="AA26" s="16">
        <f t="shared" si="18"/>
        <v>8</v>
      </c>
      <c r="AB26" s="16">
        <f t="shared" si="18"/>
        <v>15</v>
      </c>
      <c r="AC26" s="16">
        <f t="shared" si="18"/>
        <v>2068</v>
      </c>
      <c r="AD26" s="16">
        <f t="shared" si="18"/>
        <v>0</v>
      </c>
      <c r="AE26" s="32">
        <f t="shared" si="18"/>
        <v>925</v>
      </c>
      <c r="AF26" s="32">
        <f t="shared" si="18"/>
        <v>2993</v>
      </c>
    </row>
    <row r="27" spans="2:32" ht="23.1" customHeight="1" x14ac:dyDescent="0.25">
      <c r="B27" s="23" t="s">
        <v>54</v>
      </c>
      <c r="C27" s="50">
        <v>6</v>
      </c>
      <c r="D27" s="50">
        <v>5</v>
      </c>
      <c r="E27" s="50">
        <v>2</v>
      </c>
      <c r="F27" s="50">
        <v>6</v>
      </c>
      <c r="G27" s="50">
        <v>0</v>
      </c>
      <c r="H27" s="50">
        <v>0</v>
      </c>
      <c r="I27" s="50">
        <v>4</v>
      </c>
      <c r="J27" s="50">
        <v>0</v>
      </c>
      <c r="K27" s="50">
        <v>1</v>
      </c>
      <c r="L27" s="50">
        <v>1</v>
      </c>
      <c r="M27" s="50">
        <v>72</v>
      </c>
      <c r="N27" s="50">
        <v>0</v>
      </c>
      <c r="O27" s="15">
        <f t="shared" si="0"/>
        <v>25</v>
      </c>
      <c r="P27" s="15">
        <f t="shared" si="1"/>
        <v>97</v>
      </c>
      <c r="R27" s="29" t="s">
        <v>87</v>
      </c>
      <c r="S27" s="16">
        <f t="shared" ref="S27:AF27" si="19">SUM(S19:S21)</f>
        <v>164</v>
      </c>
      <c r="T27" s="16">
        <f t="shared" si="19"/>
        <v>89</v>
      </c>
      <c r="U27" s="16">
        <f t="shared" si="19"/>
        <v>45</v>
      </c>
      <c r="V27" s="16">
        <f t="shared" si="19"/>
        <v>129</v>
      </c>
      <c r="W27" s="16">
        <f t="shared" si="19"/>
        <v>15</v>
      </c>
      <c r="X27" s="16">
        <f t="shared" si="19"/>
        <v>0</v>
      </c>
      <c r="Y27" s="16">
        <f t="shared" si="19"/>
        <v>101</v>
      </c>
      <c r="Z27" s="16">
        <f t="shared" si="19"/>
        <v>21</v>
      </c>
      <c r="AA27" s="16">
        <f t="shared" si="19"/>
        <v>6</v>
      </c>
      <c r="AB27" s="16">
        <f t="shared" si="19"/>
        <v>6</v>
      </c>
      <c r="AC27" s="16">
        <f t="shared" si="19"/>
        <v>1255</v>
      </c>
      <c r="AD27" s="16">
        <f t="shared" si="19"/>
        <v>0</v>
      </c>
      <c r="AE27" s="32">
        <f t="shared" si="19"/>
        <v>576</v>
      </c>
      <c r="AF27" s="32">
        <f t="shared" si="19"/>
        <v>1831</v>
      </c>
    </row>
    <row r="28" spans="2:32" ht="23.1" customHeight="1" x14ac:dyDescent="0.25">
      <c r="B28" s="23" t="s">
        <v>55</v>
      </c>
      <c r="C28" s="50">
        <v>6</v>
      </c>
      <c r="D28" s="50">
        <v>2</v>
      </c>
      <c r="E28" s="50">
        <v>0</v>
      </c>
      <c r="F28" s="50">
        <v>7</v>
      </c>
      <c r="G28" s="50">
        <v>0</v>
      </c>
      <c r="H28" s="50">
        <v>0</v>
      </c>
      <c r="I28" s="50">
        <v>1</v>
      </c>
      <c r="J28" s="50">
        <v>0</v>
      </c>
      <c r="K28" s="50">
        <v>1</v>
      </c>
      <c r="L28" s="50">
        <v>0</v>
      </c>
      <c r="M28" s="50">
        <v>45</v>
      </c>
      <c r="N28" s="50">
        <v>0</v>
      </c>
      <c r="O28" s="15">
        <f t="shared" si="0"/>
        <v>17</v>
      </c>
      <c r="P28" s="15">
        <f t="shared" si="1"/>
        <v>62</v>
      </c>
      <c r="R28" s="5" t="s">
        <v>17</v>
      </c>
      <c r="S28" s="16">
        <f t="shared" ref="S28:AF28" si="20">SUM(S10:S21)</f>
        <v>625</v>
      </c>
      <c r="T28" s="16">
        <f t="shared" si="20"/>
        <v>304</v>
      </c>
      <c r="U28" s="16">
        <f t="shared" si="20"/>
        <v>169</v>
      </c>
      <c r="V28" s="16">
        <f t="shared" si="20"/>
        <v>705</v>
      </c>
      <c r="W28" s="16">
        <f t="shared" si="20"/>
        <v>47</v>
      </c>
      <c r="X28" s="16">
        <f t="shared" si="20"/>
        <v>3</v>
      </c>
      <c r="Y28" s="16">
        <f t="shared" si="20"/>
        <v>365</v>
      </c>
      <c r="Z28" s="16">
        <f t="shared" si="20"/>
        <v>57</v>
      </c>
      <c r="AA28" s="16">
        <f t="shared" si="20"/>
        <v>21</v>
      </c>
      <c r="AB28" s="16">
        <f t="shared" si="20"/>
        <v>24</v>
      </c>
      <c r="AC28" s="16">
        <f t="shared" si="20"/>
        <v>4520</v>
      </c>
      <c r="AD28" s="16">
        <f t="shared" si="20"/>
        <v>0</v>
      </c>
      <c r="AE28" s="32">
        <f t="shared" si="20"/>
        <v>2320</v>
      </c>
      <c r="AF28" s="32">
        <f t="shared" si="20"/>
        <v>6840</v>
      </c>
    </row>
    <row r="29" spans="2:32" ht="23.1" customHeight="1" x14ac:dyDescent="0.25">
      <c r="B29" s="23" t="s">
        <v>56</v>
      </c>
      <c r="C29" s="50">
        <v>13</v>
      </c>
      <c r="D29" s="50">
        <v>5</v>
      </c>
      <c r="E29" s="50">
        <v>2</v>
      </c>
      <c r="F29" s="50">
        <v>20</v>
      </c>
      <c r="G29" s="50">
        <v>0</v>
      </c>
      <c r="H29" s="50">
        <v>0</v>
      </c>
      <c r="I29" s="50">
        <v>6</v>
      </c>
      <c r="J29" s="50">
        <v>0</v>
      </c>
      <c r="K29" s="50">
        <v>0</v>
      </c>
      <c r="L29" s="50">
        <v>1</v>
      </c>
      <c r="M29" s="50">
        <v>102</v>
      </c>
      <c r="N29" s="50">
        <v>0</v>
      </c>
      <c r="O29" s="15">
        <f t="shared" si="0"/>
        <v>47</v>
      </c>
      <c r="P29" s="15">
        <f t="shared" si="1"/>
        <v>149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5</v>
      </c>
      <c r="E30" s="50">
        <v>3</v>
      </c>
      <c r="F30" s="50">
        <v>7</v>
      </c>
      <c r="G30" s="50">
        <v>0</v>
      </c>
      <c r="H30" s="50">
        <v>0</v>
      </c>
      <c r="I30" s="50">
        <v>5</v>
      </c>
      <c r="J30" s="50">
        <v>1</v>
      </c>
      <c r="K30" s="50">
        <v>0</v>
      </c>
      <c r="L30" s="50">
        <v>0</v>
      </c>
      <c r="M30" s="50">
        <v>91</v>
      </c>
      <c r="N30" s="50">
        <v>0</v>
      </c>
      <c r="O30" s="15">
        <f t="shared" si="0"/>
        <v>29</v>
      </c>
      <c r="P30" s="15">
        <f t="shared" si="1"/>
        <v>120</v>
      </c>
    </row>
    <row r="31" spans="2:32" ht="23.1" customHeight="1" x14ac:dyDescent="0.25">
      <c r="B31" s="24" t="s">
        <v>58</v>
      </c>
      <c r="C31" s="50">
        <v>10</v>
      </c>
      <c r="D31" s="50">
        <v>2</v>
      </c>
      <c r="E31" s="50">
        <v>7</v>
      </c>
      <c r="F31" s="50">
        <v>11</v>
      </c>
      <c r="G31" s="50">
        <v>1</v>
      </c>
      <c r="H31" s="50">
        <v>0</v>
      </c>
      <c r="I31" s="50">
        <v>10</v>
      </c>
      <c r="J31" s="50">
        <v>3</v>
      </c>
      <c r="K31" s="50">
        <v>1</v>
      </c>
      <c r="L31" s="50">
        <v>1</v>
      </c>
      <c r="M31" s="50">
        <v>85</v>
      </c>
      <c r="N31" s="50">
        <v>0</v>
      </c>
      <c r="O31" s="15">
        <f t="shared" si="0"/>
        <v>46</v>
      </c>
      <c r="P31" s="15">
        <f t="shared" si="1"/>
        <v>131</v>
      </c>
    </row>
    <row r="32" spans="2:32" ht="23.1" customHeight="1" x14ac:dyDescent="0.25">
      <c r="B32" s="24" t="s">
        <v>59</v>
      </c>
      <c r="C32" s="50">
        <v>12</v>
      </c>
      <c r="D32" s="50">
        <v>7</v>
      </c>
      <c r="E32" s="50">
        <v>8</v>
      </c>
      <c r="F32" s="50">
        <v>15</v>
      </c>
      <c r="G32" s="50">
        <v>0</v>
      </c>
      <c r="H32" s="50">
        <v>0</v>
      </c>
      <c r="I32" s="50">
        <v>1</v>
      </c>
      <c r="J32" s="50">
        <v>2</v>
      </c>
      <c r="K32" s="50">
        <v>1</v>
      </c>
      <c r="L32" s="50">
        <v>1</v>
      </c>
      <c r="M32" s="50">
        <v>105</v>
      </c>
      <c r="N32" s="50">
        <v>0</v>
      </c>
      <c r="O32" s="15">
        <f t="shared" si="0"/>
        <v>47</v>
      </c>
      <c r="P32" s="15">
        <f t="shared" si="1"/>
        <v>152</v>
      </c>
    </row>
    <row r="33" spans="2:20" ht="23.1" customHeight="1" x14ac:dyDescent="0.25">
      <c r="B33" s="23" t="s">
        <v>60</v>
      </c>
      <c r="C33" s="50">
        <v>11</v>
      </c>
      <c r="D33" s="50">
        <v>2</v>
      </c>
      <c r="E33" s="50">
        <v>0</v>
      </c>
      <c r="F33" s="50">
        <v>21</v>
      </c>
      <c r="G33" s="50">
        <v>1</v>
      </c>
      <c r="H33" s="50">
        <v>0</v>
      </c>
      <c r="I33" s="50">
        <v>2</v>
      </c>
      <c r="J33" s="50">
        <v>0</v>
      </c>
      <c r="K33" s="50">
        <v>0</v>
      </c>
      <c r="L33" s="50">
        <v>1</v>
      </c>
      <c r="M33" s="50">
        <v>100</v>
      </c>
      <c r="N33" s="50">
        <v>0</v>
      </c>
      <c r="O33" s="15">
        <f t="shared" si="0"/>
        <v>38</v>
      </c>
      <c r="P33" s="15">
        <f t="shared" si="1"/>
        <v>138</v>
      </c>
    </row>
    <row r="34" spans="2:20" ht="23.1" customHeight="1" x14ac:dyDescent="0.25">
      <c r="B34" s="24" t="s">
        <v>61</v>
      </c>
      <c r="C34" s="50">
        <v>4</v>
      </c>
      <c r="D34" s="50">
        <v>1</v>
      </c>
      <c r="E34" s="50">
        <v>5</v>
      </c>
      <c r="F34" s="50">
        <v>8</v>
      </c>
      <c r="G34" s="50">
        <v>1</v>
      </c>
      <c r="H34" s="50">
        <v>0</v>
      </c>
      <c r="I34" s="50">
        <v>11</v>
      </c>
      <c r="J34" s="50">
        <v>1</v>
      </c>
      <c r="K34" s="50">
        <v>0</v>
      </c>
      <c r="L34" s="50">
        <v>2</v>
      </c>
      <c r="M34" s="50">
        <v>144</v>
      </c>
      <c r="N34" s="50">
        <v>0</v>
      </c>
      <c r="O34" s="15">
        <f t="shared" si="0"/>
        <v>33</v>
      </c>
      <c r="P34" s="15">
        <f t="shared" si="1"/>
        <v>177</v>
      </c>
    </row>
    <row r="35" spans="2:20" ht="23.1" customHeight="1" x14ac:dyDescent="0.25">
      <c r="B35" s="24" t="s">
        <v>62</v>
      </c>
      <c r="C35" s="50">
        <v>8</v>
      </c>
      <c r="D35" s="50">
        <v>1</v>
      </c>
      <c r="E35" s="50">
        <v>2</v>
      </c>
      <c r="F35" s="50">
        <v>5</v>
      </c>
      <c r="G35" s="50">
        <v>0</v>
      </c>
      <c r="H35" s="50">
        <v>0</v>
      </c>
      <c r="I35" s="50">
        <v>12</v>
      </c>
      <c r="J35" s="50">
        <v>0</v>
      </c>
      <c r="K35" s="50">
        <v>0</v>
      </c>
      <c r="L35" s="50">
        <v>0</v>
      </c>
      <c r="M35" s="50">
        <v>115</v>
      </c>
      <c r="N35" s="50">
        <v>0</v>
      </c>
      <c r="O35" s="15">
        <f t="shared" si="0"/>
        <v>28</v>
      </c>
      <c r="P35" s="15">
        <f t="shared" si="1"/>
        <v>143</v>
      </c>
    </row>
    <row r="36" spans="2:20" ht="23.1" customHeight="1" x14ac:dyDescent="0.25">
      <c r="B36" s="24" t="s">
        <v>63</v>
      </c>
      <c r="C36" s="50">
        <v>10</v>
      </c>
      <c r="D36" s="50">
        <v>10</v>
      </c>
      <c r="E36" s="50">
        <v>7</v>
      </c>
      <c r="F36" s="50">
        <v>10</v>
      </c>
      <c r="G36" s="50">
        <v>0</v>
      </c>
      <c r="H36" s="50">
        <v>0</v>
      </c>
      <c r="I36" s="50">
        <v>13</v>
      </c>
      <c r="J36" s="50">
        <v>2</v>
      </c>
      <c r="K36" s="50">
        <v>3</v>
      </c>
      <c r="L36" s="50">
        <v>1</v>
      </c>
      <c r="M36" s="50">
        <v>139</v>
      </c>
      <c r="N36" s="50">
        <v>0</v>
      </c>
      <c r="O36" s="15">
        <f t="shared" si="0"/>
        <v>56</v>
      </c>
      <c r="P36" s="15">
        <f t="shared" si="1"/>
        <v>195</v>
      </c>
    </row>
    <row r="37" spans="2:20" ht="23.1" customHeight="1" x14ac:dyDescent="0.25">
      <c r="B37" s="23" t="s">
        <v>64</v>
      </c>
      <c r="C37" s="50">
        <v>5</v>
      </c>
      <c r="D37" s="50">
        <v>1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20</v>
      </c>
      <c r="N37" s="50">
        <v>0</v>
      </c>
      <c r="O37" s="15">
        <f t="shared" si="0"/>
        <v>7</v>
      </c>
      <c r="P37" s="15">
        <f t="shared" si="1"/>
        <v>27</v>
      </c>
    </row>
    <row r="38" spans="2:20" ht="23.1" customHeight="1" x14ac:dyDescent="0.25">
      <c r="B38" s="24" t="s">
        <v>65</v>
      </c>
      <c r="C38" s="50">
        <v>10</v>
      </c>
      <c r="D38" s="50">
        <v>9</v>
      </c>
      <c r="E38" s="50">
        <v>3</v>
      </c>
      <c r="F38" s="50">
        <v>8</v>
      </c>
      <c r="G38" s="50">
        <v>1</v>
      </c>
      <c r="H38" s="50">
        <v>1</v>
      </c>
      <c r="I38" s="50">
        <v>14</v>
      </c>
      <c r="J38" s="50">
        <v>2</v>
      </c>
      <c r="K38" s="50">
        <v>0</v>
      </c>
      <c r="L38" s="50">
        <v>1</v>
      </c>
      <c r="M38" s="50">
        <v>66</v>
      </c>
      <c r="N38" s="50">
        <v>0</v>
      </c>
      <c r="O38" s="15">
        <f t="shared" si="0"/>
        <v>49</v>
      </c>
      <c r="P38" s="15">
        <f t="shared" si="1"/>
        <v>115</v>
      </c>
    </row>
    <row r="39" spans="2:20" ht="23.1" customHeight="1" x14ac:dyDescent="0.25">
      <c r="B39" s="24" t="s">
        <v>66</v>
      </c>
      <c r="C39" s="50">
        <v>8</v>
      </c>
      <c r="D39" s="50">
        <v>5</v>
      </c>
      <c r="E39" s="50">
        <v>4</v>
      </c>
      <c r="F39" s="50">
        <v>14</v>
      </c>
      <c r="G39" s="50">
        <v>1</v>
      </c>
      <c r="H39" s="50">
        <v>1</v>
      </c>
      <c r="I39" s="50">
        <v>7</v>
      </c>
      <c r="J39" s="50">
        <v>1</v>
      </c>
      <c r="K39" s="50">
        <v>0</v>
      </c>
      <c r="L39" s="50">
        <v>0</v>
      </c>
      <c r="M39" s="50">
        <v>72</v>
      </c>
      <c r="N39" s="50">
        <v>0</v>
      </c>
      <c r="O39" s="15">
        <f t="shared" si="0"/>
        <v>41</v>
      </c>
      <c r="P39" s="15">
        <f t="shared" si="1"/>
        <v>113</v>
      </c>
    </row>
    <row r="40" spans="2:20" ht="23.1" customHeight="1" x14ac:dyDescent="0.25">
      <c r="B40" s="24" t="s">
        <v>67</v>
      </c>
      <c r="C40" s="50">
        <v>5</v>
      </c>
      <c r="D40" s="50">
        <v>5</v>
      </c>
      <c r="E40" s="50">
        <v>3</v>
      </c>
      <c r="F40" s="50">
        <v>6</v>
      </c>
      <c r="G40" s="50">
        <v>1</v>
      </c>
      <c r="H40" s="50">
        <v>0</v>
      </c>
      <c r="I40" s="50">
        <v>4</v>
      </c>
      <c r="J40" s="50">
        <v>1</v>
      </c>
      <c r="K40" s="50">
        <v>0</v>
      </c>
      <c r="L40" s="50">
        <v>1</v>
      </c>
      <c r="M40" s="50">
        <v>91</v>
      </c>
      <c r="N40" s="50">
        <v>0</v>
      </c>
      <c r="O40" s="15">
        <f t="shared" si="0"/>
        <v>26</v>
      </c>
      <c r="P40" s="15">
        <f t="shared" si="1"/>
        <v>117</v>
      </c>
    </row>
    <row r="41" spans="2:20" ht="23.1" customHeight="1" x14ac:dyDescent="0.25">
      <c r="B41" s="23" t="s">
        <v>68</v>
      </c>
      <c r="C41" s="50">
        <v>12</v>
      </c>
      <c r="D41" s="50">
        <v>5</v>
      </c>
      <c r="E41" s="50">
        <v>2</v>
      </c>
      <c r="F41" s="50">
        <v>8</v>
      </c>
      <c r="G41" s="50">
        <v>1</v>
      </c>
      <c r="H41" s="50">
        <v>0</v>
      </c>
      <c r="I41" s="50">
        <v>15</v>
      </c>
      <c r="J41" s="50">
        <v>3</v>
      </c>
      <c r="K41" s="50">
        <v>0</v>
      </c>
      <c r="L41" s="50">
        <v>0</v>
      </c>
      <c r="M41" s="50">
        <v>102</v>
      </c>
      <c r="N41" s="50">
        <v>0</v>
      </c>
      <c r="O41" s="15">
        <f t="shared" si="0"/>
        <v>46</v>
      </c>
      <c r="P41" s="15">
        <f t="shared" si="1"/>
        <v>148</v>
      </c>
    </row>
    <row r="42" spans="2:20" ht="23.1" customHeight="1" x14ac:dyDescent="0.25">
      <c r="B42" s="24" t="s">
        <v>69</v>
      </c>
      <c r="C42" s="50">
        <v>13</v>
      </c>
      <c r="D42" s="50">
        <v>7</v>
      </c>
      <c r="E42" s="50">
        <v>3</v>
      </c>
      <c r="F42" s="50">
        <v>12</v>
      </c>
      <c r="G42" s="50">
        <v>1</v>
      </c>
      <c r="H42" s="50">
        <v>0</v>
      </c>
      <c r="I42" s="50">
        <v>5</v>
      </c>
      <c r="J42" s="50">
        <v>1</v>
      </c>
      <c r="K42" s="50">
        <v>1</v>
      </c>
      <c r="L42" s="50">
        <v>1</v>
      </c>
      <c r="M42" s="50">
        <v>105</v>
      </c>
      <c r="N42" s="50">
        <v>0</v>
      </c>
      <c r="O42" s="15">
        <f t="shared" si="0"/>
        <v>44</v>
      </c>
      <c r="P42" s="15">
        <f t="shared" si="1"/>
        <v>149</v>
      </c>
    </row>
    <row r="43" spans="2:20" ht="23.1" customHeight="1" x14ac:dyDescent="0.25">
      <c r="B43" s="23" t="s">
        <v>70</v>
      </c>
      <c r="C43" s="50">
        <v>9</v>
      </c>
      <c r="D43" s="50">
        <v>3</v>
      </c>
      <c r="E43" s="50">
        <v>2</v>
      </c>
      <c r="F43" s="50">
        <v>10</v>
      </c>
      <c r="G43" s="50">
        <v>2</v>
      </c>
      <c r="H43" s="50">
        <v>0</v>
      </c>
      <c r="I43" s="50">
        <v>8</v>
      </c>
      <c r="J43" s="50">
        <v>4</v>
      </c>
      <c r="K43" s="50">
        <v>0</v>
      </c>
      <c r="L43" s="50">
        <v>0</v>
      </c>
      <c r="M43" s="50">
        <v>102</v>
      </c>
      <c r="N43" s="50">
        <v>0</v>
      </c>
      <c r="O43" s="15">
        <f t="shared" si="0"/>
        <v>38</v>
      </c>
      <c r="P43" s="15">
        <f t="shared" si="1"/>
        <v>140</v>
      </c>
    </row>
    <row r="44" spans="2:20" ht="23.1" customHeight="1" x14ac:dyDescent="0.25">
      <c r="B44" s="25" t="s">
        <v>71</v>
      </c>
      <c r="C44" s="50">
        <v>17</v>
      </c>
      <c r="D44" s="50">
        <v>7</v>
      </c>
      <c r="E44" s="50">
        <v>3</v>
      </c>
      <c r="F44" s="50">
        <v>20</v>
      </c>
      <c r="G44" s="50">
        <v>0</v>
      </c>
      <c r="H44" s="50">
        <v>0</v>
      </c>
      <c r="I44" s="50">
        <v>13</v>
      </c>
      <c r="J44" s="50">
        <v>2</v>
      </c>
      <c r="K44" s="50">
        <v>0</v>
      </c>
      <c r="L44" s="50">
        <v>0</v>
      </c>
      <c r="M44" s="50">
        <v>109</v>
      </c>
      <c r="N44" s="50">
        <v>0</v>
      </c>
      <c r="O44" s="15">
        <f t="shared" si="0"/>
        <v>62</v>
      </c>
      <c r="P44" s="15">
        <f t="shared" si="1"/>
        <v>171</v>
      </c>
    </row>
    <row r="45" spans="2:20" ht="23.1" customHeight="1" x14ac:dyDescent="0.25">
      <c r="B45" s="23" t="s">
        <v>72</v>
      </c>
      <c r="C45" s="50">
        <v>13</v>
      </c>
      <c r="D45" s="50">
        <v>9</v>
      </c>
      <c r="E45" s="50">
        <v>4</v>
      </c>
      <c r="F45" s="50">
        <v>27</v>
      </c>
      <c r="G45" s="50">
        <v>0</v>
      </c>
      <c r="H45" s="50">
        <v>0</v>
      </c>
      <c r="I45" s="50">
        <v>12</v>
      </c>
      <c r="J45" s="50">
        <v>2</v>
      </c>
      <c r="K45" s="50">
        <v>0</v>
      </c>
      <c r="L45" s="50">
        <v>1</v>
      </c>
      <c r="M45" s="50">
        <v>95</v>
      </c>
      <c r="N45" s="50">
        <v>0</v>
      </c>
      <c r="O45" s="15">
        <f t="shared" si="0"/>
        <v>68</v>
      </c>
      <c r="P45" s="15">
        <f t="shared" si="1"/>
        <v>163</v>
      </c>
    </row>
    <row r="46" spans="2:20" ht="23.1" customHeight="1" x14ac:dyDescent="0.25">
      <c r="B46" s="24" t="s">
        <v>73</v>
      </c>
      <c r="C46" s="50">
        <v>18</v>
      </c>
      <c r="D46" s="50">
        <v>5</v>
      </c>
      <c r="E46" s="50">
        <v>5</v>
      </c>
      <c r="F46" s="50">
        <v>15</v>
      </c>
      <c r="G46" s="50">
        <v>1</v>
      </c>
      <c r="H46" s="50">
        <v>0</v>
      </c>
      <c r="I46" s="50">
        <v>22</v>
      </c>
      <c r="J46" s="50">
        <v>6</v>
      </c>
      <c r="K46" s="50">
        <v>0</v>
      </c>
      <c r="L46" s="50">
        <v>1</v>
      </c>
      <c r="M46" s="50">
        <v>93</v>
      </c>
      <c r="N46" s="50">
        <v>0</v>
      </c>
      <c r="O46" s="15">
        <f t="shared" si="0"/>
        <v>73</v>
      </c>
      <c r="P46" s="15">
        <f t="shared" si="1"/>
        <v>166</v>
      </c>
      <c r="R46" s="8"/>
      <c r="T46"/>
    </row>
    <row r="47" spans="2:20" ht="23.1" customHeight="1" x14ac:dyDescent="0.25">
      <c r="B47" s="24" t="s">
        <v>74</v>
      </c>
      <c r="C47" s="50">
        <v>18</v>
      </c>
      <c r="D47" s="50">
        <v>8</v>
      </c>
      <c r="E47" s="50">
        <v>3</v>
      </c>
      <c r="F47" s="50">
        <v>16</v>
      </c>
      <c r="G47" s="50">
        <v>3</v>
      </c>
      <c r="H47" s="50">
        <v>0</v>
      </c>
      <c r="I47" s="50">
        <v>3</v>
      </c>
      <c r="J47" s="50">
        <v>1</v>
      </c>
      <c r="K47" s="50">
        <v>1</v>
      </c>
      <c r="L47" s="50">
        <v>0</v>
      </c>
      <c r="M47" s="50">
        <v>101</v>
      </c>
      <c r="N47" s="50">
        <v>0</v>
      </c>
      <c r="O47" s="15">
        <f t="shared" si="0"/>
        <v>53</v>
      </c>
      <c r="P47" s="15">
        <f t="shared" si="1"/>
        <v>154</v>
      </c>
      <c r="R47" s="8"/>
      <c r="T47"/>
    </row>
    <row r="48" spans="2:20" ht="23.1" customHeight="1" x14ac:dyDescent="0.25">
      <c r="B48" s="24" t="s">
        <v>75</v>
      </c>
      <c r="C48" s="50">
        <v>11</v>
      </c>
      <c r="D48" s="50">
        <v>2</v>
      </c>
      <c r="E48" s="50">
        <v>6</v>
      </c>
      <c r="F48" s="50">
        <v>13</v>
      </c>
      <c r="G48" s="50">
        <v>1</v>
      </c>
      <c r="H48" s="50">
        <v>0</v>
      </c>
      <c r="I48" s="50">
        <v>5</v>
      </c>
      <c r="J48" s="50">
        <v>1</v>
      </c>
      <c r="K48" s="50">
        <v>1</v>
      </c>
      <c r="L48" s="50">
        <v>0</v>
      </c>
      <c r="M48" s="50">
        <v>112</v>
      </c>
      <c r="N48" s="50">
        <v>0</v>
      </c>
      <c r="O48" s="15">
        <f t="shared" si="0"/>
        <v>40</v>
      </c>
      <c r="P48" s="15">
        <f t="shared" si="1"/>
        <v>152</v>
      </c>
      <c r="R48" s="8"/>
      <c r="T48"/>
    </row>
    <row r="49" spans="2:20" ht="23.1" customHeight="1" x14ac:dyDescent="0.25">
      <c r="B49" s="23" t="s">
        <v>76</v>
      </c>
      <c r="C49" s="50">
        <v>13</v>
      </c>
      <c r="D49" s="50">
        <v>5</v>
      </c>
      <c r="E49" s="50">
        <v>6</v>
      </c>
      <c r="F49" s="50">
        <v>6</v>
      </c>
      <c r="G49" s="50">
        <v>1</v>
      </c>
      <c r="H49" s="50">
        <v>0</v>
      </c>
      <c r="I49" s="50">
        <v>11</v>
      </c>
      <c r="J49" s="50">
        <v>2</v>
      </c>
      <c r="K49" s="50">
        <v>2</v>
      </c>
      <c r="L49" s="50">
        <v>1</v>
      </c>
      <c r="M49" s="50">
        <v>75</v>
      </c>
      <c r="N49" s="50">
        <v>0</v>
      </c>
      <c r="O49" s="15">
        <f t="shared" si="0"/>
        <v>47</v>
      </c>
      <c r="P49" s="15">
        <f t="shared" si="1"/>
        <v>122</v>
      </c>
      <c r="R49" s="8"/>
      <c r="T49"/>
    </row>
    <row r="50" spans="2:20" ht="23.1" customHeight="1" x14ac:dyDescent="0.25">
      <c r="B50" s="24" t="s">
        <v>77</v>
      </c>
      <c r="C50" s="50">
        <v>22</v>
      </c>
      <c r="D50" s="50">
        <v>6</v>
      </c>
      <c r="E50" s="50">
        <v>0</v>
      </c>
      <c r="F50" s="50">
        <v>12</v>
      </c>
      <c r="G50" s="50">
        <v>0</v>
      </c>
      <c r="H50" s="50">
        <v>0</v>
      </c>
      <c r="I50" s="50">
        <v>7</v>
      </c>
      <c r="J50" s="50">
        <v>2</v>
      </c>
      <c r="K50" s="50">
        <v>1</v>
      </c>
      <c r="L50" s="50">
        <v>0</v>
      </c>
      <c r="M50" s="50">
        <v>127</v>
      </c>
      <c r="N50" s="50">
        <v>0</v>
      </c>
      <c r="O50" s="15">
        <f t="shared" si="0"/>
        <v>50</v>
      </c>
      <c r="P50" s="15">
        <f t="shared" si="1"/>
        <v>177</v>
      </c>
      <c r="R50" s="8"/>
      <c r="T50"/>
    </row>
    <row r="51" spans="2:20" ht="23.1" customHeight="1" x14ac:dyDescent="0.25">
      <c r="B51" s="24" t="s">
        <v>78</v>
      </c>
      <c r="C51" s="50">
        <v>12</v>
      </c>
      <c r="D51" s="50">
        <v>9</v>
      </c>
      <c r="E51" s="50">
        <v>7</v>
      </c>
      <c r="F51" s="50">
        <v>5</v>
      </c>
      <c r="G51" s="50">
        <v>1</v>
      </c>
      <c r="H51" s="50">
        <v>0</v>
      </c>
      <c r="I51" s="50">
        <v>8</v>
      </c>
      <c r="J51" s="50">
        <v>2</v>
      </c>
      <c r="K51" s="50">
        <v>0</v>
      </c>
      <c r="L51" s="50">
        <v>2</v>
      </c>
      <c r="M51" s="50">
        <v>108</v>
      </c>
      <c r="N51" s="50">
        <v>0</v>
      </c>
      <c r="O51" s="15">
        <f t="shared" si="0"/>
        <v>46</v>
      </c>
      <c r="P51" s="15">
        <f t="shared" si="1"/>
        <v>154</v>
      </c>
      <c r="R51" s="8"/>
      <c r="T51"/>
    </row>
    <row r="52" spans="2:20" ht="23.1" customHeight="1" x14ac:dyDescent="0.25">
      <c r="B52" s="24" t="s">
        <v>79</v>
      </c>
      <c r="C52" s="50">
        <v>9</v>
      </c>
      <c r="D52" s="50">
        <v>5</v>
      </c>
      <c r="E52" s="50">
        <v>4</v>
      </c>
      <c r="F52" s="50">
        <v>11</v>
      </c>
      <c r="G52" s="50">
        <v>2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97</v>
      </c>
      <c r="N52" s="50">
        <v>0</v>
      </c>
      <c r="O52" s="15">
        <f t="shared" si="0"/>
        <v>35</v>
      </c>
      <c r="P52" s="15">
        <f t="shared" si="1"/>
        <v>132</v>
      </c>
      <c r="R52" s="8"/>
      <c r="T52"/>
    </row>
    <row r="53" spans="2:20" ht="23.1" customHeight="1" x14ac:dyDescent="0.25">
      <c r="B53" s="23" t="s">
        <v>80</v>
      </c>
      <c r="C53" s="50">
        <v>12</v>
      </c>
      <c r="D53" s="50">
        <v>13</v>
      </c>
      <c r="E53" s="50">
        <v>3</v>
      </c>
      <c r="F53" s="50">
        <v>11</v>
      </c>
      <c r="G53" s="50">
        <v>1</v>
      </c>
      <c r="H53" s="50">
        <v>0</v>
      </c>
      <c r="I53" s="50">
        <v>7</v>
      </c>
      <c r="J53" s="50">
        <v>2</v>
      </c>
      <c r="K53" s="50">
        <v>0</v>
      </c>
      <c r="L53" s="50">
        <v>0</v>
      </c>
      <c r="M53" s="50">
        <v>144</v>
      </c>
      <c r="N53" s="50">
        <v>0</v>
      </c>
      <c r="O53" s="15">
        <f t="shared" si="0"/>
        <v>49</v>
      </c>
      <c r="P53" s="15">
        <f t="shared" si="1"/>
        <v>193</v>
      </c>
      <c r="R53" s="8"/>
      <c r="T53"/>
    </row>
    <row r="54" spans="2:20" ht="23.1" customHeight="1" x14ac:dyDescent="0.25">
      <c r="B54" s="23" t="s">
        <v>81</v>
      </c>
      <c r="C54" s="50">
        <v>15</v>
      </c>
      <c r="D54" s="50">
        <v>14</v>
      </c>
      <c r="E54" s="50">
        <v>1</v>
      </c>
      <c r="F54" s="50">
        <v>15</v>
      </c>
      <c r="G54" s="50">
        <v>2</v>
      </c>
      <c r="H54" s="50">
        <v>0</v>
      </c>
      <c r="I54" s="50">
        <v>8</v>
      </c>
      <c r="J54" s="50">
        <v>2</v>
      </c>
      <c r="K54" s="50">
        <v>0</v>
      </c>
      <c r="L54" s="50">
        <v>0</v>
      </c>
      <c r="M54" s="50">
        <v>115</v>
      </c>
      <c r="N54" s="50">
        <v>0</v>
      </c>
      <c r="O54" s="15">
        <f t="shared" si="0"/>
        <v>57</v>
      </c>
      <c r="P54" s="15">
        <f t="shared" si="1"/>
        <v>172</v>
      </c>
      <c r="R54" s="8"/>
      <c r="T54"/>
    </row>
    <row r="55" spans="2:20" ht="23.1" customHeight="1" x14ac:dyDescent="0.25">
      <c r="B55" s="23" t="s">
        <v>82</v>
      </c>
      <c r="C55" s="50">
        <v>19</v>
      </c>
      <c r="D55" s="50">
        <v>11</v>
      </c>
      <c r="E55" s="50">
        <v>7</v>
      </c>
      <c r="F55" s="50">
        <v>9</v>
      </c>
      <c r="G55" s="50">
        <v>0</v>
      </c>
      <c r="H55" s="50">
        <v>0</v>
      </c>
      <c r="I55" s="50">
        <v>13</v>
      </c>
      <c r="J55" s="50">
        <v>1</v>
      </c>
      <c r="K55" s="50">
        <v>0</v>
      </c>
      <c r="L55" s="50">
        <v>2</v>
      </c>
      <c r="M55" s="50">
        <v>112</v>
      </c>
      <c r="N55" s="50">
        <v>0</v>
      </c>
      <c r="O55" s="15">
        <f t="shared" si="0"/>
        <v>62</v>
      </c>
      <c r="P55" s="15">
        <f t="shared" si="1"/>
        <v>174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5</v>
      </c>
      <c r="E56" s="50">
        <v>2</v>
      </c>
      <c r="F56" s="50">
        <v>6</v>
      </c>
      <c r="G56" s="50">
        <v>3</v>
      </c>
      <c r="H56" s="50">
        <v>0</v>
      </c>
      <c r="I56" s="50">
        <v>6</v>
      </c>
      <c r="J56" s="50">
        <v>1</v>
      </c>
      <c r="K56" s="50">
        <v>0</v>
      </c>
      <c r="L56" s="50">
        <v>0</v>
      </c>
      <c r="M56" s="50">
        <v>70</v>
      </c>
      <c r="N56" s="50">
        <v>0</v>
      </c>
      <c r="O56" s="15">
        <f t="shared" si="0"/>
        <v>29</v>
      </c>
      <c r="P56" s="15">
        <f t="shared" si="1"/>
        <v>99</v>
      </c>
      <c r="R56" s="8"/>
      <c r="T56"/>
    </row>
    <row r="57" spans="2:20" ht="23.1" customHeight="1" x14ac:dyDescent="0.25">
      <c r="B57" s="23" t="s">
        <v>84</v>
      </c>
      <c r="C57" s="50">
        <v>9</v>
      </c>
      <c r="D57" s="50">
        <v>6</v>
      </c>
      <c r="E57" s="50">
        <v>1</v>
      </c>
      <c r="F57" s="50">
        <v>10</v>
      </c>
      <c r="G57" s="50">
        <v>0</v>
      </c>
      <c r="H57" s="50">
        <v>0</v>
      </c>
      <c r="I57" s="50">
        <v>7</v>
      </c>
      <c r="J57" s="50">
        <v>1</v>
      </c>
      <c r="K57" s="50">
        <v>1</v>
      </c>
      <c r="L57" s="50">
        <v>0</v>
      </c>
      <c r="M57" s="50">
        <v>101</v>
      </c>
      <c r="N57" s="50">
        <v>0</v>
      </c>
      <c r="O57" s="15">
        <f t="shared" si="0"/>
        <v>35</v>
      </c>
      <c r="P57" s="15">
        <f t="shared" si="1"/>
        <v>136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625</v>
      </c>
      <c r="D58" s="16">
        <f t="shared" si="21"/>
        <v>304</v>
      </c>
      <c r="E58" s="16">
        <f t="shared" si="21"/>
        <v>169</v>
      </c>
      <c r="F58" s="16">
        <f t="shared" si="21"/>
        <v>705</v>
      </c>
      <c r="G58" s="16">
        <f t="shared" si="21"/>
        <v>47</v>
      </c>
      <c r="H58" s="16">
        <f t="shared" si="21"/>
        <v>3</v>
      </c>
      <c r="I58" s="16">
        <f t="shared" si="21"/>
        <v>365</v>
      </c>
      <c r="J58" s="16">
        <f t="shared" si="21"/>
        <v>57</v>
      </c>
      <c r="K58" s="16">
        <f t="shared" si="21"/>
        <v>21</v>
      </c>
      <c r="L58" s="16">
        <f t="shared" si="21"/>
        <v>24</v>
      </c>
      <c r="M58" s="16">
        <f t="shared" si="21"/>
        <v>4520</v>
      </c>
      <c r="N58" s="16">
        <f t="shared" si="21"/>
        <v>0</v>
      </c>
      <c r="O58" s="16">
        <f t="shared" si="21"/>
        <v>2320</v>
      </c>
      <c r="P58" s="16">
        <f t="shared" si="21"/>
        <v>6840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9.1374269005847955E-2</v>
      </c>
      <c r="D59" s="43">
        <f t="shared" si="22"/>
        <v>4.4444444444444446E-2</v>
      </c>
      <c r="E59" s="43">
        <f t="shared" si="22"/>
        <v>2.4707602339181286E-2</v>
      </c>
      <c r="F59" s="43">
        <f t="shared" si="22"/>
        <v>0.10307017543859649</v>
      </c>
      <c r="G59" s="43">
        <f t="shared" si="22"/>
        <v>6.871345029239766E-3</v>
      </c>
      <c r="H59" s="43">
        <f t="shared" si="22"/>
        <v>4.3859649122807018E-4</v>
      </c>
      <c r="I59" s="43">
        <f t="shared" si="22"/>
        <v>5.3362573099415202E-2</v>
      </c>
      <c r="J59" s="43">
        <f t="shared" si="22"/>
        <v>8.3333333333333332E-3</v>
      </c>
      <c r="K59" s="43">
        <f t="shared" si="22"/>
        <v>3.0701754385964912E-3</v>
      </c>
      <c r="L59" s="43">
        <f t="shared" si="22"/>
        <v>3.5087719298245615E-3</v>
      </c>
      <c r="M59" s="43">
        <f t="shared" si="22"/>
        <v>0.66081871345029242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0.26939655172413796</v>
      </c>
      <c r="D60" s="44">
        <f t="shared" ref="D60:N60" si="23">D58/$O$58</f>
        <v>0.1310344827586207</v>
      </c>
      <c r="E60" s="44">
        <f t="shared" si="23"/>
        <v>7.2844827586206903E-2</v>
      </c>
      <c r="F60" s="44">
        <f t="shared" si="23"/>
        <v>0.30387931034482757</v>
      </c>
      <c r="G60" s="44">
        <f t="shared" si="23"/>
        <v>2.0258620689655171E-2</v>
      </c>
      <c r="H60" s="44">
        <f t="shared" si="23"/>
        <v>1.2931034482758621E-3</v>
      </c>
      <c r="I60" s="44">
        <f t="shared" si="23"/>
        <v>0.15732758620689655</v>
      </c>
      <c r="J60" s="44">
        <f t="shared" si="23"/>
        <v>2.456896551724138E-2</v>
      </c>
      <c r="K60" s="44">
        <f t="shared" si="23"/>
        <v>9.0517241379310352E-3</v>
      </c>
      <c r="L60" s="44">
        <f t="shared" si="23"/>
        <v>1.0344827586206896E-2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60" workbookViewId="0">
      <selection activeCell="A7" sqref="A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 KATOSI-MUKONO'!C3:G3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'30.10 KATOSI-MUKONO'!D5</f>
        <v>30.10.2019</v>
      </c>
      <c r="E5" s="3"/>
      <c r="F5" s="41" t="s">
        <v>1</v>
      </c>
      <c r="G5" s="53" t="str">
        <f>'29.10-MUKONO-KATOSI'!G5:H5</f>
        <v>LUV GUEST HOUSE</v>
      </c>
      <c r="H5" s="54"/>
      <c r="I5" s="14"/>
      <c r="J5" s="2" t="s">
        <v>5</v>
      </c>
      <c r="K5" s="53" t="str">
        <f>'29.10-MUKONO-KATOSI'!K5:L5</f>
        <v>KIRABO DAN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">
        <v>165</v>
      </c>
      <c r="E6" s="54"/>
      <c r="F6" s="2" t="s">
        <v>2</v>
      </c>
      <c r="G6" s="53" t="s">
        <v>166</v>
      </c>
      <c r="H6" s="54"/>
      <c r="J6" s="2" t="s">
        <v>21</v>
      </c>
      <c r="K6" s="53" t="str">
        <f>'29.10-MUKONO-KATOSI'!K6:L6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</v>
      </c>
      <c r="D10" s="50">
        <v>2</v>
      </c>
      <c r="E10" s="50">
        <v>2</v>
      </c>
      <c r="F10" s="50">
        <v>5</v>
      </c>
      <c r="G10" s="50">
        <v>0</v>
      </c>
      <c r="H10" s="50">
        <v>0</v>
      </c>
      <c r="I10" s="50">
        <v>3</v>
      </c>
      <c r="J10" s="50">
        <v>2</v>
      </c>
      <c r="K10" s="50">
        <v>0</v>
      </c>
      <c r="L10" s="50">
        <v>0</v>
      </c>
      <c r="M10" s="50">
        <v>42</v>
      </c>
      <c r="N10" s="50">
        <v>0</v>
      </c>
      <c r="O10" s="15">
        <f t="shared" ref="O10:O57" si="0">SUM(C10:L10,N10)</f>
        <v>22</v>
      </c>
      <c r="P10" s="15">
        <f t="shared" ref="P10:P57" si="1">SUM(C10:N10)</f>
        <v>64</v>
      </c>
      <c r="R10" s="1" t="s">
        <v>6</v>
      </c>
      <c r="S10" s="17">
        <f t="shared" ref="S10:AF10" si="2">SUM(C10:C13)</f>
        <v>31</v>
      </c>
      <c r="T10" s="17">
        <f t="shared" si="2"/>
        <v>19</v>
      </c>
      <c r="U10" s="17">
        <f t="shared" si="2"/>
        <v>8</v>
      </c>
      <c r="V10" s="17">
        <f t="shared" si="2"/>
        <v>25</v>
      </c>
      <c r="W10" s="17">
        <f t="shared" si="2"/>
        <v>2</v>
      </c>
      <c r="X10" s="17">
        <f t="shared" si="2"/>
        <v>0</v>
      </c>
      <c r="Y10" s="17">
        <f t="shared" si="2"/>
        <v>17</v>
      </c>
      <c r="Z10" s="17">
        <f t="shared" si="2"/>
        <v>7</v>
      </c>
      <c r="AA10" s="17">
        <f t="shared" si="2"/>
        <v>0</v>
      </c>
      <c r="AB10" s="17">
        <f t="shared" si="2"/>
        <v>0</v>
      </c>
      <c r="AC10" s="17">
        <f t="shared" si="2"/>
        <v>289</v>
      </c>
      <c r="AD10" s="17">
        <f t="shared" si="2"/>
        <v>36</v>
      </c>
      <c r="AE10" s="31">
        <f t="shared" si="2"/>
        <v>145</v>
      </c>
      <c r="AF10" s="31">
        <f t="shared" si="2"/>
        <v>434</v>
      </c>
    </row>
    <row r="11" spans="2:32" s="6" customFormat="1" ht="23.1" customHeight="1" x14ac:dyDescent="0.25">
      <c r="B11" s="23" t="s">
        <v>38</v>
      </c>
      <c r="C11" s="50">
        <v>2</v>
      </c>
      <c r="D11" s="50">
        <v>3</v>
      </c>
      <c r="E11" s="50">
        <v>2</v>
      </c>
      <c r="F11" s="50">
        <v>3</v>
      </c>
      <c r="G11" s="50">
        <v>1</v>
      </c>
      <c r="H11" s="50">
        <v>0</v>
      </c>
      <c r="I11" s="50">
        <v>3</v>
      </c>
      <c r="J11" s="50">
        <v>1</v>
      </c>
      <c r="K11" s="50">
        <v>0</v>
      </c>
      <c r="L11" s="50">
        <v>0</v>
      </c>
      <c r="M11" s="50">
        <v>36</v>
      </c>
      <c r="N11" s="50">
        <v>36</v>
      </c>
      <c r="O11" s="15">
        <f t="shared" si="0"/>
        <v>51</v>
      </c>
      <c r="P11" s="15">
        <f t="shared" si="1"/>
        <v>87</v>
      </c>
      <c r="R11" s="1" t="s">
        <v>7</v>
      </c>
      <c r="S11" s="17">
        <f t="shared" ref="S11:AF11" si="3">SUM(C14:C17)</f>
        <v>50</v>
      </c>
      <c r="T11" s="17">
        <f t="shared" si="3"/>
        <v>34</v>
      </c>
      <c r="U11" s="17">
        <f t="shared" si="3"/>
        <v>12</v>
      </c>
      <c r="V11" s="17">
        <f t="shared" si="3"/>
        <v>29</v>
      </c>
      <c r="W11" s="17">
        <f t="shared" si="3"/>
        <v>14</v>
      </c>
      <c r="X11" s="17">
        <f t="shared" si="3"/>
        <v>0</v>
      </c>
      <c r="Y11" s="17">
        <f t="shared" si="3"/>
        <v>28</v>
      </c>
      <c r="Z11" s="17">
        <f t="shared" si="3"/>
        <v>7</v>
      </c>
      <c r="AA11" s="17">
        <f t="shared" si="3"/>
        <v>2</v>
      </c>
      <c r="AB11" s="17">
        <f t="shared" si="3"/>
        <v>7</v>
      </c>
      <c r="AC11" s="17">
        <f t="shared" si="3"/>
        <v>477</v>
      </c>
      <c r="AD11" s="17">
        <f t="shared" si="3"/>
        <v>0</v>
      </c>
      <c r="AE11" s="31">
        <f t="shared" si="3"/>
        <v>183</v>
      </c>
      <c r="AF11" s="31">
        <f t="shared" si="3"/>
        <v>660</v>
      </c>
    </row>
    <row r="12" spans="2:32" ht="23.1" customHeight="1" x14ac:dyDescent="0.25">
      <c r="B12" s="23" t="s">
        <v>39</v>
      </c>
      <c r="C12" s="50">
        <v>11</v>
      </c>
      <c r="D12" s="50">
        <v>7</v>
      </c>
      <c r="E12" s="50">
        <v>1</v>
      </c>
      <c r="F12" s="50">
        <v>8</v>
      </c>
      <c r="G12" s="50">
        <v>1</v>
      </c>
      <c r="H12" s="50">
        <v>0</v>
      </c>
      <c r="I12" s="50">
        <v>5</v>
      </c>
      <c r="J12" s="50">
        <v>1</v>
      </c>
      <c r="K12" s="50">
        <v>0</v>
      </c>
      <c r="L12" s="50">
        <v>0</v>
      </c>
      <c r="M12" s="50">
        <v>100</v>
      </c>
      <c r="N12" s="50">
        <v>0</v>
      </c>
      <c r="O12" s="15">
        <f t="shared" si="0"/>
        <v>34</v>
      </c>
      <c r="P12" s="15">
        <f t="shared" si="1"/>
        <v>134</v>
      </c>
      <c r="R12" s="1" t="s">
        <v>8</v>
      </c>
      <c r="S12" s="17">
        <f t="shared" ref="S12:AF12" si="4">SUM(C18:C21)</f>
        <v>42</v>
      </c>
      <c r="T12" s="17">
        <f t="shared" si="4"/>
        <v>24</v>
      </c>
      <c r="U12" s="17">
        <f t="shared" si="4"/>
        <v>22</v>
      </c>
      <c r="V12" s="17">
        <f t="shared" si="4"/>
        <v>30</v>
      </c>
      <c r="W12" s="17">
        <f t="shared" si="4"/>
        <v>1</v>
      </c>
      <c r="X12" s="17">
        <f t="shared" si="4"/>
        <v>0</v>
      </c>
      <c r="Y12" s="17">
        <f t="shared" si="4"/>
        <v>46</v>
      </c>
      <c r="Z12" s="17">
        <f t="shared" si="4"/>
        <v>5</v>
      </c>
      <c r="AA12" s="17">
        <f t="shared" si="4"/>
        <v>3</v>
      </c>
      <c r="AB12" s="17">
        <f t="shared" si="4"/>
        <v>2</v>
      </c>
      <c r="AC12" s="17">
        <f t="shared" si="4"/>
        <v>509</v>
      </c>
      <c r="AD12" s="17">
        <f t="shared" si="4"/>
        <v>0</v>
      </c>
      <c r="AE12" s="31">
        <f t="shared" si="4"/>
        <v>175</v>
      </c>
      <c r="AF12" s="31">
        <f t="shared" si="4"/>
        <v>684</v>
      </c>
    </row>
    <row r="13" spans="2:32" ht="23.1" customHeight="1" x14ac:dyDescent="0.25">
      <c r="B13" s="23" t="s">
        <v>40</v>
      </c>
      <c r="C13" s="50">
        <v>10</v>
      </c>
      <c r="D13" s="50">
        <v>7</v>
      </c>
      <c r="E13" s="50">
        <v>3</v>
      </c>
      <c r="F13" s="50">
        <v>9</v>
      </c>
      <c r="G13" s="50">
        <v>0</v>
      </c>
      <c r="H13" s="50">
        <v>0</v>
      </c>
      <c r="I13" s="50">
        <v>6</v>
      </c>
      <c r="J13" s="50">
        <v>3</v>
      </c>
      <c r="K13" s="50">
        <v>0</v>
      </c>
      <c r="L13" s="50">
        <v>0</v>
      </c>
      <c r="M13" s="50">
        <v>111</v>
      </c>
      <c r="N13" s="50">
        <v>0</v>
      </c>
      <c r="O13" s="15">
        <f t="shared" si="0"/>
        <v>38</v>
      </c>
      <c r="P13" s="15">
        <f t="shared" si="1"/>
        <v>149</v>
      </c>
      <c r="R13" s="1" t="s">
        <v>9</v>
      </c>
      <c r="S13" s="17">
        <f t="shared" ref="S13:AF13" si="5">SUM(C22:C25)</f>
        <v>42</v>
      </c>
      <c r="T13" s="17">
        <f t="shared" si="5"/>
        <v>29</v>
      </c>
      <c r="U13" s="17">
        <f t="shared" si="5"/>
        <v>12</v>
      </c>
      <c r="V13" s="17">
        <f t="shared" si="5"/>
        <v>30</v>
      </c>
      <c r="W13" s="17">
        <f t="shared" si="5"/>
        <v>1</v>
      </c>
      <c r="X13" s="17">
        <f t="shared" si="5"/>
        <v>1</v>
      </c>
      <c r="Y13" s="17">
        <f t="shared" si="5"/>
        <v>31</v>
      </c>
      <c r="Z13" s="17">
        <f t="shared" si="5"/>
        <v>4</v>
      </c>
      <c r="AA13" s="17">
        <f t="shared" si="5"/>
        <v>2</v>
      </c>
      <c r="AB13" s="17">
        <f t="shared" si="5"/>
        <v>3</v>
      </c>
      <c r="AC13" s="17">
        <f t="shared" si="5"/>
        <v>440</v>
      </c>
      <c r="AD13" s="17">
        <f t="shared" si="5"/>
        <v>0</v>
      </c>
      <c r="AE13" s="31">
        <f t="shared" si="5"/>
        <v>155</v>
      </c>
      <c r="AF13" s="31">
        <f t="shared" si="5"/>
        <v>595</v>
      </c>
    </row>
    <row r="14" spans="2:32" ht="23.1" customHeight="1" x14ac:dyDescent="0.25">
      <c r="B14" s="23" t="s">
        <v>41</v>
      </c>
      <c r="C14" s="50">
        <v>12</v>
      </c>
      <c r="D14" s="50">
        <v>8</v>
      </c>
      <c r="E14" s="50">
        <v>2</v>
      </c>
      <c r="F14" s="50">
        <v>4</v>
      </c>
      <c r="G14" s="50">
        <v>12</v>
      </c>
      <c r="H14" s="50">
        <v>0</v>
      </c>
      <c r="I14" s="50">
        <v>4</v>
      </c>
      <c r="J14" s="50">
        <v>2</v>
      </c>
      <c r="K14" s="50">
        <v>1</v>
      </c>
      <c r="L14" s="50">
        <v>5</v>
      </c>
      <c r="M14" s="50">
        <v>124</v>
      </c>
      <c r="N14" s="50">
        <v>0</v>
      </c>
      <c r="O14" s="15">
        <f t="shared" si="0"/>
        <v>50</v>
      </c>
      <c r="P14" s="15">
        <f t="shared" si="1"/>
        <v>174</v>
      </c>
      <c r="R14" s="1" t="s">
        <v>10</v>
      </c>
      <c r="S14" s="17">
        <f t="shared" ref="S14:AF14" si="6">SUM(C26:C29)</f>
        <v>57</v>
      </c>
      <c r="T14" s="17">
        <f t="shared" si="6"/>
        <v>27</v>
      </c>
      <c r="U14" s="17">
        <f t="shared" si="6"/>
        <v>14</v>
      </c>
      <c r="V14" s="17">
        <f t="shared" si="6"/>
        <v>28</v>
      </c>
      <c r="W14" s="17">
        <f t="shared" si="6"/>
        <v>0</v>
      </c>
      <c r="X14" s="17">
        <f t="shared" si="6"/>
        <v>0</v>
      </c>
      <c r="Y14" s="17">
        <f t="shared" si="6"/>
        <v>44</v>
      </c>
      <c r="Z14" s="17">
        <f t="shared" si="6"/>
        <v>9</v>
      </c>
      <c r="AA14" s="17">
        <f t="shared" si="6"/>
        <v>1</v>
      </c>
      <c r="AB14" s="17">
        <f t="shared" si="6"/>
        <v>3</v>
      </c>
      <c r="AC14" s="17">
        <f t="shared" si="6"/>
        <v>436</v>
      </c>
      <c r="AD14" s="17">
        <f t="shared" si="6"/>
        <v>0</v>
      </c>
      <c r="AE14" s="31">
        <f t="shared" si="6"/>
        <v>183</v>
      </c>
      <c r="AF14" s="31">
        <f t="shared" si="6"/>
        <v>619</v>
      </c>
    </row>
    <row r="15" spans="2:32" ht="23.1" customHeight="1" x14ac:dyDescent="0.25">
      <c r="B15" s="23" t="s">
        <v>42</v>
      </c>
      <c r="C15" s="50">
        <v>11</v>
      </c>
      <c r="D15" s="50">
        <v>8</v>
      </c>
      <c r="E15" s="50">
        <v>3</v>
      </c>
      <c r="F15" s="50">
        <v>8</v>
      </c>
      <c r="G15" s="50">
        <v>1</v>
      </c>
      <c r="H15" s="50">
        <v>0</v>
      </c>
      <c r="I15" s="50">
        <v>7</v>
      </c>
      <c r="J15" s="50">
        <v>0</v>
      </c>
      <c r="K15" s="50">
        <v>0</v>
      </c>
      <c r="L15" s="50">
        <v>1</v>
      </c>
      <c r="M15" s="50">
        <v>121</v>
      </c>
      <c r="N15" s="50">
        <v>0</v>
      </c>
      <c r="O15" s="15">
        <f t="shared" si="0"/>
        <v>39</v>
      </c>
      <c r="P15" s="15">
        <f t="shared" si="1"/>
        <v>160</v>
      </c>
      <c r="R15" s="1" t="s">
        <v>11</v>
      </c>
      <c r="S15" s="17">
        <f t="shared" ref="S15:AF15" si="7">SUM(C30:C33)</f>
        <v>34</v>
      </c>
      <c r="T15" s="17">
        <f t="shared" si="7"/>
        <v>26</v>
      </c>
      <c r="U15" s="17">
        <f t="shared" si="7"/>
        <v>17</v>
      </c>
      <c r="V15" s="17">
        <f t="shared" si="7"/>
        <v>33</v>
      </c>
      <c r="W15" s="17">
        <f t="shared" si="7"/>
        <v>0</v>
      </c>
      <c r="X15" s="17">
        <f t="shared" si="7"/>
        <v>0</v>
      </c>
      <c r="Y15" s="17">
        <f t="shared" si="7"/>
        <v>39</v>
      </c>
      <c r="Z15" s="17">
        <f t="shared" si="7"/>
        <v>1</v>
      </c>
      <c r="AA15" s="17">
        <f t="shared" si="7"/>
        <v>3</v>
      </c>
      <c r="AB15" s="17">
        <f t="shared" si="7"/>
        <v>2</v>
      </c>
      <c r="AC15" s="17">
        <f t="shared" si="7"/>
        <v>431</v>
      </c>
      <c r="AD15" s="17">
        <f t="shared" si="7"/>
        <v>0</v>
      </c>
      <c r="AE15" s="31">
        <f t="shared" si="7"/>
        <v>155</v>
      </c>
      <c r="AF15" s="31">
        <f t="shared" si="7"/>
        <v>586</v>
      </c>
    </row>
    <row r="16" spans="2:32" ht="23.1" customHeight="1" x14ac:dyDescent="0.25">
      <c r="B16" s="23" t="s">
        <v>43</v>
      </c>
      <c r="C16" s="50">
        <v>10</v>
      </c>
      <c r="D16" s="50">
        <v>7</v>
      </c>
      <c r="E16" s="50">
        <v>5</v>
      </c>
      <c r="F16" s="50">
        <v>7</v>
      </c>
      <c r="G16" s="50">
        <v>0</v>
      </c>
      <c r="H16" s="50">
        <v>0</v>
      </c>
      <c r="I16" s="50">
        <v>8</v>
      </c>
      <c r="J16" s="50">
        <v>2</v>
      </c>
      <c r="K16" s="50">
        <v>1</v>
      </c>
      <c r="L16" s="50">
        <v>1</v>
      </c>
      <c r="M16" s="50">
        <v>112</v>
      </c>
      <c r="N16" s="50">
        <v>0</v>
      </c>
      <c r="O16" s="15">
        <f t="shared" si="0"/>
        <v>41</v>
      </c>
      <c r="P16" s="15">
        <f t="shared" si="1"/>
        <v>153</v>
      </c>
      <c r="R16" s="1" t="s">
        <v>12</v>
      </c>
      <c r="S16" s="17">
        <f t="shared" ref="S16:AF16" si="8">SUM(C34:C37)</f>
        <v>38</v>
      </c>
      <c r="T16" s="17">
        <f t="shared" si="8"/>
        <v>35</v>
      </c>
      <c r="U16" s="17">
        <f t="shared" si="8"/>
        <v>12</v>
      </c>
      <c r="V16" s="17">
        <f t="shared" si="8"/>
        <v>31</v>
      </c>
      <c r="W16" s="17">
        <f t="shared" si="8"/>
        <v>3</v>
      </c>
      <c r="X16" s="17">
        <f t="shared" si="8"/>
        <v>0</v>
      </c>
      <c r="Y16" s="17">
        <f t="shared" si="8"/>
        <v>33</v>
      </c>
      <c r="Z16" s="17">
        <f t="shared" si="8"/>
        <v>4</v>
      </c>
      <c r="AA16" s="17">
        <f t="shared" si="8"/>
        <v>1</v>
      </c>
      <c r="AB16" s="17">
        <f t="shared" si="8"/>
        <v>4</v>
      </c>
      <c r="AC16" s="17">
        <f t="shared" si="8"/>
        <v>390</v>
      </c>
      <c r="AD16" s="17">
        <f t="shared" si="8"/>
        <v>1</v>
      </c>
      <c r="AE16" s="31">
        <f t="shared" si="8"/>
        <v>162</v>
      </c>
      <c r="AF16" s="31">
        <f t="shared" si="8"/>
        <v>552</v>
      </c>
    </row>
    <row r="17" spans="2:32" ht="23.1" customHeight="1" x14ac:dyDescent="0.25">
      <c r="B17" s="23" t="s">
        <v>44</v>
      </c>
      <c r="C17" s="50">
        <v>17</v>
      </c>
      <c r="D17" s="50">
        <v>11</v>
      </c>
      <c r="E17" s="50">
        <v>2</v>
      </c>
      <c r="F17" s="50">
        <v>10</v>
      </c>
      <c r="G17" s="50">
        <v>1</v>
      </c>
      <c r="H17" s="50">
        <v>0</v>
      </c>
      <c r="I17" s="50">
        <v>9</v>
      </c>
      <c r="J17" s="50">
        <v>3</v>
      </c>
      <c r="K17" s="50">
        <v>0</v>
      </c>
      <c r="L17" s="50">
        <v>0</v>
      </c>
      <c r="M17" s="50">
        <v>120</v>
      </c>
      <c r="N17" s="50">
        <v>0</v>
      </c>
      <c r="O17" s="15">
        <f t="shared" si="0"/>
        <v>53</v>
      </c>
      <c r="P17" s="15">
        <f t="shared" si="1"/>
        <v>173</v>
      </c>
      <c r="R17" s="1" t="s">
        <v>13</v>
      </c>
      <c r="S17" s="17">
        <f t="shared" ref="S17:AF17" si="9">SUM(C38:C41)</f>
        <v>34</v>
      </c>
      <c r="T17" s="17">
        <f t="shared" si="9"/>
        <v>28</v>
      </c>
      <c r="U17" s="17">
        <f t="shared" si="9"/>
        <v>19</v>
      </c>
      <c r="V17" s="17">
        <f t="shared" si="9"/>
        <v>34</v>
      </c>
      <c r="W17" s="17">
        <f t="shared" si="9"/>
        <v>0</v>
      </c>
      <c r="X17" s="17">
        <f t="shared" si="9"/>
        <v>1</v>
      </c>
      <c r="Y17" s="17">
        <f t="shared" si="9"/>
        <v>31</v>
      </c>
      <c r="Z17" s="17">
        <f t="shared" si="9"/>
        <v>5</v>
      </c>
      <c r="AA17" s="17">
        <f t="shared" si="9"/>
        <v>2</v>
      </c>
      <c r="AB17" s="17">
        <f t="shared" si="9"/>
        <v>2</v>
      </c>
      <c r="AC17" s="17">
        <f t="shared" si="9"/>
        <v>293</v>
      </c>
      <c r="AD17" s="17">
        <f t="shared" si="9"/>
        <v>0</v>
      </c>
      <c r="AE17" s="31">
        <f t="shared" si="9"/>
        <v>156</v>
      </c>
      <c r="AF17" s="31">
        <f t="shared" si="9"/>
        <v>449</v>
      </c>
    </row>
    <row r="18" spans="2:32" ht="23.1" customHeight="1" x14ac:dyDescent="0.25">
      <c r="B18" s="23" t="s">
        <v>45</v>
      </c>
      <c r="C18" s="50">
        <v>12</v>
      </c>
      <c r="D18" s="50">
        <v>8</v>
      </c>
      <c r="E18" s="50">
        <v>3</v>
      </c>
      <c r="F18" s="50">
        <v>3</v>
      </c>
      <c r="G18" s="50">
        <v>0</v>
      </c>
      <c r="H18" s="50">
        <v>0</v>
      </c>
      <c r="I18" s="50">
        <v>11</v>
      </c>
      <c r="J18" s="50">
        <v>2</v>
      </c>
      <c r="K18" s="50">
        <v>0</v>
      </c>
      <c r="L18" s="50">
        <v>0</v>
      </c>
      <c r="M18" s="50">
        <v>134</v>
      </c>
      <c r="N18" s="50">
        <v>0</v>
      </c>
      <c r="O18" s="15">
        <f t="shared" si="0"/>
        <v>39</v>
      </c>
      <c r="P18" s="15">
        <f t="shared" si="1"/>
        <v>173</v>
      </c>
      <c r="R18" s="1" t="s">
        <v>14</v>
      </c>
      <c r="S18" s="17">
        <f t="shared" ref="S18:AF18" si="10">SUM(C42:C45)</f>
        <v>23</v>
      </c>
      <c r="T18" s="17">
        <f t="shared" si="10"/>
        <v>18</v>
      </c>
      <c r="U18" s="17">
        <f t="shared" si="10"/>
        <v>9</v>
      </c>
      <c r="V18" s="17">
        <f t="shared" si="10"/>
        <v>25</v>
      </c>
      <c r="W18" s="17">
        <f t="shared" si="10"/>
        <v>3</v>
      </c>
      <c r="X18" s="17">
        <f t="shared" si="10"/>
        <v>0</v>
      </c>
      <c r="Y18" s="17">
        <f t="shared" si="10"/>
        <v>25</v>
      </c>
      <c r="Z18" s="17">
        <f t="shared" si="10"/>
        <v>11</v>
      </c>
      <c r="AA18" s="17">
        <f t="shared" si="10"/>
        <v>1</v>
      </c>
      <c r="AB18" s="17">
        <f t="shared" si="10"/>
        <v>3</v>
      </c>
      <c r="AC18" s="17">
        <f t="shared" si="10"/>
        <v>306</v>
      </c>
      <c r="AD18" s="17">
        <f t="shared" si="10"/>
        <v>0</v>
      </c>
      <c r="AE18" s="31">
        <f t="shared" si="10"/>
        <v>118</v>
      </c>
      <c r="AF18" s="31">
        <f t="shared" si="10"/>
        <v>424</v>
      </c>
    </row>
    <row r="19" spans="2:32" ht="23.1" customHeight="1" x14ac:dyDescent="0.25">
      <c r="B19" s="23" t="s">
        <v>46</v>
      </c>
      <c r="C19" s="50">
        <v>12</v>
      </c>
      <c r="D19" s="50">
        <v>6</v>
      </c>
      <c r="E19" s="50">
        <v>8</v>
      </c>
      <c r="F19" s="50">
        <v>12</v>
      </c>
      <c r="G19" s="50">
        <v>0</v>
      </c>
      <c r="H19" s="50">
        <v>0</v>
      </c>
      <c r="I19" s="50">
        <v>10</v>
      </c>
      <c r="J19" s="50">
        <v>0</v>
      </c>
      <c r="K19" s="50">
        <v>3</v>
      </c>
      <c r="L19" s="50">
        <v>1</v>
      </c>
      <c r="M19" s="50">
        <v>138</v>
      </c>
      <c r="N19" s="50">
        <v>0</v>
      </c>
      <c r="O19" s="15">
        <f t="shared" si="0"/>
        <v>52</v>
      </c>
      <c r="P19" s="15">
        <f t="shared" si="1"/>
        <v>190</v>
      </c>
      <c r="R19" s="1" t="s">
        <v>15</v>
      </c>
      <c r="S19" s="17">
        <f t="shared" ref="S19:AF19" si="11">SUM(C46:C49)</f>
        <v>41</v>
      </c>
      <c r="T19" s="17">
        <f t="shared" si="11"/>
        <v>31</v>
      </c>
      <c r="U19" s="17">
        <f t="shared" si="11"/>
        <v>19</v>
      </c>
      <c r="V19" s="17">
        <f t="shared" si="11"/>
        <v>33</v>
      </c>
      <c r="W19" s="17">
        <f t="shared" si="11"/>
        <v>5</v>
      </c>
      <c r="X19" s="17">
        <f t="shared" si="11"/>
        <v>0</v>
      </c>
      <c r="Y19" s="17">
        <f t="shared" si="11"/>
        <v>24</v>
      </c>
      <c r="Z19" s="17">
        <f t="shared" si="11"/>
        <v>3</v>
      </c>
      <c r="AA19" s="17">
        <f t="shared" si="11"/>
        <v>0</v>
      </c>
      <c r="AB19" s="17">
        <f t="shared" si="11"/>
        <v>1</v>
      </c>
      <c r="AC19" s="17">
        <f t="shared" si="11"/>
        <v>332</v>
      </c>
      <c r="AD19" s="17">
        <f t="shared" si="11"/>
        <v>1</v>
      </c>
      <c r="AE19" s="31">
        <f t="shared" si="11"/>
        <v>158</v>
      </c>
      <c r="AF19" s="31">
        <f t="shared" si="11"/>
        <v>490</v>
      </c>
    </row>
    <row r="20" spans="2:32" ht="23.1" customHeight="1" x14ac:dyDescent="0.25">
      <c r="B20" s="23" t="s">
        <v>47</v>
      </c>
      <c r="C20" s="50">
        <v>10</v>
      </c>
      <c r="D20" s="50">
        <v>4</v>
      </c>
      <c r="E20" s="50">
        <v>8</v>
      </c>
      <c r="F20" s="50">
        <v>6</v>
      </c>
      <c r="G20" s="50">
        <v>0</v>
      </c>
      <c r="H20" s="50">
        <v>0</v>
      </c>
      <c r="I20" s="50">
        <v>15</v>
      </c>
      <c r="J20" s="50">
        <v>1</v>
      </c>
      <c r="K20" s="50">
        <v>0</v>
      </c>
      <c r="L20" s="50">
        <v>1</v>
      </c>
      <c r="M20" s="50">
        <v>134</v>
      </c>
      <c r="N20" s="50">
        <v>0</v>
      </c>
      <c r="O20" s="15">
        <f t="shared" si="0"/>
        <v>45</v>
      </c>
      <c r="P20" s="15">
        <f t="shared" si="1"/>
        <v>179</v>
      </c>
      <c r="R20" s="1" t="s">
        <v>16</v>
      </c>
      <c r="S20" s="17">
        <f t="shared" ref="S20:AF20" si="12">SUM(C50:C53)</f>
        <v>39</v>
      </c>
      <c r="T20" s="17">
        <f t="shared" si="12"/>
        <v>22</v>
      </c>
      <c r="U20" s="17">
        <f t="shared" si="12"/>
        <v>14</v>
      </c>
      <c r="V20" s="17">
        <f t="shared" si="12"/>
        <v>31</v>
      </c>
      <c r="W20" s="17">
        <f t="shared" si="12"/>
        <v>4</v>
      </c>
      <c r="X20" s="17">
        <f t="shared" si="12"/>
        <v>0</v>
      </c>
      <c r="Y20" s="17">
        <f t="shared" si="12"/>
        <v>32</v>
      </c>
      <c r="Z20" s="17">
        <f t="shared" si="12"/>
        <v>10</v>
      </c>
      <c r="AA20" s="17">
        <f t="shared" si="12"/>
        <v>3</v>
      </c>
      <c r="AB20" s="17">
        <f t="shared" si="12"/>
        <v>0</v>
      </c>
      <c r="AC20" s="17">
        <f t="shared" si="12"/>
        <v>300</v>
      </c>
      <c r="AD20" s="17">
        <f t="shared" si="12"/>
        <v>0</v>
      </c>
      <c r="AE20" s="31">
        <f t="shared" si="12"/>
        <v>155</v>
      </c>
      <c r="AF20" s="31">
        <f t="shared" si="12"/>
        <v>455</v>
      </c>
    </row>
    <row r="21" spans="2:32" ht="23.1" customHeight="1" x14ac:dyDescent="0.25">
      <c r="B21" s="23" t="s">
        <v>48</v>
      </c>
      <c r="C21" s="50">
        <v>8</v>
      </c>
      <c r="D21" s="50">
        <v>6</v>
      </c>
      <c r="E21" s="50">
        <v>3</v>
      </c>
      <c r="F21" s="50">
        <v>9</v>
      </c>
      <c r="G21" s="50">
        <v>1</v>
      </c>
      <c r="H21" s="50">
        <v>0</v>
      </c>
      <c r="I21" s="50">
        <v>10</v>
      </c>
      <c r="J21" s="50">
        <v>2</v>
      </c>
      <c r="K21" s="50">
        <v>0</v>
      </c>
      <c r="L21" s="50">
        <v>0</v>
      </c>
      <c r="M21" s="50">
        <v>103</v>
      </c>
      <c r="N21" s="50">
        <v>0</v>
      </c>
      <c r="O21" s="15">
        <f t="shared" si="0"/>
        <v>39</v>
      </c>
      <c r="P21" s="15">
        <f t="shared" si="1"/>
        <v>142</v>
      </c>
      <c r="R21" s="36" t="s">
        <v>20</v>
      </c>
      <c r="S21" s="34">
        <f t="shared" ref="S21:AF21" si="13">SUM(C54:C57)</f>
        <v>62</v>
      </c>
      <c r="T21" s="17">
        <f t="shared" si="13"/>
        <v>31</v>
      </c>
      <c r="U21" s="17">
        <f t="shared" si="13"/>
        <v>14</v>
      </c>
      <c r="V21" s="17">
        <f t="shared" si="13"/>
        <v>41</v>
      </c>
      <c r="W21" s="17">
        <f t="shared" si="13"/>
        <v>2</v>
      </c>
      <c r="X21" s="17">
        <f t="shared" si="13"/>
        <v>0</v>
      </c>
      <c r="Y21" s="17">
        <f t="shared" si="13"/>
        <v>23</v>
      </c>
      <c r="Z21" s="17">
        <f t="shared" si="13"/>
        <v>2</v>
      </c>
      <c r="AA21" s="17">
        <f t="shared" si="13"/>
        <v>1</v>
      </c>
      <c r="AB21" s="17">
        <f t="shared" si="13"/>
        <v>1</v>
      </c>
      <c r="AC21" s="17">
        <f t="shared" si="13"/>
        <v>440</v>
      </c>
      <c r="AD21" s="17">
        <f t="shared" si="13"/>
        <v>0</v>
      </c>
      <c r="AE21" s="31">
        <f t="shared" si="13"/>
        <v>177</v>
      </c>
      <c r="AF21" s="31">
        <f t="shared" si="13"/>
        <v>617</v>
      </c>
    </row>
    <row r="22" spans="2:32" ht="23.1" customHeight="1" x14ac:dyDescent="0.25">
      <c r="B22" s="23" t="s">
        <v>49</v>
      </c>
      <c r="C22" s="50">
        <v>11</v>
      </c>
      <c r="D22" s="50">
        <v>8</v>
      </c>
      <c r="E22" s="50">
        <v>0</v>
      </c>
      <c r="F22" s="50">
        <v>4</v>
      </c>
      <c r="G22" s="50">
        <v>1</v>
      </c>
      <c r="H22" s="50">
        <v>0</v>
      </c>
      <c r="I22" s="50">
        <v>8</v>
      </c>
      <c r="J22" s="50">
        <v>0</v>
      </c>
      <c r="K22" s="50">
        <v>1</v>
      </c>
      <c r="L22" s="50">
        <v>0</v>
      </c>
      <c r="M22" s="50">
        <v>95</v>
      </c>
      <c r="N22" s="50">
        <v>0</v>
      </c>
      <c r="O22" s="15">
        <f t="shared" si="0"/>
        <v>33</v>
      </c>
      <c r="P22" s="15">
        <f t="shared" si="1"/>
        <v>128</v>
      </c>
      <c r="R22" s="38" t="s">
        <v>90</v>
      </c>
      <c r="S22" s="39">
        <f>MAX(S10:S12)</f>
        <v>50</v>
      </c>
      <c r="T22" s="39">
        <f t="shared" ref="T22:AF22" si="14">MAX(T10:T12)</f>
        <v>34</v>
      </c>
      <c r="U22" s="39">
        <f t="shared" si="14"/>
        <v>22</v>
      </c>
      <c r="V22" s="39">
        <f t="shared" si="14"/>
        <v>30</v>
      </c>
      <c r="W22" s="39">
        <f t="shared" si="14"/>
        <v>14</v>
      </c>
      <c r="X22" s="39">
        <f t="shared" si="14"/>
        <v>0</v>
      </c>
      <c r="Y22" s="39">
        <f t="shared" si="14"/>
        <v>46</v>
      </c>
      <c r="Z22" s="39">
        <f t="shared" si="14"/>
        <v>7</v>
      </c>
      <c r="AA22" s="39">
        <f t="shared" si="14"/>
        <v>3</v>
      </c>
      <c r="AB22" s="39">
        <f t="shared" si="14"/>
        <v>7</v>
      </c>
      <c r="AC22" s="39">
        <f t="shared" si="14"/>
        <v>509</v>
      </c>
      <c r="AD22" s="39">
        <f t="shared" si="14"/>
        <v>36</v>
      </c>
      <c r="AE22" s="40">
        <f t="shared" si="14"/>
        <v>183</v>
      </c>
      <c r="AF22" s="40">
        <f t="shared" si="14"/>
        <v>684</v>
      </c>
    </row>
    <row r="23" spans="2:32" ht="23.1" customHeight="1" x14ac:dyDescent="0.25">
      <c r="B23" s="23" t="s">
        <v>50</v>
      </c>
      <c r="C23" s="50">
        <v>9</v>
      </c>
      <c r="D23" s="50">
        <v>10</v>
      </c>
      <c r="E23" s="50">
        <v>1</v>
      </c>
      <c r="F23" s="50">
        <v>9</v>
      </c>
      <c r="G23" s="50">
        <v>0</v>
      </c>
      <c r="H23" s="50">
        <v>0</v>
      </c>
      <c r="I23" s="50">
        <v>7</v>
      </c>
      <c r="J23" s="50">
        <v>1</v>
      </c>
      <c r="K23" s="50">
        <v>0</v>
      </c>
      <c r="L23" s="50">
        <v>1</v>
      </c>
      <c r="M23" s="50">
        <v>123</v>
      </c>
      <c r="N23" s="50">
        <v>0</v>
      </c>
      <c r="O23" s="15">
        <f t="shared" si="0"/>
        <v>38</v>
      </c>
      <c r="P23" s="15">
        <f t="shared" si="1"/>
        <v>161</v>
      </c>
      <c r="R23" s="38" t="s">
        <v>91</v>
      </c>
      <c r="S23" s="39">
        <f>MAX(S13:S18)</f>
        <v>57</v>
      </c>
      <c r="T23" s="39">
        <f t="shared" ref="T23:AF23" si="15">MAX(T13:T18)</f>
        <v>35</v>
      </c>
      <c r="U23" s="39">
        <f t="shared" si="15"/>
        <v>19</v>
      </c>
      <c r="V23" s="39">
        <f t="shared" si="15"/>
        <v>34</v>
      </c>
      <c r="W23" s="39">
        <f t="shared" si="15"/>
        <v>3</v>
      </c>
      <c r="X23" s="39">
        <f t="shared" si="15"/>
        <v>1</v>
      </c>
      <c r="Y23" s="39">
        <f t="shared" si="15"/>
        <v>44</v>
      </c>
      <c r="Z23" s="39">
        <f t="shared" si="15"/>
        <v>11</v>
      </c>
      <c r="AA23" s="39">
        <f t="shared" si="15"/>
        <v>3</v>
      </c>
      <c r="AB23" s="39">
        <f t="shared" si="15"/>
        <v>4</v>
      </c>
      <c r="AC23" s="39">
        <f t="shared" si="15"/>
        <v>440</v>
      </c>
      <c r="AD23" s="39">
        <f t="shared" si="15"/>
        <v>1</v>
      </c>
      <c r="AE23" s="40">
        <f t="shared" si="15"/>
        <v>183</v>
      </c>
      <c r="AF23" s="40">
        <f t="shared" si="15"/>
        <v>619</v>
      </c>
    </row>
    <row r="24" spans="2:32" ht="23.1" customHeight="1" x14ac:dyDescent="0.25">
      <c r="B24" s="23" t="s">
        <v>51</v>
      </c>
      <c r="C24" s="50">
        <v>14</v>
      </c>
      <c r="D24" s="50">
        <v>8</v>
      </c>
      <c r="E24" s="50">
        <v>4</v>
      </c>
      <c r="F24" s="50">
        <v>8</v>
      </c>
      <c r="G24" s="50">
        <v>0</v>
      </c>
      <c r="H24" s="50">
        <v>0</v>
      </c>
      <c r="I24" s="50">
        <v>8</v>
      </c>
      <c r="J24" s="50">
        <v>2</v>
      </c>
      <c r="K24" s="50">
        <v>0</v>
      </c>
      <c r="L24" s="50">
        <v>1</v>
      </c>
      <c r="M24" s="50">
        <v>127</v>
      </c>
      <c r="N24" s="50">
        <v>0</v>
      </c>
      <c r="O24" s="15">
        <f t="shared" si="0"/>
        <v>45</v>
      </c>
      <c r="P24" s="15">
        <f t="shared" si="1"/>
        <v>172</v>
      </c>
      <c r="R24" s="38" t="s">
        <v>92</v>
      </c>
      <c r="S24" s="39">
        <f>MAX(S19:S21)</f>
        <v>62</v>
      </c>
      <c r="T24" s="39">
        <f t="shared" ref="T24:AF24" si="16">MAX(T19:T21)</f>
        <v>31</v>
      </c>
      <c r="U24" s="39">
        <f t="shared" si="16"/>
        <v>19</v>
      </c>
      <c r="V24" s="39">
        <f t="shared" si="16"/>
        <v>41</v>
      </c>
      <c r="W24" s="39">
        <f t="shared" si="16"/>
        <v>5</v>
      </c>
      <c r="X24" s="39">
        <f t="shared" si="16"/>
        <v>0</v>
      </c>
      <c r="Y24" s="39">
        <f t="shared" si="16"/>
        <v>32</v>
      </c>
      <c r="Z24" s="39">
        <f t="shared" si="16"/>
        <v>10</v>
      </c>
      <c r="AA24" s="39">
        <f t="shared" si="16"/>
        <v>3</v>
      </c>
      <c r="AB24" s="39">
        <f t="shared" si="16"/>
        <v>1</v>
      </c>
      <c r="AC24" s="39">
        <f t="shared" si="16"/>
        <v>440</v>
      </c>
      <c r="AD24" s="39">
        <f t="shared" si="16"/>
        <v>1</v>
      </c>
      <c r="AE24" s="40">
        <f t="shared" si="16"/>
        <v>177</v>
      </c>
      <c r="AF24" s="40">
        <f t="shared" si="16"/>
        <v>617</v>
      </c>
    </row>
    <row r="25" spans="2:32" ht="23.1" customHeight="1" x14ac:dyDescent="0.25">
      <c r="B25" s="23" t="s">
        <v>52</v>
      </c>
      <c r="C25" s="50">
        <v>8</v>
      </c>
      <c r="D25" s="50">
        <v>3</v>
      </c>
      <c r="E25" s="50">
        <v>7</v>
      </c>
      <c r="F25" s="50">
        <v>9</v>
      </c>
      <c r="G25" s="50">
        <v>0</v>
      </c>
      <c r="H25" s="50">
        <v>1</v>
      </c>
      <c r="I25" s="50">
        <v>8</v>
      </c>
      <c r="J25" s="50">
        <v>1</v>
      </c>
      <c r="K25" s="50">
        <v>1</v>
      </c>
      <c r="L25" s="50">
        <v>1</v>
      </c>
      <c r="M25" s="50">
        <v>95</v>
      </c>
      <c r="N25" s="50">
        <v>0</v>
      </c>
      <c r="O25" s="15">
        <f t="shared" si="0"/>
        <v>39</v>
      </c>
      <c r="P25" s="15">
        <f t="shared" si="1"/>
        <v>134</v>
      </c>
      <c r="R25" s="37" t="s">
        <v>85</v>
      </c>
      <c r="S25" s="35">
        <f t="shared" ref="S25:AF25" si="17">SUM(S10:S12)</f>
        <v>123</v>
      </c>
      <c r="T25" s="16">
        <f t="shared" si="17"/>
        <v>77</v>
      </c>
      <c r="U25" s="16">
        <f t="shared" si="17"/>
        <v>42</v>
      </c>
      <c r="V25" s="16">
        <f t="shared" si="17"/>
        <v>84</v>
      </c>
      <c r="W25" s="16">
        <f t="shared" si="17"/>
        <v>17</v>
      </c>
      <c r="X25" s="16">
        <f t="shared" si="17"/>
        <v>0</v>
      </c>
      <c r="Y25" s="16">
        <f t="shared" si="17"/>
        <v>91</v>
      </c>
      <c r="Z25" s="16">
        <f t="shared" si="17"/>
        <v>19</v>
      </c>
      <c r="AA25" s="16">
        <f t="shared" si="17"/>
        <v>5</v>
      </c>
      <c r="AB25" s="16">
        <f t="shared" si="17"/>
        <v>9</v>
      </c>
      <c r="AC25" s="16">
        <f t="shared" si="17"/>
        <v>1275</v>
      </c>
      <c r="AD25" s="16">
        <f t="shared" si="17"/>
        <v>36</v>
      </c>
      <c r="AE25" s="32">
        <f t="shared" si="17"/>
        <v>503</v>
      </c>
      <c r="AF25" s="32">
        <f t="shared" si="17"/>
        <v>1778</v>
      </c>
    </row>
    <row r="26" spans="2:32" ht="23.1" customHeight="1" x14ac:dyDescent="0.25">
      <c r="B26" s="23" t="s">
        <v>53</v>
      </c>
      <c r="C26" s="50">
        <v>19</v>
      </c>
      <c r="D26" s="50">
        <v>7</v>
      </c>
      <c r="E26" s="50">
        <v>2</v>
      </c>
      <c r="F26" s="50">
        <v>10</v>
      </c>
      <c r="G26" s="50">
        <v>0</v>
      </c>
      <c r="H26" s="50">
        <v>0</v>
      </c>
      <c r="I26" s="50">
        <v>5</v>
      </c>
      <c r="J26" s="50">
        <v>1</v>
      </c>
      <c r="K26" s="50">
        <v>0</v>
      </c>
      <c r="L26" s="50">
        <v>1</v>
      </c>
      <c r="M26" s="50">
        <v>121</v>
      </c>
      <c r="N26" s="50">
        <v>0</v>
      </c>
      <c r="O26" s="15">
        <f t="shared" si="0"/>
        <v>45</v>
      </c>
      <c r="P26" s="15">
        <f t="shared" si="1"/>
        <v>166</v>
      </c>
      <c r="R26" s="28" t="s">
        <v>86</v>
      </c>
      <c r="S26" s="16">
        <f t="shared" ref="S26:AF26" si="18">SUM(S13:S18)</f>
        <v>228</v>
      </c>
      <c r="T26" s="16">
        <f t="shared" si="18"/>
        <v>163</v>
      </c>
      <c r="U26" s="16">
        <f t="shared" si="18"/>
        <v>83</v>
      </c>
      <c r="V26" s="16">
        <f t="shared" si="18"/>
        <v>181</v>
      </c>
      <c r="W26" s="16">
        <f t="shared" si="18"/>
        <v>7</v>
      </c>
      <c r="X26" s="16">
        <f t="shared" si="18"/>
        <v>2</v>
      </c>
      <c r="Y26" s="16">
        <f t="shared" si="18"/>
        <v>203</v>
      </c>
      <c r="Z26" s="16">
        <f t="shared" si="18"/>
        <v>34</v>
      </c>
      <c r="AA26" s="16">
        <f t="shared" si="18"/>
        <v>10</v>
      </c>
      <c r="AB26" s="16">
        <f t="shared" si="18"/>
        <v>17</v>
      </c>
      <c r="AC26" s="16">
        <f t="shared" si="18"/>
        <v>2296</v>
      </c>
      <c r="AD26" s="16">
        <f t="shared" si="18"/>
        <v>1</v>
      </c>
      <c r="AE26" s="32">
        <f t="shared" si="18"/>
        <v>929</v>
      </c>
      <c r="AF26" s="32">
        <f t="shared" si="18"/>
        <v>3225</v>
      </c>
    </row>
    <row r="27" spans="2:32" ht="23.1" customHeight="1" x14ac:dyDescent="0.25">
      <c r="B27" s="23" t="s">
        <v>54</v>
      </c>
      <c r="C27" s="50">
        <v>11</v>
      </c>
      <c r="D27" s="50">
        <v>6</v>
      </c>
      <c r="E27" s="50">
        <v>6</v>
      </c>
      <c r="F27" s="50">
        <v>7</v>
      </c>
      <c r="G27" s="50">
        <v>0</v>
      </c>
      <c r="H27" s="50">
        <v>0</v>
      </c>
      <c r="I27" s="50">
        <v>13</v>
      </c>
      <c r="J27" s="50">
        <v>1</v>
      </c>
      <c r="K27" s="50">
        <v>1</v>
      </c>
      <c r="L27" s="50">
        <v>1</v>
      </c>
      <c r="M27" s="50">
        <v>101</v>
      </c>
      <c r="N27" s="50">
        <v>0</v>
      </c>
      <c r="O27" s="15">
        <f t="shared" si="0"/>
        <v>46</v>
      </c>
      <c r="P27" s="15">
        <f t="shared" si="1"/>
        <v>147</v>
      </c>
      <c r="R27" s="29" t="s">
        <v>87</v>
      </c>
      <c r="S27" s="16">
        <f t="shared" ref="S27:AF27" si="19">SUM(S19:S21)</f>
        <v>142</v>
      </c>
      <c r="T27" s="16">
        <f t="shared" si="19"/>
        <v>84</v>
      </c>
      <c r="U27" s="16">
        <f t="shared" si="19"/>
        <v>47</v>
      </c>
      <c r="V27" s="16">
        <f t="shared" si="19"/>
        <v>105</v>
      </c>
      <c r="W27" s="16">
        <f t="shared" si="19"/>
        <v>11</v>
      </c>
      <c r="X27" s="16">
        <f t="shared" si="19"/>
        <v>0</v>
      </c>
      <c r="Y27" s="16">
        <f t="shared" si="19"/>
        <v>79</v>
      </c>
      <c r="Z27" s="16">
        <f t="shared" si="19"/>
        <v>15</v>
      </c>
      <c r="AA27" s="16">
        <f t="shared" si="19"/>
        <v>4</v>
      </c>
      <c r="AB27" s="16">
        <f t="shared" si="19"/>
        <v>2</v>
      </c>
      <c r="AC27" s="16">
        <f t="shared" si="19"/>
        <v>1072</v>
      </c>
      <c r="AD27" s="16">
        <f t="shared" si="19"/>
        <v>1</v>
      </c>
      <c r="AE27" s="32">
        <f t="shared" si="19"/>
        <v>490</v>
      </c>
      <c r="AF27" s="32">
        <f t="shared" si="19"/>
        <v>1562</v>
      </c>
    </row>
    <row r="28" spans="2:32" ht="23.1" customHeight="1" x14ac:dyDescent="0.25">
      <c r="B28" s="23" t="s">
        <v>55</v>
      </c>
      <c r="C28" s="50">
        <v>11</v>
      </c>
      <c r="D28" s="50">
        <v>9</v>
      </c>
      <c r="E28" s="50">
        <v>3</v>
      </c>
      <c r="F28" s="50">
        <v>6</v>
      </c>
      <c r="G28" s="50">
        <v>0</v>
      </c>
      <c r="H28" s="50">
        <v>0</v>
      </c>
      <c r="I28" s="50">
        <v>13</v>
      </c>
      <c r="J28" s="50">
        <v>2</v>
      </c>
      <c r="K28" s="50">
        <v>0</v>
      </c>
      <c r="L28" s="50">
        <v>0</v>
      </c>
      <c r="M28" s="50">
        <v>103</v>
      </c>
      <c r="N28" s="50">
        <v>0</v>
      </c>
      <c r="O28" s="15">
        <f t="shared" si="0"/>
        <v>44</v>
      </c>
      <c r="P28" s="15">
        <f t="shared" si="1"/>
        <v>147</v>
      </c>
      <c r="R28" s="5" t="s">
        <v>17</v>
      </c>
      <c r="S28" s="16">
        <f t="shared" ref="S28:AF28" si="20">SUM(S10:S21)</f>
        <v>493</v>
      </c>
      <c r="T28" s="16">
        <f t="shared" si="20"/>
        <v>324</v>
      </c>
      <c r="U28" s="16">
        <f t="shared" si="20"/>
        <v>172</v>
      </c>
      <c r="V28" s="16">
        <f t="shared" si="20"/>
        <v>370</v>
      </c>
      <c r="W28" s="16">
        <f t="shared" si="20"/>
        <v>35</v>
      </c>
      <c r="X28" s="16">
        <f t="shared" si="20"/>
        <v>2</v>
      </c>
      <c r="Y28" s="16">
        <f t="shared" si="20"/>
        <v>373</v>
      </c>
      <c r="Z28" s="16">
        <f t="shared" si="20"/>
        <v>68</v>
      </c>
      <c r="AA28" s="16">
        <f t="shared" si="20"/>
        <v>19</v>
      </c>
      <c r="AB28" s="16">
        <f t="shared" si="20"/>
        <v>28</v>
      </c>
      <c r="AC28" s="16">
        <f t="shared" si="20"/>
        <v>4643</v>
      </c>
      <c r="AD28" s="16">
        <f t="shared" si="20"/>
        <v>38</v>
      </c>
      <c r="AE28" s="32">
        <f t="shared" si="20"/>
        <v>1922</v>
      </c>
      <c r="AF28" s="32">
        <f t="shared" si="20"/>
        <v>6565</v>
      </c>
    </row>
    <row r="29" spans="2:32" ht="23.1" customHeight="1" x14ac:dyDescent="0.25">
      <c r="B29" s="23" t="s">
        <v>56</v>
      </c>
      <c r="C29" s="50">
        <v>16</v>
      </c>
      <c r="D29" s="50">
        <v>5</v>
      </c>
      <c r="E29" s="50">
        <v>3</v>
      </c>
      <c r="F29" s="50">
        <v>5</v>
      </c>
      <c r="G29" s="50">
        <v>0</v>
      </c>
      <c r="H29" s="50">
        <v>0</v>
      </c>
      <c r="I29" s="50">
        <v>13</v>
      </c>
      <c r="J29" s="50">
        <v>5</v>
      </c>
      <c r="K29" s="50">
        <v>0</v>
      </c>
      <c r="L29" s="50">
        <v>1</v>
      </c>
      <c r="M29" s="50">
        <v>111</v>
      </c>
      <c r="N29" s="50">
        <v>0</v>
      </c>
      <c r="O29" s="15">
        <f t="shared" si="0"/>
        <v>48</v>
      </c>
      <c r="P29" s="15">
        <f t="shared" si="1"/>
        <v>159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6</v>
      </c>
      <c r="E30" s="50">
        <v>6</v>
      </c>
      <c r="F30" s="50">
        <v>9</v>
      </c>
      <c r="G30" s="50">
        <v>0</v>
      </c>
      <c r="H30" s="50">
        <v>0</v>
      </c>
      <c r="I30" s="50">
        <v>10</v>
      </c>
      <c r="J30" s="50">
        <v>1</v>
      </c>
      <c r="K30" s="50">
        <v>1</v>
      </c>
      <c r="L30" s="50">
        <v>0</v>
      </c>
      <c r="M30" s="50">
        <v>110</v>
      </c>
      <c r="N30" s="50">
        <v>0</v>
      </c>
      <c r="O30" s="15">
        <f t="shared" si="0"/>
        <v>44</v>
      </c>
      <c r="P30" s="15">
        <f t="shared" si="1"/>
        <v>154</v>
      </c>
    </row>
    <row r="31" spans="2:32" ht="23.1" customHeight="1" x14ac:dyDescent="0.25">
      <c r="B31" s="24" t="s">
        <v>58</v>
      </c>
      <c r="C31" s="50">
        <v>8</v>
      </c>
      <c r="D31" s="50">
        <v>8</v>
      </c>
      <c r="E31" s="50">
        <v>4</v>
      </c>
      <c r="F31" s="50">
        <v>6</v>
      </c>
      <c r="G31" s="50">
        <v>0</v>
      </c>
      <c r="H31" s="50">
        <v>0</v>
      </c>
      <c r="I31" s="50">
        <v>9</v>
      </c>
      <c r="J31" s="50">
        <v>0</v>
      </c>
      <c r="K31" s="50">
        <v>0</v>
      </c>
      <c r="L31" s="50">
        <v>0</v>
      </c>
      <c r="M31" s="50">
        <v>122</v>
      </c>
      <c r="N31" s="50">
        <v>0</v>
      </c>
      <c r="O31" s="15">
        <f t="shared" si="0"/>
        <v>35</v>
      </c>
      <c r="P31" s="15">
        <f t="shared" si="1"/>
        <v>157</v>
      </c>
    </row>
    <row r="32" spans="2:32" ht="23.1" customHeight="1" x14ac:dyDescent="0.25">
      <c r="B32" s="24" t="s">
        <v>59</v>
      </c>
      <c r="C32" s="50">
        <v>7</v>
      </c>
      <c r="D32" s="50">
        <v>3</v>
      </c>
      <c r="E32" s="50">
        <v>4</v>
      </c>
      <c r="F32" s="50">
        <v>7</v>
      </c>
      <c r="G32" s="50">
        <v>0</v>
      </c>
      <c r="H32" s="50">
        <v>0</v>
      </c>
      <c r="I32" s="50">
        <v>11</v>
      </c>
      <c r="J32" s="50">
        <v>0</v>
      </c>
      <c r="K32" s="50">
        <v>1</v>
      </c>
      <c r="L32" s="50">
        <v>0</v>
      </c>
      <c r="M32" s="50">
        <v>87</v>
      </c>
      <c r="N32" s="50">
        <v>0</v>
      </c>
      <c r="O32" s="15">
        <f t="shared" si="0"/>
        <v>33</v>
      </c>
      <c r="P32" s="15">
        <f t="shared" si="1"/>
        <v>120</v>
      </c>
    </row>
    <row r="33" spans="2:20" ht="23.1" customHeight="1" x14ac:dyDescent="0.25">
      <c r="B33" s="23" t="s">
        <v>60</v>
      </c>
      <c r="C33" s="50">
        <v>8</v>
      </c>
      <c r="D33" s="50">
        <v>9</v>
      </c>
      <c r="E33" s="50">
        <v>3</v>
      </c>
      <c r="F33" s="50">
        <v>11</v>
      </c>
      <c r="G33" s="50">
        <v>0</v>
      </c>
      <c r="H33" s="50">
        <v>0</v>
      </c>
      <c r="I33" s="50">
        <v>9</v>
      </c>
      <c r="J33" s="50">
        <v>0</v>
      </c>
      <c r="K33" s="50">
        <v>1</v>
      </c>
      <c r="L33" s="50">
        <v>2</v>
      </c>
      <c r="M33" s="50">
        <v>112</v>
      </c>
      <c r="N33" s="50">
        <v>0</v>
      </c>
      <c r="O33" s="15">
        <f t="shared" si="0"/>
        <v>43</v>
      </c>
      <c r="P33" s="15">
        <f t="shared" si="1"/>
        <v>155</v>
      </c>
    </row>
    <row r="34" spans="2:20" ht="23.1" customHeight="1" x14ac:dyDescent="0.25">
      <c r="B34" s="24" t="s">
        <v>61</v>
      </c>
      <c r="C34" s="50">
        <v>10</v>
      </c>
      <c r="D34" s="50">
        <v>6</v>
      </c>
      <c r="E34" s="50">
        <v>3</v>
      </c>
      <c r="F34" s="50">
        <v>10</v>
      </c>
      <c r="G34" s="50">
        <v>2</v>
      </c>
      <c r="H34" s="50">
        <v>0</v>
      </c>
      <c r="I34" s="50">
        <v>6</v>
      </c>
      <c r="J34" s="50">
        <v>0</v>
      </c>
      <c r="K34" s="50">
        <v>0</v>
      </c>
      <c r="L34" s="50">
        <v>1</v>
      </c>
      <c r="M34" s="50">
        <v>97</v>
      </c>
      <c r="N34" s="50">
        <v>0</v>
      </c>
      <c r="O34" s="15">
        <f t="shared" si="0"/>
        <v>38</v>
      </c>
      <c r="P34" s="15">
        <f t="shared" si="1"/>
        <v>135</v>
      </c>
    </row>
    <row r="35" spans="2:20" ht="23.1" customHeight="1" x14ac:dyDescent="0.25">
      <c r="B35" s="24" t="s">
        <v>62</v>
      </c>
      <c r="C35" s="50">
        <v>8</v>
      </c>
      <c r="D35" s="50">
        <v>10</v>
      </c>
      <c r="E35" s="50">
        <v>4</v>
      </c>
      <c r="F35" s="50">
        <v>8</v>
      </c>
      <c r="G35" s="50">
        <v>1</v>
      </c>
      <c r="H35" s="50">
        <v>0</v>
      </c>
      <c r="I35" s="50">
        <v>12</v>
      </c>
      <c r="J35" s="50">
        <v>3</v>
      </c>
      <c r="K35" s="50">
        <v>0</v>
      </c>
      <c r="L35" s="50">
        <v>2</v>
      </c>
      <c r="M35" s="50">
        <v>107</v>
      </c>
      <c r="N35" s="50">
        <v>0</v>
      </c>
      <c r="O35" s="15">
        <f t="shared" si="0"/>
        <v>48</v>
      </c>
      <c r="P35" s="15">
        <f t="shared" si="1"/>
        <v>155</v>
      </c>
    </row>
    <row r="36" spans="2:20" ht="23.1" customHeight="1" x14ac:dyDescent="0.25">
      <c r="B36" s="24" t="s">
        <v>63</v>
      </c>
      <c r="C36" s="50">
        <v>12</v>
      </c>
      <c r="D36" s="50">
        <v>7</v>
      </c>
      <c r="E36" s="50">
        <v>1</v>
      </c>
      <c r="F36" s="50">
        <v>5</v>
      </c>
      <c r="G36" s="50">
        <v>0</v>
      </c>
      <c r="H36" s="50">
        <v>0</v>
      </c>
      <c r="I36" s="50">
        <v>6</v>
      </c>
      <c r="J36" s="50">
        <v>0</v>
      </c>
      <c r="K36" s="50">
        <v>1</v>
      </c>
      <c r="L36" s="50">
        <v>0</v>
      </c>
      <c r="M36" s="50">
        <v>91</v>
      </c>
      <c r="N36" s="50">
        <v>1</v>
      </c>
      <c r="O36" s="15">
        <f t="shared" si="0"/>
        <v>33</v>
      </c>
      <c r="P36" s="15">
        <f t="shared" si="1"/>
        <v>124</v>
      </c>
    </row>
    <row r="37" spans="2:20" ht="23.1" customHeight="1" x14ac:dyDescent="0.25">
      <c r="B37" s="23" t="s">
        <v>64</v>
      </c>
      <c r="C37" s="50">
        <v>8</v>
      </c>
      <c r="D37" s="50">
        <v>12</v>
      </c>
      <c r="E37" s="50">
        <v>4</v>
      </c>
      <c r="F37" s="50">
        <v>8</v>
      </c>
      <c r="G37" s="50">
        <v>0</v>
      </c>
      <c r="H37" s="50">
        <v>0</v>
      </c>
      <c r="I37" s="50">
        <v>9</v>
      </c>
      <c r="J37" s="50">
        <v>1</v>
      </c>
      <c r="K37" s="50">
        <v>0</v>
      </c>
      <c r="L37" s="50">
        <v>1</v>
      </c>
      <c r="M37" s="50">
        <v>95</v>
      </c>
      <c r="N37" s="50">
        <v>0</v>
      </c>
      <c r="O37" s="15">
        <f t="shared" si="0"/>
        <v>43</v>
      </c>
      <c r="P37" s="15">
        <f t="shared" si="1"/>
        <v>138</v>
      </c>
    </row>
    <row r="38" spans="2:20" ht="23.1" customHeight="1" x14ac:dyDescent="0.25">
      <c r="B38" s="24" t="s">
        <v>65</v>
      </c>
      <c r="C38" s="50">
        <v>9</v>
      </c>
      <c r="D38" s="50">
        <v>8</v>
      </c>
      <c r="E38" s="50">
        <v>5</v>
      </c>
      <c r="F38" s="50">
        <v>9</v>
      </c>
      <c r="G38" s="50">
        <v>0</v>
      </c>
      <c r="H38" s="50">
        <v>0</v>
      </c>
      <c r="I38" s="50">
        <v>12</v>
      </c>
      <c r="J38" s="50">
        <v>2</v>
      </c>
      <c r="K38" s="50">
        <v>0</v>
      </c>
      <c r="L38" s="50">
        <v>1</v>
      </c>
      <c r="M38" s="50">
        <v>67</v>
      </c>
      <c r="N38" s="50">
        <v>0</v>
      </c>
      <c r="O38" s="15">
        <f t="shared" si="0"/>
        <v>46</v>
      </c>
      <c r="P38" s="15">
        <f t="shared" si="1"/>
        <v>113</v>
      </c>
    </row>
    <row r="39" spans="2:20" ht="23.1" customHeight="1" x14ac:dyDescent="0.25">
      <c r="B39" s="24" t="s">
        <v>66</v>
      </c>
      <c r="C39" s="50">
        <v>8</v>
      </c>
      <c r="D39" s="50">
        <v>5</v>
      </c>
      <c r="E39" s="50">
        <v>5</v>
      </c>
      <c r="F39" s="50">
        <v>9</v>
      </c>
      <c r="G39" s="50">
        <v>0</v>
      </c>
      <c r="H39" s="50">
        <v>0</v>
      </c>
      <c r="I39" s="50">
        <v>7</v>
      </c>
      <c r="J39" s="50">
        <v>1</v>
      </c>
      <c r="K39" s="50">
        <v>0</v>
      </c>
      <c r="L39" s="50">
        <v>0</v>
      </c>
      <c r="M39" s="50">
        <v>83</v>
      </c>
      <c r="N39" s="50">
        <v>0</v>
      </c>
      <c r="O39" s="15">
        <f t="shared" si="0"/>
        <v>35</v>
      </c>
      <c r="P39" s="15">
        <f t="shared" si="1"/>
        <v>118</v>
      </c>
    </row>
    <row r="40" spans="2:20" ht="23.1" customHeight="1" x14ac:dyDescent="0.25">
      <c r="B40" s="24" t="s">
        <v>67</v>
      </c>
      <c r="C40" s="50">
        <v>12</v>
      </c>
      <c r="D40" s="50">
        <v>10</v>
      </c>
      <c r="E40" s="50">
        <v>6</v>
      </c>
      <c r="F40" s="50">
        <v>9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90</v>
      </c>
      <c r="N40" s="50">
        <v>0</v>
      </c>
      <c r="O40" s="15">
        <f t="shared" si="0"/>
        <v>42</v>
      </c>
      <c r="P40" s="15">
        <f t="shared" si="1"/>
        <v>132</v>
      </c>
    </row>
    <row r="41" spans="2:20" ht="23.1" customHeight="1" x14ac:dyDescent="0.25">
      <c r="B41" s="23" t="s">
        <v>68</v>
      </c>
      <c r="C41" s="50">
        <v>5</v>
      </c>
      <c r="D41" s="50">
        <v>5</v>
      </c>
      <c r="E41" s="50">
        <v>3</v>
      </c>
      <c r="F41" s="50">
        <v>7</v>
      </c>
      <c r="G41" s="50">
        <v>0</v>
      </c>
      <c r="H41" s="50">
        <v>1</v>
      </c>
      <c r="I41" s="50">
        <v>7</v>
      </c>
      <c r="J41" s="50">
        <v>2</v>
      </c>
      <c r="K41" s="50">
        <v>2</v>
      </c>
      <c r="L41" s="50">
        <v>1</v>
      </c>
      <c r="M41" s="50">
        <v>53</v>
      </c>
      <c r="N41" s="50">
        <v>0</v>
      </c>
      <c r="O41" s="15">
        <f t="shared" si="0"/>
        <v>33</v>
      </c>
      <c r="P41" s="15">
        <f t="shared" si="1"/>
        <v>86</v>
      </c>
    </row>
    <row r="42" spans="2:20" ht="23.1" customHeight="1" x14ac:dyDescent="0.25">
      <c r="B42" s="24" t="s">
        <v>69</v>
      </c>
      <c r="C42" s="50">
        <v>1</v>
      </c>
      <c r="D42" s="50">
        <v>3</v>
      </c>
      <c r="E42" s="50">
        <v>4</v>
      </c>
      <c r="F42" s="50">
        <v>5</v>
      </c>
      <c r="G42" s="50">
        <v>2</v>
      </c>
      <c r="H42" s="50">
        <v>0</v>
      </c>
      <c r="I42" s="50">
        <v>5</v>
      </c>
      <c r="J42" s="50">
        <v>3</v>
      </c>
      <c r="K42" s="50">
        <v>0</v>
      </c>
      <c r="L42" s="50">
        <v>0</v>
      </c>
      <c r="M42" s="50">
        <v>96</v>
      </c>
      <c r="N42" s="50">
        <v>0</v>
      </c>
      <c r="O42" s="15">
        <f t="shared" si="0"/>
        <v>23</v>
      </c>
      <c r="P42" s="15">
        <f t="shared" si="1"/>
        <v>119</v>
      </c>
    </row>
    <row r="43" spans="2:20" ht="23.1" customHeight="1" x14ac:dyDescent="0.25">
      <c r="B43" s="23" t="s">
        <v>70</v>
      </c>
      <c r="C43" s="50">
        <v>4</v>
      </c>
      <c r="D43" s="50">
        <v>3</v>
      </c>
      <c r="E43" s="50">
        <v>2</v>
      </c>
      <c r="F43" s="50">
        <v>7</v>
      </c>
      <c r="G43" s="50">
        <v>0</v>
      </c>
      <c r="H43" s="50">
        <v>0</v>
      </c>
      <c r="I43" s="50">
        <v>5</v>
      </c>
      <c r="J43" s="50">
        <v>3</v>
      </c>
      <c r="K43" s="50">
        <v>0</v>
      </c>
      <c r="L43" s="50">
        <v>2</v>
      </c>
      <c r="M43" s="50">
        <v>49</v>
      </c>
      <c r="N43" s="50">
        <v>0</v>
      </c>
      <c r="O43" s="15">
        <f t="shared" si="0"/>
        <v>26</v>
      </c>
      <c r="P43" s="15">
        <f t="shared" si="1"/>
        <v>75</v>
      </c>
    </row>
    <row r="44" spans="2:20" ht="23.1" customHeight="1" x14ac:dyDescent="0.25">
      <c r="B44" s="25" t="s">
        <v>71</v>
      </c>
      <c r="C44" s="50">
        <v>10</v>
      </c>
      <c r="D44" s="50">
        <v>4</v>
      </c>
      <c r="E44" s="50">
        <v>1</v>
      </c>
      <c r="F44" s="50">
        <v>4</v>
      </c>
      <c r="G44" s="50">
        <v>1</v>
      </c>
      <c r="H44" s="50">
        <v>0</v>
      </c>
      <c r="I44" s="50">
        <v>7</v>
      </c>
      <c r="J44" s="50">
        <v>2</v>
      </c>
      <c r="K44" s="50">
        <v>1</v>
      </c>
      <c r="L44" s="50">
        <v>0</v>
      </c>
      <c r="M44" s="50">
        <v>98</v>
      </c>
      <c r="N44" s="50">
        <v>0</v>
      </c>
      <c r="O44" s="15">
        <f t="shared" si="0"/>
        <v>30</v>
      </c>
      <c r="P44" s="15">
        <f t="shared" si="1"/>
        <v>128</v>
      </c>
    </row>
    <row r="45" spans="2:20" ht="23.1" customHeight="1" x14ac:dyDescent="0.25">
      <c r="B45" s="23" t="s">
        <v>72</v>
      </c>
      <c r="C45" s="50">
        <v>8</v>
      </c>
      <c r="D45" s="50">
        <v>8</v>
      </c>
      <c r="E45" s="50">
        <v>2</v>
      </c>
      <c r="F45" s="50">
        <v>9</v>
      </c>
      <c r="G45" s="50">
        <v>0</v>
      </c>
      <c r="H45" s="50">
        <v>0</v>
      </c>
      <c r="I45" s="50">
        <v>8</v>
      </c>
      <c r="J45" s="50">
        <v>3</v>
      </c>
      <c r="K45" s="50">
        <v>0</v>
      </c>
      <c r="L45" s="50">
        <v>1</v>
      </c>
      <c r="M45" s="50">
        <v>63</v>
      </c>
      <c r="N45" s="50">
        <v>0</v>
      </c>
      <c r="O45" s="15">
        <f t="shared" si="0"/>
        <v>39</v>
      </c>
      <c r="P45" s="15">
        <f t="shared" si="1"/>
        <v>102</v>
      </c>
    </row>
    <row r="46" spans="2:20" ht="23.1" customHeight="1" x14ac:dyDescent="0.25">
      <c r="B46" s="24" t="s">
        <v>73</v>
      </c>
      <c r="C46" s="50">
        <v>12</v>
      </c>
      <c r="D46" s="50">
        <v>9</v>
      </c>
      <c r="E46" s="50">
        <v>5</v>
      </c>
      <c r="F46" s="50">
        <v>5</v>
      </c>
      <c r="G46" s="50">
        <v>0</v>
      </c>
      <c r="H46" s="50">
        <v>0</v>
      </c>
      <c r="I46" s="50">
        <v>8</v>
      </c>
      <c r="J46" s="50">
        <v>0</v>
      </c>
      <c r="K46" s="50">
        <v>0</v>
      </c>
      <c r="L46" s="50">
        <v>1</v>
      </c>
      <c r="M46" s="50">
        <v>71</v>
      </c>
      <c r="N46" s="50">
        <v>0</v>
      </c>
      <c r="O46" s="15">
        <f t="shared" si="0"/>
        <v>40</v>
      </c>
      <c r="P46" s="15">
        <f t="shared" si="1"/>
        <v>111</v>
      </c>
      <c r="R46" s="8"/>
      <c r="T46"/>
    </row>
    <row r="47" spans="2:20" ht="23.1" customHeight="1" x14ac:dyDescent="0.25">
      <c r="B47" s="24" t="s">
        <v>74</v>
      </c>
      <c r="C47" s="50">
        <v>10</v>
      </c>
      <c r="D47" s="50">
        <v>6</v>
      </c>
      <c r="E47" s="50">
        <v>3</v>
      </c>
      <c r="F47" s="50">
        <v>8</v>
      </c>
      <c r="G47" s="50">
        <v>0</v>
      </c>
      <c r="H47" s="50">
        <v>0</v>
      </c>
      <c r="I47" s="50">
        <v>7</v>
      </c>
      <c r="J47" s="50">
        <v>1</v>
      </c>
      <c r="K47" s="50">
        <v>0</v>
      </c>
      <c r="L47" s="50">
        <v>0</v>
      </c>
      <c r="M47" s="50">
        <v>99</v>
      </c>
      <c r="N47" s="50">
        <v>1</v>
      </c>
      <c r="O47" s="15">
        <f t="shared" si="0"/>
        <v>36</v>
      </c>
      <c r="P47" s="15">
        <f t="shared" si="1"/>
        <v>135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8</v>
      </c>
      <c r="E48" s="50">
        <v>6</v>
      </c>
      <c r="F48" s="50">
        <v>6</v>
      </c>
      <c r="G48" s="50">
        <v>5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78</v>
      </c>
      <c r="N48" s="50">
        <v>0</v>
      </c>
      <c r="O48" s="15">
        <f t="shared" si="0"/>
        <v>36</v>
      </c>
      <c r="P48" s="15">
        <f t="shared" si="1"/>
        <v>114</v>
      </c>
      <c r="R48" s="8"/>
      <c r="T48"/>
    </row>
    <row r="49" spans="2:20" ht="23.1" customHeight="1" x14ac:dyDescent="0.25">
      <c r="B49" s="23" t="s">
        <v>76</v>
      </c>
      <c r="C49" s="50">
        <v>13</v>
      </c>
      <c r="D49" s="50">
        <v>8</v>
      </c>
      <c r="E49" s="50">
        <v>5</v>
      </c>
      <c r="F49" s="50">
        <v>14</v>
      </c>
      <c r="G49" s="50">
        <v>0</v>
      </c>
      <c r="H49" s="50">
        <v>0</v>
      </c>
      <c r="I49" s="50">
        <v>4</v>
      </c>
      <c r="J49" s="50">
        <v>2</v>
      </c>
      <c r="K49" s="50">
        <v>0</v>
      </c>
      <c r="L49" s="50">
        <v>0</v>
      </c>
      <c r="M49" s="50">
        <v>84</v>
      </c>
      <c r="N49" s="50">
        <v>0</v>
      </c>
      <c r="O49" s="15">
        <f t="shared" si="0"/>
        <v>46</v>
      </c>
      <c r="P49" s="15">
        <f t="shared" si="1"/>
        <v>130</v>
      </c>
      <c r="R49" s="8"/>
      <c r="T49"/>
    </row>
    <row r="50" spans="2:20" ht="23.1" customHeight="1" x14ac:dyDescent="0.25">
      <c r="B50" s="24" t="s">
        <v>77</v>
      </c>
      <c r="C50" s="50">
        <v>10</v>
      </c>
      <c r="D50" s="50">
        <v>9</v>
      </c>
      <c r="E50" s="50">
        <v>5</v>
      </c>
      <c r="F50" s="50">
        <v>8</v>
      </c>
      <c r="G50" s="50">
        <v>2</v>
      </c>
      <c r="H50" s="50">
        <v>0</v>
      </c>
      <c r="I50" s="50">
        <v>8</v>
      </c>
      <c r="J50" s="50">
        <v>2</v>
      </c>
      <c r="K50" s="50">
        <v>0</v>
      </c>
      <c r="L50" s="50">
        <v>0</v>
      </c>
      <c r="M50" s="50">
        <v>72</v>
      </c>
      <c r="N50" s="50">
        <v>0</v>
      </c>
      <c r="O50" s="15">
        <f t="shared" si="0"/>
        <v>44</v>
      </c>
      <c r="P50" s="15">
        <f t="shared" si="1"/>
        <v>116</v>
      </c>
      <c r="R50" s="8"/>
      <c r="T50"/>
    </row>
    <row r="51" spans="2:20" ht="23.1" customHeight="1" x14ac:dyDescent="0.25">
      <c r="B51" s="24" t="s">
        <v>78</v>
      </c>
      <c r="C51" s="50">
        <v>10</v>
      </c>
      <c r="D51" s="50">
        <v>3</v>
      </c>
      <c r="E51" s="50">
        <v>5</v>
      </c>
      <c r="F51" s="50">
        <v>7</v>
      </c>
      <c r="G51" s="50">
        <v>0</v>
      </c>
      <c r="H51" s="50">
        <v>0</v>
      </c>
      <c r="I51" s="50">
        <v>8</v>
      </c>
      <c r="J51" s="50">
        <v>2</v>
      </c>
      <c r="K51" s="50">
        <v>0</v>
      </c>
      <c r="L51" s="50">
        <v>0</v>
      </c>
      <c r="M51" s="50">
        <v>66</v>
      </c>
      <c r="N51" s="50">
        <v>0</v>
      </c>
      <c r="O51" s="15">
        <f t="shared" si="0"/>
        <v>35</v>
      </c>
      <c r="P51" s="15">
        <f t="shared" si="1"/>
        <v>101</v>
      </c>
      <c r="R51" s="8"/>
      <c r="T51"/>
    </row>
    <row r="52" spans="2:20" ht="23.1" customHeight="1" x14ac:dyDescent="0.25">
      <c r="B52" s="24" t="s">
        <v>79</v>
      </c>
      <c r="C52" s="50">
        <v>8</v>
      </c>
      <c r="D52" s="50">
        <v>7</v>
      </c>
      <c r="E52" s="50">
        <v>3</v>
      </c>
      <c r="F52" s="50">
        <v>9</v>
      </c>
      <c r="G52" s="50">
        <v>0</v>
      </c>
      <c r="H52" s="50">
        <v>0</v>
      </c>
      <c r="I52" s="50">
        <v>6</v>
      </c>
      <c r="J52" s="50">
        <v>2</v>
      </c>
      <c r="K52" s="50">
        <v>1</v>
      </c>
      <c r="L52" s="50">
        <v>0</v>
      </c>
      <c r="M52" s="50">
        <v>78</v>
      </c>
      <c r="N52" s="50">
        <v>0</v>
      </c>
      <c r="O52" s="15">
        <f t="shared" si="0"/>
        <v>36</v>
      </c>
      <c r="P52" s="15">
        <f t="shared" si="1"/>
        <v>114</v>
      </c>
      <c r="R52" s="8"/>
      <c r="T52"/>
    </row>
    <row r="53" spans="2:20" ht="23.1" customHeight="1" x14ac:dyDescent="0.25">
      <c r="B53" s="23" t="s">
        <v>80</v>
      </c>
      <c r="C53" s="50">
        <v>11</v>
      </c>
      <c r="D53" s="50">
        <v>3</v>
      </c>
      <c r="E53" s="50">
        <v>1</v>
      </c>
      <c r="F53" s="50">
        <v>7</v>
      </c>
      <c r="G53" s="50">
        <v>2</v>
      </c>
      <c r="H53" s="50">
        <v>0</v>
      </c>
      <c r="I53" s="50">
        <v>10</v>
      </c>
      <c r="J53" s="50">
        <v>4</v>
      </c>
      <c r="K53" s="50">
        <v>2</v>
      </c>
      <c r="L53" s="50">
        <v>0</v>
      </c>
      <c r="M53" s="50">
        <v>84</v>
      </c>
      <c r="N53" s="50">
        <v>0</v>
      </c>
      <c r="O53" s="15">
        <f t="shared" si="0"/>
        <v>40</v>
      </c>
      <c r="P53" s="15">
        <f t="shared" si="1"/>
        <v>124</v>
      </c>
      <c r="R53" s="8"/>
      <c r="T53"/>
    </row>
    <row r="54" spans="2:20" ht="23.1" customHeight="1" x14ac:dyDescent="0.25">
      <c r="B54" s="23" t="s">
        <v>81</v>
      </c>
      <c r="C54" s="50">
        <v>17</v>
      </c>
      <c r="D54" s="50">
        <v>10</v>
      </c>
      <c r="E54" s="50">
        <v>2</v>
      </c>
      <c r="F54" s="50">
        <v>11</v>
      </c>
      <c r="G54" s="50">
        <v>1</v>
      </c>
      <c r="H54" s="50">
        <v>0</v>
      </c>
      <c r="I54" s="50">
        <v>6</v>
      </c>
      <c r="J54" s="50">
        <v>1</v>
      </c>
      <c r="K54" s="50">
        <v>1</v>
      </c>
      <c r="L54" s="50">
        <v>1</v>
      </c>
      <c r="M54" s="50">
        <v>94</v>
      </c>
      <c r="N54" s="50">
        <v>0</v>
      </c>
      <c r="O54" s="15">
        <f t="shared" si="0"/>
        <v>50</v>
      </c>
      <c r="P54" s="15">
        <f t="shared" si="1"/>
        <v>144</v>
      </c>
      <c r="R54" s="8"/>
      <c r="T54"/>
    </row>
    <row r="55" spans="2:20" ht="23.1" customHeight="1" x14ac:dyDescent="0.25">
      <c r="B55" s="23" t="s">
        <v>82</v>
      </c>
      <c r="C55" s="50">
        <v>16</v>
      </c>
      <c r="D55" s="50">
        <v>10</v>
      </c>
      <c r="E55" s="50">
        <v>3</v>
      </c>
      <c r="F55" s="50">
        <v>13</v>
      </c>
      <c r="G55" s="50">
        <v>0</v>
      </c>
      <c r="H55" s="50">
        <v>0</v>
      </c>
      <c r="I55" s="50">
        <v>6</v>
      </c>
      <c r="J55" s="50">
        <v>0</v>
      </c>
      <c r="K55" s="50">
        <v>0</v>
      </c>
      <c r="L55" s="50">
        <v>0</v>
      </c>
      <c r="M55" s="50">
        <v>103</v>
      </c>
      <c r="N55" s="50">
        <v>0</v>
      </c>
      <c r="O55" s="15">
        <f t="shared" si="0"/>
        <v>48</v>
      </c>
      <c r="P55" s="15">
        <f t="shared" si="1"/>
        <v>151</v>
      </c>
      <c r="R55" s="8"/>
      <c r="T55"/>
    </row>
    <row r="56" spans="2:20" ht="23.1" customHeight="1" x14ac:dyDescent="0.25">
      <c r="B56" s="23" t="s">
        <v>83</v>
      </c>
      <c r="C56" s="50">
        <v>16</v>
      </c>
      <c r="D56" s="50">
        <v>5</v>
      </c>
      <c r="E56" s="50">
        <v>4</v>
      </c>
      <c r="F56" s="50">
        <v>11</v>
      </c>
      <c r="G56" s="50">
        <v>0</v>
      </c>
      <c r="H56" s="50">
        <v>0</v>
      </c>
      <c r="I56" s="50">
        <v>4</v>
      </c>
      <c r="J56" s="50">
        <v>1</v>
      </c>
      <c r="K56" s="50">
        <v>0</v>
      </c>
      <c r="L56" s="50">
        <v>0</v>
      </c>
      <c r="M56" s="50">
        <v>123</v>
      </c>
      <c r="N56" s="50">
        <v>0</v>
      </c>
      <c r="O56" s="15">
        <f t="shared" si="0"/>
        <v>41</v>
      </c>
      <c r="P56" s="15">
        <f t="shared" si="1"/>
        <v>164</v>
      </c>
      <c r="R56" s="8"/>
      <c r="T56"/>
    </row>
    <row r="57" spans="2:20" ht="23.1" customHeight="1" x14ac:dyDescent="0.25">
      <c r="B57" s="23" t="s">
        <v>84</v>
      </c>
      <c r="C57" s="50">
        <v>13</v>
      </c>
      <c r="D57" s="50">
        <v>6</v>
      </c>
      <c r="E57" s="50">
        <v>5</v>
      </c>
      <c r="F57" s="50">
        <v>6</v>
      </c>
      <c r="G57" s="50">
        <v>1</v>
      </c>
      <c r="H57" s="50">
        <v>0</v>
      </c>
      <c r="I57" s="50">
        <v>7</v>
      </c>
      <c r="J57" s="50">
        <v>0</v>
      </c>
      <c r="K57" s="50">
        <v>0</v>
      </c>
      <c r="L57" s="50">
        <v>0</v>
      </c>
      <c r="M57" s="50">
        <v>120</v>
      </c>
      <c r="N57" s="50">
        <v>0</v>
      </c>
      <c r="O57" s="15">
        <f t="shared" si="0"/>
        <v>38</v>
      </c>
      <c r="P57" s="15">
        <f t="shared" si="1"/>
        <v>158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493</v>
      </c>
      <c r="D58" s="16">
        <f t="shared" si="21"/>
        <v>324</v>
      </c>
      <c r="E58" s="16">
        <f t="shared" si="21"/>
        <v>172</v>
      </c>
      <c r="F58" s="16">
        <f t="shared" si="21"/>
        <v>370</v>
      </c>
      <c r="G58" s="16">
        <f t="shared" si="21"/>
        <v>35</v>
      </c>
      <c r="H58" s="16">
        <f t="shared" si="21"/>
        <v>2</v>
      </c>
      <c r="I58" s="16">
        <f t="shared" si="21"/>
        <v>373</v>
      </c>
      <c r="J58" s="16">
        <f t="shared" si="21"/>
        <v>68</v>
      </c>
      <c r="K58" s="16">
        <f t="shared" si="21"/>
        <v>19</v>
      </c>
      <c r="L58" s="16">
        <f t="shared" si="21"/>
        <v>28</v>
      </c>
      <c r="M58" s="16">
        <f t="shared" si="21"/>
        <v>4643</v>
      </c>
      <c r="N58" s="16">
        <f t="shared" si="21"/>
        <v>38</v>
      </c>
      <c r="O58" s="16">
        <f t="shared" si="21"/>
        <v>1922</v>
      </c>
      <c r="P58" s="16">
        <f t="shared" si="21"/>
        <v>6565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7.5095201827875102E-2</v>
      </c>
      <c r="D59" s="43">
        <f t="shared" si="22"/>
        <v>4.9352627570449351E-2</v>
      </c>
      <c r="E59" s="43">
        <f t="shared" si="22"/>
        <v>2.6199543031226201E-2</v>
      </c>
      <c r="F59" s="43">
        <f t="shared" si="22"/>
        <v>5.6359482102056359E-2</v>
      </c>
      <c r="G59" s="43">
        <f t="shared" si="22"/>
        <v>5.3313023610053311E-3</v>
      </c>
      <c r="H59" s="43">
        <f t="shared" si="22"/>
        <v>3.0464584920030462E-4</v>
      </c>
      <c r="I59" s="43">
        <f t="shared" si="22"/>
        <v>5.6816450875856815E-2</v>
      </c>
      <c r="J59" s="43">
        <f t="shared" si="22"/>
        <v>1.0357958872810357E-2</v>
      </c>
      <c r="K59" s="43">
        <f t="shared" si="22"/>
        <v>2.8941355674028941E-3</v>
      </c>
      <c r="L59" s="43">
        <f t="shared" si="22"/>
        <v>4.2650418888042652E-3</v>
      </c>
      <c r="M59" s="43">
        <f t="shared" si="22"/>
        <v>0.70723533891850721</v>
      </c>
      <c r="N59" s="43">
        <f t="shared" si="22"/>
        <v>5.7882711348057883E-3</v>
      </c>
      <c r="R59" s="8"/>
      <c r="T59"/>
    </row>
    <row r="60" spans="2:20" ht="23.1" customHeight="1" x14ac:dyDescent="0.25">
      <c r="B60" s="42" t="s">
        <v>94</v>
      </c>
      <c r="C60" s="44">
        <f>C58/$O$58</f>
        <v>0.25650364203954212</v>
      </c>
      <c r="D60" s="44">
        <f t="shared" ref="D60:N60" si="23">D58/$O$58</f>
        <v>0.16857440166493237</v>
      </c>
      <c r="E60" s="44">
        <f t="shared" si="23"/>
        <v>8.9490114464099893E-2</v>
      </c>
      <c r="F60" s="44">
        <f t="shared" si="23"/>
        <v>0.19250780437044746</v>
      </c>
      <c r="G60" s="44">
        <f t="shared" si="23"/>
        <v>1.8210197710718003E-2</v>
      </c>
      <c r="H60" s="44">
        <f t="shared" si="23"/>
        <v>1.0405827263267431E-3</v>
      </c>
      <c r="I60" s="44">
        <f t="shared" si="23"/>
        <v>0.19406867845993755</v>
      </c>
      <c r="J60" s="44">
        <f t="shared" si="23"/>
        <v>3.5379812695109258E-2</v>
      </c>
      <c r="K60" s="44">
        <f t="shared" si="23"/>
        <v>9.8855359001040581E-3</v>
      </c>
      <c r="L60" s="44">
        <f t="shared" si="23"/>
        <v>1.4568158168574402E-2</v>
      </c>
      <c r="M60" s="44"/>
      <c r="N60" s="44">
        <f t="shared" si="23"/>
        <v>1.9771071800208116E-2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'29.10-MUKONO-KATOSI'!C3:G3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171</v>
      </c>
      <c r="E5" s="3"/>
      <c r="F5" s="41" t="s">
        <v>1</v>
      </c>
      <c r="G5" s="53" t="str">
        <f>'29.10-MUKONO-KATOSI'!G5:H5</f>
        <v>LUV GUEST HOUSE</v>
      </c>
      <c r="H5" s="54"/>
      <c r="I5" s="14"/>
      <c r="J5" s="2" t="s">
        <v>5</v>
      </c>
      <c r="K5" s="53" t="s">
        <v>170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">
        <v>166</v>
      </c>
      <c r="E6" s="54"/>
      <c r="F6" s="2" t="s">
        <v>2</v>
      </c>
      <c r="G6" s="53" t="s">
        <v>165</v>
      </c>
      <c r="H6" s="54"/>
      <c r="J6" s="2" t="s">
        <v>21</v>
      </c>
      <c r="K6" s="53" t="str">
        <f>'29.10-MUKONO-KATOSI'!K6:L6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10</v>
      </c>
      <c r="E10" s="50">
        <v>0</v>
      </c>
      <c r="F10" s="50">
        <v>13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210</v>
      </c>
      <c r="N10" s="50">
        <v>0</v>
      </c>
      <c r="O10" s="15">
        <f t="shared" ref="O10:O57" si="0">SUM(C10:L10,N10)</f>
        <v>29</v>
      </c>
      <c r="P10" s="15">
        <f t="shared" ref="P10:P57" si="1">SUM(C10:N10)</f>
        <v>239</v>
      </c>
      <c r="R10" s="1" t="s">
        <v>6</v>
      </c>
      <c r="S10" s="17">
        <f t="shared" ref="S10:AF10" si="2">SUM(C10:C13)</f>
        <v>54</v>
      </c>
      <c r="T10" s="17">
        <f t="shared" si="2"/>
        <v>37</v>
      </c>
      <c r="U10" s="17">
        <f t="shared" si="2"/>
        <v>18</v>
      </c>
      <c r="V10" s="17">
        <f t="shared" si="2"/>
        <v>107</v>
      </c>
      <c r="W10" s="17">
        <f t="shared" si="2"/>
        <v>8</v>
      </c>
      <c r="X10" s="17">
        <f t="shared" si="2"/>
        <v>0</v>
      </c>
      <c r="Y10" s="17">
        <f t="shared" si="2"/>
        <v>51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694</v>
      </c>
      <c r="AD10" s="17">
        <f t="shared" si="2"/>
        <v>0</v>
      </c>
      <c r="AE10" s="31">
        <f t="shared" si="2"/>
        <v>276</v>
      </c>
      <c r="AF10" s="31">
        <f t="shared" si="2"/>
        <v>970</v>
      </c>
    </row>
    <row r="11" spans="2:32" s="6" customFormat="1" ht="23.1" customHeight="1" x14ac:dyDescent="0.25">
      <c r="B11" s="23" t="s">
        <v>38</v>
      </c>
      <c r="C11" s="50">
        <v>20</v>
      </c>
      <c r="D11" s="50">
        <v>15</v>
      </c>
      <c r="E11" s="50">
        <v>0</v>
      </c>
      <c r="F11" s="50">
        <v>42</v>
      </c>
      <c r="G11" s="50">
        <v>0</v>
      </c>
      <c r="H11" s="50">
        <v>0</v>
      </c>
      <c r="I11" s="50">
        <v>20</v>
      </c>
      <c r="J11" s="50">
        <v>0</v>
      </c>
      <c r="K11" s="50">
        <v>0</v>
      </c>
      <c r="L11" s="50">
        <v>0</v>
      </c>
      <c r="M11" s="50">
        <v>150</v>
      </c>
      <c r="N11" s="50">
        <v>0</v>
      </c>
      <c r="O11" s="15">
        <f t="shared" si="0"/>
        <v>97</v>
      </c>
      <c r="P11" s="15">
        <f t="shared" si="1"/>
        <v>247</v>
      </c>
      <c r="R11" s="1" t="s">
        <v>7</v>
      </c>
      <c r="S11" s="17">
        <f t="shared" ref="S11:AF11" si="3">SUM(C14:C17)</f>
        <v>46</v>
      </c>
      <c r="T11" s="17">
        <f t="shared" si="3"/>
        <v>25</v>
      </c>
      <c r="U11" s="17">
        <f t="shared" si="3"/>
        <v>10</v>
      </c>
      <c r="V11" s="17">
        <f t="shared" si="3"/>
        <v>23</v>
      </c>
      <c r="W11" s="17">
        <f t="shared" si="3"/>
        <v>11</v>
      </c>
      <c r="X11" s="17">
        <f t="shared" si="3"/>
        <v>0</v>
      </c>
      <c r="Y11" s="17">
        <f t="shared" si="3"/>
        <v>28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571</v>
      </c>
      <c r="AD11" s="17">
        <f t="shared" si="3"/>
        <v>0</v>
      </c>
      <c r="AE11" s="31">
        <f t="shared" si="3"/>
        <v>144</v>
      </c>
      <c r="AF11" s="31">
        <f t="shared" si="3"/>
        <v>715</v>
      </c>
    </row>
    <row r="12" spans="2:32" ht="23.1" customHeight="1" x14ac:dyDescent="0.25">
      <c r="B12" s="23" t="s">
        <v>39</v>
      </c>
      <c r="C12" s="50">
        <v>10</v>
      </c>
      <c r="D12" s="50">
        <v>3</v>
      </c>
      <c r="E12" s="50">
        <v>9</v>
      </c>
      <c r="F12" s="50">
        <v>21</v>
      </c>
      <c r="G12" s="50">
        <v>0</v>
      </c>
      <c r="H12" s="50">
        <v>0</v>
      </c>
      <c r="I12" s="50">
        <v>24</v>
      </c>
      <c r="J12" s="50">
        <v>1</v>
      </c>
      <c r="K12" s="50">
        <v>0</v>
      </c>
      <c r="L12" s="50">
        <v>0</v>
      </c>
      <c r="M12" s="50">
        <v>120</v>
      </c>
      <c r="N12" s="50">
        <v>0</v>
      </c>
      <c r="O12" s="15">
        <f t="shared" si="0"/>
        <v>68</v>
      </c>
      <c r="P12" s="15">
        <f t="shared" si="1"/>
        <v>188</v>
      </c>
      <c r="R12" s="1" t="s">
        <v>8</v>
      </c>
      <c r="S12" s="17">
        <f t="shared" ref="S12:AF12" si="4">SUM(C18:C21)</f>
        <v>34</v>
      </c>
      <c r="T12" s="17">
        <f t="shared" si="4"/>
        <v>14</v>
      </c>
      <c r="U12" s="17">
        <f t="shared" si="4"/>
        <v>5</v>
      </c>
      <c r="V12" s="17">
        <f t="shared" si="4"/>
        <v>27</v>
      </c>
      <c r="W12" s="17">
        <f t="shared" si="4"/>
        <v>1</v>
      </c>
      <c r="X12" s="17">
        <f t="shared" si="4"/>
        <v>0</v>
      </c>
      <c r="Y12" s="17">
        <f t="shared" si="4"/>
        <v>13</v>
      </c>
      <c r="Z12" s="17">
        <f t="shared" si="4"/>
        <v>1</v>
      </c>
      <c r="AA12" s="17">
        <f t="shared" si="4"/>
        <v>2</v>
      </c>
      <c r="AB12" s="17">
        <f t="shared" si="4"/>
        <v>0</v>
      </c>
      <c r="AC12" s="17">
        <f t="shared" si="4"/>
        <v>740</v>
      </c>
      <c r="AD12" s="17">
        <f t="shared" si="4"/>
        <v>0</v>
      </c>
      <c r="AE12" s="31">
        <f t="shared" si="4"/>
        <v>97</v>
      </c>
      <c r="AF12" s="31">
        <f t="shared" si="4"/>
        <v>837</v>
      </c>
    </row>
    <row r="13" spans="2:32" ht="23.1" customHeight="1" x14ac:dyDescent="0.25">
      <c r="B13" s="23" t="s">
        <v>40</v>
      </c>
      <c r="C13" s="50">
        <v>20</v>
      </c>
      <c r="D13" s="50">
        <v>9</v>
      </c>
      <c r="E13" s="50">
        <v>9</v>
      </c>
      <c r="F13" s="50">
        <v>31</v>
      </c>
      <c r="G13" s="50">
        <v>8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214</v>
      </c>
      <c r="N13" s="50">
        <v>0</v>
      </c>
      <c r="O13" s="15">
        <f t="shared" si="0"/>
        <v>82</v>
      </c>
      <c r="P13" s="15">
        <f t="shared" si="1"/>
        <v>296</v>
      </c>
      <c r="R13" s="1" t="s">
        <v>9</v>
      </c>
      <c r="S13" s="17">
        <f t="shared" ref="S13:AF13" si="5">SUM(C22:C25)</f>
        <v>32</v>
      </c>
      <c r="T13" s="17">
        <f t="shared" si="5"/>
        <v>12</v>
      </c>
      <c r="U13" s="17">
        <f t="shared" si="5"/>
        <v>4</v>
      </c>
      <c r="V13" s="17">
        <f t="shared" si="5"/>
        <v>28</v>
      </c>
      <c r="W13" s="17">
        <f t="shared" si="5"/>
        <v>2</v>
      </c>
      <c r="X13" s="17">
        <f t="shared" si="5"/>
        <v>0</v>
      </c>
      <c r="Y13" s="17">
        <f t="shared" si="5"/>
        <v>22</v>
      </c>
      <c r="Z13" s="17">
        <f t="shared" si="5"/>
        <v>7</v>
      </c>
      <c r="AA13" s="17">
        <f t="shared" si="5"/>
        <v>0</v>
      </c>
      <c r="AB13" s="17">
        <f t="shared" si="5"/>
        <v>0</v>
      </c>
      <c r="AC13" s="17">
        <f t="shared" si="5"/>
        <v>698</v>
      </c>
      <c r="AD13" s="17">
        <f t="shared" si="5"/>
        <v>0</v>
      </c>
      <c r="AE13" s="31">
        <f t="shared" si="5"/>
        <v>107</v>
      </c>
      <c r="AF13" s="31">
        <f t="shared" si="5"/>
        <v>805</v>
      </c>
    </row>
    <row r="14" spans="2:32" ht="23.1" customHeight="1" x14ac:dyDescent="0.25">
      <c r="B14" s="23" t="s">
        <v>41</v>
      </c>
      <c r="C14" s="50">
        <v>21</v>
      </c>
      <c r="D14" s="50">
        <v>10</v>
      </c>
      <c r="E14" s="50">
        <v>4</v>
      </c>
      <c r="F14" s="50">
        <v>0</v>
      </c>
      <c r="G14" s="50">
        <v>3</v>
      </c>
      <c r="H14" s="50">
        <v>0</v>
      </c>
      <c r="I14" s="50">
        <v>12</v>
      </c>
      <c r="J14" s="50">
        <v>0</v>
      </c>
      <c r="K14" s="50">
        <v>0</v>
      </c>
      <c r="L14" s="50">
        <v>0</v>
      </c>
      <c r="M14" s="50">
        <v>166</v>
      </c>
      <c r="N14" s="50">
        <v>0</v>
      </c>
      <c r="O14" s="15">
        <f t="shared" si="0"/>
        <v>50</v>
      </c>
      <c r="P14" s="15">
        <f t="shared" si="1"/>
        <v>216</v>
      </c>
      <c r="R14" s="1" t="s">
        <v>10</v>
      </c>
      <c r="S14" s="17">
        <f t="shared" ref="S14:AF14" si="6">SUM(C26:C29)</f>
        <v>22</v>
      </c>
      <c r="T14" s="17">
        <f t="shared" si="6"/>
        <v>13</v>
      </c>
      <c r="U14" s="17">
        <f t="shared" si="6"/>
        <v>4</v>
      </c>
      <c r="V14" s="17">
        <f t="shared" si="6"/>
        <v>23</v>
      </c>
      <c r="W14" s="17">
        <f t="shared" si="6"/>
        <v>1</v>
      </c>
      <c r="X14" s="17">
        <f t="shared" si="6"/>
        <v>0</v>
      </c>
      <c r="Y14" s="17">
        <f t="shared" si="6"/>
        <v>19</v>
      </c>
      <c r="Z14" s="17">
        <f t="shared" si="6"/>
        <v>6</v>
      </c>
      <c r="AA14" s="17">
        <f t="shared" si="6"/>
        <v>2</v>
      </c>
      <c r="AB14" s="17">
        <f t="shared" si="6"/>
        <v>1</v>
      </c>
      <c r="AC14" s="17">
        <f t="shared" si="6"/>
        <v>732</v>
      </c>
      <c r="AD14" s="17">
        <f t="shared" si="6"/>
        <v>0</v>
      </c>
      <c r="AE14" s="31">
        <f t="shared" si="6"/>
        <v>91</v>
      </c>
      <c r="AF14" s="31">
        <f t="shared" si="6"/>
        <v>823</v>
      </c>
    </row>
    <row r="15" spans="2:32" ht="23.1" customHeight="1" x14ac:dyDescent="0.25">
      <c r="B15" s="23" t="s">
        <v>42</v>
      </c>
      <c r="C15" s="50">
        <v>6</v>
      </c>
      <c r="D15" s="50">
        <v>4</v>
      </c>
      <c r="E15" s="50">
        <v>2</v>
      </c>
      <c r="F15" s="50">
        <v>10</v>
      </c>
      <c r="G15" s="50">
        <v>6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134</v>
      </c>
      <c r="N15" s="50">
        <v>0</v>
      </c>
      <c r="O15" s="15">
        <f t="shared" si="0"/>
        <v>33</v>
      </c>
      <c r="P15" s="15">
        <f t="shared" si="1"/>
        <v>167</v>
      </c>
      <c r="R15" s="1" t="s">
        <v>11</v>
      </c>
      <c r="S15" s="17">
        <f t="shared" ref="S15:AF15" si="7">SUM(C30:C33)</f>
        <v>22</v>
      </c>
      <c r="T15" s="17">
        <f t="shared" si="7"/>
        <v>17</v>
      </c>
      <c r="U15" s="17">
        <f t="shared" si="7"/>
        <v>10</v>
      </c>
      <c r="V15" s="17">
        <f t="shared" si="7"/>
        <v>18</v>
      </c>
      <c r="W15" s="17">
        <f t="shared" si="7"/>
        <v>4</v>
      </c>
      <c r="X15" s="17">
        <f t="shared" si="7"/>
        <v>0</v>
      </c>
      <c r="Y15" s="17">
        <f t="shared" si="7"/>
        <v>28</v>
      </c>
      <c r="Z15" s="17">
        <f t="shared" si="7"/>
        <v>2</v>
      </c>
      <c r="AA15" s="17">
        <f t="shared" si="7"/>
        <v>2</v>
      </c>
      <c r="AB15" s="17">
        <f t="shared" si="7"/>
        <v>2</v>
      </c>
      <c r="AC15" s="17">
        <f t="shared" si="7"/>
        <v>750</v>
      </c>
      <c r="AD15" s="17">
        <f t="shared" si="7"/>
        <v>0</v>
      </c>
      <c r="AE15" s="31">
        <f t="shared" si="7"/>
        <v>105</v>
      </c>
      <c r="AF15" s="31">
        <f t="shared" si="7"/>
        <v>855</v>
      </c>
    </row>
    <row r="16" spans="2:32" ht="23.1" customHeight="1" x14ac:dyDescent="0.25">
      <c r="B16" s="23" t="s">
        <v>43</v>
      </c>
      <c r="C16" s="50">
        <v>13</v>
      </c>
      <c r="D16" s="50">
        <v>6</v>
      </c>
      <c r="E16" s="50">
        <v>1</v>
      </c>
      <c r="F16" s="50">
        <v>8</v>
      </c>
      <c r="G16" s="50">
        <v>0</v>
      </c>
      <c r="H16" s="50">
        <v>0</v>
      </c>
      <c r="I16" s="50">
        <v>5</v>
      </c>
      <c r="J16" s="50">
        <v>0</v>
      </c>
      <c r="K16" s="50">
        <v>0</v>
      </c>
      <c r="L16" s="50">
        <v>0</v>
      </c>
      <c r="M16" s="50">
        <v>146</v>
      </c>
      <c r="N16" s="50">
        <v>0</v>
      </c>
      <c r="O16" s="15">
        <f t="shared" si="0"/>
        <v>33</v>
      </c>
      <c r="P16" s="15">
        <f t="shared" si="1"/>
        <v>179</v>
      </c>
      <c r="R16" s="1" t="s">
        <v>12</v>
      </c>
      <c r="S16" s="17">
        <f t="shared" ref="S16:AF16" si="8">SUM(C34:C37)</f>
        <v>24</v>
      </c>
      <c r="T16" s="17">
        <f t="shared" si="8"/>
        <v>8</v>
      </c>
      <c r="U16" s="17">
        <f t="shared" si="8"/>
        <v>7</v>
      </c>
      <c r="V16" s="17">
        <f t="shared" si="8"/>
        <v>32</v>
      </c>
      <c r="W16" s="17">
        <f t="shared" si="8"/>
        <v>3</v>
      </c>
      <c r="X16" s="17">
        <f t="shared" si="8"/>
        <v>0</v>
      </c>
      <c r="Y16" s="17">
        <f t="shared" si="8"/>
        <v>33</v>
      </c>
      <c r="Z16" s="17">
        <f t="shared" si="8"/>
        <v>6</v>
      </c>
      <c r="AA16" s="17">
        <f t="shared" si="8"/>
        <v>1</v>
      </c>
      <c r="AB16" s="17">
        <f t="shared" si="8"/>
        <v>1</v>
      </c>
      <c r="AC16" s="17">
        <f t="shared" si="8"/>
        <v>783</v>
      </c>
      <c r="AD16" s="17">
        <f t="shared" si="8"/>
        <v>0</v>
      </c>
      <c r="AE16" s="31">
        <f t="shared" si="8"/>
        <v>115</v>
      </c>
      <c r="AF16" s="31">
        <f t="shared" si="8"/>
        <v>898</v>
      </c>
    </row>
    <row r="17" spans="2:32" ht="23.1" customHeight="1" x14ac:dyDescent="0.25">
      <c r="B17" s="23" t="s">
        <v>44</v>
      </c>
      <c r="C17" s="50">
        <v>6</v>
      </c>
      <c r="D17" s="50">
        <v>5</v>
      </c>
      <c r="E17" s="50">
        <v>3</v>
      </c>
      <c r="F17" s="50">
        <v>5</v>
      </c>
      <c r="G17" s="50">
        <v>2</v>
      </c>
      <c r="H17" s="50">
        <v>0</v>
      </c>
      <c r="I17" s="50">
        <v>6</v>
      </c>
      <c r="J17" s="50">
        <v>0</v>
      </c>
      <c r="K17" s="50">
        <v>1</v>
      </c>
      <c r="L17" s="50">
        <v>0</v>
      </c>
      <c r="M17" s="50">
        <v>125</v>
      </c>
      <c r="N17" s="50">
        <v>0</v>
      </c>
      <c r="O17" s="15">
        <f t="shared" si="0"/>
        <v>28</v>
      </c>
      <c r="P17" s="15">
        <f t="shared" si="1"/>
        <v>153</v>
      </c>
      <c r="R17" s="1" t="s">
        <v>13</v>
      </c>
      <c r="S17" s="17">
        <f t="shared" ref="S17:AF17" si="9">SUM(C38:C41)</f>
        <v>33</v>
      </c>
      <c r="T17" s="17">
        <f t="shared" si="9"/>
        <v>15</v>
      </c>
      <c r="U17" s="17">
        <f t="shared" si="9"/>
        <v>8</v>
      </c>
      <c r="V17" s="17">
        <f t="shared" si="9"/>
        <v>35</v>
      </c>
      <c r="W17" s="17">
        <f t="shared" si="9"/>
        <v>0</v>
      </c>
      <c r="X17" s="17">
        <f t="shared" si="9"/>
        <v>1</v>
      </c>
      <c r="Y17" s="17">
        <f t="shared" si="9"/>
        <v>38</v>
      </c>
      <c r="Z17" s="17">
        <f t="shared" si="9"/>
        <v>3</v>
      </c>
      <c r="AA17" s="17">
        <f t="shared" si="9"/>
        <v>1</v>
      </c>
      <c r="AB17" s="17">
        <f t="shared" si="9"/>
        <v>2</v>
      </c>
      <c r="AC17" s="17">
        <f t="shared" si="9"/>
        <v>478</v>
      </c>
      <c r="AD17" s="17">
        <f t="shared" si="9"/>
        <v>0</v>
      </c>
      <c r="AE17" s="31">
        <f t="shared" si="9"/>
        <v>136</v>
      </c>
      <c r="AF17" s="31">
        <f t="shared" si="9"/>
        <v>614</v>
      </c>
    </row>
    <row r="18" spans="2:32" ht="23.1" customHeight="1" x14ac:dyDescent="0.25">
      <c r="B18" s="23" t="s">
        <v>45</v>
      </c>
      <c r="C18" s="50">
        <v>12</v>
      </c>
      <c r="D18" s="50">
        <v>6</v>
      </c>
      <c r="E18" s="50">
        <v>0</v>
      </c>
      <c r="F18" s="50">
        <v>3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135</v>
      </c>
      <c r="N18" s="50">
        <v>0</v>
      </c>
      <c r="O18" s="15">
        <f t="shared" si="0"/>
        <v>21</v>
      </c>
      <c r="P18" s="15">
        <f t="shared" si="1"/>
        <v>156</v>
      </c>
      <c r="R18" s="1" t="s">
        <v>14</v>
      </c>
      <c r="S18" s="17">
        <f t="shared" ref="S18:AF18" si="10">SUM(C42:C45)</f>
        <v>27</v>
      </c>
      <c r="T18" s="17">
        <f t="shared" si="10"/>
        <v>14</v>
      </c>
      <c r="U18" s="17">
        <f t="shared" si="10"/>
        <v>12</v>
      </c>
      <c r="V18" s="17">
        <f t="shared" si="10"/>
        <v>23</v>
      </c>
      <c r="W18" s="17">
        <f t="shared" si="10"/>
        <v>0</v>
      </c>
      <c r="X18" s="17">
        <f t="shared" si="10"/>
        <v>0</v>
      </c>
      <c r="Y18" s="17">
        <f t="shared" si="10"/>
        <v>24</v>
      </c>
      <c r="Z18" s="17">
        <f t="shared" si="10"/>
        <v>1</v>
      </c>
      <c r="AA18" s="17">
        <f t="shared" si="10"/>
        <v>6</v>
      </c>
      <c r="AB18" s="17">
        <f t="shared" si="10"/>
        <v>4</v>
      </c>
      <c r="AC18" s="17">
        <f t="shared" si="10"/>
        <v>531</v>
      </c>
      <c r="AD18" s="17">
        <f t="shared" si="10"/>
        <v>0</v>
      </c>
      <c r="AE18" s="31">
        <f t="shared" si="10"/>
        <v>111</v>
      </c>
      <c r="AF18" s="31">
        <f t="shared" si="10"/>
        <v>642</v>
      </c>
    </row>
    <row r="19" spans="2:32" ht="23.1" customHeight="1" x14ac:dyDescent="0.25">
      <c r="B19" s="23" t="s">
        <v>46</v>
      </c>
      <c r="C19" s="50">
        <v>7</v>
      </c>
      <c r="D19" s="50">
        <v>4</v>
      </c>
      <c r="E19" s="50">
        <v>2</v>
      </c>
      <c r="F19" s="50">
        <v>8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174</v>
      </c>
      <c r="N19" s="50">
        <v>0</v>
      </c>
      <c r="O19" s="15">
        <f t="shared" si="0"/>
        <v>23</v>
      </c>
      <c r="P19" s="15">
        <f t="shared" si="1"/>
        <v>197</v>
      </c>
      <c r="R19" s="1" t="s">
        <v>15</v>
      </c>
      <c r="S19" s="17">
        <f t="shared" ref="S19:AF19" si="11">SUM(C46:C49)</f>
        <v>35</v>
      </c>
      <c r="T19" s="17">
        <f t="shared" si="11"/>
        <v>19</v>
      </c>
      <c r="U19" s="17">
        <f t="shared" si="11"/>
        <v>12</v>
      </c>
      <c r="V19" s="17">
        <f t="shared" si="11"/>
        <v>34</v>
      </c>
      <c r="W19" s="17">
        <f t="shared" si="11"/>
        <v>7</v>
      </c>
      <c r="X19" s="17">
        <f t="shared" si="11"/>
        <v>0</v>
      </c>
      <c r="Y19" s="17">
        <f t="shared" si="11"/>
        <v>27</v>
      </c>
      <c r="Z19" s="17">
        <f t="shared" si="11"/>
        <v>2</v>
      </c>
      <c r="AA19" s="17">
        <f t="shared" si="11"/>
        <v>0</v>
      </c>
      <c r="AB19" s="17">
        <f t="shared" si="11"/>
        <v>2</v>
      </c>
      <c r="AC19" s="17">
        <f t="shared" si="11"/>
        <v>510</v>
      </c>
      <c r="AD19" s="17">
        <f t="shared" si="11"/>
        <v>0</v>
      </c>
      <c r="AE19" s="31">
        <f t="shared" si="11"/>
        <v>138</v>
      </c>
      <c r="AF19" s="31">
        <f t="shared" si="11"/>
        <v>648</v>
      </c>
    </row>
    <row r="20" spans="2:32" ht="23.1" customHeight="1" x14ac:dyDescent="0.25">
      <c r="B20" s="23" t="s">
        <v>47</v>
      </c>
      <c r="C20" s="50">
        <v>5</v>
      </c>
      <c r="D20" s="50">
        <v>3</v>
      </c>
      <c r="E20" s="50">
        <v>0</v>
      </c>
      <c r="F20" s="50">
        <v>3</v>
      </c>
      <c r="G20" s="50">
        <v>0</v>
      </c>
      <c r="H20" s="50">
        <v>0</v>
      </c>
      <c r="I20" s="50">
        <v>4</v>
      </c>
      <c r="J20" s="50">
        <v>0</v>
      </c>
      <c r="K20" s="50">
        <v>1</v>
      </c>
      <c r="L20" s="50">
        <v>0</v>
      </c>
      <c r="M20" s="50">
        <v>321</v>
      </c>
      <c r="N20" s="50">
        <v>0</v>
      </c>
      <c r="O20" s="15">
        <f t="shared" si="0"/>
        <v>16</v>
      </c>
      <c r="P20" s="15">
        <f t="shared" si="1"/>
        <v>337</v>
      </c>
      <c r="R20" s="1" t="s">
        <v>16</v>
      </c>
      <c r="S20" s="17">
        <f t="shared" ref="S20:AF20" si="12">SUM(C50:C53)</f>
        <v>33</v>
      </c>
      <c r="T20" s="17">
        <f t="shared" si="12"/>
        <v>9</v>
      </c>
      <c r="U20" s="17">
        <f t="shared" si="12"/>
        <v>10</v>
      </c>
      <c r="V20" s="17">
        <f t="shared" si="12"/>
        <v>25</v>
      </c>
      <c r="W20" s="17">
        <f t="shared" si="12"/>
        <v>3</v>
      </c>
      <c r="X20" s="17">
        <f t="shared" si="12"/>
        <v>0</v>
      </c>
      <c r="Y20" s="17">
        <f t="shared" si="12"/>
        <v>15</v>
      </c>
      <c r="Z20" s="17">
        <f t="shared" si="12"/>
        <v>5</v>
      </c>
      <c r="AA20" s="17">
        <f t="shared" si="12"/>
        <v>1</v>
      </c>
      <c r="AB20" s="17">
        <f t="shared" si="12"/>
        <v>1</v>
      </c>
      <c r="AC20" s="17">
        <f t="shared" si="12"/>
        <v>486</v>
      </c>
      <c r="AD20" s="17">
        <f t="shared" si="12"/>
        <v>0</v>
      </c>
      <c r="AE20" s="31">
        <f t="shared" si="12"/>
        <v>102</v>
      </c>
      <c r="AF20" s="31">
        <f t="shared" si="12"/>
        <v>588</v>
      </c>
    </row>
    <row r="21" spans="2:32" ht="23.1" customHeight="1" x14ac:dyDescent="0.25">
      <c r="B21" s="23" t="s">
        <v>48</v>
      </c>
      <c r="C21" s="50">
        <v>10</v>
      </c>
      <c r="D21" s="50">
        <v>1</v>
      </c>
      <c r="E21" s="50">
        <v>3</v>
      </c>
      <c r="F21" s="50">
        <v>13</v>
      </c>
      <c r="G21" s="50">
        <v>1</v>
      </c>
      <c r="H21" s="50">
        <v>0</v>
      </c>
      <c r="I21" s="50">
        <v>8</v>
      </c>
      <c r="J21" s="50">
        <v>0</v>
      </c>
      <c r="K21" s="50">
        <v>1</v>
      </c>
      <c r="L21" s="50">
        <v>0</v>
      </c>
      <c r="M21" s="50">
        <v>110</v>
      </c>
      <c r="N21" s="50">
        <v>0</v>
      </c>
      <c r="O21" s="15">
        <f t="shared" si="0"/>
        <v>37</v>
      </c>
      <c r="P21" s="15">
        <f t="shared" si="1"/>
        <v>147</v>
      </c>
      <c r="R21" s="36" t="s">
        <v>20</v>
      </c>
      <c r="S21" s="34">
        <f t="shared" ref="S21:AF21" si="13">SUM(C54:C57)</f>
        <v>38</v>
      </c>
      <c r="T21" s="17">
        <f t="shared" si="13"/>
        <v>19</v>
      </c>
      <c r="U21" s="17">
        <f t="shared" si="13"/>
        <v>11</v>
      </c>
      <c r="V21" s="17">
        <f t="shared" si="13"/>
        <v>16</v>
      </c>
      <c r="W21" s="17">
        <f t="shared" si="13"/>
        <v>0</v>
      </c>
      <c r="X21" s="17">
        <f t="shared" si="13"/>
        <v>0</v>
      </c>
      <c r="Y21" s="17">
        <f t="shared" si="13"/>
        <v>17</v>
      </c>
      <c r="Z21" s="17">
        <f t="shared" si="13"/>
        <v>5</v>
      </c>
      <c r="AA21" s="17">
        <f t="shared" si="13"/>
        <v>0</v>
      </c>
      <c r="AB21" s="17">
        <f t="shared" si="13"/>
        <v>1</v>
      </c>
      <c r="AC21" s="17">
        <f t="shared" si="13"/>
        <v>627</v>
      </c>
      <c r="AD21" s="17">
        <f t="shared" si="13"/>
        <v>0</v>
      </c>
      <c r="AE21" s="31">
        <f t="shared" si="13"/>
        <v>107</v>
      </c>
      <c r="AF21" s="31">
        <f t="shared" si="13"/>
        <v>734</v>
      </c>
    </row>
    <row r="22" spans="2:32" ht="23.1" customHeight="1" x14ac:dyDescent="0.25">
      <c r="B22" s="23" t="s">
        <v>49</v>
      </c>
      <c r="C22" s="50">
        <v>8</v>
      </c>
      <c r="D22" s="50">
        <v>2</v>
      </c>
      <c r="E22" s="50">
        <v>0</v>
      </c>
      <c r="F22" s="50">
        <v>7</v>
      </c>
      <c r="G22" s="50">
        <v>1</v>
      </c>
      <c r="H22" s="50">
        <v>0</v>
      </c>
      <c r="I22" s="50">
        <v>4</v>
      </c>
      <c r="J22" s="50">
        <v>1</v>
      </c>
      <c r="K22" s="50">
        <v>0</v>
      </c>
      <c r="L22" s="50">
        <v>0</v>
      </c>
      <c r="M22" s="50">
        <v>130</v>
      </c>
      <c r="N22" s="50">
        <v>0</v>
      </c>
      <c r="O22" s="15">
        <f t="shared" si="0"/>
        <v>23</v>
      </c>
      <c r="P22" s="15">
        <f t="shared" si="1"/>
        <v>153</v>
      </c>
      <c r="R22" s="38" t="s">
        <v>90</v>
      </c>
      <c r="S22" s="39">
        <f>MAX(S10:S12)</f>
        <v>54</v>
      </c>
      <c r="T22" s="39">
        <f t="shared" ref="T22:AF22" si="14">MAX(T10:T12)</f>
        <v>37</v>
      </c>
      <c r="U22" s="39">
        <f t="shared" si="14"/>
        <v>18</v>
      </c>
      <c r="V22" s="39">
        <f t="shared" si="14"/>
        <v>107</v>
      </c>
      <c r="W22" s="39">
        <f t="shared" si="14"/>
        <v>11</v>
      </c>
      <c r="X22" s="39">
        <f t="shared" si="14"/>
        <v>0</v>
      </c>
      <c r="Y22" s="39">
        <f t="shared" si="14"/>
        <v>51</v>
      </c>
      <c r="Z22" s="39">
        <f t="shared" si="14"/>
        <v>1</v>
      </c>
      <c r="AA22" s="39">
        <f t="shared" si="14"/>
        <v>2</v>
      </c>
      <c r="AB22" s="39">
        <f t="shared" si="14"/>
        <v>0</v>
      </c>
      <c r="AC22" s="39">
        <f t="shared" si="14"/>
        <v>740</v>
      </c>
      <c r="AD22" s="39">
        <f t="shared" si="14"/>
        <v>0</v>
      </c>
      <c r="AE22" s="40">
        <f t="shared" si="14"/>
        <v>276</v>
      </c>
      <c r="AF22" s="40">
        <f t="shared" si="14"/>
        <v>970</v>
      </c>
    </row>
    <row r="23" spans="2:32" ht="23.1" customHeight="1" x14ac:dyDescent="0.25">
      <c r="B23" s="23" t="s">
        <v>50</v>
      </c>
      <c r="C23" s="50">
        <v>5</v>
      </c>
      <c r="D23" s="50">
        <v>1</v>
      </c>
      <c r="E23" s="50">
        <v>1</v>
      </c>
      <c r="F23" s="50">
        <v>6</v>
      </c>
      <c r="G23" s="50">
        <v>0</v>
      </c>
      <c r="H23" s="50">
        <v>0</v>
      </c>
      <c r="I23" s="50">
        <v>9</v>
      </c>
      <c r="J23" s="50">
        <v>1</v>
      </c>
      <c r="K23" s="50">
        <v>0</v>
      </c>
      <c r="L23" s="50">
        <v>0</v>
      </c>
      <c r="M23" s="50">
        <v>183</v>
      </c>
      <c r="N23" s="50">
        <v>0</v>
      </c>
      <c r="O23" s="15">
        <f t="shared" si="0"/>
        <v>23</v>
      </c>
      <c r="P23" s="15">
        <f t="shared" si="1"/>
        <v>206</v>
      </c>
      <c r="R23" s="38" t="s">
        <v>91</v>
      </c>
      <c r="S23" s="39">
        <f>MAX(S13:S18)</f>
        <v>33</v>
      </c>
      <c r="T23" s="39">
        <f t="shared" ref="T23:AF23" si="15">MAX(T13:T18)</f>
        <v>17</v>
      </c>
      <c r="U23" s="39">
        <f t="shared" si="15"/>
        <v>12</v>
      </c>
      <c r="V23" s="39">
        <f t="shared" si="15"/>
        <v>35</v>
      </c>
      <c r="W23" s="39">
        <f t="shared" si="15"/>
        <v>4</v>
      </c>
      <c r="X23" s="39">
        <f t="shared" si="15"/>
        <v>1</v>
      </c>
      <c r="Y23" s="39">
        <f t="shared" si="15"/>
        <v>38</v>
      </c>
      <c r="Z23" s="39">
        <f t="shared" si="15"/>
        <v>7</v>
      </c>
      <c r="AA23" s="39">
        <f t="shared" si="15"/>
        <v>6</v>
      </c>
      <c r="AB23" s="39">
        <f t="shared" si="15"/>
        <v>4</v>
      </c>
      <c r="AC23" s="39">
        <f t="shared" si="15"/>
        <v>783</v>
      </c>
      <c r="AD23" s="39">
        <f t="shared" si="15"/>
        <v>0</v>
      </c>
      <c r="AE23" s="40">
        <f t="shared" si="15"/>
        <v>136</v>
      </c>
      <c r="AF23" s="40">
        <f t="shared" si="15"/>
        <v>898</v>
      </c>
    </row>
    <row r="24" spans="2:32" ht="23.1" customHeight="1" x14ac:dyDescent="0.25">
      <c r="B24" s="23" t="s">
        <v>51</v>
      </c>
      <c r="C24" s="50">
        <v>7</v>
      </c>
      <c r="D24" s="50">
        <v>5</v>
      </c>
      <c r="E24" s="50">
        <v>0</v>
      </c>
      <c r="F24" s="50">
        <v>3</v>
      </c>
      <c r="G24" s="50">
        <v>0</v>
      </c>
      <c r="H24" s="50">
        <v>0</v>
      </c>
      <c r="I24" s="50">
        <v>3</v>
      </c>
      <c r="J24" s="50">
        <v>4</v>
      </c>
      <c r="K24" s="50">
        <v>0</v>
      </c>
      <c r="L24" s="50">
        <v>0</v>
      </c>
      <c r="M24" s="50">
        <v>203</v>
      </c>
      <c r="N24" s="50">
        <v>0</v>
      </c>
      <c r="O24" s="15">
        <f t="shared" si="0"/>
        <v>22</v>
      </c>
      <c r="P24" s="15">
        <f t="shared" si="1"/>
        <v>225</v>
      </c>
      <c r="R24" s="38" t="s">
        <v>92</v>
      </c>
      <c r="S24" s="39">
        <f>MAX(S19:S21)</f>
        <v>38</v>
      </c>
      <c r="T24" s="39">
        <f t="shared" ref="T24:AF24" si="16">MAX(T19:T21)</f>
        <v>19</v>
      </c>
      <c r="U24" s="39">
        <f t="shared" si="16"/>
        <v>12</v>
      </c>
      <c r="V24" s="39">
        <f t="shared" si="16"/>
        <v>34</v>
      </c>
      <c r="W24" s="39">
        <f t="shared" si="16"/>
        <v>7</v>
      </c>
      <c r="X24" s="39">
        <f t="shared" si="16"/>
        <v>0</v>
      </c>
      <c r="Y24" s="39">
        <f t="shared" si="16"/>
        <v>27</v>
      </c>
      <c r="Z24" s="39">
        <f t="shared" si="16"/>
        <v>5</v>
      </c>
      <c r="AA24" s="39">
        <f t="shared" si="16"/>
        <v>1</v>
      </c>
      <c r="AB24" s="39">
        <f t="shared" si="16"/>
        <v>2</v>
      </c>
      <c r="AC24" s="39">
        <f t="shared" si="16"/>
        <v>627</v>
      </c>
      <c r="AD24" s="39">
        <f t="shared" si="16"/>
        <v>0</v>
      </c>
      <c r="AE24" s="40">
        <f t="shared" si="16"/>
        <v>138</v>
      </c>
      <c r="AF24" s="40">
        <f t="shared" si="16"/>
        <v>734</v>
      </c>
    </row>
    <row r="25" spans="2:32" ht="23.1" customHeight="1" x14ac:dyDescent="0.25">
      <c r="B25" s="23" t="s">
        <v>52</v>
      </c>
      <c r="C25" s="50">
        <v>12</v>
      </c>
      <c r="D25" s="50">
        <v>4</v>
      </c>
      <c r="E25" s="50">
        <v>3</v>
      </c>
      <c r="F25" s="50">
        <v>12</v>
      </c>
      <c r="G25" s="50">
        <v>1</v>
      </c>
      <c r="H25" s="50">
        <v>0</v>
      </c>
      <c r="I25" s="50">
        <v>6</v>
      </c>
      <c r="J25" s="50">
        <v>1</v>
      </c>
      <c r="K25" s="50">
        <v>0</v>
      </c>
      <c r="L25" s="50">
        <v>0</v>
      </c>
      <c r="M25" s="50">
        <v>182</v>
      </c>
      <c r="N25" s="50">
        <v>0</v>
      </c>
      <c r="O25" s="15">
        <f t="shared" si="0"/>
        <v>39</v>
      </c>
      <c r="P25" s="15">
        <f t="shared" si="1"/>
        <v>221</v>
      </c>
      <c r="R25" s="37" t="s">
        <v>85</v>
      </c>
      <c r="S25" s="35">
        <f t="shared" ref="S25:AF25" si="17">SUM(S10:S12)</f>
        <v>134</v>
      </c>
      <c r="T25" s="16">
        <f t="shared" si="17"/>
        <v>76</v>
      </c>
      <c r="U25" s="16">
        <f t="shared" si="17"/>
        <v>33</v>
      </c>
      <c r="V25" s="16">
        <f t="shared" si="17"/>
        <v>157</v>
      </c>
      <c r="W25" s="16">
        <f t="shared" si="17"/>
        <v>20</v>
      </c>
      <c r="X25" s="16">
        <f t="shared" si="17"/>
        <v>0</v>
      </c>
      <c r="Y25" s="16">
        <f t="shared" si="17"/>
        <v>92</v>
      </c>
      <c r="Z25" s="16">
        <f t="shared" si="17"/>
        <v>2</v>
      </c>
      <c r="AA25" s="16">
        <f t="shared" si="17"/>
        <v>3</v>
      </c>
      <c r="AB25" s="16">
        <f t="shared" si="17"/>
        <v>0</v>
      </c>
      <c r="AC25" s="16">
        <f t="shared" si="17"/>
        <v>2005</v>
      </c>
      <c r="AD25" s="16">
        <f t="shared" si="17"/>
        <v>0</v>
      </c>
      <c r="AE25" s="32">
        <f t="shared" si="17"/>
        <v>517</v>
      </c>
      <c r="AF25" s="32">
        <f t="shared" si="17"/>
        <v>2522</v>
      </c>
    </row>
    <row r="26" spans="2:32" ht="23.1" customHeight="1" x14ac:dyDescent="0.25">
      <c r="B26" s="23" t="s">
        <v>53</v>
      </c>
      <c r="C26" s="50">
        <v>2</v>
      </c>
      <c r="D26" s="50">
        <v>2</v>
      </c>
      <c r="E26" s="50">
        <v>1</v>
      </c>
      <c r="F26" s="50">
        <v>7</v>
      </c>
      <c r="G26" s="50">
        <v>1</v>
      </c>
      <c r="H26" s="50">
        <v>0</v>
      </c>
      <c r="I26" s="50">
        <v>9</v>
      </c>
      <c r="J26" s="50">
        <v>1</v>
      </c>
      <c r="K26" s="50">
        <v>0</v>
      </c>
      <c r="L26" s="50">
        <v>1</v>
      </c>
      <c r="M26" s="50">
        <v>164</v>
      </c>
      <c r="N26" s="50">
        <v>0</v>
      </c>
      <c r="O26" s="15">
        <f t="shared" si="0"/>
        <v>24</v>
      </c>
      <c r="P26" s="15">
        <f t="shared" si="1"/>
        <v>188</v>
      </c>
      <c r="R26" s="28" t="s">
        <v>86</v>
      </c>
      <c r="S26" s="16">
        <f t="shared" ref="S26:AF26" si="18">SUM(S13:S18)</f>
        <v>160</v>
      </c>
      <c r="T26" s="16">
        <f t="shared" si="18"/>
        <v>79</v>
      </c>
      <c r="U26" s="16">
        <f t="shared" si="18"/>
        <v>45</v>
      </c>
      <c r="V26" s="16">
        <f t="shared" si="18"/>
        <v>159</v>
      </c>
      <c r="W26" s="16">
        <f t="shared" si="18"/>
        <v>10</v>
      </c>
      <c r="X26" s="16">
        <f t="shared" si="18"/>
        <v>1</v>
      </c>
      <c r="Y26" s="16">
        <f t="shared" si="18"/>
        <v>164</v>
      </c>
      <c r="Z26" s="16">
        <f t="shared" si="18"/>
        <v>25</v>
      </c>
      <c r="AA26" s="16">
        <f t="shared" si="18"/>
        <v>12</v>
      </c>
      <c r="AB26" s="16">
        <f t="shared" si="18"/>
        <v>10</v>
      </c>
      <c r="AC26" s="16">
        <f t="shared" si="18"/>
        <v>3972</v>
      </c>
      <c r="AD26" s="16">
        <f t="shared" si="18"/>
        <v>0</v>
      </c>
      <c r="AE26" s="32">
        <f t="shared" si="18"/>
        <v>665</v>
      </c>
      <c r="AF26" s="32">
        <f t="shared" si="18"/>
        <v>4637</v>
      </c>
    </row>
    <row r="27" spans="2:32" ht="23.1" customHeight="1" x14ac:dyDescent="0.25">
      <c r="B27" s="23" t="s">
        <v>54</v>
      </c>
      <c r="C27" s="50">
        <v>8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2</v>
      </c>
      <c r="K27" s="50">
        <v>0</v>
      </c>
      <c r="L27" s="50">
        <v>0</v>
      </c>
      <c r="M27" s="50">
        <v>183</v>
      </c>
      <c r="N27" s="50">
        <v>0</v>
      </c>
      <c r="O27" s="15">
        <f t="shared" si="0"/>
        <v>13</v>
      </c>
      <c r="P27" s="15">
        <f t="shared" si="1"/>
        <v>196</v>
      </c>
      <c r="R27" s="29" t="s">
        <v>87</v>
      </c>
      <c r="S27" s="16">
        <f t="shared" ref="S27:AF27" si="19">SUM(S19:S21)</f>
        <v>106</v>
      </c>
      <c r="T27" s="16">
        <f t="shared" si="19"/>
        <v>47</v>
      </c>
      <c r="U27" s="16">
        <f t="shared" si="19"/>
        <v>33</v>
      </c>
      <c r="V27" s="16">
        <f t="shared" si="19"/>
        <v>75</v>
      </c>
      <c r="W27" s="16">
        <f t="shared" si="19"/>
        <v>10</v>
      </c>
      <c r="X27" s="16">
        <f t="shared" si="19"/>
        <v>0</v>
      </c>
      <c r="Y27" s="16">
        <f t="shared" si="19"/>
        <v>59</v>
      </c>
      <c r="Z27" s="16">
        <f t="shared" si="19"/>
        <v>12</v>
      </c>
      <c r="AA27" s="16">
        <f t="shared" si="19"/>
        <v>1</v>
      </c>
      <c r="AB27" s="16">
        <f t="shared" si="19"/>
        <v>4</v>
      </c>
      <c r="AC27" s="16">
        <f t="shared" si="19"/>
        <v>1623</v>
      </c>
      <c r="AD27" s="16">
        <f t="shared" si="19"/>
        <v>0</v>
      </c>
      <c r="AE27" s="32">
        <f t="shared" si="19"/>
        <v>347</v>
      </c>
      <c r="AF27" s="32">
        <f t="shared" si="19"/>
        <v>1970</v>
      </c>
    </row>
    <row r="28" spans="2:32" ht="23.1" customHeight="1" x14ac:dyDescent="0.25">
      <c r="B28" s="23" t="s">
        <v>55</v>
      </c>
      <c r="C28" s="50">
        <v>5</v>
      </c>
      <c r="D28" s="50">
        <v>4</v>
      </c>
      <c r="E28" s="50">
        <v>0</v>
      </c>
      <c r="F28" s="50">
        <v>6</v>
      </c>
      <c r="G28" s="50">
        <v>0</v>
      </c>
      <c r="H28" s="50">
        <v>0</v>
      </c>
      <c r="I28" s="50">
        <v>5</v>
      </c>
      <c r="J28" s="50">
        <v>2</v>
      </c>
      <c r="K28" s="50">
        <v>0</v>
      </c>
      <c r="L28" s="50">
        <v>0</v>
      </c>
      <c r="M28" s="50">
        <v>214</v>
      </c>
      <c r="N28" s="50">
        <v>0</v>
      </c>
      <c r="O28" s="15">
        <f t="shared" si="0"/>
        <v>22</v>
      </c>
      <c r="P28" s="15">
        <f t="shared" si="1"/>
        <v>236</v>
      </c>
      <c r="R28" s="5" t="s">
        <v>17</v>
      </c>
      <c r="S28" s="16">
        <f t="shared" ref="S28:AF28" si="20">SUM(S10:S21)</f>
        <v>400</v>
      </c>
      <c r="T28" s="16">
        <f t="shared" si="20"/>
        <v>202</v>
      </c>
      <c r="U28" s="16">
        <f t="shared" si="20"/>
        <v>111</v>
      </c>
      <c r="V28" s="16">
        <f t="shared" si="20"/>
        <v>391</v>
      </c>
      <c r="W28" s="16">
        <f t="shared" si="20"/>
        <v>40</v>
      </c>
      <c r="X28" s="16">
        <f t="shared" si="20"/>
        <v>1</v>
      </c>
      <c r="Y28" s="16">
        <f t="shared" si="20"/>
        <v>315</v>
      </c>
      <c r="Z28" s="16">
        <f t="shared" si="20"/>
        <v>39</v>
      </c>
      <c r="AA28" s="16">
        <f t="shared" si="20"/>
        <v>16</v>
      </c>
      <c r="AB28" s="16">
        <f t="shared" si="20"/>
        <v>14</v>
      </c>
      <c r="AC28" s="16">
        <f t="shared" si="20"/>
        <v>7600</v>
      </c>
      <c r="AD28" s="16">
        <f t="shared" si="20"/>
        <v>0</v>
      </c>
      <c r="AE28" s="32">
        <f t="shared" si="20"/>
        <v>1529</v>
      </c>
      <c r="AF28" s="32">
        <f t="shared" si="20"/>
        <v>9129</v>
      </c>
    </row>
    <row r="29" spans="2:32" ht="23.1" customHeight="1" x14ac:dyDescent="0.25">
      <c r="B29" s="23" t="s">
        <v>56</v>
      </c>
      <c r="C29" s="50">
        <v>7</v>
      </c>
      <c r="D29" s="50">
        <v>7</v>
      </c>
      <c r="E29" s="50">
        <v>2</v>
      </c>
      <c r="F29" s="50">
        <v>9</v>
      </c>
      <c r="G29" s="50">
        <v>0</v>
      </c>
      <c r="H29" s="50">
        <v>0</v>
      </c>
      <c r="I29" s="50">
        <v>4</v>
      </c>
      <c r="J29" s="50">
        <v>1</v>
      </c>
      <c r="K29" s="50">
        <v>2</v>
      </c>
      <c r="L29" s="50">
        <v>0</v>
      </c>
      <c r="M29" s="50">
        <v>171</v>
      </c>
      <c r="N29" s="50">
        <v>0</v>
      </c>
      <c r="O29" s="15">
        <f t="shared" si="0"/>
        <v>32</v>
      </c>
      <c r="P29" s="15">
        <f t="shared" si="1"/>
        <v>203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2</v>
      </c>
      <c r="E30" s="50">
        <v>3</v>
      </c>
      <c r="F30" s="50">
        <v>6</v>
      </c>
      <c r="G30" s="50">
        <v>0</v>
      </c>
      <c r="H30" s="50">
        <v>0</v>
      </c>
      <c r="I30" s="50">
        <v>4</v>
      </c>
      <c r="J30" s="50">
        <v>0</v>
      </c>
      <c r="K30" s="50">
        <v>1</v>
      </c>
      <c r="L30" s="50">
        <v>0</v>
      </c>
      <c r="M30" s="50">
        <v>202</v>
      </c>
      <c r="N30" s="50">
        <v>0</v>
      </c>
      <c r="O30" s="15">
        <f t="shared" si="0"/>
        <v>22</v>
      </c>
      <c r="P30" s="15">
        <f t="shared" si="1"/>
        <v>224</v>
      </c>
    </row>
    <row r="31" spans="2:32" ht="23.1" customHeight="1" x14ac:dyDescent="0.25">
      <c r="B31" s="24" t="s">
        <v>58</v>
      </c>
      <c r="C31" s="50">
        <v>4</v>
      </c>
      <c r="D31" s="50">
        <v>4</v>
      </c>
      <c r="E31" s="50">
        <v>0</v>
      </c>
      <c r="F31" s="50">
        <v>2</v>
      </c>
      <c r="G31" s="50">
        <v>2</v>
      </c>
      <c r="H31" s="50">
        <v>0</v>
      </c>
      <c r="I31" s="50">
        <v>2</v>
      </c>
      <c r="J31" s="50">
        <v>2</v>
      </c>
      <c r="K31" s="50">
        <v>0</v>
      </c>
      <c r="L31" s="50">
        <v>2</v>
      </c>
      <c r="M31" s="50">
        <v>181</v>
      </c>
      <c r="N31" s="50">
        <v>0</v>
      </c>
      <c r="O31" s="15">
        <f t="shared" si="0"/>
        <v>18</v>
      </c>
      <c r="P31" s="15">
        <f t="shared" si="1"/>
        <v>199</v>
      </c>
    </row>
    <row r="32" spans="2:32" ht="23.1" customHeight="1" x14ac:dyDescent="0.25">
      <c r="B32" s="24" t="s">
        <v>59</v>
      </c>
      <c r="C32" s="50">
        <v>6</v>
      </c>
      <c r="D32" s="50">
        <v>8</v>
      </c>
      <c r="E32" s="50">
        <v>4</v>
      </c>
      <c r="F32" s="50">
        <v>5</v>
      </c>
      <c r="G32" s="50">
        <v>2</v>
      </c>
      <c r="H32" s="50">
        <v>0</v>
      </c>
      <c r="I32" s="50">
        <v>8</v>
      </c>
      <c r="J32" s="50">
        <v>0</v>
      </c>
      <c r="K32" s="50">
        <v>0</v>
      </c>
      <c r="L32" s="50">
        <v>0</v>
      </c>
      <c r="M32" s="50">
        <v>163</v>
      </c>
      <c r="N32" s="50">
        <v>0</v>
      </c>
      <c r="O32" s="15">
        <f t="shared" si="0"/>
        <v>33</v>
      </c>
      <c r="P32" s="15">
        <f t="shared" si="1"/>
        <v>196</v>
      </c>
    </row>
    <row r="33" spans="2:20" ht="23.1" customHeight="1" x14ac:dyDescent="0.25">
      <c r="B33" s="23" t="s">
        <v>60</v>
      </c>
      <c r="C33" s="50">
        <v>6</v>
      </c>
      <c r="D33" s="50">
        <v>3</v>
      </c>
      <c r="E33" s="50">
        <v>3</v>
      </c>
      <c r="F33" s="50">
        <v>5</v>
      </c>
      <c r="G33" s="50">
        <v>0</v>
      </c>
      <c r="H33" s="50">
        <v>0</v>
      </c>
      <c r="I33" s="50">
        <v>14</v>
      </c>
      <c r="J33" s="50">
        <v>0</v>
      </c>
      <c r="K33" s="50">
        <v>1</v>
      </c>
      <c r="L33" s="50">
        <v>0</v>
      </c>
      <c r="M33" s="50">
        <v>204</v>
      </c>
      <c r="N33" s="50">
        <v>0</v>
      </c>
      <c r="O33" s="15">
        <f t="shared" si="0"/>
        <v>32</v>
      </c>
      <c r="P33" s="15">
        <f t="shared" si="1"/>
        <v>236</v>
      </c>
    </row>
    <row r="34" spans="2:20" ht="23.1" customHeight="1" x14ac:dyDescent="0.25">
      <c r="B34" s="24" t="s">
        <v>61</v>
      </c>
      <c r="C34" s="50">
        <v>7</v>
      </c>
      <c r="D34" s="50">
        <v>0</v>
      </c>
      <c r="E34" s="50">
        <v>4</v>
      </c>
      <c r="F34" s="50">
        <v>10</v>
      </c>
      <c r="G34" s="50">
        <v>1</v>
      </c>
      <c r="H34" s="50">
        <v>0</v>
      </c>
      <c r="I34" s="50">
        <v>11</v>
      </c>
      <c r="J34" s="50">
        <v>3</v>
      </c>
      <c r="K34" s="50">
        <v>1</v>
      </c>
      <c r="L34" s="50">
        <v>1</v>
      </c>
      <c r="M34" s="50">
        <v>165</v>
      </c>
      <c r="N34" s="50">
        <v>0</v>
      </c>
      <c r="O34" s="15">
        <f t="shared" si="0"/>
        <v>38</v>
      </c>
      <c r="P34" s="15">
        <f t="shared" si="1"/>
        <v>203</v>
      </c>
    </row>
    <row r="35" spans="2:20" ht="23.1" customHeight="1" x14ac:dyDescent="0.25">
      <c r="B35" s="24" t="s">
        <v>62</v>
      </c>
      <c r="C35" s="50">
        <v>6</v>
      </c>
      <c r="D35" s="50">
        <v>2</v>
      </c>
      <c r="E35" s="50">
        <v>3</v>
      </c>
      <c r="F35" s="50">
        <v>7</v>
      </c>
      <c r="G35" s="50">
        <v>2</v>
      </c>
      <c r="H35" s="50">
        <v>0</v>
      </c>
      <c r="I35" s="50">
        <v>8</v>
      </c>
      <c r="J35" s="50">
        <v>2</v>
      </c>
      <c r="K35" s="50">
        <v>0</v>
      </c>
      <c r="L35" s="50">
        <v>0</v>
      </c>
      <c r="M35" s="50">
        <v>220</v>
      </c>
      <c r="N35" s="50">
        <v>0</v>
      </c>
      <c r="O35" s="15">
        <f t="shared" si="0"/>
        <v>30</v>
      </c>
      <c r="P35" s="15">
        <f t="shared" si="1"/>
        <v>250</v>
      </c>
    </row>
    <row r="36" spans="2:20" ht="23.1" customHeight="1" x14ac:dyDescent="0.25">
      <c r="B36" s="24" t="s">
        <v>63</v>
      </c>
      <c r="C36" s="50">
        <v>8</v>
      </c>
      <c r="D36" s="50">
        <v>3</v>
      </c>
      <c r="E36" s="50">
        <v>0</v>
      </c>
      <c r="F36" s="50">
        <v>8</v>
      </c>
      <c r="G36" s="50">
        <v>0</v>
      </c>
      <c r="H36" s="50">
        <v>0</v>
      </c>
      <c r="I36" s="50">
        <v>10</v>
      </c>
      <c r="J36" s="50">
        <v>1</v>
      </c>
      <c r="K36" s="50">
        <v>0</v>
      </c>
      <c r="L36" s="50">
        <v>0</v>
      </c>
      <c r="M36" s="50">
        <v>215</v>
      </c>
      <c r="N36" s="50">
        <v>0</v>
      </c>
      <c r="O36" s="15">
        <f t="shared" si="0"/>
        <v>30</v>
      </c>
      <c r="P36" s="15">
        <f t="shared" si="1"/>
        <v>245</v>
      </c>
    </row>
    <row r="37" spans="2:20" ht="23.1" customHeight="1" x14ac:dyDescent="0.25">
      <c r="B37" s="23" t="s">
        <v>64</v>
      </c>
      <c r="C37" s="50">
        <v>3</v>
      </c>
      <c r="D37" s="50">
        <v>3</v>
      </c>
      <c r="E37" s="50">
        <v>0</v>
      </c>
      <c r="F37" s="50">
        <v>7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183</v>
      </c>
      <c r="N37" s="50">
        <v>0</v>
      </c>
      <c r="O37" s="15">
        <f t="shared" si="0"/>
        <v>17</v>
      </c>
      <c r="P37" s="15">
        <f t="shared" si="1"/>
        <v>200</v>
      </c>
    </row>
    <row r="38" spans="2:20" ht="23.1" customHeight="1" x14ac:dyDescent="0.25">
      <c r="B38" s="24" t="s">
        <v>65</v>
      </c>
      <c r="C38" s="50">
        <v>11</v>
      </c>
      <c r="D38" s="50">
        <v>4</v>
      </c>
      <c r="E38" s="50">
        <v>2</v>
      </c>
      <c r="F38" s="50">
        <v>9</v>
      </c>
      <c r="G38" s="50">
        <v>0</v>
      </c>
      <c r="H38" s="50">
        <v>0</v>
      </c>
      <c r="I38" s="50">
        <v>14</v>
      </c>
      <c r="J38" s="50">
        <v>1</v>
      </c>
      <c r="K38" s="50">
        <v>0</v>
      </c>
      <c r="L38" s="50">
        <v>2</v>
      </c>
      <c r="M38" s="50">
        <v>132</v>
      </c>
      <c r="N38" s="50">
        <v>0</v>
      </c>
      <c r="O38" s="15">
        <f t="shared" si="0"/>
        <v>43</v>
      </c>
      <c r="P38" s="15">
        <f t="shared" si="1"/>
        <v>175</v>
      </c>
    </row>
    <row r="39" spans="2:20" ht="23.1" customHeight="1" x14ac:dyDescent="0.25">
      <c r="B39" s="24" t="s">
        <v>66</v>
      </c>
      <c r="C39" s="50">
        <v>3</v>
      </c>
      <c r="D39" s="50">
        <v>3</v>
      </c>
      <c r="E39" s="50">
        <v>2</v>
      </c>
      <c r="F39" s="50">
        <v>10</v>
      </c>
      <c r="G39" s="50">
        <v>0</v>
      </c>
      <c r="H39" s="50">
        <v>1</v>
      </c>
      <c r="I39" s="50">
        <v>8</v>
      </c>
      <c r="J39" s="50">
        <v>1</v>
      </c>
      <c r="K39" s="50">
        <v>0</v>
      </c>
      <c r="L39" s="50">
        <v>0</v>
      </c>
      <c r="M39" s="50">
        <v>104</v>
      </c>
      <c r="N39" s="50">
        <v>0</v>
      </c>
      <c r="O39" s="15">
        <f t="shared" si="0"/>
        <v>28</v>
      </c>
      <c r="P39" s="15">
        <f t="shared" si="1"/>
        <v>132</v>
      </c>
    </row>
    <row r="40" spans="2:20" ht="23.1" customHeight="1" x14ac:dyDescent="0.25">
      <c r="B40" s="24" t="s">
        <v>67</v>
      </c>
      <c r="C40" s="50">
        <v>9</v>
      </c>
      <c r="D40" s="50">
        <v>4</v>
      </c>
      <c r="E40" s="50">
        <v>3</v>
      </c>
      <c r="F40" s="50">
        <v>9</v>
      </c>
      <c r="G40" s="50">
        <v>0</v>
      </c>
      <c r="H40" s="50">
        <v>0</v>
      </c>
      <c r="I40" s="50">
        <v>6</v>
      </c>
      <c r="J40" s="50">
        <v>1</v>
      </c>
      <c r="K40" s="50">
        <v>0</v>
      </c>
      <c r="L40" s="50">
        <v>0</v>
      </c>
      <c r="M40" s="50">
        <v>111</v>
      </c>
      <c r="N40" s="50">
        <v>0</v>
      </c>
      <c r="O40" s="15">
        <f t="shared" si="0"/>
        <v>32</v>
      </c>
      <c r="P40" s="15">
        <f t="shared" si="1"/>
        <v>143</v>
      </c>
    </row>
    <row r="41" spans="2:20" ht="23.1" customHeight="1" x14ac:dyDescent="0.25">
      <c r="B41" s="23" t="s">
        <v>68</v>
      </c>
      <c r="C41" s="50">
        <v>10</v>
      </c>
      <c r="D41" s="50">
        <v>4</v>
      </c>
      <c r="E41" s="50">
        <v>1</v>
      </c>
      <c r="F41" s="50">
        <v>7</v>
      </c>
      <c r="G41" s="50">
        <v>0</v>
      </c>
      <c r="H41" s="50">
        <v>0</v>
      </c>
      <c r="I41" s="50">
        <v>10</v>
      </c>
      <c r="J41" s="50">
        <v>0</v>
      </c>
      <c r="K41" s="50">
        <v>1</v>
      </c>
      <c r="L41" s="50">
        <v>0</v>
      </c>
      <c r="M41" s="50">
        <v>131</v>
      </c>
      <c r="N41" s="50">
        <v>0</v>
      </c>
      <c r="O41" s="15">
        <f t="shared" si="0"/>
        <v>33</v>
      </c>
      <c r="P41" s="15">
        <f t="shared" si="1"/>
        <v>164</v>
      </c>
    </row>
    <row r="42" spans="2:20" ht="23.1" customHeight="1" x14ac:dyDescent="0.25">
      <c r="B42" s="24" t="s">
        <v>69</v>
      </c>
      <c r="C42" s="50">
        <v>8</v>
      </c>
      <c r="D42" s="50">
        <v>4</v>
      </c>
      <c r="E42" s="50">
        <v>5</v>
      </c>
      <c r="F42" s="50">
        <v>7</v>
      </c>
      <c r="G42" s="50">
        <v>0</v>
      </c>
      <c r="H42" s="50">
        <v>0</v>
      </c>
      <c r="I42" s="50">
        <v>7</v>
      </c>
      <c r="J42" s="50">
        <v>1</v>
      </c>
      <c r="K42" s="50">
        <v>0</v>
      </c>
      <c r="L42" s="50">
        <v>1</v>
      </c>
      <c r="M42" s="50">
        <v>163</v>
      </c>
      <c r="N42" s="50">
        <v>0</v>
      </c>
      <c r="O42" s="15">
        <f t="shared" si="0"/>
        <v>33</v>
      </c>
      <c r="P42" s="15">
        <f t="shared" si="1"/>
        <v>196</v>
      </c>
    </row>
    <row r="43" spans="2:20" ht="23.1" customHeight="1" x14ac:dyDescent="0.25">
      <c r="B43" s="23" t="s">
        <v>70</v>
      </c>
      <c r="C43" s="50">
        <v>7</v>
      </c>
      <c r="D43" s="50">
        <v>5</v>
      </c>
      <c r="E43" s="50">
        <v>4</v>
      </c>
      <c r="F43" s="50">
        <v>6</v>
      </c>
      <c r="G43" s="50">
        <v>0</v>
      </c>
      <c r="H43" s="50">
        <v>0</v>
      </c>
      <c r="I43" s="50">
        <v>8</v>
      </c>
      <c r="J43" s="50">
        <v>0</v>
      </c>
      <c r="K43" s="50">
        <v>2</v>
      </c>
      <c r="L43" s="50">
        <v>0</v>
      </c>
      <c r="M43" s="50">
        <v>142</v>
      </c>
      <c r="N43" s="50">
        <v>0</v>
      </c>
      <c r="O43" s="15">
        <f t="shared" si="0"/>
        <v>32</v>
      </c>
      <c r="P43" s="15">
        <f t="shared" si="1"/>
        <v>174</v>
      </c>
    </row>
    <row r="44" spans="2:20" ht="23.1" customHeight="1" x14ac:dyDescent="0.25">
      <c r="B44" s="25" t="s">
        <v>71</v>
      </c>
      <c r="C44" s="50">
        <v>6</v>
      </c>
      <c r="D44" s="50">
        <v>1</v>
      </c>
      <c r="E44" s="50">
        <v>3</v>
      </c>
      <c r="F44" s="50">
        <v>5</v>
      </c>
      <c r="G44" s="50">
        <v>0</v>
      </c>
      <c r="H44" s="50">
        <v>0</v>
      </c>
      <c r="I44" s="50">
        <v>5</v>
      </c>
      <c r="J44" s="50">
        <v>0</v>
      </c>
      <c r="K44" s="50">
        <v>3</v>
      </c>
      <c r="L44" s="50">
        <v>1</v>
      </c>
      <c r="M44" s="50">
        <v>103</v>
      </c>
      <c r="N44" s="50">
        <v>0</v>
      </c>
      <c r="O44" s="15">
        <f t="shared" si="0"/>
        <v>24</v>
      </c>
      <c r="P44" s="15">
        <f t="shared" si="1"/>
        <v>127</v>
      </c>
    </row>
    <row r="45" spans="2:20" ht="23.1" customHeight="1" x14ac:dyDescent="0.25">
      <c r="B45" s="23" t="s">
        <v>72</v>
      </c>
      <c r="C45" s="50">
        <v>6</v>
      </c>
      <c r="D45" s="50">
        <v>4</v>
      </c>
      <c r="E45" s="50">
        <v>0</v>
      </c>
      <c r="F45" s="50">
        <v>5</v>
      </c>
      <c r="G45" s="50">
        <v>0</v>
      </c>
      <c r="H45" s="50">
        <v>0</v>
      </c>
      <c r="I45" s="50">
        <v>4</v>
      </c>
      <c r="J45" s="50">
        <v>0</v>
      </c>
      <c r="K45" s="50">
        <v>1</v>
      </c>
      <c r="L45" s="50">
        <v>2</v>
      </c>
      <c r="M45" s="50">
        <v>123</v>
      </c>
      <c r="N45" s="50">
        <v>0</v>
      </c>
      <c r="O45" s="15">
        <f t="shared" si="0"/>
        <v>22</v>
      </c>
      <c r="P45" s="15">
        <f t="shared" si="1"/>
        <v>145</v>
      </c>
    </row>
    <row r="46" spans="2:20" ht="23.1" customHeight="1" x14ac:dyDescent="0.25">
      <c r="B46" s="24" t="s">
        <v>73</v>
      </c>
      <c r="C46" s="50">
        <v>3</v>
      </c>
      <c r="D46" s="50">
        <v>6</v>
      </c>
      <c r="E46" s="50">
        <v>2</v>
      </c>
      <c r="F46" s="50">
        <v>11</v>
      </c>
      <c r="G46" s="50">
        <v>0</v>
      </c>
      <c r="H46" s="50">
        <v>0</v>
      </c>
      <c r="I46" s="50">
        <v>10</v>
      </c>
      <c r="J46" s="50">
        <v>0</v>
      </c>
      <c r="K46" s="50">
        <v>0</v>
      </c>
      <c r="L46" s="50">
        <v>0</v>
      </c>
      <c r="M46" s="50">
        <v>173</v>
      </c>
      <c r="N46" s="50">
        <v>0</v>
      </c>
      <c r="O46" s="15">
        <f t="shared" si="0"/>
        <v>32</v>
      </c>
      <c r="P46" s="15">
        <f t="shared" si="1"/>
        <v>205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7</v>
      </c>
      <c r="E47" s="50">
        <v>4</v>
      </c>
      <c r="F47" s="50">
        <v>9</v>
      </c>
      <c r="G47" s="50">
        <v>3</v>
      </c>
      <c r="H47" s="50">
        <v>0</v>
      </c>
      <c r="I47" s="50">
        <v>6</v>
      </c>
      <c r="J47" s="50">
        <v>0</v>
      </c>
      <c r="K47" s="50">
        <v>0</v>
      </c>
      <c r="L47" s="50">
        <v>1</v>
      </c>
      <c r="M47" s="50">
        <v>120</v>
      </c>
      <c r="N47" s="50">
        <v>0</v>
      </c>
      <c r="O47" s="15">
        <f t="shared" si="0"/>
        <v>36</v>
      </c>
      <c r="P47" s="15">
        <f t="shared" si="1"/>
        <v>156</v>
      </c>
      <c r="R47" s="8"/>
      <c r="T47"/>
    </row>
    <row r="48" spans="2:20" ht="23.1" customHeight="1" x14ac:dyDescent="0.25">
      <c r="B48" s="24" t="s">
        <v>75</v>
      </c>
      <c r="C48" s="50">
        <v>11</v>
      </c>
      <c r="D48" s="50">
        <v>2</v>
      </c>
      <c r="E48" s="50">
        <v>2</v>
      </c>
      <c r="F48" s="50">
        <v>7</v>
      </c>
      <c r="G48" s="50">
        <v>3</v>
      </c>
      <c r="H48" s="50">
        <v>0</v>
      </c>
      <c r="I48" s="50">
        <v>4</v>
      </c>
      <c r="J48" s="50">
        <v>1</v>
      </c>
      <c r="K48" s="50">
        <v>0</v>
      </c>
      <c r="L48" s="50">
        <v>0</v>
      </c>
      <c r="M48" s="50">
        <v>133</v>
      </c>
      <c r="N48" s="50">
        <v>0</v>
      </c>
      <c r="O48" s="15">
        <f t="shared" si="0"/>
        <v>30</v>
      </c>
      <c r="P48" s="15">
        <f t="shared" si="1"/>
        <v>163</v>
      </c>
      <c r="R48" s="8"/>
      <c r="T48"/>
    </row>
    <row r="49" spans="2:20" ht="23.1" customHeight="1" x14ac:dyDescent="0.25">
      <c r="B49" s="23" t="s">
        <v>76</v>
      </c>
      <c r="C49" s="50">
        <v>15</v>
      </c>
      <c r="D49" s="50">
        <v>4</v>
      </c>
      <c r="E49" s="50">
        <v>4</v>
      </c>
      <c r="F49" s="50">
        <v>7</v>
      </c>
      <c r="G49" s="50">
        <v>1</v>
      </c>
      <c r="H49" s="50">
        <v>0</v>
      </c>
      <c r="I49" s="50">
        <v>7</v>
      </c>
      <c r="J49" s="50">
        <v>1</v>
      </c>
      <c r="K49" s="50">
        <v>0</v>
      </c>
      <c r="L49" s="50">
        <v>1</v>
      </c>
      <c r="M49" s="50">
        <v>84</v>
      </c>
      <c r="N49" s="50">
        <v>0</v>
      </c>
      <c r="O49" s="15">
        <f t="shared" si="0"/>
        <v>40</v>
      </c>
      <c r="P49" s="15">
        <f t="shared" si="1"/>
        <v>124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2</v>
      </c>
      <c r="E50" s="50">
        <v>3</v>
      </c>
      <c r="F50" s="50">
        <v>3</v>
      </c>
      <c r="G50" s="50">
        <v>1</v>
      </c>
      <c r="H50" s="50">
        <v>0</v>
      </c>
      <c r="I50" s="50">
        <v>1</v>
      </c>
      <c r="J50" s="50">
        <v>1</v>
      </c>
      <c r="K50" s="50">
        <v>1</v>
      </c>
      <c r="L50" s="50">
        <v>0</v>
      </c>
      <c r="M50" s="50">
        <v>125</v>
      </c>
      <c r="N50" s="50">
        <v>0</v>
      </c>
      <c r="O50" s="15">
        <f t="shared" si="0"/>
        <v>15</v>
      </c>
      <c r="P50" s="15">
        <f t="shared" si="1"/>
        <v>140</v>
      </c>
      <c r="R50" s="8"/>
      <c r="T50"/>
    </row>
    <row r="51" spans="2:20" ht="23.1" customHeight="1" x14ac:dyDescent="0.25">
      <c r="B51" s="24" t="s">
        <v>78</v>
      </c>
      <c r="C51" s="50">
        <v>11</v>
      </c>
      <c r="D51" s="50">
        <v>3</v>
      </c>
      <c r="E51" s="50">
        <v>2</v>
      </c>
      <c r="F51" s="50">
        <v>2</v>
      </c>
      <c r="G51" s="50">
        <v>1</v>
      </c>
      <c r="H51" s="50">
        <v>0</v>
      </c>
      <c r="I51" s="50">
        <v>5</v>
      </c>
      <c r="J51" s="50">
        <v>1</v>
      </c>
      <c r="K51" s="50">
        <v>0</v>
      </c>
      <c r="L51" s="50">
        <v>0</v>
      </c>
      <c r="M51" s="50">
        <v>102</v>
      </c>
      <c r="N51" s="50">
        <v>0</v>
      </c>
      <c r="O51" s="15">
        <f t="shared" si="0"/>
        <v>25</v>
      </c>
      <c r="P51" s="15">
        <f t="shared" si="1"/>
        <v>127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3</v>
      </c>
      <c r="E52" s="50">
        <v>3</v>
      </c>
      <c r="F52" s="50">
        <v>10</v>
      </c>
      <c r="G52" s="50">
        <v>0</v>
      </c>
      <c r="H52" s="50">
        <v>0</v>
      </c>
      <c r="I52" s="50">
        <v>3</v>
      </c>
      <c r="J52" s="50">
        <v>3</v>
      </c>
      <c r="K52" s="50">
        <v>0</v>
      </c>
      <c r="L52" s="50">
        <v>1</v>
      </c>
      <c r="M52" s="50">
        <v>124</v>
      </c>
      <c r="N52" s="50">
        <v>0</v>
      </c>
      <c r="O52" s="15">
        <f t="shared" si="0"/>
        <v>33</v>
      </c>
      <c r="P52" s="15">
        <f t="shared" si="1"/>
        <v>157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1</v>
      </c>
      <c r="E53" s="50">
        <v>2</v>
      </c>
      <c r="F53" s="50">
        <v>10</v>
      </c>
      <c r="G53" s="50">
        <v>1</v>
      </c>
      <c r="H53" s="50">
        <v>0</v>
      </c>
      <c r="I53" s="50">
        <v>6</v>
      </c>
      <c r="J53" s="50">
        <v>0</v>
      </c>
      <c r="K53" s="50">
        <v>0</v>
      </c>
      <c r="L53" s="50">
        <v>0</v>
      </c>
      <c r="M53" s="50">
        <v>135</v>
      </c>
      <c r="N53" s="50">
        <v>0</v>
      </c>
      <c r="O53" s="15">
        <f t="shared" si="0"/>
        <v>29</v>
      </c>
      <c r="P53" s="15">
        <f t="shared" si="1"/>
        <v>164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1</v>
      </c>
      <c r="E54" s="50">
        <v>2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126</v>
      </c>
      <c r="N54" s="50">
        <v>0</v>
      </c>
      <c r="O54" s="15">
        <f t="shared" si="0"/>
        <v>12</v>
      </c>
      <c r="P54" s="15">
        <f t="shared" si="1"/>
        <v>138</v>
      </c>
      <c r="R54" s="8"/>
      <c r="T54"/>
    </row>
    <row r="55" spans="2:20" ht="23.1" customHeight="1" x14ac:dyDescent="0.25">
      <c r="B55" s="23" t="s">
        <v>82</v>
      </c>
      <c r="C55" s="50">
        <v>13</v>
      </c>
      <c r="D55" s="50">
        <v>8</v>
      </c>
      <c r="E55" s="50">
        <v>4</v>
      </c>
      <c r="F55" s="50">
        <v>5</v>
      </c>
      <c r="G55" s="50">
        <v>0</v>
      </c>
      <c r="H55" s="50">
        <v>0</v>
      </c>
      <c r="I55" s="50">
        <v>6</v>
      </c>
      <c r="J55" s="50">
        <v>2</v>
      </c>
      <c r="K55" s="50">
        <v>0</v>
      </c>
      <c r="L55" s="50">
        <v>1</v>
      </c>
      <c r="M55" s="50">
        <v>122</v>
      </c>
      <c r="N55" s="50">
        <v>0</v>
      </c>
      <c r="O55" s="15">
        <f t="shared" si="0"/>
        <v>39</v>
      </c>
      <c r="P55" s="15">
        <f t="shared" si="1"/>
        <v>161</v>
      </c>
      <c r="R55" s="8"/>
      <c r="T55"/>
    </row>
    <row r="56" spans="2:20" ht="23.1" customHeight="1" x14ac:dyDescent="0.25">
      <c r="B56" s="23" t="s">
        <v>83</v>
      </c>
      <c r="C56" s="50">
        <v>12</v>
      </c>
      <c r="D56" s="50">
        <v>5</v>
      </c>
      <c r="E56" s="50">
        <v>4</v>
      </c>
      <c r="F56" s="50">
        <v>8</v>
      </c>
      <c r="G56" s="50">
        <v>0</v>
      </c>
      <c r="H56" s="50">
        <v>0</v>
      </c>
      <c r="I56" s="50">
        <v>6</v>
      </c>
      <c r="J56" s="50">
        <v>3</v>
      </c>
      <c r="K56" s="50">
        <v>0</v>
      </c>
      <c r="L56" s="50">
        <v>0</v>
      </c>
      <c r="M56" s="50">
        <v>205</v>
      </c>
      <c r="N56" s="50">
        <v>0</v>
      </c>
      <c r="O56" s="15">
        <f t="shared" si="0"/>
        <v>38</v>
      </c>
      <c r="P56" s="15">
        <f t="shared" si="1"/>
        <v>243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5</v>
      </c>
      <c r="E57" s="50">
        <v>1</v>
      </c>
      <c r="F57" s="50">
        <v>2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174</v>
      </c>
      <c r="N57" s="50">
        <v>0</v>
      </c>
      <c r="O57" s="15">
        <f t="shared" si="0"/>
        <v>18</v>
      </c>
      <c r="P57" s="15">
        <f t="shared" si="1"/>
        <v>192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400</v>
      </c>
      <c r="D58" s="16">
        <f t="shared" si="21"/>
        <v>202</v>
      </c>
      <c r="E58" s="16">
        <f t="shared" si="21"/>
        <v>111</v>
      </c>
      <c r="F58" s="16">
        <f t="shared" si="21"/>
        <v>391</v>
      </c>
      <c r="G58" s="16">
        <f t="shared" si="21"/>
        <v>40</v>
      </c>
      <c r="H58" s="16">
        <f t="shared" si="21"/>
        <v>1</v>
      </c>
      <c r="I58" s="16">
        <f t="shared" si="21"/>
        <v>315</v>
      </c>
      <c r="J58" s="16">
        <f t="shared" si="21"/>
        <v>39</v>
      </c>
      <c r="K58" s="16">
        <f t="shared" si="21"/>
        <v>16</v>
      </c>
      <c r="L58" s="16">
        <f t="shared" si="21"/>
        <v>14</v>
      </c>
      <c r="M58" s="16">
        <f t="shared" si="21"/>
        <v>7600</v>
      </c>
      <c r="N58" s="16">
        <f t="shared" si="21"/>
        <v>0</v>
      </c>
      <c r="O58" s="16">
        <f t="shared" si="21"/>
        <v>1529</v>
      </c>
      <c r="P58" s="16">
        <f t="shared" si="21"/>
        <v>9129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4.3816409245262353E-2</v>
      </c>
      <c r="D59" s="43">
        <f t="shared" si="22"/>
        <v>2.2127286668857486E-2</v>
      </c>
      <c r="E59" s="43">
        <f t="shared" si="22"/>
        <v>1.2159053565560303E-2</v>
      </c>
      <c r="F59" s="43">
        <f t="shared" si="22"/>
        <v>4.2830540037243951E-2</v>
      </c>
      <c r="G59" s="43">
        <f t="shared" si="22"/>
        <v>4.3816409245262351E-3</v>
      </c>
      <c r="H59" s="43">
        <f t="shared" si="22"/>
        <v>1.0954102311315588E-4</v>
      </c>
      <c r="I59" s="43">
        <f t="shared" si="22"/>
        <v>3.4505422280644099E-2</v>
      </c>
      <c r="J59" s="43">
        <f t="shared" si="22"/>
        <v>4.2720999014130793E-3</v>
      </c>
      <c r="K59" s="43">
        <f t="shared" si="22"/>
        <v>1.7526563698104941E-3</v>
      </c>
      <c r="L59" s="43">
        <f t="shared" si="22"/>
        <v>1.5335743235841822E-3</v>
      </c>
      <c r="M59" s="43">
        <f t="shared" si="22"/>
        <v>0.83251177565998469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0.26160889470241988</v>
      </c>
      <c r="D60" s="44">
        <f t="shared" ref="D60:N60" si="23">D58/$O$58</f>
        <v>0.13211249182472204</v>
      </c>
      <c r="E60" s="44">
        <f t="shared" si="23"/>
        <v>7.2596468279921514E-2</v>
      </c>
      <c r="F60" s="44">
        <f t="shared" si="23"/>
        <v>0.25572269457161545</v>
      </c>
      <c r="G60" s="44">
        <f t="shared" si="23"/>
        <v>2.6160889470241987E-2</v>
      </c>
      <c r="H60" s="44">
        <f t="shared" si="23"/>
        <v>6.5402223675604975E-4</v>
      </c>
      <c r="I60" s="44">
        <f t="shared" si="23"/>
        <v>0.20601700457815567</v>
      </c>
      <c r="J60" s="44">
        <f t="shared" si="23"/>
        <v>2.5506867233485938E-2</v>
      </c>
      <c r="K60" s="44">
        <f t="shared" si="23"/>
        <v>1.0464355788096796E-2</v>
      </c>
      <c r="L60" s="44">
        <f t="shared" si="23"/>
        <v>9.1563113145846954E-3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'29.10-MUKONO-KATOSI'!C3:G3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173</v>
      </c>
      <c r="E5" s="3"/>
      <c r="F5" s="41" t="s">
        <v>1</v>
      </c>
      <c r="G5" s="53" t="str">
        <f>'29.10-MUKONO-KATOSI'!G5:H5</f>
        <v>LUV GUEST HOUSE</v>
      </c>
      <c r="H5" s="54"/>
      <c r="I5" s="14"/>
      <c r="J5" s="2" t="s">
        <v>5</v>
      </c>
      <c r="K5" s="53" t="s">
        <v>172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tr">
        <f>'29.10-MUKONO-KATOSI'!D6:E6</f>
        <v>MUKONO</v>
      </c>
      <c r="E6" s="54"/>
      <c r="F6" s="2" t="s">
        <v>2</v>
      </c>
      <c r="G6" s="53" t="str">
        <f>'29.10-MUKONO-KATOSI'!G6:H6</f>
        <v>KATOSI</v>
      </c>
      <c r="H6" s="54"/>
      <c r="J6" s="2" t="s">
        <v>21</v>
      </c>
      <c r="K6" s="53" t="str">
        <f>'29.10-MUKONO-KATOSI'!K6:L6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</v>
      </c>
      <c r="D10" s="50">
        <v>4</v>
      </c>
      <c r="E10" s="50">
        <v>4</v>
      </c>
      <c r="F10" s="50">
        <v>7</v>
      </c>
      <c r="G10" s="50">
        <v>8</v>
      </c>
      <c r="H10" s="50">
        <v>4</v>
      </c>
      <c r="I10" s="50">
        <v>0</v>
      </c>
      <c r="J10" s="50">
        <v>6</v>
      </c>
      <c r="K10" s="50">
        <v>0</v>
      </c>
      <c r="L10" s="50">
        <v>1</v>
      </c>
      <c r="M10" s="50">
        <v>59</v>
      </c>
      <c r="N10" s="50">
        <v>0</v>
      </c>
      <c r="O10" s="15">
        <f t="shared" ref="O10:O57" si="0">SUM(C10:L10,N10)</f>
        <v>41</v>
      </c>
      <c r="P10" s="15">
        <f t="shared" ref="P10:P57" si="1">SUM(C10:N10)</f>
        <v>100</v>
      </c>
      <c r="R10" s="1" t="s">
        <v>6</v>
      </c>
      <c r="S10" s="17">
        <f t="shared" ref="S10:AF10" si="2">SUM(C10:C13)</f>
        <v>99</v>
      </c>
      <c r="T10" s="17">
        <f t="shared" si="2"/>
        <v>17</v>
      </c>
      <c r="U10" s="17">
        <f t="shared" si="2"/>
        <v>19</v>
      </c>
      <c r="V10" s="17">
        <f t="shared" si="2"/>
        <v>21</v>
      </c>
      <c r="W10" s="17">
        <f t="shared" si="2"/>
        <v>10</v>
      </c>
      <c r="X10" s="17">
        <f t="shared" si="2"/>
        <v>4</v>
      </c>
      <c r="Y10" s="17">
        <f t="shared" si="2"/>
        <v>18</v>
      </c>
      <c r="Z10" s="17">
        <f t="shared" si="2"/>
        <v>12</v>
      </c>
      <c r="AA10" s="17">
        <f t="shared" si="2"/>
        <v>0</v>
      </c>
      <c r="AB10" s="17">
        <f t="shared" si="2"/>
        <v>6</v>
      </c>
      <c r="AC10" s="17">
        <f t="shared" si="2"/>
        <v>348</v>
      </c>
      <c r="AD10" s="17">
        <f t="shared" si="2"/>
        <v>0</v>
      </c>
      <c r="AE10" s="31">
        <f t="shared" si="2"/>
        <v>206</v>
      </c>
      <c r="AF10" s="31">
        <f t="shared" si="2"/>
        <v>554</v>
      </c>
    </row>
    <row r="11" spans="2:32" s="6" customFormat="1" ht="23.1" customHeight="1" x14ac:dyDescent="0.25">
      <c r="B11" s="23" t="s">
        <v>38</v>
      </c>
      <c r="C11" s="50">
        <v>68</v>
      </c>
      <c r="D11" s="50">
        <v>9</v>
      </c>
      <c r="E11" s="50">
        <v>4</v>
      </c>
      <c r="F11" s="50">
        <v>3</v>
      </c>
      <c r="G11" s="50">
        <v>2</v>
      </c>
      <c r="H11" s="50">
        <v>0</v>
      </c>
      <c r="I11" s="50">
        <v>6</v>
      </c>
      <c r="J11" s="50">
        <v>6</v>
      </c>
      <c r="K11" s="50">
        <v>0</v>
      </c>
      <c r="L11" s="50">
        <v>0</v>
      </c>
      <c r="M11" s="50">
        <v>92</v>
      </c>
      <c r="N11" s="50">
        <v>0</v>
      </c>
      <c r="O11" s="15">
        <f t="shared" si="0"/>
        <v>98</v>
      </c>
      <c r="P11" s="15">
        <f t="shared" si="1"/>
        <v>190</v>
      </c>
      <c r="R11" s="1" t="s">
        <v>7</v>
      </c>
      <c r="S11" s="17">
        <f t="shared" ref="S11:AF11" si="3">SUM(C14:C17)</f>
        <v>114</v>
      </c>
      <c r="T11" s="17">
        <f t="shared" si="3"/>
        <v>11</v>
      </c>
      <c r="U11" s="17">
        <f t="shared" si="3"/>
        <v>14</v>
      </c>
      <c r="V11" s="17">
        <f t="shared" si="3"/>
        <v>31</v>
      </c>
      <c r="W11" s="17">
        <f t="shared" si="3"/>
        <v>4</v>
      </c>
      <c r="X11" s="17">
        <f t="shared" si="3"/>
        <v>0</v>
      </c>
      <c r="Y11" s="17">
        <f t="shared" si="3"/>
        <v>30</v>
      </c>
      <c r="Z11" s="17">
        <f t="shared" si="3"/>
        <v>0</v>
      </c>
      <c r="AA11" s="17">
        <f t="shared" si="3"/>
        <v>1</v>
      </c>
      <c r="AB11" s="17">
        <f t="shared" si="3"/>
        <v>8</v>
      </c>
      <c r="AC11" s="17">
        <f t="shared" si="3"/>
        <v>339</v>
      </c>
      <c r="AD11" s="17">
        <f t="shared" si="3"/>
        <v>1</v>
      </c>
      <c r="AE11" s="31">
        <f t="shared" si="3"/>
        <v>214</v>
      </c>
      <c r="AF11" s="31">
        <f t="shared" si="3"/>
        <v>553</v>
      </c>
    </row>
    <row r="12" spans="2:32" ht="23.1" customHeight="1" x14ac:dyDescent="0.25">
      <c r="B12" s="23" t="s">
        <v>39</v>
      </c>
      <c r="C12" s="50">
        <v>11</v>
      </c>
      <c r="D12" s="50">
        <v>1</v>
      </c>
      <c r="E12" s="50">
        <v>2</v>
      </c>
      <c r="F12" s="50">
        <v>0</v>
      </c>
      <c r="G12" s="50">
        <v>0</v>
      </c>
      <c r="H12" s="50">
        <v>0</v>
      </c>
      <c r="I12" s="50">
        <v>5</v>
      </c>
      <c r="J12" s="50">
        <v>0</v>
      </c>
      <c r="K12" s="50">
        <v>0</v>
      </c>
      <c r="L12" s="50">
        <v>3</v>
      </c>
      <c r="M12" s="50">
        <v>93</v>
      </c>
      <c r="N12" s="50">
        <v>0</v>
      </c>
      <c r="O12" s="15">
        <f t="shared" si="0"/>
        <v>22</v>
      </c>
      <c r="P12" s="15">
        <f t="shared" si="1"/>
        <v>115</v>
      </c>
      <c r="R12" s="1" t="s">
        <v>8</v>
      </c>
      <c r="S12" s="17">
        <f t="shared" ref="S12:AF12" si="4">SUM(C18:C21)</f>
        <v>108</v>
      </c>
      <c r="T12" s="17">
        <f t="shared" si="4"/>
        <v>14</v>
      </c>
      <c r="U12" s="17">
        <f t="shared" si="4"/>
        <v>22</v>
      </c>
      <c r="V12" s="17">
        <f t="shared" si="4"/>
        <v>27</v>
      </c>
      <c r="W12" s="17">
        <f t="shared" si="4"/>
        <v>1</v>
      </c>
      <c r="X12" s="17">
        <f t="shared" si="4"/>
        <v>0</v>
      </c>
      <c r="Y12" s="17">
        <f t="shared" si="4"/>
        <v>21</v>
      </c>
      <c r="Z12" s="17">
        <f t="shared" si="4"/>
        <v>10</v>
      </c>
      <c r="AA12" s="17">
        <f t="shared" si="4"/>
        <v>3</v>
      </c>
      <c r="AB12" s="17">
        <f t="shared" si="4"/>
        <v>1</v>
      </c>
      <c r="AC12" s="17">
        <f t="shared" si="4"/>
        <v>360</v>
      </c>
      <c r="AD12" s="17">
        <f t="shared" si="4"/>
        <v>0</v>
      </c>
      <c r="AE12" s="31">
        <f t="shared" si="4"/>
        <v>207</v>
      </c>
      <c r="AF12" s="31">
        <f t="shared" si="4"/>
        <v>567</v>
      </c>
    </row>
    <row r="13" spans="2:32" ht="23.1" customHeight="1" x14ac:dyDescent="0.25">
      <c r="B13" s="23" t="s">
        <v>40</v>
      </c>
      <c r="C13" s="50">
        <v>13</v>
      </c>
      <c r="D13" s="50">
        <v>3</v>
      </c>
      <c r="E13" s="50">
        <v>9</v>
      </c>
      <c r="F13" s="50">
        <v>11</v>
      </c>
      <c r="G13" s="50">
        <v>0</v>
      </c>
      <c r="H13" s="50">
        <v>0</v>
      </c>
      <c r="I13" s="50">
        <v>7</v>
      </c>
      <c r="J13" s="50">
        <v>0</v>
      </c>
      <c r="K13" s="50">
        <v>0</v>
      </c>
      <c r="L13" s="50">
        <v>2</v>
      </c>
      <c r="M13" s="50">
        <v>104</v>
      </c>
      <c r="N13" s="50">
        <v>0</v>
      </c>
      <c r="O13" s="15">
        <f t="shared" si="0"/>
        <v>45</v>
      </c>
      <c r="P13" s="15">
        <f t="shared" si="1"/>
        <v>149</v>
      </c>
      <c r="R13" s="1" t="s">
        <v>9</v>
      </c>
      <c r="S13" s="17">
        <f t="shared" ref="S13:AF13" si="5">SUM(C22:C25)</f>
        <v>47</v>
      </c>
      <c r="T13" s="17">
        <f t="shared" si="5"/>
        <v>12</v>
      </c>
      <c r="U13" s="17">
        <f t="shared" si="5"/>
        <v>14</v>
      </c>
      <c r="V13" s="17">
        <f t="shared" si="5"/>
        <v>27</v>
      </c>
      <c r="W13" s="17">
        <f t="shared" si="5"/>
        <v>1</v>
      </c>
      <c r="X13" s="17">
        <f t="shared" si="5"/>
        <v>0</v>
      </c>
      <c r="Y13" s="17">
        <f t="shared" si="5"/>
        <v>33</v>
      </c>
      <c r="Z13" s="17">
        <f t="shared" si="5"/>
        <v>8</v>
      </c>
      <c r="AA13" s="17">
        <f t="shared" si="5"/>
        <v>1</v>
      </c>
      <c r="AB13" s="17">
        <f t="shared" si="5"/>
        <v>1</v>
      </c>
      <c r="AC13" s="17">
        <f t="shared" si="5"/>
        <v>272</v>
      </c>
      <c r="AD13" s="17">
        <f t="shared" si="5"/>
        <v>0</v>
      </c>
      <c r="AE13" s="31">
        <f t="shared" si="5"/>
        <v>144</v>
      </c>
      <c r="AF13" s="31">
        <f t="shared" si="5"/>
        <v>416</v>
      </c>
    </row>
    <row r="14" spans="2:32" ht="23.1" customHeight="1" x14ac:dyDescent="0.25">
      <c r="B14" s="23" t="s">
        <v>41</v>
      </c>
      <c r="C14" s="50">
        <v>27</v>
      </c>
      <c r="D14" s="50">
        <v>4</v>
      </c>
      <c r="E14" s="50">
        <v>7</v>
      </c>
      <c r="F14" s="50">
        <v>17</v>
      </c>
      <c r="G14" s="50">
        <v>1</v>
      </c>
      <c r="H14" s="50">
        <v>0</v>
      </c>
      <c r="I14" s="50">
        <v>6</v>
      </c>
      <c r="J14" s="50">
        <v>0</v>
      </c>
      <c r="K14" s="50">
        <v>1</v>
      </c>
      <c r="L14" s="50">
        <v>2</v>
      </c>
      <c r="M14" s="50">
        <v>58</v>
      </c>
      <c r="N14" s="50">
        <v>0</v>
      </c>
      <c r="O14" s="15">
        <f t="shared" si="0"/>
        <v>65</v>
      </c>
      <c r="P14" s="15">
        <f t="shared" si="1"/>
        <v>123</v>
      </c>
      <c r="R14" s="1" t="s">
        <v>10</v>
      </c>
      <c r="S14" s="17">
        <f t="shared" ref="S14:AF14" si="6">SUM(C26:C29)</f>
        <v>73</v>
      </c>
      <c r="T14" s="17">
        <f t="shared" si="6"/>
        <v>8</v>
      </c>
      <c r="U14" s="17">
        <f t="shared" si="6"/>
        <v>18</v>
      </c>
      <c r="V14" s="17">
        <f t="shared" si="6"/>
        <v>32</v>
      </c>
      <c r="W14" s="17">
        <f t="shared" si="6"/>
        <v>1</v>
      </c>
      <c r="X14" s="17">
        <f t="shared" si="6"/>
        <v>0</v>
      </c>
      <c r="Y14" s="17">
        <f t="shared" si="6"/>
        <v>37</v>
      </c>
      <c r="Z14" s="17">
        <f t="shared" si="6"/>
        <v>6</v>
      </c>
      <c r="AA14" s="17">
        <f t="shared" si="6"/>
        <v>1</v>
      </c>
      <c r="AB14" s="17">
        <f t="shared" si="6"/>
        <v>82</v>
      </c>
      <c r="AC14" s="17">
        <f t="shared" si="6"/>
        <v>216</v>
      </c>
      <c r="AD14" s="17">
        <f t="shared" si="6"/>
        <v>0</v>
      </c>
      <c r="AE14" s="31">
        <f t="shared" si="6"/>
        <v>258</v>
      </c>
      <c r="AF14" s="31">
        <f t="shared" si="6"/>
        <v>474</v>
      </c>
    </row>
    <row r="15" spans="2:32" ht="23.1" customHeight="1" x14ac:dyDescent="0.25">
      <c r="B15" s="23" t="s">
        <v>42</v>
      </c>
      <c r="C15" s="50">
        <v>37</v>
      </c>
      <c r="D15" s="50">
        <v>3</v>
      </c>
      <c r="E15" s="50">
        <v>4</v>
      </c>
      <c r="F15" s="50">
        <v>3</v>
      </c>
      <c r="G15" s="50">
        <v>1</v>
      </c>
      <c r="H15" s="50">
        <v>0</v>
      </c>
      <c r="I15" s="50">
        <v>9</v>
      </c>
      <c r="J15" s="50">
        <v>0</v>
      </c>
      <c r="K15" s="50">
        <v>0</v>
      </c>
      <c r="L15" s="50">
        <v>1</v>
      </c>
      <c r="M15" s="50">
        <v>103</v>
      </c>
      <c r="N15" s="50">
        <v>0</v>
      </c>
      <c r="O15" s="15">
        <f t="shared" si="0"/>
        <v>58</v>
      </c>
      <c r="P15" s="15">
        <f t="shared" si="1"/>
        <v>161</v>
      </c>
      <c r="R15" s="1" t="s">
        <v>11</v>
      </c>
      <c r="S15" s="17">
        <f t="shared" ref="S15:AF15" si="7">SUM(C30:C33)</f>
        <v>77</v>
      </c>
      <c r="T15" s="17">
        <f t="shared" si="7"/>
        <v>11</v>
      </c>
      <c r="U15" s="17">
        <f t="shared" si="7"/>
        <v>19</v>
      </c>
      <c r="V15" s="17">
        <f t="shared" si="7"/>
        <v>38</v>
      </c>
      <c r="W15" s="17">
        <f t="shared" si="7"/>
        <v>5</v>
      </c>
      <c r="X15" s="17">
        <f t="shared" si="7"/>
        <v>0</v>
      </c>
      <c r="Y15" s="17">
        <f t="shared" si="7"/>
        <v>23</v>
      </c>
      <c r="Z15" s="17">
        <f t="shared" si="7"/>
        <v>7</v>
      </c>
      <c r="AA15" s="17">
        <f t="shared" si="7"/>
        <v>5</v>
      </c>
      <c r="AB15" s="17">
        <f t="shared" si="7"/>
        <v>0</v>
      </c>
      <c r="AC15" s="17">
        <f t="shared" si="7"/>
        <v>336</v>
      </c>
      <c r="AD15" s="17">
        <f t="shared" si="7"/>
        <v>0</v>
      </c>
      <c r="AE15" s="31">
        <f t="shared" si="7"/>
        <v>185</v>
      </c>
      <c r="AF15" s="31">
        <f t="shared" si="7"/>
        <v>521</v>
      </c>
    </row>
    <row r="16" spans="2:32" ht="23.1" customHeight="1" x14ac:dyDescent="0.25">
      <c r="B16" s="23" t="s">
        <v>43</v>
      </c>
      <c r="C16" s="50">
        <v>26</v>
      </c>
      <c r="D16" s="50">
        <v>0</v>
      </c>
      <c r="E16" s="50">
        <v>1</v>
      </c>
      <c r="F16" s="50">
        <v>2</v>
      </c>
      <c r="G16" s="50">
        <v>2</v>
      </c>
      <c r="H16" s="50">
        <v>0</v>
      </c>
      <c r="I16" s="50">
        <v>5</v>
      </c>
      <c r="J16" s="50">
        <v>0</v>
      </c>
      <c r="K16" s="50">
        <v>0</v>
      </c>
      <c r="L16" s="50">
        <v>3</v>
      </c>
      <c r="M16" s="50">
        <v>94</v>
      </c>
      <c r="N16" s="50">
        <v>0</v>
      </c>
      <c r="O16" s="15">
        <f t="shared" si="0"/>
        <v>39</v>
      </c>
      <c r="P16" s="15">
        <f t="shared" si="1"/>
        <v>133</v>
      </c>
      <c r="R16" s="1" t="s">
        <v>12</v>
      </c>
      <c r="S16" s="17">
        <f t="shared" ref="S16:AF16" si="8">SUM(C34:C37)</f>
        <v>76</v>
      </c>
      <c r="T16" s="17">
        <f t="shared" si="8"/>
        <v>10</v>
      </c>
      <c r="U16" s="17">
        <f t="shared" si="8"/>
        <v>17</v>
      </c>
      <c r="V16" s="17">
        <f t="shared" si="8"/>
        <v>21</v>
      </c>
      <c r="W16" s="17">
        <f t="shared" si="8"/>
        <v>3</v>
      </c>
      <c r="X16" s="17">
        <f t="shared" si="8"/>
        <v>0</v>
      </c>
      <c r="Y16" s="17">
        <f t="shared" si="8"/>
        <v>19</v>
      </c>
      <c r="Z16" s="17">
        <f t="shared" si="8"/>
        <v>8</v>
      </c>
      <c r="AA16" s="17">
        <f t="shared" si="8"/>
        <v>2</v>
      </c>
      <c r="AB16" s="17">
        <f t="shared" si="8"/>
        <v>1</v>
      </c>
      <c r="AC16" s="17">
        <f t="shared" si="8"/>
        <v>287</v>
      </c>
      <c r="AD16" s="17">
        <f t="shared" si="8"/>
        <v>0</v>
      </c>
      <c r="AE16" s="31">
        <f t="shared" si="8"/>
        <v>157</v>
      </c>
      <c r="AF16" s="31">
        <f t="shared" si="8"/>
        <v>444</v>
      </c>
    </row>
    <row r="17" spans="2:32" ht="23.1" customHeight="1" x14ac:dyDescent="0.25">
      <c r="B17" s="23" t="s">
        <v>44</v>
      </c>
      <c r="C17" s="50">
        <v>24</v>
      </c>
      <c r="D17" s="50">
        <v>4</v>
      </c>
      <c r="E17" s="50">
        <v>2</v>
      </c>
      <c r="F17" s="50">
        <v>9</v>
      </c>
      <c r="G17" s="50">
        <v>0</v>
      </c>
      <c r="H17" s="50">
        <v>0</v>
      </c>
      <c r="I17" s="50">
        <v>10</v>
      </c>
      <c r="J17" s="50">
        <v>0</v>
      </c>
      <c r="K17" s="50">
        <v>0</v>
      </c>
      <c r="L17" s="50">
        <v>2</v>
      </c>
      <c r="M17" s="50">
        <v>84</v>
      </c>
      <c r="N17" s="50">
        <v>1</v>
      </c>
      <c r="O17" s="15">
        <f t="shared" si="0"/>
        <v>52</v>
      </c>
      <c r="P17" s="15">
        <f t="shared" si="1"/>
        <v>136</v>
      </c>
      <c r="R17" s="1" t="s">
        <v>13</v>
      </c>
      <c r="S17" s="17">
        <f t="shared" ref="S17:AF17" si="9">SUM(C38:C41)</f>
        <v>57</v>
      </c>
      <c r="T17" s="17">
        <f t="shared" si="9"/>
        <v>9</v>
      </c>
      <c r="U17" s="17">
        <f t="shared" si="9"/>
        <v>15</v>
      </c>
      <c r="V17" s="17">
        <f t="shared" si="9"/>
        <v>39</v>
      </c>
      <c r="W17" s="17">
        <f t="shared" si="9"/>
        <v>2</v>
      </c>
      <c r="X17" s="17">
        <f t="shared" si="9"/>
        <v>0</v>
      </c>
      <c r="Y17" s="17">
        <f t="shared" si="9"/>
        <v>20</v>
      </c>
      <c r="Z17" s="17">
        <f t="shared" si="9"/>
        <v>8</v>
      </c>
      <c r="AA17" s="17">
        <f t="shared" si="9"/>
        <v>5</v>
      </c>
      <c r="AB17" s="17">
        <f t="shared" si="9"/>
        <v>2</v>
      </c>
      <c r="AC17" s="17">
        <f t="shared" si="9"/>
        <v>141</v>
      </c>
      <c r="AD17" s="17">
        <f t="shared" si="9"/>
        <v>0</v>
      </c>
      <c r="AE17" s="31">
        <f t="shared" si="9"/>
        <v>157</v>
      </c>
      <c r="AF17" s="31">
        <f t="shared" si="9"/>
        <v>298</v>
      </c>
    </row>
    <row r="18" spans="2:32" ht="23.1" customHeight="1" x14ac:dyDescent="0.25">
      <c r="B18" s="23" t="s">
        <v>45</v>
      </c>
      <c r="C18" s="50">
        <v>21</v>
      </c>
      <c r="D18" s="50">
        <v>3</v>
      </c>
      <c r="E18" s="50">
        <v>4</v>
      </c>
      <c r="F18" s="50">
        <v>7</v>
      </c>
      <c r="G18" s="50">
        <v>1</v>
      </c>
      <c r="H18" s="50">
        <v>0</v>
      </c>
      <c r="I18" s="50">
        <v>5</v>
      </c>
      <c r="J18" s="50">
        <v>4</v>
      </c>
      <c r="K18" s="50">
        <v>0</v>
      </c>
      <c r="L18" s="50">
        <v>0</v>
      </c>
      <c r="M18" s="50">
        <v>81</v>
      </c>
      <c r="N18" s="50">
        <v>0</v>
      </c>
      <c r="O18" s="15">
        <f t="shared" si="0"/>
        <v>45</v>
      </c>
      <c r="P18" s="15">
        <f t="shared" si="1"/>
        <v>126</v>
      </c>
      <c r="R18" s="1" t="s">
        <v>14</v>
      </c>
      <c r="S18" s="17">
        <f t="shared" ref="S18:AF18" si="10">SUM(C42:C45)</f>
        <v>61</v>
      </c>
      <c r="T18" s="17">
        <f t="shared" si="10"/>
        <v>4</v>
      </c>
      <c r="U18" s="17">
        <f t="shared" si="10"/>
        <v>18</v>
      </c>
      <c r="V18" s="17">
        <f t="shared" si="10"/>
        <v>24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4</v>
      </c>
      <c r="AA18" s="17">
        <f t="shared" si="10"/>
        <v>3</v>
      </c>
      <c r="AB18" s="17">
        <f t="shared" si="10"/>
        <v>1</v>
      </c>
      <c r="AC18" s="17">
        <f t="shared" si="10"/>
        <v>262</v>
      </c>
      <c r="AD18" s="17">
        <f t="shared" si="10"/>
        <v>1</v>
      </c>
      <c r="AE18" s="31">
        <f t="shared" si="10"/>
        <v>131</v>
      </c>
      <c r="AF18" s="31">
        <f t="shared" si="10"/>
        <v>393</v>
      </c>
    </row>
    <row r="19" spans="2:32" ht="23.1" customHeight="1" x14ac:dyDescent="0.25">
      <c r="B19" s="23" t="s">
        <v>46</v>
      </c>
      <c r="C19" s="50">
        <v>28</v>
      </c>
      <c r="D19" s="50">
        <v>6</v>
      </c>
      <c r="E19" s="50">
        <v>7</v>
      </c>
      <c r="F19" s="50">
        <v>8</v>
      </c>
      <c r="G19" s="50">
        <v>0</v>
      </c>
      <c r="H19" s="50">
        <v>0</v>
      </c>
      <c r="I19" s="50">
        <v>3</v>
      </c>
      <c r="J19" s="50">
        <v>3</v>
      </c>
      <c r="K19" s="50">
        <v>1</v>
      </c>
      <c r="L19" s="50">
        <v>0</v>
      </c>
      <c r="M19" s="50">
        <v>86</v>
      </c>
      <c r="N19" s="50">
        <v>0</v>
      </c>
      <c r="O19" s="15">
        <f t="shared" si="0"/>
        <v>56</v>
      </c>
      <c r="P19" s="15">
        <f t="shared" si="1"/>
        <v>142</v>
      </c>
      <c r="R19" s="1" t="s">
        <v>15</v>
      </c>
      <c r="S19" s="17">
        <f t="shared" ref="S19:AF19" si="11">SUM(C46:C49)</f>
        <v>51</v>
      </c>
      <c r="T19" s="17">
        <f t="shared" si="11"/>
        <v>8</v>
      </c>
      <c r="U19" s="17">
        <f t="shared" si="11"/>
        <v>11</v>
      </c>
      <c r="V19" s="17">
        <f t="shared" si="11"/>
        <v>31</v>
      </c>
      <c r="W19" s="17">
        <f t="shared" si="11"/>
        <v>4</v>
      </c>
      <c r="X19" s="17">
        <f t="shared" si="11"/>
        <v>0</v>
      </c>
      <c r="Y19" s="17">
        <f t="shared" si="11"/>
        <v>19</v>
      </c>
      <c r="Z19" s="17">
        <f t="shared" si="11"/>
        <v>5</v>
      </c>
      <c r="AA19" s="17">
        <f t="shared" si="11"/>
        <v>2</v>
      </c>
      <c r="AB19" s="17">
        <f t="shared" si="11"/>
        <v>3</v>
      </c>
      <c r="AC19" s="17">
        <f t="shared" si="11"/>
        <v>374</v>
      </c>
      <c r="AD19" s="17">
        <f t="shared" si="11"/>
        <v>0</v>
      </c>
      <c r="AE19" s="31">
        <f t="shared" si="11"/>
        <v>134</v>
      </c>
      <c r="AF19" s="31">
        <f t="shared" si="11"/>
        <v>508</v>
      </c>
    </row>
    <row r="20" spans="2:32" ht="23.1" customHeight="1" x14ac:dyDescent="0.25">
      <c r="B20" s="23" t="s">
        <v>47</v>
      </c>
      <c r="C20" s="50">
        <v>35</v>
      </c>
      <c r="D20" s="50">
        <v>2</v>
      </c>
      <c r="E20" s="50">
        <v>3</v>
      </c>
      <c r="F20" s="50">
        <v>4</v>
      </c>
      <c r="G20" s="50">
        <v>0</v>
      </c>
      <c r="H20" s="50">
        <v>0</v>
      </c>
      <c r="I20" s="50">
        <v>8</v>
      </c>
      <c r="J20" s="50">
        <v>2</v>
      </c>
      <c r="K20" s="50">
        <v>2</v>
      </c>
      <c r="L20" s="50">
        <v>1</v>
      </c>
      <c r="M20" s="50">
        <v>75</v>
      </c>
      <c r="N20" s="50">
        <v>0</v>
      </c>
      <c r="O20" s="15">
        <f t="shared" si="0"/>
        <v>57</v>
      </c>
      <c r="P20" s="15">
        <f t="shared" si="1"/>
        <v>132</v>
      </c>
      <c r="R20" s="1" t="s">
        <v>16</v>
      </c>
      <c r="S20" s="17">
        <f t="shared" ref="S20:AF20" si="12">SUM(C50:C53)</f>
        <v>72</v>
      </c>
      <c r="T20" s="17">
        <f t="shared" si="12"/>
        <v>6</v>
      </c>
      <c r="U20" s="17">
        <f t="shared" si="12"/>
        <v>13</v>
      </c>
      <c r="V20" s="17">
        <f t="shared" si="12"/>
        <v>36</v>
      </c>
      <c r="W20" s="17">
        <f t="shared" si="12"/>
        <v>3</v>
      </c>
      <c r="X20" s="17">
        <f t="shared" si="12"/>
        <v>0</v>
      </c>
      <c r="Y20" s="17">
        <f t="shared" si="12"/>
        <v>22</v>
      </c>
      <c r="Z20" s="17">
        <f t="shared" si="12"/>
        <v>4</v>
      </c>
      <c r="AA20" s="17">
        <f t="shared" si="12"/>
        <v>2</v>
      </c>
      <c r="AB20" s="17">
        <f t="shared" si="12"/>
        <v>3</v>
      </c>
      <c r="AC20" s="17">
        <f t="shared" si="12"/>
        <v>319</v>
      </c>
      <c r="AD20" s="17">
        <f t="shared" si="12"/>
        <v>0</v>
      </c>
      <c r="AE20" s="31">
        <f t="shared" si="12"/>
        <v>161</v>
      </c>
      <c r="AF20" s="31">
        <f t="shared" si="12"/>
        <v>480</v>
      </c>
    </row>
    <row r="21" spans="2:32" ht="23.1" customHeight="1" x14ac:dyDescent="0.25">
      <c r="B21" s="23" t="s">
        <v>48</v>
      </c>
      <c r="C21" s="50">
        <v>24</v>
      </c>
      <c r="D21" s="50">
        <v>3</v>
      </c>
      <c r="E21" s="50">
        <v>8</v>
      </c>
      <c r="F21" s="50">
        <v>8</v>
      </c>
      <c r="G21" s="50">
        <v>0</v>
      </c>
      <c r="H21" s="50">
        <v>0</v>
      </c>
      <c r="I21" s="50">
        <v>5</v>
      </c>
      <c r="J21" s="50">
        <v>1</v>
      </c>
      <c r="K21" s="50">
        <v>0</v>
      </c>
      <c r="L21" s="50">
        <v>0</v>
      </c>
      <c r="M21" s="50">
        <v>118</v>
      </c>
      <c r="N21" s="50">
        <v>0</v>
      </c>
      <c r="O21" s="15">
        <f t="shared" si="0"/>
        <v>49</v>
      </c>
      <c r="P21" s="15">
        <f t="shared" si="1"/>
        <v>167</v>
      </c>
      <c r="R21" s="36" t="s">
        <v>20</v>
      </c>
      <c r="S21" s="34">
        <f t="shared" ref="S21:AF21" si="13">SUM(C54:C57)</f>
        <v>58</v>
      </c>
      <c r="T21" s="17">
        <f t="shared" si="13"/>
        <v>9</v>
      </c>
      <c r="U21" s="17">
        <f t="shared" si="13"/>
        <v>14</v>
      </c>
      <c r="V21" s="17">
        <f t="shared" si="13"/>
        <v>36</v>
      </c>
      <c r="W21" s="17">
        <f t="shared" si="13"/>
        <v>3</v>
      </c>
      <c r="X21" s="17">
        <f t="shared" si="13"/>
        <v>1</v>
      </c>
      <c r="Y21" s="17">
        <f t="shared" si="13"/>
        <v>19</v>
      </c>
      <c r="Z21" s="17">
        <f t="shared" si="13"/>
        <v>4</v>
      </c>
      <c r="AA21" s="17">
        <f t="shared" si="13"/>
        <v>2</v>
      </c>
      <c r="AB21" s="17">
        <f t="shared" si="13"/>
        <v>0</v>
      </c>
      <c r="AC21" s="17">
        <f t="shared" si="13"/>
        <v>349</v>
      </c>
      <c r="AD21" s="17">
        <f t="shared" si="13"/>
        <v>1</v>
      </c>
      <c r="AE21" s="31">
        <f t="shared" si="13"/>
        <v>147</v>
      </c>
      <c r="AF21" s="31">
        <f t="shared" si="13"/>
        <v>496</v>
      </c>
    </row>
    <row r="22" spans="2:32" ht="23.1" customHeight="1" x14ac:dyDescent="0.25">
      <c r="B22" s="23" t="s">
        <v>49</v>
      </c>
      <c r="C22" s="50">
        <v>8</v>
      </c>
      <c r="D22" s="50">
        <v>3</v>
      </c>
      <c r="E22" s="50">
        <v>1</v>
      </c>
      <c r="F22" s="50">
        <v>6</v>
      </c>
      <c r="G22" s="50">
        <v>0</v>
      </c>
      <c r="H22" s="50">
        <v>0</v>
      </c>
      <c r="I22" s="50">
        <v>5</v>
      </c>
      <c r="J22" s="50">
        <v>3</v>
      </c>
      <c r="K22" s="50">
        <v>0</v>
      </c>
      <c r="L22" s="50">
        <v>0</v>
      </c>
      <c r="M22" s="50">
        <v>45</v>
      </c>
      <c r="N22" s="50">
        <v>0</v>
      </c>
      <c r="O22" s="15">
        <f t="shared" si="0"/>
        <v>26</v>
      </c>
      <c r="P22" s="15">
        <f t="shared" si="1"/>
        <v>71</v>
      </c>
      <c r="R22" s="38" t="s">
        <v>90</v>
      </c>
      <c r="S22" s="39">
        <f>MAX(S10:S12)</f>
        <v>114</v>
      </c>
      <c r="T22" s="39">
        <f t="shared" ref="T22:AF22" si="14">MAX(T10:T12)</f>
        <v>17</v>
      </c>
      <c r="U22" s="39">
        <f t="shared" si="14"/>
        <v>22</v>
      </c>
      <c r="V22" s="39">
        <f t="shared" si="14"/>
        <v>31</v>
      </c>
      <c r="W22" s="39">
        <f t="shared" si="14"/>
        <v>10</v>
      </c>
      <c r="X22" s="39">
        <f t="shared" si="14"/>
        <v>4</v>
      </c>
      <c r="Y22" s="39">
        <f t="shared" si="14"/>
        <v>30</v>
      </c>
      <c r="Z22" s="39">
        <f t="shared" si="14"/>
        <v>12</v>
      </c>
      <c r="AA22" s="39">
        <f t="shared" si="14"/>
        <v>3</v>
      </c>
      <c r="AB22" s="39">
        <f t="shared" si="14"/>
        <v>8</v>
      </c>
      <c r="AC22" s="39">
        <f t="shared" si="14"/>
        <v>360</v>
      </c>
      <c r="AD22" s="39">
        <f t="shared" si="14"/>
        <v>1</v>
      </c>
      <c r="AE22" s="40">
        <f t="shared" si="14"/>
        <v>214</v>
      </c>
      <c r="AF22" s="40">
        <f t="shared" si="14"/>
        <v>567</v>
      </c>
    </row>
    <row r="23" spans="2:32" ht="23.1" customHeight="1" x14ac:dyDescent="0.25">
      <c r="B23" s="23" t="s">
        <v>50</v>
      </c>
      <c r="C23" s="50">
        <v>17</v>
      </c>
      <c r="D23" s="50">
        <v>1</v>
      </c>
      <c r="E23" s="50">
        <v>3</v>
      </c>
      <c r="F23" s="50">
        <v>10</v>
      </c>
      <c r="G23" s="50">
        <v>0</v>
      </c>
      <c r="H23" s="50">
        <v>0</v>
      </c>
      <c r="I23" s="50">
        <v>9</v>
      </c>
      <c r="J23" s="50">
        <v>2</v>
      </c>
      <c r="K23" s="50">
        <v>1</v>
      </c>
      <c r="L23" s="50">
        <v>1</v>
      </c>
      <c r="M23" s="50">
        <v>73</v>
      </c>
      <c r="N23" s="50">
        <v>0</v>
      </c>
      <c r="O23" s="15">
        <f t="shared" si="0"/>
        <v>44</v>
      </c>
      <c r="P23" s="15">
        <f t="shared" si="1"/>
        <v>117</v>
      </c>
      <c r="R23" s="38" t="s">
        <v>91</v>
      </c>
      <c r="S23" s="39">
        <f>MAX(S13:S18)</f>
        <v>77</v>
      </c>
      <c r="T23" s="39">
        <f t="shared" ref="T23:AF23" si="15">MAX(T13:T18)</f>
        <v>12</v>
      </c>
      <c r="U23" s="39">
        <f t="shared" si="15"/>
        <v>19</v>
      </c>
      <c r="V23" s="39">
        <f t="shared" si="15"/>
        <v>39</v>
      </c>
      <c r="W23" s="39">
        <f t="shared" si="15"/>
        <v>5</v>
      </c>
      <c r="X23" s="39">
        <f t="shared" si="15"/>
        <v>0</v>
      </c>
      <c r="Y23" s="39">
        <f t="shared" si="15"/>
        <v>37</v>
      </c>
      <c r="Z23" s="39">
        <f t="shared" si="15"/>
        <v>8</v>
      </c>
      <c r="AA23" s="39">
        <f t="shared" si="15"/>
        <v>5</v>
      </c>
      <c r="AB23" s="39">
        <f t="shared" si="15"/>
        <v>82</v>
      </c>
      <c r="AC23" s="39">
        <f t="shared" si="15"/>
        <v>336</v>
      </c>
      <c r="AD23" s="39">
        <f t="shared" si="15"/>
        <v>1</v>
      </c>
      <c r="AE23" s="40">
        <f t="shared" si="15"/>
        <v>258</v>
      </c>
      <c r="AF23" s="40">
        <f t="shared" si="15"/>
        <v>521</v>
      </c>
    </row>
    <row r="24" spans="2:32" ht="23.1" customHeight="1" x14ac:dyDescent="0.25">
      <c r="B24" s="23" t="s">
        <v>51</v>
      </c>
      <c r="C24" s="50">
        <v>9</v>
      </c>
      <c r="D24" s="50">
        <v>5</v>
      </c>
      <c r="E24" s="50">
        <v>6</v>
      </c>
      <c r="F24" s="50">
        <v>4</v>
      </c>
      <c r="G24" s="50">
        <v>0</v>
      </c>
      <c r="H24" s="50">
        <v>0</v>
      </c>
      <c r="I24" s="50">
        <v>10</v>
      </c>
      <c r="J24" s="50">
        <v>1</v>
      </c>
      <c r="K24" s="50">
        <v>0</v>
      </c>
      <c r="L24" s="50">
        <v>0</v>
      </c>
      <c r="M24" s="50">
        <v>67</v>
      </c>
      <c r="N24" s="50">
        <v>0</v>
      </c>
      <c r="O24" s="15">
        <f t="shared" si="0"/>
        <v>35</v>
      </c>
      <c r="P24" s="15">
        <f t="shared" si="1"/>
        <v>102</v>
      </c>
      <c r="R24" s="38" t="s">
        <v>92</v>
      </c>
      <c r="S24" s="39">
        <f>MAX(S19:S21)</f>
        <v>72</v>
      </c>
      <c r="T24" s="39">
        <f t="shared" ref="T24:AF24" si="16">MAX(T19:T21)</f>
        <v>9</v>
      </c>
      <c r="U24" s="39">
        <f t="shared" si="16"/>
        <v>14</v>
      </c>
      <c r="V24" s="39">
        <f t="shared" si="16"/>
        <v>36</v>
      </c>
      <c r="W24" s="39">
        <f t="shared" si="16"/>
        <v>4</v>
      </c>
      <c r="X24" s="39">
        <f t="shared" si="16"/>
        <v>1</v>
      </c>
      <c r="Y24" s="39">
        <f t="shared" si="16"/>
        <v>22</v>
      </c>
      <c r="Z24" s="39">
        <f t="shared" si="16"/>
        <v>5</v>
      </c>
      <c r="AA24" s="39">
        <f t="shared" si="16"/>
        <v>2</v>
      </c>
      <c r="AB24" s="39">
        <f t="shared" si="16"/>
        <v>3</v>
      </c>
      <c r="AC24" s="39">
        <f t="shared" si="16"/>
        <v>374</v>
      </c>
      <c r="AD24" s="39">
        <f t="shared" si="16"/>
        <v>1</v>
      </c>
      <c r="AE24" s="40">
        <f t="shared" si="16"/>
        <v>161</v>
      </c>
      <c r="AF24" s="40">
        <f t="shared" si="16"/>
        <v>508</v>
      </c>
    </row>
    <row r="25" spans="2:32" ht="23.1" customHeight="1" x14ac:dyDescent="0.25">
      <c r="B25" s="23" t="s">
        <v>52</v>
      </c>
      <c r="C25" s="50">
        <v>13</v>
      </c>
      <c r="D25" s="50">
        <v>3</v>
      </c>
      <c r="E25" s="50">
        <v>4</v>
      </c>
      <c r="F25" s="50">
        <v>7</v>
      </c>
      <c r="G25" s="50">
        <v>1</v>
      </c>
      <c r="H25" s="50">
        <v>0</v>
      </c>
      <c r="I25" s="50">
        <v>9</v>
      </c>
      <c r="J25" s="50">
        <v>2</v>
      </c>
      <c r="K25" s="50">
        <v>0</v>
      </c>
      <c r="L25" s="50">
        <v>0</v>
      </c>
      <c r="M25" s="50">
        <v>87</v>
      </c>
      <c r="N25" s="50">
        <v>0</v>
      </c>
      <c r="O25" s="15">
        <f t="shared" si="0"/>
        <v>39</v>
      </c>
      <c r="P25" s="15">
        <f t="shared" si="1"/>
        <v>126</v>
      </c>
      <c r="R25" s="37" t="s">
        <v>85</v>
      </c>
      <c r="S25" s="35">
        <f t="shared" ref="S25:AF25" si="17">SUM(S10:S12)</f>
        <v>321</v>
      </c>
      <c r="T25" s="16">
        <f t="shared" si="17"/>
        <v>42</v>
      </c>
      <c r="U25" s="16">
        <f t="shared" si="17"/>
        <v>55</v>
      </c>
      <c r="V25" s="16">
        <f t="shared" si="17"/>
        <v>79</v>
      </c>
      <c r="W25" s="16">
        <f t="shared" si="17"/>
        <v>15</v>
      </c>
      <c r="X25" s="16">
        <f t="shared" si="17"/>
        <v>4</v>
      </c>
      <c r="Y25" s="16">
        <f t="shared" si="17"/>
        <v>69</v>
      </c>
      <c r="Z25" s="16">
        <f t="shared" si="17"/>
        <v>22</v>
      </c>
      <c r="AA25" s="16">
        <f t="shared" si="17"/>
        <v>4</v>
      </c>
      <c r="AB25" s="16">
        <f t="shared" si="17"/>
        <v>15</v>
      </c>
      <c r="AC25" s="16">
        <f t="shared" si="17"/>
        <v>1047</v>
      </c>
      <c r="AD25" s="16">
        <f t="shared" si="17"/>
        <v>1</v>
      </c>
      <c r="AE25" s="32">
        <f t="shared" si="17"/>
        <v>627</v>
      </c>
      <c r="AF25" s="32">
        <f t="shared" si="17"/>
        <v>1674</v>
      </c>
    </row>
    <row r="26" spans="2:32" ht="23.1" customHeight="1" x14ac:dyDescent="0.25">
      <c r="B26" s="23" t="s">
        <v>53</v>
      </c>
      <c r="C26" s="50">
        <v>11</v>
      </c>
      <c r="D26" s="50">
        <v>2</v>
      </c>
      <c r="E26" s="50">
        <v>6</v>
      </c>
      <c r="F26" s="50">
        <v>12</v>
      </c>
      <c r="G26" s="50">
        <v>0</v>
      </c>
      <c r="H26" s="50">
        <v>0</v>
      </c>
      <c r="I26" s="50">
        <v>6</v>
      </c>
      <c r="J26" s="50">
        <v>1</v>
      </c>
      <c r="K26" s="50">
        <v>1</v>
      </c>
      <c r="L26" s="50">
        <v>0</v>
      </c>
      <c r="M26" s="50">
        <v>64</v>
      </c>
      <c r="N26" s="50">
        <v>0</v>
      </c>
      <c r="O26" s="15">
        <f t="shared" si="0"/>
        <v>39</v>
      </c>
      <c r="P26" s="15">
        <f t="shared" si="1"/>
        <v>103</v>
      </c>
      <c r="R26" s="28" t="s">
        <v>86</v>
      </c>
      <c r="S26" s="16">
        <f t="shared" ref="S26:AF26" si="18">SUM(S13:S18)</f>
        <v>391</v>
      </c>
      <c r="T26" s="16">
        <f t="shared" si="18"/>
        <v>54</v>
      </c>
      <c r="U26" s="16">
        <f t="shared" si="18"/>
        <v>101</v>
      </c>
      <c r="V26" s="16">
        <f t="shared" si="18"/>
        <v>181</v>
      </c>
      <c r="W26" s="16">
        <f t="shared" si="18"/>
        <v>12</v>
      </c>
      <c r="X26" s="16">
        <f t="shared" si="18"/>
        <v>0</v>
      </c>
      <c r="Y26" s="16">
        <f t="shared" si="18"/>
        <v>147</v>
      </c>
      <c r="Z26" s="16">
        <f t="shared" si="18"/>
        <v>41</v>
      </c>
      <c r="AA26" s="16">
        <f t="shared" si="18"/>
        <v>17</v>
      </c>
      <c r="AB26" s="16">
        <f t="shared" si="18"/>
        <v>87</v>
      </c>
      <c r="AC26" s="16">
        <f t="shared" si="18"/>
        <v>1514</v>
      </c>
      <c r="AD26" s="16">
        <f t="shared" si="18"/>
        <v>1</v>
      </c>
      <c r="AE26" s="32">
        <f t="shared" si="18"/>
        <v>1032</v>
      </c>
      <c r="AF26" s="32">
        <f t="shared" si="18"/>
        <v>2546</v>
      </c>
    </row>
    <row r="27" spans="2:32" ht="23.1" customHeight="1" x14ac:dyDescent="0.25">
      <c r="B27" s="23" t="s">
        <v>54</v>
      </c>
      <c r="C27" s="50">
        <v>23</v>
      </c>
      <c r="D27" s="50">
        <v>1</v>
      </c>
      <c r="E27" s="50">
        <v>7</v>
      </c>
      <c r="F27" s="50">
        <v>11</v>
      </c>
      <c r="G27" s="50">
        <v>0</v>
      </c>
      <c r="H27" s="50">
        <v>0</v>
      </c>
      <c r="I27" s="50">
        <v>14</v>
      </c>
      <c r="J27" s="50">
        <v>1</v>
      </c>
      <c r="K27" s="50">
        <v>0</v>
      </c>
      <c r="L27" s="50">
        <v>1</v>
      </c>
      <c r="M27" s="50">
        <v>67</v>
      </c>
      <c r="N27" s="50">
        <v>0</v>
      </c>
      <c r="O27" s="15">
        <f t="shared" si="0"/>
        <v>58</v>
      </c>
      <c r="P27" s="15">
        <f t="shared" si="1"/>
        <v>125</v>
      </c>
      <c r="R27" s="29" t="s">
        <v>87</v>
      </c>
      <c r="S27" s="16">
        <f t="shared" ref="S27:AF27" si="19">SUM(S19:S21)</f>
        <v>181</v>
      </c>
      <c r="T27" s="16">
        <f t="shared" si="19"/>
        <v>23</v>
      </c>
      <c r="U27" s="16">
        <f t="shared" si="19"/>
        <v>38</v>
      </c>
      <c r="V27" s="16">
        <f t="shared" si="19"/>
        <v>103</v>
      </c>
      <c r="W27" s="16">
        <f t="shared" si="19"/>
        <v>10</v>
      </c>
      <c r="X27" s="16">
        <f t="shared" si="19"/>
        <v>1</v>
      </c>
      <c r="Y27" s="16">
        <f t="shared" si="19"/>
        <v>60</v>
      </c>
      <c r="Z27" s="16">
        <f t="shared" si="19"/>
        <v>13</v>
      </c>
      <c r="AA27" s="16">
        <f t="shared" si="19"/>
        <v>6</v>
      </c>
      <c r="AB27" s="16">
        <f t="shared" si="19"/>
        <v>6</v>
      </c>
      <c r="AC27" s="16">
        <f t="shared" si="19"/>
        <v>1042</v>
      </c>
      <c r="AD27" s="16">
        <f t="shared" si="19"/>
        <v>1</v>
      </c>
      <c r="AE27" s="32">
        <f t="shared" si="19"/>
        <v>442</v>
      </c>
      <c r="AF27" s="32">
        <f t="shared" si="19"/>
        <v>1484</v>
      </c>
    </row>
    <row r="28" spans="2:32" ht="23.1" customHeight="1" x14ac:dyDescent="0.25">
      <c r="B28" s="23" t="s">
        <v>55</v>
      </c>
      <c r="C28" s="50">
        <v>16</v>
      </c>
      <c r="D28" s="50">
        <v>2</v>
      </c>
      <c r="E28" s="50">
        <v>1</v>
      </c>
      <c r="F28" s="50">
        <v>4</v>
      </c>
      <c r="G28" s="50">
        <v>0</v>
      </c>
      <c r="H28" s="50">
        <v>0</v>
      </c>
      <c r="I28" s="50">
        <v>9</v>
      </c>
      <c r="J28" s="50">
        <v>2</v>
      </c>
      <c r="K28" s="50">
        <v>0</v>
      </c>
      <c r="L28" s="50">
        <v>81</v>
      </c>
      <c r="M28" s="50">
        <v>0</v>
      </c>
      <c r="N28" s="50">
        <v>0</v>
      </c>
      <c r="O28" s="15">
        <f t="shared" si="0"/>
        <v>115</v>
      </c>
      <c r="P28" s="15">
        <f t="shared" si="1"/>
        <v>115</v>
      </c>
      <c r="R28" s="5" t="s">
        <v>17</v>
      </c>
      <c r="S28" s="16">
        <f t="shared" ref="S28:AF28" si="20">SUM(S10:S21)</f>
        <v>893</v>
      </c>
      <c r="T28" s="16">
        <f t="shared" si="20"/>
        <v>119</v>
      </c>
      <c r="U28" s="16">
        <f t="shared" si="20"/>
        <v>194</v>
      </c>
      <c r="V28" s="16">
        <f t="shared" si="20"/>
        <v>363</v>
      </c>
      <c r="W28" s="16">
        <f t="shared" si="20"/>
        <v>37</v>
      </c>
      <c r="X28" s="16">
        <f t="shared" si="20"/>
        <v>5</v>
      </c>
      <c r="Y28" s="16">
        <f t="shared" si="20"/>
        <v>276</v>
      </c>
      <c r="Z28" s="16">
        <f t="shared" si="20"/>
        <v>76</v>
      </c>
      <c r="AA28" s="16">
        <f t="shared" si="20"/>
        <v>27</v>
      </c>
      <c r="AB28" s="16">
        <f t="shared" si="20"/>
        <v>108</v>
      </c>
      <c r="AC28" s="16">
        <f t="shared" si="20"/>
        <v>3603</v>
      </c>
      <c r="AD28" s="16">
        <f t="shared" si="20"/>
        <v>3</v>
      </c>
      <c r="AE28" s="32">
        <f t="shared" si="20"/>
        <v>2101</v>
      </c>
      <c r="AF28" s="32">
        <f t="shared" si="20"/>
        <v>5704</v>
      </c>
    </row>
    <row r="29" spans="2:32" ht="23.1" customHeight="1" x14ac:dyDescent="0.25">
      <c r="B29" s="23" t="s">
        <v>56</v>
      </c>
      <c r="C29" s="50">
        <v>23</v>
      </c>
      <c r="D29" s="50">
        <v>3</v>
      </c>
      <c r="E29" s="50">
        <v>4</v>
      </c>
      <c r="F29" s="50">
        <v>5</v>
      </c>
      <c r="G29" s="50">
        <v>1</v>
      </c>
      <c r="H29" s="50">
        <v>0</v>
      </c>
      <c r="I29" s="50">
        <v>8</v>
      </c>
      <c r="J29" s="50">
        <v>2</v>
      </c>
      <c r="K29" s="50">
        <v>0</v>
      </c>
      <c r="L29" s="50">
        <v>0</v>
      </c>
      <c r="M29" s="50">
        <v>85</v>
      </c>
      <c r="N29" s="50">
        <v>0</v>
      </c>
      <c r="O29" s="15">
        <f t="shared" si="0"/>
        <v>46</v>
      </c>
      <c r="P29" s="15">
        <f t="shared" si="1"/>
        <v>131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3</v>
      </c>
      <c r="E30" s="50">
        <v>5</v>
      </c>
      <c r="F30" s="50">
        <v>5</v>
      </c>
      <c r="G30" s="50">
        <v>0</v>
      </c>
      <c r="H30" s="50">
        <v>0</v>
      </c>
      <c r="I30" s="50">
        <v>7</v>
      </c>
      <c r="J30" s="50">
        <v>2</v>
      </c>
      <c r="K30" s="50">
        <v>1</v>
      </c>
      <c r="L30" s="50">
        <v>0</v>
      </c>
      <c r="M30" s="50">
        <v>96</v>
      </c>
      <c r="N30" s="50">
        <v>0</v>
      </c>
      <c r="O30" s="15">
        <f t="shared" si="0"/>
        <v>38</v>
      </c>
      <c r="P30" s="15">
        <f t="shared" si="1"/>
        <v>134</v>
      </c>
    </row>
    <row r="31" spans="2:32" ht="23.1" customHeight="1" x14ac:dyDescent="0.25">
      <c r="B31" s="24" t="s">
        <v>58</v>
      </c>
      <c r="C31" s="50">
        <v>20</v>
      </c>
      <c r="D31" s="50">
        <v>1</v>
      </c>
      <c r="E31" s="50">
        <v>2</v>
      </c>
      <c r="F31" s="50">
        <v>9</v>
      </c>
      <c r="G31" s="50">
        <v>2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92</v>
      </c>
      <c r="N31" s="50">
        <v>0</v>
      </c>
      <c r="O31" s="15">
        <f t="shared" si="0"/>
        <v>38</v>
      </c>
      <c r="P31" s="15">
        <f t="shared" si="1"/>
        <v>130</v>
      </c>
    </row>
    <row r="32" spans="2:32" ht="23.1" customHeight="1" x14ac:dyDescent="0.25">
      <c r="B32" s="24" t="s">
        <v>59</v>
      </c>
      <c r="C32" s="50">
        <v>13</v>
      </c>
      <c r="D32" s="50">
        <v>2</v>
      </c>
      <c r="E32" s="50">
        <v>3</v>
      </c>
      <c r="F32" s="50">
        <v>11</v>
      </c>
      <c r="G32" s="50">
        <v>2</v>
      </c>
      <c r="H32" s="50">
        <v>0</v>
      </c>
      <c r="I32" s="50">
        <v>6</v>
      </c>
      <c r="J32" s="50">
        <v>2</v>
      </c>
      <c r="K32" s="50">
        <v>3</v>
      </c>
      <c r="L32" s="50">
        <v>0</v>
      </c>
      <c r="M32" s="50">
        <v>58</v>
      </c>
      <c r="N32" s="50">
        <v>0</v>
      </c>
      <c r="O32" s="15">
        <f t="shared" si="0"/>
        <v>42</v>
      </c>
      <c r="P32" s="15">
        <f t="shared" si="1"/>
        <v>100</v>
      </c>
    </row>
    <row r="33" spans="2:20" ht="23.1" customHeight="1" x14ac:dyDescent="0.25">
      <c r="B33" s="23" t="s">
        <v>60</v>
      </c>
      <c r="C33" s="50">
        <v>29</v>
      </c>
      <c r="D33" s="50">
        <v>5</v>
      </c>
      <c r="E33" s="50">
        <v>9</v>
      </c>
      <c r="F33" s="50">
        <v>13</v>
      </c>
      <c r="G33" s="50">
        <v>1</v>
      </c>
      <c r="H33" s="50">
        <v>0</v>
      </c>
      <c r="I33" s="50">
        <v>7</v>
      </c>
      <c r="J33" s="50">
        <v>2</v>
      </c>
      <c r="K33" s="50">
        <v>1</v>
      </c>
      <c r="L33" s="50">
        <v>0</v>
      </c>
      <c r="M33" s="50">
        <v>90</v>
      </c>
      <c r="N33" s="50">
        <v>0</v>
      </c>
      <c r="O33" s="15">
        <f t="shared" si="0"/>
        <v>67</v>
      </c>
      <c r="P33" s="15">
        <f t="shared" si="1"/>
        <v>157</v>
      </c>
    </row>
    <row r="34" spans="2:20" ht="23.1" customHeight="1" x14ac:dyDescent="0.25">
      <c r="B34" s="24" t="s">
        <v>61</v>
      </c>
      <c r="C34" s="50">
        <v>11</v>
      </c>
      <c r="D34" s="50">
        <v>2</v>
      </c>
      <c r="E34" s="50">
        <v>3</v>
      </c>
      <c r="F34" s="50">
        <v>7</v>
      </c>
      <c r="G34" s="50">
        <v>0</v>
      </c>
      <c r="H34" s="50">
        <v>0</v>
      </c>
      <c r="I34" s="50">
        <v>3</v>
      </c>
      <c r="J34" s="50">
        <v>3</v>
      </c>
      <c r="K34" s="50">
        <v>0</v>
      </c>
      <c r="L34" s="50">
        <v>0</v>
      </c>
      <c r="M34" s="50">
        <v>46</v>
      </c>
      <c r="N34" s="50">
        <v>0</v>
      </c>
      <c r="O34" s="15">
        <f t="shared" si="0"/>
        <v>29</v>
      </c>
      <c r="P34" s="15">
        <f t="shared" si="1"/>
        <v>75</v>
      </c>
    </row>
    <row r="35" spans="2:20" ht="23.1" customHeight="1" x14ac:dyDescent="0.25">
      <c r="B35" s="24" t="s">
        <v>62</v>
      </c>
      <c r="C35" s="50">
        <v>19</v>
      </c>
      <c r="D35" s="50">
        <v>1</v>
      </c>
      <c r="E35" s="50">
        <v>5</v>
      </c>
      <c r="F35" s="50">
        <v>5</v>
      </c>
      <c r="G35" s="50">
        <v>1</v>
      </c>
      <c r="H35" s="50">
        <v>0</v>
      </c>
      <c r="I35" s="50">
        <v>5</v>
      </c>
      <c r="J35" s="50">
        <v>4</v>
      </c>
      <c r="K35" s="50">
        <v>0</v>
      </c>
      <c r="L35" s="50">
        <v>0</v>
      </c>
      <c r="M35" s="50">
        <v>70</v>
      </c>
      <c r="N35" s="50">
        <v>0</v>
      </c>
      <c r="O35" s="15">
        <f t="shared" si="0"/>
        <v>40</v>
      </c>
      <c r="P35" s="15">
        <f t="shared" si="1"/>
        <v>110</v>
      </c>
    </row>
    <row r="36" spans="2:20" ht="23.1" customHeight="1" x14ac:dyDescent="0.25">
      <c r="B36" s="24" t="s">
        <v>63</v>
      </c>
      <c r="C36" s="50">
        <v>11</v>
      </c>
      <c r="D36" s="50">
        <v>2</v>
      </c>
      <c r="E36" s="50">
        <v>3</v>
      </c>
      <c r="F36" s="50">
        <v>2</v>
      </c>
      <c r="G36" s="50">
        <v>0</v>
      </c>
      <c r="H36" s="50">
        <v>0</v>
      </c>
      <c r="I36" s="50">
        <v>3</v>
      </c>
      <c r="J36" s="50">
        <v>1</v>
      </c>
      <c r="K36" s="50">
        <v>1</v>
      </c>
      <c r="L36" s="50">
        <v>0</v>
      </c>
      <c r="M36" s="50">
        <v>72</v>
      </c>
      <c r="N36" s="50">
        <v>0</v>
      </c>
      <c r="O36" s="15">
        <f t="shared" si="0"/>
        <v>23</v>
      </c>
      <c r="P36" s="15">
        <f t="shared" si="1"/>
        <v>95</v>
      </c>
    </row>
    <row r="37" spans="2:20" ht="23.1" customHeight="1" x14ac:dyDescent="0.25">
      <c r="B37" s="23" t="s">
        <v>64</v>
      </c>
      <c r="C37" s="50">
        <v>35</v>
      </c>
      <c r="D37" s="50">
        <v>5</v>
      </c>
      <c r="E37" s="50">
        <v>6</v>
      </c>
      <c r="F37" s="50">
        <v>7</v>
      </c>
      <c r="G37" s="50">
        <v>2</v>
      </c>
      <c r="H37" s="50">
        <v>0</v>
      </c>
      <c r="I37" s="50">
        <v>8</v>
      </c>
      <c r="J37" s="50">
        <v>0</v>
      </c>
      <c r="K37" s="50">
        <v>1</v>
      </c>
      <c r="L37" s="50">
        <v>1</v>
      </c>
      <c r="M37" s="50">
        <v>99</v>
      </c>
      <c r="N37" s="50">
        <v>0</v>
      </c>
      <c r="O37" s="15">
        <f t="shared" si="0"/>
        <v>65</v>
      </c>
      <c r="P37" s="15">
        <f t="shared" si="1"/>
        <v>164</v>
      </c>
    </row>
    <row r="38" spans="2:20" ht="23.1" customHeight="1" x14ac:dyDescent="0.25">
      <c r="B38" s="24" t="s">
        <v>65</v>
      </c>
      <c r="C38" s="50">
        <v>24</v>
      </c>
      <c r="D38" s="50">
        <v>3</v>
      </c>
      <c r="E38" s="50">
        <v>9</v>
      </c>
      <c r="F38" s="50">
        <v>17</v>
      </c>
      <c r="G38" s="50">
        <v>1</v>
      </c>
      <c r="H38" s="50">
        <v>0</v>
      </c>
      <c r="I38" s="50">
        <v>9</v>
      </c>
      <c r="J38" s="50">
        <v>3</v>
      </c>
      <c r="K38" s="50">
        <v>1</v>
      </c>
      <c r="L38" s="50">
        <v>0</v>
      </c>
      <c r="M38" s="50">
        <v>95</v>
      </c>
      <c r="N38" s="50">
        <v>0</v>
      </c>
      <c r="O38" s="15">
        <f t="shared" si="0"/>
        <v>67</v>
      </c>
      <c r="P38" s="15">
        <f t="shared" si="1"/>
        <v>162</v>
      </c>
    </row>
    <row r="39" spans="2:20" ht="23.1" customHeight="1" x14ac:dyDescent="0.25">
      <c r="B39" s="24" t="s">
        <v>66</v>
      </c>
      <c r="C39" s="50">
        <v>8</v>
      </c>
      <c r="D39" s="50">
        <v>0</v>
      </c>
      <c r="E39" s="50">
        <v>2</v>
      </c>
      <c r="F39" s="50">
        <v>7</v>
      </c>
      <c r="G39" s="50">
        <v>1</v>
      </c>
      <c r="H39" s="50">
        <v>0</v>
      </c>
      <c r="I39" s="50">
        <v>4</v>
      </c>
      <c r="J39" s="50">
        <v>2</v>
      </c>
      <c r="K39" s="50">
        <v>0</v>
      </c>
      <c r="L39" s="50">
        <v>1</v>
      </c>
      <c r="M39" s="50">
        <v>32</v>
      </c>
      <c r="N39" s="50">
        <v>0</v>
      </c>
      <c r="O39" s="15">
        <f t="shared" si="0"/>
        <v>25</v>
      </c>
      <c r="P39" s="15">
        <f t="shared" si="1"/>
        <v>57</v>
      </c>
    </row>
    <row r="40" spans="2:20" ht="23.1" customHeight="1" x14ac:dyDescent="0.25">
      <c r="B40" s="24" t="s">
        <v>67</v>
      </c>
      <c r="C40" s="50">
        <v>16</v>
      </c>
      <c r="D40" s="50">
        <v>4</v>
      </c>
      <c r="E40" s="50">
        <v>0</v>
      </c>
      <c r="F40" s="50">
        <v>9</v>
      </c>
      <c r="G40" s="50">
        <v>0</v>
      </c>
      <c r="H40" s="50">
        <v>0</v>
      </c>
      <c r="I40" s="50">
        <v>3</v>
      </c>
      <c r="J40" s="50">
        <v>2</v>
      </c>
      <c r="K40" s="50">
        <v>2</v>
      </c>
      <c r="L40" s="50">
        <v>1</v>
      </c>
      <c r="M40" s="50">
        <v>6</v>
      </c>
      <c r="N40" s="50">
        <v>0</v>
      </c>
      <c r="O40" s="15">
        <f t="shared" si="0"/>
        <v>37</v>
      </c>
      <c r="P40" s="15">
        <f t="shared" si="1"/>
        <v>43</v>
      </c>
    </row>
    <row r="41" spans="2:20" ht="23.1" customHeight="1" x14ac:dyDescent="0.25">
      <c r="B41" s="23" t="s">
        <v>68</v>
      </c>
      <c r="C41" s="50">
        <v>9</v>
      </c>
      <c r="D41" s="50">
        <v>2</v>
      </c>
      <c r="E41" s="50">
        <v>4</v>
      </c>
      <c r="F41" s="50">
        <v>6</v>
      </c>
      <c r="G41" s="50">
        <v>0</v>
      </c>
      <c r="H41" s="50">
        <v>0</v>
      </c>
      <c r="I41" s="50">
        <v>4</v>
      </c>
      <c r="J41" s="50">
        <v>1</v>
      </c>
      <c r="K41" s="50">
        <v>2</v>
      </c>
      <c r="L41" s="50">
        <v>0</v>
      </c>
      <c r="M41" s="50">
        <v>8</v>
      </c>
      <c r="N41" s="50">
        <v>0</v>
      </c>
      <c r="O41" s="15">
        <f t="shared" si="0"/>
        <v>28</v>
      </c>
      <c r="P41" s="15">
        <f t="shared" si="1"/>
        <v>36</v>
      </c>
    </row>
    <row r="42" spans="2:20" ht="23.1" customHeight="1" x14ac:dyDescent="0.25">
      <c r="B42" s="24" t="s">
        <v>69</v>
      </c>
      <c r="C42" s="50">
        <v>15</v>
      </c>
      <c r="D42" s="50">
        <v>1</v>
      </c>
      <c r="E42" s="50">
        <v>4</v>
      </c>
      <c r="F42" s="50">
        <v>4</v>
      </c>
      <c r="G42" s="50">
        <v>0</v>
      </c>
      <c r="H42" s="50">
        <v>0</v>
      </c>
      <c r="I42" s="50">
        <v>1</v>
      </c>
      <c r="J42" s="50">
        <v>1</v>
      </c>
      <c r="K42" s="50">
        <v>1</v>
      </c>
      <c r="L42" s="50">
        <v>0</v>
      </c>
      <c r="M42" s="50">
        <v>50</v>
      </c>
      <c r="N42" s="50">
        <v>0</v>
      </c>
      <c r="O42" s="15">
        <f t="shared" si="0"/>
        <v>27</v>
      </c>
      <c r="P42" s="15">
        <f t="shared" si="1"/>
        <v>77</v>
      </c>
    </row>
    <row r="43" spans="2:20" ht="23.1" customHeight="1" x14ac:dyDescent="0.25">
      <c r="B43" s="23" t="s">
        <v>70</v>
      </c>
      <c r="C43" s="50">
        <v>17</v>
      </c>
      <c r="D43" s="50">
        <v>0</v>
      </c>
      <c r="E43" s="50">
        <v>7</v>
      </c>
      <c r="F43" s="50">
        <v>7</v>
      </c>
      <c r="G43" s="50">
        <v>0</v>
      </c>
      <c r="H43" s="50">
        <v>0</v>
      </c>
      <c r="I43" s="50">
        <v>2</v>
      </c>
      <c r="J43" s="50">
        <v>1</v>
      </c>
      <c r="K43" s="50">
        <v>1</v>
      </c>
      <c r="L43" s="50">
        <v>1</v>
      </c>
      <c r="M43" s="50">
        <v>75</v>
      </c>
      <c r="N43" s="50">
        <v>0</v>
      </c>
      <c r="O43" s="15">
        <f t="shared" si="0"/>
        <v>36</v>
      </c>
      <c r="P43" s="15">
        <f t="shared" si="1"/>
        <v>111</v>
      </c>
    </row>
    <row r="44" spans="2:20" ht="23.1" customHeight="1" x14ac:dyDescent="0.25">
      <c r="B44" s="25" t="s">
        <v>71</v>
      </c>
      <c r="C44" s="50">
        <v>14</v>
      </c>
      <c r="D44" s="50">
        <v>2</v>
      </c>
      <c r="E44" s="50">
        <v>7</v>
      </c>
      <c r="F44" s="50">
        <v>6</v>
      </c>
      <c r="G44" s="50">
        <v>0</v>
      </c>
      <c r="H44" s="50">
        <v>0</v>
      </c>
      <c r="I44" s="50">
        <v>5</v>
      </c>
      <c r="J44" s="50">
        <v>1</v>
      </c>
      <c r="K44" s="50">
        <v>1</v>
      </c>
      <c r="L44" s="50">
        <v>0</v>
      </c>
      <c r="M44" s="50">
        <v>85</v>
      </c>
      <c r="N44" s="50">
        <v>1</v>
      </c>
      <c r="O44" s="15">
        <f t="shared" si="0"/>
        <v>37</v>
      </c>
      <c r="P44" s="15">
        <f t="shared" si="1"/>
        <v>122</v>
      </c>
    </row>
    <row r="45" spans="2:20" ht="23.1" customHeight="1" x14ac:dyDescent="0.25">
      <c r="B45" s="23" t="s">
        <v>72</v>
      </c>
      <c r="C45" s="50">
        <v>15</v>
      </c>
      <c r="D45" s="50">
        <v>1</v>
      </c>
      <c r="E45" s="50">
        <v>0</v>
      </c>
      <c r="F45" s="50">
        <v>7</v>
      </c>
      <c r="G45" s="50">
        <v>0</v>
      </c>
      <c r="H45" s="50">
        <v>0</v>
      </c>
      <c r="I45" s="50">
        <v>7</v>
      </c>
      <c r="J45" s="50">
        <v>1</v>
      </c>
      <c r="K45" s="50">
        <v>0</v>
      </c>
      <c r="L45" s="50">
        <v>0</v>
      </c>
      <c r="M45" s="50">
        <v>52</v>
      </c>
      <c r="N45" s="50">
        <v>0</v>
      </c>
      <c r="O45" s="15">
        <f t="shared" si="0"/>
        <v>31</v>
      </c>
      <c r="P45" s="15">
        <f t="shared" si="1"/>
        <v>83</v>
      </c>
    </row>
    <row r="46" spans="2:20" ht="23.1" customHeight="1" x14ac:dyDescent="0.25">
      <c r="B46" s="24" t="s">
        <v>73</v>
      </c>
      <c r="C46" s="50">
        <v>10</v>
      </c>
      <c r="D46" s="50">
        <v>5</v>
      </c>
      <c r="E46" s="50">
        <v>3</v>
      </c>
      <c r="F46" s="50">
        <v>5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1</v>
      </c>
      <c r="M46" s="50">
        <v>98</v>
      </c>
      <c r="N46" s="50">
        <v>0</v>
      </c>
      <c r="O46" s="15">
        <f t="shared" si="0"/>
        <v>27</v>
      </c>
      <c r="P46" s="15">
        <f t="shared" si="1"/>
        <v>125</v>
      </c>
      <c r="R46" s="8"/>
      <c r="T46"/>
    </row>
    <row r="47" spans="2:20" ht="23.1" customHeight="1" x14ac:dyDescent="0.25">
      <c r="B47" s="24" t="s">
        <v>74</v>
      </c>
      <c r="C47" s="50">
        <v>14</v>
      </c>
      <c r="D47" s="50">
        <v>2</v>
      </c>
      <c r="E47" s="50">
        <v>4</v>
      </c>
      <c r="F47" s="50">
        <v>10</v>
      </c>
      <c r="G47" s="50">
        <v>2</v>
      </c>
      <c r="H47" s="50">
        <v>0</v>
      </c>
      <c r="I47" s="50">
        <v>9</v>
      </c>
      <c r="J47" s="50">
        <v>1</v>
      </c>
      <c r="K47" s="50">
        <v>2</v>
      </c>
      <c r="L47" s="50">
        <v>1</v>
      </c>
      <c r="M47" s="50">
        <v>102</v>
      </c>
      <c r="N47" s="50">
        <v>0</v>
      </c>
      <c r="O47" s="15">
        <f t="shared" si="0"/>
        <v>45</v>
      </c>
      <c r="P47" s="15">
        <f t="shared" si="1"/>
        <v>147</v>
      </c>
      <c r="R47" s="8"/>
      <c r="T47"/>
    </row>
    <row r="48" spans="2:20" ht="23.1" customHeight="1" x14ac:dyDescent="0.25">
      <c r="B48" s="24" t="s">
        <v>75</v>
      </c>
      <c r="C48" s="50">
        <v>17</v>
      </c>
      <c r="D48" s="50">
        <v>1</v>
      </c>
      <c r="E48" s="50">
        <v>2</v>
      </c>
      <c r="F48" s="50">
        <v>9</v>
      </c>
      <c r="G48" s="50">
        <v>2</v>
      </c>
      <c r="H48" s="50">
        <v>0</v>
      </c>
      <c r="I48" s="50">
        <v>3</v>
      </c>
      <c r="J48" s="50">
        <v>0</v>
      </c>
      <c r="K48" s="50">
        <v>0</v>
      </c>
      <c r="L48" s="50">
        <v>1</v>
      </c>
      <c r="M48" s="50">
        <v>103</v>
      </c>
      <c r="N48" s="50">
        <v>0</v>
      </c>
      <c r="O48" s="15">
        <f t="shared" si="0"/>
        <v>35</v>
      </c>
      <c r="P48" s="15">
        <f t="shared" si="1"/>
        <v>138</v>
      </c>
      <c r="R48" s="8"/>
      <c r="T48"/>
    </row>
    <row r="49" spans="2:20" ht="23.1" customHeight="1" x14ac:dyDescent="0.25">
      <c r="B49" s="23" t="s">
        <v>76</v>
      </c>
      <c r="C49" s="50">
        <v>10</v>
      </c>
      <c r="D49" s="50">
        <v>0</v>
      </c>
      <c r="E49" s="50">
        <v>2</v>
      </c>
      <c r="F49" s="50">
        <v>7</v>
      </c>
      <c r="G49" s="50">
        <v>0</v>
      </c>
      <c r="H49" s="50">
        <v>0</v>
      </c>
      <c r="I49" s="50">
        <v>5</v>
      </c>
      <c r="J49" s="50">
        <v>3</v>
      </c>
      <c r="K49" s="50">
        <v>0</v>
      </c>
      <c r="L49" s="50">
        <v>0</v>
      </c>
      <c r="M49" s="50">
        <v>71</v>
      </c>
      <c r="N49" s="50">
        <v>0</v>
      </c>
      <c r="O49" s="15">
        <f t="shared" si="0"/>
        <v>27</v>
      </c>
      <c r="P49" s="15">
        <f t="shared" si="1"/>
        <v>98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0</v>
      </c>
      <c r="E50" s="50">
        <v>2</v>
      </c>
      <c r="F50" s="50">
        <v>4</v>
      </c>
      <c r="G50" s="50">
        <v>0</v>
      </c>
      <c r="H50" s="50">
        <v>0</v>
      </c>
      <c r="I50" s="50">
        <v>5</v>
      </c>
      <c r="J50" s="50">
        <v>2</v>
      </c>
      <c r="K50" s="50">
        <v>1</v>
      </c>
      <c r="L50" s="50">
        <v>1</v>
      </c>
      <c r="M50" s="50">
        <v>48</v>
      </c>
      <c r="N50" s="50">
        <v>0</v>
      </c>
      <c r="O50" s="15">
        <f t="shared" si="0"/>
        <v>23</v>
      </c>
      <c r="P50" s="15">
        <f t="shared" si="1"/>
        <v>71</v>
      </c>
      <c r="R50" s="8"/>
      <c r="T50"/>
    </row>
    <row r="51" spans="2:20" ht="23.1" customHeight="1" x14ac:dyDescent="0.25">
      <c r="B51" s="24" t="s">
        <v>78</v>
      </c>
      <c r="C51" s="50">
        <v>21</v>
      </c>
      <c r="D51" s="50">
        <v>2</v>
      </c>
      <c r="E51" s="50">
        <v>5</v>
      </c>
      <c r="F51" s="50">
        <v>6</v>
      </c>
      <c r="G51" s="50">
        <v>0</v>
      </c>
      <c r="H51" s="50">
        <v>0</v>
      </c>
      <c r="I51" s="50">
        <v>6</v>
      </c>
      <c r="J51" s="50">
        <v>1</v>
      </c>
      <c r="K51" s="50">
        <v>0</v>
      </c>
      <c r="L51" s="50">
        <v>1</v>
      </c>
      <c r="M51" s="50">
        <v>90</v>
      </c>
      <c r="N51" s="50">
        <v>0</v>
      </c>
      <c r="O51" s="15">
        <f t="shared" si="0"/>
        <v>42</v>
      </c>
      <c r="P51" s="15">
        <f t="shared" si="1"/>
        <v>132</v>
      </c>
      <c r="R51" s="8"/>
      <c r="T51"/>
    </row>
    <row r="52" spans="2:20" ht="23.1" customHeight="1" x14ac:dyDescent="0.25">
      <c r="B52" s="24" t="s">
        <v>79</v>
      </c>
      <c r="C52" s="50">
        <v>18</v>
      </c>
      <c r="D52" s="50">
        <v>1</v>
      </c>
      <c r="E52" s="50">
        <v>6</v>
      </c>
      <c r="F52" s="50">
        <v>15</v>
      </c>
      <c r="G52" s="50">
        <v>1</v>
      </c>
      <c r="H52" s="50">
        <v>0</v>
      </c>
      <c r="I52" s="50">
        <v>7</v>
      </c>
      <c r="J52" s="50">
        <v>0</v>
      </c>
      <c r="K52" s="50">
        <v>1</v>
      </c>
      <c r="L52" s="50">
        <v>0</v>
      </c>
      <c r="M52" s="50">
        <v>89</v>
      </c>
      <c r="N52" s="50">
        <v>0</v>
      </c>
      <c r="O52" s="15">
        <f t="shared" si="0"/>
        <v>49</v>
      </c>
      <c r="P52" s="15">
        <f t="shared" si="1"/>
        <v>138</v>
      </c>
      <c r="R52" s="8"/>
      <c r="T52"/>
    </row>
    <row r="53" spans="2:20" ht="23.1" customHeight="1" x14ac:dyDescent="0.25">
      <c r="B53" s="23" t="s">
        <v>80</v>
      </c>
      <c r="C53" s="50">
        <v>25</v>
      </c>
      <c r="D53" s="50">
        <v>3</v>
      </c>
      <c r="E53" s="50">
        <v>0</v>
      </c>
      <c r="F53" s="50">
        <v>11</v>
      </c>
      <c r="G53" s="50">
        <v>2</v>
      </c>
      <c r="H53" s="50">
        <v>0</v>
      </c>
      <c r="I53" s="50">
        <v>4</v>
      </c>
      <c r="J53" s="50">
        <v>1</v>
      </c>
      <c r="K53" s="50">
        <v>0</v>
      </c>
      <c r="L53" s="50">
        <v>1</v>
      </c>
      <c r="M53" s="50">
        <v>92</v>
      </c>
      <c r="N53" s="50">
        <v>0</v>
      </c>
      <c r="O53" s="15">
        <f t="shared" si="0"/>
        <v>47</v>
      </c>
      <c r="P53" s="15">
        <f t="shared" si="1"/>
        <v>139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0</v>
      </c>
      <c r="E54" s="50">
        <v>3</v>
      </c>
      <c r="F54" s="50">
        <v>9</v>
      </c>
      <c r="G54" s="50">
        <v>2</v>
      </c>
      <c r="H54" s="50">
        <v>0</v>
      </c>
      <c r="I54" s="50">
        <v>7</v>
      </c>
      <c r="J54" s="50">
        <v>1</v>
      </c>
      <c r="K54" s="50">
        <v>1</v>
      </c>
      <c r="L54" s="50">
        <v>0</v>
      </c>
      <c r="M54" s="50">
        <v>69</v>
      </c>
      <c r="N54" s="50">
        <v>1</v>
      </c>
      <c r="O54" s="15">
        <f t="shared" si="0"/>
        <v>32</v>
      </c>
      <c r="P54" s="15">
        <f t="shared" si="1"/>
        <v>101</v>
      </c>
      <c r="R54" s="8"/>
      <c r="T54"/>
    </row>
    <row r="55" spans="2:20" ht="23.1" customHeight="1" x14ac:dyDescent="0.25">
      <c r="B55" s="23" t="s">
        <v>82</v>
      </c>
      <c r="C55" s="50">
        <v>17</v>
      </c>
      <c r="D55" s="50">
        <v>1</v>
      </c>
      <c r="E55" s="50">
        <v>1</v>
      </c>
      <c r="F55" s="50">
        <v>8</v>
      </c>
      <c r="G55" s="50">
        <v>0</v>
      </c>
      <c r="H55" s="50">
        <v>0</v>
      </c>
      <c r="I55" s="50">
        <v>5</v>
      </c>
      <c r="J55" s="50">
        <v>2</v>
      </c>
      <c r="K55" s="50">
        <v>0</v>
      </c>
      <c r="L55" s="50">
        <v>0</v>
      </c>
      <c r="M55" s="50">
        <v>99</v>
      </c>
      <c r="N55" s="50">
        <v>0</v>
      </c>
      <c r="O55" s="15">
        <f t="shared" si="0"/>
        <v>34</v>
      </c>
      <c r="P55" s="15">
        <f t="shared" si="1"/>
        <v>133</v>
      </c>
      <c r="R55" s="8"/>
      <c r="T55"/>
    </row>
    <row r="56" spans="2:20" ht="23.1" customHeight="1" x14ac:dyDescent="0.25">
      <c r="B56" s="23" t="s">
        <v>83</v>
      </c>
      <c r="C56" s="50">
        <v>15</v>
      </c>
      <c r="D56" s="50">
        <v>3</v>
      </c>
      <c r="E56" s="50">
        <v>7</v>
      </c>
      <c r="F56" s="50">
        <v>8</v>
      </c>
      <c r="G56" s="50">
        <v>0</v>
      </c>
      <c r="H56" s="50">
        <v>0</v>
      </c>
      <c r="I56" s="50">
        <v>6</v>
      </c>
      <c r="J56" s="50">
        <v>1</v>
      </c>
      <c r="K56" s="50">
        <v>0</v>
      </c>
      <c r="L56" s="50">
        <v>0</v>
      </c>
      <c r="M56" s="50">
        <v>102</v>
      </c>
      <c r="N56" s="50">
        <v>0</v>
      </c>
      <c r="O56" s="15">
        <f t="shared" si="0"/>
        <v>40</v>
      </c>
      <c r="P56" s="15">
        <f t="shared" si="1"/>
        <v>142</v>
      </c>
      <c r="R56" s="8"/>
      <c r="T56"/>
    </row>
    <row r="57" spans="2:20" ht="23.1" customHeight="1" x14ac:dyDescent="0.25">
      <c r="B57" s="23" t="s">
        <v>84</v>
      </c>
      <c r="C57" s="50">
        <v>18</v>
      </c>
      <c r="D57" s="50">
        <v>5</v>
      </c>
      <c r="E57" s="50">
        <v>3</v>
      </c>
      <c r="F57" s="50">
        <v>11</v>
      </c>
      <c r="G57" s="50">
        <v>1</v>
      </c>
      <c r="H57" s="50">
        <v>1</v>
      </c>
      <c r="I57" s="50">
        <v>1</v>
      </c>
      <c r="J57" s="50">
        <v>0</v>
      </c>
      <c r="K57" s="50">
        <v>1</v>
      </c>
      <c r="L57" s="50">
        <v>0</v>
      </c>
      <c r="M57" s="50">
        <v>79</v>
      </c>
      <c r="N57" s="50">
        <v>0</v>
      </c>
      <c r="O57" s="15">
        <f t="shared" si="0"/>
        <v>41</v>
      </c>
      <c r="P57" s="15">
        <f t="shared" si="1"/>
        <v>120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893</v>
      </c>
      <c r="D58" s="16">
        <f t="shared" si="21"/>
        <v>119</v>
      </c>
      <c r="E58" s="16">
        <f t="shared" si="21"/>
        <v>194</v>
      </c>
      <c r="F58" s="16">
        <f t="shared" si="21"/>
        <v>363</v>
      </c>
      <c r="G58" s="16">
        <f t="shared" si="21"/>
        <v>37</v>
      </c>
      <c r="H58" s="16">
        <f t="shared" si="21"/>
        <v>5</v>
      </c>
      <c r="I58" s="16">
        <f t="shared" si="21"/>
        <v>276</v>
      </c>
      <c r="J58" s="16">
        <f t="shared" si="21"/>
        <v>76</v>
      </c>
      <c r="K58" s="16">
        <f t="shared" si="21"/>
        <v>27</v>
      </c>
      <c r="L58" s="16">
        <f t="shared" si="21"/>
        <v>108</v>
      </c>
      <c r="M58" s="16">
        <f t="shared" si="21"/>
        <v>3603</v>
      </c>
      <c r="N58" s="16">
        <f t="shared" si="21"/>
        <v>3</v>
      </c>
      <c r="O58" s="16">
        <f t="shared" si="21"/>
        <v>2101</v>
      </c>
      <c r="P58" s="16">
        <f t="shared" si="21"/>
        <v>5704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0.15655680224403928</v>
      </c>
      <c r="D59" s="43">
        <f t="shared" si="22"/>
        <v>2.0862552594670406E-2</v>
      </c>
      <c r="E59" s="43">
        <f t="shared" si="22"/>
        <v>3.4011220196353435E-2</v>
      </c>
      <c r="F59" s="43">
        <f t="shared" si="22"/>
        <v>6.3639551192145857E-2</v>
      </c>
      <c r="G59" s="43">
        <f t="shared" si="22"/>
        <v>6.4866760168302944E-3</v>
      </c>
      <c r="H59" s="43">
        <f t="shared" si="22"/>
        <v>8.7657784011220194E-4</v>
      </c>
      <c r="I59" s="43">
        <f t="shared" si="22"/>
        <v>4.8387096774193547E-2</v>
      </c>
      <c r="J59" s="43">
        <f t="shared" si="22"/>
        <v>1.3323983169705469E-2</v>
      </c>
      <c r="K59" s="43">
        <f t="shared" si="22"/>
        <v>4.7335203366058905E-3</v>
      </c>
      <c r="L59" s="43">
        <f t="shared" si="22"/>
        <v>1.8934081346423562E-2</v>
      </c>
      <c r="M59" s="43">
        <f t="shared" si="22"/>
        <v>0.6316619915848527</v>
      </c>
      <c r="N59" s="43">
        <f t="shared" si="22"/>
        <v>5.2594670406732116E-4</v>
      </c>
      <c r="R59" s="8"/>
      <c r="T59"/>
    </row>
    <row r="60" spans="2:20" ht="23.1" customHeight="1" x14ac:dyDescent="0.25">
      <c r="B60" s="42" t="s">
        <v>94</v>
      </c>
      <c r="C60" s="44">
        <f>C58/$O$58</f>
        <v>0.42503569728700619</v>
      </c>
      <c r="D60" s="44">
        <f t="shared" ref="D60:N60" si="23">D58/$O$58</f>
        <v>5.6639695383150883E-2</v>
      </c>
      <c r="E60" s="44">
        <f t="shared" si="23"/>
        <v>9.2336982389338407E-2</v>
      </c>
      <c r="F60" s="44">
        <f t="shared" si="23"/>
        <v>0.17277486910994763</v>
      </c>
      <c r="G60" s="44">
        <f t="shared" si="23"/>
        <v>1.7610661589719183E-2</v>
      </c>
      <c r="H60" s="44">
        <f t="shared" si="23"/>
        <v>2.3798191337458352E-3</v>
      </c>
      <c r="I60" s="44">
        <f t="shared" si="23"/>
        <v>0.13136601618277011</v>
      </c>
      <c r="J60" s="44">
        <f t="shared" si="23"/>
        <v>3.6173250832936696E-2</v>
      </c>
      <c r="K60" s="44">
        <f t="shared" si="23"/>
        <v>1.285102332222751E-2</v>
      </c>
      <c r="L60" s="44">
        <f t="shared" si="23"/>
        <v>5.140409328891004E-2</v>
      </c>
      <c r="M60" s="44"/>
      <c r="N60" s="44">
        <f t="shared" si="23"/>
        <v>1.4278914802475012E-3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/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 KATOSI-MUKONO'!C3:G3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'31.10 MUKONO-KATOSI'!D5</f>
        <v>31.10.2019</v>
      </c>
      <c r="E5" s="3"/>
      <c r="F5" s="41" t="s">
        <v>1</v>
      </c>
      <c r="G5" s="53" t="str">
        <f>'29.10-MUKONO-KATOSI'!G5:H5</f>
        <v>LUV GUEST HOUSE</v>
      </c>
      <c r="H5" s="54"/>
      <c r="I5" s="14"/>
      <c r="J5" s="2" t="s">
        <v>5</v>
      </c>
      <c r="K5" s="53" t="s">
        <v>170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tr">
        <f>'29.10 KATOSI-MUKONO'!D6:E6</f>
        <v>KATOSI</v>
      </c>
      <c r="E6" s="54"/>
      <c r="F6" s="2" t="s">
        <v>2</v>
      </c>
      <c r="G6" s="53" t="str">
        <f>'29.10 KATOSI-MUKONO'!G6:H6</f>
        <v>MUKONO</v>
      </c>
      <c r="H6" s="54"/>
      <c r="J6" s="2" t="s">
        <v>21</v>
      </c>
      <c r="K6" s="53" t="str">
        <f>'29.10-MUKONO-KATOSI'!K6:L6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</v>
      </c>
      <c r="D10" s="50">
        <v>0</v>
      </c>
      <c r="E10" s="50">
        <v>1</v>
      </c>
      <c r="F10" s="50">
        <v>8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111</v>
      </c>
      <c r="N10" s="50">
        <v>0</v>
      </c>
      <c r="O10" s="15">
        <f t="shared" ref="O10:O57" si="0">SUM(C10:L10,N10)</f>
        <v>16</v>
      </c>
      <c r="P10" s="15">
        <f t="shared" ref="P10:P57" si="1">SUM(C10:N10)</f>
        <v>127</v>
      </c>
      <c r="R10" s="1" t="s">
        <v>6</v>
      </c>
      <c r="S10" s="17">
        <f t="shared" ref="S10:AF10" si="2">SUM(C10:C13)</f>
        <v>48</v>
      </c>
      <c r="T10" s="17">
        <f t="shared" si="2"/>
        <v>5</v>
      </c>
      <c r="U10" s="17">
        <f t="shared" si="2"/>
        <v>8</v>
      </c>
      <c r="V10" s="17">
        <f t="shared" si="2"/>
        <v>33</v>
      </c>
      <c r="W10" s="17">
        <f t="shared" si="2"/>
        <v>2</v>
      </c>
      <c r="X10" s="17">
        <f t="shared" si="2"/>
        <v>0</v>
      </c>
      <c r="Y10" s="17">
        <f t="shared" si="2"/>
        <v>10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348</v>
      </c>
      <c r="AD10" s="17">
        <f t="shared" si="2"/>
        <v>0</v>
      </c>
      <c r="AE10" s="31">
        <f t="shared" si="2"/>
        <v>108</v>
      </c>
      <c r="AF10" s="31">
        <f t="shared" si="2"/>
        <v>456</v>
      </c>
    </row>
    <row r="11" spans="2:32" s="6" customFormat="1" ht="23.1" customHeight="1" x14ac:dyDescent="0.25">
      <c r="B11" s="23" t="s">
        <v>38</v>
      </c>
      <c r="C11" s="50">
        <v>11</v>
      </c>
      <c r="D11" s="50">
        <v>1</v>
      </c>
      <c r="E11" s="50">
        <v>2</v>
      </c>
      <c r="F11" s="50">
        <v>10</v>
      </c>
      <c r="G11" s="50">
        <v>1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93</v>
      </c>
      <c r="N11" s="50">
        <v>0</v>
      </c>
      <c r="O11" s="15">
        <f t="shared" si="0"/>
        <v>26</v>
      </c>
      <c r="P11" s="15">
        <f t="shared" si="1"/>
        <v>119</v>
      </c>
      <c r="R11" s="1" t="s">
        <v>7</v>
      </c>
      <c r="S11" s="17">
        <f t="shared" ref="S11:AF11" si="3">SUM(C14:C17)</f>
        <v>22</v>
      </c>
      <c r="T11" s="17">
        <f t="shared" si="3"/>
        <v>13</v>
      </c>
      <c r="U11" s="17">
        <f t="shared" si="3"/>
        <v>5</v>
      </c>
      <c r="V11" s="17">
        <f t="shared" si="3"/>
        <v>36</v>
      </c>
      <c r="W11" s="17">
        <f t="shared" si="3"/>
        <v>1</v>
      </c>
      <c r="X11" s="17">
        <f t="shared" si="3"/>
        <v>0</v>
      </c>
      <c r="Y11" s="17">
        <f t="shared" si="3"/>
        <v>19</v>
      </c>
      <c r="Z11" s="17">
        <f t="shared" si="3"/>
        <v>1</v>
      </c>
      <c r="AA11" s="17">
        <f t="shared" si="3"/>
        <v>1</v>
      </c>
      <c r="AB11" s="17">
        <f t="shared" si="3"/>
        <v>1</v>
      </c>
      <c r="AC11" s="17">
        <f t="shared" si="3"/>
        <v>369</v>
      </c>
      <c r="AD11" s="17">
        <f t="shared" si="3"/>
        <v>0</v>
      </c>
      <c r="AE11" s="31">
        <f t="shared" si="3"/>
        <v>99</v>
      </c>
      <c r="AF11" s="31">
        <f t="shared" si="3"/>
        <v>468</v>
      </c>
    </row>
    <row r="12" spans="2:32" ht="23.1" customHeight="1" x14ac:dyDescent="0.25">
      <c r="B12" s="23" t="s">
        <v>39</v>
      </c>
      <c r="C12" s="50">
        <v>17</v>
      </c>
      <c r="D12" s="50">
        <v>1</v>
      </c>
      <c r="E12" s="50">
        <v>1</v>
      </c>
      <c r="F12" s="50">
        <v>8</v>
      </c>
      <c r="G12" s="50">
        <v>1</v>
      </c>
      <c r="H12" s="50">
        <v>0</v>
      </c>
      <c r="I12" s="50">
        <v>4</v>
      </c>
      <c r="J12" s="50">
        <v>1</v>
      </c>
      <c r="K12" s="50">
        <v>0</v>
      </c>
      <c r="L12" s="50">
        <v>0</v>
      </c>
      <c r="M12" s="50">
        <v>84</v>
      </c>
      <c r="N12" s="50">
        <v>0</v>
      </c>
      <c r="O12" s="15">
        <f t="shared" si="0"/>
        <v>33</v>
      </c>
      <c r="P12" s="15">
        <f t="shared" si="1"/>
        <v>117</v>
      </c>
      <c r="R12" s="1" t="s">
        <v>8</v>
      </c>
      <c r="S12" s="17">
        <f t="shared" ref="S12:AF12" si="4">SUM(C18:C21)</f>
        <v>24</v>
      </c>
      <c r="T12" s="17">
        <f t="shared" si="4"/>
        <v>11</v>
      </c>
      <c r="U12" s="17">
        <f t="shared" si="4"/>
        <v>6</v>
      </c>
      <c r="V12" s="17">
        <f t="shared" si="4"/>
        <v>16</v>
      </c>
      <c r="W12" s="17">
        <f t="shared" si="4"/>
        <v>3</v>
      </c>
      <c r="X12" s="17">
        <f t="shared" si="4"/>
        <v>1</v>
      </c>
      <c r="Y12" s="17">
        <f t="shared" si="4"/>
        <v>16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480</v>
      </c>
      <c r="AD12" s="17">
        <f t="shared" si="4"/>
        <v>0</v>
      </c>
      <c r="AE12" s="31">
        <f t="shared" si="4"/>
        <v>79</v>
      </c>
      <c r="AF12" s="31">
        <f t="shared" si="4"/>
        <v>559</v>
      </c>
    </row>
    <row r="13" spans="2:32" ht="23.1" customHeight="1" x14ac:dyDescent="0.25">
      <c r="B13" s="23" t="s">
        <v>40</v>
      </c>
      <c r="C13" s="50">
        <v>13</v>
      </c>
      <c r="D13" s="50">
        <v>3</v>
      </c>
      <c r="E13" s="50">
        <v>4</v>
      </c>
      <c r="F13" s="50">
        <v>7</v>
      </c>
      <c r="G13" s="50">
        <v>0</v>
      </c>
      <c r="H13" s="50">
        <v>0</v>
      </c>
      <c r="I13" s="50">
        <v>5</v>
      </c>
      <c r="J13" s="50">
        <v>0</v>
      </c>
      <c r="K13" s="50">
        <v>1</v>
      </c>
      <c r="L13" s="50">
        <v>0</v>
      </c>
      <c r="M13" s="50">
        <v>60</v>
      </c>
      <c r="N13" s="50">
        <v>0</v>
      </c>
      <c r="O13" s="15">
        <f t="shared" si="0"/>
        <v>33</v>
      </c>
      <c r="P13" s="15">
        <f t="shared" si="1"/>
        <v>93</v>
      </c>
      <c r="R13" s="1" t="s">
        <v>9</v>
      </c>
      <c r="S13" s="17">
        <f t="shared" ref="S13:AF13" si="5">SUM(C22:C25)</f>
        <v>29</v>
      </c>
      <c r="T13" s="17">
        <f t="shared" si="5"/>
        <v>8</v>
      </c>
      <c r="U13" s="17">
        <f t="shared" si="5"/>
        <v>10</v>
      </c>
      <c r="V13" s="17">
        <f t="shared" si="5"/>
        <v>27</v>
      </c>
      <c r="W13" s="17">
        <f t="shared" si="5"/>
        <v>0</v>
      </c>
      <c r="X13" s="17">
        <f t="shared" si="5"/>
        <v>0</v>
      </c>
      <c r="Y13" s="17">
        <f t="shared" si="5"/>
        <v>24</v>
      </c>
      <c r="Z13" s="17">
        <f t="shared" si="5"/>
        <v>5</v>
      </c>
      <c r="AA13" s="17">
        <f t="shared" si="5"/>
        <v>1</v>
      </c>
      <c r="AB13" s="17">
        <f t="shared" si="5"/>
        <v>1</v>
      </c>
      <c r="AC13" s="17">
        <f t="shared" si="5"/>
        <v>459</v>
      </c>
      <c r="AD13" s="17">
        <f t="shared" si="5"/>
        <v>0</v>
      </c>
      <c r="AE13" s="31">
        <f t="shared" si="5"/>
        <v>105</v>
      </c>
      <c r="AF13" s="31">
        <f t="shared" si="5"/>
        <v>564</v>
      </c>
    </row>
    <row r="14" spans="2:32" ht="23.1" customHeight="1" x14ac:dyDescent="0.25">
      <c r="B14" s="23" t="s">
        <v>41</v>
      </c>
      <c r="C14" s="50">
        <v>10</v>
      </c>
      <c r="D14" s="50">
        <v>7</v>
      </c>
      <c r="E14" s="50">
        <v>1</v>
      </c>
      <c r="F14" s="50">
        <v>12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102</v>
      </c>
      <c r="N14" s="50">
        <v>0</v>
      </c>
      <c r="O14" s="15">
        <f t="shared" si="0"/>
        <v>34</v>
      </c>
      <c r="P14" s="15">
        <f t="shared" si="1"/>
        <v>136</v>
      </c>
      <c r="R14" s="1" t="s">
        <v>10</v>
      </c>
      <c r="S14" s="17">
        <f t="shared" ref="S14:AF14" si="6">SUM(C26:C29)</f>
        <v>34</v>
      </c>
      <c r="T14" s="17">
        <f t="shared" si="6"/>
        <v>15</v>
      </c>
      <c r="U14" s="17">
        <f t="shared" si="6"/>
        <v>9</v>
      </c>
      <c r="V14" s="17">
        <f t="shared" si="6"/>
        <v>29</v>
      </c>
      <c r="W14" s="17">
        <f t="shared" si="6"/>
        <v>2</v>
      </c>
      <c r="X14" s="17">
        <f t="shared" si="6"/>
        <v>0</v>
      </c>
      <c r="Y14" s="17">
        <f t="shared" si="6"/>
        <v>31</v>
      </c>
      <c r="Z14" s="17">
        <f t="shared" si="6"/>
        <v>4</v>
      </c>
      <c r="AA14" s="17">
        <f t="shared" si="6"/>
        <v>1</v>
      </c>
      <c r="AB14" s="17">
        <f t="shared" si="6"/>
        <v>3</v>
      </c>
      <c r="AC14" s="17">
        <f t="shared" si="6"/>
        <v>430</v>
      </c>
      <c r="AD14" s="17">
        <f t="shared" si="6"/>
        <v>2</v>
      </c>
      <c r="AE14" s="31">
        <f t="shared" si="6"/>
        <v>130</v>
      </c>
      <c r="AF14" s="31">
        <f t="shared" si="6"/>
        <v>560</v>
      </c>
    </row>
    <row r="15" spans="2:32" ht="23.1" customHeight="1" x14ac:dyDescent="0.25">
      <c r="B15" s="23" t="s">
        <v>42</v>
      </c>
      <c r="C15" s="50">
        <v>7</v>
      </c>
      <c r="D15" s="50">
        <v>2</v>
      </c>
      <c r="E15" s="50">
        <v>2</v>
      </c>
      <c r="F15" s="50">
        <v>5</v>
      </c>
      <c r="G15" s="50">
        <v>1</v>
      </c>
      <c r="H15" s="50">
        <v>0</v>
      </c>
      <c r="I15" s="50">
        <v>10</v>
      </c>
      <c r="J15" s="50">
        <v>0</v>
      </c>
      <c r="K15" s="50">
        <v>1</v>
      </c>
      <c r="L15" s="50">
        <v>0</v>
      </c>
      <c r="M15" s="50">
        <v>91</v>
      </c>
      <c r="N15" s="50">
        <v>0</v>
      </c>
      <c r="O15" s="15">
        <f t="shared" si="0"/>
        <v>28</v>
      </c>
      <c r="P15" s="15">
        <f t="shared" si="1"/>
        <v>119</v>
      </c>
      <c r="R15" s="1" t="s">
        <v>11</v>
      </c>
      <c r="S15" s="17">
        <f t="shared" ref="S15:AF15" si="7">SUM(C30:C33)</f>
        <v>23</v>
      </c>
      <c r="T15" s="17">
        <f t="shared" si="7"/>
        <v>12</v>
      </c>
      <c r="U15" s="17">
        <f t="shared" si="7"/>
        <v>6</v>
      </c>
      <c r="V15" s="17">
        <f t="shared" si="7"/>
        <v>16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3</v>
      </c>
      <c r="AA15" s="17">
        <f t="shared" si="7"/>
        <v>1</v>
      </c>
      <c r="AB15" s="17">
        <f t="shared" si="7"/>
        <v>143</v>
      </c>
      <c r="AC15" s="17">
        <f t="shared" si="7"/>
        <v>251</v>
      </c>
      <c r="AD15" s="17">
        <f t="shared" si="7"/>
        <v>0</v>
      </c>
      <c r="AE15" s="31">
        <f t="shared" si="7"/>
        <v>209</v>
      </c>
      <c r="AF15" s="31">
        <f t="shared" si="7"/>
        <v>460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12</v>
      </c>
      <c r="G16" s="50">
        <v>0</v>
      </c>
      <c r="H16" s="50">
        <v>0</v>
      </c>
      <c r="I16" s="50">
        <v>5</v>
      </c>
      <c r="J16" s="50">
        <v>1</v>
      </c>
      <c r="K16" s="50">
        <v>0</v>
      </c>
      <c r="L16" s="50">
        <v>0</v>
      </c>
      <c r="M16" s="50">
        <v>94</v>
      </c>
      <c r="N16" s="50">
        <v>0</v>
      </c>
      <c r="O16" s="15">
        <f t="shared" si="0"/>
        <v>20</v>
      </c>
      <c r="P16" s="15">
        <f t="shared" si="1"/>
        <v>114</v>
      </c>
      <c r="R16" s="1" t="s">
        <v>12</v>
      </c>
      <c r="S16" s="17">
        <f t="shared" ref="S16:AF16" si="8">SUM(C34:C37)</f>
        <v>14</v>
      </c>
      <c r="T16" s="17">
        <f t="shared" si="8"/>
        <v>9</v>
      </c>
      <c r="U16" s="17">
        <f t="shared" si="8"/>
        <v>4</v>
      </c>
      <c r="V16" s="17">
        <f t="shared" si="8"/>
        <v>16</v>
      </c>
      <c r="W16" s="17">
        <f t="shared" si="8"/>
        <v>1</v>
      </c>
      <c r="X16" s="17">
        <f t="shared" si="8"/>
        <v>0</v>
      </c>
      <c r="Y16" s="17">
        <f t="shared" si="8"/>
        <v>8</v>
      </c>
      <c r="Z16" s="17">
        <f t="shared" si="8"/>
        <v>4</v>
      </c>
      <c r="AA16" s="17">
        <f t="shared" si="8"/>
        <v>4</v>
      </c>
      <c r="AB16" s="17">
        <f t="shared" si="8"/>
        <v>0</v>
      </c>
      <c r="AC16" s="17">
        <f t="shared" si="8"/>
        <v>427</v>
      </c>
      <c r="AD16" s="17">
        <f t="shared" si="8"/>
        <v>0</v>
      </c>
      <c r="AE16" s="31">
        <f t="shared" si="8"/>
        <v>60</v>
      </c>
      <c r="AF16" s="31">
        <f t="shared" si="8"/>
        <v>487</v>
      </c>
    </row>
    <row r="17" spans="2:32" ht="23.1" customHeight="1" x14ac:dyDescent="0.25">
      <c r="B17" s="23" t="s">
        <v>44</v>
      </c>
      <c r="C17" s="50">
        <v>4</v>
      </c>
      <c r="D17" s="50">
        <v>3</v>
      </c>
      <c r="E17" s="50">
        <v>2</v>
      </c>
      <c r="F17" s="50">
        <v>7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1</v>
      </c>
      <c r="M17" s="50">
        <v>82</v>
      </c>
      <c r="N17" s="50">
        <v>0</v>
      </c>
      <c r="O17" s="15">
        <f t="shared" si="0"/>
        <v>17</v>
      </c>
      <c r="P17" s="15">
        <f t="shared" si="1"/>
        <v>99</v>
      </c>
      <c r="R17" s="1" t="s">
        <v>13</v>
      </c>
      <c r="S17" s="17">
        <f t="shared" ref="S17:AF17" si="9">SUM(C38:C41)</f>
        <v>19</v>
      </c>
      <c r="T17" s="17">
        <f t="shared" si="9"/>
        <v>7</v>
      </c>
      <c r="U17" s="17">
        <f t="shared" si="9"/>
        <v>6</v>
      </c>
      <c r="V17" s="17">
        <f t="shared" si="9"/>
        <v>11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0</v>
      </c>
      <c r="AA17" s="17">
        <f t="shared" si="9"/>
        <v>1</v>
      </c>
      <c r="AB17" s="17">
        <f t="shared" si="9"/>
        <v>1</v>
      </c>
      <c r="AC17" s="17">
        <f t="shared" si="9"/>
        <v>300</v>
      </c>
      <c r="AD17" s="17">
        <f t="shared" si="9"/>
        <v>0</v>
      </c>
      <c r="AE17" s="31">
        <f t="shared" si="9"/>
        <v>53</v>
      </c>
      <c r="AF17" s="31">
        <f t="shared" si="9"/>
        <v>353</v>
      </c>
    </row>
    <row r="18" spans="2:32" ht="23.1" customHeight="1" x14ac:dyDescent="0.25">
      <c r="B18" s="23" t="s">
        <v>45</v>
      </c>
      <c r="C18" s="50">
        <v>15</v>
      </c>
      <c r="D18" s="50">
        <v>4</v>
      </c>
      <c r="E18" s="50">
        <v>2</v>
      </c>
      <c r="F18" s="50">
        <v>12</v>
      </c>
      <c r="G18" s="50">
        <v>0</v>
      </c>
      <c r="H18" s="50">
        <v>1</v>
      </c>
      <c r="I18" s="50">
        <v>8</v>
      </c>
      <c r="J18" s="50">
        <v>1</v>
      </c>
      <c r="K18" s="50">
        <v>0</v>
      </c>
      <c r="L18" s="50">
        <v>0</v>
      </c>
      <c r="M18" s="50">
        <v>141</v>
      </c>
      <c r="N18" s="50">
        <v>0</v>
      </c>
      <c r="O18" s="15">
        <f t="shared" si="0"/>
        <v>43</v>
      </c>
      <c r="P18" s="15">
        <f t="shared" si="1"/>
        <v>184</v>
      </c>
      <c r="R18" s="1" t="s">
        <v>14</v>
      </c>
      <c r="S18" s="17">
        <f t="shared" ref="S18:AF18" si="10">SUM(C42:C45)</f>
        <v>35</v>
      </c>
      <c r="T18" s="17">
        <f t="shared" si="10"/>
        <v>24</v>
      </c>
      <c r="U18" s="17">
        <f t="shared" si="10"/>
        <v>12</v>
      </c>
      <c r="V18" s="17">
        <f t="shared" si="10"/>
        <v>28</v>
      </c>
      <c r="W18" s="17">
        <f t="shared" si="10"/>
        <v>0</v>
      </c>
      <c r="X18" s="17">
        <f t="shared" si="10"/>
        <v>0</v>
      </c>
      <c r="Y18" s="17">
        <f t="shared" si="10"/>
        <v>25</v>
      </c>
      <c r="Z18" s="17">
        <f t="shared" si="10"/>
        <v>7</v>
      </c>
      <c r="AA18" s="17">
        <f t="shared" si="10"/>
        <v>0</v>
      </c>
      <c r="AB18" s="17">
        <f t="shared" si="10"/>
        <v>1</v>
      </c>
      <c r="AC18" s="17">
        <f t="shared" si="10"/>
        <v>162</v>
      </c>
      <c r="AD18" s="17">
        <f t="shared" si="10"/>
        <v>0</v>
      </c>
      <c r="AE18" s="31">
        <f t="shared" si="10"/>
        <v>132</v>
      </c>
      <c r="AF18" s="31">
        <f t="shared" si="10"/>
        <v>294</v>
      </c>
    </row>
    <row r="19" spans="2:32" ht="23.1" customHeight="1" x14ac:dyDescent="0.25">
      <c r="B19" s="23" t="s">
        <v>46</v>
      </c>
      <c r="C19" s="50">
        <v>4</v>
      </c>
      <c r="D19" s="50">
        <v>4</v>
      </c>
      <c r="E19" s="50">
        <v>2</v>
      </c>
      <c r="F19" s="50">
        <v>0</v>
      </c>
      <c r="G19" s="50">
        <v>1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83</v>
      </c>
      <c r="N19" s="50">
        <v>0</v>
      </c>
      <c r="O19" s="15">
        <f t="shared" si="0"/>
        <v>13</v>
      </c>
      <c r="P19" s="15">
        <f t="shared" si="1"/>
        <v>96</v>
      </c>
      <c r="R19" s="1" t="s">
        <v>15</v>
      </c>
      <c r="S19" s="17">
        <f t="shared" ref="S19:AF19" si="11">SUM(C46:C49)</f>
        <v>45</v>
      </c>
      <c r="T19" s="17">
        <f t="shared" si="11"/>
        <v>30</v>
      </c>
      <c r="U19" s="17">
        <f t="shared" si="11"/>
        <v>16</v>
      </c>
      <c r="V19" s="17">
        <f t="shared" si="11"/>
        <v>38</v>
      </c>
      <c r="W19" s="17">
        <f t="shared" si="11"/>
        <v>4</v>
      </c>
      <c r="X19" s="17">
        <f t="shared" si="11"/>
        <v>0</v>
      </c>
      <c r="Y19" s="17">
        <f t="shared" si="11"/>
        <v>23</v>
      </c>
      <c r="Z19" s="17">
        <f t="shared" si="11"/>
        <v>4</v>
      </c>
      <c r="AA19" s="17">
        <f t="shared" si="11"/>
        <v>0</v>
      </c>
      <c r="AB19" s="17">
        <f t="shared" si="11"/>
        <v>3</v>
      </c>
      <c r="AC19" s="17">
        <f t="shared" si="11"/>
        <v>327</v>
      </c>
      <c r="AD19" s="17">
        <f t="shared" si="11"/>
        <v>0</v>
      </c>
      <c r="AE19" s="31">
        <f t="shared" si="11"/>
        <v>163</v>
      </c>
      <c r="AF19" s="31">
        <f t="shared" si="11"/>
        <v>490</v>
      </c>
    </row>
    <row r="20" spans="2:32" ht="23.1" customHeight="1" x14ac:dyDescent="0.25">
      <c r="B20" s="23" t="s">
        <v>47</v>
      </c>
      <c r="C20" s="50">
        <v>2</v>
      </c>
      <c r="D20" s="50">
        <v>2</v>
      </c>
      <c r="E20" s="50">
        <v>1</v>
      </c>
      <c r="F20" s="50">
        <v>2</v>
      </c>
      <c r="G20" s="50">
        <v>0</v>
      </c>
      <c r="H20" s="50">
        <v>0</v>
      </c>
      <c r="I20" s="50">
        <v>2</v>
      </c>
      <c r="J20" s="50">
        <v>0</v>
      </c>
      <c r="K20" s="50">
        <v>1</v>
      </c>
      <c r="L20" s="50">
        <v>0</v>
      </c>
      <c r="M20" s="50">
        <v>122</v>
      </c>
      <c r="N20" s="50">
        <v>0</v>
      </c>
      <c r="O20" s="15">
        <f t="shared" si="0"/>
        <v>10</v>
      </c>
      <c r="P20" s="15">
        <f t="shared" si="1"/>
        <v>132</v>
      </c>
      <c r="R20" s="1" t="s">
        <v>16</v>
      </c>
      <c r="S20" s="17">
        <f t="shared" ref="S20:AF20" si="12">SUM(C50:C53)</f>
        <v>24</v>
      </c>
      <c r="T20" s="17">
        <f t="shared" si="12"/>
        <v>17</v>
      </c>
      <c r="U20" s="17">
        <f t="shared" si="12"/>
        <v>6</v>
      </c>
      <c r="V20" s="17">
        <f t="shared" si="12"/>
        <v>26</v>
      </c>
      <c r="W20" s="17">
        <f t="shared" si="12"/>
        <v>2</v>
      </c>
      <c r="X20" s="17">
        <f t="shared" si="12"/>
        <v>1</v>
      </c>
      <c r="Y20" s="17">
        <f t="shared" si="12"/>
        <v>9</v>
      </c>
      <c r="Z20" s="17">
        <f t="shared" si="12"/>
        <v>3</v>
      </c>
      <c r="AA20" s="17">
        <f t="shared" si="12"/>
        <v>0</v>
      </c>
      <c r="AB20" s="17">
        <f t="shared" si="12"/>
        <v>85</v>
      </c>
      <c r="AC20" s="17">
        <f t="shared" si="12"/>
        <v>207</v>
      </c>
      <c r="AD20" s="17">
        <f t="shared" si="12"/>
        <v>0</v>
      </c>
      <c r="AE20" s="31">
        <f t="shared" si="12"/>
        <v>173</v>
      </c>
      <c r="AF20" s="31">
        <f t="shared" si="12"/>
        <v>380</v>
      </c>
    </row>
    <row r="21" spans="2:32" ht="23.1" customHeight="1" x14ac:dyDescent="0.25">
      <c r="B21" s="23" t="s">
        <v>48</v>
      </c>
      <c r="C21" s="50">
        <v>3</v>
      </c>
      <c r="D21" s="50">
        <v>1</v>
      </c>
      <c r="E21" s="50">
        <v>1</v>
      </c>
      <c r="F21" s="50">
        <v>2</v>
      </c>
      <c r="G21" s="50">
        <v>2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134</v>
      </c>
      <c r="N21" s="50">
        <v>0</v>
      </c>
      <c r="O21" s="15">
        <f t="shared" si="0"/>
        <v>13</v>
      </c>
      <c r="P21" s="15">
        <f t="shared" si="1"/>
        <v>147</v>
      </c>
      <c r="R21" s="36" t="s">
        <v>20</v>
      </c>
      <c r="S21" s="34">
        <f t="shared" ref="S21:AF21" si="13">SUM(C54:C57)</f>
        <v>47</v>
      </c>
      <c r="T21" s="17">
        <f t="shared" si="13"/>
        <v>26</v>
      </c>
      <c r="U21" s="17">
        <f t="shared" si="13"/>
        <v>13</v>
      </c>
      <c r="V21" s="17">
        <f t="shared" si="13"/>
        <v>40</v>
      </c>
      <c r="W21" s="17">
        <f t="shared" si="13"/>
        <v>4</v>
      </c>
      <c r="X21" s="17">
        <f t="shared" si="13"/>
        <v>0</v>
      </c>
      <c r="Y21" s="17">
        <f t="shared" si="13"/>
        <v>15</v>
      </c>
      <c r="Z21" s="17">
        <f t="shared" si="13"/>
        <v>6</v>
      </c>
      <c r="AA21" s="17">
        <f t="shared" si="13"/>
        <v>1</v>
      </c>
      <c r="AB21" s="17">
        <f t="shared" si="13"/>
        <v>4</v>
      </c>
      <c r="AC21" s="17">
        <f t="shared" si="13"/>
        <v>257</v>
      </c>
      <c r="AD21" s="17">
        <f t="shared" si="13"/>
        <v>0</v>
      </c>
      <c r="AE21" s="31">
        <f t="shared" si="13"/>
        <v>156</v>
      </c>
      <c r="AF21" s="31">
        <f t="shared" si="13"/>
        <v>413</v>
      </c>
    </row>
    <row r="22" spans="2:32" ht="23.1" customHeight="1" x14ac:dyDescent="0.25">
      <c r="B22" s="23" t="s">
        <v>49</v>
      </c>
      <c r="C22" s="50">
        <v>7</v>
      </c>
      <c r="D22" s="50">
        <v>2</v>
      </c>
      <c r="E22" s="50">
        <v>2</v>
      </c>
      <c r="F22" s="50">
        <v>3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1</v>
      </c>
      <c r="M22" s="50">
        <v>142</v>
      </c>
      <c r="N22" s="50">
        <v>0</v>
      </c>
      <c r="O22" s="15">
        <f t="shared" si="0"/>
        <v>17</v>
      </c>
      <c r="P22" s="15">
        <f t="shared" si="1"/>
        <v>159</v>
      </c>
      <c r="R22" s="38" t="s">
        <v>90</v>
      </c>
      <c r="S22" s="39">
        <f>MAX(S10:S12)</f>
        <v>48</v>
      </c>
      <c r="T22" s="39">
        <f t="shared" ref="T22:AF22" si="14">MAX(T10:T12)</f>
        <v>13</v>
      </c>
      <c r="U22" s="39">
        <f t="shared" si="14"/>
        <v>8</v>
      </c>
      <c r="V22" s="39">
        <f t="shared" si="14"/>
        <v>36</v>
      </c>
      <c r="W22" s="39">
        <f t="shared" si="14"/>
        <v>3</v>
      </c>
      <c r="X22" s="39">
        <f t="shared" si="14"/>
        <v>1</v>
      </c>
      <c r="Y22" s="39">
        <f t="shared" si="14"/>
        <v>19</v>
      </c>
      <c r="Z22" s="39">
        <f t="shared" si="14"/>
        <v>1</v>
      </c>
      <c r="AA22" s="39">
        <f t="shared" si="14"/>
        <v>1</v>
      </c>
      <c r="AB22" s="39">
        <f t="shared" si="14"/>
        <v>1</v>
      </c>
      <c r="AC22" s="39">
        <f t="shared" si="14"/>
        <v>480</v>
      </c>
      <c r="AD22" s="39">
        <f t="shared" si="14"/>
        <v>0</v>
      </c>
      <c r="AE22" s="40">
        <f t="shared" si="14"/>
        <v>108</v>
      </c>
      <c r="AF22" s="40">
        <f t="shared" si="14"/>
        <v>559</v>
      </c>
    </row>
    <row r="23" spans="2:32" ht="23.1" customHeight="1" x14ac:dyDescent="0.25">
      <c r="B23" s="23" t="s">
        <v>50</v>
      </c>
      <c r="C23" s="50">
        <v>10</v>
      </c>
      <c r="D23" s="50">
        <v>4</v>
      </c>
      <c r="E23" s="50">
        <v>2</v>
      </c>
      <c r="F23" s="50">
        <v>10</v>
      </c>
      <c r="G23" s="50">
        <v>0</v>
      </c>
      <c r="H23" s="50">
        <v>0</v>
      </c>
      <c r="I23" s="50">
        <v>11</v>
      </c>
      <c r="J23" s="50">
        <v>4</v>
      </c>
      <c r="K23" s="50">
        <v>0</v>
      </c>
      <c r="L23" s="50">
        <v>0</v>
      </c>
      <c r="M23" s="50">
        <v>105</v>
      </c>
      <c r="N23" s="50">
        <v>0</v>
      </c>
      <c r="O23" s="15">
        <f t="shared" si="0"/>
        <v>41</v>
      </c>
      <c r="P23" s="15">
        <f t="shared" si="1"/>
        <v>146</v>
      </c>
      <c r="R23" s="38" t="s">
        <v>91</v>
      </c>
      <c r="S23" s="39">
        <f>MAX(S13:S18)</f>
        <v>35</v>
      </c>
      <c r="T23" s="39">
        <f t="shared" ref="T23:AF23" si="15">MAX(T13:T18)</f>
        <v>24</v>
      </c>
      <c r="U23" s="39">
        <f t="shared" si="15"/>
        <v>12</v>
      </c>
      <c r="V23" s="39">
        <f t="shared" si="15"/>
        <v>29</v>
      </c>
      <c r="W23" s="39">
        <f t="shared" si="15"/>
        <v>2</v>
      </c>
      <c r="X23" s="39">
        <f t="shared" si="15"/>
        <v>0</v>
      </c>
      <c r="Y23" s="39">
        <f t="shared" si="15"/>
        <v>31</v>
      </c>
      <c r="Z23" s="39">
        <f t="shared" si="15"/>
        <v>7</v>
      </c>
      <c r="AA23" s="39">
        <f t="shared" si="15"/>
        <v>4</v>
      </c>
      <c r="AB23" s="39">
        <f t="shared" si="15"/>
        <v>143</v>
      </c>
      <c r="AC23" s="39">
        <f t="shared" si="15"/>
        <v>459</v>
      </c>
      <c r="AD23" s="39">
        <f t="shared" si="15"/>
        <v>2</v>
      </c>
      <c r="AE23" s="40">
        <f t="shared" si="15"/>
        <v>209</v>
      </c>
      <c r="AF23" s="40">
        <f t="shared" si="15"/>
        <v>564</v>
      </c>
    </row>
    <row r="24" spans="2:32" ht="23.1" customHeight="1" x14ac:dyDescent="0.25">
      <c r="B24" s="23" t="s">
        <v>51</v>
      </c>
      <c r="C24" s="50">
        <v>9</v>
      </c>
      <c r="D24" s="50">
        <v>2</v>
      </c>
      <c r="E24" s="50">
        <v>4</v>
      </c>
      <c r="F24" s="50">
        <v>7</v>
      </c>
      <c r="G24" s="50">
        <v>0</v>
      </c>
      <c r="H24" s="50">
        <v>0</v>
      </c>
      <c r="I24" s="50">
        <v>7</v>
      </c>
      <c r="J24" s="50">
        <v>0</v>
      </c>
      <c r="K24" s="50">
        <v>0</v>
      </c>
      <c r="L24" s="50">
        <v>0</v>
      </c>
      <c r="M24" s="50">
        <v>132</v>
      </c>
      <c r="N24" s="50">
        <v>0</v>
      </c>
      <c r="O24" s="15">
        <f t="shared" si="0"/>
        <v>29</v>
      </c>
      <c r="P24" s="15">
        <f t="shared" si="1"/>
        <v>161</v>
      </c>
      <c r="R24" s="38" t="s">
        <v>92</v>
      </c>
      <c r="S24" s="39">
        <f>MAX(S19:S21)</f>
        <v>47</v>
      </c>
      <c r="T24" s="39">
        <f t="shared" ref="T24:AF24" si="16">MAX(T19:T21)</f>
        <v>30</v>
      </c>
      <c r="U24" s="39">
        <f t="shared" si="16"/>
        <v>16</v>
      </c>
      <c r="V24" s="39">
        <f t="shared" si="16"/>
        <v>40</v>
      </c>
      <c r="W24" s="39">
        <f t="shared" si="16"/>
        <v>4</v>
      </c>
      <c r="X24" s="39">
        <f t="shared" si="16"/>
        <v>1</v>
      </c>
      <c r="Y24" s="39">
        <f t="shared" si="16"/>
        <v>23</v>
      </c>
      <c r="Z24" s="39">
        <f t="shared" si="16"/>
        <v>6</v>
      </c>
      <c r="AA24" s="39">
        <f t="shared" si="16"/>
        <v>1</v>
      </c>
      <c r="AB24" s="39">
        <f t="shared" si="16"/>
        <v>85</v>
      </c>
      <c r="AC24" s="39">
        <f t="shared" si="16"/>
        <v>327</v>
      </c>
      <c r="AD24" s="39">
        <f t="shared" si="16"/>
        <v>0</v>
      </c>
      <c r="AE24" s="40">
        <f t="shared" si="16"/>
        <v>173</v>
      </c>
      <c r="AF24" s="40">
        <f t="shared" si="16"/>
        <v>490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2</v>
      </c>
      <c r="F25" s="50">
        <v>7</v>
      </c>
      <c r="G25" s="50">
        <v>0</v>
      </c>
      <c r="H25" s="50">
        <v>0</v>
      </c>
      <c r="I25" s="50">
        <v>4</v>
      </c>
      <c r="J25" s="50">
        <v>1</v>
      </c>
      <c r="K25" s="50">
        <v>1</v>
      </c>
      <c r="L25" s="50">
        <v>0</v>
      </c>
      <c r="M25" s="50">
        <v>80</v>
      </c>
      <c r="N25" s="50">
        <v>0</v>
      </c>
      <c r="O25" s="15">
        <f t="shared" si="0"/>
        <v>18</v>
      </c>
      <c r="P25" s="15">
        <f t="shared" si="1"/>
        <v>98</v>
      </c>
      <c r="R25" s="37" t="s">
        <v>85</v>
      </c>
      <c r="S25" s="35">
        <f t="shared" ref="S25:AF25" si="17">SUM(S10:S12)</f>
        <v>94</v>
      </c>
      <c r="T25" s="16">
        <f t="shared" si="17"/>
        <v>29</v>
      </c>
      <c r="U25" s="16">
        <f t="shared" si="17"/>
        <v>19</v>
      </c>
      <c r="V25" s="16">
        <f t="shared" si="17"/>
        <v>85</v>
      </c>
      <c r="W25" s="16">
        <f t="shared" si="17"/>
        <v>6</v>
      </c>
      <c r="X25" s="16">
        <f t="shared" si="17"/>
        <v>1</v>
      </c>
      <c r="Y25" s="16">
        <f t="shared" si="17"/>
        <v>45</v>
      </c>
      <c r="Z25" s="16">
        <f t="shared" si="17"/>
        <v>3</v>
      </c>
      <c r="AA25" s="16">
        <f t="shared" si="17"/>
        <v>3</v>
      </c>
      <c r="AB25" s="16">
        <f t="shared" si="17"/>
        <v>1</v>
      </c>
      <c r="AC25" s="16">
        <f t="shared" si="17"/>
        <v>1197</v>
      </c>
      <c r="AD25" s="16">
        <f t="shared" si="17"/>
        <v>0</v>
      </c>
      <c r="AE25" s="32">
        <f t="shared" si="17"/>
        <v>286</v>
      </c>
      <c r="AF25" s="32">
        <f t="shared" si="17"/>
        <v>1483</v>
      </c>
    </row>
    <row r="26" spans="2:32" ht="23.1" customHeight="1" x14ac:dyDescent="0.25">
      <c r="B26" s="23" t="s">
        <v>53</v>
      </c>
      <c r="C26" s="50">
        <v>5</v>
      </c>
      <c r="D26" s="50">
        <v>6</v>
      </c>
      <c r="E26" s="50">
        <v>1</v>
      </c>
      <c r="F26" s="50">
        <v>9</v>
      </c>
      <c r="G26" s="50">
        <v>0</v>
      </c>
      <c r="H26" s="50">
        <v>0</v>
      </c>
      <c r="I26" s="50">
        <v>9</v>
      </c>
      <c r="J26" s="50">
        <v>1</v>
      </c>
      <c r="K26" s="50">
        <v>0</v>
      </c>
      <c r="L26" s="50">
        <v>1</v>
      </c>
      <c r="M26" s="50">
        <v>122</v>
      </c>
      <c r="N26" s="50">
        <v>0</v>
      </c>
      <c r="O26" s="15">
        <f t="shared" si="0"/>
        <v>32</v>
      </c>
      <c r="P26" s="15">
        <f t="shared" si="1"/>
        <v>154</v>
      </c>
      <c r="R26" s="28" t="s">
        <v>86</v>
      </c>
      <c r="S26" s="16">
        <f t="shared" ref="S26:AF26" si="18">SUM(S13:S18)</f>
        <v>154</v>
      </c>
      <c r="T26" s="16">
        <f t="shared" si="18"/>
        <v>75</v>
      </c>
      <c r="U26" s="16">
        <f t="shared" si="18"/>
        <v>47</v>
      </c>
      <c r="V26" s="16">
        <f t="shared" si="18"/>
        <v>127</v>
      </c>
      <c r="W26" s="16">
        <f t="shared" si="18"/>
        <v>3</v>
      </c>
      <c r="X26" s="16">
        <f t="shared" si="18"/>
        <v>0</v>
      </c>
      <c r="Y26" s="16">
        <f t="shared" si="18"/>
        <v>101</v>
      </c>
      <c r="Z26" s="16">
        <f t="shared" si="18"/>
        <v>23</v>
      </c>
      <c r="AA26" s="16">
        <f t="shared" si="18"/>
        <v>8</v>
      </c>
      <c r="AB26" s="16">
        <f t="shared" si="18"/>
        <v>149</v>
      </c>
      <c r="AC26" s="16">
        <f t="shared" si="18"/>
        <v>2029</v>
      </c>
      <c r="AD26" s="16">
        <f t="shared" si="18"/>
        <v>2</v>
      </c>
      <c r="AE26" s="32">
        <f t="shared" si="18"/>
        <v>689</v>
      </c>
      <c r="AF26" s="32">
        <f t="shared" si="18"/>
        <v>2718</v>
      </c>
    </row>
    <row r="27" spans="2:32" ht="23.1" customHeight="1" x14ac:dyDescent="0.25">
      <c r="B27" s="23" t="s">
        <v>54</v>
      </c>
      <c r="C27" s="50">
        <v>6</v>
      </c>
      <c r="D27" s="50">
        <v>2</v>
      </c>
      <c r="E27" s="50">
        <v>2</v>
      </c>
      <c r="F27" s="50">
        <v>3</v>
      </c>
      <c r="G27" s="50">
        <v>0</v>
      </c>
      <c r="H27" s="50">
        <v>0</v>
      </c>
      <c r="I27" s="50">
        <v>3</v>
      </c>
      <c r="J27" s="50">
        <v>0</v>
      </c>
      <c r="K27" s="50">
        <v>1</v>
      </c>
      <c r="L27" s="50">
        <v>0</v>
      </c>
      <c r="M27" s="50">
        <v>55</v>
      </c>
      <c r="N27" s="50">
        <v>0</v>
      </c>
      <c r="O27" s="15">
        <f t="shared" si="0"/>
        <v>17</v>
      </c>
      <c r="P27" s="15">
        <f t="shared" si="1"/>
        <v>72</v>
      </c>
      <c r="R27" s="29" t="s">
        <v>87</v>
      </c>
      <c r="S27" s="16">
        <f t="shared" ref="S27:AF27" si="19">SUM(S19:S21)</f>
        <v>116</v>
      </c>
      <c r="T27" s="16">
        <f t="shared" si="19"/>
        <v>73</v>
      </c>
      <c r="U27" s="16">
        <f t="shared" si="19"/>
        <v>35</v>
      </c>
      <c r="V27" s="16">
        <f t="shared" si="19"/>
        <v>104</v>
      </c>
      <c r="W27" s="16">
        <f t="shared" si="19"/>
        <v>10</v>
      </c>
      <c r="X27" s="16">
        <f t="shared" si="19"/>
        <v>1</v>
      </c>
      <c r="Y27" s="16">
        <f t="shared" si="19"/>
        <v>47</v>
      </c>
      <c r="Z27" s="16">
        <f t="shared" si="19"/>
        <v>13</v>
      </c>
      <c r="AA27" s="16">
        <f t="shared" si="19"/>
        <v>1</v>
      </c>
      <c r="AB27" s="16">
        <f t="shared" si="19"/>
        <v>92</v>
      </c>
      <c r="AC27" s="16">
        <f t="shared" si="19"/>
        <v>791</v>
      </c>
      <c r="AD27" s="16">
        <f t="shared" si="19"/>
        <v>0</v>
      </c>
      <c r="AE27" s="32">
        <f t="shared" si="19"/>
        <v>492</v>
      </c>
      <c r="AF27" s="32">
        <f t="shared" si="19"/>
        <v>1283</v>
      </c>
    </row>
    <row r="28" spans="2:32" ht="23.1" customHeight="1" x14ac:dyDescent="0.25">
      <c r="B28" s="23" t="s">
        <v>55</v>
      </c>
      <c r="C28" s="50">
        <v>13</v>
      </c>
      <c r="D28" s="50">
        <v>3</v>
      </c>
      <c r="E28" s="50">
        <v>3</v>
      </c>
      <c r="F28" s="50">
        <v>11</v>
      </c>
      <c r="G28" s="50">
        <v>1</v>
      </c>
      <c r="H28" s="50">
        <v>0</v>
      </c>
      <c r="I28" s="50">
        <v>11</v>
      </c>
      <c r="J28" s="50">
        <v>2</v>
      </c>
      <c r="K28" s="50">
        <v>0</v>
      </c>
      <c r="L28" s="50">
        <v>1</v>
      </c>
      <c r="M28" s="50">
        <v>141</v>
      </c>
      <c r="N28" s="50">
        <v>1</v>
      </c>
      <c r="O28" s="15">
        <f t="shared" si="0"/>
        <v>46</v>
      </c>
      <c r="P28" s="15">
        <f t="shared" si="1"/>
        <v>187</v>
      </c>
      <c r="R28" s="5" t="s">
        <v>17</v>
      </c>
      <c r="S28" s="16">
        <f t="shared" ref="S28:AF28" si="20">SUM(S10:S21)</f>
        <v>364</v>
      </c>
      <c r="T28" s="16">
        <f t="shared" si="20"/>
        <v>177</v>
      </c>
      <c r="U28" s="16">
        <f t="shared" si="20"/>
        <v>101</v>
      </c>
      <c r="V28" s="16">
        <f t="shared" si="20"/>
        <v>316</v>
      </c>
      <c r="W28" s="16">
        <f t="shared" si="20"/>
        <v>19</v>
      </c>
      <c r="X28" s="16">
        <f t="shared" si="20"/>
        <v>2</v>
      </c>
      <c r="Y28" s="16">
        <f t="shared" si="20"/>
        <v>193</v>
      </c>
      <c r="Z28" s="16">
        <f t="shared" si="20"/>
        <v>39</v>
      </c>
      <c r="AA28" s="16">
        <f t="shared" si="20"/>
        <v>12</v>
      </c>
      <c r="AB28" s="16">
        <f t="shared" si="20"/>
        <v>242</v>
      </c>
      <c r="AC28" s="16">
        <f t="shared" si="20"/>
        <v>4017</v>
      </c>
      <c r="AD28" s="16">
        <f t="shared" si="20"/>
        <v>2</v>
      </c>
      <c r="AE28" s="32">
        <f t="shared" si="20"/>
        <v>1467</v>
      </c>
      <c r="AF28" s="32">
        <f t="shared" si="20"/>
        <v>5484</v>
      </c>
    </row>
    <row r="29" spans="2:32" ht="23.1" customHeight="1" x14ac:dyDescent="0.25">
      <c r="B29" s="23" t="s">
        <v>56</v>
      </c>
      <c r="C29" s="50">
        <v>10</v>
      </c>
      <c r="D29" s="50">
        <v>4</v>
      </c>
      <c r="E29" s="50">
        <v>3</v>
      </c>
      <c r="F29" s="50">
        <v>6</v>
      </c>
      <c r="G29" s="50">
        <v>1</v>
      </c>
      <c r="H29" s="50">
        <v>0</v>
      </c>
      <c r="I29" s="50">
        <v>8</v>
      </c>
      <c r="J29" s="50">
        <v>1</v>
      </c>
      <c r="K29" s="50">
        <v>0</v>
      </c>
      <c r="L29" s="50">
        <v>1</v>
      </c>
      <c r="M29" s="50">
        <v>112</v>
      </c>
      <c r="N29" s="50">
        <v>1</v>
      </c>
      <c r="O29" s="15">
        <f t="shared" si="0"/>
        <v>35</v>
      </c>
      <c r="P29" s="15">
        <f t="shared" si="1"/>
        <v>147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7</v>
      </c>
      <c r="E30" s="50">
        <v>1</v>
      </c>
      <c r="F30" s="50">
        <v>4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93</v>
      </c>
      <c r="N30" s="50">
        <v>0</v>
      </c>
      <c r="O30" s="15">
        <f t="shared" si="0"/>
        <v>19</v>
      </c>
      <c r="P30" s="15">
        <f t="shared" si="1"/>
        <v>112</v>
      </c>
    </row>
    <row r="31" spans="2:32" ht="23.1" customHeight="1" x14ac:dyDescent="0.25">
      <c r="B31" s="24" t="s">
        <v>58</v>
      </c>
      <c r="C31" s="50">
        <v>10</v>
      </c>
      <c r="D31" s="50">
        <v>2</v>
      </c>
      <c r="E31" s="50">
        <v>2</v>
      </c>
      <c r="F31" s="50">
        <v>4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96</v>
      </c>
      <c r="N31" s="50">
        <v>0</v>
      </c>
      <c r="O31" s="15">
        <f t="shared" si="0"/>
        <v>19</v>
      </c>
      <c r="P31" s="15">
        <f t="shared" si="1"/>
        <v>115</v>
      </c>
    </row>
    <row r="32" spans="2:32" ht="23.1" customHeight="1" x14ac:dyDescent="0.25">
      <c r="B32" s="24" t="s">
        <v>59</v>
      </c>
      <c r="C32" s="50">
        <v>5</v>
      </c>
      <c r="D32" s="50">
        <v>2</v>
      </c>
      <c r="E32" s="50">
        <v>2</v>
      </c>
      <c r="F32" s="50">
        <v>5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143</v>
      </c>
      <c r="M32" s="50">
        <v>0</v>
      </c>
      <c r="N32" s="50">
        <v>0</v>
      </c>
      <c r="O32" s="15">
        <f t="shared" si="0"/>
        <v>159</v>
      </c>
      <c r="P32" s="15">
        <f t="shared" si="1"/>
        <v>159</v>
      </c>
    </row>
    <row r="33" spans="2:20" ht="23.1" customHeight="1" x14ac:dyDescent="0.25">
      <c r="B33" s="23" t="s">
        <v>60</v>
      </c>
      <c r="C33" s="50">
        <v>4</v>
      </c>
      <c r="D33" s="50">
        <v>1</v>
      </c>
      <c r="E33" s="50">
        <v>1</v>
      </c>
      <c r="F33" s="50">
        <v>3</v>
      </c>
      <c r="G33" s="50">
        <v>0</v>
      </c>
      <c r="H33" s="50">
        <v>0</v>
      </c>
      <c r="I33" s="50">
        <v>0</v>
      </c>
      <c r="J33" s="50">
        <v>2</v>
      </c>
      <c r="K33" s="50">
        <v>1</v>
      </c>
      <c r="L33" s="50">
        <v>0</v>
      </c>
      <c r="M33" s="50">
        <v>62</v>
      </c>
      <c r="N33" s="50">
        <v>0</v>
      </c>
      <c r="O33" s="15">
        <f t="shared" si="0"/>
        <v>12</v>
      </c>
      <c r="P33" s="15">
        <f t="shared" si="1"/>
        <v>74</v>
      </c>
    </row>
    <row r="34" spans="2:20" ht="23.1" customHeight="1" x14ac:dyDescent="0.25">
      <c r="B34" s="24" t="s">
        <v>61</v>
      </c>
      <c r="C34" s="50">
        <v>1</v>
      </c>
      <c r="D34" s="50">
        <v>3</v>
      </c>
      <c r="E34" s="50">
        <v>3</v>
      </c>
      <c r="F34" s="50">
        <v>6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96</v>
      </c>
      <c r="N34" s="50">
        <v>0</v>
      </c>
      <c r="O34" s="15">
        <f t="shared" si="0"/>
        <v>16</v>
      </c>
      <c r="P34" s="15">
        <f t="shared" si="1"/>
        <v>112</v>
      </c>
    </row>
    <row r="35" spans="2:20" ht="23.1" customHeight="1" x14ac:dyDescent="0.25">
      <c r="B35" s="24" t="s">
        <v>62</v>
      </c>
      <c r="C35" s="50">
        <v>4</v>
      </c>
      <c r="D35" s="50">
        <v>3</v>
      </c>
      <c r="E35" s="50">
        <v>0</v>
      </c>
      <c r="F35" s="50">
        <v>1</v>
      </c>
      <c r="G35" s="50">
        <v>1</v>
      </c>
      <c r="H35" s="50">
        <v>0</v>
      </c>
      <c r="I35" s="50">
        <v>2</v>
      </c>
      <c r="J35" s="50">
        <v>1</v>
      </c>
      <c r="K35" s="50">
        <v>3</v>
      </c>
      <c r="L35" s="50">
        <v>0</v>
      </c>
      <c r="M35" s="50">
        <v>102</v>
      </c>
      <c r="N35" s="50">
        <v>0</v>
      </c>
      <c r="O35" s="15">
        <f t="shared" si="0"/>
        <v>15</v>
      </c>
      <c r="P35" s="15">
        <f t="shared" si="1"/>
        <v>117</v>
      </c>
    </row>
    <row r="36" spans="2:20" ht="23.1" customHeight="1" x14ac:dyDescent="0.25">
      <c r="B36" s="24" t="s">
        <v>63</v>
      </c>
      <c r="C36" s="50">
        <v>1</v>
      </c>
      <c r="D36" s="50">
        <v>3</v>
      </c>
      <c r="E36" s="50">
        <v>1</v>
      </c>
      <c r="F36" s="50">
        <v>6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98</v>
      </c>
      <c r="N36" s="50">
        <v>0</v>
      </c>
      <c r="O36" s="15">
        <f t="shared" si="0"/>
        <v>15</v>
      </c>
      <c r="P36" s="15">
        <f t="shared" si="1"/>
        <v>113</v>
      </c>
    </row>
    <row r="37" spans="2:20" ht="23.1" customHeight="1" x14ac:dyDescent="0.25">
      <c r="B37" s="23" t="s">
        <v>64</v>
      </c>
      <c r="C37" s="50">
        <v>8</v>
      </c>
      <c r="D37" s="50">
        <v>0</v>
      </c>
      <c r="E37" s="50">
        <v>0</v>
      </c>
      <c r="F37" s="50">
        <v>3</v>
      </c>
      <c r="G37" s="50">
        <v>0</v>
      </c>
      <c r="H37" s="50">
        <v>0</v>
      </c>
      <c r="I37" s="50">
        <v>1</v>
      </c>
      <c r="J37" s="50">
        <v>1</v>
      </c>
      <c r="K37" s="50">
        <v>1</v>
      </c>
      <c r="L37" s="50">
        <v>0</v>
      </c>
      <c r="M37" s="50">
        <v>131</v>
      </c>
      <c r="N37" s="50">
        <v>0</v>
      </c>
      <c r="O37" s="15">
        <f t="shared" si="0"/>
        <v>14</v>
      </c>
      <c r="P37" s="15">
        <f t="shared" si="1"/>
        <v>145</v>
      </c>
    </row>
    <row r="38" spans="2:20" ht="23.1" customHeight="1" x14ac:dyDescent="0.25">
      <c r="B38" s="24" t="s">
        <v>65</v>
      </c>
      <c r="C38" s="50">
        <v>8</v>
      </c>
      <c r="D38" s="50">
        <v>1</v>
      </c>
      <c r="E38" s="50">
        <v>1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1</v>
      </c>
      <c r="L38" s="50">
        <v>0</v>
      </c>
      <c r="M38" s="50">
        <v>102</v>
      </c>
      <c r="N38" s="50">
        <v>0</v>
      </c>
      <c r="O38" s="15">
        <f t="shared" si="0"/>
        <v>13</v>
      </c>
      <c r="P38" s="15">
        <f t="shared" si="1"/>
        <v>115</v>
      </c>
    </row>
    <row r="39" spans="2:20" ht="23.1" customHeight="1" x14ac:dyDescent="0.25">
      <c r="B39" s="24" t="s">
        <v>66</v>
      </c>
      <c r="C39" s="50">
        <v>4</v>
      </c>
      <c r="D39" s="50">
        <v>3</v>
      </c>
      <c r="E39" s="50">
        <v>1</v>
      </c>
      <c r="F39" s="50">
        <v>3</v>
      </c>
      <c r="G39" s="50">
        <v>0</v>
      </c>
      <c r="H39" s="50">
        <v>0</v>
      </c>
      <c r="I39" s="50">
        <v>5</v>
      </c>
      <c r="J39" s="50">
        <v>0</v>
      </c>
      <c r="K39" s="50">
        <v>0</v>
      </c>
      <c r="L39" s="50">
        <v>1</v>
      </c>
      <c r="M39" s="50">
        <v>90</v>
      </c>
      <c r="N39" s="50">
        <v>0</v>
      </c>
      <c r="O39" s="15">
        <f t="shared" si="0"/>
        <v>17</v>
      </c>
      <c r="P39" s="15">
        <f t="shared" si="1"/>
        <v>107</v>
      </c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3</v>
      </c>
      <c r="F40" s="50">
        <v>6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93</v>
      </c>
      <c r="N40" s="50">
        <v>0</v>
      </c>
      <c r="O40" s="15">
        <f t="shared" si="0"/>
        <v>12</v>
      </c>
      <c r="P40" s="15">
        <f t="shared" si="1"/>
        <v>105</v>
      </c>
    </row>
    <row r="41" spans="2:20" ht="23.1" customHeight="1" x14ac:dyDescent="0.25">
      <c r="B41" s="23" t="s">
        <v>68</v>
      </c>
      <c r="C41" s="50">
        <v>6</v>
      </c>
      <c r="D41" s="50">
        <v>2</v>
      </c>
      <c r="E41" s="50">
        <v>1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15</v>
      </c>
      <c r="N41" s="50">
        <v>0</v>
      </c>
      <c r="O41" s="15">
        <f t="shared" si="0"/>
        <v>11</v>
      </c>
      <c r="P41" s="15">
        <f t="shared" si="1"/>
        <v>26</v>
      </c>
    </row>
    <row r="42" spans="2:20" ht="23.1" customHeight="1" x14ac:dyDescent="0.25">
      <c r="B42" s="24" t="s">
        <v>69</v>
      </c>
      <c r="C42" s="50">
        <v>18</v>
      </c>
      <c r="D42" s="50">
        <v>7</v>
      </c>
      <c r="E42" s="50">
        <v>7</v>
      </c>
      <c r="F42" s="50">
        <v>17</v>
      </c>
      <c r="G42" s="50">
        <v>0</v>
      </c>
      <c r="H42" s="50">
        <v>0</v>
      </c>
      <c r="I42" s="50">
        <v>10</v>
      </c>
      <c r="J42" s="50">
        <v>1</v>
      </c>
      <c r="K42" s="50">
        <v>0</v>
      </c>
      <c r="L42" s="50">
        <v>0</v>
      </c>
      <c r="M42" s="50">
        <v>35</v>
      </c>
      <c r="N42" s="50">
        <v>0</v>
      </c>
      <c r="O42" s="15">
        <f t="shared" si="0"/>
        <v>60</v>
      </c>
      <c r="P42" s="15">
        <f t="shared" si="1"/>
        <v>95</v>
      </c>
    </row>
    <row r="43" spans="2:20" ht="23.1" customHeight="1" x14ac:dyDescent="0.25">
      <c r="B43" s="23" t="s">
        <v>70</v>
      </c>
      <c r="C43" s="50">
        <v>3</v>
      </c>
      <c r="D43" s="50">
        <v>11</v>
      </c>
      <c r="E43" s="50">
        <v>1</v>
      </c>
      <c r="F43" s="50">
        <v>6</v>
      </c>
      <c r="G43" s="50">
        <v>0</v>
      </c>
      <c r="H43" s="50">
        <v>0</v>
      </c>
      <c r="I43" s="50">
        <v>5</v>
      </c>
      <c r="J43" s="50">
        <v>3</v>
      </c>
      <c r="K43" s="50">
        <v>0</v>
      </c>
      <c r="L43" s="50">
        <v>0</v>
      </c>
      <c r="M43" s="50">
        <v>42</v>
      </c>
      <c r="N43" s="50">
        <v>0</v>
      </c>
      <c r="O43" s="15">
        <f t="shared" si="0"/>
        <v>29</v>
      </c>
      <c r="P43" s="15">
        <f t="shared" si="1"/>
        <v>71</v>
      </c>
    </row>
    <row r="44" spans="2:20" ht="23.1" customHeight="1" x14ac:dyDescent="0.25">
      <c r="B44" s="25" t="s">
        <v>71</v>
      </c>
      <c r="C44" s="50">
        <v>4</v>
      </c>
      <c r="D44" s="50">
        <v>2</v>
      </c>
      <c r="E44" s="50">
        <v>3</v>
      </c>
      <c r="F44" s="50">
        <v>1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1</v>
      </c>
      <c r="M44" s="50">
        <v>34</v>
      </c>
      <c r="N44" s="50">
        <v>0</v>
      </c>
      <c r="O44" s="15">
        <f t="shared" si="0"/>
        <v>14</v>
      </c>
      <c r="P44" s="15">
        <f t="shared" si="1"/>
        <v>48</v>
      </c>
    </row>
    <row r="45" spans="2:20" ht="23.1" customHeight="1" x14ac:dyDescent="0.25">
      <c r="B45" s="23" t="s">
        <v>72</v>
      </c>
      <c r="C45" s="50">
        <v>10</v>
      </c>
      <c r="D45" s="50">
        <v>4</v>
      </c>
      <c r="E45" s="50">
        <v>1</v>
      </c>
      <c r="F45" s="50">
        <v>4</v>
      </c>
      <c r="G45" s="50">
        <v>0</v>
      </c>
      <c r="H45" s="50">
        <v>0</v>
      </c>
      <c r="I45" s="50">
        <v>7</v>
      </c>
      <c r="J45" s="50">
        <v>3</v>
      </c>
      <c r="K45" s="50">
        <v>0</v>
      </c>
      <c r="L45" s="50">
        <v>0</v>
      </c>
      <c r="M45" s="50">
        <v>51</v>
      </c>
      <c r="N45" s="50">
        <v>0</v>
      </c>
      <c r="O45" s="15">
        <f t="shared" si="0"/>
        <v>29</v>
      </c>
      <c r="P45" s="15">
        <f t="shared" si="1"/>
        <v>80</v>
      </c>
    </row>
    <row r="46" spans="2:20" ht="23.1" customHeight="1" x14ac:dyDescent="0.25">
      <c r="B46" s="24" t="s">
        <v>73</v>
      </c>
      <c r="C46" s="50">
        <v>8</v>
      </c>
      <c r="D46" s="50">
        <v>4</v>
      </c>
      <c r="E46" s="50">
        <v>5</v>
      </c>
      <c r="F46" s="50">
        <v>8</v>
      </c>
      <c r="G46" s="50">
        <v>0</v>
      </c>
      <c r="H46" s="50">
        <v>0</v>
      </c>
      <c r="I46" s="50">
        <v>10</v>
      </c>
      <c r="J46" s="50">
        <v>0</v>
      </c>
      <c r="K46" s="50">
        <v>0</v>
      </c>
      <c r="L46" s="50">
        <v>1</v>
      </c>
      <c r="M46" s="50">
        <v>36</v>
      </c>
      <c r="N46" s="50">
        <v>0</v>
      </c>
      <c r="O46" s="15">
        <f t="shared" si="0"/>
        <v>36</v>
      </c>
      <c r="P46" s="15">
        <f t="shared" si="1"/>
        <v>72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10</v>
      </c>
      <c r="E47" s="50">
        <v>4</v>
      </c>
      <c r="F47" s="50">
        <v>15</v>
      </c>
      <c r="G47" s="50">
        <v>0</v>
      </c>
      <c r="H47" s="50">
        <v>0</v>
      </c>
      <c r="I47" s="50">
        <v>6</v>
      </c>
      <c r="J47" s="50">
        <v>0</v>
      </c>
      <c r="K47" s="50">
        <v>0</v>
      </c>
      <c r="L47" s="50">
        <v>1</v>
      </c>
      <c r="M47" s="50">
        <v>95</v>
      </c>
      <c r="N47" s="50">
        <v>0</v>
      </c>
      <c r="O47" s="15">
        <f t="shared" si="0"/>
        <v>43</v>
      </c>
      <c r="P47" s="15">
        <f t="shared" si="1"/>
        <v>138</v>
      </c>
      <c r="R47" s="8"/>
      <c r="T47"/>
    </row>
    <row r="48" spans="2:20" ht="23.1" customHeight="1" x14ac:dyDescent="0.25">
      <c r="B48" s="24" t="s">
        <v>75</v>
      </c>
      <c r="C48" s="50">
        <v>14</v>
      </c>
      <c r="D48" s="50">
        <v>6</v>
      </c>
      <c r="E48" s="50">
        <v>3</v>
      </c>
      <c r="F48" s="50">
        <v>7</v>
      </c>
      <c r="G48" s="50">
        <v>2</v>
      </c>
      <c r="H48" s="50">
        <v>0</v>
      </c>
      <c r="I48" s="50">
        <v>6</v>
      </c>
      <c r="J48" s="50">
        <v>1</v>
      </c>
      <c r="K48" s="50">
        <v>0</v>
      </c>
      <c r="L48" s="50">
        <v>1</v>
      </c>
      <c r="M48" s="50">
        <v>101</v>
      </c>
      <c r="N48" s="50">
        <v>0</v>
      </c>
      <c r="O48" s="15">
        <f t="shared" si="0"/>
        <v>40</v>
      </c>
      <c r="P48" s="15">
        <f t="shared" si="1"/>
        <v>141</v>
      </c>
      <c r="R48" s="8"/>
      <c r="T48"/>
    </row>
    <row r="49" spans="2:20" ht="23.1" customHeight="1" x14ac:dyDescent="0.25">
      <c r="B49" s="23" t="s">
        <v>76</v>
      </c>
      <c r="C49" s="50">
        <v>16</v>
      </c>
      <c r="D49" s="50">
        <v>10</v>
      </c>
      <c r="E49" s="50">
        <v>4</v>
      </c>
      <c r="F49" s="50">
        <v>8</v>
      </c>
      <c r="G49" s="50">
        <v>2</v>
      </c>
      <c r="H49" s="50">
        <v>0</v>
      </c>
      <c r="I49" s="50">
        <v>1</v>
      </c>
      <c r="J49" s="50">
        <v>3</v>
      </c>
      <c r="K49" s="50">
        <v>0</v>
      </c>
      <c r="L49" s="50">
        <v>0</v>
      </c>
      <c r="M49" s="50">
        <v>95</v>
      </c>
      <c r="N49" s="50">
        <v>0</v>
      </c>
      <c r="O49" s="15">
        <f t="shared" si="0"/>
        <v>44</v>
      </c>
      <c r="P49" s="15">
        <f t="shared" si="1"/>
        <v>139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5</v>
      </c>
      <c r="E50" s="50">
        <v>1</v>
      </c>
      <c r="F50" s="50">
        <v>8</v>
      </c>
      <c r="G50" s="50">
        <v>0</v>
      </c>
      <c r="H50" s="50">
        <v>1</v>
      </c>
      <c r="I50" s="50">
        <v>0</v>
      </c>
      <c r="J50" s="50">
        <v>0</v>
      </c>
      <c r="K50" s="50">
        <v>0</v>
      </c>
      <c r="L50" s="50">
        <v>85</v>
      </c>
      <c r="M50" s="50">
        <v>0</v>
      </c>
      <c r="N50" s="50">
        <v>0</v>
      </c>
      <c r="O50" s="15">
        <f t="shared" si="0"/>
        <v>104</v>
      </c>
      <c r="P50" s="15">
        <f t="shared" si="1"/>
        <v>104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3</v>
      </c>
      <c r="E51" s="50">
        <v>1</v>
      </c>
      <c r="F51" s="50">
        <v>5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76</v>
      </c>
      <c r="N51" s="50">
        <v>0</v>
      </c>
      <c r="O51" s="15">
        <f t="shared" si="0"/>
        <v>14</v>
      </c>
      <c r="P51" s="15">
        <f t="shared" si="1"/>
        <v>90</v>
      </c>
      <c r="R51" s="8"/>
      <c r="T51"/>
    </row>
    <row r="52" spans="2:20" ht="23.1" customHeight="1" x14ac:dyDescent="0.25">
      <c r="B52" s="24" t="s">
        <v>79</v>
      </c>
      <c r="C52" s="50">
        <v>11</v>
      </c>
      <c r="D52" s="50">
        <v>6</v>
      </c>
      <c r="E52" s="50">
        <v>2</v>
      </c>
      <c r="F52" s="50">
        <v>7</v>
      </c>
      <c r="G52" s="50">
        <v>0</v>
      </c>
      <c r="H52" s="50">
        <v>0</v>
      </c>
      <c r="I52" s="50">
        <v>4</v>
      </c>
      <c r="J52" s="50">
        <v>2</v>
      </c>
      <c r="K52" s="50">
        <v>0</v>
      </c>
      <c r="L52" s="50">
        <v>0</v>
      </c>
      <c r="M52" s="50">
        <v>56</v>
      </c>
      <c r="N52" s="50">
        <v>0</v>
      </c>
      <c r="O52" s="15">
        <f t="shared" si="0"/>
        <v>32</v>
      </c>
      <c r="P52" s="15">
        <f t="shared" si="1"/>
        <v>88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3</v>
      </c>
      <c r="E53" s="50">
        <v>2</v>
      </c>
      <c r="F53" s="50">
        <v>6</v>
      </c>
      <c r="G53" s="50">
        <v>2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75</v>
      </c>
      <c r="N53" s="50">
        <v>0</v>
      </c>
      <c r="O53" s="15">
        <f t="shared" si="0"/>
        <v>23</v>
      </c>
      <c r="P53" s="15">
        <f t="shared" si="1"/>
        <v>98</v>
      </c>
      <c r="R53" s="8"/>
      <c r="T53"/>
    </row>
    <row r="54" spans="2:20" ht="23.1" customHeight="1" x14ac:dyDescent="0.25">
      <c r="B54" s="23" t="s">
        <v>81</v>
      </c>
      <c r="C54" s="50">
        <v>9</v>
      </c>
      <c r="D54" s="50">
        <v>3</v>
      </c>
      <c r="E54" s="50">
        <v>1</v>
      </c>
      <c r="F54" s="50">
        <v>7</v>
      </c>
      <c r="G54" s="50">
        <v>1</v>
      </c>
      <c r="H54" s="50">
        <v>0</v>
      </c>
      <c r="I54" s="50">
        <v>2</v>
      </c>
      <c r="J54" s="50">
        <v>1</v>
      </c>
      <c r="K54" s="50">
        <v>1</v>
      </c>
      <c r="L54" s="50">
        <v>0</v>
      </c>
      <c r="M54" s="50">
        <v>76</v>
      </c>
      <c r="N54" s="50">
        <v>0</v>
      </c>
      <c r="O54" s="15">
        <f t="shared" si="0"/>
        <v>25</v>
      </c>
      <c r="P54" s="15">
        <f t="shared" si="1"/>
        <v>101</v>
      </c>
      <c r="R54" s="8"/>
      <c r="T54"/>
    </row>
    <row r="55" spans="2:20" ht="23.1" customHeight="1" x14ac:dyDescent="0.25">
      <c r="B55" s="23" t="s">
        <v>82</v>
      </c>
      <c r="C55" s="50">
        <v>19</v>
      </c>
      <c r="D55" s="50">
        <v>11</v>
      </c>
      <c r="E55" s="50">
        <v>6</v>
      </c>
      <c r="F55" s="50">
        <v>11</v>
      </c>
      <c r="G55" s="50">
        <v>2</v>
      </c>
      <c r="H55" s="50">
        <v>0</v>
      </c>
      <c r="I55" s="50">
        <v>6</v>
      </c>
      <c r="J55" s="50">
        <v>2</v>
      </c>
      <c r="K55" s="50">
        <v>0</v>
      </c>
      <c r="L55" s="50">
        <v>3</v>
      </c>
      <c r="M55" s="50">
        <v>61</v>
      </c>
      <c r="N55" s="50">
        <v>0</v>
      </c>
      <c r="O55" s="15">
        <f t="shared" si="0"/>
        <v>60</v>
      </c>
      <c r="P55" s="15">
        <f t="shared" si="1"/>
        <v>121</v>
      </c>
      <c r="R55" s="8"/>
      <c r="T55"/>
    </row>
    <row r="56" spans="2:20" ht="23.1" customHeight="1" x14ac:dyDescent="0.25">
      <c r="B56" s="23" t="s">
        <v>83</v>
      </c>
      <c r="C56" s="50">
        <v>10</v>
      </c>
      <c r="D56" s="50">
        <v>4</v>
      </c>
      <c r="E56" s="50">
        <v>1</v>
      </c>
      <c r="F56" s="50">
        <v>13</v>
      </c>
      <c r="G56" s="50">
        <v>1</v>
      </c>
      <c r="H56" s="50">
        <v>0</v>
      </c>
      <c r="I56" s="50">
        <v>6</v>
      </c>
      <c r="J56" s="50">
        <v>2</v>
      </c>
      <c r="K56" s="50">
        <v>0</v>
      </c>
      <c r="L56" s="50">
        <v>0</v>
      </c>
      <c r="M56" s="50">
        <v>65</v>
      </c>
      <c r="N56" s="50">
        <v>0</v>
      </c>
      <c r="O56" s="15">
        <f t="shared" si="0"/>
        <v>37</v>
      </c>
      <c r="P56" s="15">
        <f t="shared" si="1"/>
        <v>102</v>
      </c>
      <c r="R56" s="8"/>
      <c r="T56"/>
    </row>
    <row r="57" spans="2:20" ht="23.1" customHeight="1" x14ac:dyDescent="0.25">
      <c r="B57" s="23" t="s">
        <v>84</v>
      </c>
      <c r="C57" s="50">
        <v>9</v>
      </c>
      <c r="D57" s="50">
        <v>8</v>
      </c>
      <c r="E57" s="50">
        <v>5</v>
      </c>
      <c r="F57" s="50">
        <v>9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1</v>
      </c>
      <c r="M57" s="50">
        <v>55</v>
      </c>
      <c r="N57" s="50">
        <v>0</v>
      </c>
      <c r="O57" s="15">
        <f t="shared" si="0"/>
        <v>34</v>
      </c>
      <c r="P57" s="15">
        <f t="shared" si="1"/>
        <v>89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364</v>
      </c>
      <c r="D58" s="16">
        <f t="shared" si="21"/>
        <v>177</v>
      </c>
      <c r="E58" s="16">
        <f t="shared" si="21"/>
        <v>101</v>
      </c>
      <c r="F58" s="16">
        <f t="shared" si="21"/>
        <v>316</v>
      </c>
      <c r="G58" s="16">
        <f t="shared" si="21"/>
        <v>19</v>
      </c>
      <c r="H58" s="16">
        <f t="shared" si="21"/>
        <v>2</v>
      </c>
      <c r="I58" s="16">
        <f t="shared" si="21"/>
        <v>193</v>
      </c>
      <c r="J58" s="16">
        <f t="shared" si="21"/>
        <v>39</v>
      </c>
      <c r="K58" s="16">
        <f t="shared" si="21"/>
        <v>12</v>
      </c>
      <c r="L58" s="16">
        <f t="shared" si="21"/>
        <v>242</v>
      </c>
      <c r="M58" s="16">
        <f t="shared" si="21"/>
        <v>4017</v>
      </c>
      <c r="N58" s="16">
        <f t="shared" si="21"/>
        <v>2</v>
      </c>
      <c r="O58" s="16">
        <f t="shared" si="21"/>
        <v>1467</v>
      </c>
      <c r="P58" s="16">
        <f t="shared" si="21"/>
        <v>5484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6.6374908825674692E-2</v>
      </c>
      <c r="D59" s="43">
        <f t="shared" si="22"/>
        <v>3.2275711159737416E-2</v>
      </c>
      <c r="E59" s="43">
        <f t="shared" si="22"/>
        <v>1.8417213712618525E-2</v>
      </c>
      <c r="F59" s="43">
        <f t="shared" si="22"/>
        <v>5.7622173595915392E-2</v>
      </c>
      <c r="G59" s="43">
        <f t="shared" si="22"/>
        <v>3.4646243617797228E-3</v>
      </c>
      <c r="H59" s="43">
        <f t="shared" si="22"/>
        <v>3.6469730123997083E-4</v>
      </c>
      <c r="I59" s="43">
        <f t="shared" si="22"/>
        <v>3.5193289569657185E-2</v>
      </c>
      <c r="J59" s="43">
        <f t="shared" si="22"/>
        <v>7.1115973741794312E-3</v>
      </c>
      <c r="K59" s="43">
        <f t="shared" si="22"/>
        <v>2.1881838074398249E-3</v>
      </c>
      <c r="L59" s="43">
        <f t="shared" si="22"/>
        <v>4.4128373450036472E-2</v>
      </c>
      <c r="M59" s="43">
        <f t="shared" si="22"/>
        <v>0.73249452954048144</v>
      </c>
      <c r="N59" s="43">
        <f t="shared" si="22"/>
        <v>3.6469730123997083E-4</v>
      </c>
      <c r="R59" s="8"/>
      <c r="T59"/>
    </row>
    <row r="60" spans="2:20" ht="23.1" customHeight="1" x14ac:dyDescent="0.25">
      <c r="B60" s="42" t="s">
        <v>94</v>
      </c>
      <c r="C60" s="44">
        <f>C58/$O$58</f>
        <v>0.24812542603953647</v>
      </c>
      <c r="D60" s="44">
        <f t="shared" ref="D60:N60" si="23">D58/$O$58</f>
        <v>0.12065439672801637</v>
      </c>
      <c r="E60" s="44">
        <f t="shared" si="23"/>
        <v>6.8847989093387865E-2</v>
      </c>
      <c r="F60" s="44">
        <f t="shared" si="23"/>
        <v>0.21540558963871848</v>
      </c>
      <c r="G60" s="44">
        <f t="shared" si="23"/>
        <v>1.2951601908657124E-2</v>
      </c>
      <c r="H60" s="44">
        <f t="shared" si="23"/>
        <v>1.3633265167007499E-3</v>
      </c>
      <c r="I60" s="44">
        <f t="shared" si="23"/>
        <v>0.13156100886162236</v>
      </c>
      <c r="J60" s="44">
        <f t="shared" si="23"/>
        <v>2.6584867075664622E-2</v>
      </c>
      <c r="K60" s="44">
        <f t="shared" si="23"/>
        <v>8.1799591002044997E-3</v>
      </c>
      <c r="L60" s="44">
        <f t="shared" si="23"/>
        <v>0.16496250852079072</v>
      </c>
      <c r="M60" s="44"/>
      <c r="N60" s="44">
        <f t="shared" si="23"/>
        <v>1.3633265167007499E-3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40" zoomScale="60" workbookViewId="0">
      <selection activeCell="H16" sqref="H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9" t="str">
        <f>'29.10-MUKONO-KATOSI'!C3:G3</f>
        <v>MCC - C2 - STN077 - KATOSI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'1.11 KATOSI-MUKONO-24hr'!D5</f>
        <v>1.11.2019</v>
      </c>
      <c r="E5" s="3"/>
      <c r="F5" s="41" t="s">
        <v>1</v>
      </c>
      <c r="G5" s="53" t="s">
        <v>178</v>
      </c>
      <c r="H5" s="54"/>
      <c r="I5" s="14"/>
      <c r="J5" s="2" t="s">
        <v>5</v>
      </c>
      <c r="K5" s="53" t="s">
        <v>177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">
        <v>165</v>
      </c>
      <c r="E6" s="54"/>
      <c r="F6" s="2" t="s">
        <v>2</v>
      </c>
      <c r="G6" s="53" t="str">
        <f>'30.10 MUKONO-KATOSI'!G6:H6</f>
        <v>KATOSI</v>
      </c>
      <c r="H6" s="54"/>
      <c r="J6" s="2" t="s">
        <v>21</v>
      </c>
      <c r="K6" s="53" t="str">
        <f>'1.11 KATOSI-MUKONO-24hr'!K6:L6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13</v>
      </c>
      <c r="D10" s="50">
        <v>1</v>
      </c>
      <c r="E10" s="50">
        <v>5</v>
      </c>
      <c r="F10" s="50">
        <v>10</v>
      </c>
      <c r="G10" s="50">
        <v>2</v>
      </c>
      <c r="H10" s="50">
        <v>0</v>
      </c>
      <c r="I10" s="50">
        <v>6</v>
      </c>
      <c r="J10" s="50">
        <v>0</v>
      </c>
      <c r="K10" s="50">
        <v>1</v>
      </c>
      <c r="L10" s="50">
        <v>0</v>
      </c>
      <c r="M10" s="50">
        <v>99</v>
      </c>
      <c r="N10" s="50">
        <v>0</v>
      </c>
      <c r="O10" s="15">
        <f t="shared" ref="O10:O73" si="0">SUM(C10:L10,N10)</f>
        <v>38</v>
      </c>
      <c r="P10" s="15">
        <f t="shared" ref="P10:P73" si="1">SUM(C10:N10)</f>
        <v>137</v>
      </c>
      <c r="R10" s="1" t="s">
        <v>6</v>
      </c>
      <c r="S10" s="17">
        <f t="shared" ref="S10:AF10" si="2">SUM(C10:C13)</f>
        <v>49</v>
      </c>
      <c r="T10" s="17">
        <f t="shared" si="2"/>
        <v>3</v>
      </c>
      <c r="U10" s="17">
        <f t="shared" si="2"/>
        <v>16</v>
      </c>
      <c r="V10" s="17">
        <f t="shared" si="2"/>
        <v>26</v>
      </c>
      <c r="W10" s="17">
        <f t="shared" si="2"/>
        <v>4</v>
      </c>
      <c r="X10" s="17">
        <f t="shared" si="2"/>
        <v>0</v>
      </c>
      <c r="Y10" s="17">
        <f t="shared" si="2"/>
        <v>23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401</v>
      </c>
      <c r="AD10" s="17">
        <f t="shared" si="2"/>
        <v>0</v>
      </c>
      <c r="AE10" s="31">
        <f t="shared" si="2"/>
        <v>123</v>
      </c>
      <c r="AF10" s="31">
        <f t="shared" si="2"/>
        <v>524</v>
      </c>
    </row>
    <row r="11" spans="2:32" s="6" customFormat="1" ht="23.1" customHeight="1" x14ac:dyDescent="0.25">
      <c r="B11" s="45" t="s">
        <v>38</v>
      </c>
      <c r="C11" s="50">
        <v>7</v>
      </c>
      <c r="D11" s="50">
        <v>1</v>
      </c>
      <c r="E11" s="50">
        <v>6</v>
      </c>
      <c r="F11" s="50">
        <v>5</v>
      </c>
      <c r="G11" s="50">
        <v>1</v>
      </c>
      <c r="H11" s="50">
        <v>0</v>
      </c>
      <c r="I11" s="50">
        <v>7</v>
      </c>
      <c r="J11" s="50">
        <v>0</v>
      </c>
      <c r="K11" s="50">
        <v>1</v>
      </c>
      <c r="L11" s="50">
        <v>0</v>
      </c>
      <c r="M11" s="50">
        <v>100</v>
      </c>
      <c r="N11" s="50">
        <v>0</v>
      </c>
      <c r="O11" s="15">
        <f t="shared" si="0"/>
        <v>28</v>
      </c>
      <c r="P11" s="15">
        <f t="shared" si="1"/>
        <v>128</v>
      </c>
      <c r="R11" s="1" t="s">
        <v>7</v>
      </c>
      <c r="S11" s="17">
        <f t="shared" ref="S11:AF11" si="3">SUM(C14:C17)</f>
        <v>57</v>
      </c>
      <c r="T11" s="17">
        <f t="shared" si="3"/>
        <v>19</v>
      </c>
      <c r="U11" s="17">
        <f t="shared" si="3"/>
        <v>13</v>
      </c>
      <c r="V11" s="17">
        <f t="shared" si="3"/>
        <v>31</v>
      </c>
      <c r="W11" s="17">
        <f t="shared" si="3"/>
        <v>13</v>
      </c>
      <c r="X11" s="17">
        <f t="shared" si="3"/>
        <v>1</v>
      </c>
      <c r="Y11" s="17">
        <f t="shared" si="3"/>
        <v>18</v>
      </c>
      <c r="Z11" s="17">
        <f t="shared" si="3"/>
        <v>17</v>
      </c>
      <c r="AA11" s="17">
        <f t="shared" si="3"/>
        <v>1</v>
      </c>
      <c r="AB11" s="17">
        <f t="shared" si="3"/>
        <v>2</v>
      </c>
      <c r="AC11" s="17">
        <f t="shared" si="3"/>
        <v>229</v>
      </c>
      <c r="AD11" s="17">
        <f t="shared" si="3"/>
        <v>99</v>
      </c>
      <c r="AE11" s="31">
        <f t="shared" si="3"/>
        <v>271</v>
      </c>
      <c r="AF11" s="31">
        <f t="shared" si="3"/>
        <v>500</v>
      </c>
    </row>
    <row r="12" spans="2:32" ht="23.1" customHeight="1" x14ac:dyDescent="0.25">
      <c r="B12" s="45" t="s">
        <v>39</v>
      </c>
      <c r="C12" s="50">
        <v>15</v>
      </c>
      <c r="D12" s="50">
        <v>0</v>
      </c>
      <c r="E12" s="50">
        <v>1</v>
      </c>
      <c r="F12" s="50">
        <v>7</v>
      </c>
      <c r="G12" s="50">
        <v>1</v>
      </c>
      <c r="H12" s="50">
        <v>0</v>
      </c>
      <c r="I12" s="50">
        <v>5</v>
      </c>
      <c r="J12" s="50">
        <v>0</v>
      </c>
      <c r="K12" s="50">
        <v>0</v>
      </c>
      <c r="L12" s="50">
        <v>0</v>
      </c>
      <c r="M12" s="50">
        <v>100</v>
      </c>
      <c r="N12" s="50">
        <v>0</v>
      </c>
      <c r="O12" s="15">
        <f t="shared" si="0"/>
        <v>29</v>
      </c>
      <c r="P12" s="15">
        <f t="shared" si="1"/>
        <v>129</v>
      </c>
      <c r="R12" s="1" t="s">
        <v>8</v>
      </c>
      <c r="S12" s="17">
        <f t="shared" ref="S12:AF12" si="4">SUM(C18:C21)</f>
        <v>67</v>
      </c>
      <c r="T12" s="17">
        <f t="shared" si="4"/>
        <v>6</v>
      </c>
      <c r="U12" s="17">
        <f t="shared" si="4"/>
        <v>21</v>
      </c>
      <c r="V12" s="17">
        <f t="shared" si="4"/>
        <v>24</v>
      </c>
      <c r="W12" s="17">
        <f t="shared" si="4"/>
        <v>1</v>
      </c>
      <c r="X12" s="17">
        <f t="shared" si="4"/>
        <v>0</v>
      </c>
      <c r="Y12" s="17">
        <f t="shared" si="4"/>
        <v>36</v>
      </c>
      <c r="Z12" s="17">
        <f t="shared" si="4"/>
        <v>6</v>
      </c>
      <c r="AA12" s="17">
        <f t="shared" si="4"/>
        <v>2</v>
      </c>
      <c r="AB12" s="17">
        <f t="shared" si="4"/>
        <v>0</v>
      </c>
      <c r="AC12" s="17">
        <f t="shared" si="4"/>
        <v>383</v>
      </c>
      <c r="AD12" s="17">
        <f t="shared" si="4"/>
        <v>0</v>
      </c>
      <c r="AE12" s="31">
        <f t="shared" si="4"/>
        <v>163</v>
      </c>
      <c r="AF12" s="31">
        <f t="shared" si="4"/>
        <v>546</v>
      </c>
    </row>
    <row r="13" spans="2:32" ht="23.1" customHeight="1" x14ac:dyDescent="0.25">
      <c r="B13" s="45" t="s">
        <v>40</v>
      </c>
      <c r="C13" s="50">
        <v>14</v>
      </c>
      <c r="D13" s="50">
        <v>1</v>
      </c>
      <c r="E13" s="50">
        <v>4</v>
      </c>
      <c r="F13" s="50">
        <v>4</v>
      </c>
      <c r="G13" s="50">
        <v>0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102</v>
      </c>
      <c r="N13" s="50">
        <v>0</v>
      </c>
      <c r="O13" s="15">
        <f t="shared" si="0"/>
        <v>28</v>
      </c>
      <c r="P13" s="15">
        <f t="shared" si="1"/>
        <v>130</v>
      </c>
      <c r="R13" s="1" t="s">
        <v>9</v>
      </c>
      <c r="S13" s="17">
        <f t="shared" ref="S13:AF13" si="5">SUM(C22:C25)</f>
        <v>52</v>
      </c>
      <c r="T13" s="17">
        <f t="shared" si="5"/>
        <v>9</v>
      </c>
      <c r="U13" s="17">
        <f t="shared" si="5"/>
        <v>17</v>
      </c>
      <c r="V13" s="17">
        <f t="shared" si="5"/>
        <v>32</v>
      </c>
      <c r="W13" s="17">
        <f t="shared" si="5"/>
        <v>1</v>
      </c>
      <c r="X13" s="17">
        <f t="shared" si="5"/>
        <v>0</v>
      </c>
      <c r="Y13" s="17">
        <f t="shared" si="5"/>
        <v>32</v>
      </c>
      <c r="Z13" s="17">
        <f t="shared" si="5"/>
        <v>7</v>
      </c>
      <c r="AA13" s="17">
        <f t="shared" si="5"/>
        <v>6</v>
      </c>
      <c r="AB13" s="17">
        <f t="shared" si="5"/>
        <v>0</v>
      </c>
      <c r="AC13" s="17">
        <f t="shared" si="5"/>
        <v>364</v>
      </c>
      <c r="AD13" s="17">
        <f t="shared" si="5"/>
        <v>0</v>
      </c>
      <c r="AE13" s="31">
        <f t="shared" si="5"/>
        <v>156</v>
      </c>
      <c r="AF13" s="31">
        <f t="shared" si="5"/>
        <v>520</v>
      </c>
    </row>
    <row r="14" spans="2:32" ht="23.1" customHeight="1" x14ac:dyDescent="0.25">
      <c r="B14" s="45" t="s">
        <v>41</v>
      </c>
      <c r="C14" s="50">
        <v>12</v>
      </c>
      <c r="D14" s="50">
        <v>3</v>
      </c>
      <c r="E14" s="50">
        <v>3</v>
      </c>
      <c r="F14" s="50">
        <v>10</v>
      </c>
      <c r="G14" s="50">
        <v>3</v>
      </c>
      <c r="H14" s="50">
        <v>0</v>
      </c>
      <c r="I14" s="50">
        <v>4</v>
      </c>
      <c r="J14" s="50">
        <v>4</v>
      </c>
      <c r="K14" s="50">
        <v>0</v>
      </c>
      <c r="L14" s="50">
        <v>0</v>
      </c>
      <c r="M14" s="50">
        <v>80</v>
      </c>
      <c r="N14" s="50">
        <v>0</v>
      </c>
      <c r="O14" s="15">
        <f t="shared" si="0"/>
        <v>39</v>
      </c>
      <c r="P14" s="15">
        <f t="shared" si="1"/>
        <v>119</v>
      </c>
      <c r="R14" s="1" t="s">
        <v>10</v>
      </c>
      <c r="S14" s="17">
        <f t="shared" ref="S14:AF14" si="6">SUM(C26:C29)</f>
        <v>65</v>
      </c>
      <c r="T14" s="17">
        <f t="shared" si="6"/>
        <v>6</v>
      </c>
      <c r="U14" s="17">
        <f t="shared" si="6"/>
        <v>23</v>
      </c>
      <c r="V14" s="17">
        <f t="shared" si="6"/>
        <v>31</v>
      </c>
      <c r="W14" s="17">
        <f t="shared" si="6"/>
        <v>3</v>
      </c>
      <c r="X14" s="17">
        <f t="shared" si="6"/>
        <v>0</v>
      </c>
      <c r="Y14" s="17">
        <f t="shared" si="6"/>
        <v>31</v>
      </c>
      <c r="Z14" s="17">
        <f t="shared" si="6"/>
        <v>3</v>
      </c>
      <c r="AA14" s="17">
        <f t="shared" si="6"/>
        <v>2</v>
      </c>
      <c r="AB14" s="17">
        <f t="shared" si="6"/>
        <v>0</v>
      </c>
      <c r="AC14" s="17">
        <f t="shared" si="6"/>
        <v>374</v>
      </c>
      <c r="AD14" s="17">
        <f t="shared" si="6"/>
        <v>0</v>
      </c>
      <c r="AE14" s="31">
        <f t="shared" si="6"/>
        <v>164</v>
      </c>
      <c r="AF14" s="31">
        <f t="shared" si="6"/>
        <v>538</v>
      </c>
    </row>
    <row r="15" spans="2:32" ht="23.1" customHeight="1" x14ac:dyDescent="0.25">
      <c r="B15" s="45" t="s">
        <v>42</v>
      </c>
      <c r="C15" s="50">
        <v>11</v>
      </c>
      <c r="D15" s="50">
        <v>4</v>
      </c>
      <c r="E15" s="50">
        <v>2</v>
      </c>
      <c r="F15" s="50">
        <v>4</v>
      </c>
      <c r="G15" s="50">
        <v>0</v>
      </c>
      <c r="H15" s="50">
        <v>0</v>
      </c>
      <c r="I15" s="50">
        <v>9</v>
      </c>
      <c r="J15" s="50">
        <v>0</v>
      </c>
      <c r="K15" s="50">
        <v>0</v>
      </c>
      <c r="L15" s="50">
        <v>2</v>
      </c>
      <c r="M15" s="50">
        <v>80</v>
      </c>
      <c r="N15" s="50">
        <v>0</v>
      </c>
      <c r="O15" s="15">
        <f t="shared" si="0"/>
        <v>32</v>
      </c>
      <c r="P15" s="15">
        <f t="shared" si="1"/>
        <v>112</v>
      </c>
      <c r="R15" s="1" t="s">
        <v>11</v>
      </c>
      <c r="S15" s="17">
        <f t="shared" ref="S15:AF15" si="7">SUM(C30:C33)</f>
        <v>81</v>
      </c>
      <c r="T15" s="17">
        <f t="shared" si="7"/>
        <v>10</v>
      </c>
      <c r="U15" s="17">
        <f t="shared" si="7"/>
        <v>20</v>
      </c>
      <c r="V15" s="17">
        <f t="shared" si="7"/>
        <v>39</v>
      </c>
      <c r="W15" s="17">
        <f t="shared" si="7"/>
        <v>5</v>
      </c>
      <c r="X15" s="17">
        <f t="shared" si="7"/>
        <v>0</v>
      </c>
      <c r="Y15" s="17">
        <f t="shared" si="7"/>
        <v>39</v>
      </c>
      <c r="Z15" s="17">
        <f t="shared" si="7"/>
        <v>10</v>
      </c>
      <c r="AA15" s="17">
        <f t="shared" si="7"/>
        <v>0</v>
      </c>
      <c r="AB15" s="17">
        <f t="shared" si="7"/>
        <v>0</v>
      </c>
      <c r="AC15" s="17">
        <f t="shared" si="7"/>
        <v>338</v>
      </c>
      <c r="AD15" s="17">
        <f t="shared" si="7"/>
        <v>0</v>
      </c>
      <c r="AE15" s="31">
        <f t="shared" si="7"/>
        <v>204</v>
      </c>
      <c r="AF15" s="31">
        <f t="shared" si="7"/>
        <v>542</v>
      </c>
    </row>
    <row r="16" spans="2:32" ht="23.1" customHeight="1" x14ac:dyDescent="0.25">
      <c r="B16" s="45" t="s">
        <v>43</v>
      </c>
      <c r="C16" s="50">
        <v>19</v>
      </c>
      <c r="D16" s="50">
        <v>4</v>
      </c>
      <c r="E16" s="50">
        <v>4</v>
      </c>
      <c r="F16" s="50">
        <v>7</v>
      </c>
      <c r="G16" s="50">
        <v>0</v>
      </c>
      <c r="H16" s="50">
        <v>0</v>
      </c>
      <c r="I16" s="50">
        <v>5</v>
      </c>
      <c r="J16" s="50">
        <v>3</v>
      </c>
      <c r="K16" s="50">
        <v>0</v>
      </c>
      <c r="L16" s="50">
        <v>0</v>
      </c>
      <c r="M16" s="50">
        <v>69</v>
      </c>
      <c r="N16" s="50">
        <v>0</v>
      </c>
      <c r="O16" s="15">
        <f t="shared" si="0"/>
        <v>42</v>
      </c>
      <c r="P16" s="15">
        <f t="shared" si="1"/>
        <v>111</v>
      </c>
      <c r="R16" s="1" t="s">
        <v>12</v>
      </c>
      <c r="S16" s="17">
        <f t="shared" ref="S16:AF16" si="8">SUM(C34:C37)</f>
        <v>86</v>
      </c>
      <c r="T16" s="17">
        <f t="shared" si="8"/>
        <v>7</v>
      </c>
      <c r="U16" s="17">
        <f t="shared" si="8"/>
        <v>13</v>
      </c>
      <c r="V16" s="17">
        <f t="shared" si="8"/>
        <v>41</v>
      </c>
      <c r="W16" s="17">
        <f t="shared" si="8"/>
        <v>2</v>
      </c>
      <c r="X16" s="17">
        <f t="shared" si="8"/>
        <v>0</v>
      </c>
      <c r="Y16" s="17">
        <f t="shared" si="8"/>
        <v>17</v>
      </c>
      <c r="Z16" s="17">
        <f t="shared" si="8"/>
        <v>9</v>
      </c>
      <c r="AA16" s="17">
        <f t="shared" si="8"/>
        <v>3</v>
      </c>
      <c r="AB16" s="17">
        <f t="shared" si="8"/>
        <v>0</v>
      </c>
      <c r="AC16" s="17">
        <f t="shared" si="8"/>
        <v>305</v>
      </c>
      <c r="AD16" s="17">
        <f t="shared" si="8"/>
        <v>0</v>
      </c>
      <c r="AE16" s="31">
        <f t="shared" si="8"/>
        <v>178</v>
      </c>
      <c r="AF16" s="31">
        <f t="shared" si="8"/>
        <v>483</v>
      </c>
    </row>
    <row r="17" spans="2:32" ht="23.1" customHeight="1" x14ac:dyDescent="0.25">
      <c r="B17" s="45" t="s">
        <v>44</v>
      </c>
      <c r="C17" s="50">
        <v>15</v>
      </c>
      <c r="D17" s="50">
        <v>8</v>
      </c>
      <c r="E17" s="50">
        <v>4</v>
      </c>
      <c r="F17" s="50">
        <v>10</v>
      </c>
      <c r="G17" s="50">
        <v>10</v>
      </c>
      <c r="H17" s="50">
        <v>1</v>
      </c>
      <c r="I17" s="50">
        <v>0</v>
      </c>
      <c r="J17" s="50">
        <v>10</v>
      </c>
      <c r="K17" s="50">
        <v>1</v>
      </c>
      <c r="L17" s="50">
        <v>0</v>
      </c>
      <c r="M17" s="50">
        <v>0</v>
      </c>
      <c r="N17" s="50">
        <v>99</v>
      </c>
      <c r="O17" s="15">
        <f t="shared" si="0"/>
        <v>158</v>
      </c>
      <c r="P17" s="15">
        <f t="shared" si="1"/>
        <v>158</v>
      </c>
      <c r="R17" s="1" t="s">
        <v>13</v>
      </c>
      <c r="S17" s="17">
        <f t="shared" ref="S17:AF17" si="9">SUM(C38:C41)</f>
        <v>73</v>
      </c>
      <c r="T17" s="17">
        <f t="shared" si="9"/>
        <v>7</v>
      </c>
      <c r="U17" s="17">
        <f t="shared" si="9"/>
        <v>22</v>
      </c>
      <c r="V17" s="17">
        <f t="shared" si="9"/>
        <v>35</v>
      </c>
      <c r="W17" s="17">
        <f t="shared" si="9"/>
        <v>1</v>
      </c>
      <c r="X17" s="17">
        <f t="shared" si="9"/>
        <v>0</v>
      </c>
      <c r="Y17" s="17">
        <f t="shared" si="9"/>
        <v>20</v>
      </c>
      <c r="Z17" s="17">
        <f t="shared" si="9"/>
        <v>12</v>
      </c>
      <c r="AA17" s="17">
        <f t="shared" si="9"/>
        <v>1</v>
      </c>
      <c r="AB17" s="17">
        <f t="shared" si="9"/>
        <v>2</v>
      </c>
      <c r="AC17" s="17">
        <f t="shared" si="9"/>
        <v>314</v>
      </c>
      <c r="AD17" s="17">
        <f t="shared" si="9"/>
        <v>0</v>
      </c>
      <c r="AE17" s="31">
        <f t="shared" si="9"/>
        <v>173</v>
      </c>
      <c r="AF17" s="31">
        <f t="shared" si="9"/>
        <v>487</v>
      </c>
    </row>
    <row r="18" spans="2:32" ht="23.1" customHeight="1" x14ac:dyDescent="0.25">
      <c r="B18" s="45" t="s">
        <v>45</v>
      </c>
      <c r="C18" s="50">
        <v>17</v>
      </c>
      <c r="D18" s="50">
        <v>2</v>
      </c>
      <c r="E18" s="50">
        <v>6</v>
      </c>
      <c r="F18" s="50">
        <v>6</v>
      </c>
      <c r="G18" s="50">
        <v>0</v>
      </c>
      <c r="H18" s="50">
        <v>0</v>
      </c>
      <c r="I18" s="50">
        <v>10</v>
      </c>
      <c r="J18" s="50">
        <v>1</v>
      </c>
      <c r="K18" s="50">
        <v>2</v>
      </c>
      <c r="L18" s="50">
        <v>0</v>
      </c>
      <c r="M18" s="50">
        <v>97</v>
      </c>
      <c r="N18" s="50">
        <v>0</v>
      </c>
      <c r="O18" s="15">
        <f t="shared" si="0"/>
        <v>44</v>
      </c>
      <c r="P18" s="15">
        <f t="shared" si="1"/>
        <v>141</v>
      </c>
      <c r="R18" s="1" t="s">
        <v>14</v>
      </c>
      <c r="S18" s="17">
        <f t="shared" ref="S18:AF18" si="10">SUM(C42:C45)</f>
        <v>72</v>
      </c>
      <c r="T18" s="17">
        <f t="shared" si="10"/>
        <v>13</v>
      </c>
      <c r="U18" s="17">
        <f t="shared" si="10"/>
        <v>17</v>
      </c>
      <c r="V18" s="17">
        <f t="shared" si="10"/>
        <v>25</v>
      </c>
      <c r="W18" s="17">
        <f t="shared" si="10"/>
        <v>1</v>
      </c>
      <c r="X18" s="17">
        <f t="shared" si="10"/>
        <v>0</v>
      </c>
      <c r="Y18" s="17">
        <f t="shared" si="10"/>
        <v>37</v>
      </c>
      <c r="Z18" s="17">
        <f t="shared" si="10"/>
        <v>6</v>
      </c>
      <c r="AA18" s="17">
        <f t="shared" si="10"/>
        <v>1</v>
      </c>
      <c r="AB18" s="17">
        <f t="shared" si="10"/>
        <v>2</v>
      </c>
      <c r="AC18" s="17">
        <f t="shared" si="10"/>
        <v>391</v>
      </c>
      <c r="AD18" s="17">
        <f t="shared" si="10"/>
        <v>0</v>
      </c>
      <c r="AE18" s="31">
        <f t="shared" si="10"/>
        <v>174</v>
      </c>
      <c r="AF18" s="31">
        <f t="shared" si="10"/>
        <v>565</v>
      </c>
    </row>
    <row r="19" spans="2:32" ht="23.1" customHeight="1" x14ac:dyDescent="0.25">
      <c r="B19" s="45" t="s">
        <v>46</v>
      </c>
      <c r="C19" s="50">
        <v>13</v>
      </c>
      <c r="D19" s="50">
        <v>2</v>
      </c>
      <c r="E19" s="50">
        <v>6</v>
      </c>
      <c r="F19" s="50">
        <v>5</v>
      </c>
      <c r="G19" s="50">
        <v>0</v>
      </c>
      <c r="H19" s="50">
        <v>0</v>
      </c>
      <c r="I19" s="50">
        <v>10</v>
      </c>
      <c r="J19" s="50">
        <v>1</v>
      </c>
      <c r="K19" s="50">
        <v>0</v>
      </c>
      <c r="L19" s="50">
        <v>0</v>
      </c>
      <c r="M19" s="50">
        <v>95</v>
      </c>
      <c r="N19" s="50">
        <v>0</v>
      </c>
      <c r="O19" s="15">
        <f t="shared" si="0"/>
        <v>37</v>
      </c>
      <c r="P19" s="15">
        <f t="shared" si="1"/>
        <v>132</v>
      </c>
      <c r="R19" s="1" t="s">
        <v>15</v>
      </c>
      <c r="S19" s="17">
        <f t="shared" ref="S19:AF19" si="11">SUM(C46:C49)</f>
        <v>82</v>
      </c>
      <c r="T19" s="17">
        <f t="shared" si="11"/>
        <v>14</v>
      </c>
      <c r="U19" s="17">
        <f t="shared" si="11"/>
        <v>19</v>
      </c>
      <c r="V19" s="17">
        <f t="shared" si="11"/>
        <v>30</v>
      </c>
      <c r="W19" s="17">
        <f t="shared" si="11"/>
        <v>2</v>
      </c>
      <c r="X19" s="17">
        <f t="shared" si="11"/>
        <v>0</v>
      </c>
      <c r="Y19" s="17">
        <f t="shared" si="11"/>
        <v>22</v>
      </c>
      <c r="Z19" s="17">
        <f t="shared" si="11"/>
        <v>6</v>
      </c>
      <c r="AA19" s="17">
        <f t="shared" si="11"/>
        <v>0</v>
      </c>
      <c r="AB19" s="17">
        <f t="shared" si="11"/>
        <v>2</v>
      </c>
      <c r="AC19" s="17">
        <f t="shared" si="11"/>
        <v>382</v>
      </c>
      <c r="AD19" s="17">
        <f t="shared" si="11"/>
        <v>0</v>
      </c>
      <c r="AE19" s="31">
        <f t="shared" si="11"/>
        <v>177</v>
      </c>
      <c r="AF19" s="31">
        <f t="shared" si="11"/>
        <v>559</v>
      </c>
    </row>
    <row r="20" spans="2:32" ht="23.1" customHeight="1" x14ac:dyDescent="0.25">
      <c r="B20" s="45" t="s">
        <v>47</v>
      </c>
      <c r="C20" s="50">
        <v>20</v>
      </c>
      <c r="D20" s="50">
        <v>1</v>
      </c>
      <c r="E20" s="50">
        <v>2</v>
      </c>
      <c r="F20" s="50">
        <v>7</v>
      </c>
      <c r="G20" s="50">
        <v>1</v>
      </c>
      <c r="H20" s="50">
        <v>0</v>
      </c>
      <c r="I20" s="50">
        <v>8</v>
      </c>
      <c r="J20" s="50">
        <v>4</v>
      </c>
      <c r="K20" s="50">
        <v>0</v>
      </c>
      <c r="L20" s="50">
        <v>0</v>
      </c>
      <c r="M20" s="50">
        <v>103</v>
      </c>
      <c r="N20" s="50">
        <v>0</v>
      </c>
      <c r="O20" s="15">
        <f t="shared" si="0"/>
        <v>43</v>
      </c>
      <c r="P20" s="15">
        <f t="shared" si="1"/>
        <v>146</v>
      </c>
      <c r="R20" s="1" t="s">
        <v>16</v>
      </c>
      <c r="S20" s="17">
        <f t="shared" ref="S20:AF20" si="12">SUM(C50:C53)</f>
        <v>71</v>
      </c>
      <c r="T20" s="17">
        <f t="shared" si="12"/>
        <v>7</v>
      </c>
      <c r="U20" s="17">
        <f t="shared" si="12"/>
        <v>18</v>
      </c>
      <c r="V20" s="17">
        <f t="shared" si="12"/>
        <v>37</v>
      </c>
      <c r="W20" s="17">
        <f t="shared" si="12"/>
        <v>4</v>
      </c>
      <c r="X20" s="17">
        <f t="shared" si="12"/>
        <v>0</v>
      </c>
      <c r="Y20" s="17">
        <f t="shared" si="12"/>
        <v>20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295</v>
      </c>
      <c r="AD20" s="17">
        <f t="shared" si="12"/>
        <v>0</v>
      </c>
      <c r="AE20" s="31">
        <f t="shared" si="12"/>
        <v>161</v>
      </c>
      <c r="AF20" s="31">
        <f t="shared" si="12"/>
        <v>456</v>
      </c>
    </row>
    <row r="21" spans="2:32" ht="23.1" customHeight="1" x14ac:dyDescent="0.25">
      <c r="B21" s="45" t="s">
        <v>48</v>
      </c>
      <c r="C21" s="50">
        <v>17</v>
      </c>
      <c r="D21" s="50">
        <v>1</v>
      </c>
      <c r="E21" s="50">
        <v>7</v>
      </c>
      <c r="F21" s="50">
        <v>6</v>
      </c>
      <c r="G21" s="50">
        <v>0</v>
      </c>
      <c r="H21" s="50">
        <v>0</v>
      </c>
      <c r="I21" s="50">
        <v>8</v>
      </c>
      <c r="J21" s="50">
        <v>0</v>
      </c>
      <c r="K21" s="50">
        <v>0</v>
      </c>
      <c r="L21" s="50">
        <v>0</v>
      </c>
      <c r="M21" s="50">
        <v>88</v>
      </c>
      <c r="N21" s="50">
        <v>0</v>
      </c>
      <c r="O21" s="15">
        <f t="shared" si="0"/>
        <v>39</v>
      </c>
      <c r="P21" s="15">
        <f t="shared" si="1"/>
        <v>127</v>
      </c>
      <c r="R21" s="36" t="s">
        <v>20</v>
      </c>
      <c r="S21" s="34">
        <f t="shared" ref="S21:AF21" si="13">SUM(C54:C57)</f>
        <v>71</v>
      </c>
      <c r="T21" s="17">
        <f t="shared" si="13"/>
        <v>4</v>
      </c>
      <c r="U21" s="17">
        <f t="shared" si="13"/>
        <v>16</v>
      </c>
      <c r="V21" s="17">
        <f t="shared" si="13"/>
        <v>34</v>
      </c>
      <c r="W21" s="17">
        <f t="shared" si="13"/>
        <v>2</v>
      </c>
      <c r="X21" s="17">
        <f t="shared" si="13"/>
        <v>0</v>
      </c>
      <c r="Y21" s="17">
        <f t="shared" si="13"/>
        <v>30</v>
      </c>
      <c r="Z21" s="17">
        <f t="shared" si="13"/>
        <v>5</v>
      </c>
      <c r="AA21" s="17">
        <f t="shared" si="13"/>
        <v>1</v>
      </c>
      <c r="AB21" s="17">
        <f t="shared" si="13"/>
        <v>0</v>
      </c>
      <c r="AC21" s="17">
        <f t="shared" si="13"/>
        <v>314</v>
      </c>
      <c r="AD21" s="17">
        <f t="shared" si="13"/>
        <v>0</v>
      </c>
      <c r="AE21" s="31">
        <f t="shared" si="13"/>
        <v>163</v>
      </c>
      <c r="AF21" s="31">
        <f t="shared" si="13"/>
        <v>477</v>
      </c>
    </row>
    <row r="22" spans="2:32" ht="23.1" customHeight="1" x14ac:dyDescent="0.25">
      <c r="B22" s="45" t="s">
        <v>49</v>
      </c>
      <c r="C22" s="50">
        <v>11</v>
      </c>
      <c r="D22" s="50">
        <v>5</v>
      </c>
      <c r="E22" s="50">
        <v>6</v>
      </c>
      <c r="F22" s="50">
        <v>9</v>
      </c>
      <c r="G22" s="50">
        <v>1</v>
      </c>
      <c r="H22" s="50">
        <v>0</v>
      </c>
      <c r="I22" s="50">
        <v>4</v>
      </c>
      <c r="J22" s="50">
        <v>0</v>
      </c>
      <c r="K22" s="50">
        <v>3</v>
      </c>
      <c r="L22" s="50">
        <v>0</v>
      </c>
      <c r="M22" s="50">
        <v>112</v>
      </c>
      <c r="N22" s="50">
        <v>0</v>
      </c>
      <c r="O22" s="15">
        <f t="shared" si="0"/>
        <v>39</v>
      </c>
      <c r="P22" s="15">
        <f t="shared" si="1"/>
        <v>151</v>
      </c>
      <c r="R22" s="36" t="s">
        <v>146</v>
      </c>
      <c r="S22" s="34">
        <f>SUM(C58:C61)</f>
        <v>48</v>
      </c>
      <c r="T22" s="34">
        <f t="shared" ref="T22:AF22" si="14">SUM(D58:D61)</f>
        <v>4</v>
      </c>
      <c r="U22" s="34">
        <f t="shared" si="14"/>
        <v>7</v>
      </c>
      <c r="V22" s="34">
        <f t="shared" si="14"/>
        <v>25</v>
      </c>
      <c r="W22" s="34">
        <f t="shared" si="14"/>
        <v>0</v>
      </c>
      <c r="X22" s="34">
        <f t="shared" si="14"/>
        <v>0</v>
      </c>
      <c r="Y22" s="34">
        <f t="shared" si="14"/>
        <v>12</v>
      </c>
      <c r="Z22" s="34">
        <f t="shared" si="14"/>
        <v>2</v>
      </c>
      <c r="AA22" s="34">
        <f t="shared" si="14"/>
        <v>0</v>
      </c>
      <c r="AB22" s="34">
        <f t="shared" si="14"/>
        <v>1</v>
      </c>
      <c r="AC22" s="34">
        <f t="shared" si="14"/>
        <v>278</v>
      </c>
      <c r="AD22" s="34">
        <f t="shared" si="14"/>
        <v>0</v>
      </c>
      <c r="AE22" s="31">
        <f t="shared" si="14"/>
        <v>99</v>
      </c>
      <c r="AF22" s="31">
        <f t="shared" si="14"/>
        <v>377</v>
      </c>
    </row>
    <row r="23" spans="2:32" ht="23.1" customHeight="1" x14ac:dyDescent="0.25">
      <c r="B23" s="45" t="s">
        <v>50</v>
      </c>
      <c r="C23" s="50">
        <v>13</v>
      </c>
      <c r="D23" s="50">
        <v>1</v>
      </c>
      <c r="E23" s="50">
        <v>6</v>
      </c>
      <c r="F23" s="50">
        <v>6</v>
      </c>
      <c r="G23" s="50">
        <v>0</v>
      </c>
      <c r="H23" s="50">
        <v>0</v>
      </c>
      <c r="I23" s="50">
        <v>8</v>
      </c>
      <c r="J23" s="50">
        <v>1</v>
      </c>
      <c r="K23" s="50">
        <v>2</v>
      </c>
      <c r="L23" s="50">
        <v>0</v>
      </c>
      <c r="M23" s="50">
        <v>78</v>
      </c>
      <c r="N23" s="50">
        <v>0</v>
      </c>
      <c r="O23" s="15">
        <f t="shared" si="0"/>
        <v>37</v>
      </c>
      <c r="P23" s="15">
        <f t="shared" si="1"/>
        <v>115</v>
      </c>
      <c r="R23" s="36" t="s">
        <v>147</v>
      </c>
      <c r="S23" s="34">
        <f>SUM(C62:C65)</f>
        <v>46</v>
      </c>
      <c r="T23" s="34">
        <f t="shared" ref="T23:AF23" si="15">SUM(D62:D65)</f>
        <v>6</v>
      </c>
      <c r="U23" s="34">
        <f t="shared" si="15"/>
        <v>11</v>
      </c>
      <c r="V23" s="34">
        <f t="shared" si="15"/>
        <v>22</v>
      </c>
      <c r="W23" s="34">
        <f t="shared" si="15"/>
        <v>3</v>
      </c>
      <c r="X23" s="34">
        <f t="shared" si="15"/>
        <v>0</v>
      </c>
      <c r="Y23" s="34">
        <f t="shared" si="15"/>
        <v>18</v>
      </c>
      <c r="Z23" s="34">
        <f t="shared" si="15"/>
        <v>3</v>
      </c>
      <c r="AA23" s="34">
        <f t="shared" si="15"/>
        <v>1</v>
      </c>
      <c r="AB23" s="34">
        <f t="shared" si="15"/>
        <v>1</v>
      </c>
      <c r="AC23" s="34">
        <f t="shared" si="15"/>
        <v>229</v>
      </c>
      <c r="AD23" s="34">
        <f t="shared" si="15"/>
        <v>0</v>
      </c>
      <c r="AE23" s="31">
        <f t="shared" si="15"/>
        <v>111</v>
      </c>
      <c r="AF23" s="31">
        <f t="shared" si="15"/>
        <v>340</v>
      </c>
    </row>
    <row r="24" spans="2:32" ht="23.1" customHeight="1" x14ac:dyDescent="0.25">
      <c r="B24" s="45" t="s">
        <v>51</v>
      </c>
      <c r="C24" s="50">
        <v>16</v>
      </c>
      <c r="D24" s="50">
        <v>2</v>
      </c>
      <c r="E24" s="50">
        <v>1</v>
      </c>
      <c r="F24" s="50">
        <v>8</v>
      </c>
      <c r="G24" s="50">
        <v>0</v>
      </c>
      <c r="H24" s="50">
        <v>0</v>
      </c>
      <c r="I24" s="50">
        <v>11</v>
      </c>
      <c r="J24" s="50">
        <v>3</v>
      </c>
      <c r="K24" s="50">
        <v>1</v>
      </c>
      <c r="L24" s="50">
        <v>0</v>
      </c>
      <c r="M24" s="50">
        <v>87</v>
      </c>
      <c r="N24" s="50">
        <v>0</v>
      </c>
      <c r="O24" s="15">
        <f t="shared" si="0"/>
        <v>42</v>
      </c>
      <c r="P24" s="15">
        <f t="shared" si="1"/>
        <v>129</v>
      </c>
      <c r="R24" s="36" t="s">
        <v>148</v>
      </c>
      <c r="S24" s="34">
        <f>SUM(C66:C69)</f>
        <v>48</v>
      </c>
      <c r="T24" s="34">
        <f t="shared" ref="T24:AF24" si="16">SUM(D66:D69)</f>
        <v>6</v>
      </c>
      <c r="U24" s="34">
        <f t="shared" si="16"/>
        <v>10</v>
      </c>
      <c r="V24" s="34">
        <f t="shared" si="16"/>
        <v>22</v>
      </c>
      <c r="W24" s="34">
        <f t="shared" si="16"/>
        <v>2</v>
      </c>
      <c r="X24" s="34">
        <f t="shared" si="16"/>
        <v>0</v>
      </c>
      <c r="Y24" s="34">
        <f t="shared" si="16"/>
        <v>10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246</v>
      </c>
      <c r="AD24" s="34">
        <f t="shared" si="16"/>
        <v>0</v>
      </c>
      <c r="AE24" s="31">
        <f t="shared" si="16"/>
        <v>99</v>
      </c>
      <c r="AF24" s="31">
        <f t="shared" si="16"/>
        <v>345</v>
      </c>
    </row>
    <row r="25" spans="2:32" ht="23.1" customHeight="1" x14ac:dyDescent="0.25">
      <c r="B25" s="45" t="s">
        <v>52</v>
      </c>
      <c r="C25" s="50">
        <v>12</v>
      </c>
      <c r="D25" s="50">
        <v>1</v>
      </c>
      <c r="E25" s="50">
        <v>4</v>
      </c>
      <c r="F25" s="50">
        <v>9</v>
      </c>
      <c r="G25" s="50">
        <v>0</v>
      </c>
      <c r="H25" s="50">
        <v>0</v>
      </c>
      <c r="I25" s="50">
        <v>9</v>
      </c>
      <c r="J25" s="50">
        <v>3</v>
      </c>
      <c r="K25" s="50">
        <v>0</v>
      </c>
      <c r="L25" s="50">
        <v>0</v>
      </c>
      <c r="M25" s="50">
        <v>87</v>
      </c>
      <c r="N25" s="50">
        <v>0</v>
      </c>
      <c r="O25" s="15">
        <f t="shared" si="0"/>
        <v>38</v>
      </c>
      <c r="P25" s="15">
        <f t="shared" si="1"/>
        <v>125</v>
      </c>
      <c r="R25" s="36" t="s">
        <v>149</v>
      </c>
      <c r="S25" s="34">
        <f>SUM(C70:C73)</f>
        <v>40</v>
      </c>
      <c r="T25" s="34">
        <f t="shared" ref="T25:AF25" si="17">SUM(D70:D73)</f>
        <v>3</v>
      </c>
      <c r="U25" s="34">
        <f t="shared" si="17"/>
        <v>5</v>
      </c>
      <c r="V25" s="34">
        <f t="shared" si="17"/>
        <v>25</v>
      </c>
      <c r="W25" s="34">
        <f t="shared" si="17"/>
        <v>0</v>
      </c>
      <c r="X25" s="34">
        <f t="shared" si="17"/>
        <v>1</v>
      </c>
      <c r="Y25" s="34">
        <f t="shared" si="17"/>
        <v>4</v>
      </c>
      <c r="Z25" s="34">
        <f t="shared" si="17"/>
        <v>1</v>
      </c>
      <c r="AA25" s="34">
        <f t="shared" si="17"/>
        <v>1</v>
      </c>
      <c r="AB25" s="34">
        <f t="shared" si="17"/>
        <v>0</v>
      </c>
      <c r="AC25" s="34">
        <f t="shared" si="17"/>
        <v>217</v>
      </c>
      <c r="AD25" s="34">
        <f t="shared" si="17"/>
        <v>0</v>
      </c>
      <c r="AE25" s="31">
        <f t="shared" si="17"/>
        <v>80</v>
      </c>
      <c r="AF25" s="31">
        <f t="shared" si="17"/>
        <v>297</v>
      </c>
    </row>
    <row r="26" spans="2:32" ht="23.1" customHeight="1" x14ac:dyDescent="0.25">
      <c r="B26" s="45" t="s">
        <v>53</v>
      </c>
      <c r="C26" s="50">
        <v>18</v>
      </c>
      <c r="D26" s="50">
        <v>2</v>
      </c>
      <c r="E26" s="50">
        <v>4</v>
      </c>
      <c r="F26" s="50">
        <v>3</v>
      </c>
      <c r="G26" s="50">
        <v>2</v>
      </c>
      <c r="H26" s="50">
        <v>0</v>
      </c>
      <c r="I26" s="50">
        <v>9</v>
      </c>
      <c r="J26" s="50">
        <v>0</v>
      </c>
      <c r="K26" s="50">
        <v>2</v>
      </c>
      <c r="L26" s="50">
        <v>0</v>
      </c>
      <c r="M26" s="50">
        <v>83</v>
      </c>
      <c r="N26" s="50">
        <v>0</v>
      </c>
      <c r="O26" s="15">
        <f t="shared" si="0"/>
        <v>40</v>
      </c>
      <c r="P26" s="15">
        <f t="shared" si="1"/>
        <v>123</v>
      </c>
      <c r="R26" s="36" t="s">
        <v>150</v>
      </c>
      <c r="S26" s="34">
        <f>SUM(C74:C77)</f>
        <v>33</v>
      </c>
      <c r="T26" s="34">
        <f t="shared" ref="T26:AF26" si="18">SUM(D74:D77)</f>
        <v>0</v>
      </c>
      <c r="U26" s="34">
        <f t="shared" si="18"/>
        <v>11</v>
      </c>
      <c r="V26" s="34">
        <f t="shared" si="18"/>
        <v>7</v>
      </c>
      <c r="W26" s="34">
        <f t="shared" si="18"/>
        <v>0</v>
      </c>
      <c r="X26" s="34">
        <f t="shared" si="18"/>
        <v>0</v>
      </c>
      <c r="Y26" s="34">
        <f t="shared" si="18"/>
        <v>5</v>
      </c>
      <c r="Z26" s="34">
        <f t="shared" si="18"/>
        <v>1</v>
      </c>
      <c r="AA26" s="34">
        <f t="shared" si="18"/>
        <v>2</v>
      </c>
      <c r="AB26" s="34">
        <f t="shared" si="18"/>
        <v>0</v>
      </c>
      <c r="AC26" s="34">
        <f t="shared" si="18"/>
        <v>171</v>
      </c>
      <c r="AD26" s="34">
        <f t="shared" si="18"/>
        <v>0</v>
      </c>
      <c r="AE26" s="31">
        <f t="shared" si="18"/>
        <v>59</v>
      </c>
      <c r="AF26" s="31">
        <f t="shared" si="18"/>
        <v>230</v>
      </c>
    </row>
    <row r="27" spans="2:32" ht="23.1" customHeight="1" x14ac:dyDescent="0.25">
      <c r="B27" s="45" t="s">
        <v>54</v>
      </c>
      <c r="C27" s="50">
        <v>12</v>
      </c>
      <c r="D27" s="50">
        <v>1</v>
      </c>
      <c r="E27" s="50">
        <v>8</v>
      </c>
      <c r="F27" s="50">
        <v>9</v>
      </c>
      <c r="G27" s="50">
        <v>1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100</v>
      </c>
      <c r="N27" s="50">
        <v>0</v>
      </c>
      <c r="O27" s="15">
        <f t="shared" si="0"/>
        <v>35</v>
      </c>
      <c r="P27" s="15">
        <f t="shared" si="1"/>
        <v>135</v>
      </c>
      <c r="R27" s="36" t="s">
        <v>151</v>
      </c>
      <c r="S27" s="34">
        <f>SUM(C78:C81)</f>
        <v>20</v>
      </c>
      <c r="T27" s="34">
        <f t="shared" ref="T27:AF27" si="19">SUM(D78:D81)</f>
        <v>3</v>
      </c>
      <c r="U27" s="34">
        <f t="shared" si="19"/>
        <v>3</v>
      </c>
      <c r="V27" s="34">
        <f t="shared" si="19"/>
        <v>14</v>
      </c>
      <c r="W27" s="34">
        <f t="shared" si="19"/>
        <v>2</v>
      </c>
      <c r="X27" s="34">
        <f t="shared" si="19"/>
        <v>0</v>
      </c>
      <c r="Y27" s="34">
        <f t="shared" si="19"/>
        <v>3</v>
      </c>
      <c r="Z27" s="34">
        <f t="shared" si="19"/>
        <v>4</v>
      </c>
      <c r="AA27" s="34">
        <f t="shared" si="19"/>
        <v>1</v>
      </c>
      <c r="AB27" s="34">
        <f t="shared" si="19"/>
        <v>0</v>
      </c>
      <c r="AC27" s="34">
        <f t="shared" si="19"/>
        <v>78</v>
      </c>
      <c r="AD27" s="34">
        <f t="shared" si="19"/>
        <v>0</v>
      </c>
      <c r="AE27" s="31">
        <f t="shared" si="19"/>
        <v>50</v>
      </c>
      <c r="AF27" s="31">
        <f t="shared" si="19"/>
        <v>128</v>
      </c>
    </row>
    <row r="28" spans="2:32" ht="23.1" customHeight="1" x14ac:dyDescent="0.25">
      <c r="B28" s="45" t="s">
        <v>55</v>
      </c>
      <c r="C28" s="50">
        <v>16</v>
      </c>
      <c r="D28" s="50">
        <v>1</v>
      </c>
      <c r="E28" s="50">
        <v>6</v>
      </c>
      <c r="F28" s="50">
        <v>11</v>
      </c>
      <c r="G28" s="50">
        <v>0</v>
      </c>
      <c r="H28" s="50">
        <v>0</v>
      </c>
      <c r="I28" s="50">
        <v>12</v>
      </c>
      <c r="J28" s="50">
        <v>2</v>
      </c>
      <c r="K28" s="50">
        <v>0</v>
      </c>
      <c r="L28" s="50">
        <v>0</v>
      </c>
      <c r="M28" s="50">
        <v>93</v>
      </c>
      <c r="N28" s="50">
        <v>0</v>
      </c>
      <c r="O28" s="15">
        <f t="shared" si="0"/>
        <v>48</v>
      </c>
      <c r="P28" s="15">
        <f t="shared" si="1"/>
        <v>141</v>
      </c>
      <c r="R28" s="36" t="s">
        <v>152</v>
      </c>
      <c r="S28" s="34">
        <f>SUM(C82:C85)</f>
        <v>16</v>
      </c>
      <c r="T28" s="34">
        <f t="shared" ref="T28:AF28" si="20">SUM(D82:D85)</f>
        <v>1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27</v>
      </c>
      <c r="AD28" s="34">
        <f t="shared" si="20"/>
        <v>0</v>
      </c>
      <c r="AE28" s="31">
        <f t="shared" si="20"/>
        <v>23</v>
      </c>
      <c r="AF28" s="31">
        <f t="shared" si="20"/>
        <v>50</v>
      </c>
    </row>
    <row r="29" spans="2:32" ht="23.1" customHeight="1" x14ac:dyDescent="0.25">
      <c r="B29" s="45" t="s">
        <v>56</v>
      </c>
      <c r="C29" s="50">
        <v>19</v>
      </c>
      <c r="D29" s="50">
        <v>2</v>
      </c>
      <c r="E29" s="50">
        <v>5</v>
      </c>
      <c r="F29" s="50">
        <v>8</v>
      </c>
      <c r="G29" s="50">
        <v>0</v>
      </c>
      <c r="H29" s="50">
        <v>0</v>
      </c>
      <c r="I29" s="50">
        <v>6</v>
      </c>
      <c r="J29" s="50">
        <v>1</v>
      </c>
      <c r="K29" s="50">
        <v>0</v>
      </c>
      <c r="L29" s="50">
        <v>0</v>
      </c>
      <c r="M29" s="50">
        <v>98</v>
      </c>
      <c r="N29" s="50">
        <v>0</v>
      </c>
      <c r="O29" s="15">
        <f t="shared" si="0"/>
        <v>41</v>
      </c>
      <c r="P29" s="15">
        <f t="shared" si="1"/>
        <v>139</v>
      </c>
      <c r="R29" s="36" t="s">
        <v>153</v>
      </c>
      <c r="S29" s="34">
        <f>SUM(C86:C89)</f>
        <v>5</v>
      </c>
      <c r="T29" s="34">
        <f t="shared" ref="T29:AF29" si="21">SUM(D86:D89)</f>
        <v>4</v>
      </c>
      <c r="U29" s="34">
        <f t="shared" si="21"/>
        <v>0</v>
      </c>
      <c r="V29" s="34">
        <f t="shared" si="21"/>
        <v>3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0</v>
      </c>
      <c r="AB29" s="34">
        <f t="shared" si="21"/>
        <v>1</v>
      </c>
      <c r="AC29" s="34">
        <f t="shared" si="21"/>
        <v>16</v>
      </c>
      <c r="AD29" s="34">
        <f t="shared" si="21"/>
        <v>0</v>
      </c>
      <c r="AE29" s="31">
        <f t="shared" si="21"/>
        <v>16</v>
      </c>
      <c r="AF29" s="31">
        <f t="shared" si="21"/>
        <v>32</v>
      </c>
    </row>
    <row r="30" spans="2:32" ht="23.1" customHeight="1" x14ac:dyDescent="0.25">
      <c r="B30" s="45" t="s">
        <v>57</v>
      </c>
      <c r="C30" s="50">
        <v>26</v>
      </c>
      <c r="D30" s="50">
        <v>3</v>
      </c>
      <c r="E30" s="50">
        <v>6</v>
      </c>
      <c r="F30" s="50">
        <v>8</v>
      </c>
      <c r="G30" s="50">
        <v>2</v>
      </c>
      <c r="H30" s="50">
        <v>0</v>
      </c>
      <c r="I30" s="50">
        <v>9</v>
      </c>
      <c r="J30" s="50">
        <v>3</v>
      </c>
      <c r="K30" s="50">
        <v>0</v>
      </c>
      <c r="L30" s="50">
        <v>0</v>
      </c>
      <c r="M30" s="50">
        <v>85</v>
      </c>
      <c r="N30" s="50">
        <v>0</v>
      </c>
      <c r="O30" s="15">
        <f t="shared" si="0"/>
        <v>57</v>
      </c>
      <c r="P30" s="15">
        <f t="shared" si="1"/>
        <v>142</v>
      </c>
      <c r="R30" s="36" t="s">
        <v>154</v>
      </c>
      <c r="S30" s="34">
        <f>SUM(C90:C93)</f>
        <v>1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2</v>
      </c>
      <c r="AA30" s="34">
        <f t="shared" si="22"/>
        <v>1</v>
      </c>
      <c r="AB30" s="34">
        <f t="shared" si="22"/>
        <v>0</v>
      </c>
      <c r="AC30" s="34">
        <f t="shared" si="22"/>
        <v>16</v>
      </c>
      <c r="AD30" s="34">
        <f t="shared" si="22"/>
        <v>0</v>
      </c>
      <c r="AE30" s="31">
        <f t="shared" si="22"/>
        <v>8</v>
      </c>
      <c r="AF30" s="31">
        <f t="shared" si="22"/>
        <v>24</v>
      </c>
    </row>
    <row r="31" spans="2:32" ht="23.1" customHeight="1" x14ac:dyDescent="0.25">
      <c r="B31" s="46" t="s">
        <v>58</v>
      </c>
      <c r="C31" s="50">
        <v>15</v>
      </c>
      <c r="D31" s="50">
        <v>3</v>
      </c>
      <c r="E31" s="50">
        <v>3</v>
      </c>
      <c r="F31" s="50">
        <v>11</v>
      </c>
      <c r="G31" s="50">
        <v>1</v>
      </c>
      <c r="H31" s="50">
        <v>0</v>
      </c>
      <c r="I31" s="50">
        <v>10</v>
      </c>
      <c r="J31" s="50">
        <v>2</v>
      </c>
      <c r="K31" s="50">
        <v>0</v>
      </c>
      <c r="L31" s="50">
        <v>0</v>
      </c>
      <c r="M31" s="50">
        <v>92</v>
      </c>
      <c r="N31" s="50">
        <v>0</v>
      </c>
      <c r="O31" s="15">
        <f t="shared" si="0"/>
        <v>45</v>
      </c>
      <c r="P31" s="15">
        <f t="shared" si="1"/>
        <v>137</v>
      </c>
      <c r="R31" s="36" t="s">
        <v>155</v>
      </c>
      <c r="S31" s="34">
        <f>SUM(C94:C97)</f>
        <v>5</v>
      </c>
      <c r="T31" s="34">
        <f t="shared" ref="T31:AF31" si="23">SUM(D94:D97)</f>
        <v>2</v>
      </c>
      <c r="U31" s="34">
        <f t="shared" si="23"/>
        <v>1</v>
      </c>
      <c r="V31" s="34">
        <f t="shared" si="23"/>
        <v>6</v>
      </c>
      <c r="W31" s="34">
        <f t="shared" si="23"/>
        <v>1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23</v>
      </c>
      <c r="AD31" s="34">
        <f t="shared" si="23"/>
        <v>0</v>
      </c>
      <c r="AE31" s="31">
        <f t="shared" si="23"/>
        <v>16</v>
      </c>
      <c r="AF31" s="31">
        <f t="shared" si="23"/>
        <v>39</v>
      </c>
    </row>
    <row r="32" spans="2:32" ht="23.1" customHeight="1" x14ac:dyDescent="0.25">
      <c r="B32" s="46" t="s">
        <v>59</v>
      </c>
      <c r="C32" s="50">
        <v>22</v>
      </c>
      <c r="D32" s="50">
        <v>1</v>
      </c>
      <c r="E32" s="50">
        <v>7</v>
      </c>
      <c r="F32" s="50">
        <v>9</v>
      </c>
      <c r="G32" s="50">
        <v>0</v>
      </c>
      <c r="H32" s="50">
        <v>0</v>
      </c>
      <c r="I32" s="50">
        <v>8</v>
      </c>
      <c r="J32" s="50">
        <v>2</v>
      </c>
      <c r="K32" s="50">
        <v>0</v>
      </c>
      <c r="L32" s="50">
        <v>0</v>
      </c>
      <c r="M32" s="50">
        <v>98</v>
      </c>
      <c r="N32" s="50">
        <v>0</v>
      </c>
      <c r="O32" s="15">
        <f t="shared" si="0"/>
        <v>49</v>
      </c>
      <c r="P32" s="15">
        <f t="shared" si="1"/>
        <v>147</v>
      </c>
      <c r="R32" s="33" t="s">
        <v>156</v>
      </c>
      <c r="S32" s="34">
        <f>SUM(C98:C101)</f>
        <v>4</v>
      </c>
      <c r="T32" s="34">
        <f t="shared" ref="T32:AF32" si="24">SUM(D98:D101)</f>
        <v>0</v>
      </c>
      <c r="U32" s="34">
        <f t="shared" si="24"/>
        <v>3</v>
      </c>
      <c r="V32" s="34">
        <f t="shared" si="24"/>
        <v>11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6</v>
      </c>
      <c r="AA32" s="34">
        <f t="shared" si="24"/>
        <v>0</v>
      </c>
      <c r="AB32" s="34">
        <f t="shared" si="24"/>
        <v>0</v>
      </c>
      <c r="AC32" s="34">
        <f t="shared" si="24"/>
        <v>45</v>
      </c>
      <c r="AD32" s="34">
        <f t="shared" si="24"/>
        <v>0</v>
      </c>
      <c r="AE32" s="31">
        <f t="shared" si="24"/>
        <v>30</v>
      </c>
      <c r="AF32" s="31">
        <f t="shared" si="24"/>
        <v>75</v>
      </c>
    </row>
    <row r="33" spans="2:32" ht="23.1" customHeight="1" x14ac:dyDescent="0.25">
      <c r="B33" s="45" t="s">
        <v>60</v>
      </c>
      <c r="C33" s="50">
        <v>18</v>
      </c>
      <c r="D33" s="50">
        <v>3</v>
      </c>
      <c r="E33" s="50">
        <v>4</v>
      </c>
      <c r="F33" s="50">
        <v>11</v>
      </c>
      <c r="G33" s="50">
        <v>2</v>
      </c>
      <c r="H33" s="50">
        <v>0</v>
      </c>
      <c r="I33" s="50">
        <v>12</v>
      </c>
      <c r="J33" s="50">
        <v>3</v>
      </c>
      <c r="K33" s="50">
        <v>0</v>
      </c>
      <c r="L33" s="50">
        <v>0</v>
      </c>
      <c r="M33" s="50">
        <v>63</v>
      </c>
      <c r="N33" s="50">
        <v>0</v>
      </c>
      <c r="O33" s="15">
        <f t="shared" si="0"/>
        <v>53</v>
      </c>
      <c r="P33" s="15">
        <f t="shared" si="1"/>
        <v>116</v>
      </c>
      <c r="R33" s="33" t="s">
        <v>157</v>
      </c>
      <c r="S33" s="34">
        <f>SUM(C102:C105)</f>
        <v>19</v>
      </c>
      <c r="T33" s="34">
        <f t="shared" ref="T33:AF33" si="25">SUM(D102:D105)</f>
        <v>5</v>
      </c>
      <c r="U33" s="34">
        <f t="shared" si="25"/>
        <v>7</v>
      </c>
      <c r="V33" s="34">
        <f t="shared" si="25"/>
        <v>29</v>
      </c>
      <c r="W33" s="34">
        <f t="shared" si="25"/>
        <v>3</v>
      </c>
      <c r="X33" s="34">
        <f t="shared" si="25"/>
        <v>0</v>
      </c>
      <c r="Y33" s="34">
        <f t="shared" si="25"/>
        <v>10</v>
      </c>
      <c r="Z33" s="34">
        <f t="shared" si="25"/>
        <v>6</v>
      </c>
      <c r="AA33" s="34">
        <f t="shared" si="25"/>
        <v>4</v>
      </c>
      <c r="AB33" s="34">
        <f t="shared" si="25"/>
        <v>4</v>
      </c>
      <c r="AC33" s="34">
        <f t="shared" si="25"/>
        <v>168</v>
      </c>
      <c r="AD33" s="34">
        <f t="shared" si="25"/>
        <v>0</v>
      </c>
      <c r="AE33" s="31">
        <f t="shared" si="25"/>
        <v>87</v>
      </c>
      <c r="AF33" s="31">
        <f t="shared" si="25"/>
        <v>255</v>
      </c>
    </row>
    <row r="34" spans="2:32" ht="23.1" customHeight="1" x14ac:dyDescent="0.25">
      <c r="B34" s="46" t="s">
        <v>61</v>
      </c>
      <c r="C34" s="50">
        <v>22</v>
      </c>
      <c r="D34" s="50">
        <v>1</v>
      </c>
      <c r="E34" s="50">
        <v>3</v>
      </c>
      <c r="F34" s="50">
        <v>11</v>
      </c>
      <c r="G34" s="50">
        <v>0</v>
      </c>
      <c r="H34" s="50">
        <v>0</v>
      </c>
      <c r="I34" s="50">
        <v>7</v>
      </c>
      <c r="J34" s="50">
        <v>5</v>
      </c>
      <c r="K34" s="50">
        <v>2</v>
      </c>
      <c r="L34" s="50">
        <v>0</v>
      </c>
      <c r="M34" s="50">
        <v>82</v>
      </c>
      <c r="N34" s="50">
        <v>0</v>
      </c>
      <c r="O34" s="15">
        <f t="shared" si="0"/>
        <v>51</v>
      </c>
      <c r="P34" s="15">
        <f t="shared" si="1"/>
        <v>133</v>
      </c>
      <c r="R34" s="38" t="s">
        <v>90</v>
      </c>
      <c r="S34" s="39">
        <f t="shared" ref="S34:AF34" si="26">MAX(S10:S12)</f>
        <v>67</v>
      </c>
      <c r="T34" s="39">
        <f t="shared" si="26"/>
        <v>19</v>
      </c>
      <c r="U34" s="39">
        <f t="shared" si="26"/>
        <v>21</v>
      </c>
      <c r="V34" s="39">
        <f t="shared" si="26"/>
        <v>31</v>
      </c>
      <c r="W34" s="39">
        <f t="shared" si="26"/>
        <v>13</v>
      </c>
      <c r="X34" s="39">
        <f t="shared" si="26"/>
        <v>1</v>
      </c>
      <c r="Y34" s="39">
        <f t="shared" si="26"/>
        <v>36</v>
      </c>
      <c r="Z34" s="39">
        <f t="shared" si="26"/>
        <v>17</v>
      </c>
      <c r="AA34" s="39">
        <f t="shared" si="26"/>
        <v>2</v>
      </c>
      <c r="AB34" s="39">
        <f t="shared" si="26"/>
        <v>2</v>
      </c>
      <c r="AC34" s="39">
        <f t="shared" si="26"/>
        <v>401</v>
      </c>
      <c r="AD34" s="39">
        <f t="shared" si="26"/>
        <v>99</v>
      </c>
      <c r="AE34" s="40">
        <f t="shared" si="26"/>
        <v>271</v>
      </c>
      <c r="AF34" s="40">
        <f t="shared" si="26"/>
        <v>546</v>
      </c>
    </row>
    <row r="35" spans="2:32" ht="23.1" customHeight="1" x14ac:dyDescent="0.25">
      <c r="B35" s="46" t="s">
        <v>62</v>
      </c>
      <c r="C35" s="50">
        <v>9</v>
      </c>
      <c r="D35" s="50">
        <v>1</v>
      </c>
      <c r="E35" s="50">
        <v>4</v>
      </c>
      <c r="F35" s="50">
        <v>12</v>
      </c>
      <c r="G35" s="50">
        <v>0</v>
      </c>
      <c r="H35" s="50">
        <v>0</v>
      </c>
      <c r="I35" s="50">
        <v>1</v>
      </c>
      <c r="J35" s="50">
        <v>3</v>
      </c>
      <c r="K35" s="50">
        <v>0</v>
      </c>
      <c r="L35" s="50">
        <v>0</v>
      </c>
      <c r="M35" s="50">
        <v>83</v>
      </c>
      <c r="N35" s="50">
        <v>0</v>
      </c>
      <c r="O35" s="15">
        <f t="shared" si="0"/>
        <v>30</v>
      </c>
      <c r="P35" s="15">
        <f t="shared" si="1"/>
        <v>113</v>
      </c>
      <c r="R35" s="38" t="s">
        <v>91</v>
      </c>
      <c r="S35" s="39">
        <f t="shared" ref="S35:AF35" si="27">MAX(S13:S18)</f>
        <v>86</v>
      </c>
      <c r="T35" s="39">
        <f t="shared" si="27"/>
        <v>13</v>
      </c>
      <c r="U35" s="39">
        <f t="shared" si="27"/>
        <v>23</v>
      </c>
      <c r="V35" s="39">
        <f t="shared" si="27"/>
        <v>41</v>
      </c>
      <c r="W35" s="39">
        <f t="shared" si="27"/>
        <v>5</v>
      </c>
      <c r="X35" s="39">
        <f t="shared" si="27"/>
        <v>0</v>
      </c>
      <c r="Y35" s="39">
        <f t="shared" si="27"/>
        <v>39</v>
      </c>
      <c r="Z35" s="39">
        <f t="shared" si="27"/>
        <v>12</v>
      </c>
      <c r="AA35" s="39">
        <f t="shared" si="27"/>
        <v>6</v>
      </c>
      <c r="AB35" s="39">
        <f t="shared" si="27"/>
        <v>2</v>
      </c>
      <c r="AC35" s="39">
        <f t="shared" si="27"/>
        <v>391</v>
      </c>
      <c r="AD35" s="39">
        <f t="shared" si="27"/>
        <v>0</v>
      </c>
      <c r="AE35" s="40">
        <f t="shared" si="27"/>
        <v>204</v>
      </c>
      <c r="AF35" s="40">
        <f t="shared" si="27"/>
        <v>565</v>
      </c>
    </row>
    <row r="36" spans="2:32" ht="23.1" customHeight="1" x14ac:dyDescent="0.25">
      <c r="B36" s="46" t="s">
        <v>63</v>
      </c>
      <c r="C36" s="50">
        <v>28</v>
      </c>
      <c r="D36" s="50">
        <v>2</v>
      </c>
      <c r="E36" s="50">
        <v>3</v>
      </c>
      <c r="F36" s="50">
        <v>10</v>
      </c>
      <c r="G36" s="50">
        <v>2</v>
      </c>
      <c r="H36" s="50">
        <v>0</v>
      </c>
      <c r="I36" s="50">
        <v>5</v>
      </c>
      <c r="J36" s="50">
        <v>1</v>
      </c>
      <c r="K36" s="50">
        <v>1</v>
      </c>
      <c r="L36" s="50">
        <v>0</v>
      </c>
      <c r="M36" s="50">
        <v>78</v>
      </c>
      <c r="N36" s="50">
        <v>0</v>
      </c>
      <c r="O36" s="15">
        <f t="shared" si="0"/>
        <v>52</v>
      </c>
      <c r="P36" s="15">
        <f t="shared" si="1"/>
        <v>130</v>
      </c>
      <c r="R36" s="38" t="s">
        <v>92</v>
      </c>
      <c r="S36" s="39">
        <f t="shared" ref="S36:AF36" si="28">MAX(S19:S21)</f>
        <v>82</v>
      </c>
      <c r="T36" s="39">
        <f t="shared" si="28"/>
        <v>14</v>
      </c>
      <c r="U36" s="39">
        <f t="shared" si="28"/>
        <v>19</v>
      </c>
      <c r="V36" s="39">
        <f t="shared" si="28"/>
        <v>37</v>
      </c>
      <c r="W36" s="39">
        <f t="shared" si="28"/>
        <v>4</v>
      </c>
      <c r="X36" s="39">
        <f t="shared" si="28"/>
        <v>0</v>
      </c>
      <c r="Y36" s="39">
        <f t="shared" si="28"/>
        <v>30</v>
      </c>
      <c r="Z36" s="39">
        <f t="shared" si="28"/>
        <v>6</v>
      </c>
      <c r="AA36" s="39">
        <f t="shared" si="28"/>
        <v>1</v>
      </c>
      <c r="AB36" s="39">
        <f t="shared" si="28"/>
        <v>2</v>
      </c>
      <c r="AC36" s="39">
        <f t="shared" si="28"/>
        <v>382</v>
      </c>
      <c r="AD36" s="39">
        <f t="shared" si="28"/>
        <v>0</v>
      </c>
      <c r="AE36" s="40">
        <f t="shared" si="28"/>
        <v>177</v>
      </c>
      <c r="AF36" s="40">
        <f t="shared" si="28"/>
        <v>559</v>
      </c>
    </row>
    <row r="37" spans="2:32" ht="23.1" customHeight="1" x14ac:dyDescent="0.25">
      <c r="B37" s="45" t="s">
        <v>64</v>
      </c>
      <c r="C37" s="50">
        <v>27</v>
      </c>
      <c r="D37" s="50">
        <v>3</v>
      </c>
      <c r="E37" s="50">
        <v>3</v>
      </c>
      <c r="F37" s="50">
        <v>8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62</v>
      </c>
      <c r="N37" s="50">
        <v>0</v>
      </c>
      <c r="O37" s="15">
        <f t="shared" si="0"/>
        <v>45</v>
      </c>
      <c r="P37" s="15">
        <f t="shared" si="1"/>
        <v>107</v>
      </c>
      <c r="R37" s="37" t="s">
        <v>85</v>
      </c>
      <c r="S37" s="35">
        <f t="shared" ref="S37:AF37" si="29">SUM(S10:S12)</f>
        <v>173</v>
      </c>
      <c r="T37" s="16">
        <f t="shared" si="29"/>
        <v>28</v>
      </c>
      <c r="U37" s="16">
        <f t="shared" si="29"/>
        <v>50</v>
      </c>
      <c r="V37" s="16">
        <f t="shared" si="29"/>
        <v>81</v>
      </c>
      <c r="W37" s="16">
        <f t="shared" si="29"/>
        <v>18</v>
      </c>
      <c r="X37" s="16">
        <f t="shared" si="29"/>
        <v>1</v>
      </c>
      <c r="Y37" s="16">
        <f t="shared" si="29"/>
        <v>77</v>
      </c>
      <c r="Z37" s="16">
        <f t="shared" si="29"/>
        <v>23</v>
      </c>
      <c r="AA37" s="16">
        <f t="shared" si="29"/>
        <v>5</v>
      </c>
      <c r="AB37" s="16">
        <f t="shared" si="29"/>
        <v>2</v>
      </c>
      <c r="AC37" s="16">
        <f t="shared" si="29"/>
        <v>1013</v>
      </c>
      <c r="AD37" s="16">
        <f t="shared" si="29"/>
        <v>99</v>
      </c>
      <c r="AE37" s="32">
        <f t="shared" si="29"/>
        <v>557</v>
      </c>
      <c r="AF37" s="32">
        <f t="shared" si="29"/>
        <v>1570</v>
      </c>
    </row>
    <row r="38" spans="2:32" ht="23.1" customHeight="1" x14ac:dyDescent="0.25">
      <c r="B38" s="46" t="s">
        <v>65</v>
      </c>
      <c r="C38" s="50">
        <v>18</v>
      </c>
      <c r="D38" s="50">
        <v>3</v>
      </c>
      <c r="E38" s="50">
        <v>7</v>
      </c>
      <c r="F38" s="50">
        <v>7</v>
      </c>
      <c r="G38" s="50">
        <v>0</v>
      </c>
      <c r="H38" s="50">
        <v>0</v>
      </c>
      <c r="I38" s="50">
        <v>9</v>
      </c>
      <c r="J38" s="50">
        <v>2</v>
      </c>
      <c r="K38" s="50">
        <v>0</v>
      </c>
      <c r="L38" s="50">
        <v>0</v>
      </c>
      <c r="M38" s="50">
        <v>80</v>
      </c>
      <c r="N38" s="50">
        <v>0</v>
      </c>
      <c r="O38" s="15">
        <f t="shared" si="0"/>
        <v>46</v>
      </c>
      <c r="P38" s="15">
        <f t="shared" si="1"/>
        <v>126</v>
      </c>
      <c r="R38" s="28" t="s">
        <v>86</v>
      </c>
      <c r="S38" s="16">
        <f t="shared" ref="S38:AF38" si="30">SUM(S13:S18)</f>
        <v>429</v>
      </c>
      <c r="T38" s="16">
        <f t="shared" si="30"/>
        <v>52</v>
      </c>
      <c r="U38" s="16">
        <f t="shared" si="30"/>
        <v>112</v>
      </c>
      <c r="V38" s="16">
        <f t="shared" si="30"/>
        <v>203</v>
      </c>
      <c r="W38" s="16">
        <f t="shared" si="30"/>
        <v>13</v>
      </c>
      <c r="X38" s="16">
        <f t="shared" si="30"/>
        <v>0</v>
      </c>
      <c r="Y38" s="16">
        <f t="shared" si="30"/>
        <v>176</v>
      </c>
      <c r="Z38" s="16">
        <f t="shared" si="30"/>
        <v>47</v>
      </c>
      <c r="AA38" s="16">
        <f t="shared" si="30"/>
        <v>13</v>
      </c>
      <c r="AB38" s="16">
        <f t="shared" si="30"/>
        <v>4</v>
      </c>
      <c r="AC38" s="16">
        <f t="shared" si="30"/>
        <v>2086</v>
      </c>
      <c r="AD38" s="16">
        <f t="shared" si="30"/>
        <v>0</v>
      </c>
      <c r="AE38" s="32">
        <f t="shared" si="30"/>
        <v>1049</v>
      </c>
      <c r="AF38" s="32">
        <f t="shared" si="30"/>
        <v>3135</v>
      </c>
    </row>
    <row r="39" spans="2:32" ht="23.1" customHeight="1" x14ac:dyDescent="0.25">
      <c r="B39" s="46" t="s">
        <v>66</v>
      </c>
      <c r="C39" s="50">
        <v>16</v>
      </c>
      <c r="D39" s="50">
        <v>2</v>
      </c>
      <c r="E39" s="50">
        <v>5</v>
      </c>
      <c r="F39" s="50">
        <v>4</v>
      </c>
      <c r="G39" s="50">
        <v>1</v>
      </c>
      <c r="H39" s="50">
        <v>0</v>
      </c>
      <c r="I39" s="50">
        <v>6</v>
      </c>
      <c r="J39" s="50">
        <v>6</v>
      </c>
      <c r="K39" s="50">
        <v>0</v>
      </c>
      <c r="L39" s="50">
        <v>1</v>
      </c>
      <c r="M39" s="50">
        <v>68</v>
      </c>
      <c r="N39" s="50">
        <v>0</v>
      </c>
      <c r="O39" s="15">
        <f t="shared" si="0"/>
        <v>41</v>
      </c>
      <c r="P39" s="15">
        <f t="shared" si="1"/>
        <v>109</v>
      </c>
      <c r="R39" s="29" t="s">
        <v>87</v>
      </c>
      <c r="S39" s="16">
        <f t="shared" ref="S39:AF39" si="31">SUM(S19:S21)</f>
        <v>224</v>
      </c>
      <c r="T39" s="16">
        <f t="shared" si="31"/>
        <v>25</v>
      </c>
      <c r="U39" s="16">
        <f t="shared" si="31"/>
        <v>53</v>
      </c>
      <c r="V39" s="16">
        <f t="shared" si="31"/>
        <v>101</v>
      </c>
      <c r="W39" s="16">
        <f t="shared" si="31"/>
        <v>8</v>
      </c>
      <c r="X39" s="16">
        <f t="shared" si="31"/>
        <v>0</v>
      </c>
      <c r="Y39" s="16">
        <f t="shared" si="31"/>
        <v>72</v>
      </c>
      <c r="Z39" s="16">
        <f t="shared" si="31"/>
        <v>14</v>
      </c>
      <c r="AA39" s="16">
        <f t="shared" si="31"/>
        <v>2</v>
      </c>
      <c r="AB39" s="16">
        <f t="shared" si="31"/>
        <v>2</v>
      </c>
      <c r="AC39" s="16">
        <f t="shared" si="31"/>
        <v>991</v>
      </c>
      <c r="AD39" s="16">
        <f t="shared" si="31"/>
        <v>0</v>
      </c>
      <c r="AE39" s="32">
        <f t="shared" si="31"/>
        <v>501</v>
      </c>
      <c r="AF39" s="32">
        <f t="shared" si="31"/>
        <v>1492</v>
      </c>
    </row>
    <row r="40" spans="2:32" ht="23.1" customHeight="1" x14ac:dyDescent="0.25">
      <c r="B40" s="46" t="s">
        <v>67</v>
      </c>
      <c r="C40" s="50">
        <v>18</v>
      </c>
      <c r="D40" s="50">
        <v>1</v>
      </c>
      <c r="E40" s="50">
        <v>4</v>
      </c>
      <c r="F40" s="50">
        <v>8</v>
      </c>
      <c r="G40" s="50">
        <v>0</v>
      </c>
      <c r="H40" s="50">
        <v>0</v>
      </c>
      <c r="I40" s="50">
        <v>3</v>
      </c>
      <c r="J40" s="50">
        <v>2</v>
      </c>
      <c r="K40" s="50">
        <v>1</v>
      </c>
      <c r="L40" s="50">
        <v>0</v>
      </c>
      <c r="M40" s="50">
        <v>93</v>
      </c>
      <c r="N40" s="50">
        <v>0</v>
      </c>
      <c r="O40" s="15">
        <f t="shared" si="0"/>
        <v>37</v>
      </c>
      <c r="P40" s="15">
        <f t="shared" si="1"/>
        <v>130</v>
      </c>
      <c r="R40" s="5" t="s">
        <v>17</v>
      </c>
      <c r="S40" s="16">
        <f t="shared" ref="S40:AF40" si="32">SUM(S10:S21)</f>
        <v>826</v>
      </c>
      <c r="T40" s="16">
        <f t="shared" si="32"/>
        <v>105</v>
      </c>
      <c r="U40" s="16">
        <f t="shared" si="32"/>
        <v>215</v>
      </c>
      <c r="V40" s="16">
        <f t="shared" si="32"/>
        <v>385</v>
      </c>
      <c r="W40" s="16">
        <f t="shared" si="32"/>
        <v>39</v>
      </c>
      <c r="X40" s="16">
        <f t="shared" si="32"/>
        <v>1</v>
      </c>
      <c r="Y40" s="16">
        <f t="shared" si="32"/>
        <v>325</v>
      </c>
      <c r="Z40" s="16">
        <f t="shared" si="32"/>
        <v>84</v>
      </c>
      <c r="AA40" s="16">
        <f t="shared" si="32"/>
        <v>20</v>
      </c>
      <c r="AB40" s="16">
        <f t="shared" si="32"/>
        <v>8</v>
      </c>
      <c r="AC40" s="16">
        <f t="shared" si="32"/>
        <v>4090</v>
      </c>
      <c r="AD40" s="16">
        <f t="shared" si="32"/>
        <v>99</v>
      </c>
      <c r="AE40" s="32">
        <f t="shared" si="32"/>
        <v>2107</v>
      </c>
      <c r="AF40" s="32">
        <f t="shared" si="32"/>
        <v>6197</v>
      </c>
    </row>
    <row r="41" spans="2:32" ht="23.1" customHeight="1" x14ac:dyDescent="0.25">
      <c r="B41" s="45" t="s">
        <v>68</v>
      </c>
      <c r="C41" s="50">
        <v>21</v>
      </c>
      <c r="D41" s="50">
        <v>1</v>
      </c>
      <c r="E41" s="50">
        <v>6</v>
      </c>
      <c r="F41" s="50">
        <v>16</v>
      </c>
      <c r="G41" s="50">
        <v>0</v>
      </c>
      <c r="H41" s="50">
        <v>0</v>
      </c>
      <c r="I41" s="50">
        <v>2</v>
      </c>
      <c r="J41" s="50">
        <v>2</v>
      </c>
      <c r="K41" s="50">
        <v>0</v>
      </c>
      <c r="L41" s="50">
        <v>1</v>
      </c>
      <c r="M41" s="50">
        <v>73</v>
      </c>
      <c r="N41" s="50">
        <v>0</v>
      </c>
      <c r="O41" s="15">
        <f t="shared" si="0"/>
        <v>49</v>
      </c>
      <c r="P41" s="15">
        <f t="shared" si="1"/>
        <v>122</v>
      </c>
      <c r="R41" s="5" t="s">
        <v>159</v>
      </c>
      <c r="S41" s="16">
        <f>SUM(S10:S33)</f>
        <v>1111</v>
      </c>
      <c r="T41" s="16">
        <f t="shared" ref="T41:AF41" si="33">SUM(T10:T33)</f>
        <v>140</v>
      </c>
      <c r="U41" s="16">
        <f t="shared" si="33"/>
        <v>276</v>
      </c>
      <c r="V41" s="16">
        <f t="shared" si="33"/>
        <v>550</v>
      </c>
      <c r="W41" s="16">
        <f t="shared" si="33"/>
        <v>50</v>
      </c>
      <c r="X41" s="16">
        <f t="shared" si="33"/>
        <v>2</v>
      </c>
      <c r="Y41" s="16">
        <f t="shared" si="33"/>
        <v>398</v>
      </c>
      <c r="Z41" s="16">
        <f t="shared" si="33"/>
        <v>113</v>
      </c>
      <c r="AA41" s="16">
        <f t="shared" si="33"/>
        <v>31</v>
      </c>
      <c r="AB41" s="16">
        <f t="shared" si="33"/>
        <v>15</v>
      </c>
      <c r="AC41" s="16">
        <f t="shared" si="33"/>
        <v>5604</v>
      </c>
      <c r="AD41" s="16">
        <f t="shared" si="33"/>
        <v>99</v>
      </c>
      <c r="AE41" s="32">
        <f t="shared" si="33"/>
        <v>2785</v>
      </c>
      <c r="AF41" s="32">
        <f t="shared" si="33"/>
        <v>8389</v>
      </c>
    </row>
    <row r="42" spans="2:32" ht="23.1" customHeight="1" x14ac:dyDescent="0.25">
      <c r="B42" s="46" t="s">
        <v>69</v>
      </c>
      <c r="C42" s="50">
        <v>22</v>
      </c>
      <c r="D42" s="50">
        <v>3</v>
      </c>
      <c r="E42" s="50">
        <v>1</v>
      </c>
      <c r="F42" s="50">
        <v>9</v>
      </c>
      <c r="G42" s="50">
        <v>0</v>
      </c>
      <c r="H42" s="50">
        <v>0</v>
      </c>
      <c r="I42" s="50">
        <v>9</v>
      </c>
      <c r="J42" s="50">
        <v>2</v>
      </c>
      <c r="K42" s="50">
        <v>1</v>
      </c>
      <c r="L42" s="50">
        <v>0</v>
      </c>
      <c r="M42" s="50">
        <v>93</v>
      </c>
      <c r="N42" s="50">
        <v>0</v>
      </c>
      <c r="O42" s="15">
        <f t="shared" si="0"/>
        <v>47</v>
      </c>
      <c r="P42" s="15">
        <f t="shared" si="1"/>
        <v>140</v>
      </c>
      <c r="R42" s="5" t="s">
        <v>160</v>
      </c>
      <c r="S42" s="48">
        <f>S41/S40</f>
        <v>1.3450363196125907</v>
      </c>
      <c r="T42" s="48">
        <f t="shared" ref="T42:AF42" si="34">T41/T40</f>
        <v>1.3333333333333333</v>
      </c>
      <c r="U42" s="48">
        <f t="shared" si="34"/>
        <v>1.2837209302325581</v>
      </c>
      <c r="V42" s="48">
        <f t="shared" si="34"/>
        <v>1.4285714285714286</v>
      </c>
      <c r="W42" s="48">
        <f t="shared" si="34"/>
        <v>1.2820512820512822</v>
      </c>
      <c r="X42" s="48">
        <f t="shared" si="34"/>
        <v>2</v>
      </c>
      <c r="Y42" s="48">
        <f t="shared" si="34"/>
        <v>1.2246153846153847</v>
      </c>
      <c r="Z42" s="48">
        <f t="shared" si="34"/>
        <v>1.3452380952380953</v>
      </c>
      <c r="AA42" s="48">
        <f t="shared" si="34"/>
        <v>1.55</v>
      </c>
      <c r="AB42" s="48">
        <f t="shared" si="34"/>
        <v>1.875</v>
      </c>
      <c r="AC42" s="48">
        <f t="shared" si="34"/>
        <v>1.3701711491442543</v>
      </c>
      <c r="AD42" s="48">
        <f t="shared" si="34"/>
        <v>1</v>
      </c>
      <c r="AE42" s="48">
        <f t="shared" si="34"/>
        <v>1.3217845277645943</v>
      </c>
      <c r="AF42" s="48">
        <f t="shared" si="34"/>
        <v>1.3537195417137324</v>
      </c>
    </row>
    <row r="43" spans="2:32" ht="23.1" customHeight="1" x14ac:dyDescent="0.25">
      <c r="B43" s="45" t="s">
        <v>70</v>
      </c>
      <c r="C43" s="50">
        <v>20</v>
      </c>
      <c r="D43" s="50">
        <v>5</v>
      </c>
      <c r="E43" s="50">
        <v>6</v>
      </c>
      <c r="F43" s="50">
        <v>5</v>
      </c>
      <c r="G43" s="50">
        <v>0</v>
      </c>
      <c r="H43" s="50">
        <v>0</v>
      </c>
      <c r="I43" s="50">
        <v>11</v>
      </c>
      <c r="J43" s="50">
        <v>0</v>
      </c>
      <c r="K43" s="50">
        <v>0</v>
      </c>
      <c r="L43" s="50">
        <v>0</v>
      </c>
      <c r="M43" s="50">
        <v>107</v>
      </c>
      <c r="N43" s="50">
        <v>0</v>
      </c>
      <c r="O43" s="15">
        <f t="shared" si="0"/>
        <v>47</v>
      </c>
      <c r="P43" s="15">
        <f t="shared" si="1"/>
        <v>154</v>
      </c>
    </row>
    <row r="44" spans="2:32" ht="23.1" customHeight="1" x14ac:dyDescent="0.25">
      <c r="B44" s="47" t="s">
        <v>71</v>
      </c>
      <c r="C44" s="50">
        <v>15</v>
      </c>
      <c r="D44" s="50">
        <v>3</v>
      </c>
      <c r="E44" s="50">
        <v>1</v>
      </c>
      <c r="F44" s="50">
        <v>6</v>
      </c>
      <c r="G44" s="50">
        <v>1</v>
      </c>
      <c r="H44" s="50">
        <v>0</v>
      </c>
      <c r="I44" s="50">
        <v>9</v>
      </c>
      <c r="J44" s="50">
        <v>4</v>
      </c>
      <c r="K44" s="50">
        <v>0</v>
      </c>
      <c r="L44" s="50">
        <v>0</v>
      </c>
      <c r="M44" s="50">
        <v>89</v>
      </c>
      <c r="N44" s="50">
        <v>0</v>
      </c>
      <c r="O44" s="15">
        <f t="shared" si="0"/>
        <v>39</v>
      </c>
      <c r="P44" s="15">
        <f t="shared" si="1"/>
        <v>128</v>
      </c>
    </row>
    <row r="45" spans="2:32" ht="23.1" customHeight="1" x14ac:dyDescent="0.25">
      <c r="B45" s="45" t="s">
        <v>72</v>
      </c>
      <c r="C45" s="50">
        <v>15</v>
      </c>
      <c r="D45" s="50">
        <v>2</v>
      </c>
      <c r="E45" s="50">
        <v>9</v>
      </c>
      <c r="F45" s="50">
        <v>5</v>
      </c>
      <c r="G45" s="50">
        <v>0</v>
      </c>
      <c r="H45" s="50">
        <v>0</v>
      </c>
      <c r="I45" s="50">
        <v>8</v>
      </c>
      <c r="J45" s="50">
        <v>0</v>
      </c>
      <c r="K45" s="50">
        <v>0</v>
      </c>
      <c r="L45" s="50">
        <v>2</v>
      </c>
      <c r="M45" s="50">
        <v>102</v>
      </c>
      <c r="N45" s="50">
        <v>0</v>
      </c>
      <c r="O45" s="15">
        <f t="shared" si="0"/>
        <v>41</v>
      </c>
      <c r="P45" s="15">
        <f t="shared" si="1"/>
        <v>143</v>
      </c>
    </row>
    <row r="46" spans="2:32" ht="23.1" customHeight="1" x14ac:dyDescent="0.25">
      <c r="B46" s="46" t="s">
        <v>73</v>
      </c>
      <c r="C46" s="50">
        <v>19</v>
      </c>
      <c r="D46" s="50">
        <v>4</v>
      </c>
      <c r="E46" s="50">
        <v>7</v>
      </c>
      <c r="F46" s="50">
        <v>11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100</v>
      </c>
      <c r="N46" s="50">
        <v>0</v>
      </c>
      <c r="O46" s="15">
        <f t="shared" si="0"/>
        <v>44</v>
      </c>
      <c r="P46" s="15">
        <f t="shared" si="1"/>
        <v>144</v>
      </c>
      <c r="R46" s="8"/>
      <c r="T46"/>
    </row>
    <row r="47" spans="2:32" ht="23.1" customHeight="1" x14ac:dyDescent="0.25">
      <c r="B47" s="46" t="s">
        <v>74</v>
      </c>
      <c r="C47" s="50">
        <v>21</v>
      </c>
      <c r="D47" s="50">
        <v>0</v>
      </c>
      <c r="E47" s="50">
        <v>1</v>
      </c>
      <c r="F47" s="50">
        <v>4</v>
      </c>
      <c r="G47" s="50">
        <v>0</v>
      </c>
      <c r="H47" s="50">
        <v>0</v>
      </c>
      <c r="I47" s="50">
        <v>7</v>
      </c>
      <c r="J47" s="50">
        <v>3</v>
      </c>
      <c r="K47" s="50">
        <v>0</v>
      </c>
      <c r="L47" s="50">
        <v>0</v>
      </c>
      <c r="M47" s="50">
        <v>77</v>
      </c>
      <c r="N47" s="50">
        <v>0</v>
      </c>
      <c r="O47" s="15">
        <f t="shared" si="0"/>
        <v>36</v>
      </c>
      <c r="P47" s="15">
        <f t="shared" si="1"/>
        <v>113</v>
      </c>
      <c r="R47" s="8"/>
      <c r="T47"/>
    </row>
    <row r="48" spans="2:32" ht="23.1" customHeight="1" x14ac:dyDescent="0.25">
      <c r="B48" s="46" t="s">
        <v>75</v>
      </c>
      <c r="C48" s="50">
        <v>20</v>
      </c>
      <c r="D48" s="50">
        <v>5</v>
      </c>
      <c r="E48" s="50">
        <v>6</v>
      </c>
      <c r="F48" s="50">
        <v>9</v>
      </c>
      <c r="G48" s="50">
        <v>1</v>
      </c>
      <c r="H48" s="50">
        <v>0</v>
      </c>
      <c r="I48" s="50">
        <v>9</v>
      </c>
      <c r="J48" s="50">
        <v>3</v>
      </c>
      <c r="K48" s="50">
        <v>0</v>
      </c>
      <c r="L48" s="50">
        <v>0</v>
      </c>
      <c r="M48" s="50">
        <v>103</v>
      </c>
      <c r="N48" s="50">
        <v>0</v>
      </c>
      <c r="O48" s="15">
        <f t="shared" si="0"/>
        <v>53</v>
      </c>
      <c r="P48" s="15">
        <f t="shared" si="1"/>
        <v>156</v>
      </c>
      <c r="R48" s="8"/>
      <c r="T48"/>
    </row>
    <row r="49" spans="2:20" ht="23.1" customHeight="1" x14ac:dyDescent="0.25">
      <c r="B49" s="45" t="s">
        <v>76</v>
      </c>
      <c r="C49" s="50">
        <v>22</v>
      </c>
      <c r="D49" s="50">
        <v>5</v>
      </c>
      <c r="E49" s="50">
        <v>5</v>
      </c>
      <c r="F49" s="50">
        <v>6</v>
      </c>
      <c r="G49" s="50">
        <v>1</v>
      </c>
      <c r="H49" s="50">
        <v>0</v>
      </c>
      <c r="I49" s="50">
        <v>3</v>
      </c>
      <c r="J49" s="50">
        <v>0</v>
      </c>
      <c r="K49" s="50">
        <v>0</v>
      </c>
      <c r="L49" s="50">
        <v>2</v>
      </c>
      <c r="M49" s="50">
        <v>102</v>
      </c>
      <c r="N49" s="50">
        <v>0</v>
      </c>
      <c r="O49" s="15">
        <f t="shared" si="0"/>
        <v>44</v>
      </c>
      <c r="P49" s="15">
        <f t="shared" si="1"/>
        <v>146</v>
      </c>
      <c r="R49" s="8"/>
      <c r="T49"/>
    </row>
    <row r="50" spans="2:20" ht="23.1" customHeight="1" x14ac:dyDescent="0.25">
      <c r="B50" s="46" t="s">
        <v>77</v>
      </c>
      <c r="C50" s="50">
        <v>19</v>
      </c>
      <c r="D50" s="50">
        <v>0</v>
      </c>
      <c r="E50" s="50">
        <v>5</v>
      </c>
      <c r="F50" s="50">
        <v>13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75</v>
      </c>
      <c r="N50" s="50">
        <v>0</v>
      </c>
      <c r="O50" s="15">
        <f t="shared" si="0"/>
        <v>42</v>
      </c>
      <c r="P50" s="15">
        <f t="shared" si="1"/>
        <v>117</v>
      </c>
      <c r="R50" s="8"/>
      <c r="T50"/>
    </row>
    <row r="51" spans="2:20" ht="23.1" customHeight="1" x14ac:dyDescent="0.25">
      <c r="B51" s="46" t="s">
        <v>78</v>
      </c>
      <c r="C51" s="50">
        <v>16</v>
      </c>
      <c r="D51" s="50">
        <v>1</v>
      </c>
      <c r="E51" s="50">
        <v>6</v>
      </c>
      <c r="F51" s="50">
        <v>8</v>
      </c>
      <c r="G51" s="50">
        <v>0</v>
      </c>
      <c r="H51" s="50">
        <v>0</v>
      </c>
      <c r="I51" s="50">
        <v>5</v>
      </c>
      <c r="J51" s="50">
        <v>1</v>
      </c>
      <c r="K51" s="50">
        <v>0</v>
      </c>
      <c r="L51" s="50">
        <v>0</v>
      </c>
      <c r="M51" s="50">
        <v>95</v>
      </c>
      <c r="N51" s="50">
        <v>0</v>
      </c>
      <c r="O51" s="15">
        <f t="shared" si="0"/>
        <v>37</v>
      </c>
      <c r="P51" s="15">
        <f t="shared" si="1"/>
        <v>132</v>
      </c>
      <c r="R51" s="8"/>
      <c r="T51"/>
    </row>
    <row r="52" spans="2:20" ht="23.1" customHeight="1" x14ac:dyDescent="0.25">
      <c r="B52" s="46" t="s">
        <v>79</v>
      </c>
      <c r="C52" s="50">
        <v>19</v>
      </c>
      <c r="D52" s="50">
        <v>3</v>
      </c>
      <c r="E52" s="50">
        <v>5</v>
      </c>
      <c r="F52" s="50">
        <v>9</v>
      </c>
      <c r="G52" s="50">
        <v>0</v>
      </c>
      <c r="H52" s="50">
        <v>0</v>
      </c>
      <c r="I52" s="50">
        <v>8</v>
      </c>
      <c r="J52" s="50">
        <v>2</v>
      </c>
      <c r="K52" s="50">
        <v>0</v>
      </c>
      <c r="L52" s="50">
        <v>0</v>
      </c>
      <c r="M52" s="50">
        <v>90</v>
      </c>
      <c r="N52" s="50">
        <v>0</v>
      </c>
      <c r="O52" s="15">
        <f t="shared" si="0"/>
        <v>46</v>
      </c>
      <c r="P52" s="15">
        <f t="shared" si="1"/>
        <v>136</v>
      </c>
      <c r="R52" s="8"/>
      <c r="T52"/>
    </row>
    <row r="53" spans="2:20" ht="23.1" customHeight="1" x14ac:dyDescent="0.25">
      <c r="B53" s="45" t="s">
        <v>80</v>
      </c>
      <c r="C53" s="50">
        <v>17</v>
      </c>
      <c r="D53" s="50">
        <v>3</v>
      </c>
      <c r="E53" s="50">
        <v>2</v>
      </c>
      <c r="F53" s="50">
        <v>7</v>
      </c>
      <c r="G53" s="50">
        <v>4</v>
      </c>
      <c r="H53" s="50">
        <v>0</v>
      </c>
      <c r="I53" s="50">
        <v>2</v>
      </c>
      <c r="J53" s="50">
        <v>0</v>
      </c>
      <c r="K53" s="50">
        <v>1</v>
      </c>
      <c r="L53" s="50">
        <v>0</v>
      </c>
      <c r="M53" s="50">
        <v>35</v>
      </c>
      <c r="N53" s="50">
        <v>0</v>
      </c>
      <c r="O53" s="15">
        <f t="shared" si="0"/>
        <v>36</v>
      </c>
      <c r="P53" s="15">
        <f t="shared" si="1"/>
        <v>71</v>
      </c>
      <c r="R53" s="8"/>
      <c r="T53"/>
    </row>
    <row r="54" spans="2:20" ht="23.1" customHeight="1" x14ac:dyDescent="0.25">
      <c r="B54" s="45" t="s">
        <v>81</v>
      </c>
      <c r="C54" s="50">
        <v>16</v>
      </c>
      <c r="D54" s="50">
        <v>0</v>
      </c>
      <c r="E54" s="50">
        <v>5</v>
      </c>
      <c r="F54" s="50">
        <v>8</v>
      </c>
      <c r="G54" s="50">
        <v>0</v>
      </c>
      <c r="H54" s="50">
        <v>0</v>
      </c>
      <c r="I54" s="50">
        <v>5</v>
      </c>
      <c r="J54" s="50">
        <v>3</v>
      </c>
      <c r="K54" s="50">
        <v>0</v>
      </c>
      <c r="L54" s="50">
        <v>0</v>
      </c>
      <c r="M54" s="50">
        <v>75</v>
      </c>
      <c r="N54" s="50">
        <v>0</v>
      </c>
      <c r="O54" s="15">
        <f t="shared" si="0"/>
        <v>37</v>
      </c>
      <c r="P54" s="15">
        <f t="shared" si="1"/>
        <v>112</v>
      </c>
      <c r="R54" s="8"/>
      <c r="T54"/>
    </row>
    <row r="55" spans="2:20" ht="23.1" customHeight="1" x14ac:dyDescent="0.25">
      <c r="B55" s="45" t="s">
        <v>82</v>
      </c>
      <c r="C55" s="50">
        <v>25</v>
      </c>
      <c r="D55" s="50">
        <v>0</v>
      </c>
      <c r="E55" s="50">
        <v>4</v>
      </c>
      <c r="F55" s="50">
        <v>11</v>
      </c>
      <c r="G55" s="50">
        <v>2</v>
      </c>
      <c r="H55" s="50">
        <v>0</v>
      </c>
      <c r="I55" s="50">
        <v>9</v>
      </c>
      <c r="J55" s="50">
        <v>1</v>
      </c>
      <c r="K55" s="50">
        <v>0</v>
      </c>
      <c r="L55" s="50">
        <v>0</v>
      </c>
      <c r="M55" s="50">
        <v>67</v>
      </c>
      <c r="N55" s="50">
        <v>0</v>
      </c>
      <c r="O55" s="15">
        <f t="shared" si="0"/>
        <v>52</v>
      </c>
      <c r="P55" s="15">
        <f t="shared" si="1"/>
        <v>119</v>
      </c>
      <c r="R55" s="8"/>
      <c r="T55"/>
    </row>
    <row r="56" spans="2:20" ht="23.1" customHeight="1" x14ac:dyDescent="0.25">
      <c r="B56" s="45" t="s">
        <v>83</v>
      </c>
      <c r="C56" s="50">
        <v>12</v>
      </c>
      <c r="D56" s="50">
        <v>2</v>
      </c>
      <c r="E56" s="50">
        <v>2</v>
      </c>
      <c r="F56" s="50">
        <v>11</v>
      </c>
      <c r="G56" s="50">
        <v>0</v>
      </c>
      <c r="H56" s="50">
        <v>0</v>
      </c>
      <c r="I56" s="50">
        <v>8</v>
      </c>
      <c r="J56" s="50">
        <v>1</v>
      </c>
      <c r="K56" s="50">
        <v>0</v>
      </c>
      <c r="L56" s="50">
        <v>0</v>
      </c>
      <c r="M56" s="50">
        <v>87</v>
      </c>
      <c r="N56" s="50">
        <v>0</v>
      </c>
      <c r="O56" s="15">
        <f t="shared" si="0"/>
        <v>36</v>
      </c>
      <c r="P56" s="15">
        <f t="shared" si="1"/>
        <v>123</v>
      </c>
      <c r="R56" s="8"/>
      <c r="T56"/>
    </row>
    <row r="57" spans="2:20" ht="23.1" customHeight="1" x14ac:dyDescent="0.25">
      <c r="B57" s="45" t="s">
        <v>84</v>
      </c>
      <c r="C57" s="50">
        <v>18</v>
      </c>
      <c r="D57" s="50">
        <v>2</v>
      </c>
      <c r="E57" s="50">
        <v>5</v>
      </c>
      <c r="F57" s="50">
        <v>4</v>
      </c>
      <c r="G57" s="50">
        <v>0</v>
      </c>
      <c r="H57" s="50">
        <v>0</v>
      </c>
      <c r="I57" s="50">
        <v>8</v>
      </c>
      <c r="J57" s="50">
        <v>0</v>
      </c>
      <c r="K57" s="50">
        <v>1</v>
      </c>
      <c r="L57" s="50">
        <v>0</v>
      </c>
      <c r="M57" s="50">
        <v>85</v>
      </c>
      <c r="N57" s="50">
        <v>0</v>
      </c>
      <c r="O57" s="15">
        <f t="shared" si="0"/>
        <v>38</v>
      </c>
      <c r="P57" s="15">
        <f t="shared" si="1"/>
        <v>123</v>
      </c>
      <c r="R57" s="8"/>
      <c r="T57"/>
    </row>
    <row r="58" spans="2:20" ht="23.1" customHeight="1" x14ac:dyDescent="0.25">
      <c r="B58" s="45" t="s">
        <v>99</v>
      </c>
      <c r="C58" s="50">
        <v>16</v>
      </c>
      <c r="D58" s="50">
        <v>2</v>
      </c>
      <c r="E58" s="50">
        <v>4</v>
      </c>
      <c r="F58" s="50">
        <v>7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83</v>
      </c>
      <c r="N58" s="50">
        <v>0</v>
      </c>
      <c r="O58" s="15">
        <f t="shared" si="0"/>
        <v>31</v>
      </c>
      <c r="P58" s="15">
        <f t="shared" si="1"/>
        <v>114</v>
      </c>
      <c r="R58" s="8"/>
      <c r="T58"/>
    </row>
    <row r="59" spans="2:20" ht="23.1" customHeight="1" x14ac:dyDescent="0.25">
      <c r="B59" s="45" t="s">
        <v>100</v>
      </c>
      <c r="C59" s="50">
        <v>14</v>
      </c>
      <c r="D59" s="50">
        <v>0</v>
      </c>
      <c r="E59" s="50">
        <v>1</v>
      </c>
      <c r="F59" s="50">
        <v>8</v>
      </c>
      <c r="G59" s="50">
        <v>0</v>
      </c>
      <c r="H59" s="50">
        <v>0</v>
      </c>
      <c r="I59" s="50">
        <v>5</v>
      </c>
      <c r="J59" s="50">
        <v>2</v>
      </c>
      <c r="K59" s="50">
        <v>0</v>
      </c>
      <c r="L59" s="50">
        <v>1</v>
      </c>
      <c r="M59" s="50">
        <v>95</v>
      </c>
      <c r="N59" s="50">
        <v>0</v>
      </c>
      <c r="O59" s="15">
        <f t="shared" si="0"/>
        <v>31</v>
      </c>
      <c r="P59" s="15">
        <f t="shared" si="1"/>
        <v>126</v>
      </c>
      <c r="R59" s="8"/>
      <c r="T59"/>
    </row>
    <row r="60" spans="2:20" ht="23.1" customHeight="1" x14ac:dyDescent="0.25">
      <c r="B60" s="45" t="s">
        <v>101</v>
      </c>
      <c r="C60" s="50">
        <v>14</v>
      </c>
      <c r="D60" s="50">
        <v>2</v>
      </c>
      <c r="E60" s="50">
        <v>1</v>
      </c>
      <c r="F60" s="50">
        <v>8</v>
      </c>
      <c r="G60" s="50">
        <v>0</v>
      </c>
      <c r="H60" s="50">
        <v>0</v>
      </c>
      <c r="I60" s="50">
        <v>4</v>
      </c>
      <c r="J60" s="50">
        <v>0</v>
      </c>
      <c r="K60" s="50">
        <v>0</v>
      </c>
      <c r="L60" s="50">
        <v>0</v>
      </c>
      <c r="M60" s="50">
        <v>80</v>
      </c>
      <c r="N60" s="50">
        <v>0</v>
      </c>
      <c r="O60" s="15">
        <f t="shared" si="0"/>
        <v>29</v>
      </c>
      <c r="P60" s="15">
        <f t="shared" si="1"/>
        <v>109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0</v>
      </c>
      <c r="E61" s="50">
        <v>1</v>
      </c>
      <c r="F61" s="50">
        <v>2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20</v>
      </c>
      <c r="N61" s="50">
        <v>0</v>
      </c>
      <c r="O61" s="15">
        <f t="shared" si="0"/>
        <v>8</v>
      </c>
      <c r="P61" s="15">
        <f t="shared" si="1"/>
        <v>28</v>
      </c>
      <c r="R61" s="8"/>
      <c r="T61"/>
    </row>
    <row r="62" spans="2:20" ht="23.1" customHeight="1" x14ac:dyDescent="0.25">
      <c r="B62" s="45" t="s">
        <v>107</v>
      </c>
      <c r="C62" s="50">
        <v>12</v>
      </c>
      <c r="D62" s="50">
        <v>0</v>
      </c>
      <c r="E62" s="50">
        <v>5</v>
      </c>
      <c r="F62" s="50">
        <v>6</v>
      </c>
      <c r="G62" s="50">
        <v>0</v>
      </c>
      <c r="H62" s="50">
        <v>0</v>
      </c>
      <c r="I62" s="50">
        <v>5</v>
      </c>
      <c r="J62" s="50">
        <v>0</v>
      </c>
      <c r="K62" s="50">
        <v>0</v>
      </c>
      <c r="L62" s="50">
        <v>0</v>
      </c>
      <c r="M62" s="50">
        <v>89</v>
      </c>
      <c r="N62" s="50">
        <v>0</v>
      </c>
      <c r="O62" s="15">
        <f t="shared" si="0"/>
        <v>28</v>
      </c>
      <c r="P62" s="15">
        <f t="shared" si="1"/>
        <v>117</v>
      </c>
      <c r="R62" s="8"/>
      <c r="T62"/>
    </row>
    <row r="63" spans="2:20" ht="23.1" customHeight="1" x14ac:dyDescent="0.25">
      <c r="B63" s="45" t="s">
        <v>108</v>
      </c>
      <c r="C63" s="50">
        <v>18</v>
      </c>
      <c r="D63" s="50">
        <v>3</v>
      </c>
      <c r="E63" s="50">
        <v>2</v>
      </c>
      <c r="F63" s="50">
        <v>4</v>
      </c>
      <c r="G63" s="50">
        <v>2</v>
      </c>
      <c r="H63" s="50">
        <v>0</v>
      </c>
      <c r="I63" s="50">
        <v>6</v>
      </c>
      <c r="J63" s="50">
        <v>1</v>
      </c>
      <c r="K63" s="50">
        <v>1</v>
      </c>
      <c r="L63" s="50">
        <v>1</v>
      </c>
      <c r="M63" s="50">
        <v>55</v>
      </c>
      <c r="N63" s="50">
        <v>0</v>
      </c>
      <c r="O63" s="15">
        <f t="shared" si="0"/>
        <v>38</v>
      </c>
      <c r="P63" s="15">
        <f t="shared" si="1"/>
        <v>93</v>
      </c>
      <c r="R63" s="8"/>
      <c r="T63"/>
    </row>
    <row r="64" spans="2:20" ht="23.1" customHeight="1" x14ac:dyDescent="0.25">
      <c r="B64" s="45" t="s">
        <v>109</v>
      </c>
      <c r="C64" s="50">
        <v>13</v>
      </c>
      <c r="D64" s="50">
        <v>3</v>
      </c>
      <c r="E64" s="50">
        <v>4</v>
      </c>
      <c r="F64" s="50">
        <v>7</v>
      </c>
      <c r="G64" s="50">
        <v>0</v>
      </c>
      <c r="H64" s="50">
        <v>0</v>
      </c>
      <c r="I64" s="50">
        <v>3</v>
      </c>
      <c r="J64" s="50">
        <v>2</v>
      </c>
      <c r="K64" s="50">
        <v>0</v>
      </c>
      <c r="L64" s="50">
        <v>0</v>
      </c>
      <c r="M64" s="50">
        <v>55</v>
      </c>
      <c r="N64" s="50">
        <v>0</v>
      </c>
      <c r="O64" s="15">
        <f t="shared" si="0"/>
        <v>32</v>
      </c>
      <c r="P64" s="15">
        <f t="shared" si="1"/>
        <v>87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0</v>
      </c>
      <c r="E65" s="50">
        <v>0</v>
      </c>
      <c r="F65" s="50">
        <v>5</v>
      </c>
      <c r="G65" s="50">
        <v>1</v>
      </c>
      <c r="H65" s="50">
        <v>0</v>
      </c>
      <c r="I65" s="50">
        <v>4</v>
      </c>
      <c r="J65" s="50">
        <v>0</v>
      </c>
      <c r="K65" s="50">
        <v>0</v>
      </c>
      <c r="L65" s="50">
        <v>0</v>
      </c>
      <c r="M65" s="50">
        <v>30</v>
      </c>
      <c r="N65" s="50">
        <v>0</v>
      </c>
      <c r="O65" s="15">
        <f t="shared" si="0"/>
        <v>13</v>
      </c>
      <c r="P65" s="15">
        <f t="shared" si="1"/>
        <v>43</v>
      </c>
      <c r="R65" s="8"/>
      <c r="T65"/>
    </row>
    <row r="66" spans="2:20" ht="23.1" customHeight="1" x14ac:dyDescent="0.25">
      <c r="B66" s="45" t="s">
        <v>103</v>
      </c>
      <c r="C66" s="50">
        <v>11</v>
      </c>
      <c r="D66" s="50">
        <v>1</v>
      </c>
      <c r="E66" s="50">
        <v>2</v>
      </c>
      <c r="F66" s="50">
        <v>7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57</v>
      </c>
      <c r="N66" s="50">
        <v>0</v>
      </c>
      <c r="O66" s="15">
        <f t="shared" si="0"/>
        <v>24</v>
      </c>
      <c r="P66" s="15">
        <f t="shared" si="1"/>
        <v>81</v>
      </c>
      <c r="R66" s="8"/>
      <c r="T66"/>
    </row>
    <row r="67" spans="2:20" ht="23.1" customHeight="1" x14ac:dyDescent="0.25">
      <c r="B67" s="45" t="s">
        <v>104</v>
      </c>
      <c r="C67" s="50">
        <v>15</v>
      </c>
      <c r="D67" s="50">
        <v>0</v>
      </c>
      <c r="E67" s="50">
        <v>3</v>
      </c>
      <c r="F67" s="50">
        <v>5</v>
      </c>
      <c r="G67" s="50">
        <v>0</v>
      </c>
      <c r="H67" s="50">
        <v>0</v>
      </c>
      <c r="I67" s="50">
        <v>3</v>
      </c>
      <c r="J67" s="50">
        <v>0</v>
      </c>
      <c r="K67" s="50">
        <v>0</v>
      </c>
      <c r="L67" s="50">
        <v>0</v>
      </c>
      <c r="M67" s="50">
        <v>63</v>
      </c>
      <c r="N67" s="50">
        <v>0</v>
      </c>
      <c r="O67" s="15">
        <f t="shared" si="0"/>
        <v>26</v>
      </c>
      <c r="P67" s="15">
        <f t="shared" si="1"/>
        <v>89</v>
      </c>
      <c r="R67" s="8"/>
      <c r="T67"/>
    </row>
    <row r="68" spans="2:20" ht="23.1" customHeight="1" x14ac:dyDescent="0.25">
      <c r="B68" s="45" t="s">
        <v>105</v>
      </c>
      <c r="C68" s="50">
        <v>13</v>
      </c>
      <c r="D68" s="50">
        <v>3</v>
      </c>
      <c r="E68" s="50">
        <v>3</v>
      </c>
      <c r="F68" s="50">
        <v>8</v>
      </c>
      <c r="G68" s="50">
        <v>2</v>
      </c>
      <c r="H68" s="50">
        <v>0</v>
      </c>
      <c r="I68" s="50">
        <v>2</v>
      </c>
      <c r="J68" s="50">
        <v>0</v>
      </c>
      <c r="K68" s="50">
        <v>1</v>
      </c>
      <c r="L68" s="50">
        <v>0</v>
      </c>
      <c r="M68" s="50">
        <v>65</v>
      </c>
      <c r="N68" s="50">
        <v>0</v>
      </c>
      <c r="O68" s="15">
        <f t="shared" si="0"/>
        <v>32</v>
      </c>
      <c r="P68" s="15">
        <f t="shared" si="1"/>
        <v>97</v>
      </c>
      <c r="R68" s="8"/>
      <c r="T68"/>
    </row>
    <row r="69" spans="2:20" ht="23.1" customHeight="1" x14ac:dyDescent="0.25">
      <c r="B69" s="45" t="s">
        <v>106</v>
      </c>
      <c r="C69" s="50">
        <v>9</v>
      </c>
      <c r="D69" s="50">
        <v>2</v>
      </c>
      <c r="E69" s="50">
        <v>2</v>
      </c>
      <c r="F69" s="50">
        <v>2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61</v>
      </c>
      <c r="N69" s="50">
        <v>0</v>
      </c>
      <c r="O69" s="15">
        <f t="shared" si="0"/>
        <v>17</v>
      </c>
      <c r="P69" s="15">
        <f t="shared" si="1"/>
        <v>78</v>
      </c>
      <c r="R69" s="8"/>
      <c r="T69"/>
    </row>
    <row r="70" spans="2:20" ht="23.1" customHeight="1" x14ac:dyDescent="0.25">
      <c r="B70" s="45" t="s">
        <v>110</v>
      </c>
      <c r="C70" s="50">
        <v>12</v>
      </c>
      <c r="D70" s="50">
        <v>2</v>
      </c>
      <c r="E70" s="50">
        <v>1</v>
      </c>
      <c r="F70" s="50">
        <v>9</v>
      </c>
      <c r="G70" s="50">
        <v>0</v>
      </c>
      <c r="H70" s="50">
        <v>0</v>
      </c>
      <c r="I70" s="50">
        <v>0</v>
      </c>
      <c r="J70" s="50">
        <v>1</v>
      </c>
      <c r="K70" s="50">
        <v>1</v>
      </c>
      <c r="L70" s="50">
        <v>0</v>
      </c>
      <c r="M70" s="50">
        <v>45</v>
      </c>
      <c r="N70" s="50">
        <v>0</v>
      </c>
      <c r="O70" s="15">
        <f t="shared" si="0"/>
        <v>26</v>
      </c>
      <c r="P70" s="15">
        <f t="shared" si="1"/>
        <v>71</v>
      </c>
      <c r="R70" s="8"/>
      <c r="T70"/>
    </row>
    <row r="71" spans="2:20" ht="23.1" customHeight="1" x14ac:dyDescent="0.25">
      <c r="B71" s="45" t="s">
        <v>111</v>
      </c>
      <c r="C71" s="50">
        <v>9</v>
      </c>
      <c r="D71" s="50">
        <v>0</v>
      </c>
      <c r="E71" s="50">
        <v>2</v>
      </c>
      <c r="F71" s="50">
        <v>7</v>
      </c>
      <c r="G71" s="50">
        <v>0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50">
        <v>72</v>
      </c>
      <c r="N71" s="50">
        <v>0</v>
      </c>
      <c r="O71" s="15">
        <f t="shared" si="0"/>
        <v>21</v>
      </c>
      <c r="P71" s="15">
        <f t="shared" si="1"/>
        <v>93</v>
      </c>
      <c r="R71" s="8"/>
      <c r="T71"/>
    </row>
    <row r="72" spans="2:20" ht="23.1" customHeight="1" x14ac:dyDescent="0.25">
      <c r="B72" s="45" t="s">
        <v>112</v>
      </c>
      <c r="C72" s="50">
        <v>10</v>
      </c>
      <c r="D72" s="50">
        <v>1</v>
      </c>
      <c r="E72" s="50">
        <v>1</v>
      </c>
      <c r="F72" s="50">
        <v>5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63</v>
      </c>
      <c r="N72" s="50">
        <v>0</v>
      </c>
      <c r="O72" s="15">
        <f t="shared" si="0"/>
        <v>18</v>
      </c>
      <c r="P72" s="15">
        <f t="shared" si="1"/>
        <v>81</v>
      </c>
      <c r="R72" s="8"/>
      <c r="T72"/>
    </row>
    <row r="73" spans="2:20" ht="23.1" customHeight="1" x14ac:dyDescent="0.25">
      <c r="B73" s="45" t="s">
        <v>113</v>
      </c>
      <c r="C73" s="50">
        <v>9</v>
      </c>
      <c r="D73" s="50">
        <v>0</v>
      </c>
      <c r="E73" s="50">
        <v>1</v>
      </c>
      <c r="F73" s="50">
        <v>4</v>
      </c>
      <c r="G73" s="50">
        <v>0</v>
      </c>
      <c r="H73" s="50">
        <v>1</v>
      </c>
      <c r="I73" s="50">
        <v>0</v>
      </c>
      <c r="J73" s="50">
        <v>0</v>
      </c>
      <c r="K73" s="50">
        <v>0</v>
      </c>
      <c r="L73" s="50">
        <v>0</v>
      </c>
      <c r="M73" s="50">
        <v>37</v>
      </c>
      <c r="N73" s="50">
        <v>0</v>
      </c>
      <c r="O73" s="15">
        <f t="shared" si="0"/>
        <v>15</v>
      </c>
      <c r="P73" s="15">
        <f t="shared" si="1"/>
        <v>52</v>
      </c>
      <c r="R73" s="8"/>
      <c r="T73"/>
    </row>
    <row r="74" spans="2:20" ht="23.1" customHeight="1" x14ac:dyDescent="0.25">
      <c r="B74" s="45" t="s">
        <v>114</v>
      </c>
      <c r="C74" s="50">
        <v>13</v>
      </c>
      <c r="D74" s="50">
        <v>0</v>
      </c>
      <c r="E74" s="50">
        <v>5</v>
      </c>
      <c r="F74" s="50">
        <v>2</v>
      </c>
      <c r="G74" s="50">
        <v>0</v>
      </c>
      <c r="H74" s="50">
        <v>0</v>
      </c>
      <c r="I74" s="50">
        <v>3</v>
      </c>
      <c r="J74" s="50">
        <v>0</v>
      </c>
      <c r="K74" s="50">
        <v>2</v>
      </c>
      <c r="L74" s="50">
        <v>0</v>
      </c>
      <c r="M74" s="50">
        <v>44</v>
      </c>
      <c r="N74" s="50">
        <v>0</v>
      </c>
      <c r="O74" s="15">
        <f t="shared" ref="O74:O105" si="35">SUM(C74:L74,N74)</f>
        <v>25</v>
      </c>
      <c r="P74" s="15">
        <f t="shared" ref="P74:P105" si="36">SUM(C74:N74)</f>
        <v>69</v>
      </c>
      <c r="R74" s="8"/>
      <c r="T74"/>
    </row>
    <row r="75" spans="2:20" ht="23.1" customHeight="1" x14ac:dyDescent="0.25">
      <c r="B75" s="45" t="s">
        <v>115</v>
      </c>
      <c r="C75" s="50">
        <v>8</v>
      </c>
      <c r="D75" s="50">
        <v>0</v>
      </c>
      <c r="E75" s="50">
        <v>5</v>
      </c>
      <c r="F75" s="50">
        <v>2</v>
      </c>
      <c r="G75" s="50">
        <v>0</v>
      </c>
      <c r="H75" s="50">
        <v>0</v>
      </c>
      <c r="I75" s="50">
        <v>1</v>
      </c>
      <c r="J75" s="50">
        <v>1</v>
      </c>
      <c r="K75" s="50">
        <v>0</v>
      </c>
      <c r="L75" s="50">
        <v>0</v>
      </c>
      <c r="M75" s="50">
        <v>44</v>
      </c>
      <c r="N75" s="50">
        <v>0</v>
      </c>
      <c r="O75" s="15">
        <f t="shared" si="35"/>
        <v>17</v>
      </c>
      <c r="P75" s="15">
        <f t="shared" si="36"/>
        <v>61</v>
      </c>
      <c r="R75" s="8"/>
      <c r="T75"/>
    </row>
    <row r="76" spans="2:20" ht="23.1" customHeight="1" x14ac:dyDescent="0.25">
      <c r="B76" s="45" t="s">
        <v>116</v>
      </c>
      <c r="C76" s="50">
        <v>8</v>
      </c>
      <c r="D76" s="50">
        <v>0</v>
      </c>
      <c r="E76" s="50">
        <v>0</v>
      </c>
      <c r="F76" s="50">
        <v>2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44</v>
      </c>
      <c r="N76" s="50">
        <v>0</v>
      </c>
      <c r="O76" s="15">
        <f t="shared" si="35"/>
        <v>11</v>
      </c>
      <c r="P76" s="15">
        <f t="shared" si="36"/>
        <v>55</v>
      </c>
      <c r="R76" s="8"/>
      <c r="T76"/>
    </row>
    <row r="77" spans="2:20" ht="23.1" customHeight="1" x14ac:dyDescent="0.25">
      <c r="B77" s="45" t="s">
        <v>117</v>
      </c>
      <c r="C77" s="50">
        <v>4</v>
      </c>
      <c r="D77" s="50">
        <v>0</v>
      </c>
      <c r="E77" s="50">
        <v>1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39</v>
      </c>
      <c r="N77" s="50">
        <v>0</v>
      </c>
      <c r="O77" s="15">
        <f t="shared" si="35"/>
        <v>6</v>
      </c>
      <c r="P77" s="15">
        <f t="shared" si="36"/>
        <v>45</v>
      </c>
      <c r="R77" s="8"/>
      <c r="T77"/>
    </row>
    <row r="78" spans="2:20" ht="23.1" customHeight="1" x14ac:dyDescent="0.25">
      <c r="B78" s="46" t="s">
        <v>118</v>
      </c>
      <c r="C78" s="50">
        <v>4</v>
      </c>
      <c r="D78" s="50">
        <v>0</v>
      </c>
      <c r="E78" s="50">
        <v>1</v>
      </c>
      <c r="F78" s="50">
        <v>4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22</v>
      </c>
      <c r="N78" s="50">
        <v>0</v>
      </c>
      <c r="O78" s="15">
        <f t="shared" si="35"/>
        <v>10</v>
      </c>
      <c r="P78" s="15">
        <f t="shared" si="36"/>
        <v>32</v>
      </c>
      <c r="R78" s="8"/>
      <c r="T78"/>
    </row>
    <row r="79" spans="2:20" ht="23.1" customHeight="1" x14ac:dyDescent="0.25">
      <c r="B79" s="45" t="s">
        <v>119</v>
      </c>
      <c r="C79" s="50">
        <v>3</v>
      </c>
      <c r="D79" s="50">
        <v>2</v>
      </c>
      <c r="E79" s="50">
        <v>0</v>
      </c>
      <c r="F79" s="50">
        <v>6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19</v>
      </c>
      <c r="N79" s="50">
        <v>0</v>
      </c>
      <c r="O79" s="15">
        <f t="shared" si="35"/>
        <v>12</v>
      </c>
      <c r="P79" s="15">
        <f t="shared" si="36"/>
        <v>31</v>
      </c>
      <c r="R79" s="8"/>
      <c r="T79"/>
    </row>
    <row r="80" spans="2:20" ht="23.1" customHeight="1" x14ac:dyDescent="0.25">
      <c r="B80" s="47" t="s">
        <v>120</v>
      </c>
      <c r="C80" s="50">
        <v>6</v>
      </c>
      <c r="D80" s="50">
        <v>0</v>
      </c>
      <c r="E80" s="50">
        <v>0</v>
      </c>
      <c r="F80" s="50">
        <v>3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21</v>
      </c>
      <c r="N80" s="50">
        <v>0</v>
      </c>
      <c r="O80" s="15">
        <f t="shared" si="35"/>
        <v>10</v>
      </c>
      <c r="P80" s="15">
        <f t="shared" si="36"/>
        <v>31</v>
      </c>
      <c r="R80" s="8"/>
      <c r="T80"/>
    </row>
    <row r="81" spans="2:20" ht="23.1" customHeight="1" x14ac:dyDescent="0.25">
      <c r="B81" s="45" t="s">
        <v>121</v>
      </c>
      <c r="C81" s="50">
        <v>7</v>
      </c>
      <c r="D81" s="50">
        <v>1</v>
      </c>
      <c r="E81" s="50">
        <v>2</v>
      </c>
      <c r="F81" s="50">
        <v>1</v>
      </c>
      <c r="G81" s="50">
        <v>2</v>
      </c>
      <c r="H81" s="50">
        <v>0</v>
      </c>
      <c r="I81" s="50">
        <v>3</v>
      </c>
      <c r="J81" s="50">
        <v>1</v>
      </c>
      <c r="K81" s="50">
        <v>1</v>
      </c>
      <c r="L81" s="50">
        <v>0</v>
      </c>
      <c r="M81" s="50">
        <v>16</v>
      </c>
      <c r="N81" s="50">
        <v>0</v>
      </c>
      <c r="O81" s="15">
        <f t="shared" si="35"/>
        <v>18</v>
      </c>
      <c r="P81" s="15">
        <f t="shared" si="36"/>
        <v>34</v>
      </c>
      <c r="R81" s="8"/>
      <c r="T81"/>
    </row>
    <row r="82" spans="2:20" ht="23.1" customHeight="1" x14ac:dyDescent="0.25">
      <c r="B82" s="46" t="s">
        <v>122</v>
      </c>
      <c r="C82" s="50">
        <v>8</v>
      </c>
      <c r="D82" s="50">
        <v>1</v>
      </c>
      <c r="E82" s="50">
        <v>2</v>
      </c>
      <c r="F82" s="50">
        <v>0</v>
      </c>
      <c r="G82" s="50">
        <v>0</v>
      </c>
      <c r="H82" s="50">
        <v>0</v>
      </c>
      <c r="I82" s="50">
        <v>1</v>
      </c>
      <c r="J82" s="50">
        <v>1</v>
      </c>
      <c r="K82" s="50">
        <v>0</v>
      </c>
      <c r="L82" s="50">
        <v>0</v>
      </c>
      <c r="M82" s="50">
        <v>15</v>
      </c>
      <c r="N82" s="50">
        <v>0</v>
      </c>
      <c r="O82" s="15">
        <f t="shared" si="35"/>
        <v>13</v>
      </c>
      <c r="P82" s="15">
        <f t="shared" si="36"/>
        <v>28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1</v>
      </c>
      <c r="K83" s="50">
        <v>0</v>
      </c>
      <c r="L83" s="50">
        <v>0</v>
      </c>
      <c r="M83" s="50">
        <v>6</v>
      </c>
      <c r="N83" s="50">
        <v>0</v>
      </c>
      <c r="O83" s="15">
        <f t="shared" si="35"/>
        <v>6</v>
      </c>
      <c r="P83" s="15">
        <f t="shared" si="36"/>
        <v>12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4</v>
      </c>
      <c r="N84" s="50">
        <v>0</v>
      </c>
      <c r="O84" s="15">
        <f t="shared" si="35"/>
        <v>3</v>
      </c>
      <c r="P84" s="15">
        <f t="shared" si="36"/>
        <v>7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</v>
      </c>
      <c r="N85" s="50">
        <v>0</v>
      </c>
      <c r="O85" s="15">
        <f t="shared" si="35"/>
        <v>1</v>
      </c>
      <c r="P85" s="15">
        <f t="shared" si="36"/>
        <v>3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5</v>
      </c>
      <c r="N86" s="50">
        <v>0</v>
      </c>
      <c r="O86" s="15">
        <f t="shared" si="35"/>
        <v>2</v>
      </c>
      <c r="P86" s="15">
        <f t="shared" si="36"/>
        <v>7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2</v>
      </c>
      <c r="K87" s="50">
        <v>0</v>
      </c>
      <c r="L87" s="50">
        <v>1</v>
      </c>
      <c r="M87" s="50">
        <v>2</v>
      </c>
      <c r="N87" s="50">
        <v>0</v>
      </c>
      <c r="O87" s="15">
        <f t="shared" si="35"/>
        <v>6</v>
      </c>
      <c r="P87" s="15">
        <f t="shared" si="36"/>
        <v>8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2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5</v>
      </c>
      <c r="N88" s="50">
        <v>0</v>
      </c>
      <c r="O88" s="15">
        <f t="shared" si="35"/>
        <v>4</v>
      </c>
      <c r="P88" s="15">
        <f t="shared" si="36"/>
        <v>9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2</v>
      </c>
      <c r="E89" s="50">
        <v>0</v>
      </c>
      <c r="F89" s="50">
        <v>1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4</v>
      </c>
      <c r="N89" s="50">
        <v>0</v>
      </c>
      <c r="O89" s="15">
        <f t="shared" si="35"/>
        <v>4</v>
      </c>
      <c r="P89" s="15">
        <f t="shared" si="36"/>
        <v>8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6</v>
      </c>
      <c r="N90" s="50">
        <v>0</v>
      </c>
      <c r="O90" s="15">
        <f t="shared" si="35"/>
        <v>1</v>
      </c>
      <c r="P90" s="15">
        <f t="shared" si="36"/>
        <v>7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1</v>
      </c>
      <c r="E91" s="50">
        <v>0</v>
      </c>
      <c r="F91" s="50">
        <v>1</v>
      </c>
      <c r="G91" s="50">
        <v>0</v>
      </c>
      <c r="H91" s="50">
        <v>0</v>
      </c>
      <c r="I91" s="50">
        <v>1</v>
      </c>
      <c r="J91" s="50">
        <v>1</v>
      </c>
      <c r="K91" s="50">
        <v>1</v>
      </c>
      <c r="L91" s="50">
        <v>0</v>
      </c>
      <c r="M91" s="50">
        <v>2</v>
      </c>
      <c r="N91" s="50">
        <v>0</v>
      </c>
      <c r="O91" s="15">
        <f t="shared" si="35"/>
        <v>5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5</v>
      </c>
      <c r="N92" s="50">
        <v>0</v>
      </c>
      <c r="O92" s="15">
        <f t="shared" si="35"/>
        <v>2</v>
      </c>
      <c r="P92" s="15">
        <f t="shared" si="36"/>
        <v>7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0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4</v>
      </c>
      <c r="N94" s="50">
        <v>0</v>
      </c>
      <c r="O94" s="15">
        <f t="shared" si="35"/>
        <v>2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2</v>
      </c>
      <c r="E95" s="50">
        <v>1</v>
      </c>
      <c r="F95" s="50">
        <v>1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6</v>
      </c>
      <c r="N95" s="50">
        <v>0</v>
      </c>
      <c r="O95" s="15">
        <f t="shared" si="35"/>
        <v>6</v>
      </c>
      <c r="P95" s="15">
        <f t="shared" si="36"/>
        <v>12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6</v>
      </c>
      <c r="N96" s="50">
        <v>0</v>
      </c>
      <c r="O96" s="15">
        <f t="shared" si="35"/>
        <v>2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4</v>
      </c>
      <c r="G97" s="50">
        <v>1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7</v>
      </c>
      <c r="N97" s="50">
        <v>0</v>
      </c>
      <c r="O97" s="15">
        <f t="shared" si="35"/>
        <v>6</v>
      </c>
      <c r="P97" s="15">
        <f t="shared" si="36"/>
        <v>13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1</v>
      </c>
      <c r="F98" s="50">
        <v>4</v>
      </c>
      <c r="G98" s="50">
        <v>0</v>
      </c>
      <c r="H98" s="50">
        <v>0</v>
      </c>
      <c r="I98" s="50">
        <v>1</v>
      </c>
      <c r="J98" s="50">
        <v>2</v>
      </c>
      <c r="K98" s="50">
        <v>0</v>
      </c>
      <c r="L98" s="50">
        <v>0</v>
      </c>
      <c r="M98" s="50">
        <v>10</v>
      </c>
      <c r="N98" s="50">
        <v>0</v>
      </c>
      <c r="O98" s="15">
        <f t="shared" si="35"/>
        <v>8</v>
      </c>
      <c r="P98" s="15">
        <f t="shared" si="36"/>
        <v>18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9</v>
      </c>
      <c r="N99" s="50">
        <v>0</v>
      </c>
      <c r="O99" s="15">
        <f t="shared" si="35"/>
        <v>2</v>
      </c>
      <c r="P99" s="15">
        <f t="shared" si="36"/>
        <v>11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1</v>
      </c>
      <c r="F100" s="50">
        <v>3</v>
      </c>
      <c r="G100" s="50">
        <v>0</v>
      </c>
      <c r="H100" s="50">
        <v>0</v>
      </c>
      <c r="I100" s="50">
        <v>3</v>
      </c>
      <c r="J100" s="50">
        <v>3</v>
      </c>
      <c r="K100" s="50">
        <v>0</v>
      </c>
      <c r="L100" s="50">
        <v>0</v>
      </c>
      <c r="M100" s="50">
        <v>13</v>
      </c>
      <c r="N100" s="50">
        <v>0</v>
      </c>
      <c r="O100" s="15">
        <f t="shared" si="35"/>
        <v>13</v>
      </c>
      <c r="P100" s="15">
        <f t="shared" si="36"/>
        <v>26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1</v>
      </c>
      <c r="F101" s="50">
        <v>3</v>
      </c>
      <c r="G101" s="50">
        <v>0</v>
      </c>
      <c r="H101" s="50">
        <v>0</v>
      </c>
      <c r="I101" s="50">
        <v>2</v>
      </c>
      <c r="J101" s="50">
        <v>1</v>
      </c>
      <c r="K101" s="50">
        <v>0</v>
      </c>
      <c r="L101" s="50">
        <v>0</v>
      </c>
      <c r="M101" s="50">
        <v>13</v>
      </c>
      <c r="N101" s="50">
        <v>0</v>
      </c>
      <c r="O101" s="15">
        <f t="shared" si="35"/>
        <v>7</v>
      </c>
      <c r="P101" s="15">
        <f t="shared" si="36"/>
        <v>20</v>
      </c>
      <c r="R101" s="8"/>
      <c r="T101"/>
    </row>
    <row r="102" spans="2:20" ht="23.1" customHeight="1" x14ac:dyDescent="0.25">
      <c r="B102" s="46" t="s">
        <v>142</v>
      </c>
      <c r="C102" s="50">
        <v>4</v>
      </c>
      <c r="D102" s="50">
        <v>0</v>
      </c>
      <c r="E102" s="50">
        <v>1</v>
      </c>
      <c r="F102" s="50">
        <v>6</v>
      </c>
      <c r="G102" s="50">
        <v>1</v>
      </c>
      <c r="H102" s="50">
        <v>0</v>
      </c>
      <c r="I102" s="50">
        <v>2</v>
      </c>
      <c r="J102" s="50">
        <v>3</v>
      </c>
      <c r="K102" s="50">
        <v>0</v>
      </c>
      <c r="L102" s="50">
        <v>0</v>
      </c>
      <c r="M102" s="50">
        <v>25</v>
      </c>
      <c r="N102" s="50">
        <v>0</v>
      </c>
      <c r="O102" s="15">
        <f t="shared" si="35"/>
        <v>17</v>
      </c>
      <c r="P102" s="15">
        <f t="shared" si="36"/>
        <v>42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0</v>
      </c>
      <c r="E103" s="50">
        <v>1</v>
      </c>
      <c r="F103" s="50">
        <v>4</v>
      </c>
      <c r="G103" s="50">
        <v>0</v>
      </c>
      <c r="H103" s="50">
        <v>0</v>
      </c>
      <c r="I103" s="50">
        <v>1</v>
      </c>
      <c r="J103" s="50">
        <v>2</v>
      </c>
      <c r="K103" s="50">
        <v>0</v>
      </c>
      <c r="L103" s="50">
        <v>2</v>
      </c>
      <c r="M103" s="50">
        <v>41</v>
      </c>
      <c r="N103" s="50">
        <v>0</v>
      </c>
      <c r="O103" s="15">
        <f t="shared" si="35"/>
        <v>13</v>
      </c>
      <c r="P103" s="15">
        <f t="shared" si="36"/>
        <v>54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2</v>
      </c>
      <c r="E104" s="50">
        <v>2</v>
      </c>
      <c r="F104" s="50">
        <v>7</v>
      </c>
      <c r="G104" s="50">
        <v>2</v>
      </c>
      <c r="H104" s="50">
        <v>0</v>
      </c>
      <c r="I104" s="50">
        <v>2</v>
      </c>
      <c r="J104" s="50">
        <v>0</v>
      </c>
      <c r="K104" s="50">
        <v>1</v>
      </c>
      <c r="L104" s="50">
        <v>0</v>
      </c>
      <c r="M104" s="50">
        <v>49</v>
      </c>
      <c r="N104" s="50">
        <v>0</v>
      </c>
      <c r="O104" s="15">
        <f t="shared" si="35"/>
        <v>20</v>
      </c>
      <c r="P104" s="15">
        <f t="shared" si="36"/>
        <v>69</v>
      </c>
      <c r="R104" s="8"/>
      <c r="T104"/>
    </row>
    <row r="105" spans="2:20" ht="23.1" customHeight="1" x14ac:dyDescent="0.25">
      <c r="B105" s="45" t="s">
        <v>145</v>
      </c>
      <c r="C105" s="50">
        <v>8</v>
      </c>
      <c r="D105" s="50">
        <v>3</v>
      </c>
      <c r="E105" s="50">
        <v>3</v>
      </c>
      <c r="F105" s="50">
        <v>12</v>
      </c>
      <c r="G105" s="50">
        <v>0</v>
      </c>
      <c r="H105" s="50">
        <v>0</v>
      </c>
      <c r="I105" s="50">
        <v>5</v>
      </c>
      <c r="J105" s="50">
        <v>1</v>
      </c>
      <c r="K105" s="50">
        <v>3</v>
      </c>
      <c r="L105" s="50">
        <v>2</v>
      </c>
      <c r="M105" s="50">
        <v>53</v>
      </c>
      <c r="N105" s="50" t="s">
        <v>176</v>
      </c>
      <c r="O105" s="15">
        <f t="shared" si="35"/>
        <v>37</v>
      </c>
      <c r="P105" s="15">
        <f t="shared" si="36"/>
        <v>90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1111</v>
      </c>
      <c r="D106" s="16">
        <f t="shared" ref="D106:P106" si="37">SUM(D10:D105)</f>
        <v>140</v>
      </c>
      <c r="E106" s="16">
        <f t="shared" si="37"/>
        <v>276</v>
      </c>
      <c r="F106" s="16">
        <f t="shared" si="37"/>
        <v>550</v>
      </c>
      <c r="G106" s="16">
        <f t="shared" si="37"/>
        <v>50</v>
      </c>
      <c r="H106" s="16">
        <f t="shared" si="37"/>
        <v>2</v>
      </c>
      <c r="I106" s="16">
        <f t="shared" si="37"/>
        <v>398</v>
      </c>
      <c r="J106" s="16">
        <f t="shared" si="37"/>
        <v>113</v>
      </c>
      <c r="K106" s="16">
        <f t="shared" si="37"/>
        <v>31</v>
      </c>
      <c r="L106" s="16">
        <f t="shared" si="37"/>
        <v>15</v>
      </c>
      <c r="M106" s="16">
        <f t="shared" si="37"/>
        <v>5604</v>
      </c>
      <c r="N106" s="16">
        <f t="shared" si="37"/>
        <v>99</v>
      </c>
      <c r="O106" s="16">
        <f t="shared" si="37"/>
        <v>2785</v>
      </c>
      <c r="P106" s="16">
        <f t="shared" si="37"/>
        <v>8389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0.13243533198235785</v>
      </c>
      <c r="D107" s="43">
        <f t="shared" si="38"/>
        <v>1.6688520681845273E-2</v>
      </c>
      <c r="E107" s="43">
        <f t="shared" si="38"/>
        <v>3.2900226487066399E-2</v>
      </c>
      <c r="F107" s="43">
        <f t="shared" si="38"/>
        <v>6.556204553582072E-2</v>
      </c>
      <c r="G107" s="43">
        <f t="shared" si="38"/>
        <v>5.9601859578018836E-3</v>
      </c>
      <c r="H107" s="43">
        <f t="shared" si="38"/>
        <v>2.3840743831207532E-4</v>
      </c>
      <c r="I107" s="43">
        <f t="shared" si="38"/>
        <v>4.7443080224102992E-2</v>
      </c>
      <c r="J107" s="43">
        <f t="shared" si="38"/>
        <v>1.3470020264632256E-2</v>
      </c>
      <c r="K107" s="43">
        <f t="shared" si="38"/>
        <v>3.6953152938371675E-3</v>
      </c>
      <c r="L107" s="43">
        <f t="shared" si="38"/>
        <v>1.7880557873405651E-3</v>
      </c>
      <c r="M107" s="43">
        <f t="shared" si="38"/>
        <v>0.66801764215043513</v>
      </c>
      <c r="N107" s="43">
        <f t="shared" si="38"/>
        <v>1.1801168196447729E-2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0.39892280071813285</v>
      </c>
      <c r="D108" s="44">
        <f t="shared" ref="D108:N108" si="39">D106/$O$106</f>
        <v>5.0269299820466788E-2</v>
      </c>
      <c r="E108" s="44">
        <f t="shared" si="39"/>
        <v>9.9102333931777378E-2</v>
      </c>
      <c r="F108" s="44">
        <f t="shared" si="39"/>
        <v>0.19748653500897667</v>
      </c>
      <c r="G108" s="44">
        <f t="shared" si="39"/>
        <v>1.7953321364452424E-2</v>
      </c>
      <c r="H108" s="44">
        <f t="shared" si="39"/>
        <v>7.18132854578097E-4</v>
      </c>
      <c r="I108" s="44">
        <f t="shared" si="39"/>
        <v>0.14290843806104128</v>
      </c>
      <c r="J108" s="44">
        <f t="shared" si="39"/>
        <v>4.0574506283662479E-2</v>
      </c>
      <c r="K108" s="44">
        <f t="shared" si="39"/>
        <v>1.1131059245960502E-2</v>
      </c>
      <c r="L108" s="44">
        <f t="shared" si="39"/>
        <v>5.3859964093357273E-3</v>
      </c>
      <c r="M108" s="44"/>
      <c r="N108" s="44">
        <f t="shared" si="39"/>
        <v>3.5547576301615799E-2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46" zoomScale="60" workbookViewId="0">
      <selection activeCell="F6" sqref="F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'29.10-MUKONO-KATOSI'!C3:G3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175</v>
      </c>
      <c r="E5" s="3"/>
      <c r="F5" s="41" t="s">
        <v>1</v>
      </c>
      <c r="G5" s="53" t="s">
        <v>178</v>
      </c>
      <c r="H5" s="54"/>
      <c r="I5" s="14"/>
      <c r="J5" s="2" t="s">
        <v>5</v>
      </c>
      <c r="K5" s="53" t="s">
        <v>174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">
        <v>166</v>
      </c>
      <c r="E6" s="54"/>
      <c r="F6" s="2" t="s">
        <v>2</v>
      </c>
      <c r="G6" s="53" t="s">
        <v>165</v>
      </c>
      <c r="H6" s="54"/>
      <c r="J6" s="2" t="s">
        <v>21</v>
      </c>
      <c r="K6" s="53" t="str">
        <f>'3.11 KATOSI-MUKONO'!K6:L6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</v>
      </c>
      <c r="D10" s="50">
        <v>1</v>
      </c>
      <c r="E10" s="50">
        <v>2</v>
      </c>
      <c r="F10" s="50">
        <v>10</v>
      </c>
      <c r="G10" s="50">
        <v>1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112</v>
      </c>
      <c r="N10" s="50">
        <v>0</v>
      </c>
      <c r="O10" s="15">
        <f t="shared" ref="O10:O57" si="0">SUM(C10:L10,N10)</f>
        <v>22</v>
      </c>
      <c r="P10" s="15">
        <f t="shared" ref="P10:P57" si="1">SUM(C10:N10)</f>
        <v>134</v>
      </c>
      <c r="R10" s="1" t="s">
        <v>6</v>
      </c>
      <c r="S10" s="17">
        <f t="shared" ref="S10:AF10" si="2">SUM(C10:C13)</f>
        <v>33</v>
      </c>
      <c r="T10" s="17">
        <f t="shared" si="2"/>
        <v>5</v>
      </c>
      <c r="U10" s="17">
        <f t="shared" si="2"/>
        <v>9</v>
      </c>
      <c r="V10" s="17">
        <f t="shared" si="2"/>
        <v>24</v>
      </c>
      <c r="W10" s="17">
        <f t="shared" si="2"/>
        <v>4</v>
      </c>
      <c r="X10" s="17">
        <f t="shared" si="2"/>
        <v>0</v>
      </c>
      <c r="Y10" s="17">
        <f t="shared" si="2"/>
        <v>8</v>
      </c>
      <c r="Z10" s="17">
        <f t="shared" si="2"/>
        <v>4</v>
      </c>
      <c r="AA10" s="17">
        <f t="shared" si="2"/>
        <v>1</v>
      </c>
      <c r="AB10" s="17">
        <f t="shared" si="2"/>
        <v>0</v>
      </c>
      <c r="AC10" s="17">
        <f t="shared" si="2"/>
        <v>435</v>
      </c>
      <c r="AD10" s="17">
        <f t="shared" si="2"/>
        <v>0</v>
      </c>
      <c r="AE10" s="31">
        <f t="shared" si="2"/>
        <v>88</v>
      </c>
      <c r="AF10" s="31">
        <f t="shared" si="2"/>
        <v>523</v>
      </c>
    </row>
    <row r="11" spans="2:32" s="6" customFormat="1" ht="23.1" customHeight="1" x14ac:dyDescent="0.25">
      <c r="B11" s="45" t="s">
        <v>38</v>
      </c>
      <c r="C11" s="50">
        <v>13</v>
      </c>
      <c r="D11" s="50">
        <v>2</v>
      </c>
      <c r="E11" s="50">
        <v>2</v>
      </c>
      <c r="F11" s="50">
        <v>3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105</v>
      </c>
      <c r="N11" s="50">
        <v>0</v>
      </c>
      <c r="O11" s="15">
        <f t="shared" si="0"/>
        <v>20</v>
      </c>
      <c r="P11" s="15">
        <f t="shared" si="1"/>
        <v>125</v>
      </c>
      <c r="R11" s="1" t="s">
        <v>7</v>
      </c>
      <c r="S11" s="17">
        <f t="shared" ref="S11:AF11" si="3">SUM(C14:C17)</f>
        <v>38</v>
      </c>
      <c r="T11" s="17">
        <f t="shared" si="3"/>
        <v>14</v>
      </c>
      <c r="U11" s="17">
        <f t="shared" si="3"/>
        <v>8</v>
      </c>
      <c r="V11" s="17">
        <f t="shared" si="3"/>
        <v>27</v>
      </c>
      <c r="W11" s="17">
        <f t="shared" si="3"/>
        <v>3</v>
      </c>
      <c r="X11" s="17">
        <f t="shared" si="3"/>
        <v>0</v>
      </c>
      <c r="Y11" s="17">
        <f t="shared" si="3"/>
        <v>11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342</v>
      </c>
      <c r="AD11" s="17">
        <f t="shared" si="3"/>
        <v>0</v>
      </c>
      <c r="AE11" s="31">
        <f t="shared" si="3"/>
        <v>105</v>
      </c>
      <c r="AF11" s="31">
        <f t="shared" si="3"/>
        <v>447</v>
      </c>
    </row>
    <row r="12" spans="2:32" ht="23.1" customHeight="1" x14ac:dyDescent="0.25">
      <c r="B12" s="45" t="s">
        <v>39</v>
      </c>
      <c r="C12" s="50">
        <v>5</v>
      </c>
      <c r="D12" s="50">
        <v>0</v>
      </c>
      <c r="E12" s="50">
        <v>1</v>
      </c>
      <c r="F12" s="50">
        <v>4</v>
      </c>
      <c r="G12" s="50">
        <v>2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125</v>
      </c>
      <c r="N12" s="50">
        <v>0</v>
      </c>
      <c r="O12" s="15">
        <f t="shared" si="0"/>
        <v>15</v>
      </c>
      <c r="P12" s="15">
        <f t="shared" si="1"/>
        <v>140</v>
      </c>
      <c r="R12" s="1" t="s">
        <v>8</v>
      </c>
      <c r="S12" s="17">
        <f t="shared" ref="S12:AF12" si="4">SUM(C18:C21)</f>
        <v>33</v>
      </c>
      <c r="T12" s="17">
        <f t="shared" si="4"/>
        <v>34</v>
      </c>
      <c r="U12" s="17">
        <f t="shared" si="4"/>
        <v>9</v>
      </c>
      <c r="V12" s="17">
        <f t="shared" si="4"/>
        <v>15</v>
      </c>
      <c r="W12" s="17">
        <f t="shared" si="4"/>
        <v>3</v>
      </c>
      <c r="X12" s="17">
        <f t="shared" si="4"/>
        <v>6</v>
      </c>
      <c r="Y12" s="17">
        <f t="shared" si="4"/>
        <v>6</v>
      </c>
      <c r="Z12" s="17">
        <f t="shared" si="4"/>
        <v>14</v>
      </c>
      <c r="AA12" s="17">
        <f t="shared" si="4"/>
        <v>2</v>
      </c>
      <c r="AB12" s="17">
        <f t="shared" si="4"/>
        <v>76</v>
      </c>
      <c r="AC12" s="17">
        <f t="shared" si="4"/>
        <v>256</v>
      </c>
      <c r="AD12" s="17">
        <f t="shared" si="4"/>
        <v>0</v>
      </c>
      <c r="AE12" s="31">
        <f t="shared" si="4"/>
        <v>198</v>
      </c>
      <c r="AF12" s="31">
        <f t="shared" si="4"/>
        <v>454</v>
      </c>
    </row>
    <row r="13" spans="2:32" ht="23.1" customHeight="1" x14ac:dyDescent="0.25">
      <c r="B13" s="45" t="s">
        <v>40</v>
      </c>
      <c r="C13" s="50">
        <v>10</v>
      </c>
      <c r="D13" s="50">
        <v>2</v>
      </c>
      <c r="E13" s="50">
        <v>4</v>
      </c>
      <c r="F13" s="50">
        <v>7</v>
      </c>
      <c r="G13" s="50">
        <v>1</v>
      </c>
      <c r="H13" s="50">
        <v>0</v>
      </c>
      <c r="I13" s="50">
        <v>4</v>
      </c>
      <c r="J13" s="50">
        <v>2</v>
      </c>
      <c r="K13" s="50">
        <v>1</v>
      </c>
      <c r="L13" s="50">
        <v>0</v>
      </c>
      <c r="M13" s="50">
        <v>93</v>
      </c>
      <c r="N13" s="50">
        <v>0</v>
      </c>
      <c r="O13" s="15">
        <f t="shared" si="0"/>
        <v>31</v>
      </c>
      <c r="P13" s="15">
        <f t="shared" si="1"/>
        <v>124</v>
      </c>
      <c r="R13" s="1" t="s">
        <v>9</v>
      </c>
      <c r="S13" s="17">
        <f t="shared" ref="S13:AF13" si="5">SUM(C22:C25)</f>
        <v>34</v>
      </c>
      <c r="T13" s="17">
        <f t="shared" si="5"/>
        <v>21</v>
      </c>
      <c r="U13" s="17">
        <f t="shared" si="5"/>
        <v>10</v>
      </c>
      <c r="V13" s="17">
        <f t="shared" si="5"/>
        <v>40</v>
      </c>
      <c r="W13" s="17">
        <f t="shared" si="5"/>
        <v>1</v>
      </c>
      <c r="X13" s="17">
        <f t="shared" si="5"/>
        <v>0</v>
      </c>
      <c r="Y13" s="17">
        <f t="shared" si="5"/>
        <v>34</v>
      </c>
      <c r="Z13" s="17">
        <f t="shared" si="5"/>
        <v>6</v>
      </c>
      <c r="AA13" s="17">
        <f t="shared" si="5"/>
        <v>2</v>
      </c>
      <c r="AB13" s="17">
        <f t="shared" si="5"/>
        <v>0</v>
      </c>
      <c r="AC13" s="17">
        <f t="shared" si="5"/>
        <v>239</v>
      </c>
      <c r="AD13" s="17">
        <f t="shared" si="5"/>
        <v>0</v>
      </c>
      <c r="AE13" s="31">
        <f t="shared" si="5"/>
        <v>148</v>
      </c>
      <c r="AF13" s="31">
        <f t="shared" si="5"/>
        <v>387</v>
      </c>
    </row>
    <row r="14" spans="2:32" ht="23.1" customHeight="1" x14ac:dyDescent="0.25">
      <c r="B14" s="45" t="s">
        <v>41</v>
      </c>
      <c r="C14" s="50">
        <v>12</v>
      </c>
      <c r="D14" s="50">
        <v>1</v>
      </c>
      <c r="E14" s="50">
        <v>0</v>
      </c>
      <c r="F14" s="50">
        <v>5</v>
      </c>
      <c r="G14" s="50">
        <v>1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105</v>
      </c>
      <c r="N14" s="50">
        <v>0</v>
      </c>
      <c r="O14" s="15">
        <f t="shared" si="0"/>
        <v>21</v>
      </c>
      <c r="P14" s="15">
        <f t="shared" si="1"/>
        <v>126</v>
      </c>
      <c r="R14" s="1" t="s">
        <v>10</v>
      </c>
      <c r="S14" s="17">
        <f t="shared" ref="S14:AF14" si="6">SUM(C26:C29)</f>
        <v>32</v>
      </c>
      <c r="T14" s="17">
        <f t="shared" si="6"/>
        <v>18</v>
      </c>
      <c r="U14" s="17">
        <f t="shared" si="6"/>
        <v>13</v>
      </c>
      <c r="V14" s="17">
        <f t="shared" si="6"/>
        <v>33</v>
      </c>
      <c r="W14" s="17">
        <f t="shared" si="6"/>
        <v>3</v>
      </c>
      <c r="X14" s="17">
        <f t="shared" si="6"/>
        <v>0</v>
      </c>
      <c r="Y14" s="17">
        <f t="shared" si="6"/>
        <v>25</v>
      </c>
      <c r="Z14" s="17">
        <f t="shared" si="6"/>
        <v>5</v>
      </c>
      <c r="AA14" s="17">
        <f t="shared" si="6"/>
        <v>4</v>
      </c>
      <c r="AB14" s="17">
        <f t="shared" si="6"/>
        <v>3</v>
      </c>
      <c r="AC14" s="17">
        <f t="shared" si="6"/>
        <v>241</v>
      </c>
      <c r="AD14" s="17">
        <f t="shared" si="6"/>
        <v>1</v>
      </c>
      <c r="AE14" s="31">
        <f t="shared" si="6"/>
        <v>137</v>
      </c>
      <c r="AF14" s="31">
        <f t="shared" si="6"/>
        <v>378</v>
      </c>
    </row>
    <row r="15" spans="2:32" ht="23.1" customHeight="1" x14ac:dyDescent="0.25">
      <c r="B15" s="45" t="s">
        <v>42</v>
      </c>
      <c r="C15" s="50">
        <v>8</v>
      </c>
      <c r="D15" s="50">
        <v>4</v>
      </c>
      <c r="E15" s="50">
        <v>3</v>
      </c>
      <c r="F15" s="50">
        <v>8</v>
      </c>
      <c r="G15" s="50">
        <v>1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71</v>
      </c>
      <c r="N15" s="50">
        <v>0</v>
      </c>
      <c r="O15" s="15">
        <f t="shared" si="0"/>
        <v>25</v>
      </c>
      <c r="P15" s="15">
        <f t="shared" si="1"/>
        <v>96</v>
      </c>
      <c r="R15" s="1" t="s">
        <v>11</v>
      </c>
      <c r="S15" s="17">
        <f t="shared" ref="S15:AF15" si="7">SUM(C30:C33)</f>
        <v>26</v>
      </c>
      <c r="T15" s="17">
        <f t="shared" si="7"/>
        <v>28</v>
      </c>
      <c r="U15" s="17">
        <f t="shared" si="7"/>
        <v>15</v>
      </c>
      <c r="V15" s="17">
        <f t="shared" si="7"/>
        <v>25</v>
      </c>
      <c r="W15" s="17">
        <f t="shared" si="7"/>
        <v>1</v>
      </c>
      <c r="X15" s="17">
        <f t="shared" si="7"/>
        <v>6</v>
      </c>
      <c r="Y15" s="17">
        <f t="shared" si="7"/>
        <v>20</v>
      </c>
      <c r="Z15" s="17">
        <f t="shared" si="7"/>
        <v>6</v>
      </c>
      <c r="AA15" s="17">
        <f t="shared" si="7"/>
        <v>3</v>
      </c>
      <c r="AB15" s="17">
        <f t="shared" si="7"/>
        <v>46</v>
      </c>
      <c r="AC15" s="17">
        <f t="shared" si="7"/>
        <v>144</v>
      </c>
      <c r="AD15" s="17">
        <f t="shared" si="7"/>
        <v>0</v>
      </c>
      <c r="AE15" s="31">
        <f t="shared" si="7"/>
        <v>176</v>
      </c>
      <c r="AF15" s="31">
        <f t="shared" si="7"/>
        <v>320</v>
      </c>
    </row>
    <row r="16" spans="2:32" ht="23.1" customHeight="1" x14ac:dyDescent="0.25">
      <c r="B16" s="45" t="s">
        <v>43</v>
      </c>
      <c r="C16" s="50">
        <v>13</v>
      </c>
      <c r="D16" s="50">
        <v>3</v>
      </c>
      <c r="E16" s="50">
        <v>3</v>
      </c>
      <c r="F16" s="50">
        <v>6</v>
      </c>
      <c r="G16" s="50">
        <v>0</v>
      </c>
      <c r="H16" s="50">
        <v>0</v>
      </c>
      <c r="I16" s="50">
        <v>2</v>
      </c>
      <c r="J16" s="50">
        <v>2</v>
      </c>
      <c r="K16" s="50">
        <v>1</v>
      </c>
      <c r="L16" s="50">
        <v>0</v>
      </c>
      <c r="M16" s="50">
        <v>84</v>
      </c>
      <c r="N16" s="50">
        <v>0</v>
      </c>
      <c r="O16" s="15">
        <f t="shared" si="0"/>
        <v>30</v>
      </c>
      <c r="P16" s="15">
        <f t="shared" si="1"/>
        <v>114</v>
      </c>
      <c r="R16" s="1" t="s">
        <v>12</v>
      </c>
      <c r="S16" s="17">
        <f t="shared" ref="S16:AF16" si="8">SUM(C34:C37)</f>
        <v>35</v>
      </c>
      <c r="T16" s="17">
        <f t="shared" si="8"/>
        <v>34</v>
      </c>
      <c r="U16" s="17">
        <f t="shared" si="8"/>
        <v>18</v>
      </c>
      <c r="V16" s="17">
        <f t="shared" si="8"/>
        <v>24</v>
      </c>
      <c r="W16" s="17">
        <f t="shared" si="8"/>
        <v>9</v>
      </c>
      <c r="X16" s="17">
        <f t="shared" si="8"/>
        <v>0</v>
      </c>
      <c r="Y16" s="17">
        <f t="shared" si="8"/>
        <v>31</v>
      </c>
      <c r="Z16" s="17">
        <f t="shared" si="8"/>
        <v>13</v>
      </c>
      <c r="AA16" s="17">
        <f t="shared" si="8"/>
        <v>2</v>
      </c>
      <c r="AB16" s="17">
        <f t="shared" si="8"/>
        <v>1</v>
      </c>
      <c r="AC16" s="17">
        <f t="shared" si="8"/>
        <v>201</v>
      </c>
      <c r="AD16" s="17">
        <f t="shared" si="8"/>
        <v>0</v>
      </c>
      <c r="AE16" s="31">
        <f t="shared" si="8"/>
        <v>167</v>
      </c>
      <c r="AF16" s="31">
        <f t="shared" si="8"/>
        <v>368</v>
      </c>
    </row>
    <row r="17" spans="2:32" ht="23.1" customHeight="1" x14ac:dyDescent="0.25">
      <c r="B17" s="45" t="s">
        <v>44</v>
      </c>
      <c r="C17" s="50">
        <v>5</v>
      </c>
      <c r="D17" s="50">
        <v>6</v>
      </c>
      <c r="E17" s="50">
        <v>2</v>
      </c>
      <c r="F17" s="50">
        <v>8</v>
      </c>
      <c r="G17" s="50">
        <v>1</v>
      </c>
      <c r="H17" s="50">
        <v>0</v>
      </c>
      <c r="I17" s="50">
        <v>6</v>
      </c>
      <c r="J17" s="50">
        <v>0</v>
      </c>
      <c r="K17" s="50">
        <v>1</v>
      </c>
      <c r="L17" s="50">
        <v>0</v>
      </c>
      <c r="M17" s="50">
        <v>82</v>
      </c>
      <c r="N17" s="50">
        <v>0</v>
      </c>
      <c r="O17" s="15">
        <f t="shared" si="0"/>
        <v>29</v>
      </c>
      <c r="P17" s="15">
        <f t="shared" si="1"/>
        <v>111</v>
      </c>
      <c r="R17" s="1" t="s">
        <v>13</v>
      </c>
      <c r="S17" s="17">
        <f t="shared" ref="S17:AF17" si="9">SUM(C38:C41)</f>
        <v>31</v>
      </c>
      <c r="T17" s="17">
        <f t="shared" si="9"/>
        <v>28</v>
      </c>
      <c r="U17" s="17">
        <f t="shared" si="9"/>
        <v>18</v>
      </c>
      <c r="V17" s="17">
        <f t="shared" si="9"/>
        <v>36</v>
      </c>
      <c r="W17" s="17">
        <f t="shared" si="9"/>
        <v>0</v>
      </c>
      <c r="X17" s="17">
        <f t="shared" si="9"/>
        <v>0</v>
      </c>
      <c r="Y17" s="17">
        <f t="shared" si="9"/>
        <v>38</v>
      </c>
      <c r="Z17" s="17">
        <f t="shared" si="9"/>
        <v>11</v>
      </c>
      <c r="AA17" s="17">
        <f t="shared" si="9"/>
        <v>5</v>
      </c>
      <c r="AB17" s="17">
        <f t="shared" si="9"/>
        <v>1</v>
      </c>
      <c r="AC17" s="17">
        <f t="shared" si="9"/>
        <v>173</v>
      </c>
      <c r="AD17" s="17">
        <f t="shared" si="9"/>
        <v>0</v>
      </c>
      <c r="AE17" s="31">
        <f t="shared" si="9"/>
        <v>168</v>
      </c>
      <c r="AF17" s="31">
        <f t="shared" si="9"/>
        <v>341</v>
      </c>
    </row>
    <row r="18" spans="2:32" ht="23.1" customHeight="1" x14ac:dyDescent="0.25">
      <c r="B18" s="45" t="s">
        <v>45</v>
      </c>
      <c r="C18" s="50">
        <v>7</v>
      </c>
      <c r="D18" s="50">
        <v>12</v>
      </c>
      <c r="E18" s="50">
        <v>1</v>
      </c>
      <c r="F18" s="50">
        <v>8</v>
      </c>
      <c r="G18" s="50">
        <v>0</v>
      </c>
      <c r="H18" s="50">
        <v>0</v>
      </c>
      <c r="I18" s="50">
        <v>0</v>
      </c>
      <c r="J18" s="50">
        <v>1</v>
      </c>
      <c r="K18" s="50">
        <v>1</v>
      </c>
      <c r="L18" s="50">
        <v>0</v>
      </c>
      <c r="M18" s="50">
        <v>91</v>
      </c>
      <c r="N18" s="50">
        <v>0</v>
      </c>
      <c r="O18" s="15">
        <f t="shared" si="0"/>
        <v>30</v>
      </c>
      <c r="P18" s="15">
        <f t="shared" si="1"/>
        <v>121</v>
      </c>
      <c r="R18" s="1" t="s">
        <v>14</v>
      </c>
      <c r="S18" s="17">
        <f t="shared" ref="S18:AF18" si="10">SUM(C42:C45)</f>
        <v>28</v>
      </c>
      <c r="T18" s="17">
        <f t="shared" si="10"/>
        <v>34</v>
      </c>
      <c r="U18" s="17">
        <f t="shared" si="10"/>
        <v>15</v>
      </c>
      <c r="V18" s="17">
        <f t="shared" si="10"/>
        <v>29</v>
      </c>
      <c r="W18" s="17">
        <f t="shared" si="10"/>
        <v>3</v>
      </c>
      <c r="X18" s="17">
        <f t="shared" si="10"/>
        <v>0</v>
      </c>
      <c r="Y18" s="17">
        <f t="shared" si="10"/>
        <v>22</v>
      </c>
      <c r="Z18" s="17">
        <f t="shared" si="10"/>
        <v>11</v>
      </c>
      <c r="AA18" s="17">
        <f t="shared" si="10"/>
        <v>2</v>
      </c>
      <c r="AB18" s="17">
        <f t="shared" si="10"/>
        <v>0</v>
      </c>
      <c r="AC18" s="17">
        <f t="shared" si="10"/>
        <v>292</v>
      </c>
      <c r="AD18" s="17">
        <f t="shared" si="10"/>
        <v>0</v>
      </c>
      <c r="AE18" s="31">
        <f t="shared" si="10"/>
        <v>144</v>
      </c>
      <c r="AF18" s="31">
        <f t="shared" si="10"/>
        <v>436</v>
      </c>
    </row>
    <row r="19" spans="2:32" ht="23.1" customHeight="1" x14ac:dyDescent="0.25">
      <c r="B19" s="45" t="s">
        <v>46</v>
      </c>
      <c r="C19" s="50">
        <v>10</v>
      </c>
      <c r="D19" s="50">
        <v>8</v>
      </c>
      <c r="E19" s="50">
        <v>1</v>
      </c>
      <c r="F19" s="50">
        <v>5</v>
      </c>
      <c r="G19" s="50">
        <v>2</v>
      </c>
      <c r="H19" s="50">
        <v>0</v>
      </c>
      <c r="I19" s="50">
        <v>3</v>
      </c>
      <c r="J19" s="50">
        <v>4</v>
      </c>
      <c r="K19" s="50">
        <v>1</v>
      </c>
      <c r="L19" s="50">
        <v>0</v>
      </c>
      <c r="M19" s="50">
        <v>83</v>
      </c>
      <c r="N19" s="50">
        <v>0</v>
      </c>
      <c r="O19" s="15">
        <f t="shared" si="0"/>
        <v>34</v>
      </c>
      <c r="P19" s="15">
        <f t="shared" si="1"/>
        <v>117</v>
      </c>
      <c r="R19" s="1" t="s">
        <v>15</v>
      </c>
      <c r="S19" s="17">
        <f t="shared" ref="S19:AF19" si="11">SUM(C46:C49)</f>
        <v>55</v>
      </c>
      <c r="T19" s="17">
        <f t="shared" si="11"/>
        <v>44</v>
      </c>
      <c r="U19" s="17">
        <f t="shared" si="11"/>
        <v>29</v>
      </c>
      <c r="V19" s="17">
        <f t="shared" si="11"/>
        <v>51</v>
      </c>
      <c r="W19" s="17">
        <f t="shared" si="11"/>
        <v>6</v>
      </c>
      <c r="X19" s="17">
        <f t="shared" si="11"/>
        <v>0</v>
      </c>
      <c r="Y19" s="17">
        <f t="shared" si="11"/>
        <v>21</v>
      </c>
      <c r="Z19" s="17">
        <f t="shared" si="11"/>
        <v>13</v>
      </c>
      <c r="AA19" s="17">
        <f t="shared" si="11"/>
        <v>2</v>
      </c>
      <c r="AB19" s="17">
        <f t="shared" si="11"/>
        <v>2</v>
      </c>
      <c r="AC19" s="17">
        <f t="shared" si="11"/>
        <v>260</v>
      </c>
      <c r="AD19" s="17">
        <f t="shared" si="11"/>
        <v>0</v>
      </c>
      <c r="AE19" s="31">
        <f t="shared" si="11"/>
        <v>223</v>
      </c>
      <c r="AF19" s="31">
        <f t="shared" si="11"/>
        <v>483</v>
      </c>
    </row>
    <row r="20" spans="2:32" ht="23.1" customHeight="1" x14ac:dyDescent="0.25">
      <c r="B20" s="45" t="s">
        <v>47</v>
      </c>
      <c r="C20" s="50">
        <v>8</v>
      </c>
      <c r="D20" s="50">
        <v>6</v>
      </c>
      <c r="E20" s="50">
        <v>4</v>
      </c>
      <c r="F20" s="50">
        <v>1</v>
      </c>
      <c r="G20" s="50">
        <v>0</v>
      </c>
      <c r="H20" s="50">
        <v>3</v>
      </c>
      <c r="I20" s="50">
        <v>3</v>
      </c>
      <c r="J20" s="50">
        <v>1</v>
      </c>
      <c r="K20" s="50">
        <v>0</v>
      </c>
      <c r="L20" s="50">
        <v>76</v>
      </c>
      <c r="M20" s="50">
        <v>0</v>
      </c>
      <c r="N20" s="50">
        <v>0</v>
      </c>
      <c r="O20" s="15">
        <f t="shared" si="0"/>
        <v>102</v>
      </c>
      <c r="P20" s="15">
        <f t="shared" si="1"/>
        <v>102</v>
      </c>
      <c r="R20" s="1" t="s">
        <v>16</v>
      </c>
      <c r="S20" s="17">
        <f t="shared" ref="S20:AF20" si="12">SUM(C50:C53)</f>
        <v>47</v>
      </c>
      <c r="T20" s="17">
        <f t="shared" si="12"/>
        <v>66</v>
      </c>
      <c r="U20" s="17">
        <f t="shared" si="12"/>
        <v>31</v>
      </c>
      <c r="V20" s="17">
        <f t="shared" si="12"/>
        <v>39</v>
      </c>
      <c r="W20" s="17">
        <f t="shared" si="12"/>
        <v>6</v>
      </c>
      <c r="X20" s="17">
        <f t="shared" si="12"/>
        <v>2</v>
      </c>
      <c r="Y20" s="17">
        <f t="shared" si="12"/>
        <v>21</v>
      </c>
      <c r="Z20" s="17">
        <f t="shared" si="12"/>
        <v>20</v>
      </c>
      <c r="AA20" s="17">
        <f t="shared" si="12"/>
        <v>6</v>
      </c>
      <c r="AB20" s="17">
        <f t="shared" si="12"/>
        <v>1</v>
      </c>
      <c r="AC20" s="17">
        <f t="shared" si="12"/>
        <v>302</v>
      </c>
      <c r="AD20" s="17">
        <f t="shared" si="12"/>
        <v>0</v>
      </c>
      <c r="AE20" s="31">
        <f t="shared" si="12"/>
        <v>239</v>
      </c>
      <c r="AF20" s="31">
        <f t="shared" si="12"/>
        <v>541</v>
      </c>
    </row>
    <row r="21" spans="2:32" ht="23.1" customHeight="1" x14ac:dyDescent="0.25">
      <c r="B21" s="45" t="s">
        <v>48</v>
      </c>
      <c r="C21" s="50">
        <v>8</v>
      </c>
      <c r="D21" s="50">
        <v>8</v>
      </c>
      <c r="E21" s="50">
        <v>3</v>
      </c>
      <c r="F21" s="50">
        <v>1</v>
      </c>
      <c r="G21" s="50">
        <v>1</v>
      </c>
      <c r="H21" s="50">
        <v>3</v>
      </c>
      <c r="I21" s="50">
        <v>0</v>
      </c>
      <c r="J21" s="50">
        <v>8</v>
      </c>
      <c r="K21" s="50">
        <v>0</v>
      </c>
      <c r="L21" s="50">
        <v>0</v>
      </c>
      <c r="M21" s="50">
        <v>82</v>
      </c>
      <c r="N21" s="50">
        <v>0</v>
      </c>
      <c r="O21" s="15">
        <f t="shared" si="0"/>
        <v>32</v>
      </c>
      <c r="P21" s="15">
        <f t="shared" si="1"/>
        <v>114</v>
      </c>
      <c r="R21" s="36" t="s">
        <v>20</v>
      </c>
      <c r="S21" s="34">
        <f t="shared" ref="S21:AF21" si="13">SUM(C54:C57)</f>
        <v>54</v>
      </c>
      <c r="T21" s="17">
        <f t="shared" si="13"/>
        <v>64</v>
      </c>
      <c r="U21" s="17">
        <f t="shared" si="13"/>
        <v>29</v>
      </c>
      <c r="V21" s="17">
        <f t="shared" si="13"/>
        <v>41</v>
      </c>
      <c r="W21" s="17">
        <f t="shared" si="13"/>
        <v>0</v>
      </c>
      <c r="X21" s="17">
        <f t="shared" si="13"/>
        <v>0</v>
      </c>
      <c r="Y21" s="17">
        <f t="shared" si="13"/>
        <v>23</v>
      </c>
      <c r="Z21" s="17">
        <f t="shared" si="13"/>
        <v>17</v>
      </c>
      <c r="AA21" s="17">
        <f t="shared" si="13"/>
        <v>1</v>
      </c>
      <c r="AB21" s="17">
        <f t="shared" si="13"/>
        <v>0</v>
      </c>
      <c r="AC21" s="17">
        <f t="shared" si="13"/>
        <v>244</v>
      </c>
      <c r="AD21" s="17">
        <f t="shared" si="13"/>
        <v>0</v>
      </c>
      <c r="AE21" s="31">
        <f t="shared" si="13"/>
        <v>229</v>
      </c>
      <c r="AF21" s="31">
        <f t="shared" si="13"/>
        <v>473</v>
      </c>
    </row>
    <row r="22" spans="2:32" ht="23.1" customHeight="1" x14ac:dyDescent="0.25">
      <c r="B22" s="45" t="s">
        <v>49</v>
      </c>
      <c r="C22" s="50">
        <v>5</v>
      </c>
      <c r="D22" s="50">
        <v>3</v>
      </c>
      <c r="E22" s="50">
        <v>2</v>
      </c>
      <c r="F22" s="50">
        <v>17</v>
      </c>
      <c r="G22" s="50">
        <v>0</v>
      </c>
      <c r="H22" s="50">
        <v>0</v>
      </c>
      <c r="I22" s="50">
        <v>8</v>
      </c>
      <c r="J22" s="50">
        <v>0</v>
      </c>
      <c r="K22" s="50">
        <v>1</v>
      </c>
      <c r="L22" s="50">
        <v>0</v>
      </c>
      <c r="M22" s="50">
        <v>66</v>
      </c>
      <c r="N22" s="50">
        <v>0</v>
      </c>
      <c r="O22" s="15">
        <f t="shared" si="0"/>
        <v>36</v>
      </c>
      <c r="P22" s="15">
        <f t="shared" si="1"/>
        <v>102</v>
      </c>
      <c r="R22" s="36" t="s">
        <v>146</v>
      </c>
      <c r="S22" s="34">
        <f>SUM(C58:C61)</f>
        <v>34</v>
      </c>
      <c r="T22" s="34">
        <f t="shared" ref="T22:AF22" si="14">SUM(D58:D61)</f>
        <v>37</v>
      </c>
      <c r="U22" s="34">
        <f t="shared" si="14"/>
        <v>20</v>
      </c>
      <c r="V22" s="34">
        <f t="shared" si="14"/>
        <v>29</v>
      </c>
      <c r="W22" s="34">
        <f t="shared" si="14"/>
        <v>1</v>
      </c>
      <c r="X22" s="34">
        <f t="shared" si="14"/>
        <v>0</v>
      </c>
      <c r="Y22" s="34">
        <f t="shared" si="14"/>
        <v>15</v>
      </c>
      <c r="Z22" s="34">
        <f t="shared" si="14"/>
        <v>14</v>
      </c>
      <c r="AA22" s="34">
        <f t="shared" si="14"/>
        <v>6</v>
      </c>
      <c r="AB22" s="34">
        <f t="shared" si="14"/>
        <v>2</v>
      </c>
      <c r="AC22" s="34">
        <f t="shared" si="14"/>
        <v>254</v>
      </c>
      <c r="AD22" s="34">
        <f t="shared" si="14"/>
        <v>0</v>
      </c>
      <c r="AE22" s="31">
        <f t="shared" si="14"/>
        <v>158</v>
      </c>
      <c r="AF22" s="31">
        <f t="shared" si="14"/>
        <v>412</v>
      </c>
    </row>
    <row r="23" spans="2:32" ht="23.1" customHeight="1" x14ac:dyDescent="0.25">
      <c r="B23" s="45" t="s">
        <v>50</v>
      </c>
      <c r="C23" s="50">
        <v>14</v>
      </c>
      <c r="D23" s="50">
        <v>6</v>
      </c>
      <c r="E23" s="50">
        <v>2</v>
      </c>
      <c r="F23" s="50">
        <v>10</v>
      </c>
      <c r="G23" s="50">
        <v>0</v>
      </c>
      <c r="H23" s="50">
        <v>0</v>
      </c>
      <c r="I23" s="50">
        <v>11</v>
      </c>
      <c r="J23" s="50">
        <v>2</v>
      </c>
      <c r="K23" s="50">
        <v>0</v>
      </c>
      <c r="L23" s="50">
        <v>0</v>
      </c>
      <c r="M23" s="50">
        <v>61</v>
      </c>
      <c r="N23" s="50">
        <v>0</v>
      </c>
      <c r="O23" s="15">
        <f t="shared" si="0"/>
        <v>45</v>
      </c>
      <c r="P23" s="15">
        <f t="shared" si="1"/>
        <v>106</v>
      </c>
      <c r="R23" s="36" t="s">
        <v>147</v>
      </c>
      <c r="S23" s="34">
        <f>SUM(C62:C65)</f>
        <v>38</v>
      </c>
      <c r="T23" s="34">
        <f t="shared" ref="T23:AF23" si="15">SUM(D62:D65)</f>
        <v>21</v>
      </c>
      <c r="U23" s="34">
        <f t="shared" si="15"/>
        <v>17</v>
      </c>
      <c r="V23" s="34">
        <f t="shared" si="15"/>
        <v>24</v>
      </c>
      <c r="W23" s="34">
        <f t="shared" si="15"/>
        <v>2</v>
      </c>
      <c r="X23" s="34">
        <f t="shared" si="15"/>
        <v>0</v>
      </c>
      <c r="Y23" s="34">
        <f t="shared" si="15"/>
        <v>17</v>
      </c>
      <c r="Z23" s="34">
        <f t="shared" si="15"/>
        <v>10</v>
      </c>
      <c r="AA23" s="34">
        <f t="shared" si="15"/>
        <v>2</v>
      </c>
      <c r="AB23" s="34">
        <f t="shared" si="15"/>
        <v>0</v>
      </c>
      <c r="AC23" s="34">
        <f t="shared" si="15"/>
        <v>233</v>
      </c>
      <c r="AD23" s="34">
        <f t="shared" si="15"/>
        <v>0</v>
      </c>
      <c r="AE23" s="31">
        <f t="shared" si="15"/>
        <v>131</v>
      </c>
      <c r="AF23" s="31">
        <f t="shared" si="15"/>
        <v>364</v>
      </c>
    </row>
    <row r="24" spans="2:32" ht="23.1" customHeight="1" x14ac:dyDescent="0.25">
      <c r="B24" s="45" t="s">
        <v>51</v>
      </c>
      <c r="C24" s="50">
        <v>7</v>
      </c>
      <c r="D24" s="50">
        <v>7</v>
      </c>
      <c r="E24" s="50">
        <v>3</v>
      </c>
      <c r="F24" s="50">
        <v>5</v>
      </c>
      <c r="G24" s="50">
        <v>1</v>
      </c>
      <c r="H24" s="50">
        <v>0</v>
      </c>
      <c r="I24" s="50">
        <v>9</v>
      </c>
      <c r="J24" s="50">
        <v>0</v>
      </c>
      <c r="K24" s="50">
        <v>1</v>
      </c>
      <c r="L24" s="50">
        <v>0</v>
      </c>
      <c r="M24" s="50">
        <v>56</v>
      </c>
      <c r="N24" s="50">
        <v>0</v>
      </c>
      <c r="O24" s="15">
        <f t="shared" si="0"/>
        <v>33</v>
      </c>
      <c r="P24" s="15">
        <f t="shared" si="1"/>
        <v>89</v>
      </c>
      <c r="R24" s="36" t="s">
        <v>148</v>
      </c>
      <c r="S24" s="34">
        <f>SUM(C66:C69)</f>
        <v>21</v>
      </c>
      <c r="T24" s="34">
        <f t="shared" ref="T24:AF24" si="16">SUM(D66:D69)</f>
        <v>14</v>
      </c>
      <c r="U24" s="34">
        <f t="shared" si="16"/>
        <v>16</v>
      </c>
      <c r="V24" s="34">
        <f t="shared" si="16"/>
        <v>19</v>
      </c>
      <c r="W24" s="34">
        <f t="shared" si="16"/>
        <v>1</v>
      </c>
      <c r="X24" s="34">
        <f t="shared" si="16"/>
        <v>0</v>
      </c>
      <c r="Y24" s="34">
        <f t="shared" si="16"/>
        <v>9</v>
      </c>
      <c r="Z24" s="34">
        <f t="shared" si="16"/>
        <v>10</v>
      </c>
      <c r="AA24" s="34">
        <f t="shared" si="16"/>
        <v>5</v>
      </c>
      <c r="AB24" s="34">
        <f t="shared" si="16"/>
        <v>0</v>
      </c>
      <c r="AC24" s="34">
        <f t="shared" si="16"/>
        <v>136</v>
      </c>
      <c r="AD24" s="34">
        <f t="shared" si="16"/>
        <v>0</v>
      </c>
      <c r="AE24" s="31">
        <f t="shared" si="16"/>
        <v>95</v>
      </c>
      <c r="AF24" s="31">
        <f t="shared" si="16"/>
        <v>231</v>
      </c>
    </row>
    <row r="25" spans="2:32" ht="23.1" customHeight="1" x14ac:dyDescent="0.25">
      <c r="B25" s="45" t="s">
        <v>52</v>
      </c>
      <c r="C25" s="50">
        <v>8</v>
      </c>
      <c r="D25" s="50">
        <v>5</v>
      </c>
      <c r="E25" s="50">
        <v>3</v>
      </c>
      <c r="F25" s="50">
        <v>8</v>
      </c>
      <c r="G25" s="50">
        <v>0</v>
      </c>
      <c r="H25" s="50">
        <v>0</v>
      </c>
      <c r="I25" s="50">
        <v>6</v>
      </c>
      <c r="J25" s="50">
        <v>4</v>
      </c>
      <c r="K25" s="50">
        <v>0</v>
      </c>
      <c r="L25" s="50">
        <v>0</v>
      </c>
      <c r="M25" s="50">
        <v>56</v>
      </c>
      <c r="N25" s="50">
        <v>0</v>
      </c>
      <c r="O25" s="15">
        <f t="shared" si="0"/>
        <v>34</v>
      </c>
      <c r="P25" s="15">
        <f t="shared" si="1"/>
        <v>90</v>
      </c>
      <c r="R25" s="36" t="s">
        <v>149</v>
      </c>
      <c r="S25" s="34">
        <f>SUM(C70:C73)</f>
        <v>11</v>
      </c>
      <c r="T25" s="34">
        <f t="shared" ref="T25:AF25" si="17">SUM(D70:D73)</f>
        <v>16</v>
      </c>
      <c r="U25" s="34">
        <f t="shared" si="17"/>
        <v>5</v>
      </c>
      <c r="V25" s="34">
        <f t="shared" si="17"/>
        <v>13</v>
      </c>
      <c r="W25" s="34">
        <f t="shared" si="17"/>
        <v>0</v>
      </c>
      <c r="X25" s="34">
        <f t="shared" si="17"/>
        <v>0</v>
      </c>
      <c r="Y25" s="34">
        <f t="shared" si="17"/>
        <v>12</v>
      </c>
      <c r="Z25" s="34">
        <f t="shared" si="17"/>
        <v>10</v>
      </c>
      <c r="AA25" s="34">
        <f t="shared" si="17"/>
        <v>3</v>
      </c>
      <c r="AB25" s="34">
        <f t="shared" si="17"/>
        <v>0</v>
      </c>
      <c r="AC25" s="34">
        <f t="shared" si="17"/>
        <v>119</v>
      </c>
      <c r="AD25" s="34">
        <f t="shared" si="17"/>
        <v>0</v>
      </c>
      <c r="AE25" s="31">
        <f t="shared" si="17"/>
        <v>70</v>
      </c>
      <c r="AF25" s="31">
        <f t="shared" si="17"/>
        <v>189</v>
      </c>
    </row>
    <row r="26" spans="2:32" ht="23.1" customHeight="1" x14ac:dyDescent="0.25">
      <c r="B26" s="45" t="s">
        <v>53</v>
      </c>
      <c r="C26" s="50">
        <v>8</v>
      </c>
      <c r="D26" s="50">
        <v>3</v>
      </c>
      <c r="E26" s="50">
        <v>5</v>
      </c>
      <c r="F26" s="50">
        <v>7</v>
      </c>
      <c r="G26" s="50">
        <v>1</v>
      </c>
      <c r="H26" s="50">
        <v>0</v>
      </c>
      <c r="I26" s="50">
        <v>6</v>
      </c>
      <c r="J26" s="50">
        <v>1</v>
      </c>
      <c r="K26" s="50">
        <v>1</v>
      </c>
      <c r="L26" s="50">
        <v>1</v>
      </c>
      <c r="M26" s="50">
        <v>64</v>
      </c>
      <c r="N26" s="50">
        <v>1</v>
      </c>
      <c r="O26" s="15">
        <f t="shared" si="0"/>
        <v>34</v>
      </c>
      <c r="P26" s="15">
        <f t="shared" si="1"/>
        <v>98</v>
      </c>
      <c r="R26" s="36" t="s">
        <v>150</v>
      </c>
      <c r="S26" s="34">
        <f>SUM(C74:C77)</f>
        <v>15</v>
      </c>
      <c r="T26" s="34">
        <f t="shared" ref="T26:AF26" si="18">SUM(D74:D77)</f>
        <v>10</v>
      </c>
      <c r="U26" s="34">
        <f t="shared" si="18"/>
        <v>5</v>
      </c>
      <c r="V26" s="34">
        <f t="shared" si="18"/>
        <v>8</v>
      </c>
      <c r="W26" s="34">
        <f t="shared" si="18"/>
        <v>2</v>
      </c>
      <c r="X26" s="34">
        <f t="shared" si="18"/>
        <v>0</v>
      </c>
      <c r="Y26" s="34">
        <f t="shared" si="18"/>
        <v>4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95</v>
      </c>
      <c r="AD26" s="34">
        <f t="shared" si="18"/>
        <v>0</v>
      </c>
      <c r="AE26" s="31">
        <f t="shared" si="18"/>
        <v>47</v>
      </c>
      <c r="AF26" s="31">
        <f t="shared" si="18"/>
        <v>142</v>
      </c>
    </row>
    <row r="27" spans="2:32" ht="23.1" customHeight="1" x14ac:dyDescent="0.25">
      <c r="B27" s="45" t="s">
        <v>54</v>
      </c>
      <c r="C27" s="50">
        <v>14</v>
      </c>
      <c r="D27" s="50">
        <v>7</v>
      </c>
      <c r="E27" s="50">
        <v>3</v>
      </c>
      <c r="F27" s="50">
        <v>12</v>
      </c>
      <c r="G27" s="50">
        <v>2</v>
      </c>
      <c r="H27" s="50">
        <v>0</v>
      </c>
      <c r="I27" s="50">
        <v>7</v>
      </c>
      <c r="J27" s="50">
        <v>2</v>
      </c>
      <c r="K27" s="50">
        <v>0</v>
      </c>
      <c r="L27" s="50">
        <v>1</v>
      </c>
      <c r="M27" s="50">
        <v>51</v>
      </c>
      <c r="N27" s="50">
        <v>0</v>
      </c>
      <c r="O27" s="15">
        <f t="shared" si="0"/>
        <v>48</v>
      </c>
      <c r="P27" s="15">
        <f t="shared" si="1"/>
        <v>99</v>
      </c>
      <c r="R27" s="36" t="s">
        <v>151</v>
      </c>
      <c r="S27" s="34">
        <f>SUM(C78:C81)</f>
        <v>2</v>
      </c>
      <c r="T27" s="34">
        <f t="shared" ref="T27:AF27" si="19">SUM(D78:D81)</f>
        <v>6</v>
      </c>
      <c r="U27" s="34">
        <f t="shared" si="19"/>
        <v>2</v>
      </c>
      <c r="V27" s="34">
        <f t="shared" si="19"/>
        <v>5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2</v>
      </c>
      <c r="AA27" s="34">
        <f t="shared" si="19"/>
        <v>0</v>
      </c>
      <c r="AB27" s="34">
        <f t="shared" si="19"/>
        <v>1</v>
      </c>
      <c r="AC27" s="34">
        <f t="shared" si="19"/>
        <v>45</v>
      </c>
      <c r="AD27" s="34">
        <f t="shared" si="19"/>
        <v>0</v>
      </c>
      <c r="AE27" s="31">
        <f t="shared" si="19"/>
        <v>19</v>
      </c>
      <c r="AF27" s="31">
        <f t="shared" si="19"/>
        <v>64</v>
      </c>
    </row>
    <row r="28" spans="2:32" ht="23.1" customHeight="1" x14ac:dyDescent="0.25">
      <c r="B28" s="45" t="s">
        <v>55</v>
      </c>
      <c r="C28" s="50">
        <v>5</v>
      </c>
      <c r="D28" s="50">
        <v>8</v>
      </c>
      <c r="E28" s="50">
        <v>2</v>
      </c>
      <c r="F28" s="50">
        <v>7</v>
      </c>
      <c r="G28" s="50">
        <v>0</v>
      </c>
      <c r="H28" s="50">
        <v>0</v>
      </c>
      <c r="I28" s="50">
        <v>6</v>
      </c>
      <c r="J28" s="50">
        <v>1</v>
      </c>
      <c r="K28" s="50">
        <v>1</v>
      </c>
      <c r="L28" s="50">
        <v>0</v>
      </c>
      <c r="M28" s="50">
        <v>68</v>
      </c>
      <c r="N28" s="50">
        <v>0</v>
      </c>
      <c r="O28" s="15">
        <f t="shared" si="0"/>
        <v>30</v>
      </c>
      <c r="P28" s="15">
        <f t="shared" si="1"/>
        <v>98</v>
      </c>
      <c r="R28" s="36" t="s">
        <v>152</v>
      </c>
      <c r="S28" s="34">
        <f>SUM(C82:C85)</f>
        <v>2</v>
      </c>
      <c r="T28" s="34">
        <f t="shared" ref="T28:AF28" si="20">SUM(D82:D85)</f>
        <v>4</v>
      </c>
      <c r="U28" s="34">
        <f t="shared" si="20"/>
        <v>2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18</v>
      </c>
      <c r="AD28" s="34">
        <f t="shared" si="20"/>
        <v>0</v>
      </c>
      <c r="AE28" s="31">
        <f t="shared" si="20"/>
        <v>12</v>
      </c>
      <c r="AF28" s="31">
        <f t="shared" si="20"/>
        <v>30</v>
      </c>
    </row>
    <row r="29" spans="2:32" ht="23.1" customHeight="1" x14ac:dyDescent="0.25">
      <c r="B29" s="45" t="s">
        <v>56</v>
      </c>
      <c r="C29" s="50">
        <v>5</v>
      </c>
      <c r="D29" s="50">
        <v>0</v>
      </c>
      <c r="E29" s="50">
        <v>3</v>
      </c>
      <c r="F29" s="50">
        <v>7</v>
      </c>
      <c r="G29" s="50">
        <v>0</v>
      </c>
      <c r="H29" s="50">
        <v>0</v>
      </c>
      <c r="I29" s="50">
        <v>6</v>
      </c>
      <c r="J29" s="50">
        <v>1</v>
      </c>
      <c r="K29" s="50">
        <v>2</v>
      </c>
      <c r="L29" s="50">
        <v>1</v>
      </c>
      <c r="M29" s="50">
        <v>58</v>
      </c>
      <c r="N29" s="50">
        <v>0</v>
      </c>
      <c r="O29" s="15">
        <f t="shared" si="0"/>
        <v>25</v>
      </c>
      <c r="P29" s="15">
        <f t="shared" si="1"/>
        <v>83</v>
      </c>
      <c r="R29" s="36" t="s">
        <v>153</v>
      </c>
      <c r="S29" s="34">
        <f>SUM(C86:C89)</f>
        <v>1</v>
      </c>
      <c r="T29" s="34">
        <f t="shared" ref="T29:AF29" si="21">SUM(D86:D89)</f>
        <v>1</v>
      </c>
      <c r="U29" s="34">
        <f t="shared" si="21"/>
        <v>2</v>
      </c>
      <c r="V29" s="34">
        <f t="shared" si="21"/>
        <v>3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3</v>
      </c>
      <c r="AA29" s="34">
        <f t="shared" si="21"/>
        <v>0</v>
      </c>
      <c r="AB29" s="34">
        <f t="shared" si="21"/>
        <v>2</v>
      </c>
      <c r="AC29" s="34">
        <f t="shared" si="21"/>
        <v>16</v>
      </c>
      <c r="AD29" s="34">
        <f t="shared" si="21"/>
        <v>0</v>
      </c>
      <c r="AE29" s="31">
        <f t="shared" si="21"/>
        <v>13</v>
      </c>
      <c r="AF29" s="31">
        <f t="shared" si="21"/>
        <v>29</v>
      </c>
    </row>
    <row r="30" spans="2:32" ht="23.1" customHeight="1" x14ac:dyDescent="0.25">
      <c r="B30" s="45" t="s">
        <v>57</v>
      </c>
      <c r="C30" s="50">
        <v>7</v>
      </c>
      <c r="D30" s="50">
        <v>11</v>
      </c>
      <c r="E30" s="50">
        <v>5</v>
      </c>
      <c r="F30" s="50">
        <v>5</v>
      </c>
      <c r="G30" s="50">
        <v>0</v>
      </c>
      <c r="H30" s="50">
        <v>6</v>
      </c>
      <c r="I30" s="50">
        <v>2</v>
      </c>
      <c r="J30" s="50">
        <v>2</v>
      </c>
      <c r="K30" s="50">
        <v>0</v>
      </c>
      <c r="L30" s="50">
        <v>46</v>
      </c>
      <c r="M30" s="50">
        <v>0</v>
      </c>
      <c r="N30" s="50">
        <v>0</v>
      </c>
      <c r="O30" s="15">
        <f t="shared" si="0"/>
        <v>84</v>
      </c>
      <c r="P30" s="15">
        <f t="shared" si="1"/>
        <v>84</v>
      </c>
      <c r="R30" s="36" t="s">
        <v>154</v>
      </c>
      <c r="S30" s="34">
        <f>SUM(C90:C93)</f>
        <v>4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4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14</v>
      </c>
      <c r="AD30" s="34">
        <f t="shared" si="22"/>
        <v>0</v>
      </c>
      <c r="AE30" s="31">
        <f t="shared" si="22"/>
        <v>10</v>
      </c>
      <c r="AF30" s="31">
        <f t="shared" si="22"/>
        <v>24</v>
      </c>
    </row>
    <row r="31" spans="2:32" ht="23.1" customHeight="1" x14ac:dyDescent="0.25">
      <c r="B31" s="46" t="s">
        <v>58</v>
      </c>
      <c r="C31" s="50">
        <v>3</v>
      </c>
      <c r="D31" s="50">
        <v>5</v>
      </c>
      <c r="E31" s="50">
        <v>2</v>
      </c>
      <c r="F31" s="50">
        <v>7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53</v>
      </c>
      <c r="N31" s="50">
        <v>0</v>
      </c>
      <c r="O31" s="15">
        <f t="shared" si="0"/>
        <v>21</v>
      </c>
      <c r="P31" s="15">
        <f t="shared" si="1"/>
        <v>74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8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1</v>
      </c>
      <c r="AC31" s="34">
        <f t="shared" si="23"/>
        <v>18</v>
      </c>
      <c r="AD31" s="34">
        <f t="shared" si="23"/>
        <v>0</v>
      </c>
      <c r="AE31" s="31">
        <f t="shared" si="23"/>
        <v>12</v>
      </c>
      <c r="AF31" s="31">
        <f t="shared" si="23"/>
        <v>30</v>
      </c>
    </row>
    <row r="32" spans="2:32" ht="23.1" customHeight="1" x14ac:dyDescent="0.25">
      <c r="B32" s="46" t="s">
        <v>59</v>
      </c>
      <c r="C32" s="50">
        <v>9</v>
      </c>
      <c r="D32" s="50">
        <v>6</v>
      </c>
      <c r="E32" s="50">
        <v>4</v>
      </c>
      <c r="F32" s="50">
        <v>7</v>
      </c>
      <c r="G32" s="50">
        <v>0</v>
      </c>
      <c r="H32" s="50">
        <v>0</v>
      </c>
      <c r="I32" s="50">
        <v>6</v>
      </c>
      <c r="J32" s="50">
        <v>2</v>
      </c>
      <c r="K32" s="50">
        <v>2</v>
      </c>
      <c r="L32" s="50">
        <v>0</v>
      </c>
      <c r="M32" s="50">
        <v>52</v>
      </c>
      <c r="N32" s="50">
        <v>0</v>
      </c>
      <c r="O32" s="15">
        <f t="shared" si="0"/>
        <v>36</v>
      </c>
      <c r="P32" s="15">
        <f t="shared" si="1"/>
        <v>88</v>
      </c>
      <c r="R32" s="33" t="s">
        <v>156</v>
      </c>
      <c r="S32" s="34">
        <f>SUM(C98:C101)</f>
        <v>4</v>
      </c>
      <c r="T32" s="34">
        <f t="shared" ref="T32:AF32" si="24">SUM(D98:D101)</f>
        <v>6</v>
      </c>
      <c r="U32" s="34">
        <f t="shared" si="24"/>
        <v>5</v>
      </c>
      <c r="V32" s="34">
        <f t="shared" si="24"/>
        <v>21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51</v>
      </c>
      <c r="AD32" s="34">
        <f t="shared" si="24"/>
        <v>0</v>
      </c>
      <c r="AE32" s="31">
        <f t="shared" si="24"/>
        <v>40</v>
      </c>
      <c r="AF32" s="31">
        <f t="shared" si="24"/>
        <v>91</v>
      </c>
    </row>
    <row r="33" spans="2:32" ht="23.1" customHeight="1" x14ac:dyDescent="0.25">
      <c r="B33" s="45" t="s">
        <v>60</v>
      </c>
      <c r="C33" s="50">
        <v>7</v>
      </c>
      <c r="D33" s="50">
        <v>6</v>
      </c>
      <c r="E33" s="50">
        <v>4</v>
      </c>
      <c r="F33" s="50">
        <v>6</v>
      </c>
      <c r="G33" s="50">
        <v>1</v>
      </c>
      <c r="H33" s="50">
        <v>0</v>
      </c>
      <c r="I33" s="50">
        <v>8</v>
      </c>
      <c r="J33" s="50">
        <v>2</v>
      </c>
      <c r="K33" s="50">
        <v>1</v>
      </c>
      <c r="L33" s="50">
        <v>0</v>
      </c>
      <c r="M33" s="50">
        <v>39</v>
      </c>
      <c r="N33" s="50">
        <v>0</v>
      </c>
      <c r="O33" s="15">
        <f t="shared" si="0"/>
        <v>35</v>
      </c>
      <c r="P33" s="15">
        <f t="shared" si="1"/>
        <v>74</v>
      </c>
      <c r="R33" s="33" t="s">
        <v>157</v>
      </c>
      <c r="S33" s="34">
        <f>SUM(C102:C105)</f>
        <v>14</v>
      </c>
      <c r="T33" s="34">
        <f t="shared" ref="T33:AF33" si="25">SUM(D102:D105)</f>
        <v>8</v>
      </c>
      <c r="U33" s="34">
        <f t="shared" si="25"/>
        <v>6</v>
      </c>
      <c r="V33" s="34">
        <f t="shared" si="25"/>
        <v>33</v>
      </c>
      <c r="W33" s="34">
        <f t="shared" si="25"/>
        <v>1</v>
      </c>
      <c r="X33" s="34">
        <f t="shared" si="25"/>
        <v>0</v>
      </c>
      <c r="Y33" s="34">
        <f t="shared" si="25"/>
        <v>3</v>
      </c>
      <c r="Z33" s="34">
        <f t="shared" si="25"/>
        <v>6</v>
      </c>
      <c r="AA33" s="34">
        <f t="shared" si="25"/>
        <v>2</v>
      </c>
      <c r="AB33" s="34">
        <f t="shared" si="25"/>
        <v>0</v>
      </c>
      <c r="AC33" s="34">
        <f t="shared" si="25"/>
        <v>166</v>
      </c>
      <c r="AD33" s="34">
        <f t="shared" si="25"/>
        <v>0</v>
      </c>
      <c r="AE33" s="31">
        <f t="shared" si="25"/>
        <v>73</v>
      </c>
      <c r="AF33" s="31">
        <f t="shared" si="25"/>
        <v>239</v>
      </c>
    </row>
    <row r="34" spans="2:32" ht="23.1" customHeight="1" x14ac:dyDescent="0.25">
      <c r="B34" s="46" t="s">
        <v>61</v>
      </c>
      <c r="C34" s="50">
        <v>8</v>
      </c>
      <c r="D34" s="50">
        <v>3</v>
      </c>
      <c r="E34" s="50">
        <v>3</v>
      </c>
      <c r="F34" s="50">
        <v>4</v>
      </c>
      <c r="G34" s="50">
        <v>2</v>
      </c>
      <c r="H34" s="50">
        <v>0</v>
      </c>
      <c r="I34" s="50">
        <v>6</v>
      </c>
      <c r="J34" s="50">
        <v>1</v>
      </c>
      <c r="K34" s="50">
        <v>0</v>
      </c>
      <c r="L34" s="50">
        <v>0</v>
      </c>
      <c r="M34" s="50">
        <v>56</v>
      </c>
      <c r="N34" s="50">
        <v>0</v>
      </c>
      <c r="O34" s="15">
        <f t="shared" si="0"/>
        <v>27</v>
      </c>
      <c r="P34" s="15">
        <f t="shared" si="1"/>
        <v>83</v>
      </c>
      <c r="R34" s="38" t="s">
        <v>90</v>
      </c>
      <c r="S34" s="39">
        <f t="shared" ref="S34:AF34" si="26">MAX(S10:S12)</f>
        <v>38</v>
      </c>
      <c r="T34" s="39">
        <f t="shared" si="26"/>
        <v>34</v>
      </c>
      <c r="U34" s="39">
        <f t="shared" si="26"/>
        <v>9</v>
      </c>
      <c r="V34" s="39">
        <f t="shared" si="26"/>
        <v>27</v>
      </c>
      <c r="W34" s="39">
        <f t="shared" si="26"/>
        <v>4</v>
      </c>
      <c r="X34" s="39">
        <f t="shared" si="26"/>
        <v>6</v>
      </c>
      <c r="Y34" s="39">
        <f t="shared" si="26"/>
        <v>11</v>
      </c>
      <c r="Z34" s="39">
        <f t="shared" si="26"/>
        <v>14</v>
      </c>
      <c r="AA34" s="39">
        <f t="shared" si="26"/>
        <v>2</v>
      </c>
      <c r="AB34" s="39">
        <f t="shared" si="26"/>
        <v>76</v>
      </c>
      <c r="AC34" s="39">
        <f t="shared" si="26"/>
        <v>435</v>
      </c>
      <c r="AD34" s="39">
        <f t="shared" si="26"/>
        <v>0</v>
      </c>
      <c r="AE34" s="40">
        <f t="shared" si="26"/>
        <v>198</v>
      </c>
      <c r="AF34" s="40">
        <f t="shared" si="26"/>
        <v>523</v>
      </c>
    </row>
    <row r="35" spans="2:32" ht="23.1" customHeight="1" x14ac:dyDescent="0.25">
      <c r="B35" s="46" t="s">
        <v>62</v>
      </c>
      <c r="C35" s="50">
        <v>6</v>
      </c>
      <c r="D35" s="50">
        <v>17</v>
      </c>
      <c r="E35" s="50">
        <v>5</v>
      </c>
      <c r="F35" s="50">
        <v>7</v>
      </c>
      <c r="G35" s="50">
        <v>3</v>
      </c>
      <c r="H35" s="50">
        <v>0</v>
      </c>
      <c r="I35" s="50">
        <v>7</v>
      </c>
      <c r="J35" s="50">
        <v>5</v>
      </c>
      <c r="K35" s="50">
        <v>0</v>
      </c>
      <c r="L35" s="50">
        <v>0</v>
      </c>
      <c r="M35" s="50">
        <v>44</v>
      </c>
      <c r="N35" s="50">
        <v>0</v>
      </c>
      <c r="O35" s="15">
        <f t="shared" si="0"/>
        <v>50</v>
      </c>
      <c r="P35" s="15">
        <f t="shared" si="1"/>
        <v>94</v>
      </c>
      <c r="R35" s="38" t="s">
        <v>91</v>
      </c>
      <c r="S35" s="39">
        <f t="shared" ref="S35:AF35" si="27">MAX(S13:S18)</f>
        <v>35</v>
      </c>
      <c r="T35" s="39">
        <f t="shared" si="27"/>
        <v>34</v>
      </c>
      <c r="U35" s="39">
        <f t="shared" si="27"/>
        <v>18</v>
      </c>
      <c r="V35" s="39">
        <f t="shared" si="27"/>
        <v>40</v>
      </c>
      <c r="W35" s="39">
        <f t="shared" si="27"/>
        <v>9</v>
      </c>
      <c r="X35" s="39">
        <f t="shared" si="27"/>
        <v>6</v>
      </c>
      <c r="Y35" s="39">
        <f t="shared" si="27"/>
        <v>38</v>
      </c>
      <c r="Z35" s="39">
        <f t="shared" si="27"/>
        <v>13</v>
      </c>
      <c r="AA35" s="39">
        <f t="shared" si="27"/>
        <v>5</v>
      </c>
      <c r="AB35" s="39">
        <f t="shared" si="27"/>
        <v>46</v>
      </c>
      <c r="AC35" s="39">
        <f t="shared" si="27"/>
        <v>292</v>
      </c>
      <c r="AD35" s="39">
        <f t="shared" si="27"/>
        <v>1</v>
      </c>
      <c r="AE35" s="40">
        <f t="shared" si="27"/>
        <v>176</v>
      </c>
      <c r="AF35" s="40">
        <f t="shared" si="27"/>
        <v>436</v>
      </c>
    </row>
    <row r="36" spans="2:32" ht="23.1" customHeight="1" x14ac:dyDescent="0.25">
      <c r="B36" s="46" t="s">
        <v>63</v>
      </c>
      <c r="C36" s="50">
        <v>13</v>
      </c>
      <c r="D36" s="50">
        <v>10</v>
      </c>
      <c r="E36" s="50">
        <v>9</v>
      </c>
      <c r="F36" s="50">
        <v>10</v>
      </c>
      <c r="G36" s="50">
        <v>1</v>
      </c>
      <c r="H36" s="50">
        <v>0</v>
      </c>
      <c r="I36" s="50">
        <v>9</v>
      </c>
      <c r="J36" s="50">
        <v>5</v>
      </c>
      <c r="K36" s="50">
        <v>1</v>
      </c>
      <c r="L36" s="50">
        <v>1</v>
      </c>
      <c r="M36" s="50">
        <v>52</v>
      </c>
      <c r="N36" s="50">
        <v>0</v>
      </c>
      <c r="O36" s="15">
        <f t="shared" si="0"/>
        <v>59</v>
      </c>
      <c r="P36" s="15">
        <f t="shared" si="1"/>
        <v>111</v>
      </c>
      <c r="R36" s="38" t="s">
        <v>92</v>
      </c>
      <c r="S36" s="39">
        <f t="shared" ref="S36:AF36" si="28">MAX(S19:S21)</f>
        <v>55</v>
      </c>
      <c r="T36" s="39">
        <f t="shared" si="28"/>
        <v>66</v>
      </c>
      <c r="U36" s="39">
        <f t="shared" si="28"/>
        <v>31</v>
      </c>
      <c r="V36" s="39">
        <f t="shared" si="28"/>
        <v>51</v>
      </c>
      <c r="W36" s="39">
        <f t="shared" si="28"/>
        <v>6</v>
      </c>
      <c r="X36" s="39">
        <f t="shared" si="28"/>
        <v>2</v>
      </c>
      <c r="Y36" s="39">
        <f t="shared" si="28"/>
        <v>23</v>
      </c>
      <c r="Z36" s="39">
        <f t="shared" si="28"/>
        <v>20</v>
      </c>
      <c r="AA36" s="39">
        <f t="shared" si="28"/>
        <v>6</v>
      </c>
      <c r="AB36" s="39">
        <f t="shared" si="28"/>
        <v>2</v>
      </c>
      <c r="AC36" s="39">
        <f t="shared" si="28"/>
        <v>302</v>
      </c>
      <c r="AD36" s="39">
        <f t="shared" si="28"/>
        <v>0</v>
      </c>
      <c r="AE36" s="40">
        <f t="shared" si="28"/>
        <v>239</v>
      </c>
      <c r="AF36" s="40">
        <f t="shared" si="28"/>
        <v>541</v>
      </c>
    </row>
    <row r="37" spans="2:32" ht="23.1" customHeight="1" x14ac:dyDescent="0.25">
      <c r="B37" s="45" t="s">
        <v>64</v>
      </c>
      <c r="C37" s="50">
        <v>8</v>
      </c>
      <c r="D37" s="50">
        <v>4</v>
      </c>
      <c r="E37" s="50">
        <v>1</v>
      </c>
      <c r="F37" s="50">
        <v>3</v>
      </c>
      <c r="G37" s="50">
        <v>3</v>
      </c>
      <c r="H37" s="50">
        <v>0</v>
      </c>
      <c r="I37" s="50">
        <v>9</v>
      </c>
      <c r="J37" s="50">
        <v>2</v>
      </c>
      <c r="K37" s="50">
        <v>1</v>
      </c>
      <c r="L37" s="50">
        <v>0</v>
      </c>
      <c r="M37" s="50">
        <v>49</v>
      </c>
      <c r="N37" s="50">
        <v>0</v>
      </c>
      <c r="O37" s="15">
        <f t="shared" si="0"/>
        <v>31</v>
      </c>
      <c r="P37" s="15">
        <f t="shared" si="1"/>
        <v>80</v>
      </c>
      <c r="R37" s="37" t="s">
        <v>85</v>
      </c>
      <c r="S37" s="35">
        <f t="shared" ref="S37:AF37" si="29">SUM(S10:S12)</f>
        <v>104</v>
      </c>
      <c r="T37" s="16">
        <f t="shared" si="29"/>
        <v>53</v>
      </c>
      <c r="U37" s="16">
        <f t="shared" si="29"/>
        <v>26</v>
      </c>
      <c r="V37" s="16">
        <f t="shared" si="29"/>
        <v>66</v>
      </c>
      <c r="W37" s="16">
        <f t="shared" si="29"/>
        <v>10</v>
      </c>
      <c r="X37" s="16">
        <f t="shared" si="29"/>
        <v>6</v>
      </c>
      <c r="Y37" s="16">
        <f t="shared" si="29"/>
        <v>25</v>
      </c>
      <c r="Z37" s="16">
        <f t="shared" si="29"/>
        <v>20</v>
      </c>
      <c r="AA37" s="16">
        <f t="shared" si="29"/>
        <v>5</v>
      </c>
      <c r="AB37" s="16">
        <f t="shared" si="29"/>
        <v>76</v>
      </c>
      <c r="AC37" s="16">
        <f t="shared" si="29"/>
        <v>1033</v>
      </c>
      <c r="AD37" s="16">
        <f t="shared" si="29"/>
        <v>0</v>
      </c>
      <c r="AE37" s="32">
        <f t="shared" si="29"/>
        <v>391</v>
      </c>
      <c r="AF37" s="32">
        <f t="shared" si="29"/>
        <v>1424</v>
      </c>
    </row>
    <row r="38" spans="2:32" ht="23.1" customHeight="1" x14ac:dyDescent="0.25">
      <c r="B38" s="46" t="s">
        <v>65</v>
      </c>
      <c r="C38" s="50">
        <v>11</v>
      </c>
      <c r="D38" s="50">
        <v>10</v>
      </c>
      <c r="E38" s="50">
        <v>7</v>
      </c>
      <c r="F38" s="50">
        <v>11</v>
      </c>
      <c r="G38" s="50">
        <v>0</v>
      </c>
      <c r="H38" s="50">
        <v>0</v>
      </c>
      <c r="I38" s="50">
        <v>12</v>
      </c>
      <c r="J38" s="50">
        <v>0</v>
      </c>
      <c r="K38" s="50">
        <v>2</v>
      </c>
      <c r="L38" s="50">
        <v>0</v>
      </c>
      <c r="M38" s="50">
        <v>35</v>
      </c>
      <c r="N38" s="50">
        <v>0</v>
      </c>
      <c r="O38" s="15">
        <f t="shared" si="0"/>
        <v>53</v>
      </c>
      <c r="P38" s="15">
        <f t="shared" si="1"/>
        <v>88</v>
      </c>
      <c r="R38" s="28" t="s">
        <v>86</v>
      </c>
      <c r="S38" s="16">
        <f t="shared" ref="S38:AF38" si="30">SUM(S13:S18)</f>
        <v>186</v>
      </c>
      <c r="T38" s="16">
        <f t="shared" si="30"/>
        <v>163</v>
      </c>
      <c r="U38" s="16">
        <f t="shared" si="30"/>
        <v>89</v>
      </c>
      <c r="V38" s="16">
        <f t="shared" si="30"/>
        <v>187</v>
      </c>
      <c r="W38" s="16">
        <f t="shared" si="30"/>
        <v>17</v>
      </c>
      <c r="X38" s="16">
        <f t="shared" si="30"/>
        <v>6</v>
      </c>
      <c r="Y38" s="16">
        <f t="shared" si="30"/>
        <v>170</v>
      </c>
      <c r="Z38" s="16">
        <f t="shared" si="30"/>
        <v>52</v>
      </c>
      <c r="AA38" s="16">
        <f t="shared" si="30"/>
        <v>18</v>
      </c>
      <c r="AB38" s="16">
        <f t="shared" si="30"/>
        <v>51</v>
      </c>
      <c r="AC38" s="16">
        <f t="shared" si="30"/>
        <v>1290</v>
      </c>
      <c r="AD38" s="16">
        <f t="shared" si="30"/>
        <v>1</v>
      </c>
      <c r="AE38" s="32">
        <f t="shared" si="30"/>
        <v>940</v>
      </c>
      <c r="AF38" s="32">
        <f t="shared" si="30"/>
        <v>2230</v>
      </c>
    </row>
    <row r="39" spans="2:32" ht="23.1" customHeight="1" x14ac:dyDescent="0.25">
      <c r="B39" s="46" t="s">
        <v>66</v>
      </c>
      <c r="C39" s="50">
        <v>12</v>
      </c>
      <c r="D39" s="50">
        <v>6</v>
      </c>
      <c r="E39" s="50">
        <v>6</v>
      </c>
      <c r="F39" s="50">
        <v>9</v>
      </c>
      <c r="G39" s="50">
        <v>0</v>
      </c>
      <c r="H39" s="50">
        <v>0</v>
      </c>
      <c r="I39" s="50">
        <v>11</v>
      </c>
      <c r="J39" s="50">
        <v>5</v>
      </c>
      <c r="K39" s="50">
        <v>2</v>
      </c>
      <c r="L39" s="50">
        <v>0</v>
      </c>
      <c r="M39" s="50">
        <v>28</v>
      </c>
      <c r="N39" s="50">
        <v>0</v>
      </c>
      <c r="O39" s="15">
        <f t="shared" si="0"/>
        <v>51</v>
      </c>
      <c r="P39" s="15">
        <f t="shared" si="1"/>
        <v>79</v>
      </c>
      <c r="R39" s="29" t="s">
        <v>87</v>
      </c>
      <c r="S39" s="16">
        <f t="shared" ref="S39:AF39" si="31">SUM(S19:S21)</f>
        <v>156</v>
      </c>
      <c r="T39" s="16">
        <f t="shared" si="31"/>
        <v>174</v>
      </c>
      <c r="U39" s="16">
        <f t="shared" si="31"/>
        <v>89</v>
      </c>
      <c r="V39" s="16">
        <f t="shared" si="31"/>
        <v>131</v>
      </c>
      <c r="W39" s="16">
        <f t="shared" si="31"/>
        <v>12</v>
      </c>
      <c r="X39" s="16">
        <f t="shared" si="31"/>
        <v>2</v>
      </c>
      <c r="Y39" s="16">
        <f t="shared" si="31"/>
        <v>65</v>
      </c>
      <c r="Z39" s="16">
        <f t="shared" si="31"/>
        <v>50</v>
      </c>
      <c r="AA39" s="16">
        <f t="shared" si="31"/>
        <v>9</v>
      </c>
      <c r="AB39" s="16">
        <f t="shared" si="31"/>
        <v>3</v>
      </c>
      <c r="AC39" s="16">
        <f t="shared" si="31"/>
        <v>806</v>
      </c>
      <c r="AD39" s="16">
        <f t="shared" si="31"/>
        <v>0</v>
      </c>
      <c r="AE39" s="32">
        <f t="shared" si="31"/>
        <v>691</v>
      </c>
      <c r="AF39" s="32">
        <f t="shared" si="31"/>
        <v>1497</v>
      </c>
    </row>
    <row r="40" spans="2:32" ht="23.1" customHeight="1" x14ac:dyDescent="0.25">
      <c r="B40" s="46" t="s">
        <v>67</v>
      </c>
      <c r="C40" s="50">
        <v>3</v>
      </c>
      <c r="D40" s="50">
        <v>6</v>
      </c>
      <c r="E40" s="50">
        <v>3</v>
      </c>
      <c r="F40" s="50">
        <v>7</v>
      </c>
      <c r="G40" s="50">
        <v>0</v>
      </c>
      <c r="H40" s="50">
        <v>0</v>
      </c>
      <c r="I40" s="50">
        <v>10</v>
      </c>
      <c r="J40" s="50">
        <v>2</v>
      </c>
      <c r="K40" s="50">
        <v>0</v>
      </c>
      <c r="L40" s="50">
        <v>1</v>
      </c>
      <c r="M40" s="50">
        <v>51</v>
      </c>
      <c r="N40" s="50">
        <v>0</v>
      </c>
      <c r="O40" s="15">
        <f t="shared" si="0"/>
        <v>32</v>
      </c>
      <c r="P40" s="15">
        <f t="shared" si="1"/>
        <v>83</v>
      </c>
      <c r="R40" s="5" t="s">
        <v>17</v>
      </c>
      <c r="S40" s="16">
        <f t="shared" ref="S40:AF40" si="32">SUM(S10:S21)</f>
        <v>446</v>
      </c>
      <c r="T40" s="16">
        <f t="shared" si="32"/>
        <v>390</v>
      </c>
      <c r="U40" s="16">
        <f t="shared" si="32"/>
        <v>204</v>
      </c>
      <c r="V40" s="16">
        <f t="shared" si="32"/>
        <v>384</v>
      </c>
      <c r="W40" s="16">
        <f t="shared" si="32"/>
        <v>39</v>
      </c>
      <c r="X40" s="16">
        <f t="shared" si="32"/>
        <v>14</v>
      </c>
      <c r="Y40" s="16">
        <f t="shared" si="32"/>
        <v>260</v>
      </c>
      <c r="Z40" s="16">
        <f t="shared" si="32"/>
        <v>122</v>
      </c>
      <c r="AA40" s="16">
        <f t="shared" si="32"/>
        <v>32</v>
      </c>
      <c r="AB40" s="16">
        <f t="shared" si="32"/>
        <v>130</v>
      </c>
      <c r="AC40" s="16">
        <f t="shared" si="32"/>
        <v>3129</v>
      </c>
      <c r="AD40" s="16">
        <f t="shared" si="32"/>
        <v>1</v>
      </c>
      <c r="AE40" s="32">
        <f t="shared" si="32"/>
        <v>2022</v>
      </c>
      <c r="AF40" s="32">
        <f t="shared" si="32"/>
        <v>5151</v>
      </c>
    </row>
    <row r="41" spans="2:32" ht="23.1" customHeight="1" x14ac:dyDescent="0.25">
      <c r="B41" s="45" t="s">
        <v>68</v>
      </c>
      <c r="C41" s="50">
        <v>5</v>
      </c>
      <c r="D41" s="50">
        <v>6</v>
      </c>
      <c r="E41" s="50">
        <v>2</v>
      </c>
      <c r="F41" s="50">
        <v>9</v>
      </c>
      <c r="G41" s="50">
        <v>0</v>
      </c>
      <c r="H41" s="50">
        <v>0</v>
      </c>
      <c r="I41" s="50">
        <v>5</v>
      </c>
      <c r="J41" s="50">
        <v>4</v>
      </c>
      <c r="K41" s="50">
        <v>1</v>
      </c>
      <c r="L41" s="50">
        <v>0</v>
      </c>
      <c r="M41" s="50">
        <v>59</v>
      </c>
      <c r="N41" s="50">
        <v>0</v>
      </c>
      <c r="O41" s="15">
        <f t="shared" si="0"/>
        <v>32</v>
      </c>
      <c r="P41" s="15">
        <f t="shared" si="1"/>
        <v>91</v>
      </c>
      <c r="R41" s="5" t="s">
        <v>159</v>
      </c>
      <c r="S41" s="16">
        <f>SUM(S10:S33)</f>
        <v>594</v>
      </c>
      <c r="T41" s="16">
        <f t="shared" ref="T41:AF41" si="33">SUM(T10:T33)</f>
        <v>513</v>
      </c>
      <c r="U41" s="16">
        <f t="shared" si="33"/>
        <v>284</v>
      </c>
      <c r="V41" s="16">
        <f t="shared" si="33"/>
        <v>553</v>
      </c>
      <c r="W41" s="16">
        <f t="shared" si="33"/>
        <v>46</v>
      </c>
      <c r="X41" s="16">
        <f t="shared" si="33"/>
        <v>14</v>
      </c>
      <c r="Y41" s="16">
        <f t="shared" si="33"/>
        <v>329</v>
      </c>
      <c r="Z41" s="16">
        <f t="shared" si="33"/>
        <v>181</v>
      </c>
      <c r="AA41" s="16">
        <f t="shared" si="33"/>
        <v>51</v>
      </c>
      <c r="AB41" s="16">
        <f t="shared" si="33"/>
        <v>136</v>
      </c>
      <c r="AC41" s="16">
        <f t="shared" si="33"/>
        <v>4294</v>
      </c>
      <c r="AD41" s="16">
        <f t="shared" si="33"/>
        <v>1</v>
      </c>
      <c r="AE41" s="32">
        <f t="shared" si="33"/>
        <v>2702</v>
      </c>
      <c r="AF41" s="32">
        <f t="shared" si="33"/>
        <v>6996</v>
      </c>
    </row>
    <row r="42" spans="2:32" ht="23.1" customHeight="1" x14ac:dyDescent="0.25">
      <c r="B42" s="46" t="s">
        <v>69</v>
      </c>
      <c r="C42" s="50">
        <v>7</v>
      </c>
      <c r="D42" s="50">
        <v>7</v>
      </c>
      <c r="E42" s="50">
        <v>8</v>
      </c>
      <c r="F42" s="50">
        <v>5</v>
      </c>
      <c r="G42" s="50">
        <v>1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51</v>
      </c>
      <c r="N42" s="50">
        <v>0</v>
      </c>
      <c r="O42" s="15">
        <f t="shared" si="0"/>
        <v>31</v>
      </c>
      <c r="P42" s="15">
        <f t="shared" si="1"/>
        <v>82</v>
      </c>
      <c r="R42" s="5" t="s">
        <v>160</v>
      </c>
      <c r="S42" s="48">
        <f>S41/S40</f>
        <v>1.3318385650224216</v>
      </c>
      <c r="T42" s="48">
        <f t="shared" ref="T42:AF42" si="34">T41/T40</f>
        <v>1.3153846153846154</v>
      </c>
      <c r="U42" s="48">
        <f t="shared" si="34"/>
        <v>1.392156862745098</v>
      </c>
      <c r="V42" s="48">
        <f t="shared" si="34"/>
        <v>1.4401041666666667</v>
      </c>
      <c r="W42" s="48">
        <f t="shared" si="34"/>
        <v>1.1794871794871795</v>
      </c>
      <c r="X42" s="48">
        <f t="shared" si="34"/>
        <v>1</v>
      </c>
      <c r="Y42" s="48">
        <f t="shared" si="34"/>
        <v>1.2653846153846153</v>
      </c>
      <c r="Z42" s="48">
        <f t="shared" si="34"/>
        <v>1.4836065573770492</v>
      </c>
      <c r="AA42" s="48">
        <f t="shared" si="34"/>
        <v>1.59375</v>
      </c>
      <c r="AB42" s="48">
        <f t="shared" si="34"/>
        <v>1.0461538461538462</v>
      </c>
      <c r="AC42" s="48">
        <f t="shared" si="34"/>
        <v>1.3723234260147013</v>
      </c>
      <c r="AD42" s="48">
        <f t="shared" si="34"/>
        <v>1</v>
      </c>
      <c r="AE42" s="48">
        <f t="shared" si="34"/>
        <v>1.3363006923837784</v>
      </c>
      <c r="AF42" s="48">
        <f t="shared" si="34"/>
        <v>1.3581828771112405</v>
      </c>
    </row>
    <row r="43" spans="2:32" ht="23.1" customHeight="1" x14ac:dyDescent="0.25">
      <c r="B43" s="45" t="s">
        <v>70</v>
      </c>
      <c r="C43" s="50">
        <v>5</v>
      </c>
      <c r="D43" s="50">
        <v>4</v>
      </c>
      <c r="E43" s="50">
        <v>4</v>
      </c>
      <c r="F43" s="50">
        <v>7</v>
      </c>
      <c r="G43" s="50">
        <v>1</v>
      </c>
      <c r="H43" s="50">
        <v>0</v>
      </c>
      <c r="I43" s="50">
        <v>6</v>
      </c>
      <c r="J43" s="50">
        <v>3</v>
      </c>
      <c r="K43" s="50">
        <v>0</v>
      </c>
      <c r="L43" s="50">
        <v>0</v>
      </c>
      <c r="M43" s="50">
        <v>82</v>
      </c>
      <c r="N43" s="50">
        <v>0</v>
      </c>
      <c r="O43" s="15">
        <f t="shared" si="0"/>
        <v>30</v>
      </c>
      <c r="P43" s="15">
        <f t="shared" si="1"/>
        <v>112</v>
      </c>
    </row>
    <row r="44" spans="2:32" ht="23.1" customHeight="1" x14ac:dyDescent="0.25">
      <c r="B44" s="47" t="s">
        <v>71</v>
      </c>
      <c r="C44" s="50">
        <v>5</v>
      </c>
      <c r="D44" s="50">
        <v>11</v>
      </c>
      <c r="E44" s="50">
        <v>0</v>
      </c>
      <c r="F44" s="50">
        <v>9</v>
      </c>
      <c r="G44" s="50">
        <v>1</v>
      </c>
      <c r="H44" s="50">
        <v>0</v>
      </c>
      <c r="I44" s="50">
        <v>9</v>
      </c>
      <c r="J44" s="50">
        <v>5</v>
      </c>
      <c r="K44" s="50">
        <v>2</v>
      </c>
      <c r="L44" s="50">
        <v>0</v>
      </c>
      <c r="M44" s="50">
        <v>74</v>
      </c>
      <c r="N44" s="50">
        <v>0</v>
      </c>
      <c r="O44" s="15">
        <f t="shared" si="0"/>
        <v>42</v>
      </c>
      <c r="P44" s="15">
        <f t="shared" si="1"/>
        <v>116</v>
      </c>
    </row>
    <row r="45" spans="2:32" ht="23.1" customHeight="1" x14ac:dyDescent="0.25">
      <c r="B45" s="45" t="s">
        <v>72</v>
      </c>
      <c r="C45" s="50">
        <v>11</v>
      </c>
      <c r="D45" s="50">
        <v>12</v>
      </c>
      <c r="E45" s="50">
        <v>3</v>
      </c>
      <c r="F45" s="50">
        <v>8</v>
      </c>
      <c r="G45" s="50">
        <v>0</v>
      </c>
      <c r="H45" s="50">
        <v>0</v>
      </c>
      <c r="I45" s="50">
        <v>5</v>
      </c>
      <c r="J45" s="50">
        <v>2</v>
      </c>
      <c r="K45" s="50">
        <v>0</v>
      </c>
      <c r="L45" s="50">
        <v>0</v>
      </c>
      <c r="M45" s="50">
        <v>85</v>
      </c>
      <c r="N45" s="50">
        <v>0</v>
      </c>
      <c r="O45" s="15">
        <f t="shared" si="0"/>
        <v>41</v>
      </c>
      <c r="P45" s="15">
        <f t="shared" si="1"/>
        <v>126</v>
      </c>
    </row>
    <row r="46" spans="2:32" ht="23.1" customHeight="1" x14ac:dyDescent="0.25">
      <c r="B46" s="46" t="s">
        <v>73</v>
      </c>
      <c r="C46" s="50">
        <v>12</v>
      </c>
      <c r="D46" s="50">
        <v>8</v>
      </c>
      <c r="E46" s="50">
        <v>3</v>
      </c>
      <c r="F46" s="50">
        <v>14</v>
      </c>
      <c r="G46" s="50">
        <v>1</v>
      </c>
      <c r="H46" s="50">
        <v>0</v>
      </c>
      <c r="I46" s="50">
        <v>4</v>
      </c>
      <c r="J46" s="50">
        <v>7</v>
      </c>
      <c r="K46" s="50">
        <v>2</v>
      </c>
      <c r="L46" s="50">
        <v>1</v>
      </c>
      <c r="M46" s="50">
        <v>49</v>
      </c>
      <c r="N46" s="50">
        <v>0</v>
      </c>
      <c r="O46" s="15">
        <f t="shared" si="0"/>
        <v>52</v>
      </c>
      <c r="P46" s="15">
        <f t="shared" si="1"/>
        <v>101</v>
      </c>
      <c r="R46" s="8"/>
      <c r="T46"/>
    </row>
    <row r="47" spans="2:32" ht="23.1" customHeight="1" x14ac:dyDescent="0.25">
      <c r="B47" s="46" t="s">
        <v>74</v>
      </c>
      <c r="C47" s="50">
        <v>19</v>
      </c>
      <c r="D47" s="50">
        <v>16</v>
      </c>
      <c r="E47" s="50">
        <v>14</v>
      </c>
      <c r="F47" s="50">
        <v>20</v>
      </c>
      <c r="G47" s="50">
        <v>1</v>
      </c>
      <c r="H47" s="50">
        <v>0</v>
      </c>
      <c r="I47" s="50">
        <v>5</v>
      </c>
      <c r="J47" s="50">
        <v>3</v>
      </c>
      <c r="K47" s="50">
        <v>0</v>
      </c>
      <c r="L47" s="50">
        <v>0</v>
      </c>
      <c r="M47" s="50">
        <v>62</v>
      </c>
      <c r="N47" s="50">
        <v>0</v>
      </c>
      <c r="O47" s="15">
        <f t="shared" si="0"/>
        <v>78</v>
      </c>
      <c r="P47" s="15">
        <f t="shared" si="1"/>
        <v>140</v>
      </c>
      <c r="R47" s="8"/>
      <c r="T47"/>
    </row>
    <row r="48" spans="2:32" ht="23.1" customHeight="1" x14ac:dyDescent="0.25">
      <c r="B48" s="46" t="s">
        <v>75</v>
      </c>
      <c r="C48" s="50">
        <v>10</v>
      </c>
      <c r="D48" s="50">
        <v>7</v>
      </c>
      <c r="E48" s="50">
        <v>7</v>
      </c>
      <c r="F48" s="50">
        <v>9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73</v>
      </c>
      <c r="N48" s="50">
        <v>0</v>
      </c>
      <c r="O48" s="15">
        <f t="shared" si="0"/>
        <v>36</v>
      </c>
      <c r="P48" s="15">
        <f t="shared" si="1"/>
        <v>109</v>
      </c>
      <c r="R48" s="8"/>
      <c r="T48"/>
    </row>
    <row r="49" spans="2:20" ht="23.1" customHeight="1" x14ac:dyDescent="0.25">
      <c r="B49" s="45" t="s">
        <v>76</v>
      </c>
      <c r="C49" s="50">
        <v>14</v>
      </c>
      <c r="D49" s="50">
        <v>13</v>
      </c>
      <c r="E49" s="50">
        <v>5</v>
      </c>
      <c r="F49" s="50">
        <v>8</v>
      </c>
      <c r="G49" s="50">
        <v>4</v>
      </c>
      <c r="H49" s="50">
        <v>0</v>
      </c>
      <c r="I49" s="50">
        <v>9</v>
      </c>
      <c r="J49" s="50">
        <v>3</v>
      </c>
      <c r="K49" s="50">
        <v>0</v>
      </c>
      <c r="L49" s="50">
        <v>1</v>
      </c>
      <c r="M49" s="50">
        <v>76</v>
      </c>
      <c r="N49" s="50">
        <v>0</v>
      </c>
      <c r="O49" s="15">
        <f t="shared" si="0"/>
        <v>57</v>
      </c>
      <c r="P49" s="15">
        <f t="shared" si="1"/>
        <v>133</v>
      </c>
      <c r="R49" s="8"/>
      <c r="T49"/>
    </row>
    <row r="50" spans="2:20" ht="23.1" customHeight="1" x14ac:dyDescent="0.25">
      <c r="B50" s="46" t="s">
        <v>77</v>
      </c>
      <c r="C50" s="50">
        <v>9</v>
      </c>
      <c r="D50" s="50">
        <v>13</v>
      </c>
      <c r="E50" s="50">
        <v>7</v>
      </c>
      <c r="F50" s="50">
        <v>14</v>
      </c>
      <c r="G50" s="50">
        <v>0</v>
      </c>
      <c r="H50" s="50">
        <v>0</v>
      </c>
      <c r="I50" s="50">
        <v>3</v>
      </c>
      <c r="J50" s="50">
        <v>11</v>
      </c>
      <c r="K50" s="50">
        <v>1</v>
      </c>
      <c r="L50" s="50">
        <v>0</v>
      </c>
      <c r="M50" s="50">
        <v>96</v>
      </c>
      <c r="N50" s="50">
        <v>0</v>
      </c>
      <c r="O50" s="15">
        <f t="shared" si="0"/>
        <v>58</v>
      </c>
      <c r="P50" s="15">
        <f t="shared" si="1"/>
        <v>154</v>
      </c>
      <c r="R50" s="8"/>
      <c r="T50"/>
    </row>
    <row r="51" spans="2:20" ht="23.1" customHeight="1" x14ac:dyDescent="0.25">
      <c r="B51" s="46" t="s">
        <v>78</v>
      </c>
      <c r="C51" s="50">
        <v>14</v>
      </c>
      <c r="D51" s="50">
        <v>14</v>
      </c>
      <c r="E51" s="50">
        <v>8</v>
      </c>
      <c r="F51" s="50">
        <v>6</v>
      </c>
      <c r="G51" s="50">
        <v>0</v>
      </c>
      <c r="H51" s="50">
        <v>0</v>
      </c>
      <c r="I51" s="50">
        <v>6</v>
      </c>
      <c r="J51" s="50">
        <v>4</v>
      </c>
      <c r="K51" s="50">
        <v>2</v>
      </c>
      <c r="L51" s="50">
        <v>0</v>
      </c>
      <c r="M51" s="50">
        <v>74</v>
      </c>
      <c r="N51" s="50">
        <v>0</v>
      </c>
      <c r="O51" s="15">
        <f t="shared" si="0"/>
        <v>54</v>
      </c>
      <c r="P51" s="15">
        <f t="shared" si="1"/>
        <v>128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22</v>
      </c>
      <c r="E52" s="50">
        <v>7</v>
      </c>
      <c r="F52" s="50">
        <v>5</v>
      </c>
      <c r="G52" s="50">
        <v>4</v>
      </c>
      <c r="H52" s="50">
        <v>0</v>
      </c>
      <c r="I52" s="50">
        <v>5</v>
      </c>
      <c r="J52" s="50">
        <v>3</v>
      </c>
      <c r="K52" s="50">
        <v>2</v>
      </c>
      <c r="L52" s="50">
        <v>1</v>
      </c>
      <c r="M52" s="50">
        <v>82</v>
      </c>
      <c r="N52" s="50">
        <v>0</v>
      </c>
      <c r="O52" s="15">
        <f t="shared" si="0"/>
        <v>55</v>
      </c>
      <c r="P52" s="15">
        <f t="shared" si="1"/>
        <v>137</v>
      </c>
      <c r="R52" s="8"/>
      <c r="T52"/>
    </row>
    <row r="53" spans="2:20" ht="23.1" customHeight="1" x14ac:dyDescent="0.25">
      <c r="B53" s="45" t="s">
        <v>80</v>
      </c>
      <c r="C53" s="50">
        <v>18</v>
      </c>
      <c r="D53" s="50">
        <v>17</v>
      </c>
      <c r="E53" s="50">
        <v>9</v>
      </c>
      <c r="F53" s="50">
        <v>14</v>
      </c>
      <c r="G53" s="50">
        <v>2</v>
      </c>
      <c r="H53" s="50">
        <v>2</v>
      </c>
      <c r="I53" s="50">
        <v>7</v>
      </c>
      <c r="J53" s="50">
        <v>2</v>
      </c>
      <c r="K53" s="50">
        <v>1</v>
      </c>
      <c r="L53" s="50">
        <v>0</v>
      </c>
      <c r="M53" s="50">
        <v>50</v>
      </c>
      <c r="N53" s="50">
        <v>0</v>
      </c>
      <c r="O53" s="15">
        <f t="shared" si="0"/>
        <v>72</v>
      </c>
      <c r="P53" s="15">
        <f t="shared" si="1"/>
        <v>122</v>
      </c>
      <c r="R53" s="8"/>
      <c r="T53"/>
    </row>
    <row r="54" spans="2:20" ht="23.1" customHeight="1" x14ac:dyDescent="0.25">
      <c r="B54" s="45" t="s">
        <v>81</v>
      </c>
      <c r="C54" s="50">
        <v>8</v>
      </c>
      <c r="D54" s="50">
        <v>11</v>
      </c>
      <c r="E54" s="50">
        <v>8</v>
      </c>
      <c r="F54" s="50">
        <v>12</v>
      </c>
      <c r="G54" s="50">
        <v>0</v>
      </c>
      <c r="H54" s="50">
        <v>0</v>
      </c>
      <c r="I54" s="50">
        <v>5</v>
      </c>
      <c r="J54" s="50">
        <v>5</v>
      </c>
      <c r="K54" s="50">
        <v>1</v>
      </c>
      <c r="L54" s="50">
        <v>0</v>
      </c>
      <c r="M54" s="50">
        <v>49</v>
      </c>
      <c r="N54" s="50">
        <v>0</v>
      </c>
      <c r="O54" s="15">
        <f t="shared" si="0"/>
        <v>50</v>
      </c>
      <c r="P54" s="15">
        <f t="shared" si="1"/>
        <v>99</v>
      </c>
      <c r="R54" s="8"/>
      <c r="T54"/>
    </row>
    <row r="55" spans="2:20" ht="23.1" customHeight="1" x14ac:dyDescent="0.25">
      <c r="B55" s="45" t="s">
        <v>82</v>
      </c>
      <c r="C55" s="50">
        <v>20</v>
      </c>
      <c r="D55" s="50">
        <v>18</v>
      </c>
      <c r="E55" s="50">
        <v>4</v>
      </c>
      <c r="F55" s="50">
        <v>9</v>
      </c>
      <c r="G55" s="50">
        <v>0</v>
      </c>
      <c r="H55" s="50">
        <v>0</v>
      </c>
      <c r="I55" s="50">
        <v>3</v>
      </c>
      <c r="J55" s="50">
        <v>4</v>
      </c>
      <c r="K55" s="50">
        <v>0</v>
      </c>
      <c r="L55" s="50">
        <v>0</v>
      </c>
      <c r="M55" s="50">
        <v>60</v>
      </c>
      <c r="N55" s="50">
        <v>0</v>
      </c>
      <c r="O55" s="15">
        <f t="shared" si="0"/>
        <v>58</v>
      </c>
      <c r="P55" s="15">
        <f t="shared" si="1"/>
        <v>118</v>
      </c>
      <c r="R55" s="8"/>
      <c r="T55"/>
    </row>
    <row r="56" spans="2:20" ht="23.1" customHeight="1" x14ac:dyDescent="0.25">
      <c r="B56" s="45" t="s">
        <v>83</v>
      </c>
      <c r="C56" s="50">
        <v>14</v>
      </c>
      <c r="D56" s="50">
        <v>20</v>
      </c>
      <c r="E56" s="50">
        <v>5</v>
      </c>
      <c r="F56" s="50">
        <v>10</v>
      </c>
      <c r="G56" s="50">
        <v>0</v>
      </c>
      <c r="H56" s="50">
        <v>0</v>
      </c>
      <c r="I56" s="50">
        <v>4</v>
      </c>
      <c r="J56" s="50">
        <v>3</v>
      </c>
      <c r="K56" s="50">
        <v>0</v>
      </c>
      <c r="L56" s="50">
        <v>0</v>
      </c>
      <c r="M56" s="50">
        <v>84</v>
      </c>
      <c r="N56" s="50">
        <v>0</v>
      </c>
      <c r="O56" s="15">
        <f t="shared" si="0"/>
        <v>56</v>
      </c>
      <c r="P56" s="15">
        <f t="shared" si="1"/>
        <v>140</v>
      </c>
      <c r="R56" s="8"/>
      <c r="T56"/>
    </row>
    <row r="57" spans="2:20" ht="23.1" customHeight="1" x14ac:dyDescent="0.25">
      <c r="B57" s="45" t="s">
        <v>84</v>
      </c>
      <c r="C57" s="50">
        <v>12</v>
      </c>
      <c r="D57" s="50">
        <v>15</v>
      </c>
      <c r="E57" s="50">
        <v>12</v>
      </c>
      <c r="F57" s="50">
        <v>10</v>
      </c>
      <c r="G57" s="50">
        <v>0</v>
      </c>
      <c r="H57" s="50">
        <v>0</v>
      </c>
      <c r="I57" s="50">
        <v>11</v>
      </c>
      <c r="J57" s="50">
        <v>5</v>
      </c>
      <c r="K57" s="50">
        <v>0</v>
      </c>
      <c r="L57" s="50">
        <v>0</v>
      </c>
      <c r="M57" s="50">
        <v>51</v>
      </c>
      <c r="N57" s="50">
        <v>0</v>
      </c>
      <c r="O57" s="15">
        <f t="shared" si="0"/>
        <v>65</v>
      </c>
      <c r="P57" s="15">
        <f t="shared" si="1"/>
        <v>116</v>
      </c>
      <c r="R57" s="8"/>
      <c r="T57"/>
    </row>
    <row r="58" spans="2:20" ht="23.1" customHeight="1" x14ac:dyDescent="0.25">
      <c r="B58" s="45" t="s">
        <v>99</v>
      </c>
      <c r="C58" s="50">
        <v>10</v>
      </c>
      <c r="D58" s="50">
        <v>8</v>
      </c>
      <c r="E58" s="50">
        <v>5</v>
      </c>
      <c r="F58" s="50">
        <v>7</v>
      </c>
      <c r="G58" s="50">
        <v>0</v>
      </c>
      <c r="H58" s="50">
        <v>0</v>
      </c>
      <c r="I58" s="50">
        <v>11</v>
      </c>
      <c r="J58" s="50">
        <v>7</v>
      </c>
      <c r="K58" s="50">
        <v>3</v>
      </c>
      <c r="L58" s="50">
        <v>1</v>
      </c>
      <c r="M58" s="50">
        <v>68</v>
      </c>
      <c r="N58" s="50">
        <v>0</v>
      </c>
      <c r="O58" s="15">
        <f t="shared" ref="O58:O105" si="35">SUM(C58:L58,N58)</f>
        <v>52</v>
      </c>
      <c r="P58" s="15">
        <f t="shared" ref="P58:P105" si="36">SUM(C58:N58)</f>
        <v>120</v>
      </c>
      <c r="R58" s="8"/>
      <c r="T58"/>
    </row>
    <row r="59" spans="2:20" ht="23.1" customHeight="1" x14ac:dyDescent="0.25">
      <c r="B59" s="45" t="s">
        <v>100</v>
      </c>
      <c r="C59" s="50">
        <v>6</v>
      </c>
      <c r="D59" s="50">
        <v>9</v>
      </c>
      <c r="E59" s="50">
        <v>3</v>
      </c>
      <c r="F59" s="50">
        <v>11</v>
      </c>
      <c r="G59" s="50">
        <v>0</v>
      </c>
      <c r="H59" s="50">
        <v>0</v>
      </c>
      <c r="I59" s="50">
        <v>3</v>
      </c>
      <c r="J59" s="50">
        <v>0</v>
      </c>
      <c r="K59" s="50">
        <v>2</v>
      </c>
      <c r="L59" s="50">
        <v>0</v>
      </c>
      <c r="M59" s="50">
        <v>87</v>
      </c>
      <c r="N59" s="50">
        <v>0</v>
      </c>
      <c r="O59" s="15">
        <f t="shared" si="35"/>
        <v>34</v>
      </c>
      <c r="P59" s="15">
        <f t="shared" si="36"/>
        <v>121</v>
      </c>
      <c r="R59" s="8"/>
      <c r="T59"/>
    </row>
    <row r="60" spans="2:20" ht="23.1" customHeight="1" x14ac:dyDescent="0.25">
      <c r="B60" s="45" t="s">
        <v>101</v>
      </c>
      <c r="C60" s="50">
        <v>8</v>
      </c>
      <c r="D60" s="50">
        <v>12</v>
      </c>
      <c r="E60" s="50">
        <v>11</v>
      </c>
      <c r="F60" s="50">
        <v>4</v>
      </c>
      <c r="G60" s="50">
        <v>1</v>
      </c>
      <c r="H60" s="50">
        <v>0</v>
      </c>
      <c r="I60" s="50">
        <v>0</v>
      </c>
      <c r="J60" s="50">
        <v>4</v>
      </c>
      <c r="K60" s="50">
        <v>1</v>
      </c>
      <c r="L60" s="50">
        <v>0</v>
      </c>
      <c r="M60" s="50">
        <v>61</v>
      </c>
      <c r="N60" s="50">
        <v>0</v>
      </c>
      <c r="O60" s="15">
        <f t="shared" si="35"/>
        <v>41</v>
      </c>
      <c r="P60" s="15">
        <f t="shared" si="36"/>
        <v>102</v>
      </c>
      <c r="R60" s="8"/>
      <c r="T60"/>
    </row>
    <row r="61" spans="2:20" ht="23.1" customHeight="1" x14ac:dyDescent="0.25">
      <c r="B61" s="45" t="s">
        <v>102</v>
      </c>
      <c r="C61" s="50">
        <v>10</v>
      </c>
      <c r="D61" s="50">
        <v>8</v>
      </c>
      <c r="E61" s="50">
        <v>1</v>
      </c>
      <c r="F61" s="50">
        <v>7</v>
      </c>
      <c r="G61" s="50">
        <v>0</v>
      </c>
      <c r="H61" s="50">
        <v>0</v>
      </c>
      <c r="I61" s="50">
        <v>1</v>
      </c>
      <c r="J61" s="50">
        <v>3</v>
      </c>
      <c r="K61" s="50">
        <v>0</v>
      </c>
      <c r="L61" s="50">
        <v>1</v>
      </c>
      <c r="M61" s="50">
        <v>38</v>
      </c>
      <c r="N61" s="50">
        <v>0</v>
      </c>
      <c r="O61" s="15">
        <f t="shared" si="35"/>
        <v>31</v>
      </c>
      <c r="P61" s="15">
        <f t="shared" si="36"/>
        <v>69</v>
      </c>
      <c r="R61" s="8"/>
      <c r="T61"/>
    </row>
    <row r="62" spans="2:20" ht="23.1" customHeight="1" x14ac:dyDescent="0.25">
      <c r="B62" s="45" t="s">
        <v>107</v>
      </c>
      <c r="C62" s="50">
        <v>12</v>
      </c>
      <c r="D62" s="50">
        <v>6</v>
      </c>
      <c r="E62" s="50">
        <v>6</v>
      </c>
      <c r="F62" s="50">
        <v>7</v>
      </c>
      <c r="G62" s="50">
        <v>0</v>
      </c>
      <c r="H62" s="50">
        <v>0</v>
      </c>
      <c r="I62" s="50">
        <v>4</v>
      </c>
      <c r="J62" s="50">
        <v>5</v>
      </c>
      <c r="K62" s="50">
        <v>0</v>
      </c>
      <c r="L62" s="50">
        <v>0</v>
      </c>
      <c r="M62" s="50">
        <v>51</v>
      </c>
      <c r="N62" s="50">
        <v>0</v>
      </c>
      <c r="O62" s="15">
        <f t="shared" si="35"/>
        <v>40</v>
      </c>
      <c r="P62" s="15">
        <f t="shared" si="36"/>
        <v>91</v>
      </c>
      <c r="R62" s="8"/>
      <c r="T62"/>
    </row>
    <row r="63" spans="2:20" ht="23.1" customHeight="1" x14ac:dyDescent="0.25">
      <c r="B63" s="45" t="s">
        <v>108</v>
      </c>
      <c r="C63" s="50">
        <v>10</v>
      </c>
      <c r="D63" s="50">
        <v>9</v>
      </c>
      <c r="E63" s="50">
        <v>2</v>
      </c>
      <c r="F63" s="50">
        <v>5</v>
      </c>
      <c r="G63" s="50">
        <v>1</v>
      </c>
      <c r="H63" s="50">
        <v>0</v>
      </c>
      <c r="I63" s="50">
        <v>4</v>
      </c>
      <c r="J63" s="50">
        <v>2</v>
      </c>
      <c r="K63" s="50">
        <v>0</v>
      </c>
      <c r="L63" s="50">
        <v>0</v>
      </c>
      <c r="M63" s="50">
        <v>66</v>
      </c>
      <c r="N63" s="50">
        <v>0</v>
      </c>
      <c r="O63" s="15">
        <f t="shared" si="35"/>
        <v>33</v>
      </c>
      <c r="P63" s="15">
        <f t="shared" si="36"/>
        <v>99</v>
      </c>
      <c r="R63" s="8"/>
      <c r="T63"/>
    </row>
    <row r="64" spans="2:20" ht="23.1" customHeight="1" x14ac:dyDescent="0.25">
      <c r="B64" s="45" t="s">
        <v>109</v>
      </c>
      <c r="C64" s="50">
        <v>6</v>
      </c>
      <c r="D64" s="50">
        <v>1</v>
      </c>
      <c r="E64" s="50">
        <v>5</v>
      </c>
      <c r="F64" s="50">
        <v>5</v>
      </c>
      <c r="G64" s="50">
        <v>1</v>
      </c>
      <c r="H64" s="50">
        <v>0</v>
      </c>
      <c r="I64" s="50">
        <v>1</v>
      </c>
      <c r="J64" s="50">
        <v>2</v>
      </c>
      <c r="K64" s="50">
        <v>0</v>
      </c>
      <c r="L64" s="50">
        <v>0</v>
      </c>
      <c r="M64" s="50">
        <v>42</v>
      </c>
      <c r="N64" s="50">
        <v>0</v>
      </c>
      <c r="O64" s="15">
        <f t="shared" si="35"/>
        <v>21</v>
      </c>
      <c r="P64" s="15">
        <f t="shared" si="36"/>
        <v>63</v>
      </c>
      <c r="R64" s="8"/>
      <c r="T64"/>
    </row>
    <row r="65" spans="2:20" ht="23.1" customHeight="1" x14ac:dyDescent="0.25">
      <c r="B65" s="45" t="s">
        <v>158</v>
      </c>
      <c r="C65" s="50">
        <v>10</v>
      </c>
      <c r="D65" s="50">
        <v>5</v>
      </c>
      <c r="E65" s="50">
        <v>4</v>
      </c>
      <c r="F65" s="50">
        <v>7</v>
      </c>
      <c r="G65" s="50">
        <v>0</v>
      </c>
      <c r="H65" s="50">
        <v>0</v>
      </c>
      <c r="I65" s="50">
        <v>8</v>
      </c>
      <c r="J65" s="50">
        <v>1</v>
      </c>
      <c r="K65" s="50">
        <v>2</v>
      </c>
      <c r="L65" s="50">
        <v>0</v>
      </c>
      <c r="M65" s="50">
        <v>74</v>
      </c>
      <c r="N65" s="50">
        <v>0</v>
      </c>
      <c r="O65" s="15">
        <f t="shared" si="35"/>
        <v>37</v>
      </c>
      <c r="P65" s="15">
        <f t="shared" si="36"/>
        <v>111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2</v>
      </c>
      <c r="E66" s="50">
        <v>2</v>
      </c>
      <c r="F66" s="50">
        <v>3</v>
      </c>
      <c r="G66" s="50">
        <v>1</v>
      </c>
      <c r="H66" s="50">
        <v>0</v>
      </c>
      <c r="I66" s="50">
        <v>4</v>
      </c>
      <c r="J66" s="50">
        <v>1</v>
      </c>
      <c r="K66" s="50">
        <v>2</v>
      </c>
      <c r="L66" s="50">
        <v>0</v>
      </c>
      <c r="M66" s="50">
        <v>47</v>
      </c>
      <c r="N66" s="50">
        <v>0</v>
      </c>
      <c r="O66" s="15">
        <f t="shared" si="35"/>
        <v>18</v>
      </c>
      <c r="P66" s="15">
        <f t="shared" si="36"/>
        <v>65</v>
      </c>
      <c r="R66" s="8"/>
      <c r="T66"/>
    </row>
    <row r="67" spans="2:20" ht="23.1" customHeight="1" x14ac:dyDescent="0.25">
      <c r="B67" s="45" t="s">
        <v>104</v>
      </c>
      <c r="C67" s="50">
        <v>6</v>
      </c>
      <c r="D67" s="50">
        <v>5</v>
      </c>
      <c r="E67" s="50">
        <v>3</v>
      </c>
      <c r="F67" s="50">
        <v>6</v>
      </c>
      <c r="G67" s="50">
        <v>0</v>
      </c>
      <c r="H67" s="50">
        <v>0</v>
      </c>
      <c r="I67" s="50">
        <v>2</v>
      </c>
      <c r="J67" s="50">
        <v>5</v>
      </c>
      <c r="K67" s="50">
        <v>1</v>
      </c>
      <c r="L67" s="50">
        <v>0</v>
      </c>
      <c r="M67" s="50">
        <v>28</v>
      </c>
      <c r="N67" s="50">
        <v>0</v>
      </c>
      <c r="O67" s="15">
        <f t="shared" si="35"/>
        <v>28</v>
      </c>
      <c r="P67" s="15">
        <f t="shared" si="36"/>
        <v>56</v>
      </c>
      <c r="R67" s="8"/>
      <c r="T67"/>
    </row>
    <row r="68" spans="2:20" ht="23.1" customHeight="1" x14ac:dyDescent="0.25">
      <c r="B68" s="45" t="s">
        <v>105</v>
      </c>
      <c r="C68" s="50">
        <v>6</v>
      </c>
      <c r="D68" s="50">
        <v>4</v>
      </c>
      <c r="E68" s="50">
        <v>8</v>
      </c>
      <c r="F68" s="50">
        <v>6</v>
      </c>
      <c r="G68" s="50">
        <v>0</v>
      </c>
      <c r="H68" s="50">
        <v>0</v>
      </c>
      <c r="I68" s="50">
        <v>2</v>
      </c>
      <c r="J68" s="50">
        <v>3</v>
      </c>
      <c r="K68" s="50">
        <v>2</v>
      </c>
      <c r="L68" s="50">
        <v>0</v>
      </c>
      <c r="M68" s="50">
        <v>22</v>
      </c>
      <c r="N68" s="50">
        <v>0</v>
      </c>
      <c r="O68" s="15">
        <f t="shared" si="35"/>
        <v>31</v>
      </c>
      <c r="P68" s="15">
        <f t="shared" si="36"/>
        <v>53</v>
      </c>
      <c r="R68" s="8"/>
      <c r="T68"/>
    </row>
    <row r="69" spans="2:20" ht="23.1" customHeight="1" x14ac:dyDescent="0.25">
      <c r="B69" s="45" t="s">
        <v>106</v>
      </c>
      <c r="C69" s="50">
        <v>6</v>
      </c>
      <c r="D69" s="50">
        <v>3</v>
      </c>
      <c r="E69" s="50">
        <v>3</v>
      </c>
      <c r="F69" s="50">
        <v>4</v>
      </c>
      <c r="G69" s="50">
        <v>0</v>
      </c>
      <c r="H69" s="50">
        <v>0</v>
      </c>
      <c r="I69" s="50">
        <v>1</v>
      </c>
      <c r="J69" s="50">
        <v>1</v>
      </c>
      <c r="K69" s="50">
        <v>0</v>
      </c>
      <c r="L69" s="50">
        <v>0</v>
      </c>
      <c r="M69" s="50">
        <v>39</v>
      </c>
      <c r="N69" s="50">
        <v>0</v>
      </c>
      <c r="O69" s="15">
        <f t="shared" si="35"/>
        <v>18</v>
      </c>
      <c r="P69" s="15">
        <f t="shared" si="36"/>
        <v>57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1</v>
      </c>
      <c r="E70" s="50">
        <v>1</v>
      </c>
      <c r="F70" s="50">
        <v>5</v>
      </c>
      <c r="G70" s="50">
        <v>0</v>
      </c>
      <c r="H70" s="50">
        <v>0</v>
      </c>
      <c r="I70" s="50">
        <v>3</v>
      </c>
      <c r="J70" s="50">
        <v>4</v>
      </c>
      <c r="K70" s="50">
        <v>0</v>
      </c>
      <c r="L70" s="50">
        <v>0</v>
      </c>
      <c r="M70" s="50">
        <v>33</v>
      </c>
      <c r="N70" s="50">
        <v>0</v>
      </c>
      <c r="O70" s="15">
        <f t="shared" si="35"/>
        <v>15</v>
      </c>
      <c r="P70" s="15">
        <f t="shared" si="36"/>
        <v>48</v>
      </c>
      <c r="R70" s="8"/>
      <c r="T70"/>
    </row>
    <row r="71" spans="2:20" ht="23.1" customHeight="1" x14ac:dyDescent="0.25">
      <c r="B71" s="45" t="s">
        <v>111</v>
      </c>
      <c r="C71" s="50">
        <v>3</v>
      </c>
      <c r="D71" s="50">
        <v>5</v>
      </c>
      <c r="E71" s="50">
        <v>1</v>
      </c>
      <c r="F71" s="50">
        <v>3</v>
      </c>
      <c r="G71" s="50">
        <v>0</v>
      </c>
      <c r="H71" s="50">
        <v>0</v>
      </c>
      <c r="I71" s="50">
        <v>6</v>
      </c>
      <c r="J71" s="50">
        <v>4</v>
      </c>
      <c r="K71" s="50">
        <v>0</v>
      </c>
      <c r="L71" s="50">
        <v>0</v>
      </c>
      <c r="M71" s="50">
        <v>29</v>
      </c>
      <c r="N71" s="50">
        <v>0</v>
      </c>
      <c r="O71" s="15">
        <f t="shared" si="35"/>
        <v>22</v>
      </c>
      <c r="P71" s="15">
        <f t="shared" si="36"/>
        <v>51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5</v>
      </c>
      <c r="E72" s="50">
        <v>2</v>
      </c>
      <c r="F72" s="50">
        <v>0</v>
      </c>
      <c r="G72" s="50">
        <v>0</v>
      </c>
      <c r="H72" s="50">
        <v>0</v>
      </c>
      <c r="I72" s="50">
        <v>2</v>
      </c>
      <c r="J72" s="50">
        <v>1</v>
      </c>
      <c r="K72" s="50">
        <v>2</v>
      </c>
      <c r="L72" s="50">
        <v>0</v>
      </c>
      <c r="M72" s="50">
        <v>31</v>
      </c>
      <c r="N72" s="50">
        <v>0</v>
      </c>
      <c r="O72" s="15">
        <f t="shared" si="35"/>
        <v>14</v>
      </c>
      <c r="P72" s="15">
        <f t="shared" si="36"/>
        <v>45</v>
      </c>
      <c r="R72" s="8"/>
      <c r="T72"/>
    </row>
    <row r="73" spans="2:20" ht="23.1" customHeight="1" x14ac:dyDescent="0.25">
      <c r="B73" s="45" t="s">
        <v>113</v>
      </c>
      <c r="C73" s="50">
        <v>5</v>
      </c>
      <c r="D73" s="50">
        <v>5</v>
      </c>
      <c r="E73" s="50">
        <v>1</v>
      </c>
      <c r="F73" s="50">
        <v>5</v>
      </c>
      <c r="G73" s="50">
        <v>0</v>
      </c>
      <c r="H73" s="50">
        <v>0</v>
      </c>
      <c r="I73" s="50">
        <v>1</v>
      </c>
      <c r="J73" s="50">
        <v>1</v>
      </c>
      <c r="K73" s="50">
        <v>1</v>
      </c>
      <c r="L73" s="50">
        <v>0</v>
      </c>
      <c r="M73" s="50">
        <v>26</v>
      </c>
      <c r="N73" s="50">
        <v>0</v>
      </c>
      <c r="O73" s="15">
        <f t="shared" si="35"/>
        <v>19</v>
      </c>
      <c r="P73" s="15">
        <f t="shared" si="36"/>
        <v>45</v>
      </c>
      <c r="R73" s="8"/>
      <c r="T73"/>
    </row>
    <row r="74" spans="2:20" ht="23.1" customHeight="1" x14ac:dyDescent="0.25">
      <c r="B74" s="45" t="s">
        <v>114</v>
      </c>
      <c r="C74" s="50">
        <v>5</v>
      </c>
      <c r="D74" s="50">
        <v>4</v>
      </c>
      <c r="E74" s="50">
        <v>1</v>
      </c>
      <c r="F74" s="50">
        <v>4</v>
      </c>
      <c r="G74" s="50">
        <v>1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24</v>
      </c>
      <c r="N74" s="50">
        <v>0</v>
      </c>
      <c r="O74" s="15">
        <f t="shared" si="35"/>
        <v>17</v>
      </c>
      <c r="P74" s="15">
        <f t="shared" si="36"/>
        <v>41</v>
      </c>
      <c r="R74" s="8"/>
      <c r="T74"/>
    </row>
    <row r="75" spans="2:20" ht="23.1" customHeight="1" x14ac:dyDescent="0.25">
      <c r="B75" s="45" t="s">
        <v>115</v>
      </c>
      <c r="C75" s="50">
        <v>4</v>
      </c>
      <c r="D75" s="50">
        <v>2</v>
      </c>
      <c r="E75" s="50">
        <v>3</v>
      </c>
      <c r="F75" s="50">
        <v>0</v>
      </c>
      <c r="G75" s="50">
        <v>1</v>
      </c>
      <c r="H75" s="50">
        <v>0</v>
      </c>
      <c r="I75" s="50">
        <v>2</v>
      </c>
      <c r="J75" s="50">
        <v>0</v>
      </c>
      <c r="K75" s="50">
        <v>1</v>
      </c>
      <c r="L75" s="50">
        <v>0</v>
      </c>
      <c r="M75" s="50">
        <v>17</v>
      </c>
      <c r="N75" s="50">
        <v>0</v>
      </c>
      <c r="O75" s="15">
        <f t="shared" si="35"/>
        <v>13</v>
      </c>
      <c r="P75" s="15">
        <f t="shared" si="36"/>
        <v>30</v>
      </c>
      <c r="R75" s="8"/>
      <c r="T75"/>
    </row>
    <row r="76" spans="2:20" ht="23.1" customHeight="1" x14ac:dyDescent="0.25">
      <c r="B76" s="45" t="s">
        <v>116</v>
      </c>
      <c r="C76" s="50">
        <v>4</v>
      </c>
      <c r="D76" s="50">
        <v>2</v>
      </c>
      <c r="E76" s="50">
        <v>0</v>
      </c>
      <c r="F76" s="50">
        <v>2</v>
      </c>
      <c r="G76" s="50">
        <v>0</v>
      </c>
      <c r="H76" s="50">
        <v>0</v>
      </c>
      <c r="I76" s="50">
        <v>1</v>
      </c>
      <c r="J76" s="50">
        <v>1</v>
      </c>
      <c r="K76" s="50">
        <v>0</v>
      </c>
      <c r="L76" s="50">
        <v>0</v>
      </c>
      <c r="M76" s="50">
        <v>31</v>
      </c>
      <c r="N76" s="50">
        <v>0</v>
      </c>
      <c r="O76" s="15">
        <f t="shared" si="35"/>
        <v>10</v>
      </c>
      <c r="P76" s="15">
        <f t="shared" si="36"/>
        <v>41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2</v>
      </c>
      <c r="E77" s="50">
        <v>1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23</v>
      </c>
      <c r="N77" s="50">
        <v>0</v>
      </c>
      <c r="O77" s="15">
        <f t="shared" si="35"/>
        <v>7</v>
      </c>
      <c r="P77" s="15">
        <f t="shared" si="36"/>
        <v>30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1</v>
      </c>
      <c r="E78" s="50">
        <v>1</v>
      </c>
      <c r="F78" s="50">
        <v>3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14</v>
      </c>
      <c r="N78" s="50">
        <v>0</v>
      </c>
      <c r="O78" s="15">
        <f t="shared" si="35"/>
        <v>6</v>
      </c>
      <c r="P78" s="15">
        <f t="shared" si="36"/>
        <v>20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12</v>
      </c>
      <c r="N79" s="50">
        <v>0</v>
      </c>
      <c r="O79" s="15">
        <f t="shared" si="35"/>
        <v>3</v>
      </c>
      <c r="P79" s="15">
        <f t="shared" si="36"/>
        <v>15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1</v>
      </c>
      <c r="E80" s="50">
        <v>0</v>
      </c>
      <c r="F80" s="50">
        <v>2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12</v>
      </c>
      <c r="N80" s="50">
        <v>0</v>
      </c>
      <c r="O80" s="15">
        <f t="shared" si="35"/>
        <v>4</v>
      </c>
      <c r="P80" s="15">
        <f t="shared" si="36"/>
        <v>16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3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1</v>
      </c>
      <c r="M81" s="50">
        <v>7</v>
      </c>
      <c r="N81" s="50">
        <v>0</v>
      </c>
      <c r="O81" s="15">
        <f t="shared" si="35"/>
        <v>6</v>
      </c>
      <c r="P81" s="15">
        <f t="shared" si="36"/>
        <v>13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2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7</v>
      </c>
      <c r="N82" s="50">
        <v>0</v>
      </c>
      <c r="O82" s="15">
        <f t="shared" si="35"/>
        <v>3</v>
      </c>
      <c r="P82" s="15">
        <f t="shared" si="36"/>
        <v>10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2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</v>
      </c>
      <c r="N83" s="50">
        <v>0</v>
      </c>
      <c r="O83" s="15">
        <f t="shared" si="35"/>
        <v>3</v>
      </c>
      <c r="P83" s="15">
        <f t="shared" si="36"/>
        <v>6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1</v>
      </c>
      <c r="J84" s="50">
        <v>1</v>
      </c>
      <c r="K84" s="50">
        <v>0</v>
      </c>
      <c r="L84" s="50">
        <v>0</v>
      </c>
      <c r="M84" s="50">
        <v>3</v>
      </c>
      <c r="N84" s="50">
        <v>0</v>
      </c>
      <c r="O84" s="15">
        <f t="shared" si="35"/>
        <v>5</v>
      </c>
      <c r="P84" s="15">
        <f t="shared" si="36"/>
        <v>8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5</v>
      </c>
      <c r="N85" s="50">
        <v>0</v>
      </c>
      <c r="O85" s="15">
        <f t="shared" si="35"/>
        <v>1</v>
      </c>
      <c r="P85" s="15">
        <f t="shared" si="36"/>
        <v>6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1</v>
      </c>
      <c r="E86" s="50">
        <v>1</v>
      </c>
      <c r="F86" s="50">
        <v>1</v>
      </c>
      <c r="G86" s="50">
        <v>0</v>
      </c>
      <c r="H86" s="50">
        <v>0</v>
      </c>
      <c r="I86" s="50">
        <v>1</v>
      </c>
      <c r="J86" s="50">
        <v>1</v>
      </c>
      <c r="K86" s="50">
        <v>0</v>
      </c>
      <c r="L86" s="50">
        <v>0</v>
      </c>
      <c r="M86" s="50">
        <v>3</v>
      </c>
      <c r="N86" s="50">
        <v>0</v>
      </c>
      <c r="O86" s="15">
        <f t="shared" si="35"/>
        <v>5</v>
      </c>
      <c r="P86" s="15">
        <f t="shared" si="36"/>
        <v>8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2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2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6</v>
      </c>
      <c r="N88" s="50">
        <v>0</v>
      </c>
      <c r="O88" s="15">
        <f t="shared" si="35"/>
        <v>3</v>
      </c>
      <c r="P88" s="15">
        <f t="shared" si="36"/>
        <v>9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2</v>
      </c>
      <c r="M89" s="50">
        <v>6</v>
      </c>
      <c r="N89" s="50">
        <v>0</v>
      </c>
      <c r="O89" s="15">
        <f t="shared" si="35"/>
        <v>3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1</v>
      </c>
      <c r="P90" s="15">
        <f t="shared" si="36"/>
        <v>4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</v>
      </c>
      <c r="N91" s="50">
        <v>0</v>
      </c>
      <c r="O91" s="15">
        <f t="shared" si="35"/>
        <v>2</v>
      </c>
      <c r="P91" s="15">
        <f t="shared" si="36"/>
        <v>5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4</v>
      </c>
      <c r="N92" s="50">
        <v>0</v>
      </c>
      <c r="O92" s="15">
        <f t="shared" si="35"/>
        <v>3</v>
      </c>
      <c r="P92" s="15">
        <f t="shared" si="36"/>
        <v>7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2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4</v>
      </c>
      <c r="N93" s="50">
        <v>0</v>
      </c>
      <c r="O93" s="15">
        <f t="shared" si="35"/>
        <v>4</v>
      </c>
      <c r="P93" s="15">
        <f t="shared" si="36"/>
        <v>8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4</v>
      </c>
      <c r="N94" s="50">
        <v>0</v>
      </c>
      <c r="O94" s="15">
        <f t="shared" si="35"/>
        <v>2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6</v>
      </c>
      <c r="N95" s="50">
        <v>0</v>
      </c>
      <c r="O95" s="15">
        <f t="shared" si="35"/>
        <v>1</v>
      </c>
      <c r="P95" s="15">
        <f t="shared" si="36"/>
        <v>7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6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3</v>
      </c>
      <c r="N96" s="50">
        <v>0</v>
      </c>
      <c r="O96" s="15">
        <f t="shared" si="35"/>
        <v>7</v>
      </c>
      <c r="P96" s="15">
        <f t="shared" si="36"/>
        <v>10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1</v>
      </c>
      <c r="M97" s="50">
        <v>5</v>
      </c>
      <c r="N97" s="50">
        <v>0</v>
      </c>
      <c r="O97" s="15">
        <f t="shared" si="35"/>
        <v>2</v>
      </c>
      <c r="P97" s="15">
        <f t="shared" si="36"/>
        <v>7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2</v>
      </c>
      <c r="E98" s="50">
        <v>0</v>
      </c>
      <c r="F98" s="50">
        <v>5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19</v>
      </c>
      <c r="N98" s="50">
        <v>0</v>
      </c>
      <c r="O98" s="15">
        <f t="shared" si="35"/>
        <v>9</v>
      </c>
      <c r="P98" s="15">
        <f t="shared" si="36"/>
        <v>28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2</v>
      </c>
      <c r="F99" s="50">
        <v>7</v>
      </c>
      <c r="G99" s="50">
        <v>0</v>
      </c>
      <c r="H99" s="50">
        <v>0</v>
      </c>
      <c r="I99" s="50">
        <v>1</v>
      </c>
      <c r="J99" s="50">
        <v>1</v>
      </c>
      <c r="K99" s="50">
        <v>0</v>
      </c>
      <c r="L99" s="50">
        <v>0</v>
      </c>
      <c r="M99" s="50">
        <v>8</v>
      </c>
      <c r="N99" s="50">
        <v>0</v>
      </c>
      <c r="O99" s="15">
        <f t="shared" si="35"/>
        <v>12</v>
      </c>
      <c r="P99" s="15">
        <f t="shared" si="36"/>
        <v>20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3</v>
      </c>
      <c r="E100" s="50">
        <v>3</v>
      </c>
      <c r="F100" s="50">
        <v>3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7</v>
      </c>
      <c r="N100" s="50">
        <v>0</v>
      </c>
      <c r="O100" s="15">
        <f t="shared" si="35"/>
        <v>11</v>
      </c>
      <c r="P100" s="15">
        <f t="shared" si="36"/>
        <v>18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1</v>
      </c>
      <c r="E101" s="50">
        <v>0</v>
      </c>
      <c r="F101" s="50">
        <v>6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17</v>
      </c>
      <c r="N101" s="50">
        <v>0</v>
      </c>
      <c r="O101" s="15">
        <f t="shared" si="35"/>
        <v>8</v>
      </c>
      <c r="P101" s="15">
        <f t="shared" si="36"/>
        <v>25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2</v>
      </c>
      <c r="E102" s="50">
        <v>0</v>
      </c>
      <c r="F102" s="50">
        <v>10</v>
      </c>
      <c r="G102" s="50">
        <v>0</v>
      </c>
      <c r="H102" s="50">
        <v>0</v>
      </c>
      <c r="I102" s="50">
        <v>0</v>
      </c>
      <c r="J102" s="50">
        <v>1</v>
      </c>
      <c r="K102" s="50">
        <v>1</v>
      </c>
      <c r="L102" s="50">
        <v>0</v>
      </c>
      <c r="M102" s="50">
        <v>25</v>
      </c>
      <c r="N102" s="50">
        <v>0</v>
      </c>
      <c r="O102" s="15">
        <f t="shared" si="35"/>
        <v>17</v>
      </c>
      <c r="P102" s="15">
        <f t="shared" si="36"/>
        <v>42</v>
      </c>
      <c r="R102" s="8"/>
      <c r="T102"/>
    </row>
    <row r="103" spans="2:20" ht="23.1" customHeight="1" x14ac:dyDescent="0.25">
      <c r="B103" s="45" t="s">
        <v>143</v>
      </c>
      <c r="C103" s="50">
        <v>4</v>
      </c>
      <c r="D103" s="50">
        <v>2</v>
      </c>
      <c r="E103" s="50">
        <v>1</v>
      </c>
      <c r="F103" s="50">
        <v>8</v>
      </c>
      <c r="G103" s="50">
        <v>0</v>
      </c>
      <c r="H103" s="50">
        <v>0</v>
      </c>
      <c r="I103" s="50">
        <v>1</v>
      </c>
      <c r="J103" s="50">
        <v>1</v>
      </c>
      <c r="K103" s="50">
        <v>0</v>
      </c>
      <c r="L103" s="50">
        <v>0</v>
      </c>
      <c r="M103" s="50">
        <v>47</v>
      </c>
      <c r="N103" s="50">
        <v>0</v>
      </c>
      <c r="O103" s="15">
        <f t="shared" si="35"/>
        <v>17</v>
      </c>
      <c r="P103" s="15">
        <f t="shared" si="36"/>
        <v>64</v>
      </c>
      <c r="R103" s="8"/>
      <c r="T103"/>
    </row>
    <row r="104" spans="2:20" ht="23.1" customHeight="1" x14ac:dyDescent="0.25">
      <c r="B104" s="47" t="s">
        <v>144</v>
      </c>
      <c r="C104" s="50">
        <v>3</v>
      </c>
      <c r="D104" s="50">
        <v>2</v>
      </c>
      <c r="E104" s="50">
        <v>1</v>
      </c>
      <c r="F104" s="50">
        <v>7</v>
      </c>
      <c r="G104" s="50">
        <v>0</v>
      </c>
      <c r="H104" s="50">
        <v>0</v>
      </c>
      <c r="I104" s="50">
        <v>0</v>
      </c>
      <c r="J104" s="50">
        <v>1</v>
      </c>
      <c r="K104" s="50">
        <v>1</v>
      </c>
      <c r="L104" s="50">
        <v>0</v>
      </c>
      <c r="M104" s="50">
        <v>46</v>
      </c>
      <c r="N104" s="50">
        <v>0</v>
      </c>
      <c r="O104" s="15">
        <f t="shared" si="35"/>
        <v>15</v>
      </c>
      <c r="P104" s="15">
        <f t="shared" si="36"/>
        <v>61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2</v>
      </c>
      <c r="E105" s="50">
        <v>4</v>
      </c>
      <c r="F105" s="50">
        <v>8</v>
      </c>
      <c r="G105" s="50">
        <v>1</v>
      </c>
      <c r="H105" s="50">
        <v>0</v>
      </c>
      <c r="I105" s="50">
        <v>2</v>
      </c>
      <c r="J105" s="50">
        <v>3</v>
      </c>
      <c r="K105" s="50">
        <v>0</v>
      </c>
      <c r="L105" s="50">
        <v>0</v>
      </c>
      <c r="M105" s="50">
        <v>48</v>
      </c>
      <c r="N105" s="50">
        <v>0</v>
      </c>
      <c r="O105" s="15">
        <f t="shared" si="35"/>
        <v>24</v>
      </c>
      <c r="P105" s="15">
        <f t="shared" si="36"/>
        <v>72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594</v>
      </c>
      <c r="D106" s="16">
        <f t="shared" ref="D106:P106" si="37">SUM(D10:D105)</f>
        <v>513</v>
      </c>
      <c r="E106" s="16">
        <f t="shared" si="37"/>
        <v>284</v>
      </c>
      <c r="F106" s="16">
        <f t="shared" si="37"/>
        <v>553</v>
      </c>
      <c r="G106" s="16">
        <f t="shared" si="37"/>
        <v>46</v>
      </c>
      <c r="H106" s="16">
        <f t="shared" si="37"/>
        <v>14</v>
      </c>
      <c r="I106" s="16">
        <f t="shared" si="37"/>
        <v>329</v>
      </c>
      <c r="J106" s="16">
        <f t="shared" si="37"/>
        <v>181</v>
      </c>
      <c r="K106" s="16">
        <f t="shared" si="37"/>
        <v>51</v>
      </c>
      <c r="L106" s="16">
        <f t="shared" si="37"/>
        <v>136</v>
      </c>
      <c r="M106" s="16">
        <f t="shared" si="37"/>
        <v>4294</v>
      </c>
      <c r="N106" s="16">
        <f t="shared" si="37"/>
        <v>1</v>
      </c>
      <c r="O106" s="16">
        <f t="shared" si="37"/>
        <v>2702</v>
      </c>
      <c r="P106" s="16">
        <f t="shared" si="37"/>
        <v>6996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8.4905660377358486E-2</v>
      </c>
      <c r="D107" s="43">
        <f t="shared" si="38"/>
        <v>7.3327615780445971E-2</v>
      </c>
      <c r="E107" s="43">
        <f t="shared" si="38"/>
        <v>4.0594625500285877E-2</v>
      </c>
      <c r="F107" s="43">
        <f t="shared" si="38"/>
        <v>7.9045168667810181E-2</v>
      </c>
      <c r="G107" s="43">
        <f t="shared" si="38"/>
        <v>6.5751858204688395E-3</v>
      </c>
      <c r="H107" s="43">
        <f t="shared" si="38"/>
        <v>2.001143510577473E-3</v>
      </c>
      <c r="I107" s="43">
        <f t="shared" si="38"/>
        <v>4.7026872498570613E-2</v>
      </c>
      <c r="J107" s="43">
        <f t="shared" si="38"/>
        <v>2.5871926815323042E-2</v>
      </c>
      <c r="K107" s="43">
        <f t="shared" si="38"/>
        <v>7.2898799313893658E-3</v>
      </c>
      <c r="L107" s="43">
        <f t="shared" si="38"/>
        <v>1.9439679817038306E-2</v>
      </c>
      <c r="M107" s="43">
        <f t="shared" si="38"/>
        <v>0.61377930245854773</v>
      </c>
      <c r="N107" s="43">
        <f t="shared" si="38"/>
        <v>1.429388221841052E-4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0.21983715766099185</v>
      </c>
      <c r="D108" s="44">
        <f t="shared" ref="D108:N108" si="39">D106/$O$106</f>
        <v>0.18985936343449297</v>
      </c>
      <c r="E108" s="44">
        <f t="shared" si="39"/>
        <v>0.10510732790525537</v>
      </c>
      <c r="F108" s="44">
        <f t="shared" si="39"/>
        <v>0.20466321243523317</v>
      </c>
      <c r="G108" s="44">
        <f t="shared" si="39"/>
        <v>1.7024426350851222E-2</v>
      </c>
      <c r="H108" s="44">
        <f t="shared" si="39"/>
        <v>5.1813471502590676E-3</v>
      </c>
      <c r="I108" s="44">
        <f t="shared" si="39"/>
        <v>0.12176165803108809</v>
      </c>
      <c r="J108" s="44">
        <f t="shared" si="39"/>
        <v>6.6987416728349375E-2</v>
      </c>
      <c r="K108" s="44">
        <f t="shared" si="39"/>
        <v>1.8874907475943746E-2</v>
      </c>
      <c r="L108" s="44">
        <f t="shared" si="39"/>
        <v>5.0333086602516654E-2</v>
      </c>
      <c r="M108" s="44"/>
      <c r="N108" s="44">
        <f t="shared" si="39"/>
        <v>3.7009622501850479E-4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52" zoomScale="60" workbookViewId="0">
      <selection activeCell="I6" sqref="I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'29.10-MUKONO-KATOSI'!C3:G3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'2.11 KATOSI-MUKONO 24hr'!D5</f>
        <v>2.11.2019</v>
      </c>
      <c r="E5" s="3"/>
      <c r="F5" s="41" t="s">
        <v>1</v>
      </c>
      <c r="G5" s="53" t="str">
        <f>'2.11 KATOSI-MUKONO 24hr'!G5:H5</f>
        <v>SHELL PETROL STATION</v>
      </c>
      <c r="H5" s="54"/>
      <c r="I5" s="14"/>
      <c r="J5" s="2" t="s">
        <v>5</v>
      </c>
      <c r="K5" s="53" t="str">
        <f>'2.11 KATOSI-MUKONO 24hr'!K5:L5</f>
        <v>KATUMBA JOHN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">
        <v>165</v>
      </c>
      <c r="E6" s="54"/>
      <c r="F6" s="2" t="s">
        <v>2</v>
      </c>
      <c r="G6" s="53" t="s">
        <v>181</v>
      </c>
      <c r="H6" s="54"/>
      <c r="J6" s="2" t="s">
        <v>21</v>
      </c>
      <c r="K6" s="53" t="str">
        <f>'2.11 KATOSI-MUKONO 24hr'!K6:L6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3</v>
      </c>
      <c r="J10" s="50">
        <v>1</v>
      </c>
      <c r="K10" s="50">
        <v>0</v>
      </c>
      <c r="L10" s="50">
        <v>1</v>
      </c>
      <c r="M10" s="50">
        <v>20</v>
      </c>
      <c r="N10" s="50">
        <v>0</v>
      </c>
      <c r="O10" s="15">
        <f t="shared" ref="O10:O73" si="0">SUM(C10:L10,N10)</f>
        <v>12</v>
      </c>
      <c r="P10" s="15">
        <f t="shared" ref="P10:P73" si="1">SUM(C10:N10)</f>
        <v>32</v>
      </c>
      <c r="R10" s="1" t="s">
        <v>6</v>
      </c>
      <c r="S10" s="17">
        <f t="shared" ref="S10:AF10" si="2">SUM(C10:C13)</f>
        <v>52</v>
      </c>
      <c r="T10" s="17">
        <f t="shared" si="2"/>
        <v>6</v>
      </c>
      <c r="U10" s="17">
        <f t="shared" si="2"/>
        <v>5</v>
      </c>
      <c r="V10" s="17">
        <f t="shared" si="2"/>
        <v>18</v>
      </c>
      <c r="W10" s="17">
        <f t="shared" si="2"/>
        <v>1</v>
      </c>
      <c r="X10" s="17">
        <f t="shared" si="2"/>
        <v>0</v>
      </c>
      <c r="Y10" s="17">
        <f t="shared" si="2"/>
        <v>14</v>
      </c>
      <c r="Z10" s="17">
        <f t="shared" si="2"/>
        <v>4</v>
      </c>
      <c r="AA10" s="17">
        <f t="shared" si="2"/>
        <v>1</v>
      </c>
      <c r="AB10" s="17">
        <f t="shared" si="2"/>
        <v>1</v>
      </c>
      <c r="AC10" s="17">
        <f t="shared" si="2"/>
        <v>268</v>
      </c>
      <c r="AD10" s="17">
        <f t="shared" si="2"/>
        <v>0</v>
      </c>
      <c r="AE10" s="31">
        <f t="shared" si="2"/>
        <v>102</v>
      </c>
      <c r="AF10" s="31">
        <f t="shared" si="2"/>
        <v>370</v>
      </c>
    </row>
    <row r="11" spans="2:32" s="6" customFormat="1" ht="23.1" customHeight="1" x14ac:dyDescent="0.25">
      <c r="B11" s="45" t="s">
        <v>38</v>
      </c>
      <c r="C11" s="50">
        <v>10</v>
      </c>
      <c r="D11" s="50">
        <v>1</v>
      </c>
      <c r="E11" s="50">
        <v>0</v>
      </c>
      <c r="F11" s="50">
        <v>5</v>
      </c>
      <c r="G11" s="50">
        <v>1</v>
      </c>
      <c r="H11" s="50">
        <v>0</v>
      </c>
      <c r="I11" s="50">
        <v>3</v>
      </c>
      <c r="J11" s="50">
        <v>2</v>
      </c>
      <c r="K11" s="50">
        <v>1</v>
      </c>
      <c r="L11" s="50">
        <v>0</v>
      </c>
      <c r="M11" s="50">
        <v>75</v>
      </c>
      <c r="N11" s="50">
        <v>0</v>
      </c>
      <c r="O11" s="15">
        <f t="shared" si="0"/>
        <v>23</v>
      </c>
      <c r="P11" s="15">
        <f t="shared" si="1"/>
        <v>98</v>
      </c>
      <c r="R11" s="1" t="s">
        <v>7</v>
      </c>
      <c r="S11" s="17">
        <f t="shared" ref="S11:AF11" si="3">SUM(C14:C17)</f>
        <v>57</v>
      </c>
      <c r="T11" s="17">
        <f t="shared" si="3"/>
        <v>9</v>
      </c>
      <c r="U11" s="17">
        <f t="shared" si="3"/>
        <v>12</v>
      </c>
      <c r="V11" s="17">
        <f t="shared" si="3"/>
        <v>32</v>
      </c>
      <c r="W11" s="17">
        <f t="shared" si="3"/>
        <v>3</v>
      </c>
      <c r="X11" s="17">
        <f t="shared" si="3"/>
        <v>0</v>
      </c>
      <c r="Y11" s="17">
        <f t="shared" si="3"/>
        <v>33</v>
      </c>
      <c r="Z11" s="17">
        <f t="shared" si="3"/>
        <v>3</v>
      </c>
      <c r="AA11" s="17">
        <f t="shared" si="3"/>
        <v>3</v>
      </c>
      <c r="AB11" s="17">
        <f t="shared" si="3"/>
        <v>2</v>
      </c>
      <c r="AC11" s="17">
        <f t="shared" si="3"/>
        <v>329</v>
      </c>
      <c r="AD11" s="17">
        <f t="shared" si="3"/>
        <v>0</v>
      </c>
      <c r="AE11" s="31">
        <f t="shared" si="3"/>
        <v>154</v>
      </c>
      <c r="AF11" s="31">
        <f t="shared" si="3"/>
        <v>483</v>
      </c>
    </row>
    <row r="12" spans="2:32" ht="23.1" customHeight="1" x14ac:dyDescent="0.25">
      <c r="B12" s="45" t="s">
        <v>39</v>
      </c>
      <c r="C12" s="50">
        <v>16</v>
      </c>
      <c r="D12" s="50">
        <v>2</v>
      </c>
      <c r="E12" s="50">
        <v>2</v>
      </c>
      <c r="F12" s="50">
        <v>7</v>
      </c>
      <c r="G12" s="50">
        <v>0</v>
      </c>
      <c r="H12" s="50">
        <v>0</v>
      </c>
      <c r="I12" s="50">
        <v>7</v>
      </c>
      <c r="J12" s="50">
        <v>1</v>
      </c>
      <c r="K12" s="50">
        <v>0</v>
      </c>
      <c r="L12" s="50">
        <v>0</v>
      </c>
      <c r="M12" s="50">
        <v>98</v>
      </c>
      <c r="N12" s="50">
        <v>0</v>
      </c>
      <c r="O12" s="15">
        <f t="shared" si="0"/>
        <v>35</v>
      </c>
      <c r="P12" s="15">
        <f t="shared" si="1"/>
        <v>133</v>
      </c>
      <c r="R12" s="1" t="s">
        <v>8</v>
      </c>
      <c r="S12" s="17">
        <f t="shared" ref="S12:AF12" si="4">SUM(C18:C21)</f>
        <v>52</v>
      </c>
      <c r="T12" s="17">
        <f t="shared" si="4"/>
        <v>8</v>
      </c>
      <c r="U12" s="17">
        <f t="shared" si="4"/>
        <v>17</v>
      </c>
      <c r="V12" s="17">
        <f t="shared" si="4"/>
        <v>22</v>
      </c>
      <c r="W12" s="17">
        <f t="shared" si="4"/>
        <v>1</v>
      </c>
      <c r="X12" s="17">
        <f t="shared" si="4"/>
        <v>0</v>
      </c>
      <c r="Y12" s="17">
        <f t="shared" si="4"/>
        <v>32</v>
      </c>
      <c r="Z12" s="17">
        <f t="shared" si="4"/>
        <v>8</v>
      </c>
      <c r="AA12" s="17">
        <f t="shared" si="4"/>
        <v>2</v>
      </c>
      <c r="AB12" s="17">
        <f t="shared" si="4"/>
        <v>1</v>
      </c>
      <c r="AC12" s="17">
        <f t="shared" si="4"/>
        <v>269</v>
      </c>
      <c r="AD12" s="17">
        <f t="shared" si="4"/>
        <v>0</v>
      </c>
      <c r="AE12" s="31">
        <f t="shared" si="4"/>
        <v>143</v>
      </c>
      <c r="AF12" s="31">
        <f t="shared" si="4"/>
        <v>412</v>
      </c>
    </row>
    <row r="13" spans="2:32" ht="23.1" customHeight="1" x14ac:dyDescent="0.25">
      <c r="B13" s="45" t="s">
        <v>40</v>
      </c>
      <c r="C13" s="50">
        <v>22</v>
      </c>
      <c r="D13" s="50">
        <v>3</v>
      </c>
      <c r="E13" s="50">
        <v>3</v>
      </c>
      <c r="F13" s="50">
        <v>3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75</v>
      </c>
      <c r="N13" s="50">
        <v>0</v>
      </c>
      <c r="O13" s="15">
        <f t="shared" si="0"/>
        <v>32</v>
      </c>
      <c r="P13" s="15">
        <f t="shared" si="1"/>
        <v>107</v>
      </c>
      <c r="R13" s="1" t="s">
        <v>9</v>
      </c>
      <c r="S13" s="17">
        <f t="shared" ref="S13:AF13" si="5">SUM(C22:C25)</f>
        <v>73</v>
      </c>
      <c r="T13" s="17">
        <f t="shared" si="5"/>
        <v>14</v>
      </c>
      <c r="U13" s="17">
        <f t="shared" si="5"/>
        <v>24</v>
      </c>
      <c r="V13" s="17">
        <f t="shared" si="5"/>
        <v>27</v>
      </c>
      <c r="W13" s="17">
        <f t="shared" si="5"/>
        <v>0</v>
      </c>
      <c r="X13" s="17">
        <f t="shared" si="5"/>
        <v>0</v>
      </c>
      <c r="Y13" s="17">
        <f t="shared" si="5"/>
        <v>37</v>
      </c>
      <c r="Z13" s="17">
        <f t="shared" si="5"/>
        <v>5</v>
      </c>
      <c r="AA13" s="17">
        <f t="shared" si="5"/>
        <v>3</v>
      </c>
      <c r="AB13" s="17">
        <f t="shared" si="5"/>
        <v>3</v>
      </c>
      <c r="AC13" s="17">
        <f t="shared" si="5"/>
        <v>302</v>
      </c>
      <c r="AD13" s="17">
        <f t="shared" si="5"/>
        <v>0</v>
      </c>
      <c r="AE13" s="31">
        <f t="shared" si="5"/>
        <v>186</v>
      </c>
      <c r="AF13" s="31">
        <f t="shared" si="5"/>
        <v>488</v>
      </c>
    </row>
    <row r="14" spans="2:32" ht="23.1" customHeight="1" x14ac:dyDescent="0.25">
      <c r="B14" s="45" t="s">
        <v>41</v>
      </c>
      <c r="C14" s="50">
        <v>15</v>
      </c>
      <c r="D14" s="50">
        <v>3</v>
      </c>
      <c r="E14" s="50">
        <v>2</v>
      </c>
      <c r="F14" s="50">
        <v>9</v>
      </c>
      <c r="G14" s="50">
        <v>1</v>
      </c>
      <c r="H14" s="50">
        <v>0</v>
      </c>
      <c r="I14" s="50">
        <v>14</v>
      </c>
      <c r="J14" s="50">
        <v>0</v>
      </c>
      <c r="K14" s="50">
        <v>0</v>
      </c>
      <c r="L14" s="50">
        <v>0</v>
      </c>
      <c r="M14" s="50">
        <v>59</v>
      </c>
      <c r="N14" s="50">
        <v>0</v>
      </c>
      <c r="O14" s="15">
        <f t="shared" si="0"/>
        <v>44</v>
      </c>
      <c r="P14" s="15">
        <f t="shared" si="1"/>
        <v>103</v>
      </c>
      <c r="R14" s="1" t="s">
        <v>10</v>
      </c>
      <c r="S14" s="17">
        <f t="shared" ref="S14:AF14" si="6">SUM(C26:C29)</f>
        <v>115</v>
      </c>
      <c r="T14" s="17">
        <f t="shared" si="6"/>
        <v>11</v>
      </c>
      <c r="U14" s="17">
        <f t="shared" si="6"/>
        <v>24</v>
      </c>
      <c r="V14" s="17">
        <f t="shared" si="6"/>
        <v>31</v>
      </c>
      <c r="W14" s="17">
        <f t="shared" si="6"/>
        <v>0</v>
      </c>
      <c r="X14" s="17">
        <f t="shared" si="6"/>
        <v>0</v>
      </c>
      <c r="Y14" s="17">
        <f t="shared" si="6"/>
        <v>40</v>
      </c>
      <c r="Z14" s="17">
        <f t="shared" si="6"/>
        <v>7</v>
      </c>
      <c r="AA14" s="17">
        <f t="shared" si="6"/>
        <v>1</v>
      </c>
      <c r="AB14" s="17">
        <f t="shared" si="6"/>
        <v>0</v>
      </c>
      <c r="AC14" s="17">
        <f t="shared" si="6"/>
        <v>304</v>
      </c>
      <c r="AD14" s="17">
        <f t="shared" si="6"/>
        <v>0</v>
      </c>
      <c r="AE14" s="31">
        <f t="shared" si="6"/>
        <v>229</v>
      </c>
      <c r="AF14" s="31">
        <f t="shared" si="6"/>
        <v>533</v>
      </c>
    </row>
    <row r="15" spans="2:32" ht="23.1" customHeight="1" x14ac:dyDescent="0.25">
      <c r="B15" s="45" t="s">
        <v>42</v>
      </c>
      <c r="C15" s="50">
        <v>14</v>
      </c>
      <c r="D15" s="50">
        <v>3</v>
      </c>
      <c r="E15" s="50">
        <v>4</v>
      </c>
      <c r="F15" s="50">
        <v>6</v>
      </c>
      <c r="G15" s="50">
        <v>0</v>
      </c>
      <c r="H15" s="50">
        <v>0</v>
      </c>
      <c r="I15" s="50">
        <v>7</v>
      </c>
      <c r="J15" s="50">
        <v>2</v>
      </c>
      <c r="K15" s="50">
        <v>1</v>
      </c>
      <c r="L15" s="50">
        <v>1</v>
      </c>
      <c r="M15" s="50">
        <v>80</v>
      </c>
      <c r="N15" s="50">
        <v>0</v>
      </c>
      <c r="O15" s="15">
        <f t="shared" si="0"/>
        <v>38</v>
      </c>
      <c r="P15" s="15">
        <f t="shared" si="1"/>
        <v>118</v>
      </c>
      <c r="R15" s="1" t="s">
        <v>11</v>
      </c>
      <c r="S15" s="17">
        <f t="shared" ref="S15:AF15" si="7">SUM(C30:C33)</f>
        <v>94</v>
      </c>
      <c r="T15" s="17">
        <f t="shared" si="7"/>
        <v>14</v>
      </c>
      <c r="U15" s="17">
        <f t="shared" si="7"/>
        <v>17</v>
      </c>
      <c r="V15" s="17">
        <f t="shared" si="7"/>
        <v>34</v>
      </c>
      <c r="W15" s="17">
        <f t="shared" si="7"/>
        <v>1</v>
      </c>
      <c r="X15" s="17">
        <f t="shared" si="7"/>
        <v>0</v>
      </c>
      <c r="Y15" s="17">
        <f t="shared" si="7"/>
        <v>20</v>
      </c>
      <c r="Z15" s="17">
        <f t="shared" si="7"/>
        <v>4</v>
      </c>
      <c r="AA15" s="17">
        <f t="shared" si="7"/>
        <v>2</v>
      </c>
      <c r="AB15" s="17">
        <f t="shared" si="7"/>
        <v>3</v>
      </c>
      <c r="AC15" s="17">
        <f t="shared" si="7"/>
        <v>240</v>
      </c>
      <c r="AD15" s="17">
        <f t="shared" si="7"/>
        <v>0</v>
      </c>
      <c r="AE15" s="31">
        <f t="shared" si="7"/>
        <v>189</v>
      </c>
      <c r="AF15" s="31">
        <f t="shared" si="7"/>
        <v>429</v>
      </c>
    </row>
    <row r="16" spans="2:32" ht="23.1" customHeight="1" x14ac:dyDescent="0.25">
      <c r="B16" s="45" t="s">
        <v>43</v>
      </c>
      <c r="C16" s="50">
        <v>16</v>
      </c>
      <c r="D16" s="50">
        <v>1</v>
      </c>
      <c r="E16" s="50">
        <v>4</v>
      </c>
      <c r="F16" s="50">
        <v>9</v>
      </c>
      <c r="G16" s="50">
        <v>1</v>
      </c>
      <c r="H16" s="50">
        <v>0</v>
      </c>
      <c r="I16" s="50">
        <v>5</v>
      </c>
      <c r="J16" s="50">
        <v>0</v>
      </c>
      <c r="K16" s="50">
        <v>0</v>
      </c>
      <c r="L16" s="50">
        <v>0</v>
      </c>
      <c r="M16" s="50">
        <v>88</v>
      </c>
      <c r="N16" s="50">
        <v>0</v>
      </c>
      <c r="O16" s="15">
        <f t="shared" si="0"/>
        <v>36</v>
      </c>
      <c r="P16" s="15">
        <f t="shared" si="1"/>
        <v>124</v>
      </c>
      <c r="R16" s="1" t="s">
        <v>12</v>
      </c>
      <c r="S16" s="17">
        <f t="shared" ref="S16:AF16" si="8">SUM(C34:C37)</f>
        <v>89</v>
      </c>
      <c r="T16" s="17">
        <f t="shared" si="8"/>
        <v>15</v>
      </c>
      <c r="U16" s="17">
        <f t="shared" si="8"/>
        <v>23</v>
      </c>
      <c r="V16" s="17">
        <f t="shared" si="8"/>
        <v>28</v>
      </c>
      <c r="W16" s="17">
        <f t="shared" si="8"/>
        <v>0</v>
      </c>
      <c r="X16" s="17">
        <f t="shared" si="8"/>
        <v>0</v>
      </c>
      <c r="Y16" s="17">
        <f t="shared" si="8"/>
        <v>23</v>
      </c>
      <c r="Z16" s="17">
        <f t="shared" si="8"/>
        <v>1</v>
      </c>
      <c r="AA16" s="17">
        <f t="shared" si="8"/>
        <v>1</v>
      </c>
      <c r="AB16" s="17">
        <f t="shared" si="8"/>
        <v>2</v>
      </c>
      <c r="AC16" s="17">
        <f t="shared" si="8"/>
        <v>267</v>
      </c>
      <c r="AD16" s="17">
        <f t="shared" si="8"/>
        <v>0</v>
      </c>
      <c r="AE16" s="31">
        <f t="shared" si="8"/>
        <v>182</v>
      </c>
      <c r="AF16" s="31">
        <f t="shared" si="8"/>
        <v>449</v>
      </c>
    </row>
    <row r="17" spans="2:32" ht="23.1" customHeight="1" x14ac:dyDescent="0.25">
      <c r="B17" s="45" t="s">
        <v>44</v>
      </c>
      <c r="C17" s="50">
        <v>12</v>
      </c>
      <c r="D17" s="50">
        <v>2</v>
      </c>
      <c r="E17" s="50">
        <v>2</v>
      </c>
      <c r="F17" s="50">
        <v>8</v>
      </c>
      <c r="G17" s="50">
        <v>1</v>
      </c>
      <c r="H17" s="50">
        <v>0</v>
      </c>
      <c r="I17" s="50">
        <v>7</v>
      </c>
      <c r="J17" s="50">
        <v>1</v>
      </c>
      <c r="K17" s="50">
        <v>2</v>
      </c>
      <c r="L17" s="50">
        <v>1</v>
      </c>
      <c r="M17" s="50">
        <v>102</v>
      </c>
      <c r="N17" s="50">
        <v>0</v>
      </c>
      <c r="O17" s="15">
        <f t="shared" si="0"/>
        <v>36</v>
      </c>
      <c r="P17" s="15">
        <f t="shared" si="1"/>
        <v>138</v>
      </c>
      <c r="R17" s="1" t="s">
        <v>13</v>
      </c>
      <c r="S17" s="17">
        <f t="shared" ref="S17:AF17" si="9">SUM(C38:C41)</f>
        <v>88</v>
      </c>
      <c r="T17" s="17">
        <f t="shared" si="9"/>
        <v>18</v>
      </c>
      <c r="U17" s="17">
        <f t="shared" si="9"/>
        <v>21</v>
      </c>
      <c r="V17" s="17">
        <f t="shared" si="9"/>
        <v>19</v>
      </c>
      <c r="W17" s="17">
        <f t="shared" si="9"/>
        <v>0</v>
      </c>
      <c r="X17" s="17">
        <f t="shared" si="9"/>
        <v>0</v>
      </c>
      <c r="Y17" s="17">
        <f t="shared" si="9"/>
        <v>30</v>
      </c>
      <c r="Z17" s="17">
        <f t="shared" si="9"/>
        <v>3</v>
      </c>
      <c r="AA17" s="17">
        <f t="shared" si="9"/>
        <v>4</v>
      </c>
      <c r="AB17" s="17">
        <f t="shared" si="9"/>
        <v>3</v>
      </c>
      <c r="AC17" s="17">
        <f t="shared" si="9"/>
        <v>180</v>
      </c>
      <c r="AD17" s="17">
        <f t="shared" si="9"/>
        <v>0</v>
      </c>
      <c r="AE17" s="31">
        <f t="shared" si="9"/>
        <v>186</v>
      </c>
      <c r="AF17" s="31">
        <f t="shared" si="9"/>
        <v>366</v>
      </c>
    </row>
    <row r="18" spans="2:32" ht="23.1" customHeight="1" x14ac:dyDescent="0.25">
      <c r="B18" s="45" t="s">
        <v>45</v>
      </c>
      <c r="C18" s="50">
        <v>14</v>
      </c>
      <c r="D18" s="50">
        <v>3</v>
      </c>
      <c r="E18" s="50">
        <v>6</v>
      </c>
      <c r="F18" s="50">
        <v>4</v>
      </c>
      <c r="G18" s="50">
        <v>0</v>
      </c>
      <c r="H18" s="50">
        <v>0</v>
      </c>
      <c r="I18" s="50">
        <v>7</v>
      </c>
      <c r="J18" s="50">
        <v>1</v>
      </c>
      <c r="K18" s="50">
        <v>1</v>
      </c>
      <c r="L18" s="50">
        <v>0</v>
      </c>
      <c r="M18" s="50">
        <v>77</v>
      </c>
      <c r="N18" s="50">
        <v>0</v>
      </c>
      <c r="O18" s="15">
        <f t="shared" si="0"/>
        <v>36</v>
      </c>
      <c r="P18" s="15">
        <f t="shared" si="1"/>
        <v>113</v>
      </c>
      <c r="R18" s="1" t="s">
        <v>14</v>
      </c>
      <c r="S18" s="17">
        <f t="shared" ref="S18:AF18" si="10">SUM(C42:C45)</f>
        <v>77</v>
      </c>
      <c r="T18" s="17">
        <f t="shared" si="10"/>
        <v>8</v>
      </c>
      <c r="U18" s="17">
        <f t="shared" si="10"/>
        <v>16</v>
      </c>
      <c r="V18" s="17">
        <f t="shared" si="10"/>
        <v>29</v>
      </c>
      <c r="W18" s="17">
        <f t="shared" si="10"/>
        <v>2</v>
      </c>
      <c r="X18" s="17">
        <f t="shared" si="10"/>
        <v>0</v>
      </c>
      <c r="Y18" s="17">
        <f t="shared" si="10"/>
        <v>26</v>
      </c>
      <c r="Z18" s="17">
        <f t="shared" si="10"/>
        <v>0</v>
      </c>
      <c r="AA18" s="17">
        <f t="shared" si="10"/>
        <v>3</v>
      </c>
      <c r="AB18" s="17">
        <f t="shared" si="10"/>
        <v>1</v>
      </c>
      <c r="AC18" s="17">
        <f t="shared" si="10"/>
        <v>285</v>
      </c>
      <c r="AD18" s="17">
        <f t="shared" si="10"/>
        <v>0</v>
      </c>
      <c r="AE18" s="31">
        <f t="shared" si="10"/>
        <v>162</v>
      </c>
      <c r="AF18" s="31">
        <f t="shared" si="10"/>
        <v>447</v>
      </c>
    </row>
    <row r="19" spans="2:32" ht="23.1" customHeight="1" x14ac:dyDescent="0.25">
      <c r="B19" s="45" t="s">
        <v>46</v>
      </c>
      <c r="C19" s="50">
        <v>24</v>
      </c>
      <c r="D19" s="50">
        <v>2</v>
      </c>
      <c r="E19" s="50">
        <v>5</v>
      </c>
      <c r="F19" s="50">
        <v>7</v>
      </c>
      <c r="G19" s="50">
        <v>0</v>
      </c>
      <c r="H19" s="50">
        <v>0</v>
      </c>
      <c r="I19" s="50">
        <v>6</v>
      </c>
      <c r="J19" s="50">
        <v>3</v>
      </c>
      <c r="K19" s="50">
        <v>0</v>
      </c>
      <c r="L19" s="50">
        <v>1</v>
      </c>
      <c r="M19" s="50">
        <v>88</v>
      </c>
      <c r="N19" s="50">
        <v>0</v>
      </c>
      <c r="O19" s="15">
        <f t="shared" si="0"/>
        <v>48</v>
      </c>
      <c r="P19" s="15">
        <f t="shared" si="1"/>
        <v>136</v>
      </c>
      <c r="R19" s="1" t="s">
        <v>15</v>
      </c>
      <c r="S19" s="17">
        <f t="shared" ref="S19:AF19" si="11">SUM(C46:C49)</f>
        <v>86</v>
      </c>
      <c r="T19" s="17">
        <f t="shared" si="11"/>
        <v>15</v>
      </c>
      <c r="U19" s="17">
        <f t="shared" si="11"/>
        <v>17</v>
      </c>
      <c r="V19" s="17">
        <f t="shared" si="11"/>
        <v>25</v>
      </c>
      <c r="W19" s="17">
        <f t="shared" si="11"/>
        <v>1</v>
      </c>
      <c r="X19" s="17">
        <f t="shared" si="11"/>
        <v>0</v>
      </c>
      <c r="Y19" s="17">
        <f t="shared" si="11"/>
        <v>23</v>
      </c>
      <c r="Z19" s="17">
        <f t="shared" si="11"/>
        <v>3</v>
      </c>
      <c r="AA19" s="17">
        <f t="shared" si="11"/>
        <v>2</v>
      </c>
      <c r="AB19" s="17">
        <f t="shared" si="11"/>
        <v>5</v>
      </c>
      <c r="AC19" s="17">
        <f t="shared" si="11"/>
        <v>350</v>
      </c>
      <c r="AD19" s="17">
        <f t="shared" si="11"/>
        <v>0</v>
      </c>
      <c r="AE19" s="31">
        <f t="shared" si="11"/>
        <v>177</v>
      </c>
      <c r="AF19" s="31">
        <f t="shared" si="11"/>
        <v>527</v>
      </c>
    </row>
    <row r="20" spans="2:32" ht="23.1" customHeight="1" x14ac:dyDescent="0.25">
      <c r="B20" s="45" t="s">
        <v>47</v>
      </c>
      <c r="C20" s="50">
        <v>6</v>
      </c>
      <c r="D20" s="50">
        <v>2</v>
      </c>
      <c r="E20" s="50">
        <v>6</v>
      </c>
      <c r="F20" s="50">
        <v>5</v>
      </c>
      <c r="G20" s="50">
        <v>0</v>
      </c>
      <c r="H20" s="50">
        <v>0</v>
      </c>
      <c r="I20" s="50">
        <v>7</v>
      </c>
      <c r="J20" s="50">
        <v>3</v>
      </c>
      <c r="K20" s="50">
        <v>1</v>
      </c>
      <c r="L20" s="50">
        <v>0</v>
      </c>
      <c r="M20" s="50">
        <v>36</v>
      </c>
      <c r="N20" s="50">
        <v>0</v>
      </c>
      <c r="O20" s="15">
        <f t="shared" si="0"/>
        <v>30</v>
      </c>
      <c r="P20" s="15">
        <f t="shared" si="1"/>
        <v>66</v>
      </c>
      <c r="R20" s="1" t="s">
        <v>16</v>
      </c>
      <c r="S20" s="17">
        <f t="shared" ref="S20:AF20" si="12">SUM(C50:C53)</f>
        <v>77</v>
      </c>
      <c r="T20" s="17">
        <f t="shared" si="12"/>
        <v>5</v>
      </c>
      <c r="U20" s="17">
        <f t="shared" si="12"/>
        <v>13</v>
      </c>
      <c r="V20" s="17">
        <f t="shared" si="12"/>
        <v>26</v>
      </c>
      <c r="W20" s="17">
        <f t="shared" si="12"/>
        <v>1</v>
      </c>
      <c r="X20" s="17">
        <f t="shared" si="12"/>
        <v>0</v>
      </c>
      <c r="Y20" s="17">
        <f t="shared" si="12"/>
        <v>27</v>
      </c>
      <c r="Z20" s="17">
        <f t="shared" si="12"/>
        <v>7</v>
      </c>
      <c r="AA20" s="17">
        <f t="shared" si="12"/>
        <v>1</v>
      </c>
      <c r="AB20" s="17">
        <f t="shared" si="12"/>
        <v>2</v>
      </c>
      <c r="AC20" s="17">
        <f t="shared" si="12"/>
        <v>280</v>
      </c>
      <c r="AD20" s="17">
        <f t="shared" si="12"/>
        <v>0</v>
      </c>
      <c r="AE20" s="31">
        <f t="shared" si="12"/>
        <v>159</v>
      </c>
      <c r="AF20" s="31">
        <f t="shared" si="12"/>
        <v>439</v>
      </c>
    </row>
    <row r="21" spans="2:32" ht="23.1" customHeight="1" x14ac:dyDescent="0.25">
      <c r="B21" s="45" t="s">
        <v>48</v>
      </c>
      <c r="C21" s="50">
        <v>8</v>
      </c>
      <c r="D21" s="50">
        <v>1</v>
      </c>
      <c r="E21" s="50">
        <v>0</v>
      </c>
      <c r="F21" s="50">
        <v>6</v>
      </c>
      <c r="G21" s="50">
        <v>1</v>
      </c>
      <c r="H21" s="50">
        <v>0</v>
      </c>
      <c r="I21" s="50">
        <v>12</v>
      </c>
      <c r="J21" s="50">
        <v>1</v>
      </c>
      <c r="K21" s="50">
        <v>0</v>
      </c>
      <c r="L21" s="50">
        <v>0</v>
      </c>
      <c r="M21" s="50">
        <v>68</v>
      </c>
      <c r="N21" s="50">
        <v>0</v>
      </c>
      <c r="O21" s="15">
        <f t="shared" si="0"/>
        <v>29</v>
      </c>
      <c r="P21" s="15">
        <f t="shared" si="1"/>
        <v>97</v>
      </c>
      <c r="R21" s="36" t="s">
        <v>20</v>
      </c>
      <c r="S21" s="34">
        <f t="shared" ref="S21:AF21" si="13">SUM(C54:C57)</f>
        <v>58</v>
      </c>
      <c r="T21" s="17">
        <f t="shared" si="13"/>
        <v>6</v>
      </c>
      <c r="U21" s="17">
        <f t="shared" si="13"/>
        <v>3</v>
      </c>
      <c r="V21" s="17">
        <f t="shared" si="13"/>
        <v>25</v>
      </c>
      <c r="W21" s="17">
        <f t="shared" si="13"/>
        <v>2</v>
      </c>
      <c r="X21" s="17">
        <f t="shared" si="13"/>
        <v>0</v>
      </c>
      <c r="Y21" s="17">
        <f t="shared" si="13"/>
        <v>19</v>
      </c>
      <c r="Z21" s="17">
        <f t="shared" si="13"/>
        <v>6</v>
      </c>
      <c r="AA21" s="17">
        <f t="shared" si="13"/>
        <v>0</v>
      </c>
      <c r="AB21" s="17">
        <f t="shared" si="13"/>
        <v>0</v>
      </c>
      <c r="AC21" s="17">
        <f t="shared" si="13"/>
        <v>213</v>
      </c>
      <c r="AD21" s="17">
        <f t="shared" si="13"/>
        <v>0</v>
      </c>
      <c r="AE21" s="31">
        <f t="shared" si="13"/>
        <v>119</v>
      </c>
      <c r="AF21" s="31">
        <f t="shared" si="13"/>
        <v>332</v>
      </c>
    </row>
    <row r="22" spans="2:32" ht="23.1" customHeight="1" x14ac:dyDescent="0.25">
      <c r="B22" s="45" t="s">
        <v>49</v>
      </c>
      <c r="C22" s="50">
        <v>22</v>
      </c>
      <c r="D22" s="50">
        <v>1</v>
      </c>
      <c r="E22" s="50">
        <v>4</v>
      </c>
      <c r="F22" s="50">
        <v>8</v>
      </c>
      <c r="G22" s="50">
        <v>0</v>
      </c>
      <c r="H22" s="50">
        <v>0</v>
      </c>
      <c r="I22" s="50">
        <v>13</v>
      </c>
      <c r="J22" s="50">
        <v>1</v>
      </c>
      <c r="K22" s="50">
        <v>2</v>
      </c>
      <c r="L22" s="50">
        <v>1</v>
      </c>
      <c r="M22" s="50">
        <v>80</v>
      </c>
      <c r="N22" s="50">
        <v>0</v>
      </c>
      <c r="O22" s="15">
        <f t="shared" si="0"/>
        <v>52</v>
      </c>
      <c r="P22" s="15">
        <f t="shared" si="1"/>
        <v>132</v>
      </c>
      <c r="R22" s="36" t="s">
        <v>146</v>
      </c>
      <c r="S22" s="34">
        <f>SUM(C58:C61)</f>
        <v>35</v>
      </c>
      <c r="T22" s="34">
        <f t="shared" ref="T22:AF22" si="14">SUM(D58:D61)</f>
        <v>23</v>
      </c>
      <c r="U22" s="34">
        <f t="shared" si="14"/>
        <v>14</v>
      </c>
      <c r="V22" s="34">
        <f t="shared" si="14"/>
        <v>23</v>
      </c>
      <c r="W22" s="34">
        <f t="shared" si="14"/>
        <v>2</v>
      </c>
      <c r="X22" s="34">
        <f t="shared" si="14"/>
        <v>0</v>
      </c>
      <c r="Y22" s="34">
        <f t="shared" si="14"/>
        <v>16</v>
      </c>
      <c r="Z22" s="34">
        <f t="shared" si="14"/>
        <v>3</v>
      </c>
      <c r="AA22" s="34">
        <f t="shared" si="14"/>
        <v>1</v>
      </c>
      <c r="AB22" s="34">
        <f t="shared" si="14"/>
        <v>1</v>
      </c>
      <c r="AC22" s="34">
        <f t="shared" si="14"/>
        <v>334</v>
      </c>
      <c r="AD22" s="34">
        <f t="shared" si="14"/>
        <v>0</v>
      </c>
      <c r="AE22" s="31">
        <f t="shared" si="14"/>
        <v>118</v>
      </c>
      <c r="AF22" s="31">
        <f t="shared" si="14"/>
        <v>452</v>
      </c>
    </row>
    <row r="23" spans="2:32" ht="23.1" customHeight="1" x14ac:dyDescent="0.25">
      <c r="B23" s="45" t="s">
        <v>50</v>
      </c>
      <c r="C23" s="50">
        <v>18</v>
      </c>
      <c r="D23" s="50">
        <v>4</v>
      </c>
      <c r="E23" s="50">
        <v>6</v>
      </c>
      <c r="F23" s="50">
        <v>4</v>
      </c>
      <c r="G23" s="50">
        <v>0</v>
      </c>
      <c r="H23" s="50">
        <v>0</v>
      </c>
      <c r="I23" s="50">
        <v>10</v>
      </c>
      <c r="J23" s="50">
        <v>3</v>
      </c>
      <c r="K23" s="50">
        <v>1</v>
      </c>
      <c r="L23" s="50">
        <v>1</v>
      </c>
      <c r="M23" s="50">
        <v>90</v>
      </c>
      <c r="N23" s="50">
        <v>0</v>
      </c>
      <c r="O23" s="15">
        <f t="shared" si="0"/>
        <v>47</v>
      </c>
      <c r="P23" s="15">
        <f t="shared" si="1"/>
        <v>137</v>
      </c>
      <c r="R23" s="36" t="s">
        <v>147</v>
      </c>
      <c r="S23" s="34">
        <f>SUM(C62:C65)</f>
        <v>54</v>
      </c>
      <c r="T23" s="34">
        <f t="shared" ref="T23:AF23" si="15">SUM(D62:D65)</f>
        <v>12</v>
      </c>
      <c r="U23" s="34">
        <f t="shared" si="15"/>
        <v>13</v>
      </c>
      <c r="V23" s="34">
        <f t="shared" si="15"/>
        <v>28</v>
      </c>
      <c r="W23" s="34">
        <f t="shared" si="15"/>
        <v>0</v>
      </c>
      <c r="X23" s="34">
        <f t="shared" si="15"/>
        <v>0</v>
      </c>
      <c r="Y23" s="34">
        <f t="shared" si="15"/>
        <v>14</v>
      </c>
      <c r="Z23" s="34">
        <f t="shared" si="15"/>
        <v>5</v>
      </c>
      <c r="AA23" s="34">
        <f t="shared" si="15"/>
        <v>0</v>
      </c>
      <c r="AB23" s="34">
        <f t="shared" si="15"/>
        <v>1</v>
      </c>
      <c r="AC23" s="34">
        <f t="shared" si="15"/>
        <v>394</v>
      </c>
      <c r="AD23" s="34">
        <f t="shared" si="15"/>
        <v>0</v>
      </c>
      <c r="AE23" s="31">
        <f t="shared" si="15"/>
        <v>127</v>
      </c>
      <c r="AF23" s="31">
        <f t="shared" si="15"/>
        <v>521</v>
      </c>
    </row>
    <row r="24" spans="2:32" ht="23.1" customHeight="1" x14ac:dyDescent="0.25">
      <c r="B24" s="45" t="s">
        <v>51</v>
      </c>
      <c r="C24" s="50">
        <v>17</v>
      </c>
      <c r="D24" s="50">
        <v>6</v>
      </c>
      <c r="E24" s="50">
        <v>5</v>
      </c>
      <c r="F24" s="50">
        <v>7</v>
      </c>
      <c r="G24" s="50">
        <v>0</v>
      </c>
      <c r="H24" s="50">
        <v>0</v>
      </c>
      <c r="I24" s="50">
        <v>6</v>
      </c>
      <c r="J24" s="50">
        <v>1</v>
      </c>
      <c r="K24" s="50">
        <v>0</v>
      </c>
      <c r="L24" s="50">
        <v>0</v>
      </c>
      <c r="M24" s="50">
        <v>64</v>
      </c>
      <c r="N24" s="50">
        <v>0</v>
      </c>
      <c r="O24" s="15">
        <f t="shared" si="0"/>
        <v>42</v>
      </c>
      <c r="P24" s="15">
        <f t="shared" si="1"/>
        <v>106</v>
      </c>
      <c r="R24" s="36" t="s">
        <v>148</v>
      </c>
      <c r="S24" s="34">
        <f>SUM(C66:C69)</f>
        <v>44</v>
      </c>
      <c r="T24" s="34">
        <f t="shared" ref="T24:AF24" si="16">SUM(D66:D69)</f>
        <v>9</v>
      </c>
      <c r="U24" s="34">
        <f t="shared" si="16"/>
        <v>7</v>
      </c>
      <c r="V24" s="34">
        <f t="shared" si="16"/>
        <v>30</v>
      </c>
      <c r="W24" s="34">
        <f t="shared" si="16"/>
        <v>2</v>
      </c>
      <c r="X24" s="34">
        <f t="shared" si="16"/>
        <v>0</v>
      </c>
      <c r="Y24" s="34">
        <f t="shared" si="16"/>
        <v>5</v>
      </c>
      <c r="Z24" s="34">
        <f t="shared" si="16"/>
        <v>3</v>
      </c>
      <c r="AA24" s="34">
        <f t="shared" si="16"/>
        <v>1</v>
      </c>
      <c r="AB24" s="34">
        <f t="shared" si="16"/>
        <v>0</v>
      </c>
      <c r="AC24" s="34">
        <f t="shared" si="16"/>
        <v>383</v>
      </c>
      <c r="AD24" s="34">
        <f t="shared" si="16"/>
        <v>0</v>
      </c>
      <c r="AE24" s="31">
        <f t="shared" si="16"/>
        <v>101</v>
      </c>
      <c r="AF24" s="31">
        <f t="shared" si="16"/>
        <v>484</v>
      </c>
    </row>
    <row r="25" spans="2:32" ht="23.1" customHeight="1" x14ac:dyDescent="0.25">
      <c r="B25" s="45" t="s">
        <v>52</v>
      </c>
      <c r="C25" s="50">
        <v>16</v>
      </c>
      <c r="D25" s="50">
        <v>3</v>
      </c>
      <c r="E25" s="50">
        <v>9</v>
      </c>
      <c r="F25" s="50">
        <v>8</v>
      </c>
      <c r="G25" s="50">
        <v>0</v>
      </c>
      <c r="H25" s="50">
        <v>0</v>
      </c>
      <c r="I25" s="50">
        <v>8</v>
      </c>
      <c r="J25" s="50">
        <v>0</v>
      </c>
      <c r="K25" s="50">
        <v>0</v>
      </c>
      <c r="L25" s="50">
        <v>1</v>
      </c>
      <c r="M25" s="50">
        <v>68</v>
      </c>
      <c r="N25" s="50">
        <v>0</v>
      </c>
      <c r="O25" s="15">
        <f t="shared" si="0"/>
        <v>45</v>
      </c>
      <c r="P25" s="15">
        <f t="shared" si="1"/>
        <v>113</v>
      </c>
      <c r="R25" s="36" t="s">
        <v>149</v>
      </c>
      <c r="S25" s="34">
        <f>SUM(C70:C73)</f>
        <v>24</v>
      </c>
      <c r="T25" s="34">
        <f t="shared" ref="T25:AF25" si="17">SUM(D70:D73)</f>
        <v>8</v>
      </c>
      <c r="U25" s="34">
        <f t="shared" si="17"/>
        <v>5</v>
      </c>
      <c r="V25" s="34">
        <f t="shared" si="17"/>
        <v>16</v>
      </c>
      <c r="W25" s="34">
        <f t="shared" si="17"/>
        <v>1</v>
      </c>
      <c r="X25" s="34">
        <f t="shared" si="17"/>
        <v>1</v>
      </c>
      <c r="Y25" s="34">
        <f t="shared" si="17"/>
        <v>8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238</v>
      </c>
      <c r="AD25" s="34">
        <f t="shared" si="17"/>
        <v>0</v>
      </c>
      <c r="AE25" s="31">
        <f t="shared" si="17"/>
        <v>64</v>
      </c>
      <c r="AF25" s="31">
        <f t="shared" si="17"/>
        <v>302</v>
      </c>
    </row>
    <row r="26" spans="2:32" ht="23.1" customHeight="1" x14ac:dyDescent="0.25">
      <c r="B26" s="45" t="s">
        <v>53</v>
      </c>
      <c r="C26" s="50">
        <v>26</v>
      </c>
      <c r="D26" s="50">
        <v>4</v>
      </c>
      <c r="E26" s="50">
        <v>9</v>
      </c>
      <c r="F26" s="50">
        <v>7</v>
      </c>
      <c r="G26" s="50">
        <v>0</v>
      </c>
      <c r="H26" s="50">
        <v>0</v>
      </c>
      <c r="I26" s="50">
        <v>13</v>
      </c>
      <c r="J26" s="50">
        <v>1</v>
      </c>
      <c r="K26" s="50">
        <v>0</v>
      </c>
      <c r="L26" s="50">
        <v>0</v>
      </c>
      <c r="M26" s="50">
        <v>79</v>
      </c>
      <c r="N26" s="50">
        <v>0</v>
      </c>
      <c r="O26" s="15">
        <f t="shared" si="0"/>
        <v>60</v>
      </c>
      <c r="P26" s="15">
        <f t="shared" si="1"/>
        <v>139</v>
      </c>
      <c r="R26" s="36" t="s">
        <v>150</v>
      </c>
      <c r="S26" s="34">
        <f>SUM(C74:C77)</f>
        <v>38</v>
      </c>
      <c r="T26" s="34">
        <f t="shared" ref="T26:AF26" si="18">SUM(D74:D77)</f>
        <v>7</v>
      </c>
      <c r="U26" s="34">
        <f t="shared" si="18"/>
        <v>7</v>
      </c>
      <c r="V26" s="34">
        <f t="shared" si="18"/>
        <v>22</v>
      </c>
      <c r="W26" s="34">
        <f t="shared" si="18"/>
        <v>0</v>
      </c>
      <c r="X26" s="34">
        <f t="shared" si="18"/>
        <v>0</v>
      </c>
      <c r="Y26" s="34">
        <f t="shared" si="18"/>
        <v>7</v>
      </c>
      <c r="Z26" s="34">
        <f t="shared" si="18"/>
        <v>3</v>
      </c>
      <c r="AA26" s="34">
        <f t="shared" si="18"/>
        <v>0</v>
      </c>
      <c r="AB26" s="34">
        <f t="shared" si="18"/>
        <v>0</v>
      </c>
      <c r="AC26" s="34">
        <f t="shared" si="18"/>
        <v>180</v>
      </c>
      <c r="AD26" s="34">
        <f t="shared" si="18"/>
        <v>0</v>
      </c>
      <c r="AE26" s="31">
        <f t="shared" si="18"/>
        <v>84</v>
      </c>
      <c r="AF26" s="31">
        <f t="shared" si="18"/>
        <v>264</v>
      </c>
    </row>
    <row r="27" spans="2:32" ht="23.1" customHeight="1" x14ac:dyDescent="0.25">
      <c r="B27" s="45" t="s">
        <v>54</v>
      </c>
      <c r="C27" s="50">
        <v>34</v>
      </c>
      <c r="D27" s="50">
        <v>2</v>
      </c>
      <c r="E27" s="50">
        <v>8</v>
      </c>
      <c r="F27" s="50">
        <v>9</v>
      </c>
      <c r="G27" s="50">
        <v>0</v>
      </c>
      <c r="H27" s="50">
        <v>0</v>
      </c>
      <c r="I27" s="50">
        <v>6</v>
      </c>
      <c r="J27" s="50">
        <v>2</v>
      </c>
      <c r="K27" s="50">
        <v>0</v>
      </c>
      <c r="L27" s="50">
        <v>0</v>
      </c>
      <c r="M27" s="50">
        <v>85</v>
      </c>
      <c r="N27" s="50">
        <v>0</v>
      </c>
      <c r="O27" s="15">
        <f t="shared" si="0"/>
        <v>61</v>
      </c>
      <c r="P27" s="15">
        <f t="shared" si="1"/>
        <v>146</v>
      </c>
      <c r="R27" s="36" t="s">
        <v>151</v>
      </c>
      <c r="S27" s="34">
        <f>SUM(C78:C81)</f>
        <v>19</v>
      </c>
      <c r="T27" s="34">
        <f t="shared" ref="T27:AF27" si="19">SUM(D78:D81)</f>
        <v>6</v>
      </c>
      <c r="U27" s="34">
        <f t="shared" si="19"/>
        <v>3</v>
      </c>
      <c r="V27" s="34">
        <f t="shared" si="19"/>
        <v>14</v>
      </c>
      <c r="W27" s="34">
        <f t="shared" si="19"/>
        <v>0</v>
      </c>
      <c r="X27" s="34">
        <f t="shared" si="19"/>
        <v>0</v>
      </c>
      <c r="Y27" s="34">
        <f t="shared" si="19"/>
        <v>7</v>
      </c>
      <c r="Z27" s="34">
        <f t="shared" si="19"/>
        <v>4</v>
      </c>
      <c r="AA27" s="34">
        <f t="shared" si="19"/>
        <v>0</v>
      </c>
      <c r="AB27" s="34">
        <f t="shared" si="19"/>
        <v>0</v>
      </c>
      <c r="AC27" s="34">
        <f t="shared" si="19"/>
        <v>65</v>
      </c>
      <c r="AD27" s="34">
        <f t="shared" si="19"/>
        <v>0</v>
      </c>
      <c r="AE27" s="31">
        <f t="shared" si="19"/>
        <v>53</v>
      </c>
      <c r="AF27" s="31">
        <f t="shared" si="19"/>
        <v>118</v>
      </c>
    </row>
    <row r="28" spans="2:32" ht="23.1" customHeight="1" x14ac:dyDescent="0.25">
      <c r="B28" s="45" t="s">
        <v>55</v>
      </c>
      <c r="C28" s="50">
        <v>30</v>
      </c>
      <c r="D28" s="50">
        <v>1</v>
      </c>
      <c r="E28" s="50">
        <v>5</v>
      </c>
      <c r="F28" s="50">
        <v>10</v>
      </c>
      <c r="G28" s="50">
        <v>0</v>
      </c>
      <c r="H28" s="50">
        <v>0</v>
      </c>
      <c r="I28" s="50">
        <v>11</v>
      </c>
      <c r="J28" s="50">
        <v>1</v>
      </c>
      <c r="K28" s="50">
        <v>0</v>
      </c>
      <c r="L28" s="50">
        <v>0</v>
      </c>
      <c r="M28" s="50">
        <v>60</v>
      </c>
      <c r="N28" s="50">
        <v>0</v>
      </c>
      <c r="O28" s="15">
        <f t="shared" si="0"/>
        <v>58</v>
      </c>
      <c r="P28" s="15">
        <f t="shared" si="1"/>
        <v>118</v>
      </c>
      <c r="R28" s="36" t="s">
        <v>152</v>
      </c>
      <c r="S28" s="34">
        <f>SUM(C82:C85)</f>
        <v>27</v>
      </c>
      <c r="T28" s="34">
        <f t="shared" ref="T28:AF28" si="20">SUM(D82:D85)</f>
        <v>1</v>
      </c>
      <c r="U28" s="34">
        <f t="shared" si="20"/>
        <v>4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1</v>
      </c>
      <c r="AA28" s="34">
        <f t="shared" si="20"/>
        <v>1</v>
      </c>
      <c r="AB28" s="34">
        <f t="shared" si="20"/>
        <v>0</v>
      </c>
      <c r="AC28" s="34">
        <f t="shared" si="20"/>
        <v>44</v>
      </c>
      <c r="AD28" s="34">
        <f t="shared" si="20"/>
        <v>0</v>
      </c>
      <c r="AE28" s="31">
        <f t="shared" si="20"/>
        <v>40</v>
      </c>
      <c r="AF28" s="31">
        <f t="shared" si="20"/>
        <v>84</v>
      </c>
    </row>
    <row r="29" spans="2:32" ht="23.1" customHeight="1" x14ac:dyDescent="0.25">
      <c r="B29" s="45" t="s">
        <v>56</v>
      </c>
      <c r="C29" s="50">
        <v>25</v>
      </c>
      <c r="D29" s="50">
        <v>4</v>
      </c>
      <c r="E29" s="50">
        <v>2</v>
      </c>
      <c r="F29" s="50">
        <v>5</v>
      </c>
      <c r="G29" s="50">
        <v>0</v>
      </c>
      <c r="H29" s="50">
        <v>0</v>
      </c>
      <c r="I29" s="50">
        <v>10</v>
      </c>
      <c r="J29" s="50">
        <v>3</v>
      </c>
      <c r="K29" s="50">
        <v>1</v>
      </c>
      <c r="L29" s="50">
        <v>0</v>
      </c>
      <c r="M29" s="50">
        <v>80</v>
      </c>
      <c r="N29" s="50">
        <v>0</v>
      </c>
      <c r="O29" s="15">
        <f t="shared" si="0"/>
        <v>50</v>
      </c>
      <c r="P29" s="15">
        <f t="shared" si="1"/>
        <v>130</v>
      </c>
      <c r="R29" s="36" t="s">
        <v>153</v>
      </c>
      <c r="S29" s="34">
        <f>SUM(C86:C89)</f>
        <v>4</v>
      </c>
      <c r="T29" s="34">
        <f t="shared" ref="T29:AF29" si="21">SUM(D86:D89)</f>
        <v>3</v>
      </c>
      <c r="U29" s="34">
        <f t="shared" si="21"/>
        <v>1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2</v>
      </c>
      <c r="AC29" s="34">
        <f t="shared" si="21"/>
        <v>20</v>
      </c>
      <c r="AD29" s="34">
        <f t="shared" si="21"/>
        <v>0</v>
      </c>
      <c r="AE29" s="31">
        <f t="shared" si="21"/>
        <v>16</v>
      </c>
      <c r="AF29" s="31">
        <f t="shared" si="21"/>
        <v>36</v>
      </c>
    </row>
    <row r="30" spans="2:32" ht="23.1" customHeight="1" x14ac:dyDescent="0.25">
      <c r="B30" s="45" t="s">
        <v>57</v>
      </c>
      <c r="C30" s="50">
        <v>24</v>
      </c>
      <c r="D30" s="50">
        <v>4</v>
      </c>
      <c r="E30" s="50">
        <v>7</v>
      </c>
      <c r="F30" s="50">
        <v>10</v>
      </c>
      <c r="G30" s="50">
        <v>1</v>
      </c>
      <c r="H30" s="50">
        <v>0</v>
      </c>
      <c r="I30" s="50">
        <v>4</v>
      </c>
      <c r="J30" s="50">
        <v>1</v>
      </c>
      <c r="K30" s="50">
        <v>1</v>
      </c>
      <c r="L30" s="50">
        <v>0</v>
      </c>
      <c r="M30" s="50">
        <v>45</v>
      </c>
      <c r="N30" s="50">
        <v>0</v>
      </c>
      <c r="O30" s="15">
        <f t="shared" si="0"/>
        <v>52</v>
      </c>
      <c r="P30" s="15">
        <f t="shared" si="1"/>
        <v>97</v>
      </c>
      <c r="R30" s="36" t="s">
        <v>154</v>
      </c>
      <c r="S30" s="34">
        <f>SUM(C90:C93)</f>
        <v>1</v>
      </c>
      <c r="T30" s="34">
        <f t="shared" ref="T30:AF30" si="22">SUM(D90:D93)</f>
        <v>2</v>
      </c>
      <c r="U30" s="34">
        <f t="shared" si="22"/>
        <v>0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14</v>
      </c>
      <c r="AD30" s="34">
        <f t="shared" si="22"/>
        <v>0</v>
      </c>
      <c r="AE30" s="31">
        <f t="shared" si="22"/>
        <v>7</v>
      </c>
      <c r="AF30" s="31">
        <f t="shared" si="22"/>
        <v>21</v>
      </c>
    </row>
    <row r="31" spans="2:32" ht="23.1" customHeight="1" x14ac:dyDescent="0.25">
      <c r="B31" s="46" t="s">
        <v>58</v>
      </c>
      <c r="C31" s="50">
        <v>23</v>
      </c>
      <c r="D31" s="50">
        <v>4</v>
      </c>
      <c r="E31" s="50">
        <v>3</v>
      </c>
      <c r="F31" s="50">
        <v>5</v>
      </c>
      <c r="G31" s="50">
        <v>0</v>
      </c>
      <c r="H31" s="50">
        <v>0</v>
      </c>
      <c r="I31" s="50">
        <v>7</v>
      </c>
      <c r="J31" s="50">
        <v>1</v>
      </c>
      <c r="K31" s="50">
        <v>0</v>
      </c>
      <c r="L31" s="50">
        <v>1</v>
      </c>
      <c r="M31" s="50">
        <v>60</v>
      </c>
      <c r="N31" s="50">
        <v>0</v>
      </c>
      <c r="O31" s="15">
        <f t="shared" si="0"/>
        <v>44</v>
      </c>
      <c r="P31" s="15">
        <f t="shared" si="1"/>
        <v>104</v>
      </c>
      <c r="R31" s="36" t="s">
        <v>155</v>
      </c>
      <c r="S31" s="34">
        <f>SUM(C94:C97)</f>
        <v>7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7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28</v>
      </c>
      <c r="AD31" s="34">
        <f t="shared" si="23"/>
        <v>0</v>
      </c>
      <c r="AE31" s="31">
        <f t="shared" si="23"/>
        <v>17</v>
      </c>
      <c r="AF31" s="31">
        <f t="shared" si="23"/>
        <v>45</v>
      </c>
    </row>
    <row r="32" spans="2:32" ht="23.1" customHeight="1" x14ac:dyDescent="0.25">
      <c r="B32" s="46" t="s">
        <v>59</v>
      </c>
      <c r="C32" s="50">
        <v>21</v>
      </c>
      <c r="D32" s="50">
        <v>3</v>
      </c>
      <c r="E32" s="50">
        <v>3</v>
      </c>
      <c r="F32" s="50">
        <v>8</v>
      </c>
      <c r="G32" s="50">
        <v>0</v>
      </c>
      <c r="H32" s="50">
        <v>0</v>
      </c>
      <c r="I32" s="50">
        <v>6</v>
      </c>
      <c r="J32" s="50">
        <v>1</v>
      </c>
      <c r="K32" s="50">
        <v>1</v>
      </c>
      <c r="L32" s="50">
        <v>2</v>
      </c>
      <c r="M32" s="50">
        <v>60</v>
      </c>
      <c r="N32" s="50">
        <v>0</v>
      </c>
      <c r="O32" s="15">
        <f t="shared" si="0"/>
        <v>45</v>
      </c>
      <c r="P32" s="15">
        <f t="shared" si="1"/>
        <v>105</v>
      </c>
      <c r="R32" s="33" t="s">
        <v>156</v>
      </c>
      <c r="S32" s="34">
        <f>SUM(C98:C101)</f>
        <v>4</v>
      </c>
      <c r="T32" s="34">
        <f t="shared" ref="T32:AF32" si="24">SUM(D98:D101)</f>
        <v>0</v>
      </c>
      <c r="U32" s="34">
        <f t="shared" si="24"/>
        <v>2</v>
      </c>
      <c r="V32" s="34">
        <f t="shared" si="24"/>
        <v>20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4</v>
      </c>
      <c r="AA32" s="34">
        <f t="shared" si="24"/>
        <v>0</v>
      </c>
      <c r="AB32" s="34">
        <f t="shared" si="24"/>
        <v>0</v>
      </c>
      <c r="AC32" s="34">
        <f t="shared" si="24"/>
        <v>51</v>
      </c>
      <c r="AD32" s="34">
        <f t="shared" si="24"/>
        <v>0</v>
      </c>
      <c r="AE32" s="31">
        <f t="shared" si="24"/>
        <v>36</v>
      </c>
      <c r="AF32" s="31">
        <f t="shared" si="24"/>
        <v>87</v>
      </c>
    </row>
    <row r="33" spans="2:32" ht="23.1" customHeight="1" x14ac:dyDescent="0.25">
      <c r="B33" s="45" t="s">
        <v>60</v>
      </c>
      <c r="C33" s="50">
        <v>26</v>
      </c>
      <c r="D33" s="50">
        <v>3</v>
      </c>
      <c r="E33" s="50">
        <v>4</v>
      </c>
      <c r="F33" s="50">
        <v>11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75</v>
      </c>
      <c r="N33" s="50">
        <v>0</v>
      </c>
      <c r="O33" s="15">
        <f t="shared" si="0"/>
        <v>48</v>
      </c>
      <c r="P33" s="15">
        <f t="shared" si="1"/>
        <v>123</v>
      </c>
      <c r="R33" s="33" t="s">
        <v>157</v>
      </c>
      <c r="S33" s="34">
        <f>SUM(C102:C105)</f>
        <v>15</v>
      </c>
      <c r="T33" s="34">
        <f t="shared" ref="T33:AF33" si="25">SUM(D102:D105)</f>
        <v>10</v>
      </c>
      <c r="U33" s="34">
        <f t="shared" si="25"/>
        <v>1</v>
      </c>
      <c r="V33" s="34">
        <f t="shared" si="25"/>
        <v>17</v>
      </c>
      <c r="W33" s="34">
        <f t="shared" si="25"/>
        <v>0</v>
      </c>
      <c r="X33" s="34">
        <f t="shared" si="25"/>
        <v>0</v>
      </c>
      <c r="Y33" s="34">
        <f t="shared" si="25"/>
        <v>10</v>
      </c>
      <c r="Z33" s="34">
        <f t="shared" si="25"/>
        <v>2</v>
      </c>
      <c r="AA33" s="34">
        <f t="shared" si="25"/>
        <v>1</v>
      </c>
      <c r="AB33" s="34">
        <f t="shared" si="25"/>
        <v>0</v>
      </c>
      <c r="AC33" s="34">
        <f t="shared" si="25"/>
        <v>120</v>
      </c>
      <c r="AD33" s="34">
        <f t="shared" si="25"/>
        <v>0</v>
      </c>
      <c r="AE33" s="31">
        <f t="shared" si="25"/>
        <v>56</v>
      </c>
      <c r="AF33" s="31">
        <f t="shared" si="25"/>
        <v>176</v>
      </c>
    </row>
    <row r="34" spans="2:32" ht="23.1" customHeight="1" x14ac:dyDescent="0.25">
      <c r="B34" s="46" t="s">
        <v>61</v>
      </c>
      <c r="C34" s="50">
        <v>19</v>
      </c>
      <c r="D34" s="50">
        <v>3</v>
      </c>
      <c r="E34" s="50">
        <v>10</v>
      </c>
      <c r="F34" s="50">
        <v>10</v>
      </c>
      <c r="G34" s="50">
        <v>0</v>
      </c>
      <c r="H34" s="50">
        <v>0</v>
      </c>
      <c r="I34" s="50">
        <v>7</v>
      </c>
      <c r="J34" s="50">
        <v>0</v>
      </c>
      <c r="K34" s="50">
        <v>0</v>
      </c>
      <c r="L34" s="50">
        <v>2</v>
      </c>
      <c r="M34" s="50">
        <v>50</v>
      </c>
      <c r="N34" s="50">
        <v>0</v>
      </c>
      <c r="O34" s="15">
        <f t="shared" si="0"/>
        <v>51</v>
      </c>
      <c r="P34" s="15">
        <f t="shared" si="1"/>
        <v>101</v>
      </c>
      <c r="R34" s="38" t="s">
        <v>90</v>
      </c>
      <c r="S34" s="39">
        <f t="shared" ref="S34:AF34" si="26">MAX(S10:S12)</f>
        <v>57</v>
      </c>
      <c r="T34" s="39">
        <f t="shared" si="26"/>
        <v>9</v>
      </c>
      <c r="U34" s="39">
        <f t="shared" si="26"/>
        <v>17</v>
      </c>
      <c r="V34" s="39">
        <f t="shared" si="26"/>
        <v>32</v>
      </c>
      <c r="W34" s="39">
        <f t="shared" si="26"/>
        <v>3</v>
      </c>
      <c r="X34" s="39">
        <f t="shared" si="26"/>
        <v>0</v>
      </c>
      <c r="Y34" s="39">
        <f t="shared" si="26"/>
        <v>33</v>
      </c>
      <c r="Z34" s="39">
        <f t="shared" si="26"/>
        <v>8</v>
      </c>
      <c r="AA34" s="39">
        <f t="shared" si="26"/>
        <v>3</v>
      </c>
      <c r="AB34" s="39">
        <f t="shared" si="26"/>
        <v>2</v>
      </c>
      <c r="AC34" s="39">
        <f t="shared" si="26"/>
        <v>329</v>
      </c>
      <c r="AD34" s="39">
        <f t="shared" si="26"/>
        <v>0</v>
      </c>
      <c r="AE34" s="40">
        <f t="shared" si="26"/>
        <v>154</v>
      </c>
      <c r="AF34" s="40">
        <f t="shared" si="26"/>
        <v>483</v>
      </c>
    </row>
    <row r="35" spans="2:32" ht="23.1" customHeight="1" x14ac:dyDescent="0.25">
      <c r="B35" s="46" t="s">
        <v>62</v>
      </c>
      <c r="C35" s="50">
        <v>25</v>
      </c>
      <c r="D35" s="50">
        <v>4</v>
      </c>
      <c r="E35" s="50">
        <v>4</v>
      </c>
      <c r="F35" s="50">
        <v>5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78</v>
      </c>
      <c r="N35" s="50">
        <v>0</v>
      </c>
      <c r="O35" s="15">
        <f t="shared" si="0"/>
        <v>43</v>
      </c>
      <c r="P35" s="15">
        <f t="shared" si="1"/>
        <v>121</v>
      </c>
      <c r="R35" s="38" t="s">
        <v>91</v>
      </c>
      <c r="S35" s="39">
        <f t="shared" ref="S35:AF35" si="27">MAX(S13:S18)</f>
        <v>115</v>
      </c>
      <c r="T35" s="39">
        <f t="shared" si="27"/>
        <v>18</v>
      </c>
      <c r="U35" s="39">
        <f t="shared" si="27"/>
        <v>24</v>
      </c>
      <c r="V35" s="39">
        <f t="shared" si="27"/>
        <v>34</v>
      </c>
      <c r="W35" s="39">
        <f t="shared" si="27"/>
        <v>2</v>
      </c>
      <c r="X35" s="39">
        <f t="shared" si="27"/>
        <v>0</v>
      </c>
      <c r="Y35" s="39">
        <f t="shared" si="27"/>
        <v>40</v>
      </c>
      <c r="Z35" s="39">
        <f t="shared" si="27"/>
        <v>7</v>
      </c>
      <c r="AA35" s="39">
        <f t="shared" si="27"/>
        <v>4</v>
      </c>
      <c r="AB35" s="39">
        <f t="shared" si="27"/>
        <v>3</v>
      </c>
      <c r="AC35" s="39">
        <f t="shared" si="27"/>
        <v>304</v>
      </c>
      <c r="AD35" s="39">
        <f t="shared" si="27"/>
        <v>0</v>
      </c>
      <c r="AE35" s="40">
        <f t="shared" si="27"/>
        <v>229</v>
      </c>
      <c r="AF35" s="40">
        <f t="shared" si="27"/>
        <v>533</v>
      </c>
    </row>
    <row r="36" spans="2:32" ht="23.1" customHeight="1" x14ac:dyDescent="0.25">
      <c r="B36" s="46" t="s">
        <v>63</v>
      </c>
      <c r="C36" s="50">
        <v>21</v>
      </c>
      <c r="D36" s="50">
        <v>4</v>
      </c>
      <c r="E36" s="50">
        <v>3</v>
      </c>
      <c r="F36" s="50">
        <v>6</v>
      </c>
      <c r="G36" s="50">
        <v>0</v>
      </c>
      <c r="H36" s="50">
        <v>0</v>
      </c>
      <c r="I36" s="50">
        <v>5</v>
      </c>
      <c r="J36" s="50">
        <v>1</v>
      </c>
      <c r="K36" s="50">
        <v>0</v>
      </c>
      <c r="L36" s="50">
        <v>0</v>
      </c>
      <c r="M36" s="50">
        <v>60</v>
      </c>
      <c r="N36" s="50">
        <v>0</v>
      </c>
      <c r="O36" s="15">
        <f t="shared" si="0"/>
        <v>40</v>
      </c>
      <c r="P36" s="15">
        <f t="shared" si="1"/>
        <v>100</v>
      </c>
      <c r="R36" s="38" t="s">
        <v>92</v>
      </c>
      <c r="S36" s="39">
        <f t="shared" ref="S36:AF36" si="28">MAX(S19:S21)</f>
        <v>86</v>
      </c>
      <c r="T36" s="39">
        <f t="shared" si="28"/>
        <v>15</v>
      </c>
      <c r="U36" s="39">
        <f t="shared" si="28"/>
        <v>17</v>
      </c>
      <c r="V36" s="39">
        <f t="shared" si="28"/>
        <v>26</v>
      </c>
      <c r="W36" s="39">
        <f t="shared" si="28"/>
        <v>2</v>
      </c>
      <c r="X36" s="39">
        <f t="shared" si="28"/>
        <v>0</v>
      </c>
      <c r="Y36" s="39">
        <f t="shared" si="28"/>
        <v>27</v>
      </c>
      <c r="Z36" s="39">
        <f t="shared" si="28"/>
        <v>7</v>
      </c>
      <c r="AA36" s="39">
        <f t="shared" si="28"/>
        <v>2</v>
      </c>
      <c r="AB36" s="39">
        <f t="shared" si="28"/>
        <v>5</v>
      </c>
      <c r="AC36" s="39">
        <f t="shared" si="28"/>
        <v>350</v>
      </c>
      <c r="AD36" s="39">
        <f t="shared" si="28"/>
        <v>0</v>
      </c>
      <c r="AE36" s="40">
        <f t="shared" si="28"/>
        <v>177</v>
      </c>
      <c r="AF36" s="40">
        <f t="shared" si="28"/>
        <v>527</v>
      </c>
    </row>
    <row r="37" spans="2:32" ht="23.1" customHeight="1" x14ac:dyDescent="0.25">
      <c r="B37" s="45" t="s">
        <v>64</v>
      </c>
      <c r="C37" s="50">
        <v>24</v>
      </c>
      <c r="D37" s="50">
        <v>4</v>
      </c>
      <c r="E37" s="50">
        <v>6</v>
      </c>
      <c r="F37" s="50">
        <v>7</v>
      </c>
      <c r="G37" s="50">
        <v>0</v>
      </c>
      <c r="H37" s="50">
        <v>0</v>
      </c>
      <c r="I37" s="50">
        <v>6</v>
      </c>
      <c r="J37" s="50">
        <v>0</v>
      </c>
      <c r="K37" s="50">
        <v>1</v>
      </c>
      <c r="L37" s="50">
        <v>0</v>
      </c>
      <c r="M37" s="50">
        <v>79</v>
      </c>
      <c r="N37" s="50">
        <v>0</v>
      </c>
      <c r="O37" s="15">
        <f t="shared" si="0"/>
        <v>48</v>
      </c>
      <c r="P37" s="15">
        <f t="shared" si="1"/>
        <v>127</v>
      </c>
      <c r="R37" s="37" t="s">
        <v>85</v>
      </c>
      <c r="S37" s="35">
        <f t="shared" ref="S37:AF37" si="29">SUM(S10:S12)</f>
        <v>161</v>
      </c>
      <c r="T37" s="16">
        <f t="shared" si="29"/>
        <v>23</v>
      </c>
      <c r="U37" s="16">
        <f t="shared" si="29"/>
        <v>34</v>
      </c>
      <c r="V37" s="16">
        <f t="shared" si="29"/>
        <v>72</v>
      </c>
      <c r="W37" s="16">
        <f t="shared" si="29"/>
        <v>5</v>
      </c>
      <c r="X37" s="16">
        <f t="shared" si="29"/>
        <v>0</v>
      </c>
      <c r="Y37" s="16">
        <f t="shared" si="29"/>
        <v>79</v>
      </c>
      <c r="Z37" s="16">
        <f t="shared" si="29"/>
        <v>15</v>
      </c>
      <c r="AA37" s="16">
        <f t="shared" si="29"/>
        <v>6</v>
      </c>
      <c r="AB37" s="16">
        <f t="shared" si="29"/>
        <v>4</v>
      </c>
      <c r="AC37" s="16">
        <f t="shared" si="29"/>
        <v>866</v>
      </c>
      <c r="AD37" s="16">
        <f t="shared" si="29"/>
        <v>0</v>
      </c>
      <c r="AE37" s="32">
        <f t="shared" si="29"/>
        <v>399</v>
      </c>
      <c r="AF37" s="32">
        <f t="shared" si="29"/>
        <v>1265</v>
      </c>
    </row>
    <row r="38" spans="2:32" ht="23.1" customHeight="1" x14ac:dyDescent="0.25">
      <c r="B38" s="46" t="s">
        <v>65</v>
      </c>
      <c r="C38" s="50">
        <v>18</v>
      </c>
      <c r="D38" s="50">
        <v>5</v>
      </c>
      <c r="E38" s="50">
        <v>7</v>
      </c>
      <c r="F38" s="50">
        <v>6</v>
      </c>
      <c r="G38" s="50">
        <v>0</v>
      </c>
      <c r="H38" s="50">
        <v>0</v>
      </c>
      <c r="I38" s="50">
        <v>12</v>
      </c>
      <c r="J38" s="50">
        <v>1</v>
      </c>
      <c r="K38" s="50">
        <v>1</v>
      </c>
      <c r="L38" s="50">
        <v>1</v>
      </c>
      <c r="M38" s="50">
        <v>38</v>
      </c>
      <c r="N38" s="50">
        <v>0</v>
      </c>
      <c r="O38" s="15">
        <f t="shared" si="0"/>
        <v>51</v>
      </c>
      <c r="P38" s="15">
        <f t="shared" si="1"/>
        <v>89</v>
      </c>
      <c r="R38" s="28" t="s">
        <v>86</v>
      </c>
      <c r="S38" s="16">
        <f t="shared" ref="S38:AF38" si="30">SUM(S13:S18)</f>
        <v>536</v>
      </c>
      <c r="T38" s="16">
        <f t="shared" si="30"/>
        <v>80</v>
      </c>
      <c r="U38" s="16">
        <f t="shared" si="30"/>
        <v>125</v>
      </c>
      <c r="V38" s="16">
        <f t="shared" si="30"/>
        <v>168</v>
      </c>
      <c r="W38" s="16">
        <f t="shared" si="30"/>
        <v>3</v>
      </c>
      <c r="X38" s="16">
        <f t="shared" si="30"/>
        <v>0</v>
      </c>
      <c r="Y38" s="16">
        <f t="shared" si="30"/>
        <v>176</v>
      </c>
      <c r="Z38" s="16">
        <f t="shared" si="30"/>
        <v>20</v>
      </c>
      <c r="AA38" s="16">
        <f t="shared" si="30"/>
        <v>14</v>
      </c>
      <c r="AB38" s="16">
        <f t="shared" si="30"/>
        <v>12</v>
      </c>
      <c r="AC38" s="16">
        <f t="shared" si="30"/>
        <v>1578</v>
      </c>
      <c r="AD38" s="16">
        <f t="shared" si="30"/>
        <v>0</v>
      </c>
      <c r="AE38" s="32">
        <f t="shared" si="30"/>
        <v>1134</v>
      </c>
      <c r="AF38" s="32">
        <f t="shared" si="30"/>
        <v>2712</v>
      </c>
    </row>
    <row r="39" spans="2:32" ht="23.1" customHeight="1" x14ac:dyDescent="0.25">
      <c r="B39" s="46" t="s">
        <v>66</v>
      </c>
      <c r="C39" s="50">
        <v>20</v>
      </c>
      <c r="D39" s="50">
        <v>3</v>
      </c>
      <c r="E39" s="50">
        <v>4</v>
      </c>
      <c r="F39" s="50">
        <v>2</v>
      </c>
      <c r="G39" s="50">
        <v>0</v>
      </c>
      <c r="H39" s="50">
        <v>0</v>
      </c>
      <c r="I39" s="50">
        <v>9</v>
      </c>
      <c r="J39" s="50">
        <v>1</v>
      </c>
      <c r="K39" s="50">
        <v>2</v>
      </c>
      <c r="L39" s="50">
        <v>2</v>
      </c>
      <c r="M39" s="50">
        <v>15</v>
      </c>
      <c r="N39" s="50">
        <v>0</v>
      </c>
      <c r="O39" s="15">
        <f t="shared" si="0"/>
        <v>43</v>
      </c>
      <c r="P39" s="15">
        <f t="shared" si="1"/>
        <v>58</v>
      </c>
      <c r="R39" s="29" t="s">
        <v>87</v>
      </c>
      <c r="S39" s="16">
        <f t="shared" ref="S39:AF39" si="31">SUM(S19:S21)</f>
        <v>221</v>
      </c>
      <c r="T39" s="16">
        <f t="shared" si="31"/>
        <v>26</v>
      </c>
      <c r="U39" s="16">
        <f t="shared" si="31"/>
        <v>33</v>
      </c>
      <c r="V39" s="16">
        <f t="shared" si="31"/>
        <v>76</v>
      </c>
      <c r="W39" s="16">
        <f t="shared" si="31"/>
        <v>4</v>
      </c>
      <c r="X39" s="16">
        <f t="shared" si="31"/>
        <v>0</v>
      </c>
      <c r="Y39" s="16">
        <f t="shared" si="31"/>
        <v>69</v>
      </c>
      <c r="Z39" s="16">
        <f t="shared" si="31"/>
        <v>16</v>
      </c>
      <c r="AA39" s="16">
        <f t="shared" si="31"/>
        <v>3</v>
      </c>
      <c r="AB39" s="16">
        <f t="shared" si="31"/>
        <v>7</v>
      </c>
      <c r="AC39" s="16">
        <f t="shared" si="31"/>
        <v>843</v>
      </c>
      <c r="AD39" s="16">
        <f t="shared" si="31"/>
        <v>0</v>
      </c>
      <c r="AE39" s="32">
        <f t="shared" si="31"/>
        <v>455</v>
      </c>
      <c r="AF39" s="32">
        <f t="shared" si="31"/>
        <v>1298</v>
      </c>
    </row>
    <row r="40" spans="2:32" ht="23.1" customHeight="1" x14ac:dyDescent="0.25">
      <c r="B40" s="46" t="s">
        <v>67</v>
      </c>
      <c r="C40" s="50">
        <v>25</v>
      </c>
      <c r="D40" s="50">
        <v>3</v>
      </c>
      <c r="E40" s="50">
        <v>5</v>
      </c>
      <c r="F40" s="50">
        <v>6</v>
      </c>
      <c r="G40" s="50">
        <v>0</v>
      </c>
      <c r="H40" s="50">
        <v>0</v>
      </c>
      <c r="I40" s="50">
        <v>8</v>
      </c>
      <c r="J40" s="50">
        <v>0</v>
      </c>
      <c r="K40" s="50">
        <v>0</v>
      </c>
      <c r="L40" s="50">
        <v>0</v>
      </c>
      <c r="M40" s="50">
        <v>56</v>
      </c>
      <c r="N40" s="50">
        <v>0</v>
      </c>
      <c r="O40" s="15">
        <f t="shared" si="0"/>
        <v>47</v>
      </c>
      <c r="P40" s="15">
        <f t="shared" si="1"/>
        <v>103</v>
      </c>
      <c r="R40" s="5" t="s">
        <v>17</v>
      </c>
      <c r="S40" s="16">
        <f t="shared" ref="S40:AF40" si="32">SUM(S10:S21)</f>
        <v>918</v>
      </c>
      <c r="T40" s="16">
        <f t="shared" si="32"/>
        <v>129</v>
      </c>
      <c r="U40" s="16">
        <f t="shared" si="32"/>
        <v>192</v>
      </c>
      <c r="V40" s="16">
        <f t="shared" si="32"/>
        <v>316</v>
      </c>
      <c r="W40" s="16">
        <f t="shared" si="32"/>
        <v>12</v>
      </c>
      <c r="X40" s="16">
        <f t="shared" si="32"/>
        <v>0</v>
      </c>
      <c r="Y40" s="16">
        <f t="shared" si="32"/>
        <v>324</v>
      </c>
      <c r="Z40" s="16">
        <f t="shared" si="32"/>
        <v>51</v>
      </c>
      <c r="AA40" s="16">
        <f t="shared" si="32"/>
        <v>23</v>
      </c>
      <c r="AB40" s="16">
        <f t="shared" si="32"/>
        <v>23</v>
      </c>
      <c r="AC40" s="16">
        <f t="shared" si="32"/>
        <v>3287</v>
      </c>
      <c r="AD40" s="16">
        <f t="shared" si="32"/>
        <v>0</v>
      </c>
      <c r="AE40" s="32">
        <f t="shared" si="32"/>
        <v>1988</v>
      </c>
      <c r="AF40" s="32">
        <f t="shared" si="32"/>
        <v>5275</v>
      </c>
    </row>
    <row r="41" spans="2:32" ht="23.1" customHeight="1" x14ac:dyDescent="0.25">
      <c r="B41" s="45" t="s">
        <v>68</v>
      </c>
      <c r="C41" s="50">
        <v>25</v>
      </c>
      <c r="D41" s="50">
        <v>7</v>
      </c>
      <c r="E41" s="50">
        <v>5</v>
      </c>
      <c r="F41" s="50">
        <v>5</v>
      </c>
      <c r="G41" s="50">
        <v>0</v>
      </c>
      <c r="H41" s="50">
        <v>0</v>
      </c>
      <c r="I41" s="50">
        <v>1</v>
      </c>
      <c r="J41" s="50">
        <v>1</v>
      </c>
      <c r="K41" s="50">
        <v>1</v>
      </c>
      <c r="L41" s="50">
        <v>0</v>
      </c>
      <c r="M41" s="50">
        <v>71</v>
      </c>
      <c r="N41" s="50">
        <v>0</v>
      </c>
      <c r="O41" s="15">
        <f t="shared" si="0"/>
        <v>45</v>
      </c>
      <c r="P41" s="15">
        <f t="shared" si="1"/>
        <v>116</v>
      </c>
      <c r="R41" s="5" t="s">
        <v>159</v>
      </c>
      <c r="S41" s="16">
        <f>SUM(S10:S33)</f>
        <v>1190</v>
      </c>
      <c r="T41" s="16">
        <f t="shared" ref="T41:AF41" si="33">SUM(T10:T33)</f>
        <v>211</v>
      </c>
      <c r="U41" s="16">
        <f t="shared" si="33"/>
        <v>250</v>
      </c>
      <c r="V41" s="16">
        <f t="shared" si="33"/>
        <v>500</v>
      </c>
      <c r="W41" s="16">
        <f t="shared" si="33"/>
        <v>17</v>
      </c>
      <c r="X41" s="16">
        <f t="shared" si="33"/>
        <v>1</v>
      </c>
      <c r="Y41" s="16">
        <f t="shared" si="33"/>
        <v>406</v>
      </c>
      <c r="Z41" s="16">
        <f t="shared" si="33"/>
        <v>77</v>
      </c>
      <c r="AA41" s="16">
        <f t="shared" si="33"/>
        <v>28</v>
      </c>
      <c r="AB41" s="16">
        <f t="shared" si="33"/>
        <v>27</v>
      </c>
      <c r="AC41" s="16">
        <f t="shared" si="33"/>
        <v>5158</v>
      </c>
      <c r="AD41" s="16">
        <f t="shared" si="33"/>
        <v>0</v>
      </c>
      <c r="AE41" s="32">
        <f t="shared" si="33"/>
        <v>2707</v>
      </c>
      <c r="AF41" s="32">
        <f t="shared" si="33"/>
        <v>7865</v>
      </c>
    </row>
    <row r="42" spans="2:32" ht="23.1" customHeight="1" x14ac:dyDescent="0.25">
      <c r="B42" s="46" t="s">
        <v>69</v>
      </c>
      <c r="C42" s="50">
        <v>24</v>
      </c>
      <c r="D42" s="50">
        <v>4</v>
      </c>
      <c r="E42" s="50">
        <v>7</v>
      </c>
      <c r="F42" s="50">
        <v>6</v>
      </c>
      <c r="G42" s="50">
        <v>0</v>
      </c>
      <c r="H42" s="50">
        <v>0</v>
      </c>
      <c r="I42" s="50">
        <v>3</v>
      </c>
      <c r="J42" s="50">
        <v>0</v>
      </c>
      <c r="K42" s="50">
        <v>1</v>
      </c>
      <c r="L42" s="50">
        <v>0</v>
      </c>
      <c r="M42" s="50">
        <v>65</v>
      </c>
      <c r="N42" s="50">
        <v>0</v>
      </c>
      <c r="O42" s="15">
        <f t="shared" si="0"/>
        <v>45</v>
      </c>
      <c r="P42" s="15">
        <f t="shared" si="1"/>
        <v>110</v>
      </c>
      <c r="R42" s="5" t="s">
        <v>160</v>
      </c>
      <c r="S42" s="48">
        <f>S41/S40</f>
        <v>1.2962962962962963</v>
      </c>
      <c r="T42" s="48">
        <f t="shared" ref="T42:AF42" si="34">T41/T40</f>
        <v>1.6356589147286822</v>
      </c>
      <c r="U42" s="48">
        <f t="shared" si="34"/>
        <v>1.3020833333333333</v>
      </c>
      <c r="V42" s="48">
        <f t="shared" si="34"/>
        <v>1.5822784810126582</v>
      </c>
      <c r="W42" s="48">
        <f t="shared" si="34"/>
        <v>1.4166666666666667</v>
      </c>
      <c r="X42" s="48" t="e">
        <f t="shared" si="34"/>
        <v>#DIV/0!</v>
      </c>
      <c r="Y42" s="48">
        <f t="shared" si="34"/>
        <v>1.2530864197530864</v>
      </c>
      <c r="Z42" s="48">
        <f t="shared" si="34"/>
        <v>1.5098039215686274</v>
      </c>
      <c r="AA42" s="48">
        <f t="shared" si="34"/>
        <v>1.2173913043478262</v>
      </c>
      <c r="AB42" s="48">
        <f t="shared" si="34"/>
        <v>1.173913043478261</v>
      </c>
      <c r="AC42" s="48">
        <f t="shared" si="34"/>
        <v>1.5692120474596898</v>
      </c>
      <c r="AD42" s="48" t="e">
        <f t="shared" si="34"/>
        <v>#DIV/0!</v>
      </c>
      <c r="AE42" s="48">
        <f t="shared" si="34"/>
        <v>1.3616700201207244</v>
      </c>
      <c r="AF42" s="48">
        <f t="shared" si="34"/>
        <v>1.4909952606635071</v>
      </c>
    </row>
    <row r="43" spans="2:32" ht="23.1" customHeight="1" x14ac:dyDescent="0.25">
      <c r="B43" s="45" t="s">
        <v>70</v>
      </c>
      <c r="C43" s="50">
        <v>18</v>
      </c>
      <c r="D43" s="50">
        <v>1</v>
      </c>
      <c r="E43" s="50">
        <v>5</v>
      </c>
      <c r="F43" s="50">
        <v>8</v>
      </c>
      <c r="G43" s="50">
        <v>1</v>
      </c>
      <c r="H43" s="50">
        <v>0</v>
      </c>
      <c r="I43" s="50">
        <v>5</v>
      </c>
      <c r="J43" s="50">
        <v>0</v>
      </c>
      <c r="K43" s="50">
        <v>1</v>
      </c>
      <c r="L43" s="50">
        <v>0</v>
      </c>
      <c r="M43" s="50">
        <v>83</v>
      </c>
      <c r="N43" s="50">
        <v>0</v>
      </c>
      <c r="O43" s="15">
        <f t="shared" si="0"/>
        <v>39</v>
      </c>
      <c r="P43" s="15">
        <f t="shared" si="1"/>
        <v>122</v>
      </c>
    </row>
    <row r="44" spans="2:32" ht="23.1" customHeight="1" x14ac:dyDescent="0.25">
      <c r="B44" s="47" t="s">
        <v>71</v>
      </c>
      <c r="C44" s="50">
        <v>16</v>
      </c>
      <c r="D44" s="50">
        <v>1</v>
      </c>
      <c r="E44" s="50">
        <v>3</v>
      </c>
      <c r="F44" s="50">
        <v>8</v>
      </c>
      <c r="G44" s="50">
        <v>1</v>
      </c>
      <c r="H44" s="50">
        <v>0</v>
      </c>
      <c r="I44" s="50">
        <v>10</v>
      </c>
      <c r="J44" s="50">
        <v>0</v>
      </c>
      <c r="K44" s="50">
        <v>0</v>
      </c>
      <c r="L44" s="50">
        <v>1</v>
      </c>
      <c r="M44" s="50">
        <v>72</v>
      </c>
      <c r="N44" s="50">
        <v>0</v>
      </c>
      <c r="O44" s="15">
        <f t="shared" si="0"/>
        <v>40</v>
      </c>
      <c r="P44" s="15">
        <f t="shared" si="1"/>
        <v>112</v>
      </c>
    </row>
    <row r="45" spans="2:32" ht="23.1" customHeight="1" x14ac:dyDescent="0.25">
      <c r="B45" s="45" t="s">
        <v>72</v>
      </c>
      <c r="C45" s="50">
        <v>19</v>
      </c>
      <c r="D45" s="50">
        <v>2</v>
      </c>
      <c r="E45" s="50">
        <v>1</v>
      </c>
      <c r="F45" s="50">
        <v>7</v>
      </c>
      <c r="G45" s="50">
        <v>0</v>
      </c>
      <c r="H45" s="50">
        <v>0</v>
      </c>
      <c r="I45" s="50">
        <v>8</v>
      </c>
      <c r="J45" s="50">
        <v>0</v>
      </c>
      <c r="K45" s="50">
        <v>1</v>
      </c>
      <c r="L45" s="50">
        <v>0</v>
      </c>
      <c r="M45" s="50">
        <v>65</v>
      </c>
      <c r="N45" s="50">
        <v>0</v>
      </c>
      <c r="O45" s="15">
        <f t="shared" si="0"/>
        <v>38</v>
      </c>
      <c r="P45" s="15">
        <f t="shared" si="1"/>
        <v>103</v>
      </c>
    </row>
    <row r="46" spans="2:32" ht="23.1" customHeight="1" x14ac:dyDescent="0.25">
      <c r="B46" s="46" t="s">
        <v>73</v>
      </c>
      <c r="C46" s="50">
        <v>17</v>
      </c>
      <c r="D46" s="50">
        <v>2</v>
      </c>
      <c r="E46" s="50">
        <v>3</v>
      </c>
      <c r="F46" s="50">
        <v>5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1</v>
      </c>
      <c r="M46" s="50">
        <v>95</v>
      </c>
      <c r="N46" s="50">
        <v>0</v>
      </c>
      <c r="O46" s="15">
        <f t="shared" si="0"/>
        <v>32</v>
      </c>
      <c r="P46" s="15">
        <f t="shared" si="1"/>
        <v>127</v>
      </c>
      <c r="R46" s="8"/>
      <c r="T46"/>
    </row>
    <row r="47" spans="2:32" ht="23.1" customHeight="1" x14ac:dyDescent="0.25">
      <c r="B47" s="46" t="s">
        <v>74</v>
      </c>
      <c r="C47" s="50">
        <v>24</v>
      </c>
      <c r="D47" s="50">
        <v>5</v>
      </c>
      <c r="E47" s="50">
        <v>7</v>
      </c>
      <c r="F47" s="50">
        <v>9</v>
      </c>
      <c r="G47" s="50">
        <v>1</v>
      </c>
      <c r="H47" s="50">
        <v>0</v>
      </c>
      <c r="I47" s="50">
        <v>8</v>
      </c>
      <c r="J47" s="50">
        <v>0</v>
      </c>
      <c r="K47" s="50">
        <v>0</v>
      </c>
      <c r="L47" s="50">
        <v>2</v>
      </c>
      <c r="M47" s="50">
        <v>98</v>
      </c>
      <c r="N47" s="50">
        <v>0</v>
      </c>
      <c r="O47" s="15">
        <f t="shared" si="0"/>
        <v>56</v>
      </c>
      <c r="P47" s="15">
        <f t="shared" si="1"/>
        <v>154</v>
      </c>
      <c r="R47" s="8"/>
      <c r="T47"/>
    </row>
    <row r="48" spans="2:32" ht="23.1" customHeight="1" x14ac:dyDescent="0.25">
      <c r="B48" s="46" t="s">
        <v>75</v>
      </c>
      <c r="C48" s="50">
        <v>25</v>
      </c>
      <c r="D48" s="50">
        <v>2</v>
      </c>
      <c r="E48" s="50">
        <v>3</v>
      </c>
      <c r="F48" s="50">
        <v>4</v>
      </c>
      <c r="G48" s="50">
        <v>0</v>
      </c>
      <c r="H48" s="50">
        <v>0</v>
      </c>
      <c r="I48" s="50">
        <v>6</v>
      </c>
      <c r="J48" s="50">
        <v>0</v>
      </c>
      <c r="K48" s="50">
        <v>1</v>
      </c>
      <c r="L48" s="50">
        <v>1</v>
      </c>
      <c r="M48" s="50">
        <v>77</v>
      </c>
      <c r="N48" s="50">
        <v>0</v>
      </c>
      <c r="O48" s="15">
        <f t="shared" si="0"/>
        <v>42</v>
      </c>
      <c r="P48" s="15">
        <f t="shared" si="1"/>
        <v>119</v>
      </c>
      <c r="R48" s="8"/>
      <c r="T48"/>
    </row>
    <row r="49" spans="2:20" ht="23.1" customHeight="1" x14ac:dyDescent="0.25">
      <c r="B49" s="45" t="s">
        <v>76</v>
      </c>
      <c r="C49" s="50">
        <v>20</v>
      </c>
      <c r="D49" s="50">
        <v>6</v>
      </c>
      <c r="E49" s="50">
        <v>4</v>
      </c>
      <c r="F49" s="50">
        <v>7</v>
      </c>
      <c r="G49" s="50">
        <v>0</v>
      </c>
      <c r="H49" s="50">
        <v>0</v>
      </c>
      <c r="I49" s="50">
        <v>6</v>
      </c>
      <c r="J49" s="50">
        <v>2</v>
      </c>
      <c r="K49" s="50">
        <v>1</v>
      </c>
      <c r="L49" s="50">
        <v>1</v>
      </c>
      <c r="M49" s="50">
        <v>80</v>
      </c>
      <c r="N49" s="50">
        <v>0</v>
      </c>
      <c r="O49" s="15">
        <f t="shared" si="0"/>
        <v>47</v>
      </c>
      <c r="P49" s="15">
        <f t="shared" si="1"/>
        <v>127</v>
      </c>
      <c r="R49" s="8"/>
      <c r="T49"/>
    </row>
    <row r="50" spans="2:20" ht="23.1" customHeight="1" x14ac:dyDescent="0.25">
      <c r="B50" s="46" t="s">
        <v>77</v>
      </c>
      <c r="C50" s="50">
        <v>25</v>
      </c>
      <c r="D50" s="50">
        <v>2</v>
      </c>
      <c r="E50" s="50">
        <v>6</v>
      </c>
      <c r="F50" s="50">
        <v>6</v>
      </c>
      <c r="G50" s="50">
        <v>0</v>
      </c>
      <c r="H50" s="50">
        <v>0</v>
      </c>
      <c r="I50" s="50">
        <v>11</v>
      </c>
      <c r="J50" s="50">
        <v>2</v>
      </c>
      <c r="K50" s="50">
        <v>0</v>
      </c>
      <c r="L50" s="50">
        <v>0</v>
      </c>
      <c r="M50" s="50">
        <v>75</v>
      </c>
      <c r="N50" s="50">
        <v>0</v>
      </c>
      <c r="O50" s="15">
        <f t="shared" si="0"/>
        <v>52</v>
      </c>
      <c r="P50" s="15">
        <f t="shared" si="1"/>
        <v>127</v>
      </c>
      <c r="R50" s="8"/>
      <c r="T50"/>
    </row>
    <row r="51" spans="2:20" ht="23.1" customHeight="1" x14ac:dyDescent="0.25">
      <c r="B51" s="46" t="s">
        <v>78</v>
      </c>
      <c r="C51" s="50">
        <v>16</v>
      </c>
      <c r="D51" s="50">
        <v>1</v>
      </c>
      <c r="E51" s="50">
        <v>0</v>
      </c>
      <c r="F51" s="50">
        <v>9</v>
      </c>
      <c r="G51" s="50">
        <v>0</v>
      </c>
      <c r="H51" s="50">
        <v>0</v>
      </c>
      <c r="I51" s="50">
        <v>8</v>
      </c>
      <c r="J51" s="50">
        <v>3</v>
      </c>
      <c r="K51" s="50">
        <v>0</v>
      </c>
      <c r="L51" s="50">
        <v>0</v>
      </c>
      <c r="M51" s="50">
        <v>80</v>
      </c>
      <c r="N51" s="50">
        <v>0</v>
      </c>
      <c r="O51" s="15">
        <f t="shared" si="0"/>
        <v>37</v>
      </c>
      <c r="P51" s="15">
        <f t="shared" si="1"/>
        <v>117</v>
      </c>
      <c r="R51" s="8"/>
      <c r="T51"/>
    </row>
    <row r="52" spans="2:20" ht="23.1" customHeight="1" x14ac:dyDescent="0.25">
      <c r="B52" s="46" t="s">
        <v>79</v>
      </c>
      <c r="C52" s="50">
        <v>17</v>
      </c>
      <c r="D52" s="50">
        <v>1</v>
      </c>
      <c r="E52" s="50">
        <v>4</v>
      </c>
      <c r="F52" s="50">
        <v>5</v>
      </c>
      <c r="G52" s="50">
        <v>0</v>
      </c>
      <c r="H52" s="50">
        <v>0</v>
      </c>
      <c r="I52" s="50">
        <v>8</v>
      </c>
      <c r="J52" s="50">
        <v>0</v>
      </c>
      <c r="K52" s="50">
        <v>1</v>
      </c>
      <c r="L52" s="50">
        <v>1</v>
      </c>
      <c r="M52" s="50">
        <v>60</v>
      </c>
      <c r="N52" s="50">
        <v>0</v>
      </c>
      <c r="O52" s="15">
        <f t="shared" si="0"/>
        <v>37</v>
      </c>
      <c r="P52" s="15">
        <f t="shared" si="1"/>
        <v>97</v>
      </c>
      <c r="R52" s="8"/>
      <c r="T52"/>
    </row>
    <row r="53" spans="2:20" ht="23.1" customHeight="1" x14ac:dyDescent="0.25">
      <c r="B53" s="45" t="s">
        <v>80</v>
      </c>
      <c r="C53" s="50">
        <v>19</v>
      </c>
      <c r="D53" s="50">
        <v>1</v>
      </c>
      <c r="E53" s="50">
        <v>3</v>
      </c>
      <c r="F53" s="50">
        <v>6</v>
      </c>
      <c r="G53" s="50">
        <v>1</v>
      </c>
      <c r="H53" s="50">
        <v>0</v>
      </c>
      <c r="I53" s="50">
        <v>0</v>
      </c>
      <c r="J53" s="50">
        <v>2</v>
      </c>
      <c r="K53" s="50">
        <v>0</v>
      </c>
      <c r="L53" s="50">
        <v>1</v>
      </c>
      <c r="M53" s="50">
        <v>65</v>
      </c>
      <c r="N53" s="50">
        <v>0</v>
      </c>
      <c r="O53" s="15">
        <f t="shared" si="0"/>
        <v>33</v>
      </c>
      <c r="P53" s="15">
        <f t="shared" si="1"/>
        <v>98</v>
      </c>
      <c r="R53" s="8"/>
      <c r="T53"/>
    </row>
    <row r="54" spans="2:20" ht="23.1" customHeight="1" x14ac:dyDescent="0.25">
      <c r="B54" s="45" t="s">
        <v>81</v>
      </c>
      <c r="C54" s="50">
        <v>22</v>
      </c>
      <c r="D54" s="50">
        <v>1</v>
      </c>
      <c r="E54" s="50">
        <v>3</v>
      </c>
      <c r="F54" s="50">
        <v>6</v>
      </c>
      <c r="G54" s="50">
        <v>0</v>
      </c>
      <c r="H54" s="50">
        <v>0</v>
      </c>
      <c r="I54" s="50">
        <v>8</v>
      </c>
      <c r="J54" s="50">
        <v>1</v>
      </c>
      <c r="K54" s="50">
        <v>0</v>
      </c>
      <c r="L54" s="50">
        <v>0</v>
      </c>
      <c r="M54" s="50">
        <v>70</v>
      </c>
      <c r="N54" s="50">
        <v>0</v>
      </c>
      <c r="O54" s="15">
        <f t="shared" si="0"/>
        <v>41</v>
      </c>
      <c r="P54" s="15">
        <f t="shared" si="1"/>
        <v>111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2</v>
      </c>
      <c r="E55" s="50">
        <v>0</v>
      </c>
      <c r="F55" s="50">
        <v>7</v>
      </c>
      <c r="G55" s="50">
        <v>1</v>
      </c>
      <c r="H55" s="50">
        <v>0</v>
      </c>
      <c r="I55" s="50">
        <v>3</v>
      </c>
      <c r="J55" s="50">
        <v>4</v>
      </c>
      <c r="K55" s="50">
        <v>0</v>
      </c>
      <c r="L55" s="50">
        <v>0</v>
      </c>
      <c r="M55" s="50">
        <v>48</v>
      </c>
      <c r="N55" s="50">
        <v>0</v>
      </c>
      <c r="O55" s="15">
        <f t="shared" si="0"/>
        <v>22</v>
      </c>
      <c r="P55" s="15">
        <f t="shared" si="1"/>
        <v>70</v>
      </c>
      <c r="R55" s="8"/>
      <c r="T55"/>
    </row>
    <row r="56" spans="2:20" ht="23.1" customHeight="1" x14ac:dyDescent="0.25">
      <c r="B56" s="45" t="s">
        <v>83</v>
      </c>
      <c r="C56" s="50">
        <v>16</v>
      </c>
      <c r="D56" s="50">
        <v>1</v>
      </c>
      <c r="E56" s="50">
        <v>0</v>
      </c>
      <c r="F56" s="50">
        <v>7</v>
      </c>
      <c r="G56" s="50">
        <v>1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50</v>
      </c>
      <c r="N56" s="50">
        <v>0</v>
      </c>
      <c r="O56" s="15">
        <f t="shared" si="0"/>
        <v>29</v>
      </c>
      <c r="P56" s="15">
        <f t="shared" si="1"/>
        <v>79</v>
      </c>
      <c r="R56" s="8"/>
      <c r="T56"/>
    </row>
    <row r="57" spans="2:20" ht="23.1" customHeight="1" x14ac:dyDescent="0.25">
      <c r="B57" s="45" t="s">
        <v>84</v>
      </c>
      <c r="C57" s="50">
        <v>15</v>
      </c>
      <c r="D57" s="50">
        <v>2</v>
      </c>
      <c r="E57" s="50">
        <v>0</v>
      </c>
      <c r="F57" s="50">
        <v>5</v>
      </c>
      <c r="G57" s="50">
        <v>0</v>
      </c>
      <c r="H57" s="50">
        <v>0</v>
      </c>
      <c r="I57" s="50">
        <v>4</v>
      </c>
      <c r="J57" s="50">
        <v>1</v>
      </c>
      <c r="K57" s="50">
        <v>0</v>
      </c>
      <c r="L57" s="50">
        <v>0</v>
      </c>
      <c r="M57" s="50">
        <v>45</v>
      </c>
      <c r="N57" s="50">
        <v>0</v>
      </c>
      <c r="O57" s="15">
        <f t="shared" si="0"/>
        <v>27</v>
      </c>
      <c r="P57" s="15">
        <f t="shared" si="1"/>
        <v>72</v>
      </c>
      <c r="R57" s="8"/>
      <c r="T57"/>
    </row>
    <row r="58" spans="2:20" ht="23.1" customHeight="1" x14ac:dyDescent="0.25">
      <c r="B58" s="45" t="s">
        <v>99</v>
      </c>
      <c r="C58" s="50">
        <v>4</v>
      </c>
      <c r="D58" s="50">
        <v>6</v>
      </c>
      <c r="E58" s="50">
        <v>6</v>
      </c>
      <c r="F58" s="50">
        <v>6</v>
      </c>
      <c r="G58" s="50">
        <v>0</v>
      </c>
      <c r="H58" s="50">
        <v>0</v>
      </c>
      <c r="I58" s="50">
        <v>6</v>
      </c>
      <c r="J58" s="50">
        <v>0</v>
      </c>
      <c r="K58" s="50">
        <v>0</v>
      </c>
      <c r="L58" s="50">
        <v>0</v>
      </c>
      <c r="M58" s="50">
        <v>62</v>
      </c>
      <c r="N58" s="50">
        <v>0</v>
      </c>
      <c r="O58" s="15">
        <f t="shared" si="0"/>
        <v>28</v>
      </c>
      <c r="P58" s="15">
        <f t="shared" si="1"/>
        <v>90</v>
      </c>
      <c r="R58" s="8"/>
      <c r="T58"/>
    </row>
    <row r="59" spans="2:20" ht="23.1" customHeight="1" x14ac:dyDescent="0.25">
      <c r="B59" s="45" t="s">
        <v>100</v>
      </c>
      <c r="C59" s="50">
        <v>14</v>
      </c>
      <c r="D59" s="50">
        <v>9</v>
      </c>
      <c r="E59" s="50">
        <v>2</v>
      </c>
      <c r="F59" s="50">
        <v>6</v>
      </c>
      <c r="G59" s="50">
        <v>2</v>
      </c>
      <c r="H59" s="50">
        <v>0</v>
      </c>
      <c r="I59" s="50">
        <v>5</v>
      </c>
      <c r="J59" s="50">
        <v>2</v>
      </c>
      <c r="K59" s="50">
        <v>1</v>
      </c>
      <c r="L59" s="50">
        <v>1</v>
      </c>
      <c r="M59" s="50">
        <v>82</v>
      </c>
      <c r="N59" s="50">
        <v>0</v>
      </c>
      <c r="O59" s="15">
        <f t="shared" si="0"/>
        <v>42</v>
      </c>
      <c r="P59" s="15">
        <f t="shared" si="1"/>
        <v>124</v>
      </c>
      <c r="R59" s="8"/>
      <c r="T59"/>
    </row>
    <row r="60" spans="2:20" ht="23.1" customHeight="1" x14ac:dyDescent="0.25">
      <c r="B60" s="45" t="s">
        <v>101</v>
      </c>
      <c r="C60" s="50">
        <v>12</v>
      </c>
      <c r="D60" s="50">
        <v>5</v>
      </c>
      <c r="E60" s="50">
        <v>2</v>
      </c>
      <c r="F60" s="50">
        <v>2</v>
      </c>
      <c r="G60" s="50">
        <v>0</v>
      </c>
      <c r="H60" s="50">
        <v>0</v>
      </c>
      <c r="I60" s="50">
        <v>4</v>
      </c>
      <c r="J60" s="50">
        <v>1</v>
      </c>
      <c r="K60" s="50">
        <v>0</v>
      </c>
      <c r="L60" s="50">
        <v>0</v>
      </c>
      <c r="M60" s="50">
        <v>92</v>
      </c>
      <c r="N60" s="50">
        <v>0</v>
      </c>
      <c r="O60" s="15">
        <f t="shared" si="0"/>
        <v>26</v>
      </c>
      <c r="P60" s="15">
        <f t="shared" si="1"/>
        <v>118</v>
      </c>
      <c r="R60" s="8"/>
      <c r="T60"/>
    </row>
    <row r="61" spans="2:20" ht="23.1" customHeight="1" x14ac:dyDescent="0.25">
      <c r="B61" s="45" t="s">
        <v>102</v>
      </c>
      <c r="C61" s="50">
        <v>5</v>
      </c>
      <c r="D61" s="50">
        <v>3</v>
      </c>
      <c r="E61" s="50">
        <v>4</v>
      </c>
      <c r="F61" s="50">
        <v>9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98</v>
      </c>
      <c r="N61" s="50">
        <v>0</v>
      </c>
      <c r="O61" s="15">
        <f t="shared" si="0"/>
        <v>22</v>
      </c>
      <c r="P61" s="15">
        <f t="shared" si="1"/>
        <v>120</v>
      </c>
      <c r="R61" s="8"/>
      <c r="T61"/>
    </row>
    <row r="62" spans="2:20" ht="23.1" customHeight="1" x14ac:dyDescent="0.25">
      <c r="B62" s="45" t="s">
        <v>107</v>
      </c>
      <c r="C62" s="50">
        <v>16</v>
      </c>
      <c r="D62" s="50">
        <v>4</v>
      </c>
      <c r="E62" s="50">
        <v>5</v>
      </c>
      <c r="F62" s="50">
        <v>6</v>
      </c>
      <c r="G62" s="50">
        <v>0</v>
      </c>
      <c r="H62" s="50">
        <v>0</v>
      </c>
      <c r="I62" s="50">
        <v>5</v>
      </c>
      <c r="J62" s="50">
        <v>1</v>
      </c>
      <c r="K62" s="50">
        <v>0</v>
      </c>
      <c r="L62" s="50">
        <v>0</v>
      </c>
      <c r="M62" s="50">
        <v>103</v>
      </c>
      <c r="N62" s="50">
        <v>0</v>
      </c>
      <c r="O62" s="15">
        <f t="shared" si="0"/>
        <v>37</v>
      </c>
      <c r="P62" s="15">
        <f t="shared" si="1"/>
        <v>140</v>
      </c>
      <c r="R62" s="8"/>
      <c r="T62"/>
    </row>
    <row r="63" spans="2:20" ht="23.1" customHeight="1" x14ac:dyDescent="0.25">
      <c r="B63" s="45" t="s">
        <v>108</v>
      </c>
      <c r="C63" s="50">
        <v>18</v>
      </c>
      <c r="D63" s="50">
        <v>2</v>
      </c>
      <c r="E63" s="50">
        <v>2</v>
      </c>
      <c r="F63" s="50">
        <v>8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0</v>
      </c>
      <c r="M63" s="50">
        <v>94</v>
      </c>
      <c r="N63" s="50">
        <v>0</v>
      </c>
      <c r="O63" s="15">
        <f t="shared" si="0"/>
        <v>34</v>
      </c>
      <c r="P63" s="15">
        <f t="shared" si="1"/>
        <v>128</v>
      </c>
      <c r="R63" s="8"/>
      <c r="T63"/>
    </row>
    <row r="64" spans="2:20" ht="23.1" customHeight="1" x14ac:dyDescent="0.25">
      <c r="B64" s="45" t="s">
        <v>109</v>
      </c>
      <c r="C64" s="50">
        <v>13</v>
      </c>
      <c r="D64" s="50">
        <v>3</v>
      </c>
      <c r="E64" s="50">
        <v>2</v>
      </c>
      <c r="F64" s="50">
        <v>9</v>
      </c>
      <c r="G64" s="50">
        <v>0</v>
      </c>
      <c r="H64" s="50">
        <v>0</v>
      </c>
      <c r="I64" s="50">
        <v>2</v>
      </c>
      <c r="J64" s="50">
        <v>3</v>
      </c>
      <c r="K64" s="50">
        <v>0</v>
      </c>
      <c r="L64" s="50">
        <v>1</v>
      </c>
      <c r="M64" s="50">
        <v>101</v>
      </c>
      <c r="N64" s="50">
        <v>0</v>
      </c>
      <c r="O64" s="15">
        <f t="shared" si="0"/>
        <v>33</v>
      </c>
      <c r="P64" s="15">
        <f t="shared" si="1"/>
        <v>134</v>
      </c>
      <c r="R64" s="8"/>
      <c r="T64"/>
    </row>
    <row r="65" spans="2:20" ht="23.1" customHeight="1" x14ac:dyDescent="0.25">
      <c r="B65" s="45" t="s">
        <v>158</v>
      </c>
      <c r="C65" s="50">
        <v>7</v>
      </c>
      <c r="D65" s="50">
        <v>3</v>
      </c>
      <c r="E65" s="50">
        <v>4</v>
      </c>
      <c r="F65" s="50">
        <v>5</v>
      </c>
      <c r="G65" s="50">
        <v>0</v>
      </c>
      <c r="H65" s="50">
        <v>0</v>
      </c>
      <c r="I65" s="50">
        <v>3</v>
      </c>
      <c r="J65" s="50">
        <v>1</v>
      </c>
      <c r="K65" s="50">
        <v>0</v>
      </c>
      <c r="L65" s="50">
        <v>0</v>
      </c>
      <c r="M65" s="50">
        <v>96</v>
      </c>
      <c r="N65" s="50">
        <v>0</v>
      </c>
      <c r="O65" s="15">
        <f t="shared" si="0"/>
        <v>23</v>
      </c>
      <c r="P65" s="15">
        <f t="shared" si="1"/>
        <v>119</v>
      </c>
      <c r="R65" s="8"/>
      <c r="T65"/>
    </row>
    <row r="66" spans="2:20" ht="23.1" customHeight="1" x14ac:dyDescent="0.25">
      <c r="B66" s="45" t="s">
        <v>103</v>
      </c>
      <c r="C66" s="50">
        <v>14</v>
      </c>
      <c r="D66" s="50">
        <v>2</v>
      </c>
      <c r="E66" s="50">
        <v>4</v>
      </c>
      <c r="F66" s="50">
        <v>11</v>
      </c>
      <c r="G66" s="50">
        <v>0</v>
      </c>
      <c r="H66" s="50">
        <v>0</v>
      </c>
      <c r="I66" s="50">
        <v>3</v>
      </c>
      <c r="J66" s="50">
        <v>0</v>
      </c>
      <c r="K66" s="50">
        <v>1</v>
      </c>
      <c r="L66" s="50">
        <v>0</v>
      </c>
      <c r="M66" s="50">
        <v>96</v>
      </c>
      <c r="N66" s="50">
        <v>0</v>
      </c>
      <c r="O66" s="15">
        <f t="shared" si="0"/>
        <v>35</v>
      </c>
      <c r="P66" s="15">
        <f t="shared" si="1"/>
        <v>131</v>
      </c>
      <c r="R66" s="8"/>
      <c r="T66"/>
    </row>
    <row r="67" spans="2:20" ht="23.1" customHeight="1" x14ac:dyDescent="0.25">
      <c r="B67" s="45" t="s">
        <v>104</v>
      </c>
      <c r="C67" s="50">
        <v>17</v>
      </c>
      <c r="D67" s="50">
        <v>5</v>
      </c>
      <c r="E67" s="50">
        <v>3</v>
      </c>
      <c r="F67" s="50">
        <v>11</v>
      </c>
      <c r="G67" s="50">
        <v>1</v>
      </c>
      <c r="H67" s="50">
        <v>0</v>
      </c>
      <c r="I67" s="50">
        <v>1</v>
      </c>
      <c r="J67" s="50">
        <v>2</v>
      </c>
      <c r="K67" s="50">
        <v>0</v>
      </c>
      <c r="L67" s="50">
        <v>0</v>
      </c>
      <c r="M67" s="50">
        <v>120</v>
      </c>
      <c r="N67" s="50">
        <v>0</v>
      </c>
      <c r="O67" s="15">
        <f t="shared" si="0"/>
        <v>40</v>
      </c>
      <c r="P67" s="15">
        <f t="shared" si="1"/>
        <v>160</v>
      </c>
      <c r="R67" s="8"/>
      <c r="T67"/>
    </row>
    <row r="68" spans="2:20" ht="23.1" customHeight="1" x14ac:dyDescent="0.25">
      <c r="B68" s="45" t="s">
        <v>105</v>
      </c>
      <c r="C68" s="50">
        <v>12</v>
      </c>
      <c r="D68" s="50">
        <v>1</v>
      </c>
      <c r="E68" s="50">
        <v>0</v>
      </c>
      <c r="F68" s="50">
        <v>2</v>
      </c>
      <c r="G68" s="50">
        <v>1</v>
      </c>
      <c r="H68" s="50">
        <v>0</v>
      </c>
      <c r="I68" s="50">
        <v>1</v>
      </c>
      <c r="J68" s="50">
        <v>1</v>
      </c>
      <c r="K68" s="50">
        <v>0</v>
      </c>
      <c r="L68" s="50">
        <v>0</v>
      </c>
      <c r="M68" s="50">
        <v>100</v>
      </c>
      <c r="N68" s="50">
        <v>0</v>
      </c>
      <c r="O68" s="15">
        <f t="shared" si="0"/>
        <v>18</v>
      </c>
      <c r="P68" s="15">
        <f t="shared" si="1"/>
        <v>118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1</v>
      </c>
      <c r="E69" s="50">
        <v>0</v>
      </c>
      <c r="F69" s="50">
        <v>6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67</v>
      </c>
      <c r="N69" s="50">
        <v>0</v>
      </c>
      <c r="O69" s="15">
        <f t="shared" si="0"/>
        <v>8</v>
      </c>
      <c r="P69" s="15">
        <f t="shared" si="1"/>
        <v>75</v>
      </c>
      <c r="R69" s="8"/>
      <c r="T69"/>
    </row>
    <row r="70" spans="2:20" ht="23.1" customHeight="1" x14ac:dyDescent="0.25">
      <c r="B70" s="45" t="s">
        <v>110</v>
      </c>
      <c r="C70" s="50">
        <v>7</v>
      </c>
      <c r="D70" s="50">
        <v>2</v>
      </c>
      <c r="E70" s="50">
        <v>2</v>
      </c>
      <c r="F70" s="50">
        <v>3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48</v>
      </c>
      <c r="N70" s="50">
        <v>0</v>
      </c>
      <c r="O70" s="15">
        <f t="shared" si="0"/>
        <v>15</v>
      </c>
      <c r="P70" s="15">
        <f t="shared" si="1"/>
        <v>63</v>
      </c>
      <c r="R70" s="8"/>
      <c r="T70"/>
    </row>
    <row r="71" spans="2:20" ht="23.1" customHeight="1" x14ac:dyDescent="0.25">
      <c r="B71" s="45" t="s">
        <v>111</v>
      </c>
      <c r="C71" s="50">
        <v>8</v>
      </c>
      <c r="D71" s="50">
        <v>2</v>
      </c>
      <c r="E71" s="50">
        <v>0</v>
      </c>
      <c r="F71" s="50">
        <v>3</v>
      </c>
      <c r="G71" s="50">
        <v>1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81</v>
      </c>
      <c r="N71" s="50">
        <v>0</v>
      </c>
      <c r="O71" s="15">
        <f t="shared" si="0"/>
        <v>15</v>
      </c>
      <c r="P71" s="15">
        <f t="shared" si="1"/>
        <v>96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3</v>
      </c>
      <c r="E72" s="50">
        <v>2</v>
      </c>
      <c r="F72" s="50">
        <v>4</v>
      </c>
      <c r="G72" s="50">
        <v>0</v>
      </c>
      <c r="H72" s="50">
        <v>0</v>
      </c>
      <c r="I72" s="50">
        <v>3</v>
      </c>
      <c r="J72" s="50">
        <v>0</v>
      </c>
      <c r="K72" s="50">
        <v>0</v>
      </c>
      <c r="L72" s="50">
        <v>0</v>
      </c>
      <c r="M72" s="50">
        <v>40</v>
      </c>
      <c r="N72" s="50">
        <v>0</v>
      </c>
      <c r="O72" s="15">
        <f t="shared" si="0"/>
        <v>16</v>
      </c>
      <c r="P72" s="15">
        <f t="shared" si="1"/>
        <v>56</v>
      </c>
      <c r="R72" s="8"/>
      <c r="T72"/>
    </row>
    <row r="73" spans="2:20" ht="23.1" customHeight="1" x14ac:dyDescent="0.25">
      <c r="B73" s="45" t="s">
        <v>113</v>
      </c>
      <c r="C73" s="50">
        <v>5</v>
      </c>
      <c r="D73" s="50">
        <v>1</v>
      </c>
      <c r="E73" s="50">
        <v>1</v>
      </c>
      <c r="F73" s="50">
        <v>6</v>
      </c>
      <c r="G73" s="50">
        <v>0</v>
      </c>
      <c r="H73" s="50">
        <v>1</v>
      </c>
      <c r="I73" s="50">
        <v>4</v>
      </c>
      <c r="J73" s="50">
        <v>0</v>
      </c>
      <c r="K73" s="50">
        <v>0</v>
      </c>
      <c r="L73" s="50">
        <v>0</v>
      </c>
      <c r="M73" s="50">
        <v>69</v>
      </c>
      <c r="N73" s="50">
        <v>0</v>
      </c>
      <c r="O73" s="15">
        <f t="shared" si="0"/>
        <v>18</v>
      </c>
      <c r="P73" s="15">
        <f t="shared" si="1"/>
        <v>87</v>
      </c>
      <c r="R73" s="8"/>
      <c r="T73"/>
    </row>
    <row r="74" spans="2:20" ht="23.1" customHeight="1" x14ac:dyDescent="0.25">
      <c r="B74" s="45" t="s">
        <v>114</v>
      </c>
      <c r="C74" s="50">
        <v>5</v>
      </c>
      <c r="D74" s="50">
        <v>7</v>
      </c>
      <c r="E74" s="50">
        <v>2</v>
      </c>
      <c r="F74" s="50">
        <v>4</v>
      </c>
      <c r="G74" s="50">
        <v>0</v>
      </c>
      <c r="H74" s="50">
        <v>0</v>
      </c>
      <c r="I74" s="50">
        <v>4</v>
      </c>
      <c r="J74" s="50">
        <v>3</v>
      </c>
      <c r="K74" s="50">
        <v>0</v>
      </c>
      <c r="L74" s="50">
        <v>0</v>
      </c>
      <c r="M74" s="50">
        <v>37</v>
      </c>
      <c r="N74" s="50">
        <v>0</v>
      </c>
      <c r="O74" s="15">
        <f t="shared" ref="O74:O105" si="35">SUM(C74:L74,N74)</f>
        <v>25</v>
      </c>
      <c r="P74" s="15">
        <f t="shared" ref="P74:P105" si="36">SUM(C74:N74)</f>
        <v>62</v>
      </c>
      <c r="R74" s="8"/>
      <c r="T74"/>
    </row>
    <row r="75" spans="2:20" ht="23.1" customHeight="1" x14ac:dyDescent="0.25">
      <c r="B75" s="45" t="s">
        <v>115</v>
      </c>
      <c r="C75" s="50">
        <v>14</v>
      </c>
      <c r="D75" s="50">
        <v>0</v>
      </c>
      <c r="E75" s="50">
        <v>0</v>
      </c>
      <c r="F75" s="50">
        <v>6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40</v>
      </c>
      <c r="N75" s="50">
        <v>0</v>
      </c>
      <c r="O75" s="15">
        <f t="shared" si="35"/>
        <v>21</v>
      </c>
      <c r="P75" s="15">
        <f t="shared" si="36"/>
        <v>61</v>
      </c>
      <c r="R75" s="8"/>
      <c r="T75"/>
    </row>
    <row r="76" spans="2:20" ht="23.1" customHeight="1" x14ac:dyDescent="0.25">
      <c r="B76" s="45" t="s">
        <v>116</v>
      </c>
      <c r="C76" s="50">
        <v>10</v>
      </c>
      <c r="D76" s="50">
        <v>0</v>
      </c>
      <c r="E76" s="50">
        <v>3</v>
      </c>
      <c r="F76" s="50">
        <v>10</v>
      </c>
      <c r="G76" s="50">
        <v>0</v>
      </c>
      <c r="H76" s="50">
        <v>0</v>
      </c>
      <c r="I76" s="50">
        <v>2</v>
      </c>
      <c r="J76" s="50">
        <v>0</v>
      </c>
      <c r="K76" s="50">
        <v>0</v>
      </c>
      <c r="L76" s="50">
        <v>0</v>
      </c>
      <c r="M76" s="50">
        <v>55</v>
      </c>
      <c r="N76" s="50">
        <v>0</v>
      </c>
      <c r="O76" s="15">
        <f t="shared" si="35"/>
        <v>25</v>
      </c>
      <c r="P76" s="15">
        <f t="shared" si="36"/>
        <v>80</v>
      </c>
      <c r="R76" s="8"/>
      <c r="T76"/>
    </row>
    <row r="77" spans="2:20" ht="23.1" customHeight="1" x14ac:dyDescent="0.25">
      <c r="B77" s="45" t="s">
        <v>117</v>
      </c>
      <c r="C77" s="50">
        <v>9</v>
      </c>
      <c r="D77" s="50">
        <v>0</v>
      </c>
      <c r="E77" s="50">
        <v>2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48</v>
      </c>
      <c r="N77" s="50">
        <v>0</v>
      </c>
      <c r="O77" s="15">
        <f t="shared" si="35"/>
        <v>13</v>
      </c>
      <c r="P77" s="15">
        <f t="shared" si="36"/>
        <v>61</v>
      </c>
      <c r="R77" s="8"/>
      <c r="T77"/>
    </row>
    <row r="78" spans="2:20" ht="23.1" customHeight="1" x14ac:dyDescent="0.25">
      <c r="B78" s="46" t="s">
        <v>118</v>
      </c>
      <c r="C78" s="50">
        <v>6</v>
      </c>
      <c r="D78" s="50">
        <v>2</v>
      </c>
      <c r="E78" s="50">
        <v>0</v>
      </c>
      <c r="F78" s="50">
        <v>3</v>
      </c>
      <c r="G78" s="50">
        <v>0</v>
      </c>
      <c r="H78" s="50">
        <v>0</v>
      </c>
      <c r="I78" s="50">
        <v>1</v>
      </c>
      <c r="J78" s="50">
        <v>1</v>
      </c>
      <c r="K78" s="50">
        <v>0</v>
      </c>
      <c r="L78" s="50">
        <v>0</v>
      </c>
      <c r="M78" s="50">
        <v>32</v>
      </c>
      <c r="N78" s="50">
        <v>0</v>
      </c>
      <c r="O78" s="15">
        <f t="shared" si="35"/>
        <v>13</v>
      </c>
      <c r="P78" s="15">
        <f t="shared" si="36"/>
        <v>45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3</v>
      </c>
      <c r="E79" s="50">
        <v>1</v>
      </c>
      <c r="F79" s="50">
        <v>7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0</v>
      </c>
      <c r="M79" s="50">
        <v>14</v>
      </c>
      <c r="N79" s="50">
        <v>0</v>
      </c>
      <c r="O79" s="15">
        <f t="shared" si="35"/>
        <v>15</v>
      </c>
      <c r="P79" s="15">
        <f t="shared" si="36"/>
        <v>29</v>
      </c>
      <c r="R79" s="8"/>
      <c r="T79"/>
    </row>
    <row r="80" spans="2:20" ht="23.1" customHeight="1" x14ac:dyDescent="0.25">
      <c r="B80" s="47" t="s">
        <v>120</v>
      </c>
      <c r="C80" s="50">
        <v>8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1</v>
      </c>
      <c r="J80" s="50">
        <v>2</v>
      </c>
      <c r="K80" s="50">
        <v>0</v>
      </c>
      <c r="L80" s="50">
        <v>0</v>
      </c>
      <c r="M80" s="50">
        <v>9</v>
      </c>
      <c r="N80" s="50">
        <v>0</v>
      </c>
      <c r="O80" s="15">
        <f t="shared" si="35"/>
        <v>12</v>
      </c>
      <c r="P80" s="15">
        <f t="shared" si="36"/>
        <v>21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1</v>
      </c>
      <c r="E81" s="50">
        <v>2</v>
      </c>
      <c r="F81" s="50">
        <v>3</v>
      </c>
      <c r="G81" s="50">
        <v>0</v>
      </c>
      <c r="H81" s="50">
        <v>0</v>
      </c>
      <c r="I81" s="50">
        <v>3</v>
      </c>
      <c r="J81" s="50">
        <v>1</v>
      </c>
      <c r="K81" s="50">
        <v>0</v>
      </c>
      <c r="L81" s="50">
        <v>0</v>
      </c>
      <c r="M81" s="50">
        <v>10</v>
      </c>
      <c r="N81" s="50">
        <v>0</v>
      </c>
      <c r="O81" s="15">
        <f t="shared" si="35"/>
        <v>13</v>
      </c>
      <c r="P81" s="15">
        <f t="shared" si="36"/>
        <v>23</v>
      </c>
      <c r="R81" s="8"/>
      <c r="T81"/>
    </row>
    <row r="82" spans="2:20" ht="23.1" customHeight="1" x14ac:dyDescent="0.25">
      <c r="B82" s="46" t="s">
        <v>122</v>
      </c>
      <c r="C82" s="50">
        <v>15</v>
      </c>
      <c r="D82" s="50">
        <v>0</v>
      </c>
      <c r="E82" s="50">
        <v>4</v>
      </c>
      <c r="F82" s="50">
        <v>0</v>
      </c>
      <c r="G82" s="50">
        <v>0</v>
      </c>
      <c r="H82" s="50">
        <v>0</v>
      </c>
      <c r="I82" s="50">
        <v>2</v>
      </c>
      <c r="J82" s="50">
        <v>0</v>
      </c>
      <c r="K82" s="50">
        <v>1</v>
      </c>
      <c r="L82" s="50">
        <v>0</v>
      </c>
      <c r="M82" s="50">
        <v>20</v>
      </c>
      <c r="N82" s="50">
        <v>0</v>
      </c>
      <c r="O82" s="15">
        <f t="shared" si="35"/>
        <v>22</v>
      </c>
      <c r="P82" s="15">
        <f t="shared" si="36"/>
        <v>42</v>
      </c>
      <c r="R82" s="8"/>
      <c r="T82"/>
    </row>
    <row r="83" spans="2:20" ht="23.1" customHeight="1" x14ac:dyDescent="0.25">
      <c r="B83" s="45" t="s">
        <v>123</v>
      </c>
      <c r="C83" s="50">
        <v>3</v>
      </c>
      <c r="D83" s="50">
        <v>1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12</v>
      </c>
      <c r="N83" s="50">
        <v>0</v>
      </c>
      <c r="O83" s="15">
        <f t="shared" si="35"/>
        <v>6</v>
      </c>
      <c r="P83" s="15">
        <f t="shared" si="36"/>
        <v>18</v>
      </c>
      <c r="R83" s="8"/>
      <c r="T83"/>
    </row>
    <row r="84" spans="2:20" ht="23.1" customHeight="1" x14ac:dyDescent="0.25">
      <c r="B84" s="47" t="s">
        <v>124</v>
      </c>
      <c r="C84" s="50">
        <v>8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2</v>
      </c>
      <c r="J84" s="50">
        <v>0</v>
      </c>
      <c r="K84" s="50">
        <v>0</v>
      </c>
      <c r="L84" s="50">
        <v>0</v>
      </c>
      <c r="M84" s="50">
        <v>8</v>
      </c>
      <c r="N84" s="50">
        <v>0</v>
      </c>
      <c r="O84" s="15">
        <f t="shared" si="35"/>
        <v>10</v>
      </c>
      <c r="P84" s="15">
        <f t="shared" si="36"/>
        <v>18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1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4</v>
      </c>
      <c r="N85" s="50">
        <v>0</v>
      </c>
      <c r="O85" s="15">
        <f t="shared" si="35"/>
        <v>2</v>
      </c>
      <c r="P85" s="15">
        <f t="shared" si="36"/>
        <v>6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2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1</v>
      </c>
      <c r="M86" s="50">
        <v>2</v>
      </c>
      <c r="N86" s="50">
        <v>0</v>
      </c>
      <c r="O86" s="15">
        <f t="shared" si="35"/>
        <v>4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1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8</v>
      </c>
      <c r="N87" s="50">
        <v>0</v>
      </c>
      <c r="O87" s="15">
        <f t="shared" si="35"/>
        <v>5</v>
      </c>
      <c r="P87" s="15">
        <f t="shared" si="36"/>
        <v>13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1</v>
      </c>
      <c r="M88" s="50">
        <v>4</v>
      </c>
      <c r="N88" s="50">
        <v>0</v>
      </c>
      <c r="O88" s="15">
        <f t="shared" si="35"/>
        <v>3</v>
      </c>
      <c r="P88" s="15">
        <f t="shared" si="36"/>
        <v>7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2</v>
      </c>
      <c r="E89" s="50">
        <v>0</v>
      </c>
      <c r="F89" s="50">
        <v>1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6</v>
      </c>
      <c r="N89" s="50">
        <v>0</v>
      </c>
      <c r="O89" s="15">
        <f t="shared" si="35"/>
        <v>4</v>
      </c>
      <c r="P89" s="15">
        <f t="shared" si="36"/>
        <v>10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5</v>
      </c>
      <c r="N90" s="50">
        <v>0</v>
      </c>
      <c r="O90" s="15">
        <f t="shared" si="35"/>
        <v>1</v>
      </c>
      <c r="P90" s="15">
        <f t="shared" si="36"/>
        <v>6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5">
        <f t="shared" si="35"/>
        <v>3</v>
      </c>
      <c r="P91" s="15">
        <f t="shared" si="36"/>
        <v>5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1</v>
      </c>
      <c r="L92" s="50">
        <v>0</v>
      </c>
      <c r="M92" s="50">
        <v>3</v>
      </c>
      <c r="N92" s="50">
        <v>0</v>
      </c>
      <c r="O92" s="15">
        <f t="shared" si="35"/>
        <v>2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4</v>
      </c>
      <c r="N93" s="50">
        <v>0</v>
      </c>
      <c r="O93" s="15">
        <f t="shared" si="35"/>
        <v>1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6</v>
      </c>
      <c r="N94" s="50">
        <v>0</v>
      </c>
      <c r="O94" s="15">
        <f t="shared" si="35"/>
        <v>3</v>
      </c>
      <c r="P94" s="15">
        <f t="shared" si="36"/>
        <v>9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7</v>
      </c>
      <c r="N95" s="50">
        <v>0</v>
      </c>
      <c r="O95" s="15">
        <f t="shared" si="35"/>
        <v>2</v>
      </c>
      <c r="P95" s="15">
        <f t="shared" si="36"/>
        <v>9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1</v>
      </c>
      <c r="E96" s="50">
        <v>0</v>
      </c>
      <c r="F96" s="50">
        <v>1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5</v>
      </c>
      <c r="N96" s="50">
        <v>0</v>
      </c>
      <c r="O96" s="15">
        <f t="shared" si="35"/>
        <v>6</v>
      </c>
      <c r="P96" s="15">
        <f t="shared" si="36"/>
        <v>11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5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10</v>
      </c>
      <c r="N97" s="50">
        <v>0</v>
      </c>
      <c r="O97" s="15">
        <f t="shared" si="35"/>
        <v>6</v>
      </c>
      <c r="P97" s="15">
        <f t="shared" si="36"/>
        <v>16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1</v>
      </c>
      <c r="F98" s="50">
        <v>5</v>
      </c>
      <c r="G98" s="50">
        <v>0</v>
      </c>
      <c r="H98" s="50">
        <v>0</v>
      </c>
      <c r="I98" s="50">
        <v>1</v>
      </c>
      <c r="J98" s="50">
        <v>1</v>
      </c>
      <c r="K98" s="50">
        <v>0</v>
      </c>
      <c r="L98" s="50">
        <v>0</v>
      </c>
      <c r="M98" s="50">
        <v>6</v>
      </c>
      <c r="N98" s="50">
        <v>0</v>
      </c>
      <c r="O98" s="15">
        <f t="shared" si="35"/>
        <v>9</v>
      </c>
      <c r="P98" s="15">
        <f t="shared" si="36"/>
        <v>15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2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10</v>
      </c>
      <c r="N99" s="50">
        <v>0</v>
      </c>
      <c r="O99" s="15">
        <f t="shared" si="35"/>
        <v>3</v>
      </c>
      <c r="P99" s="15">
        <f t="shared" si="36"/>
        <v>13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1</v>
      </c>
      <c r="F100" s="50">
        <v>6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14</v>
      </c>
      <c r="N100" s="50">
        <v>0</v>
      </c>
      <c r="O100" s="15">
        <f t="shared" si="35"/>
        <v>12</v>
      </c>
      <c r="P100" s="15">
        <f t="shared" si="36"/>
        <v>26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7</v>
      </c>
      <c r="G101" s="50">
        <v>0</v>
      </c>
      <c r="H101" s="50">
        <v>0</v>
      </c>
      <c r="I101" s="50">
        <v>3</v>
      </c>
      <c r="J101" s="50">
        <v>2</v>
      </c>
      <c r="K101" s="50">
        <v>0</v>
      </c>
      <c r="L101" s="50">
        <v>0</v>
      </c>
      <c r="M101" s="50">
        <v>21</v>
      </c>
      <c r="N101" s="50">
        <v>0</v>
      </c>
      <c r="O101" s="15">
        <f t="shared" si="35"/>
        <v>12</v>
      </c>
      <c r="P101" s="15">
        <f t="shared" si="36"/>
        <v>33</v>
      </c>
      <c r="R101" s="8"/>
      <c r="T101"/>
    </row>
    <row r="102" spans="2:20" ht="23.1" customHeight="1" x14ac:dyDescent="0.25">
      <c r="B102" s="46" t="s">
        <v>142</v>
      </c>
      <c r="C102" s="50">
        <v>4</v>
      </c>
      <c r="D102" s="50">
        <v>2</v>
      </c>
      <c r="E102" s="50">
        <v>1</v>
      </c>
      <c r="F102" s="50">
        <v>5</v>
      </c>
      <c r="G102" s="50">
        <v>0</v>
      </c>
      <c r="H102" s="50">
        <v>0</v>
      </c>
      <c r="I102" s="50">
        <v>3</v>
      </c>
      <c r="J102" s="50">
        <v>0</v>
      </c>
      <c r="K102" s="50">
        <v>1</v>
      </c>
      <c r="L102" s="50">
        <v>0</v>
      </c>
      <c r="M102" s="50">
        <v>19</v>
      </c>
      <c r="N102" s="50">
        <v>0</v>
      </c>
      <c r="O102" s="15">
        <f t="shared" si="35"/>
        <v>16</v>
      </c>
      <c r="P102" s="15">
        <f t="shared" si="36"/>
        <v>35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4</v>
      </c>
      <c r="G103" s="50">
        <v>0</v>
      </c>
      <c r="H103" s="50">
        <v>0</v>
      </c>
      <c r="I103" s="50">
        <v>2</v>
      </c>
      <c r="J103" s="50">
        <v>0</v>
      </c>
      <c r="K103" s="50">
        <v>0</v>
      </c>
      <c r="L103" s="50">
        <v>0</v>
      </c>
      <c r="M103" s="50">
        <v>28</v>
      </c>
      <c r="N103" s="50">
        <v>0</v>
      </c>
      <c r="O103" s="15">
        <f t="shared" si="35"/>
        <v>8</v>
      </c>
      <c r="P103" s="15">
        <f t="shared" si="36"/>
        <v>36</v>
      </c>
      <c r="R103" s="8"/>
      <c r="T103"/>
    </row>
    <row r="104" spans="2:20" ht="23.1" customHeight="1" x14ac:dyDescent="0.25">
      <c r="B104" s="47" t="s">
        <v>144</v>
      </c>
      <c r="C104" s="50">
        <v>7</v>
      </c>
      <c r="D104" s="50">
        <v>5</v>
      </c>
      <c r="E104" s="50">
        <v>0</v>
      </c>
      <c r="F104" s="50">
        <v>5</v>
      </c>
      <c r="G104" s="50">
        <v>0</v>
      </c>
      <c r="H104" s="50">
        <v>0</v>
      </c>
      <c r="I104" s="50">
        <v>4</v>
      </c>
      <c r="J104" s="50">
        <v>1</v>
      </c>
      <c r="K104" s="50">
        <v>0</v>
      </c>
      <c r="L104" s="50">
        <v>0</v>
      </c>
      <c r="M104" s="50">
        <v>32</v>
      </c>
      <c r="N104" s="50">
        <v>0</v>
      </c>
      <c r="O104" s="15">
        <f t="shared" si="35"/>
        <v>22</v>
      </c>
      <c r="P104" s="15">
        <f t="shared" si="36"/>
        <v>54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3</v>
      </c>
      <c r="E105" s="50">
        <v>0</v>
      </c>
      <c r="F105" s="50">
        <v>3</v>
      </c>
      <c r="G105" s="50">
        <v>0</v>
      </c>
      <c r="H105" s="50">
        <v>0</v>
      </c>
      <c r="I105" s="50">
        <v>1</v>
      </c>
      <c r="J105" s="50">
        <v>1</v>
      </c>
      <c r="K105" s="50">
        <v>0</v>
      </c>
      <c r="L105" s="50">
        <v>0</v>
      </c>
      <c r="M105" s="50">
        <v>41</v>
      </c>
      <c r="N105" s="50">
        <v>0</v>
      </c>
      <c r="O105" s="15">
        <f t="shared" si="35"/>
        <v>10</v>
      </c>
      <c r="P105" s="15">
        <f t="shared" si="36"/>
        <v>51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1190</v>
      </c>
      <c r="D106" s="16">
        <f t="shared" ref="D106:P106" si="37">SUM(D10:D105)</f>
        <v>211</v>
      </c>
      <c r="E106" s="16">
        <f t="shared" si="37"/>
        <v>250</v>
      </c>
      <c r="F106" s="16">
        <f t="shared" si="37"/>
        <v>500</v>
      </c>
      <c r="G106" s="16">
        <f t="shared" si="37"/>
        <v>17</v>
      </c>
      <c r="H106" s="16">
        <f t="shared" si="37"/>
        <v>1</v>
      </c>
      <c r="I106" s="16">
        <f t="shared" si="37"/>
        <v>406</v>
      </c>
      <c r="J106" s="16">
        <f t="shared" si="37"/>
        <v>77</v>
      </c>
      <c r="K106" s="16">
        <f t="shared" si="37"/>
        <v>28</v>
      </c>
      <c r="L106" s="16">
        <f t="shared" si="37"/>
        <v>27</v>
      </c>
      <c r="M106" s="16">
        <f t="shared" si="37"/>
        <v>5158</v>
      </c>
      <c r="N106" s="16">
        <f t="shared" si="37"/>
        <v>0</v>
      </c>
      <c r="O106" s="16">
        <f t="shared" si="37"/>
        <v>2707</v>
      </c>
      <c r="P106" s="16">
        <f t="shared" si="37"/>
        <v>7865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0.15130324221233313</v>
      </c>
      <c r="D107" s="43">
        <f t="shared" si="38"/>
        <v>2.6827717736808646E-2</v>
      </c>
      <c r="E107" s="43">
        <f t="shared" si="38"/>
        <v>3.1786395422759059E-2</v>
      </c>
      <c r="F107" s="43">
        <f t="shared" si="38"/>
        <v>6.3572790845518118E-2</v>
      </c>
      <c r="G107" s="43">
        <f t="shared" si="38"/>
        <v>2.1614748887476159E-3</v>
      </c>
      <c r="H107" s="43">
        <f t="shared" si="38"/>
        <v>1.2714558169103624E-4</v>
      </c>
      <c r="I107" s="43">
        <f t="shared" si="38"/>
        <v>5.162110616656071E-2</v>
      </c>
      <c r="J107" s="43">
        <f t="shared" si="38"/>
        <v>9.7902097902097911E-3</v>
      </c>
      <c r="K107" s="43">
        <f t="shared" si="38"/>
        <v>3.5600762873490145E-3</v>
      </c>
      <c r="L107" s="43">
        <f t="shared" si="38"/>
        <v>3.4329307056579785E-3</v>
      </c>
      <c r="M107" s="43">
        <f t="shared" si="38"/>
        <v>0.65581691036236489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0.43960103435537495</v>
      </c>
      <c r="D108" s="44">
        <f t="shared" ref="D108:N108" si="39">D106/$O$106</f>
        <v>7.7946065755448837E-2</v>
      </c>
      <c r="E108" s="44">
        <f t="shared" si="39"/>
        <v>9.2353158478019948E-2</v>
      </c>
      <c r="F108" s="44">
        <f t="shared" si="39"/>
        <v>0.1847063169560399</v>
      </c>
      <c r="G108" s="44">
        <f t="shared" si="39"/>
        <v>6.2800147765053561E-3</v>
      </c>
      <c r="H108" s="44">
        <f t="shared" si="39"/>
        <v>3.6941263391207979E-4</v>
      </c>
      <c r="I108" s="44">
        <f t="shared" si="39"/>
        <v>0.14998152936830439</v>
      </c>
      <c r="J108" s="44">
        <f t="shared" si="39"/>
        <v>2.8444772811230146E-2</v>
      </c>
      <c r="K108" s="44">
        <f t="shared" si="39"/>
        <v>1.0343553749538234E-2</v>
      </c>
      <c r="L108" s="44">
        <f t="shared" si="39"/>
        <v>9.9741411156261551E-3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43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'29.10-MUKONO-KATOSI'!C3:G3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180</v>
      </c>
      <c r="E5" s="3"/>
      <c r="F5" s="41" t="s">
        <v>1</v>
      </c>
      <c r="G5" s="53" t="str">
        <f>'1.11 MUKONO-KATOSI 24hr'!G5:H5</f>
        <v>SHELL PETROL STATION</v>
      </c>
      <c r="H5" s="54"/>
      <c r="I5" s="14"/>
      <c r="J5" s="2" t="s">
        <v>5</v>
      </c>
      <c r="K5" s="53" t="s">
        <v>179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">
        <v>166</v>
      </c>
      <c r="E6" s="54"/>
      <c r="F6" s="2" t="s">
        <v>2</v>
      </c>
      <c r="G6" s="53" t="s">
        <v>165</v>
      </c>
      <c r="H6" s="54"/>
      <c r="J6" s="2" t="s">
        <v>21</v>
      </c>
      <c r="K6" s="53" t="str">
        <f>'1.11 MUKONO-KATOSI 24hr'!K6:L6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6</v>
      </c>
      <c r="E10" s="50">
        <v>1</v>
      </c>
      <c r="F10" s="50">
        <v>5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60</v>
      </c>
      <c r="N10" s="50">
        <v>0</v>
      </c>
      <c r="O10" s="15">
        <f t="shared" ref="O10:O73" si="0">SUM(C10:L10,N10)</f>
        <v>17</v>
      </c>
      <c r="P10" s="15">
        <f t="shared" ref="P10:P73" si="1">SUM(C10:N10)</f>
        <v>77</v>
      </c>
      <c r="R10" s="1" t="s">
        <v>6</v>
      </c>
      <c r="S10" s="17">
        <f t="shared" ref="S10:AF10" si="2">SUM(C10:C13)</f>
        <v>18</v>
      </c>
      <c r="T10" s="17">
        <f t="shared" si="2"/>
        <v>22</v>
      </c>
      <c r="U10" s="17">
        <f t="shared" si="2"/>
        <v>5</v>
      </c>
      <c r="V10" s="17">
        <f t="shared" si="2"/>
        <v>28</v>
      </c>
      <c r="W10" s="17">
        <f t="shared" si="2"/>
        <v>0</v>
      </c>
      <c r="X10" s="17">
        <f t="shared" si="2"/>
        <v>0</v>
      </c>
      <c r="Y10" s="17">
        <f t="shared" si="2"/>
        <v>11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298</v>
      </c>
      <c r="AD10" s="17">
        <f t="shared" si="2"/>
        <v>0</v>
      </c>
      <c r="AE10" s="31">
        <f t="shared" si="2"/>
        <v>88</v>
      </c>
      <c r="AF10" s="31">
        <f t="shared" si="2"/>
        <v>386</v>
      </c>
    </row>
    <row r="11" spans="2:32" s="6" customFormat="1" ht="23.1" customHeight="1" x14ac:dyDescent="0.25">
      <c r="B11" s="45" t="s">
        <v>38</v>
      </c>
      <c r="C11" s="50">
        <v>6</v>
      </c>
      <c r="D11" s="50">
        <v>3</v>
      </c>
      <c r="E11" s="50">
        <v>0</v>
      </c>
      <c r="F11" s="50">
        <v>8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76</v>
      </c>
      <c r="N11" s="50">
        <v>0</v>
      </c>
      <c r="O11" s="15">
        <f t="shared" si="0"/>
        <v>19</v>
      </c>
      <c r="P11" s="15">
        <f t="shared" si="1"/>
        <v>95</v>
      </c>
      <c r="R11" s="1" t="s">
        <v>7</v>
      </c>
      <c r="S11" s="17">
        <f t="shared" ref="S11:AF11" si="3">SUM(C14:C17)</f>
        <v>34</v>
      </c>
      <c r="T11" s="17">
        <f t="shared" si="3"/>
        <v>22</v>
      </c>
      <c r="U11" s="17">
        <f t="shared" si="3"/>
        <v>8</v>
      </c>
      <c r="V11" s="17">
        <f t="shared" si="3"/>
        <v>28</v>
      </c>
      <c r="W11" s="17">
        <f t="shared" si="3"/>
        <v>4</v>
      </c>
      <c r="X11" s="17">
        <f t="shared" si="3"/>
        <v>0</v>
      </c>
      <c r="Y11" s="17">
        <f t="shared" si="3"/>
        <v>10</v>
      </c>
      <c r="Z11" s="17">
        <f t="shared" si="3"/>
        <v>8</v>
      </c>
      <c r="AA11" s="17">
        <f t="shared" si="3"/>
        <v>3</v>
      </c>
      <c r="AB11" s="17">
        <f t="shared" si="3"/>
        <v>1</v>
      </c>
      <c r="AC11" s="17">
        <f t="shared" si="3"/>
        <v>247</v>
      </c>
      <c r="AD11" s="17">
        <f t="shared" si="3"/>
        <v>0</v>
      </c>
      <c r="AE11" s="31">
        <f t="shared" si="3"/>
        <v>118</v>
      </c>
      <c r="AF11" s="31">
        <f t="shared" si="3"/>
        <v>365</v>
      </c>
    </row>
    <row r="12" spans="2:32" ht="23.1" customHeight="1" x14ac:dyDescent="0.25">
      <c r="B12" s="45" t="s">
        <v>39</v>
      </c>
      <c r="C12" s="50">
        <v>5</v>
      </c>
      <c r="D12" s="50">
        <v>9</v>
      </c>
      <c r="E12" s="50">
        <v>1</v>
      </c>
      <c r="F12" s="50">
        <v>7</v>
      </c>
      <c r="G12" s="50">
        <v>0</v>
      </c>
      <c r="H12" s="50">
        <v>0</v>
      </c>
      <c r="I12" s="50">
        <v>5</v>
      </c>
      <c r="J12" s="50">
        <v>2</v>
      </c>
      <c r="K12" s="50">
        <v>0</v>
      </c>
      <c r="L12" s="50">
        <v>0</v>
      </c>
      <c r="M12" s="50">
        <v>78</v>
      </c>
      <c r="N12" s="50">
        <v>0</v>
      </c>
      <c r="O12" s="15">
        <f t="shared" si="0"/>
        <v>29</v>
      </c>
      <c r="P12" s="15">
        <f t="shared" si="1"/>
        <v>107</v>
      </c>
      <c r="R12" s="1" t="s">
        <v>8</v>
      </c>
      <c r="S12" s="17">
        <f t="shared" ref="S12:AF12" si="4">SUM(C18:C21)</f>
        <v>20</v>
      </c>
      <c r="T12" s="17">
        <f t="shared" si="4"/>
        <v>22</v>
      </c>
      <c r="U12" s="17">
        <f t="shared" si="4"/>
        <v>9</v>
      </c>
      <c r="V12" s="17">
        <f t="shared" si="4"/>
        <v>19</v>
      </c>
      <c r="W12" s="17">
        <f t="shared" si="4"/>
        <v>2</v>
      </c>
      <c r="X12" s="17">
        <f t="shared" si="4"/>
        <v>1</v>
      </c>
      <c r="Y12" s="17">
        <f t="shared" si="4"/>
        <v>11</v>
      </c>
      <c r="Z12" s="17">
        <f t="shared" si="4"/>
        <v>13</v>
      </c>
      <c r="AA12" s="17">
        <f t="shared" si="4"/>
        <v>3</v>
      </c>
      <c r="AB12" s="17">
        <f t="shared" si="4"/>
        <v>0</v>
      </c>
      <c r="AC12" s="17">
        <f t="shared" si="4"/>
        <v>247</v>
      </c>
      <c r="AD12" s="17">
        <f t="shared" si="4"/>
        <v>0</v>
      </c>
      <c r="AE12" s="31">
        <f t="shared" si="4"/>
        <v>100</v>
      </c>
      <c r="AF12" s="31">
        <f t="shared" si="4"/>
        <v>347</v>
      </c>
    </row>
    <row r="13" spans="2:32" ht="23.1" customHeight="1" x14ac:dyDescent="0.25">
      <c r="B13" s="45" t="s">
        <v>40</v>
      </c>
      <c r="C13" s="50">
        <v>4</v>
      </c>
      <c r="D13" s="50">
        <v>4</v>
      </c>
      <c r="E13" s="50">
        <v>3</v>
      </c>
      <c r="F13" s="50">
        <v>8</v>
      </c>
      <c r="G13" s="50">
        <v>0</v>
      </c>
      <c r="H13" s="50">
        <v>0</v>
      </c>
      <c r="I13" s="50">
        <v>3</v>
      </c>
      <c r="J13" s="50">
        <v>0</v>
      </c>
      <c r="K13" s="50">
        <v>1</v>
      </c>
      <c r="L13" s="50">
        <v>0</v>
      </c>
      <c r="M13" s="50">
        <v>84</v>
      </c>
      <c r="N13" s="50">
        <v>0</v>
      </c>
      <c r="O13" s="15">
        <f t="shared" si="0"/>
        <v>23</v>
      </c>
      <c r="P13" s="15">
        <f t="shared" si="1"/>
        <v>107</v>
      </c>
      <c r="R13" s="1" t="s">
        <v>9</v>
      </c>
      <c r="S13" s="17">
        <f t="shared" ref="S13:AF13" si="5">SUM(C22:C25)</f>
        <v>29</v>
      </c>
      <c r="T13" s="17">
        <f t="shared" si="5"/>
        <v>32</v>
      </c>
      <c r="U13" s="17">
        <f t="shared" si="5"/>
        <v>16</v>
      </c>
      <c r="V13" s="17">
        <f t="shared" si="5"/>
        <v>20</v>
      </c>
      <c r="W13" s="17">
        <f t="shared" si="5"/>
        <v>2</v>
      </c>
      <c r="X13" s="17">
        <f t="shared" si="5"/>
        <v>0</v>
      </c>
      <c r="Y13" s="17">
        <f t="shared" si="5"/>
        <v>25</v>
      </c>
      <c r="Z13" s="17">
        <f t="shared" si="5"/>
        <v>10</v>
      </c>
      <c r="AA13" s="17">
        <f t="shared" si="5"/>
        <v>4</v>
      </c>
      <c r="AB13" s="17">
        <f t="shared" si="5"/>
        <v>2</v>
      </c>
      <c r="AC13" s="17">
        <f t="shared" si="5"/>
        <v>213</v>
      </c>
      <c r="AD13" s="17">
        <f t="shared" si="5"/>
        <v>0</v>
      </c>
      <c r="AE13" s="31">
        <f t="shared" si="5"/>
        <v>140</v>
      </c>
      <c r="AF13" s="31">
        <f t="shared" si="5"/>
        <v>353</v>
      </c>
    </row>
    <row r="14" spans="2:32" ht="23.1" customHeight="1" x14ac:dyDescent="0.25">
      <c r="B14" s="45" t="s">
        <v>41</v>
      </c>
      <c r="C14" s="50">
        <v>7</v>
      </c>
      <c r="D14" s="50">
        <v>7</v>
      </c>
      <c r="E14" s="50">
        <v>3</v>
      </c>
      <c r="F14" s="50">
        <v>6</v>
      </c>
      <c r="G14" s="50">
        <v>1</v>
      </c>
      <c r="H14" s="50">
        <v>0</v>
      </c>
      <c r="I14" s="50">
        <v>2</v>
      </c>
      <c r="J14" s="50">
        <v>0</v>
      </c>
      <c r="K14" s="50">
        <v>1</v>
      </c>
      <c r="L14" s="50">
        <v>0</v>
      </c>
      <c r="M14" s="50">
        <v>53</v>
      </c>
      <c r="N14" s="50">
        <v>0</v>
      </c>
      <c r="O14" s="15">
        <f t="shared" si="0"/>
        <v>27</v>
      </c>
      <c r="P14" s="15">
        <f t="shared" si="1"/>
        <v>80</v>
      </c>
      <c r="R14" s="1" t="s">
        <v>10</v>
      </c>
      <c r="S14" s="17">
        <f t="shared" ref="S14:AF14" si="6">SUM(C26:C29)</f>
        <v>33</v>
      </c>
      <c r="T14" s="17">
        <f t="shared" si="6"/>
        <v>37</v>
      </c>
      <c r="U14" s="17">
        <f t="shared" si="6"/>
        <v>18</v>
      </c>
      <c r="V14" s="17">
        <f t="shared" si="6"/>
        <v>30</v>
      </c>
      <c r="W14" s="17">
        <f t="shared" si="6"/>
        <v>1</v>
      </c>
      <c r="X14" s="17">
        <f t="shared" si="6"/>
        <v>0</v>
      </c>
      <c r="Y14" s="17">
        <f t="shared" si="6"/>
        <v>16</v>
      </c>
      <c r="Z14" s="17">
        <f t="shared" si="6"/>
        <v>9</v>
      </c>
      <c r="AA14" s="17">
        <f t="shared" si="6"/>
        <v>2</v>
      </c>
      <c r="AB14" s="17">
        <f t="shared" si="6"/>
        <v>1</v>
      </c>
      <c r="AC14" s="17">
        <f t="shared" si="6"/>
        <v>271</v>
      </c>
      <c r="AD14" s="17">
        <f t="shared" si="6"/>
        <v>0</v>
      </c>
      <c r="AE14" s="31">
        <f t="shared" si="6"/>
        <v>147</v>
      </c>
      <c r="AF14" s="31">
        <f t="shared" si="6"/>
        <v>418</v>
      </c>
    </row>
    <row r="15" spans="2:32" ht="23.1" customHeight="1" x14ac:dyDescent="0.25">
      <c r="B15" s="45" t="s">
        <v>42</v>
      </c>
      <c r="C15" s="50">
        <v>18</v>
      </c>
      <c r="D15" s="50">
        <v>3</v>
      </c>
      <c r="E15" s="50">
        <v>1</v>
      </c>
      <c r="F15" s="50">
        <v>11</v>
      </c>
      <c r="G15" s="50">
        <v>1</v>
      </c>
      <c r="H15" s="50">
        <v>0</v>
      </c>
      <c r="I15" s="50">
        <v>3</v>
      </c>
      <c r="J15" s="50">
        <v>2</v>
      </c>
      <c r="K15" s="50">
        <v>2</v>
      </c>
      <c r="L15" s="50">
        <v>0</v>
      </c>
      <c r="M15" s="50">
        <v>61</v>
      </c>
      <c r="N15" s="50">
        <v>0</v>
      </c>
      <c r="O15" s="15">
        <f t="shared" si="0"/>
        <v>41</v>
      </c>
      <c r="P15" s="15">
        <f t="shared" si="1"/>
        <v>102</v>
      </c>
      <c r="R15" s="1" t="s">
        <v>11</v>
      </c>
      <c r="S15" s="17">
        <f t="shared" ref="S15:AF15" si="7">SUM(C30:C33)</f>
        <v>29</v>
      </c>
      <c r="T15" s="17">
        <f t="shared" si="7"/>
        <v>32</v>
      </c>
      <c r="U15" s="17">
        <f t="shared" si="7"/>
        <v>18</v>
      </c>
      <c r="V15" s="17">
        <f t="shared" si="7"/>
        <v>19</v>
      </c>
      <c r="W15" s="17">
        <f t="shared" si="7"/>
        <v>0</v>
      </c>
      <c r="X15" s="17">
        <f t="shared" si="7"/>
        <v>0</v>
      </c>
      <c r="Y15" s="17">
        <f t="shared" si="7"/>
        <v>19</v>
      </c>
      <c r="Z15" s="17">
        <f t="shared" si="7"/>
        <v>9</v>
      </c>
      <c r="AA15" s="17">
        <f t="shared" si="7"/>
        <v>6</v>
      </c>
      <c r="AB15" s="17">
        <f t="shared" si="7"/>
        <v>2</v>
      </c>
      <c r="AC15" s="17">
        <f t="shared" si="7"/>
        <v>164</v>
      </c>
      <c r="AD15" s="17">
        <f t="shared" si="7"/>
        <v>0</v>
      </c>
      <c r="AE15" s="31">
        <f t="shared" si="7"/>
        <v>134</v>
      </c>
      <c r="AF15" s="31">
        <f t="shared" si="7"/>
        <v>298</v>
      </c>
    </row>
    <row r="16" spans="2:32" ht="23.1" customHeight="1" x14ac:dyDescent="0.25">
      <c r="B16" s="45" t="s">
        <v>43</v>
      </c>
      <c r="C16" s="50">
        <v>6</v>
      </c>
      <c r="D16" s="50">
        <v>4</v>
      </c>
      <c r="E16" s="50">
        <v>1</v>
      </c>
      <c r="F16" s="50">
        <v>7</v>
      </c>
      <c r="G16" s="50">
        <v>1</v>
      </c>
      <c r="H16" s="50">
        <v>0</v>
      </c>
      <c r="I16" s="50">
        <v>3</v>
      </c>
      <c r="J16" s="50">
        <v>4</v>
      </c>
      <c r="K16" s="50">
        <v>0</v>
      </c>
      <c r="L16" s="50">
        <v>0</v>
      </c>
      <c r="M16" s="50">
        <v>66</v>
      </c>
      <c r="N16" s="50">
        <v>0</v>
      </c>
      <c r="O16" s="15">
        <f t="shared" si="0"/>
        <v>26</v>
      </c>
      <c r="P16" s="15">
        <f t="shared" si="1"/>
        <v>92</v>
      </c>
      <c r="R16" s="1" t="s">
        <v>12</v>
      </c>
      <c r="S16" s="17">
        <f t="shared" ref="S16:AF16" si="8">SUM(C34:C37)</f>
        <v>25</v>
      </c>
      <c r="T16" s="17">
        <f t="shared" si="8"/>
        <v>41</v>
      </c>
      <c r="U16" s="17">
        <f t="shared" si="8"/>
        <v>7</v>
      </c>
      <c r="V16" s="17">
        <f t="shared" si="8"/>
        <v>24</v>
      </c>
      <c r="W16" s="17">
        <f t="shared" si="8"/>
        <v>1</v>
      </c>
      <c r="X16" s="17">
        <f t="shared" si="8"/>
        <v>0</v>
      </c>
      <c r="Y16" s="17">
        <f t="shared" si="8"/>
        <v>28</v>
      </c>
      <c r="Z16" s="17">
        <f t="shared" si="8"/>
        <v>8</v>
      </c>
      <c r="AA16" s="17">
        <f t="shared" si="8"/>
        <v>6</v>
      </c>
      <c r="AB16" s="17">
        <f t="shared" si="8"/>
        <v>4</v>
      </c>
      <c r="AC16" s="17">
        <f t="shared" si="8"/>
        <v>212</v>
      </c>
      <c r="AD16" s="17">
        <f t="shared" si="8"/>
        <v>0</v>
      </c>
      <c r="AE16" s="31">
        <f t="shared" si="8"/>
        <v>144</v>
      </c>
      <c r="AF16" s="31">
        <f t="shared" si="8"/>
        <v>356</v>
      </c>
    </row>
    <row r="17" spans="2:32" ht="23.1" customHeight="1" x14ac:dyDescent="0.25">
      <c r="B17" s="45" t="s">
        <v>44</v>
      </c>
      <c r="C17" s="50">
        <v>3</v>
      </c>
      <c r="D17" s="50">
        <v>8</v>
      </c>
      <c r="E17" s="50">
        <v>3</v>
      </c>
      <c r="F17" s="50">
        <v>4</v>
      </c>
      <c r="G17" s="50">
        <v>1</v>
      </c>
      <c r="H17" s="50">
        <v>0</v>
      </c>
      <c r="I17" s="50">
        <v>2</v>
      </c>
      <c r="J17" s="50">
        <v>2</v>
      </c>
      <c r="K17" s="50">
        <v>0</v>
      </c>
      <c r="L17" s="50">
        <v>1</v>
      </c>
      <c r="M17" s="50">
        <v>67</v>
      </c>
      <c r="N17" s="50">
        <v>0</v>
      </c>
      <c r="O17" s="15">
        <f t="shared" si="0"/>
        <v>24</v>
      </c>
      <c r="P17" s="15">
        <f t="shared" si="1"/>
        <v>91</v>
      </c>
      <c r="R17" s="1" t="s">
        <v>13</v>
      </c>
      <c r="S17" s="17">
        <f t="shared" ref="S17:AF17" si="9">SUM(C38:C41)</f>
        <v>36</v>
      </c>
      <c r="T17" s="17">
        <f t="shared" si="9"/>
        <v>39</v>
      </c>
      <c r="U17" s="17">
        <f t="shared" si="9"/>
        <v>15</v>
      </c>
      <c r="V17" s="17">
        <f t="shared" si="9"/>
        <v>26</v>
      </c>
      <c r="W17" s="17">
        <f t="shared" si="9"/>
        <v>0</v>
      </c>
      <c r="X17" s="17">
        <f t="shared" si="9"/>
        <v>1</v>
      </c>
      <c r="Y17" s="17">
        <f t="shared" si="9"/>
        <v>12</v>
      </c>
      <c r="Z17" s="17">
        <f t="shared" si="9"/>
        <v>12</v>
      </c>
      <c r="AA17" s="17">
        <f t="shared" si="9"/>
        <v>2</v>
      </c>
      <c r="AB17" s="17">
        <f t="shared" si="9"/>
        <v>0</v>
      </c>
      <c r="AC17" s="17">
        <f t="shared" si="9"/>
        <v>62</v>
      </c>
      <c r="AD17" s="17">
        <f t="shared" si="9"/>
        <v>0</v>
      </c>
      <c r="AE17" s="31">
        <f t="shared" si="9"/>
        <v>143</v>
      </c>
      <c r="AF17" s="31">
        <f t="shared" si="9"/>
        <v>205</v>
      </c>
    </row>
    <row r="18" spans="2:32" ht="23.1" customHeight="1" x14ac:dyDescent="0.25">
      <c r="B18" s="45" t="s">
        <v>45</v>
      </c>
      <c r="C18" s="50">
        <v>5</v>
      </c>
      <c r="D18" s="50">
        <v>6</v>
      </c>
      <c r="E18" s="50">
        <v>4</v>
      </c>
      <c r="F18" s="50">
        <v>6</v>
      </c>
      <c r="G18" s="50">
        <v>1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82</v>
      </c>
      <c r="N18" s="50">
        <v>0</v>
      </c>
      <c r="O18" s="15">
        <f t="shared" si="0"/>
        <v>25</v>
      </c>
      <c r="P18" s="15">
        <f t="shared" si="1"/>
        <v>107</v>
      </c>
      <c r="R18" s="1" t="s">
        <v>14</v>
      </c>
      <c r="S18" s="17">
        <f t="shared" ref="S18:AF18" si="10">SUM(C42:C45)</f>
        <v>42</v>
      </c>
      <c r="T18" s="17">
        <f t="shared" si="10"/>
        <v>67</v>
      </c>
      <c r="U18" s="17">
        <f t="shared" si="10"/>
        <v>22</v>
      </c>
      <c r="V18" s="17">
        <f t="shared" si="10"/>
        <v>27</v>
      </c>
      <c r="W18" s="17">
        <f t="shared" si="10"/>
        <v>0</v>
      </c>
      <c r="X18" s="17">
        <f t="shared" si="10"/>
        <v>0</v>
      </c>
      <c r="Y18" s="17">
        <f t="shared" si="10"/>
        <v>21</v>
      </c>
      <c r="Z18" s="17">
        <f t="shared" si="10"/>
        <v>8</v>
      </c>
      <c r="AA18" s="17">
        <f t="shared" si="10"/>
        <v>9</v>
      </c>
      <c r="AB18" s="17">
        <f t="shared" si="10"/>
        <v>7</v>
      </c>
      <c r="AC18" s="17">
        <f t="shared" si="10"/>
        <v>207</v>
      </c>
      <c r="AD18" s="17">
        <f t="shared" si="10"/>
        <v>0</v>
      </c>
      <c r="AE18" s="31">
        <f t="shared" si="10"/>
        <v>203</v>
      </c>
      <c r="AF18" s="31">
        <f t="shared" si="10"/>
        <v>410</v>
      </c>
    </row>
    <row r="19" spans="2:32" ht="23.1" customHeight="1" x14ac:dyDescent="0.25">
      <c r="B19" s="45" t="s">
        <v>46</v>
      </c>
      <c r="C19" s="50">
        <v>8</v>
      </c>
      <c r="D19" s="50">
        <v>4</v>
      </c>
      <c r="E19" s="50">
        <v>3</v>
      </c>
      <c r="F19" s="50">
        <v>4</v>
      </c>
      <c r="G19" s="50">
        <v>0</v>
      </c>
      <c r="H19" s="50">
        <v>0</v>
      </c>
      <c r="I19" s="50">
        <v>4</v>
      </c>
      <c r="J19" s="50">
        <v>5</v>
      </c>
      <c r="K19" s="50">
        <v>2</v>
      </c>
      <c r="L19" s="50">
        <v>0</v>
      </c>
      <c r="M19" s="50">
        <v>60</v>
      </c>
      <c r="N19" s="50">
        <v>0</v>
      </c>
      <c r="O19" s="15">
        <f t="shared" si="0"/>
        <v>30</v>
      </c>
      <c r="P19" s="15">
        <f t="shared" si="1"/>
        <v>90</v>
      </c>
      <c r="R19" s="1" t="s">
        <v>15</v>
      </c>
      <c r="S19" s="17">
        <f t="shared" ref="S19:AF19" si="11">SUM(C46:C49)</f>
        <v>31</v>
      </c>
      <c r="T19" s="17">
        <f t="shared" si="11"/>
        <v>40</v>
      </c>
      <c r="U19" s="17">
        <f t="shared" si="11"/>
        <v>23</v>
      </c>
      <c r="V19" s="17">
        <f t="shared" si="11"/>
        <v>23</v>
      </c>
      <c r="W19" s="17">
        <f t="shared" si="11"/>
        <v>1</v>
      </c>
      <c r="X19" s="17">
        <f t="shared" si="11"/>
        <v>0</v>
      </c>
      <c r="Y19" s="17">
        <f t="shared" si="11"/>
        <v>15</v>
      </c>
      <c r="Z19" s="17">
        <f t="shared" si="11"/>
        <v>10</v>
      </c>
      <c r="AA19" s="17">
        <f t="shared" si="11"/>
        <v>6</v>
      </c>
      <c r="AB19" s="17">
        <f t="shared" si="11"/>
        <v>4</v>
      </c>
      <c r="AC19" s="17">
        <f t="shared" si="11"/>
        <v>193</v>
      </c>
      <c r="AD19" s="17">
        <f t="shared" si="11"/>
        <v>0</v>
      </c>
      <c r="AE19" s="31">
        <f t="shared" si="11"/>
        <v>153</v>
      </c>
      <c r="AF19" s="31">
        <f t="shared" si="11"/>
        <v>346</v>
      </c>
    </row>
    <row r="20" spans="2:32" ht="23.1" customHeight="1" x14ac:dyDescent="0.25">
      <c r="B20" s="45" t="s">
        <v>47</v>
      </c>
      <c r="C20" s="50">
        <v>6</v>
      </c>
      <c r="D20" s="50">
        <v>8</v>
      </c>
      <c r="E20" s="50">
        <v>1</v>
      </c>
      <c r="F20" s="50">
        <v>5</v>
      </c>
      <c r="G20" s="50">
        <v>1</v>
      </c>
      <c r="H20" s="50">
        <v>0</v>
      </c>
      <c r="I20" s="50">
        <v>4</v>
      </c>
      <c r="J20" s="50">
        <v>6</v>
      </c>
      <c r="K20" s="50">
        <v>1</v>
      </c>
      <c r="L20" s="50">
        <v>0</v>
      </c>
      <c r="M20" s="50">
        <v>54</v>
      </c>
      <c r="N20" s="50">
        <v>0</v>
      </c>
      <c r="O20" s="15">
        <f t="shared" si="0"/>
        <v>32</v>
      </c>
      <c r="P20" s="15">
        <f t="shared" si="1"/>
        <v>86</v>
      </c>
      <c r="R20" s="1" t="s">
        <v>16</v>
      </c>
      <c r="S20" s="17">
        <f t="shared" ref="S20:AF20" si="12">SUM(C50:C53)</f>
        <v>30</v>
      </c>
      <c r="T20" s="17">
        <f t="shared" si="12"/>
        <v>64</v>
      </c>
      <c r="U20" s="17">
        <f t="shared" si="12"/>
        <v>20</v>
      </c>
      <c r="V20" s="17">
        <f t="shared" si="12"/>
        <v>78</v>
      </c>
      <c r="W20" s="17">
        <f t="shared" si="12"/>
        <v>2</v>
      </c>
      <c r="X20" s="17">
        <f t="shared" si="12"/>
        <v>0</v>
      </c>
      <c r="Y20" s="17">
        <f t="shared" si="12"/>
        <v>19</v>
      </c>
      <c r="Z20" s="17">
        <f t="shared" si="12"/>
        <v>7</v>
      </c>
      <c r="AA20" s="17">
        <f t="shared" si="12"/>
        <v>1</v>
      </c>
      <c r="AB20" s="17">
        <f t="shared" si="12"/>
        <v>5</v>
      </c>
      <c r="AC20" s="17">
        <f t="shared" si="12"/>
        <v>255</v>
      </c>
      <c r="AD20" s="17">
        <f t="shared" si="12"/>
        <v>0</v>
      </c>
      <c r="AE20" s="31">
        <f t="shared" si="12"/>
        <v>226</v>
      </c>
      <c r="AF20" s="31">
        <f t="shared" si="12"/>
        <v>481</v>
      </c>
    </row>
    <row r="21" spans="2:32" ht="23.1" customHeight="1" x14ac:dyDescent="0.25">
      <c r="B21" s="45" t="s">
        <v>48</v>
      </c>
      <c r="C21" s="50">
        <v>1</v>
      </c>
      <c r="D21" s="50">
        <v>4</v>
      </c>
      <c r="E21" s="50">
        <v>1</v>
      </c>
      <c r="F21" s="50">
        <v>4</v>
      </c>
      <c r="G21" s="50">
        <v>0</v>
      </c>
      <c r="H21" s="50">
        <v>1</v>
      </c>
      <c r="I21" s="50">
        <v>1</v>
      </c>
      <c r="J21" s="50">
        <v>1</v>
      </c>
      <c r="K21" s="50">
        <v>0</v>
      </c>
      <c r="L21" s="50">
        <v>0</v>
      </c>
      <c r="M21" s="50">
        <v>51</v>
      </c>
      <c r="N21" s="50">
        <v>0</v>
      </c>
      <c r="O21" s="15">
        <f t="shared" si="0"/>
        <v>13</v>
      </c>
      <c r="P21" s="15">
        <f t="shared" si="1"/>
        <v>64</v>
      </c>
      <c r="R21" s="36" t="s">
        <v>20</v>
      </c>
      <c r="S21" s="34">
        <f t="shared" ref="S21:AF21" si="13">SUM(C54:C57)</f>
        <v>38</v>
      </c>
      <c r="T21" s="17">
        <f t="shared" si="13"/>
        <v>18</v>
      </c>
      <c r="U21" s="17">
        <f t="shared" si="13"/>
        <v>19</v>
      </c>
      <c r="V21" s="17">
        <f t="shared" si="13"/>
        <v>27</v>
      </c>
      <c r="W21" s="17">
        <f t="shared" si="13"/>
        <v>1</v>
      </c>
      <c r="X21" s="17">
        <f t="shared" si="13"/>
        <v>0</v>
      </c>
      <c r="Y21" s="17">
        <f t="shared" si="13"/>
        <v>17</v>
      </c>
      <c r="Z21" s="17">
        <f t="shared" si="13"/>
        <v>4</v>
      </c>
      <c r="AA21" s="17">
        <f t="shared" si="13"/>
        <v>5</v>
      </c>
      <c r="AB21" s="17">
        <f t="shared" si="13"/>
        <v>5</v>
      </c>
      <c r="AC21" s="17">
        <f t="shared" si="13"/>
        <v>167</v>
      </c>
      <c r="AD21" s="17">
        <f t="shared" si="13"/>
        <v>0</v>
      </c>
      <c r="AE21" s="31">
        <f t="shared" si="13"/>
        <v>134</v>
      </c>
      <c r="AF21" s="31">
        <f t="shared" si="13"/>
        <v>301</v>
      </c>
    </row>
    <row r="22" spans="2:32" ht="23.1" customHeight="1" x14ac:dyDescent="0.25">
      <c r="B22" s="45" t="s">
        <v>49</v>
      </c>
      <c r="C22" s="50">
        <v>6</v>
      </c>
      <c r="D22" s="50">
        <v>9</v>
      </c>
      <c r="E22" s="50">
        <v>2</v>
      </c>
      <c r="F22" s="50">
        <v>8</v>
      </c>
      <c r="G22" s="50">
        <v>1</v>
      </c>
      <c r="H22" s="50">
        <v>0</v>
      </c>
      <c r="I22" s="50">
        <v>7</v>
      </c>
      <c r="J22" s="50">
        <v>0</v>
      </c>
      <c r="K22" s="50">
        <v>2</v>
      </c>
      <c r="L22" s="50">
        <v>0</v>
      </c>
      <c r="M22" s="50">
        <v>51</v>
      </c>
      <c r="N22" s="50">
        <v>0</v>
      </c>
      <c r="O22" s="15">
        <f t="shared" si="0"/>
        <v>35</v>
      </c>
      <c r="P22" s="15">
        <f t="shared" si="1"/>
        <v>86</v>
      </c>
      <c r="R22" s="36" t="s">
        <v>146</v>
      </c>
      <c r="S22" s="34">
        <f>SUM(C58:C61)</f>
        <v>98</v>
      </c>
      <c r="T22" s="34">
        <f t="shared" ref="T22:AF22" si="14">SUM(D58:D61)</f>
        <v>47</v>
      </c>
      <c r="U22" s="34">
        <f t="shared" si="14"/>
        <v>14</v>
      </c>
      <c r="V22" s="34">
        <f t="shared" si="14"/>
        <v>14</v>
      </c>
      <c r="W22" s="34">
        <f t="shared" si="14"/>
        <v>2</v>
      </c>
      <c r="X22" s="34">
        <f t="shared" si="14"/>
        <v>0</v>
      </c>
      <c r="Y22" s="34">
        <f t="shared" si="14"/>
        <v>26</v>
      </c>
      <c r="Z22" s="34">
        <f t="shared" si="14"/>
        <v>3</v>
      </c>
      <c r="AA22" s="34">
        <f t="shared" si="14"/>
        <v>0</v>
      </c>
      <c r="AB22" s="34">
        <f t="shared" si="14"/>
        <v>2</v>
      </c>
      <c r="AC22" s="34">
        <f t="shared" si="14"/>
        <v>335</v>
      </c>
      <c r="AD22" s="34">
        <f t="shared" si="14"/>
        <v>0</v>
      </c>
      <c r="AE22" s="31">
        <f t="shared" si="14"/>
        <v>206</v>
      </c>
      <c r="AF22" s="31">
        <f t="shared" si="14"/>
        <v>541</v>
      </c>
    </row>
    <row r="23" spans="2:32" ht="23.1" customHeight="1" x14ac:dyDescent="0.25">
      <c r="B23" s="45" t="s">
        <v>50</v>
      </c>
      <c r="C23" s="50">
        <v>10</v>
      </c>
      <c r="D23" s="50">
        <v>8</v>
      </c>
      <c r="E23" s="50">
        <v>3</v>
      </c>
      <c r="F23" s="50">
        <v>6</v>
      </c>
      <c r="G23" s="50">
        <v>0</v>
      </c>
      <c r="H23" s="50">
        <v>0</v>
      </c>
      <c r="I23" s="50">
        <v>6</v>
      </c>
      <c r="J23" s="50">
        <v>5</v>
      </c>
      <c r="K23" s="50">
        <v>0</v>
      </c>
      <c r="L23" s="50">
        <v>0</v>
      </c>
      <c r="M23" s="50">
        <v>66</v>
      </c>
      <c r="N23" s="50">
        <v>0</v>
      </c>
      <c r="O23" s="15">
        <f t="shared" si="0"/>
        <v>38</v>
      </c>
      <c r="P23" s="15">
        <f t="shared" si="1"/>
        <v>104</v>
      </c>
      <c r="R23" s="36" t="s">
        <v>147</v>
      </c>
      <c r="S23" s="34">
        <f>SUM(C62:C65)</f>
        <v>100</v>
      </c>
      <c r="T23" s="34">
        <f t="shared" ref="T23:AF23" si="15">SUM(D62:D65)</f>
        <v>53</v>
      </c>
      <c r="U23" s="34">
        <f t="shared" si="15"/>
        <v>13</v>
      </c>
      <c r="V23" s="34">
        <f t="shared" si="15"/>
        <v>28</v>
      </c>
      <c r="W23" s="34">
        <f t="shared" si="15"/>
        <v>2</v>
      </c>
      <c r="X23" s="34">
        <f t="shared" si="15"/>
        <v>0</v>
      </c>
      <c r="Y23" s="34">
        <f t="shared" si="15"/>
        <v>32</v>
      </c>
      <c r="Z23" s="34">
        <f t="shared" si="15"/>
        <v>1</v>
      </c>
      <c r="AA23" s="34">
        <f t="shared" si="15"/>
        <v>4</v>
      </c>
      <c r="AB23" s="34">
        <f t="shared" si="15"/>
        <v>1</v>
      </c>
      <c r="AC23" s="34">
        <f t="shared" si="15"/>
        <v>292</v>
      </c>
      <c r="AD23" s="34">
        <f t="shared" si="15"/>
        <v>0</v>
      </c>
      <c r="AE23" s="31">
        <f t="shared" si="15"/>
        <v>234</v>
      </c>
      <c r="AF23" s="31">
        <f t="shared" si="15"/>
        <v>526</v>
      </c>
    </row>
    <row r="24" spans="2:32" ht="23.1" customHeight="1" x14ac:dyDescent="0.25">
      <c r="B24" s="45" t="s">
        <v>51</v>
      </c>
      <c r="C24" s="50">
        <v>10</v>
      </c>
      <c r="D24" s="50">
        <v>8</v>
      </c>
      <c r="E24" s="50">
        <v>5</v>
      </c>
      <c r="F24" s="50">
        <v>4</v>
      </c>
      <c r="G24" s="50">
        <v>1</v>
      </c>
      <c r="H24" s="50">
        <v>0</v>
      </c>
      <c r="I24" s="50">
        <v>8</v>
      </c>
      <c r="J24" s="50">
        <v>2</v>
      </c>
      <c r="K24" s="50">
        <v>1</v>
      </c>
      <c r="L24" s="50">
        <v>0</v>
      </c>
      <c r="M24" s="50">
        <v>58</v>
      </c>
      <c r="N24" s="50">
        <v>0</v>
      </c>
      <c r="O24" s="15">
        <f t="shared" si="0"/>
        <v>39</v>
      </c>
      <c r="P24" s="15">
        <f t="shared" si="1"/>
        <v>97</v>
      </c>
      <c r="R24" s="36" t="s">
        <v>148</v>
      </c>
      <c r="S24" s="34">
        <f>SUM(C66:C69)</f>
        <v>48</v>
      </c>
      <c r="T24" s="34">
        <f t="shared" ref="T24:AF24" si="16">SUM(D66:D69)</f>
        <v>38</v>
      </c>
      <c r="U24" s="34">
        <f t="shared" si="16"/>
        <v>11</v>
      </c>
      <c r="V24" s="34">
        <f t="shared" si="16"/>
        <v>22</v>
      </c>
      <c r="W24" s="34">
        <f t="shared" si="16"/>
        <v>2</v>
      </c>
      <c r="X24" s="34">
        <f t="shared" si="16"/>
        <v>0</v>
      </c>
      <c r="Y24" s="34">
        <f t="shared" si="16"/>
        <v>13</v>
      </c>
      <c r="Z24" s="34">
        <f t="shared" si="16"/>
        <v>11</v>
      </c>
      <c r="AA24" s="34">
        <f t="shared" si="16"/>
        <v>0</v>
      </c>
      <c r="AB24" s="34">
        <f t="shared" si="16"/>
        <v>1</v>
      </c>
      <c r="AC24" s="34">
        <f t="shared" si="16"/>
        <v>352</v>
      </c>
      <c r="AD24" s="34">
        <f t="shared" si="16"/>
        <v>0</v>
      </c>
      <c r="AE24" s="31">
        <f t="shared" si="16"/>
        <v>146</v>
      </c>
      <c r="AF24" s="31">
        <f t="shared" si="16"/>
        <v>498</v>
      </c>
    </row>
    <row r="25" spans="2:32" ht="23.1" customHeight="1" x14ac:dyDescent="0.25">
      <c r="B25" s="45" t="s">
        <v>52</v>
      </c>
      <c r="C25" s="50">
        <v>3</v>
      </c>
      <c r="D25" s="50">
        <v>7</v>
      </c>
      <c r="E25" s="50">
        <v>6</v>
      </c>
      <c r="F25" s="50">
        <v>2</v>
      </c>
      <c r="G25" s="50">
        <v>0</v>
      </c>
      <c r="H25" s="50">
        <v>0</v>
      </c>
      <c r="I25" s="50">
        <v>4</v>
      </c>
      <c r="J25" s="50">
        <v>3</v>
      </c>
      <c r="K25" s="50">
        <v>1</v>
      </c>
      <c r="L25" s="50">
        <v>2</v>
      </c>
      <c r="M25" s="50">
        <v>38</v>
      </c>
      <c r="N25" s="50">
        <v>0</v>
      </c>
      <c r="O25" s="15">
        <f t="shared" si="0"/>
        <v>28</v>
      </c>
      <c r="P25" s="15">
        <f t="shared" si="1"/>
        <v>66</v>
      </c>
      <c r="R25" s="36" t="s">
        <v>149</v>
      </c>
      <c r="S25" s="34">
        <f>SUM(C70:C73)</f>
        <v>15</v>
      </c>
      <c r="T25" s="34">
        <f t="shared" ref="T25:AF25" si="17">SUM(D70:D73)</f>
        <v>8</v>
      </c>
      <c r="U25" s="34">
        <f t="shared" si="17"/>
        <v>3</v>
      </c>
      <c r="V25" s="34">
        <f t="shared" si="17"/>
        <v>13</v>
      </c>
      <c r="W25" s="34">
        <f t="shared" si="17"/>
        <v>1</v>
      </c>
      <c r="X25" s="34">
        <f t="shared" si="17"/>
        <v>0</v>
      </c>
      <c r="Y25" s="34">
        <f t="shared" si="17"/>
        <v>5</v>
      </c>
      <c r="Z25" s="34">
        <f t="shared" si="17"/>
        <v>2</v>
      </c>
      <c r="AA25" s="34">
        <f t="shared" si="17"/>
        <v>1</v>
      </c>
      <c r="AB25" s="34">
        <f t="shared" si="17"/>
        <v>0</v>
      </c>
      <c r="AC25" s="34">
        <f t="shared" si="17"/>
        <v>131</v>
      </c>
      <c r="AD25" s="34">
        <f t="shared" si="17"/>
        <v>0</v>
      </c>
      <c r="AE25" s="31">
        <f t="shared" si="17"/>
        <v>48</v>
      </c>
      <c r="AF25" s="31">
        <f t="shared" si="17"/>
        <v>179</v>
      </c>
    </row>
    <row r="26" spans="2:32" ht="23.1" customHeight="1" x14ac:dyDescent="0.25">
      <c r="B26" s="45" t="s">
        <v>53</v>
      </c>
      <c r="C26" s="50">
        <v>8</v>
      </c>
      <c r="D26" s="50">
        <v>8</v>
      </c>
      <c r="E26" s="50">
        <v>3</v>
      </c>
      <c r="F26" s="50">
        <v>7</v>
      </c>
      <c r="G26" s="50">
        <v>0</v>
      </c>
      <c r="H26" s="50">
        <v>0</v>
      </c>
      <c r="I26" s="50">
        <v>6</v>
      </c>
      <c r="J26" s="50">
        <v>1</v>
      </c>
      <c r="K26" s="50">
        <v>1</v>
      </c>
      <c r="L26" s="50">
        <v>1</v>
      </c>
      <c r="M26" s="50">
        <v>51</v>
      </c>
      <c r="N26" s="50">
        <v>0</v>
      </c>
      <c r="O26" s="15">
        <f t="shared" si="0"/>
        <v>35</v>
      </c>
      <c r="P26" s="15">
        <f t="shared" si="1"/>
        <v>86</v>
      </c>
      <c r="R26" s="36" t="s">
        <v>150</v>
      </c>
      <c r="S26" s="34">
        <f>SUM(C74:C77)</f>
        <v>12</v>
      </c>
      <c r="T26" s="34">
        <f t="shared" ref="T26:AF26" si="18">SUM(D74:D77)</f>
        <v>16</v>
      </c>
      <c r="U26" s="34">
        <f t="shared" si="18"/>
        <v>3</v>
      </c>
      <c r="V26" s="34">
        <f t="shared" si="18"/>
        <v>27</v>
      </c>
      <c r="W26" s="34">
        <f t="shared" si="18"/>
        <v>1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130</v>
      </c>
      <c r="AD26" s="34">
        <f t="shared" si="18"/>
        <v>0</v>
      </c>
      <c r="AE26" s="31">
        <f t="shared" si="18"/>
        <v>62</v>
      </c>
      <c r="AF26" s="31">
        <f t="shared" si="18"/>
        <v>192</v>
      </c>
    </row>
    <row r="27" spans="2:32" ht="23.1" customHeight="1" x14ac:dyDescent="0.25">
      <c r="B27" s="45" t="s">
        <v>54</v>
      </c>
      <c r="C27" s="50">
        <v>11</v>
      </c>
      <c r="D27" s="50">
        <v>12</v>
      </c>
      <c r="E27" s="50">
        <v>3</v>
      </c>
      <c r="F27" s="50">
        <v>8</v>
      </c>
      <c r="G27" s="50">
        <v>1</v>
      </c>
      <c r="H27" s="50">
        <v>0</v>
      </c>
      <c r="I27" s="50">
        <v>3</v>
      </c>
      <c r="J27" s="50">
        <v>3</v>
      </c>
      <c r="K27" s="50">
        <v>1</v>
      </c>
      <c r="L27" s="50">
        <v>0</v>
      </c>
      <c r="M27" s="50">
        <v>85</v>
      </c>
      <c r="N27" s="50">
        <v>0</v>
      </c>
      <c r="O27" s="15">
        <f t="shared" si="0"/>
        <v>42</v>
      </c>
      <c r="P27" s="15">
        <f t="shared" si="1"/>
        <v>127</v>
      </c>
      <c r="R27" s="36" t="s">
        <v>151</v>
      </c>
      <c r="S27" s="34">
        <f>SUM(C78:C81)</f>
        <v>0</v>
      </c>
      <c r="T27" s="34">
        <f t="shared" ref="T27:AF27" si="19">SUM(D78:D81)</f>
        <v>6</v>
      </c>
      <c r="U27" s="34">
        <f t="shared" si="19"/>
        <v>1</v>
      </c>
      <c r="V27" s="34">
        <f t="shared" si="19"/>
        <v>10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40</v>
      </c>
      <c r="AD27" s="34">
        <f t="shared" si="19"/>
        <v>0</v>
      </c>
      <c r="AE27" s="31">
        <f t="shared" si="19"/>
        <v>21</v>
      </c>
      <c r="AF27" s="31">
        <f t="shared" si="19"/>
        <v>61</v>
      </c>
    </row>
    <row r="28" spans="2:32" ht="23.1" customHeight="1" x14ac:dyDescent="0.25">
      <c r="B28" s="45" t="s">
        <v>55</v>
      </c>
      <c r="C28" s="50">
        <v>8</v>
      </c>
      <c r="D28" s="50">
        <v>8</v>
      </c>
      <c r="E28" s="50">
        <v>4</v>
      </c>
      <c r="F28" s="50">
        <v>6</v>
      </c>
      <c r="G28" s="50">
        <v>0</v>
      </c>
      <c r="H28" s="50">
        <v>0</v>
      </c>
      <c r="I28" s="50">
        <v>4</v>
      </c>
      <c r="J28" s="50">
        <v>4</v>
      </c>
      <c r="K28" s="50">
        <v>0</v>
      </c>
      <c r="L28" s="50">
        <v>0</v>
      </c>
      <c r="M28" s="50">
        <v>64</v>
      </c>
      <c r="N28" s="50">
        <v>0</v>
      </c>
      <c r="O28" s="15">
        <f t="shared" si="0"/>
        <v>34</v>
      </c>
      <c r="P28" s="15">
        <f t="shared" si="1"/>
        <v>98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22</v>
      </c>
      <c r="AD28" s="34">
        <f t="shared" si="20"/>
        <v>0</v>
      </c>
      <c r="AE28" s="31">
        <f t="shared" si="20"/>
        <v>2</v>
      </c>
      <c r="AF28" s="31">
        <f t="shared" si="20"/>
        <v>24</v>
      </c>
    </row>
    <row r="29" spans="2:32" ht="23.1" customHeight="1" x14ac:dyDescent="0.25">
      <c r="B29" s="45" t="s">
        <v>56</v>
      </c>
      <c r="C29" s="50">
        <v>6</v>
      </c>
      <c r="D29" s="50">
        <v>9</v>
      </c>
      <c r="E29" s="50">
        <v>8</v>
      </c>
      <c r="F29" s="50">
        <v>9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71</v>
      </c>
      <c r="N29" s="50">
        <v>0</v>
      </c>
      <c r="O29" s="15">
        <f t="shared" si="0"/>
        <v>36</v>
      </c>
      <c r="P29" s="15">
        <f t="shared" si="1"/>
        <v>107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21</v>
      </c>
      <c r="AD29" s="34">
        <f t="shared" si="21"/>
        <v>0</v>
      </c>
      <c r="AE29" s="31">
        <f t="shared" si="21"/>
        <v>3</v>
      </c>
      <c r="AF29" s="31">
        <f t="shared" si="21"/>
        <v>24</v>
      </c>
    </row>
    <row r="30" spans="2:32" ht="23.1" customHeight="1" x14ac:dyDescent="0.25">
      <c r="B30" s="45" t="s">
        <v>57</v>
      </c>
      <c r="C30" s="50">
        <v>5</v>
      </c>
      <c r="D30" s="50">
        <v>14</v>
      </c>
      <c r="E30" s="50">
        <v>4</v>
      </c>
      <c r="F30" s="50">
        <v>6</v>
      </c>
      <c r="G30" s="50">
        <v>0</v>
      </c>
      <c r="H30" s="50">
        <v>0</v>
      </c>
      <c r="I30" s="50">
        <v>8</v>
      </c>
      <c r="J30" s="50">
        <v>0</v>
      </c>
      <c r="K30" s="50">
        <v>0</v>
      </c>
      <c r="L30" s="50">
        <v>1</v>
      </c>
      <c r="M30" s="50">
        <v>35</v>
      </c>
      <c r="N30" s="50">
        <v>0</v>
      </c>
      <c r="O30" s="15">
        <f t="shared" si="0"/>
        <v>38</v>
      </c>
      <c r="P30" s="15">
        <f t="shared" si="1"/>
        <v>73</v>
      </c>
      <c r="R30" s="36" t="s">
        <v>154</v>
      </c>
      <c r="S30" s="34">
        <f>SUM(C90:C93)</f>
        <v>4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20</v>
      </c>
      <c r="AD30" s="34">
        <f t="shared" si="22"/>
        <v>0</v>
      </c>
      <c r="AE30" s="31">
        <f t="shared" si="22"/>
        <v>5</v>
      </c>
      <c r="AF30" s="31">
        <f t="shared" si="22"/>
        <v>25</v>
      </c>
    </row>
    <row r="31" spans="2:32" ht="23.1" customHeight="1" x14ac:dyDescent="0.25">
      <c r="B31" s="46" t="s">
        <v>58</v>
      </c>
      <c r="C31" s="50">
        <v>7</v>
      </c>
      <c r="D31" s="50">
        <v>7</v>
      </c>
      <c r="E31" s="50">
        <v>3</v>
      </c>
      <c r="F31" s="50">
        <v>5</v>
      </c>
      <c r="G31" s="50">
        <v>0</v>
      </c>
      <c r="H31" s="50">
        <v>0</v>
      </c>
      <c r="I31" s="50">
        <v>1</v>
      </c>
      <c r="J31" s="50">
        <v>3</v>
      </c>
      <c r="K31" s="50">
        <v>3</v>
      </c>
      <c r="L31" s="50">
        <v>0</v>
      </c>
      <c r="M31" s="50">
        <v>31</v>
      </c>
      <c r="N31" s="50">
        <v>0</v>
      </c>
      <c r="O31" s="15">
        <f t="shared" si="0"/>
        <v>29</v>
      </c>
      <c r="P31" s="15">
        <f t="shared" si="1"/>
        <v>60</v>
      </c>
      <c r="R31" s="36" t="s">
        <v>155</v>
      </c>
      <c r="S31" s="34">
        <f>SUM(C94:C97)</f>
        <v>10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21</v>
      </c>
      <c r="W31" s="34">
        <f t="shared" si="23"/>
        <v>0</v>
      </c>
      <c r="X31" s="34">
        <f t="shared" si="23"/>
        <v>0</v>
      </c>
      <c r="Y31" s="34">
        <f t="shared" si="23"/>
        <v>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34</v>
      </c>
      <c r="AD31" s="34">
        <f t="shared" si="23"/>
        <v>0</v>
      </c>
      <c r="AE31" s="31">
        <f t="shared" si="23"/>
        <v>37</v>
      </c>
      <c r="AF31" s="31">
        <f t="shared" si="23"/>
        <v>71</v>
      </c>
    </row>
    <row r="32" spans="2:32" ht="23.1" customHeight="1" x14ac:dyDescent="0.25">
      <c r="B32" s="46" t="s">
        <v>59</v>
      </c>
      <c r="C32" s="50">
        <v>10</v>
      </c>
      <c r="D32" s="50">
        <v>6</v>
      </c>
      <c r="E32" s="50">
        <v>5</v>
      </c>
      <c r="F32" s="50">
        <v>4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0</v>
      </c>
      <c r="M32" s="50">
        <v>55</v>
      </c>
      <c r="N32" s="50">
        <v>0</v>
      </c>
      <c r="O32" s="15">
        <f t="shared" si="0"/>
        <v>30</v>
      </c>
      <c r="P32" s="15">
        <f t="shared" si="1"/>
        <v>85</v>
      </c>
      <c r="R32" s="33" t="s">
        <v>156</v>
      </c>
      <c r="S32" s="34">
        <f>SUM(C98:C101)</f>
        <v>13</v>
      </c>
      <c r="T32" s="34">
        <f t="shared" ref="T32:AF32" si="24">SUM(D98:D101)</f>
        <v>8</v>
      </c>
      <c r="U32" s="34">
        <f t="shared" si="24"/>
        <v>3</v>
      </c>
      <c r="V32" s="34">
        <f t="shared" si="24"/>
        <v>32</v>
      </c>
      <c r="W32" s="34">
        <f t="shared" si="24"/>
        <v>3</v>
      </c>
      <c r="X32" s="34">
        <f t="shared" si="24"/>
        <v>0</v>
      </c>
      <c r="Y32" s="34">
        <f t="shared" si="24"/>
        <v>10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103</v>
      </c>
      <c r="AD32" s="34">
        <f t="shared" si="24"/>
        <v>0</v>
      </c>
      <c r="AE32" s="31">
        <f t="shared" si="24"/>
        <v>69</v>
      </c>
      <c r="AF32" s="31">
        <f t="shared" si="24"/>
        <v>172</v>
      </c>
    </row>
    <row r="33" spans="2:32" ht="23.1" customHeight="1" x14ac:dyDescent="0.25">
      <c r="B33" s="45" t="s">
        <v>60</v>
      </c>
      <c r="C33" s="50">
        <v>7</v>
      </c>
      <c r="D33" s="50">
        <v>5</v>
      </c>
      <c r="E33" s="50">
        <v>6</v>
      </c>
      <c r="F33" s="50">
        <v>4</v>
      </c>
      <c r="G33" s="50">
        <v>0</v>
      </c>
      <c r="H33" s="50">
        <v>0</v>
      </c>
      <c r="I33" s="50">
        <v>6</v>
      </c>
      <c r="J33" s="50">
        <v>5</v>
      </c>
      <c r="K33" s="50">
        <v>3</v>
      </c>
      <c r="L33" s="50">
        <v>1</v>
      </c>
      <c r="M33" s="50">
        <v>43</v>
      </c>
      <c r="N33" s="50">
        <v>0</v>
      </c>
      <c r="O33" s="15">
        <f t="shared" si="0"/>
        <v>37</v>
      </c>
      <c r="P33" s="15">
        <f t="shared" si="1"/>
        <v>80</v>
      </c>
      <c r="R33" s="33" t="s">
        <v>157</v>
      </c>
      <c r="S33" s="34">
        <f>SUM(C102:C105)</f>
        <v>13</v>
      </c>
      <c r="T33" s="34">
        <f t="shared" ref="T33:AF33" si="25">SUM(D102:D105)</f>
        <v>5</v>
      </c>
      <c r="U33" s="34">
        <f t="shared" si="25"/>
        <v>1</v>
      </c>
      <c r="V33" s="34">
        <f t="shared" si="25"/>
        <v>27</v>
      </c>
      <c r="W33" s="34">
        <f t="shared" si="25"/>
        <v>15</v>
      </c>
      <c r="X33" s="34">
        <f t="shared" si="25"/>
        <v>0</v>
      </c>
      <c r="Y33" s="34">
        <f t="shared" si="25"/>
        <v>4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128</v>
      </c>
      <c r="AD33" s="34">
        <f t="shared" si="25"/>
        <v>0</v>
      </c>
      <c r="AE33" s="31">
        <f t="shared" si="25"/>
        <v>65</v>
      </c>
      <c r="AF33" s="31">
        <f t="shared" si="25"/>
        <v>193</v>
      </c>
    </row>
    <row r="34" spans="2:32" ht="23.1" customHeight="1" x14ac:dyDescent="0.25">
      <c r="B34" s="46" t="s">
        <v>61</v>
      </c>
      <c r="C34" s="50">
        <v>6</v>
      </c>
      <c r="D34" s="50">
        <v>8</v>
      </c>
      <c r="E34" s="50">
        <v>0</v>
      </c>
      <c r="F34" s="50">
        <v>5</v>
      </c>
      <c r="G34" s="50">
        <v>1</v>
      </c>
      <c r="H34" s="50">
        <v>0</v>
      </c>
      <c r="I34" s="50">
        <v>6</v>
      </c>
      <c r="J34" s="50">
        <v>1</v>
      </c>
      <c r="K34" s="50">
        <v>3</v>
      </c>
      <c r="L34" s="50">
        <v>1</v>
      </c>
      <c r="M34" s="50">
        <v>58</v>
      </c>
      <c r="N34" s="50">
        <v>0</v>
      </c>
      <c r="O34" s="15">
        <f t="shared" si="0"/>
        <v>31</v>
      </c>
      <c r="P34" s="15">
        <f t="shared" si="1"/>
        <v>89</v>
      </c>
      <c r="R34" s="38" t="s">
        <v>90</v>
      </c>
      <c r="S34" s="39">
        <f t="shared" ref="S34:AF34" si="26">MAX(S10:S12)</f>
        <v>34</v>
      </c>
      <c r="T34" s="39">
        <f t="shared" si="26"/>
        <v>22</v>
      </c>
      <c r="U34" s="39">
        <f t="shared" si="26"/>
        <v>9</v>
      </c>
      <c r="V34" s="39">
        <f t="shared" si="26"/>
        <v>28</v>
      </c>
      <c r="W34" s="39">
        <f t="shared" si="26"/>
        <v>4</v>
      </c>
      <c r="X34" s="39">
        <f t="shared" si="26"/>
        <v>1</v>
      </c>
      <c r="Y34" s="39">
        <f t="shared" si="26"/>
        <v>11</v>
      </c>
      <c r="Z34" s="39">
        <f t="shared" si="26"/>
        <v>13</v>
      </c>
      <c r="AA34" s="39">
        <f t="shared" si="26"/>
        <v>3</v>
      </c>
      <c r="AB34" s="39">
        <f t="shared" si="26"/>
        <v>1</v>
      </c>
      <c r="AC34" s="39">
        <f t="shared" si="26"/>
        <v>298</v>
      </c>
      <c r="AD34" s="39">
        <f t="shared" si="26"/>
        <v>0</v>
      </c>
      <c r="AE34" s="40">
        <f t="shared" si="26"/>
        <v>118</v>
      </c>
      <c r="AF34" s="40">
        <f t="shared" si="26"/>
        <v>386</v>
      </c>
    </row>
    <row r="35" spans="2:32" ht="23.1" customHeight="1" x14ac:dyDescent="0.25">
      <c r="B35" s="46" t="s">
        <v>62</v>
      </c>
      <c r="C35" s="50">
        <v>12</v>
      </c>
      <c r="D35" s="50">
        <v>21</v>
      </c>
      <c r="E35" s="50">
        <v>2</v>
      </c>
      <c r="F35" s="50">
        <v>9</v>
      </c>
      <c r="G35" s="50">
        <v>0</v>
      </c>
      <c r="H35" s="50">
        <v>0</v>
      </c>
      <c r="I35" s="50">
        <v>7</v>
      </c>
      <c r="J35" s="50">
        <v>1</v>
      </c>
      <c r="K35" s="50">
        <v>0</v>
      </c>
      <c r="L35" s="50">
        <v>0</v>
      </c>
      <c r="M35" s="50">
        <v>83</v>
      </c>
      <c r="N35" s="50">
        <v>0</v>
      </c>
      <c r="O35" s="15">
        <f t="shared" si="0"/>
        <v>52</v>
      </c>
      <c r="P35" s="15">
        <f t="shared" si="1"/>
        <v>135</v>
      </c>
      <c r="R35" s="38" t="s">
        <v>91</v>
      </c>
      <c r="S35" s="39">
        <f t="shared" ref="S35:AF35" si="27">MAX(S13:S18)</f>
        <v>42</v>
      </c>
      <c r="T35" s="39">
        <f t="shared" si="27"/>
        <v>67</v>
      </c>
      <c r="U35" s="39">
        <f t="shared" si="27"/>
        <v>22</v>
      </c>
      <c r="V35" s="39">
        <f t="shared" si="27"/>
        <v>30</v>
      </c>
      <c r="W35" s="39">
        <f t="shared" si="27"/>
        <v>2</v>
      </c>
      <c r="X35" s="39">
        <f t="shared" si="27"/>
        <v>1</v>
      </c>
      <c r="Y35" s="39">
        <f t="shared" si="27"/>
        <v>28</v>
      </c>
      <c r="Z35" s="39">
        <f t="shared" si="27"/>
        <v>12</v>
      </c>
      <c r="AA35" s="39">
        <f t="shared" si="27"/>
        <v>9</v>
      </c>
      <c r="AB35" s="39">
        <f t="shared" si="27"/>
        <v>7</v>
      </c>
      <c r="AC35" s="39">
        <f t="shared" si="27"/>
        <v>271</v>
      </c>
      <c r="AD35" s="39">
        <f t="shared" si="27"/>
        <v>0</v>
      </c>
      <c r="AE35" s="40">
        <f t="shared" si="27"/>
        <v>203</v>
      </c>
      <c r="AF35" s="40">
        <f t="shared" si="27"/>
        <v>418</v>
      </c>
    </row>
    <row r="36" spans="2:32" ht="23.1" customHeight="1" x14ac:dyDescent="0.25">
      <c r="B36" s="46" t="s">
        <v>63</v>
      </c>
      <c r="C36" s="50">
        <v>4</v>
      </c>
      <c r="D36" s="50">
        <v>10</v>
      </c>
      <c r="E36" s="50">
        <v>1</v>
      </c>
      <c r="F36" s="50">
        <v>7</v>
      </c>
      <c r="G36" s="50">
        <v>0</v>
      </c>
      <c r="H36" s="50">
        <v>0</v>
      </c>
      <c r="I36" s="50">
        <v>11</v>
      </c>
      <c r="J36" s="50">
        <v>3</v>
      </c>
      <c r="K36" s="50">
        <v>2</v>
      </c>
      <c r="L36" s="50">
        <v>2</v>
      </c>
      <c r="M36" s="50">
        <v>62</v>
      </c>
      <c r="N36" s="50">
        <v>0</v>
      </c>
      <c r="O36" s="15">
        <f t="shared" si="0"/>
        <v>40</v>
      </c>
      <c r="P36" s="15">
        <f t="shared" si="1"/>
        <v>102</v>
      </c>
      <c r="R36" s="38" t="s">
        <v>92</v>
      </c>
      <c r="S36" s="39">
        <f t="shared" ref="S36:AF36" si="28">MAX(S19:S21)</f>
        <v>38</v>
      </c>
      <c r="T36" s="39">
        <f t="shared" si="28"/>
        <v>64</v>
      </c>
      <c r="U36" s="39">
        <f t="shared" si="28"/>
        <v>23</v>
      </c>
      <c r="V36" s="39">
        <f t="shared" si="28"/>
        <v>78</v>
      </c>
      <c r="W36" s="39">
        <f t="shared" si="28"/>
        <v>2</v>
      </c>
      <c r="X36" s="39">
        <f t="shared" si="28"/>
        <v>0</v>
      </c>
      <c r="Y36" s="39">
        <f t="shared" si="28"/>
        <v>19</v>
      </c>
      <c r="Z36" s="39">
        <f t="shared" si="28"/>
        <v>10</v>
      </c>
      <c r="AA36" s="39">
        <f t="shared" si="28"/>
        <v>6</v>
      </c>
      <c r="AB36" s="39">
        <f t="shared" si="28"/>
        <v>5</v>
      </c>
      <c r="AC36" s="39">
        <f t="shared" si="28"/>
        <v>255</v>
      </c>
      <c r="AD36" s="39">
        <f t="shared" si="28"/>
        <v>0</v>
      </c>
      <c r="AE36" s="40">
        <f t="shared" si="28"/>
        <v>226</v>
      </c>
      <c r="AF36" s="40">
        <f t="shared" si="28"/>
        <v>481</v>
      </c>
    </row>
    <row r="37" spans="2:32" ht="23.1" customHeight="1" x14ac:dyDescent="0.25">
      <c r="B37" s="45" t="s">
        <v>64</v>
      </c>
      <c r="C37" s="50">
        <v>3</v>
      </c>
      <c r="D37" s="50">
        <v>2</v>
      </c>
      <c r="E37" s="50">
        <v>4</v>
      </c>
      <c r="F37" s="50">
        <v>3</v>
      </c>
      <c r="G37" s="50">
        <v>0</v>
      </c>
      <c r="H37" s="50">
        <v>0</v>
      </c>
      <c r="I37" s="50">
        <v>4</v>
      </c>
      <c r="J37" s="50">
        <v>3</v>
      </c>
      <c r="K37" s="50">
        <v>1</v>
      </c>
      <c r="L37" s="50">
        <v>1</v>
      </c>
      <c r="M37" s="50">
        <v>9</v>
      </c>
      <c r="N37" s="50">
        <v>0</v>
      </c>
      <c r="O37" s="15">
        <f t="shared" si="0"/>
        <v>21</v>
      </c>
      <c r="P37" s="15">
        <f t="shared" si="1"/>
        <v>30</v>
      </c>
      <c r="R37" s="37" t="s">
        <v>85</v>
      </c>
      <c r="S37" s="35">
        <f t="shared" ref="S37:AF37" si="29">SUM(S10:S12)</f>
        <v>72</v>
      </c>
      <c r="T37" s="16">
        <f t="shared" si="29"/>
        <v>66</v>
      </c>
      <c r="U37" s="16">
        <f t="shared" si="29"/>
        <v>22</v>
      </c>
      <c r="V37" s="16">
        <f t="shared" si="29"/>
        <v>75</v>
      </c>
      <c r="W37" s="16">
        <f t="shared" si="29"/>
        <v>6</v>
      </c>
      <c r="X37" s="16">
        <f t="shared" si="29"/>
        <v>1</v>
      </c>
      <c r="Y37" s="16">
        <f t="shared" si="29"/>
        <v>32</v>
      </c>
      <c r="Z37" s="16">
        <f t="shared" si="29"/>
        <v>24</v>
      </c>
      <c r="AA37" s="16">
        <f t="shared" si="29"/>
        <v>7</v>
      </c>
      <c r="AB37" s="16">
        <f t="shared" si="29"/>
        <v>1</v>
      </c>
      <c r="AC37" s="16">
        <f t="shared" si="29"/>
        <v>792</v>
      </c>
      <c r="AD37" s="16">
        <f t="shared" si="29"/>
        <v>0</v>
      </c>
      <c r="AE37" s="32">
        <f t="shared" si="29"/>
        <v>306</v>
      </c>
      <c r="AF37" s="32">
        <f t="shared" si="29"/>
        <v>1098</v>
      </c>
    </row>
    <row r="38" spans="2:32" ht="23.1" customHeight="1" x14ac:dyDescent="0.25">
      <c r="B38" s="46" t="s">
        <v>65</v>
      </c>
      <c r="C38" s="50">
        <v>7</v>
      </c>
      <c r="D38" s="50">
        <v>8</v>
      </c>
      <c r="E38" s="50">
        <v>5</v>
      </c>
      <c r="F38" s="50">
        <v>7</v>
      </c>
      <c r="G38" s="50">
        <v>0</v>
      </c>
      <c r="H38" s="50">
        <v>1</v>
      </c>
      <c r="I38" s="50">
        <v>5</v>
      </c>
      <c r="J38" s="50">
        <v>5</v>
      </c>
      <c r="K38" s="50">
        <v>1</v>
      </c>
      <c r="L38" s="50">
        <v>0</v>
      </c>
      <c r="M38" s="50">
        <v>15</v>
      </c>
      <c r="N38" s="50">
        <v>0</v>
      </c>
      <c r="O38" s="15">
        <f t="shared" si="0"/>
        <v>39</v>
      </c>
      <c r="P38" s="15">
        <f t="shared" si="1"/>
        <v>54</v>
      </c>
      <c r="R38" s="28" t="s">
        <v>86</v>
      </c>
      <c r="S38" s="16">
        <f t="shared" ref="S38:AF38" si="30">SUM(S13:S18)</f>
        <v>194</v>
      </c>
      <c r="T38" s="16">
        <f t="shared" si="30"/>
        <v>248</v>
      </c>
      <c r="U38" s="16">
        <f t="shared" si="30"/>
        <v>96</v>
      </c>
      <c r="V38" s="16">
        <f t="shared" si="30"/>
        <v>146</v>
      </c>
      <c r="W38" s="16">
        <f t="shared" si="30"/>
        <v>4</v>
      </c>
      <c r="X38" s="16">
        <f t="shared" si="30"/>
        <v>1</v>
      </c>
      <c r="Y38" s="16">
        <f t="shared" si="30"/>
        <v>121</v>
      </c>
      <c r="Z38" s="16">
        <f t="shared" si="30"/>
        <v>56</v>
      </c>
      <c r="AA38" s="16">
        <f t="shared" si="30"/>
        <v>29</v>
      </c>
      <c r="AB38" s="16">
        <f t="shared" si="30"/>
        <v>16</v>
      </c>
      <c r="AC38" s="16">
        <f t="shared" si="30"/>
        <v>1129</v>
      </c>
      <c r="AD38" s="16">
        <f t="shared" si="30"/>
        <v>0</v>
      </c>
      <c r="AE38" s="32">
        <f t="shared" si="30"/>
        <v>911</v>
      </c>
      <c r="AF38" s="32">
        <f t="shared" si="30"/>
        <v>2040</v>
      </c>
    </row>
    <row r="39" spans="2:32" ht="23.1" customHeight="1" x14ac:dyDescent="0.25">
      <c r="B39" s="46" t="s">
        <v>66</v>
      </c>
      <c r="C39" s="50">
        <v>9</v>
      </c>
      <c r="D39" s="50">
        <v>11</v>
      </c>
      <c r="E39" s="50">
        <v>2</v>
      </c>
      <c r="F39" s="50">
        <v>8</v>
      </c>
      <c r="G39" s="50">
        <v>0</v>
      </c>
      <c r="H39" s="50">
        <v>0</v>
      </c>
      <c r="I39" s="50">
        <v>2</v>
      </c>
      <c r="J39" s="50">
        <v>4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36</v>
      </c>
      <c r="P39" s="15">
        <f t="shared" si="1"/>
        <v>40</v>
      </c>
      <c r="R39" s="29" t="s">
        <v>87</v>
      </c>
      <c r="S39" s="16">
        <f t="shared" ref="S39:AF39" si="31">SUM(S19:S21)</f>
        <v>99</v>
      </c>
      <c r="T39" s="16">
        <f t="shared" si="31"/>
        <v>122</v>
      </c>
      <c r="U39" s="16">
        <f t="shared" si="31"/>
        <v>62</v>
      </c>
      <c r="V39" s="16">
        <f t="shared" si="31"/>
        <v>128</v>
      </c>
      <c r="W39" s="16">
        <f t="shared" si="31"/>
        <v>4</v>
      </c>
      <c r="X39" s="16">
        <f t="shared" si="31"/>
        <v>0</v>
      </c>
      <c r="Y39" s="16">
        <f t="shared" si="31"/>
        <v>51</v>
      </c>
      <c r="Z39" s="16">
        <f t="shared" si="31"/>
        <v>21</v>
      </c>
      <c r="AA39" s="16">
        <f t="shared" si="31"/>
        <v>12</v>
      </c>
      <c r="AB39" s="16">
        <f t="shared" si="31"/>
        <v>14</v>
      </c>
      <c r="AC39" s="16">
        <f t="shared" si="31"/>
        <v>615</v>
      </c>
      <c r="AD39" s="16">
        <f t="shared" si="31"/>
        <v>0</v>
      </c>
      <c r="AE39" s="32">
        <f t="shared" si="31"/>
        <v>513</v>
      </c>
      <c r="AF39" s="32">
        <f t="shared" si="31"/>
        <v>1128</v>
      </c>
    </row>
    <row r="40" spans="2:32" ht="23.1" customHeight="1" x14ac:dyDescent="0.25">
      <c r="B40" s="46" t="s">
        <v>67</v>
      </c>
      <c r="C40" s="50">
        <v>8</v>
      </c>
      <c r="D40" s="50">
        <v>8</v>
      </c>
      <c r="E40" s="50">
        <v>4</v>
      </c>
      <c r="F40" s="50">
        <v>7</v>
      </c>
      <c r="G40" s="50">
        <v>0</v>
      </c>
      <c r="H40" s="50">
        <v>0</v>
      </c>
      <c r="I40" s="50">
        <v>4</v>
      </c>
      <c r="J40" s="50">
        <v>2</v>
      </c>
      <c r="K40" s="50">
        <v>0</v>
      </c>
      <c r="L40" s="50">
        <v>0</v>
      </c>
      <c r="M40" s="50">
        <v>23</v>
      </c>
      <c r="N40" s="50">
        <v>0</v>
      </c>
      <c r="O40" s="15">
        <f t="shared" si="0"/>
        <v>33</v>
      </c>
      <c r="P40" s="15">
        <f t="shared" si="1"/>
        <v>56</v>
      </c>
      <c r="R40" s="5" t="s">
        <v>17</v>
      </c>
      <c r="S40" s="16">
        <f t="shared" ref="S40:AF40" si="32">SUM(S10:S21)</f>
        <v>365</v>
      </c>
      <c r="T40" s="16">
        <f t="shared" si="32"/>
        <v>436</v>
      </c>
      <c r="U40" s="16">
        <f t="shared" si="32"/>
        <v>180</v>
      </c>
      <c r="V40" s="16">
        <f t="shared" si="32"/>
        <v>349</v>
      </c>
      <c r="W40" s="16">
        <f t="shared" si="32"/>
        <v>14</v>
      </c>
      <c r="X40" s="16">
        <f t="shared" si="32"/>
        <v>2</v>
      </c>
      <c r="Y40" s="16">
        <f t="shared" si="32"/>
        <v>204</v>
      </c>
      <c r="Z40" s="16">
        <f t="shared" si="32"/>
        <v>101</v>
      </c>
      <c r="AA40" s="16">
        <f t="shared" si="32"/>
        <v>48</v>
      </c>
      <c r="AB40" s="16">
        <f t="shared" si="32"/>
        <v>31</v>
      </c>
      <c r="AC40" s="16">
        <f t="shared" si="32"/>
        <v>2536</v>
      </c>
      <c r="AD40" s="16">
        <f t="shared" si="32"/>
        <v>0</v>
      </c>
      <c r="AE40" s="32">
        <f t="shared" si="32"/>
        <v>1730</v>
      </c>
      <c r="AF40" s="32">
        <f t="shared" si="32"/>
        <v>4266</v>
      </c>
    </row>
    <row r="41" spans="2:32" ht="23.1" customHeight="1" x14ac:dyDescent="0.25">
      <c r="B41" s="45" t="s">
        <v>68</v>
      </c>
      <c r="C41" s="50">
        <v>12</v>
      </c>
      <c r="D41" s="50">
        <v>12</v>
      </c>
      <c r="E41" s="50">
        <v>4</v>
      </c>
      <c r="F41" s="50">
        <v>4</v>
      </c>
      <c r="G41" s="50">
        <v>0</v>
      </c>
      <c r="H41" s="50">
        <v>0</v>
      </c>
      <c r="I41" s="50">
        <v>1</v>
      </c>
      <c r="J41" s="50">
        <v>1</v>
      </c>
      <c r="K41" s="50">
        <v>1</v>
      </c>
      <c r="L41" s="50">
        <v>0</v>
      </c>
      <c r="M41" s="50">
        <v>20</v>
      </c>
      <c r="N41" s="50">
        <v>0</v>
      </c>
      <c r="O41" s="15">
        <f t="shared" si="0"/>
        <v>35</v>
      </c>
      <c r="P41" s="15">
        <f t="shared" si="1"/>
        <v>55</v>
      </c>
      <c r="R41" s="5" t="s">
        <v>159</v>
      </c>
      <c r="S41" s="16">
        <f>SUM(S10:S33)</f>
        <v>681</v>
      </c>
      <c r="T41" s="16">
        <f t="shared" ref="T41:AF41" si="33">SUM(T10:T33)</f>
        <v>617</v>
      </c>
      <c r="U41" s="16">
        <f t="shared" si="33"/>
        <v>230</v>
      </c>
      <c r="V41" s="16">
        <f t="shared" si="33"/>
        <v>545</v>
      </c>
      <c r="W41" s="16">
        <f t="shared" si="33"/>
        <v>40</v>
      </c>
      <c r="X41" s="16">
        <f t="shared" si="33"/>
        <v>2</v>
      </c>
      <c r="Y41" s="16">
        <f t="shared" si="33"/>
        <v>307</v>
      </c>
      <c r="Z41" s="16">
        <f t="shared" si="33"/>
        <v>118</v>
      </c>
      <c r="AA41" s="16">
        <f t="shared" si="33"/>
        <v>53</v>
      </c>
      <c r="AB41" s="16">
        <f t="shared" si="33"/>
        <v>35</v>
      </c>
      <c r="AC41" s="16">
        <f t="shared" si="33"/>
        <v>4144</v>
      </c>
      <c r="AD41" s="16">
        <f t="shared" si="33"/>
        <v>0</v>
      </c>
      <c r="AE41" s="32">
        <f t="shared" si="33"/>
        <v>2628</v>
      </c>
      <c r="AF41" s="32">
        <f t="shared" si="33"/>
        <v>6772</v>
      </c>
    </row>
    <row r="42" spans="2:32" ht="23.1" customHeight="1" x14ac:dyDescent="0.25">
      <c r="B42" s="46" t="s">
        <v>69</v>
      </c>
      <c r="C42" s="50">
        <v>9</v>
      </c>
      <c r="D42" s="50">
        <v>8</v>
      </c>
      <c r="E42" s="50">
        <v>3</v>
      </c>
      <c r="F42" s="50">
        <v>6</v>
      </c>
      <c r="G42" s="50">
        <v>0</v>
      </c>
      <c r="H42" s="50">
        <v>0</v>
      </c>
      <c r="I42" s="50">
        <v>4</v>
      </c>
      <c r="J42" s="50">
        <v>1</v>
      </c>
      <c r="K42" s="50">
        <v>1</v>
      </c>
      <c r="L42" s="50">
        <v>1</v>
      </c>
      <c r="M42" s="50">
        <v>48</v>
      </c>
      <c r="N42" s="50">
        <v>0</v>
      </c>
      <c r="O42" s="15">
        <f t="shared" si="0"/>
        <v>33</v>
      </c>
      <c r="P42" s="15">
        <f t="shared" si="1"/>
        <v>81</v>
      </c>
      <c r="R42" s="5" t="s">
        <v>160</v>
      </c>
      <c r="S42" s="48">
        <f>S41/S40</f>
        <v>1.8657534246575342</v>
      </c>
      <c r="T42" s="48">
        <f t="shared" ref="T42:AF42" si="34">T41/T40</f>
        <v>1.415137614678899</v>
      </c>
      <c r="U42" s="48">
        <f t="shared" si="34"/>
        <v>1.2777777777777777</v>
      </c>
      <c r="V42" s="48">
        <f t="shared" si="34"/>
        <v>1.5616045845272206</v>
      </c>
      <c r="W42" s="48">
        <f t="shared" si="34"/>
        <v>2.8571428571428572</v>
      </c>
      <c r="X42" s="48">
        <f t="shared" si="34"/>
        <v>1</v>
      </c>
      <c r="Y42" s="48">
        <f t="shared" si="34"/>
        <v>1.5049019607843137</v>
      </c>
      <c r="Z42" s="48">
        <f t="shared" si="34"/>
        <v>1.1683168316831682</v>
      </c>
      <c r="AA42" s="48">
        <f t="shared" si="34"/>
        <v>1.1041666666666667</v>
      </c>
      <c r="AB42" s="48">
        <f t="shared" si="34"/>
        <v>1.1290322580645162</v>
      </c>
      <c r="AC42" s="48">
        <f t="shared" si="34"/>
        <v>1.6340694006309149</v>
      </c>
      <c r="AD42" s="48" t="e">
        <f t="shared" si="34"/>
        <v>#DIV/0!</v>
      </c>
      <c r="AE42" s="48">
        <f t="shared" si="34"/>
        <v>1.5190751445086705</v>
      </c>
      <c r="AF42" s="48">
        <f t="shared" si="34"/>
        <v>1.5874355368026254</v>
      </c>
    </row>
    <row r="43" spans="2:32" ht="23.1" customHeight="1" x14ac:dyDescent="0.25">
      <c r="B43" s="45" t="s">
        <v>70</v>
      </c>
      <c r="C43" s="50">
        <v>13</v>
      </c>
      <c r="D43" s="50">
        <v>22</v>
      </c>
      <c r="E43" s="50">
        <v>8</v>
      </c>
      <c r="F43" s="50">
        <v>8</v>
      </c>
      <c r="G43" s="50">
        <v>0</v>
      </c>
      <c r="H43" s="50">
        <v>0</v>
      </c>
      <c r="I43" s="50">
        <v>7</v>
      </c>
      <c r="J43" s="50">
        <v>4</v>
      </c>
      <c r="K43" s="50">
        <v>2</v>
      </c>
      <c r="L43" s="50">
        <v>5</v>
      </c>
      <c r="M43" s="50">
        <v>66</v>
      </c>
      <c r="N43" s="50">
        <v>0</v>
      </c>
      <c r="O43" s="15">
        <f t="shared" si="0"/>
        <v>69</v>
      </c>
      <c r="P43" s="15">
        <f t="shared" si="1"/>
        <v>135</v>
      </c>
    </row>
    <row r="44" spans="2:32" ht="23.1" customHeight="1" x14ac:dyDescent="0.25">
      <c r="B44" s="47" t="s">
        <v>71</v>
      </c>
      <c r="C44" s="50">
        <v>10</v>
      </c>
      <c r="D44" s="50">
        <v>20</v>
      </c>
      <c r="E44" s="50">
        <v>3</v>
      </c>
      <c r="F44" s="50">
        <v>10</v>
      </c>
      <c r="G44" s="50">
        <v>0</v>
      </c>
      <c r="H44" s="50">
        <v>0</v>
      </c>
      <c r="I44" s="50">
        <v>4</v>
      </c>
      <c r="J44" s="50">
        <v>3</v>
      </c>
      <c r="K44" s="50">
        <v>4</v>
      </c>
      <c r="L44" s="50">
        <v>1</v>
      </c>
      <c r="M44" s="50">
        <v>43</v>
      </c>
      <c r="N44" s="50">
        <v>0</v>
      </c>
      <c r="O44" s="15">
        <f t="shared" si="0"/>
        <v>55</v>
      </c>
      <c r="P44" s="15">
        <f t="shared" si="1"/>
        <v>98</v>
      </c>
    </row>
    <row r="45" spans="2:32" ht="23.1" customHeight="1" x14ac:dyDescent="0.25">
      <c r="B45" s="45" t="s">
        <v>72</v>
      </c>
      <c r="C45" s="50">
        <v>10</v>
      </c>
      <c r="D45" s="50">
        <v>17</v>
      </c>
      <c r="E45" s="50">
        <v>8</v>
      </c>
      <c r="F45" s="50">
        <v>3</v>
      </c>
      <c r="G45" s="50">
        <v>0</v>
      </c>
      <c r="H45" s="50">
        <v>0</v>
      </c>
      <c r="I45" s="50">
        <v>6</v>
      </c>
      <c r="J45" s="50">
        <v>0</v>
      </c>
      <c r="K45" s="50">
        <v>2</v>
      </c>
      <c r="L45" s="50">
        <v>0</v>
      </c>
      <c r="M45" s="50">
        <v>50</v>
      </c>
      <c r="N45" s="50">
        <v>0</v>
      </c>
      <c r="O45" s="15">
        <f t="shared" si="0"/>
        <v>46</v>
      </c>
      <c r="P45" s="15">
        <f t="shared" si="1"/>
        <v>96</v>
      </c>
    </row>
    <row r="46" spans="2:32" ht="23.1" customHeight="1" x14ac:dyDescent="0.25">
      <c r="B46" s="46" t="s">
        <v>73</v>
      </c>
      <c r="C46" s="50">
        <v>8</v>
      </c>
      <c r="D46" s="50">
        <v>8</v>
      </c>
      <c r="E46" s="50">
        <v>2</v>
      </c>
      <c r="F46" s="50">
        <v>4</v>
      </c>
      <c r="G46" s="50">
        <v>0</v>
      </c>
      <c r="H46" s="50">
        <v>0</v>
      </c>
      <c r="I46" s="50">
        <v>2</v>
      </c>
      <c r="J46" s="50">
        <v>3</v>
      </c>
      <c r="K46" s="50">
        <v>0</v>
      </c>
      <c r="L46" s="50">
        <v>2</v>
      </c>
      <c r="M46" s="50">
        <v>37</v>
      </c>
      <c r="N46" s="50">
        <v>0</v>
      </c>
      <c r="O46" s="15">
        <f t="shared" si="0"/>
        <v>29</v>
      </c>
      <c r="P46" s="15">
        <f t="shared" si="1"/>
        <v>66</v>
      </c>
      <c r="R46" s="8"/>
      <c r="T46"/>
    </row>
    <row r="47" spans="2:32" ht="23.1" customHeight="1" x14ac:dyDescent="0.25">
      <c r="B47" s="46" t="s">
        <v>74</v>
      </c>
      <c r="C47" s="50">
        <v>9</v>
      </c>
      <c r="D47" s="50">
        <v>10</v>
      </c>
      <c r="E47" s="50">
        <v>7</v>
      </c>
      <c r="F47" s="50">
        <v>6</v>
      </c>
      <c r="G47" s="50">
        <v>1</v>
      </c>
      <c r="H47" s="50">
        <v>0</v>
      </c>
      <c r="I47" s="50">
        <v>6</v>
      </c>
      <c r="J47" s="50">
        <v>0</v>
      </c>
      <c r="K47" s="50">
        <v>3</v>
      </c>
      <c r="L47" s="50">
        <v>0</v>
      </c>
      <c r="M47" s="50">
        <v>71</v>
      </c>
      <c r="N47" s="50">
        <v>0</v>
      </c>
      <c r="O47" s="15">
        <f t="shared" si="0"/>
        <v>42</v>
      </c>
      <c r="P47" s="15">
        <f t="shared" si="1"/>
        <v>113</v>
      </c>
      <c r="R47" s="8"/>
      <c r="T47"/>
    </row>
    <row r="48" spans="2:32" ht="23.1" customHeight="1" x14ac:dyDescent="0.25">
      <c r="B48" s="46" t="s">
        <v>75</v>
      </c>
      <c r="C48" s="50">
        <v>7</v>
      </c>
      <c r="D48" s="50">
        <v>7</v>
      </c>
      <c r="E48" s="50">
        <v>8</v>
      </c>
      <c r="F48" s="50">
        <v>8</v>
      </c>
      <c r="G48" s="50">
        <v>0</v>
      </c>
      <c r="H48" s="50">
        <v>0</v>
      </c>
      <c r="I48" s="50">
        <v>4</v>
      </c>
      <c r="J48" s="50">
        <v>4</v>
      </c>
      <c r="K48" s="50">
        <v>3</v>
      </c>
      <c r="L48" s="50">
        <v>2</v>
      </c>
      <c r="M48" s="50">
        <v>43</v>
      </c>
      <c r="N48" s="50">
        <v>0</v>
      </c>
      <c r="O48" s="15">
        <f t="shared" si="0"/>
        <v>43</v>
      </c>
      <c r="P48" s="15">
        <f t="shared" si="1"/>
        <v>86</v>
      </c>
      <c r="R48" s="8"/>
      <c r="T48"/>
    </row>
    <row r="49" spans="2:20" ht="23.1" customHeight="1" x14ac:dyDescent="0.25">
      <c r="B49" s="45" t="s">
        <v>76</v>
      </c>
      <c r="C49" s="50">
        <v>7</v>
      </c>
      <c r="D49" s="50">
        <v>15</v>
      </c>
      <c r="E49" s="50">
        <v>6</v>
      </c>
      <c r="F49" s="50">
        <v>5</v>
      </c>
      <c r="G49" s="50">
        <v>0</v>
      </c>
      <c r="H49" s="50">
        <v>0</v>
      </c>
      <c r="I49" s="50">
        <v>3</v>
      </c>
      <c r="J49" s="50">
        <v>3</v>
      </c>
      <c r="K49" s="50">
        <v>0</v>
      </c>
      <c r="L49" s="50">
        <v>0</v>
      </c>
      <c r="M49" s="50">
        <v>42</v>
      </c>
      <c r="N49" s="50">
        <v>0</v>
      </c>
      <c r="O49" s="15">
        <f t="shared" si="0"/>
        <v>39</v>
      </c>
      <c r="P49" s="15">
        <f t="shared" si="1"/>
        <v>81</v>
      </c>
      <c r="R49" s="8"/>
      <c r="T49"/>
    </row>
    <row r="50" spans="2:20" ht="23.1" customHeight="1" x14ac:dyDescent="0.25">
      <c r="B50" s="46" t="s">
        <v>77</v>
      </c>
      <c r="C50" s="50">
        <v>5</v>
      </c>
      <c r="D50" s="50">
        <v>21</v>
      </c>
      <c r="E50" s="50">
        <v>6</v>
      </c>
      <c r="F50" s="50">
        <v>61</v>
      </c>
      <c r="G50" s="50">
        <v>0</v>
      </c>
      <c r="H50" s="50">
        <v>0</v>
      </c>
      <c r="I50" s="50">
        <v>5</v>
      </c>
      <c r="J50" s="50">
        <v>1</v>
      </c>
      <c r="K50" s="50">
        <v>0</v>
      </c>
      <c r="L50" s="50">
        <v>1</v>
      </c>
      <c r="M50" s="50">
        <v>53</v>
      </c>
      <c r="N50" s="50">
        <v>0</v>
      </c>
      <c r="O50" s="15">
        <f t="shared" si="0"/>
        <v>100</v>
      </c>
      <c r="P50" s="15">
        <f t="shared" si="1"/>
        <v>153</v>
      </c>
      <c r="R50" s="8"/>
      <c r="T50"/>
    </row>
    <row r="51" spans="2:20" ht="23.1" customHeight="1" x14ac:dyDescent="0.25">
      <c r="B51" s="46" t="s">
        <v>78</v>
      </c>
      <c r="C51" s="50">
        <v>7</v>
      </c>
      <c r="D51" s="50">
        <v>17</v>
      </c>
      <c r="E51" s="50">
        <v>5</v>
      </c>
      <c r="F51" s="50">
        <v>5</v>
      </c>
      <c r="G51" s="50">
        <v>0</v>
      </c>
      <c r="H51" s="50">
        <v>0</v>
      </c>
      <c r="I51" s="50">
        <v>3</v>
      </c>
      <c r="J51" s="50">
        <v>3</v>
      </c>
      <c r="K51" s="50">
        <v>0</v>
      </c>
      <c r="L51" s="50">
        <v>1</v>
      </c>
      <c r="M51" s="50">
        <v>66</v>
      </c>
      <c r="N51" s="50">
        <v>0</v>
      </c>
      <c r="O51" s="15">
        <f t="shared" si="0"/>
        <v>41</v>
      </c>
      <c r="P51" s="15">
        <f t="shared" si="1"/>
        <v>107</v>
      </c>
      <c r="R51" s="8"/>
      <c r="T51"/>
    </row>
    <row r="52" spans="2:20" ht="23.1" customHeight="1" x14ac:dyDescent="0.25">
      <c r="B52" s="46" t="s">
        <v>79</v>
      </c>
      <c r="C52" s="50">
        <v>5</v>
      </c>
      <c r="D52" s="50">
        <v>10</v>
      </c>
      <c r="E52" s="50">
        <v>4</v>
      </c>
      <c r="F52" s="50">
        <v>7</v>
      </c>
      <c r="G52" s="50">
        <v>2</v>
      </c>
      <c r="H52" s="50">
        <v>0</v>
      </c>
      <c r="I52" s="50">
        <v>4</v>
      </c>
      <c r="J52" s="50">
        <v>2</v>
      </c>
      <c r="K52" s="50">
        <v>0</v>
      </c>
      <c r="L52" s="50">
        <v>3</v>
      </c>
      <c r="M52" s="50">
        <v>51</v>
      </c>
      <c r="N52" s="50">
        <v>0</v>
      </c>
      <c r="O52" s="15">
        <f t="shared" si="0"/>
        <v>37</v>
      </c>
      <c r="P52" s="15">
        <f t="shared" si="1"/>
        <v>88</v>
      </c>
      <c r="R52" s="8"/>
      <c r="T52"/>
    </row>
    <row r="53" spans="2:20" ht="23.1" customHeight="1" x14ac:dyDescent="0.25">
      <c r="B53" s="45" t="s">
        <v>80</v>
      </c>
      <c r="C53" s="50">
        <v>13</v>
      </c>
      <c r="D53" s="50">
        <v>16</v>
      </c>
      <c r="E53" s="50">
        <v>5</v>
      </c>
      <c r="F53" s="50">
        <v>5</v>
      </c>
      <c r="G53" s="50">
        <v>0</v>
      </c>
      <c r="H53" s="50">
        <v>0</v>
      </c>
      <c r="I53" s="50">
        <v>7</v>
      </c>
      <c r="J53" s="50">
        <v>1</v>
      </c>
      <c r="K53" s="50">
        <v>1</v>
      </c>
      <c r="L53" s="50">
        <v>0</v>
      </c>
      <c r="M53" s="50">
        <v>85</v>
      </c>
      <c r="N53" s="50">
        <v>0</v>
      </c>
      <c r="O53" s="15">
        <f t="shared" si="0"/>
        <v>48</v>
      </c>
      <c r="P53" s="15">
        <f t="shared" si="1"/>
        <v>133</v>
      </c>
      <c r="R53" s="8"/>
      <c r="T53"/>
    </row>
    <row r="54" spans="2:20" ht="23.1" customHeight="1" x14ac:dyDescent="0.25">
      <c r="B54" s="45" t="s">
        <v>81</v>
      </c>
      <c r="C54" s="50">
        <v>12</v>
      </c>
      <c r="D54" s="50">
        <v>6</v>
      </c>
      <c r="E54" s="50">
        <v>4</v>
      </c>
      <c r="F54" s="50">
        <v>8</v>
      </c>
      <c r="G54" s="50">
        <v>0</v>
      </c>
      <c r="H54" s="50">
        <v>0</v>
      </c>
      <c r="I54" s="50">
        <v>6</v>
      </c>
      <c r="J54" s="50">
        <v>2</v>
      </c>
      <c r="K54" s="50">
        <v>1</v>
      </c>
      <c r="L54" s="50">
        <v>1</v>
      </c>
      <c r="M54" s="50">
        <v>51</v>
      </c>
      <c r="N54" s="50">
        <v>0</v>
      </c>
      <c r="O54" s="15">
        <f t="shared" si="0"/>
        <v>40</v>
      </c>
      <c r="P54" s="15">
        <f t="shared" si="1"/>
        <v>91</v>
      </c>
      <c r="R54" s="8"/>
      <c r="T54"/>
    </row>
    <row r="55" spans="2:20" ht="23.1" customHeight="1" x14ac:dyDescent="0.25">
      <c r="B55" s="45" t="s">
        <v>82</v>
      </c>
      <c r="C55" s="50">
        <v>16</v>
      </c>
      <c r="D55" s="50">
        <v>6</v>
      </c>
      <c r="E55" s="50">
        <v>6</v>
      </c>
      <c r="F55" s="50">
        <v>8</v>
      </c>
      <c r="G55" s="50">
        <v>1</v>
      </c>
      <c r="H55" s="50">
        <v>0</v>
      </c>
      <c r="I55" s="50">
        <v>3</v>
      </c>
      <c r="J55" s="50">
        <v>1</v>
      </c>
      <c r="K55" s="50">
        <v>0</v>
      </c>
      <c r="L55" s="50">
        <v>1</v>
      </c>
      <c r="M55" s="50">
        <v>40</v>
      </c>
      <c r="N55" s="50">
        <v>0</v>
      </c>
      <c r="O55" s="15">
        <f t="shared" si="0"/>
        <v>42</v>
      </c>
      <c r="P55" s="15">
        <f t="shared" si="1"/>
        <v>82</v>
      </c>
      <c r="R55" s="8"/>
      <c r="T55"/>
    </row>
    <row r="56" spans="2:20" ht="23.1" customHeight="1" x14ac:dyDescent="0.25">
      <c r="B56" s="45" t="s">
        <v>83</v>
      </c>
      <c r="C56" s="50">
        <v>8</v>
      </c>
      <c r="D56" s="50">
        <v>5</v>
      </c>
      <c r="E56" s="50">
        <v>7</v>
      </c>
      <c r="F56" s="50">
        <v>8</v>
      </c>
      <c r="G56" s="50">
        <v>0</v>
      </c>
      <c r="H56" s="50">
        <v>0</v>
      </c>
      <c r="I56" s="50">
        <v>5</v>
      </c>
      <c r="J56" s="50">
        <v>1</v>
      </c>
      <c r="K56" s="50">
        <v>2</v>
      </c>
      <c r="L56" s="50">
        <v>0</v>
      </c>
      <c r="M56" s="50">
        <v>35</v>
      </c>
      <c r="N56" s="50">
        <v>0</v>
      </c>
      <c r="O56" s="15">
        <f t="shared" si="0"/>
        <v>36</v>
      </c>
      <c r="P56" s="15">
        <f t="shared" si="1"/>
        <v>71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1</v>
      </c>
      <c r="E57" s="50">
        <v>2</v>
      </c>
      <c r="F57" s="50">
        <v>3</v>
      </c>
      <c r="G57" s="50">
        <v>0</v>
      </c>
      <c r="H57" s="50">
        <v>0</v>
      </c>
      <c r="I57" s="50">
        <v>3</v>
      </c>
      <c r="J57" s="50">
        <v>0</v>
      </c>
      <c r="K57" s="50">
        <v>2</v>
      </c>
      <c r="L57" s="50">
        <v>3</v>
      </c>
      <c r="M57" s="50">
        <v>41</v>
      </c>
      <c r="N57" s="50">
        <v>0</v>
      </c>
      <c r="O57" s="15">
        <f t="shared" si="0"/>
        <v>16</v>
      </c>
      <c r="P57" s="15">
        <f t="shared" si="1"/>
        <v>57</v>
      </c>
      <c r="R57" s="8"/>
      <c r="T57"/>
    </row>
    <row r="58" spans="2:20" ht="23.1" customHeight="1" x14ac:dyDescent="0.25">
      <c r="B58" s="45" t="s">
        <v>99</v>
      </c>
      <c r="C58" s="50">
        <v>9</v>
      </c>
      <c r="D58" s="50">
        <v>5</v>
      </c>
      <c r="E58" s="50">
        <v>3</v>
      </c>
      <c r="F58" s="50">
        <v>3</v>
      </c>
      <c r="G58" s="50">
        <v>0</v>
      </c>
      <c r="H58" s="50">
        <v>0</v>
      </c>
      <c r="I58" s="50">
        <v>5</v>
      </c>
      <c r="J58" s="50">
        <v>0</v>
      </c>
      <c r="K58" s="50">
        <v>0</v>
      </c>
      <c r="L58" s="50">
        <v>2</v>
      </c>
      <c r="M58" s="50">
        <v>65</v>
      </c>
      <c r="N58" s="50">
        <v>0</v>
      </c>
      <c r="O58" s="15">
        <f t="shared" si="0"/>
        <v>27</v>
      </c>
      <c r="P58" s="15">
        <f t="shared" si="1"/>
        <v>92</v>
      </c>
      <c r="R58" s="8"/>
      <c r="T58"/>
    </row>
    <row r="59" spans="2:20" ht="23.1" customHeight="1" x14ac:dyDescent="0.25">
      <c r="B59" s="45" t="s">
        <v>100</v>
      </c>
      <c r="C59" s="50">
        <v>15</v>
      </c>
      <c r="D59" s="50">
        <v>7</v>
      </c>
      <c r="E59" s="50">
        <v>1</v>
      </c>
      <c r="F59" s="50">
        <v>4</v>
      </c>
      <c r="G59" s="50">
        <v>0</v>
      </c>
      <c r="H59" s="50">
        <v>0</v>
      </c>
      <c r="I59" s="50">
        <v>6</v>
      </c>
      <c r="J59" s="50">
        <v>3</v>
      </c>
      <c r="K59" s="50">
        <v>0</v>
      </c>
      <c r="L59" s="50">
        <v>0</v>
      </c>
      <c r="M59" s="50">
        <v>102</v>
      </c>
      <c r="N59" s="50">
        <v>0</v>
      </c>
      <c r="O59" s="15">
        <f t="shared" si="0"/>
        <v>36</v>
      </c>
      <c r="P59" s="15">
        <f t="shared" si="1"/>
        <v>138</v>
      </c>
      <c r="R59" s="8"/>
      <c r="T59"/>
    </row>
    <row r="60" spans="2:20" ht="23.1" customHeight="1" x14ac:dyDescent="0.25">
      <c r="B60" s="45" t="s">
        <v>101</v>
      </c>
      <c r="C60" s="50">
        <v>31</v>
      </c>
      <c r="D60" s="50">
        <v>10</v>
      </c>
      <c r="E60" s="50">
        <v>5</v>
      </c>
      <c r="F60" s="50">
        <v>6</v>
      </c>
      <c r="G60" s="50">
        <v>0</v>
      </c>
      <c r="H60" s="50">
        <v>0</v>
      </c>
      <c r="I60" s="50">
        <v>5</v>
      </c>
      <c r="J60" s="50">
        <v>0</v>
      </c>
      <c r="K60" s="50">
        <v>0</v>
      </c>
      <c r="L60" s="50">
        <v>0</v>
      </c>
      <c r="M60" s="50">
        <v>72</v>
      </c>
      <c r="N60" s="50">
        <v>0</v>
      </c>
      <c r="O60" s="15">
        <f t="shared" si="0"/>
        <v>57</v>
      </c>
      <c r="P60" s="15">
        <f t="shared" si="1"/>
        <v>129</v>
      </c>
      <c r="R60" s="8"/>
      <c r="T60"/>
    </row>
    <row r="61" spans="2:20" ht="23.1" customHeight="1" x14ac:dyDescent="0.25">
      <c r="B61" s="45" t="s">
        <v>102</v>
      </c>
      <c r="C61" s="50">
        <v>43</v>
      </c>
      <c r="D61" s="50">
        <v>25</v>
      </c>
      <c r="E61" s="50">
        <v>5</v>
      </c>
      <c r="F61" s="50">
        <v>1</v>
      </c>
      <c r="G61" s="50">
        <v>2</v>
      </c>
      <c r="H61" s="50">
        <v>0</v>
      </c>
      <c r="I61" s="50">
        <v>10</v>
      </c>
      <c r="J61" s="50">
        <v>0</v>
      </c>
      <c r="K61" s="50">
        <v>0</v>
      </c>
      <c r="L61" s="50">
        <v>0</v>
      </c>
      <c r="M61" s="50">
        <v>96</v>
      </c>
      <c r="N61" s="50">
        <v>0</v>
      </c>
      <c r="O61" s="15">
        <f t="shared" si="0"/>
        <v>86</v>
      </c>
      <c r="P61" s="15">
        <f t="shared" si="1"/>
        <v>182</v>
      </c>
      <c r="R61" s="8"/>
      <c r="T61"/>
    </row>
    <row r="62" spans="2:20" ht="23.1" customHeight="1" x14ac:dyDescent="0.25">
      <c r="B62" s="45" t="s">
        <v>107</v>
      </c>
      <c r="C62" s="50">
        <v>32</v>
      </c>
      <c r="D62" s="50">
        <v>17</v>
      </c>
      <c r="E62" s="50">
        <v>9</v>
      </c>
      <c r="F62" s="50">
        <v>15</v>
      </c>
      <c r="G62" s="50">
        <v>0</v>
      </c>
      <c r="H62" s="50">
        <v>0</v>
      </c>
      <c r="I62" s="50">
        <v>20</v>
      </c>
      <c r="J62" s="50">
        <v>0</v>
      </c>
      <c r="K62" s="50">
        <v>3</v>
      </c>
      <c r="L62" s="50">
        <v>1</v>
      </c>
      <c r="M62" s="50">
        <v>81</v>
      </c>
      <c r="N62" s="50">
        <v>0</v>
      </c>
      <c r="O62" s="15">
        <f t="shared" si="0"/>
        <v>97</v>
      </c>
      <c r="P62" s="15">
        <f t="shared" si="1"/>
        <v>178</v>
      </c>
      <c r="R62" s="8"/>
      <c r="T62"/>
    </row>
    <row r="63" spans="2:20" ht="23.1" customHeight="1" x14ac:dyDescent="0.25">
      <c r="B63" s="45" t="s">
        <v>108</v>
      </c>
      <c r="C63" s="50">
        <v>45</v>
      </c>
      <c r="D63" s="50">
        <v>26</v>
      </c>
      <c r="E63" s="50">
        <v>3</v>
      </c>
      <c r="F63" s="50">
        <v>2</v>
      </c>
      <c r="G63" s="50">
        <v>1</v>
      </c>
      <c r="H63" s="50">
        <v>0</v>
      </c>
      <c r="I63" s="50">
        <v>7</v>
      </c>
      <c r="J63" s="50">
        <v>0</v>
      </c>
      <c r="K63" s="50">
        <v>0</v>
      </c>
      <c r="L63" s="50">
        <v>0</v>
      </c>
      <c r="M63" s="50">
        <v>60</v>
      </c>
      <c r="N63" s="50">
        <v>0</v>
      </c>
      <c r="O63" s="15">
        <f t="shared" si="0"/>
        <v>84</v>
      </c>
      <c r="P63" s="15">
        <f t="shared" si="1"/>
        <v>144</v>
      </c>
      <c r="R63" s="8"/>
      <c r="T63"/>
    </row>
    <row r="64" spans="2:20" ht="23.1" customHeight="1" x14ac:dyDescent="0.25">
      <c r="B64" s="45" t="s">
        <v>109</v>
      </c>
      <c r="C64" s="50">
        <v>10</v>
      </c>
      <c r="D64" s="50">
        <v>7</v>
      </c>
      <c r="E64" s="50">
        <v>1</v>
      </c>
      <c r="F64" s="50">
        <v>5</v>
      </c>
      <c r="G64" s="50">
        <v>1</v>
      </c>
      <c r="H64" s="50">
        <v>0</v>
      </c>
      <c r="I64" s="50">
        <v>1</v>
      </c>
      <c r="J64" s="50">
        <v>0</v>
      </c>
      <c r="K64" s="50">
        <v>1</v>
      </c>
      <c r="L64" s="50">
        <v>0</v>
      </c>
      <c r="M64" s="50">
        <v>74</v>
      </c>
      <c r="N64" s="50">
        <v>0</v>
      </c>
      <c r="O64" s="15">
        <f t="shared" si="0"/>
        <v>26</v>
      </c>
      <c r="P64" s="15">
        <f t="shared" si="1"/>
        <v>100</v>
      </c>
      <c r="R64" s="8"/>
      <c r="T64"/>
    </row>
    <row r="65" spans="2:20" ht="23.1" customHeight="1" x14ac:dyDescent="0.25">
      <c r="B65" s="45" t="s">
        <v>158</v>
      </c>
      <c r="C65" s="50">
        <v>13</v>
      </c>
      <c r="D65" s="50">
        <v>3</v>
      </c>
      <c r="E65" s="50">
        <v>0</v>
      </c>
      <c r="F65" s="50">
        <v>6</v>
      </c>
      <c r="G65" s="50">
        <v>0</v>
      </c>
      <c r="H65" s="50">
        <v>0</v>
      </c>
      <c r="I65" s="50">
        <v>4</v>
      </c>
      <c r="J65" s="50">
        <v>1</v>
      </c>
      <c r="K65" s="50">
        <v>0</v>
      </c>
      <c r="L65" s="50">
        <v>0</v>
      </c>
      <c r="M65" s="50">
        <v>77</v>
      </c>
      <c r="N65" s="50">
        <v>0</v>
      </c>
      <c r="O65" s="15">
        <f t="shared" si="0"/>
        <v>27</v>
      </c>
      <c r="P65" s="15">
        <f t="shared" si="1"/>
        <v>104</v>
      </c>
      <c r="R65" s="8"/>
      <c r="T65"/>
    </row>
    <row r="66" spans="2:20" ht="23.1" customHeight="1" x14ac:dyDescent="0.25">
      <c r="B66" s="45" t="s">
        <v>103</v>
      </c>
      <c r="C66" s="50">
        <v>18</v>
      </c>
      <c r="D66" s="50">
        <v>11</v>
      </c>
      <c r="E66" s="50">
        <v>7</v>
      </c>
      <c r="F66" s="50">
        <v>8</v>
      </c>
      <c r="G66" s="50">
        <v>1</v>
      </c>
      <c r="H66" s="50">
        <v>0</v>
      </c>
      <c r="I66" s="50">
        <v>2</v>
      </c>
      <c r="J66" s="50">
        <v>0</v>
      </c>
      <c r="K66" s="50">
        <v>0</v>
      </c>
      <c r="L66" s="50">
        <v>1</v>
      </c>
      <c r="M66" s="50">
        <v>103</v>
      </c>
      <c r="N66" s="50">
        <v>0</v>
      </c>
      <c r="O66" s="15">
        <f t="shared" si="0"/>
        <v>48</v>
      </c>
      <c r="P66" s="15">
        <f t="shared" si="1"/>
        <v>151</v>
      </c>
      <c r="R66" s="8"/>
      <c r="T66"/>
    </row>
    <row r="67" spans="2:20" ht="23.1" customHeight="1" x14ac:dyDescent="0.25">
      <c r="B67" s="45" t="s">
        <v>104</v>
      </c>
      <c r="C67" s="50">
        <v>16</v>
      </c>
      <c r="D67" s="50">
        <v>11</v>
      </c>
      <c r="E67" s="50">
        <v>1</v>
      </c>
      <c r="F67" s="50">
        <v>6</v>
      </c>
      <c r="G67" s="50">
        <v>1</v>
      </c>
      <c r="H67" s="50">
        <v>0</v>
      </c>
      <c r="I67" s="50">
        <v>3</v>
      </c>
      <c r="J67" s="50">
        <v>2</v>
      </c>
      <c r="K67" s="50">
        <v>0</v>
      </c>
      <c r="L67" s="50">
        <v>0</v>
      </c>
      <c r="M67" s="50">
        <v>82</v>
      </c>
      <c r="N67" s="50">
        <v>0</v>
      </c>
      <c r="O67" s="15">
        <f t="shared" si="0"/>
        <v>40</v>
      </c>
      <c r="P67" s="15">
        <f t="shared" si="1"/>
        <v>122</v>
      </c>
      <c r="R67" s="8"/>
      <c r="T67"/>
    </row>
    <row r="68" spans="2:20" ht="23.1" customHeight="1" x14ac:dyDescent="0.25">
      <c r="B68" s="45" t="s">
        <v>105</v>
      </c>
      <c r="C68" s="50">
        <v>9</v>
      </c>
      <c r="D68" s="50">
        <v>7</v>
      </c>
      <c r="E68" s="50">
        <v>1</v>
      </c>
      <c r="F68" s="50">
        <v>5</v>
      </c>
      <c r="G68" s="50">
        <v>0</v>
      </c>
      <c r="H68" s="50">
        <v>0</v>
      </c>
      <c r="I68" s="50">
        <v>5</v>
      </c>
      <c r="J68" s="50">
        <v>0</v>
      </c>
      <c r="K68" s="50">
        <v>0</v>
      </c>
      <c r="L68" s="50">
        <v>0</v>
      </c>
      <c r="M68" s="50">
        <v>95</v>
      </c>
      <c r="N68" s="50">
        <v>0</v>
      </c>
      <c r="O68" s="15">
        <f t="shared" si="0"/>
        <v>27</v>
      </c>
      <c r="P68" s="15">
        <f t="shared" si="1"/>
        <v>122</v>
      </c>
      <c r="R68" s="8"/>
      <c r="T68"/>
    </row>
    <row r="69" spans="2:20" ht="23.1" customHeight="1" x14ac:dyDescent="0.25">
      <c r="B69" s="45" t="s">
        <v>106</v>
      </c>
      <c r="C69" s="50">
        <v>5</v>
      </c>
      <c r="D69" s="50">
        <v>9</v>
      </c>
      <c r="E69" s="50">
        <v>2</v>
      </c>
      <c r="F69" s="50">
        <v>3</v>
      </c>
      <c r="G69" s="50">
        <v>0</v>
      </c>
      <c r="H69" s="50">
        <v>0</v>
      </c>
      <c r="I69" s="50">
        <v>3</v>
      </c>
      <c r="J69" s="50">
        <v>9</v>
      </c>
      <c r="K69" s="50">
        <v>0</v>
      </c>
      <c r="L69" s="50">
        <v>0</v>
      </c>
      <c r="M69" s="50">
        <v>72</v>
      </c>
      <c r="N69" s="50">
        <v>0</v>
      </c>
      <c r="O69" s="15">
        <f t="shared" si="0"/>
        <v>31</v>
      </c>
      <c r="P69" s="15">
        <f t="shared" si="1"/>
        <v>103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4</v>
      </c>
      <c r="E70" s="50">
        <v>1</v>
      </c>
      <c r="F70" s="50">
        <v>5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45</v>
      </c>
      <c r="N70" s="50">
        <v>0</v>
      </c>
      <c r="O70" s="15">
        <f t="shared" si="0"/>
        <v>14</v>
      </c>
      <c r="P70" s="15">
        <f t="shared" si="1"/>
        <v>59</v>
      </c>
      <c r="R70" s="8"/>
      <c r="T70"/>
    </row>
    <row r="71" spans="2:20" ht="23.1" customHeight="1" x14ac:dyDescent="0.25">
      <c r="B71" s="45" t="s">
        <v>111</v>
      </c>
      <c r="C71" s="50">
        <v>3</v>
      </c>
      <c r="D71" s="50">
        <v>0</v>
      </c>
      <c r="E71" s="50">
        <v>1</v>
      </c>
      <c r="F71" s="50">
        <v>1</v>
      </c>
      <c r="G71" s="50">
        <v>1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50">
        <v>25</v>
      </c>
      <c r="N71" s="50">
        <v>0</v>
      </c>
      <c r="O71" s="15">
        <f t="shared" si="0"/>
        <v>9</v>
      </c>
      <c r="P71" s="15">
        <f t="shared" si="1"/>
        <v>34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1</v>
      </c>
      <c r="E72" s="50">
        <v>1</v>
      </c>
      <c r="F72" s="50">
        <v>5</v>
      </c>
      <c r="G72" s="50">
        <v>0</v>
      </c>
      <c r="H72" s="50">
        <v>0</v>
      </c>
      <c r="I72" s="50">
        <v>0</v>
      </c>
      <c r="J72" s="50">
        <v>2</v>
      </c>
      <c r="K72" s="50">
        <v>1</v>
      </c>
      <c r="L72" s="50">
        <v>0</v>
      </c>
      <c r="M72" s="50">
        <v>36</v>
      </c>
      <c r="N72" s="50">
        <v>0</v>
      </c>
      <c r="O72" s="15">
        <f t="shared" si="0"/>
        <v>14</v>
      </c>
      <c r="P72" s="15">
        <f t="shared" si="1"/>
        <v>50</v>
      </c>
      <c r="R72" s="8"/>
      <c r="T72"/>
    </row>
    <row r="73" spans="2:20" ht="23.1" customHeight="1" x14ac:dyDescent="0.25">
      <c r="B73" s="45" t="s">
        <v>113</v>
      </c>
      <c r="C73" s="50">
        <v>5</v>
      </c>
      <c r="D73" s="50">
        <v>3</v>
      </c>
      <c r="E73" s="50">
        <v>0</v>
      </c>
      <c r="F73" s="50">
        <v>2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25</v>
      </c>
      <c r="N73" s="50">
        <v>0</v>
      </c>
      <c r="O73" s="15">
        <f t="shared" si="0"/>
        <v>11</v>
      </c>
      <c r="P73" s="15">
        <f t="shared" si="1"/>
        <v>36</v>
      </c>
      <c r="R73" s="8"/>
      <c r="T73"/>
    </row>
    <row r="74" spans="2:20" ht="23.1" customHeight="1" x14ac:dyDescent="0.25">
      <c r="B74" s="45" t="s">
        <v>114</v>
      </c>
      <c r="C74" s="50">
        <v>4</v>
      </c>
      <c r="D74" s="50">
        <v>4</v>
      </c>
      <c r="E74" s="50">
        <v>1</v>
      </c>
      <c r="F74" s="50">
        <v>2</v>
      </c>
      <c r="G74" s="50">
        <v>1</v>
      </c>
      <c r="H74" s="50">
        <v>0</v>
      </c>
      <c r="I74" s="50">
        <v>2</v>
      </c>
      <c r="J74" s="50">
        <v>0</v>
      </c>
      <c r="K74" s="50">
        <v>0</v>
      </c>
      <c r="L74" s="50">
        <v>0</v>
      </c>
      <c r="M74" s="50">
        <v>43</v>
      </c>
      <c r="N74" s="50">
        <v>0</v>
      </c>
      <c r="O74" s="15">
        <f t="shared" ref="O74:O105" si="35">SUM(C74:L74,N74)</f>
        <v>14</v>
      </c>
      <c r="P74" s="15">
        <f t="shared" ref="P74:P105" si="36">SUM(C74:N74)</f>
        <v>57</v>
      </c>
      <c r="R74" s="8"/>
      <c r="T74"/>
    </row>
    <row r="75" spans="2:20" ht="23.1" customHeight="1" x14ac:dyDescent="0.25">
      <c r="B75" s="45" t="s">
        <v>115</v>
      </c>
      <c r="C75" s="50">
        <v>6</v>
      </c>
      <c r="D75" s="50">
        <v>1</v>
      </c>
      <c r="E75" s="50">
        <v>2</v>
      </c>
      <c r="F75" s="50">
        <v>3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21</v>
      </c>
      <c r="N75" s="50">
        <v>0</v>
      </c>
      <c r="O75" s="15">
        <f t="shared" si="35"/>
        <v>13</v>
      </c>
      <c r="P75" s="15">
        <f t="shared" si="36"/>
        <v>34</v>
      </c>
      <c r="R75" s="8"/>
      <c r="T75"/>
    </row>
    <row r="76" spans="2:20" ht="23.1" customHeight="1" x14ac:dyDescent="0.25">
      <c r="B76" s="45" t="s">
        <v>116</v>
      </c>
      <c r="C76" s="50">
        <v>2</v>
      </c>
      <c r="D76" s="50">
        <v>2</v>
      </c>
      <c r="E76" s="50">
        <v>0</v>
      </c>
      <c r="F76" s="50">
        <v>9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50</v>
      </c>
      <c r="N76" s="50">
        <v>0</v>
      </c>
      <c r="O76" s="15">
        <f t="shared" si="35"/>
        <v>13</v>
      </c>
      <c r="P76" s="15">
        <f t="shared" si="36"/>
        <v>63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9</v>
      </c>
      <c r="E77" s="50">
        <v>0</v>
      </c>
      <c r="F77" s="50">
        <v>13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16</v>
      </c>
      <c r="N77" s="50">
        <v>0</v>
      </c>
      <c r="O77" s="15">
        <f t="shared" si="35"/>
        <v>22</v>
      </c>
      <c r="P77" s="15">
        <f t="shared" si="36"/>
        <v>38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2</v>
      </c>
      <c r="E78" s="50">
        <v>0</v>
      </c>
      <c r="F78" s="50">
        <v>5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17</v>
      </c>
      <c r="N78" s="50">
        <v>0</v>
      </c>
      <c r="O78" s="15">
        <f t="shared" si="35"/>
        <v>8</v>
      </c>
      <c r="P78" s="15">
        <f t="shared" si="36"/>
        <v>25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1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11</v>
      </c>
      <c r="N79" s="50">
        <v>0</v>
      </c>
      <c r="O79" s="15">
        <f t="shared" si="35"/>
        <v>3</v>
      </c>
      <c r="P79" s="15">
        <f t="shared" si="36"/>
        <v>14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8</v>
      </c>
      <c r="N80" s="50">
        <v>0</v>
      </c>
      <c r="O80" s="15">
        <f t="shared" si="35"/>
        <v>0</v>
      </c>
      <c r="P80" s="15">
        <f t="shared" si="36"/>
        <v>8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4</v>
      </c>
      <c r="E81" s="50">
        <v>0</v>
      </c>
      <c r="F81" s="50">
        <v>3</v>
      </c>
      <c r="G81" s="50">
        <v>0</v>
      </c>
      <c r="H81" s="50">
        <v>0</v>
      </c>
      <c r="I81" s="50">
        <v>3</v>
      </c>
      <c r="J81" s="50">
        <v>0</v>
      </c>
      <c r="K81" s="50">
        <v>0</v>
      </c>
      <c r="L81" s="50">
        <v>0</v>
      </c>
      <c r="M81" s="50">
        <v>4</v>
      </c>
      <c r="N81" s="50">
        <v>0</v>
      </c>
      <c r="O81" s="15">
        <f t="shared" si="35"/>
        <v>10</v>
      </c>
      <c r="P81" s="15">
        <f t="shared" si="36"/>
        <v>14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8</v>
      </c>
      <c r="N82" s="50">
        <v>0</v>
      </c>
      <c r="O82" s="15">
        <f t="shared" si="35"/>
        <v>2</v>
      </c>
      <c r="P82" s="15">
        <f t="shared" si="36"/>
        <v>10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5</v>
      </c>
      <c r="N83" s="50">
        <v>0</v>
      </c>
      <c r="O83" s="15">
        <f t="shared" si="35"/>
        <v>0</v>
      </c>
      <c r="P83" s="15">
        <f t="shared" si="36"/>
        <v>5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2</v>
      </c>
      <c r="N84" s="50">
        <v>0</v>
      </c>
      <c r="O84" s="15">
        <f t="shared" si="35"/>
        <v>0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7</v>
      </c>
      <c r="N85" s="50">
        <v>0</v>
      </c>
      <c r="O85" s="15">
        <f t="shared" si="35"/>
        <v>0</v>
      </c>
      <c r="P85" s="15">
        <f t="shared" si="36"/>
        <v>7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11</v>
      </c>
      <c r="N86" s="50">
        <v>0</v>
      </c>
      <c r="O86" s="15">
        <f t="shared" si="35"/>
        <v>1</v>
      </c>
      <c r="P86" s="15">
        <f t="shared" si="36"/>
        <v>12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5">
        <f t="shared" si="35"/>
        <v>0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5</v>
      </c>
      <c r="N88" s="50">
        <v>0</v>
      </c>
      <c r="O88" s="15">
        <f t="shared" si="35"/>
        <v>2</v>
      </c>
      <c r="P88" s="15">
        <f t="shared" si="36"/>
        <v>7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3</v>
      </c>
      <c r="N89" s="50">
        <v>0</v>
      </c>
      <c r="O89" s="15">
        <f t="shared" si="35"/>
        <v>0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3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5</v>
      </c>
      <c r="N90" s="50">
        <v>0</v>
      </c>
      <c r="O90" s="15">
        <f t="shared" si="35"/>
        <v>4</v>
      </c>
      <c r="P90" s="15">
        <f t="shared" si="36"/>
        <v>9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5">
        <f t="shared" si="35"/>
        <v>0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10</v>
      </c>
      <c r="N92" s="50">
        <v>0</v>
      </c>
      <c r="O92" s="15">
        <f t="shared" si="35"/>
        <v>1</v>
      </c>
      <c r="P92" s="15">
        <f t="shared" si="36"/>
        <v>11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0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0</v>
      </c>
      <c r="F94" s="50">
        <v>5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6</v>
      </c>
      <c r="N94" s="50">
        <v>0</v>
      </c>
      <c r="O94" s="15">
        <f t="shared" si="35"/>
        <v>8</v>
      </c>
      <c r="P94" s="15">
        <f t="shared" si="36"/>
        <v>14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10</v>
      </c>
      <c r="N95" s="50">
        <v>0</v>
      </c>
      <c r="O95" s="15">
        <f t="shared" si="35"/>
        <v>0</v>
      </c>
      <c r="P95" s="15">
        <f t="shared" si="36"/>
        <v>10</v>
      </c>
      <c r="R95" s="8"/>
      <c r="T95"/>
    </row>
    <row r="96" spans="2:20" ht="23.1" customHeight="1" x14ac:dyDescent="0.25">
      <c r="B96" s="47" t="s">
        <v>136</v>
      </c>
      <c r="C96" s="50">
        <v>6</v>
      </c>
      <c r="D96" s="50">
        <v>0</v>
      </c>
      <c r="E96" s="50">
        <v>0</v>
      </c>
      <c r="F96" s="50">
        <v>11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13</v>
      </c>
      <c r="N96" s="50">
        <v>0</v>
      </c>
      <c r="O96" s="15">
        <f t="shared" si="35"/>
        <v>17</v>
      </c>
      <c r="P96" s="15">
        <f t="shared" si="36"/>
        <v>30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1</v>
      </c>
      <c r="F97" s="50">
        <v>5</v>
      </c>
      <c r="G97" s="50">
        <v>0</v>
      </c>
      <c r="H97" s="50">
        <v>0</v>
      </c>
      <c r="I97" s="50">
        <v>4</v>
      </c>
      <c r="J97" s="50">
        <v>0</v>
      </c>
      <c r="K97" s="50">
        <v>0</v>
      </c>
      <c r="L97" s="50">
        <v>0</v>
      </c>
      <c r="M97" s="50">
        <v>5</v>
      </c>
      <c r="N97" s="50">
        <v>0</v>
      </c>
      <c r="O97" s="15">
        <f t="shared" si="35"/>
        <v>12</v>
      </c>
      <c r="P97" s="15">
        <f t="shared" si="36"/>
        <v>17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5</v>
      </c>
      <c r="E98" s="50">
        <v>1</v>
      </c>
      <c r="F98" s="50">
        <v>8</v>
      </c>
      <c r="G98" s="50">
        <v>0</v>
      </c>
      <c r="H98" s="50">
        <v>0</v>
      </c>
      <c r="I98" s="50">
        <v>2</v>
      </c>
      <c r="J98" s="50">
        <v>0</v>
      </c>
      <c r="K98" s="50">
        <v>0</v>
      </c>
      <c r="L98" s="50">
        <v>0</v>
      </c>
      <c r="M98" s="50">
        <v>13</v>
      </c>
      <c r="N98" s="50">
        <v>0</v>
      </c>
      <c r="O98" s="15">
        <f t="shared" si="35"/>
        <v>19</v>
      </c>
      <c r="P98" s="15">
        <f t="shared" si="36"/>
        <v>32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1</v>
      </c>
      <c r="E99" s="50">
        <v>2</v>
      </c>
      <c r="F99" s="50">
        <v>3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23</v>
      </c>
      <c r="N99" s="50">
        <v>0</v>
      </c>
      <c r="O99" s="15">
        <f t="shared" si="35"/>
        <v>6</v>
      </c>
      <c r="P99" s="15">
        <f t="shared" si="36"/>
        <v>29</v>
      </c>
      <c r="R99" s="8"/>
      <c r="T99"/>
    </row>
    <row r="100" spans="2:20" ht="23.1" customHeight="1" x14ac:dyDescent="0.25">
      <c r="B100" s="47" t="s">
        <v>140</v>
      </c>
      <c r="C100" s="50">
        <v>8</v>
      </c>
      <c r="D100" s="50">
        <v>2</v>
      </c>
      <c r="E100" s="50">
        <v>0</v>
      </c>
      <c r="F100" s="50">
        <v>13</v>
      </c>
      <c r="G100" s="50">
        <v>3</v>
      </c>
      <c r="H100" s="50">
        <v>0</v>
      </c>
      <c r="I100" s="50">
        <v>7</v>
      </c>
      <c r="J100" s="50">
        <v>0</v>
      </c>
      <c r="K100" s="50">
        <v>0</v>
      </c>
      <c r="L100" s="50">
        <v>0</v>
      </c>
      <c r="M100" s="50">
        <v>31</v>
      </c>
      <c r="N100" s="50">
        <v>0</v>
      </c>
      <c r="O100" s="15">
        <f t="shared" si="35"/>
        <v>33</v>
      </c>
      <c r="P100" s="15">
        <f t="shared" si="36"/>
        <v>64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0</v>
      </c>
      <c r="F101" s="50">
        <v>8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36</v>
      </c>
      <c r="N101" s="50">
        <v>0</v>
      </c>
      <c r="O101" s="15">
        <f t="shared" si="35"/>
        <v>11</v>
      </c>
      <c r="P101" s="15">
        <f t="shared" si="36"/>
        <v>47</v>
      </c>
      <c r="R101" s="8"/>
      <c r="T101"/>
    </row>
    <row r="102" spans="2:20" ht="23.1" customHeight="1" x14ac:dyDescent="0.25">
      <c r="B102" s="46" t="s">
        <v>142</v>
      </c>
      <c r="C102" s="50">
        <v>5</v>
      </c>
      <c r="D102" s="50">
        <v>4</v>
      </c>
      <c r="E102" s="50">
        <v>0</v>
      </c>
      <c r="F102" s="50">
        <v>9</v>
      </c>
      <c r="G102" s="50">
        <v>4</v>
      </c>
      <c r="H102" s="50">
        <v>0</v>
      </c>
      <c r="I102" s="50">
        <v>3</v>
      </c>
      <c r="J102" s="50">
        <v>0</v>
      </c>
      <c r="K102" s="50">
        <v>0</v>
      </c>
      <c r="L102" s="50">
        <v>0</v>
      </c>
      <c r="M102" s="50">
        <v>43</v>
      </c>
      <c r="N102" s="50">
        <v>0</v>
      </c>
      <c r="O102" s="15">
        <f t="shared" si="35"/>
        <v>25</v>
      </c>
      <c r="P102" s="15">
        <f t="shared" si="36"/>
        <v>68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1</v>
      </c>
      <c r="E103" s="50">
        <v>1</v>
      </c>
      <c r="F103" s="50">
        <v>5</v>
      </c>
      <c r="G103" s="50">
        <v>7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26</v>
      </c>
      <c r="N103" s="50">
        <v>0</v>
      </c>
      <c r="O103" s="15">
        <f t="shared" si="35"/>
        <v>22</v>
      </c>
      <c r="P103" s="15">
        <f t="shared" si="36"/>
        <v>48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13</v>
      </c>
      <c r="G104" s="50">
        <v>1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16</v>
      </c>
      <c r="N104" s="50">
        <v>0</v>
      </c>
      <c r="O104" s="15">
        <f t="shared" si="35"/>
        <v>15</v>
      </c>
      <c r="P104" s="15">
        <f t="shared" si="36"/>
        <v>31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3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43</v>
      </c>
      <c r="N105" s="50">
        <v>0</v>
      </c>
      <c r="O105" s="15">
        <f t="shared" si="35"/>
        <v>3</v>
      </c>
      <c r="P105" s="15">
        <f t="shared" si="36"/>
        <v>46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681</v>
      </c>
      <c r="D106" s="16">
        <f t="shared" ref="D106:P106" si="37">SUM(D10:D105)</f>
        <v>617</v>
      </c>
      <c r="E106" s="16">
        <f t="shared" si="37"/>
        <v>230</v>
      </c>
      <c r="F106" s="16">
        <f t="shared" si="37"/>
        <v>545</v>
      </c>
      <c r="G106" s="16">
        <f t="shared" si="37"/>
        <v>40</v>
      </c>
      <c r="H106" s="16">
        <f t="shared" si="37"/>
        <v>2</v>
      </c>
      <c r="I106" s="16">
        <f t="shared" si="37"/>
        <v>307</v>
      </c>
      <c r="J106" s="16">
        <f t="shared" si="37"/>
        <v>118</v>
      </c>
      <c r="K106" s="16">
        <f t="shared" si="37"/>
        <v>53</v>
      </c>
      <c r="L106" s="16">
        <f t="shared" si="37"/>
        <v>35</v>
      </c>
      <c r="M106" s="16">
        <f t="shared" si="37"/>
        <v>4144</v>
      </c>
      <c r="N106" s="16">
        <f t="shared" si="37"/>
        <v>0</v>
      </c>
      <c r="O106" s="16">
        <f t="shared" si="37"/>
        <v>2628</v>
      </c>
      <c r="P106" s="16">
        <f t="shared" si="37"/>
        <v>6772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0.10056113408151211</v>
      </c>
      <c r="D107" s="43">
        <f t="shared" si="38"/>
        <v>9.1110454813939756E-2</v>
      </c>
      <c r="E107" s="43">
        <f t="shared" si="38"/>
        <v>3.3963378617838158E-2</v>
      </c>
      <c r="F107" s="43">
        <f t="shared" si="38"/>
        <v>8.0478440637920853E-2</v>
      </c>
      <c r="G107" s="43">
        <f t="shared" si="38"/>
        <v>5.9066745422327229E-3</v>
      </c>
      <c r="H107" s="43">
        <f t="shared" si="38"/>
        <v>2.9533372711163615E-4</v>
      </c>
      <c r="I107" s="43">
        <f t="shared" si="38"/>
        <v>4.5333727111636149E-2</v>
      </c>
      <c r="J107" s="43">
        <f t="shared" si="38"/>
        <v>1.7424689899586534E-2</v>
      </c>
      <c r="K107" s="43">
        <f t="shared" si="38"/>
        <v>7.8263437684583572E-3</v>
      </c>
      <c r="L107" s="43">
        <f t="shared" si="38"/>
        <v>5.1683402244536323E-3</v>
      </c>
      <c r="M107" s="43">
        <f t="shared" si="38"/>
        <v>0.61193148257531005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0.2591324200913242</v>
      </c>
      <c r="D108" s="44">
        <f t="shared" ref="D108:N108" si="39">D106/$O$106</f>
        <v>0.234779299847793</v>
      </c>
      <c r="E108" s="44">
        <f t="shared" si="39"/>
        <v>8.7519025875190254E-2</v>
      </c>
      <c r="F108" s="44">
        <f t="shared" si="39"/>
        <v>0.2073820395738204</v>
      </c>
      <c r="G108" s="44">
        <f t="shared" si="39"/>
        <v>1.5220700152207001E-2</v>
      </c>
      <c r="H108" s="44">
        <f t="shared" si="39"/>
        <v>7.6103500761035003E-4</v>
      </c>
      <c r="I108" s="44">
        <f t="shared" si="39"/>
        <v>0.11681887366818873</v>
      </c>
      <c r="J108" s="44">
        <f t="shared" si="39"/>
        <v>4.4901065449010652E-2</v>
      </c>
      <c r="K108" s="44">
        <f t="shared" si="39"/>
        <v>2.0167427701674276E-2</v>
      </c>
      <c r="L108" s="44">
        <f t="shared" si="39"/>
        <v>1.3318112633181126E-2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'29.10-MUKONO-KATOSI'!C3:G3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182</v>
      </c>
      <c r="E5" s="3"/>
      <c r="F5" s="41" t="s">
        <v>1</v>
      </c>
      <c r="G5" s="53" t="s">
        <v>178</v>
      </c>
      <c r="H5" s="54"/>
      <c r="I5" s="14"/>
      <c r="J5" s="2" t="s">
        <v>5</v>
      </c>
      <c r="K5" s="53" t="str">
        <f>'31.10 KATOSI-MUKONO'!K5:L5</f>
        <v>MOSES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tr">
        <f>'29.10-MUKONO-KATOSI'!D6:E6</f>
        <v>MUKONO</v>
      </c>
      <c r="E6" s="54"/>
      <c r="F6" s="2" t="s">
        <v>2</v>
      </c>
      <c r="G6" s="53" t="str">
        <f>'29.10-MUKONO-KATOSI'!G6:H6</f>
        <v>KATOSI</v>
      </c>
      <c r="H6" s="54"/>
      <c r="J6" s="2" t="s">
        <v>21</v>
      </c>
      <c r="K6" s="53" t="str">
        <f>'31.10 KATOSI-MUKONO'!K6:L6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</v>
      </c>
      <c r="D10" s="50">
        <v>1</v>
      </c>
      <c r="E10" s="50">
        <v>2</v>
      </c>
      <c r="F10" s="50">
        <v>2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29</v>
      </c>
      <c r="N10" s="50">
        <v>0</v>
      </c>
      <c r="O10" s="15">
        <f t="shared" ref="O10:O57" si="0">SUM(C10:L10,N10)</f>
        <v>15</v>
      </c>
      <c r="P10" s="15">
        <f t="shared" ref="P10:P57" si="1">SUM(C10:N10)</f>
        <v>44</v>
      </c>
      <c r="R10" s="1" t="s">
        <v>6</v>
      </c>
      <c r="S10" s="17">
        <f t="shared" ref="S10:AF10" si="2">SUM(C10:C13)</f>
        <v>29</v>
      </c>
      <c r="T10" s="17">
        <f t="shared" si="2"/>
        <v>19</v>
      </c>
      <c r="U10" s="17">
        <f t="shared" si="2"/>
        <v>8</v>
      </c>
      <c r="V10" s="17">
        <f t="shared" si="2"/>
        <v>15</v>
      </c>
      <c r="W10" s="17">
        <f t="shared" si="2"/>
        <v>4</v>
      </c>
      <c r="X10" s="17">
        <f t="shared" si="2"/>
        <v>0</v>
      </c>
      <c r="Y10" s="17">
        <f t="shared" si="2"/>
        <v>18</v>
      </c>
      <c r="Z10" s="17">
        <f t="shared" si="2"/>
        <v>3</v>
      </c>
      <c r="AA10" s="17">
        <f t="shared" si="2"/>
        <v>3</v>
      </c>
      <c r="AB10" s="17">
        <f t="shared" si="2"/>
        <v>0</v>
      </c>
      <c r="AC10" s="17">
        <f t="shared" si="2"/>
        <v>167</v>
      </c>
      <c r="AD10" s="17">
        <f t="shared" si="2"/>
        <v>0</v>
      </c>
      <c r="AE10" s="31">
        <f t="shared" si="2"/>
        <v>99</v>
      </c>
      <c r="AF10" s="31">
        <f t="shared" si="2"/>
        <v>266</v>
      </c>
    </row>
    <row r="11" spans="2:32" s="6" customFormat="1" ht="23.1" customHeight="1" x14ac:dyDescent="0.25">
      <c r="B11" s="23" t="s">
        <v>38</v>
      </c>
      <c r="C11" s="50">
        <v>8</v>
      </c>
      <c r="D11" s="50">
        <v>7</v>
      </c>
      <c r="E11" s="50">
        <v>3</v>
      </c>
      <c r="F11" s="50">
        <v>3</v>
      </c>
      <c r="G11" s="50">
        <v>2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49</v>
      </c>
      <c r="N11" s="50">
        <v>0</v>
      </c>
      <c r="O11" s="15">
        <f t="shared" si="0"/>
        <v>27</v>
      </c>
      <c r="P11" s="15">
        <f t="shared" si="1"/>
        <v>76</v>
      </c>
      <c r="R11" s="1" t="s">
        <v>7</v>
      </c>
      <c r="S11" s="17">
        <f t="shared" ref="S11:AF11" si="3">SUM(C14:C17)</f>
        <v>41</v>
      </c>
      <c r="T11" s="17">
        <f t="shared" si="3"/>
        <v>14</v>
      </c>
      <c r="U11" s="17">
        <f t="shared" si="3"/>
        <v>14</v>
      </c>
      <c r="V11" s="17">
        <f t="shared" si="3"/>
        <v>24</v>
      </c>
      <c r="W11" s="17">
        <f t="shared" si="3"/>
        <v>1</v>
      </c>
      <c r="X11" s="17">
        <f t="shared" si="3"/>
        <v>0</v>
      </c>
      <c r="Y11" s="17">
        <f t="shared" si="3"/>
        <v>13</v>
      </c>
      <c r="Z11" s="17">
        <f t="shared" si="3"/>
        <v>0</v>
      </c>
      <c r="AA11" s="17">
        <f t="shared" si="3"/>
        <v>2</v>
      </c>
      <c r="AB11" s="17">
        <f t="shared" si="3"/>
        <v>3</v>
      </c>
      <c r="AC11" s="17">
        <f t="shared" si="3"/>
        <v>297</v>
      </c>
      <c r="AD11" s="17">
        <f t="shared" si="3"/>
        <v>0</v>
      </c>
      <c r="AE11" s="31">
        <f t="shared" si="3"/>
        <v>112</v>
      </c>
      <c r="AF11" s="31">
        <f t="shared" si="3"/>
        <v>409</v>
      </c>
    </row>
    <row r="12" spans="2:32" ht="23.1" customHeight="1" x14ac:dyDescent="0.25">
      <c r="B12" s="23" t="s">
        <v>39</v>
      </c>
      <c r="C12" s="50">
        <v>4</v>
      </c>
      <c r="D12" s="50">
        <v>2</v>
      </c>
      <c r="E12" s="50">
        <v>2</v>
      </c>
      <c r="F12" s="50">
        <v>6</v>
      </c>
      <c r="G12" s="50">
        <v>1</v>
      </c>
      <c r="H12" s="50">
        <v>0</v>
      </c>
      <c r="I12" s="50">
        <v>2</v>
      </c>
      <c r="J12" s="50">
        <v>1</v>
      </c>
      <c r="K12" s="50">
        <v>1</v>
      </c>
      <c r="L12" s="50">
        <v>0</v>
      </c>
      <c r="M12" s="50">
        <v>37</v>
      </c>
      <c r="N12" s="50">
        <v>0</v>
      </c>
      <c r="O12" s="15">
        <f t="shared" si="0"/>
        <v>19</v>
      </c>
      <c r="P12" s="15">
        <f t="shared" si="1"/>
        <v>56</v>
      </c>
      <c r="R12" s="1" t="s">
        <v>8</v>
      </c>
      <c r="S12" s="17">
        <f t="shared" ref="S12:AF12" si="4">SUM(C18:C21)</f>
        <v>68</v>
      </c>
      <c r="T12" s="17">
        <f t="shared" si="4"/>
        <v>34</v>
      </c>
      <c r="U12" s="17">
        <f t="shared" si="4"/>
        <v>16</v>
      </c>
      <c r="V12" s="17">
        <f t="shared" si="4"/>
        <v>37</v>
      </c>
      <c r="W12" s="17">
        <f t="shared" si="4"/>
        <v>5</v>
      </c>
      <c r="X12" s="17">
        <f t="shared" si="4"/>
        <v>0</v>
      </c>
      <c r="Y12" s="17">
        <f t="shared" si="4"/>
        <v>30</v>
      </c>
      <c r="Z12" s="17">
        <f t="shared" si="4"/>
        <v>5</v>
      </c>
      <c r="AA12" s="17">
        <f t="shared" si="4"/>
        <v>5</v>
      </c>
      <c r="AB12" s="17">
        <f t="shared" si="4"/>
        <v>2</v>
      </c>
      <c r="AC12" s="17">
        <f t="shared" si="4"/>
        <v>319</v>
      </c>
      <c r="AD12" s="17">
        <f t="shared" si="4"/>
        <v>0</v>
      </c>
      <c r="AE12" s="31">
        <f t="shared" si="4"/>
        <v>202</v>
      </c>
      <c r="AF12" s="31">
        <f t="shared" si="4"/>
        <v>521</v>
      </c>
    </row>
    <row r="13" spans="2:32" ht="23.1" customHeight="1" x14ac:dyDescent="0.25">
      <c r="B13" s="23" t="s">
        <v>40</v>
      </c>
      <c r="C13" s="50">
        <v>10</v>
      </c>
      <c r="D13" s="50">
        <v>9</v>
      </c>
      <c r="E13" s="50">
        <v>1</v>
      </c>
      <c r="F13" s="50">
        <v>4</v>
      </c>
      <c r="G13" s="50">
        <v>1</v>
      </c>
      <c r="H13" s="50">
        <v>0</v>
      </c>
      <c r="I13" s="50">
        <v>9</v>
      </c>
      <c r="J13" s="50">
        <v>2</v>
      </c>
      <c r="K13" s="50">
        <v>2</v>
      </c>
      <c r="L13" s="50">
        <v>0</v>
      </c>
      <c r="M13" s="50">
        <v>52</v>
      </c>
      <c r="N13" s="50">
        <v>0</v>
      </c>
      <c r="O13" s="15">
        <f t="shared" si="0"/>
        <v>38</v>
      </c>
      <c r="P13" s="15">
        <f t="shared" si="1"/>
        <v>90</v>
      </c>
      <c r="R13" s="1" t="s">
        <v>9</v>
      </c>
      <c r="S13" s="17">
        <f t="shared" ref="S13:AF13" si="5">SUM(C22:C25)</f>
        <v>67</v>
      </c>
      <c r="T13" s="17">
        <f t="shared" si="5"/>
        <v>39</v>
      </c>
      <c r="U13" s="17">
        <f t="shared" si="5"/>
        <v>17</v>
      </c>
      <c r="V13" s="17">
        <f t="shared" si="5"/>
        <v>31</v>
      </c>
      <c r="W13" s="17">
        <f t="shared" si="5"/>
        <v>4</v>
      </c>
      <c r="X13" s="17">
        <f t="shared" si="5"/>
        <v>0</v>
      </c>
      <c r="Y13" s="17">
        <f t="shared" si="5"/>
        <v>16</v>
      </c>
      <c r="Z13" s="17">
        <f t="shared" si="5"/>
        <v>6</v>
      </c>
      <c r="AA13" s="17">
        <f t="shared" si="5"/>
        <v>3</v>
      </c>
      <c r="AB13" s="17">
        <f t="shared" si="5"/>
        <v>2</v>
      </c>
      <c r="AC13" s="17">
        <f t="shared" si="5"/>
        <v>282</v>
      </c>
      <c r="AD13" s="17">
        <f t="shared" si="5"/>
        <v>0</v>
      </c>
      <c r="AE13" s="31">
        <f t="shared" si="5"/>
        <v>185</v>
      </c>
      <c r="AF13" s="31">
        <f t="shared" si="5"/>
        <v>467</v>
      </c>
    </row>
    <row r="14" spans="2:32" ht="23.1" customHeight="1" x14ac:dyDescent="0.25">
      <c r="B14" s="23" t="s">
        <v>41</v>
      </c>
      <c r="C14" s="50">
        <v>6</v>
      </c>
      <c r="D14" s="50">
        <v>2</v>
      </c>
      <c r="E14" s="50">
        <v>3</v>
      </c>
      <c r="F14" s="50">
        <v>3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72</v>
      </c>
      <c r="N14" s="50">
        <v>0</v>
      </c>
      <c r="O14" s="15">
        <f t="shared" si="0"/>
        <v>17</v>
      </c>
      <c r="P14" s="15">
        <f t="shared" si="1"/>
        <v>89</v>
      </c>
      <c r="R14" s="1" t="s">
        <v>10</v>
      </c>
      <c r="S14" s="17">
        <f t="shared" ref="S14:AF14" si="6">SUM(C26:C29)</f>
        <v>94</v>
      </c>
      <c r="T14" s="17">
        <f t="shared" si="6"/>
        <v>57</v>
      </c>
      <c r="U14" s="17">
        <f t="shared" si="6"/>
        <v>14</v>
      </c>
      <c r="V14" s="17">
        <f t="shared" si="6"/>
        <v>39</v>
      </c>
      <c r="W14" s="17">
        <f t="shared" si="6"/>
        <v>1</v>
      </c>
      <c r="X14" s="17">
        <f t="shared" si="6"/>
        <v>0</v>
      </c>
      <c r="Y14" s="17">
        <f t="shared" si="6"/>
        <v>37</v>
      </c>
      <c r="Z14" s="17">
        <f t="shared" si="6"/>
        <v>1</v>
      </c>
      <c r="AA14" s="17">
        <f t="shared" si="6"/>
        <v>2</v>
      </c>
      <c r="AB14" s="17">
        <f t="shared" si="6"/>
        <v>1</v>
      </c>
      <c r="AC14" s="17">
        <f t="shared" si="6"/>
        <v>400</v>
      </c>
      <c r="AD14" s="17">
        <f t="shared" si="6"/>
        <v>0</v>
      </c>
      <c r="AE14" s="31">
        <f t="shared" si="6"/>
        <v>246</v>
      </c>
      <c r="AF14" s="31">
        <f t="shared" si="6"/>
        <v>646</v>
      </c>
    </row>
    <row r="15" spans="2:32" ht="23.1" customHeight="1" x14ac:dyDescent="0.25">
      <c r="B15" s="23" t="s">
        <v>42</v>
      </c>
      <c r="C15" s="50">
        <v>14</v>
      </c>
      <c r="D15" s="50">
        <v>5</v>
      </c>
      <c r="E15" s="50">
        <v>3</v>
      </c>
      <c r="F15" s="50">
        <v>5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1</v>
      </c>
      <c r="M15" s="50">
        <v>58</v>
      </c>
      <c r="N15" s="50">
        <v>0</v>
      </c>
      <c r="O15" s="15">
        <f t="shared" si="0"/>
        <v>30</v>
      </c>
      <c r="P15" s="15">
        <f t="shared" si="1"/>
        <v>88</v>
      </c>
      <c r="R15" s="1" t="s">
        <v>11</v>
      </c>
      <c r="S15" s="17">
        <f t="shared" ref="S15:AF15" si="7">SUM(C30:C33)</f>
        <v>109</v>
      </c>
      <c r="T15" s="17">
        <f t="shared" si="7"/>
        <v>79</v>
      </c>
      <c r="U15" s="17">
        <f t="shared" si="7"/>
        <v>18</v>
      </c>
      <c r="V15" s="17">
        <f t="shared" si="7"/>
        <v>34</v>
      </c>
      <c r="W15" s="17">
        <f t="shared" si="7"/>
        <v>2</v>
      </c>
      <c r="X15" s="17">
        <f t="shared" si="7"/>
        <v>0</v>
      </c>
      <c r="Y15" s="17">
        <f t="shared" si="7"/>
        <v>33</v>
      </c>
      <c r="Z15" s="17">
        <f t="shared" si="7"/>
        <v>7</v>
      </c>
      <c r="AA15" s="17">
        <f t="shared" si="7"/>
        <v>3</v>
      </c>
      <c r="AB15" s="17">
        <f t="shared" si="7"/>
        <v>1</v>
      </c>
      <c r="AC15" s="17">
        <f t="shared" si="7"/>
        <v>360</v>
      </c>
      <c r="AD15" s="17">
        <f t="shared" si="7"/>
        <v>0</v>
      </c>
      <c r="AE15" s="31">
        <f t="shared" si="7"/>
        <v>286</v>
      </c>
      <c r="AF15" s="31">
        <f t="shared" si="7"/>
        <v>646</v>
      </c>
    </row>
    <row r="16" spans="2:32" ht="23.1" customHeight="1" x14ac:dyDescent="0.25">
      <c r="B16" s="23" t="s">
        <v>43</v>
      </c>
      <c r="C16" s="50">
        <v>10</v>
      </c>
      <c r="D16" s="50">
        <v>2</v>
      </c>
      <c r="E16" s="50">
        <v>3</v>
      </c>
      <c r="F16" s="50">
        <v>8</v>
      </c>
      <c r="G16" s="50">
        <v>0</v>
      </c>
      <c r="H16" s="50">
        <v>0</v>
      </c>
      <c r="I16" s="50">
        <v>5</v>
      </c>
      <c r="J16" s="50">
        <v>0</v>
      </c>
      <c r="K16" s="50">
        <v>0</v>
      </c>
      <c r="L16" s="50">
        <v>0</v>
      </c>
      <c r="M16" s="50">
        <v>89</v>
      </c>
      <c r="N16" s="50">
        <v>0</v>
      </c>
      <c r="O16" s="15">
        <f t="shared" si="0"/>
        <v>28</v>
      </c>
      <c r="P16" s="15">
        <f t="shared" si="1"/>
        <v>117</v>
      </c>
      <c r="R16" s="1" t="s">
        <v>12</v>
      </c>
      <c r="S16" s="17">
        <f t="shared" ref="S16:AF16" si="8">SUM(C34:C37)</f>
        <v>92</v>
      </c>
      <c r="T16" s="17">
        <f t="shared" si="8"/>
        <v>72</v>
      </c>
      <c r="U16" s="17">
        <f t="shared" si="8"/>
        <v>14</v>
      </c>
      <c r="V16" s="17">
        <f t="shared" si="8"/>
        <v>36</v>
      </c>
      <c r="W16" s="17">
        <f t="shared" si="8"/>
        <v>4</v>
      </c>
      <c r="X16" s="17">
        <f t="shared" si="8"/>
        <v>0</v>
      </c>
      <c r="Y16" s="17">
        <f t="shared" si="8"/>
        <v>20</v>
      </c>
      <c r="Z16" s="17">
        <f t="shared" si="8"/>
        <v>4</v>
      </c>
      <c r="AA16" s="17">
        <f t="shared" si="8"/>
        <v>2</v>
      </c>
      <c r="AB16" s="17">
        <f t="shared" si="8"/>
        <v>0</v>
      </c>
      <c r="AC16" s="17">
        <f t="shared" si="8"/>
        <v>346</v>
      </c>
      <c r="AD16" s="17">
        <f t="shared" si="8"/>
        <v>0</v>
      </c>
      <c r="AE16" s="31">
        <f t="shared" si="8"/>
        <v>244</v>
      </c>
      <c r="AF16" s="31">
        <f t="shared" si="8"/>
        <v>590</v>
      </c>
    </row>
    <row r="17" spans="2:32" ht="23.1" customHeight="1" x14ac:dyDescent="0.25">
      <c r="B17" s="23" t="s">
        <v>44</v>
      </c>
      <c r="C17" s="50">
        <v>11</v>
      </c>
      <c r="D17" s="50">
        <v>5</v>
      </c>
      <c r="E17" s="50">
        <v>5</v>
      </c>
      <c r="F17" s="50">
        <v>8</v>
      </c>
      <c r="G17" s="50">
        <v>1</v>
      </c>
      <c r="H17" s="50">
        <v>0</v>
      </c>
      <c r="I17" s="50">
        <v>3</v>
      </c>
      <c r="J17" s="50">
        <v>0</v>
      </c>
      <c r="K17" s="50">
        <v>2</v>
      </c>
      <c r="L17" s="50">
        <v>2</v>
      </c>
      <c r="M17" s="50">
        <v>78</v>
      </c>
      <c r="N17" s="50">
        <v>0</v>
      </c>
      <c r="O17" s="15">
        <f t="shared" si="0"/>
        <v>37</v>
      </c>
      <c r="P17" s="15">
        <f t="shared" si="1"/>
        <v>115</v>
      </c>
      <c r="R17" s="1" t="s">
        <v>13</v>
      </c>
      <c r="S17" s="17">
        <f t="shared" ref="S17:AF17" si="9">SUM(C38:C41)</f>
        <v>98</v>
      </c>
      <c r="T17" s="17">
        <f t="shared" si="9"/>
        <v>51</v>
      </c>
      <c r="U17" s="17">
        <f t="shared" si="9"/>
        <v>25</v>
      </c>
      <c r="V17" s="17">
        <f t="shared" si="9"/>
        <v>35</v>
      </c>
      <c r="W17" s="17">
        <f t="shared" si="9"/>
        <v>5</v>
      </c>
      <c r="X17" s="17">
        <f t="shared" si="9"/>
        <v>0</v>
      </c>
      <c r="Y17" s="17">
        <f t="shared" si="9"/>
        <v>21</v>
      </c>
      <c r="Z17" s="17">
        <f t="shared" si="9"/>
        <v>5</v>
      </c>
      <c r="AA17" s="17">
        <f t="shared" si="9"/>
        <v>4</v>
      </c>
      <c r="AB17" s="17">
        <f t="shared" si="9"/>
        <v>1</v>
      </c>
      <c r="AC17" s="17">
        <f t="shared" si="9"/>
        <v>481</v>
      </c>
      <c r="AD17" s="17">
        <f t="shared" si="9"/>
        <v>0</v>
      </c>
      <c r="AE17" s="31">
        <f t="shared" si="9"/>
        <v>245</v>
      </c>
      <c r="AF17" s="31">
        <f t="shared" si="9"/>
        <v>726</v>
      </c>
    </row>
    <row r="18" spans="2:32" ht="23.1" customHeight="1" x14ac:dyDescent="0.25">
      <c r="B18" s="23" t="s">
        <v>45</v>
      </c>
      <c r="C18" s="50">
        <v>18</v>
      </c>
      <c r="D18" s="50">
        <v>11</v>
      </c>
      <c r="E18" s="50">
        <v>6</v>
      </c>
      <c r="F18" s="50">
        <v>11</v>
      </c>
      <c r="G18" s="50">
        <v>2</v>
      </c>
      <c r="H18" s="50">
        <v>0</v>
      </c>
      <c r="I18" s="50">
        <v>8</v>
      </c>
      <c r="J18" s="50">
        <v>1</v>
      </c>
      <c r="K18" s="50">
        <v>0</v>
      </c>
      <c r="L18" s="50">
        <v>1</v>
      </c>
      <c r="M18" s="50">
        <v>80</v>
      </c>
      <c r="N18" s="50">
        <v>0</v>
      </c>
      <c r="O18" s="15">
        <f t="shared" si="0"/>
        <v>58</v>
      </c>
      <c r="P18" s="15">
        <f t="shared" si="1"/>
        <v>138</v>
      </c>
      <c r="R18" s="1" t="s">
        <v>14</v>
      </c>
      <c r="S18" s="17">
        <f t="shared" ref="S18:AF18" si="10">SUM(C42:C45)</f>
        <v>84</v>
      </c>
      <c r="T18" s="17">
        <f t="shared" si="10"/>
        <v>59</v>
      </c>
      <c r="U18" s="17">
        <f t="shared" si="10"/>
        <v>20</v>
      </c>
      <c r="V18" s="17">
        <f t="shared" si="10"/>
        <v>30</v>
      </c>
      <c r="W18" s="17">
        <f t="shared" si="10"/>
        <v>2</v>
      </c>
      <c r="X18" s="17">
        <f t="shared" si="10"/>
        <v>0</v>
      </c>
      <c r="Y18" s="17">
        <f t="shared" si="10"/>
        <v>41</v>
      </c>
      <c r="Z18" s="17">
        <f t="shared" si="10"/>
        <v>9</v>
      </c>
      <c r="AA18" s="17">
        <f t="shared" si="10"/>
        <v>3</v>
      </c>
      <c r="AB18" s="17">
        <f t="shared" si="10"/>
        <v>0</v>
      </c>
      <c r="AC18" s="17">
        <f t="shared" si="10"/>
        <v>418</v>
      </c>
      <c r="AD18" s="17">
        <f t="shared" si="10"/>
        <v>0</v>
      </c>
      <c r="AE18" s="31">
        <f t="shared" si="10"/>
        <v>248</v>
      </c>
      <c r="AF18" s="31">
        <f t="shared" si="10"/>
        <v>666</v>
      </c>
    </row>
    <row r="19" spans="2:32" ht="23.1" customHeight="1" x14ac:dyDescent="0.25">
      <c r="B19" s="23" t="s">
        <v>46</v>
      </c>
      <c r="C19" s="50">
        <v>13</v>
      </c>
      <c r="D19" s="50">
        <v>7</v>
      </c>
      <c r="E19" s="50">
        <v>0</v>
      </c>
      <c r="F19" s="50">
        <v>6</v>
      </c>
      <c r="G19" s="50">
        <v>2</v>
      </c>
      <c r="H19" s="50">
        <v>0</v>
      </c>
      <c r="I19" s="50">
        <v>2</v>
      </c>
      <c r="J19" s="50">
        <v>0</v>
      </c>
      <c r="K19" s="50">
        <v>1</v>
      </c>
      <c r="L19" s="50">
        <v>0</v>
      </c>
      <c r="M19" s="50">
        <v>97</v>
      </c>
      <c r="N19" s="50">
        <v>0</v>
      </c>
      <c r="O19" s="15">
        <f t="shared" si="0"/>
        <v>31</v>
      </c>
      <c r="P19" s="15">
        <f t="shared" si="1"/>
        <v>128</v>
      </c>
      <c r="R19" s="1" t="s">
        <v>15</v>
      </c>
      <c r="S19" s="17">
        <f t="shared" ref="S19:AF19" si="11">SUM(C46:C49)</f>
        <v>88</v>
      </c>
      <c r="T19" s="17">
        <f t="shared" si="11"/>
        <v>32</v>
      </c>
      <c r="U19" s="17">
        <f t="shared" si="11"/>
        <v>12</v>
      </c>
      <c r="V19" s="17">
        <f t="shared" si="11"/>
        <v>31</v>
      </c>
      <c r="W19" s="17">
        <f t="shared" si="11"/>
        <v>2</v>
      </c>
      <c r="X19" s="17">
        <f t="shared" si="11"/>
        <v>0</v>
      </c>
      <c r="Y19" s="17">
        <f t="shared" si="11"/>
        <v>31</v>
      </c>
      <c r="Z19" s="17">
        <f t="shared" si="11"/>
        <v>4</v>
      </c>
      <c r="AA19" s="17">
        <f t="shared" si="11"/>
        <v>2</v>
      </c>
      <c r="AB19" s="17">
        <f t="shared" si="11"/>
        <v>0</v>
      </c>
      <c r="AC19" s="17">
        <f t="shared" si="11"/>
        <v>516</v>
      </c>
      <c r="AD19" s="17">
        <f t="shared" si="11"/>
        <v>0</v>
      </c>
      <c r="AE19" s="31">
        <f t="shared" si="11"/>
        <v>202</v>
      </c>
      <c r="AF19" s="31">
        <f t="shared" si="11"/>
        <v>718</v>
      </c>
    </row>
    <row r="20" spans="2:32" ht="23.1" customHeight="1" x14ac:dyDescent="0.25">
      <c r="B20" s="23" t="s">
        <v>47</v>
      </c>
      <c r="C20" s="50">
        <v>15</v>
      </c>
      <c r="D20" s="50">
        <v>3</v>
      </c>
      <c r="E20" s="50">
        <v>4</v>
      </c>
      <c r="F20" s="50">
        <v>7</v>
      </c>
      <c r="G20" s="50">
        <v>1</v>
      </c>
      <c r="H20" s="50">
        <v>0</v>
      </c>
      <c r="I20" s="50">
        <v>7</v>
      </c>
      <c r="J20" s="50">
        <v>2</v>
      </c>
      <c r="K20" s="50">
        <v>1</v>
      </c>
      <c r="L20" s="50">
        <v>1</v>
      </c>
      <c r="M20" s="50">
        <v>79</v>
      </c>
      <c r="N20" s="50">
        <v>0</v>
      </c>
      <c r="O20" s="15">
        <f t="shared" si="0"/>
        <v>41</v>
      </c>
      <c r="P20" s="15">
        <f t="shared" si="1"/>
        <v>120</v>
      </c>
      <c r="R20" s="1" t="s">
        <v>16</v>
      </c>
      <c r="S20" s="17">
        <f t="shared" ref="S20:AF20" si="12">SUM(C50:C53)</f>
        <v>62</v>
      </c>
      <c r="T20" s="17">
        <f t="shared" si="12"/>
        <v>26</v>
      </c>
      <c r="U20" s="17">
        <f t="shared" si="12"/>
        <v>10</v>
      </c>
      <c r="V20" s="17">
        <f t="shared" si="12"/>
        <v>35</v>
      </c>
      <c r="W20" s="17">
        <f t="shared" si="12"/>
        <v>1</v>
      </c>
      <c r="X20" s="17">
        <f t="shared" si="12"/>
        <v>0</v>
      </c>
      <c r="Y20" s="17">
        <f t="shared" si="12"/>
        <v>32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431</v>
      </c>
      <c r="AD20" s="17">
        <f t="shared" si="12"/>
        <v>0</v>
      </c>
      <c r="AE20" s="31">
        <f t="shared" si="12"/>
        <v>168</v>
      </c>
      <c r="AF20" s="31">
        <f t="shared" si="12"/>
        <v>599</v>
      </c>
    </row>
    <row r="21" spans="2:32" ht="23.1" customHeight="1" x14ac:dyDescent="0.25">
      <c r="B21" s="23" t="s">
        <v>48</v>
      </c>
      <c r="C21" s="50">
        <v>22</v>
      </c>
      <c r="D21" s="50">
        <v>13</v>
      </c>
      <c r="E21" s="50">
        <v>6</v>
      </c>
      <c r="F21" s="50">
        <v>13</v>
      </c>
      <c r="G21" s="50">
        <v>0</v>
      </c>
      <c r="H21" s="50">
        <v>0</v>
      </c>
      <c r="I21" s="50">
        <v>13</v>
      </c>
      <c r="J21" s="50">
        <v>2</v>
      </c>
      <c r="K21" s="50">
        <v>3</v>
      </c>
      <c r="L21" s="50">
        <v>0</v>
      </c>
      <c r="M21" s="50">
        <v>63</v>
      </c>
      <c r="N21" s="50">
        <v>0</v>
      </c>
      <c r="O21" s="15">
        <f t="shared" si="0"/>
        <v>72</v>
      </c>
      <c r="P21" s="15">
        <f t="shared" si="1"/>
        <v>135</v>
      </c>
      <c r="R21" s="36" t="s">
        <v>20</v>
      </c>
      <c r="S21" s="34">
        <f t="shared" ref="S21:AF21" si="13">SUM(C54:C57)</f>
        <v>63</v>
      </c>
      <c r="T21" s="17">
        <f t="shared" si="13"/>
        <v>27</v>
      </c>
      <c r="U21" s="17">
        <f t="shared" si="13"/>
        <v>16</v>
      </c>
      <c r="V21" s="17">
        <f t="shared" si="13"/>
        <v>42</v>
      </c>
      <c r="W21" s="17">
        <f t="shared" si="13"/>
        <v>2</v>
      </c>
      <c r="X21" s="17">
        <f t="shared" si="13"/>
        <v>0</v>
      </c>
      <c r="Y21" s="17">
        <f t="shared" si="13"/>
        <v>21</v>
      </c>
      <c r="Z21" s="17">
        <f t="shared" si="13"/>
        <v>6</v>
      </c>
      <c r="AA21" s="17">
        <f t="shared" si="13"/>
        <v>2</v>
      </c>
      <c r="AB21" s="17">
        <f t="shared" si="13"/>
        <v>0</v>
      </c>
      <c r="AC21" s="17">
        <f t="shared" si="13"/>
        <v>454</v>
      </c>
      <c r="AD21" s="17">
        <f t="shared" si="13"/>
        <v>0</v>
      </c>
      <c r="AE21" s="31">
        <f t="shared" si="13"/>
        <v>179</v>
      </c>
      <c r="AF21" s="31">
        <f t="shared" si="13"/>
        <v>633</v>
      </c>
    </row>
    <row r="22" spans="2:32" ht="23.1" customHeight="1" x14ac:dyDescent="0.25">
      <c r="B22" s="23" t="s">
        <v>49</v>
      </c>
      <c r="C22" s="50">
        <v>14</v>
      </c>
      <c r="D22" s="50">
        <v>10</v>
      </c>
      <c r="E22" s="50">
        <v>2</v>
      </c>
      <c r="F22" s="50">
        <v>8</v>
      </c>
      <c r="G22" s="50">
        <v>1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52</v>
      </c>
      <c r="N22" s="50">
        <v>0</v>
      </c>
      <c r="O22" s="15">
        <f t="shared" si="0"/>
        <v>37</v>
      </c>
      <c r="P22" s="15">
        <f t="shared" si="1"/>
        <v>89</v>
      </c>
      <c r="R22" s="38" t="s">
        <v>90</v>
      </c>
      <c r="S22" s="39">
        <f>MAX(S10:S12)</f>
        <v>68</v>
      </c>
      <c r="T22" s="39">
        <f t="shared" ref="T22:AF22" si="14">MAX(T10:T12)</f>
        <v>34</v>
      </c>
      <c r="U22" s="39">
        <f t="shared" si="14"/>
        <v>16</v>
      </c>
      <c r="V22" s="39">
        <f t="shared" si="14"/>
        <v>37</v>
      </c>
      <c r="W22" s="39">
        <f t="shared" si="14"/>
        <v>5</v>
      </c>
      <c r="X22" s="39">
        <f t="shared" si="14"/>
        <v>0</v>
      </c>
      <c r="Y22" s="39">
        <f t="shared" si="14"/>
        <v>30</v>
      </c>
      <c r="Z22" s="39">
        <f t="shared" si="14"/>
        <v>5</v>
      </c>
      <c r="AA22" s="39">
        <f t="shared" si="14"/>
        <v>5</v>
      </c>
      <c r="AB22" s="39">
        <f t="shared" si="14"/>
        <v>3</v>
      </c>
      <c r="AC22" s="39">
        <f t="shared" si="14"/>
        <v>319</v>
      </c>
      <c r="AD22" s="39">
        <f t="shared" si="14"/>
        <v>0</v>
      </c>
      <c r="AE22" s="40">
        <f t="shared" si="14"/>
        <v>202</v>
      </c>
      <c r="AF22" s="40">
        <f t="shared" si="14"/>
        <v>521</v>
      </c>
    </row>
    <row r="23" spans="2:32" ht="23.1" customHeight="1" x14ac:dyDescent="0.25">
      <c r="B23" s="23" t="s">
        <v>50</v>
      </c>
      <c r="C23" s="50">
        <v>11</v>
      </c>
      <c r="D23" s="50">
        <v>5</v>
      </c>
      <c r="E23" s="50">
        <v>6</v>
      </c>
      <c r="F23" s="50">
        <v>7</v>
      </c>
      <c r="G23" s="50">
        <v>1</v>
      </c>
      <c r="H23" s="50">
        <v>0</v>
      </c>
      <c r="I23" s="50">
        <v>5</v>
      </c>
      <c r="J23" s="50">
        <v>1</v>
      </c>
      <c r="K23" s="50">
        <v>1</v>
      </c>
      <c r="L23" s="50">
        <v>0</v>
      </c>
      <c r="M23" s="50">
        <v>46</v>
      </c>
      <c r="N23" s="50">
        <v>0</v>
      </c>
      <c r="O23" s="15">
        <f t="shared" si="0"/>
        <v>37</v>
      </c>
      <c r="P23" s="15">
        <f t="shared" si="1"/>
        <v>83</v>
      </c>
      <c r="R23" s="38" t="s">
        <v>91</v>
      </c>
      <c r="S23" s="39">
        <f>MAX(S13:S18)</f>
        <v>109</v>
      </c>
      <c r="T23" s="39">
        <f t="shared" ref="T23:AF23" si="15">MAX(T13:T18)</f>
        <v>79</v>
      </c>
      <c r="U23" s="39">
        <f t="shared" si="15"/>
        <v>25</v>
      </c>
      <c r="V23" s="39">
        <f t="shared" si="15"/>
        <v>39</v>
      </c>
      <c r="W23" s="39">
        <f t="shared" si="15"/>
        <v>5</v>
      </c>
      <c r="X23" s="39">
        <f t="shared" si="15"/>
        <v>0</v>
      </c>
      <c r="Y23" s="39">
        <f t="shared" si="15"/>
        <v>41</v>
      </c>
      <c r="Z23" s="39">
        <f t="shared" si="15"/>
        <v>9</v>
      </c>
      <c r="AA23" s="39">
        <f t="shared" si="15"/>
        <v>4</v>
      </c>
      <c r="AB23" s="39">
        <f t="shared" si="15"/>
        <v>2</v>
      </c>
      <c r="AC23" s="39">
        <f t="shared" si="15"/>
        <v>481</v>
      </c>
      <c r="AD23" s="39">
        <f t="shared" si="15"/>
        <v>0</v>
      </c>
      <c r="AE23" s="40">
        <f t="shared" si="15"/>
        <v>286</v>
      </c>
      <c r="AF23" s="40">
        <f t="shared" si="15"/>
        <v>726</v>
      </c>
    </row>
    <row r="24" spans="2:32" ht="23.1" customHeight="1" x14ac:dyDescent="0.25">
      <c r="B24" s="23" t="s">
        <v>51</v>
      </c>
      <c r="C24" s="50">
        <v>27</v>
      </c>
      <c r="D24" s="50">
        <v>13</v>
      </c>
      <c r="E24" s="50">
        <v>6</v>
      </c>
      <c r="F24" s="50">
        <v>9</v>
      </c>
      <c r="G24" s="50">
        <v>1</v>
      </c>
      <c r="H24" s="50">
        <v>0</v>
      </c>
      <c r="I24" s="50">
        <v>4</v>
      </c>
      <c r="J24" s="50">
        <v>3</v>
      </c>
      <c r="K24" s="50">
        <v>0</v>
      </c>
      <c r="L24" s="50">
        <v>2</v>
      </c>
      <c r="M24" s="50">
        <v>112</v>
      </c>
      <c r="N24" s="50">
        <v>0</v>
      </c>
      <c r="O24" s="15">
        <f t="shared" si="0"/>
        <v>65</v>
      </c>
      <c r="P24" s="15">
        <f t="shared" si="1"/>
        <v>177</v>
      </c>
      <c r="R24" s="38" t="s">
        <v>92</v>
      </c>
      <c r="S24" s="39">
        <f>MAX(S19:S21)</f>
        <v>88</v>
      </c>
      <c r="T24" s="39">
        <f t="shared" ref="T24:AF24" si="16">MAX(T19:T21)</f>
        <v>32</v>
      </c>
      <c r="U24" s="39">
        <f t="shared" si="16"/>
        <v>16</v>
      </c>
      <c r="V24" s="39">
        <f t="shared" si="16"/>
        <v>42</v>
      </c>
      <c r="W24" s="39">
        <f t="shared" si="16"/>
        <v>2</v>
      </c>
      <c r="X24" s="39">
        <f t="shared" si="16"/>
        <v>0</v>
      </c>
      <c r="Y24" s="39">
        <f t="shared" si="16"/>
        <v>32</v>
      </c>
      <c r="Z24" s="39">
        <f t="shared" si="16"/>
        <v>6</v>
      </c>
      <c r="AA24" s="39">
        <f t="shared" si="16"/>
        <v>2</v>
      </c>
      <c r="AB24" s="39">
        <f t="shared" si="16"/>
        <v>0</v>
      </c>
      <c r="AC24" s="39">
        <f t="shared" si="16"/>
        <v>516</v>
      </c>
      <c r="AD24" s="39">
        <f t="shared" si="16"/>
        <v>0</v>
      </c>
      <c r="AE24" s="40">
        <f t="shared" si="16"/>
        <v>202</v>
      </c>
      <c r="AF24" s="40">
        <f t="shared" si="16"/>
        <v>718</v>
      </c>
    </row>
    <row r="25" spans="2:32" ht="23.1" customHeight="1" x14ac:dyDescent="0.25">
      <c r="B25" s="23" t="s">
        <v>52</v>
      </c>
      <c r="C25" s="50">
        <v>15</v>
      </c>
      <c r="D25" s="50">
        <v>11</v>
      </c>
      <c r="E25" s="50">
        <v>3</v>
      </c>
      <c r="F25" s="50">
        <v>7</v>
      </c>
      <c r="G25" s="50">
        <v>1</v>
      </c>
      <c r="H25" s="50">
        <v>0</v>
      </c>
      <c r="I25" s="50">
        <v>6</v>
      </c>
      <c r="J25" s="50">
        <v>1</v>
      </c>
      <c r="K25" s="50">
        <v>2</v>
      </c>
      <c r="L25" s="50">
        <v>0</v>
      </c>
      <c r="M25" s="50">
        <v>72</v>
      </c>
      <c r="N25" s="50">
        <v>0</v>
      </c>
      <c r="O25" s="15">
        <f t="shared" si="0"/>
        <v>46</v>
      </c>
      <c r="P25" s="15">
        <f t="shared" si="1"/>
        <v>118</v>
      </c>
      <c r="R25" s="37" t="s">
        <v>85</v>
      </c>
      <c r="S25" s="35">
        <f t="shared" ref="S25:AF25" si="17">SUM(S10:S12)</f>
        <v>138</v>
      </c>
      <c r="T25" s="16">
        <f t="shared" si="17"/>
        <v>67</v>
      </c>
      <c r="U25" s="16">
        <f t="shared" si="17"/>
        <v>38</v>
      </c>
      <c r="V25" s="16">
        <f t="shared" si="17"/>
        <v>76</v>
      </c>
      <c r="W25" s="16">
        <f t="shared" si="17"/>
        <v>10</v>
      </c>
      <c r="X25" s="16">
        <f t="shared" si="17"/>
        <v>0</v>
      </c>
      <c r="Y25" s="16">
        <f t="shared" si="17"/>
        <v>61</v>
      </c>
      <c r="Z25" s="16">
        <f t="shared" si="17"/>
        <v>8</v>
      </c>
      <c r="AA25" s="16">
        <f t="shared" si="17"/>
        <v>10</v>
      </c>
      <c r="AB25" s="16">
        <f t="shared" si="17"/>
        <v>5</v>
      </c>
      <c r="AC25" s="16">
        <f t="shared" si="17"/>
        <v>783</v>
      </c>
      <c r="AD25" s="16">
        <f t="shared" si="17"/>
        <v>0</v>
      </c>
      <c r="AE25" s="32">
        <f t="shared" si="17"/>
        <v>413</v>
      </c>
      <c r="AF25" s="32">
        <f t="shared" si="17"/>
        <v>1196</v>
      </c>
    </row>
    <row r="26" spans="2:32" ht="23.1" customHeight="1" x14ac:dyDescent="0.25">
      <c r="B26" s="23" t="s">
        <v>53</v>
      </c>
      <c r="C26" s="50">
        <v>13</v>
      </c>
      <c r="D26" s="50">
        <v>15</v>
      </c>
      <c r="E26" s="50">
        <v>2</v>
      </c>
      <c r="F26" s="50">
        <v>6</v>
      </c>
      <c r="G26" s="50">
        <v>0</v>
      </c>
      <c r="H26" s="50">
        <v>0</v>
      </c>
      <c r="I26" s="50">
        <v>9</v>
      </c>
      <c r="J26" s="50">
        <v>1</v>
      </c>
      <c r="K26" s="50">
        <v>0</v>
      </c>
      <c r="L26" s="50">
        <v>0</v>
      </c>
      <c r="M26" s="50">
        <v>86</v>
      </c>
      <c r="N26" s="50">
        <v>0</v>
      </c>
      <c r="O26" s="15">
        <f t="shared" si="0"/>
        <v>46</v>
      </c>
      <c r="P26" s="15">
        <f t="shared" si="1"/>
        <v>132</v>
      </c>
      <c r="R26" s="28" t="s">
        <v>86</v>
      </c>
      <c r="S26" s="16">
        <f t="shared" ref="S26:AF26" si="18">SUM(S13:S18)</f>
        <v>544</v>
      </c>
      <c r="T26" s="16">
        <f t="shared" si="18"/>
        <v>357</v>
      </c>
      <c r="U26" s="16">
        <f t="shared" si="18"/>
        <v>108</v>
      </c>
      <c r="V26" s="16">
        <f t="shared" si="18"/>
        <v>205</v>
      </c>
      <c r="W26" s="16">
        <f t="shared" si="18"/>
        <v>18</v>
      </c>
      <c r="X26" s="16">
        <f t="shared" si="18"/>
        <v>0</v>
      </c>
      <c r="Y26" s="16">
        <f t="shared" si="18"/>
        <v>168</v>
      </c>
      <c r="Z26" s="16">
        <f t="shared" si="18"/>
        <v>32</v>
      </c>
      <c r="AA26" s="16">
        <f t="shared" si="18"/>
        <v>17</v>
      </c>
      <c r="AB26" s="16">
        <f t="shared" si="18"/>
        <v>5</v>
      </c>
      <c r="AC26" s="16">
        <f t="shared" si="18"/>
        <v>2287</v>
      </c>
      <c r="AD26" s="16">
        <f t="shared" si="18"/>
        <v>0</v>
      </c>
      <c r="AE26" s="32">
        <f t="shared" si="18"/>
        <v>1454</v>
      </c>
      <c r="AF26" s="32">
        <f t="shared" si="18"/>
        <v>3741</v>
      </c>
    </row>
    <row r="27" spans="2:32" ht="23.1" customHeight="1" x14ac:dyDescent="0.25">
      <c r="B27" s="23" t="s">
        <v>54</v>
      </c>
      <c r="C27" s="50">
        <v>30</v>
      </c>
      <c r="D27" s="50">
        <v>4</v>
      </c>
      <c r="E27" s="50">
        <v>7</v>
      </c>
      <c r="F27" s="50">
        <v>12</v>
      </c>
      <c r="G27" s="50">
        <v>0</v>
      </c>
      <c r="H27" s="50">
        <v>0</v>
      </c>
      <c r="I27" s="50">
        <v>11</v>
      </c>
      <c r="J27" s="50">
        <v>0</v>
      </c>
      <c r="K27" s="50">
        <v>0</v>
      </c>
      <c r="L27" s="50">
        <v>0</v>
      </c>
      <c r="M27" s="50">
        <v>47</v>
      </c>
      <c r="N27" s="50">
        <v>0</v>
      </c>
      <c r="O27" s="15">
        <f t="shared" si="0"/>
        <v>64</v>
      </c>
      <c r="P27" s="15">
        <f t="shared" si="1"/>
        <v>111</v>
      </c>
      <c r="R27" s="29" t="s">
        <v>87</v>
      </c>
      <c r="S27" s="16">
        <f t="shared" ref="S27:AF27" si="19">SUM(S19:S21)</f>
        <v>213</v>
      </c>
      <c r="T27" s="16">
        <f t="shared" si="19"/>
        <v>85</v>
      </c>
      <c r="U27" s="16">
        <f t="shared" si="19"/>
        <v>38</v>
      </c>
      <c r="V27" s="16">
        <f t="shared" si="19"/>
        <v>108</v>
      </c>
      <c r="W27" s="16">
        <f t="shared" si="19"/>
        <v>5</v>
      </c>
      <c r="X27" s="16">
        <f t="shared" si="19"/>
        <v>0</v>
      </c>
      <c r="Y27" s="16">
        <f t="shared" si="19"/>
        <v>84</v>
      </c>
      <c r="Z27" s="16">
        <f t="shared" si="19"/>
        <v>12</v>
      </c>
      <c r="AA27" s="16">
        <f t="shared" si="19"/>
        <v>4</v>
      </c>
      <c r="AB27" s="16">
        <f t="shared" si="19"/>
        <v>0</v>
      </c>
      <c r="AC27" s="16">
        <f t="shared" si="19"/>
        <v>1401</v>
      </c>
      <c r="AD27" s="16">
        <f t="shared" si="19"/>
        <v>0</v>
      </c>
      <c r="AE27" s="32">
        <f t="shared" si="19"/>
        <v>549</v>
      </c>
      <c r="AF27" s="32">
        <f t="shared" si="19"/>
        <v>1950</v>
      </c>
    </row>
    <row r="28" spans="2:32" ht="23.1" customHeight="1" x14ac:dyDescent="0.25">
      <c r="B28" s="23" t="s">
        <v>55</v>
      </c>
      <c r="C28" s="50">
        <v>25</v>
      </c>
      <c r="D28" s="50">
        <v>15</v>
      </c>
      <c r="E28" s="50">
        <v>1</v>
      </c>
      <c r="F28" s="50">
        <v>8</v>
      </c>
      <c r="G28" s="50">
        <v>0</v>
      </c>
      <c r="H28" s="50">
        <v>0</v>
      </c>
      <c r="I28" s="50">
        <v>7</v>
      </c>
      <c r="J28" s="50">
        <v>0</v>
      </c>
      <c r="K28" s="50">
        <v>0</v>
      </c>
      <c r="L28" s="50">
        <v>1</v>
      </c>
      <c r="M28" s="50">
        <v>172</v>
      </c>
      <c r="N28" s="50">
        <v>0</v>
      </c>
      <c r="O28" s="15">
        <f t="shared" si="0"/>
        <v>57</v>
      </c>
      <c r="P28" s="15">
        <f t="shared" si="1"/>
        <v>229</v>
      </c>
      <c r="R28" s="5" t="s">
        <v>17</v>
      </c>
      <c r="S28" s="16">
        <f t="shared" ref="S28:AF28" si="20">SUM(S10:S21)</f>
        <v>895</v>
      </c>
      <c r="T28" s="16">
        <f t="shared" si="20"/>
        <v>509</v>
      </c>
      <c r="U28" s="16">
        <f t="shared" si="20"/>
        <v>184</v>
      </c>
      <c r="V28" s="16">
        <f t="shared" si="20"/>
        <v>389</v>
      </c>
      <c r="W28" s="16">
        <f t="shared" si="20"/>
        <v>33</v>
      </c>
      <c r="X28" s="16">
        <f t="shared" si="20"/>
        <v>0</v>
      </c>
      <c r="Y28" s="16">
        <f t="shared" si="20"/>
        <v>313</v>
      </c>
      <c r="Z28" s="16">
        <f t="shared" si="20"/>
        <v>52</v>
      </c>
      <c r="AA28" s="16">
        <f t="shared" si="20"/>
        <v>31</v>
      </c>
      <c r="AB28" s="16">
        <f t="shared" si="20"/>
        <v>10</v>
      </c>
      <c r="AC28" s="16">
        <f t="shared" si="20"/>
        <v>4471</v>
      </c>
      <c r="AD28" s="16">
        <f t="shared" si="20"/>
        <v>0</v>
      </c>
      <c r="AE28" s="32">
        <f t="shared" si="20"/>
        <v>2416</v>
      </c>
      <c r="AF28" s="32">
        <f t="shared" si="20"/>
        <v>6887</v>
      </c>
    </row>
    <row r="29" spans="2:32" ht="23.1" customHeight="1" x14ac:dyDescent="0.25">
      <c r="B29" s="23" t="s">
        <v>56</v>
      </c>
      <c r="C29" s="50">
        <v>26</v>
      </c>
      <c r="D29" s="50">
        <v>23</v>
      </c>
      <c r="E29" s="50">
        <v>4</v>
      </c>
      <c r="F29" s="50">
        <v>13</v>
      </c>
      <c r="G29" s="50">
        <v>1</v>
      </c>
      <c r="H29" s="50">
        <v>0</v>
      </c>
      <c r="I29" s="50">
        <v>10</v>
      </c>
      <c r="J29" s="50">
        <v>0</v>
      </c>
      <c r="K29" s="50">
        <v>2</v>
      </c>
      <c r="L29" s="50">
        <v>0</v>
      </c>
      <c r="M29" s="50">
        <v>95</v>
      </c>
      <c r="N29" s="50">
        <v>0</v>
      </c>
      <c r="O29" s="15">
        <f t="shared" si="0"/>
        <v>79</v>
      </c>
      <c r="P29" s="15">
        <f t="shared" si="1"/>
        <v>174</v>
      </c>
      <c r="R29"/>
      <c r="S29" s="20"/>
      <c r="T29" s="19"/>
    </row>
    <row r="30" spans="2:32" ht="23.1" customHeight="1" x14ac:dyDescent="0.25">
      <c r="B30" s="23" t="s">
        <v>57</v>
      </c>
      <c r="C30" s="50">
        <v>36</v>
      </c>
      <c r="D30" s="50">
        <v>32</v>
      </c>
      <c r="E30" s="50">
        <v>5</v>
      </c>
      <c r="F30" s="50">
        <v>6</v>
      </c>
      <c r="G30" s="50">
        <v>0</v>
      </c>
      <c r="H30" s="50">
        <v>0</v>
      </c>
      <c r="I30" s="50">
        <v>10</v>
      </c>
      <c r="J30" s="50">
        <v>4</v>
      </c>
      <c r="K30" s="50">
        <v>0</v>
      </c>
      <c r="L30" s="50">
        <v>1</v>
      </c>
      <c r="M30" s="50">
        <v>69</v>
      </c>
      <c r="N30" s="50">
        <v>0</v>
      </c>
      <c r="O30" s="15">
        <f t="shared" si="0"/>
        <v>94</v>
      </c>
      <c r="P30" s="15">
        <f t="shared" si="1"/>
        <v>163</v>
      </c>
    </row>
    <row r="31" spans="2:32" ht="23.1" customHeight="1" x14ac:dyDescent="0.25">
      <c r="B31" s="24" t="s">
        <v>58</v>
      </c>
      <c r="C31" s="50">
        <v>30</v>
      </c>
      <c r="D31" s="50">
        <v>13</v>
      </c>
      <c r="E31" s="50">
        <v>4</v>
      </c>
      <c r="F31" s="50">
        <v>10</v>
      </c>
      <c r="G31" s="50">
        <v>1</v>
      </c>
      <c r="H31" s="50">
        <v>0</v>
      </c>
      <c r="I31" s="50">
        <v>8</v>
      </c>
      <c r="J31" s="50">
        <v>0</v>
      </c>
      <c r="K31" s="50">
        <v>0</v>
      </c>
      <c r="L31" s="50">
        <v>0</v>
      </c>
      <c r="M31" s="50">
        <v>103</v>
      </c>
      <c r="N31" s="50">
        <v>0</v>
      </c>
      <c r="O31" s="15">
        <f t="shared" si="0"/>
        <v>66</v>
      </c>
      <c r="P31" s="15">
        <f t="shared" si="1"/>
        <v>169</v>
      </c>
    </row>
    <row r="32" spans="2:32" ht="23.1" customHeight="1" x14ac:dyDescent="0.25">
      <c r="B32" s="24" t="s">
        <v>59</v>
      </c>
      <c r="C32" s="50">
        <v>24</v>
      </c>
      <c r="D32" s="50">
        <v>18</v>
      </c>
      <c r="E32" s="50">
        <v>6</v>
      </c>
      <c r="F32" s="50">
        <v>6</v>
      </c>
      <c r="G32" s="50">
        <v>1</v>
      </c>
      <c r="H32" s="50">
        <v>0</v>
      </c>
      <c r="I32" s="50">
        <v>8</v>
      </c>
      <c r="J32" s="50">
        <v>2</v>
      </c>
      <c r="K32" s="50">
        <v>2</v>
      </c>
      <c r="L32" s="50">
        <v>0</v>
      </c>
      <c r="M32" s="50">
        <v>108</v>
      </c>
      <c r="N32" s="50">
        <v>0</v>
      </c>
      <c r="O32" s="15">
        <f t="shared" si="0"/>
        <v>67</v>
      </c>
      <c r="P32" s="15">
        <f t="shared" si="1"/>
        <v>175</v>
      </c>
    </row>
    <row r="33" spans="2:20" ht="23.1" customHeight="1" x14ac:dyDescent="0.25">
      <c r="B33" s="23" t="s">
        <v>60</v>
      </c>
      <c r="C33" s="50">
        <v>19</v>
      </c>
      <c r="D33" s="50">
        <v>16</v>
      </c>
      <c r="E33" s="50">
        <v>3</v>
      </c>
      <c r="F33" s="50">
        <v>12</v>
      </c>
      <c r="G33" s="50">
        <v>0</v>
      </c>
      <c r="H33" s="50">
        <v>0</v>
      </c>
      <c r="I33" s="50">
        <v>7</v>
      </c>
      <c r="J33" s="50">
        <v>1</v>
      </c>
      <c r="K33" s="50">
        <v>1</v>
      </c>
      <c r="L33" s="50">
        <v>0</v>
      </c>
      <c r="M33" s="50">
        <v>80</v>
      </c>
      <c r="N33" s="50">
        <v>0</v>
      </c>
      <c r="O33" s="15">
        <f t="shared" si="0"/>
        <v>59</v>
      </c>
      <c r="P33" s="15">
        <f t="shared" si="1"/>
        <v>139</v>
      </c>
    </row>
    <row r="34" spans="2:20" ht="23.1" customHeight="1" x14ac:dyDescent="0.25">
      <c r="B34" s="24" t="s">
        <v>61</v>
      </c>
      <c r="C34" s="50">
        <v>33</v>
      </c>
      <c r="D34" s="50">
        <v>26</v>
      </c>
      <c r="E34" s="50">
        <v>5</v>
      </c>
      <c r="F34" s="50">
        <v>10</v>
      </c>
      <c r="G34" s="50">
        <v>2</v>
      </c>
      <c r="H34" s="50">
        <v>0</v>
      </c>
      <c r="I34" s="50">
        <v>8</v>
      </c>
      <c r="J34" s="50">
        <v>1</v>
      </c>
      <c r="K34" s="50">
        <v>1</v>
      </c>
      <c r="L34" s="50">
        <v>0</v>
      </c>
      <c r="M34" s="50">
        <v>77</v>
      </c>
      <c r="N34" s="50">
        <v>0</v>
      </c>
      <c r="O34" s="15">
        <f t="shared" si="0"/>
        <v>86</v>
      </c>
      <c r="P34" s="15">
        <f t="shared" si="1"/>
        <v>163</v>
      </c>
    </row>
    <row r="35" spans="2:20" ht="23.1" customHeight="1" x14ac:dyDescent="0.25">
      <c r="B35" s="24" t="s">
        <v>62</v>
      </c>
      <c r="C35" s="50">
        <v>28</v>
      </c>
      <c r="D35" s="50">
        <v>15</v>
      </c>
      <c r="E35" s="50">
        <v>3</v>
      </c>
      <c r="F35" s="50">
        <v>9</v>
      </c>
      <c r="G35" s="50">
        <v>1</v>
      </c>
      <c r="H35" s="50">
        <v>0</v>
      </c>
      <c r="I35" s="50">
        <v>2</v>
      </c>
      <c r="J35" s="50">
        <v>1</v>
      </c>
      <c r="K35" s="50">
        <v>1</v>
      </c>
      <c r="L35" s="50">
        <v>0</v>
      </c>
      <c r="M35" s="50">
        <v>56</v>
      </c>
      <c r="N35" s="50">
        <v>0</v>
      </c>
      <c r="O35" s="15">
        <f t="shared" si="0"/>
        <v>60</v>
      </c>
      <c r="P35" s="15">
        <f t="shared" si="1"/>
        <v>116</v>
      </c>
    </row>
    <row r="36" spans="2:20" ht="23.1" customHeight="1" x14ac:dyDescent="0.25">
      <c r="B36" s="24" t="s">
        <v>63</v>
      </c>
      <c r="C36" s="50">
        <v>20</v>
      </c>
      <c r="D36" s="50">
        <v>18</v>
      </c>
      <c r="E36" s="50">
        <v>3</v>
      </c>
      <c r="F36" s="50">
        <v>7</v>
      </c>
      <c r="G36" s="50">
        <v>1</v>
      </c>
      <c r="H36" s="50">
        <v>0</v>
      </c>
      <c r="I36" s="50">
        <v>3</v>
      </c>
      <c r="J36" s="50">
        <v>2</v>
      </c>
      <c r="K36" s="50">
        <v>0</v>
      </c>
      <c r="L36" s="50">
        <v>0</v>
      </c>
      <c r="M36" s="50">
        <v>95</v>
      </c>
      <c r="N36" s="50">
        <v>0</v>
      </c>
      <c r="O36" s="15">
        <f t="shared" si="0"/>
        <v>54</v>
      </c>
      <c r="P36" s="15">
        <f t="shared" si="1"/>
        <v>149</v>
      </c>
    </row>
    <row r="37" spans="2:20" ht="23.1" customHeight="1" x14ac:dyDescent="0.25">
      <c r="B37" s="23" t="s">
        <v>64</v>
      </c>
      <c r="C37" s="50">
        <v>11</v>
      </c>
      <c r="D37" s="50">
        <v>13</v>
      </c>
      <c r="E37" s="50">
        <v>3</v>
      </c>
      <c r="F37" s="50">
        <v>10</v>
      </c>
      <c r="G37" s="50">
        <v>0</v>
      </c>
      <c r="H37" s="50">
        <v>0</v>
      </c>
      <c r="I37" s="50">
        <v>7</v>
      </c>
      <c r="J37" s="50">
        <v>0</v>
      </c>
      <c r="K37" s="50">
        <v>0</v>
      </c>
      <c r="L37" s="50">
        <v>0</v>
      </c>
      <c r="M37" s="50">
        <v>118</v>
      </c>
      <c r="N37" s="50">
        <v>0</v>
      </c>
      <c r="O37" s="15">
        <f t="shared" si="0"/>
        <v>44</v>
      </c>
      <c r="P37" s="15">
        <f t="shared" si="1"/>
        <v>162</v>
      </c>
    </row>
    <row r="38" spans="2:20" ht="23.1" customHeight="1" x14ac:dyDescent="0.25">
      <c r="B38" s="24" t="s">
        <v>65</v>
      </c>
      <c r="C38" s="50">
        <v>35</v>
      </c>
      <c r="D38" s="50">
        <v>16</v>
      </c>
      <c r="E38" s="50">
        <v>7</v>
      </c>
      <c r="F38" s="50">
        <v>13</v>
      </c>
      <c r="G38" s="50">
        <v>2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122</v>
      </c>
      <c r="N38" s="50">
        <v>0</v>
      </c>
      <c r="O38" s="15">
        <f t="shared" si="0"/>
        <v>78</v>
      </c>
      <c r="P38" s="15">
        <f t="shared" si="1"/>
        <v>200</v>
      </c>
    </row>
    <row r="39" spans="2:20" ht="23.1" customHeight="1" x14ac:dyDescent="0.25">
      <c r="B39" s="24" t="s">
        <v>66</v>
      </c>
      <c r="C39" s="50">
        <v>28</v>
      </c>
      <c r="D39" s="50">
        <v>15</v>
      </c>
      <c r="E39" s="50">
        <v>3</v>
      </c>
      <c r="F39" s="50">
        <v>6</v>
      </c>
      <c r="G39" s="50">
        <v>2</v>
      </c>
      <c r="H39" s="50">
        <v>0</v>
      </c>
      <c r="I39" s="50">
        <v>7</v>
      </c>
      <c r="J39" s="50">
        <v>3</v>
      </c>
      <c r="K39" s="50">
        <v>1</v>
      </c>
      <c r="L39" s="50">
        <v>0</v>
      </c>
      <c r="M39" s="50">
        <v>138</v>
      </c>
      <c r="N39" s="50">
        <v>0</v>
      </c>
      <c r="O39" s="15">
        <f t="shared" si="0"/>
        <v>65</v>
      </c>
      <c r="P39" s="15">
        <f t="shared" si="1"/>
        <v>203</v>
      </c>
    </row>
    <row r="40" spans="2:20" ht="23.1" customHeight="1" x14ac:dyDescent="0.25">
      <c r="B40" s="24" t="s">
        <v>67</v>
      </c>
      <c r="C40" s="50">
        <v>17</v>
      </c>
      <c r="D40" s="50">
        <v>8</v>
      </c>
      <c r="E40" s="50">
        <v>11</v>
      </c>
      <c r="F40" s="50">
        <v>10</v>
      </c>
      <c r="G40" s="50">
        <v>1</v>
      </c>
      <c r="H40" s="50">
        <v>0</v>
      </c>
      <c r="I40" s="50">
        <v>6</v>
      </c>
      <c r="J40" s="50">
        <v>1</v>
      </c>
      <c r="K40" s="50">
        <v>2</v>
      </c>
      <c r="L40" s="50">
        <v>1</v>
      </c>
      <c r="M40" s="50">
        <v>96</v>
      </c>
      <c r="N40" s="50">
        <v>0</v>
      </c>
      <c r="O40" s="15">
        <f t="shared" si="0"/>
        <v>57</v>
      </c>
      <c r="P40" s="15">
        <f t="shared" si="1"/>
        <v>153</v>
      </c>
    </row>
    <row r="41" spans="2:20" ht="23.1" customHeight="1" x14ac:dyDescent="0.25">
      <c r="B41" s="23" t="s">
        <v>68</v>
      </c>
      <c r="C41" s="50">
        <v>18</v>
      </c>
      <c r="D41" s="50">
        <v>12</v>
      </c>
      <c r="E41" s="50">
        <v>4</v>
      </c>
      <c r="F41" s="50">
        <v>6</v>
      </c>
      <c r="G41" s="50">
        <v>0</v>
      </c>
      <c r="H41" s="50">
        <v>0</v>
      </c>
      <c r="I41" s="50">
        <v>3</v>
      </c>
      <c r="J41" s="50">
        <v>1</v>
      </c>
      <c r="K41" s="50">
        <v>1</v>
      </c>
      <c r="L41" s="50">
        <v>0</v>
      </c>
      <c r="M41" s="50">
        <v>125</v>
      </c>
      <c r="N41" s="50">
        <v>0</v>
      </c>
      <c r="O41" s="15">
        <f t="shared" si="0"/>
        <v>45</v>
      </c>
      <c r="P41" s="15">
        <f t="shared" si="1"/>
        <v>170</v>
      </c>
    </row>
    <row r="42" spans="2:20" ht="23.1" customHeight="1" x14ac:dyDescent="0.25">
      <c r="B42" s="24" t="s">
        <v>69</v>
      </c>
      <c r="C42" s="50">
        <v>17</v>
      </c>
      <c r="D42" s="50">
        <v>22</v>
      </c>
      <c r="E42" s="50">
        <v>3</v>
      </c>
      <c r="F42" s="50">
        <v>6</v>
      </c>
      <c r="G42" s="50">
        <v>1</v>
      </c>
      <c r="H42" s="50">
        <v>0</v>
      </c>
      <c r="I42" s="50">
        <v>7</v>
      </c>
      <c r="J42" s="50">
        <v>3</v>
      </c>
      <c r="K42" s="50">
        <v>2</v>
      </c>
      <c r="L42" s="50">
        <v>0</v>
      </c>
      <c r="M42" s="50">
        <v>109</v>
      </c>
      <c r="N42" s="50">
        <v>0</v>
      </c>
      <c r="O42" s="15">
        <f t="shared" si="0"/>
        <v>61</v>
      </c>
      <c r="P42" s="15">
        <f t="shared" si="1"/>
        <v>170</v>
      </c>
    </row>
    <row r="43" spans="2:20" ht="23.1" customHeight="1" x14ac:dyDescent="0.25">
      <c r="B43" s="23" t="s">
        <v>70</v>
      </c>
      <c r="C43" s="50">
        <v>23</v>
      </c>
      <c r="D43" s="50">
        <v>7</v>
      </c>
      <c r="E43" s="50">
        <v>7</v>
      </c>
      <c r="F43" s="50">
        <v>10</v>
      </c>
      <c r="G43" s="50">
        <v>1</v>
      </c>
      <c r="H43" s="50">
        <v>0</v>
      </c>
      <c r="I43" s="50">
        <v>7</v>
      </c>
      <c r="J43" s="50">
        <v>3</v>
      </c>
      <c r="K43" s="50">
        <v>0</v>
      </c>
      <c r="L43" s="50">
        <v>0</v>
      </c>
      <c r="M43" s="50">
        <v>89</v>
      </c>
      <c r="N43" s="50">
        <v>0</v>
      </c>
      <c r="O43" s="15">
        <f t="shared" si="0"/>
        <v>58</v>
      </c>
      <c r="P43" s="15">
        <f t="shared" si="1"/>
        <v>147</v>
      </c>
    </row>
    <row r="44" spans="2:20" ht="23.1" customHeight="1" x14ac:dyDescent="0.25">
      <c r="B44" s="25" t="s">
        <v>71</v>
      </c>
      <c r="C44" s="50">
        <v>19</v>
      </c>
      <c r="D44" s="50">
        <v>16</v>
      </c>
      <c r="E44" s="50">
        <v>6</v>
      </c>
      <c r="F44" s="50">
        <v>8</v>
      </c>
      <c r="G44" s="50">
        <v>0</v>
      </c>
      <c r="H44" s="50">
        <v>0</v>
      </c>
      <c r="I44" s="50">
        <v>13</v>
      </c>
      <c r="J44" s="50">
        <v>2</v>
      </c>
      <c r="K44" s="50">
        <v>0</v>
      </c>
      <c r="L44" s="50">
        <v>0</v>
      </c>
      <c r="M44" s="50">
        <v>95</v>
      </c>
      <c r="N44" s="50">
        <v>0</v>
      </c>
      <c r="O44" s="15">
        <f t="shared" si="0"/>
        <v>64</v>
      </c>
      <c r="P44" s="15">
        <f t="shared" si="1"/>
        <v>159</v>
      </c>
    </row>
    <row r="45" spans="2:20" ht="23.1" customHeight="1" x14ac:dyDescent="0.25">
      <c r="B45" s="23" t="s">
        <v>72</v>
      </c>
      <c r="C45" s="50">
        <v>25</v>
      </c>
      <c r="D45" s="50">
        <v>14</v>
      </c>
      <c r="E45" s="50">
        <v>4</v>
      </c>
      <c r="F45" s="50">
        <v>6</v>
      </c>
      <c r="G45" s="50">
        <v>0</v>
      </c>
      <c r="H45" s="50">
        <v>0</v>
      </c>
      <c r="I45" s="50">
        <v>14</v>
      </c>
      <c r="J45" s="50">
        <v>1</v>
      </c>
      <c r="K45" s="50">
        <v>1</v>
      </c>
      <c r="L45" s="50">
        <v>0</v>
      </c>
      <c r="M45" s="50">
        <v>125</v>
      </c>
      <c r="N45" s="50">
        <v>0</v>
      </c>
      <c r="O45" s="15">
        <f t="shared" si="0"/>
        <v>65</v>
      </c>
      <c r="P45" s="15">
        <f t="shared" si="1"/>
        <v>190</v>
      </c>
    </row>
    <row r="46" spans="2:20" ht="23.1" customHeight="1" x14ac:dyDescent="0.25">
      <c r="B46" s="24" t="s">
        <v>73</v>
      </c>
      <c r="C46" s="50">
        <v>24</v>
      </c>
      <c r="D46" s="50">
        <v>12</v>
      </c>
      <c r="E46" s="50">
        <v>3</v>
      </c>
      <c r="F46" s="50">
        <v>8</v>
      </c>
      <c r="G46" s="50">
        <v>0</v>
      </c>
      <c r="H46" s="50">
        <v>0</v>
      </c>
      <c r="I46" s="50">
        <v>16</v>
      </c>
      <c r="J46" s="50">
        <v>2</v>
      </c>
      <c r="K46" s="50">
        <v>0</v>
      </c>
      <c r="L46" s="50">
        <v>0</v>
      </c>
      <c r="M46" s="50">
        <v>117</v>
      </c>
      <c r="N46" s="50">
        <v>0</v>
      </c>
      <c r="O46" s="15">
        <f t="shared" si="0"/>
        <v>65</v>
      </c>
      <c r="P46" s="15">
        <f t="shared" si="1"/>
        <v>182</v>
      </c>
      <c r="R46" s="8"/>
      <c r="T46"/>
    </row>
    <row r="47" spans="2:20" ht="23.1" customHeight="1" x14ac:dyDescent="0.25">
      <c r="B47" s="24" t="s">
        <v>74</v>
      </c>
      <c r="C47" s="50">
        <v>18</v>
      </c>
      <c r="D47" s="50">
        <v>6</v>
      </c>
      <c r="E47" s="50">
        <v>2</v>
      </c>
      <c r="F47" s="50">
        <v>8</v>
      </c>
      <c r="G47" s="50">
        <v>0</v>
      </c>
      <c r="H47" s="50">
        <v>0</v>
      </c>
      <c r="I47" s="50">
        <v>2</v>
      </c>
      <c r="J47" s="50">
        <v>0</v>
      </c>
      <c r="K47" s="50">
        <v>2</v>
      </c>
      <c r="L47" s="50">
        <v>0</v>
      </c>
      <c r="M47" s="50">
        <v>152</v>
      </c>
      <c r="N47" s="50">
        <v>0</v>
      </c>
      <c r="O47" s="15">
        <f t="shared" si="0"/>
        <v>38</v>
      </c>
      <c r="P47" s="15">
        <f t="shared" si="1"/>
        <v>190</v>
      </c>
      <c r="R47" s="8"/>
      <c r="T47"/>
    </row>
    <row r="48" spans="2:20" ht="23.1" customHeight="1" x14ac:dyDescent="0.25">
      <c r="B48" s="24" t="s">
        <v>75</v>
      </c>
      <c r="C48" s="50">
        <v>21</v>
      </c>
      <c r="D48" s="50">
        <v>9</v>
      </c>
      <c r="E48" s="50">
        <v>6</v>
      </c>
      <c r="F48" s="50">
        <v>7</v>
      </c>
      <c r="G48" s="50">
        <v>0</v>
      </c>
      <c r="H48" s="50">
        <v>0</v>
      </c>
      <c r="I48" s="50">
        <v>8</v>
      </c>
      <c r="J48" s="50">
        <v>0</v>
      </c>
      <c r="K48" s="50">
        <v>0</v>
      </c>
      <c r="L48" s="50">
        <v>0</v>
      </c>
      <c r="M48" s="50">
        <v>123</v>
      </c>
      <c r="N48" s="50">
        <v>0</v>
      </c>
      <c r="O48" s="15">
        <f t="shared" si="0"/>
        <v>51</v>
      </c>
      <c r="P48" s="15">
        <f t="shared" si="1"/>
        <v>174</v>
      </c>
      <c r="R48" s="8"/>
      <c r="T48"/>
    </row>
    <row r="49" spans="2:20" ht="23.1" customHeight="1" x14ac:dyDescent="0.25">
      <c r="B49" s="23" t="s">
        <v>76</v>
      </c>
      <c r="C49" s="50">
        <v>25</v>
      </c>
      <c r="D49" s="50">
        <v>5</v>
      </c>
      <c r="E49" s="50">
        <v>1</v>
      </c>
      <c r="F49" s="50">
        <v>8</v>
      </c>
      <c r="G49" s="50">
        <v>2</v>
      </c>
      <c r="H49" s="50">
        <v>0</v>
      </c>
      <c r="I49" s="50">
        <v>5</v>
      </c>
      <c r="J49" s="50">
        <v>2</v>
      </c>
      <c r="K49" s="50">
        <v>0</v>
      </c>
      <c r="L49" s="50">
        <v>0</v>
      </c>
      <c r="M49" s="50">
        <v>124</v>
      </c>
      <c r="N49" s="50">
        <v>0</v>
      </c>
      <c r="O49" s="15">
        <f t="shared" si="0"/>
        <v>48</v>
      </c>
      <c r="P49" s="15">
        <f t="shared" si="1"/>
        <v>172</v>
      </c>
      <c r="R49" s="8"/>
      <c r="T49"/>
    </row>
    <row r="50" spans="2:20" ht="23.1" customHeight="1" x14ac:dyDescent="0.25">
      <c r="B50" s="24" t="s">
        <v>77</v>
      </c>
      <c r="C50" s="50">
        <v>12</v>
      </c>
      <c r="D50" s="50">
        <v>10</v>
      </c>
      <c r="E50" s="50">
        <v>2</v>
      </c>
      <c r="F50" s="50">
        <v>8</v>
      </c>
      <c r="G50" s="50">
        <v>0</v>
      </c>
      <c r="H50" s="50">
        <v>0</v>
      </c>
      <c r="I50" s="50">
        <v>9</v>
      </c>
      <c r="J50" s="50">
        <v>0</v>
      </c>
      <c r="K50" s="50">
        <v>0</v>
      </c>
      <c r="L50" s="50">
        <v>0</v>
      </c>
      <c r="M50" s="50">
        <v>123</v>
      </c>
      <c r="N50" s="50">
        <v>0</v>
      </c>
      <c r="O50" s="15">
        <f t="shared" si="0"/>
        <v>41</v>
      </c>
      <c r="P50" s="15">
        <f t="shared" si="1"/>
        <v>164</v>
      </c>
      <c r="R50" s="8"/>
      <c r="T50"/>
    </row>
    <row r="51" spans="2:20" ht="23.1" customHeight="1" x14ac:dyDescent="0.25">
      <c r="B51" s="24" t="s">
        <v>78</v>
      </c>
      <c r="C51" s="50">
        <v>16</v>
      </c>
      <c r="D51" s="50">
        <v>7</v>
      </c>
      <c r="E51" s="50">
        <v>2</v>
      </c>
      <c r="F51" s="50">
        <v>6</v>
      </c>
      <c r="G51" s="50">
        <v>0</v>
      </c>
      <c r="H51" s="50">
        <v>0</v>
      </c>
      <c r="I51" s="50">
        <v>8</v>
      </c>
      <c r="J51" s="50">
        <v>0</v>
      </c>
      <c r="K51" s="50">
        <v>0</v>
      </c>
      <c r="L51" s="50">
        <v>0</v>
      </c>
      <c r="M51" s="50">
        <v>127</v>
      </c>
      <c r="N51" s="50">
        <v>0</v>
      </c>
      <c r="O51" s="15">
        <f t="shared" si="0"/>
        <v>39</v>
      </c>
      <c r="P51" s="15">
        <f t="shared" si="1"/>
        <v>166</v>
      </c>
      <c r="R51" s="8"/>
      <c r="T51"/>
    </row>
    <row r="52" spans="2:20" ht="23.1" customHeight="1" x14ac:dyDescent="0.25">
      <c r="B52" s="24" t="s">
        <v>79</v>
      </c>
      <c r="C52" s="50">
        <v>18</v>
      </c>
      <c r="D52" s="50">
        <v>5</v>
      </c>
      <c r="E52" s="50">
        <v>2</v>
      </c>
      <c r="F52" s="50">
        <v>15</v>
      </c>
      <c r="G52" s="50">
        <v>1</v>
      </c>
      <c r="H52" s="50">
        <v>0</v>
      </c>
      <c r="I52" s="50">
        <v>11</v>
      </c>
      <c r="J52" s="50">
        <v>1</v>
      </c>
      <c r="K52" s="50">
        <v>0</v>
      </c>
      <c r="L52" s="50">
        <v>0</v>
      </c>
      <c r="M52" s="50">
        <v>88</v>
      </c>
      <c r="N52" s="50">
        <v>0</v>
      </c>
      <c r="O52" s="15">
        <f t="shared" si="0"/>
        <v>53</v>
      </c>
      <c r="P52" s="15">
        <f t="shared" si="1"/>
        <v>141</v>
      </c>
      <c r="R52" s="8"/>
      <c r="T52"/>
    </row>
    <row r="53" spans="2:20" ht="23.1" customHeight="1" x14ac:dyDescent="0.25">
      <c r="B53" s="23" t="s">
        <v>80</v>
      </c>
      <c r="C53" s="50">
        <v>16</v>
      </c>
      <c r="D53" s="50">
        <v>4</v>
      </c>
      <c r="E53" s="50">
        <v>4</v>
      </c>
      <c r="F53" s="50">
        <v>6</v>
      </c>
      <c r="G53" s="50">
        <v>0</v>
      </c>
      <c r="H53" s="50">
        <v>0</v>
      </c>
      <c r="I53" s="50">
        <v>4</v>
      </c>
      <c r="J53" s="50">
        <v>1</v>
      </c>
      <c r="K53" s="50">
        <v>0</v>
      </c>
      <c r="L53" s="50">
        <v>0</v>
      </c>
      <c r="M53" s="50">
        <v>93</v>
      </c>
      <c r="N53" s="50">
        <v>0</v>
      </c>
      <c r="O53" s="15">
        <f t="shared" si="0"/>
        <v>35</v>
      </c>
      <c r="P53" s="15">
        <f t="shared" si="1"/>
        <v>128</v>
      </c>
      <c r="R53" s="8"/>
      <c r="T53"/>
    </row>
    <row r="54" spans="2:20" ht="23.1" customHeight="1" x14ac:dyDescent="0.25">
      <c r="B54" s="23" t="s">
        <v>81</v>
      </c>
      <c r="C54" s="50">
        <v>15</v>
      </c>
      <c r="D54" s="50">
        <v>6</v>
      </c>
      <c r="E54" s="50">
        <v>9</v>
      </c>
      <c r="F54" s="50">
        <v>10</v>
      </c>
      <c r="G54" s="50">
        <v>0</v>
      </c>
      <c r="H54" s="50">
        <v>0</v>
      </c>
      <c r="I54" s="50">
        <v>6</v>
      </c>
      <c r="J54" s="50">
        <v>2</v>
      </c>
      <c r="K54" s="50">
        <v>0</v>
      </c>
      <c r="L54" s="50">
        <v>0</v>
      </c>
      <c r="M54" s="50">
        <v>139</v>
      </c>
      <c r="N54" s="50">
        <v>0</v>
      </c>
      <c r="O54" s="15">
        <f t="shared" si="0"/>
        <v>48</v>
      </c>
      <c r="P54" s="15">
        <f t="shared" si="1"/>
        <v>187</v>
      </c>
      <c r="R54" s="8"/>
      <c r="T54"/>
    </row>
    <row r="55" spans="2:20" ht="23.1" customHeight="1" x14ac:dyDescent="0.25">
      <c r="B55" s="23" t="s">
        <v>82</v>
      </c>
      <c r="C55" s="50">
        <v>16</v>
      </c>
      <c r="D55" s="50">
        <v>5</v>
      </c>
      <c r="E55" s="50">
        <v>1</v>
      </c>
      <c r="F55" s="50">
        <v>11</v>
      </c>
      <c r="G55" s="50">
        <v>0</v>
      </c>
      <c r="H55" s="50">
        <v>0</v>
      </c>
      <c r="I55" s="50">
        <v>4</v>
      </c>
      <c r="J55" s="50">
        <v>2</v>
      </c>
      <c r="K55" s="50">
        <v>1</v>
      </c>
      <c r="L55" s="50">
        <v>0</v>
      </c>
      <c r="M55" s="50">
        <v>119</v>
      </c>
      <c r="N55" s="50">
        <v>0</v>
      </c>
      <c r="O55" s="15">
        <f t="shared" si="0"/>
        <v>40</v>
      </c>
      <c r="P55" s="15">
        <f t="shared" si="1"/>
        <v>159</v>
      </c>
      <c r="R55" s="8"/>
      <c r="T55"/>
    </row>
    <row r="56" spans="2:20" ht="23.1" customHeight="1" x14ac:dyDescent="0.25">
      <c r="B56" s="23" t="s">
        <v>83</v>
      </c>
      <c r="C56" s="50">
        <v>21</v>
      </c>
      <c r="D56" s="50">
        <v>8</v>
      </c>
      <c r="E56" s="50">
        <v>3</v>
      </c>
      <c r="F56" s="50">
        <v>11</v>
      </c>
      <c r="G56" s="50">
        <v>1</v>
      </c>
      <c r="H56" s="50">
        <v>0</v>
      </c>
      <c r="I56" s="50">
        <v>9</v>
      </c>
      <c r="J56" s="50">
        <v>1</v>
      </c>
      <c r="K56" s="50">
        <v>1</v>
      </c>
      <c r="L56" s="50">
        <v>0</v>
      </c>
      <c r="M56" s="50">
        <v>111</v>
      </c>
      <c r="N56" s="50">
        <v>0</v>
      </c>
      <c r="O56" s="15">
        <f t="shared" si="0"/>
        <v>55</v>
      </c>
      <c r="P56" s="15">
        <f t="shared" si="1"/>
        <v>166</v>
      </c>
      <c r="R56" s="8"/>
      <c r="T56"/>
    </row>
    <row r="57" spans="2:20" ht="23.1" customHeight="1" x14ac:dyDescent="0.25">
      <c r="B57" s="23" t="s">
        <v>84</v>
      </c>
      <c r="C57" s="50">
        <v>11</v>
      </c>
      <c r="D57" s="50">
        <v>8</v>
      </c>
      <c r="E57" s="50">
        <v>3</v>
      </c>
      <c r="F57" s="50">
        <v>10</v>
      </c>
      <c r="G57" s="50">
        <v>1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85</v>
      </c>
      <c r="N57" s="50">
        <v>0</v>
      </c>
      <c r="O57" s="15">
        <f t="shared" si="0"/>
        <v>36</v>
      </c>
      <c r="P57" s="15">
        <f t="shared" si="1"/>
        <v>121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895</v>
      </c>
      <c r="D58" s="16">
        <f t="shared" si="21"/>
        <v>509</v>
      </c>
      <c r="E58" s="16">
        <f t="shared" si="21"/>
        <v>184</v>
      </c>
      <c r="F58" s="16">
        <f t="shared" si="21"/>
        <v>389</v>
      </c>
      <c r="G58" s="16">
        <f t="shared" si="21"/>
        <v>33</v>
      </c>
      <c r="H58" s="16">
        <f t="shared" si="21"/>
        <v>0</v>
      </c>
      <c r="I58" s="16">
        <f t="shared" si="21"/>
        <v>313</v>
      </c>
      <c r="J58" s="16">
        <f t="shared" si="21"/>
        <v>52</v>
      </c>
      <c r="K58" s="16">
        <f t="shared" si="21"/>
        <v>31</v>
      </c>
      <c r="L58" s="16">
        <f t="shared" si="21"/>
        <v>10</v>
      </c>
      <c r="M58" s="16">
        <f t="shared" si="21"/>
        <v>4471</v>
      </c>
      <c r="N58" s="16">
        <f t="shared" si="21"/>
        <v>0</v>
      </c>
      <c r="O58" s="16">
        <f t="shared" si="21"/>
        <v>2416</v>
      </c>
      <c r="P58" s="16">
        <f t="shared" si="21"/>
        <v>6887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0.1299549876579062</v>
      </c>
      <c r="D59" s="43">
        <f t="shared" si="22"/>
        <v>7.3907361695948887E-2</v>
      </c>
      <c r="E59" s="43">
        <f t="shared" si="22"/>
        <v>2.6717003049223174E-2</v>
      </c>
      <c r="F59" s="43">
        <f t="shared" si="22"/>
        <v>5.6483229272542471E-2</v>
      </c>
      <c r="G59" s="43">
        <f t="shared" si="22"/>
        <v>4.7916364164367646E-3</v>
      </c>
      <c r="H59" s="43">
        <f t="shared" si="22"/>
        <v>0</v>
      </c>
      <c r="I59" s="43">
        <f t="shared" si="22"/>
        <v>4.5447945404385071E-2</v>
      </c>
      <c r="J59" s="43">
        <f t="shared" si="22"/>
        <v>7.5504573834761146E-3</v>
      </c>
      <c r="K59" s="43">
        <f t="shared" si="22"/>
        <v>4.5012342093799914E-3</v>
      </c>
      <c r="L59" s="43">
        <f t="shared" si="22"/>
        <v>1.4520110352838681E-3</v>
      </c>
      <c r="M59" s="43">
        <f t="shared" si="22"/>
        <v>0.64919413387541747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0.37044701986754969</v>
      </c>
      <c r="D60" s="44">
        <f t="shared" ref="D60:N60" si="23">D58/$O$58</f>
        <v>0.21067880794701987</v>
      </c>
      <c r="E60" s="44">
        <f t="shared" si="23"/>
        <v>7.6158940397350994E-2</v>
      </c>
      <c r="F60" s="44">
        <f t="shared" si="23"/>
        <v>0.16100993377483444</v>
      </c>
      <c r="G60" s="44">
        <f t="shared" si="23"/>
        <v>1.3658940397350994E-2</v>
      </c>
      <c r="H60" s="44">
        <f t="shared" si="23"/>
        <v>0</v>
      </c>
      <c r="I60" s="44">
        <f t="shared" si="23"/>
        <v>0.12955298013245034</v>
      </c>
      <c r="J60" s="44">
        <f t="shared" si="23"/>
        <v>2.1523178807947019E-2</v>
      </c>
      <c r="K60" s="44">
        <f t="shared" si="23"/>
        <v>1.2831125827814569E-2</v>
      </c>
      <c r="L60" s="44">
        <f t="shared" si="23"/>
        <v>4.1390728476821195E-3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60" workbookViewId="0">
      <selection activeCell="L31" sqref="L3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 KATOSI-MUKONO'!C3:G3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'3.11 MUKONO-KATOSI'!D5</f>
        <v>3.11.2019</v>
      </c>
      <c r="E5" s="3"/>
      <c r="F5" s="41" t="s">
        <v>1</v>
      </c>
      <c r="G5" s="53" t="s">
        <v>178</v>
      </c>
      <c r="H5" s="54"/>
      <c r="I5" s="14"/>
      <c r="J5" s="2" t="s">
        <v>5</v>
      </c>
      <c r="K5" s="53" t="str">
        <f>'3.11 MUKONO-KATOSI'!K5:L5</f>
        <v>MOSES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tr">
        <f>'29.10 KATOSI-MUKONO'!D6:E6</f>
        <v>KATOSI</v>
      </c>
      <c r="E6" s="54"/>
      <c r="F6" s="2" t="s">
        <v>2</v>
      </c>
      <c r="G6" s="53" t="str">
        <f>'29.10 KATOSI-MUKONO'!G6:H6</f>
        <v>MUKONO</v>
      </c>
      <c r="H6" s="54"/>
      <c r="J6" s="2" t="s">
        <v>21</v>
      </c>
      <c r="K6" s="53" t="str">
        <f>'3.11 MUKONO-KATOSI'!K6:L6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2</v>
      </c>
      <c r="E10" s="50">
        <v>0</v>
      </c>
      <c r="F10" s="50">
        <v>2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9</v>
      </c>
      <c r="P10" s="15">
        <f t="shared" ref="P10:P57" si="1">SUM(C10:N10)</f>
        <v>22</v>
      </c>
      <c r="R10" s="1" t="s">
        <v>6</v>
      </c>
      <c r="S10" s="17">
        <f t="shared" ref="S10:AF10" si="2">SUM(C10:C13)</f>
        <v>31</v>
      </c>
      <c r="T10" s="17">
        <f t="shared" si="2"/>
        <v>6</v>
      </c>
      <c r="U10" s="17">
        <f t="shared" si="2"/>
        <v>13</v>
      </c>
      <c r="V10" s="17">
        <f t="shared" si="2"/>
        <v>25</v>
      </c>
      <c r="W10" s="17">
        <f t="shared" si="2"/>
        <v>1</v>
      </c>
      <c r="X10" s="17">
        <f t="shared" si="2"/>
        <v>0</v>
      </c>
      <c r="Y10" s="17">
        <f t="shared" si="2"/>
        <v>20</v>
      </c>
      <c r="Z10" s="17">
        <f t="shared" si="2"/>
        <v>5</v>
      </c>
      <c r="AA10" s="17">
        <f t="shared" si="2"/>
        <v>0</v>
      </c>
      <c r="AB10" s="17">
        <f t="shared" si="2"/>
        <v>0</v>
      </c>
      <c r="AC10" s="17">
        <f t="shared" si="2"/>
        <v>84</v>
      </c>
      <c r="AD10" s="17">
        <f t="shared" si="2"/>
        <v>0</v>
      </c>
      <c r="AE10" s="31">
        <f t="shared" si="2"/>
        <v>101</v>
      </c>
      <c r="AF10" s="31">
        <f t="shared" si="2"/>
        <v>185</v>
      </c>
    </row>
    <row r="11" spans="2:32" s="6" customFormat="1" ht="23.1" customHeight="1" x14ac:dyDescent="0.25">
      <c r="B11" s="23" t="s">
        <v>38</v>
      </c>
      <c r="C11" s="50">
        <v>2</v>
      </c>
      <c r="D11" s="50">
        <v>1</v>
      </c>
      <c r="E11" s="50">
        <v>0</v>
      </c>
      <c r="F11" s="50">
        <v>5</v>
      </c>
      <c r="G11" s="50">
        <v>0</v>
      </c>
      <c r="H11" s="50">
        <v>0</v>
      </c>
      <c r="I11" s="50">
        <v>8</v>
      </c>
      <c r="J11" s="50">
        <v>1</v>
      </c>
      <c r="K11" s="50">
        <v>0</v>
      </c>
      <c r="L11" s="50">
        <v>0</v>
      </c>
      <c r="M11" s="50">
        <v>10</v>
      </c>
      <c r="N11" s="50"/>
      <c r="O11" s="15">
        <f t="shared" si="0"/>
        <v>17</v>
      </c>
      <c r="P11" s="15">
        <f t="shared" si="1"/>
        <v>27</v>
      </c>
      <c r="R11" s="1" t="s">
        <v>7</v>
      </c>
      <c r="S11" s="17">
        <f t="shared" ref="S11:AF11" si="3">SUM(C14:C17)</f>
        <v>23</v>
      </c>
      <c r="T11" s="17">
        <f t="shared" si="3"/>
        <v>5</v>
      </c>
      <c r="U11" s="17">
        <f t="shared" si="3"/>
        <v>8</v>
      </c>
      <c r="V11" s="17">
        <f t="shared" si="3"/>
        <v>33</v>
      </c>
      <c r="W11" s="17">
        <f t="shared" si="3"/>
        <v>2</v>
      </c>
      <c r="X11" s="17">
        <f t="shared" si="3"/>
        <v>0</v>
      </c>
      <c r="Y11" s="17">
        <f t="shared" si="3"/>
        <v>15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277</v>
      </c>
      <c r="AD11" s="17">
        <f t="shared" si="3"/>
        <v>0</v>
      </c>
      <c r="AE11" s="31">
        <f t="shared" si="3"/>
        <v>87</v>
      </c>
      <c r="AF11" s="31">
        <f t="shared" si="3"/>
        <v>364</v>
      </c>
    </row>
    <row r="12" spans="2:32" ht="23.1" customHeight="1" x14ac:dyDescent="0.25">
      <c r="B12" s="23" t="s">
        <v>39</v>
      </c>
      <c r="C12" s="50">
        <v>5</v>
      </c>
      <c r="D12" s="50">
        <v>0</v>
      </c>
      <c r="E12" s="50">
        <v>11</v>
      </c>
      <c r="F12" s="50">
        <v>18</v>
      </c>
      <c r="G12" s="50">
        <v>0</v>
      </c>
      <c r="H12" s="50">
        <v>0</v>
      </c>
      <c r="I12" s="50">
        <v>0</v>
      </c>
      <c r="J12" s="50">
        <v>4</v>
      </c>
      <c r="K12" s="50">
        <v>0</v>
      </c>
      <c r="L12" s="50">
        <v>0</v>
      </c>
      <c r="M12" s="50">
        <v>19</v>
      </c>
      <c r="N12" s="50">
        <v>0</v>
      </c>
      <c r="O12" s="15">
        <f t="shared" si="0"/>
        <v>38</v>
      </c>
      <c r="P12" s="15">
        <f t="shared" si="1"/>
        <v>57</v>
      </c>
      <c r="R12" s="1" t="s">
        <v>8</v>
      </c>
      <c r="S12" s="17">
        <f t="shared" ref="S12:AF12" si="4">SUM(C18:C21)</f>
        <v>34</v>
      </c>
      <c r="T12" s="17">
        <f t="shared" si="4"/>
        <v>18</v>
      </c>
      <c r="U12" s="17">
        <f t="shared" si="4"/>
        <v>2</v>
      </c>
      <c r="V12" s="17">
        <f t="shared" si="4"/>
        <v>12</v>
      </c>
      <c r="W12" s="17">
        <f t="shared" si="4"/>
        <v>1</v>
      </c>
      <c r="X12" s="17">
        <f t="shared" si="4"/>
        <v>0</v>
      </c>
      <c r="Y12" s="17">
        <f t="shared" si="4"/>
        <v>7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333</v>
      </c>
      <c r="AD12" s="17">
        <f t="shared" si="4"/>
        <v>0</v>
      </c>
      <c r="AE12" s="31">
        <f t="shared" si="4"/>
        <v>78</v>
      </c>
      <c r="AF12" s="31">
        <f t="shared" si="4"/>
        <v>411</v>
      </c>
    </row>
    <row r="13" spans="2:32" ht="23.1" customHeight="1" x14ac:dyDescent="0.25">
      <c r="B13" s="23" t="s">
        <v>40</v>
      </c>
      <c r="C13" s="50">
        <v>21</v>
      </c>
      <c r="D13" s="50">
        <v>3</v>
      </c>
      <c r="E13" s="50">
        <v>2</v>
      </c>
      <c r="F13" s="50">
        <v>0</v>
      </c>
      <c r="G13" s="50">
        <v>0</v>
      </c>
      <c r="H13" s="50">
        <v>0</v>
      </c>
      <c r="I13" s="50">
        <v>11</v>
      </c>
      <c r="J13" s="50">
        <v>0</v>
      </c>
      <c r="K13" s="50">
        <v>0</v>
      </c>
      <c r="L13" s="50">
        <v>0</v>
      </c>
      <c r="M13" s="50">
        <v>42</v>
      </c>
      <c r="N13" s="50">
        <v>0</v>
      </c>
      <c r="O13" s="15">
        <f t="shared" si="0"/>
        <v>37</v>
      </c>
      <c r="P13" s="15">
        <f t="shared" si="1"/>
        <v>79</v>
      </c>
      <c r="R13" s="1" t="s">
        <v>9</v>
      </c>
      <c r="S13" s="17">
        <f t="shared" ref="S13:AF13" si="5">SUM(C22:C25)</f>
        <v>48</v>
      </c>
      <c r="T13" s="17">
        <f t="shared" si="5"/>
        <v>16</v>
      </c>
      <c r="U13" s="17">
        <f t="shared" si="5"/>
        <v>4</v>
      </c>
      <c r="V13" s="17">
        <f t="shared" si="5"/>
        <v>18</v>
      </c>
      <c r="W13" s="17">
        <f t="shared" si="5"/>
        <v>4</v>
      </c>
      <c r="X13" s="17">
        <f t="shared" si="5"/>
        <v>0</v>
      </c>
      <c r="Y13" s="17">
        <f t="shared" si="5"/>
        <v>16</v>
      </c>
      <c r="Z13" s="17">
        <f t="shared" si="5"/>
        <v>7</v>
      </c>
      <c r="AA13" s="17">
        <f t="shared" si="5"/>
        <v>0</v>
      </c>
      <c r="AB13" s="17">
        <f t="shared" si="5"/>
        <v>1</v>
      </c>
      <c r="AC13" s="17">
        <f t="shared" si="5"/>
        <v>355</v>
      </c>
      <c r="AD13" s="17">
        <f t="shared" si="5"/>
        <v>0</v>
      </c>
      <c r="AE13" s="31">
        <f t="shared" si="5"/>
        <v>114</v>
      </c>
      <c r="AF13" s="31">
        <f t="shared" si="5"/>
        <v>469</v>
      </c>
    </row>
    <row r="14" spans="2:32" ht="23.1" customHeight="1" x14ac:dyDescent="0.25">
      <c r="B14" s="23" t="s">
        <v>41</v>
      </c>
      <c r="C14" s="50">
        <v>3</v>
      </c>
      <c r="D14" s="50">
        <v>1</v>
      </c>
      <c r="E14" s="50">
        <v>1</v>
      </c>
      <c r="F14" s="50">
        <v>21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55</v>
      </c>
      <c r="N14" s="50">
        <v>0</v>
      </c>
      <c r="O14" s="15">
        <f t="shared" si="0"/>
        <v>27</v>
      </c>
      <c r="P14" s="15">
        <f t="shared" si="1"/>
        <v>82</v>
      </c>
      <c r="R14" s="1" t="s">
        <v>10</v>
      </c>
      <c r="S14" s="17">
        <f t="shared" ref="S14:AF14" si="6">SUM(C26:C29)</f>
        <v>38</v>
      </c>
      <c r="T14" s="17">
        <f t="shared" si="6"/>
        <v>11</v>
      </c>
      <c r="U14" s="17">
        <f t="shared" si="6"/>
        <v>9</v>
      </c>
      <c r="V14" s="17">
        <f t="shared" si="6"/>
        <v>49</v>
      </c>
      <c r="W14" s="17">
        <f t="shared" si="6"/>
        <v>1</v>
      </c>
      <c r="X14" s="17">
        <f t="shared" si="6"/>
        <v>0</v>
      </c>
      <c r="Y14" s="17">
        <f t="shared" si="6"/>
        <v>18</v>
      </c>
      <c r="Z14" s="17">
        <f t="shared" si="6"/>
        <v>4</v>
      </c>
      <c r="AA14" s="17">
        <f t="shared" si="6"/>
        <v>1</v>
      </c>
      <c r="AB14" s="17">
        <f t="shared" si="6"/>
        <v>0</v>
      </c>
      <c r="AC14" s="17">
        <f t="shared" si="6"/>
        <v>355</v>
      </c>
      <c r="AD14" s="17">
        <f t="shared" si="6"/>
        <v>0</v>
      </c>
      <c r="AE14" s="31">
        <f t="shared" si="6"/>
        <v>131</v>
      </c>
      <c r="AF14" s="31">
        <f t="shared" si="6"/>
        <v>486</v>
      </c>
    </row>
    <row r="15" spans="2:32" ht="23.1" customHeight="1" x14ac:dyDescent="0.25">
      <c r="B15" s="23" t="s">
        <v>42</v>
      </c>
      <c r="C15" s="50">
        <v>8</v>
      </c>
      <c r="D15" s="50">
        <v>0</v>
      </c>
      <c r="E15" s="50">
        <v>4</v>
      </c>
      <c r="F15" s="50">
        <v>3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72</v>
      </c>
      <c r="N15" s="50">
        <v>0</v>
      </c>
      <c r="O15" s="15">
        <f t="shared" si="0"/>
        <v>18</v>
      </c>
      <c r="P15" s="15">
        <f t="shared" si="1"/>
        <v>90</v>
      </c>
      <c r="R15" s="1" t="s">
        <v>11</v>
      </c>
      <c r="S15" s="17">
        <f t="shared" ref="S15:AF15" si="7">SUM(C30:C33)</f>
        <v>41</v>
      </c>
      <c r="T15" s="17">
        <f t="shared" si="7"/>
        <v>13</v>
      </c>
      <c r="U15" s="17">
        <f t="shared" si="7"/>
        <v>11</v>
      </c>
      <c r="V15" s="17">
        <f t="shared" si="7"/>
        <v>37</v>
      </c>
      <c r="W15" s="17">
        <f t="shared" si="7"/>
        <v>4</v>
      </c>
      <c r="X15" s="17">
        <f t="shared" si="7"/>
        <v>0</v>
      </c>
      <c r="Y15" s="17">
        <f t="shared" si="7"/>
        <v>27</v>
      </c>
      <c r="Z15" s="17">
        <f t="shared" si="7"/>
        <v>13</v>
      </c>
      <c r="AA15" s="17">
        <f t="shared" si="7"/>
        <v>5</v>
      </c>
      <c r="AB15" s="17">
        <f t="shared" si="7"/>
        <v>0</v>
      </c>
      <c r="AC15" s="17">
        <f t="shared" si="7"/>
        <v>371</v>
      </c>
      <c r="AD15" s="17">
        <f t="shared" si="7"/>
        <v>0</v>
      </c>
      <c r="AE15" s="31">
        <f t="shared" si="7"/>
        <v>151</v>
      </c>
      <c r="AF15" s="31">
        <f t="shared" si="7"/>
        <v>522</v>
      </c>
    </row>
    <row r="16" spans="2:32" ht="23.1" customHeight="1" x14ac:dyDescent="0.25">
      <c r="B16" s="23" t="s">
        <v>43</v>
      </c>
      <c r="C16" s="50">
        <v>4</v>
      </c>
      <c r="D16" s="50">
        <v>2</v>
      </c>
      <c r="E16" s="50">
        <v>3</v>
      </c>
      <c r="F16" s="50">
        <v>3</v>
      </c>
      <c r="G16" s="50">
        <v>1</v>
      </c>
      <c r="H16" s="50">
        <v>0</v>
      </c>
      <c r="I16" s="50">
        <v>4</v>
      </c>
      <c r="J16" s="50">
        <v>1</v>
      </c>
      <c r="K16" s="50">
        <v>0</v>
      </c>
      <c r="L16" s="50">
        <v>0</v>
      </c>
      <c r="M16" s="50">
        <v>65</v>
      </c>
      <c r="N16" s="50">
        <v>0</v>
      </c>
      <c r="O16" s="15">
        <f t="shared" si="0"/>
        <v>18</v>
      </c>
      <c r="P16" s="15">
        <f t="shared" si="1"/>
        <v>83</v>
      </c>
      <c r="R16" s="1" t="s">
        <v>12</v>
      </c>
      <c r="S16" s="17">
        <f t="shared" ref="S16:AF16" si="8">SUM(C34:C37)</f>
        <v>57</v>
      </c>
      <c r="T16" s="17">
        <f t="shared" si="8"/>
        <v>25</v>
      </c>
      <c r="U16" s="17">
        <f t="shared" si="8"/>
        <v>11</v>
      </c>
      <c r="V16" s="17">
        <f t="shared" si="8"/>
        <v>32</v>
      </c>
      <c r="W16" s="17">
        <f t="shared" si="8"/>
        <v>2</v>
      </c>
      <c r="X16" s="17">
        <f t="shared" si="8"/>
        <v>0</v>
      </c>
      <c r="Y16" s="17">
        <f t="shared" si="8"/>
        <v>25</v>
      </c>
      <c r="Z16" s="17">
        <f t="shared" si="8"/>
        <v>4</v>
      </c>
      <c r="AA16" s="17">
        <f t="shared" si="8"/>
        <v>0</v>
      </c>
      <c r="AB16" s="17">
        <f t="shared" si="8"/>
        <v>1</v>
      </c>
      <c r="AC16" s="17">
        <f t="shared" si="8"/>
        <v>329</v>
      </c>
      <c r="AD16" s="17">
        <f t="shared" si="8"/>
        <v>0</v>
      </c>
      <c r="AE16" s="31">
        <f t="shared" si="8"/>
        <v>157</v>
      </c>
      <c r="AF16" s="31">
        <f t="shared" si="8"/>
        <v>486</v>
      </c>
    </row>
    <row r="17" spans="2:32" ht="23.1" customHeight="1" x14ac:dyDescent="0.25">
      <c r="B17" s="23" t="s">
        <v>44</v>
      </c>
      <c r="C17" s="50">
        <v>8</v>
      </c>
      <c r="D17" s="50">
        <v>2</v>
      </c>
      <c r="E17" s="50">
        <v>0</v>
      </c>
      <c r="F17" s="50">
        <v>6</v>
      </c>
      <c r="G17" s="50">
        <v>1</v>
      </c>
      <c r="H17" s="50">
        <v>0</v>
      </c>
      <c r="I17" s="50">
        <v>7</v>
      </c>
      <c r="J17" s="50">
        <v>0</v>
      </c>
      <c r="K17" s="50">
        <v>0</v>
      </c>
      <c r="L17" s="50">
        <v>0</v>
      </c>
      <c r="M17" s="50">
        <v>85</v>
      </c>
      <c r="N17" s="50">
        <v>0</v>
      </c>
      <c r="O17" s="15">
        <f t="shared" si="0"/>
        <v>24</v>
      </c>
      <c r="P17" s="15">
        <f t="shared" si="1"/>
        <v>109</v>
      </c>
      <c r="R17" s="1" t="s">
        <v>13</v>
      </c>
      <c r="S17" s="17">
        <f t="shared" ref="S17:AF17" si="9">SUM(C38:C41)</f>
        <v>38</v>
      </c>
      <c r="T17" s="17">
        <f t="shared" si="9"/>
        <v>16</v>
      </c>
      <c r="U17" s="17">
        <f t="shared" si="9"/>
        <v>12</v>
      </c>
      <c r="V17" s="17">
        <f t="shared" si="9"/>
        <v>20</v>
      </c>
      <c r="W17" s="17">
        <f t="shared" si="9"/>
        <v>2</v>
      </c>
      <c r="X17" s="17">
        <f t="shared" si="9"/>
        <v>0</v>
      </c>
      <c r="Y17" s="17">
        <f t="shared" si="9"/>
        <v>25</v>
      </c>
      <c r="Z17" s="17">
        <f t="shared" si="9"/>
        <v>2</v>
      </c>
      <c r="AA17" s="17">
        <f t="shared" si="9"/>
        <v>0</v>
      </c>
      <c r="AB17" s="17">
        <f t="shared" si="9"/>
        <v>1</v>
      </c>
      <c r="AC17" s="17">
        <f t="shared" si="9"/>
        <v>341</v>
      </c>
      <c r="AD17" s="17">
        <f t="shared" si="9"/>
        <v>0</v>
      </c>
      <c r="AE17" s="31">
        <f t="shared" si="9"/>
        <v>116</v>
      </c>
      <c r="AF17" s="31">
        <f t="shared" si="9"/>
        <v>457</v>
      </c>
    </row>
    <row r="18" spans="2:32" ht="23.1" customHeight="1" x14ac:dyDescent="0.25">
      <c r="B18" s="23" t="s">
        <v>45</v>
      </c>
      <c r="C18" s="50">
        <v>5</v>
      </c>
      <c r="D18" s="50">
        <v>4</v>
      </c>
      <c r="E18" s="50">
        <v>1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113</v>
      </c>
      <c r="N18" s="50">
        <v>0</v>
      </c>
      <c r="O18" s="15">
        <f t="shared" si="0"/>
        <v>13</v>
      </c>
      <c r="P18" s="15">
        <f t="shared" si="1"/>
        <v>126</v>
      </c>
      <c r="R18" s="1" t="s">
        <v>14</v>
      </c>
      <c r="S18" s="17">
        <f t="shared" ref="S18:AF18" si="10">SUM(C42:C45)</f>
        <v>91</v>
      </c>
      <c r="T18" s="17">
        <f t="shared" si="10"/>
        <v>18</v>
      </c>
      <c r="U18" s="17">
        <f t="shared" si="10"/>
        <v>21</v>
      </c>
      <c r="V18" s="17">
        <f t="shared" si="10"/>
        <v>41</v>
      </c>
      <c r="W18" s="17">
        <f t="shared" si="10"/>
        <v>0</v>
      </c>
      <c r="X18" s="17">
        <f t="shared" si="10"/>
        <v>0</v>
      </c>
      <c r="Y18" s="17">
        <f t="shared" si="10"/>
        <v>21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374</v>
      </c>
      <c r="AD18" s="17">
        <f t="shared" si="10"/>
        <v>0</v>
      </c>
      <c r="AE18" s="31">
        <f t="shared" si="10"/>
        <v>193</v>
      </c>
      <c r="AF18" s="31">
        <f t="shared" si="10"/>
        <v>567</v>
      </c>
    </row>
    <row r="19" spans="2:32" ht="23.1" customHeight="1" x14ac:dyDescent="0.25">
      <c r="B19" s="23" t="s">
        <v>46</v>
      </c>
      <c r="C19" s="50">
        <v>17</v>
      </c>
      <c r="D19" s="50">
        <v>7</v>
      </c>
      <c r="E19" s="50">
        <v>0</v>
      </c>
      <c r="F19" s="50">
        <v>6</v>
      </c>
      <c r="G19" s="50">
        <v>1</v>
      </c>
      <c r="H19" s="50">
        <v>0</v>
      </c>
      <c r="I19" s="50">
        <v>2</v>
      </c>
      <c r="J19" s="50">
        <v>2</v>
      </c>
      <c r="K19" s="50">
        <v>0</v>
      </c>
      <c r="L19" s="50">
        <v>0</v>
      </c>
      <c r="M19" s="50">
        <v>83</v>
      </c>
      <c r="N19" s="50">
        <v>0</v>
      </c>
      <c r="O19" s="15">
        <f t="shared" si="0"/>
        <v>35</v>
      </c>
      <c r="P19" s="15">
        <f t="shared" si="1"/>
        <v>118</v>
      </c>
      <c r="R19" s="1" t="s">
        <v>15</v>
      </c>
      <c r="S19" s="17">
        <f t="shared" ref="S19:AF19" si="11">SUM(C46:C49)</f>
        <v>105</v>
      </c>
      <c r="T19" s="17">
        <f t="shared" si="11"/>
        <v>38</v>
      </c>
      <c r="U19" s="17">
        <f t="shared" si="11"/>
        <v>23</v>
      </c>
      <c r="V19" s="17">
        <f t="shared" si="11"/>
        <v>77</v>
      </c>
      <c r="W19" s="17">
        <f t="shared" si="11"/>
        <v>1</v>
      </c>
      <c r="X19" s="17">
        <f t="shared" si="11"/>
        <v>0</v>
      </c>
      <c r="Y19" s="17">
        <f t="shared" si="11"/>
        <v>91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300</v>
      </c>
      <c r="AD19" s="17">
        <f t="shared" si="11"/>
        <v>0</v>
      </c>
      <c r="AE19" s="31">
        <f t="shared" si="11"/>
        <v>336</v>
      </c>
      <c r="AF19" s="31">
        <f t="shared" si="11"/>
        <v>636</v>
      </c>
    </row>
    <row r="20" spans="2:32" ht="23.1" customHeight="1" x14ac:dyDescent="0.25">
      <c r="B20" s="23" t="s">
        <v>47</v>
      </c>
      <c r="C20" s="50">
        <v>5</v>
      </c>
      <c r="D20" s="50">
        <v>3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2</v>
      </c>
      <c r="K20" s="50">
        <v>0</v>
      </c>
      <c r="L20" s="50">
        <v>0</v>
      </c>
      <c r="M20" s="50">
        <v>74</v>
      </c>
      <c r="N20" s="50">
        <v>0</v>
      </c>
      <c r="O20" s="15">
        <f t="shared" si="0"/>
        <v>12</v>
      </c>
      <c r="P20" s="15">
        <f t="shared" si="1"/>
        <v>86</v>
      </c>
      <c r="R20" s="1" t="s">
        <v>16</v>
      </c>
      <c r="S20" s="17">
        <f t="shared" ref="S20:AF20" si="12">SUM(C50:C53)</f>
        <v>133</v>
      </c>
      <c r="T20" s="17">
        <f t="shared" si="12"/>
        <v>51</v>
      </c>
      <c r="U20" s="17">
        <f t="shared" si="12"/>
        <v>11</v>
      </c>
      <c r="V20" s="17">
        <f t="shared" si="12"/>
        <v>70</v>
      </c>
      <c r="W20" s="17">
        <f t="shared" si="12"/>
        <v>5</v>
      </c>
      <c r="X20" s="17">
        <f t="shared" si="12"/>
        <v>0</v>
      </c>
      <c r="Y20" s="17">
        <f t="shared" si="12"/>
        <v>38</v>
      </c>
      <c r="Z20" s="17">
        <f t="shared" si="12"/>
        <v>1</v>
      </c>
      <c r="AA20" s="17">
        <f t="shared" si="12"/>
        <v>2</v>
      </c>
      <c r="AB20" s="17">
        <f t="shared" si="12"/>
        <v>0</v>
      </c>
      <c r="AC20" s="17">
        <f t="shared" si="12"/>
        <v>370</v>
      </c>
      <c r="AD20" s="17">
        <f t="shared" si="12"/>
        <v>0</v>
      </c>
      <c r="AE20" s="31">
        <f t="shared" si="12"/>
        <v>311</v>
      </c>
      <c r="AF20" s="31">
        <f t="shared" si="12"/>
        <v>681</v>
      </c>
    </row>
    <row r="21" spans="2:32" ht="23.1" customHeight="1" x14ac:dyDescent="0.25">
      <c r="B21" s="23" t="s">
        <v>48</v>
      </c>
      <c r="C21" s="50">
        <v>7</v>
      </c>
      <c r="D21" s="50">
        <v>4</v>
      </c>
      <c r="E21" s="50">
        <v>1</v>
      </c>
      <c r="F21" s="50">
        <v>3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63</v>
      </c>
      <c r="N21" s="50">
        <v>0</v>
      </c>
      <c r="O21" s="15">
        <f t="shared" si="0"/>
        <v>18</v>
      </c>
      <c r="P21" s="15">
        <f t="shared" si="1"/>
        <v>81</v>
      </c>
      <c r="R21" s="36" t="s">
        <v>20</v>
      </c>
      <c r="S21" s="34">
        <f t="shared" ref="S21:AF21" si="13">SUM(C54:C57)</f>
        <v>175</v>
      </c>
      <c r="T21" s="17">
        <f t="shared" si="13"/>
        <v>81</v>
      </c>
      <c r="U21" s="17">
        <f t="shared" si="13"/>
        <v>17</v>
      </c>
      <c r="V21" s="17">
        <f t="shared" si="13"/>
        <v>73</v>
      </c>
      <c r="W21" s="17">
        <f t="shared" si="13"/>
        <v>3</v>
      </c>
      <c r="X21" s="17">
        <f t="shared" si="13"/>
        <v>0</v>
      </c>
      <c r="Y21" s="17">
        <f t="shared" si="13"/>
        <v>26</v>
      </c>
      <c r="Z21" s="17">
        <f t="shared" si="13"/>
        <v>6</v>
      </c>
      <c r="AA21" s="17">
        <f t="shared" si="13"/>
        <v>0</v>
      </c>
      <c r="AB21" s="17">
        <f t="shared" si="13"/>
        <v>0</v>
      </c>
      <c r="AC21" s="17">
        <f t="shared" si="13"/>
        <v>408</v>
      </c>
      <c r="AD21" s="17">
        <f t="shared" si="13"/>
        <v>0</v>
      </c>
      <c r="AE21" s="31">
        <f t="shared" si="13"/>
        <v>381</v>
      </c>
      <c r="AF21" s="31">
        <f t="shared" si="13"/>
        <v>789</v>
      </c>
    </row>
    <row r="22" spans="2:32" ht="23.1" customHeight="1" x14ac:dyDescent="0.25">
      <c r="B22" s="23" t="s">
        <v>49</v>
      </c>
      <c r="C22" s="50">
        <v>6</v>
      </c>
      <c r="D22" s="50">
        <v>3</v>
      </c>
      <c r="E22" s="50">
        <v>2</v>
      </c>
      <c r="F22" s="50">
        <v>5</v>
      </c>
      <c r="G22" s="50">
        <v>1</v>
      </c>
      <c r="H22" s="50">
        <v>0</v>
      </c>
      <c r="I22" s="50">
        <v>0</v>
      </c>
      <c r="J22" s="50">
        <v>2</v>
      </c>
      <c r="K22" s="50">
        <v>0</v>
      </c>
      <c r="L22" s="50">
        <v>0</v>
      </c>
      <c r="M22" s="50">
        <v>92</v>
      </c>
      <c r="N22" s="50">
        <v>0</v>
      </c>
      <c r="O22" s="15">
        <f t="shared" si="0"/>
        <v>19</v>
      </c>
      <c r="P22" s="15">
        <f t="shared" si="1"/>
        <v>111</v>
      </c>
      <c r="R22" s="38" t="s">
        <v>90</v>
      </c>
      <c r="S22" s="39">
        <f>MAX(S10:S12)</f>
        <v>34</v>
      </c>
      <c r="T22" s="39">
        <f t="shared" ref="T22:AF22" si="14">MAX(T10:T12)</f>
        <v>18</v>
      </c>
      <c r="U22" s="39">
        <f t="shared" si="14"/>
        <v>13</v>
      </c>
      <c r="V22" s="39">
        <f t="shared" si="14"/>
        <v>33</v>
      </c>
      <c r="W22" s="39">
        <f t="shared" si="14"/>
        <v>2</v>
      </c>
      <c r="X22" s="39">
        <f t="shared" si="14"/>
        <v>0</v>
      </c>
      <c r="Y22" s="39">
        <f t="shared" si="14"/>
        <v>20</v>
      </c>
      <c r="Z22" s="39">
        <f t="shared" si="14"/>
        <v>5</v>
      </c>
      <c r="AA22" s="39">
        <f t="shared" si="14"/>
        <v>0</v>
      </c>
      <c r="AB22" s="39">
        <f t="shared" si="14"/>
        <v>0</v>
      </c>
      <c r="AC22" s="39">
        <f t="shared" si="14"/>
        <v>333</v>
      </c>
      <c r="AD22" s="39">
        <f t="shared" si="14"/>
        <v>0</v>
      </c>
      <c r="AE22" s="40">
        <f t="shared" si="14"/>
        <v>101</v>
      </c>
      <c r="AF22" s="40">
        <f t="shared" si="14"/>
        <v>411</v>
      </c>
    </row>
    <row r="23" spans="2:32" ht="23.1" customHeight="1" x14ac:dyDescent="0.25">
      <c r="B23" s="23" t="s">
        <v>50</v>
      </c>
      <c r="C23" s="50">
        <v>23</v>
      </c>
      <c r="D23" s="50">
        <v>3</v>
      </c>
      <c r="E23" s="50">
        <v>0</v>
      </c>
      <c r="F23" s="50">
        <v>6</v>
      </c>
      <c r="G23" s="50">
        <v>0</v>
      </c>
      <c r="H23" s="50">
        <v>0</v>
      </c>
      <c r="I23" s="50">
        <v>10</v>
      </c>
      <c r="J23" s="50">
        <v>3</v>
      </c>
      <c r="K23" s="50">
        <v>0</v>
      </c>
      <c r="L23" s="50">
        <v>0</v>
      </c>
      <c r="M23" s="50">
        <v>65</v>
      </c>
      <c r="N23" s="50">
        <v>0</v>
      </c>
      <c r="O23" s="15">
        <f t="shared" si="0"/>
        <v>45</v>
      </c>
      <c r="P23" s="15">
        <f t="shared" si="1"/>
        <v>110</v>
      </c>
      <c r="R23" s="38" t="s">
        <v>91</v>
      </c>
      <c r="S23" s="39">
        <f>MAX(S13:S18)</f>
        <v>91</v>
      </c>
      <c r="T23" s="39">
        <f t="shared" ref="T23:AF23" si="15">MAX(T13:T18)</f>
        <v>25</v>
      </c>
      <c r="U23" s="39">
        <f t="shared" si="15"/>
        <v>21</v>
      </c>
      <c r="V23" s="39">
        <f t="shared" si="15"/>
        <v>49</v>
      </c>
      <c r="W23" s="39">
        <f t="shared" si="15"/>
        <v>4</v>
      </c>
      <c r="X23" s="39">
        <f t="shared" si="15"/>
        <v>0</v>
      </c>
      <c r="Y23" s="39">
        <f t="shared" si="15"/>
        <v>27</v>
      </c>
      <c r="Z23" s="39">
        <f t="shared" si="15"/>
        <v>13</v>
      </c>
      <c r="AA23" s="39">
        <f t="shared" si="15"/>
        <v>5</v>
      </c>
      <c r="AB23" s="39">
        <f t="shared" si="15"/>
        <v>1</v>
      </c>
      <c r="AC23" s="39">
        <f t="shared" si="15"/>
        <v>374</v>
      </c>
      <c r="AD23" s="39">
        <f t="shared" si="15"/>
        <v>0</v>
      </c>
      <c r="AE23" s="40">
        <f t="shared" si="15"/>
        <v>193</v>
      </c>
      <c r="AF23" s="40">
        <f t="shared" si="15"/>
        <v>567</v>
      </c>
    </row>
    <row r="24" spans="2:32" ht="23.1" customHeight="1" x14ac:dyDescent="0.25">
      <c r="B24" s="23" t="s">
        <v>51</v>
      </c>
      <c r="C24" s="50">
        <v>11</v>
      </c>
      <c r="D24" s="50">
        <v>7</v>
      </c>
      <c r="E24" s="50">
        <v>2</v>
      </c>
      <c r="F24" s="50">
        <v>2</v>
      </c>
      <c r="G24" s="50">
        <v>1</v>
      </c>
      <c r="H24" s="50">
        <v>0</v>
      </c>
      <c r="I24" s="50">
        <v>3</v>
      </c>
      <c r="J24" s="50">
        <v>2</v>
      </c>
      <c r="K24" s="50">
        <v>0</v>
      </c>
      <c r="L24" s="50">
        <v>1</v>
      </c>
      <c r="M24" s="50">
        <v>105</v>
      </c>
      <c r="N24" s="50">
        <v>0</v>
      </c>
      <c r="O24" s="15">
        <f t="shared" si="0"/>
        <v>29</v>
      </c>
      <c r="P24" s="15">
        <f t="shared" si="1"/>
        <v>134</v>
      </c>
      <c r="R24" s="38" t="s">
        <v>92</v>
      </c>
      <c r="S24" s="39">
        <f>MAX(S19:S21)</f>
        <v>175</v>
      </c>
      <c r="T24" s="39">
        <f t="shared" ref="T24:AF24" si="16">MAX(T19:T21)</f>
        <v>81</v>
      </c>
      <c r="U24" s="39">
        <f t="shared" si="16"/>
        <v>23</v>
      </c>
      <c r="V24" s="39">
        <f t="shared" si="16"/>
        <v>77</v>
      </c>
      <c r="W24" s="39">
        <f t="shared" si="16"/>
        <v>5</v>
      </c>
      <c r="X24" s="39">
        <f t="shared" si="16"/>
        <v>0</v>
      </c>
      <c r="Y24" s="39">
        <f t="shared" si="16"/>
        <v>91</v>
      </c>
      <c r="Z24" s="39">
        <f t="shared" si="16"/>
        <v>6</v>
      </c>
      <c r="AA24" s="39">
        <f t="shared" si="16"/>
        <v>2</v>
      </c>
      <c r="AB24" s="39">
        <f t="shared" si="16"/>
        <v>0</v>
      </c>
      <c r="AC24" s="39">
        <f t="shared" si="16"/>
        <v>408</v>
      </c>
      <c r="AD24" s="39">
        <f t="shared" si="16"/>
        <v>0</v>
      </c>
      <c r="AE24" s="40">
        <f t="shared" si="16"/>
        <v>381</v>
      </c>
      <c r="AF24" s="40">
        <f t="shared" si="16"/>
        <v>789</v>
      </c>
    </row>
    <row r="25" spans="2:32" ht="23.1" customHeight="1" x14ac:dyDescent="0.25">
      <c r="B25" s="23" t="s">
        <v>52</v>
      </c>
      <c r="C25" s="50">
        <v>8</v>
      </c>
      <c r="D25" s="50">
        <v>3</v>
      </c>
      <c r="E25" s="50">
        <v>0</v>
      </c>
      <c r="F25" s="50">
        <v>5</v>
      </c>
      <c r="G25" s="50">
        <v>2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93</v>
      </c>
      <c r="N25" s="50">
        <v>0</v>
      </c>
      <c r="O25" s="15">
        <f t="shared" si="0"/>
        <v>21</v>
      </c>
      <c r="P25" s="15">
        <f t="shared" si="1"/>
        <v>114</v>
      </c>
      <c r="R25" s="37" t="s">
        <v>85</v>
      </c>
      <c r="S25" s="35">
        <f t="shared" ref="S25:AF25" si="17">SUM(S10:S12)</f>
        <v>88</v>
      </c>
      <c r="T25" s="16">
        <f t="shared" si="17"/>
        <v>29</v>
      </c>
      <c r="U25" s="16">
        <f t="shared" si="17"/>
        <v>23</v>
      </c>
      <c r="V25" s="16">
        <f t="shared" si="17"/>
        <v>70</v>
      </c>
      <c r="W25" s="16">
        <f t="shared" si="17"/>
        <v>4</v>
      </c>
      <c r="X25" s="16">
        <f t="shared" si="17"/>
        <v>0</v>
      </c>
      <c r="Y25" s="16">
        <f t="shared" si="17"/>
        <v>42</v>
      </c>
      <c r="Z25" s="16">
        <f t="shared" si="17"/>
        <v>10</v>
      </c>
      <c r="AA25" s="16">
        <f t="shared" si="17"/>
        <v>0</v>
      </c>
      <c r="AB25" s="16">
        <f t="shared" si="17"/>
        <v>0</v>
      </c>
      <c r="AC25" s="16">
        <f t="shared" si="17"/>
        <v>694</v>
      </c>
      <c r="AD25" s="16">
        <f t="shared" si="17"/>
        <v>0</v>
      </c>
      <c r="AE25" s="32">
        <f t="shared" si="17"/>
        <v>266</v>
      </c>
      <c r="AF25" s="32">
        <f t="shared" si="17"/>
        <v>960</v>
      </c>
    </row>
    <row r="26" spans="2:32" ht="23.1" customHeight="1" x14ac:dyDescent="0.25">
      <c r="B26" s="23" t="s">
        <v>53</v>
      </c>
      <c r="C26" s="50">
        <v>11</v>
      </c>
      <c r="D26" s="50">
        <v>2</v>
      </c>
      <c r="E26" s="50">
        <v>2</v>
      </c>
      <c r="F26" s="50">
        <v>5</v>
      </c>
      <c r="G26" s="50">
        <v>0</v>
      </c>
      <c r="H26" s="50">
        <v>0</v>
      </c>
      <c r="I26" s="50">
        <v>6</v>
      </c>
      <c r="J26" s="50">
        <v>0</v>
      </c>
      <c r="K26" s="50">
        <v>0</v>
      </c>
      <c r="L26" s="50">
        <v>0</v>
      </c>
      <c r="M26" s="50">
        <v>75</v>
      </c>
      <c r="N26" s="50">
        <v>0</v>
      </c>
      <c r="O26" s="15">
        <f t="shared" si="0"/>
        <v>26</v>
      </c>
      <c r="P26" s="15">
        <f t="shared" si="1"/>
        <v>101</v>
      </c>
      <c r="R26" s="28" t="s">
        <v>86</v>
      </c>
      <c r="S26" s="16">
        <f t="shared" ref="S26:AF26" si="18">SUM(S13:S18)</f>
        <v>313</v>
      </c>
      <c r="T26" s="16">
        <f t="shared" si="18"/>
        <v>99</v>
      </c>
      <c r="U26" s="16">
        <f t="shared" si="18"/>
        <v>68</v>
      </c>
      <c r="V26" s="16">
        <f t="shared" si="18"/>
        <v>197</v>
      </c>
      <c r="W26" s="16">
        <f t="shared" si="18"/>
        <v>13</v>
      </c>
      <c r="X26" s="16">
        <f t="shared" si="18"/>
        <v>0</v>
      </c>
      <c r="Y26" s="16">
        <f t="shared" si="18"/>
        <v>132</v>
      </c>
      <c r="Z26" s="16">
        <f t="shared" si="18"/>
        <v>31</v>
      </c>
      <c r="AA26" s="16">
        <f t="shared" si="18"/>
        <v>6</v>
      </c>
      <c r="AB26" s="16">
        <f t="shared" si="18"/>
        <v>3</v>
      </c>
      <c r="AC26" s="16">
        <f t="shared" si="18"/>
        <v>2125</v>
      </c>
      <c r="AD26" s="16">
        <f t="shared" si="18"/>
        <v>0</v>
      </c>
      <c r="AE26" s="32">
        <f t="shared" si="18"/>
        <v>862</v>
      </c>
      <c r="AF26" s="32">
        <f t="shared" si="18"/>
        <v>2987</v>
      </c>
    </row>
    <row r="27" spans="2:32" ht="23.1" customHeight="1" x14ac:dyDescent="0.25">
      <c r="B27" s="23" t="s">
        <v>54</v>
      </c>
      <c r="C27" s="50">
        <v>10</v>
      </c>
      <c r="D27" s="50">
        <v>6</v>
      </c>
      <c r="E27" s="50">
        <v>2</v>
      </c>
      <c r="F27" s="50">
        <v>8</v>
      </c>
      <c r="G27" s="50">
        <v>0</v>
      </c>
      <c r="H27" s="50">
        <v>0</v>
      </c>
      <c r="I27" s="50">
        <v>4</v>
      </c>
      <c r="J27" s="50">
        <v>2</v>
      </c>
      <c r="K27" s="50">
        <v>1</v>
      </c>
      <c r="L27" s="50">
        <v>0</v>
      </c>
      <c r="M27" s="50">
        <v>88</v>
      </c>
      <c r="N27" s="50">
        <v>0</v>
      </c>
      <c r="O27" s="15">
        <f t="shared" si="0"/>
        <v>33</v>
      </c>
      <c r="P27" s="15">
        <f t="shared" si="1"/>
        <v>121</v>
      </c>
      <c r="R27" s="29" t="s">
        <v>87</v>
      </c>
      <c r="S27" s="16">
        <f t="shared" ref="S27:AF27" si="19">SUM(S19:S21)</f>
        <v>413</v>
      </c>
      <c r="T27" s="16">
        <f t="shared" si="19"/>
        <v>170</v>
      </c>
      <c r="U27" s="16">
        <f t="shared" si="19"/>
        <v>51</v>
      </c>
      <c r="V27" s="16">
        <f t="shared" si="19"/>
        <v>220</v>
      </c>
      <c r="W27" s="16">
        <f t="shared" si="19"/>
        <v>9</v>
      </c>
      <c r="X27" s="16">
        <f t="shared" si="19"/>
        <v>0</v>
      </c>
      <c r="Y27" s="16">
        <f t="shared" si="19"/>
        <v>155</v>
      </c>
      <c r="Z27" s="16">
        <f t="shared" si="19"/>
        <v>7</v>
      </c>
      <c r="AA27" s="16">
        <f t="shared" si="19"/>
        <v>3</v>
      </c>
      <c r="AB27" s="16">
        <f t="shared" si="19"/>
        <v>0</v>
      </c>
      <c r="AC27" s="16">
        <f t="shared" si="19"/>
        <v>1078</v>
      </c>
      <c r="AD27" s="16">
        <f t="shared" si="19"/>
        <v>0</v>
      </c>
      <c r="AE27" s="32">
        <f t="shared" si="19"/>
        <v>1028</v>
      </c>
      <c r="AF27" s="32">
        <f t="shared" si="19"/>
        <v>2106</v>
      </c>
    </row>
    <row r="28" spans="2:32" ht="23.1" customHeight="1" x14ac:dyDescent="0.25">
      <c r="B28" s="23" t="s">
        <v>55</v>
      </c>
      <c r="C28" s="50">
        <v>10</v>
      </c>
      <c r="D28" s="50">
        <v>2</v>
      </c>
      <c r="E28" s="50">
        <v>3</v>
      </c>
      <c r="F28" s="50">
        <v>21</v>
      </c>
      <c r="G28" s="50">
        <v>0</v>
      </c>
      <c r="H28" s="50">
        <v>0</v>
      </c>
      <c r="I28" s="50">
        <v>7</v>
      </c>
      <c r="J28" s="50">
        <v>1</v>
      </c>
      <c r="K28" s="50">
        <v>0</v>
      </c>
      <c r="L28" s="50">
        <v>0</v>
      </c>
      <c r="M28" s="50">
        <v>115</v>
      </c>
      <c r="N28" s="50">
        <v>0</v>
      </c>
      <c r="O28" s="15">
        <f t="shared" si="0"/>
        <v>44</v>
      </c>
      <c r="P28" s="15">
        <f t="shared" si="1"/>
        <v>159</v>
      </c>
      <c r="R28" s="5" t="s">
        <v>17</v>
      </c>
      <c r="S28" s="16">
        <f t="shared" ref="S28:AF28" si="20">SUM(S10:S21)</f>
        <v>814</v>
      </c>
      <c r="T28" s="16">
        <f t="shared" si="20"/>
        <v>298</v>
      </c>
      <c r="U28" s="16">
        <f t="shared" si="20"/>
        <v>142</v>
      </c>
      <c r="V28" s="16">
        <f t="shared" si="20"/>
        <v>487</v>
      </c>
      <c r="W28" s="16">
        <f t="shared" si="20"/>
        <v>26</v>
      </c>
      <c r="X28" s="16">
        <f t="shared" si="20"/>
        <v>0</v>
      </c>
      <c r="Y28" s="16">
        <f t="shared" si="20"/>
        <v>329</v>
      </c>
      <c r="Z28" s="16">
        <f t="shared" si="20"/>
        <v>48</v>
      </c>
      <c r="AA28" s="16">
        <f t="shared" si="20"/>
        <v>9</v>
      </c>
      <c r="AB28" s="16">
        <f t="shared" si="20"/>
        <v>3</v>
      </c>
      <c r="AC28" s="16">
        <f t="shared" si="20"/>
        <v>3897</v>
      </c>
      <c r="AD28" s="16">
        <f t="shared" si="20"/>
        <v>0</v>
      </c>
      <c r="AE28" s="32">
        <f t="shared" si="20"/>
        <v>2156</v>
      </c>
      <c r="AF28" s="32">
        <f t="shared" si="20"/>
        <v>6053</v>
      </c>
    </row>
    <row r="29" spans="2:32" ht="23.1" customHeight="1" x14ac:dyDescent="0.25">
      <c r="B29" s="23" t="s">
        <v>56</v>
      </c>
      <c r="C29" s="50">
        <v>7</v>
      </c>
      <c r="D29" s="50">
        <v>1</v>
      </c>
      <c r="E29" s="50">
        <v>2</v>
      </c>
      <c r="F29" s="50">
        <v>15</v>
      </c>
      <c r="G29" s="50">
        <v>1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77</v>
      </c>
      <c r="N29" s="50">
        <v>0</v>
      </c>
      <c r="O29" s="15">
        <f t="shared" si="0"/>
        <v>28</v>
      </c>
      <c r="P29" s="15">
        <f t="shared" si="1"/>
        <v>105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1</v>
      </c>
      <c r="E30" s="50">
        <v>1</v>
      </c>
      <c r="F30" s="50">
        <v>5</v>
      </c>
      <c r="G30" s="50">
        <v>1</v>
      </c>
      <c r="H30" s="50">
        <v>0</v>
      </c>
      <c r="I30" s="50">
        <v>4</v>
      </c>
      <c r="J30" s="50">
        <v>2</v>
      </c>
      <c r="K30" s="50">
        <v>0</v>
      </c>
      <c r="L30" s="50">
        <v>0</v>
      </c>
      <c r="M30" s="50">
        <v>85</v>
      </c>
      <c r="N30" s="50">
        <v>0</v>
      </c>
      <c r="O30" s="15">
        <f t="shared" si="0"/>
        <v>26</v>
      </c>
      <c r="P30" s="15">
        <f t="shared" si="1"/>
        <v>111</v>
      </c>
    </row>
    <row r="31" spans="2:32" ht="23.1" customHeight="1" x14ac:dyDescent="0.25">
      <c r="B31" s="24" t="s">
        <v>58</v>
      </c>
      <c r="C31" s="50">
        <v>9</v>
      </c>
      <c r="D31" s="50">
        <v>1</v>
      </c>
      <c r="E31" s="50">
        <v>3</v>
      </c>
      <c r="F31" s="50">
        <v>12</v>
      </c>
      <c r="G31" s="50">
        <v>1</v>
      </c>
      <c r="H31" s="50">
        <v>0</v>
      </c>
      <c r="I31" s="50">
        <v>5</v>
      </c>
      <c r="J31" s="50">
        <v>1</v>
      </c>
      <c r="K31" s="50">
        <v>0</v>
      </c>
      <c r="L31" s="50">
        <v>0</v>
      </c>
      <c r="M31" s="50">
        <v>96</v>
      </c>
      <c r="N31" s="50">
        <v>0</v>
      </c>
      <c r="O31" s="15">
        <f t="shared" si="0"/>
        <v>32</v>
      </c>
      <c r="P31" s="15">
        <f t="shared" si="1"/>
        <v>128</v>
      </c>
    </row>
    <row r="32" spans="2:32" ht="23.1" customHeight="1" x14ac:dyDescent="0.25">
      <c r="B32" s="24" t="s">
        <v>59</v>
      </c>
      <c r="C32" s="50">
        <v>9</v>
      </c>
      <c r="D32" s="50">
        <v>6</v>
      </c>
      <c r="E32" s="50">
        <v>0</v>
      </c>
      <c r="F32" s="50">
        <v>5</v>
      </c>
      <c r="G32" s="50">
        <v>0</v>
      </c>
      <c r="H32" s="50">
        <v>0</v>
      </c>
      <c r="I32" s="50">
        <v>3</v>
      </c>
      <c r="J32" s="50">
        <v>5</v>
      </c>
      <c r="K32" s="50">
        <v>0</v>
      </c>
      <c r="L32" s="50">
        <v>0</v>
      </c>
      <c r="M32" s="50">
        <v>103</v>
      </c>
      <c r="N32" s="50">
        <v>0</v>
      </c>
      <c r="O32" s="15">
        <f t="shared" si="0"/>
        <v>28</v>
      </c>
      <c r="P32" s="15">
        <f t="shared" si="1"/>
        <v>131</v>
      </c>
    </row>
    <row r="33" spans="2:20" ht="23.1" customHeight="1" x14ac:dyDescent="0.25">
      <c r="B33" s="23" t="s">
        <v>60</v>
      </c>
      <c r="C33" s="50">
        <v>11</v>
      </c>
      <c r="D33" s="50">
        <v>5</v>
      </c>
      <c r="E33" s="50">
        <v>7</v>
      </c>
      <c r="F33" s="50">
        <v>15</v>
      </c>
      <c r="G33" s="50">
        <v>2</v>
      </c>
      <c r="H33" s="50">
        <v>0</v>
      </c>
      <c r="I33" s="50">
        <v>15</v>
      </c>
      <c r="J33" s="50">
        <v>5</v>
      </c>
      <c r="K33" s="50">
        <v>5</v>
      </c>
      <c r="L33" s="50">
        <v>0</v>
      </c>
      <c r="M33" s="50">
        <v>87</v>
      </c>
      <c r="N33" s="50">
        <v>0</v>
      </c>
      <c r="O33" s="15">
        <f t="shared" si="0"/>
        <v>65</v>
      </c>
      <c r="P33" s="15">
        <f t="shared" si="1"/>
        <v>152</v>
      </c>
    </row>
    <row r="34" spans="2:20" ht="23.1" customHeight="1" x14ac:dyDescent="0.25">
      <c r="B34" s="24" t="s">
        <v>61</v>
      </c>
      <c r="C34" s="50">
        <v>25</v>
      </c>
      <c r="D34" s="50">
        <v>5</v>
      </c>
      <c r="E34" s="50">
        <v>2</v>
      </c>
      <c r="F34" s="50">
        <v>7</v>
      </c>
      <c r="G34" s="50">
        <v>0</v>
      </c>
      <c r="H34" s="50">
        <v>0</v>
      </c>
      <c r="I34" s="50">
        <v>11</v>
      </c>
      <c r="J34" s="50">
        <v>1</v>
      </c>
      <c r="K34" s="50">
        <v>0</v>
      </c>
      <c r="L34" s="50">
        <v>0</v>
      </c>
      <c r="M34" s="50">
        <v>93</v>
      </c>
      <c r="N34" s="50">
        <v>0</v>
      </c>
      <c r="O34" s="15">
        <f t="shared" si="0"/>
        <v>51</v>
      </c>
      <c r="P34" s="15">
        <f t="shared" si="1"/>
        <v>144</v>
      </c>
    </row>
    <row r="35" spans="2:20" ht="23.1" customHeight="1" x14ac:dyDescent="0.25">
      <c r="B35" s="24" t="s">
        <v>62</v>
      </c>
      <c r="C35" s="50">
        <v>11</v>
      </c>
      <c r="D35" s="50">
        <v>5</v>
      </c>
      <c r="E35" s="50">
        <v>4</v>
      </c>
      <c r="F35" s="50">
        <v>8</v>
      </c>
      <c r="G35" s="50">
        <v>1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81</v>
      </c>
      <c r="N35" s="50">
        <v>0</v>
      </c>
      <c r="O35" s="15">
        <f t="shared" si="0"/>
        <v>34</v>
      </c>
      <c r="P35" s="15">
        <f t="shared" si="1"/>
        <v>115</v>
      </c>
    </row>
    <row r="36" spans="2:20" ht="23.1" customHeight="1" x14ac:dyDescent="0.25">
      <c r="B36" s="24" t="s">
        <v>63</v>
      </c>
      <c r="C36" s="50">
        <v>10</v>
      </c>
      <c r="D36" s="50">
        <v>9</v>
      </c>
      <c r="E36" s="50">
        <v>2</v>
      </c>
      <c r="F36" s="50">
        <v>10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1</v>
      </c>
      <c r="M36" s="50">
        <v>65</v>
      </c>
      <c r="N36" s="50">
        <v>0</v>
      </c>
      <c r="O36" s="15">
        <f t="shared" si="0"/>
        <v>36</v>
      </c>
      <c r="P36" s="15">
        <f t="shared" si="1"/>
        <v>101</v>
      </c>
    </row>
    <row r="37" spans="2:20" ht="23.1" customHeight="1" x14ac:dyDescent="0.25">
      <c r="B37" s="23" t="s">
        <v>64</v>
      </c>
      <c r="C37" s="50">
        <v>11</v>
      </c>
      <c r="D37" s="50">
        <v>6</v>
      </c>
      <c r="E37" s="50">
        <v>3</v>
      </c>
      <c r="F37" s="50">
        <v>7</v>
      </c>
      <c r="G37" s="50">
        <v>1</v>
      </c>
      <c r="H37" s="50">
        <v>0</v>
      </c>
      <c r="I37" s="50">
        <v>5</v>
      </c>
      <c r="J37" s="50">
        <v>3</v>
      </c>
      <c r="K37" s="50">
        <v>0</v>
      </c>
      <c r="L37" s="50">
        <v>0</v>
      </c>
      <c r="M37" s="50">
        <v>90</v>
      </c>
      <c r="N37" s="50">
        <v>0</v>
      </c>
      <c r="O37" s="15">
        <f t="shared" si="0"/>
        <v>36</v>
      </c>
      <c r="P37" s="15">
        <f t="shared" si="1"/>
        <v>126</v>
      </c>
    </row>
    <row r="38" spans="2:20" ht="23.1" customHeight="1" x14ac:dyDescent="0.25">
      <c r="B38" s="24" t="s">
        <v>65</v>
      </c>
      <c r="C38" s="50">
        <v>11</v>
      </c>
      <c r="D38" s="50">
        <v>4</v>
      </c>
      <c r="E38" s="50">
        <v>5</v>
      </c>
      <c r="F38" s="50">
        <v>5</v>
      </c>
      <c r="G38" s="50">
        <v>1</v>
      </c>
      <c r="H38" s="50">
        <v>0</v>
      </c>
      <c r="I38" s="50">
        <v>11</v>
      </c>
      <c r="J38" s="50">
        <v>0</v>
      </c>
      <c r="K38" s="50">
        <v>0</v>
      </c>
      <c r="L38" s="50">
        <v>0</v>
      </c>
      <c r="M38" s="50">
        <v>90</v>
      </c>
      <c r="N38" s="50">
        <v>0</v>
      </c>
      <c r="O38" s="15">
        <f t="shared" si="0"/>
        <v>37</v>
      </c>
      <c r="P38" s="15">
        <f t="shared" si="1"/>
        <v>127</v>
      </c>
    </row>
    <row r="39" spans="2:20" ht="23.1" customHeight="1" x14ac:dyDescent="0.25">
      <c r="B39" s="24" t="s">
        <v>66</v>
      </c>
      <c r="C39" s="50">
        <v>11</v>
      </c>
      <c r="D39" s="50">
        <v>1</v>
      </c>
      <c r="E39" s="50">
        <v>3</v>
      </c>
      <c r="F39" s="50">
        <v>8</v>
      </c>
      <c r="G39" s="50">
        <v>1</v>
      </c>
      <c r="H39" s="50">
        <v>0</v>
      </c>
      <c r="I39" s="50">
        <v>2</v>
      </c>
      <c r="J39" s="50">
        <v>1</v>
      </c>
      <c r="K39" s="50">
        <v>0</v>
      </c>
      <c r="L39" s="50">
        <v>1</v>
      </c>
      <c r="M39" s="50">
        <v>104</v>
      </c>
      <c r="N39" s="50">
        <v>0</v>
      </c>
      <c r="O39" s="15">
        <f t="shared" si="0"/>
        <v>28</v>
      </c>
      <c r="P39" s="15">
        <f t="shared" si="1"/>
        <v>132</v>
      </c>
    </row>
    <row r="40" spans="2:20" ht="23.1" customHeight="1" x14ac:dyDescent="0.25">
      <c r="B40" s="24" t="s">
        <v>67</v>
      </c>
      <c r="C40" s="50">
        <v>6</v>
      </c>
      <c r="D40" s="50">
        <v>7</v>
      </c>
      <c r="E40" s="50">
        <v>2</v>
      </c>
      <c r="F40" s="50">
        <v>3</v>
      </c>
      <c r="G40" s="50">
        <v>0</v>
      </c>
      <c r="H40" s="50">
        <v>0</v>
      </c>
      <c r="I40" s="50">
        <v>5</v>
      </c>
      <c r="J40" s="50">
        <v>1</v>
      </c>
      <c r="K40" s="50">
        <v>0</v>
      </c>
      <c r="L40" s="50">
        <v>0</v>
      </c>
      <c r="M40" s="50">
        <v>72</v>
      </c>
      <c r="N40" s="50">
        <v>0</v>
      </c>
      <c r="O40" s="15">
        <f t="shared" si="0"/>
        <v>24</v>
      </c>
      <c r="P40" s="15">
        <f t="shared" si="1"/>
        <v>96</v>
      </c>
    </row>
    <row r="41" spans="2:20" ht="23.1" customHeight="1" x14ac:dyDescent="0.25">
      <c r="B41" s="23" t="s">
        <v>68</v>
      </c>
      <c r="C41" s="50">
        <v>10</v>
      </c>
      <c r="D41" s="50">
        <v>4</v>
      </c>
      <c r="E41" s="50">
        <v>2</v>
      </c>
      <c r="F41" s="50">
        <v>4</v>
      </c>
      <c r="G41" s="50">
        <v>0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75</v>
      </c>
      <c r="N41" s="50">
        <v>0</v>
      </c>
      <c r="O41" s="15">
        <f t="shared" si="0"/>
        <v>27</v>
      </c>
      <c r="P41" s="15">
        <f t="shared" si="1"/>
        <v>102</v>
      </c>
    </row>
    <row r="42" spans="2:20" ht="23.1" customHeight="1" x14ac:dyDescent="0.25">
      <c r="B42" s="24" t="s">
        <v>69</v>
      </c>
      <c r="C42" s="50">
        <v>22</v>
      </c>
      <c r="D42" s="50">
        <v>6</v>
      </c>
      <c r="E42" s="50">
        <v>1</v>
      </c>
      <c r="F42" s="50">
        <v>5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79</v>
      </c>
      <c r="N42" s="50">
        <v>0</v>
      </c>
      <c r="O42" s="15">
        <f t="shared" si="0"/>
        <v>38</v>
      </c>
      <c r="P42" s="15">
        <f t="shared" si="1"/>
        <v>117</v>
      </c>
    </row>
    <row r="43" spans="2:20" ht="23.1" customHeight="1" x14ac:dyDescent="0.25">
      <c r="B43" s="23" t="s">
        <v>70</v>
      </c>
      <c r="C43" s="50">
        <v>31</v>
      </c>
      <c r="D43" s="50">
        <v>6</v>
      </c>
      <c r="E43" s="50">
        <v>11</v>
      </c>
      <c r="F43" s="50">
        <v>16</v>
      </c>
      <c r="G43" s="50">
        <v>0</v>
      </c>
      <c r="H43" s="50">
        <v>0</v>
      </c>
      <c r="I43" s="50">
        <v>10</v>
      </c>
      <c r="J43" s="50">
        <v>1</v>
      </c>
      <c r="K43" s="50">
        <v>0</v>
      </c>
      <c r="L43" s="50">
        <v>0</v>
      </c>
      <c r="M43" s="50">
        <v>84</v>
      </c>
      <c r="N43" s="50">
        <v>0</v>
      </c>
      <c r="O43" s="15">
        <f t="shared" si="0"/>
        <v>75</v>
      </c>
      <c r="P43" s="15">
        <f t="shared" si="1"/>
        <v>159</v>
      </c>
    </row>
    <row r="44" spans="2:20" ht="23.1" customHeight="1" x14ac:dyDescent="0.25">
      <c r="B44" s="25" t="s">
        <v>71</v>
      </c>
      <c r="C44" s="50">
        <v>18</v>
      </c>
      <c r="D44" s="50">
        <v>5</v>
      </c>
      <c r="E44" s="50">
        <v>3</v>
      </c>
      <c r="F44" s="50">
        <v>10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110</v>
      </c>
      <c r="N44" s="50">
        <v>0</v>
      </c>
      <c r="O44" s="15">
        <f t="shared" si="0"/>
        <v>41</v>
      </c>
      <c r="P44" s="15">
        <f t="shared" si="1"/>
        <v>151</v>
      </c>
    </row>
    <row r="45" spans="2:20" ht="23.1" customHeight="1" x14ac:dyDescent="0.25">
      <c r="B45" s="23" t="s">
        <v>72</v>
      </c>
      <c r="C45" s="50">
        <v>20</v>
      </c>
      <c r="D45" s="50">
        <v>1</v>
      </c>
      <c r="E45" s="50">
        <v>6</v>
      </c>
      <c r="F45" s="50">
        <v>10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101</v>
      </c>
      <c r="N45" s="50">
        <v>0</v>
      </c>
      <c r="O45" s="15">
        <f t="shared" si="0"/>
        <v>39</v>
      </c>
      <c r="P45" s="15">
        <f t="shared" si="1"/>
        <v>140</v>
      </c>
    </row>
    <row r="46" spans="2:20" ht="23.1" customHeight="1" x14ac:dyDescent="0.25">
      <c r="B46" s="24" t="s">
        <v>73</v>
      </c>
      <c r="C46" s="50">
        <v>41</v>
      </c>
      <c r="D46" s="50">
        <v>17</v>
      </c>
      <c r="E46" s="50">
        <v>8</v>
      </c>
      <c r="F46" s="50">
        <v>31</v>
      </c>
      <c r="G46" s="50">
        <v>0</v>
      </c>
      <c r="H46" s="50">
        <v>0</v>
      </c>
      <c r="I46" s="50">
        <v>30</v>
      </c>
      <c r="J46" s="50">
        <v>0</v>
      </c>
      <c r="K46" s="50">
        <v>1</v>
      </c>
      <c r="L46" s="50">
        <v>0</v>
      </c>
      <c r="M46" s="50">
        <v>100</v>
      </c>
      <c r="N46" s="50">
        <v>0</v>
      </c>
      <c r="O46" s="15">
        <f t="shared" si="0"/>
        <v>128</v>
      </c>
      <c r="P46" s="15">
        <f t="shared" si="1"/>
        <v>228</v>
      </c>
      <c r="R46" s="8"/>
      <c r="T46"/>
    </row>
    <row r="47" spans="2:20" ht="23.1" customHeight="1" x14ac:dyDescent="0.25">
      <c r="B47" s="24" t="s">
        <v>74</v>
      </c>
      <c r="C47" s="50">
        <v>22</v>
      </c>
      <c r="D47" s="50">
        <v>16</v>
      </c>
      <c r="E47" s="50">
        <v>12</v>
      </c>
      <c r="F47" s="50">
        <v>34</v>
      </c>
      <c r="G47" s="50">
        <v>0</v>
      </c>
      <c r="H47" s="50">
        <v>0</v>
      </c>
      <c r="I47" s="50">
        <v>8</v>
      </c>
      <c r="J47" s="50">
        <v>0</v>
      </c>
      <c r="K47" s="50">
        <v>0</v>
      </c>
      <c r="L47" s="50">
        <v>0</v>
      </c>
      <c r="M47" s="50">
        <v>63</v>
      </c>
      <c r="N47" s="50">
        <v>0</v>
      </c>
      <c r="O47" s="15">
        <f t="shared" si="0"/>
        <v>92</v>
      </c>
      <c r="P47" s="15">
        <f t="shared" si="1"/>
        <v>155</v>
      </c>
      <c r="R47" s="8"/>
      <c r="T47"/>
    </row>
    <row r="48" spans="2:20" ht="23.1" customHeight="1" x14ac:dyDescent="0.25">
      <c r="B48" s="24" t="s">
        <v>75</v>
      </c>
      <c r="C48" s="50">
        <v>16</v>
      </c>
      <c r="D48" s="50">
        <v>5</v>
      </c>
      <c r="E48" s="50">
        <v>3</v>
      </c>
      <c r="F48" s="50">
        <v>12</v>
      </c>
      <c r="G48" s="50">
        <v>1</v>
      </c>
      <c r="H48" s="50">
        <v>0</v>
      </c>
      <c r="I48" s="50">
        <v>21</v>
      </c>
      <c r="J48" s="50">
        <v>0</v>
      </c>
      <c r="K48" s="50">
        <v>0</v>
      </c>
      <c r="L48" s="50">
        <v>0</v>
      </c>
      <c r="M48" s="50">
        <v>72</v>
      </c>
      <c r="N48" s="50">
        <v>0</v>
      </c>
      <c r="O48" s="15">
        <f t="shared" si="0"/>
        <v>58</v>
      </c>
      <c r="P48" s="15">
        <f t="shared" si="1"/>
        <v>130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32</v>
      </c>
      <c r="J49" s="50">
        <v>0</v>
      </c>
      <c r="K49" s="50">
        <v>0</v>
      </c>
      <c r="L49" s="50">
        <v>0</v>
      </c>
      <c r="M49" s="50">
        <v>65</v>
      </c>
      <c r="N49" s="50">
        <v>0</v>
      </c>
      <c r="O49" s="15">
        <f t="shared" si="0"/>
        <v>58</v>
      </c>
      <c r="P49" s="15">
        <f t="shared" si="1"/>
        <v>123</v>
      </c>
      <c r="R49" s="8"/>
      <c r="T49"/>
    </row>
    <row r="50" spans="2:20" ht="23.1" customHeight="1" x14ac:dyDescent="0.25">
      <c r="B50" s="24" t="s">
        <v>77</v>
      </c>
      <c r="C50" s="50">
        <v>20</v>
      </c>
      <c r="D50" s="50">
        <v>4</v>
      </c>
      <c r="E50" s="50">
        <v>1</v>
      </c>
      <c r="F50" s="50">
        <v>11</v>
      </c>
      <c r="G50" s="50">
        <v>3</v>
      </c>
      <c r="H50" s="50">
        <v>0</v>
      </c>
      <c r="I50" s="50">
        <v>18</v>
      </c>
      <c r="J50" s="50">
        <v>0</v>
      </c>
      <c r="K50" s="50">
        <v>0</v>
      </c>
      <c r="L50" s="50">
        <v>0</v>
      </c>
      <c r="M50" s="50">
        <v>96</v>
      </c>
      <c r="N50" s="50">
        <v>0</v>
      </c>
      <c r="O50" s="15">
        <f t="shared" si="0"/>
        <v>57</v>
      </c>
      <c r="P50" s="15">
        <f t="shared" si="1"/>
        <v>153</v>
      </c>
      <c r="R50" s="8"/>
      <c r="T50"/>
    </row>
    <row r="51" spans="2:20" ht="23.1" customHeight="1" x14ac:dyDescent="0.25">
      <c r="B51" s="24" t="s">
        <v>78</v>
      </c>
      <c r="C51" s="50">
        <v>30</v>
      </c>
      <c r="D51" s="50">
        <v>12</v>
      </c>
      <c r="E51" s="50">
        <v>3</v>
      </c>
      <c r="F51" s="50">
        <v>21</v>
      </c>
      <c r="G51" s="50">
        <v>1</v>
      </c>
      <c r="H51" s="50">
        <v>0</v>
      </c>
      <c r="I51" s="50">
        <v>6</v>
      </c>
      <c r="J51" s="50">
        <v>0</v>
      </c>
      <c r="K51" s="50">
        <v>0</v>
      </c>
      <c r="L51" s="50">
        <v>0</v>
      </c>
      <c r="M51" s="50">
        <v>95</v>
      </c>
      <c r="N51" s="50">
        <v>0</v>
      </c>
      <c r="O51" s="15">
        <f t="shared" si="0"/>
        <v>73</v>
      </c>
      <c r="P51" s="15">
        <f t="shared" si="1"/>
        <v>168</v>
      </c>
      <c r="R51" s="8"/>
      <c r="T51"/>
    </row>
    <row r="52" spans="2:20" ht="23.1" customHeight="1" x14ac:dyDescent="0.25">
      <c r="B52" s="24" t="s">
        <v>79</v>
      </c>
      <c r="C52" s="50">
        <v>31</v>
      </c>
      <c r="D52" s="50">
        <v>15</v>
      </c>
      <c r="E52" s="50">
        <v>5</v>
      </c>
      <c r="F52" s="50">
        <v>17</v>
      </c>
      <c r="G52" s="50">
        <v>1</v>
      </c>
      <c r="H52" s="50">
        <v>0</v>
      </c>
      <c r="I52" s="50">
        <v>4</v>
      </c>
      <c r="J52" s="50">
        <v>0</v>
      </c>
      <c r="K52" s="50">
        <v>1</v>
      </c>
      <c r="L52" s="50">
        <v>0</v>
      </c>
      <c r="M52" s="50">
        <v>88</v>
      </c>
      <c r="N52" s="50">
        <v>0</v>
      </c>
      <c r="O52" s="15">
        <f t="shared" si="0"/>
        <v>74</v>
      </c>
      <c r="P52" s="15">
        <f t="shared" si="1"/>
        <v>162</v>
      </c>
      <c r="R52" s="8"/>
      <c r="T52"/>
    </row>
    <row r="53" spans="2:20" ht="23.1" customHeight="1" x14ac:dyDescent="0.25">
      <c r="B53" s="23" t="s">
        <v>80</v>
      </c>
      <c r="C53" s="50">
        <v>52</v>
      </c>
      <c r="D53" s="50">
        <v>20</v>
      </c>
      <c r="E53" s="50">
        <v>2</v>
      </c>
      <c r="F53" s="50">
        <v>21</v>
      </c>
      <c r="G53" s="50">
        <v>0</v>
      </c>
      <c r="H53" s="50">
        <v>0</v>
      </c>
      <c r="I53" s="50">
        <v>10</v>
      </c>
      <c r="J53" s="50">
        <v>1</v>
      </c>
      <c r="K53" s="50">
        <v>1</v>
      </c>
      <c r="L53" s="50">
        <v>0</v>
      </c>
      <c r="M53" s="50">
        <v>91</v>
      </c>
      <c r="N53" s="50">
        <v>0</v>
      </c>
      <c r="O53" s="15">
        <f t="shared" si="0"/>
        <v>107</v>
      </c>
      <c r="P53" s="15">
        <f t="shared" si="1"/>
        <v>198</v>
      </c>
      <c r="R53" s="8"/>
      <c r="T53"/>
    </row>
    <row r="54" spans="2:20" ht="23.1" customHeight="1" x14ac:dyDescent="0.25">
      <c r="B54" s="23" t="s">
        <v>81</v>
      </c>
      <c r="C54" s="50">
        <v>27</v>
      </c>
      <c r="D54" s="50">
        <v>9</v>
      </c>
      <c r="E54" s="50">
        <v>5</v>
      </c>
      <c r="F54" s="50">
        <v>10</v>
      </c>
      <c r="G54" s="50">
        <v>0</v>
      </c>
      <c r="H54" s="50">
        <v>0</v>
      </c>
      <c r="I54" s="50">
        <v>4</v>
      </c>
      <c r="J54" s="50">
        <v>3</v>
      </c>
      <c r="K54" s="50">
        <v>0</v>
      </c>
      <c r="L54" s="50">
        <v>0</v>
      </c>
      <c r="M54" s="50">
        <v>93</v>
      </c>
      <c r="N54" s="50">
        <v>0</v>
      </c>
      <c r="O54" s="15">
        <f t="shared" si="0"/>
        <v>58</v>
      </c>
      <c r="P54" s="15">
        <f t="shared" si="1"/>
        <v>151</v>
      </c>
      <c r="R54" s="8"/>
      <c r="T54"/>
    </row>
    <row r="55" spans="2:20" ht="23.1" customHeight="1" x14ac:dyDescent="0.25">
      <c r="B55" s="23" t="s">
        <v>82</v>
      </c>
      <c r="C55" s="50">
        <v>42</v>
      </c>
      <c r="D55" s="50">
        <v>11</v>
      </c>
      <c r="E55" s="50">
        <v>3</v>
      </c>
      <c r="F55" s="50">
        <v>21</v>
      </c>
      <c r="G55" s="50">
        <v>0</v>
      </c>
      <c r="H55" s="50">
        <v>0</v>
      </c>
      <c r="I55" s="50">
        <v>4</v>
      </c>
      <c r="J55" s="50">
        <v>2</v>
      </c>
      <c r="K55" s="50">
        <v>0</v>
      </c>
      <c r="L55" s="50">
        <v>0</v>
      </c>
      <c r="M55" s="50">
        <v>113</v>
      </c>
      <c r="N55" s="50">
        <v>0</v>
      </c>
      <c r="O55" s="15">
        <f t="shared" si="0"/>
        <v>83</v>
      </c>
      <c r="P55" s="15">
        <f t="shared" si="1"/>
        <v>196</v>
      </c>
      <c r="R55" s="8"/>
      <c r="T55"/>
    </row>
    <row r="56" spans="2:20" ht="23.1" customHeight="1" x14ac:dyDescent="0.25">
      <c r="B56" s="23" t="s">
        <v>83</v>
      </c>
      <c r="C56" s="50">
        <v>45</v>
      </c>
      <c r="D56" s="50">
        <v>46</v>
      </c>
      <c r="E56" s="50">
        <v>6</v>
      </c>
      <c r="F56" s="50">
        <v>18</v>
      </c>
      <c r="G56" s="50">
        <v>1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110</v>
      </c>
      <c r="N56" s="50">
        <v>0</v>
      </c>
      <c r="O56" s="15">
        <f t="shared" si="0"/>
        <v>118</v>
      </c>
      <c r="P56" s="15">
        <f t="shared" si="1"/>
        <v>228</v>
      </c>
      <c r="R56" s="8"/>
      <c r="T56"/>
    </row>
    <row r="57" spans="2:20" ht="23.1" customHeight="1" x14ac:dyDescent="0.25">
      <c r="B57" s="23" t="s">
        <v>84</v>
      </c>
      <c r="C57" s="50">
        <v>61</v>
      </c>
      <c r="D57" s="50">
        <v>15</v>
      </c>
      <c r="E57" s="50">
        <v>3</v>
      </c>
      <c r="F57" s="50">
        <v>24</v>
      </c>
      <c r="G57" s="50">
        <v>2</v>
      </c>
      <c r="H57" s="50">
        <v>0</v>
      </c>
      <c r="I57" s="50">
        <v>16</v>
      </c>
      <c r="J57" s="50">
        <v>1</v>
      </c>
      <c r="K57" s="50">
        <v>0</v>
      </c>
      <c r="L57" s="50">
        <v>0</v>
      </c>
      <c r="M57" s="50">
        <v>92</v>
      </c>
      <c r="N57" s="50">
        <v>0</v>
      </c>
      <c r="O57" s="15">
        <f t="shared" si="0"/>
        <v>122</v>
      </c>
      <c r="P57" s="15">
        <f t="shared" si="1"/>
        <v>214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814</v>
      </c>
      <c r="D58" s="16">
        <f t="shared" si="21"/>
        <v>298</v>
      </c>
      <c r="E58" s="16">
        <f t="shared" si="21"/>
        <v>142</v>
      </c>
      <c r="F58" s="16">
        <f t="shared" si="21"/>
        <v>487</v>
      </c>
      <c r="G58" s="16">
        <f t="shared" si="21"/>
        <v>26</v>
      </c>
      <c r="H58" s="16">
        <f t="shared" si="21"/>
        <v>0</v>
      </c>
      <c r="I58" s="16">
        <f t="shared" si="21"/>
        <v>329</v>
      </c>
      <c r="J58" s="16">
        <f t="shared" si="21"/>
        <v>48</v>
      </c>
      <c r="K58" s="16">
        <f t="shared" si="21"/>
        <v>9</v>
      </c>
      <c r="L58" s="16">
        <f t="shared" si="21"/>
        <v>3</v>
      </c>
      <c r="M58" s="16">
        <f t="shared" si="21"/>
        <v>3897</v>
      </c>
      <c r="N58" s="16">
        <f t="shared" si="21"/>
        <v>0</v>
      </c>
      <c r="O58" s="16">
        <f t="shared" si="21"/>
        <v>2156</v>
      </c>
      <c r="P58" s="16">
        <f t="shared" si="21"/>
        <v>6053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0.13447877085742607</v>
      </c>
      <c r="D59" s="43">
        <f t="shared" si="22"/>
        <v>4.9231785891293574E-2</v>
      </c>
      <c r="E59" s="43">
        <f t="shared" si="22"/>
        <v>2.3459441599207004E-2</v>
      </c>
      <c r="F59" s="43">
        <f t="shared" si="22"/>
        <v>8.0455972245167692E-2</v>
      </c>
      <c r="G59" s="43">
        <f t="shared" si="22"/>
        <v>4.2953907153477616E-3</v>
      </c>
      <c r="H59" s="43">
        <f t="shared" si="22"/>
        <v>0</v>
      </c>
      <c r="I59" s="43">
        <f t="shared" si="22"/>
        <v>5.4353213282669753E-2</v>
      </c>
      <c r="J59" s="43">
        <f t="shared" si="22"/>
        <v>7.9299520898727903E-3</v>
      </c>
      <c r="K59" s="43">
        <f t="shared" si="22"/>
        <v>1.4868660168511482E-3</v>
      </c>
      <c r="L59" s="43">
        <f t="shared" si="22"/>
        <v>4.9562200561704939E-4</v>
      </c>
      <c r="M59" s="43">
        <f t="shared" si="22"/>
        <v>0.64381298529654718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0.37755102040816324</v>
      </c>
      <c r="D60" s="44">
        <f t="shared" ref="D60:N60" si="23">D58/$O$58</f>
        <v>0.13821892393320964</v>
      </c>
      <c r="E60" s="44">
        <f t="shared" si="23"/>
        <v>6.5862708719851573E-2</v>
      </c>
      <c r="F60" s="44">
        <f t="shared" si="23"/>
        <v>0.22588126159554731</v>
      </c>
      <c r="G60" s="44">
        <f t="shared" si="23"/>
        <v>1.2059369202226345E-2</v>
      </c>
      <c r="H60" s="44">
        <f t="shared" si="23"/>
        <v>0</v>
      </c>
      <c r="I60" s="44">
        <f t="shared" si="23"/>
        <v>0.15259740259740259</v>
      </c>
      <c r="J60" s="44">
        <f t="shared" si="23"/>
        <v>2.2263450834879406E-2</v>
      </c>
      <c r="K60" s="44">
        <f t="shared" si="23"/>
        <v>4.1743970315398886E-3</v>
      </c>
      <c r="L60" s="44">
        <f t="shared" si="23"/>
        <v>1.3914656771799629E-3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60" workbookViewId="0">
      <selection activeCell="L23" sqref="L2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'29.10-MUKONO-KATOSI'!C3:G3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183</v>
      </c>
      <c r="E5" s="3"/>
      <c r="F5" s="41" t="s">
        <v>1</v>
      </c>
      <c r="G5" s="53" t="str">
        <f>'2.11 MUKONO-KATOSI 24hr'!G5:H5</f>
        <v>SHELL PETROL STATION</v>
      </c>
      <c r="H5" s="54"/>
      <c r="I5" s="14"/>
      <c r="J5" s="2" t="s">
        <v>5</v>
      </c>
      <c r="K5" s="53" t="s">
        <v>184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tr">
        <f>'29.10-MUKONO-KATOSI'!D6:E6</f>
        <v>MUKONO</v>
      </c>
      <c r="E6" s="54"/>
      <c r="F6" s="2" t="s">
        <v>2</v>
      </c>
      <c r="G6" s="53" t="str">
        <f>'29.10-MUKONO-KATOSI'!G6:H6</f>
        <v>KATOSI</v>
      </c>
      <c r="H6" s="54"/>
      <c r="J6" s="2" t="s">
        <v>21</v>
      </c>
      <c r="K6" s="53" t="str">
        <f>'2.11 MUKONO-KATOSI 24hr'!K6:L6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1</v>
      </c>
      <c r="E10" s="50">
        <v>4</v>
      </c>
      <c r="F10" s="50">
        <v>5</v>
      </c>
      <c r="G10" s="50">
        <v>1</v>
      </c>
      <c r="H10" s="50">
        <v>0</v>
      </c>
      <c r="I10" s="50">
        <v>2</v>
      </c>
      <c r="J10" s="50">
        <v>4</v>
      </c>
      <c r="K10" s="50">
        <v>0</v>
      </c>
      <c r="L10" s="50">
        <v>1</v>
      </c>
      <c r="M10" s="50">
        <v>101</v>
      </c>
      <c r="N10" s="50">
        <v>0</v>
      </c>
      <c r="O10" s="15">
        <f t="shared" ref="O10:O57" si="0">SUM(C10:L10,N10)</f>
        <v>24</v>
      </c>
      <c r="P10" s="15">
        <f t="shared" ref="P10:P57" si="1">SUM(C10:N10)</f>
        <v>125</v>
      </c>
      <c r="R10" s="1" t="s">
        <v>6</v>
      </c>
      <c r="S10" s="17">
        <f t="shared" ref="S10:AF10" si="2">SUM(C10:C13)</f>
        <v>47</v>
      </c>
      <c r="T10" s="17">
        <f t="shared" si="2"/>
        <v>19</v>
      </c>
      <c r="U10" s="17">
        <f t="shared" si="2"/>
        <v>10</v>
      </c>
      <c r="V10" s="17">
        <f t="shared" si="2"/>
        <v>21</v>
      </c>
      <c r="W10" s="17">
        <f t="shared" si="2"/>
        <v>3</v>
      </c>
      <c r="X10" s="17">
        <f t="shared" si="2"/>
        <v>0</v>
      </c>
      <c r="Y10" s="17">
        <f t="shared" si="2"/>
        <v>28</v>
      </c>
      <c r="Z10" s="17">
        <f t="shared" si="2"/>
        <v>7</v>
      </c>
      <c r="AA10" s="17">
        <f t="shared" si="2"/>
        <v>0</v>
      </c>
      <c r="AB10" s="17">
        <f t="shared" si="2"/>
        <v>3</v>
      </c>
      <c r="AC10" s="17">
        <f t="shared" si="2"/>
        <v>433</v>
      </c>
      <c r="AD10" s="17">
        <f t="shared" si="2"/>
        <v>0</v>
      </c>
      <c r="AE10" s="31">
        <f t="shared" si="2"/>
        <v>138</v>
      </c>
      <c r="AF10" s="31">
        <f t="shared" si="2"/>
        <v>571</v>
      </c>
    </row>
    <row r="11" spans="2:32" s="6" customFormat="1" ht="23.1" customHeight="1" x14ac:dyDescent="0.25">
      <c r="B11" s="23" t="s">
        <v>38</v>
      </c>
      <c r="C11" s="50">
        <v>9</v>
      </c>
      <c r="D11" s="50">
        <v>5</v>
      </c>
      <c r="E11" s="50">
        <v>4</v>
      </c>
      <c r="F11" s="50">
        <v>5</v>
      </c>
      <c r="G11" s="50">
        <v>0</v>
      </c>
      <c r="H11" s="50">
        <v>0</v>
      </c>
      <c r="I11" s="50">
        <v>6</v>
      </c>
      <c r="J11" s="50">
        <v>0</v>
      </c>
      <c r="K11" s="50">
        <v>0</v>
      </c>
      <c r="L11" s="50">
        <v>0</v>
      </c>
      <c r="M11" s="50">
        <v>98</v>
      </c>
      <c r="N11" s="50">
        <v>0</v>
      </c>
      <c r="O11" s="15">
        <f t="shared" si="0"/>
        <v>29</v>
      </c>
      <c r="P11" s="15">
        <f t="shared" si="1"/>
        <v>127</v>
      </c>
      <c r="R11" s="1" t="s">
        <v>7</v>
      </c>
      <c r="S11" s="17">
        <f t="shared" ref="S11:AF11" si="3">SUM(C14:C17)</f>
        <v>47</v>
      </c>
      <c r="T11" s="17">
        <f t="shared" si="3"/>
        <v>25</v>
      </c>
      <c r="U11" s="17">
        <f t="shared" si="3"/>
        <v>18</v>
      </c>
      <c r="V11" s="17">
        <f t="shared" si="3"/>
        <v>37</v>
      </c>
      <c r="W11" s="17">
        <f t="shared" si="3"/>
        <v>2</v>
      </c>
      <c r="X11" s="17">
        <f t="shared" si="3"/>
        <v>0</v>
      </c>
      <c r="Y11" s="17">
        <f t="shared" si="3"/>
        <v>28</v>
      </c>
      <c r="Z11" s="17">
        <f t="shared" si="3"/>
        <v>9</v>
      </c>
      <c r="AA11" s="17">
        <f t="shared" si="3"/>
        <v>4</v>
      </c>
      <c r="AB11" s="17">
        <f t="shared" si="3"/>
        <v>4</v>
      </c>
      <c r="AC11" s="17">
        <f t="shared" si="3"/>
        <v>446</v>
      </c>
      <c r="AD11" s="17">
        <f t="shared" si="3"/>
        <v>0</v>
      </c>
      <c r="AE11" s="31">
        <f t="shared" si="3"/>
        <v>174</v>
      </c>
      <c r="AF11" s="31">
        <f t="shared" si="3"/>
        <v>620</v>
      </c>
    </row>
    <row r="12" spans="2:32" ht="23.1" customHeight="1" x14ac:dyDescent="0.25">
      <c r="B12" s="23" t="s">
        <v>39</v>
      </c>
      <c r="C12" s="50">
        <v>12</v>
      </c>
      <c r="D12" s="50">
        <v>5</v>
      </c>
      <c r="E12" s="50">
        <v>1</v>
      </c>
      <c r="F12" s="50">
        <v>7</v>
      </c>
      <c r="G12" s="50">
        <v>2</v>
      </c>
      <c r="H12" s="50">
        <v>0</v>
      </c>
      <c r="I12" s="50">
        <v>14</v>
      </c>
      <c r="J12" s="50">
        <v>1</v>
      </c>
      <c r="K12" s="50">
        <v>0</v>
      </c>
      <c r="L12" s="50">
        <v>0</v>
      </c>
      <c r="M12" s="50">
        <v>116</v>
      </c>
      <c r="N12" s="50">
        <v>0</v>
      </c>
      <c r="O12" s="15">
        <f t="shared" si="0"/>
        <v>42</v>
      </c>
      <c r="P12" s="15">
        <f t="shared" si="1"/>
        <v>158</v>
      </c>
      <c r="R12" s="1" t="s">
        <v>8</v>
      </c>
      <c r="S12" s="17">
        <f t="shared" ref="S12:AF12" si="4">SUM(C18:C21)</f>
        <v>43</v>
      </c>
      <c r="T12" s="17">
        <f t="shared" si="4"/>
        <v>28</v>
      </c>
      <c r="U12" s="17">
        <f t="shared" si="4"/>
        <v>23</v>
      </c>
      <c r="V12" s="17">
        <f t="shared" si="4"/>
        <v>28</v>
      </c>
      <c r="W12" s="17">
        <f t="shared" si="4"/>
        <v>2</v>
      </c>
      <c r="X12" s="17">
        <f t="shared" si="4"/>
        <v>0</v>
      </c>
      <c r="Y12" s="17">
        <f t="shared" si="4"/>
        <v>43</v>
      </c>
      <c r="Z12" s="17">
        <f t="shared" si="4"/>
        <v>10</v>
      </c>
      <c r="AA12" s="17">
        <f t="shared" si="4"/>
        <v>3</v>
      </c>
      <c r="AB12" s="17">
        <f t="shared" si="4"/>
        <v>3</v>
      </c>
      <c r="AC12" s="17">
        <f t="shared" si="4"/>
        <v>464</v>
      </c>
      <c r="AD12" s="17">
        <f t="shared" si="4"/>
        <v>1</v>
      </c>
      <c r="AE12" s="31">
        <f t="shared" si="4"/>
        <v>184</v>
      </c>
      <c r="AF12" s="31">
        <f t="shared" si="4"/>
        <v>648</v>
      </c>
    </row>
    <row r="13" spans="2:32" ht="23.1" customHeight="1" x14ac:dyDescent="0.25">
      <c r="B13" s="23" t="s">
        <v>40</v>
      </c>
      <c r="C13" s="50">
        <v>20</v>
      </c>
      <c r="D13" s="50">
        <v>8</v>
      </c>
      <c r="E13" s="50">
        <v>1</v>
      </c>
      <c r="F13" s="50">
        <v>4</v>
      </c>
      <c r="G13" s="50">
        <v>0</v>
      </c>
      <c r="H13" s="50">
        <v>0</v>
      </c>
      <c r="I13" s="50">
        <v>6</v>
      </c>
      <c r="J13" s="50">
        <v>2</v>
      </c>
      <c r="K13" s="50">
        <v>0</v>
      </c>
      <c r="L13" s="50">
        <v>2</v>
      </c>
      <c r="M13" s="50">
        <v>118</v>
      </c>
      <c r="N13" s="50">
        <v>0</v>
      </c>
      <c r="O13" s="15">
        <f t="shared" si="0"/>
        <v>43</v>
      </c>
      <c r="P13" s="15">
        <f t="shared" si="1"/>
        <v>161</v>
      </c>
      <c r="R13" s="1" t="s">
        <v>9</v>
      </c>
      <c r="S13" s="17">
        <f t="shared" ref="S13:AF13" si="5">SUM(C22:C25)</f>
        <v>39</v>
      </c>
      <c r="T13" s="17">
        <f t="shared" si="5"/>
        <v>29</v>
      </c>
      <c r="U13" s="17">
        <f t="shared" si="5"/>
        <v>15</v>
      </c>
      <c r="V13" s="17">
        <f t="shared" si="5"/>
        <v>33</v>
      </c>
      <c r="W13" s="17">
        <f t="shared" si="5"/>
        <v>2</v>
      </c>
      <c r="X13" s="17">
        <f t="shared" si="5"/>
        <v>0</v>
      </c>
      <c r="Y13" s="17">
        <f t="shared" si="5"/>
        <v>39</v>
      </c>
      <c r="Z13" s="17">
        <f t="shared" si="5"/>
        <v>6</v>
      </c>
      <c r="AA13" s="17">
        <f t="shared" si="5"/>
        <v>6</v>
      </c>
      <c r="AB13" s="17">
        <f t="shared" si="5"/>
        <v>6</v>
      </c>
      <c r="AC13" s="17">
        <f t="shared" si="5"/>
        <v>348</v>
      </c>
      <c r="AD13" s="17">
        <f t="shared" si="5"/>
        <v>0</v>
      </c>
      <c r="AE13" s="31">
        <f t="shared" si="5"/>
        <v>175</v>
      </c>
      <c r="AF13" s="31">
        <f t="shared" si="5"/>
        <v>523</v>
      </c>
    </row>
    <row r="14" spans="2:32" ht="23.1" customHeight="1" x14ac:dyDescent="0.25">
      <c r="B14" s="23" t="s">
        <v>41</v>
      </c>
      <c r="C14" s="50">
        <v>11</v>
      </c>
      <c r="D14" s="50">
        <v>6</v>
      </c>
      <c r="E14" s="50">
        <v>5</v>
      </c>
      <c r="F14" s="50">
        <v>11</v>
      </c>
      <c r="G14" s="50">
        <v>0</v>
      </c>
      <c r="H14" s="50">
        <v>0</v>
      </c>
      <c r="I14" s="50">
        <v>4</v>
      </c>
      <c r="J14" s="50">
        <v>0</v>
      </c>
      <c r="K14" s="50">
        <v>2</v>
      </c>
      <c r="L14" s="50">
        <v>1</v>
      </c>
      <c r="M14" s="50">
        <v>127</v>
      </c>
      <c r="N14" s="50">
        <v>0</v>
      </c>
      <c r="O14" s="15">
        <f t="shared" si="0"/>
        <v>40</v>
      </c>
      <c r="P14" s="15">
        <f t="shared" si="1"/>
        <v>167</v>
      </c>
      <c r="R14" s="1" t="s">
        <v>10</v>
      </c>
      <c r="S14" s="17">
        <f t="shared" ref="S14:AF14" si="6">SUM(C26:C29)</f>
        <v>37</v>
      </c>
      <c r="T14" s="17">
        <f t="shared" si="6"/>
        <v>24</v>
      </c>
      <c r="U14" s="17">
        <f t="shared" si="6"/>
        <v>12</v>
      </c>
      <c r="V14" s="17">
        <f t="shared" si="6"/>
        <v>25</v>
      </c>
      <c r="W14" s="17">
        <f t="shared" si="6"/>
        <v>2</v>
      </c>
      <c r="X14" s="17">
        <f t="shared" si="6"/>
        <v>0</v>
      </c>
      <c r="Y14" s="17">
        <f t="shared" si="6"/>
        <v>30</v>
      </c>
      <c r="Z14" s="17">
        <f t="shared" si="6"/>
        <v>8</v>
      </c>
      <c r="AA14" s="17">
        <f t="shared" si="6"/>
        <v>4</v>
      </c>
      <c r="AB14" s="17">
        <f t="shared" si="6"/>
        <v>3</v>
      </c>
      <c r="AC14" s="17">
        <f t="shared" si="6"/>
        <v>437</v>
      </c>
      <c r="AD14" s="17">
        <f t="shared" si="6"/>
        <v>0</v>
      </c>
      <c r="AE14" s="31">
        <f t="shared" si="6"/>
        <v>145</v>
      </c>
      <c r="AF14" s="31">
        <f t="shared" si="6"/>
        <v>582</v>
      </c>
    </row>
    <row r="15" spans="2:32" ht="23.1" customHeight="1" x14ac:dyDescent="0.25">
      <c r="B15" s="23" t="s">
        <v>42</v>
      </c>
      <c r="C15" s="50">
        <v>17</v>
      </c>
      <c r="D15" s="50">
        <v>8</v>
      </c>
      <c r="E15" s="50">
        <v>6</v>
      </c>
      <c r="F15" s="50">
        <v>8</v>
      </c>
      <c r="G15" s="50">
        <v>1</v>
      </c>
      <c r="H15" s="50">
        <v>0</v>
      </c>
      <c r="I15" s="50">
        <v>8</v>
      </c>
      <c r="J15" s="50">
        <v>3</v>
      </c>
      <c r="K15" s="50">
        <v>1</v>
      </c>
      <c r="L15" s="50">
        <v>1</v>
      </c>
      <c r="M15" s="50">
        <v>102</v>
      </c>
      <c r="N15" s="50">
        <v>0</v>
      </c>
      <c r="O15" s="15">
        <f t="shared" si="0"/>
        <v>53</v>
      </c>
      <c r="P15" s="15">
        <f t="shared" si="1"/>
        <v>155</v>
      </c>
      <c r="R15" s="1" t="s">
        <v>11</v>
      </c>
      <c r="S15" s="17">
        <f t="shared" ref="S15:AF15" si="7">SUM(C30:C33)</f>
        <v>48</v>
      </c>
      <c r="T15" s="17">
        <f t="shared" si="7"/>
        <v>24</v>
      </c>
      <c r="U15" s="17">
        <f t="shared" si="7"/>
        <v>13</v>
      </c>
      <c r="V15" s="17">
        <f t="shared" si="7"/>
        <v>27</v>
      </c>
      <c r="W15" s="17">
        <f t="shared" si="7"/>
        <v>0</v>
      </c>
      <c r="X15" s="17">
        <f t="shared" si="7"/>
        <v>0</v>
      </c>
      <c r="Y15" s="17">
        <f t="shared" si="7"/>
        <v>37</v>
      </c>
      <c r="Z15" s="17">
        <f t="shared" si="7"/>
        <v>10</v>
      </c>
      <c r="AA15" s="17">
        <f t="shared" si="7"/>
        <v>7</v>
      </c>
      <c r="AB15" s="17">
        <f t="shared" si="7"/>
        <v>7</v>
      </c>
      <c r="AC15" s="17">
        <f t="shared" si="7"/>
        <v>401</v>
      </c>
      <c r="AD15" s="17">
        <f t="shared" si="7"/>
        <v>1</v>
      </c>
      <c r="AE15" s="31">
        <f t="shared" si="7"/>
        <v>174</v>
      </c>
      <c r="AF15" s="31">
        <f t="shared" si="7"/>
        <v>575</v>
      </c>
    </row>
    <row r="16" spans="2:32" ht="23.1" customHeight="1" x14ac:dyDescent="0.25">
      <c r="B16" s="23" t="s">
        <v>43</v>
      </c>
      <c r="C16" s="50">
        <v>10</v>
      </c>
      <c r="D16" s="50">
        <v>3</v>
      </c>
      <c r="E16" s="50">
        <v>4</v>
      </c>
      <c r="F16" s="50">
        <v>10</v>
      </c>
      <c r="G16" s="50">
        <v>0</v>
      </c>
      <c r="H16" s="50">
        <v>0</v>
      </c>
      <c r="I16" s="50">
        <v>7</v>
      </c>
      <c r="J16" s="50">
        <v>4</v>
      </c>
      <c r="K16" s="50">
        <v>1</v>
      </c>
      <c r="L16" s="50">
        <v>1</v>
      </c>
      <c r="M16" s="50">
        <v>107</v>
      </c>
      <c r="N16" s="50">
        <v>0</v>
      </c>
      <c r="O16" s="15">
        <f t="shared" si="0"/>
        <v>40</v>
      </c>
      <c r="P16" s="15">
        <f t="shared" si="1"/>
        <v>147</v>
      </c>
      <c r="R16" s="1" t="s">
        <v>12</v>
      </c>
      <c r="S16" s="17">
        <f t="shared" ref="S16:AF16" si="8">SUM(C34:C37)</f>
        <v>43</v>
      </c>
      <c r="T16" s="17">
        <f t="shared" si="8"/>
        <v>18</v>
      </c>
      <c r="U16" s="17">
        <f t="shared" si="8"/>
        <v>11</v>
      </c>
      <c r="V16" s="17">
        <f t="shared" si="8"/>
        <v>34</v>
      </c>
      <c r="W16" s="17">
        <f t="shared" si="8"/>
        <v>2</v>
      </c>
      <c r="X16" s="17">
        <f t="shared" si="8"/>
        <v>0</v>
      </c>
      <c r="Y16" s="17">
        <f t="shared" si="8"/>
        <v>29</v>
      </c>
      <c r="Z16" s="17">
        <f t="shared" si="8"/>
        <v>11</v>
      </c>
      <c r="AA16" s="17">
        <f t="shared" si="8"/>
        <v>3</v>
      </c>
      <c r="AB16" s="17">
        <f t="shared" si="8"/>
        <v>2</v>
      </c>
      <c r="AC16" s="17">
        <f t="shared" si="8"/>
        <v>427</v>
      </c>
      <c r="AD16" s="17">
        <f t="shared" si="8"/>
        <v>0</v>
      </c>
      <c r="AE16" s="31">
        <f t="shared" si="8"/>
        <v>153</v>
      </c>
      <c r="AF16" s="31">
        <f t="shared" si="8"/>
        <v>580</v>
      </c>
    </row>
    <row r="17" spans="2:32" ht="23.1" customHeight="1" x14ac:dyDescent="0.25">
      <c r="B17" s="23" t="s">
        <v>44</v>
      </c>
      <c r="C17" s="50">
        <v>9</v>
      </c>
      <c r="D17" s="50">
        <v>8</v>
      </c>
      <c r="E17" s="50">
        <v>3</v>
      </c>
      <c r="F17" s="50">
        <v>8</v>
      </c>
      <c r="G17" s="50">
        <v>1</v>
      </c>
      <c r="H17" s="50">
        <v>0</v>
      </c>
      <c r="I17" s="50">
        <v>9</v>
      </c>
      <c r="J17" s="50">
        <v>2</v>
      </c>
      <c r="K17" s="50">
        <v>0</v>
      </c>
      <c r="L17" s="50">
        <v>1</v>
      </c>
      <c r="M17" s="50">
        <v>110</v>
      </c>
      <c r="N17" s="50">
        <v>0</v>
      </c>
      <c r="O17" s="15">
        <f t="shared" si="0"/>
        <v>41</v>
      </c>
      <c r="P17" s="15">
        <f t="shared" si="1"/>
        <v>151</v>
      </c>
      <c r="R17" s="1" t="s">
        <v>13</v>
      </c>
      <c r="S17" s="17">
        <f t="shared" ref="S17:AF17" si="9">SUM(C38:C41)</f>
        <v>37</v>
      </c>
      <c r="T17" s="17">
        <f t="shared" si="9"/>
        <v>18</v>
      </c>
      <c r="U17" s="17">
        <f t="shared" si="9"/>
        <v>21</v>
      </c>
      <c r="V17" s="17">
        <f t="shared" si="9"/>
        <v>25</v>
      </c>
      <c r="W17" s="17">
        <f t="shared" si="9"/>
        <v>1</v>
      </c>
      <c r="X17" s="17">
        <f t="shared" si="9"/>
        <v>0</v>
      </c>
      <c r="Y17" s="17">
        <f t="shared" si="9"/>
        <v>26</v>
      </c>
      <c r="Z17" s="17">
        <f t="shared" si="9"/>
        <v>15</v>
      </c>
      <c r="AA17" s="17">
        <f t="shared" si="9"/>
        <v>5</v>
      </c>
      <c r="AB17" s="17">
        <f t="shared" si="9"/>
        <v>3</v>
      </c>
      <c r="AC17" s="17">
        <f t="shared" si="9"/>
        <v>350</v>
      </c>
      <c r="AD17" s="17">
        <f t="shared" si="9"/>
        <v>0</v>
      </c>
      <c r="AE17" s="31">
        <f t="shared" si="9"/>
        <v>151</v>
      </c>
      <c r="AF17" s="31">
        <f t="shared" si="9"/>
        <v>501</v>
      </c>
    </row>
    <row r="18" spans="2:32" ht="23.1" customHeight="1" x14ac:dyDescent="0.25">
      <c r="B18" s="23" t="s">
        <v>45</v>
      </c>
      <c r="C18" s="50">
        <v>11</v>
      </c>
      <c r="D18" s="50">
        <v>3</v>
      </c>
      <c r="E18" s="50">
        <v>5</v>
      </c>
      <c r="F18" s="50">
        <v>8</v>
      </c>
      <c r="G18" s="50">
        <v>1</v>
      </c>
      <c r="H18" s="50">
        <v>0</v>
      </c>
      <c r="I18" s="50">
        <v>11</v>
      </c>
      <c r="J18" s="50">
        <v>4</v>
      </c>
      <c r="K18" s="50">
        <v>1</v>
      </c>
      <c r="L18" s="50">
        <v>0</v>
      </c>
      <c r="M18" s="50">
        <v>133</v>
      </c>
      <c r="N18" s="50">
        <v>0</v>
      </c>
      <c r="O18" s="15">
        <f t="shared" si="0"/>
        <v>44</v>
      </c>
      <c r="P18" s="15">
        <f t="shared" si="1"/>
        <v>177</v>
      </c>
      <c r="R18" s="1" t="s">
        <v>14</v>
      </c>
      <c r="S18" s="17">
        <f t="shared" ref="S18:AF18" si="10">SUM(C42:C45)</f>
        <v>57</v>
      </c>
      <c r="T18" s="17">
        <f t="shared" si="10"/>
        <v>67</v>
      </c>
      <c r="U18" s="17">
        <f t="shared" si="10"/>
        <v>19</v>
      </c>
      <c r="V18" s="17">
        <f t="shared" si="10"/>
        <v>27</v>
      </c>
      <c r="W18" s="17">
        <f t="shared" si="10"/>
        <v>1</v>
      </c>
      <c r="X18" s="17">
        <f t="shared" si="10"/>
        <v>1</v>
      </c>
      <c r="Y18" s="17">
        <f t="shared" si="10"/>
        <v>23</v>
      </c>
      <c r="Z18" s="17">
        <f t="shared" si="10"/>
        <v>12</v>
      </c>
      <c r="AA18" s="17">
        <f t="shared" si="10"/>
        <v>6</v>
      </c>
      <c r="AB18" s="17">
        <f t="shared" si="10"/>
        <v>2</v>
      </c>
      <c r="AC18" s="17">
        <f t="shared" si="10"/>
        <v>485</v>
      </c>
      <c r="AD18" s="17">
        <f t="shared" si="10"/>
        <v>0</v>
      </c>
      <c r="AE18" s="31">
        <f t="shared" si="10"/>
        <v>215</v>
      </c>
      <c r="AF18" s="31">
        <f t="shared" si="10"/>
        <v>700</v>
      </c>
    </row>
    <row r="19" spans="2:32" ht="23.1" customHeight="1" x14ac:dyDescent="0.25">
      <c r="B19" s="23" t="s">
        <v>46</v>
      </c>
      <c r="C19" s="50">
        <v>10</v>
      </c>
      <c r="D19" s="50">
        <v>8</v>
      </c>
      <c r="E19" s="50">
        <v>8</v>
      </c>
      <c r="F19" s="50">
        <v>6</v>
      </c>
      <c r="G19" s="50">
        <v>0</v>
      </c>
      <c r="H19" s="50">
        <v>0</v>
      </c>
      <c r="I19" s="50">
        <v>6</v>
      </c>
      <c r="J19" s="50">
        <v>0</v>
      </c>
      <c r="K19" s="50">
        <v>0</v>
      </c>
      <c r="L19" s="50">
        <v>2</v>
      </c>
      <c r="M19" s="50">
        <v>106</v>
      </c>
      <c r="N19" s="50">
        <v>0</v>
      </c>
      <c r="O19" s="15">
        <f t="shared" si="0"/>
        <v>40</v>
      </c>
      <c r="P19" s="15">
        <f t="shared" si="1"/>
        <v>146</v>
      </c>
      <c r="R19" s="1" t="s">
        <v>15</v>
      </c>
      <c r="S19" s="17">
        <f t="shared" ref="S19:AF19" si="11">SUM(C46:C49)</f>
        <v>40</v>
      </c>
      <c r="T19" s="17">
        <f t="shared" si="11"/>
        <v>33</v>
      </c>
      <c r="U19" s="17">
        <f t="shared" si="11"/>
        <v>12</v>
      </c>
      <c r="V19" s="17">
        <f t="shared" si="11"/>
        <v>29</v>
      </c>
      <c r="W19" s="17">
        <f t="shared" si="11"/>
        <v>2</v>
      </c>
      <c r="X19" s="17">
        <f t="shared" si="11"/>
        <v>0</v>
      </c>
      <c r="Y19" s="17">
        <f t="shared" si="11"/>
        <v>27</v>
      </c>
      <c r="Z19" s="17">
        <f t="shared" si="11"/>
        <v>10</v>
      </c>
      <c r="AA19" s="17">
        <f t="shared" si="11"/>
        <v>5</v>
      </c>
      <c r="AB19" s="17">
        <f t="shared" si="11"/>
        <v>6</v>
      </c>
      <c r="AC19" s="17">
        <f t="shared" si="11"/>
        <v>333</v>
      </c>
      <c r="AD19" s="17">
        <f t="shared" si="11"/>
        <v>1</v>
      </c>
      <c r="AE19" s="31">
        <f t="shared" si="11"/>
        <v>165</v>
      </c>
      <c r="AF19" s="31">
        <f t="shared" si="11"/>
        <v>498</v>
      </c>
    </row>
    <row r="20" spans="2:32" ht="23.1" customHeight="1" x14ac:dyDescent="0.25">
      <c r="B20" s="23" t="s">
        <v>47</v>
      </c>
      <c r="C20" s="50">
        <v>12</v>
      </c>
      <c r="D20" s="50">
        <v>6</v>
      </c>
      <c r="E20" s="50">
        <v>1</v>
      </c>
      <c r="F20" s="50">
        <v>7</v>
      </c>
      <c r="G20" s="50">
        <v>1</v>
      </c>
      <c r="H20" s="50">
        <v>0</v>
      </c>
      <c r="I20" s="50">
        <v>17</v>
      </c>
      <c r="J20" s="50">
        <v>4</v>
      </c>
      <c r="K20" s="50">
        <v>1</v>
      </c>
      <c r="L20" s="50">
        <v>1</v>
      </c>
      <c r="M20" s="50">
        <v>98</v>
      </c>
      <c r="N20" s="50">
        <v>1</v>
      </c>
      <c r="O20" s="15">
        <f t="shared" si="0"/>
        <v>51</v>
      </c>
      <c r="P20" s="15">
        <f t="shared" si="1"/>
        <v>149</v>
      </c>
      <c r="R20" s="1" t="s">
        <v>16</v>
      </c>
      <c r="S20" s="17">
        <f t="shared" ref="S20:AF20" si="12">SUM(C50:C53)</f>
        <v>58</v>
      </c>
      <c r="T20" s="17">
        <f t="shared" si="12"/>
        <v>17</v>
      </c>
      <c r="U20" s="17">
        <f t="shared" si="12"/>
        <v>11</v>
      </c>
      <c r="V20" s="17">
        <f t="shared" si="12"/>
        <v>40</v>
      </c>
      <c r="W20" s="17">
        <f t="shared" si="12"/>
        <v>3</v>
      </c>
      <c r="X20" s="17">
        <f t="shared" si="12"/>
        <v>0</v>
      </c>
      <c r="Y20" s="17">
        <f t="shared" si="12"/>
        <v>32</v>
      </c>
      <c r="Z20" s="17">
        <f t="shared" si="12"/>
        <v>10</v>
      </c>
      <c r="AA20" s="17">
        <f t="shared" si="12"/>
        <v>2</v>
      </c>
      <c r="AB20" s="17">
        <f t="shared" si="12"/>
        <v>1</v>
      </c>
      <c r="AC20" s="17">
        <f t="shared" si="12"/>
        <v>408</v>
      </c>
      <c r="AD20" s="17">
        <f t="shared" si="12"/>
        <v>0</v>
      </c>
      <c r="AE20" s="31">
        <f t="shared" si="12"/>
        <v>174</v>
      </c>
      <c r="AF20" s="31">
        <f t="shared" si="12"/>
        <v>582</v>
      </c>
    </row>
    <row r="21" spans="2:32" ht="23.1" customHeight="1" x14ac:dyDescent="0.25">
      <c r="B21" s="23" t="s">
        <v>48</v>
      </c>
      <c r="C21" s="50">
        <v>10</v>
      </c>
      <c r="D21" s="50">
        <v>11</v>
      </c>
      <c r="E21" s="50">
        <v>9</v>
      </c>
      <c r="F21" s="50">
        <v>7</v>
      </c>
      <c r="G21" s="50">
        <v>0</v>
      </c>
      <c r="H21" s="50">
        <v>0</v>
      </c>
      <c r="I21" s="50">
        <v>9</v>
      </c>
      <c r="J21" s="50">
        <v>2</v>
      </c>
      <c r="K21" s="50">
        <v>1</v>
      </c>
      <c r="L21" s="50">
        <v>0</v>
      </c>
      <c r="M21" s="50">
        <v>127</v>
      </c>
      <c r="N21" s="50">
        <v>0</v>
      </c>
      <c r="O21" s="15">
        <f t="shared" si="0"/>
        <v>49</v>
      </c>
      <c r="P21" s="15">
        <f t="shared" si="1"/>
        <v>176</v>
      </c>
      <c r="R21" s="36" t="s">
        <v>20</v>
      </c>
      <c r="S21" s="34">
        <f t="shared" ref="S21:AF21" si="13">SUM(C54:C57)</f>
        <v>44</v>
      </c>
      <c r="T21" s="17">
        <f t="shared" si="13"/>
        <v>27</v>
      </c>
      <c r="U21" s="17">
        <f t="shared" si="13"/>
        <v>10</v>
      </c>
      <c r="V21" s="17">
        <f t="shared" si="13"/>
        <v>33</v>
      </c>
      <c r="W21" s="17">
        <f t="shared" si="13"/>
        <v>1</v>
      </c>
      <c r="X21" s="17">
        <f t="shared" si="13"/>
        <v>0</v>
      </c>
      <c r="Y21" s="17">
        <f t="shared" si="13"/>
        <v>36</v>
      </c>
      <c r="Z21" s="17">
        <f t="shared" si="13"/>
        <v>5</v>
      </c>
      <c r="AA21" s="17">
        <f t="shared" si="13"/>
        <v>5</v>
      </c>
      <c r="AB21" s="17">
        <f t="shared" si="13"/>
        <v>2</v>
      </c>
      <c r="AC21" s="17">
        <f t="shared" si="13"/>
        <v>409</v>
      </c>
      <c r="AD21" s="17">
        <f t="shared" si="13"/>
        <v>0</v>
      </c>
      <c r="AE21" s="31">
        <f t="shared" si="13"/>
        <v>163</v>
      </c>
      <c r="AF21" s="31">
        <f t="shared" si="13"/>
        <v>572</v>
      </c>
    </row>
    <row r="22" spans="2:32" ht="23.1" customHeight="1" x14ac:dyDescent="0.25">
      <c r="B22" s="23" t="s">
        <v>49</v>
      </c>
      <c r="C22" s="50">
        <v>13</v>
      </c>
      <c r="D22" s="50">
        <v>6</v>
      </c>
      <c r="E22" s="50">
        <v>3</v>
      </c>
      <c r="F22" s="50">
        <v>11</v>
      </c>
      <c r="G22" s="50">
        <v>0</v>
      </c>
      <c r="H22" s="50">
        <v>0</v>
      </c>
      <c r="I22" s="50">
        <v>11</v>
      </c>
      <c r="J22" s="50">
        <v>3</v>
      </c>
      <c r="K22" s="50">
        <v>2</v>
      </c>
      <c r="L22" s="50">
        <v>1</v>
      </c>
      <c r="M22" s="50">
        <v>81</v>
      </c>
      <c r="N22" s="50">
        <v>0</v>
      </c>
      <c r="O22" s="15">
        <f t="shared" si="0"/>
        <v>50</v>
      </c>
      <c r="P22" s="15">
        <f t="shared" si="1"/>
        <v>131</v>
      </c>
      <c r="R22" s="38" t="s">
        <v>90</v>
      </c>
      <c r="S22" s="39">
        <f>MAX(S10:S12)</f>
        <v>47</v>
      </c>
      <c r="T22" s="39">
        <f t="shared" ref="T22:AF22" si="14">MAX(T10:T12)</f>
        <v>28</v>
      </c>
      <c r="U22" s="39">
        <f t="shared" si="14"/>
        <v>23</v>
      </c>
      <c r="V22" s="39">
        <f t="shared" si="14"/>
        <v>37</v>
      </c>
      <c r="W22" s="39">
        <f t="shared" si="14"/>
        <v>3</v>
      </c>
      <c r="X22" s="39">
        <f t="shared" si="14"/>
        <v>0</v>
      </c>
      <c r="Y22" s="39">
        <f t="shared" si="14"/>
        <v>43</v>
      </c>
      <c r="Z22" s="39">
        <f t="shared" si="14"/>
        <v>10</v>
      </c>
      <c r="AA22" s="39">
        <f t="shared" si="14"/>
        <v>4</v>
      </c>
      <c r="AB22" s="39">
        <f t="shared" si="14"/>
        <v>4</v>
      </c>
      <c r="AC22" s="39">
        <f t="shared" si="14"/>
        <v>464</v>
      </c>
      <c r="AD22" s="39">
        <f t="shared" si="14"/>
        <v>1</v>
      </c>
      <c r="AE22" s="40">
        <f t="shared" si="14"/>
        <v>184</v>
      </c>
      <c r="AF22" s="40">
        <f t="shared" si="14"/>
        <v>648</v>
      </c>
    </row>
    <row r="23" spans="2:32" ht="23.1" customHeight="1" x14ac:dyDescent="0.25">
      <c r="B23" s="23" t="s">
        <v>50</v>
      </c>
      <c r="C23" s="50">
        <v>12</v>
      </c>
      <c r="D23" s="50">
        <v>11</v>
      </c>
      <c r="E23" s="50">
        <v>4</v>
      </c>
      <c r="F23" s="50">
        <v>7</v>
      </c>
      <c r="G23" s="50">
        <v>1</v>
      </c>
      <c r="H23" s="50">
        <v>0</v>
      </c>
      <c r="I23" s="50">
        <v>10</v>
      </c>
      <c r="J23" s="50">
        <v>1</v>
      </c>
      <c r="K23" s="50">
        <v>2</v>
      </c>
      <c r="L23" s="50">
        <v>2</v>
      </c>
      <c r="M23" s="50">
        <v>90</v>
      </c>
      <c r="N23" s="50">
        <v>0</v>
      </c>
      <c r="O23" s="15">
        <f t="shared" si="0"/>
        <v>50</v>
      </c>
      <c r="P23" s="15">
        <f t="shared" si="1"/>
        <v>140</v>
      </c>
      <c r="R23" s="38" t="s">
        <v>91</v>
      </c>
      <c r="S23" s="39">
        <f>MAX(S13:S18)</f>
        <v>57</v>
      </c>
      <c r="T23" s="39">
        <f t="shared" ref="T23:AF23" si="15">MAX(T13:T18)</f>
        <v>67</v>
      </c>
      <c r="U23" s="39">
        <f t="shared" si="15"/>
        <v>21</v>
      </c>
      <c r="V23" s="39">
        <f t="shared" si="15"/>
        <v>34</v>
      </c>
      <c r="W23" s="39">
        <f t="shared" si="15"/>
        <v>2</v>
      </c>
      <c r="X23" s="39">
        <f t="shared" si="15"/>
        <v>1</v>
      </c>
      <c r="Y23" s="39">
        <f t="shared" si="15"/>
        <v>39</v>
      </c>
      <c r="Z23" s="39">
        <f t="shared" si="15"/>
        <v>15</v>
      </c>
      <c r="AA23" s="39">
        <f t="shared" si="15"/>
        <v>7</v>
      </c>
      <c r="AB23" s="39">
        <f t="shared" si="15"/>
        <v>7</v>
      </c>
      <c r="AC23" s="39">
        <f t="shared" si="15"/>
        <v>485</v>
      </c>
      <c r="AD23" s="39">
        <f t="shared" si="15"/>
        <v>1</v>
      </c>
      <c r="AE23" s="40">
        <f t="shared" si="15"/>
        <v>215</v>
      </c>
      <c r="AF23" s="40">
        <f t="shared" si="15"/>
        <v>700</v>
      </c>
    </row>
    <row r="24" spans="2:32" ht="23.1" customHeight="1" x14ac:dyDescent="0.25">
      <c r="B24" s="23" t="s">
        <v>51</v>
      </c>
      <c r="C24" s="50">
        <v>9</v>
      </c>
      <c r="D24" s="50">
        <v>7</v>
      </c>
      <c r="E24" s="50">
        <v>6</v>
      </c>
      <c r="F24" s="50">
        <v>6</v>
      </c>
      <c r="G24" s="50">
        <v>0</v>
      </c>
      <c r="H24" s="50">
        <v>0</v>
      </c>
      <c r="I24" s="50">
        <v>9</v>
      </c>
      <c r="J24" s="50">
        <v>1</v>
      </c>
      <c r="K24" s="50">
        <v>2</v>
      </c>
      <c r="L24" s="50">
        <v>3</v>
      </c>
      <c r="M24" s="50">
        <v>98</v>
      </c>
      <c r="N24" s="50">
        <v>0</v>
      </c>
      <c r="O24" s="15">
        <f t="shared" si="0"/>
        <v>43</v>
      </c>
      <c r="P24" s="15">
        <f t="shared" si="1"/>
        <v>141</v>
      </c>
      <c r="R24" s="38" t="s">
        <v>92</v>
      </c>
      <c r="S24" s="39">
        <f>MAX(S19:S21)</f>
        <v>58</v>
      </c>
      <c r="T24" s="39">
        <f t="shared" ref="T24:AF24" si="16">MAX(T19:T21)</f>
        <v>33</v>
      </c>
      <c r="U24" s="39">
        <f t="shared" si="16"/>
        <v>12</v>
      </c>
      <c r="V24" s="39">
        <f t="shared" si="16"/>
        <v>40</v>
      </c>
      <c r="W24" s="39">
        <f t="shared" si="16"/>
        <v>3</v>
      </c>
      <c r="X24" s="39">
        <f t="shared" si="16"/>
        <v>0</v>
      </c>
      <c r="Y24" s="39">
        <f t="shared" si="16"/>
        <v>36</v>
      </c>
      <c r="Z24" s="39">
        <f t="shared" si="16"/>
        <v>10</v>
      </c>
      <c r="AA24" s="39">
        <f t="shared" si="16"/>
        <v>5</v>
      </c>
      <c r="AB24" s="39">
        <f t="shared" si="16"/>
        <v>6</v>
      </c>
      <c r="AC24" s="39">
        <f t="shared" si="16"/>
        <v>409</v>
      </c>
      <c r="AD24" s="39">
        <f t="shared" si="16"/>
        <v>1</v>
      </c>
      <c r="AE24" s="40">
        <f t="shared" si="16"/>
        <v>174</v>
      </c>
      <c r="AF24" s="40">
        <f t="shared" si="16"/>
        <v>582</v>
      </c>
    </row>
    <row r="25" spans="2:32" ht="23.1" customHeight="1" x14ac:dyDescent="0.25">
      <c r="B25" s="23" t="s">
        <v>52</v>
      </c>
      <c r="C25" s="50">
        <v>5</v>
      </c>
      <c r="D25" s="50">
        <v>5</v>
      </c>
      <c r="E25" s="50">
        <v>2</v>
      </c>
      <c r="F25" s="50">
        <v>9</v>
      </c>
      <c r="G25" s="50">
        <v>1</v>
      </c>
      <c r="H25" s="50">
        <v>0</v>
      </c>
      <c r="I25" s="50">
        <v>9</v>
      </c>
      <c r="J25" s="50">
        <v>1</v>
      </c>
      <c r="K25" s="50">
        <v>0</v>
      </c>
      <c r="L25" s="50">
        <v>0</v>
      </c>
      <c r="M25" s="50">
        <v>79</v>
      </c>
      <c r="N25" s="50">
        <v>0</v>
      </c>
      <c r="O25" s="15">
        <f t="shared" si="0"/>
        <v>32</v>
      </c>
      <c r="P25" s="15">
        <f t="shared" si="1"/>
        <v>111</v>
      </c>
      <c r="R25" s="37" t="s">
        <v>85</v>
      </c>
      <c r="S25" s="35">
        <f t="shared" ref="S25:AF25" si="17">SUM(S10:S12)</f>
        <v>137</v>
      </c>
      <c r="T25" s="16">
        <f t="shared" si="17"/>
        <v>72</v>
      </c>
      <c r="U25" s="16">
        <f t="shared" si="17"/>
        <v>51</v>
      </c>
      <c r="V25" s="16">
        <f t="shared" si="17"/>
        <v>86</v>
      </c>
      <c r="W25" s="16">
        <f t="shared" si="17"/>
        <v>7</v>
      </c>
      <c r="X25" s="16">
        <f t="shared" si="17"/>
        <v>0</v>
      </c>
      <c r="Y25" s="16">
        <f t="shared" si="17"/>
        <v>99</v>
      </c>
      <c r="Z25" s="16">
        <f t="shared" si="17"/>
        <v>26</v>
      </c>
      <c r="AA25" s="16">
        <f t="shared" si="17"/>
        <v>7</v>
      </c>
      <c r="AB25" s="16">
        <f t="shared" si="17"/>
        <v>10</v>
      </c>
      <c r="AC25" s="16">
        <f t="shared" si="17"/>
        <v>1343</v>
      </c>
      <c r="AD25" s="16">
        <f t="shared" si="17"/>
        <v>1</v>
      </c>
      <c r="AE25" s="32">
        <f t="shared" si="17"/>
        <v>496</v>
      </c>
      <c r="AF25" s="32">
        <f t="shared" si="17"/>
        <v>1839</v>
      </c>
    </row>
    <row r="26" spans="2:32" ht="23.1" customHeight="1" x14ac:dyDescent="0.25">
      <c r="B26" s="23" t="s">
        <v>53</v>
      </c>
      <c r="C26" s="50">
        <v>4</v>
      </c>
      <c r="D26" s="50">
        <v>4</v>
      </c>
      <c r="E26" s="50">
        <v>1</v>
      </c>
      <c r="F26" s="50">
        <v>4</v>
      </c>
      <c r="G26" s="50">
        <v>1</v>
      </c>
      <c r="H26" s="50">
        <v>0</v>
      </c>
      <c r="I26" s="50">
        <v>8</v>
      </c>
      <c r="J26" s="50">
        <v>2</v>
      </c>
      <c r="K26" s="50">
        <v>2</v>
      </c>
      <c r="L26" s="50">
        <v>1</v>
      </c>
      <c r="M26" s="50">
        <v>108</v>
      </c>
      <c r="N26" s="50">
        <v>0</v>
      </c>
      <c r="O26" s="15">
        <f t="shared" si="0"/>
        <v>27</v>
      </c>
      <c r="P26" s="15">
        <f t="shared" si="1"/>
        <v>135</v>
      </c>
      <c r="R26" s="28" t="s">
        <v>86</v>
      </c>
      <c r="S26" s="16">
        <f t="shared" ref="S26:AF26" si="18">SUM(S13:S18)</f>
        <v>261</v>
      </c>
      <c r="T26" s="16">
        <f t="shared" si="18"/>
        <v>180</v>
      </c>
      <c r="U26" s="16">
        <f t="shared" si="18"/>
        <v>91</v>
      </c>
      <c r="V26" s="16">
        <f t="shared" si="18"/>
        <v>171</v>
      </c>
      <c r="W26" s="16">
        <f t="shared" si="18"/>
        <v>8</v>
      </c>
      <c r="X26" s="16">
        <f t="shared" si="18"/>
        <v>1</v>
      </c>
      <c r="Y26" s="16">
        <f t="shared" si="18"/>
        <v>184</v>
      </c>
      <c r="Z26" s="16">
        <f t="shared" si="18"/>
        <v>62</v>
      </c>
      <c r="AA26" s="16">
        <f t="shared" si="18"/>
        <v>31</v>
      </c>
      <c r="AB26" s="16">
        <f t="shared" si="18"/>
        <v>23</v>
      </c>
      <c r="AC26" s="16">
        <f t="shared" si="18"/>
        <v>2448</v>
      </c>
      <c r="AD26" s="16">
        <f t="shared" si="18"/>
        <v>1</v>
      </c>
      <c r="AE26" s="32">
        <f t="shared" si="18"/>
        <v>1013</v>
      </c>
      <c r="AF26" s="32">
        <f t="shared" si="18"/>
        <v>3461</v>
      </c>
    </row>
    <row r="27" spans="2:32" ht="23.1" customHeight="1" x14ac:dyDescent="0.25">
      <c r="B27" s="23" t="s">
        <v>54</v>
      </c>
      <c r="C27" s="50">
        <v>10</v>
      </c>
      <c r="D27" s="50">
        <v>7</v>
      </c>
      <c r="E27" s="50">
        <v>4</v>
      </c>
      <c r="F27" s="50">
        <v>8</v>
      </c>
      <c r="G27" s="50">
        <v>0</v>
      </c>
      <c r="H27" s="50">
        <v>0</v>
      </c>
      <c r="I27" s="50">
        <v>8</v>
      </c>
      <c r="J27" s="50">
        <v>2</v>
      </c>
      <c r="K27" s="50">
        <v>0</v>
      </c>
      <c r="L27" s="50">
        <v>1</v>
      </c>
      <c r="M27" s="50">
        <v>102</v>
      </c>
      <c r="N27" s="50">
        <v>0</v>
      </c>
      <c r="O27" s="15">
        <f t="shared" si="0"/>
        <v>40</v>
      </c>
      <c r="P27" s="15">
        <f t="shared" si="1"/>
        <v>142</v>
      </c>
      <c r="R27" s="29" t="s">
        <v>87</v>
      </c>
      <c r="S27" s="16">
        <f t="shared" ref="S27:AF27" si="19">SUM(S19:S21)</f>
        <v>142</v>
      </c>
      <c r="T27" s="16">
        <f t="shared" si="19"/>
        <v>77</v>
      </c>
      <c r="U27" s="16">
        <f t="shared" si="19"/>
        <v>33</v>
      </c>
      <c r="V27" s="16">
        <f t="shared" si="19"/>
        <v>102</v>
      </c>
      <c r="W27" s="16">
        <f t="shared" si="19"/>
        <v>6</v>
      </c>
      <c r="X27" s="16">
        <f t="shared" si="19"/>
        <v>0</v>
      </c>
      <c r="Y27" s="16">
        <f t="shared" si="19"/>
        <v>95</v>
      </c>
      <c r="Z27" s="16">
        <f t="shared" si="19"/>
        <v>25</v>
      </c>
      <c r="AA27" s="16">
        <f t="shared" si="19"/>
        <v>12</v>
      </c>
      <c r="AB27" s="16">
        <f t="shared" si="19"/>
        <v>9</v>
      </c>
      <c r="AC27" s="16">
        <f t="shared" si="19"/>
        <v>1150</v>
      </c>
      <c r="AD27" s="16">
        <f t="shared" si="19"/>
        <v>1</v>
      </c>
      <c r="AE27" s="32">
        <f t="shared" si="19"/>
        <v>502</v>
      </c>
      <c r="AF27" s="32">
        <f t="shared" si="19"/>
        <v>1652</v>
      </c>
    </row>
    <row r="28" spans="2:32" ht="23.1" customHeight="1" x14ac:dyDescent="0.25">
      <c r="B28" s="23" t="s">
        <v>55</v>
      </c>
      <c r="C28" s="50">
        <v>11</v>
      </c>
      <c r="D28" s="50">
        <v>8</v>
      </c>
      <c r="E28" s="50">
        <v>4</v>
      </c>
      <c r="F28" s="50">
        <v>7</v>
      </c>
      <c r="G28" s="50">
        <v>1</v>
      </c>
      <c r="H28" s="50">
        <v>0</v>
      </c>
      <c r="I28" s="50">
        <v>6</v>
      </c>
      <c r="J28" s="50">
        <v>1</v>
      </c>
      <c r="K28" s="50">
        <v>1</v>
      </c>
      <c r="L28" s="50">
        <v>0</v>
      </c>
      <c r="M28" s="50">
        <v>124</v>
      </c>
      <c r="N28" s="50">
        <v>0</v>
      </c>
      <c r="O28" s="15">
        <f t="shared" si="0"/>
        <v>39</v>
      </c>
      <c r="P28" s="15">
        <f t="shared" si="1"/>
        <v>163</v>
      </c>
      <c r="R28" s="5" t="s">
        <v>17</v>
      </c>
      <c r="S28" s="16">
        <f t="shared" ref="S28:AF28" si="20">SUM(S10:S21)</f>
        <v>540</v>
      </c>
      <c r="T28" s="16">
        <f t="shared" si="20"/>
        <v>329</v>
      </c>
      <c r="U28" s="16">
        <f t="shared" si="20"/>
        <v>175</v>
      </c>
      <c r="V28" s="16">
        <f t="shared" si="20"/>
        <v>359</v>
      </c>
      <c r="W28" s="16">
        <f t="shared" si="20"/>
        <v>21</v>
      </c>
      <c r="X28" s="16">
        <f t="shared" si="20"/>
        <v>1</v>
      </c>
      <c r="Y28" s="16">
        <f t="shared" si="20"/>
        <v>378</v>
      </c>
      <c r="Z28" s="16">
        <f t="shared" si="20"/>
        <v>113</v>
      </c>
      <c r="AA28" s="16">
        <f t="shared" si="20"/>
        <v>50</v>
      </c>
      <c r="AB28" s="16">
        <f t="shared" si="20"/>
        <v>42</v>
      </c>
      <c r="AC28" s="16">
        <f t="shared" si="20"/>
        <v>4941</v>
      </c>
      <c r="AD28" s="16">
        <f t="shared" si="20"/>
        <v>3</v>
      </c>
      <c r="AE28" s="32">
        <f t="shared" si="20"/>
        <v>2011</v>
      </c>
      <c r="AF28" s="32">
        <f t="shared" si="20"/>
        <v>6952</v>
      </c>
    </row>
    <row r="29" spans="2:32" ht="23.1" customHeight="1" x14ac:dyDescent="0.25">
      <c r="B29" s="23" t="s">
        <v>56</v>
      </c>
      <c r="C29" s="50">
        <v>12</v>
      </c>
      <c r="D29" s="50">
        <v>5</v>
      </c>
      <c r="E29" s="50">
        <v>3</v>
      </c>
      <c r="F29" s="50">
        <v>6</v>
      </c>
      <c r="G29" s="50">
        <v>0</v>
      </c>
      <c r="H29" s="50">
        <v>0</v>
      </c>
      <c r="I29" s="50">
        <v>8</v>
      </c>
      <c r="J29" s="50">
        <v>3</v>
      </c>
      <c r="K29" s="50">
        <v>1</v>
      </c>
      <c r="L29" s="50">
        <v>1</v>
      </c>
      <c r="M29" s="50">
        <v>103</v>
      </c>
      <c r="N29" s="50">
        <v>0</v>
      </c>
      <c r="O29" s="15">
        <f t="shared" si="0"/>
        <v>39</v>
      </c>
      <c r="P29" s="15">
        <f t="shared" si="1"/>
        <v>142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7</v>
      </c>
      <c r="E30" s="50">
        <v>2</v>
      </c>
      <c r="F30" s="50">
        <v>10</v>
      </c>
      <c r="G30" s="50">
        <v>0</v>
      </c>
      <c r="H30" s="50">
        <v>0</v>
      </c>
      <c r="I30" s="50">
        <v>12</v>
      </c>
      <c r="J30" s="50">
        <v>2</v>
      </c>
      <c r="K30" s="50">
        <v>3</v>
      </c>
      <c r="L30" s="50">
        <v>2</v>
      </c>
      <c r="M30" s="50">
        <v>107</v>
      </c>
      <c r="N30" s="50">
        <v>0</v>
      </c>
      <c r="O30" s="15">
        <f t="shared" si="0"/>
        <v>53</v>
      </c>
      <c r="P30" s="15">
        <f t="shared" si="1"/>
        <v>160</v>
      </c>
    </row>
    <row r="31" spans="2:32" ht="23.1" customHeight="1" x14ac:dyDescent="0.25">
      <c r="B31" s="24" t="s">
        <v>58</v>
      </c>
      <c r="C31" s="50">
        <v>10</v>
      </c>
      <c r="D31" s="50">
        <v>8</v>
      </c>
      <c r="E31" s="50">
        <v>4</v>
      </c>
      <c r="F31" s="50">
        <v>9</v>
      </c>
      <c r="G31" s="50">
        <v>0</v>
      </c>
      <c r="H31" s="50">
        <v>0</v>
      </c>
      <c r="I31" s="50">
        <v>7</v>
      </c>
      <c r="J31" s="50">
        <v>2</v>
      </c>
      <c r="K31" s="50">
        <v>1</v>
      </c>
      <c r="L31" s="50">
        <v>1</v>
      </c>
      <c r="M31" s="50">
        <v>115</v>
      </c>
      <c r="N31" s="50">
        <v>0</v>
      </c>
      <c r="O31" s="15">
        <f t="shared" si="0"/>
        <v>42</v>
      </c>
      <c r="P31" s="15">
        <f t="shared" si="1"/>
        <v>157</v>
      </c>
    </row>
    <row r="32" spans="2:32" ht="23.1" customHeight="1" x14ac:dyDescent="0.25">
      <c r="B32" s="24" t="s">
        <v>59</v>
      </c>
      <c r="C32" s="50">
        <v>12</v>
      </c>
      <c r="D32" s="50">
        <v>5</v>
      </c>
      <c r="E32" s="50">
        <v>0</v>
      </c>
      <c r="F32" s="50">
        <v>5</v>
      </c>
      <c r="G32" s="50">
        <v>0</v>
      </c>
      <c r="H32" s="50">
        <v>0</v>
      </c>
      <c r="I32" s="50">
        <v>9</v>
      </c>
      <c r="J32" s="50">
        <v>2</v>
      </c>
      <c r="K32" s="50">
        <v>1</v>
      </c>
      <c r="L32" s="50">
        <v>1</v>
      </c>
      <c r="M32" s="50">
        <v>83</v>
      </c>
      <c r="N32" s="50">
        <v>1</v>
      </c>
      <c r="O32" s="15">
        <f t="shared" si="0"/>
        <v>36</v>
      </c>
      <c r="P32" s="15">
        <f t="shared" si="1"/>
        <v>119</v>
      </c>
    </row>
    <row r="33" spans="2:20" ht="23.1" customHeight="1" x14ac:dyDescent="0.25">
      <c r="B33" s="23" t="s">
        <v>60</v>
      </c>
      <c r="C33" s="50">
        <v>11</v>
      </c>
      <c r="D33" s="50">
        <v>4</v>
      </c>
      <c r="E33" s="50">
        <v>7</v>
      </c>
      <c r="F33" s="50">
        <v>3</v>
      </c>
      <c r="G33" s="50">
        <v>0</v>
      </c>
      <c r="H33" s="50">
        <v>0</v>
      </c>
      <c r="I33" s="50">
        <v>9</v>
      </c>
      <c r="J33" s="50">
        <v>4</v>
      </c>
      <c r="K33" s="50">
        <v>2</v>
      </c>
      <c r="L33" s="50">
        <v>3</v>
      </c>
      <c r="M33" s="50">
        <v>96</v>
      </c>
      <c r="N33" s="50">
        <v>0</v>
      </c>
      <c r="O33" s="15">
        <f t="shared" si="0"/>
        <v>43</v>
      </c>
      <c r="P33" s="15">
        <f t="shared" si="1"/>
        <v>139</v>
      </c>
    </row>
    <row r="34" spans="2:20" ht="23.1" customHeight="1" x14ac:dyDescent="0.25">
      <c r="B34" s="24" t="s">
        <v>61</v>
      </c>
      <c r="C34" s="50">
        <v>14</v>
      </c>
      <c r="D34" s="50">
        <v>3</v>
      </c>
      <c r="E34" s="50">
        <v>4</v>
      </c>
      <c r="F34" s="50">
        <v>7</v>
      </c>
      <c r="G34" s="50">
        <v>0</v>
      </c>
      <c r="H34" s="50">
        <v>0</v>
      </c>
      <c r="I34" s="50">
        <v>6</v>
      </c>
      <c r="J34" s="50">
        <v>3</v>
      </c>
      <c r="K34" s="50">
        <v>0</v>
      </c>
      <c r="L34" s="50">
        <v>1</v>
      </c>
      <c r="M34" s="50">
        <v>113</v>
      </c>
      <c r="N34" s="50">
        <v>0</v>
      </c>
      <c r="O34" s="15">
        <f t="shared" si="0"/>
        <v>38</v>
      </c>
      <c r="P34" s="15">
        <f t="shared" si="1"/>
        <v>151</v>
      </c>
    </row>
    <row r="35" spans="2:20" ht="23.1" customHeight="1" x14ac:dyDescent="0.25">
      <c r="B35" s="24" t="s">
        <v>62</v>
      </c>
      <c r="C35" s="50">
        <v>10</v>
      </c>
      <c r="D35" s="50">
        <v>5</v>
      </c>
      <c r="E35" s="50">
        <v>2</v>
      </c>
      <c r="F35" s="50">
        <v>7</v>
      </c>
      <c r="G35" s="50">
        <v>1</v>
      </c>
      <c r="H35" s="50">
        <v>0</v>
      </c>
      <c r="I35" s="50">
        <v>7</v>
      </c>
      <c r="J35" s="50">
        <v>1</v>
      </c>
      <c r="K35" s="50">
        <v>2</v>
      </c>
      <c r="L35" s="50">
        <v>1</v>
      </c>
      <c r="M35" s="50">
        <v>116</v>
      </c>
      <c r="N35" s="50">
        <v>0</v>
      </c>
      <c r="O35" s="15">
        <f t="shared" si="0"/>
        <v>36</v>
      </c>
      <c r="P35" s="15">
        <f t="shared" si="1"/>
        <v>152</v>
      </c>
    </row>
    <row r="36" spans="2:20" ht="23.1" customHeight="1" x14ac:dyDescent="0.25">
      <c r="B36" s="24" t="s">
        <v>63</v>
      </c>
      <c r="C36" s="50">
        <v>10</v>
      </c>
      <c r="D36" s="50">
        <v>5</v>
      </c>
      <c r="E36" s="50">
        <v>2</v>
      </c>
      <c r="F36" s="50">
        <v>7</v>
      </c>
      <c r="G36" s="50">
        <v>1</v>
      </c>
      <c r="H36" s="50">
        <v>0</v>
      </c>
      <c r="I36" s="50">
        <v>10</v>
      </c>
      <c r="J36" s="50">
        <v>3</v>
      </c>
      <c r="K36" s="50">
        <v>1</v>
      </c>
      <c r="L36" s="50">
        <v>0</v>
      </c>
      <c r="M36" s="50">
        <v>100</v>
      </c>
      <c r="N36" s="50">
        <v>0</v>
      </c>
      <c r="O36" s="15">
        <f t="shared" si="0"/>
        <v>39</v>
      </c>
      <c r="P36" s="15">
        <f t="shared" si="1"/>
        <v>139</v>
      </c>
    </row>
    <row r="37" spans="2:20" ht="23.1" customHeight="1" x14ac:dyDescent="0.25">
      <c r="B37" s="23" t="s">
        <v>64</v>
      </c>
      <c r="C37" s="50">
        <v>9</v>
      </c>
      <c r="D37" s="50">
        <v>5</v>
      </c>
      <c r="E37" s="50">
        <v>3</v>
      </c>
      <c r="F37" s="50">
        <v>13</v>
      </c>
      <c r="G37" s="50">
        <v>0</v>
      </c>
      <c r="H37" s="50">
        <v>0</v>
      </c>
      <c r="I37" s="50">
        <v>6</v>
      </c>
      <c r="J37" s="50">
        <v>4</v>
      </c>
      <c r="K37" s="50">
        <v>0</v>
      </c>
      <c r="L37" s="50">
        <v>0</v>
      </c>
      <c r="M37" s="50">
        <v>98</v>
      </c>
      <c r="N37" s="50">
        <v>0</v>
      </c>
      <c r="O37" s="15">
        <f t="shared" si="0"/>
        <v>40</v>
      </c>
      <c r="P37" s="15">
        <f t="shared" si="1"/>
        <v>138</v>
      </c>
    </row>
    <row r="38" spans="2:20" ht="23.1" customHeight="1" x14ac:dyDescent="0.25">
      <c r="B38" s="24" t="s">
        <v>65</v>
      </c>
      <c r="C38" s="50">
        <v>7</v>
      </c>
      <c r="D38" s="50">
        <v>3</v>
      </c>
      <c r="E38" s="50">
        <v>5</v>
      </c>
      <c r="F38" s="50">
        <v>6</v>
      </c>
      <c r="G38" s="50">
        <v>1</v>
      </c>
      <c r="H38" s="50">
        <v>0</v>
      </c>
      <c r="I38" s="50">
        <v>13</v>
      </c>
      <c r="J38" s="50">
        <v>2</v>
      </c>
      <c r="K38" s="50">
        <v>0</v>
      </c>
      <c r="L38" s="50">
        <v>1</v>
      </c>
      <c r="M38" s="50">
        <v>80</v>
      </c>
      <c r="N38" s="50">
        <v>0</v>
      </c>
      <c r="O38" s="15">
        <f t="shared" si="0"/>
        <v>38</v>
      </c>
      <c r="P38" s="15">
        <f t="shared" si="1"/>
        <v>118</v>
      </c>
    </row>
    <row r="39" spans="2:20" ht="23.1" customHeight="1" x14ac:dyDescent="0.25">
      <c r="B39" s="24" t="s">
        <v>66</v>
      </c>
      <c r="C39" s="50">
        <v>14</v>
      </c>
      <c r="D39" s="50">
        <v>5</v>
      </c>
      <c r="E39" s="50">
        <v>5</v>
      </c>
      <c r="F39" s="50">
        <v>6</v>
      </c>
      <c r="G39" s="50">
        <v>0</v>
      </c>
      <c r="H39" s="50">
        <v>0</v>
      </c>
      <c r="I39" s="50">
        <v>7</v>
      </c>
      <c r="J39" s="50">
        <v>5</v>
      </c>
      <c r="K39" s="50">
        <v>1</v>
      </c>
      <c r="L39" s="50">
        <v>0</v>
      </c>
      <c r="M39" s="50">
        <v>107</v>
      </c>
      <c r="N39" s="50">
        <v>0</v>
      </c>
      <c r="O39" s="15">
        <f t="shared" si="0"/>
        <v>43</v>
      </c>
      <c r="P39" s="15">
        <f t="shared" si="1"/>
        <v>150</v>
      </c>
    </row>
    <row r="40" spans="2:20" ht="23.1" customHeight="1" x14ac:dyDescent="0.25">
      <c r="B40" s="24" t="s">
        <v>67</v>
      </c>
      <c r="C40" s="50">
        <v>13</v>
      </c>
      <c r="D40" s="50">
        <v>6</v>
      </c>
      <c r="E40" s="50">
        <v>5</v>
      </c>
      <c r="F40" s="50">
        <v>8</v>
      </c>
      <c r="G40" s="50">
        <v>0</v>
      </c>
      <c r="H40" s="50">
        <v>0</v>
      </c>
      <c r="I40" s="50">
        <v>3</v>
      </c>
      <c r="J40" s="50">
        <v>4</v>
      </c>
      <c r="K40" s="50">
        <v>4</v>
      </c>
      <c r="L40" s="50">
        <v>2</v>
      </c>
      <c r="M40" s="50">
        <v>107</v>
      </c>
      <c r="N40" s="50">
        <v>0</v>
      </c>
      <c r="O40" s="15">
        <f t="shared" si="0"/>
        <v>45</v>
      </c>
      <c r="P40" s="15">
        <f t="shared" si="1"/>
        <v>152</v>
      </c>
    </row>
    <row r="41" spans="2:20" ht="23.1" customHeight="1" x14ac:dyDescent="0.25">
      <c r="B41" s="23" t="s">
        <v>68</v>
      </c>
      <c r="C41" s="50">
        <v>3</v>
      </c>
      <c r="D41" s="50">
        <v>4</v>
      </c>
      <c r="E41" s="50">
        <v>6</v>
      </c>
      <c r="F41" s="50">
        <v>5</v>
      </c>
      <c r="G41" s="50">
        <v>0</v>
      </c>
      <c r="H41" s="50">
        <v>0</v>
      </c>
      <c r="I41" s="50">
        <v>3</v>
      </c>
      <c r="J41" s="50">
        <v>4</v>
      </c>
      <c r="K41" s="50">
        <v>0</v>
      </c>
      <c r="L41" s="50">
        <v>0</v>
      </c>
      <c r="M41" s="50">
        <v>56</v>
      </c>
      <c r="N41" s="50">
        <v>0</v>
      </c>
      <c r="O41" s="15">
        <f t="shared" si="0"/>
        <v>25</v>
      </c>
      <c r="P41" s="15">
        <f t="shared" si="1"/>
        <v>81</v>
      </c>
    </row>
    <row r="42" spans="2:20" ht="23.1" customHeight="1" x14ac:dyDescent="0.25">
      <c r="B42" s="24" t="s">
        <v>69</v>
      </c>
      <c r="C42" s="50">
        <v>12</v>
      </c>
      <c r="D42" s="50">
        <v>3</v>
      </c>
      <c r="E42" s="50">
        <v>4</v>
      </c>
      <c r="F42" s="50">
        <v>5</v>
      </c>
      <c r="G42" s="50">
        <v>0</v>
      </c>
      <c r="H42" s="50">
        <v>0</v>
      </c>
      <c r="I42" s="50">
        <v>4</v>
      </c>
      <c r="J42" s="50">
        <v>1</v>
      </c>
      <c r="K42" s="50">
        <v>0</v>
      </c>
      <c r="L42" s="50">
        <v>1</v>
      </c>
      <c r="M42" s="50">
        <v>103</v>
      </c>
      <c r="N42" s="50">
        <v>0</v>
      </c>
      <c r="O42" s="15">
        <f t="shared" si="0"/>
        <v>30</v>
      </c>
      <c r="P42" s="15">
        <f t="shared" si="1"/>
        <v>133</v>
      </c>
    </row>
    <row r="43" spans="2:20" ht="23.1" customHeight="1" x14ac:dyDescent="0.25">
      <c r="B43" s="23" t="s">
        <v>70</v>
      </c>
      <c r="C43" s="50">
        <v>10</v>
      </c>
      <c r="D43" s="50">
        <v>55</v>
      </c>
      <c r="E43" s="50">
        <v>4</v>
      </c>
      <c r="F43" s="50">
        <v>9</v>
      </c>
      <c r="G43" s="50">
        <v>1</v>
      </c>
      <c r="H43" s="50">
        <v>0</v>
      </c>
      <c r="I43" s="50">
        <v>6</v>
      </c>
      <c r="J43" s="50">
        <v>3</v>
      </c>
      <c r="K43" s="50">
        <v>2</v>
      </c>
      <c r="L43" s="50">
        <v>0</v>
      </c>
      <c r="M43" s="50">
        <v>120</v>
      </c>
      <c r="N43" s="50">
        <v>0</v>
      </c>
      <c r="O43" s="15">
        <f t="shared" si="0"/>
        <v>90</v>
      </c>
      <c r="P43" s="15">
        <f t="shared" si="1"/>
        <v>210</v>
      </c>
    </row>
    <row r="44" spans="2:20" ht="23.1" customHeight="1" x14ac:dyDescent="0.25">
      <c r="B44" s="25" t="s">
        <v>71</v>
      </c>
      <c r="C44" s="50">
        <v>19</v>
      </c>
      <c r="D44" s="50">
        <v>4</v>
      </c>
      <c r="E44" s="50">
        <v>5</v>
      </c>
      <c r="F44" s="50">
        <v>8</v>
      </c>
      <c r="G44" s="50">
        <v>0</v>
      </c>
      <c r="H44" s="50">
        <v>0</v>
      </c>
      <c r="I44" s="50">
        <v>5</v>
      </c>
      <c r="J44" s="50">
        <v>2</v>
      </c>
      <c r="K44" s="50">
        <v>1</v>
      </c>
      <c r="L44" s="50">
        <v>0</v>
      </c>
      <c r="M44" s="50">
        <v>111</v>
      </c>
      <c r="N44" s="50">
        <v>0</v>
      </c>
      <c r="O44" s="15">
        <f t="shared" si="0"/>
        <v>44</v>
      </c>
      <c r="P44" s="15">
        <f t="shared" si="1"/>
        <v>155</v>
      </c>
    </row>
    <row r="45" spans="2:20" ht="23.1" customHeight="1" x14ac:dyDescent="0.25">
      <c r="B45" s="23" t="s">
        <v>72</v>
      </c>
      <c r="C45" s="50">
        <v>16</v>
      </c>
      <c r="D45" s="50">
        <v>5</v>
      </c>
      <c r="E45" s="50">
        <v>6</v>
      </c>
      <c r="F45" s="50">
        <v>5</v>
      </c>
      <c r="G45" s="50">
        <v>0</v>
      </c>
      <c r="H45" s="50">
        <v>1</v>
      </c>
      <c r="I45" s="50">
        <v>8</v>
      </c>
      <c r="J45" s="50">
        <v>6</v>
      </c>
      <c r="K45" s="50">
        <v>3</v>
      </c>
      <c r="L45" s="50">
        <v>1</v>
      </c>
      <c r="M45" s="50">
        <v>151</v>
      </c>
      <c r="N45" s="50">
        <v>0</v>
      </c>
      <c r="O45" s="15">
        <f t="shared" si="0"/>
        <v>51</v>
      </c>
      <c r="P45" s="15">
        <f t="shared" si="1"/>
        <v>202</v>
      </c>
    </row>
    <row r="46" spans="2:20" ht="23.1" customHeight="1" x14ac:dyDescent="0.25">
      <c r="B46" s="24" t="s">
        <v>73</v>
      </c>
      <c r="C46" s="50">
        <v>7</v>
      </c>
      <c r="D46" s="50">
        <v>7</v>
      </c>
      <c r="E46" s="50">
        <v>4</v>
      </c>
      <c r="F46" s="50">
        <v>5</v>
      </c>
      <c r="G46" s="50">
        <v>0</v>
      </c>
      <c r="H46" s="50">
        <v>0</v>
      </c>
      <c r="I46" s="50">
        <v>7</v>
      </c>
      <c r="J46" s="50">
        <v>3</v>
      </c>
      <c r="K46" s="50">
        <v>1</v>
      </c>
      <c r="L46" s="50">
        <v>0</v>
      </c>
      <c r="M46" s="50">
        <v>80</v>
      </c>
      <c r="N46" s="50">
        <v>1</v>
      </c>
      <c r="O46" s="15">
        <f t="shared" si="0"/>
        <v>35</v>
      </c>
      <c r="P46" s="15">
        <f t="shared" si="1"/>
        <v>115</v>
      </c>
      <c r="R46" s="8"/>
      <c r="T46"/>
    </row>
    <row r="47" spans="2:20" ht="23.1" customHeight="1" x14ac:dyDescent="0.25">
      <c r="B47" s="24" t="s">
        <v>74</v>
      </c>
      <c r="C47" s="50">
        <v>11</v>
      </c>
      <c r="D47" s="50">
        <v>6</v>
      </c>
      <c r="E47" s="50">
        <v>4</v>
      </c>
      <c r="F47" s="50">
        <v>6</v>
      </c>
      <c r="G47" s="50">
        <v>1</v>
      </c>
      <c r="H47" s="50">
        <v>0</v>
      </c>
      <c r="I47" s="50">
        <v>4</v>
      </c>
      <c r="J47" s="50">
        <v>3</v>
      </c>
      <c r="K47" s="50">
        <v>1</v>
      </c>
      <c r="L47" s="50">
        <v>4</v>
      </c>
      <c r="M47" s="50">
        <v>84</v>
      </c>
      <c r="N47" s="50">
        <v>0</v>
      </c>
      <c r="O47" s="15">
        <f t="shared" si="0"/>
        <v>40</v>
      </c>
      <c r="P47" s="15">
        <f t="shared" si="1"/>
        <v>124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12</v>
      </c>
      <c r="E48" s="50">
        <v>3</v>
      </c>
      <c r="F48" s="50">
        <v>10</v>
      </c>
      <c r="G48" s="50">
        <v>0</v>
      </c>
      <c r="H48" s="50">
        <v>0</v>
      </c>
      <c r="I48" s="50">
        <v>10</v>
      </c>
      <c r="J48" s="50">
        <v>2</v>
      </c>
      <c r="K48" s="50">
        <v>1</v>
      </c>
      <c r="L48" s="50">
        <v>1</v>
      </c>
      <c r="M48" s="50">
        <v>95</v>
      </c>
      <c r="N48" s="50">
        <v>0</v>
      </c>
      <c r="O48" s="15">
        <f t="shared" si="0"/>
        <v>47</v>
      </c>
      <c r="P48" s="15">
        <f t="shared" si="1"/>
        <v>142</v>
      </c>
      <c r="R48" s="8"/>
      <c r="T48"/>
    </row>
    <row r="49" spans="2:20" ht="23.1" customHeight="1" x14ac:dyDescent="0.25">
      <c r="B49" s="23" t="s">
        <v>76</v>
      </c>
      <c r="C49" s="50">
        <v>14</v>
      </c>
      <c r="D49" s="50">
        <v>8</v>
      </c>
      <c r="E49" s="50">
        <v>1</v>
      </c>
      <c r="F49" s="50">
        <v>8</v>
      </c>
      <c r="G49" s="50">
        <v>1</v>
      </c>
      <c r="H49" s="50">
        <v>0</v>
      </c>
      <c r="I49" s="50">
        <v>6</v>
      </c>
      <c r="J49" s="50">
        <v>2</v>
      </c>
      <c r="K49" s="50">
        <v>2</v>
      </c>
      <c r="L49" s="50">
        <v>1</v>
      </c>
      <c r="M49" s="50">
        <v>74</v>
      </c>
      <c r="N49" s="50">
        <v>0</v>
      </c>
      <c r="O49" s="15">
        <f t="shared" si="0"/>
        <v>43</v>
      </c>
      <c r="P49" s="15">
        <f t="shared" si="1"/>
        <v>117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3</v>
      </c>
      <c r="E50" s="50">
        <v>4</v>
      </c>
      <c r="F50" s="50">
        <v>7</v>
      </c>
      <c r="G50" s="50">
        <v>1</v>
      </c>
      <c r="H50" s="50">
        <v>0</v>
      </c>
      <c r="I50" s="50">
        <v>8</v>
      </c>
      <c r="J50" s="50">
        <v>4</v>
      </c>
      <c r="K50" s="50">
        <v>1</v>
      </c>
      <c r="L50" s="50">
        <v>1</v>
      </c>
      <c r="M50" s="50">
        <v>101</v>
      </c>
      <c r="N50" s="50">
        <v>0</v>
      </c>
      <c r="O50" s="15">
        <f t="shared" si="0"/>
        <v>37</v>
      </c>
      <c r="P50" s="15">
        <f t="shared" si="1"/>
        <v>138</v>
      </c>
      <c r="R50" s="8"/>
      <c r="T50"/>
    </row>
    <row r="51" spans="2:20" ht="23.1" customHeight="1" x14ac:dyDescent="0.25">
      <c r="B51" s="24" t="s">
        <v>78</v>
      </c>
      <c r="C51" s="50">
        <v>15</v>
      </c>
      <c r="D51" s="50">
        <v>3</v>
      </c>
      <c r="E51" s="50">
        <v>3</v>
      </c>
      <c r="F51" s="50">
        <v>5</v>
      </c>
      <c r="G51" s="50">
        <v>1</v>
      </c>
      <c r="H51" s="50">
        <v>0</v>
      </c>
      <c r="I51" s="50">
        <v>7</v>
      </c>
      <c r="J51" s="50">
        <v>3</v>
      </c>
      <c r="K51" s="50">
        <v>0</v>
      </c>
      <c r="L51" s="50">
        <v>0</v>
      </c>
      <c r="M51" s="50">
        <v>77</v>
      </c>
      <c r="N51" s="50">
        <v>0</v>
      </c>
      <c r="O51" s="15">
        <f t="shared" si="0"/>
        <v>37</v>
      </c>
      <c r="P51" s="15">
        <f t="shared" si="1"/>
        <v>114</v>
      </c>
      <c r="R51" s="8"/>
      <c r="T51"/>
    </row>
    <row r="52" spans="2:20" ht="23.1" customHeight="1" x14ac:dyDescent="0.25">
      <c r="B52" s="24" t="s">
        <v>79</v>
      </c>
      <c r="C52" s="50">
        <v>18</v>
      </c>
      <c r="D52" s="50">
        <v>7</v>
      </c>
      <c r="E52" s="50">
        <v>1</v>
      </c>
      <c r="F52" s="50">
        <v>15</v>
      </c>
      <c r="G52" s="50">
        <v>0</v>
      </c>
      <c r="H52" s="50">
        <v>0</v>
      </c>
      <c r="I52" s="50">
        <v>7</v>
      </c>
      <c r="J52" s="50">
        <v>1</v>
      </c>
      <c r="K52" s="50">
        <v>0</v>
      </c>
      <c r="L52" s="50">
        <v>0</v>
      </c>
      <c r="M52" s="50">
        <v>108</v>
      </c>
      <c r="N52" s="50">
        <v>0</v>
      </c>
      <c r="O52" s="15">
        <f t="shared" si="0"/>
        <v>49</v>
      </c>
      <c r="P52" s="15">
        <f t="shared" si="1"/>
        <v>157</v>
      </c>
      <c r="R52" s="8"/>
      <c r="T52"/>
    </row>
    <row r="53" spans="2:20" ht="23.1" customHeight="1" x14ac:dyDescent="0.25">
      <c r="B53" s="23" t="s">
        <v>80</v>
      </c>
      <c r="C53" s="50">
        <v>17</v>
      </c>
      <c r="D53" s="50">
        <v>4</v>
      </c>
      <c r="E53" s="50">
        <v>3</v>
      </c>
      <c r="F53" s="50">
        <v>13</v>
      </c>
      <c r="G53" s="50">
        <v>1</v>
      </c>
      <c r="H53" s="50">
        <v>0</v>
      </c>
      <c r="I53" s="50">
        <v>10</v>
      </c>
      <c r="J53" s="50">
        <v>2</v>
      </c>
      <c r="K53" s="50">
        <v>1</v>
      </c>
      <c r="L53" s="50">
        <v>0</v>
      </c>
      <c r="M53" s="50">
        <v>122</v>
      </c>
      <c r="N53" s="50">
        <v>0</v>
      </c>
      <c r="O53" s="15">
        <f t="shared" si="0"/>
        <v>51</v>
      </c>
      <c r="P53" s="15">
        <f t="shared" si="1"/>
        <v>173</v>
      </c>
      <c r="R53" s="8"/>
      <c r="T53"/>
    </row>
    <row r="54" spans="2:20" ht="23.1" customHeight="1" x14ac:dyDescent="0.25">
      <c r="B54" s="23" t="s">
        <v>81</v>
      </c>
      <c r="C54" s="50">
        <v>9</v>
      </c>
      <c r="D54" s="50">
        <v>10</v>
      </c>
      <c r="E54" s="50">
        <v>2</v>
      </c>
      <c r="F54" s="50">
        <v>12</v>
      </c>
      <c r="G54" s="50">
        <v>0</v>
      </c>
      <c r="H54" s="50">
        <v>0</v>
      </c>
      <c r="I54" s="50">
        <v>10</v>
      </c>
      <c r="J54" s="50">
        <v>2</v>
      </c>
      <c r="K54" s="50">
        <v>1</v>
      </c>
      <c r="L54" s="50">
        <v>0</v>
      </c>
      <c r="M54" s="50">
        <v>89</v>
      </c>
      <c r="N54" s="50">
        <v>0</v>
      </c>
      <c r="O54" s="15">
        <f t="shared" si="0"/>
        <v>46</v>
      </c>
      <c r="P54" s="15">
        <f t="shared" si="1"/>
        <v>135</v>
      </c>
      <c r="R54" s="8"/>
      <c r="T54"/>
    </row>
    <row r="55" spans="2:20" ht="23.1" customHeight="1" x14ac:dyDescent="0.25">
      <c r="B55" s="23" t="s">
        <v>82</v>
      </c>
      <c r="C55" s="50">
        <v>14</v>
      </c>
      <c r="D55" s="50">
        <v>4</v>
      </c>
      <c r="E55" s="50">
        <v>4</v>
      </c>
      <c r="F55" s="50">
        <v>10</v>
      </c>
      <c r="G55" s="50">
        <v>0</v>
      </c>
      <c r="H55" s="50">
        <v>0</v>
      </c>
      <c r="I55" s="50">
        <v>13</v>
      </c>
      <c r="J55" s="50">
        <v>2</v>
      </c>
      <c r="K55" s="50">
        <v>1</v>
      </c>
      <c r="L55" s="50">
        <v>0</v>
      </c>
      <c r="M55" s="50">
        <v>114</v>
      </c>
      <c r="N55" s="50">
        <v>0</v>
      </c>
      <c r="O55" s="15">
        <f t="shared" si="0"/>
        <v>48</v>
      </c>
      <c r="P55" s="15">
        <f t="shared" si="1"/>
        <v>162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4</v>
      </c>
      <c r="E56" s="50">
        <v>2</v>
      </c>
      <c r="F56" s="50">
        <v>4</v>
      </c>
      <c r="G56" s="50">
        <v>0</v>
      </c>
      <c r="H56" s="50">
        <v>0</v>
      </c>
      <c r="I56" s="50">
        <v>7</v>
      </c>
      <c r="J56" s="50">
        <v>0</v>
      </c>
      <c r="K56" s="50">
        <v>2</v>
      </c>
      <c r="L56" s="50">
        <v>1</v>
      </c>
      <c r="M56" s="50">
        <v>91</v>
      </c>
      <c r="N56" s="50">
        <v>0</v>
      </c>
      <c r="O56" s="15">
        <f t="shared" si="0"/>
        <v>27</v>
      </c>
      <c r="P56" s="15">
        <f t="shared" si="1"/>
        <v>118</v>
      </c>
      <c r="R56" s="8"/>
      <c r="T56"/>
    </row>
    <row r="57" spans="2:20" ht="23.1" customHeight="1" x14ac:dyDescent="0.25">
      <c r="B57" s="23" t="s">
        <v>84</v>
      </c>
      <c r="C57" s="50">
        <v>14</v>
      </c>
      <c r="D57" s="50">
        <v>9</v>
      </c>
      <c r="E57" s="50">
        <v>2</v>
      </c>
      <c r="F57" s="50">
        <v>7</v>
      </c>
      <c r="G57" s="50">
        <v>1</v>
      </c>
      <c r="H57" s="50">
        <v>0</v>
      </c>
      <c r="I57" s="50">
        <v>6</v>
      </c>
      <c r="J57" s="50">
        <v>1</v>
      </c>
      <c r="K57" s="50">
        <v>1</v>
      </c>
      <c r="L57" s="50">
        <v>1</v>
      </c>
      <c r="M57" s="50">
        <v>115</v>
      </c>
      <c r="N57" s="50">
        <v>0</v>
      </c>
      <c r="O57" s="15">
        <f t="shared" si="0"/>
        <v>42</v>
      </c>
      <c r="P57" s="15">
        <f t="shared" si="1"/>
        <v>157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540</v>
      </c>
      <c r="D58" s="16">
        <f t="shared" si="21"/>
        <v>329</v>
      </c>
      <c r="E58" s="16">
        <f t="shared" si="21"/>
        <v>175</v>
      </c>
      <c r="F58" s="16">
        <f t="shared" si="21"/>
        <v>359</v>
      </c>
      <c r="G58" s="16">
        <f t="shared" si="21"/>
        <v>21</v>
      </c>
      <c r="H58" s="16">
        <f t="shared" si="21"/>
        <v>1</v>
      </c>
      <c r="I58" s="16">
        <f t="shared" si="21"/>
        <v>378</v>
      </c>
      <c r="J58" s="16">
        <f t="shared" si="21"/>
        <v>113</v>
      </c>
      <c r="K58" s="16">
        <f t="shared" si="21"/>
        <v>50</v>
      </c>
      <c r="L58" s="16">
        <f t="shared" si="21"/>
        <v>42</v>
      </c>
      <c r="M58" s="16">
        <f t="shared" si="21"/>
        <v>4941</v>
      </c>
      <c r="N58" s="16">
        <f t="shared" si="21"/>
        <v>3</v>
      </c>
      <c r="O58" s="16">
        <f t="shared" si="21"/>
        <v>2011</v>
      </c>
      <c r="P58" s="16">
        <f t="shared" si="21"/>
        <v>6952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7.7675489067894135E-2</v>
      </c>
      <c r="D59" s="43">
        <f t="shared" si="22"/>
        <v>4.7324510932105872E-2</v>
      </c>
      <c r="E59" s="43">
        <f t="shared" si="22"/>
        <v>2.5172612197928653E-2</v>
      </c>
      <c r="F59" s="43">
        <f t="shared" si="22"/>
        <v>5.163981588032221E-2</v>
      </c>
      <c r="G59" s="43">
        <f t="shared" si="22"/>
        <v>3.0207134637514382E-3</v>
      </c>
      <c r="H59" s="43">
        <f t="shared" si="22"/>
        <v>1.4384349827387802E-4</v>
      </c>
      <c r="I59" s="43">
        <f t="shared" si="22"/>
        <v>5.4372842347525895E-2</v>
      </c>
      <c r="J59" s="43">
        <f t="shared" si="22"/>
        <v>1.6254315304948218E-2</v>
      </c>
      <c r="K59" s="43">
        <f t="shared" si="22"/>
        <v>7.1921749136939009E-3</v>
      </c>
      <c r="L59" s="43">
        <f t="shared" si="22"/>
        <v>6.0414269275028765E-3</v>
      </c>
      <c r="M59" s="43">
        <f t="shared" si="22"/>
        <v>0.71073072497123135</v>
      </c>
      <c r="N59" s="43">
        <f t="shared" si="22"/>
        <v>4.3153049482163404E-4</v>
      </c>
      <c r="R59" s="8"/>
      <c r="T59"/>
    </row>
    <row r="60" spans="2:20" ht="23.1" customHeight="1" x14ac:dyDescent="0.25">
      <c r="B60" s="42" t="s">
        <v>94</v>
      </c>
      <c r="C60" s="44">
        <f>C58/$O$58</f>
        <v>0.26852312282446544</v>
      </c>
      <c r="D60" s="44">
        <f t="shared" ref="D60:N60" si="23">D58/$O$58</f>
        <v>0.1636001989060169</v>
      </c>
      <c r="E60" s="44">
        <f t="shared" si="23"/>
        <v>8.7021382396817504E-2</v>
      </c>
      <c r="F60" s="44">
        <f t="shared" si="23"/>
        <v>0.17851815017404277</v>
      </c>
      <c r="G60" s="44">
        <f t="shared" si="23"/>
        <v>1.04425658876181E-2</v>
      </c>
      <c r="H60" s="44">
        <f t="shared" si="23"/>
        <v>4.9726504226752855E-4</v>
      </c>
      <c r="I60" s="44">
        <f t="shared" si="23"/>
        <v>0.1879661859771258</v>
      </c>
      <c r="J60" s="44">
        <f t="shared" si="23"/>
        <v>5.6190949776230729E-2</v>
      </c>
      <c r="K60" s="44">
        <f t="shared" si="23"/>
        <v>2.4863252113376429E-2</v>
      </c>
      <c r="L60" s="44">
        <f t="shared" si="23"/>
        <v>2.0885131775236199E-2</v>
      </c>
      <c r="M60" s="44"/>
      <c r="N60" s="44">
        <f t="shared" si="23"/>
        <v>1.4917951268025858E-3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E12" sqref="E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8" t="str">
        <f>'29.10 KATOSI-MUKONO'!C3:G3</f>
        <v>MCC - C2 - STN077 - KATOSI ROAD</v>
      </c>
      <c r="D3" s="58"/>
      <c r="E3" s="58"/>
      <c r="F3" s="58"/>
      <c r="G3" s="5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'4.11 MUKONO-KATOSI'!D5</f>
        <v>4.11.2019</v>
      </c>
      <c r="E5" s="3"/>
      <c r="F5" s="41" t="s">
        <v>1</v>
      </c>
      <c r="G5" s="53" t="str">
        <f>'4.11 MUKONO-KATOSI'!G5:H5</f>
        <v>SHELL PETROL STATION</v>
      </c>
      <c r="H5" s="54"/>
      <c r="I5" s="14"/>
      <c r="J5" s="2" t="s">
        <v>5</v>
      </c>
      <c r="K5" s="53" t="s">
        <v>170</v>
      </c>
      <c r="L5" s="54"/>
      <c r="M5" s="10"/>
      <c r="N5" s="10"/>
      <c r="O5" s="3"/>
      <c r="P5" s="3"/>
    </row>
    <row r="6" spans="2:32" ht="23.25" customHeight="1" x14ac:dyDescent="0.25">
      <c r="C6" s="2" t="s">
        <v>4</v>
      </c>
      <c r="D6" s="53" t="str">
        <f>'29.10 KATOSI-MUKONO'!D6:E6</f>
        <v>KATOSI</v>
      </c>
      <c r="E6" s="54"/>
      <c r="F6" s="2" t="s">
        <v>2</v>
      </c>
      <c r="G6" s="53" t="str">
        <f>'29.10 KATOSI-MUKONO'!G6:H6</f>
        <v>MUKONO</v>
      </c>
      <c r="H6" s="54"/>
      <c r="J6" s="2" t="s">
        <v>21</v>
      </c>
      <c r="K6" s="53" t="str">
        <f>'4.11 MUKONO-KATOSI'!K6:L6</f>
        <v>VICTOR M</v>
      </c>
      <c r="L6" s="5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13</v>
      </c>
      <c r="D10" s="50">
        <v>2</v>
      </c>
      <c r="E10" s="50">
        <v>1</v>
      </c>
      <c r="F10" s="50">
        <v>10</v>
      </c>
      <c r="G10" s="50">
        <v>0</v>
      </c>
      <c r="H10" s="50">
        <v>0</v>
      </c>
      <c r="I10" s="50">
        <v>4</v>
      </c>
      <c r="J10" s="50">
        <v>1</v>
      </c>
      <c r="K10" s="50">
        <v>1</v>
      </c>
      <c r="L10" s="50">
        <v>0</v>
      </c>
      <c r="M10" s="50">
        <v>103</v>
      </c>
      <c r="N10" s="50">
        <v>0</v>
      </c>
      <c r="O10" s="15">
        <f t="shared" ref="O10:O57" si="0">SUM(C10:L10,N10)</f>
        <v>32</v>
      </c>
      <c r="P10" s="15">
        <f t="shared" ref="P10:P57" si="1">SUM(C10:N10)</f>
        <v>135</v>
      </c>
      <c r="R10" s="1" t="s">
        <v>6</v>
      </c>
      <c r="S10" s="17">
        <f t="shared" ref="S10:AF10" si="2">SUM(C10:C13)</f>
        <v>53</v>
      </c>
      <c r="T10" s="17">
        <f t="shared" si="2"/>
        <v>12</v>
      </c>
      <c r="U10" s="17">
        <f t="shared" si="2"/>
        <v>5</v>
      </c>
      <c r="V10" s="17">
        <f t="shared" si="2"/>
        <v>46</v>
      </c>
      <c r="W10" s="17">
        <f t="shared" si="2"/>
        <v>6</v>
      </c>
      <c r="X10" s="17">
        <f t="shared" si="2"/>
        <v>0</v>
      </c>
      <c r="Y10" s="17">
        <f t="shared" si="2"/>
        <v>12</v>
      </c>
      <c r="Z10" s="17">
        <f t="shared" si="2"/>
        <v>6</v>
      </c>
      <c r="AA10" s="17">
        <f t="shared" si="2"/>
        <v>3</v>
      </c>
      <c r="AB10" s="17">
        <f t="shared" si="2"/>
        <v>0</v>
      </c>
      <c r="AC10" s="17">
        <f t="shared" si="2"/>
        <v>366</v>
      </c>
      <c r="AD10" s="17">
        <f t="shared" si="2"/>
        <v>0</v>
      </c>
      <c r="AE10" s="31">
        <f t="shared" si="2"/>
        <v>143</v>
      </c>
      <c r="AF10" s="31">
        <f t="shared" si="2"/>
        <v>509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3</v>
      </c>
      <c r="E11" s="50">
        <v>2</v>
      </c>
      <c r="F11" s="50">
        <v>11</v>
      </c>
      <c r="G11" s="50">
        <v>3</v>
      </c>
      <c r="H11" s="50">
        <v>0</v>
      </c>
      <c r="I11" s="50">
        <v>1</v>
      </c>
      <c r="J11" s="50">
        <v>2</v>
      </c>
      <c r="K11" s="50">
        <v>1</v>
      </c>
      <c r="L11" s="50">
        <v>0</v>
      </c>
      <c r="M11" s="50">
        <v>106</v>
      </c>
      <c r="N11" s="50">
        <v>0</v>
      </c>
      <c r="O11" s="15">
        <f t="shared" si="0"/>
        <v>37</v>
      </c>
      <c r="P11" s="15">
        <f t="shared" si="1"/>
        <v>143</v>
      </c>
      <c r="R11" s="1" t="s">
        <v>7</v>
      </c>
      <c r="S11" s="17">
        <f t="shared" ref="S11:AF11" si="3">SUM(C14:C17)</f>
        <v>33</v>
      </c>
      <c r="T11" s="17">
        <f t="shared" si="3"/>
        <v>15</v>
      </c>
      <c r="U11" s="17">
        <f t="shared" si="3"/>
        <v>10</v>
      </c>
      <c r="V11" s="17">
        <f t="shared" si="3"/>
        <v>33</v>
      </c>
      <c r="W11" s="17">
        <f t="shared" si="3"/>
        <v>3</v>
      </c>
      <c r="X11" s="17">
        <f t="shared" si="3"/>
        <v>0</v>
      </c>
      <c r="Y11" s="17">
        <f t="shared" si="3"/>
        <v>20</v>
      </c>
      <c r="Z11" s="17">
        <f t="shared" si="3"/>
        <v>4</v>
      </c>
      <c r="AA11" s="17">
        <f t="shared" si="3"/>
        <v>1</v>
      </c>
      <c r="AB11" s="17">
        <f t="shared" si="3"/>
        <v>0</v>
      </c>
      <c r="AC11" s="17">
        <f t="shared" si="3"/>
        <v>372</v>
      </c>
      <c r="AD11" s="17">
        <f t="shared" si="3"/>
        <v>0</v>
      </c>
      <c r="AE11" s="31">
        <f t="shared" si="3"/>
        <v>119</v>
      </c>
      <c r="AF11" s="31">
        <f t="shared" si="3"/>
        <v>491</v>
      </c>
    </row>
    <row r="12" spans="2:32" ht="23.1" customHeight="1" x14ac:dyDescent="0.25">
      <c r="B12" s="23" t="s">
        <v>39</v>
      </c>
      <c r="C12" s="50">
        <v>16</v>
      </c>
      <c r="D12" s="50">
        <v>1</v>
      </c>
      <c r="E12" s="50">
        <v>1</v>
      </c>
      <c r="F12" s="50">
        <v>14</v>
      </c>
      <c r="G12" s="50">
        <v>2</v>
      </c>
      <c r="H12" s="50">
        <v>0</v>
      </c>
      <c r="I12" s="50">
        <v>3</v>
      </c>
      <c r="J12" s="50">
        <v>1</v>
      </c>
      <c r="K12" s="50">
        <v>0</v>
      </c>
      <c r="L12" s="50">
        <v>0</v>
      </c>
      <c r="M12" s="50">
        <v>75</v>
      </c>
      <c r="N12" s="50">
        <v>0</v>
      </c>
      <c r="O12" s="15">
        <f t="shared" si="0"/>
        <v>38</v>
      </c>
      <c r="P12" s="15">
        <f t="shared" si="1"/>
        <v>113</v>
      </c>
      <c r="R12" s="1" t="s">
        <v>8</v>
      </c>
      <c r="S12" s="17">
        <f t="shared" ref="S12:AF12" si="4">SUM(C18:C21)</f>
        <v>39</v>
      </c>
      <c r="T12" s="17">
        <f t="shared" si="4"/>
        <v>11</v>
      </c>
      <c r="U12" s="17">
        <f t="shared" si="4"/>
        <v>9</v>
      </c>
      <c r="V12" s="17">
        <f t="shared" si="4"/>
        <v>49</v>
      </c>
      <c r="W12" s="17">
        <f t="shared" si="4"/>
        <v>2</v>
      </c>
      <c r="X12" s="17">
        <f t="shared" si="4"/>
        <v>0</v>
      </c>
      <c r="Y12" s="17">
        <f t="shared" si="4"/>
        <v>30</v>
      </c>
      <c r="Z12" s="17">
        <f t="shared" si="4"/>
        <v>7</v>
      </c>
      <c r="AA12" s="17">
        <f t="shared" si="4"/>
        <v>1</v>
      </c>
      <c r="AB12" s="17">
        <f t="shared" si="4"/>
        <v>0</v>
      </c>
      <c r="AC12" s="17">
        <f t="shared" si="4"/>
        <v>431</v>
      </c>
      <c r="AD12" s="17">
        <f t="shared" si="4"/>
        <v>0</v>
      </c>
      <c r="AE12" s="31">
        <f t="shared" si="4"/>
        <v>148</v>
      </c>
      <c r="AF12" s="31">
        <f t="shared" si="4"/>
        <v>579</v>
      </c>
    </row>
    <row r="13" spans="2:32" ht="23.1" customHeight="1" x14ac:dyDescent="0.25">
      <c r="B13" s="23" t="s">
        <v>40</v>
      </c>
      <c r="C13" s="50">
        <v>10</v>
      </c>
      <c r="D13" s="50">
        <v>6</v>
      </c>
      <c r="E13" s="50">
        <v>1</v>
      </c>
      <c r="F13" s="50">
        <v>11</v>
      </c>
      <c r="G13" s="50">
        <v>1</v>
      </c>
      <c r="H13" s="50">
        <v>0</v>
      </c>
      <c r="I13" s="50">
        <v>4</v>
      </c>
      <c r="J13" s="50">
        <v>2</v>
      </c>
      <c r="K13" s="50">
        <v>1</v>
      </c>
      <c r="L13" s="50">
        <v>0</v>
      </c>
      <c r="M13" s="50">
        <v>82</v>
      </c>
      <c r="N13" s="50">
        <v>0</v>
      </c>
      <c r="O13" s="15">
        <f t="shared" si="0"/>
        <v>36</v>
      </c>
      <c r="P13" s="15">
        <f t="shared" si="1"/>
        <v>118</v>
      </c>
      <c r="R13" s="1" t="s">
        <v>9</v>
      </c>
      <c r="S13" s="17">
        <f t="shared" ref="S13:AF13" si="5">SUM(C22:C25)</f>
        <v>41</v>
      </c>
      <c r="T13" s="17">
        <f t="shared" si="5"/>
        <v>8</v>
      </c>
      <c r="U13" s="17">
        <f t="shared" si="5"/>
        <v>11</v>
      </c>
      <c r="V13" s="17">
        <f t="shared" si="5"/>
        <v>28</v>
      </c>
      <c r="W13" s="17">
        <f t="shared" si="5"/>
        <v>0</v>
      </c>
      <c r="X13" s="17">
        <f t="shared" si="5"/>
        <v>0</v>
      </c>
      <c r="Y13" s="17">
        <f t="shared" si="5"/>
        <v>32</v>
      </c>
      <c r="Z13" s="17">
        <f t="shared" si="5"/>
        <v>8</v>
      </c>
      <c r="AA13" s="17">
        <f t="shared" si="5"/>
        <v>0</v>
      </c>
      <c r="AB13" s="17">
        <f t="shared" si="5"/>
        <v>0</v>
      </c>
      <c r="AC13" s="17">
        <f t="shared" si="5"/>
        <v>429</v>
      </c>
      <c r="AD13" s="17">
        <f t="shared" si="5"/>
        <v>0</v>
      </c>
      <c r="AE13" s="31">
        <f t="shared" si="5"/>
        <v>128</v>
      </c>
      <c r="AF13" s="31">
        <f t="shared" si="5"/>
        <v>557</v>
      </c>
    </row>
    <row r="14" spans="2:32" ht="23.1" customHeight="1" x14ac:dyDescent="0.25">
      <c r="B14" s="23" t="s">
        <v>41</v>
      </c>
      <c r="C14" s="50">
        <v>14</v>
      </c>
      <c r="D14" s="50">
        <v>3</v>
      </c>
      <c r="E14" s="50">
        <v>5</v>
      </c>
      <c r="F14" s="50">
        <v>14</v>
      </c>
      <c r="G14" s="50">
        <v>0</v>
      </c>
      <c r="H14" s="50">
        <v>0</v>
      </c>
      <c r="I14" s="50">
        <v>7</v>
      </c>
      <c r="J14" s="50">
        <v>1</v>
      </c>
      <c r="K14" s="50">
        <v>0</v>
      </c>
      <c r="L14" s="50">
        <v>0</v>
      </c>
      <c r="M14" s="50">
        <v>110</v>
      </c>
      <c r="N14" s="50">
        <v>0</v>
      </c>
      <c r="O14" s="15">
        <f t="shared" si="0"/>
        <v>44</v>
      </c>
      <c r="P14" s="15">
        <f t="shared" si="1"/>
        <v>154</v>
      </c>
      <c r="R14" s="1" t="s">
        <v>10</v>
      </c>
      <c r="S14" s="17">
        <f t="shared" ref="S14:AF14" si="6">SUM(C26:C29)</f>
        <v>27</v>
      </c>
      <c r="T14" s="17">
        <f t="shared" si="6"/>
        <v>14</v>
      </c>
      <c r="U14" s="17">
        <f t="shared" si="6"/>
        <v>14</v>
      </c>
      <c r="V14" s="17">
        <f t="shared" si="6"/>
        <v>26</v>
      </c>
      <c r="W14" s="17">
        <f t="shared" si="6"/>
        <v>1</v>
      </c>
      <c r="X14" s="17">
        <f t="shared" si="6"/>
        <v>0</v>
      </c>
      <c r="Y14" s="17">
        <f t="shared" si="6"/>
        <v>26</v>
      </c>
      <c r="Z14" s="17">
        <f t="shared" si="6"/>
        <v>9</v>
      </c>
      <c r="AA14" s="17">
        <f t="shared" si="6"/>
        <v>2</v>
      </c>
      <c r="AB14" s="17">
        <f t="shared" si="6"/>
        <v>2</v>
      </c>
      <c r="AC14" s="17">
        <f t="shared" si="6"/>
        <v>400</v>
      </c>
      <c r="AD14" s="17">
        <f t="shared" si="6"/>
        <v>0</v>
      </c>
      <c r="AE14" s="31">
        <f t="shared" si="6"/>
        <v>121</v>
      </c>
      <c r="AF14" s="31">
        <f t="shared" si="6"/>
        <v>521</v>
      </c>
    </row>
    <row r="15" spans="2:32" ht="23.1" customHeight="1" x14ac:dyDescent="0.25">
      <c r="B15" s="23" t="s">
        <v>42</v>
      </c>
      <c r="C15" s="50">
        <v>6</v>
      </c>
      <c r="D15" s="50">
        <v>8</v>
      </c>
      <c r="E15" s="50">
        <v>1</v>
      </c>
      <c r="F15" s="50">
        <v>6</v>
      </c>
      <c r="G15" s="50">
        <v>0</v>
      </c>
      <c r="H15" s="50">
        <v>0</v>
      </c>
      <c r="I15" s="50">
        <v>5</v>
      </c>
      <c r="J15" s="50">
        <v>1</v>
      </c>
      <c r="K15" s="50">
        <v>0</v>
      </c>
      <c r="L15" s="50">
        <v>0</v>
      </c>
      <c r="M15" s="50">
        <v>63</v>
      </c>
      <c r="N15" s="50">
        <v>0</v>
      </c>
      <c r="O15" s="15">
        <f t="shared" si="0"/>
        <v>27</v>
      </c>
      <c r="P15" s="15">
        <f t="shared" si="1"/>
        <v>90</v>
      </c>
      <c r="R15" s="1" t="s">
        <v>11</v>
      </c>
      <c r="S15" s="17">
        <f t="shared" ref="S15:AF15" si="7">SUM(C30:C33)</f>
        <v>38</v>
      </c>
      <c r="T15" s="17">
        <f t="shared" si="7"/>
        <v>15</v>
      </c>
      <c r="U15" s="17">
        <f t="shared" si="7"/>
        <v>10</v>
      </c>
      <c r="V15" s="17">
        <f t="shared" si="7"/>
        <v>31</v>
      </c>
      <c r="W15" s="17">
        <f t="shared" si="7"/>
        <v>0</v>
      </c>
      <c r="X15" s="17">
        <f t="shared" si="7"/>
        <v>0</v>
      </c>
      <c r="Y15" s="17">
        <f t="shared" si="7"/>
        <v>33</v>
      </c>
      <c r="Z15" s="17">
        <f t="shared" si="7"/>
        <v>3</v>
      </c>
      <c r="AA15" s="17">
        <f t="shared" si="7"/>
        <v>3</v>
      </c>
      <c r="AB15" s="17">
        <f t="shared" si="7"/>
        <v>7</v>
      </c>
      <c r="AC15" s="17">
        <f t="shared" si="7"/>
        <v>405</v>
      </c>
      <c r="AD15" s="17">
        <f t="shared" si="7"/>
        <v>0</v>
      </c>
      <c r="AE15" s="31">
        <f t="shared" si="7"/>
        <v>140</v>
      </c>
      <c r="AF15" s="31">
        <f t="shared" si="7"/>
        <v>545</v>
      </c>
    </row>
    <row r="16" spans="2:32" ht="23.1" customHeight="1" x14ac:dyDescent="0.25">
      <c r="B16" s="23" t="s">
        <v>43</v>
      </c>
      <c r="C16" s="50">
        <v>8</v>
      </c>
      <c r="D16" s="50">
        <v>2</v>
      </c>
      <c r="E16" s="50">
        <v>1</v>
      </c>
      <c r="F16" s="50">
        <v>7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105</v>
      </c>
      <c r="N16" s="50">
        <v>0</v>
      </c>
      <c r="O16" s="15">
        <f t="shared" si="0"/>
        <v>20</v>
      </c>
      <c r="P16" s="15">
        <f t="shared" si="1"/>
        <v>125</v>
      </c>
      <c r="R16" s="1" t="s">
        <v>12</v>
      </c>
      <c r="S16" s="17">
        <f t="shared" ref="S16:AF16" si="8">SUM(C34:C37)</f>
        <v>37</v>
      </c>
      <c r="T16" s="17">
        <f t="shared" si="8"/>
        <v>10</v>
      </c>
      <c r="U16" s="17">
        <f t="shared" si="8"/>
        <v>13</v>
      </c>
      <c r="V16" s="17">
        <f t="shared" si="8"/>
        <v>21</v>
      </c>
      <c r="W16" s="17">
        <f t="shared" si="8"/>
        <v>3</v>
      </c>
      <c r="X16" s="17">
        <f t="shared" si="8"/>
        <v>0</v>
      </c>
      <c r="Y16" s="17">
        <f t="shared" si="8"/>
        <v>31</v>
      </c>
      <c r="Z16" s="17">
        <f t="shared" si="8"/>
        <v>11</v>
      </c>
      <c r="AA16" s="17">
        <f t="shared" si="8"/>
        <v>1</v>
      </c>
      <c r="AB16" s="17">
        <f t="shared" si="8"/>
        <v>4</v>
      </c>
      <c r="AC16" s="17">
        <f t="shared" si="8"/>
        <v>414</v>
      </c>
      <c r="AD16" s="17">
        <f t="shared" si="8"/>
        <v>0</v>
      </c>
      <c r="AE16" s="31">
        <f t="shared" si="8"/>
        <v>131</v>
      </c>
      <c r="AF16" s="31">
        <f t="shared" si="8"/>
        <v>545</v>
      </c>
    </row>
    <row r="17" spans="2:32" ht="23.1" customHeight="1" x14ac:dyDescent="0.25">
      <c r="B17" s="23" t="s">
        <v>44</v>
      </c>
      <c r="C17" s="50">
        <v>5</v>
      </c>
      <c r="D17" s="50">
        <v>2</v>
      </c>
      <c r="E17" s="50">
        <v>3</v>
      </c>
      <c r="F17" s="50">
        <v>6</v>
      </c>
      <c r="G17" s="50">
        <v>3</v>
      </c>
      <c r="H17" s="50">
        <v>0</v>
      </c>
      <c r="I17" s="50">
        <v>7</v>
      </c>
      <c r="J17" s="50">
        <v>1</v>
      </c>
      <c r="K17" s="50">
        <v>1</v>
      </c>
      <c r="L17" s="50">
        <v>0</v>
      </c>
      <c r="M17" s="50">
        <v>94</v>
      </c>
      <c r="N17" s="50">
        <v>0</v>
      </c>
      <c r="O17" s="15">
        <f t="shared" si="0"/>
        <v>28</v>
      </c>
      <c r="P17" s="15">
        <f t="shared" si="1"/>
        <v>122</v>
      </c>
      <c r="R17" s="1" t="s">
        <v>13</v>
      </c>
      <c r="S17" s="17">
        <f t="shared" ref="S17:AF17" si="9">SUM(C38:C41)</f>
        <v>40</v>
      </c>
      <c r="T17" s="17">
        <f t="shared" si="9"/>
        <v>14</v>
      </c>
      <c r="U17" s="17">
        <f t="shared" si="9"/>
        <v>7</v>
      </c>
      <c r="V17" s="17">
        <f t="shared" si="9"/>
        <v>26</v>
      </c>
      <c r="W17" s="17">
        <f t="shared" si="9"/>
        <v>1</v>
      </c>
      <c r="X17" s="17">
        <f t="shared" si="9"/>
        <v>0</v>
      </c>
      <c r="Y17" s="17">
        <f t="shared" si="9"/>
        <v>27</v>
      </c>
      <c r="Z17" s="17">
        <f t="shared" si="9"/>
        <v>6</v>
      </c>
      <c r="AA17" s="17">
        <f t="shared" si="9"/>
        <v>3</v>
      </c>
      <c r="AB17" s="17">
        <f t="shared" si="9"/>
        <v>8</v>
      </c>
      <c r="AC17" s="17">
        <f t="shared" si="9"/>
        <v>268</v>
      </c>
      <c r="AD17" s="17">
        <f t="shared" si="9"/>
        <v>0</v>
      </c>
      <c r="AE17" s="31">
        <f t="shared" si="9"/>
        <v>132</v>
      </c>
      <c r="AF17" s="31">
        <f t="shared" si="9"/>
        <v>400</v>
      </c>
    </row>
    <row r="18" spans="2:32" ht="23.1" customHeight="1" x14ac:dyDescent="0.25">
      <c r="B18" s="23" t="s">
        <v>45</v>
      </c>
      <c r="C18" s="50">
        <v>7</v>
      </c>
      <c r="D18" s="50">
        <v>3</v>
      </c>
      <c r="E18" s="50">
        <v>4</v>
      </c>
      <c r="F18" s="50">
        <v>11</v>
      </c>
      <c r="G18" s="50">
        <v>0</v>
      </c>
      <c r="H18" s="50">
        <v>0</v>
      </c>
      <c r="I18" s="50">
        <v>7</v>
      </c>
      <c r="J18" s="50">
        <v>2</v>
      </c>
      <c r="K18" s="50">
        <v>0</v>
      </c>
      <c r="L18" s="50">
        <v>0</v>
      </c>
      <c r="M18" s="50">
        <v>132</v>
      </c>
      <c r="N18" s="50">
        <v>0</v>
      </c>
      <c r="O18" s="15">
        <f t="shared" si="0"/>
        <v>34</v>
      </c>
      <c r="P18" s="15">
        <f t="shared" si="1"/>
        <v>166</v>
      </c>
      <c r="R18" s="1" t="s">
        <v>14</v>
      </c>
      <c r="S18" s="17">
        <f t="shared" ref="S18:AF18" si="10">SUM(C42:C45)</f>
        <v>42</v>
      </c>
      <c r="T18" s="17">
        <f t="shared" si="10"/>
        <v>24</v>
      </c>
      <c r="U18" s="17">
        <f t="shared" si="10"/>
        <v>11</v>
      </c>
      <c r="V18" s="17">
        <f t="shared" si="10"/>
        <v>42</v>
      </c>
      <c r="W18" s="17">
        <f t="shared" si="10"/>
        <v>1</v>
      </c>
      <c r="X18" s="17">
        <f t="shared" si="10"/>
        <v>0</v>
      </c>
      <c r="Y18" s="17">
        <f t="shared" si="10"/>
        <v>30</v>
      </c>
      <c r="Z18" s="17">
        <f t="shared" si="10"/>
        <v>17</v>
      </c>
      <c r="AA18" s="17">
        <f t="shared" si="10"/>
        <v>3</v>
      </c>
      <c r="AB18" s="17">
        <f t="shared" si="10"/>
        <v>2</v>
      </c>
      <c r="AC18" s="17">
        <f t="shared" si="10"/>
        <v>416</v>
      </c>
      <c r="AD18" s="17">
        <f t="shared" si="10"/>
        <v>0</v>
      </c>
      <c r="AE18" s="31">
        <f t="shared" si="10"/>
        <v>172</v>
      </c>
      <c r="AF18" s="31">
        <f t="shared" si="10"/>
        <v>588</v>
      </c>
    </row>
    <row r="19" spans="2:32" ht="23.1" customHeight="1" x14ac:dyDescent="0.25">
      <c r="B19" s="23" t="s">
        <v>46</v>
      </c>
      <c r="C19" s="50">
        <v>12</v>
      </c>
      <c r="D19" s="50">
        <v>4</v>
      </c>
      <c r="E19" s="50">
        <v>0</v>
      </c>
      <c r="F19" s="50">
        <v>7</v>
      </c>
      <c r="G19" s="50">
        <v>1</v>
      </c>
      <c r="H19" s="50">
        <v>0</v>
      </c>
      <c r="I19" s="50">
        <v>6</v>
      </c>
      <c r="J19" s="50">
        <v>1</v>
      </c>
      <c r="K19" s="50">
        <v>0</v>
      </c>
      <c r="L19" s="50">
        <v>0</v>
      </c>
      <c r="M19" s="50">
        <v>102</v>
      </c>
      <c r="N19" s="50">
        <v>0</v>
      </c>
      <c r="O19" s="15">
        <f t="shared" si="0"/>
        <v>31</v>
      </c>
      <c r="P19" s="15">
        <f t="shared" si="1"/>
        <v>133</v>
      </c>
      <c r="R19" s="1" t="s">
        <v>15</v>
      </c>
      <c r="S19" s="17">
        <f t="shared" ref="S19:AF19" si="11">SUM(C46:C49)</f>
        <v>28</v>
      </c>
      <c r="T19" s="17">
        <f t="shared" si="11"/>
        <v>15</v>
      </c>
      <c r="U19" s="17">
        <f t="shared" si="11"/>
        <v>11</v>
      </c>
      <c r="V19" s="17">
        <f t="shared" si="11"/>
        <v>26</v>
      </c>
      <c r="W19" s="17">
        <f t="shared" si="11"/>
        <v>0</v>
      </c>
      <c r="X19" s="17">
        <f t="shared" si="11"/>
        <v>0</v>
      </c>
      <c r="Y19" s="17">
        <f t="shared" si="11"/>
        <v>26</v>
      </c>
      <c r="Z19" s="17">
        <f t="shared" si="11"/>
        <v>7</v>
      </c>
      <c r="AA19" s="17">
        <f t="shared" si="11"/>
        <v>0</v>
      </c>
      <c r="AB19" s="17">
        <f t="shared" si="11"/>
        <v>4</v>
      </c>
      <c r="AC19" s="17">
        <f t="shared" si="11"/>
        <v>387</v>
      </c>
      <c r="AD19" s="17">
        <f t="shared" si="11"/>
        <v>0</v>
      </c>
      <c r="AE19" s="31">
        <f t="shared" si="11"/>
        <v>117</v>
      </c>
      <c r="AF19" s="31">
        <f t="shared" si="11"/>
        <v>504</v>
      </c>
    </row>
    <row r="20" spans="2:32" ht="23.1" customHeight="1" x14ac:dyDescent="0.25">
      <c r="B20" s="23" t="s">
        <v>47</v>
      </c>
      <c r="C20" s="50">
        <v>8</v>
      </c>
      <c r="D20" s="50">
        <v>1</v>
      </c>
      <c r="E20" s="50">
        <v>2</v>
      </c>
      <c r="F20" s="50">
        <v>20</v>
      </c>
      <c r="G20" s="50">
        <v>0</v>
      </c>
      <c r="H20" s="50">
        <v>0</v>
      </c>
      <c r="I20" s="50">
        <v>9</v>
      </c>
      <c r="J20" s="50">
        <v>2</v>
      </c>
      <c r="K20" s="50">
        <v>1</v>
      </c>
      <c r="L20" s="50">
        <v>0</v>
      </c>
      <c r="M20" s="50">
        <v>95</v>
      </c>
      <c r="N20" s="50">
        <v>0</v>
      </c>
      <c r="O20" s="15">
        <f t="shared" si="0"/>
        <v>43</v>
      </c>
      <c r="P20" s="15">
        <f t="shared" si="1"/>
        <v>138</v>
      </c>
      <c r="R20" s="1" t="s">
        <v>16</v>
      </c>
      <c r="S20" s="17">
        <f t="shared" ref="S20:AF20" si="12">SUM(C50:C53)</f>
        <v>60</v>
      </c>
      <c r="T20" s="17">
        <f t="shared" si="12"/>
        <v>21</v>
      </c>
      <c r="U20" s="17">
        <f t="shared" si="12"/>
        <v>25</v>
      </c>
      <c r="V20" s="17">
        <f t="shared" si="12"/>
        <v>42</v>
      </c>
      <c r="W20" s="17">
        <f t="shared" si="12"/>
        <v>6</v>
      </c>
      <c r="X20" s="17">
        <f t="shared" si="12"/>
        <v>0</v>
      </c>
      <c r="Y20" s="17">
        <f t="shared" si="12"/>
        <v>17</v>
      </c>
      <c r="Z20" s="17">
        <f t="shared" si="12"/>
        <v>8</v>
      </c>
      <c r="AA20" s="17">
        <f t="shared" si="12"/>
        <v>1</v>
      </c>
      <c r="AB20" s="17">
        <f t="shared" si="12"/>
        <v>6</v>
      </c>
      <c r="AC20" s="17">
        <f t="shared" si="12"/>
        <v>403</v>
      </c>
      <c r="AD20" s="17">
        <f t="shared" si="12"/>
        <v>0</v>
      </c>
      <c r="AE20" s="31">
        <f t="shared" si="12"/>
        <v>186</v>
      </c>
      <c r="AF20" s="31">
        <f t="shared" si="12"/>
        <v>589</v>
      </c>
    </row>
    <row r="21" spans="2:32" ht="23.1" customHeight="1" x14ac:dyDescent="0.25">
      <c r="B21" s="23" t="s">
        <v>48</v>
      </c>
      <c r="C21" s="50">
        <v>12</v>
      </c>
      <c r="D21" s="50">
        <v>3</v>
      </c>
      <c r="E21" s="50">
        <v>3</v>
      </c>
      <c r="F21" s="50">
        <v>11</v>
      </c>
      <c r="G21" s="50">
        <v>1</v>
      </c>
      <c r="H21" s="50">
        <v>0</v>
      </c>
      <c r="I21" s="50">
        <v>8</v>
      </c>
      <c r="J21" s="50">
        <v>2</v>
      </c>
      <c r="K21" s="50">
        <v>0</v>
      </c>
      <c r="L21" s="50">
        <v>0</v>
      </c>
      <c r="M21" s="50">
        <v>102</v>
      </c>
      <c r="N21" s="50">
        <v>0</v>
      </c>
      <c r="O21" s="15">
        <f t="shared" si="0"/>
        <v>40</v>
      </c>
      <c r="P21" s="15">
        <f t="shared" si="1"/>
        <v>142</v>
      </c>
      <c r="R21" s="36" t="s">
        <v>20</v>
      </c>
      <c r="S21" s="34">
        <f t="shared" ref="S21:AF21" si="13">SUM(C54:C57)</f>
        <v>56</v>
      </c>
      <c r="T21" s="17">
        <f t="shared" si="13"/>
        <v>23</v>
      </c>
      <c r="U21" s="17">
        <f t="shared" si="13"/>
        <v>22</v>
      </c>
      <c r="V21" s="17">
        <f t="shared" si="13"/>
        <v>71</v>
      </c>
      <c r="W21" s="17">
        <f t="shared" si="13"/>
        <v>6</v>
      </c>
      <c r="X21" s="17">
        <f t="shared" si="13"/>
        <v>0</v>
      </c>
      <c r="Y21" s="17">
        <f t="shared" si="13"/>
        <v>27</v>
      </c>
      <c r="Z21" s="17">
        <f t="shared" si="13"/>
        <v>9</v>
      </c>
      <c r="AA21" s="17">
        <f t="shared" si="13"/>
        <v>2</v>
      </c>
      <c r="AB21" s="17">
        <f t="shared" si="13"/>
        <v>1</v>
      </c>
      <c r="AC21" s="17">
        <f t="shared" si="13"/>
        <v>404</v>
      </c>
      <c r="AD21" s="17">
        <f t="shared" si="13"/>
        <v>0</v>
      </c>
      <c r="AE21" s="31">
        <f t="shared" si="13"/>
        <v>217</v>
      </c>
      <c r="AF21" s="31">
        <f t="shared" si="13"/>
        <v>621</v>
      </c>
    </row>
    <row r="22" spans="2:32" ht="23.1" customHeight="1" x14ac:dyDescent="0.25">
      <c r="B22" s="23" t="s">
        <v>49</v>
      </c>
      <c r="C22" s="50">
        <v>13</v>
      </c>
      <c r="D22" s="50">
        <v>1</v>
      </c>
      <c r="E22" s="50">
        <v>4</v>
      </c>
      <c r="F22" s="50">
        <v>9</v>
      </c>
      <c r="G22" s="50">
        <v>0</v>
      </c>
      <c r="H22" s="50">
        <v>0</v>
      </c>
      <c r="I22" s="50">
        <v>11</v>
      </c>
      <c r="J22" s="50">
        <v>3</v>
      </c>
      <c r="K22" s="50">
        <v>0</v>
      </c>
      <c r="L22" s="50">
        <v>0</v>
      </c>
      <c r="M22" s="50">
        <v>110</v>
      </c>
      <c r="N22" s="50">
        <v>0</v>
      </c>
      <c r="O22" s="15">
        <f t="shared" si="0"/>
        <v>41</v>
      </c>
      <c r="P22" s="15">
        <f t="shared" si="1"/>
        <v>151</v>
      </c>
      <c r="R22" s="38" t="s">
        <v>90</v>
      </c>
      <c r="S22" s="39">
        <f>MAX(S10:S12)</f>
        <v>53</v>
      </c>
      <c r="T22" s="39">
        <f t="shared" ref="T22:AF22" si="14">MAX(T10:T12)</f>
        <v>15</v>
      </c>
      <c r="U22" s="39">
        <f t="shared" si="14"/>
        <v>10</v>
      </c>
      <c r="V22" s="39">
        <f t="shared" si="14"/>
        <v>49</v>
      </c>
      <c r="W22" s="39">
        <f t="shared" si="14"/>
        <v>6</v>
      </c>
      <c r="X22" s="39">
        <f t="shared" si="14"/>
        <v>0</v>
      </c>
      <c r="Y22" s="39">
        <f t="shared" si="14"/>
        <v>30</v>
      </c>
      <c r="Z22" s="39">
        <f t="shared" si="14"/>
        <v>7</v>
      </c>
      <c r="AA22" s="39">
        <f t="shared" si="14"/>
        <v>3</v>
      </c>
      <c r="AB22" s="39">
        <f t="shared" si="14"/>
        <v>0</v>
      </c>
      <c r="AC22" s="39">
        <f t="shared" si="14"/>
        <v>431</v>
      </c>
      <c r="AD22" s="39">
        <f t="shared" si="14"/>
        <v>0</v>
      </c>
      <c r="AE22" s="40">
        <f t="shared" si="14"/>
        <v>148</v>
      </c>
      <c r="AF22" s="40">
        <f t="shared" si="14"/>
        <v>579</v>
      </c>
    </row>
    <row r="23" spans="2:32" ht="23.1" customHeight="1" x14ac:dyDescent="0.25">
      <c r="B23" s="23" t="s">
        <v>50</v>
      </c>
      <c r="C23" s="50">
        <v>8</v>
      </c>
      <c r="D23" s="50">
        <v>1</v>
      </c>
      <c r="E23" s="50">
        <v>1</v>
      </c>
      <c r="F23" s="50">
        <v>2</v>
      </c>
      <c r="G23" s="50">
        <v>0</v>
      </c>
      <c r="H23" s="50">
        <v>0</v>
      </c>
      <c r="I23" s="50">
        <v>8</v>
      </c>
      <c r="J23" s="50">
        <v>2</v>
      </c>
      <c r="K23" s="50">
        <v>0</v>
      </c>
      <c r="L23" s="50">
        <v>0</v>
      </c>
      <c r="M23" s="50">
        <v>113</v>
      </c>
      <c r="N23" s="50">
        <v>0</v>
      </c>
      <c r="O23" s="15">
        <f t="shared" si="0"/>
        <v>22</v>
      </c>
      <c r="P23" s="15">
        <f t="shared" si="1"/>
        <v>135</v>
      </c>
      <c r="R23" s="38" t="s">
        <v>91</v>
      </c>
      <c r="S23" s="39">
        <f>MAX(S13:S18)</f>
        <v>42</v>
      </c>
      <c r="T23" s="39">
        <f t="shared" ref="T23:AF23" si="15">MAX(T13:T18)</f>
        <v>24</v>
      </c>
      <c r="U23" s="39">
        <f t="shared" si="15"/>
        <v>14</v>
      </c>
      <c r="V23" s="39">
        <f t="shared" si="15"/>
        <v>42</v>
      </c>
      <c r="W23" s="39">
        <f t="shared" si="15"/>
        <v>3</v>
      </c>
      <c r="X23" s="39">
        <f t="shared" si="15"/>
        <v>0</v>
      </c>
      <c r="Y23" s="39">
        <f t="shared" si="15"/>
        <v>33</v>
      </c>
      <c r="Z23" s="39">
        <f t="shared" si="15"/>
        <v>17</v>
      </c>
      <c r="AA23" s="39">
        <f t="shared" si="15"/>
        <v>3</v>
      </c>
      <c r="AB23" s="39">
        <f t="shared" si="15"/>
        <v>8</v>
      </c>
      <c r="AC23" s="39">
        <f t="shared" si="15"/>
        <v>429</v>
      </c>
      <c r="AD23" s="39">
        <f t="shared" si="15"/>
        <v>0</v>
      </c>
      <c r="AE23" s="40">
        <f t="shared" si="15"/>
        <v>172</v>
      </c>
      <c r="AF23" s="40">
        <f t="shared" si="15"/>
        <v>588</v>
      </c>
    </row>
    <row r="24" spans="2:32" ht="23.1" customHeight="1" x14ac:dyDescent="0.25">
      <c r="B24" s="23" t="s">
        <v>51</v>
      </c>
      <c r="C24" s="50">
        <v>12</v>
      </c>
      <c r="D24" s="50">
        <v>4</v>
      </c>
      <c r="E24" s="50">
        <v>2</v>
      </c>
      <c r="F24" s="50">
        <v>8</v>
      </c>
      <c r="G24" s="50">
        <v>0</v>
      </c>
      <c r="H24" s="50">
        <v>0</v>
      </c>
      <c r="I24" s="50">
        <v>7</v>
      </c>
      <c r="J24" s="50">
        <v>1</v>
      </c>
      <c r="K24" s="50">
        <v>0</v>
      </c>
      <c r="L24" s="50">
        <v>0</v>
      </c>
      <c r="M24" s="50">
        <v>85</v>
      </c>
      <c r="N24" s="50">
        <v>0</v>
      </c>
      <c r="O24" s="15">
        <f t="shared" si="0"/>
        <v>34</v>
      </c>
      <c r="P24" s="15">
        <f t="shared" si="1"/>
        <v>119</v>
      </c>
      <c r="R24" s="38" t="s">
        <v>92</v>
      </c>
      <c r="S24" s="39">
        <f>MAX(S19:S21)</f>
        <v>60</v>
      </c>
      <c r="T24" s="39">
        <f t="shared" ref="T24:AF24" si="16">MAX(T19:T21)</f>
        <v>23</v>
      </c>
      <c r="U24" s="39">
        <f t="shared" si="16"/>
        <v>25</v>
      </c>
      <c r="V24" s="39">
        <f t="shared" si="16"/>
        <v>71</v>
      </c>
      <c r="W24" s="39">
        <f t="shared" si="16"/>
        <v>6</v>
      </c>
      <c r="X24" s="39">
        <f t="shared" si="16"/>
        <v>0</v>
      </c>
      <c r="Y24" s="39">
        <f t="shared" si="16"/>
        <v>27</v>
      </c>
      <c r="Z24" s="39">
        <f t="shared" si="16"/>
        <v>9</v>
      </c>
      <c r="AA24" s="39">
        <f t="shared" si="16"/>
        <v>2</v>
      </c>
      <c r="AB24" s="39">
        <f t="shared" si="16"/>
        <v>6</v>
      </c>
      <c r="AC24" s="39">
        <f t="shared" si="16"/>
        <v>404</v>
      </c>
      <c r="AD24" s="39">
        <f t="shared" si="16"/>
        <v>0</v>
      </c>
      <c r="AE24" s="40">
        <f t="shared" si="16"/>
        <v>217</v>
      </c>
      <c r="AF24" s="40">
        <f t="shared" si="16"/>
        <v>621</v>
      </c>
    </row>
    <row r="25" spans="2:32" ht="23.1" customHeight="1" x14ac:dyDescent="0.25">
      <c r="B25" s="23" t="s">
        <v>52</v>
      </c>
      <c r="C25" s="50">
        <v>8</v>
      </c>
      <c r="D25" s="50">
        <v>2</v>
      </c>
      <c r="E25" s="50">
        <v>4</v>
      </c>
      <c r="F25" s="50">
        <v>9</v>
      </c>
      <c r="G25" s="50">
        <v>0</v>
      </c>
      <c r="H25" s="50">
        <v>0</v>
      </c>
      <c r="I25" s="50">
        <v>6</v>
      </c>
      <c r="J25" s="50">
        <v>2</v>
      </c>
      <c r="K25" s="50">
        <v>0</v>
      </c>
      <c r="L25" s="50">
        <v>0</v>
      </c>
      <c r="M25" s="50">
        <v>121</v>
      </c>
      <c r="N25" s="50">
        <v>0</v>
      </c>
      <c r="O25" s="15">
        <f t="shared" si="0"/>
        <v>31</v>
      </c>
      <c r="P25" s="15">
        <f t="shared" si="1"/>
        <v>152</v>
      </c>
      <c r="R25" s="37" t="s">
        <v>85</v>
      </c>
      <c r="S25" s="35">
        <f t="shared" ref="S25:AF25" si="17">SUM(S10:S12)</f>
        <v>125</v>
      </c>
      <c r="T25" s="16">
        <f t="shared" si="17"/>
        <v>38</v>
      </c>
      <c r="U25" s="16">
        <f t="shared" si="17"/>
        <v>24</v>
      </c>
      <c r="V25" s="16">
        <f t="shared" si="17"/>
        <v>128</v>
      </c>
      <c r="W25" s="16">
        <f t="shared" si="17"/>
        <v>11</v>
      </c>
      <c r="X25" s="16">
        <f t="shared" si="17"/>
        <v>0</v>
      </c>
      <c r="Y25" s="16">
        <f t="shared" si="17"/>
        <v>62</v>
      </c>
      <c r="Z25" s="16">
        <f t="shared" si="17"/>
        <v>17</v>
      </c>
      <c r="AA25" s="16">
        <f t="shared" si="17"/>
        <v>5</v>
      </c>
      <c r="AB25" s="16">
        <f t="shared" si="17"/>
        <v>0</v>
      </c>
      <c r="AC25" s="16">
        <f t="shared" si="17"/>
        <v>1169</v>
      </c>
      <c r="AD25" s="16">
        <f t="shared" si="17"/>
        <v>0</v>
      </c>
      <c r="AE25" s="32">
        <f t="shared" si="17"/>
        <v>410</v>
      </c>
      <c r="AF25" s="32">
        <f t="shared" si="17"/>
        <v>1579</v>
      </c>
    </row>
    <row r="26" spans="2:32" ht="23.1" customHeight="1" x14ac:dyDescent="0.25">
      <c r="B26" s="23" t="s">
        <v>53</v>
      </c>
      <c r="C26" s="50">
        <v>4</v>
      </c>
      <c r="D26" s="50">
        <v>4</v>
      </c>
      <c r="E26" s="50">
        <v>1</v>
      </c>
      <c r="F26" s="50">
        <v>6</v>
      </c>
      <c r="G26" s="50">
        <v>0</v>
      </c>
      <c r="H26" s="50">
        <v>0</v>
      </c>
      <c r="I26" s="50">
        <v>5</v>
      </c>
      <c r="J26" s="50">
        <v>3</v>
      </c>
      <c r="K26" s="50">
        <v>0</v>
      </c>
      <c r="L26" s="50">
        <v>0</v>
      </c>
      <c r="M26" s="50">
        <v>75</v>
      </c>
      <c r="N26" s="50">
        <v>0</v>
      </c>
      <c r="O26" s="15">
        <f t="shared" si="0"/>
        <v>23</v>
      </c>
      <c r="P26" s="15">
        <f t="shared" si="1"/>
        <v>98</v>
      </c>
      <c r="R26" s="28" t="s">
        <v>86</v>
      </c>
      <c r="S26" s="16">
        <f t="shared" ref="S26:AF26" si="18">SUM(S13:S18)</f>
        <v>225</v>
      </c>
      <c r="T26" s="16">
        <f t="shared" si="18"/>
        <v>85</v>
      </c>
      <c r="U26" s="16">
        <f t="shared" si="18"/>
        <v>66</v>
      </c>
      <c r="V26" s="16">
        <f t="shared" si="18"/>
        <v>174</v>
      </c>
      <c r="W26" s="16">
        <f t="shared" si="18"/>
        <v>6</v>
      </c>
      <c r="X26" s="16">
        <f t="shared" si="18"/>
        <v>0</v>
      </c>
      <c r="Y26" s="16">
        <f t="shared" si="18"/>
        <v>179</v>
      </c>
      <c r="Z26" s="16">
        <f t="shared" si="18"/>
        <v>54</v>
      </c>
      <c r="AA26" s="16">
        <f t="shared" si="18"/>
        <v>12</v>
      </c>
      <c r="AB26" s="16">
        <f t="shared" si="18"/>
        <v>23</v>
      </c>
      <c r="AC26" s="16">
        <f t="shared" si="18"/>
        <v>2332</v>
      </c>
      <c r="AD26" s="16">
        <f t="shared" si="18"/>
        <v>0</v>
      </c>
      <c r="AE26" s="32">
        <f t="shared" si="18"/>
        <v>824</v>
      </c>
      <c r="AF26" s="32">
        <f t="shared" si="18"/>
        <v>3156</v>
      </c>
    </row>
    <row r="27" spans="2:32" ht="23.1" customHeight="1" x14ac:dyDescent="0.25">
      <c r="B27" s="23" t="s">
        <v>54</v>
      </c>
      <c r="C27" s="50">
        <v>7</v>
      </c>
      <c r="D27" s="50">
        <v>4</v>
      </c>
      <c r="E27" s="50">
        <v>3</v>
      </c>
      <c r="F27" s="50">
        <v>6</v>
      </c>
      <c r="G27" s="50">
        <v>0</v>
      </c>
      <c r="H27" s="50">
        <v>0</v>
      </c>
      <c r="I27" s="50">
        <v>7</v>
      </c>
      <c r="J27" s="50">
        <v>2</v>
      </c>
      <c r="K27" s="50">
        <v>2</v>
      </c>
      <c r="L27" s="50">
        <v>1</v>
      </c>
      <c r="M27" s="50">
        <v>113</v>
      </c>
      <c r="N27" s="50">
        <v>0</v>
      </c>
      <c r="O27" s="15">
        <f t="shared" si="0"/>
        <v>32</v>
      </c>
      <c r="P27" s="15">
        <f t="shared" si="1"/>
        <v>145</v>
      </c>
      <c r="R27" s="29" t="s">
        <v>87</v>
      </c>
      <c r="S27" s="16">
        <f t="shared" ref="S27:AF27" si="19">SUM(S19:S21)</f>
        <v>144</v>
      </c>
      <c r="T27" s="16">
        <f t="shared" si="19"/>
        <v>59</v>
      </c>
      <c r="U27" s="16">
        <f t="shared" si="19"/>
        <v>58</v>
      </c>
      <c r="V27" s="16">
        <f t="shared" si="19"/>
        <v>139</v>
      </c>
      <c r="W27" s="16">
        <f t="shared" si="19"/>
        <v>12</v>
      </c>
      <c r="X27" s="16">
        <f t="shared" si="19"/>
        <v>0</v>
      </c>
      <c r="Y27" s="16">
        <f t="shared" si="19"/>
        <v>70</v>
      </c>
      <c r="Z27" s="16">
        <f t="shared" si="19"/>
        <v>24</v>
      </c>
      <c r="AA27" s="16">
        <f t="shared" si="19"/>
        <v>3</v>
      </c>
      <c r="AB27" s="16">
        <f t="shared" si="19"/>
        <v>11</v>
      </c>
      <c r="AC27" s="16">
        <f t="shared" si="19"/>
        <v>1194</v>
      </c>
      <c r="AD27" s="16">
        <f t="shared" si="19"/>
        <v>0</v>
      </c>
      <c r="AE27" s="32">
        <f t="shared" si="19"/>
        <v>520</v>
      </c>
      <c r="AF27" s="32">
        <f t="shared" si="19"/>
        <v>1714</v>
      </c>
    </row>
    <row r="28" spans="2:32" ht="23.1" customHeight="1" x14ac:dyDescent="0.25">
      <c r="B28" s="23" t="s">
        <v>55</v>
      </c>
      <c r="C28" s="50">
        <v>15</v>
      </c>
      <c r="D28" s="50">
        <v>2</v>
      </c>
      <c r="E28" s="50">
        <v>5</v>
      </c>
      <c r="F28" s="50">
        <v>11</v>
      </c>
      <c r="G28" s="50">
        <v>1</v>
      </c>
      <c r="H28" s="50">
        <v>0</v>
      </c>
      <c r="I28" s="50">
        <v>8</v>
      </c>
      <c r="J28" s="50">
        <v>3</v>
      </c>
      <c r="K28" s="50">
        <v>0</v>
      </c>
      <c r="L28" s="50">
        <v>1</v>
      </c>
      <c r="M28" s="50">
        <v>125</v>
      </c>
      <c r="N28" s="50">
        <v>0</v>
      </c>
      <c r="O28" s="15">
        <f t="shared" si="0"/>
        <v>46</v>
      </c>
      <c r="P28" s="15">
        <f t="shared" si="1"/>
        <v>171</v>
      </c>
      <c r="R28" s="5" t="s">
        <v>17</v>
      </c>
      <c r="S28" s="16">
        <f t="shared" ref="S28:AF28" si="20">SUM(S10:S21)</f>
        <v>494</v>
      </c>
      <c r="T28" s="16">
        <f t="shared" si="20"/>
        <v>182</v>
      </c>
      <c r="U28" s="16">
        <f t="shared" si="20"/>
        <v>148</v>
      </c>
      <c r="V28" s="16">
        <f t="shared" si="20"/>
        <v>441</v>
      </c>
      <c r="W28" s="16">
        <f t="shared" si="20"/>
        <v>29</v>
      </c>
      <c r="X28" s="16">
        <f t="shared" si="20"/>
        <v>0</v>
      </c>
      <c r="Y28" s="16">
        <f t="shared" si="20"/>
        <v>311</v>
      </c>
      <c r="Z28" s="16">
        <f t="shared" si="20"/>
        <v>95</v>
      </c>
      <c r="AA28" s="16">
        <f t="shared" si="20"/>
        <v>20</v>
      </c>
      <c r="AB28" s="16">
        <f t="shared" si="20"/>
        <v>34</v>
      </c>
      <c r="AC28" s="16">
        <f t="shared" si="20"/>
        <v>4695</v>
      </c>
      <c r="AD28" s="16">
        <f t="shared" si="20"/>
        <v>0</v>
      </c>
      <c r="AE28" s="32">
        <f t="shared" si="20"/>
        <v>1754</v>
      </c>
      <c r="AF28" s="32">
        <f t="shared" si="20"/>
        <v>6449</v>
      </c>
    </row>
    <row r="29" spans="2:32" ht="23.1" customHeight="1" x14ac:dyDescent="0.25">
      <c r="B29" s="23" t="s">
        <v>56</v>
      </c>
      <c r="C29" s="50">
        <v>1</v>
      </c>
      <c r="D29" s="50">
        <v>4</v>
      </c>
      <c r="E29" s="50">
        <v>5</v>
      </c>
      <c r="F29" s="50">
        <v>3</v>
      </c>
      <c r="G29" s="50">
        <v>0</v>
      </c>
      <c r="H29" s="50">
        <v>0</v>
      </c>
      <c r="I29" s="50">
        <v>6</v>
      </c>
      <c r="J29" s="50">
        <v>1</v>
      </c>
      <c r="K29" s="50">
        <v>0</v>
      </c>
      <c r="L29" s="50">
        <v>0</v>
      </c>
      <c r="M29" s="50">
        <v>87</v>
      </c>
      <c r="N29" s="50">
        <v>0</v>
      </c>
      <c r="O29" s="15">
        <f t="shared" si="0"/>
        <v>20</v>
      </c>
      <c r="P29" s="15">
        <f t="shared" si="1"/>
        <v>107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3</v>
      </c>
      <c r="E30" s="50">
        <v>2</v>
      </c>
      <c r="F30" s="50">
        <v>5</v>
      </c>
      <c r="G30" s="50">
        <v>0</v>
      </c>
      <c r="H30" s="50">
        <v>0</v>
      </c>
      <c r="I30" s="50">
        <v>5</v>
      </c>
      <c r="J30" s="50">
        <v>0</v>
      </c>
      <c r="K30" s="50">
        <v>0</v>
      </c>
      <c r="L30" s="50">
        <v>3</v>
      </c>
      <c r="M30" s="50">
        <v>105</v>
      </c>
      <c r="N30" s="50">
        <v>0</v>
      </c>
      <c r="O30" s="15">
        <f t="shared" si="0"/>
        <v>28</v>
      </c>
      <c r="P30" s="15">
        <f t="shared" si="1"/>
        <v>133</v>
      </c>
    </row>
    <row r="31" spans="2:32" ht="23.1" customHeight="1" x14ac:dyDescent="0.25">
      <c r="B31" s="24" t="s">
        <v>58</v>
      </c>
      <c r="C31" s="50">
        <v>9</v>
      </c>
      <c r="D31" s="50">
        <v>2</v>
      </c>
      <c r="E31" s="50">
        <v>3</v>
      </c>
      <c r="F31" s="50">
        <v>5</v>
      </c>
      <c r="G31" s="50">
        <v>0</v>
      </c>
      <c r="H31" s="50">
        <v>0</v>
      </c>
      <c r="I31" s="50">
        <v>6</v>
      </c>
      <c r="J31" s="50">
        <v>1</v>
      </c>
      <c r="K31" s="50">
        <v>1</v>
      </c>
      <c r="L31" s="50">
        <v>0</v>
      </c>
      <c r="M31" s="50">
        <v>108</v>
      </c>
      <c r="N31" s="50">
        <v>0</v>
      </c>
      <c r="O31" s="15">
        <f t="shared" si="0"/>
        <v>27</v>
      </c>
      <c r="P31" s="15">
        <f t="shared" si="1"/>
        <v>135</v>
      </c>
    </row>
    <row r="32" spans="2:32" ht="23.1" customHeight="1" x14ac:dyDescent="0.25">
      <c r="B32" s="24" t="s">
        <v>59</v>
      </c>
      <c r="C32" s="50">
        <v>8</v>
      </c>
      <c r="D32" s="50">
        <v>4</v>
      </c>
      <c r="E32" s="50">
        <v>3</v>
      </c>
      <c r="F32" s="50">
        <v>12</v>
      </c>
      <c r="G32" s="50">
        <v>0</v>
      </c>
      <c r="H32" s="50">
        <v>0</v>
      </c>
      <c r="I32" s="50">
        <v>13</v>
      </c>
      <c r="J32" s="50">
        <v>1</v>
      </c>
      <c r="K32" s="50">
        <v>0</v>
      </c>
      <c r="L32" s="50">
        <v>0</v>
      </c>
      <c r="M32" s="50">
        <v>92</v>
      </c>
      <c r="N32" s="50">
        <v>0</v>
      </c>
      <c r="O32" s="15">
        <f t="shared" si="0"/>
        <v>41</v>
      </c>
      <c r="P32" s="15">
        <f t="shared" si="1"/>
        <v>133</v>
      </c>
    </row>
    <row r="33" spans="2:20" ht="23.1" customHeight="1" x14ac:dyDescent="0.25">
      <c r="B33" s="23" t="s">
        <v>60</v>
      </c>
      <c r="C33" s="50">
        <v>11</v>
      </c>
      <c r="D33" s="50">
        <v>6</v>
      </c>
      <c r="E33" s="50">
        <v>2</v>
      </c>
      <c r="F33" s="50">
        <v>9</v>
      </c>
      <c r="G33" s="50">
        <v>0</v>
      </c>
      <c r="H33" s="50">
        <v>0</v>
      </c>
      <c r="I33" s="50">
        <v>9</v>
      </c>
      <c r="J33" s="50">
        <v>1</v>
      </c>
      <c r="K33" s="50">
        <v>2</v>
      </c>
      <c r="L33" s="50">
        <v>4</v>
      </c>
      <c r="M33" s="50">
        <v>100</v>
      </c>
      <c r="N33" s="50">
        <v>0</v>
      </c>
      <c r="O33" s="15">
        <f t="shared" si="0"/>
        <v>44</v>
      </c>
      <c r="P33" s="15">
        <f t="shared" si="1"/>
        <v>144</v>
      </c>
    </row>
    <row r="34" spans="2:20" ht="23.1" customHeight="1" x14ac:dyDescent="0.25">
      <c r="B34" s="24" t="s">
        <v>61</v>
      </c>
      <c r="C34" s="50">
        <v>11</v>
      </c>
      <c r="D34" s="50">
        <v>3</v>
      </c>
      <c r="E34" s="50">
        <v>2</v>
      </c>
      <c r="F34" s="50">
        <v>10</v>
      </c>
      <c r="G34" s="50">
        <v>0</v>
      </c>
      <c r="H34" s="50">
        <v>0</v>
      </c>
      <c r="I34" s="50">
        <v>9</v>
      </c>
      <c r="J34" s="50">
        <v>6</v>
      </c>
      <c r="K34" s="50">
        <v>0</v>
      </c>
      <c r="L34" s="50">
        <v>2</v>
      </c>
      <c r="M34" s="50">
        <v>137</v>
      </c>
      <c r="N34" s="50">
        <v>0</v>
      </c>
      <c r="O34" s="15">
        <f t="shared" si="0"/>
        <v>43</v>
      </c>
      <c r="P34" s="15">
        <f t="shared" si="1"/>
        <v>180</v>
      </c>
    </row>
    <row r="35" spans="2:20" ht="23.1" customHeight="1" x14ac:dyDescent="0.25">
      <c r="B35" s="24" t="s">
        <v>62</v>
      </c>
      <c r="C35" s="50">
        <v>12</v>
      </c>
      <c r="D35" s="50">
        <v>2</v>
      </c>
      <c r="E35" s="50">
        <v>6</v>
      </c>
      <c r="F35" s="50">
        <v>6</v>
      </c>
      <c r="G35" s="50">
        <v>2</v>
      </c>
      <c r="H35" s="50">
        <v>0</v>
      </c>
      <c r="I35" s="50">
        <v>7</v>
      </c>
      <c r="J35" s="50">
        <v>4</v>
      </c>
      <c r="K35" s="50">
        <v>0</v>
      </c>
      <c r="L35" s="50">
        <v>2</v>
      </c>
      <c r="M35" s="50">
        <v>104</v>
      </c>
      <c r="N35" s="50">
        <v>0</v>
      </c>
      <c r="O35" s="15">
        <f t="shared" si="0"/>
        <v>41</v>
      </c>
      <c r="P35" s="15">
        <f t="shared" si="1"/>
        <v>145</v>
      </c>
    </row>
    <row r="36" spans="2:20" ht="23.1" customHeight="1" x14ac:dyDescent="0.25">
      <c r="B36" s="24" t="s">
        <v>63</v>
      </c>
      <c r="C36" s="50">
        <v>10</v>
      </c>
      <c r="D36" s="50">
        <v>4</v>
      </c>
      <c r="E36" s="50">
        <v>3</v>
      </c>
      <c r="F36" s="50">
        <v>1</v>
      </c>
      <c r="G36" s="50">
        <v>0</v>
      </c>
      <c r="H36" s="50">
        <v>0</v>
      </c>
      <c r="I36" s="50">
        <v>7</v>
      </c>
      <c r="J36" s="50">
        <v>1</v>
      </c>
      <c r="K36" s="50">
        <v>1</v>
      </c>
      <c r="L36" s="50">
        <v>0</v>
      </c>
      <c r="M36" s="50">
        <v>81</v>
      </c>
      <c r="N36" s="50">
        <v>0</v>
      </c>
      <c r="O36" s="15">
        <f t="shared" si="0"/>
        <v>27</v>
      </c>
      <c r="P36" s="15">
        <f t="shared" si="1"/>
        <v>108</v>
      </c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2</v>
      </c>
      <c r="F37" s="50">
        <v>4</v>
      </c>
      <c r="G37" s="50">
        <v>1</v>
      </c>
      <c r="H37" s="50">
        <v>0</v>
      </c>
      <c r="I37" s="50">
        <v>8</v>
      </c>
      <c r="J37" s="50">
        <v>0</v>
      </c>
      <c r="K37" s="50">
        <v>0</v>
      </c>
      <c r="L37" s="50">
        <v>0</v>
      </c>
      <c r="M37" s="50">
        <v>92</v>
      </c>
      <c r="N37" s="50">
        <v>0</v>
      </c>
      <c r="O37" s="15">
        <f t="shared" si="0"/>
        <v>20</v>
      </c>
      <c r="P37" s="15">
        <f t="shared" si="1"/>
        <v>112</v>
      </c>
    </row>
    <row r="38" spans="2:20" ht="23.1" customHeight="1" x14ac:dyDescent="0.25">
      <c r="B38" s="24" t="s">
        <v>65</v>
      </c>
      <c r="C38" s="50">
        <v>12</v>
      </c>
      <c r="D38" s="50">
        <v>3</v>
      </c>
      <c r="E38" s="50">
        <v>2</v>
      </c>
      <c r="F38" s="50">
        <v>10</v>
      </c>
      <c r="G38" s="50">
        <v>1</v>
      </c>
      <c r="H38" s="50">
        <v>0</v>
      </c>
      <c r="I38" s="50">
        <v>8</v>
      </c>
      <c r="J38" s="50">
        <v>3</v>
      </c>
      <c r="K38" s="50">
        <v>3</v>
      </c>
      <c r="L38" s="50">
        <v>2</v>
      </c>
      <c r="M38" s="50">
        <v>11</v>
      </c>
      <c r="N38" s="50">
        <v>0</v>
      </c>
      <c r="O38" s="15">
        <f t="shared" si="0"/>
        <v>44</v>
      </c>
      <c r="P38" s="15">
        <f t="shared" si="1"/>
        <v>55</v>
      </c>
    </row>
    <row r="39" spans="2:20" ht="23.1" customHeight="1" x14ac:dyDescent="0.25">
      <c r="B39" s="24" t="s">
        <v>66</v>
      </c>
      <c r="C39" s="50">
        <v>8</v>
      </c>
      <c r="D39" s="50">
        <v>2</v>
      </c>
      <c r="E39" s="50">
        <v>2</v>
      </c>
      <c r="F39" s="50">
        <v>7</v>
      </c>
      <c r="G39" s="50">
        <v>0</v>
      </c>
      <c r="H39" s="50">
        <v>0</v>
      </c>
      <c r="I39" s="50">
        <v>6</v>
      </c>
      <c r="J39" s="50">
        <v>0</v>
      </c>
      <c r="K39" s="50">
        <v>0</v>
      </c>
      <c r="L39" s="50">
        <v>1</v>
      </c>
      <c r="M39" s="50">
        <v>86</v>
      </c>
      <c r="N39" s="50">
        <v>0</v>
      </c>
      <c r="O39" s="15">
        <f t="shared" si="0"/>
        <v>26</v>
      </c>
      <c r="P39" s="15">
        <f t="shared" si="1"/>
        <v>112</v>
      </c>
    </row>
    <row r="40" spans="2:20" ht="23.1" customHeight="1" x14ac:dyDescent="0.25">
      <c r="B40" s="24" t="s">
        <v>67</v>
      </c>
      <c r="C40" s="50">
        <v>15</v>
      </c>
      <c r="D40" s="50">
        <v>5</v>
      </c>
      <c r="E40" s="50">
        <v>1</v>
      </c>
      <c r="F40" s="50">
        <v>5</v>
      </c>
      <c r="G40" s="50">
        <v>0</v>
      </c>
      <c r="H40" s="50">
        <v>0</v>
      </c>
      <c r="I40" s="50">
        <v>9</v>
      </c>
      <c r="J40" s="50">
        <v>1</v>
      </c>
      <c r="K40" s="50">
        <v>0</v>
      </c>
      <c r="L40" s="50">
        <v>2</v>
      </c>
      <c r="M40" s="50">
        <v>90</v>
      </c>
      <c r="N40" s="50">
        <v>0</v>
      </c>
      <c r="O40" s="15">
        <f t="shared" si="0"/>
        <v>38</v>
      </c>
      <c r="P40" s="15">
        <f t="shared" si="1"/>
        <v>128</v>
      </c>
    </row>
    <row r="41" spans="2:20" ht="23.1" customHeight="1" x14ac:dyDescent="0.25">
      <c r="B41" s="23" t="s">
        <v>68</v>
      </c>
      <c r="C41" s="50">
        <v>5</v>
      </c>
      <c r="D41" s="50">
        <v>4</v>
      </c>
      <c r="E41" s="50">
        <v>2</v>
      </c>
      <c r="F41" s="50">
        <v>4</v>
      </c>
      <c r="G41" s="50">
        <v>0</v>
      </c>
      <c r="H41" s="50">
        <v>0</v>
      </c>
      <c r="I41" s="50">
        <v>4</v>
      </c>
      <c r="J41" s="50">
        <v>2</v>
      </c>
      <c r="K41" s="50">
        <v>0</v>
      </c>
      <c r="L41" s="50">
        <v>3</v>
      </c>
      <c r="M41" s="50">
        <v>81</v>
      </c>
      <c r="N41" s="50">
        <v>0</v>
      </c>
      <c r="O41" s="15">
        <f t="shared" si="0"/>
        <v>24</v>
      </c>
      <c r="P41" s="15">
        <f t="shared" si="1"/>
        <v>105</v>
      </c>
    </row>
    <row r="42" spans="2:20" ht="23.1" customHeight="1" x14ac:dyDescent="0.25">
      <c r="B42" s="24" t="s">
        <v>69</v>
      </c>
      <c r="C42" s="50">
        <v>9</v>
      </c>
      <c r="D42" s="50">
        <v>10</v>
      </c>
      <c r="E42" s="50">
        <v>2</v>
      </c>
      <c r="F42" s="50">
        <v>15</v>
      </c>
      <c r="G42" s="50">
        <v>0</v>
      </c>
      <c r="H42" s="50">
        <v>0</v>
      </c>
      <c r="I42" s="50">
        <v>8</v>
      </c>
      <c r="J42" s="50">
        <v>9</v>
      </c>
      <c r="K42" s="50">
        <v>2</v>
      </c>
      <c r="L42" s="50">
        <v>1</v>
      </c>
      <c r="M42" s="50">
        <v>102</v>
      </c>
      <c r="N42" s="50">
        <v>0</v>
      </c>
      <c r="O42" s="15">
        <f t="shared" si="0"/>
        <v>56</v>
      </c>
      <c r="P42" s="15">
        <f t="shared" si="1"/>
        <v>158</v>
      </c>
    </row>
    <row r="43" spans="2:20" ht="23.1" customHeight="1" x14ac:dyDescent="0.25">
      <c r="B43" s="23" t="s">
        <v>70</v>
      </c>
      <c r="C43" s="50">
        <v>7</v>
      </c>
      <c r="D43" s="50">
        <v>6</v>
      </c>
      <c r="E43" s="50">
        <v>3</v>
      </c>
      <c r="F43" s="50">
        <v>10</v>
      </c>
      <c r="G43" s="50">
        <v>0</v>
      </c>
      <c r="H43" s="50">
        <v>0</v>
      </c>
      <c r="I43" s="50">
        <v>7</v>
      </c>
      <c r="J43" s="50">
        <v>4</v>
      </c>
      <c r="K43" s="50">
        <v>0</v>
      </c>
      <c r="L43" s="50">
        <v>1</v>
      </c>
      <c r="M43" s="50">
        <v>105</v>
      </c>
      <c r="N43" s="50">
        <v>0</v>
      </c>
      <c r="O43" s="15">
        <f t="shared" si="0"/>
        <v>38</v>
      </c>
      <c r="P43" s="15">
        <f t="shared" si="1"/>
        <v>143</v>
      </c>
    </row>
    <row r="44" spans="2:20" ht="23.1" customHeight="1" x14ac:dyDescent="0.25">
      <c r="B44" s="25" t="s">
        <v>71</v>
      </c>
      <c r="C44" s="50">
        <v>10</v>
      </c>
      <c r="D44" s="50">
        <v>4</v>
      </c>
      <c r="E44" s="50">
        <v>1</v>
      </c>
      <c r="F44" s="50">
        <v>10</v>
      </c>
      <c r="G44" s="50">
        <v>0</v>
      </c>
      <c r="H44" s="50">
        <v>0</v>
      </c>
      <c r="I44" s="50">
        <v>10</v>
      </c>
      <c r="J44" s="50">
        <v>1</v>
      </c>
      <c r="K44" s="50">
        <v>0</v>
      </c>
      <c r="L44" s="50">
        <v>0</v>
      </c>
      <c r="M44" s="50">
        <v>108</v>
      </c>
      <c r="N44" s="50">
        <v>0</v>
      </c>
      <c r="O44" s="15">
        <f t="shared" si="0"/>
        <v>36</v>
      </c>
      <c r="P44" s="15">
        <f t="shared" si="1"/>
        <v>144</v>
      </c>
    </row>
    <row r="45" spans="2:20" ht="23.1" customHeight="1" x14ac:dyDescent="0.25">
      <c r="B45" s="23" t="s">
        <v>72</v>
      </c>
      <c r="C45" s="50">
        <v>16</v>
      </c>
      <c r="D45" s="50">
        <v>4</v>
      </c>
      <c r="E45" s="50">
        <v>5</v>
      </c>
      <c r="F45" s="50">
        <v>7</v>
      </c>
      <c r="G45" s="50">
        <v>1</v>
      </c>
      <c r="H45" s="50">
        <v>0</v>
      </c>
      <c r="I45" s="50">
        <v>5</v>
      </c>
      <c r="J45" s="50">
        <v>3</v>
      </c>
      <c r="K45" s="50">
        <v>1</v>
      </c>
      <c r="L45" s="50">
        <v>0</v>
      </c>
      <c r="M45" s="50">
        <v>101</v>
      </c>
      <c r="N45" s="50">
        <v>0</v>
      </c>
      <c r="O45" s="15">
        <f t="shared" si="0"/>
        <v>42</v>
      </c>
      <c r="P45" s="15">
        <f t="shared" si="1"/>
        <v>143</v>
      </c>
    </row>
    <row r="46" spans="2:20" ht="23.1" customHeight="1" x14ac:dyDescent="0.25">
      <c r="B46" s="24" t="s">
        <v>73</v>
      </c>
      <c r="C46" s="50">
        <v>6</v>
      </c>
      <c r="D46" s="50">
        <v>1</v>
      </c>
      <c r="E46" s="50">
        <v>4</v>
      </c>
      <c r="F46" s="50">
        <v>8</v>
      </c>
      <c r="G46" s="50">
        <v>0</v>
      </c>
      <c r="H46" s="50">
        <v>0</v>
      </c>
      <c r="I46" s="50">
        <v>7</v>
      </c>
      <c r="J46" s="50">
        <v>3</v>
      </c>
      <c r="K46" s="50">
        <v>0</v>
      </c>
      <c r="L46" s="50">
        <v>2</v>
      </c>
      <c r="M46" s="50">
        <v>110</v>
      </c>
      <c r="N46" s="50">
        <v>0</v>
      </c>
      <c r="O46" s="15">
        <f t="shared" si="0"/>
        <v>31</v>
      </c>
      <c r="P46" s="15">
        <f t="shared" si="1"/>
        <v>141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3</v>
      </c>
      <c r="E47" s="50">
        <v>3</v>
      </c>
      <c r="F47" s="50">
        <v>9</v>
      </c>
      <c r="G47" s="50">
        <v>0</v>
      </c>
      <c r="H47" s="50">
        <v>0</v>
      </c>
      <c r="I47" s="50">
        <v>5</v>
      </c>
      <c r="J47" s="50">
        <v>0</v>
      </c>
      <c r="K47" s="50">
        <v>0</v>
      </c>
      <c r="L47" s="50">
        <v>0</v>
      </c>
      <c r="M47" s="50">
        <v>90</v>
      </c>
      <c r="N47" s="50">
        <v>0</v>
      </c>
      <c r="O47" s="15">
        <f t="shared" si="0"/>
        <v>26</v>
      </c>
      <c r="P47" s="15">
        <f t="shared" si="1"/>
        <v>116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8</v>
      </c>
      <c r="E48" s="50">
        <v>3</v>
      </c>
      <c r="F48" s="50">
        <v>6</v>
      </c>
      <c r="G48" s="50">
        <v>0</v>
      </c>
      <c r="H48" s="50">
        <v>0</v>
      </c>
      <c r="I48" s="50">
        <v>9</v>
      </c>
      <c r="J48" s="50">
        <v>1</v>
      </c>
      <c r="K48" s="50">
        <v>0</v>
      </c>
      <c r="L48" s="50">
        <v>2</v>
      </c>
      <c r="M48" s="50">
        <v>96</v>
      </c>
      <c r="N48" s="50">
        <v>0</v>
      </c>
      <c r="O48" s="15">
        <f t="shared" si="0"/>
        <v>39</v>
      </c>
      <c r="P48" s="15">
        <f t="shared" si="1"/>
        <v>135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3</v>
      </c>
      <c r="E49" s="50">
        <v>1</v>
      </c>
      <c r="F49" s="50">
        <v>3</v>
      </c>
      <c r="G49" s="50">
        <v>0</v>
      </c>
      <c r="H49" s="50">
        <v>0</v>
      </c>
      <c r="I49" s="50">
        <v>5</v>
      </c>
      <c r="J49" s="50">
        <v>3</v>
      </c>
      <c r="K49" s="50">
        <v>0</v>
      </c>
      <c r="L49" s="50">
        <v>0</v>
      </c>
      <c r="M49" s="50">
        <v>91</v>
      </c>
      <c r="N49" s="50">
        <v>0</v>
      </c>
      <c r="O49" s="15">
        <f t="shared" si="0"/>
        <v>21</v>
      </c>
      <c r="P49" s="15">
        <f t="shared" si="1"/>
        <v>112</v>
      </c>
      <c r="R49" s="8"/>
      <c r="T49"/>
    </row>
    <row r="50" spans="2:20" ht="23.1" customHeight="1" x14ac:dyDescent="0.25">
      <c r="B50" s="24" t="s">
        <v>77</v>
      </c>
      <c r="C50" s="50">
        <v>17</v>
      </c>
      <c r="D50" s="50">
        <v>2</v>
      </c>
      <c r="E50" s="50">
        <v>5</v>
      </c>
      <c r="F50" s="50">
        <v>10</v>
      </c>
      <c r="G50" s="50">
        <v>0</v>
      </c>
      <c r="H50" s="50">
        <v>0</v>
      </c>
      <c r="I50" s="50">
        <v>3</v>
      </c>
      <c r="J50" s="50">
        <v>3</v>
      </c>
      <c r="K50" s="50">
        <v>0</v>
      </c>
      <c r="L50" s="50">
        <v>2</v>
      </c>
      <c r="M50" s="50">
        <v>91</v>
      </c>
      <c r="N50" s="50">
        <v>0</v>
      </c>
      <c r="O50" s="15">
        <f t="shared" si="0"/>
        <v>42</v>
      </c>
      <c r="P50" s="15">
        <f t="shared" si="1"/>
        <v>133</v>
      </c>
      <c r="R50" s="8"/>
      <c r="T50"/>
    </row>
    <row r="51" spans="2:20" ht="23.1" customHeight="1" x14ac:dyDescent="0.25">
      <c r="B51" s="24" t="s">
        <v>78</v>
      </c>
      <c r="C51" s="50">
        <v>12</v>
      </c>
      <c r="D51" s="50">
        <v>10</v>
      </c>
      <c r="E51" s="50">
        <v>11</v>
      </c>
      <c r="F51" s="50">
        <v>10</v>
      </c>
      <c r="G51" s="50">
        <v>3</v>
      </c>
      <c r="H51" s="50">
        <v>0</v>
      </c>
      <c r="I51" s="50">
        <v>6</v>
      </c>
      <c r="J51" s="50">
        <v>0</v>
      </c>
      <c r="K51" s="50">
        <v>0</v>
      </c>
      <c r="L51" s="50">
        <v>2</v>
      </c>
      <c r="M51" s="50">
        <v>101</v>
      </c>
      <c r="N51" s="50">
        <v>0</v>
      </c>
      <c r="O51" s="15">
        <f t="shared" si="0"/>
        <v>54</v>
      </c>
      <c r="P51" s="15">
        <f t="shared" si="1"/>
        <v>155</v>
      </c>
      <c r="R51" s="8"/>
      <c r="T51"/>
    </row>
    <row r="52" spans="2:20" ht="23.1" customHeight="1" x14ac:dyDescent="0.25">
      <c r="B52" s="24" t="s">
        <v>79</v>
      </c>
      <c r="C52" s="50">
        <v>8</v>
      </c>
      <c r="D52" s="50">
        <v>4</v>
      </c>
      <c r="E52" s="50">
        <v>5</v>
      </c>
      <c r="F52" s="50">
        <v>12</v>
      </c>
      <c r="G52" s="50">
        <v>0</v>
      </c>
      <c r="H52" s="50">
        <v>0</v>
      </c>
      <c r="I52" s="50">
        <v>3</v>
      </c>
      <c r="J52" s="50">
        <v>1</v>
      </c>
      <c r="K52" s="50">
        <v>0</v>
      </c>
      <c r="L52" s="50">
        <v>2</v>
      </c>
      <c r="M52" s="50">
        <v>100</v>
      </c>
      <c r="N52" s="50">
        <v>0</v>
      </c>
      <c r="O52" s="15">
        <f t="shared" si="0"/>
        <v>35</v>
      </c>
      <c r="P52" s="15">
        <f t="shared" si="1"/>
        <v>135</v>
      </c>
      <c r="R52" s="8"/>
      <c r="T52"/>
    </row>
    <row r="53" spans="2:20" ht="23.1" customHeight="1" x14ac:dyDescent="0.25">
      <c r="B53" s="23" t="s">
        <v>80</v>
      </c>
      <c r="C53" s="50">
        <v>23</v>
      </c>
      <c r="D53" s="50">
        <v>5</v>
      </c>
      <c r="E53" s="50">
        <v>4</v>
      </c>
      <c r="F53" s="50">
        <v>10</v>
      </c>
      <c r="G53" s="50">
        <v>3</v>
      </c>
      <c r="H53" s="50">
        <v>0</v>
      </c>
      <c r="I53" s="50">
        <v>5</v>
      </c>
      <c r="J53" s="50">
        <v>4</v>
      </c>
      <c r="K53" s="50">
        <v>1</v>
      </c>
      <c r="L53" s="50">
        <v>0</v>
      </c>
      <c r="M53" s="50">
        <v>111</v>
      </c>
      <c r="N53" s="50">
        <v>0</v>
      </c>
      <c r="O53" s="15">
        <f t="shared" si="0"/>
        <v>55</v>
      </c>
      <c r="P53" s="15">
        <f t="shared" si="1"/>
        <v>166</v>
      </c>
      <c r="R53" s="8"/>
      <c r="T53"/>
    </row>
    <row r="54" spans="2:20" ht="23.1" customHeight="1" x14ac:dyDescent="0.25">
      <c r="B54" s="23" t="s">
        <v>81</v>
      </c>
      <c r="C54" s="50">
        <v>25</v>
      </c>
      <c r="D54" s="50">
        <v>10</v>
      </c>
      <c r="E54" s="50">
        <v>3</v>
      </c>
      <c r="F54" s="50">
        <v>41</v>
      </c>
      <c r="G54" s="50">
        <v>2</v>
      </c>
      <c r="H54" s="50">
        <v>0</v>
      </c>
      <c r="I54" s="50">
        <v>10</v>
      </c>
      <c r="J54" s="50">
        <v>5</v>
      </c>
      <c r="K54" s="50">
        <v>0</v>
      </c>
      <c r="L54" s="50">
        <v>0</v>
      </c>
      <c r="M54" s="50">
        <v>121</v>
      </c>
      <c r="N54" s="50">
        <v>0</v>
      </c>
      <c r="O54" s="15">
        <f t="shared" si="0"/>
        <v>96</v>
      </c>
      <c r="P54" s="15">
        <f t="shared" si="1"/>
        <v>217</v>
      </c>
      <c r="R54" s="8"/>
      <c r="T54"/>
    </row>
    <row r="55" spans="2:20" ht="23.1" customHeight="1" x14ac:dyDescent="0.25">
      <c r="B55" s="23" t="s">
        <v>82</v>
      </c>
      <c r="C55" s="50">
        <v>8</v>
      </c>
      <c r="D55" s="50">
        <v>3</v>
      </c>
      <c r="E55" s="50">
        <v>2</v>
      </c>
      <c r="F55" s="50">
        <v>3</v>
      </c>
      <c r="G55" s="50">
        <v>0</v>
      </c>
      <c r="H55" s="50">
        <v>0</v>
      </c>
      <c r="I55" s="50">
        <v>4</v>
      </c>
      <c r="J55" s="50">
        <v>2</v>
      </c>
      <c r="K55" s="50">
        <v>2</v>
      </c>
      <c r="L55" s="50">
        <v>0</v>
      </c>
      <c r="M55" s="50">
        <v>115</v>
      </c>
      <c r="N55" s="50">
        <v>0</v>
      </c>
      <c r="O55" s="15">
        <f t="shared" si="0"/>
        <v>24</v>
      </c>
      <c r="P55" s="15">
        <f t="shared" si="1"/>
        <v>139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3</v>
      </c>
      <c r="E56" s="50">
        <v>12</v>
      </c>
      <c r="F56" s="50">
        <v>10</v>
      </c>
      <c r="G56" s="50">
        <v>2</v>
      </c>
      <c r="H56" s="50">
        <v>0</v>
      </c>
      <c r="I56" s="50">
        <v>5</v>
      </c>
      <c r="J56" s="50">
        <v>0</v>
      </c>
      <c r="K56" s="50">
        <v>0</v>
      </c>
      <c r="L56" s="50">
        <v>1</v>
      </c>
      <c r="M56" s="50">
        <v>96</v>
      </c>
      <c r="N56" s="50">
        <v>0</v>
      </c>
      <c r="O56" s="15">
        <f t="shared" si="0"/>
        <v>38</v>
      </c>
      <c r="P56" s="15">
        <f t="shared" si="1"/>
        <v>134</v>
      </c>
      <c r="R56" s="8"/>
      <c r="T56"/>
    </row>
    <row r="57" spans="2:20" ht="23.1" customHeight="1" x14ac:dyDescent="0.25">
      <c r="B57" s="23" t="s">
        <v>84</v>
      </c>
      <c r="C57" s="50">
        <v>18</v>
      </c>
      <c r="D57" s="50">
        <v>7</v>
      </c>
      <c r="E57" s="50">
        <v>5</v>
      </c>
      <c r="F57" s="50">
        <v>17</v>
      </c>
      <c r="G57" s="50">
        <v>2</v>
      </c>
      <c r="H57" s="50">
        <v>0</v>
      </c>
      <c r="I57" s="50">
        <v>8</v>
      </c>
      <c r="J57" s="50">
        <v>2</v>
      </c>
      <c r="K57" s="50">
        <v>0</v>
      </c>
      <c r="L57" s="50">
        <v>0</v>
      </c>
      <c r="M57" s="50">
        <v>72</v>
      </c>
      <c r="N57" s="50">
        <v>0</v>
      </c>
      <c r="O57" s="15">
        <f t="shared" si="0"/>
        <v>59</v>
      </c>
      <c r="P57" s="15">
        <f t="shared" si="1"/>
        <v>131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494</v>
      </c>
      <c r="D58" s="16">
        <f t="shared" si="21"/>
        <v>182</v>
      </c>
      <c r="E58" s="16">
        <f t="shared" si="21"/>
        <v>148</v>
      </c>
      <c r="F58" s="16">
        <f t="shared" si="21"/>
        <v>441</v>
      </c>
      <c r="G58" s="16">
        <f t="shared" si="21"/>
        <v>29</v>
      </c>
      <c r="H58" s="16">
        <f t="shared" si="21"/>
        <v>0</v>
      </c>
      <c r="I58" s="16">
        <f t="shared" si="21"/>
        <v>311</v>
      </c>
      <c r="J58" s="16">
        <f t="shared" si="21"/>
        <v>95</v>
      </c>
      <c r="K58" s="16">
        <f t="shared" si="21"/>
        <v>20</v>
      </c>
      <c r="L58" s="16">
        <f t="shared" si="21"/>
        <v>34</v>
      </c>
      <c r="M58" s="16">
        <f t="shared" si="21"/>
        <v>4695</v>
      </c>
      <c r="N58" s="16">
        <f t="shared" si="21"/>
        <v>0</v>
      </c>
      <c r="O58" s="16">
        <f t="shared" si="21"/>
        <v>1754</v>
      </c>
      <c r="P58" s="16">
        <f t="shared" si="21"/>
        <v>6449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7.6601023414482869E-2</v>
      </c>
      <c r="D59" s="43">
        <f t="shared" si="22"/>
        <v>2.8221429679020003E-2</v>
      </c>
      <c r="E59" s="43">
        <f t="shared" si="22"/>
        <v>2.2949294464258023E-2</v>
      </c>
      <c r="F59" s="43">
        <f t="shared" si="22"/>
        <v>6.8382694991471552E-2</v>
      </c>
      <c r="G59" s="43">
        <f t="shared" si="22"/>
        <v>4.496821212591099E-3</v>
      </c>
      <c r="H59" s="43">
        <f t="shared" si="22"/>
        <v>0</v>
      </c>
      <c r="I59" s="43">
        <f t="shared" si="22"/>
        <v>4.8224530935028688E-2</v>
      </c>
      <c r="J59" s="43">
        <f t="shared" si="22"/>
        <v>1.4730966041246706E-2</v>
      </c>
      <c r="K59" s="43">
        <f t="shared" si="22"/>
        <v>3.1012560086835167E-3</v>
      </c>
      <c r="L59" s="43">
        <f t="shared" si="22"/>
        <v>5.2721352147619789E-3</v>
      </c>
      <c r="M59" s="43">
        <f t="shared" si="22"/>
        <v>0.72801984803845554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0.28164196123147095</v>
      </c>
      <c r="D60" s="44">
        <f t="shared" ref="D60:N60" si="23">D58/$O$58</f>
        <v>0.10376282782212087</v>
      </c>
      <c r="E60" s="44">
        <f t="shared" si="23"/>
        <v>8.4378563283922459E-2</v>
      </c>
      <c r="F60" s="44">
        <f t="shared" si="23"/>
        <v>0.25142531356898518</v>
      </c>
      <c r="G60" s="44">
        <f t="shared" si="23"/>
        <v>1.6533637400228049E-2</v>
      </c>
      <c r="H60" s="44">
        <f t="shared" si="23"/>
        <v>0</v>
      </c>
      <c r="I60" s="44">
        <f t="shared" si="23"/>
        <v>0.17730900798175597</v>
      </c>
      <c r="J60" s="44">
        <f t="shared" si="23"/>
        <v>5.416191562143672E-2</v>
      </c>
      <c r="K60" s="44">
        <f t="shared" si="23"/>
        <v>1.1402508551881414E-2</v>
      </c>
      <c r="L60" s="44">
        <f t="shared" si="23"/>
        <v>1.9384264538198404E-2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N53" zoomScale="60" workbookViewId="0">
      <selection activeCell="AD76" sqref="AD7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9" t="str">
        <f>'4.11 KATOSI-MUKONO'!C3:G3</f>
        <v>MCC - C2 - STN077 - KATOSI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2" t="s">
        <v>162</v>
      </c>
      <c r="E5" s="63"/>
      <c r="F5" s="41" t="s">
        <v>1</v>
      </c>
      <c r="G5" s="60" t="str">
        <f>'4.11 MUKONO-KATOSI'!G5:H5</f>
        <v>SHELL PETROL STATION</v>
      </c>
      <c r="H5" s="61"/>
      <c r="I5" s="14"/>
      <c r="J5" s="2" t="s">
        <v>5</v>
      </c>
      <c r="K5" s="60" t="str">
        <f>'4.11 MUKONO-KATOSI'!K5:L5</f>
        <v>KIRABO D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'4.11 MUKONO-KATOSI'!D6:E6</f>
        <v>MUKONO</v>
      </c>
      <c r="E6" s="61"/>
      <c r="F6" s="2" t="s">
        <v>2</v>
      </c>
      <c r="G6" s="60" t="str">
        <f>'4.11 MUKONO-KATOSI'!G6:H6</f>
        <v>KATOSI</v>
      </c>
      <c r="H6" s="61"/>
      <c r="J6" s="2" t="s">
        <v>21</v>
      </c>
      <c r="K6" s="60" t="str">
        <f>'4.11 MUKONO-KATOSI'!K6:L6</f>
        <v>VICTOR M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AVERAGE('29.10-MUKONO-KATOSI'!C10,'30.10 KATOSI-MUKONO'!C10,'31.10 MUKONO-KATOSI'!C10,'3.11 MUKONO-KATOSI'!C10,'1.11 KATOSI-MUKONO-24hr'!C10,'2.11 KATOSI-MUKONO 24hr'!C10,'4.11 MUKONO-KATOSI'!C10)</f>
        <v>5</v>
      </c>
      <c r="D10" s="49">
        <f>AVERAGE('29.10-MUKONO-KATOSI'!D10,'30.10 KATOSI-MUKONO'!D10,'31.10 MUKONO-KATOSI'!D10,'3.11 MUKONO-KATOSI'!D10,'1.11 KATOSI-MUKONO-24hr'!D10,'2.11 KATOSI-MUKONO 24hr'!D10,'4.11 MUKONO-KATOSI'!D10)</f>
        <v>3.5714285714285716</v>
      </c>
      <c r="E10" s="49">
        <f>AVERAGE('29.10-MUKONO-KATOSI'!E10,'30.10 KATOSI-MUKONO'!E10,'31.10 MUKONO-KATOSI'!E10,'3.11 MUKONO-KATOSI'!E10,'1.11 KATOSI-MUKONO-24hr'!E10,'2.11 KATOSI-MUKONO 24hr'!E10,'4.11 MUKONO-KATOSI'!E10)</f>
        <v>2</v>
      </c>
      <c r="F10" s="49">
        <f>AVERAGE('29.10-MUKONO-KATOSI'!F10,'30.10 KATOSI-MUKONO'!F10,'31.10 MUKONO-KATOSI'!F10,'3.11 MUKONO-KATOSI'!F10,'1.11 KATOSI-MUKONO-24hr'!F10,'2.11 KATOSI-MUKONO 24hr'!F10,'4.11 MUKONO-KATOSI'!F10)</f>
        <v>6.8571428571428568</v>
      </c>
      <c r="G10" s="49">
        <f>AVERAGE('29.10-MUKONO-KATOSI'!G10,'30.10 KATOSI-MUKONO'!G10,'31.10 MUKONO-KATOSI'!G10,'3.11 MUKONO-KATOSI'!G10,'1.11 KATOSI-MUKONO-24hr'!G10,'2.11 KATOSI-MUKONO 24hr'!G10,'4.11 MUKONO-KATOSI'!G10)</f>
        <v>1.5714285714285714</v>
      </c>
      <c r="H10" s="49">
        <f>AVERAGE('29.10-MUKONO-KATOSI'!H10,'30.10 KATOSI-MUKONO'!H10,'31.10 MUKONO-KATOSI'!H10,'3.11 MUKONO-KATOSI'!H10,'1.11 KATOSI-MUKONO-24hr'!H10,'2.11 KATOSI-MUKONO 24hr'!H10,'4.11 MUKONO-KATOSI'!H10)</f>
        <v>0.5714285714285714</v>
      </c>
      <c r="I10" s="49">
        <f>AVERAGE('29.10-MUKONO-KATOSI'!I10,'30.10 KATOSI-MUKONO'!I10,'31.10 MUKONO-KATOSI'!I10,'3.11 MUKONO-KATOSI'!I10,'1.11 KATOSI-MUKONO-24hr'!I10,'2.11 KATOSI-MUKONO 24hr'!I10,'4.11 MUKONO-KATOSI'!I10)</f>
        <v>2</v>
      </c>
      <c r="J10" s="49">
        <f>AVERAGE('29.10-MUKONO-KATOSI'!J10,'30.10 KATOSI-MUKONO'!J10,'31.10 MUKONO-KATOSI'!J10,'3.11 MUKONO-KATOSI'!J10,'1.11 KATOSI-MUKONO-24hr'!J10,'2.11 KATOSI-MUKONO 24hr'!J10,'4.11 MUKONO-KATOSI'!J10)</f>
        <v>1.8571428571428572</v>
      </c>
      <c r="K10" s="49">
        <f>AVERAGE('29.10-MUKONO-KATOSI'!K10,'30.10 KATOSI-MUKONO'!K10,'31.10 MUKONO-KATOSI'!K10,'3.11 MUKONO-KATOSI'!K10,'1.11 KATOSI-MUKONO-24hr'!K10,'2.11 KATOSI-MUKONO 24hr'!K10,'4.11 MUKONO-KATOSI'!K10)</f>
        <v>0</v>
      </c>
      <c r="L10" s="49">
        <f>AVERAGE('29.10-MUKONO-KATOSI'!L10,'30.10 KATOSI-MUKONO'!L10,'31.10 MUKONO-KATOSI'!L10,'3.11 MUKONO-KATOSI'!L10,'1.11 KATOSI-MUKONO-24hr'!L10,'2.11 KATOSI-MUKONO 24hr'!L10,'4.11 MUKONO-KATOSI'!L10)</f>
        <v>0.42857142857142855</v>
      </c>
      <c r="M10" s="49">
        <f>AVERAGE('29.10-MUKONO-KATOSI'!M10,'30.10 KATOSI-MUKONO'!M10,'31.10 MUKONO-KATOSI'!M10,'3.11 MUKONO-KATOSI'!M10,'1.11 KATOSI-MUKONO-24hr'!M10,'2.11 KATOSI-MUKONO 24hr'!M10,'4.11 MUKONO-KATOSI'!M10)</f>
        <v>87.142857142857139</v>
      </c>
      <c r="N10" s="49">
        <f>AVERAGE('29.10-MUKONO-KATOSI'!N10,'30.10 KATOSI-MUKONO'!N10,'31.10 MUKONO-KATOSI'!N10,'3.11 MUKONO-KATOSI'!N10,'1.11 KATOSI-MUKONO-24hr'!N10,'2.11 KATOSI-MUKONO 24hr'!N10,'4.11 MUKONO-KATOSI'!N10)</f>
        <v>0</v>
      </c>
      <c r="O10" s="15">
        <f t="shared" ref="O10:O73" si="0">SUM(C10:L10,N10)</f>
        <v>23.857142857142858</v>
      </c>
      <c r="P10" s="15">
        <f t="shared" ref="P10:P73" si="1">SUM(C10:N10)</f>
        <v>111</v>
      </c>
      <c r="R10" s="1" t="s">
        <v>6</v>
      </c>
      <c r="S10" s="17">
        <f t="shared" ref="S10:AF10" si="2">SUM(C10:C13)</f>
        <v>45.857142857142861</v>
      </c>
      <c r="T10" s="17">
        <f t="shared" si="2"/>
        <v>19.571428571428573</v>
      </c>
      <c r="U10" s="17">
        <f t="shared" si="2"/>
        <v>11.285714285714286</v>
      </c>
      <c r="V10" s="17">
        <f t="shared" si="2"/>
        <v>34.428571428571431</v>
      </c>
      <c r="W10" s="17">
        <f t="shared" si="2"/>
        <v>4.5714285714285712</v>
      </c>
      <c r="X10" s="17">
        <f t="shared" si="2"/>
        <v>0.5714285714285714</v>
      </c>
      <c r="Y10" s="17">
        <f t="shared" si="2"/>
        <v>22.714285714285712</v>
      </c>
      <c r="Z10" s="17">
        <f t="shared" si="2"/>
        <v>4.7142857142857144</v>
      </c>
      <c r="AA10" s="17">
        <f t="shared" si="2"/>
        <v>0.8571428571428571</v>
      </c>
      <c r="AB10" s="17">
        <f t="shared" si="2"/>
        <v>2.2857142857142856</v>
      </c>
      <c r="AC10" s="17">
        <f t="shared" si="2"/>
        <v>384</v>
      </c>
      <c r="AD10" s="17">
        <f t="shared" si="2"/>
        <v>0</v>
      </c>
      <c r="AE10" s="31">
        <f t="shared" si="2"/>
        <v>146.85714285714283</v>
      </c>
      <c r="AF10" s="31">
        <f t="shared" si="2"/>
        <v>530.85714285714289</v>
      </c>
    </row>
    <row r="11" spans="2:32" s="6" customFormat="1" ht="23.1" customHeight="1" x14ac:dyDescent="0.25">
      <c r="B11" s="23" t="s">
        <v>38</v>
      </c>
      <c r="C11" s="49">
        <f>AVERAGE('29.10-MUKONO-KATOSI'!C11,'30.10 KATOSI-MUKONO'!C11,'31.10 MUKONO-KATOSI'!C11,'3.11 MUKONO-KATOSI'!C11,'1.11 KATOSI-MUKONO-24hr'!C11,'2.11 KATOSI-MUKONO 24hr'!C11,'4.11 MUKONO-KATOSI'!C11)</f>
        <v>19.142857142857142</v>
      </c>
      <c r="D11" s="49">
        <f>AVERAGE('29.10-MUKONO-KATOSI'!D11,'30.10 KATOSI-MUKONO'!D11,'31.10 MUKONO-KATOSI'!D11,'3.11 MUKONO-KATOSI'!D11,'1.11 KATOSI-MUKONO-24hr'!D11,'2.11 KATOSI-MUKONO 24hr'!D11,'4.11 MUKONO-KATOSI'!D11)</f>
        <v>6.2857142857142856</v>
      </c>
      <c r="E11" s="49">
        <f>AVERAGE('29.10-MUKONO-KATOSI'!E11,'30.10 KATOSI-MUKONO'!E11,'31.10 MUKONO-KATOSI'!E11,'3.11 MUKONO-KATOSI'!E11,'1.11 KATOSI-MUKONO-24hr'!E11,'2.11 KATOSI-MUKONO 24hr'!E11,'4.11 MUKONO-KATOSI'!E11)</f>
        <v>2</v>
      </c>
      <c r="F11" s="49">
        <f>AVERAGE('29.10-MUKONO-KATOSI'!F11,'30.10 KATOSI-MUKONO'!F11,'31.10 MUKONO-KATOSI'!F11,'3.11 MUKONO-KATOSI'!F11,'1.11 KATOSI-MUKONO-24hr'!F11,'2.11 KATOSI-MUKONO 24hr'!F11,'4.11 MUKONO-KATOSI'!F11)</f>
        <v>9.8571428571428577</v>
      </c>
      <c r="G11" s="49">
        <f>AVERAGE('29.10-MUKONO-KATOSI'!G11,'30.10 KATOSI-MUKONO'!G11,'31.10 MUKONO-KATOSI'!G11,'3.11 MUKONO-KATOSI'!G11,'1.11 KATOSI-MUKONO-24hr'!G11,'2.11 KATOSI-MUKONO 24hr'!G11,'4.11 MUKONO-KATOSI'!G11)</f>
        <v>0.5714285714285714</v>
      </c>
      <c r="H11" s="49">
        <f>AVERAGE('29.10-MUKONO-KATOSI'!H11,'30.10 KATOSI-MUKONO'!H11,'31.10 MUKONO-KATOSI'!H11,'3.11 MUKONO-KATOSI'!H11,'1.11 KATOSI-MUKONO-24hr'!H11,'2.11 KATOSI-MUKONO 24hr'!H11,'4.11 MUKONO-KATOSI'!H11)</f>
        <v>0</v>
      </c>
      <c r="I11" s="49">
        <f>AVERAGE('29.10-MUKONO-KATOSI'!I11,'30.10 KATOSI-MUKONO'!I11,'31.10 MUKONO-KATOSI'!I11,'3.11 MUKONO-KATOSI'!I11,'1.11 KATOSI-MUKONO-24hr'!I11,'2.11 KATOSI-MUKONO 24hr'!I11,'4.11 MUKONO-KATOSI'!I11)</f>
        <v>5.8571428571428568</v>
      </c>
      <c r="J11" s="49">
        <f>AVERAGE('29.10-MUKONO-KATOSI'!J11,'30.10 KATOSI-MUKONO'!J11,'31.10 MUKONO-KATOSI'!J11,'3.11 MUKONO-KATOSI'!J11,'1.11 KATOSI-MUKONO-24hr'!J11,'2.11 KATOSI-MUKONO 24hr'!J11,'4.11 MUKONO-KATOSI'!J11)</f>
        <v>1</v>
      </c>
      <c r="K11" s="49">
        <f>AVERAGE('29.10-MUKONO-KATOSI'!K11,'30.10 KATOSI-MUKONO'!K11,'31.10 MUKONO-KATOSI'!K11,'3.11 MUKONO-KATOSI'!K11,'1.11 KATOSI-MUKONO-24hr'!K11,'2.11 KATOSI-MUKONO 24hr'!K11,'4.11 MUKONO-KATOSI'!K11)</f>
        <v>0.14285714285714285</v>
      </c>
      <c r="L11" s="49">
        <f>AVERAGE('29.10-MUKONO-KATOSI'!L11,'30.10 KATOSI-MUKONO'!L11,'31.10 MUKONO-KATOSI'!L11,'3.11 MUKONO-KATOSI'!L11,'1.11 KATOSI-MUKONO-24hr'!L11,'2.11 KATOSI-MUKONO 24hr'!L11,'4.11 MUKONO-KATOSI'!L11)</f>
        <v>0</v>
      </c>
      <c r="M11" s="49">
        <f>AVERAGE('29.10-MUKONO-KATOSI'!M11,'30.10 KATOSI-MUKONO'!M11,'31.10 MUKONO-KATOSI'!M11,'3.11 MUKONO-KATOSI'!M11,'1.11 KATOSI-MUKONO-24hr'!M11,'2.11 KATOSI-MUKONO 24hr'!M11,'4.11 MUKONO-KATOSI'!M11)</f>
        <v>93.571428571428569</v>
      </c>
      <c r="N11" s="49">
        <f>AVERAGE('29.10-MUKONO-KATOSI'!N11,'30.10 KATOSI-MUKONO'!N11,'31.10 MUKONO-KATOSI'!N11,'3.11 MUKONO-KATOSI'!N11,'1.11 KATOSI-MUKONO-24hr'!N11,'2.11 KATOSI-MUKONO 24hr'!N11,'4.11 MUKONO-KATOSI'!N11)</f>
        <v>0</v>
      </c>
      <c r="O11" s="15">
        <f t="shared" si="0"/>
        <v>44.857142857142854</v>
      </c>
      <c r="P11" s="15">
        <f t="shared" si="1"/>
        <v>138.42857142857142</v>
      </c>
      <c r="R11" s="1" t="s">
        <v>7</v>
      </c>
      <c r="S11" s="17">
        <f t="shared" ref="S11:AF11" si="3">SUM(C14:C17)</f>
        <v>53.857142857142861</v>
      </c>
      <c r="T11" s="17">
        <f t="shared" si="3"/>
        <v>18.428571428571427</v>
      </c>
      <c r="U11" s="17">
        <f t="shared" si="3"/>
        <v>12.285714285714285</v>
      </c>
      <c r="V11" s="17">
        <f t="shared" si="3"/>
        <v>27.714285714285715</v>
      </c>
      <c r="W11" s="17">
        <f t="shared" si="3"/>
        <v>3.7142857142857144</v>
      </c>
      <c r="X11" s="17">
        <f t="shared" si="3"/>
        <v>0</v>
      </c>
      <c r="Y11" s="17">
        <f t="shared" si="3"/>
        <v>19.857142857142861</v>
      </c>
      <c r="Z11" s="17">
        <f t="shared" si="3"/>
        <v>3</v>
      </c>
      <c r="AA11" s="17">
        <f t="shared" si="3"/>
        <v>1.857142857142857</v>
      </c>
      <c r="AB11" s="17">
        <f t="shared" si="3"/>
        <v>2.8571428571428568</v>
      </c>
      <c r="AC11" s="17">
        <f t="shared" si="3"/>
        <v>387</v>
      </c>
      <c r="AD11" s="17">
        <f t="shared" si="3"/>
        <v>0.14285714285714285</v>
      </c>
      <c r="AE11" s="31">
        <f t="shared" si="3"/>
        <v>143.71428571428572</v>
      </c>
      <c r="AF11" s="31">
        <f t="shared" si="3"/>
        <v>530.71428571428567</v>
      </c>
    </row>
    <row r="12" spans="2:32" ht="23.1" customHeight="1" x14ac:dyDescent="0.25">
      <c r="B12" s="23" t="s">
        <v>39</v>
      </c>
      <c r="C12" s="49">
        <f>AVERAGE('29.10-MUKONO-KATOSI'!C12,'30.10 KATOSI-MUKONO'!C12,'31.10 MUKONO-KATOSI'!C12,'3.11 MUKONO-KATOSI'!C12,'1.11 KATOSI-MUKONO-24hr'!C12,'2.11 KATOSI-MUKONO 24hr'!C12,'4.11 MUKONO-KATOSI'!C12)</f>
        <v>8.2857142857142865</v>
      </c>
      <c r="D12" s="49">
        <f>AVERAGE('29.10-MUKONO-KATOSI'!D12,'30.10 KATOSI-MUKONO'!D12,'31.10 MUKONO-KATOSI'!D12,'3.11 MUKONO-KATOSI'!D12,'1.11 KATOSI-MUKONO-24hr'!D12,'2.11 KATOSI-MUKONO 24hr'!D12,'4.11 MUKONO-KATOSI'!D12)</f>
        <v>3.5714285714285716</v>
      </c>
      <c r="E12" s="49">
        <f>AVERAGE('29.10-MUKONO-KATOSI'!E12,'30.10 KATOSI-MUKONO'!E12,'31.10 MUKONO-KATOSI'!E12,'3.11 MUKONO-KATOSI'!E12,'1.11 KATOSI-MUKONO-24hr'!E12,'2.11 KATOSI-MUKONO 24hr'!E12,'4.11 MUKONO-KATOSI'!E12)</f>
        <v>2.8571428571428572</v>
      </c>
      <c r="F12" s="49">
        <f>AVERAGE('29.10-MUKONO-KATOSI'!F12,'30.10 KATOSI-MUKONO'!F12,'31.10 MUKONO-KATOSI'!F12,'3.11 MUKONO-KATOSI'!F12,'1.11 KATOSI-MUKONO-24hr'!F12,'2.11 KATOSI-MUKONO 24hr'!F12,'4.11 MUKONO-KATOSI'!F12)</f>
        <v>7.5714285714285712</v>
      </c>
      <c r="G12" s="49">
        <f>AVERAGE('29.10-MUKONO-KATOSI'!G12,'30.10 KATOSI-MUKONO'!G12,'31.10 MUKONO-KATOSI'!G12,'3.11 MUKONO-KATOSI'!G12,'1.11 KATOSI-MUKONO-24hr'!G12,'2.11 KATOSI-MUKONO 24hr'!G12,'4.11 MUKONO-KATOSI'!G12)</f>
        <v>0.8571428571428571</v>
      </c>
      <c r="H12" s="49">
        <f>AVERAGE('29.10-MUKONO-KATOSI'!H12,'30.10 KATOSI-MUKONO'!H12,'31.10 MUKONO-KATOSI'!H12,'3.11 MUKONO-KATOSI'!H12,'1.11 KATOSI-MUKONO-24hr'!H12,'2.11 KATOSI-MUKONO 24hr'!H12,'4.11 MUKONO-KATOSI'!H12)</f>
        <v>0</v>
      </c>
      <c r="I12" s="49">
        <f>AVERAGE('29.10-MUKONO-KATOSI'!I12,'30.10 KATOSI-MUKONO'!I12,'31.10 MUKONO-KATOSI'!I12,'3.11 MUKONO-KATOSI'!I12,'1.11 KATOSI-MUKONO-24hr'!I12,'2.11 KATOSI-MUKONO 24hr'!I12,'4.11 MUKONO-KATOSI'!I12)</f>
        <v>8.5714285714285712</v>
      </c>
      <c r="J12" s="49">
        <f>AVERAGE('29.10-MUKONO-KATOSI'!J12,'30.10 KATOSI-MUKONO'!J12,'31.10 MUKONO-KATOSI'!J12,'3.11 MUKONO-KATOSI'!J12,'1.11 KATOSI-MUKONO-24hr'!J12,'2.11 KATOSI-MUKONO 24hr'!J12,'4.11 MUKONO-KATOSI'!J12)</f>
        <v>0.8571428571428571</v>
      </c>
      <c r="K12" s="49">
        <f>AVERAGE('29.10-MUKONO-KATOSI'!K12,'30.10 KATOSI-MUKONO'!K12,'31.10 MUKONO-KATOSI'!K12,'3.11 MUKONO-KATOSI'!K12,'1.11 KATOSI-MUKONO-24hr'!K12,'2.11 KATOSI-MUKONO 24hr'!K12,'4.11 MUKONO-KATOSI'!K12)</f>
        <v>0.14285714285714285</v>
      </c>
      <c r="L12" s="49">
        <f>AVERAGE('29.10-MUKONO-KATOSI'!L12,'30.10 KATOSI-MUKONO'!L12,'31.10 MUKONO-KATOSI'!L12,'3.11 MUKONO-KATOSI'!L12,'1.11 KATOSI-MUKONO-24hr'!L12,'2.11 KATOSI-MUKONO 24hr'!L12,'4.11 MUKONO-KATOSI'!L12)</f>
        <v>0.5714285714285714</v>
      </c>
      <c r="M12" s="49">
        <f>AVERAGE('29.10-MUKONO-KATOSI'!M12,'30.10 KATOSI-MUKONO'!M12,'31.10 MUKONO-KATOSI'!M12,'3.11 MUKONO-KATOSI'!M12,'1.11 KATOSI-MUKONO-24hr'!M12,'2.11 KATOSI-MUKONO 24hr'!M12,'4.11 MUKONO-KATOSI'!M12)</f>
        <v>95.714285714285708</v>
      </c>
      <c r="N12" s="49">
        <f>AVERAGE('29.10-MUKONO-KATOSI'!N12,'30.10 KATOSI-MUKONO'!N12,'31.10 MUKONO-KATOSI'!N12,'3.11 MUKONO-KATOSI'!N12,'1.11 KATOSI-MUKONO-24hr'!N12,'2.11 KATOSI-MUKONO 24hr'!N12,'4.11 MUKONO-KATOSI'!N12)</f>
        <v>0</v>
      </c>
      <c r="O12" s="15">
        <f t="shared" si="0"/>
        <v>33.285714285714285</v>
      </c>
      <c r="P12" s="15">
        <f t="shared" si="1"/>
        <v>129</v>
      </c>
      <c r="R12" s="1" t="s">
        <v>8</v>
      </c>
      <c r="S12" s="17">
        <f t="shared" ref="S12:AF12" si="4">SUM(C18:C21)</f>
        <v>52</v>
      </c>
      <c r="T12" s="17">
        <f t="shared" si="4"/>
        <v>24.857142857142861</v>
      </c>
      <c r="U12" s="17">
        <f t="shared" si="4"/>
        <v>14.714285714285715</v>
      </c>
      <c r="V12" s="17">
        <f t="shared" si="4"/>
        <v>26.142857142857146</v>
      </c>
      <c r="W12" s="17">
        <f t="shared" si="4"/>
        <v>2.2857142857142856</v>
      </c>
      <c r="X12" s="17">
        <f t="shared" si="4"/>
        <v>1</v>
      </c>
      <c r="Y12" s="17">
        <f t="shared" si="4"/>
        <v>21</v>
      </c>
      <c r="Z12" s="17">
        <f t="shared" si="4"/>
        <v>8.428571428571427</v>
      </c>
      <c r="AA12" s="17">
        <f t="shared" si="4"/>
        <v>3.2857142857142856</v>
      </c>
      <c r="AB12" s="17">
        <f t="shared" si="4"/>
        <v>11.857142857142858</v>
      </c>
      <c r="AC12" s="17">
        <f t="shared" si="4"/>
        <v>409.71428571428572</v>
      </c>
      <c r="AD12" s="17">
        <f t="shared" si="4"/>
        <v>0.14285714285714285</v>
      </c>
      <c r="AE12" s="31">
        <f t="shared" si="4"/>
        <v>165.71428571428572</v>
      </c>
      <c r="AF12" s="31">
        <f t="shared" si="4"/>
        <v>575.42857142857133</v>
      </c>
    </row>
    <row r="13" spans="2:32" ht="23.1" customHeight="1" x14ac:dyDescent="0.25">
      <c r="B13" s="23" t="s">
        <v>40</v>
      </c>
      <c r="C13" s="49">
        <f>AVERAGE('29.10-MUKONO-KATOSI'!C13,'30.10 KATOSI-MUKONO'!C13,'31.10 MUKONO-KATOSI'!C13,'3.11 MUKONO-KATOSI'!C13,'1.11 KATOSI-MUKONO-24hr'!C13,'2.11 KATOSI-MUKONO 24hr'!C13,'4.11 MUKONO-KATOSI'!C13)</f>
        <v>13.428571428571429</v>
      </c>
      <c r="D13" s="49">
        <f>AVERAGE('29.10-MUKONO-KATOSI'!D13,'30.10 KATOSI-MUKONO'!D13,'31.10 MUKONO-KATOSI'!D13,'3.11 MUKONO-KATOSI'!D13,'1.11 KATOSI-MUKONO-24hr'!D13,'2.11 KATOSI-MUKONO 24hr'!D13,'4.11 MUKONO-KATOSI'!D13)</f>
        <v>6.1428571428571432</v>
      </c>
      <c r="E13" s="49">
        <f>AVERAGE('29.10-MUKONO-KATOSI'!E13,'30.10 KATOSI-MUKONO'!E13,'31.10 MUKONO-KATOSI'!E13,'3.11 MUKONO-KATOSI'!E13,'1.11 KATOSI-MUKONO-24hr'!E13,'2.11 KATOSI-MUKONO 24hr'!E13,'4.11 MUKONO-KATOSI'!E13)</f>
        <v>4.4285714285714288</v>
      </c>
      <c r="F13" s="49">
        <f>AVERAGE('29.10-MUKONO-KATOSI'!F13,'30.10 KATOSI-MUKONO'!F13,'31.10 MUKONO-KATOSI'!F13,'3.11 MUKONO-KATOSI'!F13,'1.11 KATOSI-MUKONO-24hr'!F13,'2.11 KATOSI-MUKONO 24hr'!F13,'4.11 MUKONO-KATOSI'!F13)</f>
        <v>10.142857142857142</v>
      </c>
      <c r="G13" s="49">
        <f>AVERAGE('29.10-MUKONO-KATOSI'!G13,'30.10 KATOSI-MUKONO'!G13,'31.10 MUKONO-KATOSI'!G13,'3.11 MUKONO-KATOSI'!G13,'1.11 KATOSI-MUKONO-24hr'!G13,'2.11 KATOSI-MUKONO 24hr'!G13,'4.11 MUKONO-KATOSI'!G13)</f>
        <v>1.5714285714285714</v>
      </c>
      <c r="H13" s="49">
        <f>AVERAGE('29.10-MUKONO-KATOSI'!H13,'30.10 KATOSI-MUKONO'!H13,'31.10 MUKONO-KATOSI'!H13,'3.11 MUKONO-KATOSI'!H13,'1.11 KATOSI-MUKONO-24hr'!H13,'2.11 KATOSI-MUKONO 24hr'!H13,'4.11 MUKONO-KATOSI'!H13)</f>
        <v>0</v>
      </c>
      <c r="I13" s="49">
        <f>AVERAGE('29.10-MUKONO-KATOSI'!I13,'30.10 KATOSI-MUKONO'!I13,'31.10 MUKONO-KATOSI'!I13,'3.11 MUKONO-KATOSI'!I13,'1.11 KATOSI-MUKONO-24hr'!I13,'2.11 KATOSI-MUKONO 24hr'!I13,'4.11 MUKONO-KATOSI'!I13)</f>
        <v>6.2857142857142856</v>
      </c>
      <c r="J13" s="49">
        <f>AVERAGE('29.10-MUKONO-KATOSI'!J13,'30.10 KATOSI-MUKONO'!J13,'31.10 MUKONO-KATOSI'!J13,'3.11 MUKONO-KATOSI'!J13,'1.11 KATOSI-MUKONO-24hr'!J13,'2.11 KATOSI-MUKONO 24hr'!J13,'4.11 MUKONO-KATOSI'!J13)</f>
        <v>1</v>
      </c>
      <c r="K13" s="49">
        <f>AVERAGE('29.10-MUKONO-KATOSI'!K13,'30.10 KATOSI-MUKONO'!K13,'31.10 MUKONO-KATOSI'!K13,'3.11 MUKONO-KATOSI'!K13,'1.11 KATOSI-MUKONO-24hr'!K13,'2.11 KATOSI-MUKONO 24hr'!K13,'4.11 MUKONO-KATOSI'!K13)</f>
        <v>0.5714285714285714</v>
      </c>
      <c r="L13" s="49">
        <f>AVERAGE('29.10-MUKONO-KATOSI'!L13,'30.10 KATOSI-MUKONO'!L13,'31.10 MUKONO-KATOSI'!L13,'3.11 MUKONO-KATOSI'!L13,'1.11 KATOSI-MUKONO-24hr'!L13,'2.11 KATOSI-MUKONO 24hr'!L13,'4.11 MUKONO-KATOSI'!L13)</f>
        <v>1.2857142857142858</v>
      </c>
      <c r="M13" s="49">
        <f>AVERAGE('29.10-MUKONO-KATOSI'!M13,'30.10 KATOSI-MUKONO'!M13,'31.10 MUKONO-KATOSI'!M13,'3.11 MUKONO-KATOSI'!M13,'1.11 KATOSI-MUKONO-24hr'!M13,'2.11 KATOSI-MUKONO 24hr'!M13,'4.11 MUKONO-KATOSI'!M13)</f>
        <v>107.57142857142857</v>
      </c>
      <c r="N13" s="49">
        <f>AVERAGE('29.10-MUKONO-KATOSI'!N13,'30.10 KATOSI-MUKONO'!N13,'31.10 MUKONO-KATOSI'!N13,'3.11 MUKONO-KATOSI'!N13,'1.11 KATOSI-MUKONO-24hr'!N13,'2.11 KATOSI-MUKONO 24hr'!N13,'4.11 MUKONO-KATOSI'!N13)</f>
        <v>0</v>
      </c>
      <c r="O13" s="15">
        <f t="shared" si="0"/>
        <v>44.857142857142847</v>
      </c>
      <c r="P13" s="15">
        <f t="shared" si="1"/>
        <v>152.42857142857142</v>
      </c>
      <c r="R13" s="1" t="s">
        <v>9</v>
      </c>
      <c r="S13" s="17">
        <f t="shared" ref="S13:AF13" si="5">SUM(C22:C25)</f>
        <v>44.285714285714292</v>
      </c>
      <c r="T13" s="17">
        <f t="shared" si="5"/>
        <v>23.714285714285715</v>
      </c>
      <c r="U13" s="17">
        <f t="shared" si="5"/>
        <v>12.714285714285715</v>
      </c>
      <c r="V13" s="17">
        <f t="shared" si="5"/>
        <v>30.285714285714288</v>
      </c>
      <c r="W13" s="17">
        <f t="shared" si="5"/>
        <v>2.1428571428571428</v>
      </c>
      <c r="X13" s="17">
        <f t="shared" si="5"/>
        <v>0</v>
      </c>
      <c r="Y13" s="17">
        <f t="shared" si="5"/>
        <v>28.714285714285715</v>
      </c>
      <c r="Z13" s="17">
        <f t="shared" si="5"/>
        <v>6.8571428571428577</v>
      </c>
      <c r="AA13" s="17">
        <f t="shared" si="5"/>
        <v>2.714285714285714</v>
      </c>
      <c r="AB13" s="17">
        <f t="shared" si="5"/>
        <v>2.1428571428571428</v>
      </c>
      <c r="AC13" s="17">
        <f t="shared" si="5"/>
        <v>357.57142857142856</v>
      </c>
      <c r="AD13" s="17">
        <f t="shared" si="5"/>
        <v>0</v>
      </c>
      <c r="AE13" s="31">
        <f t="shared" si="5"/>
        <v>153.57142857142856</v>
      </c>
      <c r="AF13" s="31">
        <f t="shared" si="5"/>
        <v>511.14285714285711</v>
      </c>
    </row>
    <row r="14" spans="2:32" ht="23.1" customHeight="1" x14ac:dyDescent="0.25">
      <c r="B14" s="23" t="s">
        <v>41</v>
      </c>
      <c r="C14" s="49">
        <f>AVERAGE('29.10-MUKONO-KATOSI'!C14,'30.10 KATOSI-MUKONO'!C14,'31.10 MUKONO-KATOSI'!C14,'3.11 MUKONO-KATOSI'!C14,'1.11 KATOSI-MUKONO-24hr'!C14,'2.11 KATOSI-MUKONO 24hr'!C14,'4.11 MUKONO-KATOSI'!C14)</f>
        <v>13.714285714285714</v>
      </c>
      <c r="D14" s="49">
        <f>AVERAGE('29.10-MUKONO-KATOSI'!D14,'30.10 KATOSI-MUKONO'!D14,'31.10 MUKONO-KATOSI'!D14,'3.11 MUKONO-KATOSI'!D14,'1.11 KATOSI-MUKONO-24hr'!D14,'2.11 KATOSI-MUKONO 24hr'!D14,'4.11 MUKONO-KATOSI'!D14)</f>
        <v>4.8571428571428568</v>
      </c>
      <c r="E14" s="49">
        <f>AVERAGE('29.10-MUKONO-KATOSI'!E14,'30.10 KATOSI-MUKONO'!E14,'31.10 MUKONO-KATOSI'!E14,'3.11 MUKONO-KATOSI'!E14,'1.11 KATOSI-MUKONO-24hr'!E14,'2.11 KATOSI-MUKONO 24hr'!E14,'4.11 MUKONO-KATOSI'!E14)</f>
        <v>3.5714285714285716</v>
      </c>
      <c r="F14" s="49">
        <f>AVERAGE('29.10-MUKONO-KATOSI'!F14,'30.10 KATOSI-MUKONO'!F14,'31.10 MUKONO-KATOSI'!F14,'3.11 MUKONO-KATOSI'!F14,'1.11 KATOSI-MUKONO-24hr'!F14,'2.11 KATOSI-MUKONO 24hr'!F14,'4.11 MUKONO-KATOSI'!F14)</f>
        <v>7</v>
      </c>
      <c r="G14" s="49">
        <f>AVERAGE('29.10-MUKONO-KATOSI'!G14,'30.10 KATOSI-MUKONO'!G14,'31.10 MUKONO-KATOSI'!G14,'3.11 MUKONO-KATOSI'!G14,'1.11 KATOSI-MUKONO-24hr'!G14,'2.11 KATOSI-MUKONO 24hr'!G14,'4.11 MUKONO-KATOSI'!G14)</f>
        <v>1</v>
      </c>
      <c r="H14" s="49">
        <f>AVERAGE('29.10-MUKONO-KATOSI'!H14,'30.10 KATOSI-MUKONO'!H14,'31.10 MUKONO-KATOSI'!H14,'3.11 MUKONO-KATOSI'!H14,'1.11 KATOSI-MUKONO-24hr'!H14,'2.11 KATOSI-MUKONO 24hr'!H14,'4.11 MUKONO-KATOSI'!H14)</f>
        <v>0</v>
      </c>
      <c r="I14" s="49">
        <f>AVERAGE('29.10-MUKONO-KATOSI'!I14,'30.10 KATOSI-MUKONO'!I14,'31.10 MUKONO-KATOSI'!I14,'3.11 MUKONO-KATOSI'!I14,'1.11 KATOSI-MUKONO-24hr'!I14,'2.11 KATOSI-MUKONO 24hr'!I14,'4.11 MUKONO-KATOSI'!I14)</f>
        <v>5.2857142857142856</v>
      </c>
      <c r="J14" s="49">
        <f>AVERAGE('29.10-MUKONO-KATOSI'!J14,'30.10 KATOSI-MUKONO'!J14,'31.10 MUKONO-KATOSI'!J14,'3.11 MUKONO-KATOSI'!J14,'1.11 KATOSI-MUKONO-24hr'!J14,'2.11 KATOSI-MUKONO 24hr'!J14,'4.11 MUKONO-KATOSI'!J14)</f>
        <v>0.2857142857142857</v>
      </c>
      <c r="K14" s="49">
        <f>AVERAGE('29.10-MUKONO-KATOSI'!K14,'30.10 KATOSI-MUKONO'!K14,'31.10 MUKONO-KATOSI'!K14,'3.11 MUKONO-KATOSI'!K14,'1.11 KATOSI-MUKONO-24hr'!K14,'2.11 KATOSI-MUKONO 24hr'!K14,'4.11 MUKONO-KATOSI'!K14)</f>
        <v>0.5714285714285714</v>
      </c>
      <c r="L14" s="49">
        <f>AVERAGE('29.10-MUKONO-KATOSI'!L14,'30.10 KATOSI-MUKONO'!L14,'31.10 MUKONO-KATOSI'!L14,'3.11 MUKONO-KATOSI'!L14,'1.11 KATOSI-MUKONO-24hr'!L14,'2.11 KATOSI-MUKONO 24hr'!L14,'4.11 MUKONO-KATOSI'!L14)</f>
        <v>0.5714285714285714</v>
      </c>
      <c r="M14" s="49">
        <f>AVERAGE('29.10-MUKONO-KATOSI'!M14,'30.10 KATOSI-MUKONO'!M14,'31.10 MUKONO-KATOSI'!M14,'3.11 MUKONO-KATOSI'!M14,'1.11 KATOSI-MUKONO-24hr'!M14,'2.11 KATOSI-MUKONO 24hr'!M14,'4.11 MUKONO-KATOSI'!M14)</f>
        <v>98</v>
      </c>
      <c r="N14" s="49">
        <f>AVERAGE('29.10-MUKONO-KATOSI'!N14,'30.10 KATOSI-MUKONO'!N14,'31.10 MUKONO-KATOSI'!N14,'3.11 MUKONO-KATOSI'!N14,'1.11 KATOSI-MUKONO-24hr'!N14,'2.11 KATOSI-MUKONO 24hr'!N14,'4.11 MUKONO-KATOSI'!N14)</f>
        <v>0</v>
      </c>
      <c r="O14" s="15">
        <f t="shared" si="0"/>
        <v>36.857142857142854</v>
      </c>
      <c r="P14" s="15">
        <f t="shared" si="1"/>
        <v>134.85714285714286</v>
      </c>
      <c r="R14" s="1" t="s">
        <v>10</v>
      </c>
      <c r="S14" s="17">
        <f t="shared" ref="S14:AF14" si="6">SUM(C26:C29)</f>
        <v>49.142857142857139</v>
      </c>
      <c r="T14" s="17">
        <f t="shared" si="6"/>
        <v>26.428571428571423</v>
      </c>
      <c r="U14" s="17">
        <f t="shared" si="6"/>
        <v>14.571428571428569</v>
      </c>
      <c r="V14" s="17">
        <f t="shared" si="6"/>
        <v>31</v>
      </c>
      <c r="W14" s="17">
        <f t="shared" si="6"/>
        <v>1.5714285714285714</v>
      </c>
      <c r="X14" s="17">
        <f t="shared" si="6"/>
        <v>0</v>
      </c>
      <c r="Y14" s="17">
        <f t="shared" si="6"/>
        <v>29.142857142857146</v>
      </c>
      <c r="Z14" s="17">
        <f t="shared" si="6"/>
        <v>5.5714285714285712</v>
      </c>
      <c r="AA14" s="17">
        <f t="shared" si="6"/>
        <v>2.4285714285714284</v>
      </c>
      <c r="AB14" s="17">
        <f t="shared" si="6"/>
        <v>13.285714285714285</v>
      </c>
      <c r="AC14" s="17">
        <f t="shared" si="6"/>
        <v>380.71428571428572</v>
      </c>
      <c r="AD14" s="17">
        <f t="shared" si="6"/>
        <v>0.14285714285714285</v>
      </c>
      <c r="AE14" s="31">
        <f t="shared" si="6"/>
        <v>173.28571428571431</v>
      </c>
      <c r="AF14" s="31">
        <f t="shared" si="6"/>
        <v>554</v>
      </c>
    </row>
    <row r="15" spans="2:32" ht="23.1" customHeight="1" x14ac:dyDescent="0.25">
      <c r="B15" s="23" t="s">
        <v>42</v>
      </c>
      <c r="C15" s="49">
        <f>AVERAGE('29.10-MUKONO-KATOSI'!C15,'30.10 KATOSI-MUKONO'!C15,'31.10 MUKONO-KATOSI'!C15,'3.11 MUKONO-KATOSI'!C15,'1.11 KATOSI-MUKONO-24hr'!C15,'2.11 KATOSI-MUKONO 24hr'!C15,'4.11 MUKONO-KATOSI'!C15)</f>
        <v>15.428571428571429</v>
      </c>
      <c r="D15" s="49">
        <f>AVERAGE('29.10-MUKONO-KATOSI'!D15,'30.10 KATOSI-MUKONO'!D15,'31.10 MUKONO-KATOSI'!D15,'3.11 MUKONO-KATOSI'!D15,'1.11 KATOSI-MUKONO-24hr'!D15,'2.11 KATOSI-MUKONO 24hr'!D15,'4.11 MUKONO-KATOSI'!D15)</f>
        <v>4.2857142857142856</v>
      </c>
      <c r="E15" s="49">
        <f>AVERAGE('29.10-MUKONO-KATOSI'!E15,'30.10 KATOSI-MUKONO'!E15,'31.10 MUKONO-KATOSI'!E15,'3.11 MUKONO-KATOSI'!E15,'1.11 KATOSI-MUKONO-24hr'!E15,'2.11 KATOSI-MUKONO 24hr'!E15,'4.11 MUKONO-KATOSI'!E15)</f>
        <v>3.4285714285714284</v>
      </c>
      <c r="F15" s="49">
        <f>AVERAGE('29.10-MUKONO-KATOSI'!F15,'30.10 KATOSI-MUKONO'!F15,'31.10 MUKONO-KATOSI'!F15,'3.11 MUKONO-KATOSI'!F15,'1.11 KATOSI-MUKONO-24hr'!F15,'2.11 KATOSI-MUKONO 24hr'!F15,'4.11 MUKONO-KATOSI'!F15)</f>
        <v>6.7142857142857144</v>
      </c>
      <c r="G15" s="49">
        <f>AVERAGE('29.10-MUKONO-KATOSI'!G15,'30.10 KATOSI-MUKONO'!G15,'31.10 MUKONO-KATOSI'!G15,'3.11 MUKONO-KATOSI'!G15,'1.11 KATOSI-MUKONO-24hr'!G15,'2.11 KATOSI-MUKONO 24hr'!G15,'4.11 MUKONO-KATOSI'!G15)</f>
        <v>1.4285714285714286</v>
      </c>
      <c r="H15" s="49">
        <f>AVERAGE('29.10-MUKONO-KATOSI'!H15,'30.10 KATOSI-MUKONO'!H15,'31.10 MUKONO-KATOSI'!H15,'3.11 MUKONO-KATOSI'!H15,'1.11 KATOSI-MUKONO-24hr'!H15,'2.11 KATOSI-MUKONO 24hr'!H15,'4.11 MUKONO-KATOSI'!H15)</f>
        <v>0</v>
      </c>
      <c r="I15" s="49">
        <f>AVERAGE('29.10-MUKONO-KATOSI'!I15,'30.10 KATOSI-MUKONO'!I15,'31.10 MUKONO-KATOSI'!I15,'3.11 MUKONO-KATOSI'!I15,'1.11 KATOSI-MUKONO-24hr'!I15,'2.11 KATOSI-MUKONO 24hr'!I15,'4.11 MUKONO-KATOSI'!I15)</f>
        <v>4.4285714285714288</v>
      </c>
      <c r="J15" s="49">
        <f>AVERAGE('29.10-MUKONO-KATOSI'!J15,'30.10 KATOSI-MUKONO'!J15,'31.10 MUKONO-KATOSI'!J15,'3.11 MUKONO-KATOSI'!J15,'1.11 KATOSI-MUKONO-24hr'!J15,'2.11 KATOSI-MUKONO 24hr'!J15,'4.11 MUKONO-KATOSI'!J15)</f>
        <v>0.7142857142857143</v>
      </c>
      <c r="K15" s="49">
        <f>AVERAGE('29.10-MUKONO-KATOSI'!K15,'30.10 KATOSI-MUKONO'!K15,'31.10 MUKONO-KATOSI'!K15,'3.11 MUKONO-KATOSI'!K15,'1.11 KATOSI-MUKONO-24hr'!K15,'2.11 KATOSI-MUKONO 24hr'!K15,'4.11 MUKONO-KATOSI'!K15)</f>
        <v>0.42857142857142855</v>
      </c>
      <c r="L15" s="49">
        <f>AVERAGE('29.10-MUKONO-KATOSI'!L15,'30.10 KATOSI-MUKONO'!L15,'31.10 MUKONO-KATOSI'!L15,'3.11 MUKONO-KATOSI'!L15,'1.11 KATOSI-MUKONO-24hr'!L15,'2.11 KATOSI-MUKONO 24hr'!L15,'4.11 MUKONO-KATOSI'!L15)</f>
        <v>0.7142857142857143</v>
      </c>
      <c r="M15" s="49">
        <f>AVERAGE('29.10-MUKONO-KATOSI'!M15,'30.10 KATOSI-MUKONO'!M15,'31.10 MUKONO-KATOSI'!M15,'3.11 MUKONO-KATOSI'!M15,'1.11 KATOSI-MUKONO-24hr'!M15,'2.11 KATOSI-MUKONO 24hr'!M15,'4.11 MUKONO-KATOSI'!M15)</f>
        <v>93.714285714285708</v>
      </c>
      <c r="N15" s="49">
        <f>AVERAGE('29.10-MUKONO-KATOSI'!N15,'30.10 KATOSI-MUKONO'!N15,'31.10 MUKONO-KATOSI'!N15,'3.11 MUKONO-KATOSI'!N15,'1.11 KATOSI-MUKONO-24hr'!N15,'2.11 KATOSI-MUKONO 24hr'!N15,'4.11 MUKONO-KATOSI'!N15)</f>
        <v>0</v>
      </c>
      <c r="O15" s="15">
        <f t="shared" si="0"/>
        <v>37.571428571428577</v>
      </c>
      <c r="P15" s="15">
        <f t="shared" si="1"/>
        <v>131.28571428571428</v>
      </c>
      <c r="R15" s="1" t="s">
        <v>11</v>
      </c>
      <c r="S15" s="17">
        <f t="shared" ref="S15:AF15" si="7">SUM(C30:C33)</f>
        <v>49.571428571428569</v>
      </c>
      <c r="T15" s="17">
        <f t="shared" si="7"/>
        <v>29.571428571428569</v>
      </c>
      <c r="U15" s="17">
        <f t="shared" si="7"/>
        <v>15.428571428571429</v>
      </c>
      <c r="V15" s="17">
        <f t="shared" si="7"/>
        <v>27.571428571428569</v>
      </c>
      <c r="W15" s="17">
        <f t="shared" si="7"/>
        <v>1.8571428571428572</v>
      </c>
      <c r="X15" s="17">
        <f t="shared" si="7"/>
        <v>0.8571428571428571</v>
      </c>
      <c r="Y15" s="17">
        <f t="shared" si="7"/>
        <v>25.428571428571431</v>
      </c>
      <c r="Z15" s="17">
        <f t="shared" si="7"/>
        <v>7.2857142857142856</v>
      </c>
      <c r="AA15" s="17">
        <f t="shared" si="7"/>
        <v>3.7142857142857144</v>
      </c>
      <c r="AB15" s="17">
        <f t="shared" si="7"/>
        <v>8.7142857142857135</v>
      </c>
      <c r="AC15" s="17">
        <f t="shared" si="7"/>
        <v>362.57142857142856</v>
      </c>
      <c r="AD15" s="17">
        <f t="shared" si="7"/>
        <v>0.14285714285714285</v>
      </c>
      <c r="AE15" s="31">
        <f t="shared" si="7"/>
        <v>170.14285714285717</v>
      </c>
      <c r="AF15" s="31">
        <f t="shared" si="7"/>
        <v>532.71428571428578</v>
      </c>
    </row>
    <row r="16" spans="2:32" ht="23.1" customHeight="1" x14ac:dyDescent="0.25">
      <c r="B16" s="23" t="s">
        <v>43</v>
      </c>
      <c r="C16" s="49">
        <f>AVERAGE('29.10-MUKONO-KATOSI'!C16,'30.10 KATOSI-MUKONO'!C16,'31.10 MUKONO-KATOSI'!C16,'3.11 MUKONO-KATOSI'!C16,'1.11 KATOSI-MUKONO-24hr'!C16,'2.11 KATOSI-MUKONO 24hr'!C16,'4.11 MUKONO-KATOSI'!C16)</f>
        <v>14.285714285714286</v>
      </c>
      <c r="D16" s="49">
        <f>AVERAGE('29.10-MUKONO-KATOSI'!D16,'30.10 KATOSI-MUKONO'!D16,'31.10 MUKONO-KATOSI'!D16,'3.11 MUKONO-KATOSI'!D16,'1.11 KATOSI-MUKONO-24hr'!D16,'2.11 KATOSI-MUKONO 24hr'!D16,'4.11 MUKONO-KATOSI'!D16)</f>
        <v>3.4285714285714284</v>
      </c>
      <c r="E16" s="49">
        <f>AVERAGE('29.10-MUKONO-KATOSI'!E16,'30.10 KATOSI-MUKONO'!E16,'31.10 MUKONO-KATOSI'!E16,'3.11 MUKONO-KATOSI'!E16,'1.11 KATOSI-MUKONO-24hr'!E16,'2.11 KATOSI-MUKONO 24hr'!E16,'4.11 MUKONO-KATOSI'!E16)</f>
        <v>2.2857142857142856</v>
      </c>
      <c r="F16" s="49">
        <f>AVERAGE('29.10-MUKONO-KATOSI'!F16,'30.10 KATOSI-MUKONO'!F16,'31.10 MUKONO-KATOSI'!F16,'3.11 MUKONO-KATOSI'!F16,'1.11 KATOSI-MUKONO-24hr'!F16,'2.11 KATOSI-MUKONO 24hr'!F16,'4.11 MUKONO-KATOSI'!F16)</f>
        <v>7</v>
      </c>
      <c r="G16" s="49">
        <f>AVERAGE('29.10-MUKONO-KATOSI'!G16,'30.10 KATOSI-MUKONO'!G16,'31.10 MUKONO-KATOSI'!G16,'3.11 MUKONO-KATOSI'!G16,'1.11 KATOSI-MUKONO-24hr'!G16,'2.11 KATOSI-MUKONO 24hr'!G16,'4.11 MUKONO-KATOSI'!G16)</f>
        <v>0.42857142857142855</v>
      </c>
      <c r="H16" s="49">
        <f>AVERAGE('29.10-MUKONO-KATOSI'!H16,'30.10 KATOSI-MUKONO'!H16,'31.10 MUKONO-KATOSI'!H16,'3.11 MUKONO-KATOSI'!H16,'1.11 KATOSI-MUKONO-24hr'!H16,'2.11 KATOSI-MUKONO 24hr'!H16,'4.11 MUKONO-KATOSI'!H16)</f>
        <v>0</v>
      </c>
      <c r="I16" s="49">
        <f>AVERAGE('29.10-MUKONO-KATOSI'!I16,'30.10 KATOSI-MUKONO'!I16,'31.10 MUKONO-KATOSI'!I16,'3.11 MUKONO-KATOSI'!I16,'1.11 KATOSI-MUKONO-24hr'!I16,'2.11 KATOSI-MUKONO 24hr'!I16,'4.11 MUKONO-KATOSI'!I16)</f>
        <v>4.7142857142857144</v>
      </c>
      <c r="J16" s="49">
        <f>AVERAGE('29.10-MUKONO-KATOSI'!J16,'30.10 KATOSI-MUKONO'!J16,'31.10 MUKONO-KATOSI'!J16,'3.11 MUKONO-KATOSI'!J16,'1.11 KATOSI-MUKONO-24hr'!J16,'2.11 KATOSI-MUKONO 24hr'!J16,'4.11 MUKONO-KATOSI'!J16)</f>
        <v>1.4285714285714286</v>
      </c>
      <c r="K16" s="49">
        <f>AVERAGE('29.10-MUKONO-KATOSI'!K16,'30.10 KATOSI-MUKONO'!K16,'31.10 MUKONO-KATOSI'!K16,'3.11 MUKONO-KATOSI'!K16,'1.11 KATOSI-MUKONO-24hr'!K16,'2.11 KATOSI-MUKONO 24hr'!K16,'4.11 MUKONO-KATOSI'!K16)</f>
        <v>0.2857142857142857</v>
      </c>
      <c r="L16" s="49">
        <f>AVERAGE('29.10-MUKONO-KATOSI'!L16,'30.10 KATOSI-MUKONO'!L16,'31.10 MUKONO-KATOSI'!L16,'3.11 MUKONO-KATOSI'!L16,'1.11 KATOSI-MUKONO-24hr'!L16,'2.11 KATOSI-MUKONO 24hr'!L16,'4.11 MUKONO-KATOSI'!L16)</f>
        <v>0.5714285714285714</v>
      </c>
      <c r="M16" s="49">
        <f>AVERAGE('29.10-MUKONO-KATOSI'!M16,'30.10 KATOSI-MUKONO'!M16,'31.10 MUKONO-KATOSI'!M16,'3.11 MUKONO-KATOSI'!M16,'1.11 KATOSI-MUKONO-24hr'!M16,'2.11 KATOSI-MUKONO 24hr'!M16,'4.11 MUKONO-KATOSI'!M16)</f>
        <v>101.28571428571429</v>
      </c>
      <c r="N16" s="49">
        <f>AVERAGE('29.10-MUKONO-KATOSI'!N16,'30.10 KATOSI-MUKONO'!N16,'31.10 MUKONO-KATOSI'!N16,'3.11 MUKONO-KATOSI'!N16,'1.11 KATOSI-MUKONO-24hr'!N16,'2.11 KATOSI-MUKONO 24hr'!N16,'4.11 MUKONO-KATOSI'!N16)</f>
        <v>0</v>
      </c>
      <c r="O16" s="15">
        <f t="shared" si="0"/>
        <v>34.428571428571423</v>
      </c>
      <c r="P16" s="15">
        <f t="shared" si="1"/>
        <v>135.71428571428572</v>
      </c>
      <c r="R16" s="1" t="s">
        <v>12</v>
      </c>
      <c r="S16" s="17">
        <f t="shared" ref="S16:AF16" si="8">SUM(C34:C37)</f>
        <v>50.714285714285715</v>
      </c>
      <c r="T16" s="17">
        <f t="shared" si="8"/>
        <v>27.714285714285715</v>
      </c>
      <c r="U16" s="17">
        <f t="shared" si="8"/>
        <v>12.428571428571429</v>
      </c>
      <c r="V16" s="17">
        <f t="shared" si="8"/>
        <v>29</v>
      </c>
      <c r="W16" s="17">
        <f t="shared" si="8"/>
        <v>3.8571428571428572</v>
      </c>
      <c r="X16" s="17">
        <f t="shared" si="8"/>
        <v>0</v>
      </c>
      <c r="Y16" s="17">
        <f t="shared" si="8"/>
        <v>27.428571428571427</v>
      </c>
      <c r="Z16" s="17">
        <f t="shared" si="8"/>
        <v>7.4285714285714288</v>
      </c>
      <c r="AA16" s="17">
        <f t="shared" si="8"/>
        <v>2.5714285714285712</v>
      </c>
      <c r="AB16" s="17">
        <f t="shared" si="8"/>
        <v>1.4285714285714284</v>
      </c>
      <c r="AC16" s="17">
        <f t="shared" si="8"/>
        <v>382.71428571428572</v>
      </c>
      <c r="AD16" s="17">
        <f t="shared" si="8"/>
        <v>0</v>
      </c>
      <c r="AE16" s="31">
        <f t="shared" si="8"/>
        <v>162.57142857142858</v>
      </c>
      <c r="AF16" s="31">
        <f t="shared" si="8"/>
        <v>545.28571428571433</v>
      </c>
    </row>
    <row r="17" spans="2:32" ht="23.1" customHeight="1" x14ac:dyDescent="0.25">
      <c r="B17" s="23" t="s">
        <v>44</v>
      </c>
      <c r="C17" s="49">
        <f>AVERAGE('29.10-MUKONO-KATOSI'!C17,'30.10 KATOSI-MUKONO'!C17,'31.10 MUKONO-KATOSI'!C17,'3.11 MUKONO-KATOSI'!C17,'1.11 KATOSI-MUKONO-24hr'!C17,'2.11 KATOSI-MUKONO 24hr'!C17,'4.11 MUKONO-KATOSI'!C17)</f>
        <v>10.428571428571429</v>
      </c>
      <c r="D17" s="49">
        <f>AVERAGE('29.10-MUKONO-KATOSI'!D17,'30.10 KATOSI-MUKONO'!D17,'31.10 MUKONO-KATOSI'!D17,'3.11 MUKONO-KATOSI'!D17,'1.11 KATOSI-MUKONO-24hr'!D17,'2.11 KATOSI-MUKONO 24hr'!D17,'4.11 MUKONO-KATOSI'!D17)</f>
        <v>5.8571428571428568</v>
      </c>
      <c r="E17" s="49">
        <f>AVERAGE('29.10-MUKONO-KATOSI'!E17,'30.10 KATOSI-MUKONO'!E17,'31.10 MUKONO-KATOSI'!E17,'3.11 MUKONO-KATOSI'!E17,'1.11 KATOSI-MUKONO-24hr'!E17,'2.11 KATOSI-MUKONO 24hr'!E17,'4.11 MUKONO-KATOSI'!E17)</f>
        <v>3</v>
      </c>
      <c r="F17" s="49">
        <f>AVERAGE('29.10-MUKONO-KATOSI'!F17,'30.10 KATOSI-MUKONO'!F17,'31.10 MUKONO-KATOSI'!F17,'3.11 MUKONO-KATOSI'!F17,'1.11 KATOSI-MUKONO-24hr'!F17,'2.11 KATOSI-MUKONO 24hr'!F17,'4.11 MUKONO-KATOSI'!F17)</f>
        <v>7</v>
      </c>
      <c r="G17" s="49">
        <f>AVERAGE('29.10-MUKONO-KATOSI'!G17,'30.10 KATOSI-MUKONO'!G17,'31.10 MUKONO-KATOSI'!G17,'3.11 MUKONO-KATOSI'!G17,'1.11 KATOSI-MUKONO-24hr'!G17,'2.11 KATOSI-MUKONO 24hr'!G17,'4.11 MUKONO-KATOSI'!G17)</f>
        <v>0.8571428571428571</v>
      </c>
      <c r="H17" s="49">
        <f>AVERAGE('29.10-MUKONO-KATOSI'!H17,'30.10 KATOSI-MUKONO'!H17,'31.10 MUKONO-KATOSI'!H17,'3.11 MUKONO-KATOSI'!H17,'1.11 KATOSI-MUKONO-24hr'!H17,'2.11 KATOSI-MUKONO 24hr'!H17,'4.11 MUKONO-KATOSI'!H17)</f>
        <v>0</v>
      </c>
      <c r="I17" s="49">
        <f>AVERAGE('29.10-MUKONO-KATOSI'!I17,'30.10 KATOSI-MUKONO'!I17,'31.10 MUKONO-KATOSI'!I17,'3.11 MUKONO-KATOSI'!I17,'1.11 KATOSI-MUKONO-24hr'!I17,'2.11 KATOSI-MUKONO 24hr'!I17,'4.11 MUKONO-KATOSI'!I17)</f>
        <v>5.4285714285714288</v>
      </c>
      <c r="J17" s="49">
        <f>AVERAGE('29.10-MUKONO-KATOSI'!J17,'30.10 KATOSI-MUKONO'!J17,'31.10 MUKONO-KATOSI'!J17,'3.11 MUKONO-KATOSI'!J17,'1.11 KATOSI-MUKONO-24hr'!J17,'2.11 KATOSI-MUKONO 24hr'!J17,'4.11 MUKONO-KATOSI'!J17)</f>
        <v>0.5714285714285714</v>
      </c>
      <c r="K17" s="49">
        <f>AVERAGE('29.10-MUKONO-KATOSI'!K17,'30.10 KATOSI-MUKONO'!K17,'31.10 MUKONO-KATOSI'!K17,'3.11 MUKONO-KATOSI'!K17,'1.11 KATOSI-MUKONO-24hr'!K17,'2.11 KATOSI-MUKONO 24hr'!K17,'4.11 MUKONO-KATOSI'!K17)</f>
        <v>0.5714285714285714</v>
      </c>
      <c r="L17" s="49">
        <f>AVERAGE('29.10-MUKONO-KATOSI'!L17,'30.10 KATOSI-MUKONO'!L17,'31.10 MUKONO-KATOSI'!L17,'3.11 MUKONO-KATOSI'!L17,'1.11 KATOSI-MUKONO-24hr'!L17,'2.11 KATOSI-MUKONO 24hr'!L17,'4.11 MUKONO-KATOSI'!L17)</f>
        <v>1</v>
      </c>
      <c r="M17" s="49">
        <f>AVERAGE('29.10-MUKONO-KATOSI'!M17,'30.10 KATOSI-MUKONO'!M17,'31.10 MUKONO-KATOSI'!M17,'3.11 MUKONO-KATOSI'!M17,'1.11 KATOSI-MUKONO-24hr'!M17,'2.11 KATOSI-MUKONO 24hr'!M17,'4.11 MUKONO-KATOSI'!M17)</f>
        <v>94</v>
      </c>
      <c r="N17" s="49">
        <f>AVERAGE('29.10-MUKONO-KATOSI'!N17,'30.10 KATOSI-MUKONO'!N17,'31.10 MUKONO-KATOSI'!N17,'3.11 MUKONO-KATOSI'!N17,'1.11 KATOSI-MUKONO-24hr'!N17,'2.11 KATOSI-MUKONO 24hr'!N17,'4.11 MUKONO-KATOSI'!N17)</f>
        <v>0.14285714285714285</v>
      </c>
      <c r="O17" s="15">
        <f t="shared" si="0"/>
        <v>34.857142857142854</v>
      </c>
      <c r="P17" s="15">
        <f t="shared" si="1"/>
        <v>128.85714285714286</v>
      </c>
      <c r="R17" s="1" t="s">
        <v>13</v>
      </c>
      <c r="S17" s="17">
        <f t="shared" ref="S17:AF17" si="9">SUM(C38:C41)</f>
        <v>50.714285714285708</v>
      </c>
      <c r="T17" s="17">
        <f t="shared" si="9"/>
        <v>25.571428571428573</v>
      </c>
      <c r="U17" s="17">
        <f t="shared" si="9"/>
        <v>17.571428571428573</v>
      </c>
      <c r="V17" s="17">
        <f t="shared" si="9"/>
        <v>32.571428571428577</v>
      </c>
      <c r="W17" s="17">
        <f t="shared" si="9"/>
        <v>1.7142857142857142</v>
      </c>
      <c r="X17" s="17">
        <f t="shared" si="9"/>
        <v>0.2857142857142857</v>
      </c>
      <c r="Y17" s="17">
        <f t="shared" si="9"/>
        <v>27.571428571428569</v>
      </c>
      <c r="Z17" s="17">
        <f t="shared" si="9"/>
        <v>8.1428571428571423</v>
      </c>
      <c r="AA17" s="17">
        <f t="shared" si="9"/>
        <v>3.4285714285714284</v>
      </c>
      <c r="AB17" s="17">
        <f t="shared" si="9"/>
        <v>2</v>
      </c>
      <c r="AC17" s="17">
        <f t="shared" si="9"/>
        <v>291.42857142857144</v>
      </c>
      <c r="AD17" s="17">
        <f t="shared" si="9"/>
        <v>0.14285714285714285</v>
      </c>
      <c r="AE17" s="31">
        <f t="shared" si="9"/>
        <v>169.71428571428572</v>
      </c>
      <c r="AF17" s="31">
        <f t="shared" si="9"/>
        <v>461.14285714285711</v>
      </c>
    </row>
    <row r="18" spans="2:32" ht="23.1" customHeight="1" x14ac:dyDescent="0.25">
      <c r="B18" s="23" t="s">
        <v>45</v>
      </c>
      <c r="C18" s="49">
        <f>AVERAGE('29.10-MUKONO-KATOSI'!C18,'30.10 KATOSI-MUKONO'!C18,'31.10 MUKONO-KATOSI'!C18,'3.11 MUKONO-KATOSI'!C18,'1.11 KATOSI-MUKONO-24hr'!C18,'2.11 KATOSI-MUKONO 24hr'!C18,'4.11 MUKONO-KATOSI'!C18)</f>
        <v>13.142857142857142</v>
      </c>
      <c r="D18" s="49">
        <f>AVERAGE('29.10-MUKONO-KATOSI'!D18,'30.10 KATOSI-MUKONO'!D18,'31.10 MUKONO-KATOSI'!D18,'3.11 MUKONO-KATOSI'!D18,'1.11 KATOSI-MUKONO-24hr'!D18,'2.11 KATOSI-MUKONO 24hr'!D18,'4.11 MUKONO-KATOSI'!D18)</f>
        <v>6</v>
      </c>
      <c r="E18" s="49">
        <f>AVERAGE('29.10-MUKONO-KATOSI'!E18,'30.10 KATOSI-MUKONO'!E18,'31.10 MUKONO-KATOSI'!E18,'3.11 MUKONO-KATOSI'!E18,'1.11 KATOSI-MUKONO-24hr'!E18,'2.11 KATOSI-MUKONO 24hr'!E18,'4.11 MUKONO-KATOSI'!E18)</f>
        <v>3.1428571428571428</v>
      </c>
      <c r="F18" s="49">
        <f>AVERAGE('29.10-MUKONO-KATOSI'!F18,'30.10 KATOSI-MUKONO'!F18,'31.10 MUKONO-KATOSI'!F18,'3.11 MUKONO-KATOSI'!F18,'1.11 KATOSI-MUKONO-24hr'!F18,'2.11 KATOSI-MUKONO 24hr'!F18,'4.11 MUKONO-KATOSI'!F18)</f>
        <v>7.1428571428571432</v>
      </c>
      <c r="G18" s="49">
        <f>AVERAGE('29.10-MUKONO-KATOSI'!G18,'30.10 KATOSI-MUKONO'!G18,'31.10 MUKONO-KATOSI'!G18,'3.11 MUKONO-KATOSI'!G18,'1.11 KATOSI-MUKONO-24hr'!G18,'2.11 KATOSI-MUKONO 24hr'!G18,'4.11 MUKONO-KATOSI'!G18)</f>
        <v>0.8571428571428571</v>
      </c>
      <c r="H18" s="49">
        <f>AVERAGE('29.10-MUKONO-KATOSI'!H18,'30.10 KATOSI-MUKONO'!H18,'31.10 MUKONO-KATOSI'!H18,'3.11 MUKONO-KATOSI'!H18,'1.11 KATOSI-MUKONO-24hr'!H18,'2.11 KATOSI-MUKONO 24hr'!H18,'4.11 MUKONO-KATOSI'!H18)</f>
        <v>0</v>
      </c>
      <c r="I18" s="49">
        <f>AVERAGE('29.10-MUKONO-KATOSI'!I18,'30.10 KATOSI-MUKONO'!I18,'31.10 MUKONO-KATOSI'!I18,'3.11 MUKONO-KATOSI'!I18,'1.11 KATOSI-MUKONO-24hr'!I18,'2.11 KATOSI-MUKONO 24hr'!I18,'4.11 MUKONO-KATOSI'!I18)</f>
        <v>5.1428571428571432</v>
      </c>
      <c r="J18" s="49">
        <f>AVERAGE('29.10-MUKONO-KATOSI'!J18,'30.10 KATOSI-MUKONO'!J18,'31.10 MUKONO-KATOSI'!J18,'3.11 MUKONO-KATOSI'!J18,'1.11 KATOSI-MUKONO-24hr'!J18,'2.11 KATOSI-MUKONO 24hr'!J18,'4.11 MUKONO-KATOSI'!J18)</f>
        <v>1.5714285714285714</v>
      </c>
      <c r="K18" s="49">
        <f>AVERAGE('29.10-MUKONO-KATOSI'!K18,'30.10 KATOSI-MUKONO'!K18,'31.10 MUKONO-KATOSI'!K18,'3.11 MUKONO-KATOSI'!K18,'1.11 KATOSI-MUKONO-24hr'!K18,'2.11 KATOSI-MUKONO 24hr'!K18,'4.11 MUKONO-KATOSI'!K18)</f>
        <v>0.2857142857142857</v>
      </c>
      <c r="L18" s="49">
        <f>AVERAGE('29.10-MUKONO-KATOSI'!L18,'30.10 KATOSI-MUKONO'!L18,'31.10 MUKONO-KATOSI'!L18,'3.11 MUKONO-KATOSI'!L18,'1.11 KATOSI-MUKONO-24hr'!L18,'2.11 KATOSI-MUKONO 24hr'!L18,'4.11 MUKONO-KATOSI'!L18)</f>
        <v>0.2857142857142857</v>
      </c>
      <c r="M18" s="49">
        <f>AVERAGE('29.10-MUKONO-KATOSI'!M18,'30.10 KATOSI-MUKONO'!M18,'31.10 MUKONO-KATOSI'!M18,'3.11 MUKONO-KATOSI'!M18,'1.11 KATOSI-MUKONO-24hr'!M18,'2.11 KATOSI-MUKONO 24hr'!M18,'4.11 MUKONO-KATOSI'!M18)</f>
        <v>104.28571428571429</v>
      </c>
      <c r="N18" s="49">
        <f>AVERAGE('29.10-MUKONO-KATOSI'!N18,'30.10 KATOSI-MUKONO'!N18,'31.10 MUKONO-KATOSI'!N18,'3.11 MUKONO-KATOSI'!N18,'1.11 KATOSI-MUKONO-24hr'!N18,'2.11 KATOSI-MUKONO 24hr'!N18,'4.11 MUKONO-KATOSI'!N18)</f>
        <v>0</v>
      </c>
      <c r="O18" s="15">
        <f t="shared" si="0"/>
        <v>37.571428571428569</v>
      </c>
      <c r="P18" s="15">
        <f t="shared" si="1"/>
        <v>141.85714285714286</v>
      </c>
      <c r="R18" s="1" t="s">
        <v>14</v>
      </c>
      <c r="S18" s="17">
        <f t="shared" ref="S18:AF18" si="10">SUM(C42:C45)</f>
        <v>50</v>
      </c>
      <c r="T18" s="17">
        <f t="shared" si="10"/>
        <v>37.428571428571431</v>
      </c>
      <c r="U18" s="17">
        <f t="shared" si="10"/>
        <v>16.714285714285715</v>
      </c>
      <c r="V18" s="17">
        <f t="shared" si="10"/>
        <v>27</v>
      </c>
      <c r="W18" s="17">
        <f t="shared" si="10"/>
        <v>1.2857142857142856</v>
      </c>
      <c r="X18" s="17">
        <f t="shared" si="10"/>
        <v>0.14285714285714285</v>
      </c>
      <c r="Y18" s="17">
        <f t="shared" si="10"/>
        <v>25.285714285714285</v>
      </c>
      <c r="Z18" s="17">
        <f t="shared" si="10"/>
        <v>6.8571428571428577</v>
      </c>
      <c r="AA18" s="17">
        <f t="shared" si="10"/>
        <v>4.2857142857142856</v>
      </c>
      <c r="AB18" s="17">
        <f t="shared" si="10"/>
        <v>2.1428571428571423</v>
      </c>
      <c r="AC18" s="17">
        <f t="shared" si="10"/>
        <v>364.42857142857144</v>
      </c>
      <c r="AD18" s="17">
        <f t="shared" si="10"/>
        <v>0.2857142857142857</v>
      </c>
      <c r="AE18" s="31">
        <f t="shared" si="10"/>
        <v>171.42857142857144</v>
      </c>
      <c r="AF18" s="31">
        <f t="shared" si="10"/>
        <v>535.85714285714289</v>
      </c>
    </row>
    <row r="19" spans="2:32" ht="23.1" customHeight="1" x14ac:dyDescent="0.25">
      <c r="B19" s="23" t="s">
        <v>46</v>
      </c>
      <c r="C19" s="49">
        <f>AVERAGE('29.10-MUKONO-KATOSI'!C19,'30.10 KATOSI-MUKONO'!C19,'31.10 MUKONO-KATOSI'!C19,'3.11 MUKONO-KATOSI'!C19,'1.11 KATOSI-MUKONO-24hr'!C19,'2.11 KATOSI-MUKONO 24hr'!C19,'4.11 MUKONO-KATOSI'!C19)</f>
        <v>12.857142857142858</v>
      </c>
      <c r="D19" s="49">
        <f>AVERAGE('29.10-MUKONO-KATOSI'!D19,'30.10 KATOSI-MUKONO'!D19,'31.10 MUKONO-KATOSI'!D19,'3.11 MUKONO-KATOSI'!D19,'1.11 KATOSI-MUKONO-24hr'!D19,'2.11 KATOSI-MUKONO 24hr'!D19,'4.11 MUKONO-KATOSI'!D19)</f>
        <v>6.7142857142857144</v>
      </c>
      <c r="E19" s="49">
        <f>AVERAGE('29.10-MUKONO-KATOSI'!E19,'30.10 KATOSI-MUKONO'!E19,'31.10 MUKONO-KATOSI'!E19,'3.11 MUKONO-KATOSI'!E19,'1.11 KATOSI-MUKONO-24hr'!E19,'2.11 KATOSI-MUKONO 24hr'!E19,'4.11 MUKONO-KATOSI'!E19)</f>
        <v>4</v>
      </c>
      <c r="F19" s="49">
        <f>AVERAGE('29.10-MUKONO-KATOSI'!F19,'30.10 KATOSI-MUKONO'!F19,'31.10 MUKONO-KATOSI'!F19,'3.11 MUKONO-KATOSI'!F19,'1.11 KATOSI-MUKONO-24hr'!F19,'2.11 KATOSI-MUKONO 24hr'!F19,'4.11 MUKONO-KATOSI'!F19)</f>
        <v>6.5714285714285712</v>
      </c>
      <c r="G19" s="49">
        <f>AVERAGE('29.10-MUKONO-KATOSI'!G19,'30.10 KATOSI-MUKONO'!G19,'31.10 MUKONO-KATOSI'!G19,'3.11 MUKONO-KATOSI'!G19,'1.11 KATOSI-MUKONO-24hr'!G19,'2.11 KATOSI-MUKONO 24hr'!G19,'4.11 MUKONO-KATOSI'!G19)</f>
        <v>0.5714285714285714</v>
      </c>
      <c r="H19" s="49">
        <f>AVERAGE('29.10-MUKONO-KATOSI'!H19,'30.10 KATOSI-MUKONO'!H19,'31.10 MUKONO-KATOSI'!H19,'3.11 MUKONO-KATOSI'!H19,'1.11 KATOSI-MUKONO-24hr'!H19,'2.11 KATOSI-MUKONO 24hr'!H19,'4.11 MUKONO-KATOSI'!H19)</f>
        <v>0</v>
      </c>
      <c r="I19" s="49">
        <f>AVERAGE('29.10-MUKONO-KATOSI'!I19,'30.10 KATOSI-MUKONO'!I19,'31.10 MUKONO-KATOSI'!I19,'3.11 MUKONO-KATOSI'!I19,'1.11 KATOSI-MUKONO-24hr'!I19,'2.11 KATOSI-MUKONO 24hr'!I19,'4.11 MUKONO-KATOSI'!I19)</f>
        <v>3.4285714285714284</v>
      </c>
      <c r="J19" s="49">
        <f>AVERAGE('29.10-MUKONO-KATOSI'!J19,'30.10 KATOSI-MUKONO'!J19,'31.10 MUKONO-KATOSI'!J19,'3.11 MUKONO-KATOSI'!J19,'1.11 KATOSI-MUKONO-24hr'!J19,'2.11 KATOSI-MUKONO 24hr'!J19,'4.11 MUKONO-KATOSI'!J19)</f>
        <v>2</v>
      </c>
      <c r="K19" s="49">
        <f>AVERAGE('29.10-MUKONO-KATOSI'!K19,'30.10 KATOSI-MUKONO'!K19,'31.10 MUKONO-KATOSI'!K19,'3.11 MUKONO-KATOSI'!K19,'1.11 KATOSI-MUKONO-24hr'!K19,'2.11 KATOSI-MUKONO 24hr'!K19,'4.11 MUKONO-KATOSI'!K19)</f>
        <v>1</v>
      </c>
      <c r="L19" s="49">
        <f>AVERAGE('29.10-MUKONO-KATOSI'!L19,'30.10 KATOSI-MUKONO'!L19,'31.10 MUKONO-KATOSI'!L19,'3.11 MUKONO-KATOSI'!L19,'1.11 KATOSI-MUKONO-24hr'!L19,'2.11 KATOSI-MUKONO 24hr'!L19,'4.11 MUKONO-KATOSI'!L19)</f>
        <v>0.2857142857142857</v>
      </c>
      <c r="M19" s="49">
        <f>AVERAGE('29.10-MUKONO-KATOSI'!M19,'30.10 KATOSI-MUKONO'!M19,'31.10 MUKONO-KATOSI'!M19,'3.11 MUKONO-KATOSI'!M19,'1.11 KATOSI-MUKONO-24hr'!M19,'2.11 KATOSI-MUKONO 24hr'!M19,'4.11 MUKONO-KATOSI'!M19)</f>
        <v>104.28571428571429</v>
      </c>
      <c r="N19" s="49">
        <f>AVERAGE('29.10-MUKONO-KATOSI'!N19,'30.10 KATOSI-MUKONO'!N19,'31.10 MUKONO-KATOSI'!N19,'3.11 MUKONO-KATOSI'!N19,'1.11 KATOSI-MUKONO-24hr'!N19,'2.11 KATOSI-MUKONO 24hr'!N19,'4.11 MUKONO-KATOSI'!N19)</f>
        <v>0</v>
      </c>
      <c r="O19" s="15">
        <f t="shared" si="0"/>
        <v>37.428571428571431</v>
      </c>
      <c r="P19" s="15">
        <f t="shared" si="1"/>
        <v>141.71428571428572</v>
      </c>
      <c r="R19" s="1" t="s">
        <v>15</v>
      </c>
      <c r="S19" s="17">
        <f t="shared" ref="S19:AF19" si="11">SUM(C46:C49)</f>
        <v>48.428571428571431</v>
      </c>
      <c r="T19" s="17">
        <f t="shared" si="11"/>
        <v>27.857142857142854</v>
      </c>
      <c r="U19" s="17">
        <f t="shared" si="11"/>
        <v>15.857142857142858</v>
      </c>
      <c r="V19" s="17">
        <f t="shared" si="11"/>
        <v>32.142857142857146</v>
      </c>
      <c r="W19" s="17">
        <f t="shared" si="11"/>
        <v>3.5714285714285712</v>
      </c>
      <c r="X19" s="17">
        <f t="shared" si="11"/>
        <v>0</v>
      </c>
      <c r="Y19" s="17">
        <f t="shared" si="11"/>
        <v>23.571428571428573</v>
      </c>
      <c r="Z19" s="17">
        <f t="shared" si="11"/>
        <v>7.2857142857142856</v>
      </c>
      <c r="AA19" s="17">
        <f t="shared" si="11"/>
        <v>2.7142857142857144</v>
      </c>
      <c r="AB19" s="17">
        <f t="shared" si="11"/>
        <v>2.4285714285714284</v>
      </c>
      <c r="AC19" s="17">
        <f t="shared" si="11"/>
        <v>368.28571428571428</v>
      </c>
      <c r="AD19" s="17">
        <f t="shared" si="11"/>
        <v>0.14285714285714285</v>
      </c>
      <c r="AE19" s="31">
        <f t="shared" si="11"/>
        <v>164</v>
      </c>
      <c r="AF19" s="31">
        <f t="shared" si="11"/>
        <v>532.28571428571422</v>
      </c>
    </row>
    <row r="20" spans="2:32" ht="23.1" customHeight="1" x14ac:dyDescent="0.25">
      <c r="B20" s="23" t="s">
        <v>47</v>
      </c>
      <c r="C20" s="49">
        <f>AVERAGE('29.10-MUKONO-KATOSI'!C20,'30.10 KATOSI-MUKONO'!C20,'31.10 MUKONO-KATOSI'!C20,'3.11 MUKONO-KATOSI'!C20,'1.11 KATOSI-MUKONO-24hr'!C20,'2.11 KATOSI-MUKONO 24hr'!C20,'4.11 MUKONO-KATOSI'!C20)</f>
        <v>13.285714285714286</v>
      </c>
      <c r="D20" s="49">
        <f>AVERAGE('29.10-MUKONO-KATOSI'!D20,'30.10 KATOSI-MUKONO'!D20,'31.10 MUKONO-KATOSI'!D20,'3.11 MUKONO-KATOSI'!D20,'1.11 KATOSI-MUKONO-24hr'!D20,'2.11 KATOSI-MUKONO 24hr'!D20,'4.11 MUKONO-KATOSI'!D20)</f>
        <v>5.7142857142857144</v>
      </c>
      <c r="E20" s="49">
        <f>AVERAGE('29.10-MUKONO-KATOSI'!E20,'30.10 KATOSI-MUKONO'!E20,'31.10 MUKONO-KATOSI'!E20,'3.11 MUKONO-KATOSI'!E20,'1.11 KATOSI-MUKONO-24hr'!E20,'2.11 KATOSI-MUKONO 24hr'!E20,'4.11 MUKONO-KATOSI'!E20)</f>
        <v>2.4285714285714284</v>
      </c>
      <c r="F20" s="49">
        <f>AVERAGE('29.10-MUKONO-KATOSI'!F20,'30.10 KATOSI-MUKONO'!F20,'31.10 MUKONO-KATOSI'!F20,'3.11 MUKONO-KATOSI'!F20,'1.11 KATOSI-MUKONO-24hr'!F20,'2.11 KATOSI-MUKONO 24hr'!F20,'4.11 MUKONO-KATOSI'!F20)</f>
        <v>4.8571428571428568</v>
      </c>
      <c r="G20" s="49">
        <f>AVERAGE('29.10-MUKONO-KATOSI'!G20,'30.10 KATOSI-MUKONO'!G20,'31.10 MUKONO-KATOSI'!G20,'3.11 MUKONO-KATOSI'!G20,'1.11 KATOSI-MUKONO-24hr'!G20,'2.11 KATOSI-MUKONO 24hr'!G20,'4.11 MUKONO-KATOSI'!G20)</f>
        <v>0.5714285714285714</v>
      </c>
      <c r="H20" s="49">
        <f>AVERAGE('29.10-MUKONO-KATOSI'!H20,'30.10 KATOSI-MUKONO'!H20,'31.10 MUKONO-KATOSI'!H20,'3.11 MUKONO-KATOSI'!H20,'1.11 KATOSI-MUKONO-24hr'!H20,'2.11 KATOSI-MUKONO 24hr'!H20,'4.11 MUKONO-KATOSI'!H20)</f>
        <v>0.42857142857142855</v>
      </c>
      <c r="I20" s="49">
        <f>AVERAGE('29.10-MUKONO-KATOSI'!I20,'30.10 KATOSI-MUKONO'!I20,'31.10 MUKONO-KATOSI'!I20,'3.11 MUKONO-KATOSI'!I20,'1.11 KATOSI-MUKONO-24hr'!I20,'2.11 KATOSI-MUKONO 24hr'!I20,'4.11 MUKONO-KATOSI'!I20)</f>
        <v>7</v>
      </c>
      <c r="J20" s="49">
        <f>AVERAGE('29.10-MUKONO-KATOSI'!J20,'30.10 KATOSI-MUKONO'!J20,'31.10 MUKONO-KATOSI'!J20,'3.11 MUKONO-KATOSI'!J20,'1.11 KATOSI-MUKONO-24hr'!J20,'2.11 KATOSI-MUKONO 24hr'!J20,'4.11 MUKONO-KATOSI'!J20)</f>
        <v>2.5714285714285716</v>
      </c>
      <c r="K20" s="49">
        <f>AVERAGE('29.10-MUKONO-KATOSI'!K20,'30.10 KATOSI-MUKONO'!K20,'31.10 MUKONO-KATOSI'!K20,'3.11 MUKONO-KATOSI'!K20,'1.11 KATOSI-MUKONO-24hr'!K20,'2.11 KATOSI-MUKONO 24hr'!K20,'4.11 MUKONO-KATOSI'!K20)</f>
        <v>1.1428571428571428</v>
      </c>
      <c r="L20" s="49">
        <f>AVERAGE('29.10-MUKONO-KATOSI'!L20,'30.10 KATOSI-MUKONO'!L20,'31.10 MUKONO-KATOSI'!L20,'3.11 MUKONO-KATOSI'!L20,'1.11 KATOSI-MUKONO-24hr'!L20,'2.11 KATOSI-MUKONO 24hr'!L20,'4.11 MUKONO-KATOSI'!L20)</f>
        <v>11.285714285714286</v>
      </c>
      <c r="M20" s="49">
        <f>AVERAGE('29.10-MUKONO-KATOSI'!M20,'30.10 KATOSI-MUKONO'!M20,'31.10 MUKONO-KATOSI'!M20,'3.11 MUKONO-KATOSI'!M20,'1.11 KATOSI-MUKONO-24hr'!M20,'2.11 KATOSI-MUKONO 24hr'!M20,'4.11 MUKONO-KATOSI'!M20)</f>
        <v>107.14285714285714</v>
      </c>
      <c r="N20" s="49">
        <f>AVERAGE('29.10-MUKONO-KATOSI'!N20,'30.10 KATOSI-MUKONO'!N20,'31.10 MUKONO-KATOSI'!N20,'3.11 MUKONO-KATOSI'!N20,'1.11 KATOSI-MUKONO-24hr'!N20,'2.11 KATOSI-MUKONO 24hr'!N20,'4.11 MUKONO-KATOSI'!N20)</f>
        <v>0.14285714285714285</v>
      </c>
      <c r="O20" s="15">
        <f t="shared" si="0"/>
        <v>49.428571428571431</v>
      </c>
      <c r="P20" s="15">
        <f t="shared" si="1"/>
        <v>156.57142857142856</v>
      </c>
      <c r="R20" s="1" t="s">
        <v>16</v>
      </c>
      <c r="S20" s="17">
        <f t="shared" ref="S20:AF20" si="12">SUM(C50:C53)</f>
        <v>51.285714285714285</v>
      </c>
      <c r="T20" s="17">
        <f t="shared" si="12"/>
        <v>28</v>
      </c>
      <c r="U20" s="17">
        <f t="shared" si="12"/>
        <v>15</v>
      </c>
      <c r="V20" s="17">
        <f t="shared" si="12"/>
        <v>41.857142857142861</v>
      </c>
      <c r="W20" s="17">
        <f t="shared" si="12"/>
        <v>2.8571428571428572</v>
      </c>
      <c r="X20" s="17">
        <f t="shared" si="12"/>
        <v>0.2857142857142857</v>
      </c>
      <c r="Y20" s="17">
        <f t="shared" si="12"/>
        <v>21.714285714285715</v>
      </c>
      <c r="Z20" s="17">
        <f t="shared" si="12"/>
        <v>8.7142857142857135</v>
      </c>
      <c r="AA20" s="17">
        <f t="shared" si="12"/>
        <v>1.7142857142857142</v>
      </c>
      <c r="AB20" s="17">
        <f t="shared" si="12"/>
        <v>1.8571428571428568</v>
      </c>
      <c r="AC20" s="17">
        <f t="shared" si="12"/>
        <v>372</v>
      </c>
      <c r="AD20" s="17">
        <f t="shared" si="12"/>
        <v>0</v>
      </c>
      <c r="AE20" s="31">
        <f t="shared" si="12"/>
        <v>173.28571428571428</v>
      </c>
      <c r="AF20" s="31">
        <f t="shared" si="12"/>
        <v>545.28571428571422</v>
      </c>
    </row>
    <row r="21" spans="2:32" ht="23.1" customHeight="1" x14ac:dyDescent="0.25">
      <c r="B21" s="23" t="s">
        <v>48</v>
      </c>
      <c r="C21" s="49">
        <f>AVERAGE('29.10-MUKONO-KATOSI'!C21,'30.10 KATOSI-MUKONO'!C21,'31.10 MUKONO-KATOSI'!C21,'3.11 MUKONO-KATOSI'!C21,'1.11 KATOSI-MUKONO-24hr'!C21,'2.11 KATOSI-MUKONO 24hr'!C21,'4.11 MUKONO-KATOSI'!C21)</f>
        <v>12.714285714285714</v>
      </c>
      <c r="D21" s="49">
        <f>AVERAGE('29.10-MUKONO-KATOSI'!D21,'30.10 KATOSI-MUKONO'!D21,'31.10 MUKONO-KATOSI'!D21,'3.11 MUKONO-KATOSI'!D21,'1.11 KATOSI-MUKONO-24hr'!D21,'2.11 KATOSI-MUKONO 24hr'!D21,'4.11 MUKONO-KATOSI'!D21)</f>
        <v>6.4285714285714288</v>
      </c>
      <c r="E21" s="49">
        <f>AVERAGE('29.10-MUKONO-KATOSI'!E21,'30.10 KATOSI-MUKONO'!E21,'31.10 MUKONO-KATOSI'!E21,'3.11 MUKONO-KATOSI'!E21,'1.11 KATOSI-MUKONO-24hr'!E21,'2.11 KATOSI-MUKONO 24hr'!E21,'4.11 MUKONO-KATOSI'!E21)</f>
        <v>5.1428571428571432</v>
      </c>
      <c r="F21" s="49">
        <f>AVERAGE('29.10-MUKONO-KATOSI'!F21,'30.10 KATOSI-MUKONO'!F21,'31.10 MUKONO-KATOSI'!F21,'3.11 MUKONO-KATOSI'!F21,'1.11 KATOSI-MUKONO-24hr'!F21,'2.11 KATOSI-MUKONO 24hr'!F21,'4.11 MUKONO-KATOSI'!F21)</f>
        <v>7.5714285714285712</v>
      </c>
      <c r="G21" s="49">
        <f>AVERAGE('29.10-MUKONO-KATOSI'!G21,'30.10 KATOSI-MUKONO'!G21,'31.10 MUKONO-KATOSI'!G21,'3.11 MUKONO-KATOSI'!G21,'1.11 KATOSI-MUKONO-24hr'!G21,'2.11 KATOSI-MUKONO 24hr'!G21,'4.11 MUKONO-KATOSI'!G21)</f>
        <v>0.2857142857142857</v>
      </c>
      <c r="H21" s="49">
        <f>AVERAGE('29.10-MUKONO-KATOSI'!H21,'30.10 KATOSI-MUKONO'!H21,'31.10 MUKONO-KATOSI'!H21,'3.11 MUKONO-KATOSI'!H21,'1.11 KATOSI-MUKONO-24hr'!H21,'2.11 KATOSI-MUKONO 24hr'!H21,'4.11 MUKONO-KATOSI'!H21)</f>
        <v>0.5714285714285714</v>
      </c>
      <c r="I21" s="49">
        <f>AVERAGE('29.10-MUKONO-KATOSI'!I21,'30.10 KATOSI-MUKONO'!I21,'31.10 MUKONO-KATOSI'!I21,'3.11 MUKONO-KATOSI'!I21,'1.11 KATOSI-MUKONO-24hr'!I21,'2.11 KATOSI-MUKONO 24hr'!I21,'4.11 MUKONO-KATOSI'!I21)</f>
        <v>5.4285714285714288</v>
      </c>
      <c r="J21" s="49">
        <f>AVERAGE('29.10-MUKONO-KATOSI'!J21,'30.10 KATOSI-MUKONO'!J21,'31.10 MUKONO-KATOSI'!J21,'3.11 MUKONO-KATOSI'!J21,'1.11 KATOSI-MUKONO-24hr'!J21,'2.11 KATOSI-MUKONO 24hr'!J21,'4.11 MUKONO-KATOSI'!J21)</f>
        <v>2.2857142857142856</v>
      </c>
      <c r="K21" s="49">
        <f>AVERAGE('29.10-MUKONO-KATOSI'!K21,'30.10 KATOSI-MUKONO'!K21,'31.10 MUKONO-KATOSI'!K21,'3.11 MUKONO-KATOSI'!K21,'1.11 KATOSI-MUKONO-24hr'!K21,'2.11 KATOSI-MUKONO 24hr'!K21,'4.11 MUKONO-KATOSI'!K21)</f>
        <v>0.8571428571428571</v>
      </c>
      <c r="L21" s="49">
        <f>AVERAGE('29.10-MUKONO-KATOSI'!L21,'30.10 KATOSI-MUKONO'!L21,'31.10 MUKONO-KATOSI'!L21,'3.11 MUKONO-KATOSI'!L21,'1.11 KATOSI-MUKONO-24hr'!L21,'2.11 KATOSI-MUKONO 24hr'!L21,'4.11 MUKONO-KATOSI'!L21)</f>
        <v>0</v>
      </c>
      <c r="M21" s="49">
        <f>AVERAGE('29.10-MUKONO-KATOSI'!M21,'30.10 KATOSI-MUKONO'!M21,'31.10 MUKONO-KATOSI'!M21,'3.11 MUKONO-KATOSI'!M21,'1.11 KATOSI-MUKONO-24hr'!M21,'2.11 KATOSI-MUKONO 24hr'!M21,'4.11 MUKONO-KATOSI'!M21)</f>
        <v>94</v>
      </c>
      <c r="N21" s="49">
        <f>AVERAGE('29.10-MUKONO-KATOSI'!N21,'30.10 KATOSI-MUKONO'!N21,'31.10 MUKONO-KATOSI'!N21,'3.11 MUKONO-KATOSI'!N21,'1.11 KATOSI-MUKONO-24hr'!N21,'2.11 KATOSI-MUKONO 24hr'!N21,'4.11 MUKONO-KATOSI'!N21)</f>
        <v>0</v>
      </c>
      <c r="O21" s="15">
        <f t="shared" si="0"/>
        <v>41.285714285714278</v>
      </c>
      <c r="P21" s="15">
        <f t="shared" si="1"/>
        <v>135.28571428571428</v>
      </c>
      <c r="R21" s="1" t="s">
        <v>20</v>
      </c>
      <c r="S21" s="34">
        <f t="shared" ref="S21:AF21" si="13">SUM(C54:C57)</f>
        <v>47.142857142857139</v>
      </c>
      <c r="T21" s="17">
        <f t="shared" si="13"/>
        <v>25.285714285714285</v>
      </c>
      <c r="U21" s="17">
        <f t="shared" si="13"/>
        <v>15.571428571428573</v>
      </c>
      <c r="V21" s="17">
        <f t="shared" si="13"/>
        <v>31.857142857142861</v>
      </c>
      <c r="W21" s="17">
        <f t="shared" si="13"/>
        <v>1.5714285714285712</v>
      </c>
      <c r="X21" s="17">
        <f t="shared" si="13"/>
        <v>0.14285714285714285</v>
      </c>
      <c r="Y21" s="17">
        <f t="shared" si="13"/>
        <v>21.428571428571431</v>
      </c>
      <c r="Z21" s="17">
        <f t="shared" si="13"/>
        <v>6.8571428571428577</v>
      </c>
      <c r="AA21" s="17">
        <f t="shared" si="13"/>
        <v>2.2857142857142856</v>
      </c>
      <c r="AB21" s="17">
        <f t="shared" si="13"/>
        <v>1.2857142857142856</v>
      </c>
      <c r="AC21" s="17">
        <f t="shared" si="13"/>
        <v>392.28571428571428</v>
      </c>
      <c r="AD21" s="17">
        <f t="shared" si="13"/>
        <v>0.14285714285714285</v>
      </c>
      <c r="AE21" s="31">
        <f t="shared" si="13"/>
        <v>153.57142857142856</v>
      </c>
      <c r="AF21" s="31">
        <f t="shared" si="13"/>
        <v>545.85714285714289</v>
      </c>
    </row>
    <row r="22" spans="2:32" ht="23.1" customHeight="1" x14ac:dyDescent="0.25">
      <c r="B22" s="23" t="s">
        <v>49</v>
      </c>
      <c r="C22" s="49">
        <f>AVERAGE('29.10-MUKONO-KATOSI'!C22,'30.10 KATOSI-MUKONO'!C22,'31.10 MUKONO-KATOSI'!C22,'3.11 MUKONO-KATOSI'!C22,'1.11 KATOSI-MUKONO-24hr'!C22,'2.11 KATOSI-MUKONO 24hr'!C22,'4.11 MUKONO-KATOSI'!C22)</f>
        <v>10.142857142857142</v>
      </c>
      <c r="D22" s="49">
        <f>AVERAGE('29.10-MUKONO-KATOSI'!D22,'30.10 KATOSI-MUKONO'!D22,'31.10 MUKONO-KATOSI'!D22,'3.11 MUKONO-KATOSI'!D22,'1.11 KATOSI-MUKONO-24hr'!D22,'2.11 KATOSI-MUKONO 24hr'!D22,'4.11 MUKONO-KATOSI'!D22)</f>
        <v>5.2857142857142856</v>
      </c>
      <c r="E22" s="49">
        <f>AVERAGE('29.10-MUKONO-KATOSI'!E22,'30.10 KATOSI-MUKONO'!E22,'31.10 MUKONO-KATOSI'!E22,'3.11 MUKONO-KATOSI'!E22,'1.11 KATOSI-MUKONO-24hr'!E22,'2.11 KATOSI-MUKONO 24hr'!E22,'4.11 MUKONO-KATOSI'!E22)</f>
        <v>1.7142857142857142</v>
      </c>
      <c r="F22" s="49">
        <f>AVERAGE('29.10-MUKONO-KATOSI'!F22,'30.10 KATOSI-MUKONO'!F22,'31.10 MUKONO-KATOSI'!F22,'3.11 MUKONO-KATOSI'!F22,'1.11 KATOSI-MUKONO-24hr'!F22,'2.11 KATOSI-MUKONO 24hr'!F22,'4.11 MUKONO-KATOSI'!F22)</f>
        <v>9.8571428571428577</v>
      </c>
      <c r="G22" s="49">
        <f>AVERAGE('29.10-MUKONO-KATOSI'!G22,'30.10 KATOSI-MUKONO'!G22,'31.10 MUKONO-KATOSI'!G22,'3.11 MUKONO-KATOSI'!G22,'1.11 KATOSI-MUKONO-24hr'!G22,'2.11 KATOSI-MUKONO 24hr'!G22,'4.11 MUKONO-KATOSI'!G22)</f>
        <v>0.7142857142857143</v>
      </c>
      <c r="H22" s="49">
        <f>AVERAGE('29.10-MUKONO-KATOSI'!H22,'30.10 KATOSI-MUKONO'!H22,'31.10 MUKONO-KATOSI'!H22,'3.11 MUKONO-KATOSI'!H22,'1.11 KATOSI-MUKONO-24hr'!H22,'2.11 KATOSI-MUKONO 24hr'!H22,'4.11 MUKONO-KATOSI'!H22)</f>
        <v>0</v>
      </c>
      <c r="I22" s="49">
        <f>AVERAGE('29.10-MUKONO-KATOSI'!I22,'30.10 KATOSI-MUKONO'!I22,'31.10 MUKONO-KATOSI'!I22,'3.11 MUKONO-KATOSI'!I22,'1.11 KATOSI-MUKONO-24hr'!I22,'2.11 KATOSI-MUKONO 24hr'!I22,'4.11 MUKONO-KATOSI'!I22)</f>
        <v>6.1428571428571432</v>
      </c>
      <c r="J22" s="49">
        <f>AVERAGE('29.10-MUKONO-KATOSI'!J22,'30.10 KATOSI-MUKONO'!J22,'31.10 MUKONO-KATOSI'!J22,'3.11 MUKONO-KATOSI'!J22,'1.11 KATOSI-MUKONO-24hr'!J22,'2.11 KATOSI-MUKONO 24hr'!J22,'4.11 MUKONO-KATOSI'!J22)</f>
        <v>1.2857142857142858</v>
      </c>
      <c r="K22" s="49">
        <f>AVERAGE('29.10-MUKONO-KATOSI'!K22,'30.10 KATOSI-MUKONO'!K22,'31.10 MUKONO-KATOSI'!K22,'3.11 MUKONO-KATOSI'!K22,'1.11 KATOSI-MUKONO-24hr'!K22,'2.11 KATOSI-MUKONO 24hr'!K22,'4.11 MUKONO-KATOSI'!K22)</f>
        <v>1.1428571428571428</v>
      </c>
      <c r="L22" s="49">
        <f>AVERAGE('29.10-MUKONO-KATOSI'!L22,'30.10 KATOSI-MUKONO'!L22,'31.10 MUKONO-KATOSI'!L22,'3.11 MUKONO-KATOSI'!L22,'1.11 KATOSI-MUKONO-24hr'!L22,'2.11 KATOSI-MUKONO 24hr'!L22,'4.11 MUKONO-KATOSI'!L22)</f>
        <v>0.14285714285714285</v>
      </c>
      <c r="M22" s="49">
        <f>AVERAGE('29.10-MUKONO-KATOSI'!M22,'30.10 KATOSI-MUKONO'!M22,'31.10 MUKONO-KATOSI'!M22,'3.11 MUKONO-KATOSI'!M22,'1.11 KATOSI-MUKONO-24hr'!M22,'2.11 KATOSI-MUKONO 24hr'!M22,'4.11 MUKONO-KATOSI'!M22)</f>
        <v>74.714285714285708</v>
      </c>
      <c r="N22" s="49">
        <f>AVERAGE('29.10-MUKONO-KATOSI'!N22,'30.10 KATOSI-MUKONO'!N22,'31.10 MUKONO-KATOSI'!N22,'3.11 MUKONO-KATOSI'!N22,'1.11 KATOSI-MUKONO-24hr'!N22,'2.11 KATOSI-MUKONO 24hr'!N22,'4.11 MUKONO-KATOSI'!N22)</f>
        <v>0</v>
      </c>
      <c r="O22" s="15">
        <f t="shared" si="0"/>
        <v>36.428571428571438</v>
      </c>
      <c r="P22" s="15">
        <f t="shared" si="1"/>
        <v>111.14285714285714</v>
      </c>
      <c r="R22" s="1" t="s">
        <v>146</v>
      </c>
      <c r="S22" s="34">
        <f>SUM(C58:C61)</f>
        <v>41.5</v>
      </c>
      <c r="T22" s="34">
        <f t="shared" ref="T22:AF22" si="14">SUM(D58:D61)</f>
        <v>13.5</v>
      </c>
      <c r="U22" s="34">
        <f t="shared" si="14"/>
        <v>10.5</v>
      </c>
      <c r="V22" s="34">
        <f t="shared" si="14"/>
        <v>24</v>
      </c>
      <c r="W22" s="34">
        <f t="shared" si="14"/>
        <v>1</v>
      </c>
      <c r="X22" s="34">
        <f t="shared" si="14"/>
        <v>0</v>
      </c>
      <c r="Y22" s="34">
        <f t="shared" si="14"/>
        <v>14</v>
      </c>
      <c r="Z22" s="34">
        <f t="shared" si="14"/>
        <v>2.5</v>
      </c>
      <c r="AA22" s="34">
        <f t="shared" si="14"/>
        <v>0.5</v>
      </c>
      <c r="AB22" s="34">
        <f t="shared" si="14"/>
        <v>1</v>
      </c>
      <c r="AC22" s="34">
        <f t="shared" si="14"/>
        <v>306</v>
      </c>
      <c r="AD22" s="34">
        <f t="shared" si="14"/>
        <v>0</v>
      </c>
      <c r="AE22" s="31">
        <f t="shared" si="14"/>
        <v>108.5</v>
      </c>
      <c r="AF22" s="31">
        <f t="shared" si="14"/>
        <v>414.5</v>
      </c>
    </row>
    <row r="23" spans="2:32" ht="23.1" customHeight="1" x14ac:dyDescent="0.25">
      <c r="B23" s="23" t="s">
        <v>50</v>
      </c>
      <c r="C23" s="49">
        <f>AVERAGE('29.10-MUKONO-KATOSI'!C23,'30.10 KATOSI-MUKONO'!C23,'31.10 MUKONO-KATOSI'!C23,'3.11 MUKONO-KATOSI'!C23,'1.11 KATOSI-MUKONO-24hr'!C23,'2.11 KATOSI-MUKONO 24hr'!C23,'4.11 MUKONO-KATOSI'!C23)</f>
        <v>11.428571428571429</v>
      </c>
      <c r="D23" s="49">
        <f>AVERAGE('29.10-MUKONO-KATOSI'!D23,'30.10 KATOSI-MUKONO'!D23,'31.10 MUKONO-KATOSI'!D23,'3.11 MUKONO-KATOSI'!D23,'1.11 KATOSI-MUKONO-24hr'!D23,'2.11 KATOSI-MUKONO 24hr'!D23,'4.11 MUKONO-KATOSI'!D23)</f>
        <v>5.2857142857142856</v>
      </c>
      <c r="E23" s="49">
        <f>AVERAGE('29.10-MUKONO-KATOSI'!E23,'30.10 KATOSI-MUKONO'!E23,'31.10 MUKONO-KATOSI'!E23,'3.11 MUKONO-KATOSI'!E23,'1.11 KATOSI-MUKONO-24hr'!E23,'2.11 KATOSI-MUKONO 24hr'!E23,'4.11 MUKONO-KATOSI'!E23)</f>
        <v>3.5714285714285716</v>
      </c>
      <c r="F23" s="49">
        <f>AVERAGE('29.10-MUKONO-KATOSI'!F23,'30.10 KATOSI-MUKONO'!F23,'31.10 MUKONO-KATOSI'!F23,'3.11 MUKONO-KATOSI'!F23,'1.11 KATOSI-MUKONO-24hr'!F23,'2.11 KATOSI-MUKONO 24hr'!F23,'4.11 MUKONO-KATOSI'!F23)</f>
        <v>7.8571428571428568</v>
      </c>
      <c r="G23" s="49">
        <f>AVERAGE('29.10-MUKONO-KATOSI'!G23,'30.10 KATOSI-MUKONO'!G23,'31.10 MUKONO-KATOSI'!G23,'3.11 MUKONO-KATOSI'!G23,'1.11 KATOSI-MUKONO-24hr'!G23,'2.11 KATOSI-MUKONO 24hr'!G23,'4.11 MUKONO-KATOSI'!G23)</f>
        <v>0.42857142857142855</v>
      </c>
      <c r="H23" s="49">
        <f>AVERAGE('29.10-MUKONO-KATOSI'!H23,'30.10 KATOSI-MUKONO'!H23,'31.10 MUKONO-KATOSI'!H23,'3.11 MUKONO-KATOSI'!H23,'1.11 KATOSI-MUKONO-24hr'!H23,'2.11 KATOSI-MUKONO 24hr'!H23,'4.11 MUKONO-KATOSI'!H23)</f>
        <v>0</v>
      </c>
      <c r="I23" s="49">
        <f>AVERAGE('29.10-MUKONO-KATOSI'!I23,'30.10 KATOSI-MUKONO'!I23,'31.10 MUKONO-KATOSI'!I23,'3.11 MUKONO-KATOSI'!I23,'1.11 KATOSI-MUKONO-24hr'!I23,'2.11 KATOSI-MUKONO 24hr'!I23,'4.11 MUKONO-KATOSI'!I23)</f>
        <v>8.1428571428571423</v>
      </c>
      <c r="J23" s="49">
        <f>AVERAGE('29.10-MUKONO-KATOSI'!J23,'30.10 KATOSI-MUKONO'!J23,'31.10 MUKONO-KATOSI'!J23,'3.11 MUKONO-KATOSI'!J23,'1.11 KATOSI-MUKONO-24hr'!J23,'2.11 KATOSI-MUKONO 24hr'!J23,'4.11 MUKONO-KATOSI'!J23)</f>
        <v>1.8571428571428572</v>
      </c>
      <c r="K23" s="49">
        <f>AVERAGE('29.10-MUKONO-KATOSI'!K23,'30.10 KATOSI-MUKONO'!K23,'31.10 MUKONO-KATOSI'!K23,'3.11 MUKONO-KATOSI'!K23,'1.11 KATOSI-MUKONO-24hr'!K23,'2.11 KATOSI-MUKONO 24hr'!K23,'4.11 MUKONO-KATOSI'!K23)</f>
        <v>0.5714285714285714</v>
      </c>
      <c r="L23" s="49">
        <f>AVERAGE('29.10-MUKONO-KATOSI'!L23,'30.10 KATOSI-MUKONO'!L23,'31.10 MUKONO-KATOSI'!L23,'3.11 MUKONO-KATOSI'!L23,'1.11 KATOSI-MUKONO-24hr'!L23,'2.11 KATOSI-MUKONO 24hr'!L23,'4.11 MUKONO-KATOSI'!L23)</f>
        <v>0.7142857142857143</v>
      </c>
      <c r="M23" s="49">
        <f>AVERAGE('29.10-MUKONO-KATOSI'!M23,'30.10 KATOSI-MUKONO'!M23,'31.10 MUKONO-KATOSI'!M23,'3.11 MUKONO-KATOSI'!M23,'1.11 KATOSI-MUKONO-24hr'!M23,'2.11 KATOSI-MUKONO 24hr'!M23,'4.11 MUKONO-KATOSI'!M23)</f>
        <v>88.857142857142861</v>
      </c>
      <c r="N23" s="49">
        <f>AVERAGE('29.10-MUKONO-KATOSI'!N23,'30.10 KATOSI-MUKONO'!N23,'31.10 MUKONO-KATOSI'!N23,'3.11 MUKONO-KATOSI'!N23,'1.11 KATOSI-MUKONO-24hr'!N23,'2.11 KATOSI-MUKONO 24hr'!N23,'4.11 MUKONO-KATOSI'!N23)</f>
        <v>0</v>
      </c>
      <c r="O23" s="15">
        <f t="shared" si="0"/>
        <v>39.857142857142854</v>
      </c>
      <c r="P23" s="15">
        <f t="shared" si="1"/>
        <v>128.71428571428572</v>
      </c>
      <c r="R23" s="1" t="s">
        <v>147</v>
      </c>
      <c r="S23" s="34">
        <f>SUM(C62:C65)</f>
        <v>50</v>
      </c>
      <c r="T23" s="34">
        <f t="shared" ref="T23:AF23" si="15">SUM(D62:D65)</f>
        <v>9</v>
      </c>
      <c r="U23" s="34">
        <f t="shared" si="15"/>
        <v>12</v>
      </c>
      <c r="V23" s="34">
        <f t="shared" si="15"/>
        <v>25</v>
      </c>
      <c r="W23" s="34">
        <f t="shared" si="15"/>
        <v>1.5</v>
      </c>
      <c r="X23" s="34">
        <f t="shared" si="15"/>
        <v>0</v>
      </c>
      <c r="Y23" s="34">
        <f t="shared" si="15"/>
        <v>16</v>
      </c>
      <c r="Z23" s="34">
        <f t="shared" si="15"/>
        <v>4</v>
      </c>
      <c r="AA23" s="34">
        <f t="shared" si="15"/>
        <v>0.5</v>
      </c>
      <c r="AB23" s="34">
        <f t="shared" si="15"/>
        <v>1</v>
      </c>
      <c r="AC23" s="34">
        <f t="shared" si="15"/>
        <v>311.5</v>
      </c>
      <c r="AD23" s="34">
        <f t="shared" si="15"/>
        <v>0</v>
      </c>
      <c r="AE23" s="31">
        <f t="shared" si="15"/>
        <v>119</v>
      </c>
      <c r="AF23" s="31">
        <f t="shared" si="15"/>
        <v>430.5</v>
      </c>
    </row>
    <row r="24" spans="2:32" ht="23.1" customHeight="1" x14ac:dyDescent="0.25">
      <c r="B24" s="23" t="s">
        <v>51</v>
      </c>
      <c r="C24" s="49">
        <f>AVERAGE('29.10-MUKONO-KATOSI'!C24,'30.10 KATOSI-MUKONO'!C24,'31.10 MUKONO-KATOSI'!C24,'3.11 MUKONO-KATOSI'!C24,'1.11 KATOSI-MUKONO-24hr'!C24,'2.11 KATOSI-MUKONO 24hr'!C24,'4.11 MUKONO-KATOSI'!C24)</f>
        <v>12.857142857142858</v>
      </c>
      <c r="D24" s="49">
        <f>AVERAGE('29.10-MUKONO-KATOSI'!D24,'30.10 KATOSI-MUKONO'!D24,'31.10 MUKONO-KATOSI'!D24,'3.11 MUKONO-KATOSI'!D24,'1.11 KATOSI-MUKONO-24hr'!D24,'2.11 KATOSI-MUKONO 24hr'!D24,'4.11 MUKONO-KATOSI'!D24)</f>
        <v>7.1428571428571432</v>
      </c>
      <c r="E24" s="49">
        <f>AVERAGE('29.10-MUKONO-KATOSI'!E24,'30.10 KATOSI-MUKONO'!E24,'31.10 MUKONO-KATOSI'!E24,'3.11 MUKONO-KATOSI'!E24,'1.11 KATOSI-MUKONO-24hr'!E24,'2.11 KATOSI-MUKONO 24hr'!E24,'4.11 MUKONO-KATOSI'!E24)</f>
        <v>4.1428571428571432</v>
      </c>
      <c r="F24" s="49">
        <f>AVERAGE('29.10-MUKONO-KATOSI'!F24,'30.10 KATOSI-MUKONO'!F24,'31.10 MUKONO-KATOSI'!F24,'3.11 MUKONO-KATOSI'!F24,'1.11 KATOSI-MUKONO-24hr'!F24,'2.11 KATOSI-MUKONO 24hr'!F24,'4.11 MUKONO-KATOSI'!F24)</f>
        <v>5.7142857142857144</v>
      </c>
      <c r="G24" s="49">
        <f>AVERAGE('29.10-MUKONO-KATOSI'!G24,'30.10 KATOSI-MUKONO'!G24,'31.10 MUKONO-KATOSI'!G24,'3.11 MUKONO-KATOSI'!G24,'1.11 KATOSI-MUKONO-24hr'!G24,'2.11 KATOSI-MUKONO 24hr'!G24,'4.11 MUKONO-KATOSI'!G24)</f>
        <v>0.42857142857142855</v>
      </c>
      <c r="H24" s="49">
        <f>AVERAGE('29.10-MUKONO-KATOSI'!H24,'30.10 KATOSI-MUKONO'!H24,'31.10 MUKONO-KATOSI'!H24,'3.11 MUKONO-KATOSI'!H24,'1.11 KATOSI-MUKONO-24hr'!H24,'2.11 KATOSI-MUKONO 24hr'!H24,'4.11 MUKONO-KATOSI'!H24)</f>
        <v>0</v>
      </c>
      <c r="I24" s="49">
        <f>AVERAGE('29.10-MUKONO-KATOSI'!I24,'30.10 KATOSI-MUKONO'!I24,'31.10 MUKONO-KATOSI'!I24,'3.11 MUKONO-KATOSI'!I24,'1.11 KATOSI-MUKONO-24hr'!I24,'2.11 KATOSI-MUKONO 24hr'!I24,'4.11 MUKONO-KATOSI'!I24)</f>
        <v>7.7142857142857144</v>
      </c>
      <c r="J24" s="49">
        <f>AVERAGE('29.10-MUKONO-KATOSI'!J24,'30.10 KATOSI-MUKONO'!J24,'31.10 MUKONO-KATOSI'!J24,'3.11 MUKONO-KATOSI'!J24,'1.11 KATOSI-MUKONO-24hr'!J24,'2.11 KATOSI-MUKONO 24hr'!J24,'4.11 MUKONO-KATOSI'!J24)</f>
        <v>1.8571428571428572</v>
      </c>
      <c r="K24" s="49">
        <f>AVERAGE('29.10-MUKONO-KATOSI'!K24,'30.10 KATOSI-MUKONO'!K24,'31.10 MUKONO-KATOSI'!K24,'3.11 MUKONO-KATOSI'!K24,'1.11 KATOSI-MUKONO-24hr'!K24,'2.11 KATOSI-MUKONO 24hr'!K24,'4.11 MUKONO-KATOSI'!K24)</f>
        <v>0.5714285714285714</v>
      </c>
      <c r="L24" s="49">
        <f>AVERAGE('29.10-MUKONO-KATOSI'!L24,'30.10 KATOSI-MUKONO'!L24,'31.10 MUKONO-KATOSI'!L24,'3.11 MUKONO-KATOSI'!L24,'1.11 KATOSI-MUKONO-24hr'!L24,'2.11 KATOSI-MUKONO 24hr'!L24,'4.11 MUKONO-KATOSI'!L24)</f>
        <v>0.8571428571428571</v>
      </c>
      <c r="M24" s="49">
        <f>AVERAGE('29.10-MUKONO-KATOSI'!M24,'30.10 KATOSI-MUKONO'!M24,'31.10 MUKONO-KATOSI'!M24,'3.11 MUKONO-KATOSI'!M24,'1.11 KATOSI-MUKONO-24hr'!M24,'2.11 KATOSI-MUKONO 24hr'!M24,'4.11 MUKONO-KATOSI'!M24)</f>
        <v>102.42857142857143</v>
      </c>
      <c r="N24" s="49">
        <f>AVERAGE('29.10-MUKONO-KATOSI'!N24,'30.10 KATOSI-MUKONO'!N24,'31.10 MUKONO-KATOSI'!N24,'3.11 MUKONO-KATOSI'!N24,'1.11 KATOSI-MUKONO-24hr'!N24,'2.11 KATOSI-MUKONO 24hr'!N24,'4.11 MUKONO-KATOSI'!N24)</f>
        <v>0</v>
      </c>
      <c r="O24" s="15">
        <f t="shared" si="0"/>
        <v>41.285714285714278</v>
      </c>
      <c r="P24" s="15">
        <f t="shared" si="1"/>
        <v>143.71428571428572</v>
      </c>
      <c r="R24" s="1" t="s">
        <v>148</v>
      </c>
      <c r="S24" s="34">
        <f>SUM(C66:C69)</f>
        <v>46</v>
      </c>
      <c r="T24" s="34">
        <f t="shared" ref="T24:AF24" si="16">SUM(D66:D69)</f>
        <v>7.5</v>
      </c>
      <c r="U24" s="34">
        <f t="shared" si="16"/>
        <v>8.5</v>
      </c>
      <c r="V24" s="34">
        <f t="shared" si="16"/>
        <v>26</v>
      </c>
      <c r="W24" s="34">
        <f t="shared" si="16"/>
        <v>2</v>
      </c>
      <c r="X24" s="34">
        <f t="shared" si="16"/>
        <v>0</v>
      </c>
      <c r="Y24" s="34">
        <f t="shared" si="16"/>
        <v>7.5</v>
      </c>
      <c r="Z24" s="34">
        <f t="shared" si="16"/>
        <v>1.5</v>
      </c>
      <c r="AA24" s="34">
        <f t="shared" si="16"/>
        <v>1</v>
      </c>
      <c r="AB24" s="34">
        <f t="shared" si="16"/>
        <v>0</v>
      </c>
      <c r="AC24" s="34">
        <f t="shared" si="16"/>
        <v>314.5</v>
      </c>
      <c r="AD24" s="34">
        <f t="shared" si="16"/>
        <v>0</v>
      </c>
      <c r="AE24" s="31">
        <f t="shared" si="16"/>
        <v>100</v>
      </c>
      <c r="AF24" s="31">
        <f t="shared" si="16"/>
        <v>414.5</v>
      </c>
    </row>
    <row r="25" spans="2:32" ht="23.1" customHeight="1" x14ac:dyDescent="0.25">
      <c r="B25" s="23" t="s">
        <v>52</v>
      </c>
      <c r="C25" s="49">
        <f>AVERAGE('29.10-MUKONO-KATOSI'!C25,'30.10 KATOSI-MUKONO'!C25,'31.10 MUKONO-KATOSI'!C25,'3.11 MUKONO-KATOSI'!C25,'1.11 KATOSI-MUKONO-24hr'!C25,'2.11 KATOSI-MUKONO 24hr'!C25,'4.11 MUKONO-KATOSI'!C25)</f>
        <v>9.8571428571428577</v>
      </c>
      <c r="D25" s="49">
        <f>AVERAGE('29.10-MUKONO-KATOSI'!D25,'30.10 KATOSI-MUKONO'!D25,'31.10 MUKONO-KATOSI'!D25,'3.11 MUKONO-KATOSI'!D25,'1.11 KATOSI-MUKONO-24hr'!D25,'2.11 KATOSI-MUKONO 24hr'!D25,'4.11 MUKONO-KATOSI'!D25)</f>
        <v>6</v>
      </c>
      <c r="E25" s="49">
        <f>AVERAGE('29.10-MUKONO-KATOSI'!E25,'30.10 KATOSI-MUKONO'!E25,'31.10 MUKONO-KATOSI'!E25,'3.11 MUKONO-KATOSI'!E25,'1.11 KATOSI-MUKONO-24hr'!E25,'2.11 KATOSI-MUKONO 24hr'!E25,'4.11 MUKONO-KATOSI'!E25)</f>
        <v>3.2857142857142856</v>
      </c>
      <c r="F25" s="49">
        <f>AVERAGE('29.10-MUKONO-KATOSI'!F25,'30.10 KATOSI-MUKONO'!F25,'31.10 MUKONO-KATOSI'!F25,'3.11 MUKONO-KATOSI'!F25,'1.11 KATOSI-MUKONO-24hr'!F25,'2.11 KATOSI-MUKONO 24hr'!F25,'4.11 MUKONO-KATOSI'!F25)</f>
        <v>6.8571428571428568</v>
      </c>
      <c r="G25" s="49">
        <f>AVERAGE('29.10-MUKONO-KATOSI'!G25,'30.10 KATOSI-MUKONO'!G25,'31.10 MUKONO-KATOSI'!G25,'3.11 MUKONO-KATOSI'!G25,'1.11 KATOSI-MUKONO-24hr'!G25,'2.11 KATOSI-MUKONO 24hr'!G25,'4.11 MUKONO-KATOSI'!G25)</f>
        <v>0.5714285714285714</v>
      </c>
      <c r="H25" s="49">
        <f>AVERAGE('29.10-MUKONO-KATOSI'!H25,'30.10 KATOSI-MUKONO'!H25,'31.10 MUKONO-KATOSI'!H25,'3.11 MUKONO-KATOSI'!H25,'1.11 KATOSI-MUKONO-24hr'!H25,'2.11 KATOSI-MUKONO 24hr'!H25,'4.11 MUKONO-KATOSI'!H25)</f>
        <v>0</v>
      </c>
      <c r="I25" s="49">
        <f>AVERAGE('29.10-MUKONO-KATOSI'!I25,'30.10 KATOSI-MUKONO'!I25,'31.10 MUKONO-KATOSI'!I25,'3.11 MUKONO-KATOSI'!I25,'1.11 KATOSI-MUKONO-24hr'!I25,'2.11 KATOSI-MUKONO 24hr'!I25,'4.11 MUKONO-KATOSI'!I25)</f>
        <v>6.7142857142857144</v>
      </c>
      <c r="J25" s="49">
        <f>AVERAGE('29.10-MUKONO-KATOSI'!J25,'30.10 KATOSI-MUKONO'!J25,'31.10 MUKONO-KATOSI'!J25,'3.11 MUKONO-KATOSI'!J25,'1.11 KATOSI-MUKONO-24hr'!J25,'2.11 KATOSI-MUKONO 24hr'!J25,'4.11 MUKONO-KATOSI'!J25)</f>
        <v>1.8571428571428572</v>
      </c>
      <c r="K25" s="49">
        <f>AVERAGE('29.10-MUKONO-KATOSI'!K25,'30.10 KATOSI-MUKONO'!K25,'31.10 MUKONO-KATOSI'!K25,'3.11 MUKONO-KATOSI'!K25,'1.11 KATOSI-MUKONO-24hr'!K25,'2.11 KATOSI-MUKONO 24hr'!K25,'4.11 MUKONO-KATOSI'!K25)</f>
        <v>0.42857142857142855</v>
      </c>
      <c r="L25" s="49">
        <f>AVERAGE('29.10-MUKONO-KATOSI'!L25,'30.10 KATOSI-MUKONO'!L25,'31.10 MUKONO-KATOSI'!L25,'3.11 MUKONO-KATOSI'!L25,'1.11 KATOSI-MUKONO-24hr'!L25,'2.11 KATOSI-MUKONO 24hr'!L25,'4.11 MUKONO-KATOSI'!L25)</f>
        <v>0.42857142857142855</v>
      </c>
      <c r="M25" s="49">
        <f>AVERAGE('29.10-MUKONO-KATOSI'!M25,'30.10 KATOSI-MUKONO'!M25,'31.10 MUKONO-KATOSI'!M25,'3.11 MUKONO-KATOSI'!M25,'1.11 KATOSI-MUKONO-24hr'!M25,'2.11 KATOSI-MUKONO 24hr'!M25,'4.11 MUKONO-KATOSI'!M25)</f>
        <v>91.571428571428569</v>
      </c>
      <c r="N25" s="49">
        <f>AVERAGE('29.10-MUKONO-KATOSI'!N25,'30.10 KATOSI-MUKONO'!N25,'31.10 MUKONO-KATOSI'!N25,'3.11 MUKONO-KATOSI'!N25,'1.11 KATOSI-MUKONO-24hr'!N25,'2.11 KATOSI-MUKONO 24hr'!N25,'4.11 MUKONO-KATOSI'!N25)</f>
        <v>0</v>
      </c>
      <c r="O25" s="15">
        <f t="shared" si="0"/>
        <v>36</v>
      </c>
      <c r="P25" s="15">
        <f t="shared" si="1"/>
        <v>127.57142857142857</v>
      </c>
      <c r="R25" s="1" t="s">
        <v>149</v>
      </c>
      <c r="S25" s="34">
        <f>SUM(C70:C73)</f>
        <v>32</v>
      </c>
      <c r="T25" s="34">
        <f t="shared" ref="T25:AF25" si="17">SUM(D70:D73)</f>
        <v>5.5</v>
      </c>
      <c r="U25" s="34">
        <f t="shared" si="17"/>
        <v>5</v>
      </c>
      <c r="V25" s="34">
        <f t="shared" si="17"/>
        <v>20.5</v>
      </c>
      <c r="W25" s="34">
        <f t="shared" si="17"/>
        <v>0.5</v>
      </c>
      <c r="X25" s="34">
        <f t="shared" si="17"/>
        <v>1</v>
      </c>
      <c r="Y25" s="34">
        <f t="shared" si="17"/>
        <v>6</v>
      </c>
      <c r="Z25" s="34">
        <f t="shared" si="17"/>
        <v>1</v>
      </c>
      <c r="AA25" s="34">
        <f t="shared" si="17"/>
        <v>0.5</v>
      </c>
      <c r="AB25" s="34">
        <f t="shared" si="17"/>
        <v>0</v>
      </c>
      <c r="AC25" s="34">
        <f t="shared" si="17"/>
        <v>227.5</v>
      </c>
      <c r="AD25" s="34">
        <f t="shared" si="17"/>
        <v>0</v>
      </c>
      <c r="AE25" s="31">
        <f t="shared" si="17"/>
        <v>72</v>
      </c>
      <c r="AF25" s="31">
        <f t="shared" si="17"/>
        <v>299.5</v>
      </c>
    </row>
    <row r="26" spans="2:32" ht="23.1" customHeight="1" x14ac:dyDescent="0.25">
      <c r="B26" s="23" t="s">
        <v>53</v>
      </c>
      <c r="C26" s="49">
        <f>AVERAGE('29.10-MUKONO-KATOSI'!C26,'30.10 KATOSI-MUKONO'!C26,'31.10 MUKONO-KATOSI'!C26,'3.11 MUKONO-KATOSI'!C26,'1.11 KATOSI-MUKONO-24hr'!C26,'2.11 KATOSI-MUKONO 24hr'!C26,'4.11 MUKONO-KATOSI'!C26)</f>
        <v>8.4285714285714288</v>
      </c>
      <c r="D26" s="49">
        <f>AVERAGE('29.10-MUKONO-KATOSI'!D26,'30.10 KATOSI-MUKONO'!D26,'31.10 MUKONO-KATOSI'!D26,'3.11 MUKONO-KATOSI'!D26,'1.11 KATOSI-MUKONO-24hr'!D26,'2.11 KATOSI-MUKONO 24hr'!D26,'4.11 MUKONO-KATOSI'!D26)</f>
        <v>5.7142857142857144</v>
      </c>
      <c r="E26" s="49">
        <f>AVERAGE('29.10-MUKONO-KATOSI'!E26,'30.10 KATOSI-MUKONO'!E26,'31.10 MUKONO-KATOSI'!E26,'3.11 MUKONO-KATOSI'!E26,'1.11 KATOSI-MUKONO-24hr'!E26,'2.11 KATOSI-MUKONO 24hr'!E26,'4.11 MUKONO-KATOSI'!E26)</f>
        <v>3.2857142857142856</v>
      </c>
      <c r="F26" s="49">
        <f>AVERAGE('29.10-MUKONO-KATOSI'!F26,'30.10 KATOSI-MUKONO'!F26,'31.10 MUKONO-KATOSI'!F26,'3.11 MUKONO-KATOSI'!F26,'1.11 KATOSI-MUKONO-24hr'!F26,'2.11 KATOSI-MUKONO 24hr'!F26,'4.11 MUKONO-KATOSI'!F26)</f>
        <v>7.5714285714285712</v>
      </c>
      <c r="G26" s="49">
        <f>AVERAGE('29.10-MUKONO-KATOSI'!G26,'30.10 KATOSI-MUKONO'!G26,'31.10 MUKONO-KATOSI'!G26,'3.11 MUKONO-KATOSI'!G26,'1.11 KATOSI-MUKONO-24hr'!G26,'2.11 KATOSI-MUKONO 24hr'!G26,'4.11 MUKONO-KATOSI'!G26)</f>
        <v>0.42857142857142855</v>
      </c>
      <c r="H26" s="49">
        <f>AVERAGE('29.10-MUKONO-KATOSI'!H26,'30.10 KATOSI-MUKONO'!H26,'31.10 MUKONO-KATOSI'!H26,'3.11 MUKONO-KATOSI'!H26,'1.11 KATOSI-MUKONO-24hr'!H26,'2.11 KATOSI-MUKONO 24hr'!H26,'4.11 MUKONO-KATOSI'!H26)</f>
        <v>0</v>
      </c>
      <c r="I26" s="49">
        <f>AVERAGE('29.10-MUKONO-KATOSI'!I26,'30.10 KATOSI-MUKONO'!I26,'31.10 MUKONO-KATOSI'!I26,'3.11 MUKONO-KATOSI'!I26,'1.11 KATOSI-MUKONO-24hr'!I26,'2.11 KATOSI-MUKONO 24hr'!I26,'4.11 MUKONO-KATOSI'!I26)</f>
        <v>7.1428571428571432</v>
      </c>
      <c r="J26" s="49">
        <f>AVERAGE('29.10-MUKONO-KATOSI'!J26,'30.10 KATOSI-MUKONO'!J26,'31.10 MUKONO-KATOSI'!J26,'3.11 MUKONO-KATOSI'!J26,'1.11 KATOSI-MUKONO-24hr'!J26,'2.11 KATOSI-MUKONO 24hr'!J26,'4.11 MUKONO-KATOSI'!J26)</f>
        <v>1.4285714285714286</v>
      </c>
      <c r="K26" s="49">
        <f>AVERAGE('29.10-MUKONO-KATOSI'!K26,'30.10 KATOSI-MUKONO'!K26,'31.10 MUKONO-KATOSI'!K26,'3.11 MUKONO-KATOSI'!K26,'1.11 KATOSI-MUKONO-24hr'!K26,'2.11 KATOSI-MUKONO 24hr'!K26,'4.11 MUKONO-KATOSI'!K26)</f>
        <v>1</v>
      </c>
      <c r="L26" s="49">
        <f>AVERAGE('29.10-MUKONO-KATOSI'!L26,'30.10 KATOSI-MUKONO'!L26,'31.10 MUKONO-KATOSI'!L26,'3.11 MUKONO-KATOSI'!L26,'1.11 KATOSI-MUKONO-24hr'!L26,'2.11 KATOSI-MUKONO 24hr'!L26,'4.11 MUKONO-KATOSI'!L26)</f>
        <v>0.5714285714285714</v>
      </c>
      <c r="M26" s="49">
        <f>AVERAGE('29.10-MUKONO-KATOSI'!M26,'30.10 KATOSI-MUKONO'!M26,'31.10 MUKONO-KATOSI'!M26,'3.11 MUKONO-KATOSI'!M26,'1.11 KATOSI-MUKONO-24hr'!M26,'2.11 KATOSI-MUKONO 24hr'!M26,'4.11 MUKONO-KATOSI'!M26)</f>
        <v>91</v>
      </c>
      <c r="N26" s="49">
        <f>AVERAGE('29.10-MUKONO-KATOSI'!N26,'30.10 KATOSI-MUKONO'!N26,'31.10 MUKONO-KATOSI'!N26,'3.11 MUKONO-KATOSI'!N26,'1.11 KATOSI-MUKONO-24hr'!N26,'2.11 KATOSI-MUKONO 24hr'!N26,'4.11 MUKONO-KATOSI'!N26)</f>
        <v>0.14285714285714285</v>
      </c>
      <c r="O26" s="15">
        <f t="shared" si="0"/>
        <v>35.714285714285715</v>
      </c>
      <c r="P26" s="15">
        <f t="shared" si="1"/>
        <v>126.71428571428571</v>
      </c>
      <c r="R26" s="1" t="s">
        <v>150</v>
      </c>
      <c r="S26" s="34">
        <f>SUM(C74:C77)</f>
        <v>35.5</v>
      </c>
      <c r="T26" s="34">
        <f t="shared" ref="T26:AF26" si="18">SUM(D74:D77)</f>
        <v>3.5</v>
      </c>
      <c r="U26" s="34">
        <f t="shared" si="18"/>
        <v>9</v>
      </c>
      <c r="V26" s="34">
        <f t="shared" si="18"/>
        <v>14.5</v>
      </c>
      <c r="W26" s="34">
        <f t="shared" si="18"/>
        <v>0</v>
      </c>
      <c r="X26" s="34">
        <f t="shared" si="18"/>
        <v>0</v>
      </c>
      <c r="Y26" s="34">
        <f t="shared" si="18"/>
        <v>6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175.5</v>
      </c>
      <c r="AD26" s="34">
        <f t="shared" si="18"/>
        <v>0</v>
      </c>
      <c r="AE26" s="31">
        <f t="shared" si="18"/>
        <v>71.5</v>
      </c>
      <c r="AF26" s="31">
        <f t="shared" si="18"/>
        <v>247</v>
      </c>
    </row>
    <row r="27" spans="2:32" ht="23.1" customHeight="1" x14ac:dyDescent="0.25">
      <c r="B27" s="23" t="s">
        <v>54</v>
      </c>
      <c r="C27" s="49">
        <f>AVERAGE('29.10-MUKONO-KATOSI'!C27,'30.10 KATOSI-MUKONO'!C27,'31.10 MUKONO-KATOSI'!C27,'3.11 MUKONO-KATOSI'!C27,'1.11 KATOSI-MUKONO-24hr'!C27,'2.11 KATOSI-MUKONO 24hr'!C27,'4.11 MUKONO-KATOSI'!C27)</f>
        <v>16.428571428571427</v>
      </c>
      <c r="D27" s="49">
        <f>AVERAGE('29.10-MUKONO-KATOSI'!D27,'30.10 KATOSI-MUKONO'!D27,'31.10 MUKONO-KATOSI'!D27,'3.11 MUKONO-KATOSI'!D27,'1.11 KATOSI-MUKONO-24hr'!D27,'2.11 KATOSI-MUKONO 24hr'!D27,'4.11 MUKONO-KATOSI'!D27)</f>
        <v>5.5714285714285712</v>
      </c>
      <c r="E27" s="49">
        <f>AVERAGE('29.10-MUKONO-KATOSI'!E27,'30.10 KATOSI-MUKONO'!E27,'31.10 MUKONO-KATOSI'!E27,'3.11 MUKONO-KATOSI'!E27,'1.11 KATOSI-MUKONO-24hr'!E27,'2.11 KATOSI-MUKONO 24hr'!E27,'4.11 MUKONO-KATOSI'!E27)</f>
        <v>5</v>
      </c>
      <c r="F27" s="49">
        <f>AVERAGE('29.10-MUKONO-KATOSI'!F27,'30.10 KATOSI-MUKONO'!F27,'31.10 MUKONO-KATOSI'!F27,'3.11 MUKONO-KATOSI'!F27,'1.11 KATOSI-MUKONO-24hr'!F27,'2.11 KATOSI-MUKONO 24hr'!F27,'4.11 MUKONO-KATOSI'!F27)</f>
        <v>8.5714285714285712</v>
      </c>
      <c r="G27" s="49">
        <f>AVERAGE('29.10-MUKONO-KATOSI'!G27,'30.10 KATOSI-MUKONO'!G27,'31.10 MUKONO-KATOSI'!G27,'3.11 MUKONO-KATOSI'!G27,'1.11 KATOSI-MUKONO-24hr'!G27,'2.11 KATOSI-MUKONO 24hr'!G27,'4.11 MUKONO-KATOSI'!G27)</f>
        <v>0.5714285714285714</v>
      </c>
      <c r="H27" s="49">
        <f>AVERAGE('29.10-MUKONO-KATOSI'!H27,'30.10 KATOSI-MUKONO'!H27,'31.10 MUKONO-KATOSI'!H27,'3.11 MUKONO-KATOSI'!H27,'1.11 KATOSI-MUKONO-24hr'!H27,'2.11 KATOSI-MUKONO 24hr'!H27,'4.11 MUKONO-KATOSI'!H27)</f>
        <v>0</v>
      </c>
      <c r="I27" s="49">
        <f>AVERAGE('29.10-MUKONO-KATOSI'!I27,'30.10 KATOSI-MUKONO'!I27,'31.10 MUKONO-KATOSI'!I27,'3.11 MUKONO-KATOSI'!I27,'1.11 KATOSI-MUKONO-24hr'!I27,'2.11 KATOSI-MUKONO 24hr'!I27,'4.11 MUKONO-KATOSI'!I27)</f>
        <v>7.8571428571428568</v>
      </c>
      <c r="J27" s="49">
        <f>AVERAGE('29.10-MUKONO-KATOSI'!J27,'30.10 KATOSI-MUKONO'!J27,'31.10 MUKONO-KATOSI'!J27,'3.11 MUKONO-KATOSI'!J27,'1.11 KATOSI-MUKONO-24hr'!J27,'2.11 KATOSI-MUKONO 24hr'!J27,'4.11 MUKONO-KATOSI'!J27)</f>
        <v>1.4285714285714286</v>
      </c>
      <c r="K27" s="49">
        <f>AVERAGE('29.10-MUKONO-KATOSI'!K27,'30.10 KATOSI-MUKONO'!K27,'31.10 MUKONO-KATOSI'!K27,'3.11 MUKONO-KATOSI'!K27,'1.11 KATOSI-MUKONO-24hr'!K27,'2.11 KATOSI-MUKONO 24hr'!K27,'4.11 MUKONO-KATOSI'!K27)</f>
        <v>0.14285714285714285</v>
      </c>
      <c r="L27" s="49">
        <f>AVERAGE('29.10-MUKONO-KATOSI'!L27,'30.10 KATOSI-MUKONO'!L27,'31.10 MUKONO-KATOSI'!L27,'3.11 MUKONO-KATOSI'!L27,'1.11 KATOSI-MUKONO-24hr'!L27,'2.11 KATOSI-MUKONO 24hr'!L27,'4.11 MUKONO-KATOSI'!L27)</f>
        <v>0.5714285714285714</v>
      </c>
      <c r="M27" s="49">
        <f>AVERAGE('29.10-MUKONO-KATOSI'!M27,'30.10 KATOSI-MUKONO'!M27,'31.10 MUKONO-KATOSI'!M27,'3.11 MUKONO-KATOSI'!M27,'1.11 KATOSI-MUKONO-24hr'!M27,'2.11 KATOSI-MUKONO 24hr'!M27,'4.11 MUKONO-KATOSI'!M27)</f>
        <v>92.857142857142861</v>
      </c>
      <c r="N27" s="49">
        <f>AVERAGE('29.10-MUKONO-KATOSI'!N27,'30.10 KATOSI-MUKONO'!N27,'31.10 MUKONO-KATOSI'!N27,'3.11 MUKONO-KATOSI'!N27,'1.11 KATOSI-MUKONO-24hr'!N27,'2.11 KATOSI-MUKONO 24hr'!N27,'4.11 MUKONO-KATOSI'!N27)</f>
        <v>0</v>
      </c>
      <c r="O27" s="15">
        <f t="shared" si="0"/>
        <v>46.142857142857139</v>
      </c>
      <c r="P27" s="15">
        <f t="shared" si="1"/>
        <v>139</v>
      </c>
      <c r="R27" s="1" t="s">
        <v>151</v>
      </c>
      <c r="S27" s="34">
        <f>SUM(C78:C81)</f>
        <v>19.5</v>
      </c>
      <c r="T27" s="34">
        <f t="shared" ref="T27:AF27" si="19">SUM(D78:D81)</f>
        <v>4.5</v>
      </c>
      <c r="U27" s="34">
        <f t="shared" si="19"/>
        <v>3</v>
      </c>
      <c r="V27" s="34">
        <f t="shared" si="19"/>
        <v>14</v>
      </c>
      <c r="W27" s="34">
        <f t="shared" si="19"/>
        <v>1</v>
      </c>
      <c r="X27" s="34">
        <f t="shared" si="19"/>
        <v>0</v>
      </c>
      <c r="Y27" s="34">
        <f t="shared" si="19"/>
        <v>5</v>
      </c>
      <c r="Z27" s="34">
        <f t="shared" si="19"/>
        <v>4</v>
      </c>
      <c r="AA27" s="34">
        <f t="shared" si="19"/>
        <v>0.5</v>
      </c>
      <c r="AB27" s="34">
        <f t="shared" si="19"/>
        <v>0</v>
      </c>
      <c r="AC27" s="34">
        <f t="shared" si="19"/>
        <v>71.5</v>
      </c>
      <c r="AD27" s="34">
        <f t="shared" si="19"/>
        <v>0</v>
      </c>
      <c r="AE27" s="31">
        <f t="shared" si="19"/>
        <v>51.5</v>
      </c>
      <c r="AF27" s="31">
        <f t="shared" si="19"/>
        <v>123</v>
      </c>
    </row>
    <row r="28" spans="2:32" ht="23.1" customHeight="1" x14ac:dyDescent="0.25">
      <c r="B28" s="23" t="s">
        <v>55</v>
      </c>
      <c r="C28" s="49">
        <f>AVERAGE('29.10-MUKONO-KATOSI'!C28,'30.10 KATOSI-MUKONO'!C28,'31.10 MUKONO-KATOSI'!C28,'3.11 MUKONO-KATOSI'!C28,'1.11 KATOSI-MUKONO-24hr'!C28,'2.11 KATOSI-MUKONO 24hr'!C28,'4.11 MUKONO-KATOSI'!C28)</f>
        <v>11.571428571428571</v>
      </c>
      <c r="D28" s="49">
        <f>AVERAGE('29.10-MUKONO-KATOSI'!D28,'30.10 KATOSI-MUKONO'!D28,'31.10 MUKONO-KATOSI'!D28,'3.11 MUKONO-KATOSI'!D28,'1.11 KATOSI-MUKONO-24hr'!D28,'2.11 KATOSI-MUKONO 24hr'!D28,'4.11 MUKONO-KATOSI'!D28)</f>
        <v>7.5714285714285712</v>
      </c>
      <c r="E28" s="49">
        <f>AVERAGE('29.10-MUKONO-KATOSI'!E28,'30.10 KATOSI-MUKONO'!E28,'31.10 MUKONO-KATOSI'!E28,'3.11 MUKONO-KATOSI'!E28,'1.11 KATOSI-MUKONO-24hr'!E28,'2.11 KATOSI-MUKONO 24hr'!E28,'4.11 MUKONO-KATOSI'!E28)</f>
        <v>2</v>
      </c>
      <c r="F28" s="49">
        <f>AVERAGE('29.10-MUKONO-KATOSI'!F28,'30.10 KATOSI-MUKONO'!F28,'31.10 MUKONO-KATOSI'!F28,'3.11 MUKONO-KATOSI'!F28,'1.11 KATOSI-MUKONO-24hr'!F28,'2.11 KATOSI-MUKONO 24hr'!F28,'4.11 MUKONO-KATOSI'!F28)</f>
        <v>6.4285714285714288</v>
      </c>
      <c r="G28" s="49">
        <f>AVERAGE('29.10-MUKONO-KATOSI'!G28,'30.10 KATOSI-MUKONO'!G28,'31.10 MUKONO-KATOSI'!G28,'3.11 MUKONO-KATOSI'!G28,'1.11 KATOSI-MUKONO-24hr'!G28,'2.11 KATOSI-MUKONO 24hr'!G28,'4.11 MUKONO-KATOSI'!G28)</f>
        <v>0.14285714285714285</v>
      </c>
      <c r="H28" s="49">
        <f>AVERAGE('29.10-MUKONO-KATOSI'!H28,'30.10 KATOSI-MUKONO'!H28,'31.10 MUKONO-KATOSI'!H28,'3.11 MUKONO-KATOSI'!H28,'1.11 KATOSI-MUKONO-24hr'!H28,'2.11 KATOSI-MUKONO 24hr'!H28,'4.11 MUKONO-KATOSI'!H28)</f>
        <v>0</v>
      </c>
      <c r="I28" s="49">
        <f>AVERAGE('29.10-MUKONO-KATOSI'!I28,'30.10 KATOSI-MUKONO'!I28,'31.10 MUKONO-KATOSI'!I28,'3.11 MUKONO-KATOSI'!I28,'1.11 KATOSI-MUKONO-24hr'!I28,'2.11 KATOSI-MUKONO 24hr'!I28,'4.11 MUKONO-KATOSI'!I28)</f>
        <v>6.7142857142857144</v>
      </c>
      <c r="J28" s="49">
        <f>AVERAGE('29.10-MUKONO-KATOSI'!J28,'30.10 KATOSI-MUKONO'!J28,'31.10 MUKONO-KATOSI'!J28,'3.11 MUKONO-KATOSI'!J28,'1.11 KATOSI-MUKONO-24hr'!J28,'2.11 KATOSI-MUKONO 24hr'!J28,'4.11 MUKONO-KATOSI'!J28)</f>
        <v>1.4285714285714286</v>
      </c>
      <c r="K28" s="49">
        <f>AVERAGE('29.10-MUKONO-KATOSI'!K28,'30.10 KATOSI-MUKONO'!K28,'31.10 MUKONO-KATOSI'!K28,'3.11 MUKONO-KATOSI'!K28,'1.11 KATOSI-MUKONO-24hr'!K28,'2.11 KATOSI-MUKONO 24hr'!K28,'4.11 MUKONO-KATOSI'!K28)</f>
        <v>0.2857142857142857</v>
      </c>
      <c r="L28" s="49">
        <f>AVERAGE('29.10-MUKONO-KATOSI'!L28,'30.10 KATOSI-MUKONO'!L28,'31.10 MUKONO-KATOSI'!L28,'3.11 MUKONO-KATOSI'!L28,'1.11 KATOSI-MUKONO-24hr'!L28,'2.11 KATOSI-MUKONO 24hr'!L28,'4.11 MUKONO-KATOSI'!L28)</f>
        <v>11.714285714285714</v>
      </c>
      <c r="M28" s="49">
        <f>AVERAGE('29.10-MUKONO-KATOSI'!M28,'30.10 KATOSI-MUKONO'!M28,'31.10 MUKONO-KATOSI'!M28,'3.11 MUKONO-KATOSI'!M28,'1.11 KATOSI-MUKONO-24hr'!M28,'2.11 KATOSI-MUKONO 24hr'!M28,'4.11 MUKONO-KATOSI'!M28)</f>
        <v>99.857142857142861</v>
      </c>
      <c r="N28" s="49">
        <f>AVERAGE('29.10-MUKONO-KATOSI'!N28,'30.10 KATOSI-MUKONO'!N28,'31.10 MUKONO-KATOSI'!N28,'3.11 MUKONO-KATOSI'!N28,'1.11 KATOSI-MUKONO-24hr'!N28,'2.11 KATOSI-MUKONO 24hr'!N28,'4.11 MUKONO-KATOSI'!N28)</f>
        <v>0</v>
      </c>
      <c r="O28" s="15">
        <f t="shared" si="0"/>
        <v>47.857142857142854</v>
      </c>
      <c r="P28" s="15">
        <f t="shared" si="1"/>
        <v>147.71428571428572</v>
      </c>
      <c r="R28" s="1" t="s">
        <v>152</v>
      </c>
      <c r="S28" s="34">
        <f>SUM(C82:C85)</f>
        <v>21.5</v>
      </c>
      <c r="T28" s="34">
        <f t="shared" ref="T28:AF28" si="20">SUM(D82:D85)</f>
        <v>1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1.5</v>
      </c>
      <c r="AA28" s="34">
        <f t="shared" si="20"/>
        <v>0.5</v>
      </c>
      <c r="AB28" s="34">
        <f t="shared" si="20"/>
        <v>0</v>
      </c>
      <c r="AC28" s="34">
        <f t="shared" si="20"/>
        <v>35.5</v>
      </c>
      <c r="AD28" s="34">
        <f t="shared" si="20"/>
        <v>0</v>
      </c>
      <c r="AE28" s="31">
        <f t="shared" si="20"/>
        <v>31.5</v>
      </c>
      <c r="AF28" s="31">
        <f t="shared" si="20"/>
        <v>67</v>
      </c>
    </row>
    <row r="29" spans="2:32" ht="23.1" customHeight="1" x14ac:dyDescent="0.25">
      <c r="B29" s="23" t="s">
        <v>56</v>
      </c>
      <c r="C29" s="49">
        <f>AVERAGE('29.10-MUKONO-KATOSI'!C29,'30.10 KATOSI-MUKONO'!C29,'31.10 MUKONO-KATOSI'!C29,'3.11 MUKONO-KATOSI'!C29,'1.11 KATOSI-MUKONO-24hr'!C29,'2.11 KATOSI-MUKONO 24hr'!C29,'4.11 MUKONO-KATOSI'!C29)</f>
        <v>12.714285714285714</v>
      </c>
      <c r="D29" s="49">
        <f>AVERAGE('29.10-MUKONO-KATOSI'!D29,'30.10 KATOSI-MUKONO'!D29,'31.10 MUKONO-KATOSI'!D29,'3.11 MUKONO-KATOSI'!D29,'1.11 KATOSI-MUKONO-24hr'!D29,'2.11 KATOSI-MUKONO 24hr'!D29,'4.11 MUKONO-KATOSI'!D29)</f>
        <v>7.5714285714285712</v>
      </c>
      <c r="E29" s="49">
        <f>AVERAGE('29.10-MUKONO-KATOSI'!E29,'30.10 KATOSI-MUKONO'!E29,'31.10 MUKONO-KATOSI'!E29,'3.11 MUKONO-KATOSI'!E29,'1.11 KATOSI-MUKONO-24hr'!E29,'2.11 KATOSI-MUKONO 24hr'!E29,'4.11 MUKONO-KATOSI'!E29)</f>
        <v>4.2857142857142856</v>
      </c>
      <c r="F29" s="49">
        <f>AVERAGE('29.10-MUKONO-KATOSI'!F29,'30.10 KATOSI-MUKONO'!F29,'31.10 MUKONO-KATOSI'!F29,'3.11 MUKONO-KATOSI'!F29,'1.11 KATOSI-MUKONO-24hr'!F29,'2.11 KATOSI-MUKONO 24hr'!F29,'4.11 MUKONO-KATOSI'!F29)</f>
        <v>8.4285714285714288</v>
      </c>
      <c r="G29" s="49">
        <f>AVERAGE('29.10-MUKONO-KATOSI'!G29,'30.10 KATOSI-MUKONO'!G29,'31.10 MUKONO-KATOSI'!G29,'3.11 MUKONO-KATOSI'!G29,'1.11 KATOSI-MUKONO-24hr'!G29,'2.11 KATOSI-MUKONO 24hr'!G29,'4.11 MUKONO-KATOSI'!G29)</f>
        <v>0.42857142857142855</v>
      </c>
      <c r="H29" s="49">
        <f>AVERAGE('29.10-MUKONO-KATOSI'!H29,'30.10 KATOSI-MUKONO'!H29,'31.10 MUKONO-KATOSI'!H29,'3.11 MUKONO-KATOSI'!H29,'1.11 KATOSI-MUKONO-24hr'!H29,'2.11 KATOSI-MUKONO 24hr'!H29,'4.11 MUKONO-KATOSI'!H29)</f>
        <v>0</v>
      </c>
      <c r="I29" s="49">
        <f>AVERAGE('29.10-MUKONO-KATOSI'!I29,'30.10 KATOSI-MUKONO'!I29,'31.10 MUKONO-KATOSI'!I29,'3.11 MUKONO-KATOSI'!I29,'1.11 KATOSI-MUKONO-24hr'!I29,'2.11 KATOSI-MUKONO 24hr'!I29,'4.11 MUKONO-KATOSI'!I29)</f>
        <v>7.4285714285714288</v>
      </c>
      <c r="J29" s="49">
        <f>AVERAGE('29.10-MUKONO-KATOSI'!J29,'30.10 KATOSI-MUKONO'!J29,'31.10 MUKONO-KATOSI'!J29,'3.11 MUKONO-KATOSI'!J29,'1.11 KATOSI-MUKONO-24hr'!J29,'2.11 KATOSI-MUKONO 24hr'!J29,'4.11 MUKONO-KATOSI'!J29)</f>
        <v>1.2857142857142858</v>
      </c>
      <c r="K29" s="49">
        <f>AVERAGE('29.10-MUKONO-KATOSI'!K29,'30.10 KATOSI-MUKONO'!K29,'31.10 MUKONO-KATOSI'!K29,'3.11 MUKONO-KATOSI'!K29,'1.11 KATOSI-MUKONO-24hr'!K29,'2.11 KATOSI-MUKONO 24hr'!K29,'4.11 MUKONO-KATOSI'!K29)</f>
        <v>1</v>
      </c>
      <c r="L29" s="49">
        <f>AVERAGE('29.10-MUKONO-KATOSI'!L29,'30.10 KATOSI-MUKONO'!L29,'31.10 MUKONO-KATOSI'!L29,'3.11 MUKONO-KATOSI'!L29,'1.11 KATOSI-MUKONO-24hr'!L29,'2.11 KATOSI-MUKONO 24hr'!L29,'4.11 MUKONO-KATOSI'!L29)</f>
        <v>0.42857142857142855</v>
      </c>
      <c r="M29" s="49">
        <f>AVERAGE('29.10-MUKONO-KATOSI'!M29,'30.10 KATOSI-MUKONO'!M29,'31.10 MUKONO-KATOSI'!M29,'3.11 MUKONO-KATOSI'!M29,'1.11 KATOSI-MUKONO-24hr'!M29,'2.11 KATOSI-MUKONO 24hr'!M29,'4.11 MUKONO-KATOSI'!M29)</f>
        <v>97</v>
      </c>
      <c r="N29" s="49">
        <f>AVERAGE('29.10-MUKONO-KATOSI'!N29,'30.10 KATOSI-MUKONO'!N29,'31.10 MUKONO-KATOSI'!N29,'3.11 MUKONO-KATOSI'!N29,'1.11 KATOSI-MUKONO-24hr'!N29,'2.11 KATOSI-MUKONO 24hr'!N29,'4.11 MUKONO-KATOSI'!N29)</f>
        <v>0</v>
      </c>
      <c r="O29" s="15">
        <f t="shared" si="0"/>
        <v>43.571428571428577</v>
      </c>
      <c r="P29" s="15">
        <f t="shared" si="1"/>
        <v>140.57142857142858</v>
      </c>
      <c r="R29" s="1" t="s">
        <v>153</v>
      </c>
      <c r="S29" s="34">
        <f>SUM(C86:C89)</f>
        <v>4.5</v>
      </c>
      <c r="T29" s="34">
        <f t="shared" ref="T29:AF29" si="21">SUM(D86:D89)</f>
        <v>3.5</v>
      </c>
      <c r="U29" s="34">
        <f t="shared" si="21"/>
        <v>0.5</v>
      </c>
      <c r="V29" s="34">
        <f t="shared" si="21"/>
        <v>3.5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1</v>
      </c>
      <c r="AA29" s="34">
        <f t="shared" si="21"/>
        <v>0</v>
      </c>
      <c r="AB29" s="34">
        <f t="shared" si="21"/>
        <v>1.5</v>
      </c>
      <c r="AC29" s="34">
        <f t="shared" si="21"/>
        <v>18</v>
      </c>
      <c r="AD29" s="34">
        <f t="shared" si="21"/>
        <v>0</v>
      </c>
      <c r="AE29" s="31">
        <f t="shared" si="21"/>
        <v>16</v>
      </c>
      <c r="AF29" s="31">
        <f t="shared" si="21"/>
        <v>34</v>
      </c>
    </row>
    <row r="30" spans="2:32" ht="23.1" customHeight="1" x14ac:dyDescent="0.25">
      <c r="B30" s="23" t="s">
        <v>57</v>
      </c>
      <c r="C30" s="49">
        <f>AVERAGE('29.10-MUKONO-KATOSI'!C30,'30.10 KATOSI-MUKONO'!C30,'31.10 MUKONO-KATOSI'!C30,'3.11 MUKONO-KATOSI'!C30,'1.11 KATOSI-MUKONO-24hr'!C30,'2.11 KATOSI-MUKONO 24hr'!C30,'4.11 MUKONO-KATOSI'!C30)</f>
        <v>13.571428571428571</v>
      </c>
      <c r="D30" s="49">
        <f>AVERAGE('29.10-MUKONO-KATOSI'!D30,'30.10 KATOSI-MUKONO'!D30,'31.10 MUKONO-KATOSI'!D30,'3.11 MUKONO-KATOSI'!D30,'1.11 KATOSI-MUKONO-24hr'!D30,'2.11 KATOSI-MUKONO 24hr'!D30,'4.11 MUKONO-KATOSI'!D30)</f>
        <v>10.428571428571429</v>
      </c>
      <c r="E30" s="49">
        <f>AVERAGE('29.10-MUKONO-KATOSI'!E30,'30.10 KATOSI-MUKONO'!E30,'31.10 MUKONO-KATOSI'!E30,'3.11 MUKONO-KATOSI'!E30,'1.11 KATOSI-MUKONO-24hr'!E30,'2.11 KATOSI-MUKONO 24hr'!E30,'4.11 MUKONO-KATOSI'!E30)</f>
        <v>4</v>
      </c>
      <c r="F30" s="49">
        <f>AVERAGE('29.10-MUKONO-KATOSI'!F30,'30.10 KATOSI-MUKONO'!F30,'31.10 MUKONO-KATOSI'!F30,'3.11 MUKONO-KATOSI'!F30,'1.11 KATOSI-MUKONO-24hr'!F30,'2.11 KATOSI-MUKONO 24hr'!F30,'4.11 MUKONO-KATOSI'!F30)</f>
        <v>6.7142857142857144</v>
      </c>
      <c r="G30" s="49">
        <f>AVERAGE('29.10-MUKONO-KATOSI'!G30,'30.10 KATOSI-MUKONO'!G30,'31.10 MUKONO-KATOSI'!G30,'3.11 MUKONO-KATOSI'!G30,'1.11 KATOSI-MUKONO-24hr'!G30,'2.11 KATOSI-MUKONO 24hr'!G30,'4.11 MUKONO-KATOSI'!G30)</f>
        <v>0</v>
      </c>
      <c r="H30" s="49">
        <f>AVERAGE('29.10-MUKONO-KATOSI'!H30,'30.10 KATOSI-MUKONO'!H30,'31.10 MUKONO-KATOSI'!H30,'3.11 MUKONO-KATOSI'!H30,'1.11 KATOSI-MUKONO-24hr'!H30,'2.11 KATOSI-MUKONO 24hr'!H30,'4.11 MUKONO-KATOSI'!H30)</f>
        <v>0.8571428571428571</v>
      </c>
      <c r="I30" s="49">
        <f>AVERAGE('29.10-MUKONO-KATOSI'!I30,'30.10 KATOSI-MUKONO'!I30,'31.10 MUKONO-KATOSI'!I30,'3.11 MUKONO-KATOSI'!I30,'1.11 KATOSI-MUKONO-24hr'!I30,'2.11 KATOSI-MUKONO 24hr'!I30,'4.11 MUKONO-KATOSI'!I30)</f>
        <v>6.5714285714285712</v>
      </c>
      <c r="J30" s="49">
        <f>AVERAGE('29.10-MUKONO-KATOSI'!J30,'30.10 KATOSI-MUKONO'!J30,'31.10 MUKONO-KATOSI'!J30,'3.11 MUKONO-KATOSI'!J30,'1.11 KATOSI-MUKONO-24hr'!J30,'2.11 KATOSI-MUKONO 24hr'!J30,'4.11 MUKONO-KATOSI'!J30)</f>
        <v>1.7142857142857142</v>
      </c>
      <c r="K30" s="49">
        <f>AVERAGE('29.10-MUKONO-KATOSI'!K30,'30.10 KATOSI-MUKONO'!K30,'31.10 MUKONO-KATOSI'!K30,'3.11 MUKONO-KATOSI'!K30,'1.11 KATOSI-MUKONO-24hr'!K30,'2.11 KATOSI-MUKONO 24hr'!K30,'4.11 MUKONO-KATOSI'!K30)</f>
        <v>0.7142857142857143</v>
      </c>
      <c r="L30" s="49">
        <f>AVERAGE('29.10-MUKONO-KATOSI'!L30,'30.10 KATOSI-MUKONO'!L30,'31.10 MUKONO-KATOSI'!L30,'3.11 MUKONO-KATOSI'!L30,'1.11 KATOSI-MUKONO-24hr'!L30,'2.11 KATOSI-MUKONO 24hr'!L30,'4.11 MUKONO-KATOSI'!L30)</f>
        <v>7.4285714285714288</v>
      </c>
      <c r="M30" s="49">
        <f>AVERAGE('29.10-MUKONO-KATOSI'!M30,'30.10 KATOSI-MUKONO'!M30,'31.10 MUKONO-KATOSI'!M30,'3.11 MUKONO-KATOSI'!M30,'1.11 KATOSI-MUKONO-24hr'!M30,'2.11 KATOSI-MUKONO 24hr'!M30,'4.11 MUKONO-KATOSI'!M30)</f>
        <v>86</v>
      </c>
      <c r="N30" s="49">
        <f>AVERAGE('29.10-MUKONO-KATOSI'!N30,'30.10 KATOSI-MUKONO'!N30,'31.10 MUKONO-KATOSI'!N30,'3.11 MUKONO-KATOSI'!N30,'1.11 KATOSI-MUKONO-24hr'!N30,'2.11 KATOSI-MUKONO 24hr'!N30,'4.11 MUKONO-KATOSI'!N30)</f>
        <v>0</v>
      </c>
      <c r="O30" s="15">
        <f t="shared" si="0"/>
        <v>52</v>
      </c>
      <c r="P30" s="15">
        <f t="shared" si="1"/>
        <v>138</v>
      </c>
      <c r="R30" s="1" t="s">
        <v>154</v>
      </c>
      <c r="S30" s="34">
        <f>SUM(C90:C93)</f>
        <v>1</v>
      </c>
      <c r="T30" s="34">
        <f t="shared" ref="T30:AF30" si="22">SUM(D90:D93)</f>
        <v>1.5</v>
      </c>
      <c r="U30" s="34">
        <f t="shared" si="22"/>
        <v>0.5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1</v>
      </c>
      <c r="AA30" s="34">
        <f t="shared" si="22"/>
        <v>1</v>
      </c>
      <c r="AB30" s="34">
        <f t="shared" si="22"/>
        <v>0</v>
      </c>
      <c r="AC30" s="34">
        <f t="shared" si="22"/>
        <v>15</v>
      </c>
      <c r="AD30" s="34">
        <f t="shared" si="22"/>
        <v>0</v>
      </c>
      <c r="AE30" s="31">
        <f t="shared" si="22"/>
        <v>7.5</v>
      </c>
      <c r="AF30" s="31">
        <f t="shared" si="22"/>
        <v>22.5</v>
      </c>
    </row>
    <row r="31" spans="2:32" ht="23.1" customHeight="1" x14ac:dyDescent="0.25">
      <c r="B31" s="24" t="s">
        <v>58</v>
      </c>
      <c r="C31" s="49">
        <f>AVERAGE('29.10-MUKONO-KATOSI'!C31,'30.10 KATOSI-MUKONO'!C31,'31.10 MUKONO-KATOSI'!C31,'3.11 MUKONO-KATOSI'!C31,'1.11 KATOSI-MUKONO-24hr'!C31,'2.11 KATOSI-MUKONO 24hr'!C31,'4.11 MUKONO-KATOSI'!C31)</f>
        <v>10.714285714285714</v>
      </c>
      <c r="D31" s="49">
        <f>AVERAGE('29.10-MUKONO-KATOSI'!D31,'30.10 KATOSI-MUKONO'!D31,'31.10 MUKONO-KATOSI'!D31,'3.11 MUKONO-KATOSI'!D31,'1.11 KATOSI-MUKONO-24hr'!D31,'2.11 KATOSI-MUKONO 24hr'!D31,'4.11 MUKONO-KATOSI'!D31)</f>
        <v>5.7142857142857144</v>
      </c>
      <c r="E31" s="49">
        <f>AVERAGE('29.10-MUKONO-KATOSI'!E31,'30.10 KATOSI-MUKONO'!E31,'31.10 MUKONO-KATOSI'!E31,'3.11 MUKONO-KATOSI'!E31,'1.11 KATOSI-MUKONO-24hr'!E31,'2.11 KATOSI-MUKONO 24hr'!E31,'4.11 MUKONO-KATOSI'!E31)</f>
        <v>2.4285714285714284</v>
      </c>
      <c r="F31" s="49">
        <f>AVERAGE('29.10-MUKONO-KATOSI'!F31,'30.10 KATOSI-MUKONO'!F31,'31.10 MUKONO-KATOSI'!F31,'3.11 MUKONO-KATOSI'!F31,'1.11 KATOSI-MUKONO-24hr'!F31,'2.11 KATOSI-MUKONO 24hr'!F31,'4.11 MUKONO-KATOSI'!F31)</f>
        <v>6.8571428571428568</v>
      </c>
      <c r="G31" s="49">
        <f>AVERAGE('29.10-MUKONO-KATOSI'!G31,'30.10 KATOSI-MUKONO'!G31,'31.10 MUKONO-KATOSI'!G31,'3.11 MUKONO-KATOSI'!G31,'1.11 KATOSI-MUKONO-24hr'!G31,'2.11 KATOSI-MUKONO 24hr'!G31,'4.11 MUKONO-KATOSI'!G31)</f>
        <v>0.7142857142857143</v>
      </c>
      <c r="H31" s="49">
        <f>AVERAGE('29.10-MUKONO-KATOSI'!H31,'30.10 KATOSI-MUKONO'!H31,'31.10 MUKONO-KATOSI'!H31,'3.11 MUKONO-KATOSI'!H31,'1.11 KATOSI-MUKONO-24hr'!H31,'2.11 KATOSI-MUKONO 24hr'!H31,'4.11 MUKONO-KATOSI'!H31)</f>
        <v>0</v>
      </c>
      <c r="I31" s="49">
        <f>AVERAGE('29.10-MUKONO-KATOSI'!I31,'30.10 KATOSI-MUKONO'!I31,'31.10 MUKONO-KATOSI'!I31,'3.11 MUKONO-KATOSI'!I31,'1.11 KATOSI-MUKONO-24hr'!I31,'2.11 KATOSI-MUKONO 24hr'!I31,'4.11 MUKONO-KATOSI'!I31)</f>
        <v>4</v>
      </c>
      <c r="J31" s="49">
        <f>AVERAGE('29.10-MUKONO-KATOSI'!J31,'30.10 KATOSI-MUKONO'!J31,'31.10 MUKONO-KATOSI'!J31,'3.11 MUKONO-KATOSI'!J31,'1.11 KATOSI-MUKONO-24hr'!J31,'2.11 KATOSI-MUKONO 24hr'!J31,'4.11 MUKONO-KATOSI'!J31)</f>
        <v>1.8571428571428572</v>
      </c>
      <c r="K31" s="49">
        <f>AVERAGE('29.10-MUKONO-KATOSI'!K31,'30.10 KATOSI-MUKONO'!K31,'31.10 MUKONO-KATOSI'!K31,'3.11 MUKONO-KATOSI'!K31,'1.11 KATOSI-MUKONO-24hr'!K31,'2.11 KATOSI-MUKONO 24hr'!K31,'4.11 MUKONO-KATOSI'!K31)</f>
        <v>0.5714285714285714</v>
      </c>
      <c r="L31" s="49">
        <f>AVERAGE('29.10-MUKONO-KATOSI'!L31,'30.10 KATOSI-MUKONO'!L31,'31.10 MUKONO-KATOSI'!L31,'3.11 MUKONO-KATOSI'!L31,'1.11 KATOSI-MUKONO-24hr'!L31,'2.11 KATOSI-MUKONO 24hr'!L31,'4.11 MUKONO-KATOSI'!L31)</f>
        <v>0.42857142857142855</v>
      </c>
      <c r="M31" s="49">
        <f>AVERAGE('29.10-MUKONO-KATOSI'!M31,'30.10 KATOSI-MUKONO'!M31,'31.10 MUKONO-KATOSI'!M31,'3.11 MUKONO-KATOSI'!M31,'1.11 KATOSI-MUKONO-24hr'!M31,'2.11 KATOSI-MUKONO 24hr'!M31,'4.11 MUKONO-KATOSI'!M31)</f>
        <v>94.714285714285708</v>
      </c>
      <c r="N31" s="49">
        <f>AVERAGE('29.10-MUKONO-KATOSI'!N31,'30.10 KATOSI-MUKONO'!N31,'31.10 MUKONO-KATOSI'!N31,'3.11 MUKONO-KATOSI'!N31,'1.11 KATOSI-MUKONO-24hr'!N31,'2.11 KATOSI-MUKONO 24hr'!N31,'4.11 MUKONO-KATOSI'!N31)</f>
        <v>0</v>
      </c>
      <c r="O31" s="15">
        <f t="shared" si="0"/>
        <v>33.285714285714285</v>
      </c>
      <c r="P31" s="15">
        <f t="shared" si="1"/>
        <v>128</v>
      </c>
      <c r="R31" s="1" t="s">
        <v>155</v>
      </c>
      <c r="S31" s="34">
        <f>SUM(C94:C97)</f>
        <v>6</v>
      </c>
      <c r="T31" s="34">
        <f t="shared" ref="T31:AF31" si="23">SUM(D94:D97)</f>
        <v>1.5</v>
      </c>
      <c r="U31" s="34">
        <f t="shared" si="23"/>
        <v>1</v>
      </c>
      <c r="V31" s="34">
        <f t="shared" si="23"/>
        <v>6.5</v>
      </c>
      <c r="W31" s="34">
        <f t="shared" si="23"/>
        <v>0.5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25.5</v>
      </c>
      <c r="AD31" s="34">
        <f t="shared" si="23"/>
        <v>0</v>
      </c>
      <c r="AE31" s="31">
        <f t="shared" si="23"/>
        <v>16.5</v>
      </c>
      <c r="AF31" s="31">
        <f t="shared" si="23"/>
        <v>42</v>
      </c>
    </row>
    <row r="32" spans="2:32" ht="23.1" customHeight="1" x14ac:dyDescent="0.25">
      <c r="B32" s="24" t="s">
        <v>59</v>
      </c>
      <c r="C32" s="49">
        <f>AVERAGE('29.10-MUKONO-KATOSI'!C32,'30.10 KATOSI-MUKONO'!C32,'31.10 MUKONO-KATOSI'!C32,'3.11 MUKONO-KATOSI'!C32,'1.11 KATOSI-MUKONO-24hr'!C32,'2.11 KATOSI-MUKONO 24hr'!C32,'4.11 MUKONO-KATOSI'!C32)</f>
        <v>12</v>
      </c>
      <c r="D32" s="49">
        <f>AVERAGE('29.10-MUKONO-KATOSI'!D32,'30.10 KATOSI-MUKONO'!D32,'31.10 MUKONO-KATOSI'!D32,'3.11 MUKONO-KATOSI'!D32,'1.11 KATOSI-MUKONO-24hr'!D32,'2.11 KATOSI-MUKONO 24hr'!D32,'4.11 MUKONO-KATOSI'!D32)</f>
        <v>6.8571428571428568</v>
      </c>
      <c r="E32" s="49">
        <f>AVERAGE('29.10-MUKONO-KATOSI'!E32,'30.10 KATOSI-MUKONO'!E32,'31.10 MUKONO-KATOSI'!E32,'3.11 MUKONO-KATOSI'!E32,'1.11 KATOSI-MUKONO-24hr'!E32,'2.11 KATOSI-MUKONO 24hr'!E32,'4.11 MUKONO-KATOSI'!E32)</f>
        <v>3.4285714285714284</v>
      </c>
      <c r="F32" s="49">
        <f>AVERAGE('29.10-MUKONO-KATOSI'!F32,'30.10 KATOSI-MUKONO'!F32,'31.10 MUKONO-KATOSI'!F32,'3.11 MUKONO-KATOSI'!F32,'1.11 KATOSI-MUKONO-24hr'!F32,'2.11 KATOSI-MUKONO 24hr'!F32,'4.11 MUKONO-KATOSI'!F32)</f>
        <v>6.7142857142857144</v>
      </c>
      <c r="G32" s="49">
        <f>AVERAGE('29.10-MUKONO-KATOSI'!G32,'30.10 KATOSI-MUKONO'!G32,'31.10 MUKONO-KATOSI'!G32,'3.11 MUKONO-KATOSI'!G32,'1.11 KATOSI-MUKONO-24hr'!G32,'2.11 KATOSI-MUKONO 24hr'!G32,'4.11 MUKONO-KATOSI'!G32)</f>
        <v>0.7142857142857143</v>
      </c>
      <c r="H32" s="49">
        <f>AVERAGE('29.10-MUKONO-KATOSI'!H32,'30.10 KATOSI-MUKONO'!H32,'31.10 MUKONO-KATOSI'!H32,'3.11 MUKONO-KATOSI'!H32,'1.11 KATOSI-MUKONO-24hr'!H32,'2.11 KATOSI-MUKONO 24hr'!H32,'4.11 MUKONO-KATOSI'!H32)</f>
        <v>0</v>
      </c>
      <c r="I32" s="49">
        <f>AVERAGE('29.10-MUKONO-KATOSI'!I32,'30.10 KATOSI-MUKONO'!I32,'31.10 MUKONO-KATOSI'!I32,'3.11 MUKONO-KATOSI'!I32,'1.11 KATOSI-MUKONO-24hr'!I32,'2.11 KATOSI-MUKONO 24hr'!I32,'4.11 MUKONO-KATOSI'!I32)</f>
        <v>6.4285714285714288</v>
      </c>
      <c r="J32" s="49">
        <f>AVERAGE('29.10-MUKONO-KATOSI'!J32,'30.10 KATOSI-MUKONO'!J32,'31.10 MUKONO-KATOSI'!J32,'3.11 MUKONO-KATOSI'!J32,'1.11 KATOSI-MUKONO-24hr'!J32,'2.11 KATOSI-MUKONO 24hr'!J32,'4.11 MUKONO-KATOSI'!J32)</f>
        <v>1.4285714285714286</v>
      </c>
      <c r="K32" s="49">
        <f>AVERAGE('29.10-MUKONO-KATOSI'!K32,'30.10 KATOSI-MUKONO'!K32,'31.10 MUKONO-KATOSI'!K32,'3.11 MUKONO-KATOSI'!K32,'1.11 KATOSI-MUKONO-24hr'!K32,'2.11 KATOSI-MUKONO 24hr'!K32,'4.11 MUKONO-KATOSI'!K32)</f>
        <v>1.1428571428571428</v>
      </c>
      <c r="L32" s="49">
        <f>AVERAGE('29.10-MUKONO-KATOSI'!L32,'30.10 KATOSI-MUKONO'!L32,'31.10 MUKONO-KATOSI'!L32,'3.11 MUKONO-KATOSI'!L32,'1.11 KATOSI-MUKONO-24hr'!L32,'2.11 KATOSI-MUKONO 24hr'!L32,'4.11 MUKONO-KATOSI'!L32)</f>
        <v>0.14285714285714285</v>
      </c>
      <c r="M32" s="49">
        <f>AVERAGE('29.10-MUKONO-KATOSI'!M32,'30.10 KATOSI-MUKONO'!M32,'31.10 MUKONO-KATOSI'!M32,'3.11 MUKONO-KATOSI'!M32,'1.11 KATOSI-MUKONO-24hr'!M32,'2.11 KATOSI-MUKONO 24hr'!M32,'4.11 MUKONO-KATOSI'!M32)</f>
        <v>89.857142857142861</v>
      </c>
      <c r="N32" s="49">
        <f>AVERAGE('29.10-MUKONO-KATOSI'!N32,'30.10 KATOSI-MUKONO'!N32,'31.10 MUKONO-KATOSI'!N32,'3.11 MUKONO-KATOSI'!N32,'1.11 KATOSI-MUKONO-24hr'!N32,'2.11 KATOSI-MUKONO 24hr'!N32,'4.11 MUKONO-KATOSI'!N32)</f>
        <v>0.14285714285714285</v>
      </c>
      <c r="O32" s="15">
        <f t="shared" si="0"/>
        <v>39.000000000000014</v>
      </c>
      <c r="P32" s="15">
        <f t="shared" si="1"/>
        <v>128.85714285714286</v>
      </c>
      <c r="R32" s="1" t="s">
        <v>156</v>
      </c>
      <c r="S32" s="34">
        <f>SUM(C98:C101)</f>
        <v>4</v>
      </c>
      <c r="T32" s="34">
        <f t="shared" ref="T32:AF32" si="24">SUM(D98:D101)</f>
        <v>0</v>
      </c>
      <c r="U32" s="34">
        <f t="shared" si="24"/>
        <v>2.5</v>
      </c>
      <c r="V32" s="34">
        <f t="shared" si="24"/>
        <v>15.5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5</v>
      </c>
      <c r="AA32" s="34">
        <f t="shared" si="24"/>
        <v>0</v>
      </c>
      <c r="AB32" s="34">
        <f t="shared" si="24"/>
        <v>0</v>
      </c>
      <c r="AC32" s="34">
        <f t="shared" si="24"/>
        <v>48</v>
      </c>
      <c r="AD32" s="34">
        <f t="shared" si="24"/>
        <v>0</v>
      </c>
      <c r="AE32" s="31">
        <f t="shared" si="24"/>
        <v>33</v>
      </c>
      <c r="AF32" s="31">
        <f t="shared" si="24"/>
        <v>81</v>
      </c>
    </row>
    <row r="33" spans="2:32" ht="23.1" customHeight="1" x14ac:dyDescent="0.25">
      <c r="B33" s="23" t="s">
        <v>60</v>
      </c>
      <c r="C33" s="49">
        <f>AVERAGE('29.10-MUKONO-KATOSI'!C33,'30.10 KATOSI-MUKONO'!C33,'31.10 MUKONO-KATOSI'!C33,'3.11 MUKONO-KATOSI'!C33,'1.11 KATOSI-MUKONO-24hr'!C33,'2.11 KATOSI-MUKONO 24hr'!C33,'4.11 MUKONO-KATOSI'!C33)</f>
        <v>13.285714285714286</v>
      </c>
      <c r="D33" s="49">
        <f>AVERAGE('29.10-MUKONO-KATOSI'!D33,'30.10 KATOSI-MUKONO'!D33,'31.10 MUKONO-KATOSI'!D33,'3.11 MUKONO-KATOSI'!D33,'1.11 KATOSI-MUKONO-24hr'!D33,'2.11 KATOSI-MUKONO 24hr'!D33,'4.11 MUKONO-KATOSI'!D33)</f>
        <v>6.5714285714285712</v>
      </c>
      <c r="E33" s="49">
        <f>AVERAGE('29.10-MUKONO-KATOSI'!E33,'30.10 KATOSI-MUKONO'!E33,'31.10 MUKONO-KATOSI'!E33,'3.11 MUKONO-KATOSI'!E33,'1.11 KATOSI-MUKONO-24hr'!E33,'2.11 KATOSI-MUKONO 24hr'!E33,'4.11 MUKONO-KATOSI'!E33)</f>
        <v>5.5714285714285712</v>
      </c>
      <c r="F33" s="49">
        <f>AVERAGE('29.10-MUKONO-KATOSI'!F33,'30.10 KATOSI-MUKONO'!F33,'31.10 MUKONO-KATOSI'!F33,'3.11 MUKONO-KATOSI'!F33,'1.11 KATOSI-MUKONO-24hr'!F33,'2.11 KATOSI-MUKONO 24hr'!F33,'4.11 MUKONO-KATOSI'!F33)</f>
        <v>7.2857142857142856</v>
      </c>
      <c r="G33" s="49">
        <f>AVERAGE('29.10-MUKONO-KATOSI'!G33,'30.10 KATOSI-MUKONO'!G33,'31.10 MUKONO-KATOSI'!G33,'3.11 MUKONO-KATOSI'!G33,'1.11 KATOSI-MUKONO-24hr'!G33,'2.11 KATOSI-MUKONO 24hr'!G33,'4.11 MUKONO-KATOSI'!G33)</f>
        <v>0.42857142857142855</v>
      </c>
      <c r="H33" s="49">
        <f>AVERAGE('29.10-MUKONO-KATOSI'!H33,'30.10 KATOSI-MUKONO'!H33,'31.10 MUKONO-KATOSI'!H33,'3.11 MUKONO-KATOSI'!H33,'1.11 KATOSI-MUKONO-24hr'!H33,'2.11 KATOSI-MUKONO 24hr'!H33,'4.11 MUKONO-KATOSI'!H33)</f>
        <v>0</v>
      </c>
      <c r="I33" s="49">
        <f>AVERAGE('29.10-MUKONO-KATOSI'!I33,'30.10 KATOSI-MUKONO'!I33,'31.10 MUKONO-KATOSI'!I33,'3.11 MUKONO-KATOSI'!I33,'1.11 KATOSI-MUKONO-24hr'!I33,'2.11 KATOSI-MUKONO 24hr'!I33,'4.11 MUKONO-KATOSI'!I33)</f>
        <v>8.4285714285714288</v>
      </c>
      <c r="J33" s="49">
        <f>AVERAGE('29.10-MUKONO-KATOSI'!J33,'30.10 KATOSI-MUKONO'!J33,'31.10 MUKONO-KATOSI'!J33,'3.11 MUKONO-KATOSI'!J33,'1.11 KATOSI-MUKONO-24hr'!J33,'2.11 KATOSI-MUKONO 24hr'!J33,'4.11 MUKONO-KATOSI'!J33)</f>
        <v>2.2857142857142856</v>
      </c>
      <c r="K33" s="49">
        <f>AVERAGE('29.10-MUKONO-KATOSI'!K33,'30.10 KATOSI-MUKONO'!K33,'31.10 MUKONO-KATOSI'!K33,'3.11 MUKONO-KATOSI'!K33,'1.11 KATOSI-MUKONO-24hr'!K33,'2.11 KATOSI-MUKONO 24hr'!K33,'4.11 MUKONO-KATOSI'!K33)</f>
        <v>1.2857142857142858</v>
      </c>
      <c r="L33" s="49">
        <f>AVERAGE('29.10-MUKONO-KATOSI'!L33,'30.10 KATOSI-MUKONO'!L33,'31.10 MUKONO-KATOSI'!L33,'3.11 MUKONO-KATOSI'!L33,'1.11 KATOSI-MUKONO-24hr'!L33,'2.11 KATOSI-MUKONO 24hr'!L33,'4.11 MUKONO-KATOSI'!L33)</f>
        <v>0.7142857142857143</v>
      </c>
      <c r="M33" s="49">
        <f>AVERAGE('29.10-MUKONO-KATOSI'!M33,'30.10 KATOSI-MUKONO'!M33,'31.10 MUKONO-KATOSI'!M33,'3.11 MUKONO-KATOSI'!M33,'1.11 KATOSI-MUKONO-24hr'!M33,'2.11 KATOSI-MUKONO 24hr'!M33,'4.11 MUKONO-KATOSI'!M33)</f>
        <v>92</v>
      </c>
      <c r="N33" s="49">
        <f>AVERAGE('29.10-MUKONO-KATOSI'!N33,'30.10 KATOSI-MUKONO'!N33,'31.10 MUKONO-KATOSI'!N33,'3.11 MUKONO-KATOSI'!N33,'1.11 KATOSI-MUKONO-24hr'!N33,'2.11 KATOSI-MUKONO 24hr'!N33,'4.11 MUKONO-KATOSI'!N33)</f>
        <v>0</v>
      </c>
      <c r="O33" s="15">
        <f t="shared" si="0"/>
        <v>45.857142857142861</v>
      </c>
      <c r="P33" s="15">
        <f t="shared" si="1"/>
        <v>137.85714285714286</v>
      </c>
      <c r="R33" s="1" t="s">
        <v>157</v>
      </c>
      <c r="S33" s="34">
        <f>SUM(C102:C105)</f>
        <v>17</v>
      </c>
      <c r="T33" s="34">
        <f t="shared" ref="T33:AF33" si="25">SUM(D102:D105)</f>
        <v>7.5</v>
      </c>
      <c r="U33" s="34">
        <f t="shared" si="25"/>
        <v>4</v>
      </c>
      <c r="V33" s="34">
        <f t="shared" si="25"/>
        <v>23</v>
      </c>
      <c r="W33" s="34">
        <f t="shared" si="25"/>
        <v>1.5</v>
      </c>
      <c r="X33" s="34">
        <f t="shared" si="25"/>
        <v>0</v>
      </c>
      <c r="Y33" s="34">
        <f t="shared" si="25"/>
        <v>10</v>
      </c>
      <c r="Z33" s="34">
        <f t="shared" si="25"/>
        <v>4</v>
      </c>
      <c r="AA33" s="34">
        <f t="shared" si="25"/>
        <v>2.5</v>
      </c>
      <c r="AB33" s="34">
        <f t="shared" si="25"/>
        <v>2</v>
      </c>
      <c r="AC33" s="34">
        <f t="shared" si="25"/>
        <v>144</v>
      </c>
      <c r="AD33" s="34">
        <f t="shared" si="25"/>
        <v>0</v>
      </c>
      <c r="AE33" s="31">
        <f t="shared" si="25"/>
        <v>71.5</v>
      </c>
      <c r="AF33" s="31">
        <f t="shared" si="25"/>
        <v>215.5</v>
      </c>
    </row>
    <row r="34" spans="2:32" ht="23.1" customHeight="1" x14ac:dyDescent="0.25">
      <c r="B34" s="24" t="s">
        <v>61</v>
      </c>
      <c r="C34" s="49">
        <f>AVERAGE('29.10-MUKONO-KATOSI'!C34,'30.10 KATOSI-MUKONO'!C34,'31.10 MUKONO-KATOSI'!C34,'3.11 MUKONO-KATOSI'!C34,'1.11 KATOSI-MUKONO-24hr'!C34,'2.11 KATOSI-MUKONO 24hr'!C34,'4.11 MUKONO-KATOSI'!C34)</f>
        <v>13.285714285714286</v>
      </c>
      <c r="D34" s="49">
        <f>AVERAGE('29.10-MUKONO-KATOSI'!D34,'30.10 KATOSI-MUKONO'!D34,'31.10 MUKONO-KATOSI'!D34,'3.11 MUKONO-KATOSI'!D34,'1.11 KATOSI-MUKONO-24hr'!D34,'2.11 KATOSI-MUKONO 24hr'!D34,'4.11 MUKONO-KATOSI'!D34)</f>
        <v>6.1428571428571432</v>
      </c>
      <c r="E34" s="49">
        <f>AVERAGE('29.10-MUKONO-KATOSI'!E34,'30.10 KATOSI-MUKONO'!E34,'31.10 MUKONO-KATOSI'!E34,'3.11 MUKONO-KATOSI'!E34,'1.11 KATOSI-MUKONO-24hr'!E34,'2.11 KATOSI-MUKONO 24hr'!E34,'4.11 MUKONO-KATOSI'!E34)</f>
        <v>3</v>
      </c>
      <c r="F34" s="49">
        <f>AVERAGE('29.10-MUKONO-KATOSI'!F34,'30.10 KATOSI-MUKONO'!F34,'31.10 MUKONO-KATOSI'!F34,'3.11 MUKONO-KATOSI'!F34,'1.11 KATOSI-MUKONO-24hr'!F34,'2.11 KATOSI-MUKONO 24hr'!F34,'4.11 MUKONO-KATOSI'!F34)</f>
        <v>7.1428571428571432</v>
      </c>
      <c r="G34" s="49">
        <f>AVERAGE('29.10-MUKONO-KATOSI'!G34,'30.10 KATOSI-MUKONO'!G34,'31.10 MUKONO-KATOSI'!G34,'3.11 MUKONO-KATOSI'!G34,'1.11 KATOSI-MUKONO-24hr'!G34,'2.11 KATOSI-MUKONO 24hr'!G34,'4.11 MUKONO-KATOSI'!G34)</f>
        <v>1</v>
      </c>
      <c r="H34" s="49">
        <f>AVERAGE('29.10-MUKONO-KATOSI'!H34,'30.10 KATOSI-MUKONO'!H34,'31.10 MUKONO-KATOSI'!H34,'3.11 MUKONO-KATOSI'!H34,'1.11 KATOSI-MUKONO-24hr'!H34,'2.11 KATOSI-MUKONO 24hr'!H34,'4.11 MUKONO-KATOSI'!H34)</f>
        <v>0</v>
      </c>
      <c r="I34" s="49">
        <f>AVERAGE('29.10-MUKONO-KATOSI'!I34,'30.10 KATOSI-MUKONO'!I34,'31.10 MUKONO-KATOSI'!I34,'3.11 MUKONO-KATOSI'!I34,'1.11 KATOSI-MUKONO-24hr'!I34,'2.11 KATOSI-MUKONO 24hr'!I34,'4.11 MUKONO-KATOSI'!I34)</f>
        <v>6.8571428571428568</v>
      </c>
      <c r="J34" s="49">
        <f>AVERAGE('29.10-MUKONO-KATOSI'!J34,'30.10 KATOSI-MUKONO'!J34,'31.10 MUKONO-KATOSI'!J34,'3.11 MUKONO-KATOSI'!J34,'1.11 KATOSI-MUKONO-24hr'!J34,'2.11 KATOSI-MUKONO 24hr'!J34,'4.11 MUKONO-KATOSI'!J34)</f>
        <v>1.7142857142857142</v>
      </c>
      <c r="K34" s="49">
        <f>AVERAGE('29.10-MUKONO-KATOSI'!K34,'30.10 KATOSI-MUKONO'!K34,'31.10 MUKONO-KATOSI'!K34,'3.11 MUKONO-KATOSI'!K34,'1.11 KATOSI-MUKONO-24hr'!K34,'2.11 KATOSI-MUKONO 24hr'!K34,'4.11 MUKONO-KATOSI'!K34)</f>
        <v>0.7142857142857143</v>
      </c>
      <c r="L34" s="49">
        <f>AVERAGE('29.10-MUKONO-KATOSI'!L34,'30.10 KATOSI-MUKONO'!L34,'31.10 MUKONO-KATOSI'!L34,'3.11 MUKONO-KATOSI'!L34,'1.11 KATOSI-MUKONO-24hr'!L34,'2.11 KATOSI-MUKONO 24hr'!L34,'4.11 MUKONO-KATOSI'!L34)</f>
        <v>0.42857142857142855</v>
      </c>
      <c r="M34" s="49">
        <f>AVERAGE('29.10-MUKONO-KATOSI'!M34,'30.10 KATOSI-MUKONO'!M34,'31.10 MUKONO-KATOSI'!M34,'3.11 MUKONO-KATOSI'!M34,'1.11 KATOSI-MUKONO-24hr'!M34,'2.11 KATOSI-MUKONO 24hr'!M34,'4.11 MUKONO-KATOSI'!M34)</f>
        <v>87.857142857142861</v>
      </c>
      <c r="N34" s="49">
        <f>AVERAGE('29.10-MUKONO-KATOSI'!N34,'30.10 KATOSI-MUKONO'!N34,'31.10 MUKONO-KATOSI'!N34,'3.11 MUKONO-KATOSI'!N34,'1.11 KATOSI-MUKONO-24hr'!N34,'2.11 KATOSI-MUKONO 24hr'!N34,'4.11 MUKONO-KATOSI'!N34)</f>
        <v>0</v>
      </c>
      <c r="O34" s="15">
        <f t="shared" si="0"/>
        <v>40.285714285714292</v>
      </c>
      <c r="P34" s="15">
        <f t="shared" si="1"/>
        <v>128.14285714285717</v>
      </c>
      <c r="R34" s="38" t="s">
        <v>90</v>
      </c>
      <c r="S34" s="39">
        <f t="shared" ref="S34:AF34" si="26">MAX(S10:S12)</f>
        <v>53.857142857142861</v>
      </c>
      <c r="T34" s="39">
        <f t="shared" si="26"/>
        <v>24.857142857142861</v>
      </c>
      <c r="U34" s="39">
        <f t="shared" si="26"/>
        <v>14.714285714285715</v>
      </c>
      <c r="V34" s="39">
        <f t="shared" si="26"/>
        <v>34.428571428571431</v>
      </c>
      <c r="W34" s="39">
        <f t="shared" si="26"/>
        <v>4.5714285714285712</v>
      </c>
      <c r="X34" s="39">
        <f t="shared" si="26"/>
        <v>1</v>
      </c>
      <c r="Y34" s="39">
        <f t="shared" si="26"/>
        <v>22.714285714285712</v>
      </c>
      <c r="Z34" s="39">
        <f t="shared" si="26"/>
        <v>8.428571428571427</v>
      </c>
      <c r="AA34" s="39">
        <f t="shared" si="26"/>
        <v>3.2857142857142856</v>
      </c>
      <c r="AB34" s="39">
        <f t="shared" si="26"/>
        <v>11.857142857142858</v>
      </c>
      <c r="AC34" s="39">
        <f t="shared" si="26"/>
        <v>409.71428571428572</v>
      </c>
      <c r="AD34" s="39">
        <f t="shared" si="26"/>
        <v>0.14285714285714285</v>
      </c>
      <c r="AE34" s="40">
        <f t="shared" si="26"/>
        <v>165.71428571428572</v>
      </c>
      <c r="AF34" s="40">
        <f t="shared" si="26"/>
        <v>575.42857142857133</v>
      </c>
    </row>
    <row r="35" spans="2:32" ht="23.1" customHeight="1" x14ac:dyDescent="0.25">
      <c r="B35" s="24" t="s">
        <v>62</v>
      </c>
      <c r="C35" s="49">
        <f>AVERAGE('29.10-MUKONO-KATOSI'!C35,'30.10 KATOSI-MUKONO'!C35,'31.10 MUKONO-KATOSI'!C35,'3.11 MUKONO-KATOSI'!C35,'1.11 KATOSI-MUKONO-24hr'!C35,'2.11 KATOSI-MUKONO 24hr'!C35,'4.11 MUKONO-KATOSI'!C35)</f>
        <v>14</v>
      </c>
      <c r="D35" s="49">
        <f>AVERAGE('29.10-MUKONO-KATOSI'!D35,'30.10 KATOSI-MUKONO'!D35,'31.10 MUKONO-KATOSI'!D35,'3.11 MUKONO-KATOSI'!D35,'1.11 KATOSI-MUKONO-24hr'!D35,'2.11 KATOSI-MUKONO 24hr'!D35,'4.11 MUKONO-KATOSI'!D35)</f>
        <v>9.1428571428571423</v>
      </c>
      <c r="E35" s="49">
        <f>AVERAGE('29.10-MUKONO-KATOSI'!E35,'30.10 KATOSI-MUKONO'!E35,'31.10 MUKONO-KATOSI'!E35,'3.11 MUKONO-KATOSI'!E35,'1.11 KATOSI-MUKONO-24hr'!E35,'2.11 KATOSI-MUKONO 24hr'!E35,'4.11 MUKONO-KATOSI'!E35)</f>
        <v>4.1428571428571432</v>
      </c>
      <c r="F35" s="49">
        <f>AVERAGE('29.10-MUKONO-KATOSI'!F35,'30.10 KATOSI-MUKONO'!F35,'31.10 MUKONO-KATOSI'!F35,'3.11 MUKONO-KATOSI'!F35,'1.11 KATOSI-MUKONO-24hr'!F35,'2.11 KATOSI-MUKONO 24hr'!F35,'4.11 MUKONO-KATOSI'!F35)</f>
        <v>7.5714285714285712</v>
      </c>
      <c r="G35" s="49">
        <f>AVERAGE('29.10-MUKONO-KATOSI'!G35,'30.10 KATOSI-MUKONO'!G35,'31.10 MUKONO-KATOSI'!G35,'3.11 MUKONO-KATOSI'!G35,'1.11 KATOSI-MUKONO-24hr'!G35,'2.11 KATOSI-MUKONO 24hr'!G35,'4.11 MUKONO-KATOSI'!G35)</f>
        <v>1.4285714285714286</v>
      </c>
      <c r="H35" s="49">
        <f>AVERAGE('29.10-MUKONO-KATOSI'!H35,'30.10 KATOSI-MUKONO'!H35,'31.10 MUKONO-KATOSI'!H35,'3.11 MUKONO-KATOSI'!H35,'1.11 KATOSI-MUKONO-24hr'!H35,'2.11 KATOSI-MUKONO 24hr'!H35,'4.11 MUKONO-KATOSI'!H35)</f>
        <v>0</v>
      </c>
      <c r="I35" s="49">
        <f>AVERAGE('29.10-MUKONO-KATOSI'!I35,'30.10 KATOSI-MUKONO'!I35,'31.10 MUKONO-KATOSI'!I35,'3.11 MUKONO-KATOSI'!I35,'1.11 KATOSI-MUKONO-24hr'!I35,'2.11 KATOSI-MUKONO 24hr'!I35,'4.11 MUKONO-KATOSI'!I35)</f>
        <v>6.4285714285714288</v>
      </c>
      <c r="J35" s="49">
        <f>AVERAGE('29.10-MUKONO-KATOSI'!J35,'30.10 KATOSI-MUKONO'!J35,'31.10 MUKONO-KATOSI'!J35,'3.11 MUKONO-KATOSI'!J35,'1.11 KATOSI-MUKONO-24hr'!J35,'2.11 KATOSI-MUKONO 24hr'!J35,'4.11 MUKONO-KATOSI'!J35)</f>
        <v>2</v>
      </c>
      <c r="K35" s="49">
        <f>AVERAGE('29.10-MUKONO-KATOSI'!K35,'30.10 KATOSI-MUKONO'!K35,'31.10 MUKONO-KATOSI'!K35,'3.11 MUKONO-KATOSI'!K35,'1.11 KATOSI-MUKONO-24hr'!K35,'2.11 KATOSI-MUKONO 24hr'!K35,'4.11 MUKONO-KATOSI'!K35)</f>
        <v>0.5714285714285714</v>
      </c>
      <c r="L35" s="49">
        <f>AVERAGE('29.10-MUKONO-KATOSI'!L35,'30.10 KATOSI-MUKONO'!L35,'31.10 MUKONO-KATOSI'!L35,'3.11 MUKONO-KATOSI'!L35,'1.11 KATOSI-MUKONO-24hr'!L35,'2.11 KATOSI-MUKONO 24hr'!L35,'4.11 MUKONO-KATOSI'!L35)</f>
        <v>0.2857142857142857</v>
      </c>
      <c r="M35" s="49">
        <f>AVERAGE('29.10-MUKONO-KATOSI'!M35,'30.10 KATOSI-MUKONO'!M35,'31.10 MUKONO-KATOSI'!M35,'3.11 MUKONO-KATOSI'!M35,'1.11 KATOSI-MUKONO-24hr'!M35,'2.11 KATOSI-MUKONO 24hr'!M35,'4.11 MUKONO-KATOSI'!M35)</f>
        <v>99.857142857142861</v>
      </c>
      <c r="N35" s="49">
        <f>AVERAGE('29.10-MUKONO-KATOSI'!N35,'30.10 KATOSI-MUKONO'!N35,'31.10 MUKONO-KATOSI'!N35,'3.11 MUKONO-KATOSI'!N35,'1.11 KATOSI-MUKONO-24hr'!N35,'2.11 KATOSI-MUKONO 24hr'!N35,'4.11 MUKONO-KATOSI'!N35)</f>
        <v>0</v>
      </c>
      <c r="O35" s="15">
        <f t="shared" si="0"/>
        <v>45.571428571428569</v>
      </c>
      <c r="P35" s="15">
        <f t="shared" si="1"/>
        <v>145.42857142857144</v>
      </c>
      <c r="R35" s="38" t="s">
        <v>91</v>
      </c>
      <c r="S35" s="39">
        <f t="shared" ref="S35:AF35" si="27">MAX(S13:S18)</f>
        <v>50.714285714285715</v>
      </c>
      <c r="T35" s="39">
        <f t="shared" si="27"/>
        <v>37.428571428571431</v>
      </c>
      <c r="U35" s="39">
        <f t="shared" si="27"/>
        <v>17.571428571428573</v>
      </c>
      <c r="V35" s="39">
        <f t="shared" si="27"/>
        <v>32.571428571428577</v>
      </c>
      <c r="W35" s="39">
        <f t="shared" si="27"/>
        <v>3.8571428571428572</v>
      </c>
      <c r="X35" s="39">
        <f t="shared" si="27"/>
        <v>0.8571428571428571</v>
      </c>
      <c r="Y35" s="39">
        <f t="shared" si="27"/>
        <v>29.142857142857146</v>
      </c>
      <c r="Z35" s="39">
        <f t="shared" si="27"/>
        <v>8.1428571428571423</v>
      </c>
      <c r="AA35" s="39">
        <f t="shared" si="27"/>
        <v>4.2857142857142856</v>
      </c>
      <c r="AB35" s="39">
        <f t="shared" si="27"/>
        <v>13.285714285714285</v>
      </c>
      <c r="AC35" s="39">
        <f t="shared" si="27"/>
        <v>382.71428571428572</v>
      </c>
      <c r="AD35" s="39">
        <f t="shared" si="27"/>
        <v>0.2857142857142857</v>
      </c>
      <c r="AE35" s="40">
        <f t="shared" si="27"/>
        <v>173.28571428571431</v>
      </c>
      <c r="AF35" s="40">
        <f t="shared" si="27"/>
        <v>554</v>
      </c>
    </row>
    <row r="36" spans="2:32" ht="23.1" customHeight="1" x14ac:dyDescent="0.25">
      <c r="B36" s="24" t="s">
        <v>63</v>
      </c>
      <c r="C36" s="49">
        <f>AVERAGE('29.10-MUKONO-KATOSI'!C36,'30.10 KATOSI-MUKONO'!C36,'31.10 MUKONO-KATOSI'!C36,'3.11 MUKONO-KATOSI'!C36,'1.11 KATOSI-MUKONO-24hr'!C36,'2.11 KATOSI-MUKONO 24hr'!C36,'4.11 MUKONO-KATOSI'!C36)</f>
        <v>11.714285714285714</v>
      </c>
      <c r="D36" s="49">
        <f>AVERAGE('29.10-MUKONO-KATOSI'!D36,'30.10 KATOSI-MUKONO'!D36,'31.10 MUKONO-KATOSI'!D36,'3.11 MUKONO-KATOSI'!D36,'1.11 KATOSI-MUKONO-24hr'!D36,'2.11 KATOSI-MUKONO 24hr'!D36,'4.11 MUKONO-KATOSI'!D36)</f>
        <v>7</v>
      </c>
      <c r="E36" s="49">
        <f>AVERAGE('29.10-MUKONO-KATOSI'!E36,'30.10 KATOSI-MUKONO'!E36,'31.10 MUKONO-KATOSI'!E36,'3.11 MUKONO-KATOSI'!E36,'1.11 KATOSI-MUKONO-24hr'!E36,'2.11 KATOSI-MUKONO 24hr'!E36,'4.11 MUKONO-KATOSI'!E36)</f>
        <v>2.7142857142857144</v>
      </c>
      <c r="F36" s="49">
        <f>AVERAGE('29.10-MUKONO-KATOSI'!F36,'30.10 KATOSI-MUKONO'!F36,'31.10 MUKONO-KATOSI'!F36,'3.11 MUKONO-KATOSI'!F36,'1.11 KATOSI-MUKONO-24hr'!F36,'2.11 KATOSI-MUKONO 24hr'!F36,'4.11 MUKONO-KATOSI'!F36)</f>
        <v>6.7142857142857144</v>
      </c>
      <c r="G36" s="49">
        <f>AVERAGE('29.10-MUKONO-KATOSI'!G36,'30.10 KATOSI-MUKONO'!G36,'31.10 MUKONO-KATOSI'!G36,'3.11 MUKONO-KATOSI'!G36,'1.11 KATOSI-MUKONO-24hr'!G36,'2.11 KATOSI-MUKONO 24hr'!G36,'4.11 MUKONO-KATOSI'!G36)</f>
        <v>0.5714285714285714</v>
      </c>
      <c r="H36" s="49">
        <f>AVERAGE('29.10-MUKONO-KATOSI'!H36,'30.10 KATOSI-MUKONO'!H36,'31.10 MUKONO-KATOSI'!H36,'3.11 MUKONO-KATOSI'!H36,'1.11 KATOSI-MUKONO-24hr'!H36,'2.11 KATOSI-MUKONO 24hr'!H36,'4.11 MUKONO-KATOSI'!H36)</f>
        <v>0</v>
      </c>
      <c r="I36" s="49">
        <f>AVERAGE('29.10-MUKONO-KATOSI'!I36,'30.10 KATOSI-MUKONO'!I36,'31.10 MUKONO-KATOSI'!I36,'3.11 MUKONO-KATOSI'!I36,'1.11 KATOSI-MUKONO-24hr'!I36,'2.11 KATOSI-MUKONO 24hr'!I36,'4.11 MUKONO-KATOSI'!I36)</f>
        <v>8.1428571428571423</v>
      </c>
      <c r="J36" s="49">
        <f>AVERAGE('29.10-MUKONO-KATOSI'!J36,'30.10 KATOSI-MUKONO'!J36,'31.10 MUKONO-KATOSI'!J36,'3.11 MUKONO-KATOSI'!J36,'1.11 KATOSI-MUKONO-24hr'!J36,'2.11 KATOSI-MUKONO 24hr'!J36,'4.11 MUKONO-KATOSI'!J36)</f>
        <v>2.2857142857142856</v>
      </c>
      <c r="K36" s="49">
        <f>AVERAGE('29.10-MUKONO-KATOSI'!K36,'30.10 KATOSI-MUKONO'!K36,'31.10 MUKONO-KATOSI'!K36,'3.11 MUKONO-KATOSI'!K36,'1.11 KATOSI-MUKONO-24hr'!K36,'2.11 KATOSI-MUKONO 24hr'!K36,'4.11 MUKONO-KATOSI'!K36)</f>
        <v>0.8571428571428571</v>
      </c>
      <c r="L36" s="49">
        <f>AVERAGE('29.10-MUKONO-KATOSI'!L36,'30.10 KATOSI-MUKONO'!L36,'31.10 MUKONO-KATOSI'!L36,'3.11 MUKONO-KATOSI'!L36,'1.11 KATOSI-MUKONO-24hr'!L36,'2.11 KATOSI-MUKONO 24hr'!L36,'4.11 MUKONO-KATOSI'!L36)</f>
        <v>0.42857142857142855</v>
      </c>
      <c r="M36" s="49">
        <f>AVERAGE('29.10-MUKONO-KATOSI'!M36,'30.10 KATOSI-MUKONO'!M36,'31.10 MUKONO-KATOSI'!M36,'3.11 MUKONO-KATOSI'!M36,'1.11 KATOSI-MUKONO-24hr'!M36,'2.11 KATOSI-MUKONO 24hr'!M36,'4.11 MUKONO-KATOSI'!M36)</f>
        <v>99.714285714285708</v>
      </c>
      <c r="N36" s="49">
        <f>AVERAGE('29.10-MUKONO-KATOSI'!N36,'30.10 KATOSI-MUKONO'!N36,'31.10 MUKONO-KATOSI'!N36,'3.11 MUKONO-KATOSI'!N36,'1.11 KATOSI-MUKONO-24hr'!N36,'2.11 KATOSI-MUKONO 24hr'!N36,'4.11 MUKONO-KATOSI'!N36)</f>
        <v>0</v>
      </c>
      <c r="O36" s="15">
        <f t="shared" si="0"/>
        <v>40.428571428571431</v>
      </c>
      <c r="P36" s="15">
        <f t="shared" si="1"/>
        <v>140.14285714285714</v>
      </c>
      <c r="R36" s="38" t="s">
        <v>92</v>
      </c>
      <c r="S36" s="39">
        <f t="shared" ref="S36:AF36" si="28">MAX(S19:S21)</f>
        <v>51.285714285714285</v>
      </c>
      <c r="T36" s="39">
        <f t="shared" si="28"/>
        <v>28</v>
      </c>
      <c r="U36" s="39">
        <f t="shared" si="28"/>
        <v>15.857142857142858</v>
      </c>
      <c r="V36" s="39">
        <f t="shared" si="28"/>
        <v>41.857142857142861</v>
      </c>
      <c r="W36" s="39">
        <f t="shared" si="28"/>
        <v>3.5714285714285712</v>
      </c>
      <c r="X36" s="39">
        <f t="shared" si="28"/>
        <v>0.2857142857142857</v>
      </c>
      <c r="Y36" s="39">
        <f t="shared" si="28"/>
        <v>23.571428571428573</v>
      </c>
      <c r="Z36" s="39">
        <f t="shared" si="28"/>
        <v>8.7142857142857135</v>
      </c>
      <c r="AA36" s="39">
        <f t="shared" si="28"/>
        <v>2.7142857142857144</v>
      </c>
      <c r="AB36" s="39">
        <f t="shared" si="28"/>
        <v>2.4285714285714284</v>
      </c>
      <c r="AC36" s="39">
        <f t="shared" si="28"/>
        <v>392.28571428571428</v>
      </c>
      <c r="AD36" s="39">
        <f t="shared" si="28"/>
        <v>0.14285714285714285</v>
      </c>
      <c r="AE36" s="40">
        <f t="shared" si="28"/>
        <v>173.28571428571428</v>
      </c>
      <c r="AF36" s="40">
        <f t="shared" si="28"/>
        <v>545.85714285714289</v>
      </c>
    </row>
    <row r="37" spans="2:32" ht="23.1" customHeight="1" x14ac:dyDescent="0.25">
      <c r="B37" s="23" t="s">
        <v>64</v>
      </c>
      <c r="C37" s="49">
        <f>AVERAGE('29.10-MUKONO-KATOSI'!C37,'30.10 KATOSI-MUKONO'!C37,'31.10 MUKONO-KATOSI'!C37,'3.11 MUKONO-KATOSI'!C37,'1.11 KATOSI-MUKONO-24hr'!C37,'2.11 KATOSI-MUKONO 24hr'!C37,'4.11 MUKONO-KATOSI'!C37)</f>
        <v>11.714285714285714</v>
      </c>
      <c r="D37" s="49">
        <f>AVERAGE('29.10-MUKONO-KATOSI'!D37,'30.10 KATOSI-MUKONO'!D37,'31.10 MUKONO-KATOSI'!D37,'3.11 MUKONO-KATOSI'!D37,'1.11 KATOSI-MUKONO-24hr'!D37,'2.11 KATOSI-MUKONO 24hr'!D37,'4.11 MUKONO-KATOSI'!D37)</f>
        <v>5.4285714285714288</v>
      </c>
      <c r="E37" s="49">
        <f>AVERAGE('29.10-MUKONO-KATOSI'!E37,'30.10 KATOSI-MUKONO'!E37,'31.10 MUKONO-KATOSI'!E37,'3.11 MUKONO-KATOSI'!E37,'1.11 KATOSI-MUKONO-24hr'!E37,'2.11 KATOSI-MUKONO 24hr'!E37,'4.11 MUKONO-KATOSI'!E37)</f>
        <v>2.5714285714285716</v>
      </c>
      <c r="F37" s="49">
        <f>AVERAGE('29.10-MUKONO-KATOSI'!F37,'30.10 KATOSI-MUKONO'!F37,'31.10 MUKONO-KATOSI'!F37,'3.11 MUKONO-KATOSI'!F37,'1.11 KATOSI-MUKONO-24hr'!F37,'2.11 KATOSI-MUKONO 24hr'!F37,'4.11 MUKONO-KATOSI'!F37)</f>
        <v>7.5714285714285712</v>
      </c>
      <c r="G37" s="49">
        <f>AVERAGE('29.10-MUKONO-KATOSI'!G37,'30.10 KATOSI-MUKONO'!G37,'31.10 MUKONO-KATOSI'!G37,'3.11 MUKONO-KATOSI'!G37,'1.11 KATOSI-MUKONO-24hr'!G37,'2.11 KATOSI-MUKONO 24hr'!G37,'4.11 MUKONO-KATOSI'!G37)</f>
        <v>0.8571428571428571</v>
      </c>
      <c r="H37" s="49">
        <f>AVERAGE('29.10-MUKONO-KATOSI'!H37,'30.10 KATOSI-MUKONO'!H37,'31.10 MUKONO-KATOSI'!H37,'3.11 MUKONO-KATOSI'!H37,'1.11 KATOSI-MUKONO-24hr'!H37,'2.11 KATOSI-MUKONO 24hr'!H37,'4.11 MUKONO-KATOSI'!H37)</f>
        <v>0</v>
      </c>
      <c r="I37" s="49">
        <f>AVERAGE('29.10-MUKONO-KATOSI'!I37,'30.10 KATOSI-MUKONO'!I37,'31.10 MUKONO-KATOSI'!I37,'3.11 MUKONO-KATOSI'!I37,'1.11 KATOSI-MUKONO-24hr'!I37,'2.11 KATOSI-MUKONO 24hr'!I37,'4.11 MUKONO-KATOSI'!I37)</f>
        <v>6</v>
      </c>
      <c r="J37" s="49">
        <f>AVERAGE('29.10-MUKONO-KATOSI'!J37,'30.10 KATOSI-MUKONO'!J37,'31.10 MUKONO-KATOSI'!J37,'3.11 MUKONO-KATOSI'!J37,'1.11 KATOSI-MUKONO-24hr'!J37,'2.11 KATOSI-MUKONO 24hr'!J37,'4.11 MUKONO-KATOSI'!J37)</f>
        <v>1.4285714285714286</v>
      </c>
      <c r="K37" s="49">
        <f>AVERAGE('29.10-MUKONO-KATOSI'!K37,'30.10 KATOSI-MUKONO'!K37,'31.10 MUKONO-KATOSI'!K37,'3.11 MUKONO-KATOSI'!K37,'1.11 KATOSI-MUKONO-24hr'!K37,'2.11 KATOSI-MUKONO 24hr'!K37,'4.11 MUKONO-KATOSI'!K37)</f>
        <v>0.42857142857142855</v>
      </c>
      <c r="L37" s="49">
        <f>AVERAGE('29.10-MUKONO-KATOSI'!L37,'30.10 KATOSI-MUKONO'!L37,'31.10 MUKONO-KATOSI'!L37,'3.11 MUKONO-KATOSI'!L37,'1.11 KATOSI-MUKONO-24hr'!L37,'2.11 KATOSI-MUKONO 24hr'!L37,'4.11 MUKONO-KATOSI'!L37)</f>
        <v>0.2857142857142857</v>
      </c>
      <c r="M37" s="49">
        <f>AVERAGE('29.10-MUKONO-KATOSI'!M37,'30.10 KATOSI-MUKONO'!M37,'31.10 MUKONO-KATOSI'!M37,'3.11 MUKONO-KATOSI'!M37,'1.11 KATOSI-MUKONO-24hr'!M37,'2.11 KATOSI-MUKONO 24hr'!M37,'4.11 MUKONO-KATOSI'!M37)</f>
        <v>95.285714285714292</v>
      </c>
      <c r="N37" s="49">
        <f>AVERAGE('29.10-MUKONO-KATOSI'!N37,'30.10 KATOSI-MUKONO'!N37,'31.10 MUKONO-KATOSI'!N37,'3.11 MUKONO-KATOSI'!N37,'1.11 KATOSI-MUKONO-24hr'!N37,'2.11 KATOSI-MUKONO 24hr'!N37,'4.11 MUKONO-KATOSI'!N37)</f>
        <v>0</v>
      </c>
      <c r="O37" s="15">
        <f t="shared" si="0"/>
        <v>36.285714285714285</v>
      </c>
      <c r="P37" s="15">
        <f t="shared" si="1"/>
        <v>131.57142857142858</v>
      </c>
      <c r="R37" s="37" t="s">
        <v>85</v>
      </c>
      <c r="S37" s="35">
        <f t="shared" ref="S37:AF37" si="29">SUM(S10:S12)</f>
        <v>151.71428571428572</v>
      </c>
      <c r="T37" s="16">
        <f t="shared" si="29"/>
        <v>62.857142857142861</v>
      </c>
      <c r="U37" s="16">
        <f t="shared" si="29"/>
        <v>38.285714285714285</v>
      </c>
      <c r="V37" s="16">
        <f t="shared" si="29"/>
        <v>88.285714285714292</v>
      </c>
      <c r="W37" s="16">
        <f t="shared" si="29"/>
        <v>10.571428571428569</v>
      </c>
      <c r="X37" s="16">
        <f t="shared" si="29"/>
        <v>1.5714285714285714</v>
      </c>
      <c r="Y37" s="16">
        <f t="shared" si="29"/>
        <v>63.571428571428569</v>
      </c>
      <c r="Z37" s="16">
        <f t="shared" si="29"/>
        <v>16.142857142857142</v>
      </c>
      <c r="AA37" s="16">
        <f t="shared" si="29"/>
        <v>6</v>
      </c>
      <c r="AB37" s="16">
        <f t="shared" si="29"/>
        <v>17</v>
      </c>
      <c r="AC37" s="16">
        <f t="shared" si="29"/>
        <v>1180.7142857142858</v>
      </c>
      <c r="AD37" s="16">
        <f t="shared" si="29"/>
        <v>0.2857142857142857</v>
      </c>
      <c r="AE37" s="32">
        <f t="shared" si="29"/>
        <v>456.28571428571428</v>
      </c>
      <c r="AF37" s="32">
        <f t="shared" si="29"/>
        <v>1636.9999999999998</v>
      </c>
    </row>
    <row r="38" spans="2:32" ht="23.1" customHeight="1" x14ac:dyDescent="0.25">
      <c r="B38" s="24" t="s">
        <v>65</v>
      </c>
      <c r="C38" s="49">
        <f>AVERAGE('29.10-MUKONO-KATOSI'!C38,'30.10 KATOSI-MUKONO'!C38,'31.10 MUKONO-KATOSI'!C38,'3.11 MUKONO-KATOSI'!C38,'1.11 KATOSI-MUKONO-24hr'!C38,'2.11 KATOSI-MUKONO 24hr'!C38,'4.11 MUKONO-KATOSI'!C38)</f>
        <v>15.142857142857142</v>
      </c>
      <c r="D38" s="49">
        <f>AVERAGE('29.10-MUKONO-KATOSI'!D38,'30.10 KATOSI-MUKONO'!D38,'31.10 MUKONO-KATOSI'!D38,'3.11 MUKONO-KATOSI'!D38,'1.11 KATOSI-MUKONO-24hr'!D38,'2.11 KATOSI-MUKONO 24hr'!D38,'4.11 MUKONO-KATOSI'!D38)</f>
        <v>6.5714285714285712</v>
      </c>
      <c r="E38" s="49">
        <f>AVERAGE('29.10-MUKONO-KATOSI'!E38,'30.10 KATOSI-MUKONO'!E38,'31.10 MUKONO-KATOSI'!E38,'3.11 MUKONO-KATOSI'!E38,'1.11 KATOSI-MUKONO-24hr'!E38,'2.11 KATOSI-MUKONO 24hr'!E38,'4.11 MUKONO-KATOSI'!E38)</f>
        <v>5.7142857142857144</v>
      </c>
      <c r="F38" s="49">
        <f>AVERAGE('29.10-MUKONO-KATOSI'!F38,'30.10 KATOSI-MUKONO'!F38,'31.10 MUKONO-KATOSI'!F38,'3.11 MUKONO-KATOSI'!F38,'1.11 KATOSI-MUKONO-24hr'!F38,'2.11 KATOSI-MUKONO 24hr'!F38,'4.11 MUKONO-KATOSI'!F38)</f>
        <v>10.571428571428571</v>
      </c>
      <c r="G38" s="49">
        <f>AVERAGE('29.10-MUKONO-KATOSI'!G38,'30.10 KATOSI-MUKONO'!G38,'31.10 MUKONO-KATOSI'!G38,'3.11 MUKONO-KATOSI'!G38,'1.11 KATOSI-MUKONO-24hr'!G38,'2.11 KATOSI-MUKONO 24hr'!G38,'4.11 MUKONO-KATOSI'!G38)</f>
        <v>0.7142857142857143</v>
      </c>
      <c r="H38" s="49">
        <f>AVERAGE('29.10-MUKONO-KATOSI'!H38,'30.10 KATOSI-MUKONO'!H38,'31.10 MUKONO-KATOSI'!H38,'3.11 MUKONO-KATOSI'!H38,'1.11 KATOSI-MUKONO-24hr'!H38,'2.11 KATOSI-MUKONO 24hr'!H38,'4.11 MUKONO-KATOSI'!H38)</f>
        <v>0.14285714285714285</v>
      </c>
      <c r="I38" s="49">
        <f>AVERAGE('29.10-MUKONO-KATOSI'!I38,'30.10 KATOSI-MUKONO'!I38,'31.10 MUKONO-KATOSI'!I38,'3.11 MUKONO-KATOSI'!I38,'1.11 KATOSI-MUKONO-24hr'!I38,'2.11 KATOSI-MUKONO 24hr'!I38,'4.11 MUKONO-KATOSI'!I38)</f>
        <v>9.4285714285714288</v>
      </c>
      <c r="J38" s="49">
        <f>AVERAGE('29.10-MUKONO-KATOSI'!J38,'30.10 KATOSI-MUKONO'!J38,'31.10 MUKONO-KATOSI'!J38,'3.11 MUKONO-KATOSI'!J38,'1.11 KATOSI-MUKONO-24hr'!J38,'2.11 KATOSI-MUKONO 24hr'!J38,'4.11 MUKONO-KATOSI'!J38)</f>
        <v>1.5714285714285714</v>
      </c>
      <c r="K38" s="49">
        <f>AVERAGE('29.10-MUKONO-KATOSI'!K38,'30.10 KATOSI-MUKONO'!K38,'31.10 MUKONO-KATOSI'!K38,'3.11 MUKONO-KATOSI'!K38,'1.11 KATOSI-MUKONO-24hr'!K38,'2.11 KATOSI-MUKONO 24hr'!K38,'4.11 MUKONO-KATOSI'!K38)</f>
        <v>0.5714285714285714</v>
      </c>
      <c r="L38" s="49">
        <f>AVERAGE('29.10-MUKONO-KATOSI'!L38,'30.10 KATOSI-MUKONO'!L38,'31.10 MUKONO-KATOSI'!L38,'3.11 MUKONO-KATOSI'!L38,'1.11 KATOSI-MUKONO-24hr'!L38,'2.11 KATOSI-MUKONO 24hr'!L38,'4.11 MUKONO-KATOSI'!L38)</f>
        <v>0.5714285714285714</v>
      </c>
      <c r="M38" s="49">
        <f>AVERAGE('29.10-MUKONO-KATOSI'!M38,'30.10 KATOSI-MUKONO'!M38,'31.10 MUKONO-KATOSI'!M38,'3.11 MUKONO-KATOSI'!M38,'1.11 KATOSI-MUKONO-24hr'!M38,'2.11 KATOSI-MUKONO 24hr'!M38,'4.11 MUKONO-KATOSI'!M38)</f>
        <v>80.428571428571431</v>
      </c>
      <c r="N38" s="49">
        <f>AVERAGE('29.10-MUKONO-KATOSI'!N38,'30.10 KATOSI-MUKONO'!N38,'31.10 MUKONO-KATOSI'!N38,'3.11 MUKONO-KATOSI'!N38,'1.11 KATOSI-MUKONO-24hr'!N38,'2.11 KATOSI-MUKONO 24hr'!N38,'4.11 MUKONO-KATOSI'!N38)</f>
        <v>0</v>
      </c>
      <c r="O38" s="15">
        <f t="shared" si="0"/>
        <v>51</v>
      </c>
      <c r="P38" s="15">
        <f t="shared" si="1"/>
        <v>131.42857142857144</v>
      </c>
      <c r="R38" s="28" t="s">
        <v>86</v>
      </c>
      <c r="S38" s="16">
        <f t="shared" ref="S38:AF38" si="30">SUM(S13:S18)</f>
        <v>294.42857142857144</v>
      </c>
      <c r="T38" s="16">
        <f t="shared" si="30"/>
        <v>170.42857142857144</v>
      </c>
      <c r="U38" s="16">
        <f t="shared" si="30"/>
        <v>89.428571428571445</v>
      </c>
      <c r="V38" s="16">
        <f t="shared" si="30"/>
        <v>177.42857142857144</v>
      </c>
      <c r="W38" s="16">
        <f t="shared" si="30"/>
        <v>12.428571428571427</v>
      </c>
      <c r="X38" s="16">
        <f t="shared" si="30"/>
        <v>1.2857142857142856</v>
      </c>
      <c r="Y38" s="16">
        <f t="shared" si="30"/>
        <v>163.57142857142856</v>
      </c>
      <c r="Z38" s="16">
        <f t="shared" si="30"/>
        <v>42.142857142857153</v>
      </c>
      <c r="AA38" s="16">
        <f t="shared" si="30"/>
        <v>19.142857142857142</v>
      </c>
      <c r="AB38" s="16">
        <f t="shared" si="30"/>
        <v>29.714285714285708</v>
      </c>
      <c r="AC38" s="16">
        <f t="shared" si="30"/>
        <v>2139.4285714285716</v>
      </c>
      <c r="AD38" s="16">
        <f t="shared" si="30"/>
        <v>0.71428571428571419</v>
      </c>
      <c r="AE38" s="32">
        <f t="shared" si="30"/>
        <v>1000.7142857142859</v>
      </c>
      <c r="AF38" s="32">
        <f t="shared" si="30"/>
        <v>3140.1428571428578</v>
      </c>
    </row>
    <row r="39" spans="2:32" ht="23.1" customHeight="1" x14ac:dyDescent="0.25">
      <c r="B39" s="24" t="s">
        <v>66</v>
      </c>
      <c r="C39" s="49">
        <f>AVERAGE('29.10-MUKONO-KATOSI'!C39,'30.10 KATOSI-MUKONO'!C39,'31.10 MUKONO-KATOSI'!C39,'3.11 MUKONO-KATOSI'!C39,'1.11 KATOSI-MUKONO-24hr'!C39,'2.11 KATOSI-MUKONO 24hr'!C39,'4.11 MUKONO-KATOSI'!C39)</f>
        <v>13.142857142857142</v>
      </c>
      <c r="D39" s="49">
        <f>AVERAGE('29.10-MUKONO-KATOSI'!D39,'30.10 KATOSI-MUKONO'!D39,'31.10 MUKONO-KATOSI'!D39,'3.11 MUKONO-KATOSI'!D39,'1.11 KATOSI-MUKONO-24hr'!D39,'2.11 KATOSI-MUKONO 24hr'!D39,'4.11 MUKONO-KATOSI'!D39)</f>
        <v>6.2857142857142856</v>
      </c>
      <c r="E39" s="49">
        <f>AVERAGE('29.10-MUKONO-KATOSI'!E39,'30.10 KATOSI-MUKONO'!E39,'31.10 MUKONO-KATOSI'!E39,'3.11 MUKONO-KATOSI'!E39,'1.11 KATOSI-MUKONO-24hr'!E39,'2.11 KATOSI-MUKONO 24hr'!E39,'4.11 MUKONO-KATOSI'!E39)</f>
        <v>3.7142857142857144</v>
      </c>
      <c r="F39" s="49">
        <f>AVERAGE('29.10-MUKONO-KATOSI'!F39,'30.10 KATOSI-MUKONO'!F39,'31.10 MUKONO-KATOSI'!F39,'3.11 MUKONO-KATOSI'!F39,'1.11 KATOSI-MUKONO-24hr'!F39,'2.11 KATOSI-MUKONO 24hr'!F39,'4.11 MUKONO-KATOSI'!F39)</f>
        <v>7.1428571428571432</v>
      </c>
      <c r="G39" s="49">
        <f>AVERAGE('29.10-MUKONO-KATOSI'!G39,'30.10 KATOSI-MUKONO'!G39,'31.10 MUKONO-KATOSI'!G39,'3.11 MUKONO-KATOSI'!G39,'1.11 KATOSI-MUKONO-24hr'!G39,'2.11 KATOSI-MUKONO 24hr'!G39,'4.11 MUKONO-KATOSI'!G39)</f>
        <v>0.7142857142857143</v>
      </c>
      <c r="H39" s="49">
        <f>AVERAGE('29.10-MUKONO-KATOSI'!H39,'30.10 KATOSI-MUKONO'!H39,'31.10 MUKONO-KATOSI'!H39,'3.11 MUKONO-KATOSI'!H39,'1.11 KATOSI-MUKONO-24hr'!H39,'2.11 KATOSI-MUKONO 24hr'!H39,'4.11 MUKONO-KATOSI'!H39)</f>
        <v>0.14285714285714285</v>
      </c>
      <c r="I39" s="49">
        <f>AVERAGE('29.10-MUKONO-KATOSI'!I39,'30.10 KATOSI-MUKONO'!I39,'31.10 MUKONO-KATOSI'!I39,'3.11 MUKONO-KATOSI'!I39,'1.11 KATOSI-MUKONO-24hr'!I39,'2.11 KATOSI-MUKONO 24hr'!I39,'4.11 MUKONO-KATOSI'!I39)</f>
        <v>6.8571428571428568</v>
      </c>
      <c r="J39" s="49">
        <f>AVERAGE('29.10-MUKONO-KATOSI'!J39,'30.10 KATOSI-MUKONO'!J39,'31.10 MUKONO-KATOSI'!J39,'3.11 MUKONO-KATOSI'!J39,'1.11 KATOSI-MUKONO-24hr'!J39,'2.11 KATOSI-MUKONO 24hr'!J39,'4.11 MUKONO-KATOSI'!J39)</f>
        <v>2.8571428571428572</v>
      </c>
      <c r="K39" s="49">
        <f>AVERAGE('29.10-MUKONO-KATOSI'!K39,'30.10 KATOSI-MUKONO'!K39,'31.10 MUKONO-KATOSI'!K39,'3.11 MUKONO-KATOSI'!K39,'1.11 KATOSI-MUKONO-24hr'!K39,'2.11 KATOSI-MUKONO 24hr'!K39,'4.11 MUKONO-KATOSI'!K39)</f>
        <v>0.5714285714285714</v>
      </c>
      <c r="L39" s="49">
        <f>AVERAGE('29.10-MUKONO-KATOSI'!L39,'30.10 KATOSI-MUKONO'!L39,'31.10 MUKONO-KATOSI'!L39,'3.11 MUKONO-KATOSI'!L39,'1.11 KATOSI-MUKONO-24hr'!L39,'2.11 KATOSI-MUKONO 24hr'!L39,'4.11 MUKONO-KATOSI'!L39)</f>
        <v>0.42857142857142855</v>
      </c>
      <c r="M39" s="49">
        <f>AVERAGE('29.10-MUKONO-KATOSI'!M39,'30.10 KATOSI-MUKONO'!M39,'31.10 MUKONO-KATOSI'!M39,'3.11 MUKONO-KATOSI'!M39,'1.11 KATOSI-MUKONO-24hr'!M39,'2.11 KATOSI-MUKONO 24hr'!M39,'4.11 MUKONO-KATOSI'!M39)</f>
        <v>73.714285714285708</v>
      </c>
      <c r="N39" s="49">
        <f>AVERAGE('29.10-MUKONO-KATOSI'!N39,'30.10 KATOSI-MUKONO'!N39,'31.10 MUKONO-KATOSI'!N39,'3.11 MUKONO-KATOSI'!N39,'1.11 KATOSI-MUKONO-24hr'!N39,'2.11 KATOSI-MUKONO 24hr'!N39,'4.11 MUKONO-KATOSI'!N39)</f>
        <v>0.14285714285714285</v>
      </c>
      <c r="O39" s="15">
        <f t="shared" si="0"/>
        <v>42</v>
      </c>
      <c r="P39" s="15">
        <f t="shared" si="1"/>
        <v>115.71428571428569</v>
      </c>
      <c r="R39" s="29" t="s">
        <v>87</v>
      </c>
      <c r="S39" s="16">
        <f t="shared" ref="S39:AF39" si="31">SUM(S19:S21)</f>
        <v>146.85714285714286</v>
      </c>
      <c r="T39" s="16">
        <f t="shared" si="31"/>
        <v>81.142857142857139</v>
      </c>
      <c r="U39" s="16">
        <f t="shared" si="31"/>
        <v>46.428571428571431</v>
      </c>
      <c r="V39" s="16">
        <f t="shared" si="31"/>
        <v>105.85714285714286</v>
      </c>
      <c r="W39" s="16">
        <f t="shared" si="31"/>
        <v>8</v>
      </c>
      <c r="X39" s="16">
        <f t="shared" si="31"/>
        <v>0.42857142857142855</v>
      </c>
      <c r="Y39" s="16">
        <f t="shared" si="31"/>
        <v>66.714285714285722</v>
      </c>
      <c r="Z39" s="16">
        <f t="shared" si="31"/>
        <v>22.857142857142858</v>
      </c>
      <c r="AA39" s="16">
        <f t="shared" si="31"/>
        <v>6.7142857142857144</v>
      </c>
      <c r="AB39" s="16">
        <f t="shared" si="31"/>
        <v>5.5714285714285703</v>
      </c>
      <c r="AC39" s="16">
        <f t="shared" si="31"/>
        <v>1132.5714285714284</v>
      </c>
      <c r="AD39" s="16">
        <f t="shared" si="31"/>
        <v>0.2857142857142857</v>
      </c>
      <c r="AE39" s="32">
        <f t="shared" si="31"/>
        <v>490.85714285714283</v>
      </c>
      <c r="AF39" s="32">
        <f t="shared" si="31"/>
        <v>1623.4285714285713</v>
      </c>
    </row>
    <row r="40" spans="2:32" ht="23.1" customHeight="1" x14ac:dyDescent="0.25">
      <c r="B40" s="24" t="s">
        <v>67</v>
      </c>
      <c r="C40" s="49">
        <f>AVERAGE('29.10-MUKONO-KATOSI'!C40,'30.10 KATOSI-MUKONO'!C40,'31.10 MUKONO-KATOSI'!C40,'3.11 MUKONO-KATOSI'!C40,'1.11 KATOSI-MUKONO-24hr'!C40,'2.11 KATOSI-MUKONO 24hr'!C40,'4.11 MUKONO-KATOSI'!C40)</f>
        <v>11.857142857142858</v>
      </c>
      <c r="D40" s="49">
        <f>AVERAGE('29.10-MUKONO-KATOSI'!D40,'30.10 KATOSI-MUKONO'!D40,'31.10 MUKONO-KATOSI'!D40,'3.11 MUKONO-KATOSI'!D40,'1.11 KATOSI-MUKONO-24hr'!D40,'2.11 KATOSI-MUKONO 24hr'!D40,'4.11 MUKONO-KATOSI'!D40)</f>
        <v>5.8571428571428568</v>
      </c>
      <c r="E40" s="49">
        <f>AVERAGE('29.10-MUKONO-KATOSI'!E40,'30.10 KATOSI-MUKONO'!E40,'31.10 MUKONO-KATOSI'!E40,'3.11 MUKONO-KATOSI'!E40,'1.11 KATOSI-MUKONO-24hr'!E40,'2.11 KATOSI-MUKONO 24hr'!E40,'4.11 MUKONO-KATOSI'!E40)</f>
        <v>4</v>
      </c>
      <c r="F40" s="49">
        <f>AVERAGE('29.10-MUKONO-KATOSI'!F40,'30.10 KATOSI-MUKONO'!F40,'31.10 MUKONO-KATOSI'!F40,'3.11 MUKONO-KATOSI'!F40,'1.11 KATOSI-MUKONO-24hr'!F40,'2.11 KATOSI-MUKONO 24hr'!F40,'4.11 MUKONO-KATOSI'!F40)</f>
        <v>8.4285714285714288</v>
      </c>
      <c r="G40" s="49">
        <f>AVERAGE('29.10-MUKONO-KATOSI'!G40,'30.10 KATOSI-MUKONO'!G40,'31.10 MUKONO-KATOSI'!G40,'3.11 MUKONO-KATOSI'!G40,'1.11 KATOSI-MUKONO-24hr'!G40,'2.11 KATOSI-MUKONO 24hr'!G40,'4.11 MUKONO-KATOSI'!G40)</f>
        <v>0.14285714285714285</v>
      </c>
      <c r="H40" s="49">
        <f>AVERAGE('29.10-MUKONO-KATOSI'!H40,'30.10 KATOSI-MUKONO'!H40,'31.10 MUKONO-KATOSI'!H40,'3.11 MUKONO-KATOSI'!H40,'1.11 KATOSI-MUKONO-24hr'!H40,'2.11 KATOSI-MUKONO 24hr'!H40,'4.11 MUKONO-KATOSI'!H40)</f>
        <v>0</v>
      </c>
      <c r="I40" s="49">
        <f>AVERAGE('29.10-MUKONO-KATOSI'!I40,'30.10 KATOSI-MUKONO'!I40,'31.10 MUKONO-KATOSI'!I40,'3.11 MUKONO-KATOSI'!I40,'1.11 KATOSI-MUKONO-24hr'!I40,'2.11 KATOSI-MUKONO 24hr'!I40,'4.11 MUKONO-KATOSI'!I40)</f>
        <v>5.5714285714285712</v>
      </c>
      <c r="J40" s="49">
        <f>AVERAGE('29.10-MUKONO-KATOSI'!J40,'30.10 KATOSI-MUKONO'!J40,'31.10 MUKONO-KATOSI'!J40,'3.11 MUKONO-KATOSI'!J40,'1.11 KATOSI-MUKONO-24hr'!J40,'2.11 KATOSI-MUKONO 24hr'!J40,'4.11 MUKONO-KATOSI'!J40)</f>
        <v>2</v>
      </c>
      <c r="K40" s="49">
        <f>AVERAGE('29.10-MUKONO-KATOSI'!K40,'30.10 KATOSI-MUKONO'!K40,'31.10 MUKONO-KATOSI'!K40,'3.11 MUKONO-KATOSI'!K40,'1.11 KATOSI-MUKONO-24hr'!K40,'2.11 KATOSI-MUKONO 24hr'!K40,'4.11 MUKONO-KATOSI'!K40)</f>
        <v>1.1428571428571428</v>
      </c>
      <c r="L40" s="49">
        <f>AVERAGE('29.10-MUKONO-KATOSI'!L40,'30.10 KATOSI-MUKONO'!L40,'31.10 MUKONO-KATOSI'!L40,'3.11 MUKONO-KATOSI'!L40,'1.11 KATOSI-MUKONO-24hr'!L40,'2.11 KATOSI-MUKONO 24hr'!L40,'4.11 MUKONO-KATOSI'!L40)</f>
        <v>0.8571428571428571</v>
      </c>
      <c r="M40" s="49">
        <f>AVERAGE('29.10-MUKONO-KATOSI'!M40,'30.10 KATOSI-MUKONO'!M40,'31.10 MUKONO-KATOSI'!M40,'3.11 MUKONO-KATOSI'!M40,'1.11 KATOSI-MUKONO-24hr'!M40,'2.11 KATOSI-MUKONO 24hr'!M40,'4.11 MUKONO-KATOSI'!M40)</f>
        <v>68.571428571428569</v>
      </c>
      <c r="N40" s="49">
        <f>AVERAGE('29.10-MUKONO-KATOSI'!N40,'30.10 KATOSI-MUKONO'!N40,'31.10 MUKONO-KATOSI'!N40,'3.11 MUKONO-KATOSI'!N40,'1.11 KATOSI-MUKONO-24hr'!N40,'2.11 KATOSI-MUKONO 24hr'!N40,'4.11 MUKONO-KATOSI'!N40)</f>
        <v>0</v>
      </c>
      <c r="O40" s="15">
        <f t="shared" si="0"/>
        <v>39.857142857142861</v>
      </c>
      <c r="P40" s="15">
        <f t="shared" si="1"/>
        <v>108.42857142857143</v>
      </c>
      <c r="R40" s="5" t="s">
        <v>17</v>
      </c>
      <c r="S40" s="16">
        <f t="shared" ref="S40:AF40" si="32">SUM(S10:S21)</f>
        <v>593</v>
      </c>
      <c r="T40" s="16">
        <f t="shared" si="32"/>
        <v>314.42857142857139</v>
      </c>
      <c r="U40" s="16">
        <f t="shared" si="32"/>
        <v>174.14285714285717</v>
      </c>
      <c r="V40" s="16">
        <f t="shared" si="32"/>
        <v>371.57142857142867</v>
      </c>
      <c r="W40" s="16">
        <f t="shared" si="32"/>
        <v>31</v>
      </c>
      <c r="X40" s="16">
        <f t="shared" si="32"/>
        <v>3.2857142857142851</v>
      </c>
      <c r="Y40" s="16">
        <f t="shared" si="32"/>
        <v>293.85714285714283</v>
      </c>
      <c r="Z40" s="16">
        <f t="shared" si="32"/>
        <v>81.142857142857153</v>
      </c>
      <c r="AA40" s="16">
        <f t="shared" si="32"/>
        <v>31.857142857142858</v>
      </c>
      <c r="AB40" s="16">
        <f t="shared" si="32"/>
        <v>52.285714285714292</v>
      </c>
      <c r="AC40" s="16">
        <f t="shared" si="32"/>
        <v>4452.7142857142862</v>
      </c>
      <c r="AD40" s="16">
        <f t="shared" si="32"/>
        <v>1.2857142857142856</v>
      </c>
      <c r="AE40" s="32">
        <f t="shared" si="32"/>
        <v>1947.8571428571431</v>
      </c>
      <c r="AF40" s="32">
        <f t="shared" si="32"/>
        <v>6400.5714285714275</v>
      </c>
    </row>
    <row r="41" spans="2:32" ht="23.1" customHeight="1" x14ac:dyDescent="0.25">
      <c r="B41" s="23" t="s">
        <v>68</v>
      </c>
      <c r="C41" s="49">
        <f>AVERAGE('29.10-MUKONO-KATOSI'!C41,'30.10 KATOSI-MUKONO'!C41,'31.10 MUKONO-KATOSI'!C41,'3.11 MUKONO-KATOSI'!C41,'1.11 KATOSI-MUKONO-24hr'!C41,'2.11 KATOSI-MUKONO 24hr'!C41,'4.11 MUKONO-KATOSI'!C41)</f>
        <v>10.571428571428571</v>
      </c>
      <c r="D41" s="49">
        <f>AVERAGE('29.10-MUKONO-KATOSI'!D41,'30.10 KATOSI-MUKONO'!D41,'31.10 MUKONO-KATOSI'!D41,'3.11 MUKONO-KATOSI'!D41,'1.11 KATOSI-MUKONO-24hr'!D41,'2.11 KATOSI-MUKONO 24hr'!D41,'4.11 MUKONO-KATOSI'!D41)</f>
        <v>6.8571428571428568</v>
      </c>
      <c r="E41" s="49">
        <f>AVERAGE('29.10-MUKONO-KATOSI'!E41,'30.10 KATOSI-MUKONO'!E41,'31.10 MUKONO-KATOSI'!E41,'3.11 MUKONO-KATOSI'!E41,'1.11 KATOSI-MUKONO-24hr'!E41,'2.11 KATOSI-MUKONO 24hr'!E41,'4.11 MUKONO-KATOSI'!E41)</f>
        <v>4.1428571428571432</v>
      </c>
      <c r="F41" s="49">
        <f>AVERAGE('29.10-MUKONO-KATOSI'!F41,'30.10 KATOSI-MUKONO'!F41,'31.10 MUKONO-KATOSI'!F41,'3.11 MUKONO-KATOSI'!F41,'1.11 KATOSI-MUKONO-24hr'!F41,'2.11 KATOSI-MUKONO 24hr'!F41,'4.11 MUKONO-KATOSI'!F41)</f>
        <v>6.4285714285714288</v>
      </c>
      <c r="G41" s="49">
        <f>AVERAGE('29.10-MUKONO-KATOSI'!G41,'30.10 KATOSI-MUKONO'!G41,'31.10 MUKONO-KATOSI'!G41,'3.11 MUKONO-KATOSI'!G41,'1.11 KATOSI-MUKONO-24hr'!G41,'2.11 KATOSI-MUKONO 24hr'!G41,'4.11 MUKONO-KATOSI'!G41)</f>
        <v>0.14285714285714285</v>
      </c>
      <c r="H41" s="49">
        <f>AVERAGE('29.10-MUKONO-KATOSI'!H41,'30.10 KATOSI-MUKONO'!H41,'31.10 MUKONO-KATOSI'!H41,'3.11 MUKONO-KATOSI'!H41,'1.11 KATOSI-MUKONO-24hr'!H41,'2.11 KATOSI-MUKONO 24hr'!H41,'4.11 MUKONO-KATOSI'!H41)</f>
        <v>0</v>
      </c>
      <c r="I41" s="49">
        <f>AVERAGE('29.10-MUKONO-KATOSI'!I41,'30.10 KATOSI-MUKONO'!I41,'31.10 MUKONO-KATOSI'!I41,'3.11 MUKONO-KATOSI'!I41,'1.11 KATOSI-MUKONO-24hr'!I41,'2.11 KATOSI-MUKONO 24hr'!I41,'4.11 MUKONO-KATOSI'!I41)</f>
        <v>5.7142857142857144</v>
      </c>
      <c r="J41" s="49">
        <f>AVERAGE('29.10-MUKONO-KATOSI'!J41,'30.10 KATOSI-MUKONO'!J41,'31.10 MUKONO-KATOSI'!J41,'3.11 MUKONO-KATOSI'!J41,'1.11 KATOSI-MUKONO-24hr'!J41,'2.11 KATOSI-MUKONO 24hr'!J41,'4.11 MUKONO-KATOSI'!J41)</f>
        <v>1.7142857142857142</v>
      </c>
      <c r="K41" s="49">
        <f>AVERAGE('29.10-MUKONO-KATOSI'!K41,'30.10 KATOSI-MUKONO'!K41,'31.10 MUKONO-KATOSI'!K41,'3.11 MUKONO-KATOSI'!K41,'1.11 KATOSI-MUKONO-24hr'!K41,'2.11 KATOSI-MUKONO 24hr'!K41,'4.11 MUKONO-KATOSI'!K41)</f>
        <v>1.1428571428571428</v>
      </c>
      <c r="L41" s="49">
        <f>AVERAGE('29.10-MUKONO-KATOSI'!L41,'30.10 KATOSI-MUKONO'!L41,'31.10 MUKONO-KATOSI'!L41,'3.11 MUKONO-KATOSI'!L41,'1.11 KATOSI-MUKONO-24hr'!L41,'2.11 KATOSI-MUKONO 24hr'!L41,'4.11 MUKONO-KATOSI'!L41)</f>
        <v>0.14285714285714285</v>
      </c>
      <c r="M41" s="49">
        <f>AVERAGE('29.10-MUKONO-KATOSI'!M41,'30.10 KATOSI-MUKONO'!M41,'31.10 MUKONO-KATOSI'!M41,'3.11 MUKONO-KATOSI'!M41,'1.11 KATOSI-MUKONO-24hr'!M41,'2.11 KATOSI-MUKONO 24hr'!M41,'4.11 MUKONO-KATOSI'!M41)</f>
        <v>68.714285714285708</v>
      </c>
      <c r="N41" s="49">
        <f>AVERAGE('29.10-MUKONO-KATOSI'!N41,'30.10 KATOSI-MUKONO'!N41,'31.10 MUKONO-KATOSI'!N41,'3.11 MUKONO-KATOSI'!N41,'1.11 KATOSI-MUKONO-24hr'!N41,'2.11 KATOSI-MUKONO 24hr'!N41,'4.11 MUKONO-KATOSI'!N41)</f>
        <v>0</v>
      </c>
      <c r="O41" s="15">
        <f t="shared" si="0"/>
        <v>36.857142857142861</v>
      </c>
      <c r="P41" s="15">
        <f t="shared" si="1"/>
        <v>105.57142857142857</v>
      </c>
      <c r="R41" s="5" t="s">
        <v>185</v>
      </c>
      <c r="S41" s="16">
        <f>SUM(S10:S33)</f>
        <v>871.5</v>
      </c>
      <c r="T41" s="16">
        <f t="shared" ref="T41:AD41" si="33">SUM(T10:T33)</f>
        <v>372.92857142857139</v>
      </c>
      <c r="U41" s="16">
        <f t="shared" si="33"/>
        <v>233.64285714285717</v>
      </c>
      <c r="V41" s="16">
        <f t="shared" si="33"/>
        <v>546.07142857142867</v>
      </c>
      <c r="W41" s="16">
        <f t="shared" si="33"/>
        <v>39</v>
      </c>
      <c r="X41" s="16">
        <f t="shared" si="33"/>
        <v>4.2857142857142847</v>
      </c>
      <c r="Y41" s="16">
        <f t="shared" si="33"/>
        <v>371.35714285714283</v>
      </c>
      <c r="Z41" s="16">
        <f t="shared" si="33"/>
        <v>108.64285714285715</v>
      </c>
      <c r="AA41" s="16">
        <f t="shared" si="33"/>
        <v>39.857142857142861</v>
      </c>
      <c r="AB41" s="16">
        <f t="shared" si="33"/>
        <v>57.785714285714292</v>
      </c>
      <c r="AC41" s="16">
        <f t="shared" si="33"/>
        <v>6145.2142857142862</v>
      </c>
      <c r="AD41" s="16">
        <f t="shared" si="33"/>
        <v>1.2857142857142856</v>
      </c>
      <c r="AE41" s="32">
        <f>SUM(AE10:AE33)</f>
        <v>2646.3571428571431</v>
      </c>
      <c r="AF41" s="32">
        <f>SUM(AF10:AF33)</f>
        <v>8791.5714285714275</v>
      </c>
    </row>
    <row r="42" spans="2:32" ht="23.1" customHeight="1" x14ac:dyDescent="0.25">
      <c r="B42" s="24" t="s">
        <v>69</v>
      </c>
      <c r="C42" s="49">
        <f>AVERAGE('29.10-MUKONO-KATOSI'!C42,'30.10 KATOSI-MUKONO'!C42,'31.10 MUKONO-KATOSI'!C42,'3.11 MUKONO-KATOSI'!C42,'1.11 KATOSI-MUKONO-24hr'!C42,'2.11 KATOSI-MUKONO 24hr'!C42,'4.11 MUKONO-KATOSI'!C42)</f>
        <v>11.285714285714286</v>
      </c>
      <c r="D42" s="49">
        <f>AVERAGE('29.10-MUKONO-KATOSI'!D42,'30.10 KATOSI-MUKONO'!D42,'31.10 MUKONO-KATOSI'!D42,'3.11 MUKONO-KATOSI'!D42,'1.11 KATOSI-MUKONO-24hr'!D42,'2.11 KATOSI-MUKONO 24hr'!D42,'4.11 MUKONO-KATOSI'!D42)</f>
        <v>7</v>
      </c>
      <c r="E42" s="49">
        <f>AVERAGE('29.10-MUKONO-KATOSI'!E42,'30.10 KATOSI-MUKONO'!E42,'31.10 MUKONO-KATOSI'!E42,'3.11 MUKONO-KATOSI'!E42,'1.11 KATOSI-MUKONO-24hr'!E42,'2.11 KATOSI-MUKONO 24hr'!E42,'4.11 MUKONO-KATOSI'!E42)</f>
        <v>4.7142857142857144</v>
      </c>
      <c r="F42" s="49">
        <f>AVERAGE('29.10-MUKONO-KATOSI'!F42,'30.10 KATOSI-MUKONO'!F42,'31.10 MUKONO-KATOSI'!F42,'3.11 MUKONO-KATOSI'!F42,'1.11 KATOSI-MUKONO-24hr'!F42,'2.11 KATOSI-MUKONO 24hr'!F42,'4.11 MUKONO-KATOSI'!F42)</f>
        <v>5.7142857142857144</v>
      </c>
      <c r="G42" s="49">
        <f>AVERAGE('29.10-MUKONO-KATOSI'!G42,'30.10 KATOSI-MUKONO'!G42,'31.10 MUKONO-KATOSI'!G42,'3.11 MUKONO-KATOSI'!G42,'1.11 KATOSI-MUKONO-24hr'!G42,'2.11 KATOSI-MUKONO 24hr'!G42,'4.11 MUKONO-KATOSI'!G42)</f>
        <v>0.2857142857142857</v>
      </c>
      <c r="H42" s="49">
        <f>AVERAGE('29.10-MUKONO-KATOSI'!H42,'30.10 KATOSI-MUKONO'!H42,'31.10 MUKONO-KATOSI'!H42,'3.11 MUKONO-KATOSI'!H42,'1.11 KATOSI-MUKONO-24hr'!H42,'2.11 KATOSI-MUKONO 24hr'!H42,'4.11 MUKONO-KATOSI'!H42)</f>
        <v>0</v>
      </c>
      <c r="I42" s="49">
        <f>AVERAGE('29.10-MUKONO-KATOSI'!I42,'30.10 KATOSI-MUKONO'!I42,'31.10 MUKONO-KATOSI'!I42,'3.11 MUKONO-KATOSI'!I42,'1.11 KATOSI-MUKONO-24hr'!I42,'2.11 KATOSI-MUKONO 24hr'!I42,'4.11 MUKONO-KATOSI'!I42)</f>
        <v>4.5714285714285712</v>
      </c>
      <c r="J42" s="49">
        <f>AVERAGE('29.10-MUKONO-KATOSI'!J42,'30.10 KATOSI-MUKONO'!J42,'31.10 MUKONO-KATOSI'!J42,'3.11 MUKONO-KATOSI'!J42,'1.11 KATOSI-MUKONO-24hr'!J42,'2.11 KATOSI-MUKONO 24hr'!J42,'4.11 MUKONO-KATOSI'!J42)</f>
        <v>1.4285714285714286</v>
      </c>
      <c r="K42" s="49">
        <f>AVERAGE('29.10-MUKONO-KATOSI'!K42,'30.10 KATOSI-MUKONO'!K42,'31.10 MUKONO-KATOSI'!K42,'3.11 MUKONO-KATOSI'!K42,'1.11 KATOSI-MUKONO-24hr'!K42,'2.11 KATOSI-MUKONO 24hr'!K42,'4.11 MUKONO-KATOSI'!K42)</f>
        <v>0.5714285714285714</v>
      </c>
      <c r="L42" s="49">
        <f>AVERAGE('29.10-MUKONO-KATOSI'!L42,'30.10 KATOSI-MUKONO'!L42,'31.10 MUKONO-KATOSI'!L42,'3.11 MUKONO-KATOSI'!L42,'1.11 KATOSI-MUKONO-24hr'!L42,'2.11 KATOSI-MUKONO 24hr'!L42,'4.11 MUKONO-KATOSI'!L42)</f>
        <v>0.42857142857142855</v>
      </c>
      <c r="M42" s="49">
        <f>AVERAGE('29.10-MUKONO-KATOSI'!M42,'30.10 KATOSI-MUKONO'!M42,'31.10 MUKONO-KATOSI'!M42,'3.11 MUKONO-KATOSI'!M42,'1.11 KATOSI-MUKONO-24hr'!M42,'2.11 KATOSI-MUKONO 24hr'!M42,'4.11 MUKONO-KATOSI'!M42)</f>
        <v>85.571428571428569</v>
      </c>
      <c r="N42" s="49">
        <f>AVERAGE('29.10-MUKONO-KATOSI'!N42,'30.10 KATOSI-MUKONO'!N42,'31.10 MUKONO-KATOSI'!N42,'3.11 MUKONO-KATOSI'!N42,'1.11 KATOSI-MUKONO-24hr'!N42,'2.11 KATOSI-MUKONO 24hr'!N42,'4.11 MUKONO-KATOSI'!N42)</f>
        <v>0.14285714285714285</v>
      </c>
      <c r="O42" s="15">
        <f t="shared" si="0"/>
        <v>36.142857142857146</v>
      </c>
      <c r="P42" s="15">
        <f t="shared" si="1"/>
        <v>121.71428571428571</v>
      </c>
      <c r="R42" s="5" t="s">
        <v>160</v>
      </c>
      <c r="S42" s="48">
        <f>S41/S40</f>
        <v>1.4696458684654301</v>
      </c>
      <c r="T42" s="48">
        <f t="shared" ref="T42:AF42" si="34">T41/T40</f>
        <v>1.1860517946388005</v>
      </c>
      <c r="U42" s="48">
        <f t="shared" si="34"/>
        <v>1.3416735028712059</v>
      </c>
      <c r="V42" s="48">
        <f t="shared" si="34"/>
        <v>1.4696270665128794</v>
      </c>
      <c r="W42" s="48">
        <f t="shared" si="34"/>
        <v>1.2580645161290323</v>
      </c>
      <c r="X42" s="48">
        <f t="shared" si="34"/>
        <v>1.3043478260869565</v>
      </c>
      <c r="Y42" s="48">
        <f t="shared" si="34"/>
        <v>1.2637335926105979</v>
      </c>
      <c r="Z42" s="48">
        <f t="shared" si="34"/>
        <v>1.3389084507042253</v>
      </c>
      <c r="AA42" s="48">
        <f t="shared" si="34"/>
        <v>1.2511210762331839</v>
      </c>
      <c r="AB42" s="48">
        <f t="shared" si="34"/>
        <v>1.105191256830601</v>
      </c>
      <c r="AC42" s="48">
        <f t="shared" si="34"/>
        <v>1.3801052327633225</v>
      </c>
      <c r="AD42" s="48">
        <f t="shared" si="34"/>
        <v>1</v>
      </c>
      <c r="AE42" s="52">
        <f t="shared" si="34"/>
        <v>1.3585991932526587</v>
      </c>
      <c r="AF42" s="52">
        <f t="shared" si="34"/>
        <v>1.3735603963931793</v>
      </c>
    </row>
    <row r="43" spans="2:32" ht="23.1" customHeight="1" x14ac:dyDescent="0.25">
      <c r="B43" s="23" t="s">
        <v>70</v>
      </c>
      <c r="C43" s="49">
        <f>AVERAGE('29.10-MUKONO-KATOSI'!C43,'30.10 KATOSI-MUKONO'!C43,'31.10 MUKONO-KATOSI'!C43,'3.11 MUKONO-KATOSI'!C43,'1.11 KATOSI-MUKONO-24hr'!C43,'2.11 KATOSI-MUKONO 24hr'!C43,'4.11 MUKONO-KATOSI'!C43)</f>
        <v>12.571428571428571</v>
      </c>
      <c r="D43" s="49">
        <f>AVERAGE('29.10-MUKONO-KATOSI'!D43,'30.10 KATOSI-MUKONO'!D43,'31.10 MUKONO-KATOSI'!D43,'3.11 MUKONO-KATOSI'!D43,'1.11 KATOSI-MUKONO-24hr'!D43,'2.11 KATOSI-MUKONO 24hr'!D43,'4.11 MUKONO-KATOSI'!D43)</f>
        <v>13.857142857142858</v>
      </c>
      <c r="E43" s="49">
        <f>AVERAGE('29.10-MUKONO-KATOSI'!E43,'30.10 KATOSI-MUKONO'!E43,'31.10 MUKONO-KATOSI'!E43,'3.11 MUKONO-KATOSI'!E43,'1.11 KATOSI-MUKONO-24hr'!E43,'2.11 KATOSI-MUKONO 24hr'!E43,'4.11 MUKONO-KATOSI'!E43)</f>
        <v>5.2857142857142856</v>
      </c>
      <c r="F43" s="49">
        <f>AVERAGE('29.10-MUKONO-KATOSI'!F43,'30.10 KATOSI-MUKONO'!F43,'31.10 MUKONO-KATOSI'!F43,'3.11 MUKONO-KATOSI'!F43,'1.11 KATOSI-MUKONO-24hr'!F43,'2.11 KATOSI-MUKONO 24hr'!F43,'4.11 MUKONO-KATOSI'!F43)</f>
        <v>7.7142857142857144</v>
      </c>
      <c r="G43" s="49">
        <f>AVERAGE('29.10-MUKONO-KATOSI'!G43,'30.10 KATOSI-MUKONO'!G43,'31.10 MUKONO-KATOSI'!G43,'3.11 MUKONO-KATOSI'!G43,'1.11 KATOSI-MUKONO-24hr'!G43,'2.11 KATOSI-MUKONO 24hr'!G43,'4.11 MUKONO-KATOSI'!G43)</f>
        <v>0.8571428571428571</v>
      </c>
      <c r="H43" s="49">
        <f>AVERAGE('29.10-MUKONO-KATOSI'!H43,'30.10 KATOSI-MUKONO'!H43,'31.10 MUKONO-KATOSI'!H43,'3.11 MUKONO-KATOSI'!H43,'1.11 KATOSI-MUKONO-24hr'!H43,'2.11 KATOSI-MUKONO 24hr'!H43,'4.11 MUKONO-KATOSI'!H43)</f>
        <v>0</v>
      </c>
      <c r="I43" s="49">
        <f>AVERAGE('29.10-MUKONO-KATOSI'!I43,'30.10 KATOSI-MUKONO'!I43,'31.10 MUKONO-KATOSI'!I43,'3.11 MUKONO-KATOSI'!I43,'1.11 KATOSI-MUKONO-24hr'!I43,'2.11 KATOSI-MUKONO 24hr'!I43,'4.11 MUKONO-KATOSI'!I43)</f>
        <v>7</v>
      </c>
      <c r="J43" s="49">
        <f>AVERAGE('29.10-MUKONO-KATOSI'!J43,'30.10 KATOSI-MUKONO'!J43,'31.10 MUKONO-KATOSI'!J43,'3.11 MUKONO-KATOSI'!J43,'1.11 KATOSI-MUKONO-24hr'!J43,'2.11 KATOSI-MUKONO 24hr'!J43,'4.11 MUKONO-KATOSI'!J43)</f>
        <v>2.1428571428571428</v>
      </c>
      <c r="K43" s="49">
        <f>AVERAGE('29.10-MUKONO-KATOSI'!K43,'30.10 KATOSI-MUKONO'!K43,'31.10 MUKONO-KATOSI'!K43,'3.11 MUKONO-KATOSI'!K43,'1.11 KATOSI-MUKONO-24hr'!K43,'2.11 KATOSI-MUKONO 24hr'!K43,'4.11 MUKONO-KATOSI'!K43)</f>
        <v>1</v>
      </c>
      <c r="L43" s="49">
        <f>AVERAGE('29.10-MUKONO-KATOSI'!L43,'30.10 KATOSI-MUKONO'!L43,'31.10 MUKONO-KATOSI'!L43,'3.11 MUKONO-KATOSI'!L43,'1.11 KATOSI-MUKONO-24hr'!L43,'2.11 KATOSI-MUKONO 24hr'!L43,'4.11 MUKONO-KATOSI'!L43)</f>
        <v>0.8571428571428571</v>
      </c>
      <c r="M43" s="49">
        <f>AVERAGE('29.10-MUKONO-KATOSI'!M43,'30.10 KATOSI-MUKONO'!M43,'31.10 MUKONO-KATOSI'!M43,'3.11 MUKONO-KATOSI'!M43,'1.11 KATOSI-MUKONO-24hr'!M43,'2.11 KATOSI-MUKONO 24hr'!M43,'4.11 MUKONO-KATOSI'!M43)</f>
        <v>96.142857142857139</v>
      </c>
      <c r="N43" s="49">
        <f>AVERAGE('29.10-MUKONO-KATOSI'!N43,'30.10 KATOSI-MUKONO'!N43,'31.10 MUKONO-KATOSI'!N43,'3.11 MUKONO-KATOSI'!N43,'1.11 KATOSI-MUKONO-24hr'!N43,'2.11 KATOSI-MUKONO 24hr'!N43,'4.11 MUKONO-KATOSI'!N43)</f>
        <v>0</v>
      </c>
      <c r="O43" s="15">
        <f t="shared" si="0"/>
        <v>51.285714285714285</v>
      </c>
      <c r="P43" s="15">
        <f t="shared" si="1"/>
        <v>147.42857142857142</v>
      </c>
    </row>
    <row r="44" spans="2:32" ht="23.1" customHeight="1" x14ac:dyDescent="0.25">
      <c r="B44" s="25" t="s">
        <v>71</v>
      </c>
      <c r="C44" s="49">
        <f>AVERAGE('29.10-MUKONO-KATOSI'!C44,'30.10 KATOSI-MUKONO'!C44,'31.10 MUKONO-KATOSI'!C44,'3.11 MUKONO-KATOSI'!C44,'1.11 KATOSI-MUKONO-24hr'!C44,'2.11 KATOSI-MUKONO 24hr'!C44,'4.11 MUKONO-KATOSI'!C44)</f>
        <v>12.571428571428571</v>
      </c>
      <c r="D44" s="49">
        <f>AVERAGE('29.10-MUKONO-KATOSI'!D44,'30.10 KATOSI-MUKONO'!D44,'31.10 MUKONO-KATOSI'!D44,'3.11 MUKONO-KATOSI'!D44,'1.11 KATOSI-MUKONO-24hr'!D44,'2.11 KATOSI-MUKONO 24hr'!D44,'4.11 MUKONO-KATOSI'!D44)</f>
        <v>8.2857142857142865</v>
      </c>
      <c r="E44" s="49">
        <f>AVERAGE('29.10-MUKONO-KATOSI'!E44,'30.10 KATOSI-MUKONO'!E44,'31.10 MUKONO-KATOSI'!E44,'3.11 MUKONO-KATOSI'!E44,'1.11 KATOSI-MUKONO-24hr'!E44,'2.11 KATOSI-MUKONO 24hr'!E44,'4.11 MUKONO-KATOSI'!E44)</f>
        <v>3.5714285714285716</v>
      </c>
      <c r="F44" s="49">
        <f>AVERAGE('29.10-MUKONO-KATOSI'!F44,'30.10 KATOSI-MUKONO'!F44,'31.10 MUKONO-KATOSI'!F44,'3.11 MUKONO-KATOSI'!F44,'1.11 KATOSI-MUKONO-24hr'!F44,'2.11 KATOSI-MUKONO 24hr'!F44,'4.11 MUKONO-KATOSI'!F44)</f>
        <v>7.8571428571428568</v>
      </c>
      <c r="G44" s="49">
        <f>AVERAGE('29.10-MUKONO-KATOSI'!G44,'30.10 KATOSI-MUKONO'!G44,'31.10 MUKONO-KATOSI'!G44,'3.11 MUKONO-KATOSI'!G44,'1.11 KATOSI-MUKONO-24hr'!G44,'2.11 KATOSI-MUKONO 24hr'!G44,'4.11 MUKONO-KATOSI'!G44)</f>
        <v>0.14285714285714285</v>
      </c>
      <c r="H44" s="49">
        <f>AVERAGE('29.10-MUKONO-KATOSI'!H44,'30.10 KATOSI-MUKONO'!H44,'31.10 MUKONO-KATOSI'!H44,'3.11 MUKONO-KATOSI'!H44,'1.11 KATOSI-MUKONO-24hr'!H44,'2.11 KATOSI-MUKONO 24hr'!H44,'4.11 MUKONO-KATOSI'!H44)</f>
        <v>0</v>
      </c>
      <c r="I44" s="49">
        <f>AVERAGE('29.10-MUKONO-KATOSI'!I44,'30.10 KATOSI-MUKONO'!I44,'31.10 MUKONO-KATOSI'!I44,'3.11 MUKONO-KATOSI'!I44,'1.11 KATOSI-MUKONO-24hr'!I44,'2.11 KATOSI-MUKONO 24hr'!I44,'4.11 MUKONO-KATOSI'!I44)</f>
        <v>6.5714285714285712</v>
      </c>
      <c r="J44" s="49">
        <f>AVERAGE('29.10-MUKONO-KATOSI'!J44,'30.10 KATOSI-MUKONO'!J44,'31.10 MUKONO-KATOSI'!J44,'3.11 MUKONO-KATOSI'!J44,'1.11 KATOSI-MUKONO-24hr'!J44,'2.11 KATOSI-MUKONO 24hr'!J44,'4.11 MUKONO-KATOSI'!J44)</f>
        <v>1.8571428571428572</v>
      </c>
      <c r="K44" s="49">
        <f>AVERAGE('29.10-MUKONO-KATOSI'!K44,'30.10 KATOSI-MUKONO'!K44,'31.10 MUKONO-KATOSI'!K44,'3.11 MUKONO-KATOSI'!K44,'1.11 KATOSI-MUKONO-24hr'!K44,'2.11 KATOSI-MUKONO 24hr'!K44,'4.11 MUKONO-KATOSI'!K44)</f>
        <v>1.7142857142857142</v>
      </c>
      <c r="L44" s="49">
        <f>AVERAGE('29.10-MUKONO-KATOSI'!L44,'30.10 KATOSI-MUKONO'!L44,'31.10 MUKONO-KATOSI'!L44,'3.11 MUKONO-KATOSI'!L44,'1.11 KATOSI-MUKONO-24hr'!L44,'2.11 KATOSI-MUKONO 24hr'!L44,'4.11 MUKONO-KATOSI'!L44)</f>
        <v>0.2857142857142857</v>
      </c>
      <c r="M44" s="49">
        <f>AVERAGE('29.10-MUKONO-KATOSI'!M44,'30.10 KATOSI-MUKONO'!M44,'31.10 MUKONO-KATOSI'!M44,'3.11 MUKONO-KATOSI'!M44,'1.11 KATOSI-MUKONO-24hr'!M44,'2.11 KATOSI-MUKONO 24hr'!M44,'4.11 MUKONO-KATOSI'!M44)</f>
        <v>86.857142857142861</v>
      </c>
      <c r="N44" s="49">
        <f>AVERAGE('29.10-MUKONO-KATOSI'!N44,'30.10 KATOSI-MUKONO'!N44,'31.10 MUKONO-KATOSI'!N44,'3.11 MUKONO-KATOSI'!N44,'1.11 KATOSI-MUKONO-24hr'!N44,'2.11 KATOSI-MUKONO 24hr'!N44,'4.11 MUKONO-KATOSI'!N44)</f>
        <v>0.14285714285714285</v>
      </c>
      <c r="O44" s="15">
        <f t="shared" si="0"/>
        <v>43</v>
      </c>
      <c r="P44" s="15">
        <f t="shared" si="1"/>
        <v>129.85714285714286</v>
      </c>
    </row>
    <row r="45" spans="2:32" ht="23.1" customHeight="1" x14ac:dyDescent="0.25">
      <c r="B45" s="23" t="s">
        <v>72</v>
      </c>
      <c r="C45" s="49">
        <f>AVERAGE('29.10-MUKONO-KATOSI'!C45,'30.10 KATOSI-MUKONO'!C45,'31.10 MUKONO-KATOSI'!C45,'3.11 MUKONO-KATOSI'!C45,'1.11 KATOSI-MUKONO-24hr'!C45,'2.11 KATOSI-MUKONO 24hr'!C45,'4.11 MUKONO-KATOSI'!C45)</f>
        <v>13.571428571428571</v>
      </c>
      <c r="D45" s="49">
        <f>AVERAGE('29.10-MUKONO-KATOSI'!D45,'30.10 KATOSI-MUKONO'!D45,'31.10 MUKONO-KATOSI'!D45,'3.11 MUKONO-KATOSI'!D45,'1.11 KATOSI-MUKONO-24hr'!D45,'2.11 KATOSI-MUKONO 24hr'!D45,'4.11 MUKONO-KATOSI'!D45)</f>
        <v>8.2857142857142865</v>
      </c>
      <c r="E45" s="49">
        <f>AVERAGE('29.10-MUKONO-KATOSI'!E45,'30.10 KATOSI-MUKONO'!E45,'31.10 MUKONO-KATOSI'!E45,'3.11 MUKONO-KATOSI'!E45,'1.11 KATOSI-MUKONO-24hr'!E45,'2.11 KATOSI-MUKONO 24hr'!E45,'4.11 MUKONO-KATOSI'!E45)</f>
        <v>3.1428571428571428</v>
      </c>
      <c r="F45" s="49">
        <f>AVERAGE('29.10-MUKONO-KATOSI'!F45,'30.10 KATOSI-MUKONO'!F45,'31.10 MUKONO-KATOSI'!F45,'3.11 MUKONO-KATOSI'!F45,'1.11 KATOSI-MUKONO-24hr'!F45,'2.11 KATOSI-MUKONO 24hr'!F45,'4.11 MUKONO-KATOSI'!F45)</f>
        <v>5.7142857142857144</v>
      </c>
      <c r="G45" s="49">
        <f>AVERAGE('29.10-MUKONO-KATOSI'!G45,'30.10 KATOSI-MUKONO'!G45,'31.10 MUKONO-KATOSI'!G45,'3.11 MUKONO-KATOSI'!G45,'1.11 KATOSI-MUKONO-24hr'!G45,'2.11 KATOSI-MUKONO 24hr'!G45,'4.11 MUKONO-KATOSI'!G45)</f>
        <v>0</v>
      </c>
      <c r="H45" s="49">
        <f>AVERAGE('29.10-MUKONO-KATOSI'!H45,'30.10 KATOSI-MUKONO'!H45,'31.10 MUKONO-KATOSI'!H45,'3.11 MUKONO-KATOSI'!H45,'1.11 KATOSI-MUKONO-24hr'!H45,'2.11 KATOSI-MUKONO 24hr'!H45,'4.11 MUKONO-KATOSI'!H45)</f>
        <v>0.14285714285714285</v>
      </c>
      <c r="I45" s="49">
        <f>AVERAGE('29.10-MUKONO-KATOSI'!I45,'30.10 KATOSI-MUKONO'!I45,'31.10 MUKONO-KATOSI'!I45,'3.11 MUKONO-KATOSI'!I45,'1.11 KATOSI-MUKONO-24hr'!I45,'2.11 KATOSI-MUKONO 24hr'!I45,'4.11 MUKONO-KATOSI'!I45)</f>
        <v>7.1428571428571432</v>
      </c>
      <c r="J45" s="49">
        <f>AVERAGE('29.10-MUKONO-KATOSI'!J45,'30.10 KATOSI-MUKONO'!J45,'31.10 MUKONO-KATOSI'!J45,'3.11 MUKONO-KATOSI'!J45,'1.11 KATOSI-MUKONO-24hr'!J45,'2.11 KATOSI-MUKONO 24hr'!J45,'4.11 MUKONO-KATOSI'!J45)</f>
        <v>1.4285714285714286</v>
      </c>
      <c r="K45" s="49">
        <f>AVERAGE('29.10-MUKONO-KATOSI'!K45,'30.10 KATOSI-MUKONO'!K45,'31.10 MUKONO-KATOSI'!K45,'3.11 MUKONO-KATOSI'!K45,'1.11 KATOSI-MUKONO-24hr'!K45,'2.11 KATOSI-MUKONO 24hr'!K45,'4.11 MUKONO-KATOSI'!K45)</f>
        <v>1</v>
      </c>
      <c r="L45" s="49">
        <f>AVERAGE('29.10-MUKONO-KATOSI'!L45,'30.10 KATOSI-MUKONO'!L45,'31.10 MUKONO-KATOSI'!L45,'3.11 MUKONO-KATOSI'!L45,'1.11 KATOSI-MUKONO-24hr'!L45,'2.11 KATOSI-MUKONO 24hr'!L45,'4.11 MUKONO-KATOSI'!L45)</f>
        <v>0.5714285714285714</v>
      </c>
      <c r="M45" s="49">
        <f>AVERAGE('29.10-MUKONO-KATOSI'!M45,'30.10 KATOSI-MUKONO'!M45,'31.10 MUKONO-KATOSI'!M45,'3.11 MUKONO-KATOSI'!M45,'1.11 KATOSI-MUKONO-24hr'!M45,'2.11 KATOSI-MUKONO 24hr'!M45,'4.11 MUKONO-KATOSI'!M45)</f>
        <v>95.857142857142861</v>
      </c>
      <c r="N45" s="49">
        <f>AVERAGE('29.10-MUKONO-KATOSI'!N45,'30.10 KATOSI-MUKONO'!N45,'31.10 MUKONO-KATOSI'!N45,'3.11 MUKONO-KATOSI'!N45,'1.11 KATOSI-MUKONO-24hr'!N45,'2.11 KATOSI-MUKONO 24hr'!N45,'4.11 MUKONO-KATOSI'!N45)</f>
        <v>0</v>
      </c>
      <c r="O45" s="15">
        <f t="shared" si="0"/>
        <v>41</v>
      </c>
      <c r="P45" s="15">
        <f t="shared" si="1"/>
        <v>136.85714285714286</v>
      </c>
    </row>
    <row r="46" spans="2:32" ht="23.1" customHeight="1" x14ac:dyDescent="0.25">
      <c r="B46" s="24" t="s">
        <v>73</v>
      </c>
      <c r="C46" s="49">
        <f>AVERAGE('29.10-MUKONO-KATOSI'!C46,'30.10 KATOSI-MUKONO'!C46,'31.10 MUKONO-KATOSI'!C46,'3.11 MUKONO-KATOSI'!C46,'1.11 KATOSI-MUKONO-24hr'!C46,'2.11 KATOSI-MUKONO 24hr'!C46,'4.11 MUKONO-KATOSI'!C46)</f>
        <v>10.571428571428571</v>
      </c>
      <c r="D46" s="49">
        <f>AVERAGE('29.10-MUKONO-KATOSI'!D46,'30.10 KATOSI-MUKONO'!D46,'31.10 MUKONO-KATOSI'!D46,'3.11 MUKONO-KATOSI'!D46,'1.11 KATOSI-MUKONO-24hr'!D46,'2.11 KATOSI-MUKONO 24hr'!D46,'4.11 MUKONO-KATOSI'!D46)</f>
        <v>7.2857142857142856</v>
      </c>
      <c r="E46" s="49">
        <f>AVERAGE('29.10-MUKONO-KATOSI'!E46,'30.10 KATOSI-MUKONO'!E46,'31.10 MUKONO-KATOSI'!E46,'3.11 MUKONO-KATOSI'!E46,'1.11 KATOSI-MUKONO-24hr'!E46,'2.11 KATOSI-MUKONO 24hr'!E46,'4.11 MUKONO-KATOSI'!E46)</f>
        <v>3</v>
      </c>
      <c r="F46" s="49">
        <f>AVERAGE('29.10-MUKONO-KATOSI'!F46,'30.10 KATOSI-MUKONO'!F46,'31.10 MUKONO-KATOSI'!F46,'3.11 MUKONO-KATOSI'!F46,'1.11 KATOSI-MUKONO-24hr'!F46,'2.11 KATOSI-MUKONO 24hr'!F46,'4.11 MUKONO-KATOSI'!F46)</f>
        <v>7.2857142857142856</v>
      </c>
      <c r="G46" s="49">
        <f>AVERAGE('29.10-MUKONO-KATOSI'!G46,'30.10 KATOSI-MUKONO'!G46,'31.10 MUKONO-KATOSI'!G46,'3.11 MUKONO-KATOSI'!G46,'1.11 KATOSI-MUKONO-24hr'!G46,'2.11 KATOSI-MUKONO 24hr'!G46,'4.11 MUKONO-KATOSI'!G46)</f>
        <v>0.42857142857142855</v>
      </c>
      <c r="H46" s="49">
        <f>AVERAGE('29.10-MUKONO-KATOSI'!H46,'30.10 KATOSI-MUKONO'!H46,'31.10 MUKONO-KATOSI'!H46,'3.11 MUKONO-KATOSI'!H46,'1.11 KATOSI-MUKONO-24hr'!H46,'2.11 KATOSI-MUKONO 24hr'!H46,'4.11 MUKONO-KATOSI'!H46)</f>
        <v>0</v>
      </c>
      <c r="I46" s="49">
        <f>AVERAGE('29.10-MUKONO-KATOSI'!I46,'30.10 KATOSI-MUKONO'!I46,'31.10 MUKONO-KATOSI'!I46,'3.11 MUKONO-KATOSI'!I46,'1.11 KATOSI-MUKONO-24hr'!I46,'2.11 KATOSI-MUKONO 24hr'!I46,'4.11 MUKONO-KATOSI'!I46)</f>
        <v>6.7142857142857144</v>
      </c>
      <c r="J46" s="49">
        <f>AVERAGE('29.10-MUKONO-KATOSI'!J46,'30.10 KATOSI-MUKONO'!J46,'31.10 MUKONO-KATOSI'!J46,'3.11 MUKONO-KATOSI'!J46,'1.11 KATOSI-MUKONO-24hr'!J46,'2.11 KATOSI-MUKONO 24hr'!J46,'4.11 MUKONO-KATOSI'!J46)</f>
        <v>2.7142857142857144</v>
      </c>
      <c r="K46" s="49">
        <f>AVERAGE('29.10-MUKONO-KATOSI'!K46,'30.10 KATOSI-MUKONO'!K46,'31.10 MUKONO-KATOSI'!K46,'3.11 MUKONO-KATOSI'!K46,'1.11 KATOSI-MUKONO-24hr'!K46,'2.11 KATOSI-MUKONO 24hr'!K46,'4.11 MUKONO-KATOSI'!K46)</f>
        <v>0.42857142857142855</v>
      </c>
      <c r="L46" s="49">
        <f>AVERAGE('29.10-MUKONO-KATOSI'!L46,'30.10 KATOSI-MUKONO'!L46,'31.10 MUKONO-KATOSI'!L46,'3.11 MUKONO-KATOSI'!L46,'1.11 KATOSI-MUKONO-24hr'!L46,'2.11 KATOSI-MUKONO 24hr'!L46,'4.11 MUKONO-KATOSI'!L46)</f>
        <v>0.5714285714285714</v>
      </c>
      <c r="M46" s="49">
        <f>AVERAGE('29.10-MUKONO-KATOSI'!M46,'30.10 KATOSI-MUKONO'!M46,'31.10 MUKONO-KATOSI'!M46,'3.11 MUKONO-KATOSI'!M46,'1.11 KATOSI-MUKONO-24hr'!M46,'2.11 KATOSI-MUKONO 24hr'!M46,'4.11 MUKONO-KATOSI'!M46)</f>
        <v>92.571428571428569</v>
      </c>
      <c r="N46" s="49">
        <f>AVERAGE('29.10-MUKONO-KATOSI'!N46,'30.10 KATOSI-MUKONO'!N46,'31.10 MUKONO-KATOSI'!N46,'3.11 MUKONO-KATOSI'!N46,'1.11 KATOSI-MUKONO-24hr'!N46,'2.11 KATOSI-MUKONO 24hr'!N46,'4.11 MUKONO-KATOSI'!N46)</f>
        <v>0.14285714285714285</v>
      </c>
      <c r="O46" s="15">
        <f t="shared" si="0"/>
        <v>39.142857142857146</v>
      </c>
      <c r="P46" s="15">
        <f t="shared" si="1"/>
        <v>131.71428571428569</v>
      </c>
      <c r="R46" s="8"/>
      <c r="T46"/>
    </row>
    <row r="47" spans="2:32" ht="23.1" customHeight="1" x14ac:dyDescent="0.25">
      <c r="B47" s="24" t="s">
        <v>74</v>
      </c>
      <c r="C47" s="49">
        <f>AVERAGE('29.10-MUKONO-KATOSI'!C47,'30.10 KATOSI-MUKONO'!C47,'31.10 MUKONO-KATOSI'!C47,'3.11 MUKONO-KATOSI'!C47,'1.11 KATOSI-MUKONO-24hr'!C47,'2.11 KATOSI-MUKONO 24hr'!C47,'4.11 MUKONO-KATOSI'!C47)</f>
        <v>12.428571428571429</v>
      </c>
      <c r="D47" s="49">
        <f>AVERAGE('29.10-MUKONO-KATOSI'!D47,'30.10 KATOSI-MUKONO'!D47,'31.10 MUKONO-KATOSI'!D47,'3.11 MUKONO-KATOSI'!D47,'1.11 KATOSI-MUKONO-24hr'!D47,'2.11 KATOSI-MUKONO 24hr'!D47,'4.11 MUKONO-KATOSI'!D47)</f>
        <v>7.1428571428571432</v>
      </c>
      <c r="E47" s="49">
        <f>AVERAGE('29.10-MUKONO-KATOSI'!E47,'30.10 KATOSI-MUKONO'!E47,'31.10 MUKONO-KATOSI'!E47,'3.11 MUKONO-KATOSI'!E47,'1.11 KATOSI-MUKONO-24hr'!E47,'2.11 KATOSI-MUKONO 24hr'!E47,'4.11 MUKONO-KATOSI'!E47)</f>
        <v>5.4285714285714288</v>
      </c>
      <c r="F47" s="49">
        <f>AVERAGE('29.10-MUKONO-KATOSI'!F47,'30.10 KATOSI-MUKONO'!F47,'31.10 MUKONO-KATOSI'!F47,'3.11 MUKONO-KATOSI'!F47,'1.11 KATOSI-MUKONO-24hr'!F47,'2.11 KATOSI-MUKONO 24hr'!F47,'4.11 MUKONO-KATOSI'!F47)</f>
        <v>9.2857142857142865</v>
      </c>
      <c r="G47" s="49">
        <f>AVERAGE('29.10-MUKONO-KATOSI'!G47,'30.10 KATOSI-MUKONO'!G47,'31.10 MUKONO-KATOSI'!G47,'3.11 MUKONO-KATOSI'!G47,'1.11 KATOSI-MUKONO-24hr'!G47,'2.11 KATOSI-MUKONO 24hr'!G47,'4.11 MUKONO-KATOSI'!G47)</f>
        <v>1.1428571428571428</v>
      </c>
      <c r="H47" s="49">
        <f>AVERAGE('29.10-MUKONO-KATOSI'!H47,'30.10 KATOSI-MUKONO'!H47,'31.10 MUKONO-KATOSI'!H47,'3.11 MUKONO-KATOSI'!H47,'1.11 KATOSI-MUKONO-24hr'!H47,'2.11 KATOSI-MUKONO 24hr'!H47,'4.11 MUKONO-KATOSI'!H47)</f>
        <v>0</v>
      </c>
      <c r="I47" s="49">
        <f>AVERAGE('29.10-MUKONO-KATOSI'!I47,'30.10 KATOSI-MUKONO'!I47,'31.10 MUKONO-KATOSI'!I47,'3.11 MUKONO-KATOSI'!I47,'1.11 KATOSI-MUKONO-24hr'!I47,'2.11 KATOSI-MUKONO 24hr'!I47,'4.11 MUKONO-KATOSI'!I47)</f>
        <v>5</v>
      </c>
      <c r="J47" s="49">
        <f>AVERAGE('29.10-MUKONO-KATOSI'!J47,'30.10 KATOSI-MUKONO'!J47,'31.10 MUKONO-KATOSI'!J47,'3.11 MUKONO-KATOSI'!J47,'1.11 KATOSI-MUKONO-24hr'!J47,'2.11 KATOSI-MUKONO 24hr'!J47,'4.11 MUKONO-KATOSI'!J47)</f>
        <v>1</v>
      </c>
      <c r="K47" s="49">
        <f>AVERAGE('29.10-MUKONO-KATOSI'!K47,'30.10 KATOSI-MUKONO'!K47,'31.10 MUKONO-KATOSI'!K47,'3.11 MUKONO-KATOSI'!K47,'1.11 KATOSI-MUKONO-24hr'!K47,'2.11 KATOSI-MUKONO 24hr'!K47,'4.11 MUKONO-KATOSI'!K47)</f>
        <v>1.2857142857142858</v>
      </c>
      <c r="L47" s="49">
        <f>AVERAGE('29.10-MUKONO-KATOSI'!L47,'30.10 KATOSI-MUKONO'!L47,'31.10 MUKONO-KATOSI'!L47,'3.11 MUKONO-KATOSI'!L47,'1.11 KATOSI-MUKONO-24hr'!L47,'2.11 KATOSI-MUKONO 24hr'!L47,'4.11 MUKONO-KATOSI'!L47)</f>
        <v>0.8571428571428571</v>
      </c>
      <c r="M47" s="49">
        <f>AVERAGE('29.10-MUKONO-KATOSI'!M47,'30.10 KATOSI-MUKONO'!M47,'31.10 MUKONO-KATOSI'!M47,'3.11 MUKONO-KATOSI'!M47,'1.11 KATOSI-MUKONO-24hr'!M47,'2.11 KATOSI-MUKONO 24hr'!M47,'4.11 MUKONO-KATOSI'!M47)</f>
        <v>98.571428571428569</v>
      </c>
      <c r="N47" s="49">
        <f>AVERAGE('29.10-MUKONO-KATOSI'!N47,'30.10 KATOSI-MUKONO'!N47,'31.10 MUKONO-KATOSI'!N47,'3.11 MUKONO-KATOSI'!N47,'1.11 KATOSI-MUKONO-24hr'!N47,'2.11 KATOSI-MUKONO 24hr'!N47,'4.11 MUKONO-KATOSI'!N47)</f>
        <v>0</v>
      </c>
      <c r="O47" s="15">
        <f t="shared" si="0"/>
        <v>43.571428571428569</v>
      </c>
      <c r="P47" s="15">
        <f t="shared" si="1"/>
        <v>142.14285714285714</v>
      </c>
      <c r="R47" s="8"/>
      <c r="T47"/>
    </row>
    <row r="48" spans="2:32" ht="23.1" customHeight="1" x14ac:dyDescent="0.25">
      <c r="B48" s="24" t="s">
        <v>75</v>
      </c>
      <c r="C48" s="49">
        <f>AVERAGE('29.10-MUKONO-KATOSI'!C48,'30.10 KATOSI-MUKONO'!C48,'31.10 MUKONO-KATOSI'!C48,'3.11 MUKONO-KATOSI'!C48,'1.11 KATOSI-MUKONO-24hr'!C48,'2.11 KATOSI-MUKONO 24hr'!C48,'4.11 MUKONO-KATOSI'!C48)</f>
        <v>12.285714285714286</v>
      </c>
      <c r="D48" s="49">
        <f>AVERAGE('29.10-MUKONO-KATOSI'!D48,'30.10 KATOSI-MUKONO'!D48,'31.10 MUKONO-KATOSI'!D48,'3.11 MUKONO-KATOSI'!D48,'1.11 KATOSI-MUKONO-24hr'!D48,'2.11 KATOSI-MUKONO 24hr'!D48,'4.11 MUKONO-KATOSI'!D48)</f>
        <v>5.8571428571428568</v>
      </c>
      <c r="E48" s="49">
        <f>AVERAGE('29.10-MUKONO-KATOSI'!E48,'30.10 KATOSI-MUKONO'!E48,'31.10 MUKONO-KATOSI'!E48,'3.11 MUKONO-KATOSI'!E48,'1.11 KATOSI-MUKONO-24hr'!E48,'2.11 KATOSI-MUKONO 24hr'!E48,'4.11 MUKONO-KATOSI'!E48)</f>
        <v>4.2857142857142856</v>
      </c>
      <c r="F48" s="49">
        <f>AVERAGE('29.10-MUKONO-KATOSI'!F48,'30.10 KATOSI-MUKONO'!F48,'31.10 MUKONO-KATOSI'!F48,'3.11 MUKONO-KATOSI'!F48,'1.11 KATOSI-MUKONO-24hr'!F48,'2.11 KATOSI-MUKONO 24hr'!F48,'4.11 MUKONO-KATOSI'!F48)</f>
        <v>7.7142857142857144</v>
      </c>
      <c r="G48" s="49">
        <f>AVERAGE('29.10-MUKONO-KATOSI'!G48,'30.10 KATOSI-MUKONO'!G48,'31.10 MUKONO-KATOSI'!G48,'3.11 MUKONO-KATOSI'!G48,'1.11 KATOSI-MUKONO-24hr'!G48,'2.11 KATOSI-MUKONO 24hr'!G48,'4.11 MUKONO-KATOSI'!G48)</f>
        <v>0.8571428571428571</v>
      </c>
      <c r="H48" s="49">
        <f>AVERAGE('29.10-MUKONO-KATOSI'!H48,'30.10 KATOSI-MUKONO'!H48,'31.10 MUKONO-KATOSI'!H48,'3.11 MUKONO-KATOSI'!H48,'1.11 KATOSI-MUKONO-24hr'!H48,'2.11 KATOSI-MUKONO 24hr'!H48,'4.11 MUKONO-KATOSI'!H48)</f>
        <v>0</v>
      </c>
      <c r="I48" s="49">
        <f>AVERAGE('29.10-MUKONO-KATOSI'!I48,'30.10 KATOSI-MUKONO'!I48,'31.10 MUKONO-KATOSI'!I48,'3.11 MUKONO-KATOSI'!I48,'1.11 KATOSI-MUKONO-24hr'!I48,'2.11 KATOSI-MUKONO 24hr'!I48,'4.11 MUKONO-KATOSI'!I48)</f>
        <v>5.8571428571428568</v>
      </c>
      <c r="J48" s="49">
        <f>AVERAGE('29.10-MUKONO-KATOSI'!J48,'30.10 KATOSI-MUKONO'!J48,'31.10 MUKONO-KATOSI'!J48,'3.11 MUKONO-KATOSI'!J48,'1.11 KATOSI-MUKONO-24hr'!J48,'2.11 KATOSI-MUKONO 24hr'!J48,'4.11 MUKONO-KATOSI'!J48)</f>
        <v>1.5714285714285714</v>
      </c>
      <c r="K48" s="49">
        <f>AVERAGE('29.10-MUKONO-KATOSI'!K48,'30.10 KATOSI-MUKONO'!K48,'31.10 MUKONO-KATOSI'!K48,'3.11 MUKONO-KATOSI'!K48,'1.11 KATOSI-MUKONO-24hr'!K48,'2.11 KATOSI-MUKONO 24hr'!K48,'4.11 MUKONO-KATOSI'!K48)</f>
        <v>0.7142857142857143</v>
      </c>
      <c r="L48" s="49">
        <f>AVERAGE('29.10-MUKONO-KATOSI'!L48,'30.10 KATOSI-MUKONO'!L48,'31.10 MUKONO-KATOSI'!L48,'3.11 MUKONO-KATOSI'!L48,'1.11 KATOSI-MUKONO-24hr'!L48,'2.11 KATOSI-MUKONO 24hr'!L48,'4.11 MUKONO-KATOSI'!L48)</f>
        <v>0.5714285714285714</v>
      </c>
      <c r="M48" s="49">
        <f>AVERAGE('29.10-MUKONO-KATOSI'!M48,'30.10 KATOSI-MUKONO'!M48,'31.10 MUKONO-KATOSI'!M48,'3.11 MUKONO-KATOSI'!M48,'1.11 KATOSI-MUKONO-24hr'!M48,'2.11 KATOSI-MUKONO 24hr'!M48,'4.11 MUKONO-KATOSI'!M48)</f>
        <v>93.142857142857139</v>
      </c>
      <c r="N48" s="49">
        <f>AVERAGE('29.10-MUKONO-KATOSI'!N48,'30.10 KATOSI-MUKONO'!N48,'31.10 MUKONO-KATOSI'!N48,'3.11 MUKONO-KATOSI'!N48,'1.11 KATOSI-MUKONO-24hr'!N48,'2.11 KATOSI-MUKONO 24hr'!N48,'4.11 MUKONO-KATOSI'!N48)</f>
        <v>0</v>
      </c>
      <c r="O48" s="15">
        <f t="shared" si="0"/>
        <v>39.714285714285708</v>
      </c>
      <c r="P48" s="15">
        <f t="shared" si="1"/>
        <v>132.85714285714283</v>
      </c>
      <c r="R48" s="8"/>
      <c r="T48"/>
    </row>
    <row r="49" spans="2:20" ht="23.1" customHeight="1" x14ac:dyDescent="0.25">
      <c r="B49" s="23" t="s">
        <v>76</v>
      </c>
      <c r="C49" s="49">
        <f>AVERAGE('29.10-MUKONO-KATOSI'!C49,'30.10 KATOSI-MUKONO'!C49,'31.10 MUKONO-KATOSI'!C49,'3.11 MUKONO-KATOSI'!C49,'1.11 KATOSI-MUKONO-24hr'!C49,'2.11 KATOSI-MUKONO 24hr'!C49,'4.11 MUKONO-KATOSI'!C49)</f>
        <v>13.142857142857142</v>
      </c>
      <c r="D49" s="49">
        <f>AVERAGE('29.10-MUKONO-KATOSI'!D49,'30.10 KATOSI-MUKONO'!D49,'31.10 MUKONO-KATOSI'!D49,'3.11 MUKONO-KATOSI'!D49,'1.11 KATOSI-MUKONO-24hr'!D49,'2.11 KATOSI-MUKONO 24hr'!D49,'4.11 MUKONO-KATOSI'!D49)</f>
        <v>7.5714285714285712</v>
      </c>
      <c r="E49" s="49">
        <f>AVERAGE('29.10-MUKONO-KATOSI'!E49,'30.10 KATOSI-MUKONO'!E49,'31.10 MUKONO-KATOSI'!E49,'3.11 MUKONO-KATOSI'!E49,'1.11 KATOSI-MUKONO-24hr'!E49,'2.11 KATOSI-MUKONO 24hr'!E49,'4.11 MUKONO-KATOSI'!E49)</f>
        <v>3.1428571428571428</v>
      </c>
      <c r="F49" s="49">
        <f>AVERAGE('29.10-MUKONO-KATOSI'!F49,'30.10 KATOSI-MUKONO'!F49,'31.10 MUKONO-KATOSI'!F49,'3.11 MUKONO-KATOSI'!F49,'1.11 KATOSI-MUKONO-24hr'!F49,'2.11 KATOSI-MUKONO 24hr'!F49,'4.11 MUKONO-KATOSI'!F49)</f>
        <v>7.8571428571428568</v>
      </c>
      <c r="G49" s="49">
        <f>AVERAGE('29.10-MUKONO-KATOSI'!G49,'30.10 KATOSI-MUKONO'!G49,'31.10 MUKONO-KATOSI'!G49,'3.11 MUKONO-KATOSI'!G49,'1.11 KATOSI-MUKONO-24hr'!G49,'2.11 KATOSI-MUKONO 24hr'!G49,'4.11 MUKONO-KATOSI'!G49)</f>
        <v>1.1428571428571428</v>
      </c>
      <c r="H49" s="49">
        <f>AVERAGE('29.10-MUKONO-KATOSI'!H49,'30.10 KATOSI-MUKONO'!H49,'31.10 MUKONO-KATOSI'!H49,'3.11 MUKONO-KATOSI'!H49,'1.11 KATOSI-MUKONO-24hr'!H49,'2.11 KATOSI-MUKONO 24hr'!H49,'4.11 MUKONO-KATOSI'!H49)</f>
        <v>0</v>
      </c>
      <c r="I49" s="49">
        <f>AVERAGE('29.10-MUKONO-KATOSI'!I49,'30.10 KATOSI-MUKONO'!I49,'31.10 MUKONO-KATOSI'!I49,'3.11 MUKONO-KATOSI'!I49,'1.11 KATOSI-MUKONO-24hr'!I49,'2.11 KATOSI-MUKONO 24hr'!I49,'4.11 MUKONO-KATOSI'!I49)</f>
        <v>6</v>
      </c>
      <c r="J49" s="49">
        <f>AVERAGE('29.10-MUKONO-KATOSI'!J49,'30.10 KATOSI-MUKONO'!J49,'31.10 MUKONO-KATOSI'!J49,'3.11 MUKONO-KATOSI'!J49,'1.11 KATOSI-MUKONO-24hr'!J49,'2.11 KATOSI-MUKONO 24hr'!J49,'4.11 MUKONO-KATOSI'!J49)</f>
        <v>2</v>
      </c>
      <c r="K49" s="49">
        <f>AVERAGE('29.10-MUKONO-KATOSI'!K49,'30.10 KATOSI-MUKONO'!K49,'31.10 MUKONO-KATOSI'!K49,'3.11 MUKONO-KATOSI'!K49,'1.11 KATOSI-MUKONO-24hr'!K49,'2.11 KATOSI-MUKONO 24hr'!K49,'4.11 MUKONO-KATOSI'!K49)</f>
        <v>0.2857142857142857</v>
      </c>
      <c r="L49" s="49">
        <f>AVERAGE('29.10-MUKONO-KATOSI'!L49,'30.10 KATOSI-MUKONO'!L49,'31.10 MUKONO-KATOSI'!L49,'3.11 MUKONO-KATOSI'!L49,'1.11 KATOSI-MUKONO-24hr'!L49,'2.11 KATOSI-MUKONO 24hr'!L49,'4.11 MUKONO-KATOSI'!L49)</f>
        <v>0.42857142857142855</v>
      </c>
      <c r="M49" s="49">
        <f>AVERAGE('29.10-MUKONO-KATOSI'!M49,'30.10 KATOSI-MUKONO'!M49,'31.10 MUKONO-KATOSI'!M49,'3.11 MUKONO-KATOSI'!M49,'1.11 KATOSI-MUKONO-24hr'!M49,'2.11 KATOSI-MUKONO 24hr'!M49,'4.11 MUKONO-KATOSI'!M49)</f>
        <v>84</v>
      </c>
      <c r="N49" s="49">
        <f>AVERAGE('29.10-MUKONO-KATOSI'!N49,'30.10 KATOSI-MUKONO'!N49,'31.10 MUKONO-KATOSI'!N49,'3.11 MUKONO-KATOSI'!N49,'1.11 KATOSI-MUKONO-24hr'!N49,'2.11 KATOSI-MUKONO 24hr'!N49,'4.11 MUKONO-KATOSI'!N49)</f>
        <v>0</v>
      </c>
      <c r="O49" s="15">
        <f t="shared" si="0"/>
        <v>41.571428571428577</v>
      </c>
      <c r="P49" s="15">
        <f t="shared" si="1"/>
        <v>125.57142857142858</v>
      </c>
      <c r="R49" s="8"/>
      <c r="T49"/>
    </row>
    <row r="50" spans="2:20" ht="23.1" customHeight="1" x14ac:dyDescent="0.25">
      <c r="B50" s="24" t="s">
        <v>77</v>
      </c>
      <c r="C50" s="49">
        <f>AVERAGE('29.10-MUKONO-KATOSI'!C50,'30.10 KATOSI-MUKONO'!C50,'31.10 MUKONO-KATOSI'!C50,'3.11 MUKONO-KATOSI'!C50,'1.11 KATOSI-MUKONO-24hr'!C50,'2.11 KATOSI-MUKONO 24hr'!C50,'4.11 MUKONO-KATOSI'!C50)</f>
        <v>8.7142857142857135</v>
      </c>
      <c r="D50" s="49">
        <f>AVERAGE('29.10-MUKONO-KATOSI'!D50,'30.10 KATOSI-MUKONO'!D50,'31.10 MUKONO-KATOSI'!D50,'3.11 MUKONO-KATOSI'!D50,'1.11 KATOSI-MUKONO-24hr'!D50,'2.11 KATOSI-MUKONO 24hr'!D50,'4.11 MUKONO-KATOSI'!D50)</f>
        <v>7.1428571428571432</v>
      </c>
      <c r="E50" s="49">
        <f>AVERAGE('29.10-MUKONO-KATOSI'!E50,'30.10 KATOSI-MUKONO'!E50,'31.10 MUKONO-KATOSI'!E50,'3.11 MUKONO-KATOSI'!E50,'1.11 KATOSI-MUKONO-24hr'!E50,'2.11 KATOSI-MUKONO 24hr'!E50,'4.11 MUKONO-KATOSI'!E50)</f>
        <v>3.7142857142857144</v>
      </c>
      <c r="F50" s="49">
        <f>AVERAGE('29.10-MUKONO-KATOSI'!F50,'30.10 KATOSI-MUKONO'!F50,'31.10 MUKONO-KATOSI'!F50,'3.11 MUKONO-KATOSI'!F50,'1.11 KATOSI-MUKONO-24hr'!F50,'2.11 KATOSI-MUKONO 24hr'!F50,'4.11 MUKONO-KATOSI'!F50)</f>
        <v>15.142857142857142</v>
      </c>
      <c r="G50" s="49">
        <f>AVERAGE('29.10-MUKONO-KATOSI'!G50,'30.10 KATOSI-MUKONO'!G50,'31.10 MUKONO-KATOSI'!G50,'3.11 MUKONO-KATOSI'!G50,'1.11 KATOSI-MUKONO-24hr'!G50,'2.11 KATOSI-MUKONO 24hr'!G50,'4.11 MUKONO-KATOSI'!G50)</f>
        <v>0.2857142857142857</v>
      </c>
      <c r="H50" s="49">
        <f>AVERAGE('29.10-MUKONO-KATOSI'!H50,'30.10 KATOSI-MUKONO'!H50,'31.10 MUKONO-KATOSI'!H50,'3.11 MUKONO-KATOSI'!H50,'1.11 KATOSI-MUKONO-24hr'!H50,'2.11 KATOSI-MUKONO 24hr'!H50,'4.11 MUKONO-KATOSI'!H50)</f>
        <v>0</v>
      </c>
      <c r="I50" s="49">
        <f>AVERAGE('29.10-MUKONO-KATOSI'!I50,'30.10 KATOSI-MUKONO'!I50,'31.10 MUKONO-KATOSI'!I50,'3.11 MUKONO-KATOSI'!I50,'1.11 KATOSI-MUKONO-24hr'!I50,'2.11 KATOSI-MUKONO 24hr'!I50,'4.11 MUKONO-KATOSI'!I50)</f>
        <v>5.1428571428571432</v>
      </c>
      <c r="J50" s="49">
        <f>AVERAGE('29.10-MUKONO-KATOSI'!J50,'30.10 KATOSI-MUKONO'!J50,'31.10 MUKONO-KATOSI'!J50,'3.11 MUKONO-KATOSI'!J50,'1.11 KATOSI-MUKONO-24hr'!J50,'2.11 KATOSI-MUKONO 24hr'!J50,'4.11 MUKONO-KATOSI'!J50)</f>
        <v>3.7142857142857144</v>
      </c>
      <c r="K50" s="49">
        <f>AVERAGE('29.10-MUKONO-KATOSI'!K50,'30.10 KATOSI-MUKONO'!K50,'31.10 MUKONO-KATOSI'!K50,'3.11 MUKONO-KATOSI'!K50,'1.11 KATOSI-MUKONO-24hr'!K50,'2.11 KATOSI-MUKONO 24hr'!K50,'4.11 MUKONO-KATOSI'!K50)</f>
        <v>0.5714285714285714</v>
      </c>
      <c r="L50" s="49">
        <f>AVERAGE('29.10-MUKONO-KATOSI'!L50,'30.10 KATOSI-MUKONO'!L50,'31.10 MUKONO-KATOSI'!L50,'3.11 MUKONO-KATOSI'!L50,'1.11 KATOSI-MUKONO-24hr'!L50,'2.11 KATOSI-MUKONO 24hr'!L50,'4.11 MUKONO-KATOSI'!L50)</f>
        <v>0.42857142857142855</v>
      </c>
      <c r="M50" s="49">
        <f>AVERAGE('29.10-MUKONO-KATOSI'!M50,'30.10 KATOSI-MUKONO'!M50,'31.10 MUKONO-KATOSI'!M50,'3.11 MUKONO-KATOSI'!M50,'1.11 KATOSI-MUKONO-24hr'!M50,'2.11 KATOSI-MUKONO 24hr'!M50,'4.11 MUKONO-KATOSI'!M50)</f>
        <v>93.142857142857139</v>
      </c>
      <c r="N50" s="49">
        <f>AVERAGE('29.10-MUKONO-KATOSI'!N50,'30.10 KATOSI-MUKONO'!N50,'31.10 MUKONO-KATOSI'!N50,'3.11 MUKONO-KATOSI'!N50,'1.11 KATOSI-MUKONO-24hr'!N50,'2.11 KATOSI-MUKONO 24hr'!N50,'4.11 MUKONO-KATOSI'!N50)</f>
        <v>0</v>
      </c>
      <c r="O50" s="15">
        <f t="shared" si="0"/>
        <v>44.857142857142861</v>
      </c>
      <c r="P50" s="15">
        <f t="shared" si="1"/>
        <v>138</v>
      </c>
      <c r="R50" s="8"/>
      <c r="T50"/>
    </row>
    <row r="51" spans="2:20" ht="23.1" customHeight="1" x14ac:dyDescent="0.25">
      <c r="B51" s="24" t="s">
        <v>78</v>
      </c>
      <c r="C51" s="49">
        <f>AVERAGE('29.10-MUKONO-KATOSI'!C51,'30.10 KATOSI-MUKONO'!C51,'31.10 MUKONO-KATOSI'!C51,'3.11 MUKONO-KATOSI'!C51,'1.11 KATOSI-MUKONO-24hr'!C51,'2.11 KATOSI-MUKONO 24hr'!C51,'4.11 MUKONO-KATOSI'!C51)</f>
        <v>13.571428571428571</v>
      </c>
      <c r="D51" s="49">
        <f>AVERAGE('29.10-MUKONO-KATOSI'!D51,'30.10 KATOSI-MUKONO'!D51,'31.10 MUKONO-KATOSI'!D51,'3.11 MUKONO-KATOSI'!D51,'1.11 KATOSI-MUKONO-24hr'!D51,'2.11 KATOSI-MUKONO 24hr'!D51,'4.11 MUKONO-KATOSI'!D51)</f>
        <v>6.8571428571428568</v>
      </c>
      <c r="E51" s="49">
        <f>AVERAGE('29.10-MUKONO-KATOSI'!E51,'30.10 KATOSI-MUKONO'!E51,'31.10 MUKONO-KATOSI'!E51,'3.11 MUKONO-KATOSI'!E51,'1.11 KATOSI-MUKONO-24hr'!E51,'2.11 KATOSI-MUKONO 24hr'!E51,'4.11 MUKONO-KATOSI'!E51)</f>
        <v>3.7142857142857144</v>
      </c>
      <c r="F51" s="49">
        <f>AVERAGE('29.10-MUKONO-KATOSI'!F51,'30.10 KATOSI-MUKONO'!F51,'31.10 MUKONO-KATOSI'!F51,'3.11 MUKONO-KATOSI'!F51,'1.11 KATOSI-MUKONO-24hr'!F51,'2.11 KATOSI-MUKONO 24hr'!F51,'4.11 MUKONO-KATOSI'!F51)</f>
        <v>5.5714285714285712</v>
      </c>
      <c r="G51" s="49">
        <f>AVERAGE('29.10-MUKONO-KATOSI'!G51,'30.10 KATOSI-MUKONO'!G51,'31.10 MUKONO-KATOSI'!G51,'3.11 MUKONO-KATOSI'!G51,'1.11 KATOSI-MUKONO-24hr'!G51,'2.11 KATOSI-MUKONO 24hr'!G51,'4.11 MUKONO-KATOSI'!G51)</f>
        <v>0.2857142857142857</v>
      </c>
      <c r="H51" s="49">
        <f>AVERAGE('29.10-MUKONO-KATOSI'!H51,'30.10 KATOSI-MUKONO'!H51,'31.10 MUKONO-KATOSI'!H51,'3.11 MUKONO-KATOSI'!H51,'1.11 KATOSI-MUKONO-24hr'!H51,'2.11 KATOSI-MUKONO 24hr'!H51,'4.11 MUKONO-KATOSI'!H51)</f>
        <v>0</v>
      </c>
      <c r="I51" s="49">
        <f>AVERAGE('29.10-MUKONO-KATOSI'!I51,'30.10 KATOSI-MUKONO'!I51,'31.10 MUKONO-KATOSI'!I51,'3.11 MUKONO-KATOSI'!I51,'1.11 KATOSI-MUKONO-24hr'!I51,'2.11 KATOSI-MUKONO 24hr'!I51,'4.11 MUKONO-KATOSI'!I51)</f>
        <v>5.2857142857142856</v>
      </c>
      <c r="J51" s="49">
        <f>AVERAGE('29.10-MUKONO-KATOSI'!J51,'30.10 KATOSI-MUKONO'!J51,'31.10 MUKONO-KATOSI'!J51,'3.11 MUKONO-KATOSI'!J51,'1.11 KATOSI-MUKONO-24hr'!J51,'2.11 KATOSI-MUKONO 24hr'!J51,'4.11 MUKONO-KATOSI'!J51)</f>
        <v>2</v>
      </c>
      <c r="K51" s="49">
        <f>AVERAGE('29.10-MUKONO-KATOSI'!K51,'30.10 KATOSI-MUKONO'!K51,'31.10 MUKONO-KATOSI'!K51,'3.11 MUKONO-KATOSI'!K51,'1.11 KATOSI-MUKONO-24hr'!K51,'2.11 KATOSI-MUKONO 24hr'!K51,'4.11 MUKONO-KATOSI'!K51)</f>
        <v>0.2857142857142857</v>
      </c>
      <c r="L51" s="49">
        <f>AVERAGE('29.10-MUKONO-KATOSI'!L51,'30.10 KATOSI-MUKONO'!L51,'31.10 MUKONO-KATOSI'!L51,'3.11 MUKONO-KATOSI'!L51,'1.11 KATOSI-MUKONO-24hr'!L51,'2.11 KATOSI-MUKONO 24hr'!L51,'4.11 MUKONO-KATOSI'!L51)</f>
        <v>0.2857142857142857</v>
      </c>
      <c r="M51" s="49">
        <f>AVERAGE('29.10-MUKONO-KATOSI'!M51,'30.10 KATOSI-MUKONO'!M51,'31.10 MUKONO-KATOSI'!M51,'3.11 MUKONO-KATOSI'!M51,'1.11 KATOSI-MUKONO-24hr'!M51,'2.11 KATOSI-MUKONO 24hr'!M51,'4.11 MUKONO-KATOSI'!M51)</f>
        <v>86.714285714285708</v>
      </c>
      <c r="N51" s="49">
        <f>AVERAGE('29.10-MUKONO-KATOSI'!N51,'30.10 KATOSI-MUKONO'!N51,'31.10 MUKONO-KATOSI'!N51,'3.11 MUKONO-KATOSI'!N51,'1.11 KATOSI-MUKONO-24hr'!N51,'2.11 KATOSI-MUKONO 24hr'!N51,'4.11 MUKONO-KATOSI'!N51)</f>
        <v>0</v>
      </c>
      <c r="O51" s="15">
        <f t="shared" si="0"/>
        <v>37.857142857142854</v>
      </c>
      <c r="P51" s="15">
        <f t="shared" si="1"/>
        <v>124.57142857142856</v>
      </c>
      <c r="R51" s="8"/>
      <c r="T51"/>
    </row>
    <row r="52" spans="2:20" ht="23.1" customHeight="1" x14ac:dyDescent="0.25">
      <c r="B52" s="24" t="s">
        <v>79</v>
      </c>
      <c r="C52" s="49">
        <f>AVERAGE('29.10-MUKONO-KATOSI'!C52,'30.10 KATOSI-MUKONO'!C52,'31.10 MUKONO-KATOSI'!C52,'3.11 MUKONO-KATOSI'!C52,'1.11 KATOSI-MUKONO-24hr'!C52,'2.11 KATOSI-MUKONO 24hr'!C52,'4.11 MUKONO-KATOSI'!C52)</f>
        <v>12.714285714285714</v>
      </c>
      <c r="D52" s="49">
        <f>AVERAGE('29.10-MUKONO-KATOSI'!D52,'30.10 KATOSI-MUKONO'!D52,'31.10 MUKONO-KATOSI'!D52,'3.11 MUKONO-KATOSI'!D52,'1.11 KATOSI-MUKONO-24hr'!D52,'2.11 KATOSI-MUKONO 24hr'!D52,'4.11 MUKONO-KATOSI'!D52)</f>
        <v>6.8571428571428568</v>
      </c>
      <c r="E52" s="49">
        <f>AVERAGE('29.10-MUKONO-KATOSI'!E52,'30.10 KATOSI-MUKONO'!E52,'31.10 MUKONO-KATOSI'!E52,'3.11 MUKONO-KATOSI'!E52,'1.11 KATOSI-MUKONO-24hr'!E52,'2.11 KATOSI-MUKONO 24hr'!E52,'4.11 MUKONO-KATOSI'!E52)</f>
        <v>3.7142857142857144</v>
      </c>
      <c r="F52" s="49">
        <f>AVERAGE('29.10-MUKONO-KATOSI'!F52,'30.10 KATOSI-MUKONO'!F52,'31.10 MUKONO-KATOSI'!F52,'3.11 MUKONO-KATOSI'!F52,'1.11 KATOSI-MUKONO-24hr'!F52,'2.11 KATOSI-MUKONO 24hr'!F52,'4.11 MUKONO-KATOSI'!F52)</f>
        <v>11</v>
      </c>
      <c r="G52" s="49">
        <f>AVERAGE('29.10-MUKONO-KATOSI'!G52,'30.10 KATOSI-MUKONO'!G52,'31.10 MUKONO-KATOSI'!G52,'3.11 MUKONO-KATOSI'!G52,'1.11 KATOSI-MUKONO-24hr'!G52,'2.11 KATOSI-MUKONO 24hr'!G52,'4.11 MUKONO-KATOSI'!G52)</f>
        <v>1.4285714285714286</v>
      </c>
      <c r="H52" s="49">
        <f>AVERAGE('29.10-MUKONO-KATOSI'!H52,'30.10 KATOSI-MUKONO'!H52,'31.10 MUKONO-KATOSI'!H52,'3.11 MUKONO-KATOSI'!H52,'1.11 KATOSI-MUKONO-24hr'!H52,'2.11 KATOSI-MUKONO 24hr'!H52,'4.11 MUKONO-KATOSI'!H52)</f>
        <v>0</v>
      </c>
      <c r="I52" s="49">
        <f>AVERAGE('29.10-MUKONO-KATOSI'!I52,'30.10 KATOSI-MUKONO'!I52,'31.10 MUKONO-KATOSI'!I52,'3.11 MUKONO-KATOSI'!I52,'1.11 KATOSI-MUKONO-24hr'!I52,'2.11 KATOSI-MUKONO 24hr'!I52,'4.11 MUKONO-KATOSI'!I52)</f>
        <v>5.7142857142857144</v>
      </c>
      <c r="J52" s="49">
        <f>AVERAGE('29.10-MUKONO-KATOSI'!J52,'30.10 KATOSI-MUKONO'!J52,'31.10 MUKONO-KATOSI'!J52,'3.11 MUKONO-KATOSI'!J52,'1.11 KATOSI-MUKONO-24hr'!J52,'2.11 KATOSI-MUKONO 24hr'!J52,'4.11 MUKONO-KATOSI'!J52)</f>
        <v>1.5714285714285714</v>
      </c>
      <c r="K52" s="49">
        <f>AVERAGE('29.10-MUKONO-KATOSI'!K52,'30.10 KATOSI-MUKONO'!K52,'31.10 MUKONO-KATOSI'!K52,'3.11 MUKONO-KATOSI'!K52,'1.11 KATOSI-MUKONO-24hr'!K52,'2.11 KATOSI-MUKONO 24hr'!K52,'4.11 MUKONO-KATOSI'!K52)</f>
        <v>0.42857142857142855</v>
      </c>
      <c r="L52" s="49">
        <f>AVERAGE('29.10-MUKONO-KATOSI'!L52,'30.10 KATOSI-MUKONO'!L52,'31.10 MUKONO-KATOSI'!L52,'3.11 MUKONO-KATOSI'!L52,'1.11 KATOSI-MUKONO-24hr'!L52,'2.11 KATOSI-MUKONO 24hr'!L52,'4.11 MUKONO-KATOSI'!L52)</f>
        <v>0.8571428571428571</v>
      </c>
      <c r="M52" s="49">
        <f>AVERAGE('29.10-MUKONO-KATOSI'!M52,'30.10 KATOSI-MUKONO'!M52,'31.10 MUKONO-KATOSI'!M52,'3.11 MUKONO-KATOSI'!M52,'1.11 KATOSI-MUKONO-24hr'!M52,'2.11 KATOSI-MUKONO 24hr'!M52,'4.11 MUKONO-KATOSI'!M52)</f>
        <v>94</v>
      </c>
      <c r="N52" s="49">
        <f>AVERAGE('29.10-MUKONO-KATOSI'!N52,'30.10 KATOSI-MUKONO'!N52,'31.10 MUKONO-KATOSI'!N52,'3.11 MUKONO-KATOSI'!N52,'1.11 KATOSI-MUKONO-24hr'!N52,'2.11 KATOSI-MUKONO 24hr'!N52,'4.11 MUKONO-KATOSI'!N52)</f>
        <v>0</v>
      </c>
      <c r="O52" s="15">
        <f t="shared" si="0"/>
        <v>44.285714285714285</v>
      </c>
      <c r="P52" s="15">
        <f t="shared" si="1"/>
        <v>138.28571428571428</v>
      </c>
      <c r="R52" s="8"/>
      <c r="T52"/>
    </row>
    <row r="53" spans="2:20" ht="23.1" customHeight="1" x14ac:dyDescent="0.25">
      <c r="B53" s="23" t="s">
        <v>80</v>
      </c>
      <c r="C53" s="49">
        <f>AVERAGE('29.10-MUKONO-KATOSI'!C53,'30.10 KATOSI-MUKONO'!C53,'31.10 MUKONO-KATOSI'!C53,'3.11 MUKONO-KATOSI'!C53,'1.11 KATOSI-MUKONO-24hr'!C53,'2.11 KATOSI-MUKONO 24hr'!C53,'4.11 MUKONO-KATOSI'!C53)</f>
        <v>16.285714285714285</v>
      </c>
      <c r="D53" s="49">
        <f>AVERAGE('29.10-MUKONO-KATOSI'!D53,'30.10 KATOSI-MUKONO'!D53,'31.10 MUKONO-KATOSI'!D53,'3.11 MUKONO-KATOSI'!D53,'1.11 KATOSI-MUKONO-24hr'!D53,'2.11 KATOSI-MUKONO 24hr'!D53,'4.11 MUKONO-KATOSI'!D53)</f>
        <v>7.1428571428571432</v>
      </c>
      <c r="E53" s="49">
        <f>AVERAGE('29.10-MUKONO-KATOSI'!E53,'30.10 KATOSI-MUKONO'!E53,'31.10 MUKONO-KATOSI'!E53,'3.11 MUKONO-KATOSI'!E53,'1.11 KATOSI-MUKONO-24hr'!E53,'2.11 KATOSI-MUKONO 24hr'!E53,'4.11 MUKONO-KATOSI'!E53)</f>
        <v>3.8571428571428572</v>
      </c>
      <c r="F53" s="49">
        <f>AVERAGE('29.10-MUKONO-KATOSI'!F53,'30.10 KATOSI-MUKONO'!F53,'31.10 MUKONO-KATOSI'!F53,'3.11 MUKONO-KATOSI'!F53,'1.11 KATOSI-MUKONO-24hr'!F53,'2.11 KATOSI-MUKONO 24hr'!F53,'4.11 MUKONO-KATOSI'!F53)</f>
        <v>10.142857142857142</v>
      </c>
      <c r="G53" s="49">
        <f>AVERAGE('29.10-MUKONO-KATOSI'!G53,'30.10 KATOSI-MUKONO'!G53,'31.10 MUKONO-KATOSI'!G53,'3.11 MUKONO-KATOSI'!G53,'1.11 KATOSI-MUKONO-24hr'!G53,'2.11 KATOSI-MUKONO 24hr'!G53,'4.11 MUKONO-KATOSI'!G53)</f>
        <v>0.8571428571428571</v>
      </c>
      <c r="H53" s="49">
        <f>AVERAGE('29.10-MUKONO-KATOSI'!H53,'30.10 KATOSI-MUKONO'!H53,'31.10 MUKONO-KATOSI'!H53,'3.11 MUKONO-KATOSI'!H53,'1.11 KATOSI-MUKONO-24hr'!H53,'2.11 KATOSI-MUKONO 24hr'!H53,'4.11 MUKONO-KATOSI'!H53)</f>
        <v>0.2857142857142857</v>
      </c>
      <c r="I53" s="49">
        <f>AVERAGE('29.10-MUKONO-KATOSI'!I53,'30.10 KATOSI-MUKONO'!I53,'31.10 MUKONO-KATOSI'!I53,'3.11 MUKONO-KATOSI'!I53,'1.11 KATOSI-MUKONO-24hr'!I53,'2.11 KATOSI-MUKONO 24hr'!I53,'4.11 MUKONO-KATOSI'!I53)</f>
        <v>5.5714285714285712</v>
      </c>
      <c r="J53" s="49">
        <f>AVERAGE('29.10-MUKONO-KATOSI'!J53,'30.10 KATOSI-MUKONO'!J53,'31.10 MUKONO-KATOSI'!J53,'3.11 MUKONO-KATOSI'!J53,'1.11 KATOSI-MUKONO-24hr'!J53,'2.11 KATOSI-MUKONO 24hr'!J53,'4.11 MUKONO-KATOSI'!J53)</f>
        <v>1.4285714285714286</v>
      </c>
      <c r="K53" s="49">
        <f>AVERAGE('29.10-MUKONO-KATOSI'!K53,'30.10 KATOSI-MUKONO'!K53,'31.10 MUKONO-KATOSI'!K53,'3.11 MUKONO-KATOSI'!K53,'1.11 KATOSI-MUKONO-24hr'!K53,'2.11 KATOSI-MUKONO 24hr'!K53,'4.11 MUKONO-KATOSI'!K53)</f>
        <v>0.42857142857142855</v>
      </c>
      <c r="L53" s="49">
        <f>AVERAGE('29.10-MUKONO-KATOSI'!L53,'30.10 KATOSI-MUKONO'!L53,'31.10 MUKONO-KATOSI'!L53,'3.11 MUKONO-KATOSI'!L53,'1.11 KATOSI-MUKONO-24hr'!L53,'2.11 KATOSI-MUKONO 24hr'!L53,'4.11 MUKONO-KATOSI'!L53)</f>
        <v>0.2857142857142857</v>
      </c>
      <c r="M53" s="49">
        <f>AVERAGE('29.10-MUKONO-KATOSI'!M53,'30.10 KATOSI-MUKONO'!M53,'31.10 MUKONO-KATOSI'!M53,'3.11 MUKONO-KATOSI'!M53,'1.11 KATOSI-MUKONO-24hr'!M53,'2.11 KATOSI-MUKONO 24hr'!M53,'4.11 MUKONO-KATOSI'!M53)</f>
        <v>98.142857142857139</v>
      </c>
      <c r="N53" s="49">
        <f>AVERAGE('29.10-MUKONO-KATOSI'!N53,'30.10 KATOSI-MUKONO'!N53,'31.10 MUKONO-KATOSI'!N53,'3.11 MUKONO-KATOSI'!N53,'1.11 KATOSI-MUKONO-24hr'!N53,'2.11 KATOSI-MUKONO 24hr'!N53,'4.11 MUKONO-KATOSI'!N53)</f>
        <v>0</v>
      </c>
      <c r="O53" s="15">
        <f t="shared" si="0"/>
        <v>46.285714285714285</v>
      </c>
      <c r="P53" s="15">
        <f t="shared" si="1"/>
        <v>144.42857142857142</v>
      </c>
      <c r="R53" s="8"/>
      <c r="T53"/>
    </row>
    <row r="54" spans="2:20" ht="23.1" customHeight="1" x14ac:dyDescent="0.25">
      <c r="B54" s="23" t="s">
        <v>81</v>
      </c>
      <c r="C54" s="49">
        <f>AVERAGE('29.10-MUKONO-KATOSI'!C54,'30.10 KATOSI-MUKONO'!C54,'31.10 MUKONO-KATOSI'!C54,'3.11 MUKONO-KATOSI'!C54,'1.11 KATOSI-MUKONO-24hr'!C54,'2.11 KATOSI-MUKONO 24hr'!C54,'4.11 MUKONO-KATOSI'!C54)</f>
        <v>10.285714285714286</v>
      </c>
      <c r="D54" s="49">
        <f>AVERAGE('29.10-MUKONO-KATOSI'!D54,'30.10 KATOSI-MUKONO'!D54,'31.10 MUKONO-KATOSI'!D54,'3.11 MUKONO-KATOSI'!D54,'1.11 KATOSI-MUKONO-24hr'!D54,'2.11 KATOSI-MUKONO 24hr'!D54,'4.11 MUKONO-KATOSI'!D54)</f>
        <v>5.1428571428571432</v>
      </c>
      <c r="E54" s="49">
        <f>AVERAGE('29.10-MUKONO-KATOSI'!E54,'30.10 KATOSI-MUKONO'!E54,'31.10 MUKONO-KATOSI'!E54,'3.11 MUKONO-KATOSI'!E54,'1.11 KATOSI-MUKONO-24hr'!E54,'2.11 KATOSI-MUKONO 24hr'!E54,'4.11 MUKONO-KATOSI'!E54)</f>
        <v>4.4285714285714288</v>
      </c>
      <c r="F54" s="49">
        <f>AVERAGE('29.10-MUKONO-KATOSI'!F54,'30.10 KATOSI-MUKONO'!F54,'31.10 MUKONO-KATOSI'!F54,'3.11 MUKONO-KATOSI'!F54,'1.11 KATOSI-MUKONO-24hr'!F54,'2.11 KATOSI-MUKONO 24hr'!F54,'4.11 MUKONO-KATOSI'!F54)</f>
        <v>8.8571428571428577</v>
      </c>
      <c r="G54" s="49">
        <f>AVERAGE('29.10-MUKONO-KATOSI'!G54,'30.10 KATOSI-MUKONO'!G54,'31.10 MUKONO-KATOSI'!G54,'3.11 MUKONO-KATOSI'!G54,'1.11 KATOSI-MUKONO-24hr'!G54,'2.11 KATOSI-MUKONO 24hr'!G54,'4.11 MUKONO-KATOSI'!G54)</f>
        <v>0.5714285714285714</v>
      </c>
      <c r="H54" s="49">
        <f>AVERAGE('29.10-MUKONO-KATOSI'!H54,'30.10 KATOSI-MUKONO'!H54,'31.10 MUKONO-KATOSI'!H54,'3.11 MUKONO-KATOSI'!H54,'1.11 KATOSI-MUKONO-24hr'!H54,'2.11 KATOSI-MUKONO 24hr'!H54,'4.11 MUKONO-KATOSI'!H54)</f>
        <v>0</v>
      </c>
      <c r="I54" s="49">
        <f>AVERAGE('29.10-MUKONO-KATOSI'!I54,'30.10 KATOSI-MUKONO'!I54,'31.10 MUKONO-KATOSI'!I54,'3.11 MUKONO-KATOSI'!I54,'1.11 KATOSI-MUKONO-24hr'!I54,'2.11 KATOSI-MUKONO 24hr'!I54,'4.11 MUKONO-KATOSI'!I54)</f>
        <v>5.5714285714285712</v>
      </c>
      <c r="J54" s="49">
        <f>AVERAGE('29.10-MUKONO-KATOSI'!J54,'30.10 KATOSI-MUKONO'!J54,'31.10 MUKONO-KATOSI'!J54,'3.11 MUKONO-KATOSI'!J54,'1.11 KATOSI-MUKONO-24hr'!J54,'2.11 KATOSI-MUKONO 24hr'!J54,'4.11 MUKONO-KATOSI'!J54)</f>
        <v>1.8571428571428572</v>
      </c>
      <c r="K54" s="49">
        <f>AVERAGE('29.10-MUKONO-KATOSI'!K54,'30.10 KATOSI-MUKONO'!K54,'31.10 MUKONO-KATOSI'!K54,'3.11 MUKONO-KATOSI'!K54,'1.11 KATOSI-MUKONO-24hr'!K54,'2.11 KATOSI-MUKONO 24hr'!K54,'4.11 MUKONO-KATOSI'!K54)</f>
        <v>0.5714285714285714</v>
      </c>
      <c r="L54" s="49">
        <f>AVERAGE('29.10-MUKONO-KATOSI'!L54,'30.10 KATOSI-MUKONO'!L54,'31.10 MUKONO-KATOSI'!L54,'3.11 MUKONO-KATOSI'!L54,'1.11 KATOSI-MUKONO-24hr'!L54,'2.11 KATOSI-MUKONO 24hr'!L54,'4.11 MUKONO-KATOSI'!L54)</f>
        <v>0.14285714285714285</v>
      </c>
      <c r="M54" s="49">
        <f>AVERAGE('29.10-MUKONO-KATOSI'!M54,'30.10 KATOSI-MUKONO'!M54,'31.10 MUKONO-KATOSI'!M54,'3.11 MUKONO-KATOSI'!M54,'1.11 KATOSI-MUKONO-24hr'!M54,'2.11 KATOSI-MUKONO 24hr'!M54,'4.11 MUKONO-KATOSI'!M54)</f>
        <v>95.571428571428569</v>
      </c>
      <c r="N54" s="49">
        <f>AVERAGE('29.10-MUKONO-KATOSI'!N54,'30.10 KATOSI-MUKONO'!N54,'31.10 MUKONO-KATOSI'!N54,'3.11 MUKONO-KATOSI'!N54,'1.11 KATOSI-MUKONO-24hr'!N54,'2.11 KATOSI-MUKONO 24hr'!N54,'4.11 MUKONO-KATOSI'!N54)</f>
        <v>0.14285714285714285</v>
      </c>
      <c r="O54" s="15">
        <f t="shared" si="0"/>
        <v>37.571428571428577</v>
      </c>
      <c r="P54" s="15">
        <f t="shared" si="1"/>
        <v>133.14285714285714</v>
      </c>
      <c r="R54" s="8"/>
      <c r="T54"/>
    </row>
    <row r="55" spans="2:20" ht="23.1" customHeight="1" x14ac:dyDescent="0.25">
      <c r="B55" s="23" t="s">
        <v>82</v>
      </c>
      <c r="C55" s="49">
        <f>AVERAGE('29.10-MUKONO-KATOSI'!C55,'30.10 KATOSI-MUKONO'!C55,'31.10 MUKONO-KATOSI'!C55,'3.11 MUKONO-KATOSI'!C55,'1.11 KATOSI-MUKONO-24hr'!C55,'2.11 KATOSI-MUKONO 24hr'!C55,'4.11 MUKONO-KATOSI'!C55)</f>
        <v>15.428571428571429</v>
      </c>
      <c r="D55" s="49">
        <f>AVERAGE('29.10-MUKONO-KATOSI'!D55,'30.10 KATOSI-MUKONO'!D55,'31.10 MUKONO-KATOSI'!D55,'3.11 MUKONO-KATOSI'!D55,'1.11 KATOSI-MUKONO-24hr'!D55,'2.11 KATOSI-MUKONO 24hr'!D55,'4.11 MUKONO-KATOSI'!D55)</f>
        <v>6</v>
      </c>
      <c r="E55" s="49">
        <f>AVERAGE('29.10-MUKONO-KATOSI'!E55,'30.10 KATOSI-MUKONO'!E55,'31.10 MUKONO-KATOSI'!E55,'3.11 MUKONO-KATOSI'!E55,'1.11 KATOSI-MUKONO-24hr'!E55,'2.11 KATOSI-MUKONO 24hr'!E55,'4.11 MUKONO-KATOSI'!E55)</f>
        <v>3</v>
      </c>
      <c r="F55" s="49">
        <f>AVERAGE('29.10-MUKONO-KATOSI'!F55,'30.10 KATOSI-MUKONO'!F55,'31.10 MUKONO-KATOSI'!F55,'3.11 MUKONO-KATOSI'!F55,'1.11 KATOSI-MUKONO-24hr'!F55,'2.11 KATOSI-MUKONO 24hr'!F55,'4.11 MUKONO-KATOSI'!F55)</f>
        <v>8.2857142857142865</v>
      </c>
      <c r="G55" s="49">
        <f>AVERAGE('29.10-MUKONO-KATOSI'!G55,'30.10 KATOSI-MUKONO'!G55,'31.10 MUKONO-KATOSI'!G55,'3.11 MUKONO-KATOSI'!G55,'1.11 KATOSI-MUKONO-24hr'!G55,'2.11 KATOSI-MUKONO 24hr'!G55,'4.11 MUKONO-KATOSI'!G55)</f>
        <v>0.14285714285714285</v>
      </c>
      <c r="H55" s="49">
        <f>AVERAGE('29.10-MUKONO-KATOSI'!H55,'30.10 KATOSI-MUKONO'!H55,'31.10 MUKONO-KATOSI'!H55,'3.11 MUKONO-KATOSI'!H55,'1.11 KATOSI-MUKONO-24hr'!H55,'2.11 KATOSI-MUKONO 24hr'!H55,'4.11 MUKONO-KATOSI'!H55)</f>
        <v>0</v>
      </c>
      <c r="I55" s="49">
        <f>AVERAGE('29.10-MUKONO-KATOSI'!I55,'30.10 KATOSI-MUKONO'!I55,'31.10 MUKONO-KATOSI'!I55,'3.11 MUKONO-KATOSI'!I55,'1.11 KATOSI-MUKONO-24hr'!I55,'2.11 KATOSI-MUKONO 24hr'!I55,'4.11 MUKONO-KATOSI'!I55)</f>
        <v>5.4285714285714288</v>
      </c>
      <c r="J55" s="49">
        <f>AVERAGE('29.10-MUKONO-KATOSI'!J55,'30.10 KATOSI-MUKONO'!J55,'31.10 MUKONO-KATOSI'!J55,'3.11 MUKONO-KATOSI'!J55,'1.11 KATOSI-MUKONO-24hr'!J55,'2.11 KATOSI-MUKONO 24hr'!J55,'4.11 MUKONO-KATOSI'!J55)</f>
        <v>2.5714285714285716</v>
      </c>
      <c r="K55" s="49">
        <f>AVERAGE('29.10-MUKONO-KATOSI'!K55,'30.10 KATOSI-MUKONO'!K55,'31.10 MUKONO-KATOSI'!K55,'3.11 MUKONO-KATOSI'!K55,'1.11 KATOSI-MUKONO-24hr'!K55,'2.11 KATOSI-MUKONO 24hr'!K55,'4.11 MUKONO-KATOSI'!K55)</f>
        <v>0.2857142857142857</v>
      </c>
      <c r="L55" s="49">
        <f>AVERAGE('29.10-MUKONO-KATOSI'!L55,'30.10 KATOSI-MUKONO'!L55,'31.10 MUKONO-KATOSI'!L55,'3.11 MUKONO-KATOSI'!L55,'1.11 KATOSI-MUKONO-24hr'!L55,'2.11 KATOSI-MUKONO 24hr'!L55,'4.11 MUKONO-KATOSI'!L55)</f>
        <v>0.2857142857142857</v>
      </c>
      <c r="M55" s="49">
        <f>AVERAGE('29.10-MUKONO-KATOSI'!M55,'30.10 KATOSI-MUKONO'!M55,'31.10 MUKONO-KATOSI'!M55,'3.11 MUKONO-KATOSI'!M55,'1.11 KATOSI-MUKONO-24hr'!M55,'2.11 KATOSI-MUKONO 24hr'!M55,'4.11 MUKONO-KATOSI'!M55)</f>
        <v>97.857142857142861</v>
      </c>
      <c r="N55" s="49">
        <f>AVERAGE('29.10-MUKONO-KATOSI'!N55,'30.10 KATOSI-MUKONO'!N55,'31.10 MUKONO-KATOSI'!N55,'3.11 MUKONO-KATOSI'!N55,'1.11 KATOSI-MUKONO-24hr'!N55,'2.11 KATOSI-MUKONO 24hr'!N55,'4.11 MUKONO-KATOSI'!N55)</f>
        <v>0</v>
      </c>
      <c r="O55" s="15">
        <f t="shared" si="0"/>
        <v>41.428571428571431</v>
      </c>
      <c r="P55" s="15">
        <f t="shared" si="1"/>
        <v>139.28571428571428</v>
      </c>
      <c r="R55" s="8"/>
      <c r="T55"/>
    </row>
    <row r="56" spans="2:20" ht="23.1" customHeight="1" x14ac:dyDescent="0.25">
      <c r="B56" s="23" t="s">
        <v>83</v>
      </c>
      <c r="C56" s="49">
        <f>AVERAGE('29.10-MUKONO-KATOSI'!C56,'30.10 KATOSI-MUKONO'!C56,'31.10 MUKONO-KATOSI'!C56,'3.11 MUKONO-KATOSI'!C56,'1.11 KATOSI-MUKONO-24hr'!C56,'2.11 KATOSI-MUKONO 24hr'!C56,'4.11 MUKONO-KATOSI'!C56)</f>
        <v>12.285714285714286</v>
      </c>
      <c r="D56" s="49">
        <f>AVERAGE('29.10-MUKONO-KATOSI'!D56,'30.10 KATOSI-MUKONO'!D56,'31.10 MUKONO-KATOSI'!D56,'3.11 MUKONO-KATOSI'!D56,'1.11 KATOSI-MUKONO-24hr'!D56,'2.11 KATOSI-MUKONO 24hr'!D56,'4.11 MUKONO-KATOSI'!D56)</f>
        <v>7</v>
      </c>
      <c r="E56" s="49">
        <f>AVERAGE('29.10-MUKONO-KATOSI'!E56,'30.10 KATOSI-MUKONO'!E56,'31.10 MUKONO-KATOSI'!E56,'3.11 MUKONO-KATOSI'!E56,'1.11 KATOSI-MUKONO-24hr'!E56,'2.11 KATOSI-MUKONO 24hr'!E56,'4.11 MUKONO-KATOSI'!E56)</f>
        <v>4.2857142857142856</v>
      </c>
      <c r="F56" s="49">
        <f>AVERAGE('29.10-MUKONO-KATOSI'!F56,'30.10 KATOSI-MUKONO'!F56,'31.10 MUKONO-KATOSI'!F56,'3.11 MUKONO-KATOSI'!F56,'1.11 KATOSI-MUKONO-24hr'!F56,'2.11 KATOSI-MUKONO 24hr'!F56,'4.11 MUKONO-KATOSI'!F56)</f>
        <v>7.8571428571428568</v>
      </c>
      <c r="G56" s="49">
        <f>AVERAGE('29.10-MUKONO-KATOSI'!G56,'30.10 KATOSI-MUKONO'!G56,'31.10 MUKONO-KATOSI'!G56,'3.11 MUKONO-KATOSI'!G56,'1.11 KATOSI-MUKONO-24hr'!G56,'2.11 KATOSI-MUKONO 24hr'!G56,'4.11 MUKONO-KATOSI'!G56)</f>
        <v>0.2857142857142857</v>
      </c>
      <c r="H56" s="49">
        <f>AVERAGE('29.10-MUKONO-KATOSI'!H56,'30.10 KATOSI-MUKONO'!H56,'31.10 MUKONO-KATOSI'!H56,'3.11 MUKONO-KATOSI'!H56,'1.11 KATOSI-MUKONO-24hr'!H56,'2.11 KATOSI-MUKONO 24hr'!H56,'4.11 MUKONO-KATOSI'!H56)</f>
        <v>0</v>
      </c>
      <c r="I56" s="49">
        <f>AVERAGE('29.10-MUKONO-KATOSI'!I56,'30.10 KATOSI-MUKONO'!I56,'31.10 MUKONO-KATOSI'!I56,'3.11 MUKONO-KATOSI'!I56,'1.11 KATOSI-MUKONO-24hr'!I56,'2.11 KATOSI-MUKONO 24hr'!I56,'4.11 MUKONO-KATOSI'!I56)</f>
        <v>5.8571428571428568</v>
      </c>
      <c r="J56" s="49">
        <f>AVERAGE('29.10-MUKONO-KATOSI'!J56,'30.10 KATOSI-MUKONO'!J56,'31.10 MUKONO-KATOSI'!J56,'3.11 MUKONO-KATOSI'!J56,'1.11 KATOSI-MUKONO-24hr'!J56,'2.11 KATOSI-MUKONO 24hr'!J56,'4.11 MUKONO-KATOSI'!J56)</f>
        <v>1.4285714285714286</v>
      </c>
      <c r="K56" s="49">
        <f>AVERAGE('29.10-MUKONO-KATOSI'!K56,'30.10 KATOSI-MUKONO'!K56,'31.10 MUKONO-KATOSI'!K56,'3.11 MUKONO-KATOSI'!K56,'1.11 KATOSI-MUKONO-24hr'!K56,'2.11 KATOSI-MUKONO 24hr'!K56,'4.11 MUKONO-KATOSI'!K56)</f>
        <v>0.8571428571428571</v>
      </c>
      <c r="L56" s="49">
        <f>AVERAGE('29.10-MUKONO-KATOSI'!L56,'30.10 KATOSI-MUKONO'!L56,'31.10 MUKONO-KATOSI'!L56,'3.11 MUKONO-KATOSI'!L56,'1.11 KATOSI-MUKONO-24hr'!L56,'2.11 KATOSI-MUKONO 24hr'!L56,'4.11 MUKONO-KATOSI'!L56)</f>
        <v>0.14285714285714285</v>
      </c>
      <c r="M56" s="49">
        <f>AVERAGE('29.10-MUKONO-KATOSI'!M56,'30.10 KATOSI-MUKONO'!M56,'31.10 MUKONO-KATOSI'!M56,'3.11 MUKONO-KATOSI'!M56,'1.11 KATOSI-MUKONO-24hr'!M56,'2.11 KATOSI-MUKONO 24hr'!M56,'4.11 MUKONO-KATOSI'!M56)</f>
        <v>103.14285714285714</v>
      </c>
      <c r="N56" s="49">
        <f>AVERAGE('29.10-MUKONO-KATOSI'!N56,'30.10 KATOSI-MUKONO'!N56,'31.10 MUKONO-KATOSI'!N56,'3.11 MUKONO-KATOSI'!N56,'1.11 KATOSI-MUKONO-24hr'!N56,'2.11 KATOSI-MUKONO 24hr'!N56,'4.11 MUKONO-KATOSI'!N56)</f>
        <v>0</v>
      </c>
      <c r="O56" s="15">
        <f t="shared" si="0"/>
        <v>40</v>
      </c>
      <c r="P56" s="15">
        <f t="shared" si="1"/>
        <v>143.14285714285714</v>
      </c>
      <c r="R56" s="8"/>
      <c r="T56"/>
    </row>
    <row r="57" spans="2:20" ht="23.1" customHeight="1" x14ac:dyDescent="0.25">
      <c r="B57" s="23" t="s">
        <v>84</v>
      </c>
      <c r="C57" s="49">
        <f>AVERAGE('29.10-MUKONO-KATOSI'!C57,'30.10 KATOSI-MUKONO'!C57,'31.10 MUKONO-KATOSI'!C57,'3.11 MUKONO-KATOSI'!C57,'1.11 KATOSI-MUKONO-24hr'!C57,'2.11 KATOSI-MUKONO 24hr'!C57,'4.11 MUKONO-KATOSI'!C57)</f>
        <v>9.1428571428571423</v>
      </c>
      <c r="D57" s="49">
        <f>AVERAGE('29.10-MUKONO-KATOSI'!D57,'30.10 KATOSI-MUKONO'!D57,'31.10 MUKONO-KATOSI'!D57,'3.11 MUKONO-KATOSI'!D57,'1.11 KATOSI-MUKONO-24hr'!D57,'2.11 KATOSI-MUKONO 24hr'!D57,'4.11 MUKONO-KATOSI'!D57)</f>
        <v>7.1428571428571432</v>
      </c>
      <c r="E57" s="49">
        <f>AVERAGE('29.10-MUKONO-KATOSI'!E57,'30.10 KATOSI-MUKONO'!E57,'31.10 MUKONO-KATOSI'!E57,'3.11 MUKONO-KATOSI'!E57,'1.11 KATOSI-MUKONO-24hr'!E57,'2.11 KATOSI-MUKONO 24hr'!E57,'4.11 MUKONO-KATOSI'!E57)</f>
        <v>3.8571428571428572</v>
      </c>
      <c r="F57" s="49">
        <f>AVERAGE('29.10-MUKONO-KATOSI'!F57,'30.10 KATOSI-MUKONO'!F57,'31.10 MUKONO-KATOSI'!F57,'3.11 MUKONO-KATOSI'!F57,'1.11 KATOSI-MUKONO-24hr'!F57,'2.11 KATOSI-MUKONO 24hr'!F57,'4.11 MUKONO-KATOSI'!F57)</f>
        <v>6.8571428571428568</v>
      </c>
      <c r="G57" s="49">
        <f>AVERAGE('29.10-MUKONO-KATOSI'!G57,'30.10 KATOSI-MUKONO'!G57,'31.10 MUKONO-KATOSI'!G57,'3.11 MUKONO-KATOSI'!G57,'1.11 KATOSI-MUKONO-24hr'!G57,'2.11 KATOSI-MUKONO 24hr'!G57,'4.11 MUKONO-KATOSI'!G57)</f>
        <v>0.5714285714285714</v>
      </c>
      <c r="H57" s="49">
        <f>AVERAGE('29.10-MUKONO-KATOSI'!H57,'30.10 KATOSI-MUKONO'!H57,'31.10 MUKONO-KATOSI'!H57,'3.11 MUKONO-KATOSI'!H57,'1.11 KATOSI-MUKONO-24hr'!H57,'2.11 KATOSI-MUKONO 24hr'!H57,'4.11 MUKONO-KATOSI'!H57)</f>
        <v>0.14285714285714285</v>
      </c>
      <c r="I57" s="49">
        <f>AVERAGE('29.10-MUKONO-KATOSI'!I57,'30.10 KATOSI-MUKONO'!I57,'31.10 MUKONO-KATOSI'!I57,'3.11 MUKONO-KATOSI'!I57,'1.11 KATOSI-MUKONO-24hr'!I57,'2.11 KATOSI-MUKONO 24hr'!I57,'4.11 MUKONO-KATOSI'!I57)</f>
        <v>4.5714285714285712</v>
      </c>
      <c r="J57" s="49">
        <f>AVERAGE('29.10-MUKONO-KATOSI'!J57,'30.10 KATOSI-MUKONO'!J57,'31.10 MUKONO-KATOSI'!J57,'3.11 MUKONO-KATOSI'!J57,'1.11 KATOSI-MUKONO-24hr'!J57,'2.11 KATOSI-MUKONO 24hr'!J57,'4.11 MUKONO-KATOSI'!J57)</f>
        <v>1</v>
      </c>
      <c r="K57" s="49">
        <f>AVERAGE('29.10-MUKONO-KATOSI'!K57,'30.10 KATOSI-MUKONO'!K57,'31.10 MUKONO-KATOSI'!K57,'3.11 MUKONO-KATOSI'!K57,'1.11 KATOSI-MUKONO-24hr'!K57,'2.11 KATOSI-MUKONO 24hr'!K57,'4.11 MUKONO-KATOSI'!K57)</f>
        <v>0.5714285714285714</v>
      </c>
      <c r="L57" s="49">
        <f>AVERAGE('29.10-MUKONO-KATOSI'!L57,'30.10 KATOSI-MUKONO'!L57,'31.10 MUKONO-KATOSI'!L57,'3.11 MUKONO-KATOSI'!L57,'1.11 KATOSI-MUKONO-24hr'!L57,'2.11 KATOSI-MUKONO 24hr'!L57,'4.11 MUKONO-KATOSI'!L57)</f>
        <v>0.7142857142857143</v>
      </c>
      <c r="M57" s="49">
        <f>AVERAGE('29.10-MUKONO-KATOSI'!M57,'30.10 KATOSI-MUKONO'!M57,'31.10 MUKONO-KATOSI'!M57,'3.11 MUKONO-KATOSI'!M57,'1.11 KATOSI-MUKONO-24hr'!M57,'2.11 KATOSI-MUKONO 24hr'!M57,'4.11 MUKONO-KATOSI'!M57)</f>
        <v>95.714285714285708</v>
      </c>
      <c r="N57" s="49">
        <f>AVERAGE('29.10-MUKONO-KATOSI'!N57,'30.10 KATOSI-MUKONO'!N57,'31.10 MUKONO-KATOSI'!N57,'3.11 MUKONO-KATOSI'!N57,'1.11 KATOSI-MUKONO-24hr'!N57,'2.11 KATOSI-MUKONO 24hr'!N57,'4.11 MUKONO-KATOSI'!N57)</f>
        <v>0</v>
      </c>
      <c r="O57" s="15">
        <f t="shared" si="0"/>
        <v>34.571428571428569</v>
      </c>
      <c r="P57" s="15">
        <f t="shared" si="1"/>
        <v>130.28571428571428</v>
      </c>
      <c r="R57" s="8"/>
      <c r="T57"/>
    </row>
    <row r="58" spans="2:20" ht="23.1" customHeight="1" x14ac:dyDescent="0.25">
      <c r="B58" s="23" t="s">
        <v>99</v>
      </c>
      <c r="C58" s="49">
        <f>AVERAGE('1.11 MUKONO-KATOSI 24hr'!C58,'2.11 MUKONO-KATOSI 24hr'!C58)</f>
        <v>10</v>
      </c>
      <c r="D58" s="49">
        <f>AVERAGE('1.11 MUKONO-KATOSI 24hr'!D58,'2.11 MUKONO-KATOSI 24hr'!D58)</f>
        <v>4</v>
      </c>
      <c r="E58" s="49">
        <f>AVERAGE('1.11 MUKONO-KATOSI 24hr'!E58,'2.11 MUKONO-KATOSI 24hr'!E58)</f>
        <v>5</v>
      </c>
      <c r="F58" s="49">
        <f>AVERAGE('1.11 MUKONO-KATOSI 24hr'!F58,'2.11 MUKONO-KATOSI 24hr'!F58)</f>
        <v>6.5</v>
      </c>
      <c r="G58" s="49">
        <f>AVERAGE('1.11 MUKONO-KATOSI 24hr'!G58,'2.11 MUKONO-KATOSI 24hr'!G58)</f>
        <v>0</v>
      </c>
      <c r="H58" s="49">
        <f>AVERAGE('1.11 MUKONO-KATOSI 24hr'!H58,'2.11 MUKONO-KATOSI 24hr'!H58)</f>
        <v>0</v>
      </c>
      <c r="I58" s="49">
        <f>AVERAGE('1.11 MUKONO-KATOSI 24hr'!I58,'2.11 MUKONO-KATOSI 24hr'!I58)</f>
        <v>4</v>
      </c>
      <c r="J58" s="49">
        <f>AVERAGE('1.11 MUKONO-KATOSI 24hr'!J58,'2.11 MUKONO-KATOSI 24hr'!J58)</f>
        <v>0</v>
      </c>
      <c r="K58" s="49">
        <f>AVERAGE('1.11 MUKONO-KATOSI 24hr'!K58,'2.11 MUKONO-KATOSI 24hr'!K58)</f>
        <v>0</v>
      </c>
      <c r="L58" s="49">
        <f>AVERAGE('1.11 MUKONO-KATOSI 24hr'!L58,'2.11 MUKONO-KATOSI 24hr'!L58)</f>
        <v>0</v>
      </c>
      <c r="M58" s="49">
        <f>AVERAGE('1.11 MUKONO-KATOSI 24hr'!M58,'2.11 MUKONO-KATOSI 24hr'!M58)</f>
        <v>72.5</v>
      </c>
      <c r="N58" s="49">
        <f>AVERAGE('1.11 MUKONO-KATOSI 24hr'!N58,'2.11 MUKONO-KATOSI 24hr'!N58)</f>
        <v>0</v>
      </c>
      <c r="O58" s="15">
        <f t="shared" si="0"/>
        <v>29.5</v>
      </c>
      <c r="P58" s="15">
        <f t="shared" si="1"/>
        <v>102</v>
      </c>
      <c r="R58" s="8"/>
      <c r="T58"/>
    </row>
    <row r="59" spans="2:20" ht="23.1" customHeight="1" x14ac:dyDescent="0.25">
      <c r="B59" s="23" t="s">
        <v>100</v>
      </c>
      <c r="C59" s="49">
        <f>AVERAGE('1.11 MUKONO-KATOSI 24hr'!C59,'2.11 MUKONO-KATOSI 24hr'!C59)</f>
        <v>14</v>
      </c>
      <c r="D59" s="49">
        <f>AVERAGE('1.11 MUKONO-KATOSI 24hr'!D59,'2.11 MUKONO-KATOSI 24hr'!D59)</f>
        <v>4.5</v>
      </c>
      <c r="E59" s="49">
        <f>AVERAGE('1.11 MUKONO-KATOSI 24hr'!E59,'2.11 MUKONO-KATOSI 24hr'!E59)</f>
        <v>1.5</v>
      </c>
      <c r="F59" s="49">
        <f>AVERAGE('1.11 MUKONO-KATOSI 24hr'!F59,'2.11 MUKONO-KATOSI 24hr'!F59)</f>
        <v>7</v>
      </c>
      <c r="G59" s="49">
        <f>AVERAGE('1.11 MUKONO-KATOSI 24hr'!G59,'2.11 MUKONO-KATOSI 24hr'!G59)</f>
        <v>1</v>
      </c>
      <c r="H59" s="49">
        <f>AVERAGE('1.11 MUKONO-KATOSI 24hr'!H59,'2.11 MUKONO-KATOSI 24hr'!H59)</f>
        <v>0</v>
      </c>
      <c r="I59" s="49">
        <f>AVERAGE('1.11 MUKONO-KATOSI 24hr'!I59,'2.11 MUKONO-KATOSI 24hr'!I59)</f>
        <v>5</v>
      </c>
      <c r="J59" s="49">
        <f>AVERAGE('1.11 MUKONO-KATOSI 24hr'!J59,'2.11 MUKONO-KATOSI 24hr'!J59)</f>
        <v>2</v>
      </c>
      <c r="K59" s="49">
        <f>AVERAGE('1.11 MUKONO-KATOSI 24hr'!K59,'2.11 MUKONO-KATOSI 24hr'!K59)</f>
        <v>0.5</v>
      </c>
      <c r="L59" s="49">
        <f>AVERAGE('1.11 MUKONO-KATOSI 24hr'!L59,'2.11 MUKONO-KATOSI 24hr'!L59)</f>
        <v>1</v>
      </c>
      <c r="M59" s="49">
        <f>AVERAGE('1.11 MUKONO-KATOSI 24hr'!M59,'2.11 MUKONO-KATOSI 24hr'!M59)</f>
        <v>88.5</v>
      </c>
      <c r="N59" s="49">
        <f>AVERAGE('1.11 MUKONO-KATOSI 24hr'!N59,'2.11 MUKONO-KATOSI 24hr'!N59)</f>
        <v>0</v>
      </c>
      <c r="O59" s="15">
        <f t="shared" si="0"/>
        <v>36.5</v>
      </c>
      <c r="P59" s="15">
        <f t="shared" si="1"/>
        <v>125</v>
      </c>
      <c r="R59" s="8"/>
      <c r="T59"/>
    </row>
    <row r="60" spans="2:20" ht="23.1" customHeight="1" x14ac:dyDescent="0.25">
      <c r="B60" s="23" t="s">
        <v>101</v>
      </c>
      <c r="C60" s="49">
        <f>AVERAGE('1.11 MUKONO-KATOSI 24hr'!C60,'2.11 MUKONO-KATOSI 24hr'!C60)</f>
        <v>13</v>
      </c>
      <c r="D60" s="49">
        <f>AVERAGE('1.11 MUKONO-KATOSI 24hr'!D60,'2.11 MUKONO-KATOSI 24hr'!D60)</f>
        <v>3.5</v>
      </c>
      <c r="E60" s="49">
        <f>AVERAGE('1.11 MUKONO-KATOSI 24hr'!E60,'2.11 MUKONO-KATOSI 24hr'!E60)</f>
        <v>1.5</v>
      </c>
      <c r="F60" s="49">
        <f>AVERAGE('1.11 MUKONO-KATOSI 24hr'!F60,'2.11 MUKONO-KATOSI 24hr'!F60)</f>
        <v>5</v>
      </c>
      <c r="G60" s="49">
        <f>AVERAGE('1.11 MUKONO-KATOSI 24hr'!G60,'2.11 MUKONO-KATOSI 24hr'!G60)</f>
        <v>0</v>
      </c>
      <c r="H60" s="49">
        <f>AVERAGE('1.11 MUKONO-KATOSI 24hr'!H60,'2.11 MUKONO-KATOSI 24hr'!H60)</f>
        <v>0</v>
      </c>
      <c r="I60" s="49">
        <f>AVERAGE('1.11 MUKONO-KATOSI 24hr'!I60,'2.11 MUKONO-KATOSI 24hr'!I60)</f>
        <v>4</v>
      </c>
      <c r="J60" s="49">
        <f>AVERAGE('1.11 MUKONO-KATOSI 24hr'!J60,'2.11 MUKONO-KATOSI 24hr'!J60)</f>
        <v>0.5</v>
      </c>
      <c r="K60" s="49">
        <f>AVERAGE('1.11 MUKONO-KATOSI 24hr'!K60,'2.11 MUKONO-KATOSI 24hr'!K60)</f>
        <v>0</v>
      </c>
      <c r="L60" s="49">
        <f>AVERAGE('1.11 MUKONO-KATOSI 24hr'!L60,'2.11 MUKONO-KATOSI 24hr'!L60)</f>
        <v>0</v>
      </c>
      <c r="M60" s="49">
        <f>AVERAGE('1.11 MUKONO-KATOSI 24hr'!M60,'2.11 MUKONO-KATOSI 24hr'!M60)</f>
        <v>86</v>
      </c>
      <c r="N60" s="49">
        <f>AVERAGE('1.11 MUKONO-KATOSI 24hr'!N60,'2.11 MUKONO-KATOSI 24hr'!N60)</f>
        <v>0</v>
      </c>
      <c r="O60" s="15">
        <f t="shared" si="0"/>
        <v>27.5</v>
      </c>
      <c r="P60" s="15">
        <f t="shared" si="1"/>
        <v>113.5</v>
      </c>
      <c r="R60" s="8"/>
      <c r="T60"/>
    </row>
    <row r="61" spans="2:20" ht="23.1" customHeight="1" x14ac:dyDescent="0.25">
      <c r="B61" s="23" t="s">
        <v>102</v>
      </c>
      <c r="C61" s="49">
        <f>AVERAGE('1.11 MUKONO-KATOSI 24hr'!C61,'2.11 MUKONO-KATOSI 24hr'!C61)</f>
        <v>4.5</v>
      </c>
      <c r="D61" s="49">
        <f>AVERAGE('1.11 MUKONO-KATOSI 24hr'!D61,'2.11 MUKONO-KATOSI 24hr'!D61)</f>
        <v>1.5</v>
      </c>
      <c r="E61" s="49">
        <f>AVERAGE('1.11 MUKONO-KATOSI 24hr'!E61,'2.11 MUKONO-KATOSI 24hr'!E61)</f>
        <v>2.5</v>
      </c>
      <c r="F61" s="49">
        <f>AVERAGE('1.11 MUKONO-KATOSI 24hr'!F61,'2.11 MUKONO-KATOSI 24hr'!F61)</f>
        <v>5.5</v>
      </c>
      <c r="G61" s="49">
        <f>AVERAGE('1.11 MUKONO-KATOSI 24hr'!G61,'2.11 MUKONO-KATOSI 24hr'!G61)</f>
        <v>0</v>
      </c>
      <c r="H61" s="49">
        <f>AVERAGE('1.11 MUKONO-KATOSI 24hr'!H61,'2.11 MUKONO-KATOSI 24hr'!H61)</f>
        <v>0</v>
      </c>
      <c r="I61" s="49">
        <f>AVERAGE('1.11 MUKONO-KATOSI 24hr'!I61,'2.11 MUKONO-KATOSI 24hr'!I61)</f>
        <v>1</v>
      </c>
      <c r="J61" s="49">
        <f>AVERAGE('1.11 MUKONO-KATOSI 24hr'!J61,'2.11 MUKONO-KATOSI 24hr'!J61)</f>
        <v>0</v>
      </c>
      <c r="K61" s="49">
        <f>AVERAGE('1.11 MUKONO-KATOSI 24hr'!K61,'2.11 MUKONO-KATOSI 24hr'!K61)</f>
        <v>0</v>
      </c>
      <c r="L61" s="49">
        <f>AVERAGE('1.11 MUKONO-KATOSI 24hr'!L61,'2.11 MUKONO-KATOSI 24hr'!L61)</f>
        <v>0</v>
      </c>
      <c r="M61" s="49">
        <f>AVERAGE('1.11 MUKONO-KATOSI 24hr'!M61,'2.11 MUKONO-KATOSI 24hr'!M61)</f>
        <v>59</v>
      </c>
      <c r="N61" s="49">
        <f>AVERAGE('1.11 MUKONO-KATOSI 24hr'!N61,'2.11 MUKONO-KATOSI 24hr'!N61)</f>
        <v>0</v>
      </c>
      <c r="O61" s="15">
        <f t="shared" si="0"/>
        <v>15</v>
      </c>
      <c r="P61" s="15">
        <f t="shared" si="1"/>
        <v>74</v>
      </c>
      <c r="R61" s="8"/>
      <c r="T61"/>
    </row>
    <row r="62" spans="2:20" ht="23.1" customHeight="1" x14ac:dyDescent="0.25">
      <c r="B62" s="23" t="s">
        <v>107</v>
      </c>
      <c r="C62" s="49">
        <f>AVERAGE('1.11 MUKONO-KATOSI 24hr'!C62,'2.11 MUKONO-KATOSI 24hr'!C62)</f>
        <v>14</v>
      </c>
      <c r="D62" s="49">
        <f>AVERAGE('1.11 MUKONO-KATOSI 24hr'!D62,'2.11 MUKONO-KATOSI 24hr'!D62)</f>
        <v>2</v>
      </c>
      <c r="E62" s="49">
        <f>AVERAGE('1.11 MUKONO-KATOSI 24hr'!E62,'2.11 MUKONO-KATOSI 24hr'!E62)</f>
        <v>5</v>
      </c>
      <c r="F62" s="49">
        <f>AVERAGE('1.11 MUKONO-KATOSI 24hr'!F62,'2.11 MUKONO-KATOSI 24hr'!F62)</f>
        <v>6</v>
      </c>
      <c r="G62" s="49">
        <f>AVERAGE('1.11 MUKONO-KATOSI 24hr'!G62,'2.11 MUKONO-KATOSI 24hr'!G62)</f>
        <v>0</v>
      </c>
      <c r="H62" s="49">
        <f>AVERAGE('1.11 MUKONO-KATOSI 24hr'!H62,'2.11 MUKONO-KATOSI 24hr'!H62)</f>
        <v>0</v>
      </c>
      <c r="I62" s="49">
        <f>AVERAGE('1.11 MUKONO-KATOSI 24hr'!I62,'2.11 MUKONO-KATOSI 24hr'!I62)</f>
        <v>5</v>
      </c>
      <c r="J62" s="49">
        <f>AVERAGE('1.11 MUKONO-KATOSI 24hr'!J62,'2.11 MUKONO-KATOSI 24hr'!J62)</f>
        <v>0.5</v>
      </c>
      <c r="K62" s="49">
        <f>AVERAGE('1.11 MUKONO-KATOSI 24hr'!K62,'2.11 MUKONO-KATOSI 24hr'!K62)</f>
        <v>0</v>
      </c>
      <c r="L62" s="49">
        <f>AVERAGE('1.11 MUKONO-KATOSI 24hr'!L62,'2.11 MUKONO-KATOSI 24hr'!L62)</f>
        <v>0</v>
      </c>
      <c r="M62" s="49">
        <f>AVERAGE('1.11 MUKONO-KATOSI 24hr'!M62,'2.11 MUKONO-KATOSI 24hr'!M62)</f>
        <v>96</v>
      </c>
      <c r="N62" s="49">
        <f>AVERAGE('1.11 MUKONO-KATOSI 24hr'!N62,'2.11 MUKONO-KATOSI 24hr'!N62)</f>
        <v>0</v>
      </c>
      <c r="O62" s="15">
        <f t="shared" si="0"/>
        <v>32.5</v>
      </c>
      <c r="P62" s="15">
        <f t="shared" si="1"/>
        <v>128.5</v>
      </c>
      <c r="R62" s="8"/>
      <c r="T62"/>
    </row>
    <row r="63" spans="2:20" ht="23.1" customHeight="1" x14ac:dyDescent="0.25">
      <c r="B63" s="23" t="s">
        <v>108</v>
      </c>
      <c r="C63" s="49">
        <f>AVERAGE('1.11 MUKONO-KATOSI 24hr'!C63,'2.11 MUKONO-KATOSI 24hr'!C63)</f>
        <v>18</v>
      </c>
      <c r="D63" s="49">
        <f>AVERAGE('1.11 MUKONO-KATOSI 24hr'!D63,'2.11 MUKONO-KATOSI 24hr'!D63)</f>
        <v>2.5</v>
      </c>
      <c r="E63" s="49">
        <f>AVERAGE('1.11 MUKONO-KATOSI 24hr'!E63,'2.11 MUKONO-KATOSI 24hr'!E63)</f>
        <v>2</v>
      </c>
      <c r="F63" s="49">
        <f>AVERAGE('1.11 MUKONO-KATOSI 24hr'!F63,'2.11 MUKONO-KATOSI 24hr'!F63)</f>
        <v>6</v>
      </c>
      <c r="G63" s="49">
        <f>AVERAGE('1.11 MUKONO-KATOSI 24hr'!G63,'2.11 MUKONO-KATOSI 24hr'!G63)</f>
        <v>1</v>
      </c>
      <c r="H63" s="49">
        <f>AVERAGE('1.11 MUKONO-KATOSI 24hr'!H63,'2.11 MUKONO-KATOSI 24hr'!H63)</f>
        <v>0</v>
      </c>
      <c r="I63" s="49">
        <f>AVERAGE('1.11 MUKONO-KATOSI 24hr'!I63,'2.11 MUKONO-KATOSI 24hr'!I63)</f>
        <v>5</v>
      </c>
      <c r="J63" s="49">
        <f>AVERAGE('1.11 MUKONO-KATOSI 24hr'!J63,'2.11 MUKONO-KATOSI 24hr'!J63)</f>
        <v>0.5</v>
      </c>
      <c r="K63" s="49">
        <f>AVERAGE('1.11 MUKONO-KATOSI 24hr'!K63,'2.11 MUKONO-KATOSI 24hr'!K63)</f>
        <v>0.5</v>
      </c>
      <c r="L63" s="49">
        <f>AVERAGE('1.11 MUKONO-KATOSI 24hr'!L63,'2.11 MUKONO-KATOSI 24hr'!L63)</f>
        <v>0.5</v>
      </c>
      <c r="M63" s="49">
        <f>AVERAGE('1.11 MUKONO-KATOSI 24hr'!M63,'2.11 MUKONO-KATOSI 24hr'!M63)</f>
        <v>74.5</v>
      </c>
      <c r="N63" s="49">
        <f>AVERAGE('1.11 MUKONO-KATOSI 24hr'!N63,'2.11 MUKONO-KATOSI 24hr'!N63)</f>
        <v>0</v>
      </c>
      <c r="O63" s="15">
        <f t="shared" si="0"/>
        <v>36</v>
      </c>
      <c r="P63" s="15">
        <f t="shared" si="1"/>
        <v>110.5</v>
      </c>
      <c r="R63" s="8"/>
      <c r="T63"/>
    </row>
    <row r="64" spans="2:20" ht="23.1" customHeight="1" x14ac:dyDescent="0.25">
      <c r="B64" s="23" t="s">
        <v>109</v>
      </c>
      <c r="C64" s="49">
        <f>AVERAGE('1.11 MUKONO-KATOSI 24hr'!C64,'2.11 MUKONO-KATOSI 24hr'!C64)</f>
        <v>13</v>
      </c>
      <c r="D64" s="49">
        <f>AVERAGE('1.11 MUKONO-KATOSI 24hr'!D64,'2.11 MUKONO-KATOSI 24hr'!D64)</f>
        <v>3</v>
      </c>
      <c r="E64" s="49">
        <f>AVERAGE('1.11 MUKONO-KATOSI 24hr'!E64,'2.11 MUKONO-KATOSI 24hr'!E64)</f>
        <v>3</v>
      </c>
      <c r="F64" s="49">
        <f>AVERAGE('1.11 MUKONO-KATOSI 24hr'!F64,'2.11 MUKONO-KATOSI 24hr'!F64)</f>
        <v>8</v>
      </c>
      <c r="G64" s="49">
        <f>AVERAGE('1.11 MUKONO-KATOSI 24hr'!G64,'2.11 MUKONO-KATOSI 24hr'!G64)</f>
        <v>0</v>
      </c>
      <c r="H64" s="49">
        <f>AVERAGE('1.11 MUKONO-KATOSI 24hr'!H64,'2.11 MUKONO-KATOSI 24hr'!H64)</f>
        <v>0</v>
      </c>
      <c r="I64" s="49">
        <f>AVERAGE('1.11 MUKONO-KATOSI 24hr'!I64,'2.11 MUKONO-KATOSI 24hr'!I64)</f>
        <v>2.5</v>
      </c>
      <c r="J64" s="49">
        <f>AVERAGE('1.11 MUKONO-KATOSI 24hr'!J64,'2.11 MUKONO-KATOSI 24hr'!J64)</f>
        <v>2.5</v>
      </c>
      <c r="K64" s="49">
        <f>AVERAGE('1.11 MUKONO-KATOSI 24hr'!K64,'2.11 MUKONO-KATOSI 24hr'!K64)</f>
        <v>0</v>
      </c>
      <c r="L64" s="49">
        <f>AVERAGE('1.11 MUKONO-KATOSI 24hr'!L64,'2.11 MUKONO-KATOSI 24hr'!L64)</f>
        <v>0.5</v>
      </c>
      <c r="M64" s="49">
        <f>AVERAGE('1.11 MUKONO-KATOSI 24hr'!M64,'2.11 MUKONO-KATOSI 24hr'!M64)</f>
        <v>78</v>
      </c>
      <c r="N64" s="49">
        <f>AVERAGE('1.11 MUKONO-KATOSI 24hr'!N64,'2.11 MUKONO-KATOSI 24hr'!N64)</f>
        <v>0</v>
      </c>
      <c r="O64" s="15">
        <f t="shared" si="0"/>
        <v>32.5</v>
      </c>
      <c r="P64" s="15">
        <f t="shared" si="1"/>
        <v>110.5</v>
      </c>
      <c r="R64" s="8"/>
      <c r="T64"/>
    </row>
    <row r="65" spans="2:20" ht="23.1" customHeight="1" x14ac:dyDescent="0.25">
      <c r="B65" s="23" t="s">
        <v>158</v>
      </c>
      <c r="C65" s="49">
        <f>AVERAGE('1.11 MUKONO-KATOSI 24hr'!C65,'2.11 MUKONO-KATOSI 24hr'!C65)</f>
        <v>5</v>
      </c>
      <c r="D65" s="49">
        <f>AVERAGE('1.11 MUKONO-KATOSI 24hr'!D65,'2.11 MUKONO-KATOSI 24hr'!D65)</f>
        <v>1.5</v>
      </c>
      <c r="E65" s="49">
        <f>AVERAGE('1.11 MUKONO-KATOSI 24hr'!E65,'2.11 MUKONO-KATOSI 24hr'!E65)</f>
        <v>2</v>
      </c>
      <c r="F65" s="49">
        <f>AVERAGE('1.11 MUKONO-KATOSI 24hr'!F65,'2.11 MUKONO-KATOSI 24hr'!F65)</f>
        <v>5</v>
      </c>
      <c r="G65" s="49">
        <f>AVERAGE('1.11 MUKONO-KATOSI 24hr'!G65,'2.11 MUKONO-KATOSI 24hr'!G65)</f>
        <v>0.5</v>
      </c>
      <c r="H65" s="49">
        <f>AVERAGE('1.11 MUKONO-KATOSI 24hr'!H65,'2.11 MUKONO-KATOSI 24hr'!H65)</f>
        <v>0</v>
      </c>
      <c r="I65" s="49">
        <f>AVERAGE('1.11 MUKONO-KATOSI 24hr'!I65,'2.11 MUKONO-KATOSI 24hr'!I65)</f>
        <v>3.5</v>
      </c>
      <c r="J65" s="49">
        <f>AVERAGE('1.11 MUKONO-KATOSI 24hr'!J65,'2.11 MUKONO-KATOSI 24hr'!J65)</f>
        <v>0.5</v>
      </c>
      <c r="K65" s="49">
        <f>AVERAGE('1.11 MUKONO-KATOSI 24hr'!K65,'2.11 MUKONO-KATOSI 24hr'!K65)</f>
        <v>0</v>
      </c>
      <c r="L65" s="49">
        <f>AVERAGE('1.11 MUKONO-KATOSI 24hr'!L65,'2.11 MUKONO-KATOSI 24hr'!L65)</f>
        <v>0</v>
      </c>
      <c r="M65" s="49">
        <f>AVERAGE('1.11 MUKONO-KATOSI 24hr'!M65,'2.11 MUKONO-KATOSI 24hr'!M65)</f>
        <v>63</v>
      </c>
      <c r="N65" s="49">
        <f>AVERAGE('1.11 MUKONO-KATOSI 24hr'!N65,'2.11 MUKONO-KATOSI 24hr'!N65)</f>
        <v>0</v>
      </c>
      <c r="O65" s="15">
        <f t="shared" si="0"/>
        <v>18</v>
      </c>
      <c r="P65" s="15">
        <f t="shared" si="1"/>
        <v>81</v>
      </c>
      <c r="R65" s="8"/>
      <c r="T65"/>
    </row>
    <row r="66" spans="2:20" ht="23.1" customHeight="1" x14ac:dyDescent="0.25">
      <c r="B66" s="23" t="s">
        <v>103</v>
      </c>
      <c r="C66" s="49">
        <f>AVERAGE('1.11 MUKONO-KATOSI 24hr'!C66,'2.11 MUKONO-KATOSI 24hr'!C66)</f>
        <v>12.5</v>
      </c>
      <c r="D66" s="49">
        <f>AVERAGE('1.11 MUKONO-KATOSI 24hr'!D66,'2.11 MUKONO-KATOSI 24hr'!D66)</f>
        <v>1.5</v>
      </c>
      <c r="E66" s="49">
        <f>AVERAGE('1.11 MUKONO-KATOSI 24hr'!E66,'2.11 MUKONO-KATOSI 24hr'!E66)</f>
        <v>3</v>
      </c>
      <c r="F66" s="49">
        <f>AVERAGE('1.11 MUKONO-KATOSI 24hr'!F66,'2.11 MUKONO-KATOSI 24hr'!F66)</f>
        <v>9</v>
      </c>
      <c r="G66" s="49">
        <f>AVERAGE('1.11 MUKONO-KATOSI 24hr'!G66,'2.11 MUKONO-KATOSI 24hr'!G66)</f>
        <v>0</v>
      </c>
      <c r="H66" s="49">
        <f>AVERAGE('1.11 MUKONO-KATOSI 24hr'!H66,'2.11 MUKONO-KATOSI 24hr'!H66)</f>
        <v>0</v>
      </c>
      <c r="I66" s="49">
        <f>AVERAGE('1.11 MUKONO-KATOSI 24hr'!I66,'2.11 MUKONO-KATOSI 24hr'!I66)</f>
        <v>3</v>
      </c>
      <c r="J66" s="49">
        <f>AVERAGE('1.11 MUKONO-KATOSI 24hr'!J66,'2.11 MUKONO-KATOSI 24hr'!J66)</f>
        <v>0</v>
      </c>
      <c r="K66" s="49">
        <f>AVERAGE('1.11 MUKONO-KATOSI 24hr'!K66,'2.11 MUKONO-KATOSI 24hr'!K66)</f>
        <v>0.5</v>
      </c>
      <c r="L66" s="49">
        <f>AVERAGE('1.11 MUKONO-KATOSI 24hr'!L66,'2.11 MUKONO-KATOSI 24hr'!L66)</f>
        <v>0</v>
      </c>
      <c r="M66" s="49">
        <f>AVERAGE('1.11 MUKONO-KATOSI 24hr'!M66,'2.11 MUKONO-KATOSI 24hr'!M66)</f>
        <v>76.5</v>
      </c>
      <c r="N66" s="49">
        <f>AVERAGE('1.11 MUKONO-KATOSI 24hr'!N66,'2.11 MUKONO-KATOSI 24hr'!N66)</f>
        <v>0</v>
      </c>
      <c r="O66" s="15">
        <f t="shared" si="0"/>
        <v>29.5</v>
      </c>
      <c r="P66" s="15">
        <f t="shared" si="1"/>
        <v>106</v>
      </c>
      <c r="R66" s="8"/>
      <c r="T66"/>
    </row>
    <row r="67" spans="2:20" ht="23.1" customHeight="1" x14ac:dyDescent="0.25">
      <c r="B67" s="23" t="s">
        <v>104</v>
      </c>
      <c r="C67" s="49">
        <f>AVERAGE('1.11 MUKONO-KATOSI 24hr'!C67,'2.11 MUKONO-KATOSI 24hr'!C67)</f>
        <v>16</v>
      </c>
      <c r="D67" s="49">
        <f>AVERAGE('1.11 MUKONO-KATOSI 24hr'!D67,'2.11 MUKONO-KATOSI 24hr'!D67)</f>
        <v>2.5</v>
      </c>
      <c r="E67" s="49">
        <f>AVERAGE('1.11 MUKONO-KATOSI 24hr'!E67,'2.11 MUKONO-KATOSI 24hr'!E67)</f>
        <v>3</v>
      </c>
      <c r="F67" s="49">
        <f>AVERAGE('1.11 MUKONO-KATOSI 24hr'!F67,'2.11 MUKONO-KATOSI 24hr'!F67)</f>
        <v>8</v>
      </c>
      <c r="G67" s="49">
        <f>AVERAGE('1.11 MUKONO-KATOSI 24hr'!G67,'2.11 MUKONO-KATOSI 24hr'!G67)</f>
        <v>0.5</v>
      </c>
      <c r="H67" s="49">
        <f>AVERAGE('1.11 MUKONO-KATOSI 24hr'!H67,'2.11 MUKONO-KATOSI 24hr'!H67)</f>
        <v>0</v>
      </c>
      <c r="I67" s="49">
        <f>AVERAGE('1.11 MUKONO-KATOSI 24hr'!I67,'2.11 MUKONO-KATOSI 24hr'!I67)</f>
        <v>2</v>
      </c>
      <c r="J67" s="49">
        <f>AVERAGE('1.11 MUKONO-KATOSI 24hr'!J67,'2.11 MUKONO-KATOSI 24hr'!J67)</f>
        <v>1</v>
      </c>
      <c r="K67" s="49">
        <f>AVERAGE('1.11 MUKONO-KATOSI 24hr'!K67,'2.11 MUKONO-KATOSI 24hr'!K67)</f>
        <v>0</v>
      </c>
      <c r="L67" s="49">
        <f>AVERAGE('1.11 MUKONO-KATOSI 24hr'!L67,'2.11 MUKONO-KATOSI 24hr'!L67)</f>
        <v>0</v>
      </c>
      <c r="M67" s="49">
        <f>AVERAGE('1.11 MUKONO-KATOSI 24hr'!M67,'2.11 MUKONO-KATOSI 24hr'!M67)</f>
        <v>91.5</v>
      </c>
      <c r="N67" s="49">
        <f>AVERAGE('1.11 MUKONO-KATOSI 24hr'!N67,'2.11 MUKONO-KATOSI 24hr'!N67)</f>
        <v>0</v>
      </c>
      <c r="O67" s="15">
        <f t="shared" si="0"/>
        <v>33</v>
      </c>
      <c r="P67" s="15">
        <f t="shared" si="1"/>
        <v>124.5</v>
      </c>
      <c r="R67" s="8"/>
      <c r="T67"/>
    </row>
    <row r="68" spans="2:20" ht="23.1" customHeight="1" x14ac:dyDescent="0.25">
      <c r="B68" s="23" t="s">
        <v>105</v>
      </c>
      <c r="C68" s="49">
        <f>AVERAGE('1.11 MUKONO-KATOSI 24hr'!C68,'2.11 MUKONO-KATOSI 24hr'!C68)</f>
        <v>12.5</v>
      </c>
      <c r="D68" s="49">
        <f>AVERAGE('1.11 MUKONO-KATOSI 24hr'!D68,'2.11 MUKONO-KATOSI 24hr'!D68)</f>
        <v>2</v>
      </c>
      <c r="E68" s="49">
        <f>AVERAGE('1.11 MUKONO-KATOSI 24hr'!E68,'2.11 MUKONO-KATOSI 24hr'!E68)</f>
        <v>1.5</v>
      </c>
      <c r="F68" s="49">
        <f>AVERAGE('1.11 MUKONO-KATOSI 24hr'!F68,'2.11 MUKONO-KATOSI 24hr'!F68)</f>
        <v>5</v>
      </c>
      <c r="G68" s="49">
        <f>AVERAGE('1.11 MUKONO-KATOSI 24hr'!G68,'2.11 MUKONO-KATOSI 24hr'!G68)</f>
        <v>1.5</v>
      </c>
      <c r="H68" s="49">
        <f>AVERAGE('1.11 MUKONO-KATOSI 24hr'!H68,'2.11 MUKONO-KATOSI 24hr'!H68)</f>
        <v>0</v>
      </c>
      <c r="I68" s="49">
        <f>AVERAGE('1.11 MUKONO-KATOSI 24hr'!I68,'2.11 MUKONO-KATOSI 24hr'!I68)</f>
        <v>1.5</v>
      </c>
      <c r="J68" s="49">
        <f>AVERAGE('1.11 MUKONO-KATOSI 24hr'!J68,'2.11 MUKONO-KATOSI 24hr'!J68)</f>
        <v>0.5</v>
      </c>
      <c r="K68" s="49">
        <f>AVERAGE('1.11 MUKONO-KATOSI 24hr'!K68,'2.11 MUKONO-KATOSI 24hr'!K68)</f>
        <v>0.5</v>
      </c>
      <c r="L68" s="49">
        <f>AVERAGE('1.11 MUKONO-KATOSI 24hr'!L68,'2.11 MUKONO-KATOSI 24hr'!L68)</f>
        <v>0</v>
      </c>
      <c r="M68" s="49">
        <f>AVERAGE('1.11 MUKONO-KATOSI 24hr'!M68,'2.11 MUKONO-KATOSI 24hr'!M68)</f>
        <v>82.5</v>
      </c>
      <c r="N68" s="49">
        <f>AVERAGE('1.11 MUKONO-KATOSI 24hr'!N68,'2.11 MUKONO-KATOSI 24hr'!N68)</f>
        <v>0</v>
      </c>
      <c r="O68" s="15">
        <f t="shared" si="0"/>
        <v>25</v>
      </c>
      <c r="P68" s="15">
        <f t="shared" si="1"/>
        <v>107.5</v>
      </c>
      <c r="R68" s="8"/>
      <c r="T68"/>
    </row>
    <row r="69" spans="2:20" ht="23.1" customHeight="1" x14ac:dyDescent="0.25">
      <c r="B69" s="23" t="s">
        <v>106</v>
      </c>
      <c r="C69" s="49">
        <f>AVERAGE('1.11 MUKONO-KATOSI 24hr'!C69,'2.11 MUKONO-KATOSI 24hr'!C69)</f>
        <v>5</v>
      </c>
      <c r="D69" s="49">
        <f>AVERAGE('1.11 MUKONO-KATOSI 24hr'!D69,'2.11 MUKONO-KATOSI 24hr'!D69)</f>
        <v>1.5</v>
      </c>
      <c r="E69" s="49">
        <f>AVERAGE('1.11 MUKONO-KATOSI 24hr'!E69,'2.11 MUKONO-KATOSI 24hr'!E69)</f>
        <v>1</v>
      </c>
      <c r="F69" s="49">
        <f>AVERAGE('1.11 MUKONO-KATOSI 24hr'!F69,'2.11 MUKONO-KATOSI 24hr'!F69)</f>
        <v>4</v>
      </c>
      <c r="G69" s="49">
        <f>AVERAGE('1.11 MUKONO-KATOSI 24hr'!G69,'2.11 MUKONO-KATOSI 24hr'!G69)</f>
        <v>0</v>
      </c>
      <c r="H69" s="49">
        <f>AVERAGE('1.11 MUKONO-KATOSI 24hr'!H69,'2.11 MUKONO-KATOSI 24hr'!H69)</f>
        <v>0</v>
      </c>
      <c r="I69" s="49">
        <f>AVERAGE('1.11 MUKONO-KATOSI 24hr'!I69,'2.11 MUKONO-KATOSI 24hr'!I69)</f>
        <v>1</v>
      </c>
      <c r="J69" s="49">
        <f>AVERAGE('1.11 MUKONO-KATOSI 24hr'!J69,'2.11 MUKONO-KATOSI 24hr'!J69)</f>
        <v>0</v>
      </c>
      <c r="K69" s="49">
        <f>AVERAGE('1.11 MUKONO-KATOSI 24hr'!K69,'2.11 MUKONO-KATOSI 24hr'!K69)</f>
        <v>0</v>
      </c>
      <c r="L69" s="49">
        <f>AVERAGE('1.11 MUKONO-KATOSI 24hr'!L69,'2.11 MUKONO-KATOSI 24hr'!L69)</f>
        <v>0</v>
      </c>
      <c r="M69" s="49">
        <f>AVERAGE('1.11 MUKONO-KATOSI 24hr'!M69,'2.11 MUKONO-KATOSI 24hr'!M69)</f>
        <v>64</v>
      </c>
      <c r="N69" s="49">
        <f>AVERAGE('1.11 MUKONO-KATOSI 24hr'!N69,'2.11 MUKONO-KATOSI 24hr'!N69)</f>
        <v>0</v>
      </c>
      <c r="O69" s="15">
        <f t="shared" si="0"/>
        <v>12.5</v>
      </c>
      <c r="P69" s="15">
        <f t="shared" si="1"/>
        <v>76.5</v>
      </c>
      <c r="R69" s="8"/>
      <c r="T69"/>
    </row>
    <row r="70" spans="2:20" ht="23.1" customHeight="1" x14ac:dyDescent="0.25">
      <c r="B70" s="23" t="s">
        <v>110</v>
      </c>
      <c r="C70" s="49">
        <f>AVERAGE('1.11 MUKONO-KATOSI 24hr'!C70,'2.11 MUKONO-KATOSI 24hr'!C70)</f>
        <v>9.5</v>
      </c>
      <c r="D70" s="49">
        <f>AVERAGE('1.11 MUKONO-KATOSI 24hr'!D70,'2.11 MUKONO-KATOSI 24hr'!D70)</f>
        <v>2</v>
      </c>
      <c r="E70" s="49">
        <f>AVERAGE('1.11 MUKONO-KATOSI 24hr'!E70,'2.11 MUKONO-KATOSI 24hr'!E70)</f>
        <v>1.5</v>
      </c>
      <c r="F70" s="49">
        <f>AVERAGE('1.11 MUKONO-KATOSI 24hr'!F70,'2.11 MUKONO-KATOSI 24hr'!F70)</f>
        <v>6</v>
      </c>
      <c r="G70" s="49">
        <f>AVERAGE('1.11 MUKONO-KATOSI 24hr'!G70,'2.11 MUKONO-KATOSI 24hr'!G70)</f>
        <v>0</v>
      </c>
      <c r="H70" s="49">
        <f>AVERAGE('1.11 MUKONO-KATOSI 24hr'!H70,'2.11 MUKONO-KATOSI 24hr'!H70)</f>
        <v>0</v>
      </c>
      <c r="I70" s="49">
        <f>AVERAGE('1.11 MUKONO-KATOSI 24hr'!I70,'2.11 MUKONO-KATOSI 24hr'!I70)</f>
        <v>0.5</v>
      </c>
      <c r="J70" s="49">
        <f>AVERAGE('1.11 MUKONO-KATOSI 24hr'!J70,'2.11 MUKONO-KATOSI 24hr'!J70)</f>
        <v>0.5</v>
      </c>
      <c r="K70" s="49">
        <f>AVERAGE('1.11 MUKONO-KATOSI 24hr'!K70,'2.11 MUKONO-KATOSI 24hr'!K70)</f>
        <v>0.5</v>
      </c>
      <c r="L70" s="49">
        <f>AVERAGE('1.11 MUKONO-KATOSI 24hr'!L70,'2.11 MUKONO-KATOSI 24hr'!L70)</f>
        <v>0</v>
      </c>
      <c r="M70" s="49">
        <f>AVERAGE('1.11 MUKONO-KATOSI 24hr'!M70,'2.11 MUKONO-KATOSI 24hr'!M70)</f>
        <v>46.5</v>
      </c>
      <c r="N70" s="49">
        <f>AVERAGE('1.11 MUKONO-KATOSI 24hr'!N70,'2.11 MUKONO-KATOSI 24hr'!N70)</f>
        <v>0</v>
      </c>
      <c r="O70" s="15">
        <f t="shared" si="0"/>
        <v>20.5</v>
      </c>
      <c r="P70" s="15">
        <f t="shared" si="1"/>
        <v>67</v>
      </c>
      <c r="R70" s="8"/>
      <c r="T70"/>
    </row>
    <row r="71" spans="2:20" ht="23.1" customHeight="1" x14ac:dyDescent="0.25">
      <c r="B71" s="23" t="s">
        <v>111</v>
      </c>
      <c r="C71" s="49">
        <f>AVERAGE('1.11 MUKONO-KATOSI 24hr'!C71,'2.11 MUKONO-KATOSI 24hr'!C71)</f>
        <v>8.5</v>
      </c>
      <c r="D71" s="49">
        <f>AVERAGE('1.11 MUKONO-KATOSI 24hr'!D71,'2.11 MUKONO-KATOSI 24hr'!D71)</f>
        <v>1</v>
      </c>
      <c r="E71" s="49">
        <f>AVERAGE('1.11 MUKONO-KATOSI 24hr'!E71,'2.11 MUKONO-KATOSI 24hr'!E71)</f>
        <v>1</v>
      </c>
      <c r="F71" s="49">
        <f>AVERAGE('1.11 MUKONO-KATOSI 24hr'!F71,'2.11 MUKONO-KATOSI 24hr'!F71)</f>
        <v>5</v>
      </c>
      <c r="G71" s="49">
        <f>AVERAGE('1.11 MUKONO-KATOSI 24hr'!G71,'2.11 MUKONO-KATOSI 24hr'!G71)</f>
        <v>0.5</v>
      </c>
      <c r="H71" s="49">
        <f>AVERAGE('1.11 MUKONO-KATOSI 24hr'!H71,'2.11 MUKONO-KATOSI 24hr'!H71)</f>
        <v>0</v>
      </c>
      <c r="I71" s="49">
        <f>AVERAGE('1.11 MUKONO-KATOSI 24hr'!I71,'2.11 MUKONO-KATOSI 24hr'!I71)</f>
        <v>1.5</v>
      </c>
      <c r="J71" s="49">
        <f>AVERAGE('1.11 MUKONO-KATOSI 24hr'!J71,'2.11 MUKONO-KATOSI 24hr'!J71)</f>
        <v>0.5</v>
      </c>
      <c r="K71" s="49">
        <f>AVERAGE('1.11 MUKONO-KATOSI 24hr'!K71,'2.11 MUKONO-KATOSI 24hr'!K71)</f>
        <v>0</v>
      </c>
      <c r="L71" s="49">
        <f>AVERAGE('1.11 MUKONO-KATOSI 24hr'!L71,'2.11 MUKONO-KATOSI 24hr'!L71)</f>
        <v>0</v>
      </c>
      <c r="M71" s="49">
        <f>AVERAGE('1.11 MUKONO-KATOSI 24hr'!M71,'2.11 MUKONO-KATOSI 24hr'!M71)</f>
        <v>76.5</v>
      </c>
      <c r="N71" s="49">
        <f>AVERAGE('1.11 MUKONO-KATOSI 24hr'!N71,'2.11 MUKONO-KATOSI 24hr'!N71)</f>
        <v>0</v>
      </c>
      <c r="O71" s="15">
        <f t="shared" si="0"/>
        <v>18</v>
      </c>
      <c r="P71" s="15">
        <f t="shared" si="1"/>
        <v>94.5</v>
      </c>
      <c r="R71" s="8"/>
      <c r="T71"/>
    </row>
    <row r="72" spans="2:20" ht="23.1" customHeight="1" x14ac:dyDescent="0.25">
      <c r="B72" s="23" t="s">
        <v>112</v>
      </c>
      <c r="C72" s="49">
        <f>AVERAGE('1.11 MUKONO-KATOSI 24hr'!C72,'2.11 MUKONO-KATOSI 24hr'!C72)</f>
        <v>7</v>
      </c>
      <c r="D72" s="49">
        <f>AVERAGE('1.11 MUKONO-KATOSI 24hr'!D72,'2.11 MUKONO-KATOSI 24hr'!D72)</f>
        <v>2</v>
      </c>
      <c r="E72" s="49">
        <f>AVERAGE('1.11 MUKONO-KATOSI 24hr'!E72,'2.11 MUKONO-KATOSI 24hr'!E72)</f>
        <v>1.5</v>
      </c>
      <c r="F72" s="49">
        <f>AVERAGE('1.11 MUKONO-KATOSI 24hr'!F72,'2.11 MUKONO-KATOSI 24hr'!F72)</f>
        <v>4.5</v>
      </c>
      <c r="G72" s="49">
        <f>AVERAGE('1.11 MUKONO-KATOSI 24hr'!G72,'2.11 MUKONO-KATOSI 24hr'!G72)</f>
        <v>0</v>
      </c>
      <c r="H72" s="49">
        <f>AVERAGE('1.11 MUKONO-KATOSI 24hr'!H72,'2.11 MUKONO-KATOSI 24hr'!H72)</f>
        <v>0</v>
      </c>
      <c r="I72" s="49">
        <f>AVERAGE('1.11 MUKONO-KATOSI 24hr'!I72,'2.11 MUKONO-KATOSI 24hr'!I72)</f>
        <v>2</v>
      </c>
      <c r="J72" s="49">
        <f>AVERAGE('1.11 MUKONO-KATOSI 24hr'!J72,'2.11 MUKONO-KATOSI 24hr'!J72)</f>
        <v>0</v>
      </c>
      <c r="K72" s="49">
        <f>AVERAGE('1.11 MUKONO-KATOSI 24hr'!K72,'2.11 MUKONO-KATOSI 24hr'!K72)</f>
        <v>0</v>
      </c>
      <c r="L72" s="49">
        <f>AVERAGE('1.11 MUKONO-KATOSI 24hr'!L72,'2.11 MUKONO-KATOSI 24hr'!L72)</f>
        <v>0</v>
      </c>
      <c r="M72" s="49">
        <f>AVERAGE('1.11 MUKONO-KATOSI 24hr'!M72,'2.11 MUKONO-KATOSI 24hr'!M72)</f>
        <v>51.5</v>
      </c>
      <c r="N72" s="49">
        <f>AVERAGE('1.11 MUKONO-KATOSI 24hr'!N72,'2.11 MUKONO-KATOSI 24hr'!N72)</f>
        <v>0</v>
      </c>
      <c r="O72" s="15">
        <f t="shared" si="0"/>
        <v>17</v>
      </c>
      <c r="P72" s="15">
        <f t="shared" si="1"/>
        <v>68.5</v>
      </c>
      <c r="R72" s="8"/>
      <c r="T72"/>
    </row>
    <row r="73" spans="2:20" ht="23.1" customHeight="1" x14ac:dyDescent="0.25">
      <c r="B73" s="23" t="s">
        <v>113</v>
      </c>
      <c r="C73" s="49">
        <f>AVERAGE('1.11 MUKONO-KATOSI 24hr'!C73,'2.11 MUKONO-KATOSI 24hr'!C73)</f>
        <v>7</v>
      </c>
      <c r="D73" s="49">
        <f>AVERAGE('1.11 MUKONO-KATOSI 24hr'!D73,'2.11 MUKONO-KATOSI 24hr'!D73)</f>
        <v>0.5</v>
      </c>
      <c r="E73" s="49">
        <f>AVERAGE('1.11 MUKONO-KATOSI 24hr'!E73,'2.11 MUKONO-KATOSI 24hr'!E73)</f>
        <v>1</v>
      </c>
      <c r="F73" s="49">
        <f>AVERAGE('1.11 MUKONO-KATOSI 24hr'!F73,'2.11 MUKONO-KATOSI 24hr'!F73)</f>
        <v>5</v>
      </c>
      <c r="G73" s="49">
        <f>AVERAGE('1.11 MUKONO-KATOSI 24hr'!G73,'2.11 MUKONO-KATOSI 24hr'!G73)</f>
        <v>0</v>
      </c>
      <c r="H73" s="49">
        <f>AVERAGE('1.11 MUKONO-KATOSI 24hr'!H73,'2.11 MUKONO-KATOSI 24hr'!H73)</f>
        <v>1</v>
      </c>
      <c r="I73" s="49">
        <f>AVERAGE('1.11 MUKONO-KATOSI 24hr'!I73,'2.11 MUKONO-KATOSI 24hr'!I73)</f>
        <v>2</v>
      </c>
      <c r="J73" s="49">
        <f>AVERAGE('1.11 MUKONO-KATOSI 24hr'!J73,'2.11 MUKONO-KATOSI 24hr'!J73)</f>
        <v>0</v>
      </c>
      <c r="K73" s="49">
        <f>AVERAGE('1.11 MUKONO-KATOSI 24hr'!K73,'2.11 MUKONO-KATOSI 24hr'!K73)</f>
        <v>0</v>
      </c>
      <c r="L73" s="49">
        <f>AVERAGE('1.11 MUKONO-KATOSI 24hr'!L73,'2.11 MUKONO-KATOSI 24hr'!L73)</f>
        <v>0</v>
      </c>
      <c r="M73" s="49">
        <f>AVERAGE('1.11 MUKONO-KATOSI 24hr'!M73,'2.11 MUKONO-KATOSI 24hr'!M73)</f>
        <v>53</v>
      </c>
      <c r="N73" s="49">
        <f>AVERAGE('1.11 MUKONO-KATOSI 24hr'!N73,'2.11 MUKONO-KATOSI 24hr'!N73)</f>
        <v>0</v>
      </c>
      <c r="O73" s="15">
        <f t="shared" si="0"/>
        <v>16.5</v>
      </c>
      <c r="P73" s="15">
        <f t="shared" si="1"/>
        <v>69.5</v>
      </c>
      <c r="R73" s="8"/>
      <c r="T73"/>
    </row>
    <row r="74" spans="2:20" ht="23.1" customHeight="1" x14ac:dyDescent="0.25">
      <c r="B74" s="23" t="s">
        <v>114</v>
      </c>
      <c r="C74" s="49">
        <f>AVERAGE('1.11 MUKONO-KATOSI 24hr'!C74,'2.11 MUKONO-KATOSI 24hr'!C74)</f>
        <v>9</v>
      </c>
      <c r="D74" s="49">
        <f>AVERAGE('1.11 MUKONO-KATOSI 24hr'!D74,'2.11 MUKONO-KATOSI 24hr'!D74)</f>
        <v>3.5</v>
      </c>
      <c r="E74" s="49">
        <f>AVERAGE('1.11 MUKONO-KATOSI 24hr'!E74,'2.11 MUKONO-KATOSI 24hr'!E74)</f>
        <v>3.5</v>
      </c>
      <c r="F74" s="49">
        <f>AVERAGE('1.11 MUKONO-KATOSI 24hr'!F74,'2.11 MUKONO-KATOSI 24hr'!F74)</f>
        <v>3</v>
      </c>
      <c r="G74" s="49">
        <f>AVERAGE('1.11 MUKONO-KATOSI 24hr'!G74,'2.11 MUKONO-KATOSI 24hr'!G74)</f>
        <v>0</v>
      </c>
      <c r="H74" s="49">
        <f>AVERAGE('1.11 MUKONO-KATOSI 24hr'!H74,'2.11 MUKONO-KATOSI 24hr'!H74)</f>
        <v>0</v>
      </c>
      <c r="I74" s="49">
        <f>AVERAGE('1.11 MUKONO-KATOSI 24hr'!I74,'2.11 MUKONO-KATOSI 24hr'!I74)</f>
        <v>3.5</v>
      </c>
      <c r="J74" s="49">
        <f>AVERAGE('1.11 MUKONO-KATOSI 24hr'!J74,'2.11 MUKONO-KATOSI 24hr'!J74)</f>
        <v>1.5</v>
      </c>
      <c r="K74" s="49">
        <f>AVERAGE('1.11 MUKONO-KATOSI 24hr'!K74,'2.11 MUKONO-KATOSI 24hr'!K74)</f>
        <v>1</v>
      </c>
      <c r="L74" s="49">
        <f>AVERAGE('1.11 MUKONO-KATOSI 24hr'!L74,'2.11 MUKONO-KATOSI 24hr'!L74)</f>
        <v>0</v>
      </c>
      <c r="M74" s="49">
        <f>AVERAGE('1.11 MUKONO-KATOSI 24hr'!M74,'2.11 MUKONO-KATOSI 24hr'!M74)</f>
        <v>40.5</v>
      </c>
      <c r="N74" s="49">
        <f>AVERAGE('1.11 MUKONO-KATOSI 24hr'!N74,'2.11 MUKONO-KATOSI 24hr'!N74)</f>
        <v>0</v>
      </c>
      <c r="O74" s="15">
        <f t="shared" ref="O74:O104" si="35">SUM(C74:L74,N74)</f>
        <v>25</v>
      </c>
      <c r="P74" s="15">
        <f t="shared" ref="P74:P104" si="36">SUM(C74:N74)</f>
        <v>65.5</v>
      </c>
      <c r="R74" s="8"/>
      <c r="T74"/>
    </row>
    <row r="75" spans="2:20" ht="23.1" customHeight="1" x14ac:dyDescent="0.25">
      <c r="B75" s="23" t="s">
        <v>115</v>
      </c>
      <c r="C75" s="49">
        <f>AVERAGE('1.11 MUKONO-KATOSI 24hr'!C75,'2.11 MUKONO-KATOSI 24hr'!C75)</f>
        <v>11</v>
      </c>
      <c r="D75" s="49">
        <f>AVERAGE('1.11 MUKONO-KATOSI 24hr'!D75,'2.11 MUKONO-KATOSI 24hr'!D75)</f>
        <v>0</v>
      </c>
      <c r="E75" s="49">
        <f>AVERAGE('1.11 MUKONO-KATOSI 24hr'!E75,'2.11 MUKONO-KATOSI 24hr'!E75)</f>
        <v>2.5</v>
      </c>
      <c r="F75" s="49">
        <f>AVERAGE('1.11 MUKONO-KATOSI 24hr'!F75,'2.11 MUKONO-KATOSI 24hr'!F75)</f>
        <v>4</v>
      </c>
      <c r="G75" s="49">
        <f>AVERAGE('1.11 MUKONO-KATOSI 24hr'!G75,'2.11 MUKONO-KATOSI 24hr'!G75)</f>
        <v>0</v>
      </c>
      <c r="H75" s="49">
        <f>AVERAGE('1.11 MUKONO-KATOSI 24hr'!H75,'2.11 MUKONO-KATOSI 24hr'!H75)</f>
        <v>0</v>
      </c>
      <c r="I75" s="49">
        <f>AVERAGE('1.11 MUKONO-KATOSI 24hr'!I75,'2.11 MUKONO-KATOSI 24hr'!I75)</f>
        <v>1</v>
      </c>
      <c r="J75" s="49">
        <f>AVERAGE('1.11 MUKONO-KATOSI 24hr'!J75,'2.11 MUKONO-KATOSI 24hr'!J75)</f>
        <v>0.5</v>
      </c>
      <c r="K75" s="49">
        <f>AVERAGE('1.11 MUKONO-KATOSI 24hr'!K75,'2.11 MUKONO-KATOSI 24hr'!K75)</f>
        <v>0</v>
      </c>
      <c r="L75" s="49">
        <f>AVERAGE('1.11 MUKONO-KATOSI 24hr'!L75,'2.11 MUKONO-KATOSI 24hr'!L75)</f>
        <v>0</v>
      </c>
      <c r="M75" s="49">
        <f>AVERAGE('1.11 MUKONO-KATOSI 24hr'!M75,'2.11 MUKONO-KATOSI 24hr'!M75)</f>
        <v>42</v>
      </c>
      <c r="N75" s="49">
        <f>AVERAGE('1.11 MUKONO-KATOSI 24hr'!N75,'2.11 MUKONO-KATOSI 24hr'!N75)</f>
        <v>0</v>
      </c>
      <c r="O75" s="15">
        <f t="shared" si="35"/>
        <v>19</v>
      </c>
      <c r="P75" s="15">
        <f t="shared" si="36"/>
        <v>61</v>
      </c>
      <c r="R75" s="8"/>
      <c r="T75"/>
    </row>
    <row r="76" spans="2:20" ht="23.1" customHeight="1" x14ac:dyDescent="0.25">
      <c r="B76" s="23" t="s">
        <v>116</v>
      </c>
      <c r="C76" s="49">
        <f>AVERAGE('1.11 MUKONO-KATOSI 24hr'!C76,'2.11 MUKONO-KATOSI 24hr'!C76)</f>
        <v>9</v>
      </c>
      <c r="D76" s="49">
        <f>AVERAGE('1.11 MUKONO-KATOSI 24hr'!D76,'2.11 MUKONO-KATOSI 24hr'!D76)</f>
        <v>0</v>
      </c>
      <c r="E76" s="49">
        <f>AVERAGE('1.11 MUKONO-KATOSI 24hr'!E76,'2.11 MUKONO-KATOSI 24hr'!E76)</f>
        <v>1.5</v>
      </c>
      <c r="F76" s="49">
        <f>AVERAGE('1.11 MUKONO-KATOSI 24hr'!F76,'2.11 MUKONO-KATOSI 24hr'!F76)</f>
        <v>6</v>
      </c>
      <c r="G76" s="49">
        <f>AVERAGE('1.11 MUKONO-KATOSI 24hr'!G76,'2.11 MUKONO-KATOSI 24hr'!G76)</f>
        <v>0</v>
      </c>
      <c r="H76" s="49">
        <f>AVERAGE('1.11 MUKONO-KATOSI 24hr'!H76,'2.11 MUKONO-KATOSI 24hr'!H76)</f>
        <v>0</v>
      </c>
      <c r="I76" s="49">
        <f>AVERAGE('1.11 MUKONO-KATOSI 24hr'!I76,'2.11 MUKONO-KATOSI 24hr'!I76)</f>
        <v>1.5</v>
      </c>
      <c r="J76" s="49">
        <f>AVERAGE('1.11 MUKONO-KATOSI 24hr'!J76,'2.11 MUKONO-KATOSI 24hr'!J76)</f>
        <v>0</v>
      </c>
      <c r="K76" s="49">
        <f>AVERAGE('1.11 MUKONO-KATOSI 24hr'!K76,'2.11 MUKONO-KATOSI 24hr'!K76)</f>
        <v>0</v>
      </c>
      <c r="L76" s="49">
        <f>AVERAGE('1.11 MUKONO-KATOSI 24hr'!L76,'2.11 MUKONO-KATOSI 24hr'!L76)</f>
        <v>0</v>
      </c>
      <c r="M76" s="49">
        <f>AVERAGE('1.11 MUKONO-KATOSI 24hr'!M76,'2.11 MUKONO-KATOSI 24hr'!M76)</f>
        <v>49.5</v>
      </c>
      <c r="N76" s="49">
        <f>AVERAGE('1.11 MUKONO-KATOSI 24hr'!N76,'2.11 MUKONO-KATOSI 24hr'!N76)</f>
        <v>0</v>
      </c>
      <c r="O76" s="15">
        <f t="shared" si="35"/>
        <v>18</v>
      </c>
      <c r="P76" s="15">
        <f t="shared" si="36"/>
        <v>67.5</v>
      </c>
      <c r="R76" s="8"/>
      <c r="T76"/>
    </row>
    <row r="77" spans="2:20" ht="23.1" customHeight="1" x14ac:dyDescent="0.25">
      <c r="B77" s="23" t="s">
        <v>117</v>
      </c>
      <c r="C77" s="49">
        <f>AVERAGE('1.11 MUKONO-KATOSI 24hr'!C77,'2.11 MUKONO-KATOSI 24hr'!C77)</f>
        <v>6.5</v>
      </c>
      <c r="D77" s="49">
        <f>AVERAGE('1.11 MUKONO-KATOSI 24hr'!D77,'2.11 MUKONO-KATOSI 24hr'!D77)</f>
        <v>0</v>
      </c>
      <c r="E77" s="49">
        <f>AVERAGE('1.11 MUKONO-KATOSI 24hr'!E77,'2.11 MUKONO-KATOSI 24hr'!E77)</f>
        <v>1.5</v>
      </c>
      <c r="F77" s="49">
        <f>AVERAGE('1.11 MUKONO-KATOSI 24hr'!F77,'2.11 MUKONO-KATOSI 24hr'!F77)</f>
        <v>1.5</v>
      </c>
      <c r="G77" s="49">
        <f>AVERAGE('1.11 MUKONO-KATOSI 24hr'!G77,'2.11 MUKONO-KATOSI 24hr'!G77)</f>
        <v>0</v>
      </c>
      <c r="H77" s="49">
        <f>AVERAGE('1.11 MUKONO-KATOSI 24hr'!H77,'2.11 MUKONO-KATOSI 24hr'!H77)</f>
        <v>0</v>
      </c>
      <c r="I77" s="49">
        <f>AVERAGE('1.11 MUKONO-KATOSI 24hr'!I77,'2.11 MUKONO-KATOSI 24hr'!I77)</f>
        <v>0</v>
      </c>
      <c r="J77" s="49">
        <f>AVERAGE('1.11 MUKONO-KATOSI 24hr'!J77,'2.11 MUKONO-KATOSI 24hr'!J77)</f>
        <v>0</v>
      </c>
      <c r="K77" s="49">
        <f>AVERAGE('1.11 MUKONO-KATOSI 24hr'!K77,'2.11 MUKONO-KATOSI 24hr'!K77)</f>
        <v>0</v>
      </c>
      <c r="L77" s="49">
        <f>AVERAGE('1.11 MUKONO-KATOSI 24hr'!L77,'2.11 MUKONO-KATOSI 24hr'!L77)</f>
        <v>0</v>
      </c>
      <c r="M77" s="49">
        <f>AVERAGE('1.11 MUKONO-KATOSI 24hr'!M77,'2.11 MUKONO-KATOSI 24hr'!M77)</f>
        <v>43.5</v>
      </c>
      <c r="N77" s="49">
        <f>AVERAGE('1.11 MUKONO-KATOSI 24hr'!N77,'2.11 MUKONO-KATOSI 24hr'!N77)</f>
        <v>0</v>
      </c>
      <c r="O77" s="15">
        <f t="shared" si="35"/>
        <v>9.5</v>
      </c>
      <c r="P77" s="15">
        <f t="shared" si="36"/>
        <v>53</v>
      </c>
      <c r="R77" s="8"/>
      <c r="T77"/>
    </row>
    <row r="78" spans="2:20" ht="23.1" customHeight="1" x14ac:dyDescent="0.25">
      <c r="B78" s="24" t="s">
        <v>118</v>
      </c>
      <c r="C78" s="49">
        <f>AVERAGE('1.11 MUKONO-KATOSI 24hr'!C78,'2.11 MUKONO-KATOSI 24hr'!C78)</f>
        <v>5</v>
      </c>
      <c r="D78" s="49">
        <f>AVERAGE('1.11 MUKONO-KATOSI 24hr'!D78,'2.11 MUKONO-KATOSI 24hr'!D78)</f>
        <v>1</v>
      </c>
      <c r="E78" s="49">
        <f>AVERAGE('1.11 MUKONO-KATOSI 24hr'!E78,'2.11 MUKONO-KATOSI 24hr'!E78)</f>
        <v>0.5</v>
      </c>
      <c r="F78" s="49">
        <f>AVERAGE('1.11 MUKONO-KATOSI 24hr'!F78,'2.11 MUKONO-KATOSI 24hr'!F78)</f>
        <v>3.5</v>
      </c>
      <c r="G78" s="49">
        <f>AVERAGE('1.11 MUKONO-KATOSI 24hr'!G78,'2.11 MUKONO-KATOSI 24hr'!G78)</f>
        <v>0</v>
      </c>
      <c r="H78" s="49">
        <f>AVERAGE('1.11 MUKONO-KATOSI 24hr'!H78,'2.11 MUKONO-KATOSI 24hr'!H78)</f>
        <v>0</v>
      </c>
      <c r="I78" s="49">
        <f>AVERAGE('1.11 MUKONO-KATOSI 24hr'!I78,'2.11 MUKONO-KATOSI 24hr'!I78)</f>
        <v>0.5</v>
      </c>
      <c r="J78" s="49">
        <f>AVERAGE('1.11 MUKONO-KATOSI 24hr'!J78,'2.11 MUKONO-KATOSI 24hr'!J78)</f>
        <v>1</v>
      </c>
      <c r="K78" s="49">
        <f>AVERAGE('1.11 MUKONO-KATOSI 24hr'!K78,'2.11 MUKONO-KATOSI 24hr'!K78)</f>
        <v>0</v>
      </c>
      <c r="L78" s="49">
        <f>AVERAGE('1.11 MUKONO-KATOSI 24hr'!L78,'2.11 MUKONO-KATOSI 24hr'!L78)</f>
        <v>0</v>
      </c>
      <c r="M78" s="49">
        <f>AVERAGE('1.11 MUKONO-KATOSI 24hr'!M78,'2.11 MUKONO-KATOSI 24hr'!M78)</f>
        <v>27</v>
      </c>
      <c r="N78" s="49">
        <f>AVERAGE('1.11 MUKONO-KATOSI 24hr'!N78,'2.11 MUKONO-KATOSI 24hr'!N78)</f>
        <v>0</v>
      </c>
      <c r="O78" s="15">
        <f t="shared" si="35"/>
        <v>11.5</v>
      </c>
      <c r="P78" s="15">
        <f t="shared" si="36"/>
        <v>38.5</v>
      </c>
      <c r="R78" s="8"/>
      <c r="T78"/>
    </row>
    <row r="79" spans="2:20" ht="23.1" customHeight="1" x14ac:dyDescent="0.25">
      <c r="B79" s="23" t="s">
        <v>119</v>
      </c>
      <c r="C79" s="49">
        <f>AVERAGE('1.11 MUKONO-KATOSI 24hr'!C79,'2.11 MUKONO-KATOSI 24hr'!C79)</f>
        <v>2.5</v>
      </c>
      <c r="D79" s="49">
        <f>AVERAGE('1.11 MUKONO-KATOSI 24hr'!D79,'2.11 MUKONO-KATOSI 24hr'!D79)</f>
        <v>2.5</v>
      </c>
      <c r="E79" s="49">
        <f>AVERAGE('1.11 MUKONO-KATOSI 24hr'!E79,'2.11 MUKONO-KATOSI 24hr'!E79)</f>
        <v>0.5</v>
      </c>
      <c r="F79" s="49">
        <f>AVERAGE('1.11 MUKONO-KATOSI 24hr'!F79,'2.11 MUKONO-KATOSI 24hr'!F79)</f>
        <v>6.5</v>
      </c>
      <c r="G79" s="49">
        <f>AVERAGE('1.11 MUKONO-KATOSI 24hr'!G79,'2.11 MUKONO-KATOSI 24hr'!G79)</f>
        <v>0</v>
      </c>
      <c r="H79" s="49">
        <f>AVERAGE('1.11 MUKONO-KATOSI 24hr'!H79,'2.11 MUKONO-KATOSI 24hr'!H79)</f>
        <v>0</v>
      </c>
      <c r="I79" s="49">
        <f>AVERAGE('1.11 MUKONO-KATOSI 24hr'!I79,'2.11 MUKONO-KATOSI 24hr'!I79)</f>
        <v>1</v>
      </c>
      <c r="J79" s="49">
        <f>AVERAGE('1.11 MUKONO-KATOSI 24hr'!J79,'2.11 MUKONO-KATOSI 24hr'!J79)</f>
        <v>0.5</v>
      </c>
      <c r="K79" s="49">
        <f>AVERAGE('1.11 MUKONO-KATOSI 24hr'!K79,'2.11 MUKONO-KATOSI 24hr'!K79)</f>
        <v>0</v>
      </c>
      <c r="L79" s="49">
        <f>AVERAGE('1.11 MUKONO-KATOSI 24hr'!L79,'2.11 MUKONO-KATOSI 24hr'!L79)</f>
        <v>0</v>
      </c>
      <c r="M79" s="49">
        <f>AVERAGE('1.11 MUKONO-KATOSI 24hr'!M79,'2.11 MUKONO-KATOSI 24hr'!M79)</f>
        <v>16.5</v>
      </c>
      <c r="N79" s="49">
        <f>AVERAGE('1.11 MUKONO-KATOSI 24hr'!N79,'2.11 MUKONO-KATOSI 24hr'!N79)</f>
        <v>0</v>
      </c>
      <c r="O79" s="15">
        <f t="shared" si="35"/>
        <v>13.5</v>
      </c>
      <c r="P79" s="15">
        <f t="shared" si="36"/>
        <v>30</v>
      </c>
      <c r="R79" s="8"/>
      <c r="T79"/>
    </row>
    <row r="80" spans="2:20" ht="23.1" customHeight="1" x14ac:dyDescent="0.25">
      <c r="B80" s="25" t="s">
        <v>120</v>
      </c>
      <c r="C80" s="49">
        <f>AVERAGE('1.11 MUKONO-KATOSI 24hr'!C80,'2.11 MUKONO-KATOSI 24hr'!C80)</f>
        <v>7</v>
      </c>
      <c r="D80" s="49">
        <f>AVERAGE('1.11 MUKONO-KATOSI 24hr'!D80,'2.11 MUKONO-KATOSI 24hr'!D80)</f>
        <v>0</v>
      </c>
      <c r="E80" s="49">
        <f>AVERAGE('1.11 MUKONO-KATOSI 24hr'!E80,'2.11 MUKONO-KATOSI 24hr'!E80)</f>
        <v>0</v>
      </c>
      <c r="F80" s="49">
        <f>AVERAGE('1.11 MUKONO-KATOSI 24hr'!F80,'2.11 MUKONO-KATOSI 24hr'!F80)</f>
        <v>2</v>
      </c>
      <c r="G80" s="49">
        <f>AVERAGE('1.11 MUKONO-KATOSI 24hr'!G80,'2.11 MUKONO-KATOSI 24hr'!G80)</f>
        <v>0</v>
      </c>
      <c r="H80" s="49">
        <f>AVERAGE('1.11 MUKONO-KATOSI 24hr'!H80,'2.11 MUKONO-KATOSI 24hr'!H80)</f>
        <v>0</v>
      </c>
      <c r="I80" s="49">
        <f>AVERAGE('1.11 MUKONO-KATOSI 24hr'!I80,'2.11 MUKONO-KATOSI 24hr'!I80)</f>
        <v>0.5</v>
      </c>
      <c r="J80" s="49">
        <f>AVERAGE('1.11 MUKONO-KATOSI 24hr'!J80,'2.11 MUKONO-KATOSI 24hr'!J80)</f>
        <v>1.5</v>
      </c>
      <c r="K80" s="49">
        <f>AVERAGE('1.11 MUKONO-KATOSI 24hr'!K80,'2.11 MUKONO-KATOSI 24hr'!K80)</f>
        <v>0</v>
      </c>
      <c r="L80" s="49">
        <f>AVERAGE('1.11 MUKONO-KATOSI 24hr'!L80,'2.11 MUKONO-KATOSI 24hr'!L80)</f>
        <v>0</v>
      </c>
      <c r="M80" s="49">
        <f>AVERAGE('1.11 MUKONO-KATOSI 24hr'!M80,'2.11 MUKONO-KATOSI 24hr'!M80)</f>
        <v>15</v>
      </c>
      <c r="N80" s="49">
        <f>AVERAGE('1.11 MUKONO-KATOSI 24hr'!N80,'2.11 MUKONO-KATOSI 24hr'!N80)</f>
        <v>0</v>
      </c>
      <c r="O80" s="15">
        <f t="shared" si="35"/>
        <v>11</v>
      </c>
      <c r="P80" s="15">
        <f t="shared" si="36"/>
        <v>26</v>
      </c>
      <c r="R80" s="8"/>
      <c r="T80"/>
    </row>
    <row r="81" spans="2:20" ht="23.1" customHeight="1" x14ac:dyDescent="0.25">
      <c r="B81" s="23" t="s">
        <v>121</v>
      </c>
      <c r="C81" s="49">
        <f>AVERAGE('1.11 MUKONO-KATOSI 24hr'!C81,'2.11 MUKONO-KATOSI 24hr'!C81)</f>
        <v>5</v>
      </c>
      <c r="D81" s="49">
        <f>AVERAGE('1.11 MUKONO-KATOSI 24hr'!D81,'2.11 MUKONO-KATOSI 24hr'!D81)</f>
        <v>1</v>
      </c>
      <c r="E81" s="49">
        <f>AVERAGE('1.11 MUKONO-KATOSI 24hr'!E81,'2.11 MUKONO-KATOSI 24hr'!E81)</f>
        <v>2</v>
      </c>
      <c r="F81" s="49">
        <f>AVERAGE('1.11 MUKONO-KATOSI 24hr'!F81,'2.11 MUKONO-KATOSI 24hr'!F81)</f>
        <v>2</v>
      </c>
      <c r="G81" s="49">
        <f>AVERAGE('1.11 MUKONO-KATOSI 24hr'!G81,'2.11 MUKONO-KATOSI 24hr'!G81)</f>
        <v>1</v>
      </c>
      <c r="H81" s="49">
        <f>AVERAGE('1.11 MUKONO-KATOSI 24hr'!H81,'2.11 MUKONO-KATOSI 24hr'!H81)</f>
        <v>0</v>
      </c>
      <c r="I81" s="49">
        <f>AVERAGE('1.11 MUKONO-KATOSI 24hr'!I81,'2.11 MUKONO-KATOSI 24hr'!I81)</f>
        <v>3</v>
      </c>
      <c r="J81" s="49">
        <f>AVERAGE('1.11 MUKONO-KATOSI 24hr'!J81,'2.11 MUKONO-KATOSI 24hr'!J81)</f>
        <v>1</v>
      </c>
      <c r="K81" s="49">
        <f>AVERAGE('1.11 MUKONO-KATOSI 24hr'!K81,'2.11 MUKONO-KATOSI 24hr'!K81)</f>
        <v>0.5</v>
      </c>
      <c r="L81" s="49">
        <f>AVERAGE('1.11 MUKONO-KATOSI 24hr'!L81,'2.11 MUKONO-KATOSI 24hr'!L81)</f>
        <v>0</v>
      </c>
      <c r="M81" s="49">
        <f>AVERAGE('1.11 MUKONO-KATOSI 24hr'!M81,'2.11 MUKONO-KATOSI 24hr'!M81)</f>
        <v>13</v>
      </c>
      <c r="N81" s="49">
        <f>AVERAGE('1.11 MUKONO-KATOSI 24hr'!N81,'2.11 MUKONO-KATOSI 24hr'!N81)</f>
        <v>0</v>
      </c>
      <c r="O81" s="15">
        <f t="shared" si="35"/>
        <v>15.5</v>
      </c>
      <c r="P81" s="15">
        <f t="shared" si="36"/>
        <v>28.5</v>
      </c>
      <c r="R81" s="8"/>
      <c r="T81"/>
    </row>
    <row r="82" spans="2:20" ht="23.1" customHeight="1" x14ac:dyDescent="0.25">
      <c r="B82" s="24" t="s">
        <v>122</v>
      </c>
      <c r="C82" s="49">
        <f>AVERAGE('1.11 MUKONO-KATOSI 24hr'!C82,'2.11 MUKONO-KATOSI 24hr'!C82)</f>
        <v>11.5</v>
      </c>
      <c r="D82" s="49">
        <f>AVERAGE('1.11 MUKONO-KATOSI 24hr'!D82,'2.11 MUKONO-KATOSI 24hr'!D82)</f>
        <v>0.5</v>
      </c>
      <c r="E82" s="49">
        <f>AVERAGE('1.11 MUKONO-KATOSI 24hr'!E82,'2.11 MUKONO-KATOSI 24hr'!E82)</f>
        <v>3</v>
      </c>
      <c r="F82" s="49">
        <f>AVERAGE('1.11 MUKONO-KATOSI 24hr'!F82,'2.11 MUKONO-KATOSI 24hr'!F82)</f>
        <v>0</v>
      </c>
      <c r="G82" s="49">
        <f>AVERAGE('1.11 MUKONO-KATOSI 24hr'!G82,'2.11 MUKONO-KATOSI 24hr'!G82)</f>
        <v>0</v>
      </c>
      <c r="H82" s="49">
        <f>AVERAGE('1.11 MUKONO-KATOSI 24hr'!H82,'2.11 MUKONO-KATOSI 24hr'!H82)</f>
        <v>0</v>
      </c>
      <c r="I82" s="49">
        <f>AVERAGE('1.11 MUKONO-KATOSI 24hr'!I82,'2.11 MUKONO-KATOSI 24hr'!I82)</f>
        <v>1.5</v>
      </c>
      <c r="J82" s="49">
        <f>AVERAGE('1.11 MUKONO-KATOSI 24hr'!J82,'2.11 MUKONO-KATOSI 24hr'!J82)</f>
        <v>0.5</v>
      </c>
      <c r="K82" s="49">
        <f>AVERAGE('1.11 MUKONO-KATOSI 24hr'!K82,'2.11 MUKONO-KATOSI 24hr'!K82)</f>
        <v>0.5</v>
      </c>
      <c r="L82" s="49">
        <f>AVERAGE('1.11 MUKONO-KATOSI 24hr'!L82,'2.11 MUKONO-KATOSI 24hr'!L82)</f>
        <v>0</v>
      </c>
      <c r="M82" s="49">
        <f>AVERAGE('1.11 MUKONO-KATOSI 24hr'!M82,'2.11 MUKONO-KATOSI 24hr'!M82)</f>
        <v>17.5</v>
      </c>
      <c r="N82" s="49">
        <f>AVERAGE('1.11 MUKONO-KATOSI 24hr'!N82,'2.11 MUKONO-KATOSI 24hr'!N82)</f>
        <v>0</v>
      </c>
      <c r="O82" s="15">
        <f t="shared" si="35"/>
        <v>17.5</v>
      </c>
      <c r="P82" s="15">
        <f t="shared" si="36"/>
        <v>35</v>
      </c>
      <c r="R82" s="8"/>
      <c r="T82"/>
    </row>
    <row r="83" spans="2:20" ht="23.1" customHeight="1" x14ac:dyDescent="0.25">
      <c r="B83" s="23" t="s">
        <v>123</v>
      </c>
      <c r="C83" s="49">
        <f>AVERAGE('1.11 MUKONO-KATOSI 24hr'!C83,'2.11 MUKONO-KATOSI 24hr'!C83)</f>
        <v>3.5</v>
      </c>
      <c r="D83" s="49">
        <f>AVERAGE('1.11 MUKONO-KATOSI 24hr'!D83,'2.11 MUKONO-KATOSI 24hr'!D83)</f>
        <v>0.5</v>
      </c>
      <c r="E83" s="49">
        <f>AVERAGE('1.11 MUKONO-KATOSI 24hr'!E83,'2.11 MUKONO-KATOSI 24hr'!E83)</f>
        <v>0</v>
      </c>
      <c r="F83" s="49">
        <f>AVERAGE('1.11 MUKONO-KATOSI 24hr'!F83,'2.11 MUKONO-KATOSI 24hr'!F83)</f>
        <v>0.5</v>
      </c>
      <c r="G83" s="49">
        <f>AVERAGE('1.11 MUKONO-KATOSI 24hr'!G83,'2.11 MUKONO-KATOSI 24hr'!G83)</f>
        <v>0</v>
      </c>
      <c r="H83" s="49">
        <f>AVERAGE('1.11 MUKONO-KATOSI 24hr'!H83,'2.11 MUKONO-KATOSI 24hr'!H83)</f>
        <v>0</v>
      </c>
      <c r="I83" s="49">
        <f>AVERAGE('1.11 MUKONO-KATOSI 24hr'!I83,'2.11 MUKONO-KATOSI 24hr'!I83)</f>
        <v>0.5</v>
      </c>
      <c r="J83" s="49">
        <f>AVERAGE('1.11 MUKONO-KATOSI 24hr'!J83,'2.11 MUKONO-KATOSI 24hr'!J83)</f>
        <v>1</v>
      </c>
      <c r="K83" s="49">
        <f>AVERAGE('1.11 MUKONO-KATOSI 24hr'!K83,'2.11 MUKONO-KATOSI 24hr'!K83)</f>
        <v>0</v>
      </c>
      <c r="L83" s="49">
        <f>AVERAGE('1.11 MUKONO-KATOSI 24hr'!L83,'2.11 MUKONO-KATOSI 24hr'!L83)</f>
        <v>0</v>
      </c>
      <c r="M83" s="49">
        <f>AVERAGE('1.11 MUKONO-KATOSI 24hr'!M83,'2.11 MUKONO-KATOSI 24hr'!M83)</f>
        <v>9</v>
      </c>
      <c r="N83" s="49">
        <f>AVERAGE('1.11 MUKONO-KATOSI 24hr'!N83,'2.11 MUKONO-KATOSI 24hr'!N83)</f>
        <v>0</v>
      </c>
      <c r="O83" s="15">
        <f t="shared" si="35"/>
        <v>6</v>
      </c>
      <c r="P83" s="15">
        <f t="shared" si="36"/>
        <v>15</v>
      </c>
      <c r="R83" s="8"/>
      <c r="T83"/>
    </row>
    <row r="84" spans="2:20" ht="23.1" customHeight="1" x14ac:dyDescent="0.25">
      <c r="B84" s="25" t="s">
        <v>124</v>
      </c>
      <c r="C84" s="49">
        <f>AVERAGE('1.11 MUKONO-KATOSI 24hr'!C84,'2.11 MUKONO-KATOSI 24hr'!C84)</f>
        <v>5.5</v>
      </c>
      <c r="D84" s="49">
        <f>AVERAGE('1.11 MUKONO-KATOSI 24hr'!D84,'2.11 MUKONO-KATOSI 24hr'!D84)</f>
        <v>0</v>
      </c>
      <c r="E84" s="49">
        <f>AVERAGE('1.11 MUKONO-KATOSI 24hr'!E84,'2.11 MUKONO-KATOSI 24hr'!E84)</f>
        <v>0</v>
      </c>
      <c r="F84" s="49">
        <f>AVERAGE('1.11 MUKONO-KATOSI 24hr'!F84,'2.11 MUKONO-KATOSI 24hr'!F84)</f>
        <v>0</v>
      </c>
      <c r="G84" s="49">
        <f>AVERAGE('1.11 MUKONO-KATOSI 24hr'!G84,'2.11 MUKONO-KATOSI 24hr'!G84)</f>
        <v>0</v>
      </c>
      <c r="H84" s="49">
        <f>AVERAGE('1.11 MUKONO-KATOSI 24hr'!H84,'2.11 MUKONO-KATOSI 24hr'!H84)</f>
        <v>0</v>
      </c>
      <c r="I84" s="49">
        <f>AVERAGE('1.11 MUKONO-KATOSI 24hr'!I84,'2.11 MUKONO-KATOSI 24hr'!I84)</f>
        <v>1</v>
      </c>
      <c r="J84" s="49">
        <f>AVERAGE('1.11 MUKONO-KATOSI 24hr'!J84,'2.11 MUKONO-KATOSI 24hr'!J84)</f>
        <v>0</v>
      </c>
      <c r="K84" s="49">
        <f>AVERAGE('1.11 MUKONO-KATOSI 24hr'!K84,'2.11 MUKONO-KATOSI 24hr'!K84)</f>
        <v>0</v>
      </c>
      <c r="L84" s="49">
        <f>AVERAGE('1.11 MUKONO-KATOSI 24hr'!L84,'2.11 MUKONO-KATOSI 24hr'!L84)</f>
        <v>0</v>
      </c>
      <c r="M84" s="49">
        <f>AVERAGE('1.11 MUKONO-KATOSI 24hr'!M84,'2.11 MUKONO-KATOSI 24hr'!M84)</f>
        <v>6</v>
      </c>
      <c r="N84" s="49">
        <f>AVERAGE('1.11 MUKONO-KATOSI 24hr'!N84,'2.11 MUKONO-KATOSI 24hr'!N84)</f>
        <v>0</v>
      </c>
      <c r="O84" s="15">
        <f t="shared" si="35"/>
        <v>6.5</v>
      </c>
      <c r="P84" s="15">
        <f t="shared" si="36"/>
        <v>12.5</v>
      </c>
      <c r="R84" s="8"/>
      <c r="T84"/>
    </row>
    <row r="85" spans="2:20" ht="23.1" customHeight="1" x14ac:dyDescent="0.25">
      <c r="B85" s="23" t="s">
        <v>125</v>
      </c>
      <c r="C85" s="49">
        <f>AVERAGE('1.11 MUKONO-KATOSI 24hr'!C85,'2.11 MUKONO-KATOSI 24hr'!C85)</f>
        <v>1</v>
      </c>
      <c r="D85" s="49">
        <f>AVERAGE('1.11 MUKONO-KATOSI 24hr'!D85,'2.11 MUKONO-KATOSI 24hr'!D85)</f>
        <v>0</v>
      </c>
      <c r="E85" s="49">
        <f>AVERAGE('1.11 MUKONO-KATOSI 24hr'!E85,'2.11 MUKONO-KATOSI 24hr'!E85)</f>
        <v>0</v>
      </c>
      <c r="F85" s="49">
        <f>AVERAGE('1.11 MUKONO-KATOSI 24hr'!F85,'2.11 MUKONO-KATOSI 24hr'!F85)</f>
        <v>0.5</v>
      </c>
      <c r="G85" s="49">
        <f>AVERAGE('1.11 MUKONO-KATOSI 24hr'!G85,'2.11 MUKONO-KATOSI 24hr'!G85)</f>
        <v>0</v>
      </c>
      <c r="H85" s="49">
        <f>AVERAGE('1.11 MUKONO-KATOSI 24hr'!H85,'2.11 MUKONO-KATOSI 24hr'!H85)</f>
        <v>0</v>
      </c>
      <c r="I85" s="49">
        <f>AVERAGE('1.11 MUKONO-KATOSI 24hr'!I85,'2.11 MUKONO-KATOSI 24hr'!I85)</f>
        <v>0</v>
      </c>
      <c r="J85" s="49">
        <f>AVERAGE('1.11 MUKONO-KATOSI 24hr'!J85,'2.11 MUKONO-KATOSI 24hr'!J85)</f>
        <v>0</v>
      </c>
      <c r="K85" s="49">
        <f>AVERAGE('1.11 MUKONO-KATOSI 24hr'!K85,'2.11 MUKONO-KATOSI 24hr'!K85)</f>
        <v>0</v>
      </c>
      <c r="L85" s="49">
        <f>AVERAGE('1.11 MUKONO-KATOSI 24hr'!L85,'2.11 MUKONO-KATOSI 24hr'!L85)</f>
        <v>0</v>
      </c>
      <c r="M85" s="49">
        <f>AVERAGE('1.11 MUKONO-KATOSI 24hr'!M85,'2.11 MUKONO-KATOSI 24hr'!M85)</f>
        <v>3</v>
      </c>
      <c r="N85" s="49">
        <f>AVERAGE('1.11 MUKONO-KATOSI 24hr'!N85,'2.11 MUKONO-KATOSI 24hr'!N85)</f>
        <v>0</v>
      </c>
      <c r="O85" s="15">
        <f t="shared" si="35"/>
        <v>1.5</v>
      </c>
      <c r="P85" s="15">
        <f t="shared" si="36"/>
        <v>4.5</v>
      </c>
      <c r="R85" s="8"/>
      <c r="T85"/>
    </row>
    <row r="86" spans="2:20" ht="23.1" customHeight="1" x14ac:dyDescent="0.25">
      <c r="B86" s="24" t="s">
        <v>126</v>
      </c>
      <c r="C86" s="49">
        <f>AVERAGE('1.11 MUKONO-KATOSI 24hr'!C86,'2.11 MUKONO-KATOSI 24hr'!C86)</f>
        <v>0.5</v>
      </c>
      <c r="D86" s="49">
        <f>AVERAGE('1.11 MUKONO-KATOSI 24hr'!D86,'2.11 MUKONO-KATOSI 24hr'!D86)</f>
        <v>0</v>
      </c>
      <c r="E86" s="49">
        <f>AVERAGE('1.11 MUKONO-KATOSI 24hr'!E86,'2.11 MUKONO-KATOSI 24hr'!E86)</f>
        <v>0</v>
      </c>
      <c r="F86" s="49">
        <f>AVERAGE('1.11 MUKONO-KATOSI 24hr'!F86,'2.11 MUKONO-KATOSI 24hr'!F86)</f>
        <v>1.5</v>
      </c>
      <c r="G86" s="49">
        <f>AVERAGE('1.11 MUKONO-KATOSI 24hr'!G86,'2.11 MUKONO-KATOSI 24hr'!G86)</f>
        <v>0</v>
      </c>
      <c r="H86" s="49">
        <f>AVERAGE('1.11 MUKONO-KATOSI 24hr'!H86,'2.11 MUKONO-KATOSI 24hr'!H86)</f>
        <v>0</v>
      </c>
      <c r="I86" s="49">
        <f>AVERAGE('1.11 MUKONO-KATOSI 24hr'!I86,'2.11 MUKONO-KATOSI 24hr'!I86)</f>
        <v>0.5</v>
      </c>
      <c r="J86" s="49">
        <f>AVERAGE('1.11 MUKONO-KATOSI 24hr'!J86,'2.11 MUKONO-KATOSI 24hr'!J86)</f>
        <v>0</v>
      </c>
      <c r="K86" s="49">
        <f>AVERAGE('1.11 MUKONO-KATOSI 24hr'!K86,'2.11 MUKONO-KATOSI 24hr'!K86)</f>
        <v>0</v>
      </c>
      <c r="L86" s="49">
        <f>AVERAGE('1.11 MUKONO-KATOSI 24hr'!L86,'2.11 MUKONO-KATOSI 24hr'!L86)</f>
        <v>0.5</v>
      </c>
      <c r="M86" s="49">
        <f>AVERAGE('1.11 MUKONO-KATOSI 24hr'!M86,'2.11 MUKONO-KATOSI 24hr'!M86)</f>
        <v>3.5</v>
      </c>
      <c r="N86" s="49">
        <f>AVERAGE('1.11 MUKONO-KATOSI 24hr'!N86,'2.11 MUKONO-KATOSI 24hr'!N86)</f>
        <v>0</v>
      </c>
      <c r="O86" s="15">
        <f t="shared" si="35"/>
        <v>3</v>
      </c>
      <c r="P86" s="15">
        <f t="shared" si="36"/>
        <v>6.5</v>
      </c>
      <c r="R86" s="8"/>
      <c r="T86"/>
    </row>
    <row r="87" spans="2:20" ht="23.1" customHeight="1" x14ac:dyDescent="0.25">
      <c r="B87" s="23" t="s">
        <v>127</v>
      </c>
      <c r="C87" s="49">
        <f>AVERAGE('1.11 MUKONO-KATOSI 24hr'!C87,'2.11 MUKONO-KATOSI 24hr'!C87)</f>
        <v>2.5</v>
      </c>
      <c r="D87" s="49">
        <f>AVERAGE('1.11 MUKONO-KATOSI 24hr'!D87,'2.11 MUKONO-KATOSI 24hr'!D87)</f>
        <v>0.5</v>
      </c>
      <c r="E87" s="49">
        <f>AVERAGE('1.11 MUKONO-KATOSI 24hr'!E87,'2.11 MUKONO-KATOSI 24hr'!E87)</f>
        <v>0</v>
      </c>
      <c r="F87" s="49">
        <f>AVERAGE('1.11 MUKONO-KATOSI 24hr'!F87,'2.11 MUKONO-KATOSI 24hr'!F87)</f>
        <v>1</v>
      </c>
      <c r="G87" s="49">
        <f>AVERAGE('1.11 MUKONO-KATOSI 24hr'!G87,'2.11 MUKONO-KATOSI 24hr'!G87)</f>
        <v>0</v>
      </c>
      <c r="H87" s="49">
        <f>AVERAGE('1.11 MUKONO-KATOSI 24hr'!H87,'2.11 MUKONO-KATOSI 24hr'!H87)</f>
        <v>0</v>
      </c>
      <c r="I87" s="49">
        <f>AVERAGE('1.11 MUKONO-KATOSI 24hr'!I87,'2.11 MUKONO-KATOSI 24hr'!I87)</f>
        <v>0</v>
      </c>
      <c r="J87" s="49">
        <f>AVERAGE('1.11 MUKONO-KATOSI 24hr'!J87,'2.11 MUKONO-KATOSI 24hr'!J87)</f>
        <v>1</v>
      </c>
      <c r="K87" s="49">
        <f>AVERAGE('1.11 MUKONO-KATOSI 24hr'!K87,'2.11 MUKONO-KATOSI 24hr'!K87)</f>
        <v>0</v>
      </c>
      <c r="L87" s="49">
        <f>AVERAGE('1.11 MUKONO-KATOSI 24hr'!L87,'2.11 MUKONO-KATOSI 24hr'!L87)</f>
        <v>0.5</v>
      </c>
      <c r="M87" s="49">
        <f>AVERAGE('1.11 MUKONO-KATOSI 24hr'!M87,'2.11 MUKONO-KATOSI 24hr'!M87)</f>
        <v>5</v>
      </c>
      <c r="N87" s="49">
        <f>AVERAGE('1.11 MUKONO-KATOSI 24hr'!N87,'2.11 MUKONO-KATOSI 24hr'!N87)</f>
        <v>0</v>
      </c>
      <c r="O87" s="15">
        <f t="shared" si="35"/>
        <v>5.5</v>
      </c>
      <c r="P87" s="15">
        <f t="shared" si="36"/>
        <v>10.5</v>
      </c>
      <c r="R87" s="8"/>
      <c r="T87"/>
    </row>
    <row r="88" spans="2:20" ht="23.1" customHeight="1" x14ac:dyDescent="0.25">
      <c r="B88" s="25" t="s">
        <v>128</v>
      </c>
      <c r="C88" s="49">
        <f>AVERAGE('1.11 MUKONO-KATOSI 24hr'!C88,'2.11 MUKONO-KATOSI 24hr'!C88)</f>
        <v>1</v>
      </c>
      <c r="D88" s="49">
        <f>AVERAGE('1.11 MUKONO-KATOSI 24hr'!D88,'2.11 MUKONO-KATOSI 24hr'!D88)</f>
        <v>1</v>
      </c>
      <c r="E88" s="49">
        <f>AVERAGE('1.11 MUKONO-KATOSI 24hr'!E88,'2.11 MUKONO-KATOSI 24hr'!E88)</f>
        <v>0.5</v>
      </c>
      <c r="F88" s="49">
        <f>AVERAGE('1.11 MUKONO-KATOSI 24hr'!F88,'2.11 MUKONO-KATOSI 24hr'!F88)</f>
        <v>0</v>
      </c>
      <c r="G88" s="49">
        <f>AVERAGE('1.11 MUKONO-KATOSI 24hr'!G88,'2.11 MUKONO-KATOSI 24hr'!G88)</f>
        <v>0</v>
      </c>
      <c r="H88" s="49">
        <f>AVERAGE('1.11 MUKONO-KATOSI 24hr'!H88,'2.11 MUKONO-KATOSI 24hr'!H88)</f>
        <v>0</v>
      </c>
      <c r="I88" s="49">
        <f>AVERAGE('1.11 MUKONO-KATOSI 24hr'!I88,'2.11 MUKONO-KATOSI 24hr'!I88)</f>
        <v>0.5</v>
      </c>
      <c r="J88" s="49">
        <f>AVERAGE('1.11 MUKONO-KATOSI 24hr'!J88,'2.11 MUKONO-KATOSI 24hr'!J88)</f>
        <v>0</v>
      </c>
      <c r="K88" s="49">
        <f>AVERAGE('1.11 MUKONO-KATOSI 24hr'!K88,'2.11 MUKONO-KATOSI 24hr'!K88)</f>
        <v>0</v>
      </c>
      <c r="L88" s="49">
        <f>AVERAGE('1.11 MUKONO-KATOSI 24hr'!L88,'2.11 MUKONO-KATOSI 24hr'!L88)</f>
        <v>0.5</v>
      </c>
      <c r="M88" s="49">
        <f>AVERAGE('1.11 MUKONO-KATOSI 24hr'!M88,'2.11 MUKONO-KATOSI 24hr'!M88)</f>
        <v>4.5</v>
      </c>
      <c r="N88" s="49">
        <f>AVERAGE('1.11 MUKONO-KATOSI 24hr'!N88,'2.11 MUKONO-KATOSI 24hr'!N88)</f>
        <v>0</v>
      </c>
      <c r="O88" s="15">
        <f t="shared" si="35"/>
        <v>3.5</v>
      </c>
      <c r="P88" s="15">
        <f t="shared" si="36"/>
        <v>8</v>
      </c>
      <c r="R88" s="8"/>
      <c r="T88"/>
    </row>
    <row r="89" spans="2:20" ht="23.1" customHeight="1" x14ac:dyDescent="0.25">
      <c r="B89" s="23" t="s">
        <v>129</v>
      </c>
      <c r="C89" s="49">
        <f>AVERAGE('1.11 MUKONO-KATOSI 24hr'!C89,'2.11 MUKONO-KATOSI 24hr'!C89)</f>
        <v>0.5</v>
      </c>
      <c r="D89" s="49">
        <f>AVERAGE('1.11 MUKONO-KATOSI 24hr'!D89,'2.11 MUKONO-KATOSI 24hr'!D89)</f>
        <v>2</v>
      </c>
      <c r="E89" s="49">
        <f>AVERAGE('1.11 MUKONO-KATOSI 24hr'!E89,'2.11 MUKONO-KATOSI 24hr'!E89)</f>
        <v>0</v>
      </c>
      <c r="F89" s="49">
        <f>AVERAGE('1.11 MUKONO-KATOSI 24hr'!F89,'2.11 MUKONO-KATOSI 24hr'!F89)</f>
        <v>1</v>
      </c>
      <c r="G89" s="49">
        <f>AVERAGE('1.11 MUKONO-KATOSI 24hr'!G89,'2.11 MUKONO-KATOSI 24hr'!G89)</f>
        <v>0</v>
      </c>
      <c r="H89" s="49">
        <f>AVERAGE('1.11 MUKONO-KATOSI 24hr'!H89,'2.11 MUKONO-KATOSI 24hr'!H89)</f>
        <v>0</v>
      </c>
      <c r="I89" s="49">
        <f>AVERAGE('1.11 MUKONO-KATOSI 24hr'!I89,'2.11 MUKONO-KATOSI 24hr'!I89)</f>
        <v>0.5</v>
      </c>
      <c r="J89" s="49">
        <f>AVERAGE('1.11 MUKONO-KATOSI 24hr'!J89,'2.11 MUKONO-KATOSI 24hr'!J89)</f>
        <v>0</v>
      </c>
      <c r="K89" s="49">
        <f>AVERAGE('1.11 MUKONO-KATOSI 24hr'!K89,'2.11 MUKONO-KATOSI 24hr'!K89)</f>
        <v>0</v>
      </c>
      <c r="L89" s="49">
        <f>AVERAGE('1.11 MUKONO-KATOSI 24hr'!L89,'2.11 MUKONO-KATOSI 24hr'!L89)</f>
        <v>0</v>
      </c>
      <c r="M89" s="49">
        <f>AVERAGE('1.11 MUKONO-KATOSI 24hr'!M89,'2.11 MUKONO-KATOSI 24hr'!M89)</f>
        <v>5</v>
      </c>
      <c r="N89" s="49">
        <f>AVERAGE('1.11 MUKONO-KATOSI 24hr'!N89,'2.11 MUKONO-KATOSI 24hr'!N89)</f>
        <v>0</v>
      </c>
      <c r="O89" s="15">
        <f t="shared" si="35"/>
        <v>4</v>
      </c>
      <c r="P89" s="15">
        <f t="shared" si="36"/>
        <v>9</v>
      </c>
      <c r="R89" s="8"/>
      <c r="T89"/>
    </row>
    <row r="90" spans="2:20" ht="23.1" customHeight="1" x14ac:dyDescent="0.25">
      <c r="B90" s="24" t="s">
        <v>130</v>
      </c>
      <c r="C90" s="49">
        <f>AVERAGE('1.11 MUKONO-KATOSI 24hr'!C90,'2.11 MUKONO-KATOSI 24hr'!C90)</f>
        <v>0</v>
      </c>
      <c r="D90" s="49">
        <f>AVERAGE('1.11 MUKONO-KATOSI 24hr'!D90,'2.11 MUKONO-KATOSI 24hr'!D90)</f>
        <v>0.5</v>
      </c>
      <c r="E90" s="49">
        <f>AVERAGE('1.11 MUKONO-KATOSI 24hr'!E90,'2.11 MUKONO-KATOSI 24hr'!E90)</f>
        <v>0</v>
      </c>
      <c r="F90" s="49">
        <f>AVERAGE('1.11 MUKONO-KATOSI 24hr'!F90,'2.11 MUKONO-KATOSI 24hr'!F90)</f>
        <v>0</v>
      </c>
      <c r="G90" s="49">
        <f>AVERAGE('1.11 MUKONO-KATOSI 24hr'!G90,'2.11 MUKONO-KATOSI 24hr'!G90)</f>
        <v>0</v>
      </c>
      <c r="H90" s="49">
        <f>AVERAGE('1.11 MUKONO-KATOSI 24hr'!H90,'2.11 MUKONO-KATOSI 24hr'!H90)</f>
        <v>0</v>
      </c>
      <c r="I90" s="49">
        <f>AVERAGE('1.11 MUKONO-KATOSI 24hr'!I90,'2.11 MUKONO-KATOSI 24hr'!I90)</f>
        <v>0</v>
      </c>
      <c r="J90" s="49">
        <f>AVERAGE('1.11 MUKONO-KATOSI 24hr'!J90,'2.11 MUKONO-KATOSI 24hr'!J90)</f>
        <v>0.5</v>
      </c>
      <c r="K90" s="49">
        <f>AVERAGE('1.11 MUKONO-KATOSI 24hr'!K90,'2.11 MUKONO-KATOSI 24hr'!K90)</f>
        <v>0</v>
      </c>
      <c r="L90" s="49">
        <f>AVERAGE('1.11 MUKONO-KATOSI 24hr'!L90,'2.11 MUKONO-KATOSI 24hr'!L90)</f>
        <v>0</v>
      </c>
      <c r="M90" s="49">
        <f>AVERAGE('1.11 MUKONO-KATOSI 24hr'!M90,'2.11 MUKONO-KATOSI 24hr'!M90)</f>
        <v>5.5</v>
      </c>
      <c r="N90" s="49">
        <f>AVERAGE('1.11 MUKONO-KATOSI 24hr'!N90,'2.11 MUKONO-KATOSI 24hr'!N90)</f>
        <v>0</v>
      </c>
      <c r="O90" s="15">
        <f t="shared" si="35"/>
        <v>1</v>
      </c>
      <c r="P90" s="15">
        <f t="shared" si="36"/>
        <v>6.5</v>
      </c>
      <c r="R90" s="8"/>
      <c r="T90"/>
    </row>
    <row r="91" spans="2:20" ht="23.1" customHeight="1" x14ac:dyDescent="0.25">
      <c r="B91" s="23" t="s">
        <v>131</v>
      </c>
      <c r="C91" s="49">
        <f>AVERAGE('1.11 MUKONO-KATOSI 24hr'!C91,'2.11 MUKONO-KATOSI 24hr'!C91)</f>
        <v>0.5</v>
      </c>
      <c r="D91" s="49">
        <f>AVERAGE('1.11 MUKONO-KATOSI 24hr'!D91,'2.11 MUKONO-KATOSI 24hr'!D91)</f>
        <v>0.5</v>
      </c>
      <c r="E91" s="49">
        <f>AVERAGE('1.11 MUKONO-KATOSI 24hr'!E91,'2.11 MUKONO-KATOSI 24hr'!E91)</f>
        <v>0</v>
      </c>
      <c r="F91" s="49">
        <f>AVERAGE('1.11 MUKONO-KATOSI 24hr'!F91,'2.11 MUKONO-KATOSI 24hr'!F91)</f>
        <v>1</v>
      </c>
      <c r="G91" s="49">
        <f>AVERAGE('1.11 MUKONO-KATOSI 24hr'!G91,'2.11 MUKONO-KATOSI 24hr'!G91)</f>
        <v>0</v>
      </c>
      <c r="H91" s="49">
        <f>AVERAGE('1.11 MUKONO-KATOSI 24hr'!H91,'2.11 MUKONO-KATOSI 24hr'!H91)</f>
        <v>0</v>
      </c>
      <c r="I91" s="49">
        <f>AVERAGE('1.11 MUKONO-KATOSI 24hr'!I91,'2.11 MUKONO-KATOSI 24hr'!I91)</f>
        <v>1</v>
      </c>
      <c r="J91" s="49">
        <f>AVERAGE('1.11 MUKONO-KATOSI 24hr'!J91,'2.11 MUKONO-KATOSI 24hr'!J91)</f>
        <v>0.5</v>
      </c>
      <c r="K91" s="49">
        <f>AVERAGE('1.11 MUKONO-KATOSI 24hr'!K91,'2.11 MUKONO-KATOSI 24hr'!K91)</f>
        <v>0.5</v>
      </c>
      <c r="L91" s="49">
        <f>AVERAGE('1.11 MUKONO-KATOSI 24hr'!L91,'2.11 MUKONO-KATOSI 24hr'!L91)</f>
        <v>0</v>
      </c>
      <c r="M91" s="49">
        <f>AVERAGE('1.11 MUKONO-KATOSI 24hr'!M91,'2.11 MUKONO-KATOSI 24hr'!M91)</f>
        <v>2</v>
      </c>
      <c r="N91" s="49">
        <f>AVERAGE('1.11 MUKONO-KATOSI 24hr'!N91,'2.11 MUKONO-KATOSI 24hr'!N91)</f>
        <v>0</v>
      </c>
      <c r="O91" s="15">
        <f t="shared" si="35"/>
        <v>4</v>
      </c>
      <c r="P91" s="15">
        <f t="shared" si="36"/>
        <v>6</v>
      </c>
      <c r="R91" s="8"/>
      <c r="T91"/>
    </row>
    <row r="92" spans="2:20" ht="23.1" customHeight="1" x14ac:dyDescent="0.25">
      <c r="B92" s="25" t="s">
        <v>132</v>
      </c>
      <c r="C92" s="49">
        <f>AVERAGE('1.11 MUKONO-KATOSI 24hr'!C92,'2.11 MUKONO-KATOSI 24hr'!C92)</f>
        <v>0.5</v>
      </c>
      <c r="D92" s="49">
        <f>AVERAGE('1.11 MUKONO-KATOSI 24hr'!D92,'2.11 MUKONO-KATOSI 24hr'!D92)</f>
        <v>0.5</v>
      </c>
      <c r="E92" s="49">
        <f>AVERAGE('1.11 MUKONO-KATOSI 24hr'!E92,'2.11 MUKONO-KATOSI 24hr'!E92)</f>
        <v>0.5</v>
      </c>
      <c r="F92" s="49">
        <f>AVERAGE('1.11 MUKONO-KATOSI 24hr'!F92,'2.11 MUKONO-KATOSI 24hr'!F92)</f>
        <v>0</v>
      </c>
      <c r="G92" s="49">
        <f>AVERAGE('1.11 MUKONO-KATOSI 24hr'!G92,'2.11 MUKONO-KATOSI 24hr'!G92)</f>
        <v>0</v>
      </c>
      <c r="H92" s="49">
        <f>AVERAGE('1.11 MUKONO-KATOSI 24hr'!H92,'2.11 MUKONO-KATOSI 24hr'!H92)</f>
        <v>0</v>
      </c>
      <c r="I92" s="49">
        <f>AVERAGE('1.11 MUKONO-KATOSI 24hr'!I92,'2.11 MUKONO-KATOSI 24hr'!I92)</f>
        <v>0</v>
      </c>
      <c r="J92" s="49">
        <f>AVERAGE('1.11 MUKONO-KATOSI 24hr'!J92,'2.11 MUKONO-KATOSI 24hr'!J92)</f>
        <v>0</v>
      </c>
      <c r="K92" s="49">
        <f>AVERAGE('1.11 MUKONO-KATOSI 24hr'!K92,'2.11 MUKONO-KATOSI 24hr'!K92)</f>
        <v>0.5</v>
      </c>
      <c r="L92" s="49">
        <f>AVERAGE('1.11 MUKONO-KATOSI 24hr'!L92,'2.11 MUKONO-KATOSI 24hr'!L92)</f>
        <v>0</v>
      </c>
      <c r="M92" s="49">
        <f>AVERAGE('1.11 MUKONO-KATOSI 24hr'!M92,'2.11 MUKONO-KATOSI 24hr'!M92)</f>
        <v>4</v>
      </c>
      <c r="N92" s="49">
        <f>AVERAGE('1.11 MUKONO-KATOSI 24hr'!N92,'2.11 MUKONO-KATOSI 24hr'!N92)</f>
        <v>0</v>
      </c>
      <c r="O92" s="15">
        <f t="shared" si="35"/>
        <v>2</v>
      </c>
      <c r="P92" s="15">
        <f t="shared" si="36"/>
        <v>6</v>
      </c>
      <c r="R92" s="8"/>
      <c r="T92"/>
    </row>
    <row r="93" spans="2:20" ht="23.1" customHeight="1" x14ac:dyDescent="0.25">
      <c r="B93" s="23" t="s">
        <v>133</v>
      </c>
      <c r="C93" s="49">
        <f>AVERAGE('1.11 MUKONO-KATOSI 24hr'!C93,'2.11 MUKONO-KATOSI 24hr'!C93)</f>
        <v>0</v>
      </c>
      <c r="D93" s="49">
        <f>AVERAGE('1.11 MUKONO-KATOSI 24hr'!D93,'2.11 MUKONO-KATOSI 24hr'!D93)</f>
        <v>0</v>
      </c>
      <c r="E93" s="49">
        <f>AVERAGE('1.11 MUKONO-KATOSI 24hr'!E93,'2.11 MUKONO-KATOSI 24hr'!E93)</f>
        <v>0</v>
      </c>
      <c r="F93" s="49">
        <f>AVERAGE('1.11 MUKONO-KATOSI 24hr'!F93,'2.11 MUKONO-KATOSI 24hr'!F93)</f>
        <v>0</v>
      </c>
      <c r="G93" s="49">
        <f>AVERAGE('1.11 MUKONO-KATOSI 24hr'!G93,'2.11 MUKONO-KATOSI 24hr'!G93)</f>
        <v>0</v>
      </c>
      <c r="H93" s="49">
        <f>AVERAGE('1.11 MUKONO-KATOSI 24hr'!H93,'2.11 MUKONO-KATOSI 24hr'!H93)</f>
        <v>0</v>
      </c>
      <c r="I93" s="49">
        <f>AVERAGE('1.11 MUKONO-KATOSI 24hr'!I93,'2.11 MUKONO-KATOSI 24hr'!I93)</f>
        <v>0.5</v>
      </c>
      <c r="J93" s="49">
        <f>AVERAGE('1.11 MUKONO-KATOSI 24hr'!J93,'2.11 MUKONO-KATOSI 24hr'!J93)</f>
        <v>0</v>
      </c>
      <c r="K93" s="49">
        <f>AVERAGE('1.11 MUKONO-KATOSI 24hr'!K93,'2.11 MUKONO-KATOSI 24hr'!K93)</f>
        <v>0</v>
      </c>
      <c r="L93" s="49">
        <f>AVERAGE('1.11 MUKONO-KATOSI 24hr'!L93,'2.11 MUKONO-KATOSI 24hr'!L93)</f>
        <v>0</v>
      </c>
      <c r="M93" s="49">
        <f>AVERAGE('1.11 MUKONO-KATOSI 24hr'!M93,'2.11 MUKONO-KATOSI 24hr'!M93)</f>
        <v>3.5</v>
      </c>
      <c r="N93" s="49">
        <f>AVERAGE('1.11 MUKONO-KATOSI 24hr'!N93,'2.11 MUKONO-KATOSI 24hr'!N93)</f>
        <v>0</v>
      </c>
      <c r="O93" s="15">
        <f t="shared" si="35"/>
        <v>0.5</v>
      </c>
      <c r="P93" s="15">
        <f t="shared" si="36"/>
        <v>4</v>
      </c>
      <c r="R93" s="8"/>
      <c r="T93"/>
    </row>
    <row r="94" spans="2:20" ht="23.1" customHeight="1" x14ac:dyDescent="0.25">
      <c r="B94" s="24" t="s">
        <v>134</v>
      </c>
      <c r="C94" s="49">
        <f>AVERAGE('1.11 MUKONO-KATOSI 24hr'!C94,'2.11 MUKONO-KATOSI 24hr'!C94)</f>
        <v>1.5</v>
      </c>
      <c r="D94" s="49">
        <f>AVERAGE('1.11 MUKONO-KATOSI 24hr'!D94,'2.11 MUKONO-KATOSI 24hr'!D94)</f>
        <v>0</v>
      </c>
      <c r="E94" s="49">
        <f>AVERAGE('1.11 MUKONO-KATOSI 24hr'!E94,'2.11 MUKONO-KATOSI 24hr'!E94)</f>
        <v>0</v>
      </c>
      <c r="F94" s="49">
        <f>AVERAGE('1.11 MUKONO-KATOSI 24hr'!F94,'2.11 MUKONO-KATOSI 24hr'!F94)</f>
        <v>1</v>
      </c>
      <c r="G94" s="49">
        <f>AVERAGE('1.11 MUKONO-KATOSI 24hr'!G94,'2.11 MUKONO-KATOSI 24hr'!G94)</f>
        <v>0</v>
      </c>
      <c r="H94" s="49">
        <f>AVERAGE('1.11 MUKONO-KATOSI 24hr'!H94,'2.11 MUKONO-KATOSI 24hr'!H94)</f>
        <v>0</v>
      </c>
      <c r="I94" s="49">
        <f>AVERAGE('1.11 MUKONO-KATOSI 24hr'!I94,'2.11 MUKONO-KATOSI 24hr'!I94)</f>
        <v>0</v>
      </c>
      <c r="J94" s="49">
        <f>AVERAGE('1.11 MUKONO-KATOSI 24hr'!J94,'2.11 MUKONO-KATOSI 24hr'!J94)</f>
        <v>0</v>
      </c>
      <c r="K94" s="49">
        <f>AVERAGE('1.11 MUKONO-KATOSI 24hr'!K94,'2.11 MUKONO-KATOSI 24hr'!K94)</f>
        <v>0</v>
      </c>
      <c r="L94" s="49">
        <f>AVERAGE('1.11 MUKONO-KATOSI 24hr'!L94,'2.11 MUKONO-KATOSI 24hr'!L94)</f>
        <v>0</v>
      </c>
      <c r="M94" s="49">
        <f>AVERAGE('1.11 MUKONO-KATOSI 24hr'!M94,'2.11 MUKONO-KATOSI 24hr'!M94)</f>
        <v>5</v>
      </c>
      <c r="N94" s="49">
        <f>AVERAGE('1.11 MUKONO-KATOSI 24hr'!N94,'2.11 MUKONO-KATOSI 24hr'!N94)</f>
        <v>0</v>
      </c>
      <c r="O94" s="15">
        <f t="shared" si="35"/>
        <v>2.5</v>
      </c>
      <c r="P94" s="15">
        <f t="shared" si="36"/>
        <v>7.5</v>
      </c>
      <c r="R94" s="8"/>
      <c r="T94"/>
    </row>
    <row r="95" spans="2:20" ht="23.1" customHeight="1" x14ac:dyDescent="0.25">
      <c r="B95" s="23" t="s">
        <v>135</v>
      </c>
      <c r="C95" s="49">
        <f>AVERAGE('1.11 MUKONO-KATOSI 24hr'!C95,'2.11 MUKONO-KATOSI 24hr'!C95)</f>
        <v>1</v>
      </c>
      <c r="D95" s="49">
        <f>AVERAGE('1.11 MUKONO-KATOSI 24hr'!D95,'2.11 MUKONO-KATOSI 24hr'!D95)</f>
        <v>1</v>
      </c>
      <c r="E95" s="49">
        <f>AVERAGE('1.11 MUKONO-KATOSI 24hr'!E95,'2.11 MUKONO-KATOSI 24hr'!E95)</f>
        <v>1</v>
      </c>
      <c r="F95" s="49">
        <f>AVERAGE('1.11 MUKONO-KATOSI 24hr'!F95,'2.11 MUKONO-KATOSI 24hr'!F95)</f>
        <v>0.5</v>
      </c>
      <c r="G95" s="49">
        <f>AVERAGE('1.11 MUKONO-KATOSI 24hr'!G95,'2.11 MUKONO-KATOSI 24hr'!G95)</f>
        <v>0</v>
      </c>
      <c r="H95" s="49">
        <f>AVERAGE('1.11 MUKONO-KATOSI 24hr'!H95,'2.11 MUKONO-KATOSI 24hr'!H95)</f>
        <v>0</v>
      </c>
      <c r="I95" s="49">
        <f>AVERAGE('1.11 MUKONO-KATOSI 24hr'!I95,'2.11 MUKONO-KATOSI 24hr'!I95)</f>
        <v>0.5</v>
      </c>
      <c r="J95" s="49">
        <f>AVERAGE('1.11 MUKONO-KATOSI 24hr'!J95,'2.11 MUKONO-KATOSI 24hr'!J95)</f>
        <v>0</v>
      </c>
      <c r="K95" s="49">
        <f>AVERAGE('1.11 MUKONO-KATOSI 24hr'!K95,'2.11 MUKONO-KATOSI 24hr'!K95)</f>
        <v>0</v>
      </c>
      <c r="L95" s="49">
        <f>AVERAGE('1.11 MUKONO-KATOSI 24hr'!L95,'2.11 MUKONO-KATOSI 24hr'!L95)</f>
        <v>0</v>
      </c>
      <c r="M95" s="49">
        <f>AVERAGE('1.11 MUKONO-KATOSI 24hr'!M95,'2.11 MUKONO-KATOSI 24hr'!M95)</f>
        <v>6.5</v>
      </c>
      <c r="N95" s="49">
        <f>AVERAGE('1.11 MUKONO-KATOSI 24hr'!N95,'2.11 MUKONO-KATOSI 24hr'!N95)</f>
        <v>0</v>
      </c>
      <c r="O95" s="15">
        <f t="shared" si="35"/>
        <v>4</v>
      </c>
      <c r="P95" s="15">
        <f t="shared" si="36"/>
        <v>10.5</v>
      </c>
      <c r="R95" s="8"/>
      <c r="T95"/>
    </row>
    <row r="96" spans="2:20" ht="23.1" customHeight="1" x14ac:dyDescent="0.25">
      <c r="B96" s="25" t="s">
        <v>136</v>
      </c>
      <c r="C96" s="49">
        <f>AVERAGE('1.11 MUKONO-KATOSI 24hr'!C96,'2.11 MUKONO-KATOSI 24hr'!C96)</f>
        <v>2.5</v>
      </c>
      <c r="D96" s="49">
        <f>AVERAGE('1.11 MUKONO-KATOSI 24hr'!D96,'2.11 MUKONO-KATOSI 24hr'!D96)</f>
        <v>0.5</v>
      </c>
      <c r="E96" s="49">
        <f>AVERAGE('1.11 MUKONO-KATOSI 24hr'!E96,'2.11 MUKONO-KATOSI 24hr'!E96)</f>
        <v>0</v>
      </c>
      <c r="F96" s="49">
        <f>AVERAGE('1.11 MUKONO-KATOSI 24hr'!F96,'2.11 MUKONO-KATOSI 24hr'!F96)</f>
        <v>0.5</v>
      </c>
      <c r="G96" s="49">
        <f>AVERAGE('1.11 MUKONO-KATOSI 24hr'!G96,'2.11 MUKONO-KATOSI 24hr'!G96)</f>
        <v>0</v>
      </c>
      <c r="H96" s="49">
        <f>AVERAGE('1.11 MUKONO-KATOSI 24hr'!H96,'2.11 MUKONO-KATOSI 24hr'!H96)</f>
        <v>0</v>
      </c>
      <c r="I96" s="49">
        <f>AVERAGE('1.11 MUKONO-KATOSI 24hr'!I96,'2.11 MUKONO-KATOSI 24hr'!I96)</f>
        <v>0.5</v>
      </c>
      <c r="J96" s="49">
        <f>AVERAGE('1.11 MUKONO-KATOSI 24hr'!J96,'2.11 MUKONO-KATOSI 24hr'!J96)</f>
        <v>0</v>
      </c>
      <c r="K96" s="49">
        <f>AVERAGE('1.11 MUKONO-KATOSI 24hr'!K96,'2.11 MUKONO-KATOSI 24hr'!K96)</f>
        <v>0</v>
      </c>
      <c r="L96" s="49">
        <f>AVERAGE('1.11 MUKONO-KATOSI 24hr'!L96,'2.11 MUKONO-KATOSI 24hr'!L96)</f>
        <v>0</v>
      </c>
      <c r="M96" s="49">
        <f>AVERAGE('1.11 MUKONO-KATOSI 24hr'!M96,'2.11 MUKONO-KATOSI 24hr'!M96)</f>
        <v>5.5</v>
      </c>
      <c r="N96" s="49">
        <f>AVERAGE('1.11 MUKONO-KATOSI 24hr'!N96,'2.11 MUKONO-KATOSI 24hr'!N96)</f>
        <v>0</v>
      </c>
      <c r="O96" s="15">
        <f t="shared" si="35"/>
        <v>4</v>
      </c>
      <c r="P96" s="15">
        <f t="shared" si="36"/>
        <v>9.5</v>
      </c>
      <c r="R96" s="8"/>
      <c r="T96"/>
    </row>
    <row r="97" spans="2:20" ht="23.1" customHeight="1" x14ac:dyDescent="0.25">
      <c r="B97" s="23" t="s">
        <v>137</v>
      </c>
      <c r="C97" s="49">
        <f>AVERAGE('1.11 MUKONO-KATOSI 24hr'!C97,'2.11 MUKONO-KATOSI 24hr'!C97)</f>
        <v>1</v>
      </c>
      <c r="D97" s="49">
        <f>AVERAGE('1.11 MUKONO-KATOSI 24hr'!D97,'2.11 MUKONO-KATOSI 24hr'!D97)</f>
        <v>0</v>
      </c>
      <c r="E97" s="49">
        <f>AVERAGE('1.11 MUKONO-KATOSI 24hr'!E97,'2.11 MUKONO-KATOSI 24hr'!E97)</f>
        <v>0</v>
      </c>
      <c r="F97" s="49">
        <f>AVERAGE('1.11 MUKONO-KATOSI 24hr'!F97,'2.11 MUKONO-KATOSI 24hr'!F97)</f>
        <v>4.5</v>
      </c>
      <c r="G97" s="49">
        <f>AVERAGE('1.11 MUKONO-KATOSI 24hr'!G97,'2.11 MUKONO-KATOSI 24hr'!G97)</f>
        <v>0.5</v>
      </c>
      <c r="H97" s="49">
        <f>AVERAGE('1.11 MUKONO-KATOSI 24hr'!H97,'2.11 MUKONO-KATOSI 24hr'!H97)</f>
        <v>0</v>
      </c>
      <c r="I97" s="49">
        <f>AVERAGE('1.11 MUKONO-KATOSI 24hr'!I97,'2.11 MUKONO-KATOSI 24hr'!I97)</f>
        <v>0</v>
      </c>
      <c r="J97" s="49">
        <f>AVERAGE('1.11 MUKONO-KATOSI 24hr'!J97,'2.11 MUKONO-KATOSI 24hr'!J97)</f>
        <v>0</v>
      </c>
      <c r="K97" s="49">
        <f>AVERAGE('1.11 MUKONO-KATOSI 24hr'!K97,'2.11 MUKONO-KATOSI 24hr'!K97)</f>
        <v>0</v>
      </c>
      <c r="L97" s="49">
        <f>AVERAGE('1.11 MUKONO-KATOSI 24hr'!L97,'2.11 MUKONO-KATOSI 24hr'!L97)</f>
        <v>0</v>
      </c>
      <c r="M97" s="49">
        <f>AVERAGE('1.11 MUKONO-KATOSI 24hr'!M97,'2.11 MUKONO-KATOSI 24hr'!M97)</f>
        <v>8.5</v>
      </c>
      <c r="N97" s="49">
        <f>AVERAGE('1.11 MUKONO-KATOSI 24hr'!N97,'2.11 MUKONO-KATOSI 24hr'!N97)</f>
        <v>0</v>
      </c>
      <c r="O97" s="15">
        <f t="shared" si="35"/>
        <v>6</v>
      </c>
      <c r="P97" s="15">
        <f t="shared" si="36"/>
        <v>14.5</v>
      </c>
      <c r="R97" s="8"/>
      <c r="T97"/>
    </row>
    <row r="98" spans="2:20" ht="23.1" customHeight="1" x14ac:dyDescent="0.25">
      <c r="B98" s="24" t="s">
        <v>138</v>
      </c>
      <c r="C98" s="49">
        <f>AVERAGE('1.11 MUKONO-KATOSI 24hr'!C98,'2.11 MUKONO-KATOSI 24hr'!C98)</f>
        <v>0.5</v>
      </c>
      <c r="D98" s="49">
        <f>AVERAGE('1.11 MUKONO-KATOSI 24hr'!D98,'2.11 MUKONO-KATOSI 24hr'!D98)</f>
        <v>0</v>
      </c>
      <c r="E98" s="49">
        <f>AVERAGE('1.11 MUKONO-KATOSI 24hr'!E98,'2.11 MUKONO-KATOSI 24hr'!E98)</f>
        <v>1</v>
      </c>
      <c r="F98" s="49">
        <f>AVERAGE('1.11 MUKONO-KATOSI 24hr'!F98,'2.11 MUKONO-KATOSI 24hr'!F98)</f>
        <v>4.5</v>
      </c>
      <c r="G98" s="49">
        <f>AVERAGE('1.11 MUKONO-KATOSI 24hr'!G98,'2.11 MUKONO-KATOSI 24hr'!G98)</f>
        <v>0</v>
      </c>
      <c r="H98" s="49">
        <f>AVERAGE('1.11 MUKONO-KATOSI 24hr'!H98,'2.11 MUKONO-KATOSI 24hr'!H98)</f>
        <v>0</v>
      </c>
      <c r="I98" s="49">
        <f>AVERAGE('1.11 MUKONO-KATOSI 24hr'!I98,'2.11 MUKONO-KATOSI 24hr'!I98)</f>
        <v>1</v>
      </c>
      <c r="J98" s="49">
        <f>AVERAGE('1.11 MUKONO-KATOSI 24hr'!J98,'2.11 MUKONO-KATOSI 24hr'!J98)</f>
        <v>1.5</v>
      </c>
      <c r="K98" s="49">
        <f>AVERAGE('1.11 MUKONO-KATOSI 24hr'!K98,'2.11 MUKONO-KATOSI 24hr'!K98)</f>
        <v>0</v>
      </c>
      <c r="L98" s="49">
        <f>AVERAGE('1.11 MUKONO-KATOSI 24hr'!L98,'2.11 MUKONO-KATOSI 24hr'!L98)</f>
        <v>0</v>
      </c>
      <c r="M98" s="49">
        <f>AVERAGE('1.11 MUKONO-KATOSI 24hr'!M98,'2.11 MUKONO-KATOSI 24hr'!M98)</f>
        <v>8</v>
      </c>
      <c r="N98" s="49">
        <f>AVERAGE('1.11 MUKONO-KATOSI 24hr'!N98,'2.11 MUKONO-KATOSI 24hr'!N98)</f>
        <v>0</v>
      </c>
      <c r="O98" s="15">
        <f t="shared" si="35"/>
        <v>8.5</v>
      </c>
      <c r="P98" s="15">
        <f t="shared" si="36"/>
        <v>16.5</v>
      </c>
      <c r="R98" s="8"/>
      <c r="T98"/>
    </row>
    <row r="99" spans="2:20" ht="23.1" customHeight="1" x14ac:dyDescent="0.25">
      <c r="B99" s="23" t="s">
        <v>139</v>
      </c>
      <c r="C99" s="49">
        <f>AVERAGE('1.11 MUKONO-KATOSI 24hr'!C99,'2.11 MUKONO-KATOSI 24hr'!C99)</f>
        <v>0.5</v>
      </c>
      <c r="D99" s="49">
        <f>AVERAGE('1.11 MUKONO-KATOSI 24hr'!D99,'2.11 MUKONO-KATOSI 24hr'!D99)</f>
        <v>0</v>
      </c>
      <c r="E99" s="49">
        <f>AVERAGE('1.11 MUKONO-KATOSI 24hr'!E99,'2.11 MUKONO-KATOSI 24hr'!E99)</f>
        <v>0</v>
      </c>
      <c r="F99" s="49">
        <f>AVERAGE('1.11 MUKONO-KATOSI 24hr'!F99,'2.11 MUKONO-KATOSI 24hr'!F99)</f>
        <v>1.5</v>
      </c>
      <c r="G99" s="49">
        <f>AVERAGE('1.11 MUKONO-KATOSI 24hr'!G99,'2.11 MUKONO-KATOSI 24hr'!G99)</f>
        <v>0</v>
      </c>
      <c r="H99" s="49">
        <f>AVERAGE('1.11 MUKONO-KATOSI 24hr'!H99,'2.11 MUKONO-KATOSI 24hr'!H99)</f>
        <v>0</v>
      </c>
      <c r="I99" s="49">
        <f>AVERAGE('1.11 MUKONO-KATOSI 24hr'!I99,'2.11 MUKONO-KATOSI 24hr'!I99)</f>
        <v>0</v>
      </c>
      <c r="J99" s="49">
        <f>AVERAGE('1.11 MUKONO-KATOSI 24hr'!J99,'2.11 MUKONO-KATOSI 24hr'!J99)</f>
        <v>0.5</v>
      </c>
      <c r="K99" s="49">
        <f>AVERAGE('1.11 MUKONO-KATOSI 24hr'!K99,'2.11 MUKONO-KATOSI 24hr'!K99)</f>
        <v>0</v>
      </c>
      <c r="L99" s="49">
        <f>AVERAGE('1.11 MUKONO-KATOSI 24hr'!L99,'2.11 MUKONO-KATOSI 24hr'!L99)</f>
        <v>0</v>
      </c>
      <c r="M99" s="49">
        <f>AVERAGE('1.11 MUKONO-KATOSI 24hr'!M99,'2.11 MUKONO-KATOSI 24hr'!M99)</f>
        <v>9.5</v>
      </c>
      <c r="N99" s="49">
        <f>AVERAGE('1.11 MUKONO-KATOSI 24hr'!N99,'2.11 MUKONO-KATOSI 24hr'!N99)</f>
        <v>0</v>
      </c>
      <c r="O99" s="15">
        <f t="shared" si="35"/>
        <v>2.5</v>
      </c>
      <c r="P99" s="15">
        <f t="shared" si="36"/>
        <v>12</v>
      </c>
      <c r="R99" s="8"/>
      <c r="T99"/>
    </row>
    <row r="100" spans="2:20" ht="23.1" customHeight="1" x14ac:dyDescent="0.25">
      <c r="B100" s="25" t="s">
        <v>140</v>
      </c>
      <c r="C100" s="49">
        <f>AVERAGE('1.11 MUKONO-KATOSI 24hr'!C100,'2.11 MUKONO-KATOSI 24hr'!C100)</f>
        <v>3</v>
      </c>
      <c r="D100" s="49">
        <f>AVERAGE('1.11 MUKONO-KATOSI 24hr'!D100,'2.11 MUKONO-KATOSI 24hr'!D100)</f>
        <v>0</v>
      </c>
      <c r="E100" s="49">
        <f>AVERAGE('1.11 MUKONO-KATOSI 24hr'!E100,'2.11 MUKONO-KATOSI 24hr'!E100)</f>
        <v>1</v>
      </c>
      <c r="F100" s="49">
        <f>AVERAGE('1.11 MUKONO-KATOSI 24hr'!F100,'2.11 MUKONO-KATOSI 24hr'!F100)</f>
        <v>4.5</v>
      </c>
      <c r="G100" s="49">
        <f>AVERAGE('1.11 MUKONO-KATOSI 24hr'!G100,'2.11 MUKONO-KATOSI 24hr'!G100)</f>
        <v>0</v>
      </c>
      <c r="H100" s="49">
        <f>AVERAGE('1.11 MUKONO-KATOSI 24hr'!H100,'2.11 MUKONO-KATOSI 24hr'!H100)</f>
        <v>0</v>
      </c>
      <c r="I100" s="49">
        <f>AVERAGE('1.11 MUKONO-KATOSI 24hr'!I100,'2.11 MUKONO-KATOSI 24hr'!I100)</f>
        <v>2.5</v>
      </c>
      <c r="J100" s="49">
        <f>AVERAGE('1.11 MUKONO-KATOSI 24hr'!J100,'2.11 MUKONO-KATOSI 24hr'!J100)</f>
        <v>1.5</v>
      </c>
      <c r="K100" s="49">
        <f>AVERAGE('1.11 MUKONO-KATOSI 24hr'!K100,'2.11 MUKONO-KATOSI 24hr'!K100)</f>
        <v>0</v>
      </c>
      <c r="L100" s="49">
        <f>AVERAGE('1.11 MUKONO-KATOSI 24hr'!L100,'2.11 MUKONO-KATOSI 24hr'!L100)</f>
        <v>0</v>
      </c>
      <c r="M100" s="49">
        <f>AVERAGE('1.11 MUKONO-KATOSI 24hr'!M100,'2.11 MUKONO-KATOSI 24hr'!M100)</f>
        <v>13.5</v>
      </c>
      <c r="N100" s="49">
        <f>AVERAGE('1.11 MUKONO-KATOSI 24hr'!N100,'2.11 MUKONO-KATOSI 24hr'!N100)</f>
        <v>0</v>
      </c>
      <c r="O100" s="15">
        <f t="shared" si="35"/>
        <v>12.5</v>
      </c>
      <c r="P100" s="15">
        <f t="shared" si="36"/>
        <v>26</v>
      </c>
      <c r="R100" s="8"/>
      <c r="T100"/>
    </row>
    <row r="101" spans="2:20" ht="23.1" customHeight="1" x14ac:dyDescent="0.25">
      <c r="B101" s="23" t="s">
        <v>141</v>
      </c>
      <c r="C101" s="49">
        <f>AVERAGE('1.11 MUKONO-KATOSI 24hr'!C101,'2.11 MUKONO-KATOSI 24hr'!C101)</f>
        <v>0</v>
      </c>
      <c r="D101" s="49">
        <f>AVERAGE('1.11 MUKONO-KATOSI 24hr'!D101,'2.11 MUKONO-KATOSI 24hr'!D101)</f>
        <v>0</v>
      </c>
      <c r="E101" s="49">
        <f>AVERAGE('1.11 MUKONO-KATOSI 24hr'!E101,'2.11 MUKONO-KATOSI 24hr'!E101)</f>
        <v>0.5</v>
      </c>
      <c r="F101" s="49">
        <f>AVERAGE('1.11 MUKONO-KATOSI 24hr'!F101,'2.11 MUKONO-KATOSI 24hr'!F101)</f>
        <v>5</v>
      </c>
      <c r="G101" s="49">
        <f>AVERAGE('1.11 MUKONO-KATOSI 24hr'!G101,'2.11 MUKONO-KATOSI 24hr'!G101)</f>
        <v>0</v>
      </c>
      <c r="H101" s="49">
        <f>AVERAGE('1.11 MUKONO-KATOSI 24hr'!H101,'2.11 MUKONO-KATOSI 24hr'!H101)</f>
        <v>0</v>
      </c>
      <c r="I101" s="49">
        <f>AVERAGE('1.11 MUKONO-KATOSI 24hr'!I101,'2.11 MUKONO-KATOSI 24hr'!I101)</f>
        <v>2.5</v>
      </c>
      <c r="J101" s="49">
        <f>AVERAGE('1.11 MUKONO-KATOSI 24hr'!J101,'2.11 MUKONO-KATOSI 24hr'!J101)</f>
        <v>1.5</v>
      </c>
      <c r="K101" s="49">
        <f>AVERAGE('1.11 MUKONO-KATOSI 24hr'!K101,'2.11 MUKONO-KATOSI 24hr'!K101)</f>
        <v>0</v>
      </c>
      <c r="L101" s="49">
        <f>AVERAGE('1.11 MUKONO-KATOSI 24hr'!L101,'2.11 MUKONO-KATOSI 24hr'!L101)</f>
        <v>0</v>
      </c>
      <c r="M101" s="49">
        <f>AVERAGE('1.11 MUKONO-KATOSI 24hr'!M101,'2.11 MUKONO-KATOSI 24hr'!M101)</f>
        <v>17</v>
      </c>
      <c r="N101" s="49">
        <f>AVERAGE('1.11 MUKONO-KATOSI 24hr'!N101,'2.11 MUKONO-KATOSI 24hr'!N101)</f>
        <v>0</v>
      </c>
      <c r="O101" s="15">
        <f t="shared" si="35"/>
        <v>9.5</v>
      </c>
      <c r="P101" s="15">
        <f t="shared" si="36"/>
        <v>26.5</v>
      </c>
      <c r="R101" s="8"/>
      <c r="T101"/>
    </row>
    <row r="102" spans="2:20" ht="23.1" customHeight="1" x14ac:dyDescent="0.25">
      <c r="B102" s="24" t="s">
        <v>142</v>
      </c>
      <c r="C102" s="49">
        <f>AVERAGE('1.11 MUKONO-KATOSI 24hr'!C102,'2.11 MUKONO-KATOSI 24hr'!C102)</f>
        <v>4</v>
      </c>
      <c r="D102" s="49">
        <f>AVERAGE('1.11 MUKONO-KATOSI 24hr'!D102,'2.11 MUKONO-KATOSI 24hr'!D102)</f>
        <v>1</v>
      </c>
      <c r="E102" s="49">
        <f>AVERAGE('1.11 MUKONO-KATOSI 24hr'!E102,'2.11 MUKONO-KATOSI 24hr'!E102)</f>
        <v>1</v>
      </c>
      <c r="F102" s="49">
        <f>AVERAGE('1.11 MUKONO-KATOSI 24hr'!F102,'2.11 MUKONO-KATOSI 24hr'!F102)</f>
        <v>5.5</v>
      </c>
      <c r="G102" s="49">
        <f>AVERAGE('1.11 MUKONO-KATOSI 24hr'!G102,'2.11 MUKONO-KATOSI 24hr'!G102)</f>
        <v>0.5</v>
      </c>
      <c r="H102" s="49">
        <f>AVERAGE('1.11 MUKONO-KATOSI 24hr'!H102,'2.11 MUKONO-KATOSI 24hr'!H102)</f>
        <v>0</v>
      </c>
      <c r="I102" s="49">
        <f>AVERAGE('1.11 MUKONO-KATOSI 24hr'!I102,'2.11 MUKONO-KATOSI 24hr'!I102)</f>
        <v>2.5</v>
      </c>
      <c r="J102" s="49">
        <f>AVERAGE('1.11 MUKONO-KATOSI 24hr'!J102,'2.11 MUKONO-KATOSI 24hr'!J102)</f>
        <v>1.5</v>
      </c>
      <c r="K102" s="49">
        <f>AVERAGE('1.11 MUKONO-KATOSI 24hr'!K102,'2.11 MUKONO-KATOSI 24hr'!K102)</f>
        <v>0.5</v>
      </c>
      <c r="L102" s="49">
        <f>AVERAGE('1.11 MUKONO-KATOSI 24hr'!L102,'2.11 MUKONO-KATOSI 24hr'!L102)</f>
        <v>0</v>
      </c>
      <c r="M102" s="49">
        <f>AVERAGE('1.11 MUKONO-KATOSI 24hr'!M102,'2.11 MUKONO-KATOSI 24hr'!M102)</f>
        <v>22</v>
      </c>
      <c r="N102" s="49">
        <f>AVERAGE('1.11 MUKONO-KATOSI 24hr'!N102,'2.11 MUKONO-KATOSI 24hr'!N102)</f>
        <v>0</v>
      </c>
      <c r="O102" s="15">
        <f t="shared" si="35"/>
        <v>16.5</v>
      </c>
      <c r="P102" s="15">
        <f t="shared" si="36"/>
        <v>38.5</v>
      </c>
      <c r="R102" s="8"/>
      <c r="T102"/>
    </row>
    <row r="103" spans="2:20" ht="23.1" customHeight="1" x14ac:dyDescent="0.25">
      <c r="B103" s="23" t="s">
        <v>143</v>
      </c>
      <c r="C103" s="49">
        <f>AVERAGE('1.11 MUKONO-KATOSI 24hr'!C103,'2.11 MUKONO-KATOSI 24hr'!C103)</f>
        <v>2.5</v>
      </c>
      <c r="D103" s="49">
        <f>AVERAGE('1.11 MUKONO-KATOSI 24hr'!D103,'2.11 MUKONO-KATOSI 24hr'!D103)</f>
        <v>0</v>
      </c>
      <c r="E103" s="49">
        <f>AVERAGE('1.11 MUKONO-KATOSI 24hr'!E103,'2.11 MUKONO-KATOSI 24hr'!E103)</f>
        <v>0.5</v>
      </c>
      <c r="F103" s="49">
        <f>AVERAGE('1.11 MUKONO-KATOSI 24hr'!F103,'2.11 MUKONO-KATOSI 24hr'!F103)</f>
        <v>4</v>
      </c>
      <c r="G103" s="49">
        <f>AVERAGE('1.11 MUKONO-KATOSI 24hr'!G103,'2.11 MUKONO-KATOSI 24hr'!G103)</f>
        <v>0</v>
      </c>
      <c r="H103" s="49">
        <f>AVERAGE('1.11 MUKONO-KATOSI 24hr'!H103,'2.11 MUKONO-KATOSI 24hr'!H103)</f>
        <v>0</v>
      </c>
      <c r="I103" s="49">
        <f>AVERAGE('1.11 MUKONO-KATOSI 24hr'!I103,'2.11 MUKONO-KATOSI 24hr'!I103)</f>
        <v>1.5</v>
      </c>
      <c r="J103" s="49">
        <f>AVERAGE('1.11 MUKONO-KATOSI 24hr'!J103,'2.11 MUKONO-KATOSI 24hr'!J103)</f>
        <v>1</v>
      </c>
      <c r="K103" s="49">
        <f>AVERAGE('1.11 MUKONO-KATOSI 24hr'!K103,'2.11 MUKONO-KATOSI 24hr'!K103)</f>
        <v>0</v>
      </c>
      <c r="L103" s="49">
        <f>AVERAGE('1.11 MUKONO-KATOSI 24hr'!L103,'2.11 MUKONO-KATOSI 24hr'!L103)</f>
        <v>1</v>
      </c>
      <c r="M103" s="49">
        <f>AVERAGE('1.11 MUKONO-KATOSI 24hr'!M103,'2.11 MUKONO-KATOSI 24hr'!M103)</f>
        <v>34.5</v>
      </c>
      <c r="N103" s="49">
        <f>AVERAGE('1.11 MUKONO-KATOSI 24hr'!N103,'2.11 MUKONO-KATOSI 24hr'!N103)</f>
        <v>0</v>
      </c>
      <c r="O103" s="15">
        <f t="shared" si="35"/>
        <v>10.5</v>
      </c>
      <c r="P103" s="15">
        <f t="shared" si="36"/>
        <v>45</v>
      </c>
      <c r="R103" s="8"/>
      <c r="T103"/>
    </row>
    <row r="104" spans="2:20" ht="23.1" customHeight="1" x14ac:dyDescent="0.25">
      <c r="B104" s="25" t="s">
        <v>144</v>
      </c>
      <c r="C104" s="49">
        <f>AVERAGE('1.11 MUKONO-KATOSI 24hr'!C104,'2.11 MUKONO-KATOSI 24hr'!C104)</f>
        <v>5.5</v>
      </c>
      <c r="D104" s="49">
        <f>AVERAGE('1.11 MUKONO-KATOSI 24hr'!D104,'2.11 MUKONO-KATOSI 24hr'!D104)</f>
        <v>3.5</v>
      </c>
      <c r="E104" s="49">
        <f>AVERAGE('1.11 MUKONO-KATOSI 24hr'!E104,'2.11 MUKONO-KATOSI 24hr'!E104)</f>
        <v>1</v>
      </c>
      <c r="F104" s="49">
        <f>AVERAGE('1.11 MUKONO-KATOSI 24hr'!F104,'2.11 MUKONO-KATOSI 24hr'!F104)</f>
        <v>6</v>
      </c>
      <c r="G104" s="49">
        <f>AVERAGE('1.11 MUKONO-KATOSI 24hr'!G104,'2.11 MUKONO-KATOSI 24hr'!G104)</f>
        <v>1</v>
      </c>
      <c r="H104" s="49">
        <f>AVERAGE('1.11 MUKONO-KATOSI 24hr'!H104,'2.11 MUKONO-KATOSI 24hr'!H104)</f>
        <v>0</v>
      </c>
      <c r="I104" s="49">
        <f>AVERAGE('1.11 MUKONO-KATOSI 24hr'!I104,'2.11 MUKONO-KATOSI 24hr'!I104)</f>
        <v>3</v>
      </c>
      <c r="J104" s="49">
        <f>AVERAGE('1.11 MUKONO-KATOSI 24hr'!J104,'2.11 MUKONO-KATOSI 24hr'!J104)</f>
        <v>0.5</v>
      </c>
      <c r="K104" s="49">
        <f>AVERAGE('1.11 MUKONO-KATOSI 24hr'!K104,'2.11 MUKONO-KATOSI 24hr'!K104)</f>
        <v>0.5</v>
      </c>
      <c r="L104" s="49">
        <f>AVERAGE('1.11 MUKONO-KATOSI 24hr'!L104,'2.11 MUKONO-KATOSI 24hr'!L104)</f>
        <v>0</v>
      </c>
      <c r="M104" s="49">
        <f>AVERAGE('1.11 MUKONO-KATOSI 24hr'!M104,'2.11 MUKONO-KATOSI 24hr'!M104)</f>
        <v>40.5</v>
      </c>
      <c r="N104" s="49">
        <f>AVERAGE('1.11 MUKONO-KATOSI 24hr'!N104,'2.11 MUKONO-KATOSI 24hr'!N104)</f>
        <v>0</v>
      </c>
      <c r="O104" s="15">
        <f t="shared" si="35"/>
        <v>21</v>
      </c>
      <c r="P104" s="15">
        <f t="shared" si="36"/>
        <v>61.5</v>
      </c>
      <c r="R104" s="8"/>
      <c r="T104"/>
    </row>
    <row r="105" spans="2:20" ht="23.1" customHeight="1" x14ac:dyDescent="0.25">
      <c r="B105" s="23" t="s">
        <v>145</v>
      </c>
      <c r="C105" s="49">
        <f>AVERAGE('1.11 MUKONO-KATOSI 24hr'!C105,'2.11 MUKONO-KATOSI 24hr'!C105)</f>
        <v>5</v>
      </c>
      <c r="D105" s="49">
        <f>AVERAGE('1.11 MUKONO-KATOSI 24hr'!D105,'2.11 MUKONO-KATOSI 24hr'!D105)</f>
        <v>3</v>
      </c>
      <c r="E105" s="49">
        <f>AVERAGE('1.11 MUKONO-KATOSI 24hr'!E105,'2.11 MUKONO-KATOSI 24hr'!E105)</f>
        <v>1.5</v>
      </c>
      <c r="F105" s="49">
        <f>AVERAGE('1.11 MUKONO-KATOSI 24hr'!F105,'2.11 MUKONO-KATOSI 24hr'!F105)</f>
        <v>7.5</v>
      </c>
      <c r="G105" s="49">
        <f>AVERAGE('1.11 MUKONO-KATOSI 24hr'!G105,'2.11 MUKONO-KATOSI 24hr'!G105)</f>
        <v>0</v>
      </c>
      <c r="H105" s="49">
        <f>AVERAGE('1.11 MUKONO-KATOSI 24hr'!H105,'2.11 MUKONO-KATOSI 24hr'!H105)</f>
        <v>0</v>
      </c>
      <c r="I105" s="49">
        <f>AVERAGE('1.11 MUKONO-KATOSI 24hr'!I105,'2.11 MUKONO-KATOSI 24hr'!I105)</f>
        <v>3</v>
      </c>
      <c r="J105" s="49">
        <f>AVERAGE('1.11 MUKONO-KATOSI 24hr'!J105,'2.11 MUKONO-KATOSI 24hr'!J105)</f>
        <v>1</v>
      </c>
      <c r="K105" s="49">
        <f>AVERAGE('1.11 MUKONO-KATOSI 24hr'!K105,'2.11 MUKONO-KATOSI 24hr'!K105)</f>
        <v>1.5</v>
      </c>
      <c r="L105" s="49">
        <f>AVERAGE('1.11 MUKONO-KATOSI 24hr'!L105,'2.11 MUKONO-KATOSI 24hr'!L105)</f>
        <v>1</v>
      </c>
      <c r="M105" s="49">
        <f>AVERAGE('1.11 MUKONO-KATOSI 24hr'!M105,'2.11 MUKONO-KATOSI 24hr'!M105)</f>
        <v>47</v>
      </c>
      <c r="N105" s="49">
        <f>AVERAGE('1.11 MUKONO-KATOSI 24hr'!N105,'2.11 MUKONO-KATOSI 24hr'!N105)</f>
        <v>0</v>
      </c>
      <c r="O105" s="15">
        <f>SUM(C105:L105,N105)</f>
        <v>23.5</v>
      </c>
      <c r="P105" s="15">
        <f>SUM(C105:N105)</f>
        <v>70.5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871.50000000000011</v>
      </c>
      <c r="D106" s="16">
        <f t="shared" ref="D106:P106" si="37">SUM(D10:D105)</f>
        <v>372.92857142857144</v>
      </c>
      <c r="E106" s="16">
        <f t="shared" si="37"/>
        <v>233.64285714285708</v>
      </c>
      <c r="F106" s="16">
        <f t="shared" si="37"/>
        <v>546.07142857142844</v>
      </c>
      <c r="G106" s="16">
        <f t="shared" si="37"/>
        <v>39</v>
      </c>
      <c r="H106" s="16">
        <f t="shared" si="37"/>
        <v>4.2857142857142847</v>
      </c>
      <c r="I106" s="16">
        <f t="shared" si="37"/>
        <v>371.35714285714283</v>
      </c>
      <c r="J106" s="16">
        <f t="shared" si="37"/>
        <v>108.64285714285714</v>
      </c>
      <c r="K106" s="16">
        <f t="shared" si="37"/>
        <v>39.857142857142861</v>
      </c>
      <c r="L106" s="16">
        <f t="shared" si="37"/>
        <v>57.785714285714292</v>
      </c>
      <c r="M106" s="16">
        <f t="shared" si="37"/>
        <v>6145.2142857142853</v>
      </c>
      <c r="N106" s="16">
        <f t="shared" si="37"/>
        <v>1.2857142857142854</v>
      </c>
      <c r="O106" s="16">
        <f t="shared" si="37"/>
        <v>2646.3571428571431</v>
      </c>
      <c r="P106" s="16">
        <f t="shared" si="37"/>
        <v>8791.5714285714294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9.9129035927268003E-2</v>
      </c>
      <c r="D107" s="43">
        <f t="shared" si="38"/>
        <v>4.2418875221397118E-2</v>
      </c>
      <c r="E107" s="43">
        <f t="shared" si="38"/>
        <v>2.6575778749126588E-2</v>
      </c>
      <c r="F107" s="43">
        <f t="shared" si="38"/>
        <v>6.2113062836157987E-2</v>
      </c>
      <c r="G107" s="43">
        <f t="shared" si="38"/>
        <v>4.4360670122357447E-3</v>
      </c>
      <c r="H107" s="43">
        <f t="shared" si="38"/>
        <v>4.8747989145447732E-4</v>
      </c>
      <c r="I107" s="43">
        <f t="shared" si="38"/>
        <v>4.2240132594530466E-2</v>
      </c>
      <c r="J107" s="43">
        <f t="shared" si="38"/>
        <v>1.2357615248371003E-2</v>
      </c>
      <c r="K107" s="43">
        <f t="shared" si="38"/>
        <v>4.5335629905266404E-3</v>
      </c>
      <c r="L107" s="43">
        <f t="shared" si="38"/>
        <v>6.5728538697778722E-3</v>
      </c>
      <c r="M107" s="43">
        <f t="shared" si="38"/>
        <v>0.69898929169171764</v>
      </c>
      <c r="N107" s="43">
        <f t="shared" si="38"/>
        <v>1.462439674363432E-4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0.32932062943669194</v>
      </c>
      <c r="D108" s="44">
        <f t="shared" ref="D108:N108" si="39">D106/$O$106</f>
        <v>0.14092148236119734</v>
      </c>
      <c r="E108" s="44">
        <f t="shared" si="39"/>
        <v>8.8288482820049086E-2</v>
      </c>
      <c r="F108" s="44">
        <f t="shared" si="39"/>
        <v>0.20634834948311689</v>
      </c>
      <c r="G108" s="44">
        <f t="shared" si="39"/>
        <v>1.4737239871521497E-2</v>
      </c>
      <c r="H108" s="44">
        <f t="shared" si="39"/>
        <v>1.6194769089584058E-3</v>
      </c>
      <c r="I108" s="44">
        <f t="shared" si="39"/>
        <v>0.14032767416124589</v>
      </c>
      <c r="J108" s="44">
        <f t="shared" si="39"/>
        <v>4.1053739642095598E-2</v>
      </c>
      <c r="K108" s="44">
        <f t="shared" si="39"/>
        <v>1.5061135253313179E-2</v>
      </c>
      <c r="L108" s="44">
        <f t="shared" si="39"/>
        <v>2.1835946989122515E-2</v>
      </c>
      <c r="M108" s="44"/>
      <c r="N108" s="44">
        <f t="shared" si="39"/>
        <v>4.8584307268752176E-4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K50" zoomScale="60" workbookViewId="0">
      <selection activeCell="AE76" sqref="AE7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9" t="str">
        <f>'4.11 KATOSI-MUKONO'!C3:G3</f>
        <v>MCC - C2 - STN077 - KATOSI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2" t="s">
        <v>162</v>
      </c>
      <c r="E5" s="63"/>
      <c r="F5" s="41" t="s">
        <v>1</v>
      </c>
      <c r="G5" s="60" t="str">
        <f>'4.11 KATOSI-MUKONO'!G5:H5</f>
        <v>SHELL PETROL STATION</v>
      </c>
      <c r="H5" s="61"/>
      <c r="I5" s="14"/>
      <c r="J5" s="2" t="s">
        <v>5</v>
      </c>
      <c r="K5" s="60" t="str">
        <f>'4.11 KATOSI-MUKONO'!K5:L5</f>
        <v>MOSES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'4.11 KATOSI-MUKONO'!D6:E6</f>
        <v>KATOSI</v>
      </c>
      <c r="E6" s="61"/>
      <c r="F6" s="2" t="s">
        <v>2</v>
      </c>
      <c r="G6" s="60" t="str">
        <f>'4.11 KATOSI-MUKONO'!G6:H6</f>
        <v>MUKONO</v>
      </c>
      <c r="H6" s="61"/>
      <c r="J6" s="2" t="s">
        <v>21</v>
      </c>
      <c r="K6" s="60" t="str">
        <f>'4.11 KATOSI-MUKONO'!K6:L6</f>
        <v>VICTOR M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AVERAGE('29.10 KATOSI-MUKONO'!C10,'30.10 MUKONO-KATOSI'!C10,'31.10 KATOSI-MUKONO'!C10,'3.11 KATOSI-MUKONO'!C10,'1.11 MUKONO-KATOSI 24hr'!C10,'2.11 MUKONO-KATOSI 24hr'!C10,'4.11 KATOSI-MUKONO'!C10)</f>
        <v>7.2857142857142856</v>
      </c>
      <c r="D10" s="49">
        <f>AVERAGE('29.10 KATOSI-MUKONO'!D10,'30.10 MUKONO-KATOSI'!D10,'31.10 KATOSI-MUKONO'!D10,'3.11 KATOSI-MUKONO'!D10,'1.11 MUKONO-KATOSI 24hr'!D10,'2.11 MUKONO-KATOSI 24hr'!D10,'4.11 KATOSI-MUKONO'!D10)</f>
        <v>1.7142857142857142</v>
      </c>
      <c r="E10" s="49">
        <f>AVERAGE('29.10 KATOSI-MUKONO'!E10,'30.10 MUKONO-KATOSI'!E10,'31.10 KATOSI-MUKONO'!E10,'3.11 KATOSI-MUKONO'!E10,'1.11 MUKONO-KATOSI 24hr'!E10,'2.11 MUKONO-KATOSI 24hr'!E10,'4.11 KATOSI-MUKONO'!E10)</f>
        <v>1.2857142857142858</v>
      </c>
      <c r="F10" s="49">
        <f>AVERAGE('29.10 KATOSI-MUKONO'!F10,'30.10 MUKONO-KATOSI'!F10,'31.10 KATOSI-MUKONO'!F10,'3.11 KATOSI-MUKONO'!F10,'1.11 MUKONO-KATOSI 24hr'!F10,'2.11 MUKONO-KATOSI 24hr'!F10,'4.11 KATOSI-MUKONO'!F10)</f>
        <v>5.7142857142857144</v>
      </c>
      <c r="G10" s="49">
        <f>AVERAGE('29.10 KATOSI-MUKONO'!G10,'30.10 MUKONO-KATOSI'!G10,'31.10 KATOSI-MUKONO'!G10,'3.11 KATOSI-MUKONO'!G10,'1.11 MUKONO-KATOSI 24hr'!G10,'2.11 MUKONO-KATOSI 24hr'!G10,'4.11 KATOSI-MUKONO'!G10)</f>
        <v>0.5714285714285714</v>
      </c>
      <c r="H10" s="49">
        <f>AVERAGE('29.10 KATOSI-MUKONO'!H10,'30.10 MUKONO-KATOSI'!H10,'31.10 KATOSI-MUKONO'!H10,'3.11 KATOSI-MUKONO'!H10,'1.11 MUKONO-KATOSI 24hr'!H10,'2.11 MUKONO-KATOSI 24hr'!H10,'4.11 KATOSI-MUKONO'!H10)</f>
        <v>0</v>
      </c>
      <c r="I10" s="49">
        <f>AVERAGE('29.10 KATOSI-MUKONO'!I10,'30.10 MUKONO-KATOSI'!I10,'31.10 KATOSI-MUKONO'!I10,'3.11 KATOSI-MUKONO'!I10,'1.11 MUKONO-KATOSI 24hr'!I10,'2.11 MUKONO-KATOSI 24hr'!I10,'4.11 KATOSI-MUKONO'!I10)</f>
        <v>2.4285714285714284</v>
      </c>
      <c r="J10" s="49">
        <f>AVERAGE('29.10 KATOSI-MUKONO'!J10,'30.10 MUKONO-KATOSI'!J10,'31.10 KATOSI-MUKONO'!J10,'3.11 KATOSI-MUKONO'!J10,'1.11 MUKONO-KATOSI 24hr'!J10,'2.11 MUKONO-KATOSI 24hr'!J10,'4.11 KATOSI-MUKONO'!J10)</f>
        <v>0.5714285714285714</v>
      </c>
      <c r="K10" s="49">
        <f>AVERAGE('29.10 KATOSI-MUKONO'!K10,'30.10 MUKONO-KATOSI'!K10,'31.10 KATOSI-MUKONO'!K10,'3.11 KATOSI-MUKONO'!K10,'1.11 MUKONO-KATOSI 24hr'!K10,'2.11 MUKONO-KATOSI 24hr'!K10,'4.11 KATOSI-MUKONO'!K10)</f>
        <v>0.2857142857142857</v>
      </c>
      <c r="L10" s="49">
        <f>AVERAGE('29.10 KATOSI-MUKONO'!L10,'30.10 MUKONO-KATOSI'!L10,'31.10 KATOSI-MUKONO'!L10,'3.11 KATOSI-MUKONO'!L10,'1.11 MUKONO-KATOSI 24hr'!L10,'2.11 MUKONO-KATOSI 24hr'!L10,'4.11 KATOSI-MUKONO'!L10)</f>
        <v>0.14285714285714285</v>
      </c>
      <c r="M10" s="49">
        <f>AVERAGE('29.10 KATOSI-MUKONO'!M10,'30.10 MUKONO-KATOSI'!M10,'31.10 KATOSI-MUKONO'!M10,'3.11 KATOSI-MUKONO'!M10,'1.11 MUKONO-KATOSI 24hr'!M10,'2.11 MUKONO-KATOSI 24hr'!M10,'4.11 KATOSI-MUKONO'!M10)</f>
        <v>61.857142857142854</v>
      </c>
      <c r="N10" s="49">
        <f>AVERAGE('29.10 KATOSI-MUKONO'!N10,'30.10 MUKONO-KATOSI'!N10,'31.10 KATOSI-MUKONO'!N10,'3.11 KATOSI-MUKONO'!N10,'1.11 MUKONO-KATOSI 24hr'!N10,'2.11 MUKONO-KATOSI 24hr'!N10,'4.11 KATOSI-MUKONO'!N10)</f>
        <v>0</v>
      </c>
      <c r="O10" s="15">
        <f t="shared" ref="O10:O73" si="0">SUM(C10:L10,N10)</f>
        <v>20</v>
      </c>
      <c r="P10" s="15">
        <f t="shared" ref="P10:P73" si="1">SUM(C10:N10)</f>
        <v>81.857142857142861</v>
      </c>
      <c r="R10" s="1" t="s">
        <v>6</v>
      </c>
      <c r="S10" s="17">
        <f t="shared" ref="S10:AF10" si="2">SUM(C10:C13)</f>
        <v>51.142857142857153</v>
      </c>
      <c r="T10" s="17">
        <f t="shared" si="2"/>
        <v>12.571428571428571</v>
      </c>
      <c r="U10" s="17">
        <f t="shared" si="2"/>
        <v>9.8571428571428577</v>
      </c>
      <c r="V10" s="17">
        <f t="shared" si="2"/>
        <v>39</v>
      </c>
      <c r="W10" s="17">
        <f t="shared" si="2"/>
        <v>3.4285714285714284</v>
      </c>
      <c r="X10" s="17">
        <f t="shared" si="2"/>
        <v>0</v>
      </c>
      <c r="Y10" s="17">
        <f t="shared" si="2"/>
        <v>18.285714285714285</v>
      </c>
      <c r="Z10" s="17">
        <f t="shared" si="2"/>
        <v>3.4285714285714288</v>
      </c>
      <c r="AA10" s="17">
        <f t="shared" si="2"/>
        <v>0.99999999999999989</v>
      </c>
      <c r="AB10" s="17">
        <f t="shared" si="2"/>
        <v>0.14285714285714285</v>
      </c>
      <c r="AC10" s="17">
        <f t="shared" si="2"/>
        <v>305.85714285714283</v>
      </c>
      <c r="AD10" s="17">
        <f t="shared" si="2"/>
        <v>6</v>
      </c>
      <c r="AE10" s="31">
        <f t="shared" si="2"/>
        <v>144.85714285714286</v>
      </c>
      <c r="AF10" s="31">
        <f t="shared" si="2"/>
        <v>450.71428571428567</v>
      </c>
    </row>
    <row r="11" spans="2:32" s="6" customFormat="1" ht="23.1" customHeight="1" x14ac:dyDescent="0.25">
      <c r="B11" s="23" t="s">
        <v>38</v>
      </c>
      <c r="C11" s="49">
        <f>AVERAGE('29.10 KATOSI-MUKONO'!C11,'30.10 MUKONO-KATOSI'!C11,'31.10 KATOSI-MUKONO'!C11,'3.11 KATOSI-MUKONO'!C11,'1.11 MUKONO-KATOSI 24hr'!C11,'2.11 MUKONO-KATOSI 24hr'!C11,'4.11 KATOSI-MUKONO'!C11)</f>
        <v>9.4285714285714288</v>
      </c>
      <c r="D11" s="49">
        <f>AVERAGE('29.10 KATOSI-MUKONO'!D11,'30.10 MUKONO-KATOSI'!D11,'31.10 KATOSI-MUKONO'!D11,'3.11 KATOSI-MUKONO'!D11,'1.11 MUKONO-KATOSI 24hr'!D11,'2.11 MUKONO-KATOSI 24hr'!D11,'4.11 KATOSI-MUKONO'!D11)</f>
        <v>2.4285714285714284</v>
      </c>
      <c r="E11" s="49">
        <f>AVERAGE('29.10 KATOSI-MUKONO'!E11,'30.10 MUKONO-KATOSI'!E11,'31.10 KATOSI-MUKONO'!E11,'3.11 KATOSI-MUKONO'!E11,'1.11 MUKONO-KATOSI 24hr'!E11,'2.11 MUKONO-KATOSI 24hr'!E11,'4.11 KATOSI-MUKONO'!E11)</f>
        <v>2</v>
      </c>
      <c r="F11" s="49">
        <f>AVERAGE('29.10 KATOSI-MUKONO'!F11,'30.10 MUKONO-KATOSI'!F11,'31.10 KATOSI-MUKONO'!F11,'3.11 KATOSI-MUKONO'!F11,'1.11 MUKONO-KATOSI 24hr'!F11,'2.11 MUKONO-KATOSI 24hr'!F11,'4.11 KATOSI-MUKONO'!F11)</f>
        <v>6</v>
      </c>
      <c r="G11" s="49">
        <f>AVERAGE('29.10 KATOSI-MUKONO'!G11,'30.10 MUKONO-KATOSI'!G11,'31.10 KATOSI-MUKONO'!G11,'3.11 KATOSI-MUKONO'!G11,'1.11 MUKONO-KATOSI 24hr'!G11,'2.11 MUKONO-KATOSI 24hr'!G11,'4.11 KATOSI-MUKONO'!G11)</f>
        <v>1</v>
      </c>
      <c r="H11" s="49">
        <f>AVERAGE('29.10 KATOSI-MUKONO'!H11,'30.10 MUKONO-KATOSI'!H11,'31.10 KATOSI-MUKONO'!H11,'3.11 KATOSI-MUKONO'!H11,'1.11 MUKONO-KATOSI 24hr'!H11,'2.11 MUKONO-KATOSI 24hr'!H11,'4.11 KATOSI-MUKONO'!H11)</f>
        <v>0</v>
      </c>
      <c r="I11" s="49">
        <f>AVERAGE('29.10 KATOSI-MUKONO'!I11,'30.10 MUKONO-KATOSI'!I11,'31.10 KATOSI-MUKONO'!I11,'3.11 KATOSI-MUKONO'!I11,'1.11 MUKONO-KATOSI 24hr'!I11,'2.11 MUKONO-KATOSI 24hr'!I11,'4.11 KATOSI-MUKONO'!I11)</f>
        <v>4.1428571428571432</v>
      </c>
      <c r="J11" s="49">
        <f>AVERAGE('29.10 KATOSI-MUKONO'!J11,'30.10 MUKONO-KATOSI'!J11,'31.10 KATOSI-MUKONO'!J11,'3.11 KATOSI-MUKONO'!J11,'1.11 MUKONO-KATOSI 24hr'!J11,'2.11 MUKONO-KATOSI 24hr'!J11,'4.11 KATOSI-MUKONO'!J11)</f>
        <v>0.8571428571428571</v>
      </c>
      <c r="K11" s="49">
        <f>AVERAGE('29.10 KATOSI-MUKONO'!K11,'30.10 MUKONO-KATOSI'!K11,'31.10 KATOSI-MUKONO'!K11,'3.11 KATOSI-MUKONO'!K11,'1.11 MUKONO-KATOSI 24hr'!K11,'2.11 MUKONO-KATOSI 24hr'!K11,'4.11 KATOSI-MUKONO'!K11)</f>
        <v>0.42857142857142855</v>
      </c>
      <c r="L11" s="49">
        <f>AVERAGE('29.10 KATOSI-MUKONO'!L11,'30.10 MUKONO-KATOSI'!L11,'31.10 KATOSI-MUKONO'!L11,'3.11 KATOSI-MUKONO'!L11,'1.11 MUKONO-KATOSI 24hr'!L11,'2.11 MUKONO-KATOSI 24hr'!L11,'4.11 KATOSI-MUKONO'!L11)</f>
        <v>0</v>
      </c>
      <c r="M11" s="49">
        <f>AVERAGE('29.10 KATOSI-MUKONO'!M11,'30.10 MUKONO-KATOSI'!M11,'31.10 KATOSI-MUKONO'!M11,'3.11 KATOSI-MUKONO'!M11,'1.11 MUKONO-KATOSI 24hr'!M11,'2.11 MUKONO-KATOSI 24hr'!M11,'4.11 KATOSI-MUKONO'!M11)</f>
        <v>75.714285714285708</v>
      </c>
      <c r="N11" s="49">
        <f>AVERAGE('29.10 KATOSI-MUKONO'!N11,'30.10 MUKONO-KATOSI'!N11,'31.10 KATOSI-MUKONO'!N11,'3.11 KATOSI-MUKONO'!N11,'1.11 MUKONO-KATOSI 24hr'!N11,'2.11 MUKONO-KATOSI 24hr'!N11,'4.11 KATOSI-MUKONO'!N11)</f>
        <v>6</v>
      </c>
      <c r="O11" s="15">
        <f t="shared" si="0"/>
        <v>32.285714285714285</v>
      </c>
      <c r="P11" s="15">
        <f t="shared" si="1"/>
        <v>108</v>
      </c>
      <c r="R11" s="1" t="s">
        <v>7</v>
      </c>
      <c r="S11" s="17">
        <f t="shared" ref="S11:AF11" si="3">SUM(C14:C17)</f>
        <v>47.857142857142861</v>
      </c>
      <c r="T11" s="17">
        <f t="shared" si="3"/>
        <v>20.571428571428569</v>
      </c>
      <c r="U11" s="17">
        <f t="shared" si="3"/>
        <v>12.571428571428573</v>
      </c>
      <c r="V11" s="17">
        <f t="shared" si="3"/>
        <v>44.428571428571431</v>
      </c>
      <c r="W11" s="17">
        <f t="shared" si="3"/>
        <v>6.4285714285714279</v>
      </c>
      <c r="X11" s="17">
        <f t="shared" si="3"/>
        <v>0.2857142857142857</v>
      </c>
      <c r="Y11" s="17">
        <f t="shared" si="3"/>
        <v>23</v>
      </c>
      <c r="Z11" s="17">
        <f t="shared" si="3"/>
        <v>5.1428571428571423</v>
      </c>
      <c r="AA11" s="17">
        <f t="shared" si="3"/>
        <v>1.857142857142857</v>
      </c>
      <c r="AB11" s="17">
        <f t="shared" si="3"/>
        <v>1.714285714285714</v>
      </c>
      <c r="AC11" s="17">
        <f t="shared" si="3"/>
        <v>353.14285714285717</v>
      </c>
      <c r="AD11" s="17">
        <f t="shared" si="3"/>
        <v>14.142857142857142</v>
      </c>
      <c r="AE11" s="31">
        <f t="shared" si="3"/>
        <v>178</v>
      </c>
      <c r="AF11" s="31">
        <f t="shared" si="3"/>
        <v>531.14285714285722</v>
      </c>
    </row>
    <row r="12" spans="2:32" ht="23.1" customHeight="1" x14ac:dyDescent="0.25">
      <c r="B12" s="23" t="s">
        <v>39</v>
      </c>
      <c r="C12" s="49">
        <f>AVERAGE('29.10 KATOSI-MUKONO'!C12,'30.10 MUKONO-KATOSI'!C12,'31.10 KATOSI-MUKONO'!C12,'3.11 KATOSI-MUKONO'!C12,'1.11 MUKONO-KATOSI 24hr'!C12,'2.11 MUKONO-KATOSI 24hr'!C12,'4.11 KATOSI-MUKONO'!C12)</f>
        <v>16.571428571428573</v>
      </c>
      <c r="D12" s="49">
        <f>AVERAGE('29.10 KATOSI-MUKONO'!D12,'30.10 MUKONO-KATOSI'!D12,'31.10 KATOSI-MUKONO'!D12,'3.11 KATOSI-MUKONO'!D12,'1.11 MUKONO-KATOSI 24hr'!D12,'2.11 MUKONO-KATOSI 24hr'!D12,'4.11 KATOSI-MUKONO'!D12)</f>
        <v>4.4285714285714288</v>
      </c>
      <c r="E12" s="49">
        <f>AVERAGE('29.10 KATOSI-MUKONO'!E12,'30.10 MUKONO-KATOSI'!E12,'31.10 KATOSI-MUKONO'!E12,'3.11 KATOSI-MUKONO'!E12,'1.11 MUKONO-KATOSI 24hr'!E12,'2.11 MUKONO-KATOSI 24hr'!E12,'4.11 KATOSI-MUKONO'!E12)</f>
        <v>3.1428571428571428</v>
      </c>
      <c r="F12" s="49">
        <f>AVERAGE('29.10 KATOSI-MUKONO'!F12,'30.10 MUKONO-KATOSI'!F12,'31.10 KATOSI-MUKONO'!F12,'3.11 KATOSI-MUKONO'!F12,'1.11 MUKONO-KATOSI 24hr'!F12,'2.11 MUKONO-KATOSI 24hr'!F12,'4.11 KATOSI-MUKONO'!F12)</f>
        <v>13.857142857142858</v>
      </c>
      <c r="G12" s="49">
        <f>AVERAGE('29.10 KATOSI-MUKONO'!G12,'30.10 MUKONO-KATOSI'!G12,'31.10 KATOSI-MUKONO'!G12,'3.11 KATOSI-MUKONO'!G12,'1.11 MUKONO-KATOSI 24hr'!G12,'2.11 MUKONO-KATOSI 24hr'!G12,'4.11 KATOSI-MUKONO'!G12)</f>
        <v>0.8571428571428571</v>
      </c>
      <c r="H12" s="49">
        <f>AVERAGE('29.10 KATOSI-MUKONO'!H12,'30.10 MUKONO-KATOSI'!H12,'31.10 KATOSI-MUKONO'!H12,'3.11 KATOSI-MUKONO'!H12,'1.11 MUKONO-KATOSI 24hr'!H12,'2.11 MUKONO-KATOSI 24hr'!H12,'4.11 KATOSI-MUKONO'!H12)</f>
        <v>0</v>
      </c>
      <c r="I12" s="49">
        <f>AVERAGE('29.10 KATOSI-MUKONO'!I12,'30.10 MUKONO-KATOSI'!I12,'31.10 KATOSI-MUKONO'!I12,'3.11 KATOSI-MUKONO'!I12,'1.11 MUKONO-KATOSI 24hr'!I12,'2.11 MUKONO-KATOSI 24hr'!I12,'4.11 KATOSI-MUKONO'!I12)</f>
        <v>3.5714285714285716</v>
      </c>
      <c r="J12" s="49">
        <f>AVERAGE('29.10 KATOSI-MUKONO'!J12,'30.10 MUKONO-KATOSI'!J12,'31.10 KATOSI-MUKONO'!J12,'3.11 KATOSI-MUKONO'!J12,'1.11 MUKONO-KATOSI 24hr'!J12,'2.11 MUKONO-KATOSI 24hr'!J12,'4.11 KATOSI-MUKONO'!J12)</f>
        <v>1.2857142857142858</v>
      </c>
      <c r="K12" s="49">
        <f>AVERAGE('29.10 KATOSI-MUKONO'!K12,'30.10 MUKONO-KATOSI'!K12,'31.10 KATOSI-MUKONO'!K12,'3.11 KATOSI-MUKONO'!K12,'1.11 MUKONO-KATOSI 24hr'!K12,'2.11 MUKONO-KATOSI 24hr'!K12,'4.11 KATOSI-MUKONO'!K12)</f>
        <v>0</v>
      </c>
      <c r="L12" s="49">
        <f>AVERAGE('29.10 KATOSI-MUKONO'!L12,'30.10 MUKONO-KATOSI'!L12,'31.10 KATOSI-MUKONO'!L12,'3.11 KATOSI-MUKONO'!L12,'1.11 MUKONO-KATOSI 24hr'!L12,'2.11 MUKONO-KATOSI 24hr'!L12,'4.11 KATOSI-MUKONO'!L12)</f>
        <v>0</v>
      </c>
      <c r="M12" s="49">
        <f>AVERAGE('29.10 KATOSI-MUKONO'!M12,'30.10 MUKONO-KATOSI'!M12,'31.10 KATOSI-MUKONO'!M12,'3.11 KATOSI-MUKONO'!M12,'1.11 MUKONO-KATOSI 24hr'!M12,'2.11 MUKONO-KATOSI 24hr'!M12,'4.11 KATOSI-MUKONO'!M12)</f>
        <v>85.142857142857139</v>
      </c>
      <c r="N12" s="49">
        <f>AVERAGE('29.10 KATOSI-MUKONO'!N12,'30.10 MUKONO-KATOSI'!N12,'31.10 KATOSI-MUKONO'!N12,'3.11 KATOSI-MUKONO'!N12,'1.11 MUKONO-KATOSI 24hr'!N12,'2.11 MUKONO-KATOSI 24hr'!N12,'4.11 KATOSI-MUKONO'!N12)</f>
        <v>0</v>
      </c>
      <c r="O12" s="15">
        <f t="shared" si="0"/>
        <v>43.714285714285708</v>
      </c>
      <c r="P12" s="15">
        <f t="shared" si="1"/>
        <v>128.85714285714283</v>
      </c>
      <c r="R12" s="1" t="s">
        <v>8</v>
      </c>
      <c r="S12" s="17">
        <f t="shared" ref="S12:AF12" si="4">SUM(C18:C21)</f>
        <v>44.714285714285722</v>
      </c>
      <c r="T12" s="17">
        <f t="shared" si="4"/>
        <v>13.714285714285715</v>
      </c>
      <c r="U12" s="17">
        <f t="shared" si="4"/>
        <v>13.571428571428573</v>
      </c>
      <c r="V12" s="17">
        <f t="shared" si="4"/>
        <v>32.428571428571431</v>
      </c>
      <c r="W12" s="17">
        <f t="shared" si="4"/>
        <v>2</v>
      </c>
      <c r="X12" s="17">
        <f t="shared" si="4"/>
        <v>0.14285714285714285</v>
      </c>
      <c r="Y12" s="17">
        <f t="shared" si="4"/>
        <v>27.142857142857142</v>
      </c>
      <c r="Z12" s="17">
        <f t="shared" si="4"/>
        <v>4.7142857142857144</v>
      </c>
      <c r="AA12" s="17">
        <f t="shared" si="4"/>
        <v>1.5714285714285714</v>
      </c>
      <c r="AB12" s="17">
        <f t="shared" si="4"/>
        <v>0.85714285714285698</v>
      </c>
      <c r="AC12" s="17">
        <f t="shared" si="4"/>
        <v>399.71428571428572</v>
      </c>
      <c r="AD12" s="17">
        <f t="shared" si="4"/>
        <v>0</v>
      </c>
      <c r="AE12" s="31">
        <f t="shared" si="4"/>
        <v>140.85714285714286</v>
      </c>
      <c r="AF12" s="31">
        <f t="shared" si="4"/>
        <v>540.57142857142856</v>
      </c>
    </row>
    <row r="13" spans="2:32" ht="23.1" customHeight="1" x14ac:dyDescent="0.25">
      <c r="B13" s="23" t="s">
        <v>40</v>
      </c>
      <c r="C13" s="49">
        <f>AVERAGE('29.10 KATOSI-MUKONO'!C13,'30.10 MUKONO-KATOSI'!C13,'31.10 KATOSI-MUKONO'!C13,'3.11 KATOSI-MUKONO'!C13,'1.11 MUKONO-KATOSI 24hr'!C13,'2.11 MUKONO-KATOSI 24hr'!C13,'4.11 KATOSI-MUKONO'!C13)</f>
        <v>17.857142857142858</v>
      </c>
      <c r="D13" s="49">
        <f>AVERAGE('29.10 KATOSI-MUKONO'!D13,'30.10 MUKONO-KATOSI'!D13,'31.10 KATOSI-MUKONO'!D13,'3.11 KATOSI-MUKONO'!D13,'1.11 MUKONO-KATOSI 24hr'!D13,'2.11 MUKONO-KATOSI 24hr'!D13,'4.11 KATOSI-MUKONO'!D13)</f>
        <v>4</v>
      </c>
      <c r="E13" s="49">
        <f>AVERAGE('29.10 KATOSI-MUKONO'!E13,'30.10 MUKONO-KATOSI'!E13,'31.10 KATOSI-MUKONO'!E13,'3.11 KATOSI-MUKONO'!E13,'1.11 MUKONO-KATOSI 24hr'!E13,'2.11 MUKONO-KATOSI 24hr'!E13,'4.11 KATOSI-MUKONO'!E13)</f>
        <v>3.4285714285714284</v>
      </c>
      <c r="F13" s="49">
        <f>AVERAGE('29.10 KATOSI-MUKONO'!F13,'30.10 MUKONO-KATOSI'!F13,'31.10 KATOSI-MUKONO'!F13,'3.11 KATOSI-MUKONO'!F13,'1.11 MUKONO-KATOSI 24hr'!F13,'2.11 MUKONO-KATOSI 24hr'!F13,'4.11 KATOSI-MUKONO'!F13)</f>
        <v>13.428571428571429</v>
      </c>
      <c r="G13" s="49">
        <f>AVERAGE('29.10 KATOSI-MUKONO'!G13,'30.10 MUKONO-KATOSI'!G13,'31.10 KATOSI-MUKONO'!G13,'3.11 KATOSI-MUKONO'!G13,'1.11 MUKONO-KATOSI 24hr'!G13,'2.11 MUKONO-KATOSI 24hr'!G13,'4.11 KATOSI-MUKONO'!G13)</f>
        <v>1</v>
      </c>
      <c r="H13" s="49">
        <f>AVERAGE('29.10 KATOSI-MUKONO'!H13,'30.10 MUKONO-KATOSI'!H13,'31.10 KATOSI-MUKONO'!H13,'3.11 KATOSI-MUKONO'!H13,'1.11 MUKONO-KATOSI 24hr'!H13,'2.11 MUKONO-KATOSI 24hr'!H13,'4.11 KATOSI-MUKONO'!H13)</f>
        <v>0</v>
      </c>
      <c r="I13" s="49">
        <f>AVERAGE('29.10 KATOSI-MUKONO'!I13,'30.10 MUKONO-KATOSI'!I13,'31.10 KATOSI-MUKONO'!I13,'3.11 KATOSI-MUKONO'!I13,'1.11 MUKONO-KATOSI 24hr'!I13,'2.11 MUKONO-KATOSI 24hr'!I13,'4.11 KATOSI-MUKONO'!I13)</f>
        <v>8.1428571428571423</v>
      </c>
      <c r="J13" s="49">
        <f>AVERAGE('29.10 KATOSI-MUKONO'!J13,'30.10 MUKONO-KATOSI'!J13,'31.10 KATOSI-MUKONO'!J13,'3.11 KATOSI-MUKONO'!J13,'1.11 MUKONO-KATOSI 24hr'!J13,'2.11 MUKONO-KATOSI 24hr'!J13,'4.11 KATOSI-MUKONO'!J13)</f>
        <v>0.7142857142857143</v>
      </c>
      <c r="K13" s="49">
        <f>AVERAGE('29.10 KATOSI-MUKONO'!K13,'30.10 MUKONO-KATOSI'!K13,'31.10 KATOSI-MUKONO'!K13,'3.11 KATOSI-MUKONO'!K13,'1.11 MUKONO-KATOSI 24hr'!K13,'2.11 MUKONO-KATOSI 24hr'!K13,'4.11 KATOSI-MUKONO'!K13)</f>
        <v>0.2857142857142857</v>
      </c>
      <c r="L13" s="49">
        <f>AVERAGE('29.10 KATOSI-MUKONO'!L13,'30.10 MUKONO-KATOSI'!L13,'31.10 KATOSI-MUKONO'!L13,'3.11 KATOSI-MUKONO'!L13,'1.11 MUKONO-KATOSI 24hr'!L13,'2.11 MUKONO-KATOSI 24hr'!L13,'4.11 KATOSI-MUKONO'!L13)</f>
        <v>0</v>
      </c>
      <c r="M13" s="49">
        <f>AVERAGE('29.10 KATOSI-MUKONO'!M13,'30.10 MUKONO-KATOSI'!M13,'31.10 KATOSI-MUKONO'!M13,'3.11 KATOSI-MUKONO'!M13,'1.11 MUKONO-KATOSI 24hr'!M13,'2.11 MUKONO-KATOSI 24hr'!M13,'4.11 KATOSI-MUKONO'!M13)</f>
        <v>83.142857142857139</v>
      </c>
      <c r="N13" s="49">
        <f>AVERAGE('29.10 KATOSI-MUKONO'!N13,'30.10 MUKONO-KATOSI'!N13,'31.10 KATOSI-MUKONO'!N13,'3.11 KATOSI-MUKONO'!N13,'1.11 MUKONO-KATOSI 24hr'!N13,'2.11 MUKONO-KATOSI 24hr'!N13,'4.11 KATOSI-MUKONO'!N13)</f>
        <v>0</v>
      </c>
      <c r="O13" s="15">
        <f t="shared" si="0"/>
        <v>48.857142857142861</v>
      </c>
      <c r="P13" s="15">
        <f t="shared" si="1"/>
        <v>132</v>
      </c>
      <c r="R13" s="1" t="s">
        <v>9</v>
      </c>
      <c r="S13" s="17">
        <f t="shared" ref="S13:AF13" si="5">SUM(C22:C25)</f>
        <v>45.857142857142854</v>
      </c>
      <c r="T13" s="17">
        <f t="shared" si="5"/>
        <v>14.571428571428569</v>
      </c>
      <c r="U13" s="17">
        <f t="shared" si="5"/>
        <v>11.714285714285715</v>
      </c>
      <c r="V13" s="17">
        <f t="shared" si="5"/>
        <v>31.285714285714285</v>
      </c>
      <c r="W13" s="17">
        <f t="shared" si="5"/>
        <v>0.8571428571428571</v>
      </c>
      <c r="X13" s="17">
        <f t="shared" si="5"/>
        <v>0.14285714285714285</v>
      </c>
      <c r="Y13" s="17">
        <f t="shared" si="5"/>
        <v>29.714285714285715</v>
      </c>
      <c r="Z13" s="17">
        <f t="shared" si="5"/>
        <v>5.5714285714285712</v>
      </c>
      <c r="AA13" s="17">
        <f t="shared" si="5"/>
        <v>1.714285714285714</v>
      </c>
      <c r="AB13" s="17">
        <f t="shared" si="5"/>
        <v>1.4285714285714284</v>
      </c>
      <c r="AC13" s="17">
        <f t="shared" si="5"/>
        <v>370.28571428571428</v>
      </c>
      <c r="AD13" s="17">
        <f t="shared" si="5"/>
        <v>0</v>
      </c>
      <c r="AE13" s="31">
        <f t="shared" si="5"/>
        <v>142.85714285714289</v>
      </c>
      <c r="AF13" s="31">
        <f t="shared" si="5"/>
        <v>513.14285714285711</v>
      </c>
    </row>
    <row r="14" spans="2:32" ht="23.1" customHeight="1" x14ac:dyDescent="0.25">
      <c r="B14" s="23" t="s">
        <v>41</v>
      </c>
      <c r="C14" s="49">
        <f>AVERAGE('29.10 KATOSI-MUKONO'!C14,'30.10 MUKONO-KATOSI'!C14,'31.10 KATOSI-MUKONO'!C14,'3.11 KATOSI-MUKONO'!C14,'1.11 MUKONO-KATOSI 24hr'!C14,'2.11 MUKONO-KATOSI 24hr'!C14,'4.11 KATOSI-MUKONO'!C14)</f>
        <v>14.714285714285714</v>
      </c>
      <c r="D14" s="49">
        <f>AVERAGE('29.10 KATOSI-MUKONO'!D14,'30.10 MUKONO-KATOSI'!D14,'31.10 KATOSI-MUKONO'!D14,'3.11 KATOSI-MUKONO'!D14,'1.11 MUKONO-KATOSI 24hr'!D14,'2.11 MUKONO-KATOSI 24hr'!D14,'4.11 KATOSI-MUKONO'!D14)</f>
        <v>7.4285714285714288</v>
      </c>
      <c r="E14" s="49">
        <f>AVERAGE('29.10 KATOSI-MUKONO'!E14,'30.10 MUKONO-KATOSI'!E14,'31.10 KATOSI-MUKONO'!E14,'3.11 KATOSI-MUKONO'!E14,'1.11 MUKONO-KATOSI 24hr'!E14,'2.11 MUKONO-KATOSI 24hr'!E14,'4.11 KATOSI-MUKONO'!E14)</f>
        <v>3.5714285714285716</v>
      </c>
      <c r="F14" s="49">
        <f>AVERAGE('29.10 KATOSI-MUKONO'!F14,'30.10 MUKONO-KATOSI'!F14,'31.10 KATOSI-MUKONO'!F14,'3.11 KATOSI-MUKONO'!F14,'1.11 MUKONO-KATOSI 24hr'!F14,'2.11 MUKONO-KATOSI 24hr'!F14,'4.11 KATOSI-MUKONO'!F14)</f>
        <v>16.714285714285715</v>
      </c>
      <c r="G14" s="49">
        <f>AVERAGE('29.10 KATOSI-MUKONO'!G14,'30.10 MUKONO-KATOSI'!G14,'31.10 KATOSI-MUKONO'!G14,'3.11 KATOSI-MUKONO'!G14,'1.11 MUKONO-KATOSI 24hr'!G14,'2.11 MUKONO-KATOSI 24hr'!G14,'4.11 KATOSI-MUKONO'!G14)</f>
        <v>3.2857142857142856</v>
      </c>
      <c r="H14" s="49">
        <f>AVERAGE('29.10 KATOSI-MUKONO'!H14,'30.10 MUKONO-KATOSI'!H14,'31.10 KATOSI-MUKONO'!H14,'3.11 KATOSI-MUKONO'!H14,'1.11 MUKONO-KATOSI 24hr'!H14,'2.11 MUKONO-KATOSI 24hr'!H14,'4.11 KATOSI-MUKONO'!H14)</f>
        <v>0.14285714285714285</v>
      </c>
      <c r="I14" s="49">
        <f>AVERAGE('29.10 KATOSI-MUKONO'!I14,'30.10 MUKONO-KATOSI'!I14,'31.10 KATOSI-MUKONO'!I14,'3.11 KATOSI-MUKONO'!I14,'1.11 MUKONO-KATOSI 24hr'!I14,'2.11 MUKONO-KATOSI 24hr'!I14,'4.11 KATOSI-MUKONO'!I14)</f>
        <v>7</v>
      </c>
      <c r="J14" s="49">
        <f>AVERAGE('29.10 KATOSI-MUKONO'!J14,'30.10 MUKONO-KATOSI'!J14,'31.10 KATOSI-MUKONO'!J14,'3.11 KATOSI-MUKONO'!J14,'1.11 MUKONO-KATOSI 24hr'!J14,'2.11 MUKONO-KATOSI 24hr'!J14,'4.11 KATOSI-MUKONO'!J14)</f>
        <v>1.2857142857142858</v>
      </c>
      <c r="K14" s="49">
        <f>AVERAGE('29.10 KATOSI-MUKONO'!K14,'30.10 MUKONO-KATOSI'!K14,'31.10 KATOSI-MUKONO'!K14,'3.11 KATOSI-MUKONO'!K14,'1.11 MUKONO-KATOSI 24hr'!K14,'2.11 MUKONO-KATOSI 24hr'!K14,'4.11 KATOSI-MUKONO'!K14)</f>
        <v>0.5714285714285714</v>
      </c>
      <c r="L14" s="49">
        <f>AVERAGE('29.10 KATOSI-MUKONO'!L14,'30.10 MUKONO-KATOSI'!L14,'31.10 KATOSI-MUKONO'!L14,'3.11 KATOSI-MUKONO'!L14,'1.11 MUKONO-KATOSI 24hr'!L14,'2.11 MUKONO-KATOSI 24hr'!L14,'4.11 KATOSI-MUKONO'!L14)</f>
        <v>0.7142857142857143</v>
      </c>
      <c r="M14" s="49">
        <f>AVERAGE('29.10 KATOSI-MUKONO'!M14,'30.10 MUKONO-KATOSI'!M14,'31.10 KATOSI-MUKONO'!M14,'3.11 KATOSI-MUKONO'!M14,'1.11 MUKONO-KATOSI 24hr'!M14,'2.11 MUKONO-KATOSI 24hr'!M14,'4.11 KATOSI-MUKONO'!M14)</f>
        <v>91</v>
      </c>
      <c r="N14" s="49">
        <f>AVERAGE('29.10 KATOSI-MUKONO'!N14,'30.10 MUKONO-KATOSI'!N14,'31.10 KATOSI-MUKONO'!N14,'3.11 KATOSI-MUKONO'!N14,'1.11 MUKONO-KATOSI 24hr'!N14,'2.11 MUKONO-KATOSI 24hr'!N14,'4.11 KATOSI-MUKONO'!N14)</f>
        <v>0</v>
      </c>
      <c r="O14" s="15">
        <f t="shared" si="0"/>
        <v>55.428571428571431</v>
      </c>
      <c r="P14" s="15">
        <f t="shared" si="1"/>
        <v>146.42857142857144</v>
      </c>
      <c r="R14" s="1" t="s">
        <v>10</v>
      </c>
      <c r="S14" s="17">
        <f t="shared" ref="S14:AF14" si="6">SUM(C26:C29)</f>
        <v>52</v>
      </c>
      <c r="T14" s="17">
        <f t="shared" si="6"/>
        <v>14</v>
      </c>
      <c r="U14" s="17">
        <f t="shared" si="6"/>
        <v>13.857142857142858</v>
      </c>
      <c r="V14" s="17">
        <f t="shared" si="6"/>
        <v>34.142857142857139</v>
      </c>
      <c r="W14" s="17">
        <f t="shared" si="6"/>
        <v>0.99999999999999989</v>
      </c>
      <c r="X14" s="17">
        <f t="shared" si="6"/>
        <v>0</v>
      </c>
      <c r="Y14" s="17">
        <f t="shared" si="6"/>
        <v>29</v>
      </c>
      <c r="Z14" s="17">
        <f t="shared" si="6"/>
        <v>5.4285714285714288</v>
      </c>
      <c r="AA14" s="17">
        <f t="shared" si="6"/>
        <v>1.4285714285714284</v>
      </c>
      <c r="AB14" s="17">
        <f t="shared" si="6"/>
        <v>1.5714285714285714</v>
      </c>
      <c r="AC14" s="17">
        <f t="shared" si="6"/>
        <v>369</v>
      </c>
      <c r="AD14" s="17">
        <f t="shared" si="6"/>
        <v>0.2857142857142857</v>
      </c>
      <c r="AE14" s="31">
        <f t="shared" si="6"/>
        <v>152.71428571428572</v>
      </c>
      <c r="AF14" s="31">
        <f t="shared" si="6"/>
        <v>521.71428571428578</v>
      </c>
    </row>
    <row r="15" spans="2:32" ht="23.1" customHeight="1" x14ac:dyDescent="0.25">
      <c r="B15" s="23" t="s">
        <v>42</v>
      </c>
      <c r="C15" s="49">
        <f>AVERAGE('29.10 KATOSI-MUKONO'!C15,'30.10 MUKONO-KATOSI'!C15,'31.10 KATOSI-MUKONO'!C15,'3.11 KATOSI-MUKONO'!C15,'1.11 MUKONO-KATOSI 24hr'!C15,'2.11 MUKONO-KATOSI 24hr'!C15,'4.11 KATOSI-MUKONO'!C15)</f>
        <v>11</v>
      </c>
      <c r="D15" s="49">
        <f>AVERAGE('29.10 KATOSI-MUKONO'!D15,'30.10 MUKONO-KATOSI'!D15,'31.10 KATOSI-MUKONO'!D15,'3.11 KATOSI-MUKONO'!D15,'1.11 MUKONO-KATOSI 24hr'!D15,'2.11 MUKONO-KATOSI 24hr'!D15,'4.11 KATOSI-MUKONO'!D15)</f>
        <v>5</v>
      </c>
      <c r="E15" s="49">
        <f>AVERAGE('29.10 KATOSI-MUKONO'!E15,'30.10 MUKONO-KATOSI'!E15,'31.10 KATOSI-MUKONO'!E15,'3.11 KATOSI-MUKONO'!E15,'1.11 MUKONO-KATOSI 24hr'!E15,'2.11 MUKONO-KATOSI 24hr'!E15,'4.11 KATOSI-MUKONO'!E15)</f>
        <v>3.1428571428571428</v>
      </c>
      <c r="F15" s="49">
        <f>AVERAGE('29.10 KATOSI-MUKONO'!F15,'30.10 MUKONO-KATOSI'!F15,'31.10 KATOSI-MUKONO'!F15,'3.11 KATOSI-MUKONO'!F15,'1.11 MUKONO-KATOSI 24hr'!F15,'2.11 MUKONO-KATOSI 24hr'!F15,'4.11 KATOSI-MUKONO'!F15)</f>
        <v>6.8571428571428568</v>
      </c>
      <c r="G15" s="49">
        <f>AVERAGE('29.10 KATOSI-MUKONO'!G15,'30.10 MUKONO-KATOSI'!G15,'31.10 KATOSI-MUKONO'!G15,'3.11 KATOSI-MUKONO'!G15,'1.11 MUKONO-KATOSI 24hr'!G15,'2.11 MUKONO-KATOSI 24hr'!G15,'4.11 KATOSI-MUKONO'!G15)</f>
        <v>0.2857142857142857</v>
      </c>
      <c r="H15" s="49">
        <f>AVERAGE('29.10 KATOSI-MUKONO'!H15,'30.10 MUKONO-KATOSI'!H15,'31.10 KATOSI-MUKONO'!H15,'3.11 KATOSI-MUKONO'!H15,'1.11 MUKONO-KATOSI 24hr'!H15,'2.11 MUKONO-KATOSI 24hr'!H15,'4.11 KATOSI-MUKONO'!H15)</f>
        <v>0</v>
      </c>
      <c r="I15" s="49">
        <f>AVERAGE('29.10 KATOSI-MUKONO'!I15,'30.10 MUKONO-KATOSI'!I15,'31.10 KATOSI-MUKONO'!I15,'3.11 KATOSI-MUKONO'!I15,'1.11 MUKONO-KATOSI 24hr'!I15,'2.11 MUKONO-KATOSI 24hr'!I15,'4.11 KATOSI-MUKONO'!I15)</f>
        <v>6.7142857142857144</v>
      </c>
      <c r="J15" s="49">
        <f>AVERAGE('29.10 KATOSI-MUKONO'!J15,'30.10 MUKONO-KATOSI'!J15,'31.10 KATOSI-MUKONO'!J15,'3.11 KATOSI-MUKONO'!J15,'1.11 MUKONO-KATOSI 24hr'!J15,'2.11 MUKONO-KATOSI 24hr'!J15,'4.11 KATOSI-MUKONO'!J15)</f>
        <v>0.42857142857142855</v>
      </c>
      <c r="K15" s="49">
        <f>AVERAGE('29.10 KATOSI-MUKONO'!K15,'30.10 MUKONO-KATOSI'!K15,'31.10 KATOSI-MUKONO'!K15,'3.11 KATOSI-MUKONO'!K15,'1.11 MUKONO-KATOSI 24hr'!K15,'2.11 MUKONO-KATOSI 24hr'!K15,'4.11 KATOSI-MUKONO'!K15)</f>
        <v>0.5714285714285714</v>
      </c>
      <c r="L15" s="49">
        <f>AVERAGE('29.10 KATOSI-MUKONO'!L15,'30.10 MUKONO-KATOSI'!L15,'31.10 KATOSI-MUKONO'!L15,'3.11 KATOSI-MUKONO'!L15,'1.11 MUKONO-KATOSI 24hr'!L15,'2.11 MUKONO-KATOSI 24hr'!L15,'4.11 KATOSI-MUKONO'!L15)</f>
        <v>0.5714285714285714</v>
      </c>
      <c r="M15" s="49">
        <f>AVERAGE('29.10 KATOSI-MUKONO'!M15,'30.10 MUKONO-KATOSI'!M15,'31.10 KATOSI-MUKONO'!M15,'3.11 KATOSI-MUKONO'!M15,'1.11 MUKONO-KATOSI 24hr'!M15,'2.11 MUKONO-KATOSI 24hr'!M15,'4.11 KATOSI-MUKONO'!M15)</f>
        <v>83.857142857142861</v>
      </c>
      <c r="N15" s="49">
        <f>AVERAGE('29.10 KATOSI-MUKONO'!N15,'30.10 MUKONO-KATOSI'!N15,'31.10 KATOSI-MUKONO'!N15,'3.11 KATOSI-MUKONO'!N15,'1.11 MUKONO-KATOSI 24hr'!N15,'2.11 MUKONO-KATOSI 24hr'!N15,'4.11 KATOSI-MUKONO'!N15)</f>
        <v>0</v>
      </c>
      <c r="O15" s="15">
        <f t="shared" si="0"/>
        <v>34.571428571428569</v>
      </c>
      <c r="P15" s="15">
        <f t="shared" si="1"/>
        <v>118.42857142857143</v>
      </c>
      <c r="R15" s="1" t="s">
        <v>11</v>
      </c>
      <c r="S15" s="17">
        <f t="shared" ref="S15:AF15" si="7">SUM(C30:C33)</f>
        <v>50.285714285714285</v>
      </c>
      <c r="T15" s="17">
        <f t="shared" si="7"/>
        <v>15.142857142857142</v>
      </c>
      <c r="U15" s="17">
        <f t="shared" si="7"/>
        <v>14.142857142857144</v>
      </c>
      <c r="V15" s="17">
        <f t="shared" si="7"/>
        <v>34.857142857142854</v>
      </c>
      <c r="W15" s="17">
        <f t="shared" si="7"/>
        <v>1.7142857142857144</v>
      </c>
      <c r="X15" s="17">
        <f t="shared" si="7"/>
        <v>0</v>
      </c>
      <c r="Y15" s="17">
        <f t="shared" si="7"/>
        <v>25.857142857142858</v>
      </c>
      <c r="Z15" s="17">
        <f t="shared" si="7"/>
        <v>5.7142857142857144</v>
      </c>
      <c r="AA15" s="17">
        <f t="shared" si="7"/>
        <v>2.2857142857142856</v>
      </c>
      <c r="AB15" s="17">
        <f t="shared" si="7"/>
        <v>22.571428571428573</v>
      </c>
      <c r="AC15" s="17">
        <f t="shared" si="7"/>
        <v>345.28571428571422</v>
      </c>
      <c r="AD15" s="17">
        <f t="shared" si="7"/>
        <v>0</v>
      </c>
      <c r="AE15" s="31">
        <f t="shared" si="7"/>
        <v>172.57142857142856</v>
      </c>
      <c r="AF15" s="31">
        <f t="shared" si="7"/>
        <v>517.85714285714289</v>
      </c>
    </row>
    <row r="16" spans="2:32" ht="23.1" customHeight="1" x14ac:dyDescent="0.25">
      <c r="B16" s="23" t="s">
        <v>43</v>
      </c>
      <c r="C16" s="49">
        <f>AVERAGE('29.10 KATOSI-MUKONO'!C16,'30.10 MUKONO-KATOSI'!C16,'31.10 KATOSI-MUKONO'!C16,'3.11 KATOSI-MUKONO'!C16,'1.11 MUKONO-KATOSI 24hr'!C16,'2.11 MUKONO-KATOSI 24hr'!C16,'4.11 KATOSI-MUKONO'!C16)</f>
        <v>11.285714285714286</v>
      </c>
      <c r="D16" s="49">
        <f>AVERAGE('29.10 KATOSI-MUKONO'!D16,'30.10 MUKONO-KATOSI'!D16,'31.10 KATOSI-MUKONO'!D16,'3.11 KATOSI-MUKONO'!D16,'1.11 MUKONO-KATOSI 24hr'!D16,'2.11 MUKONO-KATOSI 24hr'!D16,'4.11 KATOSI-MUKONO'!D16)</f>
        <v>3.8571428571428572</v>
      </c>
      <c r="E16" s="49">
        <f>AVERAGE('29.10 KATOSI-MUKONO'!E16,'30.10 MUKONO-KATOSI'!E16,'31.10 KATOSI-MUKONO'!E16,'3.11 KATOSI-MUKONO'!E16,'1.11 MUKONO-KATOSI 24hr'!E16,'2.11 MUKONO-KATOSI 24hr'!E16,'4.11 KATOSI-MUKONO'!E16)</f>
        <v>2.5714285714285716</v>
      </c>
      <c r="F16" s="49">
        <f>AVERAGE('29.10 KATOSI-MUKONO'!F16,'30.10 MUKONO-KATOSI'!F16,'31.10 KATOSI-MUKONO'!F16,'3.11 KATOSI-MUKONO'!F16,'1.11 MUKONO-KATOSI 24hr'!F16,'2.11 MUKONO-KATOSI 24hr'!F16,'4.11 KATOSI-MUKONO'!F16)</f>
        <v>10.428571428571429</v>
      </c>
      <c r="G16" s="49">
        <f>AVERAGE('29.10 KATOSI-MUKONO'!G16,'30.10 MUKONO-KATOSI'!G16,'31.10 KATOSI-MUKONO'!G16,'3.11 KATOSI-MUKONO'!G16,'1.11 MUKONO-KATOSI 24hr'!G16,'2.11 MUKONO-KATOSI 24hr'!G16,'4.11 KATOSI-MUKONO'!G16)</f>
        <v>0.5714285714285714</v>
      </c>
      <c r="H16" s="49">
        <f>AVERAGE('29.10 KATOSI-MUKONO'!H16,'30.10 MUKONO-KATOSI'!H16,'31.10 KATOSI-MUKONO'!H16,'3.11 KATOSI-MUKONO'!H16,'1.11 MUKONO-KATOSI 24hr'!H16,'2.11 MUKONO-KATOSI 24hr'!H16,'4.11 KATOSI-MUKONO'!H16)</f>
        <v>0</v>
      </c>
      <c r="I16" s="49">
        <f>AVERAGE('29.10 KATOSI-MUKONO'!I16,'30.10 MUKONO-KATOSI'!I16,'31.10 KATOSI-MUKONO'!I16,'3.11 KATOSI-MUKONO'!I16,'1.11 MUKONO-KATOSI 24hr'!I16,'2.11 MUKONO-KATOSI 24hr'!I16,'4.11 KATOSI-MUKONO'!I16)</f>
        <v>5</v>
      </c>
      <c r="J16" s="49">
        <f>AVERAGE('29.10 KATOSI-MUKONO'!J16,'30.10 MUKONO-KATOSI'!J16,'31.10 KATOSI-MUKONO'!J16,'3.11 KATOSI-MUKONO'!J16,'1.11 MUKONO-KATOSI 24hr'!J16,'2.11 MUKONO-KATOSI 24hr'!J16,'4.11 KATOSI-MUKONO'!J16)</f>
        <v>1.1428571428571428</v>
      </c>
      <c r="K16" s="49">
        <f>AVERAGE('29.10 KATOSI-MUKONO'!K16,'30.10 MUKONO-KATOSI'!K16,'31.10 KATOSI-MUKONO'!K16,'3.11 KATOSI-MUKONO'!K16,'1.11 MUKONO-KATOSI 24hr'!K16,'2.11 MUKONO-KATOSI 24hr'!K16,'4.11 KATOSI-MUKONO'!K16)</f>
        <v>0.14285714285714285</v>
      </c>
      <c r="L16" s="49">
        <f>AVERAGE('29.10 KATOSI-MUKONO'!L16,'30.10 MUKONO-KATOSI'!L16,'31.10 KATOSI-MUKONO'!L16,'3.11 KATOSI-MUKONO'!L16,'1.11 MUKONO-KATOSI 24hr'!L16,'2.11 MUKONO-KATOSI 24hr'!L16,'4.11 KATOSI-MUKONO'!L16)</f>
        <v>0.14285714285714285</v>
      </c>
      <c r="M16" s="49">
        <f>AVERAGE('29.10 KATOSI-MUKONO'!M16,'30.10 MUKONO-KATOSI'!M16,'31.10 KATOSI-MUKONO'!M16,'3.11 KATOSI-MUKONO'!M16,'1.11 MUKONO-KATOSI 24hr'!M16,'2.11 MUKONO-KATOSI 24hr'!M16,'4.11 KATOSI-MUKONO'!M16)</f>
        <v>94.285714285714292</v>
      </c>
      <c r="N16" s="49">
        <f>AVERAGE('29.10 KATOSI-MUKONO'!N16,'30.10 MUKONO-KATOSI'!N16,'31.10 KATOSI-MUKONO'!N16,'3.11 KATOSI-MUKONO'!N16,'1.11 MUKONO-KATOSI 24hr'!N16,'2.11 MUKONO-KATOSI 24hr'!N16,'4.11 KATOSI-MUKONO'!N16)</f>
        <v>0</v>
      </c>
      <c r="O16" s="15">
        <f t="shared" si="0"/>
        <v>35.14285714285716</v>
      </c>
      <c r="P16" s="15">
        <f t="shared" si="1"/>
        <v>129.42857142857144</v>
      </c>
      <c r="R16" s="1" t="s">
        <v>12</v>
      </c>
      <c r="S16" s="17">
        <f t="shared" ref="S16:AF16" si="8">SUM(C34:C37)</f>
        <v>49.714285714285715</v>
      </c>
      <c r="T16" s="17">
        <f t="shared" si="8"/>
        <v>16.285714285714285</v>
      </c>
      <c r="U16" s="17">
        <f t="shared" si="8"/>
        <v>12.857142857142858</v>
      </c>
      <c r="V16" s="17">
        <f t="shared" si="8"/>
        <v>27.571428571428569</v>
      </c>
      <c r="W16" s="17">
        <f t="shared" si="8"/>
        <v>1.714285714285714</v>
      </c>
      <c r="X16" s="17">
        <f t="shared" si="8"/>
        <v>0</v>
      </c>
      <c r="Y16" s="17">
        <f t="shared" si="8"/>
        <v>24.714285714285715</v>
      </c>
      <c r="Z16" s="17">
        <f t="shared" si="8"/>
        <v>5.1428571428571423</v>
      </c>
      <c r="AA16" s="17">
        <f t="shared" si="8"/>
        <v>1.8571428571428568</v>
      </c>
      <c r="AB16" s="17">
        <f t="shared" si="8"/>
        <v>2</v>
      </c>
      <c r="AC16" s="17">
        <f t="shared" si="8"/>
        <v>364.28571428571428</v>
      </c>
      <c r="AD16" s="17">
        <f t="shared" si="8"/>
        <v>0.14285714285714285</v>
      </c>
      <c r="AE16" s="31">
        <f t="shared" si="8"/>
        <v>141.99999999999997</v>
      </c>
      <c r="AF16" s="31">
        <f t="shared" si="8"/>
        <v>506.28571428571428</v>
      </c>
    </row>
    <row r="17" spans="2:32" ht="23.1" customHeight="1" x14ac:dyDescent="0.25">
      <c r="B17" s="23" t="s">
        <v>44</v>
      </c>
      <c r="C17" s="49">
        <f>AVERAGE('29.10 KATOSI-MUKONO'!C17,'30.10 MUKONO-KATOSI'!C17,'31.10 KATOSI-MUKONO'!C17,'3.11 KATOSI-MUKONO'!C17,'1.11 MUKONO-KATOSI 24hr'!C17,'2.11 MUKONO-KATOSI 24hr'!C17,'4.11 KATOSI-MUKONO'!C17)</f>
        <v>10.857142857142858</v>
      </c>
      <c r="D17" s="49">
        <f>AVERAGE('29.10 KATOSI-MUKONO'!D17,'30.10 MUKONO-KATOSI'!D17,'31.10 KATOSI-MUKONO'!D17,'3.11 KATOSI-MUKONO'!D17,'1.11 MUKONO-KATOSI 24hr'!D17,'2.11 MUKONO-KATOSI 24hr'!D17,'4.11 KATOSI-MUKONO'!D17)</f>
        <v>4.2857142857142856</v>
      </c>
      <c r="E17" s="49">
        <f>AVERAGE('29.10 KATOSI-MUKONO'!E17,'30.10 MUKONO-KATOSI'!E17,'31.10 KATOSI-MUKONO'!E17,'3.11 KATOSI-MUKONO'!E17,'1.11 MUKONO-KATOSI 24hr'!E17,'2.11 MUKONO-KATOSI 24hr'!E17,'4.11 KATOSI-MUKONO'!E17)</f>
        <v>3.2857142857142856</v>
      </c>
      <c r="F17" s="49">
        <f>AVERAGE('29.10 KATOSI-MUKONO'!F17,'30.10 MUKONO-KATOSI'!F17,'31.10 KATOSI-MUKONO'!F17,'3.11 KATOSI-MUKONO'!F17,'1.11 MUKONO-KATOSI 24hr'!F17,'2.11 MUKONO-KATOSI 24hr'!F17,'4.11 KATOSI-MUKONO'!F17)</f>
        <v>10.428571428571429</v>
      </c>
      <c r="G17" s="49">
        <f>AVERAGE('29.10 KATOSI-MUKONO'!G17,'30.10 MUKONO-KATOSI'!G17,'31.10 KATOSI-MUKONO'!G17,'3.11 KATOSI-MUKONO'!G17,'1.11 MUKONO-KATOSI 24hr'!G17,'2.11 MUKONO-KATOSI 24hr'!G17,'4.11 KATOSI-MUKONO'!G17)</f>
        <v>2.2857142857142856</v>
      </c>
      <c r="H17" s="49">
        <f>AVERAGE('29.10 KATOSI-MUKONO'!H17,'30.10 MUKONO-KATOSI'!H17,'31.10 KATOSI-MUKONO'!H17,'3.11 KATOSI-MUKONO'!H17,'1.11 MUKONO-KATOSI 24hr'!H17,'2.11 MUKONO-KATOSI 24hr'!H17,'4.11 KATOSI-MUKONO'!H17)</f>
        <v>0.14285714285714285</v>
      </c>
      <c r="I17" s="49">
        <f>AVERAGE('29.10 KATOSI-MUKONO'!I17,'30.10 MUKONO-KATOSI'!I17,'31.10 KATOSI-MUKONO'!I17,'3.11 KATOSI-MUKONO'!I17,'1.11 MUKONO-KATOSI 24hr'!I17,'2.11 MUKONO-KATOSI 24hr'!I17,'4.11 KATOSI-MUKONO'!I17)</f>
        <v>4.2857142857142856</v>
      </c>
      <c r="J17" s="49">
        <f>AVERAGE('29.10 KATOSI-MUKONO'!J17,'30.10 MUKONO-KATOSI'!J17,'31.10 KATOSI-MUKONO'!J17,'3.11 KATOSI-MUKONO'!J17,'1.11 MUKONO-KATOSI 24hr'!J17,'2.11 MUKONO-KATOSI 24hr'!J17,'4.11 KATOSI-MUKONO'!J17)</f>
        <v>2.2857142857142856</v>
      </c>
      <c r="K17" s="49">
        <f>AVERAGE('29.10 KATOSI-MUKONO'!K17,'30.10 MUKONO-KATOSI'!K17,'31.10 KATOSI-MUKONO'!K17,'3.11 KATOSI-MUKONO'!K17,'1.11 MUKONO-KATOSI 24hr'!K17,'2.11 MUKONO-KATOSI 24hr'!K17,'4.11 KATOSI-MUKONO'!K17)</f>
        <v>0.5714285714285714</v>
      </c>
      <c r="L17" s="49">
        <f>AVERAGE('29.10 KATOSI-MUKONO'!L17,'30.10 MUKONO-KATOSI'!L17,'31.10 KATOSI-MUKONO'!L17,'3.11 KATOSI-MUKONO'!L17,'1.11 MUKONO-KATOSI 24hr'!L17,'2.11 MUKONO-KATOSI 24hr'!L17,'4.11 KATOSI-MUKONO'!L17)</f>
        <v>0.2857142857142857</v>
      </c>
      <c r="M17" s="49">
        <f>AVERAGE('29.10 KATOSI-MUKONO'!M17,'30.10 MUKONO-KATOSI'!M17,'31.10 KATOSI-MUKONO'!M17,'3.11 KATOSI-MUKONO'!M17,'1.11 MUKONO-KATOSI 24hr'!M17,'2.11 MUKONO-KATOSI 24hr'!M17,'4.11 KATOSI-MUKONO'!M17)</f>
        <v>84</v>
      </c>
      <c r="N17" s="49">
        <f>AVERAGE('29.10 KATOSI-MUKONO'!N17,'30.10 MUKONO-KATOSI'!N17,'31.10 KATOSI-MUKONO'!N17,'3.11 KATOSI-MUKONO'!N17,'1.11 MUKONO-KATOSI 24hr'!N17,'2.11 MUKONO-KATOSI 24hr'!N17,'4.11 KATOSI-MUKONO'!N17)</f>
        <v>14.142857142857142</v>
      </c>
      <c r="O17" s="15">
        <f t="shared" si="0"/>
        <v>52.857142857142847</v>
      </c>
      <c r="P17" s="15">
        <f t="shared" si="1"/>
        <v>136.85714285714286</v>
      </c>
      <c r="R17" s="1" t="s">
        <v>13</v>
      </c>
      <c r="S17" s="17">
        <f t="shared" ref="S17:AF17" si="9">SUM(C38:C41)</f>
        <v>46.714285714285715</v>
      </c>
      <c r="T17" s="17">
        <f t="shared" si="9"/>
        <v>16.285714285714285</v>
      </c>
      <c r="U17" s="17">
        <f t="shared" si="9"/>
        <v>14.142857142857142</v>
      </c>
      <c r="V17" s="17">
        <f t="shared" si="9"/>
        <v>25.857142857142854</v>
      </c>
      <c r="W17" s="17">
        <f t="shared" si="9"/>
        <v>1.1428571428571428</v>
      </c>
      <c r="X17" s="17">
        <f t="shared" si="9"/>
        <v>0.42857142857142855</v>
      </c>
      <c r="Y17" s="17">
        <f t="shared" si="9"/>
        <v>25.857142857142854</v>
      </c>
      <c r="Z17" s="17">
        <f t="shared" si="9"/>
        <v>5</v>
      </c>
      <c r="AA17" s="17">
        <f t="shared" si="9"/>
        <v>1.5714285714285714</v>
      </c>
      <c r="AB17" s="17">
        <f t="shared" si="9"/>
        <v>2.7142857142857144</v>
      </c>
      <c r="AC17" s="17">
        <f t="shared" si="9"/>
        <v>289.57142857142856</v>
      </c>
      <c r="AD17" s="17">
        <f t="shared" si="9"/>
        <v>0</v>
      </c>
      <c r="AE17" s="31">
        <f t="shared" si="9"/>
        <v>139.71428571428572</v>
      </c>
      <c r="AF17" s="31">
        <f t="shared" si="9"/>
        <v>429.28571428571428</v>
      </c>
    </row>
    <row r="18" spans="2:32" ht="23.1" customHeight="1" x14ac:dyDescent="0.25">
      <c r="B18" s="23" t="s">
        <v>45</v>
      </c>
      <c r="C18" s="49">
        <f>AVERAGE('29.10 KATOSI-MUKONO'!C18,'30.10 MUKONO-KATOSI'!C18,'31.10 KATOSI-MUKONO'!C18,'3.11 KATOSI-MUKONO'!C18,'1.11 MUKONO-KATOSI 24hr'!C18,'2.11 MUKONO-KATOSI 24hr'!C18,'4.11 KATOSI-MUKONO'!C18)</f>
        <v>14.285714285714286</v>
      </c>
      <c r="D18" s="49">
        <f>AVERAGE('29.10 KATOSI-MUKONO'!D18,'30.10 MUKONO-KATOSI'!D18,'31.10 KATOSI-MUKONO'!D18,'3.11 KATOSI-MUKONO'!D18,'1.11 MUKONO-KATOSI 24hr'!D18,'2.11 MUKONO-KATOSI 24hr'!D18,'4.11 KATOSI-MUKONO'!D18)</f>
        <v>5.1428571428571432</v>
      </c>
      <c r="E18" s="49">
        <f>AVERAGE('29.10 KATOSI-MUKONO'!E18,'30.10 MUKONO-KATOSI'!E18,'31.10 KATOSI-MUKONO'!E18,'3.11 KATOSI-MUKONO'!E18,'1.11 MUKONO-KATOSI 24hr'!E18,'2.11 MUKONO-KATOSI 24hr'!E18,'4.11 KATOSI-MUKONO'!E18)</f>
        <v>5.4285714285714288</v>
      </c>
      <c r="F18" s="49">
        <f>AVERAGE('29.10 KATOSI-MUKONO'!F18,'30.10 MUKONO-KATOSI'!F18,'31.10 KATOSI-MUKONO'!F18,'3.11 KATOSI-MUKONO'!F18,'1.11 MUKONO-KATOSI 24hr'!F18,'2.11 MUKONO-KATOSI 24hr'!F18,'4.11 KATOSI-MUKONO'!F18)</f>
        <v>10.714285714285714</v>
      </c>
      <c r="G18" s="49">
        <f>AVERAGE('29.10 KATOSI-MUKONO'!G18,'30.10 MUKONO-KATOSI'!G18,'31.10 KATOSI-MUKONO'!G18,'3.11 KATOSI-MUKONO'!G18,'1.11 MUKONO-KATOSI 24hr'!G18,'2.11 MUKONO-KATOSI 24hr'!G18,'4.11 KATOSI-MUKONO'!G18)</f>
        <v>0.2857142857142857</v>
      </c>
      <c r="H18" s="49">
        <f>AVERAGE('29.10 KATOSI-MUKONO'!H18,'30.10 MUKONO-KATOSI'!H18,'31.10 KATOSI-MUKONO'!H18,'3.11 KATOSI-MUKONO'!H18,'1.11 MUKONO-KATOSI 24hr'!H18,'2.11 MUKONO-KATOSI 24hr'!H18,'4.11 KATOSI-MUKONO'!H18)</f>
        <v>0.14285714285714285</v>
      </c>
      <c r="I18" s="49">
        <f>AVERAGE('29.10 KATOSI-MUKONO'!I18,'30.10 MUKONO-KATOSI'!I18,'31.10 KATOSI-MUKONO'!I18,'3.11 KATOSI-MUKONO'!I18,'1.11 MUKONO-KATOSI 24hr'!I18,'2.11 MUKONO-KATOSI 24hr'!I18,'4.11 KATOSI-MUKONO'!I18)</f>
        <v>7.2857142857142856</v>
      </c>
      <c r="J18" s="49">
        <f>AVERAGE('29.10 KATOSI-MUKONO'!J18,'30.10 MUKONO-KATOSI'!J18,'31.10 KATOSI-MUKONO'!J18,'3.11 KATOSI-MUKONO'!J18,'1.11 MUKONO-KATOSI 24hr'!J18,'2.11 MUKONO-KATOSI 24hr'!J18,'4.11 KATOSI-MUKONO'!J18)</f>
        <v>1</v>
      </c>
      <c r="K18" s="49">
        <f>AVERAGE('29.10 KATOSI-MUKONO'!K18,'30.10 MUKONO-KATOSI'!K18,'31.10 KATOSI-MUKONO'!K18,'3.11 KATOSI-MUKONO'!K18,'1.11 MUKONO-KATOSI 24hr'!K18,'2.11 MUKONO-KATOSI 24hr'!K18,'4.11 KATOSI-MUKONO'!K18)</f>
        <v>0.42857142857142855</v>
      </c>
      <c r="L18" s="49">
        <f>AVERAGE('29.10 KATOSI-MUKONO'!L18,'30.10 MUKONO-KATOSI'!L18,'31.10 KATOSI-MUKONO'!L18,'3.11 KATOSI-MUKONO'!L18,'1.11 MUKONO-KATOSI 24hr'!L18,'2.11 MUKONO-KATOSI 24hr'!L18,'4.11 KATOSI-MUKONO'!L18)</f>
        <v>0.14285714285714285</v>
      </c>
      <c r="M18" s="49">
        <f>AVERAGE('29.10 KATOSI-MUKONO'!M18,'30.10 MUKONO-KATOSI'!M18,'31.10 KATOSI-MUKONO'!M18,'3.11 KATOSI-MUKONO'!M18,'1.11 MUKONO-KATOSI 24hr'!M18,'2.11 MUKONO-KATOSI 24hr'!M18,'4.11 KATOSI-MUKONO'!M18)</f>
        <v>119.14285714285714</v>
      </c>
      <c r="N18" s="49">
        <f>AVERAGE('29.10 KATOSI-MUKONO'!N18,'30.10 MUKONO-KATOSI'!N18,'31.10 KATOSI-MUKONO'!N18,'3.11 KATOSI-MUKONO'!N18,'1.11 MUKONO-KATOSI 24hr'!N18,'2.11 MUKONO-KATOSI 24hr'!N18,'4.11 KATOSI-MUKONO'!N18)</f>
        <v>0</v>
      </c>
      <c r="O18" s="15">
        <f t="shared" si="0"/>
        <v>44.857142857142868</v>
      </c>
      <c r="P18" s="15">
        <f t="shared" si="1"/>
        <v>164</v>
      </c>
      <c r="R18" s="1" t="s">
        <v>14</v>
      </c>
      <c r="S18" s="17">
        <f t="shared" ref="S18:AF18" si="10">SUM(C42:C45)</f>
        <v>56</v>
      </c>
      <c r="T18" s="17">
        <f t="shared" si="10"/>
        <v>18.714285714285715</v>
      </c>
      <c r="U18" s="17">
        <f t="shared" si="10"/>
        <v>14</v>
      </c>
      <c r="V18" s="17">
        <f t="shared" si="10"/>
        <v>37</v>
      </c>
      <c r="W18" s="17">
        <f t="shared" si="10"/>
        <v>1.4285714285714284</v>
      </c>
      <c r="X18" s="17">
        <f t="shared" si="10"/>
        <v>0</v>
      </c>
      <c r="Y18" s="17">
        <f t="shared" si="10"/>
        <v>28.857142857142858</v>
      </c>
      <c r="Z18" s="17">
        <f t="shared" si="10"/>
        <v>7.2857142857142856</v>
      </c>
      <c r="AA18" s="17">
        <f t="shared" si="10"/>
        <v>1.2857142857142856</v>
      </c>
      <c r="AB18" s="17">
        <f t="shared" si="10"/>
        <v>1.5714285714285712</v>
      </c>
      <c r="AC18" s="17">
        <f t="shared" si="10"/>
        <v>334.99999999999994</v>
      </c>
      <c r="AD18" s="17">
        <f t="shared" si="10"/>
        <v>0</v>
      </c>
      <c r="AE18" s="31">
        <f t="shared" si="10"/>
        <v>166.14285714285717</v>
      </c>
      <c r="AF18" s="31">
        <f t="shared" si="10"/>
        <v>501.14285714285711</v>
      </c>
    </row>
    <row r="19" spans="2:32" ht="23.1" customHeight="1" x14ac:dyDescent="0.25">
      <c r="B19" s="23" t="s">
        <v>46</v>
      </c>
      <c r="C19" s="49">
        <f>AVERAGE('29.10 KATOSI-MUKONO'!C19,'30.10 MUKONO-KATOSI'!C19,'31.10 KATOSI-MUKONO'!C19,'3.11 KATOSI-MUKONO'!C19,'1.11 MUKONO-KATOSI 24hr'!C19,'2.11 MUKONO-KATOSI 24hr'!C19,'4.11 KATOSI-MUKONO'!C19)</f>
        <v>14.142857142857142</v>
      </c>
      <c r="D19" s="49">
        <f>AVERAGE('29.10 KATOSI-MUKONO'!D19,'30.10 MUKONO-KATOSI'!D19,'31.10 KATOSI-MUKONO'!D19,'3.11 KATOSI-MUKONO'!D19,'1.11 MUKONO-KATOSI 24hr'!D19,'2.11 MUKONO-KATOSI 24hr'!D19,'4.11 KATOSI-MUKONO'!D19)</f>
        <v>3.7142857142857144</v>
      </c>
      <c r="E19" s="49">
        <f>AVERAGE('29.10 KATOSI-MUKONO'!E19,'30.10 MUKONO-KATOSI'!E19,'31.10 KATOSI-MUKONO'!E19,'3.11 KATOSI-MUKONO'!E19,'1.11 MUKONO-KATOSI 24hr'!E19,'2.11 MUKONO-KATOSI 24hr'!E19,'4.11 KATOSI-MUKONO'!E19)</f>
        <v>3</v>
      </c>
      <c r="F19" s="49">
        <f>AVERAGE('29.10 KATOSI-MUKONO'!F19,'30.10 MUKONO-KATOSI'!F19,'31.10 KATOSI-MUKONO'!F19,'3.11 KATOSI-MUKONO'!F19,'1.11 MUKONO-KATOSI 24hr'!F19,'2.11 MUKONO-KATOSI 24hr'!F19,'4.11 KATOSI-MUKONO'!F19)</f>
        <v>7.4285714285714288</v>
      </c>
      <c r="G19" s="49">
        <f>AVERAGE('29.10 KATOSI-MUKONO'!G19,'30.10 MUKONO-KATOSI'!G19,'31.10 KATOSI-MUKONO'!G19,'3.11 KATOSI-MUKONO'!G19,'1.11 MUKONO-KATOSI 24hr'!G19,'2.11 MUKONO-KATOSI 24hr'!G19,'4.11 KATOSI-MUKONO'!G19)</f>
        <v>0.42857142857142855</v>
      </c>
      <c r="H19" s="49">
        <f>AVERAGE('29.10 KATOSI-MUKONO'!H19,'30.10 MUKONO-KATOSI'!H19,'31.10 KATOSI-MUKONO'!H19,'3.11 KATOSI-MUKONO'!H19,'1.11 MUKONO-KATOSI 24hr'!H19,'2.11 MUKONO-KATOSI 24hr'!H19,'4.11 KATOSI-MUKONO'!H19)</f>
        <v>0</v>
      </c>
      <c r="I19" s="49">
        <f>AVERAGE('29.10 KATOSI-MUKONO'!I19,'30.10 MUKONO-KATOSI'!I19,'31.10 KATOSI-MUKONO'!I19,'3.11 KATOSI-MUKONO'!I19,'1.11 MUKONO-KATOSI 24hr'!I19,'2.11 MUKONO-KATOSI 24hr'!I19,'4.11 KATOSI-MUKONO'!I19)</f>
        <v>6</v>
      </c>
      <c r="J19" s="49">
        <f>AVERAGE('29.10 KATOSI-MUKONO'!J19,'30.10 MUKONO-KATOSI'!J19,'31.10 KATOSI-MUKONO'!J19,'3.11 KATOSI-MUKONO'!J19,'1.11 MUKONO-KATOSI 24hr'!J19,'2.11 MUKONO-KATOSI 24hr'!J19,'4.11 KATOSI-MUKONO'!J19)</f>
        <v>1</v>
      </c>
      <c r="K19" s="49">
        <f>AVERAGE('29.10 KATOSI-MUKONO'!K19,'30.10 MUKONO-KATOSI'!K19,'31.10 KATOSI-MUKONO'!K19,'3.11 KATOSI-MUKONO'!K19,'1.11 MUKONO-KATOSI 24hr'!K19,'2.11 MUKONO-KATOSI 24hr'!K19,'4.11 KATOSI-MUKONO'!K19)</f>
        <v>0.7142857142857143</v>
      </c>
      <c r="L19" s="49">
        <f>AVERAGE('29.10 KATOSI-MUKONO'!L19,'30.10 MUKONO-KATOSI'!L19,'31.10 KATOSI-MUKONO'!L19,'3.11 KATOSI-MUKONO'!L19,'1.11 MUKONO-KATOSI 24hr'!L19,'2.11 MUKONO-KATOSI 24hr'!L19,'4.11 KATOSI-MUKONO'!L19)</f>
        <v>0.5714285714285714</v>
      </c>
      <c r="M19" s="49">
        <f>AVERAGE('29.10 KATOSI-MUKONO'!M19,'30.10 MUKONO-KATOSI'!M19,'31.10 KATOSI-MUKONO'!M19,'3.11 KATOSI-MUKONO'!M19,'1.11 MUKONO-KATOSI 24hr'!M19,'2.11 MUKONO-KATOSI 24hr'!M19,'4.11 KATOSI-MUKONO'!M19)</f>
        <v>91.285714285714292</v>
      </c>
      <c r="N19" s="49">
        <f>AVERAGE('29.10 KATOSI-MUKONO'!N19,'30.10 MUKONO-KATOSI'!N19,'31.10 KATOSI-MUKONO'!N19,'3.11 KATOSI-MUKONO'!N19,'1.11 MUKONO-KATOSI 24hr'!N19,'2.11 MUKONO-KATOSI 24hr'!N19,'4.11 KATOSI-MUKONO'!N19)</f>
        <v>0</v>
      </c>
      <c r="O19" s="15">
        <f t="shared" si="0"/>
        <v>36.999999999999993</v>
      </c>
      <c r="P19" s="15">
        <f t="shared" si="1"/>
        <v>128.28571428571428</v>
      </c>
      <c r="R19" s="1" t="s">
        <v>15</v>
      </c>
      <c r="S19" s="17">
        <f t="shared" ref="S19:AF19" si="11">SUM(C46:C49)</f>
        <v>63.857142857142861</v>
      </c>
      <c r="T19" s="17">
        <f t="shared" si="11"/>
        <v>23.285714285714285</v>
      </c>
      <c r="U19" s="17">
        <f t="shared" si="11"/>
        <v>17.857142857142858</v>
      </c>
      <c r="V19" s="17">
        <f t="shared" si="11"/>
        <v>39.857142857142854</v>
      </c>
      <c r="W19" s="17">
        <f t="shared" si="11"/>
        <v>2.7142857142857144</v>
      </c>
      <c r="X19" s="17">
        <f t="shared" si="11"/>
        <v>0</v>
      </c>
      <c r="Y19" s="17">
        <f t="shared" si="11"/>
        <v>35.714285714285708</v>
      </c>
      <c r="Z19" s="17">
        <f t="shared" si="11"/>
        <v>4.7142857142857144</v>
      </c>
      <c r="AA19" s="17">
        <f t="shared" si="11"/>
        <v>1</v>
      </c>
      <c r="AB19" s="17">
        <f t="shared" si="11"/>
        <v>2.4285714285714284</v>
      </c>
      <c r="AC19" s="17">
        <f t="shared" si="11"/>
        <v>351.28571428571428</v>
      </c>
      <c r="AD19" s="17">
        <f t="shared" si="11"/>
        <v>0.14285714285714285</v>
      </c>
      <c r="AE19" s="31">
        <f t="shared" si="11"/>
        <v>191.57142857142858</v>
      </c>
      <c r="AF19" s="31">
        <f t="shared" si="11"/>
        <v>542.85714285714278</v>
      </c>
    </row>
    <row r="20" spans="2:32" ht="23.1" customHeight="1" x14ac:dyDescent="0.25">
      <c r="B20" s="23" t="s">
        <v>47</v>
      </c>
      <c r="C20" s="49">
        <f>AVERAGE('29.10 KATOSI-MUKONO'!C20,'30.10 MUKONO-KATOSI'!C20,'31.10 KATOSI-MUKONO'!C20,'3.11 KATOSI-MUKONO'!C20,'1.11 MUKONO-KATOSI 24hr'!C20,'2.11 MUKONO-KATOSI 24hr'!C20,'4.11 KATOSI-MUKONO'!C20)</f>
        <v>7.4285714285714288</v>
      </c>
      <c r="D20" s="49">
        <f>AVERAGE('29.10 KATOSI-MUKONO'!D20,'30.10 MUKONO-KATOSI'!D20,'31.10 KATOSI-MUKONO'!D20,'3.11 KATOSI-MUKONO'!D20,'1.11 MUKONO-KATOSI 24hr'!D20,'2.11 MUKONO-KATOSI 24hr'!D20,'4.11 KATOSI-MUKONO'!D20)</f>
        <v>2</v>
      </c>
      <c r="E20" s="49">
        <f>AVERAGE('29.10 KATOSI-MUKONO'!E20,'30.10 MUKONO-KATOSI'!E20,'31.10 KATOSI-MUKONO'!E20,'3.11 KATOSI-MUKONO'!E20,'1.11 MUKONO-KATOSI 24hr'!E20,'2.11 MUKONO-KATOSI 24hr'!E20,'4.11 KATOSI-MUKONO'!E20)</f>
        <v>2.8571428571428572</v>
      </c>
      <c r="F20" s="49">
        <f>AVERAGE('29.10 KATOSI-MUKONO'!F20,'30.10 MUKONO-KATOSI'!F20,'31.10 KATOSI-MUKONO'!F20,'3.11 KATOSI-MUKONO'!F20,'1.11 MUKONO-KATOSI 24hr'!F20,'2.11 MUKONO-KATOSI 24hr'!F20,'4.11 KATOSI-MUKONO'!F20)</f>
        <v>8.2857142857142865</v>
      </c>
      <c r="G20" s="49">
        <f>AVERAGE('29.10 KATOSI-MUKONO'!G20,'30.10 MUKONO-KATOSI'!G20,'31.10 KATOSI-MUKONO'!G20,'3.11 KATOSI-MUKONO'!G20,'1.11 MUKONO-KATOSI 24hr'!G20,'2.11 MUKONO-KATOSI 24hr'!G20,'4.11 KATOSI-MUKONO'!G20)</f>
        <v>0.42857142857142855</v>
      </c>
      <c r="H20" s="49">
        <f>AVERAGE('29.10 KATOSI-MUKONO'!H20,'30.10 MUKONO-KATOSI'!H20,'31.10 KATOSI-MUKONO'!H20,'3.11 KATOSI-MUKONO'!H20,'1.11 MUKONO-KATOSI 24hr'!H20,'2.11 MUKONO-KATOSI 24hr'!H20,'4.11 KATOSI-MUKONO'!H20)</f>
        <v>0</v>
      </c>
      <c r="I20" s="49">
        <f>AVERAGE('29.10 KATOSI-MUKONO'!I20,'30.10 MUKONO-KATOSI'!I20,'31.10 KATOSI-MUKONO'!I20,'3.11 KATOSI-MUKONO'!I20,'1.11 MUKONO-KATOSI 24hr'!I20,'2.11 MUKONO-KATOSI 24hr'!I20,'4.11 KATOSI-MUKONO'!I20)</f>
        <v>6.7142857142857144</v>
      </c>
      <c r="J20" s="49">
        <f>AVERAGE('29.10 KATOSI-MUKONO'!J20,'30.10 MUKONO-KATOSI'!J20,'31.10 KATOSI-MUKONO'!J20,'3.11 KATOSI-MUKONO'!J20,'1.11 MUKONO-KATOSI 24hr'!J20,'2.11 MUKONO-KATOSI 24hr'!J20,'4.11 KATOSI-MUKONO'!J20)</f>
        <v>1.8571428571428572</v>
      </c>
      <c r="K20" s="49">
        <f>AVERAGE('29.10 KATOSI-MUKONO'!K20,'30.10 MUKONO-KATOSI'!K20,'31.10 KATOSI-MUKONO'!K20,'3.11 KATOSI-MUKONO'!K20,'1.11 MUKONO-KATOSI 24hr'!K20,'2.11 MUKONO-KATOSI 24hr'!K20,'4.11 KATOSI-MUKONO'!K20)</f>
        <v>0.42857142857142855</v>
      </c>
      <c r="L20" s="49">
        <f>AVERAGE('29.10 KATOSI-MUKONO'!L20,'30.10 MUKONO-KATOSI'!L20,'31.10 KATOSI-MUKONO'!L20,'3.11 KATOSI-MUKONO'!L20,'1.11 MUKONO-KATOSI 24hr'!L20,'2.11 MUKONO-KATOSI 24hr'!L20,'4.11 KATOSI-MUKONO'!L20)</f>
        <v>0.14285714285714285</v>
      </c>
      <c r="M20" s="49">
        <f>AVERAGE('29.10 KATOSI-MUKONO'!M20,'30.10 MUKONO-KATOSI'!M20,'31.10 KATOSI-MUKONO'!M20,'3.11 KATOSI-MUKONO'!M20,'1.11 MUKONO-KATOSI 24hr'!M20,'2.11 MUKONO-KATOSI 24hr'!M20,'4.11 KATOSI-MUKONO'!M20)</f>
        <v>94.571428571428569</v>
      </c>
      <c r="N20" s="49">
        <f>AVERAGE('29.10 KATOSI-MUKONO'!N20,'30.10 MUKONO-KATOSI'!N20,'31.10 KATOSI-MUKONO'!N20,'3.11 KATOSI-MUKONO'!N20,'1.11 MUKONO-KATOSI 24hr'!N20,'2.11 MUKONO-KATOSI 24hr'!N20,'4.11 KATOSI-MUKONO'!N20)</f>
        <v>0</v>
      </c>
      <c r="O20" s="15">
        <f t="shared" si="0"/>
        <v>30.142857142857142</v>
      </c>
      <c r="P20" s="15">
        <f t="shared" si="1"/>
        <v>124.71428571428571</v>
      </c>
      <c r="R20" s="1" t="s">
        <v>16</v>
      </c>
      <c r="S20" s="17">
        <f t="shared" ref="S20:AF20" si="12">SUM(C50:C53)</f>
        <v>65.571428571428569</v>
      </c>
      <c r="T20" s="17">
        <f t="shared" si="12"/>
        <v>22.285714285714285</v>
      </c>
      <c r="U20" s="17">
        <f t="shared" si="12"/>
        <v>14.428571428571429</v>
      </c>
      <c r="V20" s="17">
        <f t="shared" si="12"/>
        <v>38.714285714285715</v>
      </c>
      <c r="W20" s="17">
        <f t="shared" si="12"/>
        <v>3.7142857142857144</v>
      </c>
      <c r="X20" s="17">
        <f t="shared" si="12"/>
        <v>0.14285714285714285</v>
      </c>
      <c r="Y20" s="17">
        <f t="shared" si="12"/>
        <v>24.142857142857142</v>
      </c>
      <c r="Z20" s="17">
        <f t="shared" si="12"/>
        <v>5.4285714285714288</v>
      </c>
      <c r="AA20" s="17">
        <f t="shared" si="12"/>
        <v>1.2857142857142856</v>
      </c>
      <c r="AB20" s="17">
        <f t="shared" si="12"/>
        <v>13.571428571428571</v>
      </c>
      <c r="AC20" s="17">
        <f t="shared" si="12"/>
        <v>333</v>
      </c>
      <c r="AD20" s="17">
        <f t="shared" si="12"/>
        <v>0</v>
      </c>
      <c r="AE20" s="31">
        <f t="shared" si="12"/>
        <v>189.28571428571431</v>
      </c>
      <c r="AF20" s="31">
        <f t="shared" si="12"/>
        <v>522.28571428571433</v>
      </c>
    </row>
    <row r="21" spans="2:32" ht="23.1" customHeight="1" x14ac:dyDescent="0.25">
      <c r="B21" s="23" t="s">
        <v>48</v>
      </c>
      <c r="C21" s="49">
        <f>AVERAGE('29.10 KATOSI-MUKONO'!C21,'30.10 MUKONO-KATOSI'!C21,'31.10 KATOSI-MUKONO'!C21,'3.11 KATOSI-MUKONO'!C21,'1.11 MUKONO-KATOSI 24hr'!C21,'2.11 MUKONO-KATOSI 24hr'!C21,'4.11 KATOSI-MUKONO'!C21)</f>
        <v>8.8571428571428577</v>
      </c>
      <c r="D21" s="49">
        <f>AVERAGE('29.10 KATOSI-MUKONO'!D21,'30.10 MUKONO-KATOSI'!D21,'31.10 KATOSI-MUKONO'!D21,'3.11 KATOSI-MUKONO'!D21,'1.11 MUKONO-KATOSI 24hr'!D21,'2.11 MUKONO-KATOSI 24hr'!D21,'4.11 KATOSI-MUKONO'!D21)</f>
        <v>2.8571428571428572</v>
      </c>
      <c r="E21" s="49">
        <f>AVERAGE('29.10 KATOSI-MUKONO'!E21,'30.10 MUKONO-KATOSI'!E21,'31.10 KATOSI-MUKONO'!E21,'3.11 KATOSI-MUKONO'!E21,'1.11 MUKONO-KATOSI 24hr'!E21,'2.11 MUKONO-KATOSI 24hr'!E21,'4.11 KATOSI-MUKONO'!E21)</f>
        <v>2.2857142857142856</v>
      </c>
      <c r="F21" s="49">
        <f>AVERAGE('29.10 KATOSI-MUKONO'!F21,'30.10 MUKONO-KATOSI'!F21,'31.10 KATOSI-MUKONO'!F21,'3.11 KATOSI-MUKONO'!F21,'1.11 MUKONO-KATOSI 24hr'!F21,'2.11 MUKONO-KATOSI 24hr'!F21,'4.11 KATOSI-MUKONO'!F21)</f>
        <v>6</v>
      </c>
      <c r="G21" s="49">
        <f>AVERAGE('29.10 KATOSI-MUKONO'!G21,'30.10 MUKONO-KATOSI'!G21,'31.10 KATOSI-MUKONO'!G21,'3.11 KATOSI-MUKONO'!G21,'1.11 MUKONO-KATOSI 24hr'!G21,'2.11 MUKONO-KATOSI 24hr'!G21,'4.11 KATOSI-MUKONO'!G21)</f>
        <v>0.8571428571428571</v>
      </c>
      <c r="H21" s="49">
        <f>AVERAGE('29.10 KATOSI-MUKONO'!H21,'30.10 MUKONO-KATOSI'!H21,'31.10 KATOSI-MUKONO'!H21,'3.11 KATOSI-MUKONO'!H21,'1.11 MUKONO-KATOSI 24hr'!H21,'2.11 MUKONO-KATOSI 24hr'!H21,'4.11 KATOSI-MUKONO'!H21)</f>
        <v>0</v>
      </c>
      <c r="I21" s="49">
        <f>AVERAGE('29.10 KATOSI-MUKONO'!I21,'30.10 MUKONO-KATOSI'!I21,'31.10 KATOSI-MUKONO'!I21,'3.11 KATOSI-MUKONO'!I21,'1.11 MUKONO-KATOSI 24hr'!I21,'2.11 MUKONO-KATOSI 24hr'!I21,'4.11 KATOSI-MUKONO'!I21)</f>
        <v>7.1428571428571432</v>
      </c>
      <c r="J21" s="49">
        <f>AVERAGE('29.10 KATOSI-MUKONO'!J21,'30.10 MUKONO-KATOSI'!J21,'31.10 KATOSI-MUKONO'!J21,'3.11 KATOSI-MUKONO'!J21,'1.11 MUKONO-KATOSI 24hr'!J21,'2.11 MUKONO-KATOSI 24hr'!J21,'4.11 KATOSI-MUKONO'!J21)</f>
        <v>0.8571428571428571</v>
      </c>
      <c r="K21" s="49">
        <f>AVERAGE('29.10 KATOSI-MUKONO'!K21,'30.10 MUKONO-KATOSI'!K21,'31.10 KATOSI-MUKONO'!K21,'3.11 KATOSI-MUKONO'!K21,'1.11 MUKONO-KATOSI 24hr'!K21,'2.11 MUKONO-KATOSI 24hr'!K21,'4.11 KATOSI-MUKONO'!K21)</f>
        <v>0</v>
      </c>
      <c r="L21" s="49">
        <f>AVERAGE('29.10 KATOSI-MUKONO'!L21,'30.10 MUKONO-KATOSI'!L21,'31.10 KATOSI-MUKONO'!L21,'3.11 KATOSI-MUKONO'!L21,'1.11 MUKONO-KATOSI 24hr'!L21,'2.11 MUKONO-KATOSI 24hr'!L21,'4.11 KATOSI-MUKONO'!L21)</f>
        <v>0</v>
      </c>
      <c r="M21" s="49">
        <f>AVERAGE('29.10 KATOSI-MUKONO'!M21,'30.10 MUKONO-KATOSI'!M21,'31.10 KATOSI-MUKONO'!M21,'3.11 KATOSI-MUKONO'!M21,'1.11 MUKONO-KATOSI 24hr'!M21,'2.11 MUKONO-KATOSI 24hr'!M21,'4.11 KATOSI-MUKONO'!M21)</f>
        <v>94.714285714285708</v>
      </c>
      <c r="N21" s="49">
        <f>AVERAGE('29.10 KATOSI-MUKONO'!N21,'30.10 MUKONO-KATOSI'!N21,'31.10 KATOSI-MUKONO'!N21,'3.11 KATOSI-MUKONO'!N21,'1.11 MUKONO-KATOSI 24hr'!N21,'2.11 MUKONO-KATOSI 24hr'!N21,'4.11 KATOSI-MUKONO'!N21)</f>
        <v>0</v>
      </c>
      <c r="O21" s="15">
        <f t="shared" si="0"/>
        <v>28.857142857142858</v>
      </c>
      <c r="P21" s="15">
        <f t="shared" si="1"/>
        <v>123.57142857142857</v>
      </c>
      <c r="R21" s="1" t="s">
        <v>20</v>
      </c>
      <c r="S21" s="34">
        <f t="shared" ref="S21:AF21" si="13">SUM(C54:C57)</f>
        <v>74</v>
      </c>
      <c r="T21" s="17">
        <f t="shared" si="13"/>
        <v>29.571428571428569</v>
      </c>
      <c r="U21" s="17">
        <f t="shared" si="13"/>
        <v>13.714285714285715</v>
      </c>
      <c r="V21" s="17">
        <f t="shared" si="13"/>
        <v>46.285714285714285</v>
      </c>
      <c r="W21" s="17">
        <f t="shared" si="13"/>
        <v>3.4285714285714288</v>
      </c>
      <c r="X21" s="17">
        <f t="shared" si="13"/>
        <v>0</v>
      </c>
      <c r="Y21" s="17">
        <f t="shared" si="13"/>
        <v>24.857142857142858</v>
      </c>
      <c r="Z21" s="17">
        <f t="shared" si="13"/>
        <v>5.5714285714285712</v>
      </c>
      <c r="AA21" s="17">
        <f t="shared" si="13"/>
        <v>0.8571428571428571</v>
      </c>
      <c r="AB21" s="17">
        <f t="shared" si="13"/>
        <v>1.1428571428571428</v>
      </c>
      <c r="AC21" s="17">
        <f t="shared" si="13"/>
        <v>347.71428571428578</v>
      </c>
      <c r="AD21" s="17">
        <f t="shared" si="13"/>
        <v>0</v>
      </c>
      <c r="AE21" s="31">
        <f t="shared" si="13"/>
        <v>199.42857142857144</v>
      </c>
      <c r="AF21" s="31">
        <f t="shared" si="13"/>
        <v>547.14285714285711</v>
      </c>
    </row>
    <row r="22" spans="2:32" ht="23.1" customHeight="1" x14ac:dyDescent="0.25">
      <c r="B22" s="23" t="s">
        <v>49</v>
      </c>
      <c r="C22" s="49">
        <f>AVERAGE('29.10 KATOSI-MUKONO'!C22,'30.10 MUKONO-KATOSI'!C22,'31.10 KATOSI-MUKONO'!C22,'3.11 KATOSI-MUKONO'!C22,'1.11 MUKONO-KATOSI 24hr'!C22,'2.11 MUKONO-KATOSI 24hr'!C22,'4.11 KATOSI-MUKONO'!C22)</f>
        <v>10.857142857142858</v>
      </c>
      <c r="D22" s="49">
        <f>AVERAGE('29.10 KATOSI-MUKONO'!D22,'30.10 MUKONO-KATOSI'!D22,'31.10 KATOSI-MUKONO'!D22,'3.11 KATOSI-MUKONO'!D22,'1.11 MUKONO-KATOSI 24hr'!D22,'2.11 MUKONO-KATOSI 24hr'!D22,'4.11 KATOSI-MUKONO'!D22)</f>
        <v>3.1428571428571428</v>
      </c>
      <c r="E22" s="49">
        <f>AVERAGE('29.10 KATOSI-MUKONO'!E22,'30.10 MUKONO-KATOSI'!E22,'31.10 KATOSI-MUKONO'!E22,'3.11 KATOSI-MUKONO'!E22,'1.11 MUKONO-KATOSI 24hr'!E22,'2.11 MUKONO-KATOSI 24hr'!E22,'4.11 KATOSI-MUKONO'!E22)</f>
        <v>2.5714285714285716</v>
      </c>
      <c r="F22" s="49">
        <f>AVERAGE('29.10 KATOSI-MUKONO'!F22,'30.10 MUKONO-KATOSI'!F22,'31.10 KATOSI-MUKONO'!F22,'3.11 KATOSI-MUKONO'!F22,'1.11 MUKONO-KATOSI 24hr'!F22,'2.11 MUKONO-KATOSI 24hr'!F22,'4.11 KATOSI-MUKONO'!F22)</f>
        <v>6.2857142857142856</v>
      </c>
      <c r="G22" s="49">
        <f>AVERAGE('29.10 KATOSI-MUKONO'!G22,'30.10 MUKONO-KATOSI'!G22,'31.10 KATOSI-MUKONO'!G22,'3.11 KATOSI-MUKONO'!G22,'1.11 MUKONO-KATOSI 24hr'!G22,'2.11 MUKONO-KATOSI 24hr'!G22,'4.11 KATOSI-MUKONO'!G22)</f>
        <v>0.42857142857142855</v>
      </c>
      <c r="H22" s="49">
        <f>AVERAGE('29.10 KATOSI-MUKONO'!H22,'30.10 MUKONO-KATOSI'!H22,'31.10 KATOSI-MUKONO'!H22,'3.11 KATOSI-MUKONO'!H22,'1.11 MUKONO-KATOSI 24hr'!H22,'2.11 MUKONO-KATOSI 24hr'!H22,'4.11 KATOSI-MUKONO'!H22)</f>
        <v>0</v>
      </c>
      <c r="I22" s="49">
        <f>AVERAGE('29.10 KATOSI-MUKONO'!I22,'30.10 MUKONO-KATOSI'!I22,'31.10 KATOSI-MUKONO'!I22,'3.11 KATOSI-MUKONO'!I22,'1.11 MUKONO-KATOSI 24hr'!I22,'2.11 MUKONO-KATOSI 24hr'!I22,'4.11 KATOSI-MUKONO'!I22)</f>
        <v>5.8571428571428568</v>
      </c>
      <c r="J22" s="49">
        <f>AVERAGE('29.10 KATOSI-MUKONO'!J22,'30.10 MUKONO-KATOSI'!J22,'31.10 KATOSI-MUKONO'!J22,'3.11 KATOSI-MUKONO'!J22,'1.11 MUKONO-KATOSI 24hr'!J22,'2.11 MUKONO-KATOSI 24hr'!J22,'4.11 KATOSI-MUKONO'!J22)</f>
        <v>0.8571428571428571</v>
      </c>
      <c r="K22" s="49">
        <f>AVERAGE('29.10 KATOSI-MUKONO'!K22,'30.10 MUKONO-KATOSI'!K22,'31.10 KATOSI-MUKONO'!K22,'3.11 KATOSI-MUKONO'!K22,'1.11 MUKONO-KATOSI 24hr'!K22,'2.11 MUKONO-KATOSI 24hr'!K22,'4.11 KATOSI-MUKONO'!K22)</f>
        <v>0.8571428571428571</v>
      </c>
      <c r="L22" s="49">
        <f>AVERAGE('29.10 KATOSI-MUKONO'!L22,'30.10 MUKONO-KATOSI'!L22,'31.10 KATOSI-MUKONO'!L22,'3.11 KATOSI-MUKONO'!L22,'1.11 MUKONO-KATOSI 24hr'!L22,'2.11 MUKONO-KATOSI 24hr'!L22,'4.11 KATOSI-MUKONO'!L22)</f>
        <v>0.2857142857142857</v>
      </c>
      <c r="M22" s="49">
        <f>AVERAGE('29.10 KATOSI-MUKONO'!M22,'30.10 MUKONO-KATOSI'!M22,'31.10 KATOSI-MUKONO'!M22,'3.11 KATOSI-MUKONO'!M22,'1.11 MUKONO-KATOSI 24hr'!M22,'2.11 MUKONO-KATOSI 24hr'!M22,'4.11 KATOSI-MUKONO'!M22)</f>
        <v>95.857142857142861</v>
      </c>
      <c r="N22" s="49">
        <f>AVERAGE('29.10 KATOSI-MUKONO'!N22,'30.10 MUKONO-KATOSI'!N22,'31.10 KATOSI-MUKONO'!N22,'3.11 KATOSI-MUKONO'!N22,'1.11 MUKONO-KATOSI 24hr'!N22,'2.11 MUKONO-KATOSI 24hr'!N22,'4.11 KATOSI-MUKONO'!N22)</f>
        <v>0</v>
      </c>
      <c r="O22" s="15">
        <f t="shared" si="0"/>
        <v>31.142857142857142</v>
      </c>
      <c r="P22" s="15">
        <f t="shared" si="1"/>
        <v>127</v>
      </c>
      <c r="R22" s="1" t="s">
        <v>146</v>
      </c>
      <c r="S22" s="34">
        <f>SUM(C58:C61)</f>
        <v>66</v>
      </c>
      <c r="T22" s="34">
        <f t="shared" ref="T22:AF22" si="14">SUM(D58:D61)</f>
        <v>42</v>
      </c>
      <c r="U22" s="34">
        <f t="shared" si="14"/>
        <v>17</v>
      </c>
      <c r="V22" s="34">
        <f t="shared" si="14"/>
        <v>21.5</v>
      </c>
      <c r="W22" s="34">
        <f t="shared" si="14"/>
        <v>1.5</v>
      </c>
      <c r="X22" s="34">
        <f t="shared" si="14"/>
        <v>0</v>
      </c>
      <c r="Y22" s="34">
        <f t="shared" si="14"/>
        <v>20.5</v>
      </c>
      <c r="Z22" s="34">
        <f t="shared" si="14"/>
        <v>8.5</v>
      </c>
      <c r="AA22" s="34">
        <f t="shared" si="14"/>
        <v>3</v>
      </c>
      <c r="AB22" s="34">
        <f t="shared" si="14"/>
        <v>2</v>
      </c>
      <c r="AC22" s="34">
        <f t="shared" si="14"/>
        <v>294.5</v>
      </c>
      <c r="AD22" s="34">
        <f t="shared" si="14"/>
        <v>0</v>
      </c>
      <c r="AE22" s="31">
        <f t="shared" si="14"/>
        <v>182</v>
      </c>
      <c r="AF22" s="31">
        <f t="shared" si="14"/>
        <v>476.5</v>
      </c>
    </row>
    <row r="23" spans="2:32" ht="23.1" customHeight="1" x14ac:dyDescent="0.25">
      <c r="B23" s="23" t="s">
        <v>50</v>
      </c>
      <c r="C23" s="49">
        <f>AVERAGE('29.10 KATOSI-MUKONO'!C23,'30.10 MUKONO-KATOSI'!C23,'31.10 KATOSI-MUKONO'!C23,'3.11 KATOSI-MUKONO'!C23,'1.11 MUKONO-KATOSI 24hr'!C23,'2.11 MUKONO-KATOSI 24hr'!C23,'4.11 KATOSI-MUKONO'!C23)</f>
        <v>12.714285714285714</v>
      </c>
      <c r="D23" s="49">
        <f>AVERAGE('29.10 KATOSI-MUKONO'!D23,'30.10 MUKONO-KATOSI'!D23,'31.10 KATOSI-MUKONO'!D23,'3.11 KATOSI-MUKONO'!D23,'1.11 MUKONO-KATOSI 24hr'!D23,'2.11 MUKONO-KATOSI 24hr'!D23,'4.11 KATOSI-MUKONO'!D23)</f>
        <v>3.4285714285714284</v>
      </c>
      <c r="E23" s="49">
        <f>AVERAGE('29.10 KATOSI-MUKONO'!E23,'30.10 MUKONO-KATOSI'!E23,'31.10 KATOSI-MUKONO'!E23,'3.11 KATOSI-MUKONO'!E23,'1.11 MUKONO-KATOSI 24hr'!E23,'2.11 MUKONO-KATOSI 24hr'!E23,'4.11 KATOSI-MUKONO'!E23)</f>
        <v>2.5714285714285716</v>
      </c>
      <c r="F23" s="49">
        <f>AVERAGE('29.10 KATOSI-MUKONO'!F23,'30.10 MUKONO-KATOSI'!F23,'31.10 KATOSI-MUKONO'!F23,'3.11 KATOSI-MUKONO'!F23,'1.11 MUKONO-KATOSI 24hr'!F23,'2.11 MUKONO-KATOSI 24hr'!F23,'4.11 KATOSI-MUKONO'!F23)</f>
        <v>6.7142857142857144</v>
      </c>
      <c r="G23" s="49">
        <f>AVERAGE('29.10 KATOSI-MUKONO'!G23,'30.10 MUKONO-KATOSI'!G23,'31.10 KATOSI-MUKONO'!G23,'3.11 KATOSI-MUKONO'!G23,'1.11 MUKONO-KATOSI 24hr'!G23,'2.11 MUKONO-KATOSI 24hr'!G23,'4.11 KATOSI-MUKONO'!G23)</f>
        <v>0</v>
      </c>
      <c r="H23" s="49">
        <f>AVERAGE('29.10 KATOSI-MUKONO'!H23,'30.10 MUKONO-KATOSI'!H23,'31.10 KATOSI-MUKONO'!H23,'3.11 KATOSI-MUKONO'!H23,'1.11 MUKONO-KATOSI 24hr'!H23,'2.11 MUKONO-KATOSI 24hr'!H23,'4.11 KATOSI-MUKONO'!H23)</f>
        <v>0</v>
      </c>
      <c r="I23" s="49">
        <f>AVERAGE('29.10 KATOSI-MUKONO'!I23,'30.10 MUKONO-KATOSI'!I23,'31.10 KATOSI-MUKONO'!I23,'3.11 KATOSI-MUKONO'!I23,'1.11 MUKONO-KATOSI 24hr'!I23,'2.11 MUKONO-KATOSI 24hr'!I23,'4.11 KATOSI-MUKONO'!I23)</f>
        <v>9.8571428571428577</v>
      </c>
      <c r="J23" s="49">
        <f>AVERAGE('29.10 KATOSI-MUKONO'!J23,'30.10 MUKONO-KATOSI'!J23,'31.10 KATOSI-MUKONO'!J23,'3.11 KATOSI-MUKONO'!J23,'1.11 MUKONO-KATOSI 24hr'!J23,'2.11 MUKONO-KATOSI 24hr'!J23,'4.11 KATOSI-MUKONO'!J23)</f>
        <v>2.1428571428571428</v>
      </c>
      <c r="K23" s="49">
        <f>AVERAGE('29.10 KATOSI-MUKONO'!K23,'30.10 MUKONO-KATOSI'!K23,'31.10 KATOSI-MUKONO'!K23,'3.11 KATOSI-MUKONO'!K23,'1.11 MUKONO-KATOSI 24hr'!K23,'2.11 MUKONO-KATOSI 24hr'!K23,'4.11 KATOSI-MUKONO'!K23)</f>
        <v>0.42857142857142855</v>
      </c>
      <c r="L23" s="49">
        <f>AVERAGE('29.10 KATOSI-MUKONO'!L23,'30.10 MUKONO-KATOSI'!L23,'31.10 KATOSI-MUKONO'!L23,'3.11 KATOSI-MUKONO'!L23,'1.11 MUKONO-KATOSI 24hr'!L23,'2.11 MUKONO-KATOSI 24hr'!L23,'4.11 KATOSI-MUKONO'!L23)</f>
        <v>0.42857142857142855</v>
      </c>
      <c r="M23" s="49">
        <f>AVERAGE('29.10 KATOSI-MUKONO'!M23,'30.10 MUKONO-KATOSI'!M23,'31.10 KATOSI-MUKONO'!M23,'3.11 KATOSI-MUKONO'!M23,'1.11 MUKONO-KATOSI 24hr'!M23,'2.11 MUKONO-KATOSI 24hr'!M23,'4.11 KATOSI-MUKONO'!M23)</f>
        <v>92.285714285714292</v>
      </c>
      <c r="N23" s="49">
        <f>AVERAGE('29.10 KATOSI-MUKONO'!N23,'30.10 MUKONO-KATOSI'!N23,'31.10 KATOSI-MUKONO'!N23,'3.11 KATOSI-MUKONO'!N23,'1.11 MUKONO-KATOSI 24hr'!N23,'2.11 MUKONO-KATOSI 24hr'!N23,'4.11 KATOSI-MUKONO'!N23)</f>
        <v>0</v>
      </c>
      <c r="O23" s="15">
        <f t="shared" si="0"/>
        <v>38.285714285714299</v>
      </c>
      <c r="P23" s="15">
        <f t="shared" si="1"/>
        <v>130.57142857142858</v>
      </c>
      <c r="R23" s="1" t="s">
        <v>147</v>
      </c>
      <c r="S23" s="34">
        <f>SUM(C62:C65)</f>
        <v>69</v>
      </c>
      <c r="T23" s="34">
        <f t="shared" ref="T23:AF23" si="15">SUM(D62:D65)</f>
        <v>37</v>
      </c>
      <c r="U23" s="34">
        <f t="shared" si="15"/>
        <v>15</v>
      </c>
      <c r="V23" s="34">
        <f t="shared" si="15"/>
        <v>26</v>
      </c>
      <c r="W23" s="34">
        <f t="shared" si="15"/>
        <v>2</v>
      </c>
      <c r="X23" s="34">
        <f t="shared" si="15"/>
        <v>0</v>
      </c>
      <c r="Y23" s="34">
        <f t="shared" si="15"/>
        <v>24.5</v>
      </c>
      <c r="Z23" s="34">
        <f t="shared" si="15"/>
        <v>5.5</v>
      </c>
      <c r="AA23" s="34">
        <f t="shared" si="15"/>
        <v>3</v>
      </c>
      <c r="AB23" s="34">
        <f t="shared" si="15"/>
        <v>0.5</v>
      </c>
      <c r="AC23" s="34">
        <f t="shared" si="15"/>
        <v>262.5</v>
      </c>
      <c r="AD23" s="34">
        <f t="shared" si="15"/>
        <v>0</v>
      </c>
      <c r="AE23" s="31">
        <f t="shared" si="15"/>
        <v>182.5</v>
      </c>
      <c r="AF23" s="31">
        <f t="shared" si="15"/>
        <v>445</v>
      </c>
    </row>
    <row r="24" spans="2:32" ht="23.1" customHeight="1" x14ac:dyDescent="0.25">
      <c r="B24" s="23" t="s">
        <v>51</v>
      </c>
      <c r="C24" s="49">
        <f>AVERAGE('29.10 KATOSI-MUKONO'!C24,'30.10 MUKONO-KATOSI'!C24,'31.10 KATOSI-MUKONO'!C24,'3.11 KATOSI-MUKONO'!C24,'1.11 MUKONO-KATOSI 24hr'!C24,'2.11 MUKONO-KATOSI 24hr'!C24,'4.11 KATOSI-MUKONO'!C24)</f>
        <v>12.714285714285714</v>
      </c>
      <c r="D24" s="49">
        <f>AVERAGE('29.10 KATOSI-MUKONO'!D24,'30.10 MUKONO-KATOSI'!D24,'31.10 KATOSI-MUKONO'!D24,'3.11 KATOSI-MUKONO'!D24,'1.11 MUKONO-KATOSI 24hr'!D24,'2.11 MUKONO-KATOSI 24hr'!D24,'4.11 KATOSI-MUKONO'!D24)</f>
        <v>4.8571428571428568</v>
      </c>
      <c r="E24" s="49">
        <f>AVERAGE('29.10 KATOSI-MUKONO'!E24,'30.10 MUKONO-KATOSI'!E24,'31.10 KATOSI-MUKONO'!E24,'3.11 KATOSI-MUKONO'!E24,'1.11 MUKONO-KATOSI 24hr'!E24,'2.11 MUKONO-KATOSI 24hr'!E24,'4.11 KATOSI-MUKONO'!E24)</f>
        <v>2.5714285714285716</v>
      </c>
      <c r="F24" s="49">
        <f>AVERAGE('29.10 KATOSI-MUKONO'!F24,'30.10 MUKONO-KATOSI'!F24,'31.10 KATOSI-MUKONO'!F24,'3.11 KATOSI-MUKONO'!F24,'1.11 MUKONO-KATOSI 24hr'!F24,'2.11 MUKONO-KATOSI 24hr'!F24,'4.11 KATOSI-MUKONO'!F24)</f>
        <v>9.2857142857142865</v>
      </c>
      <c r="G24" s="49">
        <f>AVERAGE('29.10 KATOSI-MUKONO'!G24,'30.10 MUKONO-KATOSI'!G24,'31.10 KATOSI-MUKONO'!G24,'3.11 KATOSI-MUKONO'!G24,'1.11 MUKONO-KATOSI 24hr'!G24,'2.11 MUKONO-KATOSI 24hr'!G24,'4.11 KATOSI-MUKONO'!G24)</f>
        <v>0.14285714285714285</v>
      </c>
      <c r="H24" s="49">
        <f>AVERAGE('29.10 KATOSI-MUKONO'!H24,'30.10 MUKONO-KATOSI'!H24,'31.10 KATOSI-MUKONO'!H24,'3.11 KATOSI-MUKONO'!H24,'1.11 MUKONO-KATOSI 24hr'!H24,'2.11 MUKONO-KATOSI 24hr'!H24,'4.11 KATOSI-MUKONO'!H24)</f>
        <v>0</v>
      </c>
      <c r="I24" s="49">
        <f>AVERAGE('29.10 KATOSI-MUKONO'!I24,'30.10 MUKONO-KATOSI'!I24,'31.10 KATOSI-MUKONO'!I24,'3.11 KATOSI-MUKONO'!I24,'1.11 MUKONO-KATOSI 24hr'!I24,'2.11 MUKONO-KATOSI 24hr'!I24,'4.11 KATOSI-MUKONO'!I24)</f>
        <v>6.4285714285714288</v>
      </c>
      <c r="J24" s="49">
        <f>AVERAGE('29.10 KATOSI-MUKONO'!J24,'30.10 MUKONO-KATOSI'!J24,'31.10 KATOSI-MUKONO'!J24,'3.11 KATOSI-MUKONO'!J24,'1.11 MUKONO-KATOSI 24hr'!J24,'2.11 MUKONO-KATOSI 24hr'!J24,'4.11 KATOSI-MUKONO'!J24)</f>
        <v>1.4285714285714286</v>
      </c>
      <c r="K24" s="49">
        <f>AVERAGE('29.10 KATOSI-MUKONO'!K24,'30.10 MUKONO-KATOSI'!K24,'31.10 KATOSI-MUKONO'!K24,'3.11 KATOSI-MUKONO'!K24,'1.11 MUKONO-KATOSI 24hr'!K24,'2.11 MUKONO-KATOSI 24hr'!K24,'4.11 KATOSI-MUKONO'!K24)</f>
        <v>0.14285714285714285</v>
      </c>
      <c r="L24" s="49">
        <f>AVERAGE('29.10 KATOSI-MUKONO'!L24,'30.10 MUKONO-KATOSI'!L24,'31.10 KATOSI-MUKONO'!L24,'3.11 KATOSI-MUKONO'!L24,'1.11 MUKONO-KATOSI 24hr'!L24,'2.11 MUKONO-KATOSI 24hr'!L24,'4.11 KATOSI-MUKONO'!L24)</f>
        <v>0.2857142857142857</v>
      </c>
      <c r="M24" s="49">
        <f>AVERAGE('29.10 KATOSI-MUKONO'!M24,'30.10 MUKONO-KATOSI'!M24,'31.10 KATOSI-MUKONO'!M24,'3.11 KATOSI-MUKONO'!M24,'1.11 MUKONO-KATOSI 24hr'!M24,'2.11 MUKONO-KATOSI 24hr'!M24,'4.11 KATOSI-MUKONO'!M24)</f>
        <v>90.857142857142861</v>
      </c>
      <c r="N24" s="49">
        <f>AVERAGE('29.10 KATOSI-MUKONO'!N24,'30.10 MUKONO-KATOSI'!N24,'31.10 KATOSI-MUKONO'!N24,'3.11 KATOSI-MUKONO'!N24,'1.11 MUKONO-KATOSI 24hr'!N24,'2.11 MUKONO-KATOSI 24hr'!N24,'4.11 KATOSI-MUKONO'!N24)</f>
        <v>0</v>
      </c>
      <c r="O24" s="15">
        <f t="shared" si="0"/>
        <v>37.857142857142861</v>
      </c>
      <c r="P24" s="15">
        <f t="shared" si="1"/>
        <v>128.71428571428572</v>
      </c>
      <c r="R24" s="1" t="s">
        <v>148</v>
      </c>
      <c r="S24" s="34">
        <f>SUM(C66:C69)</f>
        <v>34.5</v>
      </c>
      <c r="T24" s="34">
        <f t="shared" ref="T24:AF24" si="16">SUM(D66:D69)</f>
        <v>26</v>
      </c>
      <c r="U24" s="34">
        <f t="shared" si="16"/>
        <v>13.5</v>
      </c>
      <c r="V24" s="34">
        <f t="shared" si="16"/>
        <v>20.5</v>
      </c>
      <c r="W24" s="34">
        <f t="shared" si="16"/>
        <v>1.5</v>
      </c>
      <c r="X24" s="34">
        <f t="shared" si="16"/>
        <v>0</v>
      </c>
      <c r="Y24" s="34">
        <f t="shared" si="16"/>
        <v>11</v>
      </c>
      <c r="Z24" s="34">
        <f t="shared" si="16"/>
        <v>10.5</v>
      </c>
      <c r="AA24" s="34">
        <f t="shared" si="16"/>
        <v>2.5</v>
      </c>
      <c r="AB24" s="34">
        <f t="shared" si="16"/>
        <v>0.5</v>
      </c>
      <c r="AC24" s="34">
        <f t="shared" si="16"/>
        <v>244</v>
      </c>
      <c r="AD24" s="34">
        <f t="shared" si="16"/>
        <v>0</v>
      </c>
      <c r="AE24" s="31">
        <f t="shared" si="16"/>
        <v>120.5</v>
      </c>
      <c r="AF24" s="31">
        <f t="shared" si="16"/>
        <v>364.5</v>
      </c>
    </row>
    <row r="25" spans="2:32" ht="23.1" customHeight="1" x14ac:dyDescent="0.25">
      <c r="B25" s="23" t="s">
        <v>52</v>
      </c>
      <c r="C25" s="49">
        <f>AVERAGE('29.10 KATOSI-MUKONO'!C25,'30.10 MUKONO-KATOSI'!C25,'31.10 KATOSI-MUKONO'!C25,'3.11 KATOSI-MUKONO'!C25,'1.11 MUKONO-KATOSI 24hr'!C25,'2.11 MUKONO-KATOSI 24hr'!C25,'4.11 KATOSI-MUKONO'!C25)</f>
        <v>9.5714285714285712</v>
      </c>
      <c r="D25" s="49">
        <f>AVERAGE('29.10 KATOSI-MUKONO'!D25,'30.10 MUKONO-KATOSI'!D25,'31.10 KATOSI-MUKONO'!D25,'3.11 KATOSI-MUKONO'!D25,'1.11 MUKONO-KATOSI 24hr'!D25,'2.11 MUKONO-KATOSI 24hr'!D25,'4.11 KATOSI-MUKONO'!D25)</f>
        <v>3.1428571428571428</v>
      </c>
      <c r="E25" s="49">
        <f>AVERAGE('29.10 KATOSI-MUKONO'!E25,'30.10 MUKONO-KATOSI'!E25,'31.10 KATOSI-MUKONO'!E25,'3.11 KATOSI-MUKONO'!E25,'1.11 MUKONO-KATOSI 24hr'!E25,'2.11 MUKONO-KATOSI 24hr'!E25,'4.11 KATOSI-MUKONO'!E25)</f>
        <v>4</v>
      </c>
      <c r="F25" s="49">
        <f>AVERAGE('29.10 KATOSI-MUKONO'!F25,'30.10 MUKONO-KATOSI'!F25,'31.10 KATOSI-MUKONO'!F25,'3.11 KATOSI-MUKONO'!F25,'1.11 MUKONO-KATOSI 24hr'!F25,'2.11 MUKONO-KATOSI 24hr'!F25,'4.11 KATOSI-MUKONO'!F25)</f>
        <v>9</v>
      </c>
      <c r="G25" s="49">
        <f>AVERAGE('29.10 KATOSI-MUKONO'!G25,'30.10 MUKONO-KATOSI'!G25,'31.10 KATOSI-MUKONO'!G25,'3.11 KATOSI-MUKONO'!G25,'1.11 MUKONO-KATOSI 24hr'!G25,'2.11 MUKONO-KATOSI 24hr'!G25,'4.11 KATOSI-MUKONO'!G25)</f>
        <v>0.2857142857142857</v>
      </c>
      <c r="H25" s="49">
        <f>AVERAGE('29.10 KATOSI-MUKONO'!H25,'30.10 MUKONO-KATOSI'!H25,'31.10 KATOSI-MUKONO'!H25,'3.11 KATOSI-MUKONO'!H25,'1.11 MUKONO-KATOSI 24hr'!H25,'2.11 MUKONO-KATOSI 24hr'!H25,'4.11 KATOSI-MUKONO'!H25)</f>
        <v>0.14285714285714285</v>
      </c>
      <c r="I25" s="49">
        <f>AVERAGE('29.10 KATOSI-MUKONO'!I25,'30.10 MUKONO-KATOSI'!I25,'31.10 KATOSI-MUKONO'!I25,'3.11 KATOSI-MUKONO'!I25,'1.11 MUKONO-KATOSI 24hr'!I25,'2.11 MUKONO-KATOSI 24hr'!I25,'4.11 KATOSI-MUKONO'!I25)</f>
        <v>7.5714285714285712</v>
      </c>
      <c r="J25" s="49">
        <f>AVERAGE('29.10 KATOSI-MUKONO'!J25,'30.10 MUKONO-KATOSI'!J25,'31.10 KATOSI-MUKONO'!J25,'3.11 KATOSI-MUKONO'!J25,'1.11 MUKONO-KATOSI 24hr'!J25,'2.11 MUKONO-KATOSI 24hr'!J25,'4.11 KATOSI-MUKONO'!J25)</f>
        <v>1.1428571428571428</v>
      </c>
      <c r="K25" s="49">
        <f>AVERAGE('29.10 KATOSI-MUKONO'!K25,'30.10 MUKONO-KATOSI'!K25,'31.10 KATOSI-MUKONO'!K25,'3.11 KATOSI-MUKONO'!K25,'1.11 MUKONO-KATOSI 24hr'!K25,'2.11 MUKONO-KATOSI 24hr'!K25,'4.11 KATOSI-MUKONO'!K25)</f>
        <v>0.2857142857142857</v>
      </c>
      <c r="L25" s="49">
        <f>AVERAGE('29.10 KATOSI-MUKONO'!L25,'30.10 MUKONO-KATOSI'!L25,'31.10 KATOSI-MUKONO'!L25,'3.11 KATOSI-MUKONO'!L25,'1.11 MUKONO-KATOSI 24hr'!L25,'2.11 MUKONO-KATOSI 24hr'!L25,'4.11 KATOSI-MUKONO'!L25)</f>
        <v>0.42857142857142855</v>
      </c>
      <c r="M25" s="49">
        <f>AVERAGE('29.10 KATOSI-MUKONO'!M25,'30.10 MUKONO-KATOSI'!M25,'31.10 KATOSI-MUKONO'!M25,'3.11 KATOSI-MUKONO'!M25,'1.11 MUKONO-KATOSI 24hr'!M25,'2.11 MUKONO-KATOSI 24hr'!M25,'4.11 KATOSI-MUKONO'!M25)</f>
        <v>91.285714285714292</v>
      </c>
      <c r="N25" s="49">
        <f>AVERAGE('29.10 KATOSI-MUKONO'!N25,'30.10 MUKONO-KATOSI'!N25,'31.10 KATOSI-MUKONO'!N25,'3.11 KATOSI-MUKONO'!N25,'1.11 MUKONO-KATOSI 24hr'!N25,'2.11 MUKONO-KATOSI 24hr'!N25,'4.11 KATOSI-MUKONO'!N25)</f>
        <v>0</v>
      </c>
      <c r="O25" s="15">
        <f t="shared" si="0"/>
        <v>35.571428571428577</v>
      </c>
      <c r="P25" s="15">
        <f t="shared" si="1"/>
        <v>126.85714285714286</v>
      </c>
      <c r="R25" s="1" t="s">
        <v>149</v>
      </c>
      <c r="S25" s="34">
        <f>SUM(C70:C73)</f>
        <v>13</v>
      </c>
      <c r="T25" s="34">
        <f t="shared" ref="T25:AF25" si="17">SUM(D70:D73)</f>
        <v>12</v>
      </c>
      <c r="U25" s="34">
        <f t="shared" si="17"/>
        <v>4</v>
      </c>
      <c r="V25" s="34">
        <f t="shared" si="17"/>
        <v>13</v>
      </c>
      <c r="W25" s="34">
        <f t="shared" si="17"/>
        <v>0.5</v>
      </c>
      <c r="X25" s="34">
        <f t="shared" si="17"/>
        <v>0</v>
      </c>
      <c r="Y25" s="34">
        <f t="shared" si="17"/>
        <v>8.5</v>
      </c>
      <c r="Z25" s="34">
        <f t="shared" si="17"/>
        <v>6</v>
      </c>
      <c r="AA25" s="34">
        <f t="shared" si="17"/>
        <v>2</v>
      </c>
      <c r="AB25" s="34">
        <f t="shared" si="17"/>
        <v>0</v>
      </c>
      <c r="AC25" s="34">
        <f t="shared" si="17"/>
        <v>125</v>
      </c>
      <c r="AD25" s="34">
        <f t="shared" si="17"/>
        <v>0</v>
      </c>
      <c r="AE25" s="31">
        <f t="shared" si="17"/>
        <v>59</v>
      </c>
      <c r="AF25" s="31">
        <f t="shared" si="17"/>
        <v>184</v>
      </c>
    </row>
    <row r="26" spans="2:32" ht="23.1" customHeight="1" x14ac:dyDescent="0.25">
      <c r="B26" s="23" t="s">
        <v>53</v>
      </c>
      <c r="C26" s="49">
        <f>AVERAGE('29.10 KATOSI-MUKONO'!C26,'30.10 MUKONO-KATOSI'!C26,'31.10 KATOSI-MUKONO'!C26,'3.11 KATOSI-MUKONO'!C26,'1.11 MUKONO-KATOSI 24hr'!C26,'2.11 MUKONO-KATOSI 24hr'!C26,'4.11 KATOSI-MUKONO'!C26)</f>
        <v>12.285714285714286</v>
      </c>
      <c r="D26" s="49">
        <f>AVERAGE('29.10 KATOSI-MUKONO'!D26,'30.10 MUKONO-KATOSI'!D26,'31.10 KATOSI-MUKONO'!D26,'3.11 KATOSI-MUKONO'!D26,'1.11 MUKONO-KATOSI 24hr'!D26,'2.11 MUKONO-KATOSI 24hr'!D26,'4.11 KATOSI-MUKONO'!D26)</f>
        <v>3.8571428571428572</v>
      </c>
      <c r="E26" s="49">
        <f>AVERAGE('29.10 KATOSI-MUKONO'!E26,'30.10 MUKONO-KATOSI'!E26,'31.10 KATOSI-MUKONO'!E26,'3.11 KATOSI-MUKONO'!E26,'1.11 MUKONO-KATOSI 24hr'!E26,'2.11 MUKONO-KATOSI 24hr'!E26,'4.11 KATOSI-MUKONO'!E26)</f>
        <v>2.7142857142857144</v>
      </c>
      <c r="F26" s="49">
        <f>AVERAGE('29.10 KATOSI-MUKONO'!F26,'30.10 MUKONO-KATOSI'!F26,'31.10 KATOSI-MUKONO'!F26,'3.11 KATOSI-MUKONO'!F26,'1.11 MUKONO-KATOSI 24hr'!F26,'2.11 MUKONO-KATOSI 24hr'!F26,'4.11 KATOSI-MUKONO'!F26)</f>
        <v>7.4285714285714288</v>
      </c>
      <c r="G26" s="49">
        <f>AVERAGE('29.10 KATOSI-MUKONO'!G26,'30.10 MUKONO-KATOSI'!G26,'31.10 KATOSI-MUKONO'!G26,'3.11 KATOSI-MUKONO'!G26,'1.11 MUKONO-KATOSI 24hr'!G26,'2.11 MUKONO-KATOSI 24hr'!G26,'4.11 KATOSI-MUKONO'!G26)</f>
        <v>0.2857142857142857</v>
      </c>
      <c r="H26" s="49">
        <f>AVERAGE('29.10 KATOSI-MUKONO'!H26,'30.10 MUKONO-KATOSI'!H26,'31.10 KATOSI-MUKONO'!H26,'3.11 KATOSI-MUKONO'!H26,'1.11 MUKONO-KATOSI 24hr'!H26,'2.11 MUKONO-KATOSI 24hr'!H26,'4.11 KATOSI-MUKONO'!H26)</f>
        <v>0</v>
      </c>
      <c r="I26" s="49">
        <f>AVERAGE('29.10 KATOSI-MUKONO'!I26,'30.10 MUKONO-KATOSI'!I26,'31.10 KATOSI-MUKONO'!I26,'3.11 KATOSI-MUKONO'!I26,'1.11 MUKONO-KATOSI 24hr'!I26,'2.11 MUKONO-KATOSI 24hr'!I26,'4.11 KATOSI-MUKONO'!I26)</f>
        <v>7</v>
      </c>
      <c r="J26" s="49">
        <f>AVERAGE('29.10 KATOSI-MUKONO'!J26,'30.10 MUKONO-KATOSI'!J26,'31.10 KATOSI-MUKONO'!J26,'3.11 KATOSI-MUKONO'!J26,'1.11 MUKONO-KATOSI 24hr'!J26,'2.11 MUKONO-KATOSI 24hr'!J26,'4.11 KATOSI-MUKONO'!J26)</f>
        <v>1.1428571428571428</v>
      </c>
      <c r="K26" s="49">
        <f>AVERAGE('29.10 KATOSI-MUKONO'!K26,'30.10 MUKONO-KATOSI'!K26,'31.10 KATOSI-MUKONO'!K26,'3.11 KATOSI-MUKONO'!K26,'1.11 MUKONO-KATOSI 24hr'!K26,'2.11 MUKONO-KATOSI 24hr'!K26,'4.11 KATOSI-MUKONO'!K26)</f>
        <v>0.2857142857142857</v>
      </c>
      <c r="L26" s="49">
        <f>AVERAGE('29.10 KATOSI-MUKONO'!L26,'30.10 MUKONO-KATOSI'!L26,'31.10 KATOSI-MUKONO'!L26,'3.11 KATOSI-MUKONO'!L26,'1.11 MUKONO-KATOSI 24hr'!L26,'2.11 MUKONO-KATOSI 24hr'!L26,'4.11 KATOSI-MUKONO'!L26)</f>
        <v>0.42857142857142855</v>
      </c>
      <c r="M26" s="49">
        <f>AVERAGE('29.10 KATOSI-MUKONO'!M26,'30.10 MUKONO-KATOSI'!M26,'31.10 KATOSI-MUKONO'!M26,'3.11 KATOSI-MUKONO'!M26,'1.11 MUKONO-KATOSI 24hr'!M26,'2.11 MUKONO-KATOSI 24hr'!M26,'4.11 KATOSI-MUKONO'!M26)</f>
        <v>88.571428571428569</v>
      </c>
      <c r="N26" s="49">
        <f>AVERAGE('29.10 KATOSI-MUKONO'!N26,'30.10 MUKONO-KATOSI'!N26,'31.10 KATOSI-MUKONO'!N26,'3.11 KATOSI-MUKONO'!N26,'1.11 MUKONO-KATOSI 24hr'!N26,'2.11 MUKONO-KATOSI 24hr'!N26,'4.11 KATOSI-MUKONO'!N26)</f>
        <v>0</v>
      </c>
      <c r="O26" s="15">
        <f t="shared" si="0"/>
        <v>35.428571428571431</v>
      </c>
      <c r="P26" s="15">
        <f t="shared" si="1"/>
        <v>124</v>
      </c>
      <c r="R26" s="1" t="s">
        <v>150</v>
      </c>
      <c r="S26" s="34">
        <f>SUM(C74:C77)</f>
        <v>13.5</v>
      </c>
      <c r="T26" s="34">
        <f t="shared" ref="T26:AF26" si="18">SUM(D74:D77)</f>
        <v>13</v>
      </c>
      <c r="U26" s="34">
        <f t="shared" si="18"/>
        <v>4</v>
      </c>
      <c r="V26" s="34">
        <f t="shared" si="18"/>
        <v>17.5</v>
      </c>
      <c r="W26" s="34">
        <f t="shared" si="18"/>
        <v>1.5</v>
      </c>
      <c r="X26" s="34">
        <f t="shared" si="18"/>
        <v>0</v>
      </c>
      <c r="Y26" s="34">
        <f t="shared" si="18"/>
        <v>3.5</v>
      </c>
      <c r="Z26" s="34">
        <f t="shared" si="18"/>
        <v>1</v>
      </c>
      <c r="AA26" s="34">
        <f t="shared" si="18"/>
        <v>0.5</v>
      </c>
      <c r="AB26" s="34">
        <f t="shared" si="18"/>
        <v>0</v>
      </c>
      <c r="AC26" s="34">
        <f t="shared" si="18"/>
        <v>112.5</v>
      </c>
      <c r="AD26" s="34">
        <f t="shared" si="18"/>
        <v>0</v>
      </c>
      <c r="AE26" s="31">
        <f t="shared" si="18"/>
        <v>54.5</v>
      </c>
      <c r="AF26" s="31">
        <f t="shared" si="18"/>
        <v>167</v>
      </c>
    </row>
    <row r="27" spans="2:32" ht="23.1" customHeight="1" x14ac:dyDescent="0.25">
      <c r="B27" s="23" t="s">
        <v>54</v>
      </c>
      <c r="C27" s="49">
        <f>AVERAGE('29.10 KATOSI-MUKONO'!C27,'30.10 MUKONO-KATOSI'!C27,'31.10 KATOSI-MUKONO'!C27,'3.11 KATOSI-MUKONO'!C27,'1.11 MUKONO-KATOSI 24hr'!C27,'2.11 MUKONO-KATOSI 24hr'!C27,'4.11 KATOSI-MUKONO'!C27)</f>
        <v>12.285714285714286</v>
      </c>
      <c r="D27" s="49">
        <f>AVERAGE('29.10 KATOSI-MUKONO'!D27,'30.10 MUKONO-KATOSI'!D27,'31.10 KATOSI-MUKONO'!D27,'3.11 KATOSI-MUKONO'!D27,'1.11 MUKONO-KATOSI 24hr'!D27,'2.11 MUKONO-KATOSI 24hr'!D27,'4.11 KATOSI-MUKONO'!D27)</f>
        <v>3.7142857142857144</v>
      </c>
      <c r="E27" s="49">
        <f>AVERAGE('29.10 KATOSI-MUKONO'!E27,'30.10 MUKONO-KATOSI'!E27,'31.10 KATOSI-MUKONO'!E27,'3.11 KATOSI-MUKONO'!E27,'1.11 MUKONO-KATOSI 24hr'!E27,'2.11 MUKONO-KATOSI 24hr'!E27,'4.11 KATOSI-MUKONO'!E27)</f>
        <v>4.4285714285714288</v>
      </c>
      <c r="F27" s="49">
        <f>AVERAGE('29.10 KATOSI-MUKONO'!F27,'30.10 MUKONO-KATOSI'!F27,'31.10 KATOSI-MUKONO'!F27,'3.11 KATOSI-MUKONO'!F27,'1.11 MUKONO-KATOSI 24hr'!F27,'2.11 MUKONO-KATOSI 24hr'!F27,'4.11 KATOSI-MUKONO'!F27)</f>
        <v>6.8571428571428568</v>
      </c>
      <c r="G27" s="49">
        <f>AVERAGE('29.10 KATOSI-MUKONO'!G27,'30.10 MUKONO-KATOSI'!G27,'31.10 KATOSI-MUKONO'!G27,'3.11 KATOSI-MUKONO'!G27,'1.11 MUKONO-KATOSI 24hr'!G27,'2.11 MUKONO-KATOSI 24hr'!G27,'4.11 KATOSI-MUKONO'!G27)</f>
        <v>0.14285714285714285</v>
      </c>
      <c r="H27" s="49">
        <f>AVERAGE('29.10 KATOSI-MUKONO'!H27,'30.10 MUKONO-KATOSI'!H27,'31.10 KATOSI-MUKONO'!H27,'3.11 KATOSI-MUKONO'!H27,'1.11 MUKONO-KATOSI 24hr'!H27,'2.11 MUKONO-KATOSI 24hr'!H27,'4.11 KATOSI-MUKONO'!H27)</f>
        <v>0</v>
      </c>
      <c r="I27" s="49">
        <f>AVERAGE('29.10 KATOSI-MUKONO'!I27,'30.10 MUKONO-KATOSI'!I27,'31.10 KATOSI-MUKONO'!I27,'3.11 KATOSI-MUKONO'!I27,'1.11 MUKONO-KATOSI 24hr'!I27,'2.11 MUKONO-KATOSI 24hr'!I27,'4.11 KATOSI-MUKONO'!I27)</f>
        <v>5.8571428571428568</v>
      </c>
      <c r="J27" s="49">
        <f>AVERAGE('29.10 KATOSI-MUKONO'!J27,'30.10 MUKONO-KATOSI'!J27,'31.10 KATOSI-MUKONO'!J27,'3.11 KATOSI-MUKONO'!J27,'1.11 MUKONO-KATOSI 24hr'!J27,'2.11 MUKONO-KATOSI 24hr'!J27,'4.11 KATOSI-MUKONO'!J27)</f>
        <v>1</v>
      </c>
      <c r="K27" s="49">
        <f>AVERAGE('29.10 KATOSI-MUKONO'!K27,'30.10 MUKONO-KATOSI'!K27,'31.10 KATOSI-MUKONO'!K27,'3.11 KATOSI-MUKONO'!K27,'1.11 MUKONO-KATOSI 24hr'!K27,'2.11 MUKONO-KATOSI 24hr'!K27,'4.11 KATOSI-MUKONO'!K27)</f>
        <v>0.8571428571428571</v>
      </c>
      <c r="L27" s="49">
        <f>AVERAGE('29.10 KATOSI-MUKONO'!L27,'30.10 MUKONO-KATOSI'!L27,'31.10 KATOSI-MUKONO'!L27,'3.11 KATOSI-MUKONO'!L27,'1.11 MUKONO-KATOSI 24hr'!L27,'2.11 MUKONO-KATOSI 24hr'!L27,'4.11 KATOSI-MUKONO'!L27)</f>
        <v>0.42857142857142855</v>
      </c>
      <c r="M27" s="49">
        <f>AVERAGE('29.10 KATOSI-MUKONO'!M27,'30.10 MUKONO-KATOSI'!M27,'31.10 KATOSI-MUKONO'!M27,'3.11 KATOSI-MUKONO'!M27,'1.11 MUKONO-KATOSI 24hr'!M27,'2.11 MUKONO-KATOSI 24hr'!M27,'4.11 KATOSI-MUKONO'!M27)</f>
        <v>87.714285714285708</v>
      </c>
      <c r="N27" s="49">
        <f>AVERAGE('29.10 KATOSI-MUKONO'!N27,'30.10 MUKONO-KATOSI'!N27,'31.10 KATOSI-MUKONO'!N27,'3.11 KATOSI-MUKONO'!N27,'1.11 MUKONO-KATOSI 24hr'!N27,'2.11 MUKONO-KATOSI 24hr'!N27,'4.11 KATOSI-MUKONO'!N27)</f>
        <v>0</v>
      </c>
      <c r="O27" s="15">
        <f t="shared" si="0"/>
        <v>35.571428571428569</v>
      </c>
      <c r="P27" s="15">
        <f t="shared" si="1"/>
        <v>123.28571428571428</v>
      </c>
      <c r="R27" s="1" t="s">
        <v>151</v>
      </c>
      <c r="S27" s="34">
        <f>SUM(C78:C81)</f>
        <v>1</v>
      </c>
      <c r="T27" s="34">
        <f t="shared" ref="T27:AF27" si="19">SUM(D78:D81)</f>
        <v>6</v>
      </c>
      <c r="U27" s="34">
        <f t="shared" si="19"/>
        <v>1.5</v>
      </c>
      <c r="V27" s="34">
        <f t="shared" si="19"/>
        <v>7.5</v>
      </c>
      <c r="W27" s="34">
        <f t="shared" si="19"/>
        <v>0</v>
      </c>
      <c r="X27" s="34">
        <f t="shared" si="19"/>
        <v>0</v>
      </c>
      <c r="Y27" s="34">
        <f t="shared" si="19"/>
        <v>2.5</v>
      </c>
      <c r="Z27" s="34">
        <f t="shared" si="19"/>
        <v>1</v>
      </c>
      <c r="AA27" s="34">
        <f t="shared" si="19"/>
        <v>0</v>
      </c>
      <c r="AB27" s="34">
        <f t="shared" si="19"/>
        <v>0.5</v>
      </c>
      <c r="AC27" s="34">
        <f t="shared" si="19"/>
        <v>42.5</v>
      </c>
      <c r="AD27" s="34">
        <f t="shared" si="19"/>
        <v>0</v>
      </c>
      <c r="AE27" s="31">
        <f t="shared" si="19"/>
        <v>20</v>
      </c>
      <c r="AF27" s="31">
        <f t="shared" si="19"/>
        <v>62.5</v>
      </c>
    </row>
    <row r="28" spans="2:32" ht="23.1" customHeight="1" x14ac:dyDescent="0.25">
      <c r="B28" s="23" t="s">
        <v>55</v>
      </c>
      <c r="C28" s="49">
        <f>AVERAGE('29.10 KATOSI-MUKONO'!C28,'30.10 MUKONO-KATOSI'!C28,'31.10 KATOSI-MUKONO'!C28,'3.11 KATOSI-MUKONO'!C28,'1.11 MUKONO-KATOSI 24hr'!C28,'2.11 MUKONO-KATOSI 24hr'!C28,'4.11 KATOSI-MUKONO'!C28)</f>
        <v>14.428571428571429</v>
      </c>
      <c r="D28" s="49">
        <f>AVERAGE('29.10 KATOSI-MUKONO'!D28,'30.10 MUKONO-KATOSI'!D28,'31.10 KATOSI-MUKONO'!D28,'3.11 KATOSI-MUKONO'!D28,'1.11 MUKONO-KATOSI 24hr'!D28,'2.11 MUKONO-KATOSI 24hr'!D28,'4.11 KATOSI-MUKONO'!D28)</f>
        <v>2.8571428571428572</v>
      </c>
      <c r="E28" s="49">
        <f>AVERAGE('29.10 KATOSI-MUKONO'!E28,'30.10 MUKONO-KATOSI'!E28,'31.10 KATOSI-MUKONO'!E28,'3.11 KATOSI-MUKONO'!E28,'1.11 MUKONO-KATOSI 24hr'!E28,'2.11 MUKONO-KATOSI 24hr'!E28,'4.11 KATOSI-MUKONO'!E28)</f>
        <v>3.5714285714285716</v>
      </c>
      <c r="F28" s="49">
        <f>AVERAGE('29.10 KATOSI-MUKONO'!F28,'30.10 MUKONO-KATOSI'!F28,'31.10 KATOSI-MUKONO'!F28,'3.11 KATOSI-MUKONO'!F28,'1.11 MUKONO-KATOSI 24hr'!F28,'2.11 MUKONO-KATOSI 24hr'!F28,'4.11 KATOSI-MUKONO'!F28)</f>
        <v>11</v>
      </c>
      <c r="G28" s="49">
        <f>AVERAGE('29.10 KATOSI-MUKONO'!G28,'30.10 MUKONO-KATOSI'!G28,'31.10 KATOSI-MUKONO'!G28,'3.11 KATOSI-MUKONO'!G28,'1.11 MUKONO-KATOSI 24hr'!G28,'2.11 MUKONO-KATOSI 24hr'!G28,'4.11 KATOSI-MUKONO'!G28)</f>
        <v>0.2857142857142857</v>
      </c>
      <c r="H28" s="49">
        <f>AVERAGE('29.10 KATOSI-MUKONO'!H28,'30.10 MUKONO-KATOSI'!H28,'31.10 KATOSI-MUKONO'!H28,'3.11 KATOSI-MUKONO'!H28,'1.11 MUKONO-KATOSI 24hr'!H28,'2.11 MUKONO-KATOSI 24hr'!H28,'4.11 KATOSI-MUKONO'!H28)</f>
        <v>0</v>
      </c>
      <c r="I28" s="49">
        <f>AVERAGE('29.10 KATOSI-MUKONO'!I28,'30.10 MUKONO-KATOSI'!I28,'31.10 KATOSI-MUKONO'!I28,'3.11 KATOSI-MUKONO'!I28,'1.11 MUKONO-KATOSI 24hr'!I28,'2.11 MUKONO-KATOSI 24hr'!I28,'4.11 KATOSI-MUKONO'!I28)</f>
        <v>9</v>
      </c>
      <c r="J28" s="49">
        <f>AVERAGE('29.10 KATOSI-MUKONO'!J28,'30.10 MUKONO-KATOSI'!J28,'31.10 KATOSI-MUKONO'!J28,'3.11 KATOSI-MUKONO'!J28,'1.11 MUKONO-KATOSI 24hr'!J28,'2.11 MUKONO-KATOSI 24hr'!J28,'4.11 KATOSI-MUKONO'!J28)</f>
        <v>1.5714285714285714</v>
      </c>
      <c r="K28" s="49">
        <f>AVERAGE('29.10 KATOSI-MUKONO'!K28,'30.10 MUKONO-KATOSI'!K28,'31.10 KATOSI-MUKONO'!K28,'3.11 KATOSI-MUKONO'!K28,'1.11 MUKONO-KATOSI 24hr'!K28,'2.11 MUKONO-KATOSI 24hr'!K28,'4.11 KATOSI-MUKONO'!K28)</f>
        <v>0.14285714285714285</v>
      </c>
      <c r="L28" s="49">
        <f>AVERAGE('29.10 KATOSI-MUKONO'!L28,'30.10 MUKONO-KATOSI'!L28,'31.10 KATOSI-MUKONO'!L28,'3.11 KATOSI-MUKONO'!L28,'1.11 MUKONO-KATOSI 24hr'!L28,'2.11 MUKONO-KATOSI 24hr'!L28,'4.11 KATOSI-MUKONO'!L28)</f>
        <v>0.2857142857142857</v>
      </c>
      <c r="M28" s="49">
        <f>AVERAGE('29.10 KATOSI-MUKONO'!M28,'30.10 MUKONO-KATOSI'!M28,'31.10 KATOSI-MUKONO'!M28,'3.11 KATOSI-MUKONO'!M28,'1.11 MUKONO-KATOSI 24hr'!M28,'2.11 MUKONO-KATOSI 24hr'!M28,'4.11 KATOSI-MUKONO'!M28)</f>
        <v>97.428571428571431</v>
      </c>
      <c r="N28" s="49">
        <f>AVERAGE('29.10 KATOSI-MUKONO'!N28,'30.10 MUKONO-KATOSI'!N28,'31.10 KATOSI-MUKONO'!N28,'3.11 KATOSI-MUKONO'!N28,'1.11 MUKONO-KATOSI 24hr'!N28,'2.11 MUKONO-KATOSI 24hr'!N28,'4.11 KATOSI-MUKONO'!N28)</f>
        <v>0.14285714285714285</v>
      </c>
      <c r="O28" s="15">
        <f t="shared" si="0"/>
        <v>43.285714285714292</v>
      </c>
      <c r="P28" s="15">
        <f t="shared" si="1"/>
        <v>140.71428571428572</v>
      </c>
      <c r="R28" s="1" t="s">
        <v>152</v>
      </c>
      <c r="S28" s="34">
        <f>SUM(C82:C85)</f>
        <v>1.5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20</v>
      </c>
      <c r="AD28" s="34">
        <f t="shared" si="20"/>
        <v>0</v>
      </c>
      <c r="AE28" s="31">
        <f t="shared" si="20"/>
        <v>7</v>
      </c>
      <c r="AF28" s="31">
        <f t="shared" si="20"/>
        <v>27</v>
      </c>
    </row>
    <row r="29" spans="2:32" ht="23.1" customHeight="1" x14ac:dyDescent="0.25">
      <c r="B29" s="23" t="s">
        <v>56</v>
      </c>
      <c r="C29" s="49">
        <f>AVERAGE('29.10 KATOSI-MUKONO'!C29,'30.10 MUKONO-KATOSI'!C29,'31.10 KATOSI-MUKONO'!C29,'3.11 KATOSI-MUKONO'!C29,'1.11 MUKONO-KATOSI 24hr'!C29,'2.11 MUKONO-KATOSI 24hr'!C29,'4.11 KATOSI-MUKONO'!C29)</f>
        <v>13</v>
      </c>
      <c r="D29" s="49">
        <f>AVERAGE('29.10 KATOSI-MUKONO'!D29,'30.10 MUKONO-KATOSI'!D29,'31.10 KATOSI-MUKONO'!D29,'3.11 KATOSI-MUKONO'!D29,'1.11 MUKONO-KATOSI 24hr'!D29,'2.11 MUKONO-KATOSI 24hr'!D29,'4.11 KATOSI-MUKONO'!D29)</f>
        <v>3.5714285714285716</v>
      </c>
      <c r="E29" s="49">
        <f>AVERAGE('29.10 KATOSI-MUKONO'!E29,'30.10 MUKONO-KATOSI'!E29,'31.10 KATOSI-MUKONO'!E29,'3.11 KATOSI-MUKONO'!E29,'1.11 MUKONO-KATOSI 24hr'!E29,'2.11 MUKONO-KATOSI 24hr'!E29,'4.11 KATOSI-MUKONO'!E29)</f>
        <v>3.1428571428571428</v>
      </c>
      <c r="F29" s="49">
        <f>AVERAGE('29.10 KATOSI-MUKONO'!F29,'30.10 MUKONO-KATOSI'!F29,'31.10 KATOSI-MUKONO'!F29,'3.11 KATOSI-MUKONO'!F29,'1.11 MUKONO-KATOSI 24hr'!F29,'2.11 MUKONO-KATOSI 24hr'!F29,'4.11 KATOSI-MUKONO'!F29)</f>
        <v>8.8571428571428577</v>
      </c>
      <c r="G29" s="49">
        <f>AVERAGE('29.10 KATOSI-MUKONO'!G29,'30.10 MUKONO-KATOSI'!G29,'31.10 KATOSI-MUKONO'!G29,'3.11 KATOSI-MUKONO'!G29,'1.11 MUKONO-KATOSI 24hr'!G29,'2.11 MUKONO-KATOSI 24hr'!G29,'4.11 KATOSI-MUKONO'!G29)</f>
        <v>0.2857142857142857</v>
      </c>
      <c r="H29" s="49">
        <f>AVERAGE('29.10 KATOSI-MUKONO'!H29,'30.10 MUKONO-KATOSI'!H29,'31.10 KATOSI-MUKONO'!H29,'3.11 KATOSI-MUKONO'!H29,'1.11 MUKONO-KATOSI 24hr'!H29,'2.11 MUKONO-KATOSI 24hr'!H29,'4.11 KATOSI-MUKONO'!H29)</f>
        <v>0</v>
      </c>
      <c r="I29" s="49">
        <f>AVERAGE('29.10 KATOSI-MUKONO'!I29,'30.10 MUKONO-KATOSI'!I29,'31.10 KATOSI-MUKONO'!I29,'3.11 KATOSI-MUKONO'!I29,'1.11 MUKONO-KATOSI 24hr'!I29,'2.11 MUKONO-KATOSI 24hr'!I29,'4.11 KATOSI-MUKONO'!I29)</f>
        <v>7.1428571428571432</v>
      </c>
      <c r="J29" s="49">
        <f>AVERAGE('29.10 KATOSI-MUKONO'!J29,'30.10 MUKONO-KATOSI'!J29,'31.10 KATOSI-MUKONO'!J29,'3.11 KATOSI-MUKONO'!J29,'1.11 MUKONO-KATOSI 24hr'!J29,'2.11 MUKONO-KATOSI 24hr'!J29,'4.11 KATOSI-MUKONO'!J29)</f>
        <v>1.7142857142857142</v>
      </c>
      <c r="K29" s="49">
        <f>AVERAGE('29.10 KATOSI-MUKONO'!K29,'30.10 MUKONO-KATOSI'!K29,'31.10 KATOSI-MUKONO'!K29,'3.11 KATOSI-MUKONO'!K29,'1.11 MUKONO-KATOSI 24hr'!K29,'2.11 MUKONO-KATOSI 24hr'!K29,'4.11 KATOSI-MUKONO'!K29)</f>
        <v>0.14285714285714285</v>
      </c>
      <c r="L29" s="49">
        <f>AVERAGE('29.10 KATOSI-MUKONO'!L29,'30.10 MUKONO-KATOSI'!L29,'31.10 KATOSI-MUKONO'!L29,'3.11 KATOSI-MUKONO'!L29,'1.11 MUKONO-KATOSI 24hr'!L29,'2.11 MUKONO-KATOSI 24hr'!L29,'4.11 KATOSI-MUKONO'!L29)</f>
        <v>0.42857142857142855</v>
      </c>
      <c r="M29" s="49">
        <f>AVERAGE('29.10 KATOSI-MUKONO'!M29,'30.10 MUKONO-KATOSI'!M29,'31.10 KATOSI-MUKONO'!M29,'3.11 KATOSI-MUKONO'!M29,'1.11 MUKONO-KATOSI 24hr'!M29,'2.11 MUKONO-KATOSI 24hr'!M29,'4.11 KATOSI-MUKONO'!M29)</f>
        <v>95.285714285714292</v>
      </c>
      <c r="N29" s="49">
        <f>AVERAGE('29.10 KATOSI-MUKONO'!N29,'30.10 MUKONO-KATOSI'!N29,'31.10 KATOSI-MUKONO'!N29,'3.11 KATOSI-MUKONO'!N29,'1.11 MUKONO-KATOSI 24hr'!N29,'2.11 MUKONO-KATOSI 24hr'!N29,'4.11 KATOSI-MUKONO'!N29)</f>
        <v>0.14285714285714285</v>
      </c>
      <c r="O29" s="15">
        <f t="shared" si="0"/>
        <v>38.428571428571438</v>
      </c>
      <c r="P29" s="15">
        <f t="shared" si="1"/>
        <v>133.71428571428572</v>
      </c>
      <c r="R29" s="1" t="s">
        <v>153</v>
      </c>
      <c r="S29" s="34">
        <f>SUM(C86:C89)</f>
        <v>1.5</v>
      </c>
      <c r="T29" s="34">
        <f t="shared" ref="T29:AF29" si="21">SUM(D86:D89)</f>
        <v>0.5</v>
      </c>
      <c r="U29" s="34">
        <f t="shared" si="21"/>
        <v>1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0.5</v>
      </c>
      <c r="Z29" s="34">
        <f t="shared" si="21"/>
        <v>1.5</v>
      </c>
      <c r="AA29" s="34">
        <f t="shared" si="21"/>
        <v>0</v>
      </c>
      <c r="AB29" s="34">
        <f t="shared" si="21"/>
        <v>1</v>
      </c>
      <c r="AC29" s="34">
        <f t="shared" si="21"/>
        <v>18.5</v>
      </c>
      <c r="AD29" s="34">
        <f t="shared" si="21"/>
        <v>0</v>
      </c>
      <c r="AE29" s="31">
        <f t="shared" si="21"/>
        <v>8</v>
      </c>
      <c r="AF29" s="31">
        <f t="shared" si="21"/>
        <v>26.5</v>
      </c>
    </row>
    <row r="30" spans="2:32" ht="23.1" customHeight="1" x14ac:dyDescent="0.25">
      <c r="B30" s="23" t="s">
        <v>57</v>
      </c>
      <c r="C30" s="49">
        <f>AVERAGE('29.10 KATOSI-MUKONO'!C30,'30.10 MUKONO-KATOSI'!C30,'31.10 KATOSI-MUKONO'!C30,'3.11 KATOSI-MUKONO'!C30,'1.11 MUKONO-KATOSI 24hr'!C30,'2.11 MUKONO-KATOSI 24hr'!C30,'4.11 KATOSI-MUKONO'!C30)</f>
        <v>13.571428571428571</v>
      </c>
      <c r="D30" s="49">
        <f>AVERAGE('29.10 KATOSI-MUKONO'!D30,'30.10 MUKONO-KATOSI'!D30,'31.10 KATOSI-MUKONO'!D30,'3.11 KATOSI-MUKONO'!D30,'1.11 MUKONO-KATOSI 24hr'!D30,'2.11 MUKONO-KATOSI 24hr'!D30,'4.11 KATOSI-MUKONO'!D30)</f>
        <v>4.1428571428571432</v>
      </c>
      <c r="E30" s="49">
        <f>AVERAGE('29.10 KATOSI-MUKONO'!E30,'30.10 MUKONO-KATOSI'!E30,'31.10 KATOSI-MUKONO'!E30,'3.11 KATOSI-MUKONO'!E30,'1.11 MUKONO-KATOSI 24hr'!E30,'2.11 MUKONO-KATOSI 24hr'!E30,'4.11 KATOSI-MUKONO'!E30)</f>
        <v>3.7142857142857144</v>
      </c>
      <c r="F30" s="49">
        <f>AVERAGE('29.10 KATOSI-MUKONO'!F30,'30.10 MUKONO-KATOSI'!F30,'31.10 KATOSI-MUKONO'!F30,'3.11 KATOSI-MUKONO'!F30,'1.11 MUKONO-KATOSI 24hr'!F30,'2.11 MUKONO-KATOSI 24hr'!F30,'4.11 KATOSI-MUKONO'!F30)</f>
        <v>6.8571428571428568</v>
      </c>
      <c r="G30" s="49">
        <f>AVERAGE('29.10 KATOSI-MUKONO'!G30,'30.10 MUKONO-KATOSI'!G30,'31.10 KATOSI-MUKONO'!G30,'3.11 KATOSI-MUKONO'!G30,'1.11 MUKONO-KATOSI 24hr'!G30,'2.11 MUKONO-KATOSI 24hr'!G30,'4.11 KATOSI-MUKONO'!G30)</f>
        <v>0.5714285714285714</v>
      </c>
      <c r="H30" s="49">
        <f>AVERAGE('29.10 KATOSI-MUKONO'!H30,'30.10 MUKONO-KATOSI'!H30,'31.10 KATOSI-MUKONO'!H30,'3.11 KATOSI-MUKONO'!H30,'1.11 MUKONO-KATOSI 24hr'!H30,'2.11 MUKONO-KATOSI 24hr'!H30,'4.11 KATOSI-MUKONO'!H30)</f>
        <v>0</v>
      </c>
      <c r="I30" s="49">
        <f>AVERAGE('29.10 KATOSI-MUKONO'!I30,'30.10 MUKONO-KATOSI'!I30,'31.10 KATOSI-MUKONO'!I30,'3.11 KATOSI-MUKONO'!I30,'1.11 MUKONO-KATOSI 24hr'!I30,'2.11 MUKONO-KATOSI 24hr'!I30,'4.11 KATOSI-MUKONO'!I30)</f>
        <v>5.7142857142857144</v>
      </c>
      <c r="J30" s="49">
        <f>AVERAGE('29.10 KATOSI-MUKONO'!J30,'30.10 MUKONO-KATOSI'!J30,'31.10 KATOSI-MUKONO'!J30,'3.11 KATOSI-MUKONO'!J30,'1.11 MUKONO-KATOSI 24hr'!J30,'2.11 MUKONO-KATOSI 24hr'!J30,'4.11 KATOSI-MUKONO'!J30)</f>
        <v>1.1428571428571428</v>
      </c>
      <c r="K30" s="49">
        <f>AVERAGE('29.10 KATOSI-MUKONO'!K30,'30.10 MUKONO-KATOSI'!K30,'31.10 KATOSI-MUKONO'!K30,'3.11 KATOSI-MUKONO'!K30,'1.11 MUKONO-KATOSI 24hr'!K30,'2.11 MUKONO-KATOSI 24hr'!K30,'4.11 KATOSI-MUKONO'!K30)</f>
        <v>0.2857142857142857</v>
      </c>
      <c r="L30" s="49">
        <f>AVERAGE('29.10 KATOSI-MUKONO'!L30,'30.10 MUKONO-KATOSI'!L30,'31.10 KATOSI-MUKONO'!L30,'3.11 KATOSI-MUKONO'!L30,'1.11 MUKONO-KATOSI 24hr'!L30,'2.11 MUKONO-KATOSI 24hr'!L30,'4.11 KATOSI-MUKONO'!L30)</f>
        <v>0.42857142857142855</v>
      </c>
      <c r="M30" s="49">
        <f>AVERAGE('29.10 KATOSI-MUKONO'!M30,'30.10 MUKONO-KATOSI'!M30,'31.10 KATOSI-MUKONO'!M30,'3.11 KATOSI-MUKONO'!M30,'1.11 MUKONO-KATOSI 24hr'!M30,'2.11 MUKONO-KATOSI 24hr'!M30,'4.11 KATOSI-MUKONO'!M30)</f>
        <v>87.714285714285708</v>
      </c>
      <c r="N30" s="49">
        <f>AVERAGE('29.10 KATOSI-MUKONO'!N30,'30.10 MUKONO-KATOSI'!N30,'31.10 KATOSI-MUKONO'!N30,'3.11 KATOSI-MUKONO'!N30,'1.11 MUKONO-KATOSI 24hr'!N30,'2.11 MUKONO-KATOSI 24hr'!N30,'4.11 KATOSI-MUKONO'!N30)</f>
        <v>0</v>
      </c>
      <c r="O30" s="15">
        <f t="shared" si="0"/>
        <v>36.428571428571438</v>
      </c>
      <c r="P30" s="15">
        <f t="shared" si="1"/>
        <v>124.14285714285714</v>
      </c>
      <c r="R30" s="1" t="s">
        <v>154</v>
      </c>
      <c r="S30" s="34">
        <f>SUM(C90:C93)</f>
        <v>4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2.5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17</v>
      </c>
      <c r="AD30" s="34">
        <f t="shared" si="22"/>
        <v>0</v>
      </c>
      <c r="AE30" s="31">
        <f t="shared" si="22"/>
        <v>7.5</v>
      </c>
      <c r="AF30" s="31">
        <f t="shared" si="22"/>
        <v>24.5</v>
      </c>
    </row>
    <row r="31" spans="2:32" ht="23.1" customHeight="1" x14ac:dyDescent="0.25">
      <c r="B31" s="24" t="s">
        <v>58</v>
      </c>
      <c r="C31" s="49">
        <f>AVERAGE('29.10 KATOSI-MUKONO'!C31,'30.10 MUKONO-KATOSI'!C31,'31.10 KATOSI-MUKONO'!C31,'3.11 KATOSI-MUKONO'!C31,'1.11 MUKONO-KATOSI 24hr'!C31,'2.11 MUKONO-KATOSI 24hr'!C31,'4.11 KATOSI-MUKONO'!C31)</f>
        <v>12</v>
      </c>
      <c r="D31" s="49">
        <f>AVERAGE('29.10 KATOSI-MUKONO'!D31,'30.10 MUKONO-KATOSI'!D31,'31.10 KATOSI-MUKONO'!D31,'3.11 KATOSI-MUKONO'!D31,'1.11 MUKONO-KATOSI 24hr'!D31,'2.11 MUKONO-KATOSI 24hr'!D31,'4.11 KATOSI-MUKONO'!D31)</f>
        <v>3.1428571428571428</v>
      </c>
      <c r="E31" s="49">
        <f>AVERAGE('29.10 KATOSI-MUKONO'!E31,'30.10 MUKONO-KATOSI'!E31,'31.10 KATOSI-MUKONO'!E31,'3.11 KATOSI-MUKONO'!E31,'1.11 MUKONO-KATOSI 24hr'!E31,'2.11 MUKONO-KATOSI 24hr'!E31,'4.11 KATOSI-MUKONO'!E31)</f>
        <v>3.5714285714285716</v>
      </c>
      <c r="F31" s="49">
        <f>AVERAGE('29.10 KATOSI-MUKONO'!F31,'30.10 MUKONO-KATOSI'!F31,'31.10 KATOSI-MUKONO'!F31,'3.11 KATOSI-MUKONO'!F31,'1.11 MUKONO-KATOSI 24hr'!F31,'2.11 MUKONO-KATOSI 24hr'!F31,'4.11 KATOSI-MUKONO'!F31)</f>
        <v>7.7142857142857144</v>
      </c>
      <c r="G31" s="49">
        <f>AVERAGE('29.10 KATOSI-MUKONO'!G31,'30.10 MUKONO-KATOSI'!G31,'31.10 KATOSI-MUKONO'!G31,'3.11 KATOSI-MUKONO'!G31,'1.11 MUKONO-KATOSI 24hr'!G31,'2.11 MUKONO-KATOSI 24hr'!G31,'4.11 KATOSI-MUKONO'!G31)</f>
        <v>0.42857142857142855</v>
      </c>
      <c r="H31" s="49">
        <f>AVERAGE('29.10 KATOSI-MUKONO'!H31,'30.10 MUKONO-KATOSI'!H31,'31.10 KATOSI-MUKONO'!H31,'3.11 KATOSI-MUKONO'!H31,'1.11 MUKONO-KATOSI 24hr'!H31,'2.11 MUKONO-KATOSI 24hr'!H31,'4.11 KATOSI-MUKONO'!H31)</f>
        <v>0</v>
      </c>
      <c r="I31" s="49">
        <f>AVERAGE('29.10 KATOSI-MUKONO'!I31,'30.10 MUKONO-KATOSI'!I31,'31.10 KATOSI-MUKONO'!I31,'3.11 KATOSI-MUKONO'!I31,'1.11 MUKONO-KATOSI 24hr'!I31,'2.11 MUKONO-KATOSI 24hr'!I31,'4.11 KATOSI-MUKONO'!I31)</f>
        <v>6.8571428571428568</v>
      </c>
      <c r="J31" s="49">
        <f>AVERAGE('29.10 KATOSI-MUKONO'!J31,'30.10 MUKONO-KATOSI'!J31,'31.10 KATOSI-MUKONO'!J31,'3.11 KATOSI-MUKONO'!J31,'1.11 MUKONO-KATOSI 24hr'!J31,'2.11 MUKONO-KATOSI 24hr'!J31,'4.11 KATOSI-MUKONO'!J31)</f>
        <v>1.1428571428571428</v>
      </c>
      <c r="K31" s="49">
        <f>AVERAGE('29.10 KATOSI-MUKONO'!K31,'30.10 MUKONO-KATOSI'!K31,'31.10 KATOSI-MUKONO'!K31,'3.11 KATOSI-MUKONO'!K31,'1.11 MUKONO-KATOSI 24hr'!K31,'2.11 MUKONO-KATOSI 24hr'!K31,'4.11 KATOSI-MUKONO'!K31)</f>
        <v>0.2857142857142857</v>
      </c>
      <c r="L31" s="49">
        <f>AVERAGE('29.10 KATOSI-MUKONO'!L31,'30.10 MUKONO-KATOSI'!L31,'31.10 KATOSI-MUKONO'!L31,'3.11 KATOSI-MUKONO'!L31,'1.11 MUKONO-KATOSI 24hr'!L31,'2.11 MUKONO-KATOSI 24hr'!L31,'4.11 KATOSI-MUKONO'!L31)</f>
        <v>0.2857142857142857</v>
      </c>
      <c r="M31" s="49">
        <f>AVERAGE('29.10 KATOSI-MUKONO'!M31,'30.10 MUKONO-KATOSI'!M31,'31.10 KATOSI-MUKONO'!M31,'3.11 KATOSI-MUKONO'!M31,'1.11 MUKONO-KATOSI 24hr'!M31,'2.11 MUKONO-KATOSI 24hr'!M31,'4.11 KATOSI-MUKONO'!M31)</f>
        <v>94.142857142857139</v>
      </c>
      <c r="N31" s="49">
        <f>AVERAGE('29.10 KATOSI-MUKONO'!N31,'30.10 MUKONO-KATOSI'!N31,'31.10 KATOSI-MUKONO'!N31,'3.11 KATOSI-MUKONO'!N31,'1.11 MUKONO-KATOSI 24hr'!N31,'2.11 MUKONO-KATOSI 24hr'!N31,'4.11 KATOSI-MUKONO'!N31)</f>
        <v>0</v>
      </c>
      <c r="O31" s="15">
        <f t="shared" si="0"/>
        <v>35.428571428571431</v>
      </c>
      <c r="P31" s="15">
        <f t="shared" si="1"/>
        <v>129.57142857142856</v>
      </c>
      <c r="R31" s="1" t="s">
        <v>155</v>
      </c>
      <c r="S31" s="34">
        <f>SUM(C94:C97)</f>
        <v>6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14.5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0.5</v>
      </c>
      <c r="AC31" s="34">
        <f t="shared" si="23"/>
        <v>26</v>
      </c>
      <c r="AD31" s="34">
        <f t="shared" si="23"/>
        <v>0</v>
      </c>
      <c r="AE31" s="31">
        <f t="shared" si="23"/>
        <v>24.5</v>
      </c>
      <c r="AF31" s="31">
        <f t="shared" si="23"/>
        <v>50.5</v>
      </c>
    </row>
    <row r="32" spans="2:32" ht="23.1" customHeight="1" x14ac:dyDescent="0.25">
      <c r="B32" s="24" t="s">
        <v>59</v>
      </c>
      <c r="C32" s="49">
        <f>AVERAGE('29.10 KATOSI-MUKONO'!C32,'30.10 MUKONO-KATOSI'!C32,'31.10 KATOSI-MUKONO'!C32,'3.11 KATOSI-MUKONO'!C32,'1.11 MUKONO-KATOSI 24hr'!C32,'2.11 MUKONO-KATOSI 24hr'!C32,'4.11 KATOSI-MUKONO'!C32)</f>
        <v>12</v>
      </c>
      <c r="D32" s="49">
        <f>AVERAGE('29.10 KATOSI-MUKONO'!D32,'30.10 MUKONO-KATOSI'!D32,'31.10 KATOSI-MUKONO'!D32,'3.11 KATOSI-MUKONO'!D32,'1.11 MUKONO-KATOSI 24hr'!D32,'2.11 MUKONO-KATOSI 24hr'!D32,'4.11 KATOSI-MUKONO'!D32)</f>
        <v>3.7142857142857144</v>
      </c>
      <c r="E32" s="49">
        <f>AVERAGE('29.10 KATOSI-MUKONO'!E32,'30.10 MUKONO-KATOSI'!E32,'31.10 KATOSI-MUKONO'!E32,'3.11 KATOSI-MUKONO'!E32,'1.11 MUKONO-KATOSI 24hr'!E32,'2.11 MUKONO-KATOSI 24hr'!E32,'4.11 KATOSI-MUKONO'!E32)</f>
        <v>3.8571428571428572</v>
      </c>
      <c r="F32" s="49">
        <f>AVERAGE('29.10 KATOSI-MUKONO'!F32,'30.10 MUKONO-KATOSI'!F32,'31.10 KATOSI-MUKONO'!F32,'3.11 KATOSI-MUKONO'!F32,'1.11 MUKONO-KATOSI 24hr'!F32,'2.11 MUKONO-KATOSI 24hr'!F32,'4.11 KATOSI-MUKONO'!F32)</f>
        <v>8.7142857142857135</v>
      </c>
      <c r="G32" s="49">
        <f>AVERAGE('29.10 KATOSI-MUKONO'!G32,'30.10 MUKONO-KATOSI'!G32,'31.10 KATOSI-MUKONO'!G32,'3.11 KATOSI-MUKONO'!G32,'1.11 MUKONO-KATOSI 24hr'!G32,'2.11 MUKONO-KATOSI 24hr'!G32,'4.11 KATOSI-MUKONO'!G32)</f>
        <v>0</v>
      </c>
      <c r="H32" s="49">
        <f>AVERAGE('29.10 KATOSI-MUKONO'!H32,'30.10 MUKONO-KATOSI'!H32,'31.10 KATOSI-MUKONO'!H32,'3.11 KATOSI-MUKONO'!H32,'1.11 MUKONO-KATOSI 24hr'!H32,'2.11 MUKONO-KATOSI 24hr'!H32,'4.11 KATOSI-MUKONO'!H32)</f>
        <v>0</v>
      </c>
      <c r="I32" s="49">
        <f>AVERAGE('29.10 KATOSI-MUKONO'!I32,'30.10 MUKONO-KATOSI'!I32,'31.10 KATOSI-MUKONO'!I32,'3.11 KATOSI-MUKONO'!I32,'1.11 MUKONO-KATOSI 24hr'!I32,'2.11 MUKONO-KATOSI 24hr'!I32,'4.11 KATOSI-MUKONO'!I32)</f>
        <v>6.1428571428571432</v>
      </c>
      <c r="J32" s="49">
        <f>AVERAGE('29.10 KATOSI-MUKONO'!J32,'30.10 MUKONO-KATOSI'!J32,'31.10 KATOSI-MUKONO'!J32,'3.11 KATOSI-MUKONO'!J32,'1.11 MUKONO-KATOSI 24hr'!J32,'2.11 MUKONO-KATOSI 24hr'!J32,'4.11 KATOSI-MUKONO'!J32)</f>
        <v>1.7142857142857142</v>
      </c>
      <c r="K32" s="49">
        <f>AVERAGE('29.10 KATOSI-MUKONO'!K32,'30.10 MUKONO-KATOSI'!K32,'31.10 KATOSI-MUKONO'!K32,'3.11 KATOSI-MUKONO'!K32,'1.11 MUKONO-KATOSI 24hr'!K32,'2.11 MUKONO-KATOSI 24hr'!K32,'4.11 KATOSI-MUKONO'!K32)</f>
        <v>0.42857142857142855</v>
      </c>
      <c r="L32" s="49">
        <f>AVERAGE('29.10 KATOSI-MUKONO'!L32,'30.10 MUKONO-KATOSI'!L32,'31.10 KATOSI-MUKONO'!L32,'3.11 KATOSI-MUKONO'!L32,'1.11 MUKONO-KATOSI 24hr'!L32,'2.11 MUKONO-KATOSI 24hr'!L32,'4.11 KATOSI-MUKONO'!L32)</f>
        <v>20.857142857142858</v>
      </c>
      <c r="M32" s="49">
        <f>AVERAGE('29.10 KATOSI-MUKONO'!M32,'30.10 MUKONO-KATOSI'!M32,'31.10 KATOSI-MUKONO'!M32,'3.11 KATOSI-MUKONO'!M32,'1.11 MUKONO-KATOSI 24hr'!M32,'2.11 MUKONO-KATOSI 24hr'!M32,'4.11 KATOSI-MUKONO'!M32)</f>
        <v>77.857142857142861</v>
      </c>
      <c r="N32" s="49">
        <f>AVERAGE('29.10 KATOSI-MUKONO'!N32,'30.10 MUKONO-KATOSI'!N32,'31.10 KATOSI-MUKONO'!N32,'3.11 KATOSI-MUKONO'!N32,'1.11 MUKONO-KATOSI 24hr'!N32,'2.11 MUKONO-KATOSI 24hr'!N32,'4.11 KATOSI-MUKONO'!N32)</f>
        <v>0</v>
      </c>
      <c r="O32" s="15">
        <f t="shared" si="0"/>
        <v>57.428571428571431</v>
      </c>
      <c r="P32" s="15">
        <f t="shared" si="1"/>
        <v>135.28571428571428</v>
      </c>
      <c r="R32" s="1" t="s">
        <v>156</v>
      </c>
      <c r="S32" s="34">
        <f>SUM(C98:C101)</f>
        <v>8.5</v>
      </c>
      <c r="T32" s="34">
        <f t="shared" ref="T32:AF32" si="24">SUM(D98:D101)</f>
        <v>7</v>
      </c>
      <c r="U32" s="34">
        <f t="shared" si="24"/>
        <v>4</v>
      </c>
      <c r="V32" s="34">
        <f t="shared" si="24"/>
        <v>26.5</v>
      </c>
      <c r="W32" s="34">
        <f t="shared" si="24"/>
        <v>1.5</v>
      </c>
      <c r="X32" s="34">
        <f t="shared" si="24"/>
        <v>0</v>
      </c>
      <c r="Y32" s="34">
        <f t="shared" si="24"/>
        <v>6.5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77</v>
      </c>
      <c r="AD32" s="34">
        <f t="shared" si="24"/>
        <v>0</v>
      </c>
      <c r="AE32" s="31">
        <f t="shared" si="24"/>
        <v>54.5</v>
      </c>
      <c r="AF32" s="31">
        <f t="shared" si="24"/>
        <v>131.5</v>
      </c>
    </row>
    <row r="33" spans="2:32" ht="23.1" customHeight="1" x14ac:dyDescent="0.25">
      <c r="B33" s="23" t="s">
        <v>60</v>
      </c>
      <c r="C33" s="49">
        <f>AVERAGE('29.10 KATOSI-MUKONO'!C33,'30.10 MUKONO-KATOSI'!C33,'31.10 KATOSI-MUKONO'!C33,'3.11 KATOSI-MUKONO'!C33,'1.11 MUKONO-KATOSI 24hr'!C33,'2.11 MUKONO-KATOSI 24hr'!C33,'4.11 KATOSI-MUKONO'!C33)</f>
        <v>12.714285714285714</v>
      </c>
      <c r="D33" s="49">
        <f>AVERAGE('29.10 KATOSI-MUKONO'!D33,'30.10 MUKONO-KATOSI'!D33,'31.10 KATOSI-MUKONO'!D33,'3.11 KATOSI-MUKONO'!D33,'1.11 MUKONO-KATOSI 24hr'!D33,'2.11 MUKONO-KATOSI 24hr'!D33,'4.11 KATOSI-MUKONO'!D33)</f>
        <v>4.1428571428571432</v>
      </c>
      <c r="E33" s="49">
        <f>AVERAGE('29.10 KATOSI-MUKONO'!E33,'30.10 MUKONO-KATOSI'!E33,'31.10 KATOSI-MUKONO'!E33,'3.11 KATOSI-MUKONO'!E33,'1.11 MUKONO-KATOSI 24hr'!E33,'2.11 MUKONO-KATOSI 24hr'!E33,'4.11 KATOSI-MUKONO'!E33)</f>
        <v>3</v>
      </c>
      <c r="F33" s="49">
        <f>AVERAGE('29.10 KATOSI-MUKONO'!F33,'30.10 MUKONO-KATOSI'!F33,'31.10 KATOSI-MUKONO'!F33,'3.11 KATOSI-MUKONO'!F33,'1.11 MUKONO-KATOSI 24hr'!F33,'2.11 MUKONO-KATOSI 24hr'!F33,'4.11 KATOSI-MUKONO'!F33)</f>
        <v>11.571428571428571</v>
      </c>
      <c r="G33" s="49">
        <f>AVERAGE('29.10 KATOSI-MUKONO'!G33,'30.10 MUKONO-KATOSI'!G33,'31.10 KATOSI-MUKONO'!G33,'3.11 KATOSI-MUKONO'!G33,'1.11 MUKONO-KATOSI 24hr'!G33,'2.11 MUKONO-KATOSI 24hr'!G33,'4.11 KATOSI-MUKONO'!G33)</f>
        <v>0.7142857142857143</v>
      </c>
      <c r="H33" s="49">
        <f>AVERAGE('29.10 KATOSI-MUKONO'!H33,'30.10 MUKONO-KATOSI'!H33,'31.10 KATOSI-MUKONO'!H33,'3.11 KATOSI-MUKONO'!H33,'1.11 MUKONO-KATOSI 24hr'!H33,'2.11 MUKONO-KATOSI 24hr'!H33,'4.11 KATOSI-MUKONO'!H33)</f>
        <v>0</v>
      </c>
      <c r="I33" s="49">
        <f>AVERAGE('29.10 KATOSI-MUKONO'!I33,'30.10 MUKONO-KATOSI'!I33,'31.10 KATOSI-MUKONO'!I33,'3.11 KATOSI-MUKONO'!I33,'1.11 MUKONO-KATOSI 24hr'!I33,'2.11 MUKONO-KATOSI 24hr'!I33,'4.11 KATOSI-MUKONO'!I33)</f>
        <v>7.1428571428571432</v>
      </c>
      <c r="J33" s="49">
        <f>AVERAGE('29.10 KATOSI-MUKONO'!J33,'30.10 MUKONO-KATOSI'!J33,'31.10 KATOSI-MUKONO'!J33,'3.11 KATOSI-MUKONO'!J33,'1.11 MUKONO-KATOSI 24hr'!J33,'2.11 MUKONO-KATOSI 24hr'!J33,'4.11 KATOSI-MUKONO'!J33)</f>
        <v>1.7142857142857142</v>
      </c>
      <c r="K33" s="49">
        <f>AVERAGE('29.10 KATOSI-MUKONO'!K33,'30.10 MUKONO-KATOSI'!K33,'31.10 KATOSI-MUKONO'!K33,'3.11 KATOSI-MUKONO'!K33,'1.11 MUKONO-KATOSI 24hr'!K33,'2.11 MUKONO-KATOSI 24hr'!K33,'4.11 KATOSI-MUKONO'!K33)</f>
        <v>1.2857142857142858</v>
      </c>
      <c r="L33" s="49">
        <f>AVERAGE('29.10 KATOSI-MUKONO'!L33,'30.10 MUKONO-KATOSI'!L33,'31.10 KATOSI-MUKONO'!L33,'3.11 KATOSI-MUKONO'!L33,'1.11 MUKONO-KATOSI 24hr'!L33,'2.11 MUKONO-KATOSI 24hr'!L33,'4.11 KATOSI-MUKONO'!L33)</f>
        <v>1</v>
      </c>
      <c r="M33" s="49">
        <f>AVERAGE('29.10 KATOSI-MUKONO'!M33,'30.10 MUKONO-KATOSI'!M33,'31.10 KATOSI-MUKONO'!M33,'3.11 KATOSI-MUKONO'!M33,'1.11 MUKONO-KATOSI 24hr'!M33,'2.11 MUKONO-KATOSI 24hr'!M33,'4.11 KATOSI-MUKONO'!M33)</f>
        <v>85.571428571428569</v>
      </c>
      <c r="N33" s="49">
        <f>AVERAGE('29.10 KATOSI-MUKONO'!N33,'30.10 MUKONO-KATOSI'!N33,'31.10 KATOSI-MUKONO'!N33,'3.11 KATOSI-MUKONO'!N33,'1.11 MUKONO-KATOSI 24hr'!N33,'2.11 MUKONO-KATOSI 24hr'!N33,'4.11 KATOSI-MUKONO'!N33)</f>
        <v>0</v>
      </c>
      <c r="O33" s="15">
        <f t="shared" si="0"/>
        <v>43.285714285714292</v>
      </c>
      <c r="P33" s="15">
        <f t="shared" si="1"/>
        <v>128.85714285714286</v>
      </c>
      <c r="R33" s="1" t="s">
        <v>157</v>
      </c>
      <c r="S33" s="34">
        <f>SUM(C102:C105)</f>
        <v>13.5</v>
      </c>
      <c r="T33" s="34">
        <f t="shared" ref="T33:AF33" si="25">SUM(D102:D105)</f>
        <v>6.5</v>
      </c>
      <c r="U33" s="34">
        <f t="shared" si="25"/>
        <v>3.5</v>
      </c>
      <c r="V33" s="34">
        <f t="shared" si="25"/>
        <v>30</v>
      </c>
      <c r="W33" s="34">
        <f t="shared" si="25"/>
        <v>8</v>
      </c>
      <c r="X33" s="34">
        <f t="shared" si="25"/>
        <v>0</v>
      </c>
      <c r="Y33" s="34">
        <f t="shared" si="25"/>
        <v>3.5</v>
      </c>
      <c r="Z33" s="34">
        <f t="shared" si="25"/>
        <v>3</v>
      </c>
      <c r="AA33" s="34">
        <f t="shared" si="25"/>
        <v>1</v>
      </c>
      <c r="AB33" s="34">
        <f t="shared" si="25"/>
        <v>0</v>
      </c>
      <c r="AC33" s="34">
        <f t="shared" si="25"/>
        <v>147</v>
      </c>
      <c r="AD33" s="34">
        <f t="shared" si="25"/>
        <v>0</v>
      </c>
      <c r="AE33" s="31">
        <f t="shared" si="25"/>
        <v>69</v>
      </c>
      <c r="AF33" s="31">
        <f t="shared" si="25"/>
        <v>216</v>
      </c>
    </row>
    <row r="34" spans="2:32" ht="23.1" customHeight="1" x14ac:dyDescent="0.25">
      <c r="B34" s="24" t="s">
        <v>61</v>
      </c>
      <c r="C34" s="49">
        <f>AVERAGE('29.10 KATOSI-MUKONO'!C34,'30.10 MUKONO-KATOSI'!C34,'31.10 KATOSI-MUKONO'!C34,'3.11 KATOSI-MUKONO'!C34,'1.11 MUKONO-KATOSI 24hr'!C34,'2.11 MUKONO-KATOSI 24hr'!C34,'4.11 KATOSI-MUKONO'!C34)</f>
        <v>13.142857142857142</v>
      </c>
      <c r="D34" s="49">
        <f>AVERAGE('29.10 KATOSI-MUKONO'!D34,'30.10 MUKONO-KATOSI'!D34,'31.10 KATOSI-MUKONO'!D34,'3.11 KATOSI-MUKONO'!D34,'1.11 MUKONO-KATOSI 24hr'!D34,'2.11 MUKONO-KATOSI 24hr'!D34,'4.11 KATOSI-MUKONO'!D34)</f>
        <v>3.1428571428571428</v>
      </c>
      <c r="E34" s="49">
        <f>AVERAGE('29.10 KATOSI-MUKONO'!E34,'30.10 MUKONO-KATOSI'!E34,'31.10 KATOSI-MUKONO'!E34,'3.11 KATOSI-MUKONO'!E34,'1.11 MUKONO-KATOSI 24hr'!E34,'2.11 MUKONO-KATOSI 24hr'!E34,'4.11 KATOSI-MUKONO'!E34)</f>
        <v>4</v>
      </c>
      <c r="F34" s="49">
        <f>AVERAGE('29.10 KATOSI-MUKONO'!F34,'30.10 MUKONO-KATOSI'!F34,'31.10 KATOSI-MUKONO'!F34,'3.11 KATOSI-MUKONO'!F34,'1.11 MUKONO-KATOSI 24hr'!F34,'2.11 MUKONO-KATOSI 24hr'!F34,'4.11 KATOSI-MUKONO'!F34)</f>
        <v>8.8571428571428577</v>
      </c>
      <c r="G34" s="49">
        <f>AVERAGE('29.10 KATOSI-MUKONO'!G34,'30.10 MUKONO-KATOSI'!G34,'31.10 KATOSI-MUKONO'!G34,'3.11 KATOSI-MUKONO'!G34,'1.11 MUKONO-KATOSI 24hr'!G34,'2.11 MUKONO-KATOSI 24hr'!G34,'4.11 KATOSI-MUKONO'!G34)</f>
        <v>0.42857142857142855</v>
      </c>
      <c r="H34" s="49">
        <f>AVERAGE('29.10 KATOSI-MUKONO'!H34,'30.10 MUKONO-KATOSI'!H34,'31.10 KATOSI-MUKONO'!H34,'3.11 KATOSI-MUKONO'!H34,'1.11 MUKONO-KATOSI 24hr'!H34,'2.11 MUKONO-KATOSI 24hr'!H34,'4.11 KATOSI-MUKONO'!H34)</f>
        <v>0</v>
      </c>
      <c r="I34" s="49">
        <f>AVERAGE('29.10 KATOSI-MUKONO'!I34,'30.10 MUKONO-KATOSI'!I34,'31.10 KATOSI-MUKONO'!I34,'3.11 KATOSI-MUKONO'!I34,'1.11 MUKONO-KATOSI 24hr'!I34,'2.11 MUKONO-KATOSI 24hr'!I34,'4.11 KATOSI-MUKONO'!I34)</f>
        <v>7.5714285714285712</v>
      </c>
      <c r="J34" s="49">
        <f>AVERAGE('29.10 KATOSI-MUKONO'!J34,'30.10 MUKONO-KATOSI'!J34,'31.10 KATOSI-MUKONO'!J34,'3.11 KATOSI-MUKONO'!J34,'1.11 MUKONO-KATOSI 24hr'!J34,'2.11 MUKONO-KATOSI 24hr'!J34,'4.11 KATOSI-MUKONO'!J34)</f>
        <v>2</v>
      </c>
      <c r="K34" s="49">
        <f>AVERAGE('29.10 KATOSI-MUKONO'!K34,'30.10 MUKONO-KATOSI'!K34,'31.10 KATOSI-MUKONO'!K34,'3.11 KATOSI-MUKONO'!K34,'1.11 MUKONO-KATOSI 24hr'!K34,'2.11 MUKONO-KATOSI 24hr'!K34,'4.11 KATOSI-MUKONO'!K34)</f>
        <v>0.2857142857142857</v>
      </c>
      <c r="L34" s="49">
        <f>AVERAGE('29.10 KATOSI-MUKONO'!L34,'30.10 MUKONO-KATOSI'!L34,'31.10 KATOSI-MUKONO'!L34,'3.11 KATOSI-MUKONO'!L34,'1.11 MUKONO-KATOSI 24hr'!L34,'2.11 MUKONO-KATOSI 24hr'!L34,'4.11 KATOSI-MUKONO'!L34)</f>
        <v>1</v>
      </c>
      <c r="M34" s="49">
        <f>AVERAGE('29.10 KATOSI-MUKONO'!M34,'30.10 MUKONO-KATOSI'!M34,'31.10 KATOSI-MUKONO'!M34,'3.11 KATOSI-MUKONO'!M34,'1.11 MUKONO-KATOSI 24hr'!M34,'2.11 MUKONO-KATOSI 24hr'!M34,'4.11 KATOSI-MUKONO'!M34)</f>
        <v>99.857142857142861</v>
      </c>
      <c r="N34" s="49">
        <f>AVERAGE('29.10 KATOSI-MUKONO'!N34,'30.10 MUKONO-KATOSI'!N34,'31.10 KATOSI-MUKONO'!N34,'3.11 KATOSI-MUKONO'!N34,'1.11 MUKONO-KATOSI 24hr'!N34,'2.11 MUKONO-KATOSI 24hr'!N34,'4.11 KATOSI-MUKONO'!N34)</f>
        <v>0</v>
      </c>
      <c r="O34" s="15">
        <f t="shared" si="0"/>
        <v>40.428571428571423</v>
      </c>
      <c r="P34" s="15">
        <f t="shared" si="1"/>
        <v>140.28571428571428</v>
      </c>
      <c r="R34" s="38" t="s">
        <v>90</v>
      </c>
      <c r="S34" s="39">
        <f t="shared" ref="S34:AF34" si="26">MAX(S10:S12)</f>
        <v>51.142857142857153</v>
      </c>
      <c r="T34" s="39">
        <f t="shared" si="26"/>
        <v>20.571428571428569</v>
      </c>
      <c r="U34" s="39">
        <f t="shared" si="26"/>
        <v>13.571428571428573</v>
      </c>
      <c r="V34" s="39">
        <f t="shared" si="26"/>
        <v>44.428571428571431</v>
      </c>
      <c r="W34" s="39">
        <f t="shared" si="26"/>
        <v>6.4285714285714279</v>
      </c>
      <c r="X34" s="39">
        <f t="shared" si="26"/>
        <v>0.2857142857142857</v>
      </c>
      <c r="Y34" s="39">
        <f t="shared" si="26"/>
        <v>27.142857142857142</v>
      </c>
      <c r="Z34" s="39">
        <f t="shared" si="26"/>
        <v>5.1428571428571423</v>
      </c>
      <c r="AA34" s="39">
        <f t="shared" si="26"/>
        <v>1.857142857142857</v>
      </c>
      <c r="AB34" s="39">
        <f t="shared" si="26"/>
        <v>1.714285714285714</v>
      </c>
      <c r="AC34" s="39">
        <f t="shared" si="26"/>
        <v>399.71428571428572</v>
      </c>
      <c r="AD34" s="39">
        <f t="shared" si="26"/>
        <v>14.142857142857142</v>
      </c>
      <c r="AE34" s="40">
        <f t="shared" si="26"/>
        <v>178</v>
      </c>
      <c r="AF34" s="40">
        <f t="shared" si="26"/>
        <v>540.57142857142856</v>
      </c>
    </row>
    <row r="35" spans="2:32" ht="23.1" customHeight="1" x14ac:dyDescent="0.25">
      <c r="B35" s="24" t="s">
        <v>62</v>
      </c>
      <c r="C35" s="49">
        <f>AVERAGE('29.10 KATOSI-MUKONO'!C35,'30.10 MUKONO-KATOSI'!C35,'31.10 KATOSI-MUKONO'!C35,'3.11 KATOSI-MUKONO'!C35,'1.11 MUKONO-KATOSI 24hr'!C35,'2.11 MUKONO-KATOSI 24hr'!C35,'4.11 KATOSI-MUKONO'!C35)</f>
        <v>11</v>
      </c>
      <c r="D35" s="49">
        <f>AVERAGE('29.10 KATOSI-MUKONO'!D35,'30.10 MUKONO-KATOSI'!D35,'31.10 KATOSI-MUKONO'!D35,'3.11 KATOSI-MUKONO'!D35,'1.11 MUKONO-KATOSI 24hr'!D35,'2.11 MUKONO-KATOSI 24hr'!D35,'4.11 KATOSI-MUKONO'!D35)</f>
        <v>3.7142857142857144</v>
      </c>
      <c r="E35" s="49">
        <f>AVERAGE('29.10 KATOSI-MUKONO'!E35,'30.10 MUKONO-KATOSI'!E35,'31.10 KATOSI-MUKONO'!E35,'3.11 KATOSI-MUKONO'!E35,'1.11 MUKONO-KATOSI 24hr'!E35,'2.11 MUKONO-KATOSI 24hr'!E35,'4.11 KATOSI-MUKONO'!E35)</f>
        <v>3.4285714285714284</v>
      </c>
      <c r="F35" s="49">
        <f>AVERAGE('29.10 KATOSI-MUKONO'!F35,'30.10 MUKONO-KATOSI'!F35,'31.10 KATOSI-MUKONO'!F35,'3.11 KATOSI-MUKONO'!F35,'1.11 MUKONO-KATOSI 24hr'!F35,'2.11 MUKONO-KATOSI 24hr'!F35,'4.11 KATOSI-MUKONO'!F35)</f>
        <v>6.4285714285714288</v>
      </c>
      <c r="G35" s="49">
        <f>AVERAGE('29.10 KATOSI-MUKONO'!G35,'30.10 MUKONO-KATOSI'!G35,'31.10 KATOSI-MUKONO'!G35,'3.11 KATOSI-MUKONO'!G35,'1.11 MUKONO-KATOSI 24hr'!G35,'2.11 MUKONO-KATOSI 24hr'!G35,'4.11 KATOSI-MUKONO'!G35)</f>
        <v>0.7142857142857143</v>
      </c>
      <c r="H35" s="49">
        <f>AVERAGE('29.10 KATOSI-MUKONO'!H35,'30.10 MUKONO-KATOSI'!H35,'31.10 KATOSI-MUKONO'!H35,'3.11 KATOSI-MUKONO'!H35,'1.11 MUKONO-KATOSI 24hr'!H35,'2.11 MUKONO-KATOSI 24hr'!H35,'4.11 KATOSI-MUKONO'!H35)</f>
        <v>0</v>
      </c>
      <c r="I35" s="49">
        <f>AVERAGE('29.10 KATOSI-MUKONO'!I35,'30.10 MUKONO-KATOSI'!I35,'31.10 KATOSI-MUKONO'!I35,'3.11 KATOSI-MUKONO'!I35,'1.11 MUKONO-KATOSI 24hr'!I35,'2.11 MUKONO-KATOSI 24hr'!I35,'4.11 KATOSI-MUKONO'!I35)</f>
        <v>6.2857142857142856</v>
      </c>
      <c r="J35" s="49">
        <f>AVERAGE('29.10 KATOSI-MUKONO'!J35,'30.10 MUKONO-KATOSI'!J35,'31.10 KATOSI-MUKONO'!J35,'3.11 KATOSI-MUKONO'!J35,'1.11 MUKONO-KATOSI 24hr'!J35,'2.11 MUKONO-KATOSI 24hr'!J35,'4.11 KATOSI-MUKONO'!J35)</f>
        <v>1.5714285714285714</v>
      </c>
      <c r="K35" s="49">
        <f>AVERAGE('29.10 KATOSI-MUKONO'!K35,'30.10 MUKONO-KATOSI'!K35,'31.10 KATOSI-MUKONO'!K35,'3.11 KATOSI-MUKONO'!K35,'1.11 MUKONO-KATOSI 24hr'!K35,'2.11 MUKONO-KATOSI 24hr'!K35,'4.11 KATOSI-MUKONO'!K35)</f>
        <v>0.42857142857142855</v>
      </c>
      <c r="L35" s="49">
        <f>AVERAGE('29.10 KATOSI-MUKONO'!L35,'30.10 MUKONO-KATOSI'!L35,'31.10 KATOSI-MUKONO'!L35,'3.11 KATOSI-MUKONO'!L35,'1.11 MUKONO-KATOSI 24hr'!L35,'2.11 MUKONO-KATOSI 24hr'!L35,'4.11 KATOSI-MUKONO'!L35)</f>
        <v>0.5714285714285714</v>
      </c>
      <c r="M35" s="49">
        <f>AVERAGE('29.10 KATOSI-MUKONO'!M35,'30.10 MUKONO-KATOSI'!M35,'31.10 KATOSI-MUKONO'!M35,'3.11 KATOSI-MUKONO'!M35,'1.11 MUKONO-KATOSI 24hr'!M35,'2.11 MUKONO-KATOSI 24hr'!M35,'4.11 KATOSI-MUKONO'!M35)</f>
        <v>95.714285714285708</v>
      </c>
      <c r="N35" s="49">
        <f>AVERAGE('29.10 KATOSI-MUKONO'!N35,'30.10 MUKONO-KATOSI'!N35,'31.10 KATOSI-MUKONO'!N35,'3.11 KATOSI-MUKONO'!N35,'1.11 MUKONO-KATOSI 24hr'!N35,'2.11 MUKONO-KATOSI 24hr'!N35,'4.11 KATOSI-MUKONO'!N35)</f>
        <v>0</v>
      </c>
      <c r="O35" s="15">
        <f t="shared" si="0"/>
        <v>34.142857142857139</v>
      </c>
      <c r="P35" s="15">
        <f t="shared" si="1"/>
        <v>129.85714285714283</v>
      </c>
      <c r="R35" s="38" t="s">
        <v>91</v>
      </c>
      <c r="S35" s="39">
        <f t="shared" ref="S35:AF35" si="27">MAX(S13:S18)</f>
        <v>56</v>
      </c>
      <c r="T35" s="39">
        <f t="shared" si="27"/>
        <v>18.714285714285715</v>
      </c>
      <c r="U35" s="39">
        <f t="shared" si="27"/>
        <v>14.142857142857144</v>
      </c>
      <c r="V35" s="39">
        <f t="shared" si="27"/>
        <v>37</v>
      </c>
      <c r="W35" s="39">
        <f t="shared" si="27"/>
        <v>1.7142857142857144</v>
      </c>
      <c r="X35" s="39">
        <f t="shared" si="27"/>
        <v>0.42857142857142855</v>
      </c>
      <c r="Y35" s="39">
        <f t="shared" si="27"/>
        <v>29.714285714285715</v>
      </c>
      <c r="Z35" s="39">
        <f t="shared" si="27"/>
        <v>7.2857142857142856</v>
      </c>
      <c r="AA35" s="39">
        <f t="shared" si="27"/>
        <v>2.2857142857142856</v>
      </c>
      <c r="AB35" s="39">
        <f t="shared" si="27"/>
        <v>22.571428571428573</v>
      </c>
      <c r="AC35" s="39">
        <f t="shared" si="27"/>
        <v>370.28571428571428</v>
      </c>
      <c r="AD35" s="39">
        <f t="shared" si="27"/>
        <v>0.2857142857142857</v>
      </c>
      <c r="AE35" s="40">
        <f t="shared" si="27"/>
        <v>172.57142857142856</v>
      </c>
      <c r="AF35" s="40">
        <f t="shared" si="27"/>
        <v>521.71428571428578</v>
      </c>
    </row>
    <row r="36" spans="2:32" ht="23.1" customHeight="1" x14ac:dyDescent="0.25">
      <c r="B36" s="24" t="s">
        <v>63</v>
      </c>
      <c r="C36" s="49">
        <f>AVERAGE('29.10 KATOSI-MUKONO'!C36,'30.10 MUKONO-KATOSI'!C36,'31.10 KATOSI-MUKONO'!C36,'3.11 KATOSI-MUKONO'!C36,'1.11 MUKONO-KATOSI 24hr'!C36,'2.11 MUKONO-KATOSI 24hr'!C36,'4.11 KATOSI-MUKONO'!C36)</f>
        <v>13.142857142857142</v>
      </c>
      <c r="D36" s="49">
        <f>AVERAGE('29.10 KATOSI-MUKONO'!D36,'30.10 MUKONO-KATOSI'!D36,'31.10 KATOSI-MUKONO'!D36,'3.11 KATOSI-MUKONO'!D36,'1.11 MUKONO-KATOSI 24hr'!D36,'2.11 MUKONO-KATOSI 24hr'!D36,'4.11 KATOSI-MUKONO'!D36)</f>
        <v>5.5714285714285712</v>
      </c>
      <c r="E36" s="49">
        <f>AVERAGE('29.10 KATOSI-MUKONO'!E36,'30.10 MUKONO-KATOSI'!E36,'31.10 KATOSI-MUKONO'!E36,'3.11 KATOSI-MUKONO'!E36,'1.11 MUKONO-KATOSI 24hr'!E36,'2.11 MUKONO-KATOSI 24hr'!E36,'4.11 KATOSI-MUKONO'!E36)</f>
        <v>2.8571428571428572</v>
      </c>
      <c r="F36" s="49">
        <f>AVERAGE('29.10 KATOSI-MUKONO'!F36,'30.10 MUKONO-KATOSI'!F36,'31.10 KATOSI-MUKONO'!F36,'3.11 KATOSI-MUKONO'!F36,'1.11 MUKONO-KATOSI 24hr'!F36,'2.11 MUKONO-KATOSI 24hr'!F36,'4.11 KATOSI-MUKONO'!F36)</f>
        <v>6.8571428571428568</v>
      </c>
      <c r="G36" s="49">
        <f>AVERAGE('29.10 KATOSI-MUKONO'!G36,'30.10 MUKONO-KATOSI'!G36,'31.10 KATOSI-MUKONO'!G36,'3.11 KATOSI-MUKONO'!G36,'1.11 MUKONO-KATOSI 24hr'!G36,'2.11 MUKONO-KATOSI 24hr'!G36,'4.11 KATOSI-MUKONO'!G36)</f>
        <v>0.2857142857142857</v>
      </c>
      <c r="H36" s="49">
        <f>AVERAGE('29.10 KATOSI-MUKONO'!H36,'30.10 MUKONO-KATOSI'!H36,'31.10 KATOSI-MUKONO'!H36,'3.11 KATOSI-MUKONO'!H36,'1.11 MUKONO-KATOSI 24hr'!H36,'2.11 MUKONO-KATOSI 24hr'!H36,'4.11 KATOSI-MUKONO'!H36)</f>
        <v>0</v>
      </c>
      <c r="I36" s="49">
        <f>AVERAGE('29.10 KATOSI-MUKONO'!I36,'30.10 MUKONO-KATOSI'!I36,'31.10 KATOSI-MUKONO'!I36,'3.11 KATOSI-MUKONO'!I36,'1.11 MUKONO-KATOSI 24hr'!I36,'2.11 MUKONO-KATOSI 24hr'!I36,'4.11 KATOSI-MUKONO'!I36)</f>
        <v>6.1428571428571432</v>
      </c>
      <c r="J36" s="49">
        <f>AVERAGE('29.10 KATOSI-MUKONO'!J36,'30.10 MUKONO-KATOSI'!J36,'31.10 KATOSI-MUKONO'!J36,'3.11 KATOSI-MUKONO'!J36,'1.11 MUKONO-KATOSI 24hr'!J36,'2.11 MUKONO-KATOSI 24hr'!J36,'4.11 KATOSI-MUKONO'!J36)</f>
        <v>0.8571428571428571</v>
      </c>
      <c r="K36" s="49">
        <f>AVERAGE('29.10 KATOSI-MUKONO'!K36,'30.10 MUKONO-KATOSI'!K36,'31.10 KATOSI-MUKONO'!K36,'3.11 KATOSI-MUKONO'!K36,'1.11 MUKONO-KATOSI 24hr'!K36,'2.11 MUKONO-KATOSI 24hr'!K36,'4.11 KATOSI-MUKONO'!K36)</f>
        <v>0.8571428571428571</v>
      </c>
      <c r="L36" s="49">
        <f>AVERAGE('29.10 KATOSI-MUKONO'!L36,'30.10 MUKONO-KATOSI'!L36,'31.10 KATOSI-MUKONO'!L36,'3.11 KATOSI-MUKONO'!L36,'1.11 MUKONO-KATOSI 24hr'!L36,'2.11 MUKONO-KATOSI 24hr'!L36,'4.11 KATOSI-MUKONO'!L36)</f>
        <v>0.2857142857142857</v>
      </c>
      <c r="M36" s="49">
        <f>AVERAGE('29.10 KATOSI-MUKONO'!M36,'30.10 MUKONO-KATOSI'!M36,'31.10 KATOSI-MUKONO'!M36,'3.11 KATOSI-MUKONO'!M36,'1.11 MUKONO-KATOSI 24hr'!M36,'2.11 MUKONO-KATOSI 24hr'!M36,'4.11 KATOSI-MUKONO'!M36)</f>
        <v>87.428571428571431</v>
      </c>
      <c r="N36" s="49">
        <f>AVERAGE('29.10 KATOSI-MUKONO'!N36,'30.10 MUKONO-KATOSI'!N36,'31.10 KATOSI-MUKONO'!N36,'3.11 KATOSI-MUKONO'!N36,'1.11 MUKONO-KATOSI 24hr'!N36,'2.11 MUKONO-KATOSI 24hr'!N36,'4.11 KATOSI-MUKONO'!N36)</f>
        <v>0.14285714285714285</v>
      </c>
      <c r="O36" s="15">
        <f t="shared" si="0"/>
        <v>37</v>
      </c>
      <c r="P36" s="15">
        <f t="shared" si="1"/>
        <v>124.42857142857142</v>
      </c>
      <c r="R36" s="38" t="s">
        <v>92</v>
      </c>
      <c r="S36" s="39">
        <f t="shared" ref="S36:AF36" si="28">MAX(S19:S21)</f>
        <v>74</v>
      </c>
      <c r="T36" s="39">
        <f t="shared" si="28"/>
        <v>29.571428571428569</v>
      </c>
      <c r="U36" s="39">
        <f t="shared" si="28"/>
        <v>17.857142857142858</v>
      </c>
      <c r="V36" s="39">
        <f t="shared" si="28"/>
        <v>46.285714285714285</v>
      </c>
      <c r="W36" s="39">
        <f t="shared" si="28"/>
        <v>3.7142857142857144</v>
      </c>
      <c r="X36" s="39">
        <f t="shared" si="28"/>
        <v>0.14285714285714285</v>
      </c>
      <c r="Y36" s="39">
        <f t="shared" si="28"/>
        <v>35.714285714285708</v>
      </c>
      <c r="Z36" s="39">
        <f t="shared" si="28"/>
        <v>5.5714285714285712</v>
      </c>
      <c r="AA36" s="39">
        <f t="shared" si="28"/>
        <v>1.2857142857142856</v>
      </c>
      <c r="AB36" s="39">
        <f t="shared" si="28"/>
        <v>13.571428571428571</v>
      </c>
      <c r="AC36" s="39">
        <f t="shared" si="28"/>
        <v>351.28571428571428</v>
      </c>
      <c r="AD36" s="39">
        <f t="shared" si="28"/>
        <v>0.14285714285714285</v>
      </c>
      <c r="AE36" s="40">
        <f t="shared" si="28"/>
        <v>199.42857142857144</v>
      </c>
      <c r="AF36" s="40">
        <f t="shared" si="28"/>
        <v>547.14285714285711</v>
      </c>
    </row>
    <row r="37" spans="2:32" ht="23.1" customHeight="1" x14ac:dyDescent="0.25">
      <c r="B37" s="23" t="s">
        <v>64</v>
      </c>
      <c r="C37" s="49">
        <f>AVERAGE('29.10 KATOSI-MUKONO'!C37,'30.10 MUKONO-KATOSI'!C37,'31.10 KATOSI-MUKONO'!C37,'3.11 KATOSI-MUKONO'!C37,'1.11 MUKONO-KATOSI 24hr'!C37,'2.11 MUKONO-KATOSI 24hr'!C37,'4.11 KATOSI-MUKONO'!C37)</f>
        <v>12.428571428571429</v>
      </c>
      <c r="D37" s="49">
        <f>AVERAGE('29.10 KATOSI-MUKONO'!D37,'30.10 MUKONO-KATOSI'!D37,'31.10 KATOSI-MUKONO'!D37,'3.11 KATOSI-MUKONO'!D37,'1.11 MUKONO-KATOSI 24hr'!D37,'2.11 MUKONO-KATOSI 24hr'!D37,'4.11 KATOSI-MUKONO'!D37)</f>
        <v>3.8571428571428572</v>
      </c>
      <c r="E37" s="49">
        <f>AVERAGE('29.10 KATOSI-MUKONO'!E37,'30.10 MUKONO-KATOSI'!E37,'31.10 KATOSI-MUKONO'!E37,'3.11 KATOSI-MUKONO'!E37,'1.11 MUKONO-KATOSI 24hr'!E37,'2.11 MUKONO-KATOSI 24hr'!E37,'4.11 KATOSI-MUKONO'!E37)</f>
        <v>2.5714285714285716</v>
      </c>
      <c r="F37" s="49">
        <f>AVERAGE('29.10 KATOSI-MUKONO'!F37,'30.10 MUKONO-KATOSI'!F37,'31.10 KATOSI-MUKONO'!F37,'3.11 KATOSI-MUKONO'!F37,'1.11 MUKONO-KATOSI 24hr'!F37,'2.11 MUKONO-KATOSI 24hr'!F37,'4.11 KATOSI-MUKONO'!F37)</f>
        <v>5.4285714285714288</v>
      </c>
      <c r="G37" s="49">
        <f>AVERAGE('29.10 KATOSI-MUKONO'!G37,'30.10 MUKONO-KATOSI'!G37,'31.10 KATOSI-MUKONO'!G37,'3.11 KATOSI-MUKONO'!G37,'1.11 MUKONO-KATOSI 24hr'!G37,'2.11 MUKONO-KATOSI 24hr'!G37,'4.11 KATOSI-MUKONO'!G37)</f>
        <v>0.2857142857142857</v>
      </c>
      <c r="H37" s="49">
        <f>AVERAGE('29.10 KATOSI-MUKONO'!H37,'30.10 MUKONO-KATOSI'!H37,'31.10 KATOSI-MUKONO'!H37,'3.11 KATOSI-MUKONO'!H37,'1.11 MUKONO-KATOSI 24hr'!H37,'2.11 MUKONO-KATOSI 24hr'!H37,'4.11 KATOSI-MUKONO'!H37)</f>
        <v>0</v>
      </c>
      <c r="I37" s="49">
        <f>AVERAGE('29.10 KATOSI-MUKONO'!I37,'30.10 MUKONO-KATOSI'!I37,'31.10 KATOSI-MUKONO'!I37,'3.11 KATOSI-MUKONO'!I37,'1.11 MUKONO-KATOSI 24hr'!I37,'2.11 MUKONO-KATOSI 24hr'!I37,'4.11 KATOSI-MUKONO'!I37)</f>
        <v>4.7142857142857144</v>
      </c>
      <c r="J37" s="49">
        <f>AVERAGE('29.10 KATOSI-MUKONO'!J37,'30.10 MUKONO-KATOSI'!J37,'31.10 KATOSI-MUKONO'!J37,'3.11 KATOSI-MUKONO'!J37,'1.11 MUKONO-KATOSI 24hr'!J37,'2.11 MUKONO-KATOSI 24hr'!J37,'4.11 KATOSI-MUKONO'!J37)</f>
        <v>0.7142857142857143</v>
      </c>
      <c r="K37" s="49">
        <f>AVERAGE('29.10 KATOSI-MUKONO'!K37,'30.10 MUKONO-KATOSI'!K37,'31.10 KATOSI-MUKONO'!K37,'3.11 KATOSI-MUKONO'!K37,'1.11 MUKONO-KATOSI 24hr'!K37,'2.11 MUKONO-KATOSI 24hr'!K37,'4.11 KATOSI-MUKONO'!K37)</f>
        <v>0.2857142857142857</v>
      </c>
      <c r="L37" s="49">
        <f>AVERAGE('29.10 KATOSI-MUKONO'!L37,'30.10 MUKONO-KATOSI'!L37,'31.10 KATOSI-MUKONO'!L37,'3.11 KATOSI-MUKONO'!L37,'1.11 MUKONO-KATOSI 24hr'!L37,'2.11 MUKONO-KATOSI 24hr'!L37,'4.11 KATOSI-MUKONO'!L37)</f>
        <v>0.14285714285714285</v>
      </c>
      <c r="M37" s="49">
        <f>AVERAGE('29.10 KATOSI-MUKONO'!M37,'30.10 MUKONO-KATOSI'!M37,'31.10 KATOSI-MUKONO'!M37,'3.11 KATOSI-MUKONO'!M37,'1.11 MUKONO-KATOSI 24hr'!M37,'2.11 MUKONO-KATOSI 24hr'!M37,'4.11 KATOSI-MUKONO'!M37)</f>
        <v>81.285714285714292</v>
      </c>
      <c r="N37" s="49">
        <f>AVERAGE('29.10 KATOSI-MUKONO'!N37,'30.10 MUKONO-KATOSI'!N37,'31.10 KATOSI-MUKONO'!N37,'3.11 KATOSI-MUKONO'!N37,'1.11 MUKONO-KATOSI 24hr'!N37,'2.11 MUKONO-KATOSI 24hr'!N37,'4.11 KATOSI-MUKONO'!N37)</f>
        <v>0</v>
      </c>
      <c r="O37" s="15">
        <f t="shared" si="0"/>
        <v>30.428571428571427</v>
      </c>
      <c r="P37" s="15">
        <f t="shared" si="1"/>
        <v>111.71428571428572</v>
      </c>
      <c r="R37" s="37" t="s">
        <v>85</v>
      </c>
      <c r="S37" s="35">
        <f t="shared" ref="S37:AF37" si="29">SUM(S10:S12)</f>
        <v>143.71428571428572</v>
      </c>
      <c r="T37" s="16">
        <f t="shared" si="29"/>
        <v>46.857142857142854</v>
      </c>
      <c r="U37" s="16">
        <f t="shared" si="29"/>
        <v>36</v>
      </c>
      <c r="V37" s="16">
        <f t="shared" si="29"/>
        <v>115.85714285714286</v>
      </c>
      <c r="W37" s="16">
        <f t="shared" si="29"/>
        <v>11.857142857142856</v>
      </c>
      <c r="X37" s="16">
        <f t="shared" si="29"/>
        <v>0.42857142857142855</v>
      </c>
      <c r="Y37" s="16">
        <f t="shared" si="29"/>
        <v>68.428571428571431</v>
      </c>
      <c r="Z37" s="16">
        <f t="shared" si="29"/>
        <v>13.285714285714285</v>
      </c>
      <c r="AA37" s="16">
        <f t="shared" si="29"/>
        <v>4.4285714285714279</v>
      </c>
      <c r="AB37" s="16">
        <f t="shared" si="29"/>
        <v>2.7142857142857135</v>
      </c>
      <c r="AC37" s="16">
        <f t="shared" si="29"/>
        <v>1058.7142857142858</v>
      </c>
      <c r="AD37" s="16">
        <f t="shared" si="29"/>
        <v>20.142857142857142</v>
      </c>
      <c r="AE37" s="32">
        <f t="shared" si="29"/>
        <v>463.71428571428578</v>
      </c>
      <c r="AF37" s="32">
        <f t="shared" si="29"/>
        <v>1522.4285714285716</v>
      </c>
    </row>
    <row r="38" spans="2:32" ht="23.1" customHeight="1" x14ac:dyDescent="0.25">
      <c r="B38" s="24" t="s">
        <v>65</v>
      </c>
      <c r="C38" s="49">
        <f>AVERAGE('29.10 KATOSI-MUKONO'!C38,'30.10 MUKONO-KATOSI'!C38,'31.10 KATOSI-MUKONO'!C38,'3.11 KATOSI-MUKONO'!C38,'1.11 MUKONO-KATOSI 24hr'!C38,'2.11 MUKONO-KATOSI 24hr'!C38,'4.11 KATOSI-MUKONO'!C38)</f>
        <v>12.285714285714286</v>
      </c>
      <c r="D38" s="49">
        <f>AVERAGE('29.10 KATOSI-MUKONO'!D38,'30.10 MUKONO-KATOSI'!D38,'31.10 KATOSI-MUKONO'!D38,'3.11 KATOSI-MUKONO'!D38,'1.11 MUKONO-KATOSI 24hr'!D38,'2.11 MUKONO-KATOSI 24hr'!D38,'4.11 KATOSI-MUKONO'!D38)</f>
        <v>4.7142857142857144</v>
      </c>
      <c r="E38" s="49">
        <f>AVERAGE('29.10 KATOSI-MUKONO'!E38,'30.10 MUKONO-KATOSI'!E38,'31.10 KATOSI-MUKONO'!E38,'3.11 KATOSI-MUKONO'!E38,'1.11 MUKONO-KATOSI 24hr'!E38,'2.11 MUKONO-KATOSI 24hr'!E38,'4.11 KATOSI-MUKONO'!E38)</f>
        <v>4.2857142857142856</v>
      </c>
      <c r="F38" s="49">
        <f>AVERAGE('29.10 KATOSI-MUKONO'!F38,'30.10 MUKONO-KATOSI'!F38,'31.10 KATOSI-MUKONO'!F38,'3.11 KATOSI-MUKONO'!F38,'1.11 MUKONO-KATOSI 24hr'!F38,'2.11 MUKONO-KATOSI 24hr'!F38,'4.11 KATOSI-MUKONO'!F38)</f>
        <v>6.5714285714285712</v>
      </c>
      <c r="G38" s="49">
        <f>AVERAGE('29.10 KATOSI-MUKONO'!G38,'30.10 MUKONO-KATOSI'!G38,'31.10 KATOSI-MUKONO'!G38,'3.11 KATOSI-MUKONO'!G38,'1.11 MUKONO-KATOSI 24hr'!G38,'2.11 MUKONO-KATOSI 24hr'!G38,'4.11 KATOSI-MUKONO'!G38)</f>
        <v>0.42857142857142855</v>
      </c>
      <c r="H38" s="49">
        <f>AVERAGE('29.10 KATOSI-MUKONO'!H38,'30.10 MUKONO-KATOSI'!H38,'31.10 KATOSI-MUKONO'!H38,'3.11 KATOSI-MUKONO'!H38,'1.11 MUKONO-KATOSI 24hr'!H38,'2.11 MUKONO-KATOSI 24hr'!H38,'4.11 KATOSI-MUKONO'!H38)</f>
        <v>0.14285714285714285</v>
      </c>
      <c r="I38" s="49">
        <f>AVERAGE('29.10 KATOSI-MUKONO'!I38,'30.10 MUKONO-KATOSI'!I38,'31.10 KATOSI-MUKONO'!I38,'3.11 KATOSI-MUKONO'!I38,'1.11 MUKONO-KATOSI 24hr'!I38,'2.11 MUKONO-KATOSI 24hr'!I38,'4.11 KATOSI-MUKONO'!I38)</f>
        <v>9.5714285714285712</v>
      </c>
      <c r="J38" s="49">
        <f>AVERAGE('29.10 KATOSI-MUKONO'!J38,'30.10 MUKONO-KATOSI'!J38,'31.10 KATOSI-MUKONO'!J38,'3.11 KATOSI-MUKONO'!J38,'1.11 MUKONO-KATOSI 24hr'!J38,'2.11 MUKONO-KATOSI 24hr'!J38,'4.11 KATOSI-MUKONO'!J38)</f>
        <v>1.4285714285714286</v>
      </c>
      <c r="K38" s="49">
        <f>AVERAGE('29.10 KATOSI-MUKONO'!K38,'30.10 MUKONO-KATOSI'!K38,'31.10 KATOSI-MUKONO'!K38,'3.11 KATOSI-MUKONO'!K38,'1.11 MUKONO-KATOSI 24hr'!K38,'2.11 MUKONO-KATOSI 24hr'!K38,'4.11 KATOSI-MUKONO'!K38)</f>
        <v>0.7142857142857143</v>
      </c>
      <c r="L38" s="49">
        <f>AVERAGE('29.10 KATOSI-MUKONO'!L38,'30.10 MUKONO-KATOSI'!L38,'31.10 KATOSI-MUKONO'!L38,'3.11 KATOSI-MUKONO'!L38,'1.11 MUKONO-KATOSI 24hr'!L38,'2.11 MUKONO-KATOSI 24hr'!L38,'4.11 KATOSI-MUKONO'!L38)</f>
        <v>0.7142857142857143</v>
      </c>
      <c r="M38" s="49">
        <f>AVERAGE('29.10 KATOSI-MUKONO'!M38,'30.10 MUKONO-KATOSI'!M38,'31.10 KATOSI-MUKONO'!M38,'3.11 KATOSI-MUKONO'!M38,'1.11 MUKONO-KATOSI 24hr'!M38,'2.11 MUKONO-KATOSI 24hr'!M38,'4.11 KATOSI-MUKONO'!M38)</f>
        <v>64.857142857142861</v>
      </c>
      <c r="N38" s="49">
        <f>AVERAGE('29.10 KATOSI-MUKONO'!N38,'30.10 MUKONO-KATOSI'!N38,'31.10 KATOSI-MUKONO'!N38,'3.11 KATOSI-MUKONO'!N38,'1.11 MUKONO-KATOSI 24hr'!N38,'2.11 MUKONO-KATOSI 24hr'!N38,'4.11 KATOSI-MUKONO'!N38)</f>
        <v>0</v>
      </c>
      <c r="O38" s="15">
        <f t="shared" si="0"/>
        <v>40.857142857142854</v>
      </c>
      <c r="P38" s="15">
        <f t="shared" si="1"/>
        <v>105.71428571428572</v>
      </c>
      <c r="R38" s="28" t="s">
        <v>86</v>
      </c>
      <c r="S38" s="16">
        <f t="shared" ref="S38:AF38" si="30">SUM(S13:S18)</f>
        <v>300.57142857142856</v>
      </c>
      <c r="T38" s="16">
        <f t="shared" si="30"/>
        <v>95</v>
      </c>
      <c r="U38" s="16">
        <f t="shared" si="30"/>
        <v>80.714285714285708</v>
      </c>
      <c r="V38" s="16">
        <f t="shared" si="30"/>
        <v>190.71428571428569</v>
      </c>
      <c r="W38" s="16">
        <f t="shared" si="30"/>
        <v>7.8571428571428559</v>
      </c>
      <c r="X38" s="16">
        <f t="shared" si="30"/>
        <v>0.5714285714285714</v>
      </c>
      <c r="Y38" s="16">
        <f t="shared" si="30"/>
        <v>164</v>
      </c>
      <c r="Z38" s="16">
        <f t="shared" si="30"/>
        <v>34.142857142857146</v>
      </c>
      <c r="AA38" s="16">
        <f t="shared" si="30"/>
        <v>10.142857142857142</v>
      </c>
      <c r="AB38" s="16">
        <f t="shared" si="30"/>
        <v>31.857142857142861</v>
      </c>
      <c r="AC38" s="16">
        <f t="shared" si="30"/>
        <v>2073.4285714285711</v>
      </c>
      <c r="AD38" s="16">
        <f t="shared" si="30"/>
        <v>0.42857142857142855</v>
      </c>
      <c r="AE38" s="32">
        <f t="shared" si="30"/>
        <v>916</v>
      </c>
      <c r="AF38" s="32">
        <f t="shared" si="30"/>
        <v>2989.4285714285716</v>
      </c>
    </row>
    <row r="39" spans="2:32" ht="23.1" customHeight="1" x14ac:dyDescent="0.25">
      <c r="B39" s="24" t="s">
        <v>66</v>
      </c>
      <c r="C39" s="49">
        <f>AVERAGE('29.10 KATOSI-MUKONO'!C39,'30.10 MUKONO-KATOSI'!C39,'31.10 KATOSI-MUKONO'!C39,'3.11 KATOSI-MUKONO'!C39,'1.11 MUKONO-KATOSI 24hr'!C39,'2.11 MUKONO-KATOSI 24hr'!C39,'4.11 KATOSI-MUKONO'!C39)</f>
        <v>10.714285714285714</v>
      </c>
      <c r="D39" s="49">
        <f>AVERAGE('29.10 KATOSI-MUKONO'!D39,'30.10 MUKONO-KATOSI'!D39,'31.10 KATOSI-MUKONO'!D39,'3.11 KATOSI-MUKONO'!D39,'1.11 MUKONO-KATOSI 24hr'!D39,'2.11 MUKONO-KATOSI 24hr'!D39,'4.11 KATOSI-MUKONO'!D39)</f>
        <v>3</v>
      </c>
      <c r="E39" s="49">
        <f>AVERAGE('29.10 KATOSI-MUKONO'!E39,'30.10 MUKONO-KATOSI'!E39,'31.10 KATOSI-MUKONO'!E39,'3.11 KATOSI-MUKONO'!E39,'1.11 MUKONO-KATOSI 24hr'!E39,'2.11 MUKONO-KATOSI 24hr'!E39,'4.11 KATOSI-MUKONO'!E39)</f>
        <v>3.4285714285714284</v>
      </c>
      <c r="F39" s="49">
        <f>AVERAGE('29.10 KATOSI-MUKONO'!F39,'30.10 MUKONO-KATOSI'!F39,'31.10 KATOSI-MUKONO'!F39,'3.11 KATOSI-MUKONO'!F39,'1.11 MUKONO-KATOSI 24hr'!F39,'2.11 MUKONO-KATOSI 24hr'!F39,'4.11 KATOSI-MUKONO'!F39)</f>
        <v>6.7142857142857144</v>
      </c>
      <c r="G39" s="49">
        <f>AVERAGE('29.10 KATOSI-MUKONO'!G39,'30.10 MUKONO-KATOSI'!G39,'31.10 KATOSI-MUKONO'!G39,'3.11 KATOSI-MUKONO'!G39,'1.11 MUKONO-KATOSI 24hr'!G39,'2.11 MUKONO-KATOSI 24hr'!G39,'4.11 KATOSI-MUKONO'!G39)</f>
        <v>0.42857142857142855</v>
      </c>
      <c r="H39" s="49">
        <f>AVERAGE('29.10 KATOSI-MUKONO'!H39,'30.10 MUKONO-KATOSI'!H39,'31.10 KATOSI-MUKONO'!H39,'3.11 KATOSI-MUKONO'!H39,'1.11 MUKONO-KATOSI 24hr'!H39,'2.11 MUKONO-KATOSI 24hr'!H39,'4.11 KATOSI-MUKONO'!H39)</f>
        <v>0.14285714285714285</v>
      </c>
      <c r="I39" s="49">
        <f>AVERAGE('29.10 KATOSI-MUKONO'!I39,'30.10 MUKONO-KATOSI'!I39,'31.10 KATOSI-MUKONO'!I39,'3.11 KATOSI-MUKONO'!I39,'1.11 MUKONO-KATOSI 24hr'!I39,'2.11 MUKONO-KATOSI 24hr'!I39,'4.11 KATOSI-MUKONO'!I39)</f>
        <v>6</v>
      </c>
      <c r="J39" s="49">
        <f>AVERAGE('29.10 KATOSI-MUKONO'!J39,'30.10 MUKONO-KATOSI'!J39,'31.10 KATOSI-MUKONO'!J39,'3.11 KATOSI-MUKONO'!J39,'1.11 MUKONO-KATOSI 24hr'!J39,'2.11 MUKONO-KATOSI 24hr'!J39,'4.11 KATOSI-MUKONO'!J39)</f>
        <v>1.4285714285714286</v>
      </c>
      <c r="K39" s="49">
        <f>AVERAGE('29.10 KATOSI-MUKONO'!K39,'30.10 MUKONO-KATOSI'!K39,'31.10 KATOSI-MUKONO'!K39,'3.11 KATOSI-MUKONO'!K39,'1.11 MUKONO-KATOSI 24hr'!K39,'2.11 MUKONO-KATOSI 24hr'!K39,'4.11 KATOSI-MUKONO'!K39)</f>
        <v>0.2857142857142857</v>
      </c>
      <c r="L39" s="49">
        <f>AVERAGE('29.10 KATOSI-MUKONO'!L39,'30.10 MUKONO-KATOSI'!L39,'31.10 KATOSI-MUKONO'!L39,'3.11 KATOSI-MUKONO'!L39,'1.11 MUKONO-KATOSI 24hr'!L39,'2.11 MUKONO-KATOSI 24hr'!L39,'4.11 KATOSI-MUKONO'!L39)</f>
        <v>0.8571428571428571</v>
      </c>
      <c r="M39" s="49">
        <f>AVERAGE('29.10 KATOSI-MUKONO'!M39,'30.10 MUKONO-KATOSI'!M39,'31.10 KATOSI-MUKONO'!M39,'3.11 KATOSI-MUKONO'!M39,'1.11 MUKONO-KATOSI 24hr'!M39,'2.11 MUKONO-KATOSI 24hr'!M39,'4.11 KATOSI-MUKONO'!M39)</f>
        <v>74</v>
      </c>
      <c r="N39" s="49">
        <f>AVERAGE('29.10 KATOSI-MUKONO'!N39,'30.10 MUKONO-KATOSI'!N39,'31.10 KATOSI-MUKONO'!N39,'3.11 KATOSI-MUKONO'!N39,'1.11 MUKONO-KATOSI 24hr'!N39,'2.11 MUKONO-KATOSI 24hr'!N39,'4.11 KATOSI-MUKONO'!N39)</f>
        <v>0</v>
      </c>
      <c r="O39" s="15">
        <f t="shared" si="0"/>
        <v>32.999999999999993</v>
      </c>
      <c r="P39" s="15">
        <f t="shared" si="1"/>
        <v>107</v>
      </c>
      <c r="R39" s="29" t="s">
        <v>87</v>
      </c>
      <c r="S39" s="16">
        <f t="shared" ref="S39:AF39" si="31">SUM(S19:S21)</f>
        <v>203.42857142857144</v>
      </c>
      <c r="T39" s="16">
        <f t="shared" si="31"/>
        <v>75.142857142857139</v>
      </c>
      <c r="U39" s="16">
        <f t="shared" si="31"/>
        <v>46</v>
      </c>
      <c r="V39" s="16">
        <f t="shared" si="31"/>
        <v>124.85714285714286</v>
      </c>
      <c r="W39" s="16">
        <f t="shared" si="31"/>
        <v>9.8571428571428577</v>
      </c>
      <c r="X39" s="16">
        <f t="shared" si="31"/>
        <v>0.14285714285714285</v>
      </c>
      <c r="Y39" s="16">
        <f t="shared" si="31"/>
        <v>84.714285714285708</v>
      </c>
      <c r="Z39" s="16">
        <f t="shared" si="31"/>
        <v>15.714285714285714</v>
      </c>
      <c r="AA39" s="16">
        <f t="shared" si="31"/>
        <v>3.1428571428571428</v>
      </c>
      <c r="AB39" s="16">
        <f t="shared" si="31"/>
        <v>17.142857142857142</v>
      </c>
      <c r="AC39" s="16">
        <f t="shared" si="31"/>
        <v>1032</v>
      </c>
      <c r="AD39" s="16">
        <f t="shared" si="31"/>
        <v>0.14285714285714285</v>
      </c>
      <c r="AE39" s="32">
        <f t="shared" si="31"/>
        <v>580.28571428571433</v>
      </c>
      <c r="AF39" s="32">
        <f t="shared" si="31"/>
        <v>1612.2857142857142</v>
      </c>
    </row>
    <row r="40" spans="2:32" ht="23.1" customHeight="1" x14ac:dyDescent="0.25">
      <c r="B40" s="24" t="s">
        <v>67</v>
      </c>
      <c r="C40" s="49">
        <f>AVERAGE('29.10 KATOSI-MUKONO'!C40,'30.10 MUKONO-KATOSI'!C40,'31.10 KATOSI-MUKONO'!C40,'3.11 KATOSI-MUKONO'!C40,'1.11 MUKONO-KATOSI 24hr'!C40,'2.11 MUKONO-KATOSI 24hr'!C40,'4.11 KATOSI-MUKONO'!C40)</f>
        <v>11.714285714285714</v>
      </c>
      <c r="D40" s="49">
        <f>AVERAGE('29.10 KATOSI-MUKONO'!D40,'30.10 MUKONO-KATOSI'!D40,'31.10 KATOSI-MUKONO'!D40,'3.11 KATOSI-MUKONO'!D40,'1.11 MUKONO-KATOSI 24hr'!D40,'2.11 MUKONO-KATOSI 24hr'!D40,'4.11 KATOSI-MUKONO'!D40)</f>
        <v>4.5714285714285712</v>
      </c>
      <c r="E40" s="49">
        <f>AVERAGE('29.10 KATOSI-MUKONO'!E40,'30.10 MUKONO-KATOSI'!E40,'31.10 KATOSI-MUKONO'!E40,'3.11 KATOSI-MUKONO'!E40,'1.11 MUKONO-KATOSI 24hr'!E40,'2.11 MUKONO-KATOSI 24hr'!E40,'4.11 KATOSI-MUKONO'!E40)</f>
        <v>3.4285714285714284</v>
      </c>
      <c r="F40" s="49">
        <f>AVERAGE('29.10 KATOSI-MUKONO'!F40,'30.10 MUKONO-KATOSI'!F40,'31.10 KATOSI-MUKONO'!F40,'3.11 KATOSI-MUKONO'!F40,'1.11 MUKONO-KATOSI 24hr'!F40,'2.11 MUKONO-KATOSI 24hr'!F40,'4.11 KATOSI-MUKONO'!F40)</f>
        <v>6.1428571428571432</v>
      </c>
      <c r="G40" s="49">
        <f>AVERAGE('29.10 KATOSI-MUKONO'!G40,'30.10 MUKONO-KATOSI'!G40,'31.10 KATOSI-MUKONO'!G40,'3.11 KATOSI-MUKONO'!G40,'1.11 MUKONO-KATOSI 24hr'!G40,'2.11 MUKONO-KATOSI 24hr'!G40,'4.11 KATOSI-MUKONO'!G40)</f>
        <v>0.14285714285714285</v>
      </c>
      <c r="H40" s="49">
        <f>AVERAGE('29.10 KATOSI-MUKONO'!H40,'30.10 MUKONO-KATOSI'!H40,'31.10 KATOSI-MUKONO'!H40,'3.11 KATOSI-MUKONO'!H40,'1.11 MUKONO-KATOSI 24hr'!H40,'2.11 MUKONO-KATOSI 24hr'!H40,'4.11 KATOSI-MUKONO'!H40)</f>
        <v>0</v>
      </c>
      <c r="I40" s="49">
        <f>AVERAGE('29.10 KATOSI-MUKONO'!I40,'30.10 MUKONO-KATOSI'!I40,'31.10 KATOSI-MUKONO'!I40,'3.11 KATOSI-MUKONO'!I40,'1.11 MUKONO-KATOSI 24hr'!I40,'2.11 MUKONO-KATOSI 24hr'!I40,'4.11 KATOSI-MUKONO'!I40)</f>
        <v>5</v>
      </c>
      <c r="J40" s="49">
        <f>AVERAGE('29.10 KATOSI-MUKONO'!J40,'30.10 MUKONO-KATOSI'!J40,'31.10 KATOSI-MUKONO'!J40,'3.11 KATOSI-MUKONO'!J40,'1.11 MUKONO-KATOSI 24hr'!J40,'2.11 MUKONO-KATOSI 24hr'!J40,'4.11 KATOSI-MUKONO'!J40)</f>
        <v>0.7142857142857143</v>
      </c>
      <c r="K40" s="49">
        <f>AVERAGE('29.10 KATOSI-MUKONO'!K40,'30.10 MUKONO-KATOSI'!K40,'31.10 KATOSI-MUKONO'!K40,'3.11 KATOSI-MUKONO'!K40,'1.11 MUKONO-KATOSI 24hr'!K40,'2.11 MUKONO-KATOSI 24hr'!K40,'4.11 KATOSI-MUKONO'!K40)</f>
        <v>0.14285714285714285</v>
      </c>
      <c r="L40" s="49">
        <f>AVERAGE('29.10 KATOSI-MUKONO'!L40,'30.10 MUKONO-KATOSI'!L40,'31.10 KATOSI-MUKONO'!L40,'3.11 KATOSI-MUKONO'!L40,'1.11 MUKONO-KATOSI 24hr'!L40,'2.11 MUKONO-KATOSI 24hr'!L40,'4.11 KATOSI-MUKONO'!L40)</f>
        <v>0.42857142857142855</v>
      </c>
      <c r="M40" s="49">
        <f>AVERAGE('29.10 KATOSI-MUKONO'!M40,'30.10 MUKONO-KATOSI'!M40,'31.10 KATOSI-MUKONO'!M40,'3.11 KATOSI-MUKONO'!M40,'1.11 MUKONO-KATOSI 24hr'!M40,'2.11 MUKONO-KATOSI 24hr'!M40,'4.11 KATOSI-MUKONO'!M40)</f>
        <v>83.571428571428569</v>
      </c>
      <c r="N40" s="49">
        <f>AVERAGE('29.10 KATOSI-MUKONO'!N40,'30.10 MUKONO-KATOSI'!N40,'31.10 KATOSI-MUKONO'!N40,'3.11 KATOSI-MUKONO'!N40,'1.11 MUKONO-KATOSI 24hr'!N40,'2.11 MUKONO-KATOSI 24hr'!N40,'4.11 KATOSI-MUKONO'!N40)</f>
        <v>0</v>
      </c>
      <c r="O40" s="15">
        <f t="shared" si="0"/>
        <v>32.285714285714285</v>
      </c>
      <c r="P40" s="15">
        <f t="shared" si="1"/>
        <v>115.85714285714286</v>
      </c>
      <c r="R40" s="5" t="s">
        <v>17</v>
      </c>
      <c r="S40" s="16">
        <f t="shared" ref="S40:AF40" si="32">SUM(S10:S21)</f>
        <v>647.71428571428578</v>
      </c>
      <c r="T40" s="16">
        <f t="shared" si="32"/>
        <v>216.99999999999994</v>
      </c>
      <c r="U40" s="16">
        <f t="shared" si="32"/>
        <v>162.71428571428569</v>
      </c>
      <c r="V40" s="16">
        <f t="shared" si="32"/>
        <v>431.42857142857139</v>
      </c>
      <c r="W40" s="16">
        <f t="shared" si="32"/>
        <v>29.571428571428569</v>
      </c>
      <c r="X40" s="16">
        <f t="shared" si="32"/>
        <v>1.1428571428571428</v>
      </c>
      <c r="Y40" s="16">
        <f t="shared" si="32"/>
        <v>317.14285714285717</v>
      </c>
      <c r="Z40" s="16">
        <f t="shared" si="32"/>
        <v>63.142857142857139</v>
      </c>
      <c r="AA40" s="16">
        <f t="shared" si="32"/>
        <v>17.714285714285715</v>
      </c>
      <c r="AB40" s="16">
        <f t="shared" si="32"/>
        <v>51.714285714285715</v>
      </c>
      <c r="AC40" s="16">
        <f t="shared" si="32"/>
        <v>4164.1428571428569</v>
      </c>
      <c r="AD40" s="16">
        <f t="shared" si="32"/>
        <v>20.714285714285712</v>
      </c>
      <c r="AE40" s="32">
        <f t="shared" si="32"/>
        <v>1960</v>
      </c>
      <c r="AF40" s="32">
        <f t="shared" si="32"/>
        <v>6124.1428571428578</v>
      </c>
    </row>
    <row r="41" spans="2:32" ht="23.1" customHeight="1" x14ac:dyDescent="0.25">
      <c r="B41" s="23" t="s">
        <v>68</v>
      </c>
      <c r="C41" s="49">
        <f>AVERAGE('29.10 KATOSI-MUKONO'!C41,'30.10 MUKONO-KATOSI'!C41,'31.10 KATOSI-MUKONO'!C41,'3.11 KATOSI-MUKONO'!C41,'1.11 MUKONO-KATOSI 24hr'!C41,'2.11 MUKONO-KATOSI 24hr'!C41,'4.11 KATOSI-MUKONO'!C41)</f>
        <v>12</v>
      </c>
      <c r="D41" s="49">
        <f>AVERAGE('29.10 KATOSI-MUKONO'!D41,'30.10 MUKONO-KATOSI'!D41,'31.10 KATOSI-MUKONO'!D41,'3.11 KATOSI-MUKONO'!D41,'1.11 MUKONO-KATOSI 24hr'!D41,'2.11 MUKONO-KATOSI 24hr'!D41,'4.11 KATOSI-MUKONO'!D41)</f>
        <v>4</v>
      </c>
      <c r="E41" s="49">
        <f>AVERAGE('29.10 KATOSI-MUKONO'!E41,'30.10 MUKONO-KATOSI'!E41,'31.10 KATOSI-MUKONO'!E41,'3.11 KATOSI-MUKONO'!E41,'1.11 MUKONO-KATOSI 24hr'!E41,'2.11 MUKONO-KATOSI 24hr'!E41,'4.11 KATOSI-MUKONO'!E41)</f>
        <v>3</v>
      </c>
      <c r="F41" s="49">
        <f>AVERAGE('29.10 KATOSI-MUKONO'!F41,'30.10 MUKONO-KATOSI'!F41,'31.10 KATOSI-MUKONO'!F41,'3.11 KATOSI-MUKONO'!F41,'1.11 MUKONO-KATOSI 24hr'!F41,'2.11 MUKONO-KATOSI 24hr'!F41,'4.11 KATOSI-MUKONO'!F41)</f>
        <v>6.4285714285714288</v>
      </c>
      <c r="G41" s="49">
        <f>AVERAGE('29.10 KATOSI-MUKONO'!G41,'30.10 MUKONO-KATOSI'!G41,'31.10 KATOSI-MUKONO'!G41,'3.11 KATOSI-MUKONO'!G41,'1.11 MUKONO-KATOSI 24hr'!G41,'2.11 MUKONO-KATOSI 24hr'!G41,'4.11 KATOSI-MUKONO'!G41)</f>
        <v>0.14285714285714285</v>
      </c>
      <c r="H41" s="49">
        <f>AVERAGE('29.10 KATOSI-MUKONO'!H41,'30.10 MUKONO-KATOSI'!H41,'31.10 KATOSI-MUKONO'!H41,'3.11 KATOSI-MUKONO'!H41,'1.11 MUKONO-KATOSI 24hr'!H41,'2.11 MUKONO-KATOSI 24hr'!H41,'4.11 KATOSI-MUKONO'!H41)</f>
        <v>0.14285714285714285</v>
      </c>
      <c r="I41" s="49">
        <f>AVERAGE('29.10 KATOSI-MUKONO'!I41,'30.10 MUKONO-KATOSI'!I41,'31.10 KATOSI-MUKONO'!I41,'3.11 KATOSI-MUKONO'!I41,'1.11 MUKONO-KATOSI 24hr'!I41,'2.11 MUKONO-KATOSI 24hr'!I41,'4.11 KATOSI-MUKONO'!I41)</f>
        <v>5.2857142857142856</v>
      </c>
      <c r="J41" s="49">
        <f>AVERAGE('29.10 KATOSI-MUKONO'!J41,'30.10 MUKONO-KATOSI'!J41,'31.10 KATOSI-MUKONO'!J41,'3.11 KATOSI-MUKONO'!J41,'1.11 MUKONO-KATOSI 24hr'!J41,'2.11 MUKONO-KATOSI 24hr'!J41,'4.11 KATOSI-MUKONO'!J41)</f>
        <v>1.4285714285714286</v>
      </c>
      <c r="K41" s="49">
        <f>AVERAGE('29.10 KATOSI-MUKONO'!K41,'30.10 MUKONO-KATOSI'!K41,'31.10 KATOSI-MUKONO'!K41,'3.11 KATOSI-MUKONO'!K41,'1.11 MUKONO-KATOSI 24hr'!K41,'2.11 MUKONO-KATOSI 24hr'!K41,'4.11 KATOSI-MUKONO'!K41)</f>
        <v>0.42857142857142855</v>
      </c>
      <c r="L41" s="49">
        <f>AVERAGE('29.10 KATOSI-MUKONO'!L41,'30.10 MUKONO-KATOSI'!L41,'31.10 KATOSI-MUKONO'!L41,'3.11 KATOSI-MUKONO'!L41,'1.11 MUKONO-KATOSI 24hr'!L41,'2.11 MUKONO-KATOSI 24hr'!L41,'4.11 KATOSI-MUKONO'!L41)</f>
        <v>0.7142857142857143</v>
      </c>
      <c r="M41" s="49">
        <f>AVERAGE('29.10 KATOSI-MUKONO'!M41,'30.10 MUKONO-KATOSI'!M41,'31.10 KATOSI-MUKONO'!M41,'3.11 KATOSI-MUKONO'!M41,'1.11 MUKONO-KATOSI 24hr'!M41,'2.11 MUKONO-KATOSI 24hr'!M41,'4.11 KATOSI-MUKONO'!M41)</f>
        <v>67.142857142857139</v>
      </c>
      <c r="N41" s="49">
        <f>AVERAGE('29.10 KATOSI-MUKONO'!N41,'30.10 MUKONO-KATOSI'!N41,'31.10 KATOSI-MUKONO'!N41,'3.11 KATOSI-MUKONO'!N41,'1.11 MUKONO-KATOSI 24hr'!N41,'2.11 MUKONO-KATOSI 24hr'!N41,'4.11 KATOSI-MUKONO'!N41)</f>
        <v>0</v>
      </c>
      <c r="O41" s="15">
        <f t="shared" si="0"/>
        <v>33.571428571428577</v>
      </c>
      <c r="P41" s="15">
        <f t="shared" si="1"/>
        <v>100.71428571428572</v>
      </c>
      <c r="R41" s="5" t="s">
        <v>185</v>
      </c>
      <c r="S41" s="16">
        <f>SUM(S10:S33)</f>
        <v>879.71428571428578</v>
      </c>
      <c r="T41" s="16">
        <f t="shared" ref="T41:AD41" si="33">SUM(T10:T33)</f>
        <v>368.99999999999994</v>
      </c>
      <c r="U41" s="16">
        <f t="shared" si="33"/>
        <v>227.71428571428569</v>
      </c>
      <c r="V41" s="16">
        <f t="shared" si="33"/>
        <v>613.92857142857133</v>
      </c>
      <c r="W41" s="16">
        <f t="shared" si="33"/>
        <v>46.071428571428569</v>
      </c>
      <c r="X41" s="16">
        <f t="shared" si="33"/>
        <v>1.1428571428571428</v>
      </c>
      <c r="Y41" s="16">
        <f t="shared" si="33"/>
        <v>403.14285714285717</v>
      </c>
      <c r="Z41" s="16">
        <f t="shared" si="33"/>
        <v>101.14285714285714</v>
      </c>
      <c r="AA41" s="16">
        <f t="shared" si="33"/>
        <v>29.714285714285715</v>
      </c>
      <c r="AB41" s="16">
        <f t="shared" si="33"/>
        <v>56.714285714285715</v>
      </c>
      <c r="AC41" s="16">
        <f t="shared" si="33"/>
        <v>5550.6428571428569</v>
      </c>
      <c r="AD41" s="16">
        <f t="shared" si="33"/>
        <v>20.714285714285712</v>
      </c>
      <c r="AE41" s="32">
        <f>SUM(AE10:AE33)</f>
        <v>2749</v>
      </c>
      <c r="AF41" s="32">
        <f>SUM(AF10:AF33)</f>
        <v>8299.6428571428587</v>
      </c>
    </row>
    <row r="42" spans="2:32" ht="23.1" customHeight="1" x14ac:dyDescent="0.25">
      <c r="B42" s="24" t="s">
        <v>69</v>
      </c>
      <c r="C42" s="49">
        <f>AVERAGE('29.10 KATOSI-MUKONO'!C42,'30.10 MUKONO-KATOSI'!C42,'31.10 KATOSI-MUKONO'!C42,'3.11 KATOSI-MUKONO'!C42,'1.11 MUKONO-KATOSI 24hr'!C42,'2.11 MUKONO-KATOSI 24hr'!C42,'4.11 KATOSI-MUKONO'!C42)</f>
        <v>15.571428571428571</v>
      </c>
      <c r="D42" s="49">
        <f>AVERAGE('29.10 KATOSI-MUKONO'!D42,'30.10 MUKONO-KATOSI'!D42,'31.10 KATOSI-MUKONO'!D42,'3.11 KATOSI-MUKONO'!D42,'1.11 MUKONO-KATOSI 24hr'!D42,'2.11 MUKONO-KATOSI 24hr'!D42,'4.11 KATOSI-MUKONO'!D42)</f>
        <v>5.7142857142857144</v>
      </c>
      <c r="E42" s="49">
        <f>AVERAGE('29.10 KATOSI-MUKONO'!E42,'30.10 MUKONO-KATOSI'!E42,'31.10 KATOSI-MUKONO'!E42,'3.11 KATOSI-MUKONO'!E42,'1.11 MUKONO-KATOSI 24hr'!E42,'2.11 MUKONO-KATOSI 24hr'!E42,'4.11 KATOSI-MUKONO'!E42)</f>
        <v>3.5714285714285716</v>
      </c>
      <c r="F42" s="49">
        <f>AVERAGE('29.10 KATOSI-MUKONO'!F42,'30.10 MUKONO-KATOSI'!F42,'31.10 KATOSI-MUKONO'!F42,'3.11 KATOSI-MUKONO'!F42,'1.11 MUKONO-KATOSI 24hr'!F42,'2.11 MUKONO-KATOSI 24hr'!F42,'4.11 KATOSI-MUKONO'!F42)</f>
        <v>9.8571428571428577</v>
      </c>
      <c r="G42" s="49">
        <f>AVERAGE('29.10 KATOSI-MUKONO'!G42,'30.10 MUKONO-KATOSI'!G42,'31.10 KATOSI-MUKONO'!G42,'3.11 KATOSI-MUKONO'!G42,'1.11 MUKONO-KATOSI 24hr'!G42,'2.11 MUKONO-KATOSI 24hr'!G42,'4.11 KATOSI-MUKONO'!G42)</f>
        <v>0.42857142857142855</v>
      </c>
      <c r="H42" s="49">
        <f>AVERAGE('29.10 KATOSI-MUKONO'!H42,'30.10 MUKONO-KATOSI'!H42,'31.10 KATOSI-MUKONO'!H42,'3.11 KATOSI-MUKONO'!H42,'1.11 MUKONO-KATOSI 24hr'!H42,'2.11 MUKONO-KATOSI 24hr'!H42,'4.11 KATOSI-MUKONO'!H42)</f>
        <v>0</v>
      </c>
      <c r="I42" s="49">
        <f>AVERAGE('29.10 KATOSI-MUKONO'!I42,'30.10 MUKONO-KATOSI'!I42,'31.10 KATOSI-MUKONO'!I42,'3.11 KATOSI-MUKONO'!I42,'1.11 MUKONO-KATOSI 24hr'!I42,'2.11 MUKONO-KATOSI 24hr'!I42,'4.11 KATOSI-MUKONO'!I42)</f>
        <v>6.2857142857142856</v>
      </c>
      <c r="J42" s="49">
        <f>AVERAGE('29.10 KATOSI-MUKONO'!J42,'30.10 MUKONO-KATOSI'!J42,'31.10 KATOSI-MUKONO'!J42,'3.11 KATOSI-MUKONO'!J42,'1.11 MUKONO-KATOSI 24hr'!J42,'2.11 MUKONO-KATOSI 24hr'!J42,'4.11 KATOSI-MUKONO'!J42)</f>
        <v>2.2857142857142856</v>
      </c>
      <c r="K42" s="49">
        <f>AVERAGE('29.10 KATOSI-MUKONO'!K42,'30.10 MUKONO-KATOSI'!K42,'31.10 KATOSI-MUKONO'!K42,'3.11 KATOSI-MUKONO'!K42,'1.11 MUKONO-KATOSI 24hr'!K42,'2.11 MUKONO-KATOSI 24hr'!K42,'4.11 KATOSI-MUKONO'!K42)</f>
        <v>0.7142857142857143</v>
      </c>
      <c r="L42" s="49">
        <f>AVERAGE('29.10 KATOSI-MUKONO'!L42,'30.10 MUKONO-KATOSI'!L42,'31.10 KATOSI-MUKONO'!L42,'3.11 KATOSI-MUKONO'!L42,'1.11 MUKONO-KATOSI 24hr'!L42,'2.11 MUKONO-KATOSI 24hr'!L42,'4.11 KATOSI-MUKONO'!L42)</f>
        <v>0.2857142857142857</v>
      </c>
      <c r="M42" s="49">
        <f>AVERAGE('29.10 KATOSI-MUKONO'!M42,'30.10 MUKONO-KATOSI'!M42,'31.10 KATOSI-MUKONO'!M42,'3.11 KATOSI-MUKONO'!M42,'1.11 MUKONO-KATOSI 24hr'!M42,'2.11 MUKONO-KATOSI 24hr'!M42,'4.11 KATOSI-MUKONO'!M42)</f>
        <v>82.142857142857139</v>
      </c>
      <c r="N42" s="49">
        <f>AVERAGE('29.10 KATOSI-MUKONO'!N42,'30.10 MUKONO-KATOSI'!N42,'31.10 KATOSI-MUKONO'!N42,'3.11 KATOSI-MUKONO'!N42,'1.11 MUKONO-KATOSI 24hr'!N42,'2.11 MUKONO-KATOSI 24hr'!N42,'4.11 KATOSI-MUKONO'!N42)</f>
        <v>0</v>
      </c>
      <c r="O42" s="15">
        <f t="shared" si="0"/>
        <v>44.714285714285715</v>
      </c>
      <c r="P42" s="15">
        <f t="shared" si="1"/>
        <v>126.85714285714286</v>
      </c>
      <c r="R42" s="5" t="s">
        <v>160</v>
      </c>
      <c r="S42" s="48">
        <f>S41/S40</f>
        <v>1.3581826202029113</v>
      </c>
      <c r="T42" s="48">
        <f t="shared" ref="T42:AF42" si="34">T41/T40</f>
        <v>1.7004608294930876</v>
      </c>
      <c r="U42" s="48">
        <f t="shared" si="34"/>
        <v>1.3994732221246708</v>
      </c>
      <c r="V42" s="48">
        <f t="shared" si="34"/>
        <v>1.4230132450331126</v>
      </c>
      <c r="W42" s="48">
        <f t="shared" si="34"/>
        <v>1.5579710144927537</v>
      </c>
      <c r="X42" s="48">
        <f t="shared" si="34"/>
        <v>1</v>
      </c>
      <c r="Y42" s="48">
        <f t="shared" si="34"/>
        <v>1.2711711711711711</v>
      </c>
      <c r="Z42" s="48">
        <f t="shared" si="34"/>
        <v>1.6018099547511313</v>
      </c>
      <c r="AA42" s="48">
        <f t="shared" si="34"/>
        <v>1.6774193548387097</v>
      </c>
      <c r="AB42" s="48">
        <f t="shared" si="34"/>
        <v>1.0966850828729282</v>
      </c>
      <c r="AC42" s="48">
        <f t="shared" si="34"/>
        <v>1.3329616796459569</v>
      </c>
      <c r="AD42" s="48">
        <f t="shared" si="34"/>
        <v>1</v>
      </c>
      <c r="AE42" s="52">
        <f t="shared" si="34"/>
        <v>1.4025510204081633</v>
      </c>
      <c r="AF42" s="52">
        <f t="shared" si="34"/>
        <v>1.3552333854300311</v>
      </c>
    </row>
    <row r="43" spans="2:32" ht="23.1" customHeight="1" x14ac:dyDescent="0.25">
      <c r="B43" s="23" t="s">
        <v>70</v>
      </c>
      <c r="C43" s="49">
        <f>AVERAGE('29.10 KATOSI-MUKONO'!C43,'30.10 MUKONO-KATOSI'!C43,'31.10 KATOSI-MUKONO'!C43,'3.11 KATOSI-MUKONO'!C43,'1.11 MUKONO-KATOSI 24hr'!C43,'2.11 MUKONO-KATOSI 24hr'!C43,'4.11 KATOSI-MUKONO'!C43)</f>
        <v>13.142857142857142</v>
      </c>
      <c r="D43" s="49">
        <f>AVERAGE('29.10 KATOSI-MUKONO'!D43,'30.10 MUKONO-KATOSI'!D43,'31.10 KATOSI-MUKONO'!D43,'3.11 KATOSI-MUKONO'!D43,'1.11 MUKONO-KATOSI 24hr'!D43,'2.11 MUKONO-KATOSI 24hr'!D43,'4.11 KATOSI-MUKONO'!D43)</f>
        <v>5</v>
      </c>
      <c r="E43" s="49">
        <f>AVERAGE('29.10 KATOSI-MUKONO'!E43,'30.10 MUKONO-KATOSI'!E43,'31.10 KATOSI-MUKONO'!E43,'3.11 KATOSI-MUKONO'!E43,'1.11 MUKONO-KATOSI 24hr'!E43,'2.11 MUKONO-KATOSI 24hr'!E43,'4.11 KATOSI-MUKONO'!E43)</f>
        <v>4.2857142857142856</v>
      </c>
      <c r="F43" s="49">
        <f>AVERAGE('29.10 KATOSI-MUKONO'!F43,'30.10 MUKONO-KATOSI'!F43,'31.10 KATOSI-MUKONO'!F43,'3.11 KATOSI-MUKONO'!F43,'1.11 MUKONO-KATOSI 24hr'!F43,'2.11 MUKONO-KATOSI 24hr'!F43,'4.11 KATOSI-MUKONO'!F43)</f>
        <v>8.8571428571428577</v>
      </c>
      <c r="G43" s="49">
        <f>AVERAGE('29.10 KATOSI-MUKONO'!G43,'30.10 MUKONO-KATOSI'!G43,'31.10 KATOSI-MUKONO'!G43,'3.11 KATOSI-MUKONO'!G43,'1.11 MUKONO-KATOSI 24hr'!G43,'2.11 MUKONO-KATOSI 24hr'!G43,'4.11 KATOSI-MUKONO'!G43)</f>
        <v>0.42857142857142855</v>
      </c>
      <c r="H43" s="49">
        <f>AVERAGE('29.10 KATOSI-MUKONO'!H43,'30.10 MUKONO-KATOSI'!H43,'31.10 KATOSI-MUKONO'!H43,'3.11 KATOSI-MUKONO'!H43,'1.11 MUKONO-KATOSI 24hr'!H43,'2.11 MUKONO-KATOSI 24hr'!H43,'4.11 KATOSI-MUKONO'!H43)</f>
        <v>0</v>
      </c>
      <c r="I43" s="49">
        <f>AVERAGE('29.10 KATOSI-MUKONO'!I43,'30.10 MUKONO-KATOSI'!I43,'31.10 KATOSI-MUKONO'!I43,'3.11 KATOSI-MUKONO'!I43,'1.11 MUKONO-KATOSI 24hr'!I43,'2.11 MUKONO-KATOSI 24hr'!I43,'4.11 KATOSI-MUKONO'!I43)</f>
        <v>7.2857142857142856</v>
      </c>
      <c r="J43" s="49">
        <f>AVERAGE('29.10 KATOSI-MUKONO'!J43,'30.10 MUKONO-KATOSI'!J43,'31.10 KATOSI-MUKONO'!J43,'3.11 KATOSI-MUKONO'!J43,'1.11 MUKONO-KATOSI 24hr'!J43,'2.11 MUKONO-KATOSI 24hr'!J43,'4.11 KATOSI-MUKONO'!J43)</f>
        <v>2.1428571428571428</v>
      </c>
      <c r="K43" s="49">
        <f>AVERAGE('29.10 KATOSI-MUKONO'!K43,'30.10 MUKONO-KATOSI'!K43,'31.10 KATOSI-MUKONO'!K43,'3.11 KATOSI-MUKONO'!K43,'1.11 MUKONO-KATOSI 24hr'!K43,'2.11 MUKONO-KATOSI 24hr'!K43,'4.11 KATOSI-MUKONO'!K43)</f>
        <v>0.14285714285714285</v>
      </c>
      <c r="L43" s="49">
        <f>AVERAGE('29.10 KATOSI-MUKONO'!L43,'30.10 MUKONO-KATOSI'!L43,'31.10 KATOSI-MUKONO'!L43,'3.11 KATOSI-MUKONO'!L43,'1.11 MUKONO-KATOSI 24hr'!L43,'2.11 MUKONO-KATOSI 24hr'!L43,'4.11 KATOSI-MUKONO'!L43)</f>
        <v>0.42857142857142855</v>
      </c>
      <c r="M43" s="49">
        <f>AVERAGE('29.10 KATOSI-MUKONO'!M43,'30.10 MUKONO-KATOSI'!M43,'31.10 KATOSI-MUKONO'!M43,'3.11 KATOSI-MUKONO'!M43,'1.11 MUKONO-KATOSI 24hr'!M43,'2.11 MUKONO-KATOSI 24hr'!M43,'4.11 KATOSI-MUKONO'!M43)</f>
        <v>81.714285714285708</v>
      </c>
      <c r="N43" s="49">
        <f>AVERAGE('29.10 KATOSI-MUKONO'!N43,'30.10 MUKONO-KATOSI'!N43,'31.10 KATOSI-MUKONO'!N43,'3.11 KATOSI-MUKONO'!N43,'1.11 MUKONO-KATOSI 24hr'!N43,'2.11 MUKONO-KATOSI 24hr'!N43,'4.11 KATOSI-MUKONO'!N43)</f>
        <v>0</v>
      </c>
      <c r="O43" s="15">
        <f t="shared" si="0"/>
        <v>41.714285714285722</v>
      </c>
      <c r="P43" s="15">
        <f t="shared" si="1"/>
        <v>123.42857142857143</v>
      </c>
    </row>
    <row r="44" spans="2:32" ht="23.1" customHeight="1" x14ac:dyDescent="0.25">
      <c r="B44" s="25" t="s">
        <v>71</v>
      </c>
      <c r="C44" s="49">
        <f>AVERAGE('29.10 KATOSI-MUKONO'!C44,'30.10 MUKONO-KATOSI'!C44,'31.10 KATOSI-MUKONO'!C44,'3.11 KATOSI-MUKONO'!C44,'1.11 MUKONO-KATOSI 24hr'!C44,'2.11 MUKONO-KATOSI 24hr'!C44,'4.11 KATOSI-MUKONO'!C44)</f>
        <v>12.857142857142858</v>
      </c>
      <c r="D44" s="49">
        <f>AVERAGE('29.10 KATOSI-MUKONO'!D44,'30.10 MUKONO-KATOSI'!D44,'31.10 KATOSI-MUKONO'!D44,'3.11 KATOSI-MUKONO'!D44,'1.11 MUKONO-KATOSI 24hr'!D44,'2.11 MUKONO-KATOSI 24hr'!D44,'4.11 KATOSI-MUKONO'!D44)</f>
        <v>3.7142857142857144</v>
      </c>
      <c r="E44" s="49">
        <f>AVERAGE('29.10 KATOSI-MUKONO'!E44,'30.10 MUKONO-KATOSI'!E44,'31.10 KATOSI-MUKONO'!E44,'3.11 KATOSI-MUKONO'!E44,'1.11 MUKONO-KATOSI 24hr'!E44,'2.11 MUKONO-KATOSI 24hr'!E44,'4.11 KATOSI-MUKONO'!E44)</f>
        <v>2.1428571428571428</v>
      </c>
      <c r="F44" s="49">
        <f>AVERAGE('29.10 KATOSI-MUKONO'!F44,'30.10 MUKONO-KATOSI'!F44,'31.10 KATOSI-MUKONO'!F44,'3.11 KATOSI-MUKONO'!F44,'1.11 MUKONO-KATOSI 24hr'!F44,'2.11 MUKONO-KATOSI 24hr'!F44,'4.11 KATOSI-MUKONO'!F44)</f>
        <v>8.4285714285714288</v>
      </c>
      <c r="G44" s="49">
        <f>AVERAGE('29.10 KATOSI-MUKONO'!G44,'30.10 MUKONO-KATOSI'!G44,'31.10 KATOSI-MUKONO'!G44,'3.11 KATOSI-MUKONO'!G44,'1.11 MUKONO-KATOSI 24hr'!G44,'2.11 MUKONO-KATOSI 24hr'!G44,'4.11 KATOSI-MUKONO'!G44)</f>
        <v>0.42857142857142855</v>
      </c>
      <c r="H44" s="49">
        <f>AVERAGE('29.10 KATOSI-MUKONO'!H44,'30.10 MUKONO-KATOSI'!H44,'31.10 KATOSI-MUKONO'!H44,'3.11 KATOSI-MUKONO'!H44,'1.11 MUKONO-KATOSI 24hr'!H44,'2.11 MUKONO-KATOSI 24hr'!H44,'4.11 KATOSI-MUKONO'!H44)</f>
        <v>0</v>
      </c>
      <c r="I44" s="49">
        <f>AVERAGE('29.10 KATOSI-MUKONO'!I44,'30.10 MUKONO-KATOSI'!I44,'31.10 KATOSI-MUKONO'!I44,'3.11 KATOSI-MUKONO'!I44,'1.11 MUKONO-KATOSI 24hr'!I44,'2.11 MUKONO-KATOSI 24hr'!I44,'4.11 KATOSI-MUKONO'!I44)</f>
        <v>8.1428571428571423</v>
      </c>
      <c r="J44" s="49">
        <f>AVERAGE('29.10 KATOSI-MUKONO'!J44,'30.10 MUKONO-KATOSI'!J44,'31.10 KATOSI-MUKONO'!J44,'3.11 KATOSI-MUKONO'!J44,'1.11 MUKONO-KATOSI 24hr'!J44,'2.11 MUKONO-KATOSI 24hr'!J44,'4.11 KATOSI-MUKONO'!J44)</f>
        <v>1.2857142857142858</v>
      </c>
      <c r="K44" s="49">
        <f>AVERAGE('29.10 KATOSI-MUKONO'!K44,'30.10 MUKONO-KATOSI'!K44,'31.10 KATOSI-MUKONO'!K44,'3.11 KATOSI-MUKONO'!K44,'1.11 MUKONO-KATOSI 24hr'!K44,'2.11 MUKONO-KATOSI 24hr'!K44,'4.11 KATOSI-MUKONO'!K44)</f>
        <v>0.14285714285714285</v>
      </c>
      <c r="L44" s="49">
        <f>AVERAGE('29.10 KATOSI-MUKONO'!L44,'30.10 MUKONO-KATOSI'!L44,'31.10 KATOSI-MUKONO'!L44,'3.11 KATOSI-MUKONO'!L44,'1.11 MUKONO-KATOSI 24hr'!L44,'2.11 MUKONO-KATOSI 24hr'!L44,'4.11 KATOSI-MUKONO'!L44)</f>
        <v>0.2857142857142857</v>
      </c>
      <c r="M44" s="49">
        <f>AVERAGE('29.10 KATOSI-MUKONO'!M44,'30.10 MUKONO-KATOSI'!M44,'31.10 KATOSI-MUKONO'!M44,'3.11 KATOSI-MUKONO'!M44,'1.11 MUKONO-KATOSI 24hr'!M44,'2.11 MUKONO-KATOSI 24hr'!M44,'4.11 KATOSI-MUKONO'!M44)</f>
        <v>88.571428571428569</v>
      </c>
      <c r="N44" s="49">
        <f>AVERAGE('29.10 KATOSI-MUKONO'!N44,'30.10 MUKONO-KATOSI'!N44,'31.10 KATOSI-MUKONO'!N44,'3.11 KATOSI-MUKONO'!N44,'1.11 MUKONO-KATOSI 24hr'!N44,'2.11 MUKONO-KATOSI 24hr'!N44,'4.11 KATOSI-MUKONO'!N44)</f>
        <v>0</v>
      </c>
      <c r="O44" s="15">
        <f t="shared" si="0"/>
        <v>37.428571428571431</v>
      </c>
      <c r="P44" s="15">
        <f t="shared" si="1"/>
        <v>126</v>
      </c>
    </row>
    <row r="45" spans="2:32" ht="23.1" customHeight="1" x14ac:dyDescent="0.25">
      <c r="B45" s="23" t="s">
        <v>72</v>
      </c>
      <c r="C45" s="49">
        <f>AVERAGE('29.10 KATOSI-MUKONO'!C45,'30.10 MUKONO-KATOSI'!C45,'31.10 KATOSI-MUKONO'!C45,'3.11 KATOSI-MUKONO'!C45,'1.11 MUKONO-KATOSI 24hr'!C45,'2.11 MUKONO-KATOSI 24hr'!C45,'4.11 KATOSI-MUKONO'!C45)</f>
        <v>14.428571428571429</v>
      </c>
      <c r="D45" s="49">
        <f>AVERAGE('29.10 KATOSI-MUKONO'!D45,'30.10 MUKONO-KATOSI'!D45,'31.10 KATOSI-MUKONO'!D45,'3.11 KATOSI-MUKONO'!D45,'1.11 MUKONO-KATOSI 24hr'!D45,'2.11 MUKONO-KATOSI 24hr'!D45,'4.11 KATOSI-MUKONO'!D45)</f>
        <v>4.2857142857142856</v>
      </c>
      <c r="E45" s="49">
        <f>AVERAGE('29.10 KATOSI-MUKONO'!E45,'30.10 MUKONO-KATOSI'!E45,'31.10 KATOSI-MUKONO'!E45,'3.11 KATOSI-MUKONO'!E45,'1.11 MUKONO-KATOSI 24hr'!E45,'2.11 MUKONO-KATOSI 24hr'!E45,'4.11 KATOSI-MUKONO'!E45)</f>
        <v>4</v>
      </c>
      <c r="F45" s="49">
        <f>AVERAGE('29.10 KATOSI-MUKONO'!F45,'30.10 MUKONO-KATOSI'!F45,'31.10 KATOSI-MUKONO'!F45,'3.11 KATOSI-MUKONO'!F45,'1.11 MUKONO-KATOSI 24hr'!F45,'2.11 MUKONO-KATOSI 24hr'!F45,'4.11 KATOSI-MUKONO'!F45)</f>
        <v>9.8571428571428577</v>
      </c>
      <c r="G45" s="49">
        <f>AVERAGE('29.10 KATOSI-MUKONO'!G45,'30.10 MUKONO-KATOSI'!G45,'31.10 KATOSI-MUKONO'!G45,'3.11 KATOSI-MUKONO'!G45,'1.11 MUKONO-KATOSI 24hr'!G45,'2.11 MUKONO-KATOSI 24hr'!G45,'4.11 KATOSI-MUKONO'!G45)</f>
        <v>0.14285714285714285</v>
      </c>
      <c r="H45" s="49">
        <f>AVERAGE('29.10 KATOSI-MUKONO'!H45,'30.10 MUKONO-KATOSI'!H45,'31.10 KATOSI-MUKONO'!H45,'3.11 KATOSI-MUKONO'!H45,'1.11 MUKONO-KATOSI 24hr'!H45,'2.11 MUKONO-KATOSI 24hr'!H45,'4.11 KATOSI-MUKONO'!H45)</f>
        <v>0</v>
      </c>
      <c r="I45" s="49">
        <f>AVERAGE('29.10 KATOSI-MUKONO'!I45,'30.10 MUKONO-KATOSI'!I45,'31.10 KATOSI-MUKONO'!I45,'3.11 KATOSI-MUKONO'!I45,'1.11 MUKONO-KATOSI 24hr'!I45,'2.11 MUKONO-KATOSI 24hr'!I45,'4.11 KATOSI-MUKONO'!I45)</f>
        <v>7.1428571428571432</v>
      </c>
      <c r="J45" s="49">
        <f>AVERAGE('29.10 KATOSI-MUKONO'!J45,'30.10 MUKONO-KATOSI'!J45,'31.10 KATOSI-MUKONO'!J45,'3.11 KATOSI-MUKONO'!J45,'1.11 MUKONO-KATOSI 24hr'!J45,'2.11 MUKONO-KATOSI 24hr'!J45,'4.11 KATOSI-MUKONO'!J45)</f>
        <v>1.5714285714285714</v>
      </c>
      <c r="K45" s="49">
        <f>AVERAGE('29.10 KATOSI-MUKONO'!K45,'30.10 MUKONO-KATOSI'!K45,'31.10 KATOSI-MUKONO'!K45,'3.11 KATOSI-MUKONO'!K45,'1.11 MUKONO-KATOSI 24hr'!K45,'2.11 MUKONO-KATOSI 24hr'!K45,'4.11 KATOSI-MUKONO'!K45)</f>
        <v>0.2857142857142857</v>
      </c>
      <c r="L45" s="49">
        <f>AVERAGE('29.10 KATOSI-MUKONO'!L45,'30.10 MUKONO-KATOSI'!L45,'31.10 KATOSI-MUKONO'!L45,'3.11 KATOSI-MUKONO'!L45,'1.11 MUKONO-KATOSI 24hr'!L45,'2.11 MUKONO-KATOSI 24hr'!L45,'4.11 KATOSI-MUKONO'!L45)</f>
        <v>0.5714285714285714</v>
      </c>
      <c r="M45" s="49">
        <f>AVERAGE('29.10 KATOSI-MUKONO'!M45,'30.10 MUKONO-KATOSI'!M45,'31.10 KATOSI-MUKONO'!M45,'3.11 KATOSI-MUKONO'!M45,'1.11 MUKONO-KATOSI 24hr'!M45,'2.11 MUKONO-KATOSI 24hr'!M45,'4.11 KATOSI-MUKONO'!M45)</f>
        <v>82.571428571428569</v>
      </c>
      <c r="N45" s="49">
        <f>AVERAGE('29.10 KATOSI-MUKONO'!N45,'30.10 MUKONO-KATOSI'!N45,'31.10 KATOSI-MUKONO'!N45,'3.11 KATOSI-MUKONO'!N45,'1.11 MUKONO-KATOSI 24hr'!N45,'2.11 MUKONO-KATOSI 24hr'!N45,'4.11 KATOSI-MUKONO'!N45)</f>
        <v>0</v>
      </c>
      <c r="O45" s="15">
        <f t="shared" si="0"/>
        <v>42.285714285714285</v>
      </c>
      <c r="P45" s="15">
        <f t="shared" si="1"/>
        <v>124.85714285714286</v>
      </c>
    </row>
    <row r="46" spans="2:32" ht="23.1" customHeight="1" x14ac:dyDescent="0.25">
      <c r="B46" s="24" t="s">
        <v>73</v>
      </c>
      <c r="C46" s="49">
        <f>AVERAGE('29.10 KATOSI-MUKONO'!C46,'30.10 MUKONO-KATOSI'!C46,'31.10 KATOSI-MUKONO'!C46,'3.11 KATOSI-MUKONO'!C46,'1.11 MUKONO-KATOSI 24hr'!C46,'2.11 MUKONO-KATOSI 24hr'!C46,'4.11 KATOSI-MUKONO'!C46)</f>
        <v>17.285714285714285</v>
      </c>
      <c r="D46" s="49">
        <f>AVERAGE('29.10 KATOSI-MUKONO'!D46,'30.10 MUKONO-KATOSI'!D46,'31.10 KATOSI-MUKONO'!D46,'3.11 KATOSI-MUKONO'!D46,'1.11 MUKONO-KATOSI 24hr'!D46,'2.11 MUKONO-KATOSI 24hr'!D46,'4.11 KATOSI-MUKONO'!D46)</f>
        <v>6</v>
      </c>
      <c r="E46" s="49">
        <f>AVERAGE('29.10 KATOSI-MUKONO'!E46,'30.10 MUKONO-KATOSI'!E46,'31.10 KATOSI-MUKONO'!E46,'3.11 KATOSI-MUKONO'!E46,'1.11 MUKONO-KATOSI 24hr'!E46,'2.11 MUKONO-KATOSI 24hr'!E46,'4.11 KATOSI-MUKONO'!E46)</f>
        <v>5.2857142857142856</v>
      </c>
      <c r="F46" s="49">
        <f>AVERAGE('29.10 KATOSI-MUKONO'!F46,'30.10 MUKONO-KATOSI'!F46,'31.10 KATOSI-MUKONO'!F46,'3.11 KATOSI-MUKONO'!F46,'1.11 MUKONO-KATOSI 24hr'!F46,'2.11 MUKONO-KATOSI 24hr'!F46,'4.11 KATOSI-MUKONO'!F46)</f>
        <v>11.857142857142858</v>
      </c>
      <c r="G46" s="49">
        <f>AVERAGE('29.10 KATOSI-MUKONO'!G46,'30.10 MUKONO-KATOSI'!G46,'31.10 KATOSI-MUKONO'!G46,'3.11 KATOSI-MUKONO'!G46,'1.11 MUKONO-KATOSI 24hr'!G46,'2.11 MUKONO-KATOSI 24hr'!G46,'4.11 KATOSI-MUKONO'!G46)</f>
        <v>0.14285714285714285</v>
      </c>
      <c r="H46" s="49">
        <f>AVERAGE('29.10 KATOSI-MUKONO'!H46,'30.10 MUKONO-KATOSI'!H46,'31.10 KATOSI-MUKONO'!H46,'3.11 KATOSI-MUKONO'!H46,'1.11 MUKONO-KATOSI 24hr'!H46,'2.11 MUKONO-KATOSI 24hr'!H46,'4.11 KATOSI-MUKONO'!H46)</f>
        <v>0</v>
      </c>
      <c r="I46" s="49">
        <f>AVERAGE('29.10 KATOSI-MUKONO'!I46,'30.10 MUKONO-KATOSI'!I46,'31.10 KATOSI-MUKONO'!I46,'3.11 KATOSI-MUKONO'!I46,'1.11 MUKONO-KATOSI 24hr'!I46,'2.11 MUKONO-KATOSI 24hr'!I46,'4.11 KATOSI-MUKONO'!I46)</f>
        <v>11.857142857142858</v>
      </c>
      <c r="J46" s="49">
        <f>AVERAGE('29.10 KATOSI-MUKONO'!J46,'30.10 MUKONO-KATOSI'!J46,'31.10 KATOSI-MUKONO'!J46,'3.11 KATOSI-MUKONO'!J46,'1.11 MUKONO-KATOSI 24hr'!J46,'2.11 MUKONO-KATOSI 24hr'!J46,'4.11 KATOSI-MUKONO'!J46)</f>
        <v>1.4285714285714286</v>
      </c>
      <c r="K46" s="49">
        <f>AVERAGE('29.10 KATOSI-MUKONO'!K46,'30.10 MUKONO-KATOSI'!K46,'31.10 KATOSI-MUKONO'!K46,'3.11 KATOSI-MUKONO'!K46,'1.11 MUKONO-KATOSI 24hr'!K46,'2.11 MUKONO-KATOSI 24hr'!K46,'4.11 KATOSI-MUKONO'!K46)</f>
        <v>0.14285714285714285</v>
      </c>
      <c r="L46" s="49">
        <f>AVERAGE('29.10 KATOSI-MUKONO'!L46,'30.10 MUKONO-KATOSI'!L46,'31.10 KATOSI-MUKONO'!L46,'3.11 KATOSI-MUKONO'!L46,'1.11 MUKONO-KATOSI 24hr'!L46,'2.11 MUKONO-KATOSI 24hr'!L46,'4.11 KATOSI-MUKONO'!L46)</f>
        <v>0.8571428571428571</v>
      </c>
      <c r="M46" s="49">
        <f>AVERAGE('29.10 KATOSI-MUKONO'!M46,'30.10 MUKONO-KATOSI'!M46,'31.10 KATOSI-MUKONO'!M46,'3.11 KATOSI-MUKONO'!M46,'1.11 MUKONO-KATOSI 24hr'!M46,'2.11 MUKONO-KATOSI 24hr'!M46,'4.11 KATOSI-MUKONO'!M46)</f>
        <v>86.428571428571431</v>
      </c>
      <c r="N46" s="49">
        <f>AVERAGE('29.10 KATOSI-MUKONO'!N46,'30.10 MUKONO-KATOSI'!N46,'31.10 KATOSI-MUKONO'!N46,'3.11 KATOSI-MUKONO'!N46,'1.11 MUKONO-KATOSI 24hr'!N46,'2.11 MUKONO-KATOSI 24hr'!N46,'4.11 KATOSI-MUKONO'!N46)</f>
        <v>0</v>
      </c>
      <c r="O46" s="15">
        <f t="shared" si="0"/>
        <v>54.857142857142861</v>
      </c>
      <c r="P46" s="15">
        <f t="shared" si="1"/>
        <v>141.28571428571428</v>
      </c>
      <c r="R46" s="8"/>
      <c r="T46"/>
    </row>
    <row r="47" spans="2:32" ht="23.1" customHeight="1" x14ac:dyDescent="0.25">
      <c r="B47" s="24" t="s">
        <v>74</v>
      </c>
      <c r="C47" s="49">
        <f>AVERAGE('29.10 KATOSI-MUKONO'!C47,'30.10 MUKONO-KATOSI'!C47,'31.10 KATOSI-MUKONO'!C47,'3.11 KATOSI-MUKONO'!C47,'1.11 MUKONO-KATOSI 24hr'!C47,'2.11 MUKONO-KATOSI 24hr'!C47,'4.11 KATOSI-MUKONO'!C47)</f>
        <v>15.428571428571429</v>
      </c>
      <c r="D47" s="49">
        <f>AVERAGE('29.10 KATOSI-MUKONO'!D47,'30.10 MUKONO-KATOSI'!D47,'31.10 KATOSI-MUKONO'!D47,'3.11 KATOSI-MUKONO'!D47,'1.11 MUKONO-KATOSI 24hr'!D47,'2.11 MUKONO-KATOSI 24hr'!D47,'4.11 KATOSI-MUKONO'!D47)</f>
        <v>6.8571428571428568</v>
      </c>
      <c r="E47" s="49">
        <f>AVERAGE('29.10 KATOSI-MUKONO'!E47,'30.10 MUKONO-KATOSI'!E47,'31.10 KATOSI-MUKONO'!E47,'3.11 KATOSI-MUKONO'!E47,'1.11 MUKONO-KATOSI 24hr'!E47,'2.11 MUKONO-KATOSI 24hr'!E47,'4.11 KATOSI-MUKONO'!E47)</f>
        <v>4.7142857142857144</v>
      </c>
      <c r="F47" s="49">
        <f>AVERAGE('29.10 KATOSI-MUKONO'!F47,'30.10 MUKONO-KATOSI'!F47,'31.10 KATOSI-MUKONO'!F47,'3.11 KATOSI-MUKONO'!F47,'1.11 MUKONO-KATOSI 24hr'!F47,'2.11 MUKONO-KATOSI 24hr'!F47,'4.11 KATOSI-MUKONO'!F47)</f>
        <v>13.571428571428571</v>
      </c>
      <c r="G47" s="49">
        <f>AVERAGE('29.10 KATOSI-MUKONO'!G47,'30.10 MUKONO-KATOSI'!G47,'31.10 KATOSI-MUKONO'!G47,'3.11 KATOSI-MUKONO'!G47,'1.11 MUKONO-KATOSI 24hr'!G47,'2.11 MUKONO-KATOSI 24hr'!G47,'4.11 KATOSI-MUKONO'!G47)</f>
        <v>0.5714285714285714</v>
      </c>
      <c r="H47" s="49">
        <f>AVERAGE('29.10 KATOSI-MUKONO'!H47,'30.10 MUKONO-KATOSI'!H47,'31.10 KATOSI-MUKONO'!H47,'3.11 KATOSI-MUKONO'!H47,'1.11 MUKONO-KATOSI 24hr'!H47,'2.11 MUKONO-KATOSI 24hr'!H47,'4.11 KATOSI-MUKONO'!H47)</f>
        <v>0</v>
      </c>
      <c r="I47" s="49">
        <f>AVERAGE('29.10 KATOSI-MUKONO'!I47,'30.10 MUKONO-KATOSI'!I47,'31.10 KATOSI-MUKONO'!I47,'3.11 KATOSI-MUKONO'!I47,'1.11 MUKONO-KATOSI 24hr'!I47,'2.11 MUKONO-KATOSI 24hr'!I47,'4.11 KATOSI-MUKONO'!I47)</f>
        <v>6.2857142857142856</v>
      </c>
      <c r="J47" s="49">
        <f>AVERAGE('29.10 KATOSI-MUKONO'!J47,'30.10 MUKONO-KATOSI'!J47,'31.10 KATOSI-MUKONO'!J47,'3.11 KATOSI-MUKONO'!J47,'1.11 MUKONO-KATOSI 24hr'!J47,'2.11 MUKONO-KATOSI 24hr'!J47,'4.11 KATOSI-MUKONO'!J47)</f>
        <v>0.7142857142857143</v>
      </c>
      <c r="K47" s="49">
        <f>AVERAGE('29.10 KATOSI-MUKONO'!K47,'30.10 MUKONO-KATOSI'!K47,'31.10 KATOSI-MUKONO'!K47,'3.11 KATOSI-MUKONO'!K47,'1.11 MUKONO-KATOSI 24hr'!K47,'2.11 MUKONO-KATOSI 24hr'!K47,'4.11 KATOSI-MUKONO'!K47)</f>
        <v>0.14285714285714285</v>
      </c>
      <c r="L47" s="49">
        <f>AVERAGE('29.10 KATOSI-MUKONO'!L47,'30.10 MUKONO-KATOSI'!L47,'31.10 KATOSI-MUKONO'!L47,'3.11 KATOSI-MUKONO'!L47,'1.11 MUKONO-KATOSI 24hr'!L47,'2.11 MUKONO-KATOSI 24hr'!L47,'4.11 KATOSI-MUKONO'!L47)</f>
        <v>0.42857142857142855</v>
      </c>
      <c r="M47" s="49">
        <f>AVERAGE('29.10 KATOSI-MUKONO'!M47,'30.10 MUKONO-KATOSI'!M47,'31.10 KATOSI-MUKONO'!M47,'3.11 KATOSI-MUKONO'!M47,'1.11 MUKONO-KATOSI 24hr'!M47,'2.11 MUKONO-KATOSI 24hr'!M47,'4.11 KATOSI-MUKONO'!M47)</f>
        <v>89</v>
      </c>
      <c r="N47" s="49">
        <f>AVERAGE('29.10 KATOSI-MUKONO'!N47,'30.10 MUKONO-KATOSI'!N47,'31.10 KATOSI-MUKONO'!N47,'3.11 KATOSI-MUKONO'!N47,'1.11 MUKONO-KATOSI 24hr'!N47,'2.11 MUKONO-KATOSI 24hr'!N47,'4.11 KATOSI-MUKONO'!N47)</f>
        <v>0.14285714285714285</v>
      </c>
      <c r="O47" s="15">
        <f t="shared" si="0"/>
        <v>48.857142857142861</v>
      </c>
      <c r="P47" s="15">
        <f t="shared" si="1"/>
        <v>137.85714285714286</v>
      </c>
      <c r="R47" s="8"/>
      <c r="T47"/>
    </row>
    <row r="48" spans="2:32" ht="23.1" customHeight="1" x14ac:dyDescent="0.25">
      <c r="B48" s="24" t="s">
        <v>75</v>
      </c>
      <c r="C48" s="49">
        <f>AVERAGE('29.10 KATOSI-MUKONO'!C48,'30.10 MUKONO-KATOSI'!C48,'31.10 KATOSI-MUKONO'!C48,'3.11 KATOSI-MUKONO'!C48,'1.11 MUKONO-KATOSI 24hr'!C48,'2.11 MUKONO-KATOSI 24hr'!C48,'4.11 KATOSI-MUKONO'!C48)</f>
        <v>14.571428571428571</v>
      </c>
      <c r="D48" s="49">
        <f>AVERAGE('29.10 KATOSI-MUKONO'!D48,'30.10 MUKONO-KATOSI'!D48,'31.10 KATOSI-MUKONO'!D48,'3.11 KATOSI-MUKONO'!D48,'1.11 MUKONO-KATOSI 24hr'!D48,'2.11 MUKONO-KATOSI 24hr'!D48,'4.11 KATOSI-MUKONO'!D48)</f>
        <v>5.1428571428571432</v>
      </c>
      <c r="E48" s="49">
        <f>AVERAGE('29.10 KATOSI-MUKONO'!E48,'30.10 MUKONO-KATOSI'!E48,'31.10 KATOSI-MUKONO'!E48,'3.11 KATOSI-MUKONO'!E48,'1.11 MUKONO-KATOSI 24hr'!E48,'2.11 MUKONO-KATOSI 24hr'!E48,'4.11 KATOSI-MUKONO'!E48)</f>
        <v>4.2857142857142856</v>
      </c>
      <c r="F48" s="49">
        <f>AVERAGE('29.10 KATOSI-MUKONO'!F48,'30.10 MUKONO-KATOSI'!F48,'31.10 KATOSI-MUKONO'!F48,'3.11 KATOSI-MUKONO'!F48,'1.11 MUKONO-KATOSI 24hr'!F48,'2.11 MUKONO-KATOSI 24hr'!F48,'4.11 KATOSI-MUKONO'!F48)</f>
        <v>8.1428571428571423</v>
      </c>
      <c r="G48" s="49">
        <f>AVERAGE('29.10 KATOSI-MUKONO'!G48,'30.10 MUKONO-KATOSI'!G48,'31.10 KATOSI-MUKONO'!G48,'3.11 KATOSI-MUKONO'!G48,'1.11 MUKONO-KATOSI 24hr'!G48,'2.11 MUKONO-KATOSI 24hr'!G48,'4.11 KATOSI-MUKONO'!G48)</f>
        <v>1.4285714285714286</v>
      </c>
      <c r="H48" s="49">
        <f>AVERAGE('29.10 KATOSI-MUKONO'!H48,'30.10 MUKONO-KATOSI'!H48,'31.10 KATOSI-MUKONO'!H48,'3.11 KATOSI-MUKONO'!H48,'1.11 MUKONO-KATOSI 24hr'!H48,'2.11 MUKONO-KATOSI 24hr'!H48,'4.11 KATOSI-MUKONO'!H48)</f>
        <v>0</v>
      </c>
      <c r="I48" s="49">
        <f>AVERAGE('29.10 KATOSI-MUKONO'!I48,'30.10 MUKONO-KATOSI'!I48,'31.10 KATOSI-MUKONO'!I48,'3.11 KATOSI-MUKONO'!I48,'1.11 MUKONO-KATOSI 24hr'!I48,'2.11 MUKONO-KATOSI 24hr'!I48,'4.11 KATOSI-MUKONO'!I48)</f>
        <v>8.7142857142857135</v>
      </c>
      <c r="J48" s="49">
        <f>AVERAGE('29.10 KATOSI-MUKONO'!J48,'30.10 MUKONO-KATOSI'!J48,'31.10 KATOSI-MUKONO'!J48,'3.11 KATOSI-MUKONO'!J48,'1.11 MUKONO-KATOSI 24hr'!J48,'2.11 MUKONO-KATOSI 24hr'!J48,'4.11 KATOSI-MUKONO'!J48)</f>
        <v>0.8571428571428571</v>
      </c>
      <c r="K48" s="49">
        <f>AVERAGE('29.10 KATOSI-MUKONO'!K48,'30.10 MUKONO-KATOSI'!K48,'31.10 KATOSI-MUKONO'!K48,'3.11 KATOSI-MUKONO'!K48,'1.11 MUKONO-KATOSI 24hr'!K48,'2.11 MUKONO-KATOSI 24hr'!K48,'4.11 KATOSI-MUKONO'!K48)</f>
        <v>0.2857142857142857</v>
      </c>
      <c r="L48" s="49">
        <f>AVERAGE('29.10 KATOSI-MUKONO'!L48,'30.10 MUKONO-KATOSI'!L48,'31.10 KATOSI-MUKONO'!L48,'3.11 KATOSI-MUKONO'!L48,'1.11 MUKONO-KATOSI 24hr'!L48,'2.11 MUKONO-KATOSI 24hr'!L48,'4.11 KATOSI-MUKONO'!L48)</f>
        <v>0.5714285714285714</v>
      </c>
      <c r="M48" s="49">
        <f>AVERAGE('29.10 KATOSI-MUKONO'!M48,'30.10 MUKONO-KATOSI'!M48,'31.10 KATOSI-MUKONO'!M48,'3.11 KATOSI-MUKONO'!M48,'1.11 MUKONO-KATOSI 24hr'!M48,'2.11 MUKONO-KATOSI 24hr'!M48,'4.11 KATOSI-MUKONO'!M48)</f>
        <v>91.285714285714292</v>
      </c>
      <c r="N48" s="49">
        <f>AVERAGE('29.10 KATOSI-MUKONO'!N48,'30.10 MUKONO-KATOSI'!N48,'31.10 KATOSI-MUKONO'!N48,'3.11 KATOSI-MUKONO'!N48,'1.11 MUKONO-KATOSI 24hr'!N48,'2.11 MUKONO-KATOSI 24hr'!N48,'4.11 KATOSI-MUKONO'!N48)</f>
        <v>0</v>
      </c>
      <c r="O48" s="15">
        <f t="shared" si="0"/>
        <v>43.999999999999993</v>
      </c>
      <c r="P48" s="15">
        <f t="shared" si="1"/>
        <v>135.28571428571428</v>
      </c>
      <c r="R48" s="8"/>
      <c r="T48"/>
    </row>
    <row r="49" spans="2:20" ht="23.1" customHeight="1" x14ac:dyDescent="0.25">
      <c r="B49" s="23" t="s">
        <v>76</v>
      </c>
      <c r="C49" s="49">
        <f>AVERAGE('29.10 KATOSI-MUKONO'!C49,'30.10 MUKONO-KATOSI'!C49,'31.10 KATOSI-MUKONO'!C49,'3.11 KATOSI-MUKONO'!C49,'1.11 MUKONO-KATOSI 24hr'!C49,'2.11 MUKONO-KATOSI 24hr'!C49,'4.11 KATOSI-MUKONO'!C49)</f>
        <v>16.571428571428573</v>
      </c>
      <c r="D49" s="49">
        <f>AVERAGE('29.10 KATOSI-MUKONO'!D49,'30.10 MUKONO-KATOSI'!D49,'31.10 KATOSI-MUKONO'!D49,'3.11 KATOSI-MUKONO'!D49,'1.11 MUKONO-KATOSI 24hr'!D49,'2.11 MUKONO-KATOSI 24hr'!D49,'4.11 KATOSI-MUKONO'!D49)</f>
        <v>5.2857142857142856</v>
      </c>
      <c r="E49" s="49">
        <f>AVERAGE('29.10 KATOSI-MUKONO'!E49,'30.10 MUKONO-KATOSI'!E49,'31.10 KATOSI-MUKONO'!E49,'3.11 KATOSI-MUKONO'!E49,'1.11 MUKONO-KATOSI 24hr'!E49,'2.11 MUKONO-KATOSI 24hr'!E49,'4.11 KATOSI-MUKONO'!E49)</f>
        <v>3.5714285714285716</v>
      </c>
      <c r="F49" s="49">
        <f>AVERAGE('29.10 KATOSI-MUKONO'!F49,'30.10 MUKONO-KATOSI'!F49,'31.10 KATOSI-MUKONO'!F49,'3.11 KATOSI-MUKONO'!F49,'1.11 MUKONO-KATOSI 24hr'!F49,'2.11 MUKONO-KATOSI 24hr'!F49,'4.11 KATOSI-MUKONO'!F49)</f>
        <v>6.2857142857142856</v>
      </c>
      <c r="G49" s="49">
        <f>AVERAGE('29.10 KATOSI-MUKONO'!G49,'30.10 MUKONO-KATOSI'!G49,'31.10 KATOSI-MUKONO'!G49,'3.11 KATOSI-MUKONO'!G49,'1.11 MUKONO-KATOSI 24hr'!G49,'2.11 MUKONO-KATOSI 24hr'!G49,'4.11 KATOSI-MUKONO'!G49)</f>
        <v>0.5714285714285714</v>
      </c>
      <c r="H49" s="49">
        <f>AVERAGE('29.10 KATOSI-MUKONO'!H49,'30.10 MUKONO-KATOSI'!H49,'31.10 KATOSI-MUKONO'!H49,'3.11 KATOSI-MUKONO'!H49,'1.11 MUKONO-KATOSI 24hr'!H49,'2.11 MUKONO-KATOSI 24hr'!H49,'4.11 KATOSI-MUKONO'!H49)</f>
        <v>0</v>
      </c>
      <c r="I49" s="49">
        <f>AVERAGE('29.10 KATOSI-MUKONO'!I49,'30.10 MUKONO-KATOSI'!I49,'31.10 KATOSI-MUKONO'!I49,'3.11 KATOSI-MUKONO'!I49,'1.11 MUKONO-KATOSI 24hr'!I49,'2.11 MUKONO-KATOSI 24hr'!I49,'4.11 KATOSI-MUKONO'!I49)</f>
        <v>8.8571428571428577</v>
      </c>
      <c r="J49" s="49">
        <f>AVERAGE('29.10 KATOSI-MUKONO'!J49,'30.10 MUKONO-KATOSI'!J49,'31.10 KATOSI-MUKONO'!J49,'3.11 KATOSI-MUKONO'!J49,'1.11 MUKONO-KATOSI 24hr'!J49,'2.11 MUKONO-KATOSI 24hr'!J49,'4.11 KATOSI-MUKONO'!J49)</f>
        <v>1.7142857142857142</v>
      </c>
      <c r="K49" s="49">
        <f>AVERAGE('29.10 KATOSI-MUKONO'!K49,'30.10 MUKONO-KATOSI'!K49,'31.10 KATOSI-MUKONO'!K49,'3.11 KATOSI-MUKONO'!K49,'1.11 MUKONO-KATOSI 24hr'!K49,'2.11 MUKONO-KATOSI 24hr'!K49,'4.11 KATOSI-MUKONO'!K49)</f>
        <v>0.42857142857142855</v>
      </c>
      <c r="L49" s="49">
        <f>AVERAGE('29.10 KATOSI-MUKONO'!L49,'30.10 MUKONO-KATOSI'!L49,'31.10 KATOSI-MUKONO'!L49,'3.11 KATOSI-MUKONO'!L49,'1.11 MUKONO-KATOSI 24hr'!L49,'2.11 MUKONO-KATOSI 24hr'!L49,'4.11 KATOSI-MUKONO'!L49)</f>
        <v>0.5714285714285714</v>
      </c>
      <c r="M49" s="49">
        <f>AVERAGE('29.10 KATOSI-MUKONO'!M49,'30.10 MUKONO-KATOSI'!M49,'31.10 KATOSI-MUKONO'!M49,'3.11 KATOSI-MUKONO'!M49,'1.11 MUKONO-KATOSI 24hr'!M49,'2.11 MUKONO-KATOSI 24hr'!M49,'4.11 KATOSI-MUKONO'!M49)</f>
        <v>84.571428571428569</v>
      </c>
      <c r="N49" s="49">
        <f>AVERAGE('29.10 KATOSI-MUKONO'!N49,'30.10 MUKONO-KATOSI'!N49,'31.10 KATOSI-MUKONO'!N49,'3.11 KATOSI-MUKONO'!N49,'1.11 MUKONO-KATOSI 24hr'!N49,'2.11 MUKONO-KATOSI 24hr'!N49,'4.11 KATOSI-MUKONO'!N49)</f>
        <v>0</v>
      </c>
      <c r="O49" s="15">
        <f t="shared" si="0"/>
        <v>43.857142857142854</v>
      </c>
      <c r="P49" s="15">
        <f t="shared" si="1"/>
        <v>128.42857142857142</v>
      </c>
      <c r="R49" s="8"/>
      <c r="T49"/>
    </row>
    <row r="50" spans="2:20" ht="23.1" customHeight="1" x14ac:dyDescent="0.25">
      <c r="B50" s="24" t="s">
        <v>77</v>
      </c>
      <c r="C50" s="49">
        <f>AVERAGE('29.10 KATOSI-MUKONO'!C50,'30.10 MUKONO-KATOSI'!C50,'31.10 KATOSI-MUKONO'!C50,'3.11 KATOSI-MUKONO'!C50,'1.11 MUKONO-KATOSI 24hr'!C50,'2.11 MUKONO-KATOSI 24hr'!C50,'4.11 KATOSI-MUKONO'!C50)</f>
        <v>16.714285714285715</v>
      </c>
      <c r="D50" s="49">
        <f>AVERAGE('29.10 KATOSI-MUKONO'!D50,'30.10 MUKONO-KATOSI'!D50,'31.10 KATOSI-MUKONO'!D50,'3.11 KATOSI-MUKONO'!D50,'1.11 MUKONO-KATOSI 24hr'!D50,'2.11 MUKONO-KATOSI 24hr'!D50,'4.11 KATOSI-MUKONO'!D50)</f>
        <v>4</v>
      </c>
      <c r="E50" s="49">
        <f>AVERAGE('29.10 KATOSI-MUKONO'!E50,'30.10 MUKONO-KATOSI'!E50,'31.10 KATOSI-MUKONO'!E50,'3.11 KATOSI-MUKONO'!E50,'1.11 MUKONO-KATOSI 24hr'!E50,'2.11 MUKONO-KATOSI 24hr'!E50,'4.11 KATOSI-MUKONO'!E50)</f>
        <v>3.2857142857142856</v>
      </c>
      <c r="F50" s="49">
        <f>AVERAGE('29.10 KATOSI-MUKONO'!F50,'30.10 MUKONO-KATOSI'!F50,'31.10 KATOSI-MUKONO'!F50,'3.11 KATOSI-MUKONO'!F50,'1.11 MUKONO-KATOSI 24hr'!F50,'2.11 MUKONO-KATOSI 24hr'!F50,'4.11 KATOSI-MUKONO'!F50)</f>
        <v>9.7142857142857135</v>
      </c>
      <c r="G50" s="49">
        <f>AVERAGE('29.10 KATOSI-MUKONO'!G50,'30.10 MUKONO-KATOSI'!G50,'31.10 KATOSI-MUKONO'!G50,'3.11 KATOSI-MUKONO'!G50,'1.11 MUKONO-KATOSI 24hr'!G50,'2.11 MUKONO-KATOSI 24hr'!G50,'4.11 KATOSI-MUKONO'!G50)</f>
        <v>0.7142857142857143</v>
      </c>
      <c r="H50" s="49">
        <f>AVERAGE('29.10 KATOSI-MUKONO'!H50,'30.10 MUKONO-KATOSI'!H50,'31.10 KATOSI-MUKONO'!H50,'3.11 KATOSI-MUKONO'!H50,'1.11 MUKONO-KATOSI 24hr'!H50,'2.11 MUKONO-KATOSI 24hr'!H50,'4.11 KATOSI-MUKONO'!H50)</f>
        <v>0.14285714285714285</v>
      </c>
      <c r="I50" s="49">
        <f>AVERAGE('29.10 KATOSI-MUKONO'!I50,'30.10 MUKONO-KATOSI'!I50,'31.10 KATOSI-MUKONO'!I50,'3.11 KATOSI-MUKONO'!I50,'1.11 MUKONO-KATOSI 24hr'!I50,'2.11 MUKONO-KATOSI 24hr'!I50,'4.11 KATOSI-MUKONO'!I50)</f>
        <v>7.4285714285714288</v>
      </c>
      <c r="J50" s="49">
        <f>AVERAGE('29.10 KATOSI-MUKONO'!J50,'30.10 MUKONO-KATOSI'!J50,'31.10 KATOSI-MUKONO'!J50,'3.11 KATOSI-MUKONO'!J50,'1.11 MUKONO-KATOSI 24hr'!J50,'2.11 MUKONO-KATOSI 24hr'!J50,'4.11 KATOSI-MUKONO'!J50)</f>
        <v>1.2857142857142858</v>
      </c>
      <c r="K50" s="49">
        <f>AVERAGE('29.10 KATOSI-MUKONO'!K50,'30.10 MUKONO-KATOSI'!K50,'31.10 KATOSI-MUKONO'!K50,'3.11 KATOSI-MUKONO'!K50,'1.11 MUKONO-KATOSI 24hr'!K50,'2.11 MUKONO-KATOSI 24hr'!K50,'4.11 KATOSI-MUKONO'!K50)</f>
        <v>0.14285714285714285</v>
      </c>
      <c r="L50" s="49">
        <f>AVERAGE('29.10 KATOSI-MUKONO'!L50,'30.10 MUKONO-KATOSI'!L50,'31.10 KATOSI-MUKONO'!L50,'3.11 KATOSI-MUKONO'!L50,'1.11 MUKONO-KATOSI 24hr'!L50,'2.11 MUKONO-KATOSI 24hr'!L50,'4.11 KATOSI-MUKONO'!L50)</f>
        <v>12.428571428571429</v>
      </c>
      <c r="M50" s="49">
        <f>AVERAGE('29.10 KATOSI-MUKONO'!M50,'30.10 MUKONO-KATOSI'!M50,'31.10 KATOSI-MUKONO'!M50,'3.11 KATOSI-MUKONO'!M50,'1.11 MUKONO-KATOSI 24hr'!M50,'2.11 MUKONO-KATOSI 24hr'!M50,'4.11 KATOSI-MUKONO'!M50)</f>
        <v>76.571428571428569</v>
      </c>
      <c r="N50" s="49">
        <f>AVERAGE('29.10 KATOSI-MUKONO'!N50,'30.10 MUKONO-KATOSI'!N50,'31.10 KATOSI-MUKONO'!N50,'3.11 KATOSI-MUKONO'!N50,'1.11 MUKONO-KATOSI 24hr'!N50,'2.11 MUKONO-KATOSI 24hr'!N50,'4.11 KATOSI-MUKONO'!N50)</f>
        <v>0</v>
      </c>
      <c r="O50" s="15">
        <f t="shared" si="0"/>
        <v>55.857142857142868</v>
      </c>
      <c r="P50" s="15">
        <f t="shared" si="1"/>
        <v>132.42857142857144</v>
      </c>
      <c r="R50" s="8"/>
      <c r="T50"/>
    </row>
    <row r="51" spans="2:20" ht="23.1" customHeight="1" x14ac:dyDescent="0.25">
      <c r="B51" s="24" t="s">
        <v>78</v>
      </c>
      <c r="C51" s="49">
        <f>AVERAGE('29.10 KATOSI-MUKONO'!C51,'30.10 MUKONO-KATOSI'!C51,'31.10 KATOSI-MUKONO'!C51,'3.11 KATOSI-MUKONO'!C51,'1.11 MUKONO-KATOSI 24hr'!C51,'2.11 MUKONO-KATOSI 24hr'!C51,'4.11 KATOSI-MUKONO'!C51)</f>
        <v>14.142857142857142</v>
      </c>
      <c r="D51" s="49">
        <f>AVERAGE('29.10 KATOSI-MUKONO'!D51,'30.10 MUKONO-KATOSI'!D51,'31.10 KATOSI-MUKONO'!D51,'3.11 KATOSI-MUKONO'!D51,'1.11 MUKONO-KATOSI 24hr'!D51,'2.11 MUKONO-KATOSI 24hr'!D51,'4.11 KATOSI-MUKONO'!D51)</f>
        <v>5.5714285714285712</v>
      </c>
      <c r="E51" s="49">
        <f>AVERAGE('29.10 KATOSI-MUKONO'!E51,'30.10 MUKONO-KATOSI'!E51,'31.10 KATOSI-MUKONO'!E51,'3.11 KATOSI-MUKONO'!E51,'1.11 MUKONO-KATOSI 24hr'!E51,'2.11 MUKONO-KATOSI 24hr'!E51,'4.11 KATOSI-MUKONO'!E51)</f>
        <v>4.7142857142857144</v>
      </c>
      <c r="F51" s="49">
        <f>AVERAGE('29.10 KATOSI-MUKONO'!F51,'30.10 MUKONO-KATOSI'!F51,'31.10 KATOSI-MUKONO'!F51,'3.11 KATOSI-MUKONO'!F51,'1.11 MUKONO-KATOSI 24hr'!F51,'2.11 MUKONO-KATOSI 24hr'!F51,'4.11 KATOSI-MUKONO'!F51)</f>
        <v>9.2857142857142865</v>
      </c>
      <c r="G51" s="49">
        <f>AVERAGE('29.10 KATOSI-MUKONO'!G51,'30.10 MUKONO-KATOSI'!G51,'31.10 KATOSI-MUKONO'!G51,'3.11 KATOSI-MUKONO'!G51,'1.11 MUKONO-KATOSI 24hr'!G51,'2.11 MUKONO-KATOSI 24hr'!G51,'4.11 KATOSI-MUKONO'!G51)</f>
        <v>0.7142857142857143</v>
      </c>
      <c r="H51" s="49">
        <f>AVERAGE('29.10 KATOSI-MUKONO'!H51,'30.10 MUKONO-KATOSI'!H51,'31.10 KATOSI-MUKONO'!H51,'3.11 KATOSI-MUKONO'!H51,'1.11 MUKONO-KATOSI 24hr'!H51,'2.11 MUKONO-KATOSI 24hr'!H51,'4.11 KATOSI-MUKONO'!H51)</f>
        <v>0</v>
      </c>
      <c r="I51" s="49">
        <f>AVERAGE('29.10 KATOSI-MUKONO'!I51,'30.10 MUKONO-KATOSI'!I51,'31.10 KATOSI-MUKONO'!I51,'3.11 KATOSI-MUKONO'!I51,'1.11 MUKONO-KATOSI 24hr'!I51,'2.11 MUKONO-KATOSI 24hr'!I51,'4.11 KATOSI-MUKONO'!I51)</f>
        <v>6.1428571428571432</v>
      </c>
      <c r="J51" s="49">
        <f>AVERAGE('29.10 KATOSI-MUKONO'!J51,'30.10 MUKONO-KATOSI'!J51,'31.10 KATOSI-MUKONO'!J51,'3.11 KATOSI-MUKONO'!J51,'1.11 MUKONO-KATOSI 24hr'!J51,'2.11 MUKONO-KATOSI 24hr'!J51,'4.11 KATOSI-MUKONO'!J51)</f>
        <v>1.1428571428571428</v>
      </c>
      <c r="K51" s="49">
        <f>AVERAGE('29.10 KATOSI-MUKONO'!K51,'30.10 MUKONO-KATOSI'!K51,'31.10 KATOSI-MUKONO'!K51,'3.11 KATOSI-MUKONO'!K51,'1.11 MUKONO-KATOSI 24hr'!K51,'2.11 MUKONO-KATOSI 24hr'!K51,'4.11 KATOSI-MUKONO'!K51)</f>
        <v>0</v>
      </c>
      <c r="L51" s="49">
        <f>AVERAGE('29.10 KATOSI-MUKONO'!L51,'30.10 MUKONO-KATOSI'!L51,'31.10 KATOSI-MUKONO'!L51,'3.11 KATOSI-MUKONO'!L51,'1.11 MUKONO-KATOSI 24hr'!L51,'2.11 MUKONO-KATOSI 24hr'!L51,'4.11 KATOSI-MUKONO'!L51)</f>
        <v>0.5714285714285714</v>
      </c>
      <c r="M51" s="49">
        <f>AVERAGE('29.10 KATOSI-MUKONO'!M51,'30.10 MUKONO-KATOSI'!M51,'31.10 KATOSI-MUKONO'!M51,'3.11 KATOSI-MUKONO'!M51,'1.11 MUKONO-KATOSI 24hr'!M51,'2.11 MUKONO-KATOSI 24hr'!M51,'4.11 KATOSI-MUKONO'!M51)</f>
        <v>88.714285714285708</v>
      </c>
      <c r="N51" s="49">
        <f>AVERAGE('29.10 KATOSI-MUKONO'!N51,'30.10 MUKONO-KATOSI'!N51,'31.10 KATOSI-MUKONO'!N51,'3.11 KATOSI-MUKONO'!N51,'1.11 MUKONO-KATOSI 24hr'!N51,'2.11 MUKONO-KATOSI 24hr'!N51,'4.11 KATOSI-MUKONO'!N51)</f>
        <v>0</v>
      </c>
      <c r="O51" s="15">
        <f t="shared" si="0"/>
        <v>42.285714285714292</v>
      </c>
      <c r="P51" s="15">
        <f t="shared" si="1"/>
        <v>131</v>
      </c>
      <c r="R51" s="8"/>
      <c r="T51"/>
    </row>
    <row r="52" spans="2:20" ht="23.1" customHeight="1" x14ac:dyDescent="0.25">
      <c r="B52" s="24" t="s">
        <v>79</v>
      </c>
      <c r="C52" s="49">
        <f>AVERAGE('29.10 KATOSI-MUKONO'!C52,'30.10 MUKONO-KATOSI'!C52,'31.10 KATOSI-MUKONO'!C52,'3.11 KATOSI-MUKONO'!C52,'1.11 MUKONO-KATOSI 24hr'!C52,'2.11 MUKONO-KATOSI 24hr'!C52,'4.11 KATOSI-MUKONO'!C52)</f>
        <v>14.714285714285714</v>
      </c>
      <c r="D52" s="49">
        <f>AVERAGE('29.10 KATOSI-MUKONO'!D52,'30.10 MUKONO-KATOSI'!D52,'31.10 KATOSI-MUKONO'!D52,'3.11 KATOSI-MUKONO'!D52,'1.11 MUKONO-KATOSI 24hr'!D52,'2.11 MUKONO-KATOSI 24hr'!D52,'4.11 KATOSI-MUKONO'!D52)</f>
        <v>5.8571428571428568</v>
      </c>
      <c r="E52" s="49">
        <f>AVERAGE('29.10 KATOSI-MUKONO'!E52,'30.10 MUKONO-KATOSI'!E52,'31.10 KATOSI-MUKONO'!E52,'3.11 KATOSI-MUKONO'!E52,'1.11 MUKONO-KATOSI 24hr'!E52,'2.11 MUKONO-KATOSI 24hr'!E52,'4.11 KATOSI-MUKONO'!E52)</f>
        <v>4</v>
      </c>
      <c r="F52" s="49">
        <f>AVERAGE('29.10 KATOSI-MUKONO'!F52,'30.10 MUKONO-KATOSI'!F52,'31.10 KATOSI-MUKONO'!F52,'3.11 KATOSI-MUKONO'!F52,'1.11 MUKONO-KATOSI 24hr'!F52,'2.11 MUKONO-KATOSI 24hr'!F52,'4.11 KATOSI-MUKONO'!F52)</f>
        <v>10</v>
      </c>
      <c r="G52" s="49">
        <f>AVERAGE('29.10 KATOSI-MUKONO'!G52,'30.10 MUKONO-KATOSI'!G52,'31.10 KATOSI-MUKONO'!G52,'3.11 KATOSI-MUKONO'!G52,'1.11 MUKONO-KATOSI 24hr'!G52,'2.11 MUKONO-KATOSI 24hr'!G52,'4.11 KATOSI-MUKONO'!G52)</f>
        <v>0.42857142857142855</v>
      </c>
      <c r="H52" s="49">
        <f>AVERAGE('29.10 KATOSI-MUKONO'!H52,'30.10 MUKONO-KATOSI'!H52,'31.10 KATOSI-MUKONO'!H52,'3.11 KATOSI-MUKONO'!H52,'1.11 MUKONO-KATOSI 24hr'!H52,'2.11 MUKONO-KATOSI 24hr'!H52,'4.11 KATOSI-MUKONO'!H52)</f>
        <v>0</v>
      </c>
      <c r="I52" s="49">
        <f>AVERAGE('29.10 KATOSI-MUKONO'!I52,'30.10 MUKONO-KATOSI'!I52,'31.10 KATOSI-MUKONO'!I52,'3.11 KATOSI-MUKONO'!I52,'1.11 MUKONO-KATOSI 24hr'!I52,'2.11 MUKONO-KATOSI 24hr'!I52,'4.11 KATOSI-MUKONO'!I52)</f>
        <v>5.2857142857142856</v>
      </c>
      <c r="J52" s="49">
        <f>AVERAGE('29.10 KATOSI-MUKONO'!J52,'30.10 MUKONO-KATOSI'!J52,'31.10 KATOSI-MUKONO'!J52,'3.11 KATOSI-MUKONO'!J52,'1.11 MUKONO-KATOSI 24hr'!J52,'2.11 MUKONO-KATOSI 24hr'!J52,'4.11 KATOSI-MUKONO'!J52)</f>
        <v>1</v>
      </c>
      <c r="K52" s="49">
        <f>AVERAGE('29.10 KATOSI-MUKONO'!K52,'30.10 MUKONO-KATOSI'!K52,'31.10 KATOSI-MUKONO'!K52,'3.11 KATOSI-MUKONO'!K52,'1.11 MUKONO-KATOSI 24hr'!K52,'2.11 MUKONO-KATOSI 24hr'!K52,'4.11 KATOSI-MUKONO'!K52)</f>
        <v>0.42857142857142855</v>
      </c>
      <c r="L52" s="49">
        <f>AVERAGE('29.10 KATOSI-MUKONO'!L52,'30.10 MUKONO-KATOSI'!L52,'31.10 KATOSI-MUKONO'!L52,'3.11 KATOSI-MUKONO'!L52,'1.11 MUKONO-KATOSI 24hr'!L52,'2.11 MUKONO-KATOSI 24hr'!L52,'4.11 KATOSI-MUKONO'!L52)</f>
        <v>0.42857142857142855</v>
      </c>
      <c r="M52" s="49">
        <f>AVERAGE('29.10 KATOSI-MUKONO'!M52,'30.10 MUKONO-KATOSI'!M52,'31.10 KATOSI-MUKONO'!M52,'3.11 KATOSI-MUKONO'!M52,'1.11 MUKONO-KATOSI 24hr'!M52,'2.11 MUKONO-KATOSI 24hr'!M52,'4.11 KATOSI-MUKONO'!M52)</f>
        <v>81.285714285714292</v>
      </c>
      <c r="N52" s="49">
        <f>AVERAGE('29.10 KATOSI-MUKONO'!N52,'30.10 MUKONO-KATOSI'!N52,'31.10 KATOSI-MUKONO'!N52,'3.11 KATOSI-MUKONO'!N52,'1.11 MUKONO-KATOSI 24hr'!N52,'2.11 MUKONO-KATOSI 24hr'!N52,'4.11 KATOSI-MUKONO'!N52)</f>
        <v>0</v>
      </c>
      <c r="O52" s="15">
        <f t="shared" si="0"/>
        <v>42.142857142857146</v>
      </c>
      <c r="P52" s="15">
        <f t="shared" si="1"/>
        <v>123.42857142857144</v>
      </c>
      <c r="R52" s="8"/>
      <c r="T52"/>
    </row>
    <row r="53" spans="2:20" ht="23.1" customHeight="1" x14ac:dyDescent="0.25">
      <c r="B53" s="23" t="s">
        <v>80</v>
      </c>
      <c r="C53" s="49">
        <f>AVERAGE('29.10 KATOSI-MUKONO'!C53,'30.10 MUKONO-KATOSI'!C53,'31.10 KATOSI-MUKONO'!C53,'3.11 KATOSI-MUKONO'!C53,'1.11 MUKONO-KATOSI 24hr'!C53,'2.11 MUKONO-KATOSI 24hr'!C53,'4.11 KATOSI-MUKONO'!C53)</f>
        <v>20</v>
      </c>
      <c r="D53" s="49">
        <f>AVERAGE('29.10 KATOSI-MUKONO'!D53,'30.10 MUKONO-KATOSI'!D53,'31.10 KATOSI-MUKONO'!D53,'3.11 KATOSI-MUKONO'!D53,'1.11 MUKONO-KATOSI 24hr'!D53,'2.11 MUKONO-KATOSI 24hr'!D53,'4.11 KATOSI-MUKONO'!D53)</f>
        <v>6.8571428571428568</v>
      </c>
      <c r="E53" s="49">
        <f>AVERAGE('29.10 KATOSI-MUKONO'!E53,'30.10 MUKONO-KATOSI'!E53,'31.10 KATOSI-MUKONO'!E53,'3.11 KATOSI-MUKONO'!E53,'1.11 MUKONO-KATOSI 24hr'!E53,'2.11 MUKONO-KATOSI 24hr'!E53,'4.11 KATOSI-MUKONO'!E53)</f>
        <v>2.4285714285714284</v>
      </c>
      <c r="F53" s="49">
        <f>AVERAGE('29.10 KATOSI-MUKONO'!F53,'30.10 MUKONO-KATOSI'!F53,'31.10 KATOSI-MUKONO'!F53,'3.11 KATOSI-MUKONO'!F53,'1.11 MUKONO-KATOSI 24hr'!F53,'2.11 MUKONO-KATOSI 24hr'!F53,'4.11 KATOSI-MUKONO'!F53)</f>
        <v>9.7142857142857135</v>
      </c>
      <c r="G53" s="49">
        <f>AVERAGE('29.10 KATOSI-MUKONO'!G53,'30.10 MUKONO-KATOSI'!G53,'31.10 KATOSI-MUKONO'!G53,'3.11 KATOSI-MUKONO'!G53,'1.11 MUKONO-KATOSI 24hr'!G53,'2.11 MUKONO-KATOSI 24hr'!G53,'4.11 KATOSI-MUKONO'!G53)</f>
        <v>1.8571428571428572</v>
      </c>
      <c r="H53" s="49">
        <f>AVERAGE('29.10 KATOSI-MUKONO'!H53,'30.10 MUKONO-KATOSI'!H53,'31.10 KATOSI-MUKONO'!H53,'3.11 KATOSI-MUKONO'!H53,'1.11 MUKONO-KATOSI 24hr'!H53,'2.11 MUKONO-KATOSI 24hr'!H53,'4.11 KATOSI-MUKONO'!H53)</f>
        <v>0</v>
      </c>
      <c r="I53" s="49">
        <f>AVERAGE('29.10 KATOSI-MUKONO'!I53,'30.10 MUKONO-KATOSI'!I53,'31.10 KATOSI-MUKONO'!I53,'3.11 KATOSI-MUKONO'!I53,'1.11 MUKONO-KATOSI 24hr'!I53,'2.11 MUKONO-KATOSI 24hr'!I53,'4.11 KATOSI-MUKONO'!I53)</f>
        <v>5.2857142857142856</v>
      </c>
      <c r="J53" s="49">
        <f>AVERAGE('29.10 KATOSI-MUKONO'!J53,'30.10 MUKONO-KATOSI'!J53,'31.10 KATOSI-MUKONO'!J53,'3.11 KATOSI-MUKONO'!J53,'1.11 MUKONO-KATOSI 24hr'!J53,'2.11 MUKONO-KATOSI 24hr'!J53,'4.11 KATOSI-MUKONO'!J53)</f>
        <v>2</v>
      </c>
      <c r="K53" s="49">
        <f>AVERAGE('29.10 KATOSI-MUKONO'!K53,'30.10 MUKONO-KATOSI'!K53,'31.10 KATOSI-MUKONO'!K53,'3.11 KATOSI-MUKONO'!K53,'1.11 MUKONO-KATOSI 24hr'!K53,'2.11 MUKONO-KATOSI 24hr'!K53,'4.11 KATOSI-MUKONO'!K53)</f>
        <v>0.7142857142857143</v>
      </c>
      <c r="L53" s="49">
        <f>AVERAGE('29.10 KATOSI-MUKONO'!L53,'30.10 MUKONO-KATOSI'!L53,'31.10 KATOSI-MUKONO'!L53,'3.11 KATOSI-MUKONO'!L53,'1.11 MUKONO-KATOSI 24hr'!L53,'2.11 MUKONO-KATOSI 24hr'!L53,'4.11 KATOSI-MUKONO'!L53)</f>
        <v>0.14285714285714285</v>
      </c>
      <c r="M53" s="49">
        <f>AVERAGE('29.10 KATOSI-MUKONO'!M53,'30.10 MUKONO-KATOSI'!M53,'31.10 KATOSI-MUKONO'!M53,'3.11 KATOSI-MUKONO'!M53,'1.11 MUKONO-KATOSI 24hr'!M53,'2.11 MUKONO-KATOSI 24hr'!M53,'4.11 KATOSI-MUKONO'!M53)</f>
        <v>86.428571428571431</v>
      </c>
      <c r="N53" s="49">
        <f>AVERAGE('29.10 KATOSI-MUKONO'!N53,'30.10 MUKONO-KATOSI'!N53,'31.10 KATOSI-MUKONO'!N53,'3.11 KATOSI-MUKONO'!N53,'1.11 MUKONO-KATOSI 24hr'!N53,'2.11 MUKONO-KATOSI 24hr'!N53,'4.11 KATOSI-MUKONO'!N53)</f>
        <v>0</v>
      </c>
      <c r="O53" s="15">
        <f t="shared" si="0"/>
        <v>49</v>
      </c>
      <c r="P53" s="15">
        <f t="shared" si="1"/>
        <v>135.42857142857144</v>
      </c>
      <c r="R53" s="8"/>
      <c r="T53"/>
    </row>
    <row r="54" spans="2:20" ht="23.1" customHeight="1" x14ac:dyDescent="0.25">
      <c r="B54" s="23" t="s">
        <v>81</v>
      </c>
      <c r="C54" s="49">
        <f>AVERAGE('29.10 KATOSI-MUKONO'!C54,'30.10 MUKONO-KATOSI'!C54,'31.10 KATOSI-MUKONO'!C54,'3.11 KATOSI-MUKONO'!C54,'1.11 MUKONO-KATOSI 24hr'!C54,'2.11 MUKONO-KATOSI 24hr'!C54,'4.11 KATOSI-MUKONO'!C54)</f>
        <v>18.714285714285715</v>
      </c>
      <c r="D54" s="49">
        <f>AVERAGE('29.10 KATOSI-MUKONO'!D54,'30.10 MUKONO-KATOSI'!D54,'31.10 KATOSI-MUKONO'!D54,'3.11 KATOSI-MUKONO'!D54,'1.11 MUKONO-KATOSI 24hr'!D54,'2.11 MUKONO-KATOSI 24hr'!D54,'4.11 KATOSI-MUKONO'!D54)</f>
        <v>6.7142857142857144</v>
      </c>
      <c r="E54" s="49">
        <f>AVERAGE('29.10 KATOSI-MUKONO'!E54,'30.10 MUKONO-KATOSI'!E54,'31.10 KATOSI-MUKONO'!E54,'3.11 KATOSI-MUKONO'!E54,'1.11 MUKONO-KATOSI 24hr'!E54,'2.11 MUKONO-KATOSI 24hr'!E54,'4.11 KATOSI-MUKONO'!E54)</f>
        <v>2.8571428571428572</v>
      </c>
      <c r="F54" s="49">
        <f>AVERAGE('29.10 KATOSI-MUKONO'!F54,'30.10 MUKONO-KATOSI'!F54,'31.10 KATOSI-MUKONO'!F54,'3.11 KATOSI-MUKONO'!F54,'1.11 MUKONO-KATOSI 24hr'!F54,'2.11 MUKONO-KATOSI 24hr'!F54,'4.11 KATOSI-MUKONO'!F54)</f>
        <v>14</v>
      </c>
      <c r="G54" s="49">
        <f>AVERAGE('29.10 KATOSI-MUKONO'!G54,'30.10 MUKONO-KATOSI'!G54,'31.10 KATOSI-MUKONO'!G54,'3.11 KATOSI-MUKONO'!G54,'1.11 MUKONO-KATOSI 24hr'!G54,'2.11 MUKONO-KATOSI 24hr'!G54,'4.11 KATOSI-MUKONO'!G54)</f>
        <v>0.8571428571428571</v>
      </c>
      <c r="H54" s="49">
        <f>AVERAGE('29.10 KATOSI-MUKONO'!H54,'30.10 MUKONO-KATOSI'!H54,'31.10 KATOSI-MUKONO'!H54,'3.11 KATOSI-MUKONO'!H54,'1.11 MUKONO-KATOSI 24hr'!H54,'2.11 MUKONO-KATOSI 24hr'!H54,'4.11 KATOSI-MUKONO'!H54)</f>
        <v>0</v>
      </c>
      <c r="I54" s="49">
        <f>AVERAGE('29.10 KATOSI-MUKONO'!I54,'30.10 MUKONO-KATOSI'!I54,'31.10 KATOSI-MUKONO'!I54,'3.11 KATOSI-MUKONO'!I54,'1.11 MUKONO-KATOSI 24hr'!I54,'2.11 MUKONO-KATOSI 24hr'!I54,'4.11 KATOSI-MUKONO'!I54)</f>
        <v>6.1428571428571432</v>
      </c>
      <c r="J54" s="49">
        <f>AVERAGE('29.10 KATOSI-MUKONO'!J54,'30.10 MUKONO-KATOSI'!J54,'31.10 KATOSI-MUKONO'!J54,'3.11 KATOSI-MUKONO'!J54,'1.11 MUKONO-KATOSI 24hr'!J54,'2.11 MUKONO-KATOSI 24hr'!J54,'4.11 KATOSI-MUKONO'!J54)</f>
        <v>2.2857142857142856</v>
      </c>
      <c r="K54" s="49">
        <f>AVERAGE('29.10 KATOSI-MUKONO'!K54,'30.10 MUKONO-KATOSI'!K54,'31.10 KATOSI-MUKONO'!K54,'3.11 KATOSI-MUKONO'!K54,'1.11 MUKONO-KATOSI 24hr'!K54,'2.11 MUKONO-KATOSI 24hr'!K54,'4.11 KATOSI-MUKONO'!K54)</f>
        <v>0.2857142857142857</v>
      </c>
      <c r="L54" s="49">
        <f>AVERAGE('29.10 KATOSI-MUKONO'!L54,'30.10 MUKONO-KATOSI'!L54,'31.10 KATOSI-MUKONO'!L54,'3.11 KATOSI-MUKONO'!L54,'1.11 MUKONO-KATOSI 24hr'!L54,'2.11 MUKONO-KATOSI 24hr'!L54,'4.11 KATOSI-MUKONO'!L54)</f>
        <v>0.14285714285714285</v>
      </c>
      <c r="M54" s="49">
        <f>AVERAGE('29.10 KATOSI-MUKONO'!M54,'30.10 MUKONO-KATOSI'!M54,'31.10 KATOSI-MUKONO'!M54,'3.11 KATOSI-MUKONO'!M54,'1.11 MUKONO-KATOSI 24hr'!M54,'2.11 MUKONO-KATOSI 24hr'!M54,'4.11 KATOSI-MUKONO'!M54)</f>
        <v>92</v>
      </c>
      <c r="N54" s="49">
        <f>AVERAGE('29.10 KATOSI-MUKONO'!N54,'30.10 MUKONO-KATOSI'!N54,'31.10 KATOSI-MUKONO'!N54,'3.11 KATOSI-MUKONO'!N54,'1.11 MUKONO-KATOSI 24hr'!N54,'2.11 MUKONO-KATOSI 24hr'!N54,'4.11 KATOSI-MUKONO'!N54)</f>
        <v>0</v>
      </c>
      <c r="O54" s="15">
        <f t="shared" si="0"/>
        <v>52.000000000000007</v>
      </c>
      <c r="P54" s="15">
        <f t="shared" si="1"/>
        <v>144</v>
      </c>
      <c r="R54" s="8"/>
      <c r="T54"/>
    </row>
    <row r="55" spans="2:20" ht="23.1" customHeight="1" x14ac:dyDescent="0.25">
      <c r="B55" s="23" t="s">
        <v>82</v>
      </c>
      <c r="C55" s="49">
        <f>AVERAGE('29.10 KATOSI-MUKONO'!C55,'30.10 MUKONO-KATOSI'!C55,'31.10 KATOSI-MUKONO'!C55,'3.11 KATOSI-MUKONO'!C55,'1.11 MUKONO-KATOSI 24hr'!C55,'2.11 MUKONO-KATOSI 24hr'!C55,'4.11 KATOSI-MUKONO'!C55)</f>
        <v>19.142857142857142</v>
      </c>
      <c r="D55" s="49">
        <f>AVERAGE('29.10 KATOSI-MUKONO'!D55,'30.10 MUKONO-KATOSI'!D55,'31.10 KATOSI-MUKONO'!D55,'3.11 KATOSI-MUKONO'!D55,'1.11 MUKONO-KATOSI 24hr'!D55,'2.11 MUKONO-KATOSI 24hr'!D55,'4.11 KATOSI-MUKONO'!D55)</f>
        <v>6.8571428571428568</v>
      </c>
      <c r="E55" s="49">
        <f>AVERAGE('29.10 KATOSI-MUKONO'!E55,'30.10 MUKONO-KATOSI'!E55,'31.10 KATOSI-MUKONO'!E55,'3.11 KATOSI-MUKONO'!E55,'1.11 MUKONO-KATOSI 24hr'!E55,'2.11 MUKONO-KATOSI 24hr'!E55,'4.11 KATOSI-MUKONO'!E55)</f>
        <v>3.5714285714285716</v>
      </c>
      <c r="F55" s="49">
        <f>AVERAGE('29.10 KATOSI-MUKONO'!F55,'30.10 MUKONO-KATOSI'!F55,'31.10 KATOSI-MUKONO'!F55,'3.11 KATOSI-MUKONO'!F55,'1.11 MUKONO-KATOSI 24hr'!F55,'2.11 MUKONO-KATOSI 24hr'!F55,'4.11 KATOSI-MUKONO'!F55)</f>
        <v>10.714285714285714</v>
      </c>
      <c r="G55" s="49">
        <f>AVERAGE('29.10 KATOSI-MUKONO'!G55,'30.10 MUKONO-KATOSI'!G55,'31.10 KATOSI-MUKONO'!G55,'3.11 KATOSI-MUKONO'!G55,'1.11 MUKONO-KATOSI 24hr'!G55,'2.11 MUKONO-KATOSI 24hr'!G55,'4.11 KATOSI-MUKONO'!G55)</f>
        <v>0.7142857142857143</v>
      </c>
      <c r="H55" s="49">
        <f>AVERAGE('29.10 KATOSI-MUKONO'!H55,'30.10 MUKONO-KATOSI'!H55,'31.10 KATOSI-MUKONO'!H55,'3.11 KATOSI-MUKONO'!H55,'1.11 MUKONO-KATOSI 24hr'!H55,'2.11 MUKONO-KATOSI 24hr'!H55,'4.11 KATOSI-MUKONO'!H55)</f>
        <v>0</v>
      </c>
      <c r="I55" s="49">
        <f>AVERAGE('29.10 KATOSI-MUKONO'!I55,'30.10 MUKONO-KATOSI'!I55,'31.10 KATOSI-MUKONO'!I55,'3.11 KATOSI-MUKONO'!I55,'1.11 MUKONO-KATOSI 24hr'!I55,'2.11 MUKONO-KATOSI 24hr'!I55,'4.11 KATOSI-MUKONO'!I55)</f>
        <v>6.4285714285714288</v>
      </c>
      <c r="J55" s="49">
        <f>AVERAGE('29.10 KATOSI-MUKONO'!J55,'30.10 MUKONO-KATOSI'!J55,'31.10 KATOSI-MUKONO'!J55,'3.11 KATOSI-MUKONO'!J55,'1.11 MUKONO-KATOSI 24hr'!J55,'2.11 MUKONO-KATOSI 24hr'!J55,'4.11 KATOSI-MUKONO'!J55)</f>
        <v>1.7142857142857142</v>
      </c>
      <c r="K55" s="49">
        <f>AVERAGE('29.10 KATOSI-MUKONO'!K55,'30.10 MUKONO-KATOSI'!K55,'31.10 KATOSI-MUKONO'!K55,'3.11 KATOSI-MUKONO'!K55,'1.11 MUKONO-KATOSI 24hr'!K55,'2.11 MUKONO-KATOSI 24hr'!K55,'4.11 KATOSI-MUKONO'!K55)</f>
        <v>0.2857142857142857</v>
      </c>
      <c r="L55" s="49">
        <f>AVERAGE('29.10 KATOSI-MUKONO'!L55,'30.10 MUKONO-KATOSI'!L55,'31.10 KATOSI-MUKONO'!L55,'3.11 KATOSI-MUKONO'!L55,'1.11 MUKONO-KATOSI 24hr'!L55,'2.11 MUKONO-KATOSI 24hr'!L55,'4.11 KATOSI-MUKONO'!L55)</f>
        <v>0.7142857142857143</v>
      </c>
      <c r="M55" s="49">
        <f>AVERAGE('29.10 KATOSI-MUKONO'!M55,'30.10 MUKONO-KATOSI'!M55,'31.10 KATOSI-MUKONO'!M55,'3.11 KATOSI-MUKONO'!M55,'1.11 MUKONO-KATOSI 24hr'!M55,'2.11 MUKONO-KATOSI 24hr'!M55,'4.11 KATOSI-MUKONO'!M55)</f>
        <v>88.428571428571431</v>
      </c>
      <c r="N55" s="49">
        <f>AVERAGE('29.10 KATOSI-MUKONO'!N55,'30.10 MUKONO-KATOSI'!N55,'31.10 KATOSI-MUKONO'!N55,'3.11 KATOSI-MUKONO'!N55,'1.11 MUKONO-KATOSI 24hr'!N55,'2.11 MUKONO-KATOSI 24hr'!N55,'4.11 KATOSI-MUKONO'!N55)</f>
        <v>0</v>
      </c>
      <c r="O55" s="15">
        <f t="shared" si="0"/>
        <v>50.142857142857146</v>
      </c>
      <c r="P55" s="15">
        <f t="shared" si="1"/>
        <v>138.57142857142858</v>
      </c>
      <c r="R55" s="8"/>
      <c r="T55"/>
    </row>
    <row r="56" spans="2:20" ht="23.1" customHeight="1" x14ac:dyDescent="0.25">
      <c r="B56" s="23" t="s">
        <v>83</v>
      </c>
      <c r="C56" s="49">
        <f>AVERAGE('29.10 KATOSI-MUKONO'!C56,'30.10 MUKONO-KATOSI'!C56,'31.10 KATOSI-MUKONO'!C56,'3.11 KATOSI-MUKONO'!C56,'1.11 MUKONO-KATOSI 24hr'!C56,'2.11 MUKONO-KATOSI 24hr'!C56,'4.11 KATOSI-MUKONO'!C56)</f>
        <v>15.714285714285714</v>
      </c>
      <c r="D56" s="49">
        <f>AVERAGE('29.10 KATOSI-MUKONO'!D56,'30.10 MUKONO-KATOSI'!D56,'31.10 KATOSI-MUKONO'!D56,'3.11 KATOSI-MUKONO'!D56,'1.11 MUKONO-KATOSI 24hr'!D56,'2.11 MUKONO-KATOSI 24hr'!D56,'4.11 KATOSI-MUKONO'!D56)</f>
        <v>9.4285714285714288</v>
      </c>
      <c r="E56" s="49">
        <f>AVERAGE('29.10 KATOSI-MUKONO'!E56,'30.10 MUKONO-KATOSI'!E56,'31.10 KATOSI-MUKONO'!E56,'3.11 KATOSI-MUKONO'!E56,'1.11 MUKONO-KATOSI 24hr'!E56,'2.11 MUKONO-KATOSI 24hr'!E56,'4.11 KATOSI-MUKONO'!E56)</f>
        <v>3.8571428571428572</v>
      </c>
      <c r="F56" s="49">
        <f>AVERAGE('29.10 KATOSI-MUKONO'!F56,'30.10 MUKONO-KATOSI'!F56,'31.10 KATOSI-MUKONO'!F56,'3.11 KATOSI-MUKONO'!F56,'1.11 MUKONO-KATOSI 24hr'!F56,'2.11 MUKONO-KATOSI 24hr'!F56,'4.11 KATOSI-MUKONO'!F56)</f>
        <v>10.857142857142858</v>
      </c>
      <c r="G56" s="49">
        <f>AVERAGE('29.10 KATOSI-MUKONO'!G56,'30.10 MUKONO-KATOSI'!G56,'31.10 KATOSI-MUKONO'!G56,'3.11 KATOSI-MUKONO'!G56,'1.11 MUKONO-KATOSI 24hr'!G56,'2.11 MUKONO-KATOSI 24hr'!G56,'4.11 KATOSI-MUKONO'!G56)</f>
        <v>1.1428571428571428</v>
      </c>
      <c r="H56" s="49">
        <f>AVERAGE('29.10 KATOSI-MUKONO'!H56,'30.10 MUKONO-KATOSI'!H56,'31.10 KATOSI-MUKONO'!H56,'3.11 KATOSI-MUKONO'!H56,'1.11 MUKONO-KATOSI 24hr'!H56,'2.11 MUKONO-KATOSI 24hr'!H56,'4.11 KATOSI-MUKONO'!H56)</f>
        <v>0</v>
      </c>
      <c r="I56" s="49">
        <f>AVERAGE('29.10 KATOSI-MUKONO'!I56,'30.10 MUKONO-KATOSI'!I56,'31.10 KATOSI-MUKONO'!I56,'3.11 KATOSI-MUKONO'!I56,'1.11 MUKONO-KATOSI 24hr'!I56,'2.11 MUKONO-KATOSI 24hr'!I56,'4.11 KATOSI-MUKONO'!I56)</f>
        <v>5</v>
      </c>
      <c r="J56" s="49">
        <f>AVERAGE('29.10 KATOSI-MUKONO'!J56,'30.10 MUKONO-KATOSI'!J56,'31.10 KATOSI-MUKONO'!J56,'3.11 KATOSI-MUKONO'!J56,'1.11 MUKONO-KATOSI 24hr'!J56,'2.11 MUKONO-KATOSI 24hr'!J56,'4.11 KATOSI-MUKONO'!J56)</f>
        <v>0.7142857142857143</v>
      </c>
      <c r="K56" s="49">
        <f>AVERAGE('29.10 KATOSI-MUKONO'!K56,'30.10 MUKONO-KATOSI'!K56,'31.10 KATOSI-MUKONO'!K56,'3.11 KATOSI-MUKONO'!K56,'1.11 MUKONO-KATOSI 24hr'!K56,'2.11 MUKONO-KATOSI 24hr'!K56,'4.11 KATOSI-MUKONO'!K56)</f>
        <v>0</v>
      </c>
      <c r="L56" s="49">
        <f>AVERAGE('29.10 KATOSI-MUKONO'!L56,'30.10 MUKONO-KATOSI'!L56,'31.10 KATOSI-MUKONO'!L56,'3.11 KATOSI-MUKONO'!L56,'1.11 MUKONO-KATOSI 24hr'!L56,'2.11 MUKONO-KATOSI 24hr'!L56,'4.11 KATOSI-MUKONO'!L56)</f>
        <v>0.14285714285714285</v>
      </c>
      <c r="M56" s="49">
        <f>AVERAGE('29.10 KATOSI-MUKONO'!M56,'30.10 MUKONO-KATOSI'!M56,'31.10 KATOSI-MUKONO'!M56,'3.11 KATOSI-MUKONO'!M56,'1.11 MUKONO-KATOSI 24hr'!M56,'2.11 MUKONO-KATOSI 24hr'!M56,'4.11 KATOSI-MUKONO'!M56)</f>
        <v>85.857142857142861</v>
      </c>
      <c r="N56" s="49">
        <f>AVERAGE('29.10 KATOSI-MUKONO'!N56,'30.10 MUKONO-KATOSI'!N56,'31.10 KATOSI-MUKONO'!N56,'3.11 KATOSI-MUKONO'!N56,'1.11 MUKONO-KATOSI 24hr'!N56,'2.11 MUKONO-KATOSI 24hr'!N56,'4.11 KATOSI-MUKONO'!N56)</f>
        <v>0</v>
      </c>
      <c r="O56" s="15">
        <f t="shared" si="0"/>
        <v>46.857142857142868</v>
      </c>
      <c r="P56" s="15">
        <f t="shared" si="1"/>
        <v>132.71428571428572</v>
      </c>
      <c r="R56" s="8"/>
      <c r="T56"/>
    </row>
    <row r="57" spans="2:20" ht="23.1" customHeight="1" x14ac:dyDescent="0.25">
      <c r="B57" s="23" t="s">
        <v>84</v>
      </c>
      <c r="C57" s="49">
        <f>AVERAGE('29.10 KATOSI-MUKONO'!C57,'30.10 MUKONO-KATOSI'!C57,'31.10 KATOSI-MUKONO'!C57,'3.11 KATOSI-MUKONO'!C57,'1.11 MUKONO-KATOSI 24hr'!C57,'2.11 MUKONO-KATOSI 24hr'!C57,'4.11 KATOSI-MUKONO'!C57)</f>
        <v>20.428571428571427</v>
      </c>
      <c r="D57" s="49">
        <f>AVERAGE('29.10 KATOSI-MUKONO'!D57,'30.10 MUKONO-KATOSI'!D57,'31.10 KATOSI-MUKONO'!D57,'3.11 KATOSI-MUKONO'!D57,'1.11 MUKONO-KATOSI 24hr'!D57,'2.11 MUKONO-KATOSI 24hr'!D57,'4.11 KATOSI-MUKONO'!D57)</f>
        <v>6.5714285714285712</v>
      </c>
      <c r="E57" s="49">
        <f>AVERAGE('29.10 KATOSI-MUKONO'!E57,'30.10 MUKONO-KATOSI'!E57,'31.10 KATOSI-MUKONO'!E57,'3.11 KATOSI-MUKONO'!E57,'1.11 MUKONO-KATOSI 24hr'!E57,'2.11 MUKONO-KATOSI 24hr'!E57,'4.11 KATOSI-MUKONO'!E57)</f>
        <v>3.4285714285714284</v>
      </c>
      <c r="F57" s="49">
        <f>AVERAGE('29.10 KATOSI-MUKONO'!F57,'30.10 MUKONO-KATOSI'!F57,'31.10 KATOSI-MUKONO'!F57,'3.11 KATOSI-MUKONO'!F57,'1.11 MUKONO-KATOSI 24hr'!F57,'2.11 MUKONO-KATOSI 24hr'!F57,'4.11 KATOSI-MUKONO'!F57)</f>
        <v>10.714285714285714</v>
      </c>
      <c r="G57" s="49">
        <f>AVERAGE('29.10 KATOSI-MUKONO'!G57,'30.10 MUKONO-KATOSI'!G57,'31.10 KATOSI-MUKONO'!G57,'3.11 KATOSI-MUKONO'!G57,'1.11 MUKONO-KATOSI 24hr'!G57,'2.11 MUKONO-KATOSI 24hr'!G57,'4.11 KATOSI-MUKONO'!G57)</f>
        <v>0.7142857142857143</v>
      </c>
      <c r="H57" s="49">
        <f>AVERAGE('29.10 KATOSI-MUKONO'!H57,'30.10 MUKONO-KATOSI'!H57,'31.10 KATOSI-MUKONO'!H57,'3.11 KATOSI-MUKONO'!H57,'1.11 MUKONO-KATOSI 24hr'!H57,'2.11 MUKONO-KATOSI 24hr'!H57,'4.11 KATOSI-MUKONO'!H57)</f>
        <v>0</v>
      </c>
      <c r="I57" s="49">
        <f>AVERAGE('29.10 KATOSI-MUKONO'!I57,'30.10 MUKONO-KATOSI'!I57,'31.10 KATOSI-MUKONO'!I57,'3.11 KATOSI-MUKONO'!I57,'1.11 MUKONO-KATOSI 24hr'!I57,'2.11 MUKONO-KATOSI 24hr'!I57,'4.11 KATOSI-MUKONO'!I57)</f>
        <v>7.2857142857142856</v>
      </c>
      <c r="J57" s="49">
        <f>AVERAGE('29.10 KATOSI-MUKONO'!J57,'30.10 MUKONO-KATOSI'!J57,'31.10 KATOSI-MUKONO'!J57,'3.11 KATOSI-MUKONO'!J57,'1.11 MUKONO-KATOSI 24hr'!J57,'2.11 MUKONO-KATOSI 24hr'!J57,'4.11 KATOSI-MUKONO'!J57)</f>
        <v>0.8571428571428571</v>
      </c>
      <c r="K57" s="49">
        <f>AVERAGE('29.10 KATOSI-MUKONO'!K57,'30.10 MUKONO-KATOSI'!K57,'31.10 KATOSI-MUKONO'!K57,'3.11 KATOSI-MUKONO'!K57,'1.11 MUKONO-KATOSI 24hr'!K57,'2.11 MUKONO-KATOSI 24hr'!K57,'4.11 KATOSI-MUKONO'!K57)</f>
        <v>0.2857142857142857</v>
      </c>
      <c r="L57" s="49">
        <f>AVERAGE('29.10 KATOSI-MUKONO'!L57,'30.10 MUKONO-KATOSI'!L57,'31.10 KATOSI-MUKONO'!L57,'3.11 KATOSI-MUKONO'!L57,'1.11 MUKONO-KATOSI 24hr'!L57,'2.11 MUKONO-KATOSI 24hr'!L57,'4.11 KATOSI-MUKONO'!L57)</f>
        <v>0.14285714285714285</v>
      </c>
      <c r="M57" s="49">
        <f>AVERAGE('29.10 KATOSI-MUKONO'!M57,'30.10 MUKONO-KATOSI'!M57,'31.10 KATOSI-MUKONO'!M57,'3.11 KATOSI-MUKONO'!M57,'1.11 MUKONO-KATOSI 24hr'!M57,'2.11 MUKONO-KATOSI 24hr'!M57,'4.11 KATOSI-MUKONO'!M57)</f>
        <v>81.428571428571431</v>
      </c>
      <c r="N57" s="49">
        <f>AVERAGE('29.10 KATOSI-MUKONO'!N57,'30.10 MUKONO-KATOSI'!N57,'31.10 KATOSI-MUKONO'!N57,'3.11 KATOSI-MUKONO'!N57,'1.11 MUKONO-KATOSI 24hr'!N57,'2.11 MUKONO-KATOSI 24hr'!N57,'4.11 KATOSI-MUKONO'!N57)</f>
        <v>0</v>
      </c>
      <c r="O57" s="15">
        <f t="shared" si="0"/>
        <v>50.428571428571423</v>
      </c>
      <c r="P57" s="15">
        <f t="shared" si="1"/>
        <v>131.85714285714286</v>
      </c>
      <c r="R57" s="8"/>
      <c r="T57"/>
    </row>
    <row r="58" spans="2:20" ht="23.1" customHeight="1" x14ac:dyDescent="0.25">
      <c r="B58" s="23" t="s">
        <v>99</v>
      </c>
      <c r="C58" s="49">
        <f>AVERAGE('1.11 KATOSI-MUKONO-24hr'!C58,'2.11 KATOSI-MUKONO 24hr'!C58)</f>
        <v>9.5</v>
      </c>
      <c r="D58" s="49">
        <f>AVERAGE('1.11 KATOSI-MUKONO-24hr'!D58,'2.11 KATOSI-MUKONO 24hr'!D58)</f>
        <v>6.5</v>
      </c>
      <c r="E58" s="49">
        <f>AVERAGE('1.11 KATOSI-MUKONO-24hr'!E58,'2.11 KATOSI-MUKONO 24hr'!E58)</f>
        <v>4</v>
      </c>
      <c r="F58" s="49">
        <f>AVERAGE('1.11 KATOSI-MUKONO-24hr'!F58,'2.11 KATOSI-MUKONO 24hr'!F58)</f>
        <v>5</v>
      </c>
      <c r="G58" s="49">
        <f>AVERAGE('1.11 KATOSI-MUKONO-24hr'!G58,'2.11 KATOSI-MUKONO 24hr'!G58)</f>
        <v>0</v>
      </c>
      <c r="H58" s="49">
        <f>AVERAGE('1.11 KATOSI-MUKONO-24hr'!H58,'2.11 KATOSI-MUKONO 24hr'!H58)</f>
        <v>0</v>
      </c>
      <c r="I58" s="49">
        <f>AVERAGE('1.11 KATOSI-MUKONO-24hr'!I58,'2.11 KATOSI-MUKONO 24hr'!I58)</f>
        <v>8</v>
      </c>
      <c r="J58" s="49">
        <f>AVERAGE('1.11 KATOSI-MUKONO-24hr'!J58,'2.11 KATOSI-MUKONO 24hr'!J58)</f>
        <v>3.5</v>
      </c>
      <c r="K58" s="49">
        <f>AVERAGE('1.11 KATOSI-MUKONO-24hr'!K58,'2.11 KATOSI-MUKONO 24hr'!K58)</f>
        <v>1.5</v>
      </c>
      <c r="L58" s="49">
        <f>AVERAGE('1.11 KATOSI-MUKONO-24hr'!L58,'2.11 KATOSI-MUKONO 24hr'!L58)</f>
        <v>1.5</v>
      </c>
      <c r="M58" s="49">
        <f>AVERAGE('1.11 KATOSI-MUKONO-24hr'!M58,'2.11 KATOSI-MUKONO 24hr'!M58)</f>
        <v>66.5</v>
      </c>
      <c r="N58" s="49">
        <f>AVERAGE('1.11 KATOSI-MUKONO-24hr'!N58,'2.11 KATOSI-MUKONO 24hr'!N58)</f>
        <v>0</v>
      </c>
      <c r="O58" s="15">
        <f t="shared" si="0"/>
        <v>39.5</v>
      </c>
      <c r="P58" s="15">
        <f t="shared" si="1"/>
        <v>106</v>
      </c>
      <c r="R58" s="8"/>
      <c r="T58"/>
    </row>
    <row r="59" spans="2:20" ht="23.1" customHeight="1" x14ac:dyDescent="0.25">
      <c r="B59" s="23" t="s">
        <v>100</v>
      </c>
      <c r="C59" s="49">
        <f>AVERAGE('1.11 KATOSI-MUKONO-24hr'!C59,'2.11 KATOSI-MUKONO 24hr'!C59)</f>
        <v>10.5</v>
      </c>
      <c r="D59" s="49">
        <f>AVERAGE('1.11 KATOSI-MUKONO-24hr'!D59,'2.11 KATOSI-MUKONO 24hr'!D59)</f>
        <v>8</v>
      </c>
      <c r="E59" s="49">
        <f>AVERAGE('1.11 KATOSI-MUKONO-24hr'!E59,'2.11 KATOSI-MUKONO 24hr'!E59)</f>
        <v>2</v>
      </c>
      <c r="F59" s="49">
        <f>AVERAGE('1.11 KATOSI-MUKONO-24hr'!F59,'2.11 KATOSI-MUKONO 24hr'!F59)</f>
        <v>7.5</v>
      </c>
      <c r="G59" s="49">
        <f>AVERAGE('1.11 KATOSI-MUKONO-24hr'!G59,'2.11 KATOSI-MUKONO 24hr'!G59)</f>
        <v>0</v>
      </c>
      <c r="H59" s="49">
        <f>AVERAGE('1.11 KATOSI-MUKONO-24hr'!H59,'2.11 KATOSI-MUKONO 24hr'!H59)</f>
        <v>0</v>
      </c>
      <c r="I59" s="49">
        <f>AVERAGE('1.11 KATOSI-MUKONO-24hr'!I59,'2.11 KATOSI-MUKONO 24hr'!I59)</f>
        <v>4.5</v>
      </c>
      <c r="J59" s="49">
        <f>AVERAGE('1.11 KATOSI-MUKONO-24hr'!J59,'2.11 KATOSI-MUKONO 24hr'!J59)</f>
        <v>1.5</v>
      </c>
      <c r="K59" s="49">
        <f>AVERAGE('1.11 KATOSI-MUKONO-24hr'!K59,'2.11 KATOSI-MUKONO 24hr'!K59)</f>
        <v>1</v>
      </c>
      <c r="L59" s="49">
        <f>AVERAGE('1.11 KATOSI-MUKONO-24hr'!L59,'2.11 KATOSI-MUKONO 24hr'!L59)</f>
        <v>0</v>
      </c>
      <c r="M59" s="49">
        <f>AVERAGE('1.11 KATOSI-MUKONO-24hr'!M59,'2.11 KATOSI-MUKONO 24hr'!M59)</f>
        <v>94.5</v>
      </c>
      <c r="N59" s="49">
        <f>AVERAGE('1.11 KATOSI-MUKONO-24hr'!N59,'2.11 KATOSI-MUKONO 24hr'!N59)</f>
        <v>0</v>
      </c>
      <c r="O59" s="15">
        <f t="shared" si="0"/>
        <v>35</v>
      </c>
      <c r="P59" s="15">
        <f t="shared" si="1"/>
        <v>129.5</v>
      </c>
      <c r="R59" s="8"/>
      <c r="T59"/>
    </row>
    <row r="60" spans="2:20" ht="23.1" customHeight="1" x14ac:dyDescent="0.25">
      <c r="B60" s="23" t="s">
        <v>101</v>
      </c>
      <c r="C60" s="49">
        <f>AVERAGE('1.11 KATOSI-MUKONO-24hr'!C60,'2.11 KATOSI-MUKONO 24hr'!C60)</f>
        <v>19.5</v>
      </c>
      <c r="D60" s="49">
        <f>AVERAGE('1.11 KATOSI-MUKONO-24hr'!D60,'2.11 KATOSI-MUKONO 24hr'!D60)</f>
        <v>11</v>
      </c>
      <c r="E60" s="49">
        <f>AVERAGE('1.11 KATOSI-MUKONO-24hr'!E60,'2.11 KATOSI-MUKONO 24hr'!E60)</f>
        <v>8</v>
      </c>
      <c r="F60" s="49">
        <f>AVERAGE('1.11 KATOSI-MUKONO-24hr'!F60,'2.11 KATOSI-MUKONO 24hr'!F60)</f>
        <v>5</v>
      </c>
      <c r="G60" s="49">
        <f>AVERAGE('1.11 KATOSI-MUKONO-24hr'!G60,'2.11 KATOSI-MUKONO 24hr'!G60)</f>
        <v>0.5</v>
      </c>
      <c r="H60" s="49">
        <f>AVERAGE('1.11 KATOSI-MUKONO-24hr'!H60,'2.11 KATOSI-MUKONO 24hr'!H60)</f>
        <v>0</v>
      </c>
      <c r="I60" s="49">
        <f>AVERAGE('1.11 KATOSI-MUKONO-24hr'!I60,'2.11 KATOSI-MUKONO 24hr'!I60)</f>
        <v>2.5</v>
      </c>
      <c r="J60" s="49">
        <f>AVERAGE('1.11 KATOSI-MUKONO-24hr'!J60,'2.11 KATOSI-MUKONO 24hr'!J60)</f>
        <v>2</v>
      </c>
      <c r="K60" s="49">
        <f>AVERAGE('1.11 KATOSI-MUKONO-24hr'!K60,'2.11 KATOSI-MUKONO 24hr'!K60)</f>
        <v>0.5</v>
      </c>
      <c r="L60" s="49">
        <f>AVERAGE('1.11 KATOSI-MUKONO-24hr'!L60,'2.11 KATOSI-MUKONO 24hr'!L60)</f>
        <v>0</v>
      </c>
      <c r="M60" s="49">
        <f>AVERAGE('1.11 KATOSI-MUKONO-24hr'!M60,'2.11 KATOSI-MUKONO 24hr'!M60)</f>
        <v>66.5</v>
      </c>
      <c r="N60" s="49">
        <f>AVERAGE('1.11 KATOSI-MUKONO-24hr'!N60,'2.11 KATOSI-MUKONO 24hr'!N60)</f>
        <v>0</v>
      </c>
      <c r="O60" s="15">
        <f t="shared" si="0"/>
        <v>49</v>
      </c>
      <c r="P60" s="15">
        <f t="shared" si="1"/>
        <v>115.5</v>
      </c>
      <c r="R60" s="8"/>
      <c r="T60"/>
    </row>
    <row r="61" spans="2:20" ht="23.1" customHeight="1" x14ac:dyDescent="0.25">
      <c r="B61" s="23" t="s">
        <v>102</v>
      </c>
      <c r="C61" s="49">
        <f>AVERAGE('1.11 KATOSI-MUKONO-24hr'!C61,'2.11 KATOSI-MUKONO 24hr'!C61)</f>
        <v>26.5</v>
      </c>
      <c r="D61" s="49">
        <f>AVERAGE('1.11 KATOSI-MUKONO-24hr'!D61,'2.11 KATOSI-MUKONO 24hr'!D61)</f>
        <v>16.5</v>
      </c>
      <c r="E61" s="49">
        <f>AVERAGE('1.11 KATOSI-MUKONO-24hr'!E61,'2.11 KATOSI-MUKONO 24hr'!E61)</f>
        <v>3</v>
      </c>
      <c r="F61" s="49">
        <f>AVERAGE('1.11 KATOSI-MUKONO-24hr'!F61,'2.11 KATOSI-MUKONO 24hr'!F61)</f>
        <v>4</v>
      </c>
      <c r="G61" s="49">
        <f>AVERAGE('1.11 KATOSI-MUKONO-24hr'!G61,'2.11 KATOSI-MUKONO 24hr'!G61)</f>
        <v>1</v>
      </c>
      <c r="H61" s="49">
        <f>AVERAGE('1.11 KATOSI-MUKONO-24hr'!H61,'2.11 KATOSI-MUKONO 24hr'!H61)</f>
        <v>0</v>
      </c>
      <c r="I61" s="49">
        <f>AVERAGE('1.11 KATOSI-MUKONO-24hr'!I61,'2.11 KATOSI-MUKONO 24hr'!I61)</f>
        <v>5.5</v>
      </c>
      <c r="J61" s="49">
        <f>AVERAGE('1.11 KATOSI-MUKONO-24hr'!J61,'2.11 KATOSI-MUKONO 24hr'!J61)</f>
        <v>1.5</v>
      </c>
      <c r="K61" s="49">
        <f>AVERAGE('1.11 KATOSI-MUKONO-24hr'!K61,'2.11 KATOSI-MUKONO 24hr'!K61)</f>
        <v>0</v>
      </c>
      <c r="L61" s="49">
        <f>AVERAGE('1.11 KATOSI-MUKONO-24hr'!L61,'2.11 KATOSI-MUKONO 24hr'!L61)</f>
        <v>0.5</v>
      </c>
      <c r="M61" s="49">
        <f>AVERAGE('1.11 KATOSI-MUKONO-24hr'!M61,'2.11 KATOSI-MUKONO 24hr'!M61)</f>
        <v>67</v>
      </c>
      <c r="N61" s="49">
        <f>AVERAGE('1.11 KATOSI-MUKONO-24hr'!N61,'2.11 KATOSI-MUKONO 24hr'!N61)</f>
        <v>0</v>
      </c>
      <c r="O61" s="15">
        <f t="shared" si="0"/>
        <v>58.5</v>
      </c>
      <c r="P61" s="15">
        <f t="shared" si="1"/>
        <v>125.5</v>
      </c>
      <c r="R61" s="8"/>
      <c r="T61"/>
    </row>
    <row r="62" spans="2:20" ht="23.1" customHeight="1" x14ac:dyDescent="0.25">
      <c r="B62" s="23" t="s">
        <v>107</v>
      </c>
      <c r="C62" s="49">
        <f>AVERAGE('1.11 KATOSI-MUKONO-24hr'!C62,'2.11 KATOSI-MUKONO 24hr'!C62)</f>
        <v>22</v>
      </c>
      <c r="D62" s="49">
        <f>AVERAGE('1.11 KATOSI-MUKONO-24hr'!D62,'2.11 KATOSI-MUKONO 24hr'!D62)</f>
        <v>11.5</v>
      </c>
      <c r="E62" s="49">
        <f>AVERAGE('1.11 KATOSI-MUKONO-24hr'!E62,'2.11 KATOSI-MUKONO 24hr'!E62)</f>
        <v>7.5</v>
      </c>
      <c r="F62" s="49">
        <f>AVERAGE('1.11 KATOSI-MUKONO-24hr'!F62,'2.11 KATOSI-MUKONO 24hr'!F62)</f>
        <v>11</v>
      </c>
      <c r="G62" s="49">
        <f>AVERAGE('1.11 KATOSI-MUKONO-24hr'!G62,'2.11 KATOSI-MUKONO 24hr'!G62)</f>
        <v>0</v>
      </c>
      <c r="H62" s="49">
        <f>AVERAGE('1.11 KATOSI-MUKONO-24hr'!H62,'2.11 KATOSI-MUKONO 24hr'!H62)</f>
        <v>0</v>
      </c>
      <c r="I62" s="49">
        <f>AVERAGE('1.11 KATOSI-MUKONO-24hr'!I62,'2.11 KATOSI-MUKONO 24hr'!I62)</f>
        <v>12</v>
      </c>
      <c r="J62" s="49">
        <f>AVERAGE('1.11 KATOSI-MUKONO-24hr'!J62,'2.11 KATOSI-MUKONO 24hr'!J62)</f>
        <v>2.5</v>
      </c>
      <c r="K62" s="49">
        <f>AVERAGE('1.11 KATOSI-MUKONO-24hr'!K62,'2.11 KATOSI-MUKONO 24hr'!K62)</f>
        <v>1.5</v>
      </c>
      <c r="L62" s="49">
        <f>AVERAGE('1.11 KATOSI-MUKONO-24hr'!L62,'2.11 KATOSI-MUKONO 24hr'!L62)</f>
        <v>0.5</v>
      </c>
      <c r="M62" s="49">
        <f>AVERAGE('1.11 KATOSI-MUKONO-24hr'!M62,'2.11 KATOSI-MUKONO 24hr'!M62)</f>
        <v>66</v>
      </c>
      <c r="N62" s="49">
        <f>AVERAGE('1.11 KATOSI-MUKONO-24hr'!N62,'2.11 KATOSI-MUKONO 24hr'!N62)</f>
        <v>0</v>
      </c>
      <c r="O62" s="15">
        <f t="shared" si="0"/>
        <v>68.5</v>
      </c>
      <c r="P62" s="15">
        <f t="shared" si="1"/>
        <v>134.5</v>
      </c>
      <c r="R62" s="8"/>
      <c r="T62"/>
    </row>
    <row r="63" spans="2:20" ht="23.1" customHeight="1" x14ac:dyDescent="0.25">
      <c r="B63" s="23" t="s">
        <v>108</v>
      </c>
      <c r="C63" s="49">
        <f>AVERAGE('1.11 KATOSI-MUKONO-24hr'!C63,'2.11 KATOSI-MUKONO 24hr'!C63)</f>
        <v>27.5</v>
      </c>
      <c r="D63" s="49">
        <f>AVERAGE('1.11 KATOSI-MUKONO-24hr'!D63,'2.11 KATOSI-MUKONO 24hr'!D63)</f>
        <v>17.5</v>
      </c>
      <c r="E63" s="49">
        <f>AVERAGE('1.11 KATOSI-MUKONO-24hr'!E63,'2.11 KATOSI-MUKONO 24hr'!E63)</f>
        <v>2.5</v>
      </c>
      <c r="F63" s="49">
        <f>AVERAGE('1.11 KATOSI-MUKONO-24hr'!F63,'2.11 KATOSI-MUKONO 24hr'!F63)</f>
        <v>3.5</v>
      </c>
      <c r="G63" s="49">
        <f>AVERAGE('1.11 KATOSI-MUKONO-24hr'!G63,'2.11 KATOSI-MUKONO 24hr'!G63)</f>
        <v>1</v>
      </c>
      <c r="H63" s="49">
        <f>AVERAGE('1.11 KATOSI-MUKONO-24hr'!H63,'2.11 KATOSI-MUKONO 24hr'!H63)</f>
        <v>0</v>
      </c>
      <c r="I63" s="49">
        <f>AVERAGE('1.11 KATOSI-MUKONO-24hr'!I63,'2.11 KATOSI-MUKONO 24hr'!I63)</f>
        <v>5.5</v>
      </c>
      <c r="J63" s="49">
        <f>AVERAGE('1.11 KATOSI-MUKONO-24hr'!J63,'2.11 KATOSI-MUKONO 24hr'!J63)</f>
        <v>1</v>
      </c>
      <c r="K63" s="49">
        <f>AVERAGE('1.11 KATOSI-MUKONO-24hr'!K63,'2.11 KATOSI-MUKONO 24hr'!K63)</f>
        <v>0</v>
      </c>
      <c r="L63" s="49">
        <f>AVERAGE('1.11 KATOSI-MUKONO-24hr'!L63,'2.11 KATOSI-MUKONO 24hr'!L63)</f>
        <v>0</v>
      </c>
      <c r="M63" s="49">
        <f>AVERAGE('1.11 KATOSI-MUKONO-24hr'!M63,'2.11 KATOSI-MUKONO 24hr'!M63)</f>
        <v>63</v>
      </c>
      <c r="N63" s="49">
        <f>AVERAGE('1.11 KATOSI-MUKONO-24hr'!N63,'2.11 KATOSI-MUKONO 24hr'!N63)</f>
        <v>0</v>
      </c>
      <c r="O63" s="15">
        <f t="shared" si="0"/>
        <v>58.5</v>
      </c>
      <c r="P63" s="15">
        <f t="shared" si="1"/>
        <v>121.5</v>
      </c>
      <c r="R63" s="8"/>
      <c r="T63"/>
    </row>
    <row r="64" spans="2:20" ht="23.1" customHeight="1" x14ac:dyDescent="0.25">
      <c r="B64" s="23" t="s">
        <v>109</v>
      </c>
      <c r="C64" s="49">
        <f>AVERAGE('1.11 KATOSI-MUKONO-24hr'!C64,'2.11 KATOSI-MUKONO 24hr'!C64)</f>
        <v>8</v>
      </c>
      <c r="D64" s="49">
        <f>AVERAGE('1.11 KATOSI-MUKONO-24hr'!D64,'2.11 KATOSI-MUKONO 24hr'!D64)</f>
        <v>4</v>
      </c>
      <c r="E64" s="49">
        <f>AVERAGE('1.11 KATOSI-MUKONO-24hr'!E64,'2.11 KATOSI-MUKONO 24hr'!E64)</f>
        <v>3</v>
      </c>
      <c r="F64" s="49">
        <f>AVERAGE('1.11 KATOSI-MUKONO-24hr'!F64,'2.11 KATOSI-MUKONO 24hr'!F64)</f>
        <v>5</v>
      </c>
      <c r="G64" s="49">
        <f>AVERAGE('1.11 KATOSI-MUKONO-24hr'!G64,'2.11 KATOSI-MUKONO 24hr'!G64)</f>
        <v>1</v>
      </c>
      <c r="H64" s="49">
        <f>AVERAGE('1.11 KATOSI-MUKONO-24hr'!H64,'2.11 KATOSI-MUKONO 24hr'!H64)</f>
        <v>0</v>
      </c>
      <c r="I64" s="49">
        <f>AVERAGE('1.11 KATOSI-MUKONO-24hr'!I64,'2.11 KATOSI-MUKONO 24hr'!I64)</f>
        <v>1</v>
      </c>
      <c r="J64" s="49">
        <f>AVERAGE('1.11 KATOSI-MUKONO-24hr'!J64,'2.11 KATOSI-MUKONO 24hr'!J64)</f>
        <v>1</v>
      </c>
      <c r="K64" s="49">
        <f>AVERAGE('1.11 KATOSI-MUKONO-24hr'!K64,'2.11 KATOSI-MUKONO 24hr'!K64)</f>
        <v>0.5</v>
      </c>
      <c r="L64" s="49">
        <f>AVERAGE('1.11 KATOSI-MUKONO-24hr'!L64,'2.11 KATOSI-MUKONO 24hr'!L64)</f>
        <v>0</v>
      </c>
      <c r="M64" s="49">
        <f>AVERAGE('1.11 KATOSI-MUKONO-24hr'!M64,'2.11 KATOSI-MUKONO 24hr'!M64)</f>
        <v>58</v>
      </c>
      <c r="N64" s="49">
        <f>AVERAGE('1.11 KATOSI-MUKONO-24hr'!N64,'2.11 KATOSI-MUKONO 24hr'!N64)</f>
        <v>0</v>
      </c>
      <c r="O64" s="15">
        <f t="shared" si="0"/>
        <v>23.5</v>
      </c>
      <c r="P64" s="15">
        <f t="shared" si="1"/>
        <v>81.5</v>
      </c>
      <c r="R64" s="8"/>
      <c r="T64"/>
    </row>
    <row r="65" spans="2:20" ht="23.1" customHeight="1" x14ac:dyDescent="0.25">
      <c r="B65" s="23" t="s">
        <v>158</v>
      </c>
      <c r="C65" s="49">
        <f>AVERAGE('1.11 KATOSI-MUKONO-24hr'!C65,'2.11 KATOSI-MUKONO 24hr'!C65)</f>
        <v>11.5</v>
      </c>
      <c r="D65" s="49">
        <f>AVERAGE('1.11 KATOSI-MUKONO-24hr'!D65,'2.11 KATOSI-MUKONO 24hr'!D65)</f>
        <v>4</v>
      </c>
      <c r="E65" s="49">
        <f>AVERAGE('1.11 KATOSI-MUKONO-24hr'!E65,'2.11 KATOSI-MUKONO 24hr'!E65)</f>
        <v>2</v>
      </c>
      <c r="F65" s="49">
        <f>AVERAGE('1.11 KATOSI-MUKONO-24hr'!F65,'2.11 KATOSI-MUKONO 24hr'!F65)</f>
        <v>6.5</v>
      </c>
      <c r="G65" s="49">
        <f>AVERAGE('1.11 KATOSI-MUKONO-24hr'!G65,'2.11 KATOSI-MUKONO 24hr'!G65)</f>
        <v>0</v>
      </c>
      <c r="H65" s="49">
        <f>AVERAGE('1.11 KATOSI-MUKONO-24hr'!H65,'2.11 KATOSI-MUKONO 24hr'!H65)</f>
        <v>0</v>
      </c>
      <c r="I65" s="49">
        <f>AVERAGE('1.11 KATOSI-MUKONO-24hr'!I65,'2.11 KATOSI-MUKONO 24hr'!I65)</f>
        <v>6</v>
      </c>
      <c r="J65" s="49">
        <f>AVERAGE('1.11 KATOSI-MUKONO-24hr'!J65,'2.11 KATOSI-MUKONO 24hr'!J65)</f>
        <v>1</v>
      </c>
      <c r="K65" s="49">
        <f>AVERAGE('1.11 KATOSI-MUKONO-24hr'!K65,'2.11 KATOSI-MUKONO 24hr'!K65)</f>
        <v>1</v>
      </c>
      <c r="L65" s="49">
        <f>AVERAGE('1.11 KATOSI-MUKONO-24hr'!L65,'2.11 KATOSI-MUKONO 24hr'!L65)</f>
        <v>0</v>
      </c>
      <c r="M65" s="49">
        <f>AVERAGE('1.11 KATOSI-MUKONO-24hr'!M65,'2.11 KATOSI-MUKONO 24hr'!M65)</f>
        <v>75.5</v>
      </c>
      <c r="N65" s="49">
        <f>AVERAGE('1.11 KATOSI-MUKONO-24hr'!N65,'2.11 KATOSI-MUKONO 24hr'!N65)</f>
        <v>0</v>
      </c>
      <c r="O65" s="15">
        <f t="shared" si="0"/>
        <v>32</v>
      </c>
      <c r="P65" s="15">
        <f t="shared" si="1"/>
        <v>107.5</v>
      </c>
      <c r="R65" s="8"/>
      <c r="T65"/>
    </row>
    <row r="66" spans="2:20" ht="23.1" customHeight="1" x14ac:dyDescent="0.25">
      <c r="B66" s="23" t="s">
        <v>103</v>
      </c>
      <c r="C66" s="49">
        <f>AVERAGE('1.11 KATOSI-MUKONO-24hr'!C66,'2.11 KATOSI-MUKONO 24hr'!C66)</f>
        <v>10.5</v>
      </c>
      <c r="D66" s="49">
        <f>AVERAGE('1.11 KATOSI-MUKONO-24hr'!D66,'2.11 KATOSI-MUKONO 24hr'!D66)</f>
        <v>6.5</v>
      </c>
      <c r="E66" s="49">
        <f>AVERAGE('1.11 KATOSI-MUKONO-24hr'!E66,'2.11 KATOSI-MUKONO 24hr'!E66)</f>
        <v>4.5</v>
      </c>
      <c r="F66" s="49">
        <f>AVERAGE('1.11 KATOSI-MUKONO-24hr'!F66,'2.11 KATOSI-MUKONO 24hr'!F66)</f>
        <v>5.5</v>
      </c>
      <c r="G66" s="49">
        <f>AVERAGE('1.11 KATOSI-MUKONO-24hr'!G66,'2.11 KATOSI-MUKONO 24hr'!G66)</f>
        <v>1</v>
      </c>
      <c r="H66" s="49">
        <f>AVERAGE('1.11 KATOSI-MUKONO-24hr'!H66,'2.11 KATOSI-MUKONO 24hr'!H66)</f>
        <v>0</v>
      </c>
      <c r="I66" s="49">
        <f>AVERAGE('1.11 KATOSI-MUKONO-24hr'!I66,'2.11 KATOSI-MUKONO 24hr'!I66)</f>
        <v>3</v>
      </c>
      <c r="J66" s="49">
        <f>AVERAGE('1.11 KATOSI-MUKONO-24hr'!J66,'2.11 KATOSI-MUKONO 24hr'!J66)</f>
        <v>0.5</v>
      </c>
      <c r="K66" s="49">
        <f>AVERAGE('1.11 KATOSI-MUKONO-24hr'!K66,'2.11 KATOSI-MUKONO 24hr'!K66)</f>
        <v>1</v>
      </c>
      <c r="L66" s="49">
        <f>AVERAGE('1.11 KATOSI-MUKONO-24hr'!L66,'2.11 KATOSI-MUKONO 24hr'!L66)</f>
        <v>0.5</v>
      </c>
      <c r="M66" s="49">
        <f>AVERAGE('1.11 KATOSI-MUKONO-24hr'!M66,'2.11 KATOSI-MUKONO 24hr'!M66)</f>
        <v>75</v>
      </c>
      <c r="N66" s="49">
        <f>AVERAGE('1.11 KATOSI-MUKONO-24hr'!N66,'2.11 KATOSI-MUKONO 24hr'!N66)</f>
        <v>0</v>
      </c>
      <c r="O66" s="15">
        <f t="shared" si="0"/>
        <v>33</v>
      </c>
      <c r="P66" s="15">
        <f t="shared" si="1"/>
        <v>108</v>
      </c>
      <c r="R66" s="8"/>
      <c r="T66"/>
    </row>
    <row r="67" spans="2:20" ht="23.1" customHeight="1" x14ac:dyDescent="0.25">
      <c r="B67" s="23" t="s">
        <v>104</v>
      </c>
      <c r="C67" s="49">
        <f>AVERAGE('1.11 KATOSI-MUKONO-24hr'!C67,'2.11 KATOSI-MUKONO 24hr'!C67)</f>
        <v>11</v>
      </c>
      <c r="D67" s="49">
        <f>AVERAGE('1.11 KATOSI-MUKONO-24hr'!D67,'2.11 KATOSI-MUKONO 24hr'!D67)</f>
        <v>8</v>
      </c>
      <c r="E67" s="49">
        <f>AVERAGE('1.11 KATOSI-MUKONO-24hr'!E67,'2.11 KATOSI-MUKONO 24hr'!E67)</f>
        <v>2</v>
      </c>
      <c r="F67" s="49">
        <f>AVERAGE('1.11 KATOSI-MUKONO-24hr'!F67,'2.11 KATOSI-MUKONO 24hr'!F67)</f>
        <v>6</v>
      </c>
      <c r="G67" s="49">
        <f>AVERAGE('1.11 KATOSI-MUKONO-24hr'!G67,'2.11 KATOSI-MUKONO 24hr'!G67)</f>
        <v>0.5</v>
      </c>
      <c r="H67" s="49">
        <f>AVERAGE('1.11 KATOSI-MUKONO-24hr'!H67,'2.11 KATOSI-MUKONO 24hr'!H67)</f>
        <v>0</v>
      </c>
      <c r="I67" s="49">
        <f>AVERAGE('1.11 KATOSI-MUKONO-24hr'!I67,'2.11 KATOSI-MUKONO 24hr'!I67)</f>
        <v>2.5</v>
      </c>
      <c r="J67" s="49">
        <f>AVERAGE('1.11 KATOSI-MUKONO-24hr'!J67,'2.11 KATOSI-MUKONO 24hr'!J67)</f>
        <v>3.5</v>
      </c>
      <c r="K67" s="49">
        <f>AVERAGE('1.11 KATOSI-MUKONO-24hr'!K67,'2.11 KATOSI-MUKONO 24hr'!K67)</f>
        <v>0.5</v>
      </c>
      <c r="L67" s="49">
        <f>AVERAGE('1.11 KATOSI-MUKONO-24hr'!L67,'2.11 KATOSI-MUKONO 24hr'!L67)</f>
        <v>0</v>
      </c>
      <c r="M67" s="49">
        <f>AVERAGE('1.11 KATOSI-MUKONO-24hr'!M67,'2.11 KATOSI-MUKONO 24hr'!M67)</f>
        <v>55</v>
      </c>
      <c r="N67" s="49">
        <f>AVERAGE('1.11 KATOSI-MUKONO-24hr'!N67,'2.11 KATOSI-MUKONO 24hr'!N67)</f>
        <v>0</v>
      </c>
      <c r="O67" s="15">
        <f t="shared" si="0"/>
        <v>34</v>
      </c>
      <c r="P67" s="15">
        <f t="shared" si="1"/>
        <v>89</v>
      </c>
      <c r="R67" s="8"/>
      <c r="T67"/>
    </row>
    <row r="68" spans="2:20" ht="23.1" customHeight="1" x14ac:dyDescent="0.25">
      <c r="B68" s="23" t="s">
        <v>105</v>
      </c>
      <c r="C68" s="49">
        <f>AVERAGE('1.11 KATOSI-MUKONO-24hr'!C68,'2.11 KATOSI-MUKONO 24hr'!C68)</f>
        <v>7.5</v>
      </c>
      <c r="D68" s="49">
        <f>AVERAGE('1.11 KATOSI-MUKONO-24hr'!D68,'2.11 KATOSI-MUKONO 24hr'!D68)</f>
        <v>5.5</v>
      </c>
      <c r="E68" s="49">
        <f>AVERAGE('1.11 KATOSI-MUKONO-24hr'!E68,'2.11 KATOSI-MUKONO 24hr'!E68)</f>
        <v>4.5</v>
      </c>
      <c r="F68" s="49">
        <f>AVERAGE('1.11 KATOSI-MUKONO-24hr'!F68,'2.11 KATOSI-MUKONO 24hr'!F68)</f>
        <v>5.5</v>
      </c>
      <c r="G68" s="49">
        <f>AVERAGE('1.11 KATOSI-MUKONO-24hr'!G68,'2.11 KATOSI-MUKONO 24hr'!G68)</f>
        <v>0</v>
      </c>
      <c r="H68" s="49">
        <f>AVERAGE('1.11 KATOSI-MUKONO-24hr'!H68,'2.11 KATOSI-MUKONO 24hr'!H68)</f>
        <v>0</v>
      </c>
      <c r="I68" s="49">
        <f>AVERAGE('1.11 KATOSI-MUKONO-24hr'!I68,'2.11 KATOSI-MUKONO 24hr'!I68)</f>
        <v>3.5</v>
      </c>
      <c r="J68" s="49">
        <f>AVERAGE('1.11 KATOSI-MUKONO-24hr'!J68,'2.11 KATOSI-MUKONO 24hr'!J68)</f>
        <v>1.5</v>
      </c>
      <c r="K68" s="49">
        <f>AVERAGE('1.11 KATOSI-MUKONO-24hr'!K68,'2.11 KATOSI-MUKONO 24hr'!K68)</f>
        <v>1</v>
      </c>
      <c r="L68" s="49">
        <f>AVERAGE('1.11 KATOSI-MUKONO-24hr'!L68,'2.11 KATOSI-MUKONO 24hr'!L68)</f>
        <v>0</v>
      </c>
      <c r="M68" s="49">
        <f>AVERAGE('1.11 KATOSI-MUKONO-24hr'!M68,'2.11 KATOSI-MUKONO 24hr'!M68)</f>
        <v>58.5</v>
      </c>
      <c r="N68" s="49">
        <f>AVERAGE('1.11 KATOSI-MUKONO-24hr'!N68,'2.11 KATOSI-MUKONO 24hr'!N68)</f>
        <v>0</v>
      </c>
      <c r="O68" s="15">
        <f t="shared" si="0"/>
        <v>29</v>
      </c>
      <c r="P68" s="15">
        <f t="shared" si="1"/>
        <v>87.5</v>
      </c>
      <c r="R68" s="8"/>
      <c r="T68"/>
    </row>
    <row r="69" spans="2:20" ht="23.1" customHeight="1" x14ac:dyDescent="0.25">
      <c r="B69" s="23" t="s">
        <v>106</v>
      </c>
      <c r="C69" s="49">
        <f>AVERAGE('1.11 KATOSI-MUKONO-24hr'!C69,'2.11 KATOSI-MUKONO 24hr'!C69)</f>
        <v>5.5</v>
      </c>
      <c r="D69" s="49">
        <f>AVERAGE('1.11 KATOSI-MUKONO-24hr'!D69,'2.11 KATOSI-MUKONO 24hr'!D69)</f>
        <v>6</v>
      </c>
      <c r="E69" s="49">
        <f>AVERAGE('1.11 KATOSI-MUKONO-24hr'!E69,'2.11 KATOSI-MUKONO 24hr'!E69)</f>
        <v>2.5</v>
      </c>
      <c r="F69" s="49">
        <f>AVERAGE('1.11 KATOSI-MUKONO-24hr'!F69,'2.11 KATOSI-MUKONO 24hr'!F69)</f>
        <v>3.5</v>
      </c>
      <c r="G69" s="49">
        <f>AVERAGE('1.11 KATOSI-MUKONO-24hr'!G69,'2.11 KATOSI-MUKONO 24hr'!G69)</f>
        <v>0</v>
      </c>
      <c r="H69" s="49">
        <f>AVERAGE('1.11 KATOSI-MUKONO-24hr'!H69,'2.11 KATOSI-MUKONO 24hr'!H69)</f>
        <v>0</v>
      </c>
      <c r="I69" s="49">
        <f>AVERAGE('1.11 KATOSI-MUKONO-24hr'!I69,'2.11 KATOSI-MUKONO 24hr'!I69)</f>
        <v>2</v>
      </c>
      <c r="J69" s="49">
        <f>AVERAGE('1.11 KATOSI-MUKONO-24hr'!J69,'2.11 KATOSI-MUKONO 24hr'!J69)</f>
        <v>5</v>
      </c>
      <c r="K69" s="49">
        <f>AVERAGE('1.11 KATOSI-MUKONO-24hr'!K69,'2.11 KATOSI-MUKONO 24hr'!K69)</f>
        <v>0</v>
      </c>
      <c r="L69" s="49">
        <f>AVERAGE('1.11 KATOSI-MUKONO-24hr'!L69,'2.11 KATOSI-MUKONO 24hr'!L69)</f>
        <v>0</v>
      </c>
      <c r="M69" s="49">
        <f>AVERAGE('1.11 KATOSI-MUKONO-24hr'!M69,'2.11 KATOSI-MUKONO 24hr'!M69)</f>
        <v>55.5</v>
      </c>
      <c r="N69" s="49">
        <f>AVERAGE('1.11 KATOSI-MUKONO-24hr'!N69,'2.11 KATOSI-MUKONO 24hr'!N69)</f>
        <v>0</v>
      </c>
      <c r="O69" s="15">
        <f t="shared" si="0"/>
        <v>24.5</v>
      </c>
      <c r="P69" s="15">
        <f t="shared" si="1"/>
        <v>80</v>
      </c>
      <c r="R69" s="8"/>
      <c r="T69"/>
    </row>
    <row r="70" spans="2:20" ht="23.1" customHeight="1" x14ac:dyDescent="0.25">
      <c r="B70" s="23" t="s">
        <v>110</v>
      </c>
      <c r="C70" s="49">
        <f>AVERAGE('1.11 KATOSI-MUKONO-24hr'!C70,'2.11 KATOSI-MUKONO 24hr'!C70)</f>
        <v>2</v>
      </c>
      <c r="D70" s="49">
        <f>AVERAGE('1.11 KATOSI-MUKONO-24hr'!D70,'2.11 KATOSI-MUKONO 24hr'!D70)</f>
        <v>2.5</v>
      </c>
      <c r="E70" s="49">
        <f>AVERAGE('1.11 KATOSI-MUKONO-24hr'!E70,'2.11 KATOSI-MUKONO 24hr'!E70)</f>
        <v>1</v>
      </c>
      <c r="F70" s="49">
        <f>AVERAGE('1.11 KATOSI-MUKONO-24hr'!F70,'2.11 KATOSI-MUKONO 24hr'!F70)</f>
        <v>5</v>
      </c>
      <c r="G70" s="49">
        <f>AVERAGE('1.11 KATOSI-MUKONO-24hr'!G70,'2.11 KATOSI-MUKONO 24hr'!G70)</f>
        <v>0</v>
      </c>
      <c r="H70" s="49">
        <f>AVERAGE('1.11 KATOSI-MUKONO-24hr'!H70,'2.11 KATOSI-MUKONO 24hr'!H70)</f>
        <v>0</v>
      </c>
      <c r="I70" s="49">
        <f>AVERAGE('1.11 KATOSI-MUKONO-24hr'!I70,'2.11 KATOSI-MUKONO 24hr'!I70)</f>
        <v>2</v>
      </c>
      <c r="J70" s="49">
        <f>AVERAGE('1.11 KATOSI-MUKONO-24hr'!J70,'2.11 KATOSI-MUKONO 24hr'!J70)</f>
        <v>2</v>
      </c>
      <c r="K70" s="49">
        <f>AVERAGE('1.11 KATOSI-MUKONO-24hr'!K70,'2.11 KATOSI-MUKONO 24hr'!K70)</f>
        <v>0</v>
      </c>
      <c r="L70" s="49">
        <f>AVERAGE('1.11 KATOSI-MUKONO-24hr'!L70,'2.11 KATOSI-MUKONO 24hr'!L70)</f>
        <v>0</v>
      </c>
      <c r="M70" s="49">
        <f>AVERAGE('1.11 KATOSI-MUKONO-24hr'!M70,'2.11 KATOSI-MUKONO 24hr'!M70)</f>
        <v>39</v>
      </c>
      <c r="N70" s="49">
        <f>AVERAGE('1.11 KATOSI-MUKONO-24hr'!N70,'2.11 KATOSI-MUKONO 24hr'!N70)</f>
        <v>0</v>
      </c>
      <c r="O70" s="15">
        <f t="shared" si="0"/>
        <v>14.5</v>
      </c>
      <c r="P70" s="15">
        <f t="shared" si="1"/>
        <v>53.5</v>
      </c>
      <c r="R70" s="8"/>
      <c r="T70"/>
    </row>
    <row r="71" spans="2:20" ht="23.1" customHeight="1" x14ac:dyDescent="0.25">
      <c r="B71" s="23" t="s">
        <v>111</v>
      </c>
      <c r="C71" s="49">
        <f>AVERAGE('1.11 KATOSI-MUKONO-24hr'!C71,'2.11 KATOSI-MUKONO 24hr'!C71)</f>
        <v>3</v>
      </c>
      <c r="D71" s="49">
        <f>AVERAGE('1.11 KATOSI-MUKONO-24hr'!D71,'2.11 KATOSI-MUKONO 24hr'!D71)</f>
        <v>2.5</v>
      </c>
      <c r="E71" s="49">
        <f>AVERAGE('1.11 KATOSI-MUKONO-24hr'!E71,'2.11 KATOSI-MUKONO 24hr'!E71)</f>
        <v>1</v>
      </c>
      <c r="F71" s="49">
        <f>AVERAGE('1.11 KATOSI-MUKONO-24hr'!F71,'2.11 KATOSI-MUKONO 24hr'!F71)</f>
        <v>2</v>
      </c>
      <c r="G71" s="49">
        <f>AVERAGE('1.11 KATOSI-MUKONO-24hr'!G71,'2.11 KATOSI-MUKONO 24hr'!G71)</f>
        <v>0.5</v>
      </c>
      <c r="H71" s="49">
        <f>AVERAGE('1.11 KATOSI-MUKONO-24hr'!H71,'2.11 KATOSI-MUKONO 24hr'!H71)</f>
        <v>0</v>
      </c>
      <c r="I71" s="49">
        <f>AVERAGE('1.11 KATOSI-MUKONO-24hr'!I71,'2.11 KATOSI-MUKONO 24hr'!I71)</f>
        <v>4.5</v>
      </c>
      <c r="J71" s="49">
        <f>AVERAGE('1.11 KATOSI-MUKONO-24hr'!J71,'2.11 KATOSI-MUKONO 24hr'!J71)</f>
        <v>2</v>
      </c>
      <c r="K71" s="49">
        <f>AVERAGE('1.11 KATOSI-MUKONO-24hr'!K71,'2.11 KATOSI-MUKONO 24hr'!K71)</f>
        <v>0</v>
      </c>
      <c r="L71" s="49">
        <f>AVERAGE('1.11 KATOSI-MUKONO-24hr'!L71,'2.11 KATOSI-MUKONO 24hr'!L71)</f>
        <v>0</v>
      </c>
      <c r="M71" s="49">
        <f>AVERAGE('1.11 KATOSI-MUKONO-24hr'!M71,'2.11 KATOSI-MUKONO 24hr'!M71)</f>
        <v>27</v>
      </c>
      <c r="N71" s="49">
        <f>AVERAGE('1.11 KATOSI-MUKONO-24hr'!N71,'2.11 KATOSI-MUKONO 24hr'!N71)</f>
        <v>0</v>
      </c>
      <c r="O71" s="15">
        <f t="shared" si="0"/>
        <v>15.5</v>
      </c>
      <c r="P71" s="15">
        <f t="shared" si="1"/>
        <v>42.5</v>
      </c>
      <c r="R71" s="8"/>
      <c r="T71"/>
    </row>
    <row r="72" spans="2:20" ht="23.1" customHeight="1" x14ac:dyDescent="0.25">
      <c r="B72" s="23" t="s">
        <v>112</v>
      </c>
      <c r="C72" s="49">
        <f>AVERAGE('1.11 KATOSI-MUKONO-24hr'!C72,'2.11 KATOSI-MUKONO 24hr'!C72)</f>
        <v>3</v>
      </c>
      <c r="D72" s="49">
        <f>AVERAGE('1.11 KATOSI-MUKONO-24hr'!D72,'2.11 KATOSI-MUKONO 24hr'!D72)</f>
        <v>3</v>
      </c>
      <c r="E72" s="49">
        <f>AVERAGE('1.11 KATOSI-MUKONO-24hr'!E72,'2.11 KATOSI-MUKONO 24hr'!E72)</f>
        <v>1.5</v>
      </c>
      <c r="F72" s="49">
        <f>AVERAGE('1.11 KATOSI-MUKONO-24hr'!F72,'2.11 KATOSI-MUKONO 24hr'!F72)</f>
        <v>2.5</v>
      </c>
      <c r="G72" s="49">
        <f>AVERAGE('1.11 KATOSI-MUKONO-24hr'!G72,'2.11 KATOSI-MUKONO 24hr'!G72)</f>
        <v>0</v>
      </c>
      <c r="H72" s="49">
        <f>AVERAGE('1.11 KATOSI-MUKONO-24hr'!H72,'2.11 KATOSI-MUKONO 24hr'!H72)</f>
        <v>0</v>
      </c>
      <c r="I72" s="49">
        <f>AVERAGE('1.11 KATOSI-MUKONO-24hr'!I72,'2.11 KATOSI-MUKONO 24hr'!I72)</f>
        <v>1</v>
      </c>
      <c r="J72" s="49">
        <f>AVERAGE('1.11 KATOSI-MUKONO-24hr'!J72,'2.11 KATOSI-MUKONO 24hr'!J72)</f>
        <v>1.5</v>
      </c>
      <c r="K72" s="49">
        <f>AVERAGE('1.11 KATOSI-MUKONO-24hr'!K72,'2.11 KATOSI-MUKONO 24hr'!K72)</f>
        <v>1.5</v>
      </c>
      <c r="L72" s="49">
        <f>AVERAGE('1.11 KATOSI-MUKONO-24hr'!L72,'2.11 KATOSI-MUKONO 24hr'!L72)</f>
        <v>0</v>
      </c>
      <c r="M72" s="49">
        <f>AVERAGE('1.11 KATOSI-MUKONO-24hr'!M72,'2.11 KATOSI-MUKONO 24hr'!M72)</f>
        <v>33.5</v>
      </c>
      <c r="N72" s="49">
        <f>AVERAGE('1.11 KATOSI-MUKONO-24hr'!N72,'2.11 KATOSI-MUKONO 24hr'!N72)</f>
        <v>0</v>
      </c>
      <c r="O72" s="15">
        <f t="shared" si="0"/>
        <v>14</v>
      </c>
      <c r="P72" s="15">
        <f t="shared" si="1"/>
        <v>47.5</v>
      </c>
      <c r="R72" s="8"/>
      <c r="T72"/>
    </row>
    <row r="73" spans="2:20" ht="23.1" customHeight="1" x14ac:dyDescent="0.25">
      <c r="B73" s="23" t="s">
        <v>113</v>
      </c>
      <c r="C73" s="49">
        <f>AVERAGE('1.11 KATOSI-MUKONO-24hr'!C73,'2.11 KATOSI-MUKONO 24hr'!C73)</f>
        <v>5</v>
      </c>
      <c r="D73" s="49">
        <f>AVERAGE('1.11 KATOSI-MUKONO-24hr'!D73,'2.11 KATOSI-MUKONO 24hr'!D73)</f>
        <v>4</v>
      </c>
      <c r="E73" s="49">
        <f>AVERAGE('1.11 KATOSI-MUKONO-24hr'!E73,'2.11 KATOSI-MUKONO 24hr'!E73)</f>
        <v>0.5</v>
      </c>
      <c r="F73" s="49">
        <f>AVERAGE('1.11 KATOSI-MUKONO-24hr'!F73,'2.11 KATOSI-MUKONO 24hr'!F73)</f>
        <v>3.5</v>
      </c>
      <c r="G73" s="49">
        <f>AVERAGE('1.11 KATOSI-MUKONO-24hr'!G73,'2.11 KATOSI-MUKONO 24hr'!G73)</f>
        <v>0</v>
      </c>
      <c r="H73" s="49">
        <f>AVERAGE('1.11 KATOSI-MUKONO-24hr'!H73,'2.11 KATOSI-MUKONO 24hr'!H73)</f>
        <v>0</v>
      </c>
      <c r="I73" s="49">
        <f>AVERAGE('1.11 KATOSI-MUKONO-24hr'!I73,'2.11 KATOSI-MUKONO 24hr'!I73)</f>
        <v>1</v>
      </c>
      <c r="J73" s="49">
        <f>AVERAGE('1.11 KATOSI-MUKONO-24hr'!J73,'2.11 KATOSI-MUKONO 24hr'!J73)</f>
        <v>0.5</v>
      </c>
      <c r="K73" s="49">
        <f>AVERAGE('1.11 KATOSI-MUKONO-24hr'!K73,'2.11 KATOSI-MUKONO 24hr'!K73)</f>
        <v>0.5</v>
      </c>
      <c r="L73" s="49">
        <f>AVERAGE('1.11 KATOSI-MUKONO-24hr'!L73,'2.11 KATOSI-MUKONO 24hr'!L73)</f>
        <v>0</v>
      </c>
      <c r="M73" s="49">
        <f>AVERAGE('1.11 KATOSI-MUKONO-24hr'!M73,'2.11 KATOSI-MUKONO 24hr'!M73)</f>
        <v>25.5</v>
      </c>
      <c r="N73" s="49">
        <f>AVERAGE('1.11 KATOSI-MUKONO-24hr'!N73,'2.11 KATOSI-MUKONO 24hr'!N73)</f>
        <v>0</v>
      </c>
      <c r="O73" s="15">
        <f t="shared" si="0"/>
        <v>15</v>
      </c>
      <c r="P73" s="15">
        <f t="shared" si="1"/>
        <v>40.5</v>
      </c>
      <c r="R73" s="8"/>
      <c r="T73"/>
    </row>
    <row r="74" spans="2:20" ht="23.1" customHeight="1" x14ac:dyDescent="0.25">
      <c r="B74" s="23" t="s">
        <v>114</v>
      </c>
      <c r="C74" s="49">
        <f>AVERAGE('1.11 KATOSI-MUKONO-24hr'!C74,'2.11 KATOSI-MUKONO 24hr'!C74)</f>
        <v>4.5</v>
      </c>
      <c r="D74" s="49">
        <f>AVERAGE('1.11 KATOSI-MUKONO-24hr'!D74,'2.11 KATOSI-MUKONO 24hr'!D74)</f>
        <v>4</v>
      </c>
      <c r="E74" s="49">
        <f>AVERAGE('1.11 KATOSI-MUKONO-24hr'!E74,'2.11 KATOSI-MUKONO 24hr'!E74)</f>
        <v>1</v>
      </c>
      <c r="F74" s="49">
        <f>AVERAGE('1.11 KATOSI-MUKONO-24hr'!F74,'2.11 KATOSI-MUKONO 24hr'!F74)</f>
        <v>3</v>
      </c>
      <c r="G74" s="49">
        <f>AVERAGE('1.11 KATOSI-MUKONO-24hr'!G74,'2.11 KATOSI-MUKONO 24hr'!G74)</f>
        <v>1</v>
      </c>
      <c r="H74" s="49">
        <f>AVERAGE('1.11 KATOSI-MUKONO-24hr'!H74,'2.11 KATOSI-MUKONO 24hr'!H74)</f>
        <v>0</v>
      </c>
      <c r="I74" s="49">
        <f>AVERAGE('1.11 KATOSI-MUKONO-24hr'!I74,'2.11 KATOSI-MUKONO 24hr'!I74)</f>
        <v>1.5</v>
      </c>
      <c r="J74" s="49">
        <f>AVERAGE('1.11 KATOSI-MUKONO-24hr'!J74,'2.11 KATOSI-MUKONO 24hr'!J74)</f>
        <v>0.5</v>
      </c>
      <c r="K74" s="49">
        <f>AVERAGE('1.11 KATOSI-MUKONO-24hr'!K74,'2.11 KATOSI-MUKONO 24hr'!K74)</f>
        <v>0</v>
      </c>
      <c r="L74" s="49">
        <f>AVERAGE('1.11 KATOSI-MUKONO-24hr'!L74,'2.11 KATOSI-MUKONO 24hr'!L74)</f>
        <v>0</v>
      </c>
      <c r="M74" s="49">
        <f>AVERAGE('1.11 KATOSI-MUKONO-24hr'!M74,'2.11 KATOSI-MUKONO 24hr'!M74)</f>
        <v>33.5</v>
      </c>
      <c r="N74" s="49">
        <f>AVERAGE('1.11 KATOSI-MUKONO-24hr'!N74,'2.11 KATOSI-MUKONO 24hr'!N74)</f>
        <v>0</v>
      </c>
      <c r="O74" s="15">
        <f t="shared" ref="O74:O104" si="35">SUM(C74:L74,N74)</f>
        <v>15.5</v>
      </c>
      <c r="P74" s="15">
        <f t="shared" ref="P74:P104" si="36">SUM(C74:N74)</f>
        <v>49</v>
      </c>
      <c r="R74" s="8"/>
      <c r="T74"/>
    </row>
    <row r="75" spans="2:20" ht="23.1" customHeight="1" x14ac:dyDescent="0.25">
      <c r="B75" s="23" t="s">
        <v>115</v>
      </c>
      <c r="C75" s="49">
        <f>AVERAGE('1.11 KATOSI-MUKONO-24hr'!C75,'2.11 KATOSI-MUKONO 24hr'!C75)</f>
        <v>5</v>
      </c>
      <c r="D75" s="49">
        <f>AVERAGE('1.11 KATOSI-MUKONO-24hr'!D75,'2.11 KATOSI-MUKONO 24hr'!D75)</f>
        <v>1.5</v>
      </c>
      <c r="E75" s="49">
        <f>AVERAGE('1.11 KATOSI-MUKONO-24hr'!E75,'2.11 KATOSI-MUKONO 24hr'!E75)</f>
        <v>2.5</v>
      </c>
      <c r="F75" s="49">
        <f>AVERAGE('1.11 KATOSI-MUKONO-24hr'!F75,'2.11 KATOSI-MUKONO 24hr'!F75)</f>
        <v>1.5</v>
      </c>
      <c r="G75" s="49">
        <f>AVERAGE('1.11 KATOSI-MUKONO-24hr'!G75,'2.11 KATOSI-MUKONO 24hr'!G75)</f>
        <v>0.5</v>
      </c>
      <c r="H75" s="49">
        <f>AVERAGE('1.11 KATOSI-MUKONO-24hr'!H75,'2.11 KATOSI-MUKONO 24hr'!H75)</f>
        <v>0</v>
      </c>
      <c r="I75" s="49">
        <f>AVERAGE('1.11 KATOSI-MUKONO-24hr'!I75,'2.11 KATOSI-MUKONO 24hr'!I75)</f>
        <v>1.5</v>
      </c>
      <c r="J75" s="49">
        <f>AVERAGE('1.11 KATOSI-MUKONO-24hr'!J75,'2.11 KATOSI-MUKONO 24hr'!J75)</f>
        <v>0</v>
      </c>
      <c r="K75" s="49">
        <f>AVERAGE('1.11 KATOSI-MUKONO-24hr'!K75,'2.11 KATOSI-MUKONO 24hr'!K75)</f>
        <v>0.5</v>
      </c>
      <c r="L75" s="49">
        <f>AVERAGE('1.11 KATOSI-MUKONO-24hr'!L75,'2.11 KATOSI-MUKONO 24hr'!L75)</f>
        <v>0</v>
      </c>
      <c r="M75" s="49">
        <f>AVERAGE('1.11 KATOSI-MUKONO-24hr'!M75,'2.11 KATOSI-MUKONO 24hr'!M75)</f>
        <v>19</v>
      </c>
      <c r="N75" s="49">
        <f>AVERAGE('1.11 KATOSI-MUKONO-24hr'!N75,'2.11 KATOSI-MUKONO 24hr'!N75)</f>
        <v>0</v>
      </c>
      <c r="O75" s="15">
        <f t="shared" si="35"/>
        <v>13</v>
      </c>
      <c r="P75" s="15">
        <f t="shared" si="36"/>
        <v>32</v>
      </c>
      <c r="R75" s="8"/>
      <c r="T75"/>
    </row>
    <row r="76" spans="2:20" ht="23.1" customHeight="1" x14ac:dyDescent="0.25">
      <c r="B76" s="23" t="s">
        <v>116</v>
      </c>
      <c r="C76" s="49">
        <f>AVERAGE('1.11 KATOSI-MUKONO-24hr'!C76,'2.11 KATOSI-MUKONO 24hr'!C76)</f>
        <v>3</v>
      </c>
      <c r="D76" s="49">
        <f>AVERAGE('1.11 KATOSI-MUKONO-24hr'!D76,'2.11 KATOSI-MUKONO 24hr'!D76)</f>
        <v>2</v>
      </c>
      <c r="E76" s="49">
        <f>AVERAGE('1.11 KATOSI-MUKONO-24hr'!E76,'2.11 KATOSI-MUKONO 24hr'!E76)</f>
        <v>0</v>
      </c>
      <c r="F76" s="49">
        <f>AVERAGE('1.11 KATOSI-MUKONO-24hr'!F76,'2.11 KATOSI-MUKONO 24hr'!F76)</f>
        <v>5.5</v>
      </c>
      <c r="G76" s="49">
        <f>AVERAGE('1.11 KATOSI-MUKONO-24hr'!G76,'2.11 KATOSI-MUKONO 24hr'!G76)</f>
        <v>0</v>
      </c>
      <c r="H76" s="49">
        <f>AVERAGE('1.11 KATOSI-MUKONO-24hr'!H76,'2.11 KATOSI-MUKONO 24hr'!H76)</f>
        <v>0</v>
      </c>
      <c r="I76" s="49">
        <f>AVERAGE('1.11 KATOSI-MUKONO-24hr'!I76,'2.11 KATOSI-MUKONO 24hr'!I76)</f>
        <v>0.5</v>
      </c>
      <c r="J76" s="49">
        <f>AVERAGE('1.11 KATOSI-MUKONO-24hr'!J76,'2.11 KATOSI-MUKONO 24hr'!J76)</f>
        <v>0.5</v>
      </c>
      <c r="K76" s="49">
        <f>AVERAGE('1.11 KATOSI-MUKONO-24hr'!K76,'2.11 KATOSI-MUKONO 24hr'!K76)</f>
        <v>0</v>
      </c>
      <c r="L76" s="49">
        <f>AVERAGE('1.11 KATOSI-MUKONO-24hr'!L76,'2.11 KATOSI-MUKONO 24hr'!L76)</f>
        <v>0</v>
      </c>
      <c r="M76" s="49">
        <f>AVERAGE('1.11 KATOSI-MUKONO-24hr'!M76,'2.11 KATOSI-MUKONO 24hr'!M76)</f>
        <v>40.5</v>
      </c>
      <c r="N76" s="49">
        <f>AVERAGE('1.11 KATOSI-MUKONO-24hr'!N76,'2.11 KATOSI-MUKONO 24hr'!N76)</f>
        <v>0</v>
      </c>
      <c r="O76" s="15">
        <f t="shared" si="35"/>
        <v>11.5</v>
      </c>
      <c r="P76" s="15">
        <f t="shared" si="36"/>
        <v>52</v>
      </c>
      <c r="R76" s="8"/>
      <c r="T76"/>
    </row>
    <row r="77" spans="2:20" ht="23.1" customHeight="1" x14ac:dyDescent="0.25">
      <c r="B77" s="23" t="s">
        <v>117</v>
      </c>
      <c r="C77" s="49">
        <f>AVERAGE('1.11 KATOSI-MUKONO-24hr'!C77,'2.11 KATOSI-MUKONO 24hr'!C77)</f>
        <v>1</v>
      </c>
      <c r="D77" s="49">
        <f>AVERAGE('1.11 KATOSI-MUKONO-24hr'!D77,'2.11 KATOSI-MUKONO 24hr'!D77)</f>
        <v>5.5</v>
      </c>
      <c r="E77" s="49">
        <f>AVERAGE('1.11 KATOSI-MUKONO-24hr'!E77,'2.11 KATOSI-MUKONO 24hr'!E77)</f>
        <v>0.5</v>
      </c>
      <c r="F77" s="49">
        <f>AVERAGE('1.11 KATOSI-MUKONO-24hr'!F77,'2.11 KATOSI-MUKONO 24hr'!F77)</f>
        <v>7.5</v>
      </c>
      <c r="G77" s="49">
        <f>AVERAGE('1.11 KATOSI-MUKONO-24hr'!G77,'2.11 KATOSI-MUKONO 24hr'!G77)</f>
        <v>0</v>
      </c>
      <c r="H77" s="49">
        <f>AVERAGE('1.11 KATOSI-MUKONO-24hr'!H77,'2.11 KATOSI-MUKONO 24hr'!H77)</f>
        <v>0</v>
      </c>
      <c r="I77" s="49">
        <f>AVERAGE('1.11 KATOSI-MUKONO-24hr'!I77,'2.11 KATOSI-MUKONO 24hr'!I77)</f>
        <v>0</v>
      </c>
      <c r="J77" s="49">
        <f>AVERAGE('1.11 KATOSI-MUKONO-24hr'!J77,'2.11 KATOSI-MUKONO 24hr'!J77)</f>
        <v>0</v>
      </c>
      <c r="K77" s="49">
        <f>AVERAGE('1.11 KATOSI-MUKONO-24hr'!K77,'2.11 KATOSI-MUKONO 24hr'!K77)</f>
        <v>0</v>
      </c>
      <c r="L77" s="49">
        <f>AVERAGE('1.11 KATOSI-MUKONO-24hr'!L77,'2.11 KATOSI-MUKONO 24hr'!L77)</f>
        <v>0</v>
      </c>
      <c r="M77" s="49">
        <f>AVERAGE('1.11 KATOSI-MUKONO-24hr'!M77,'2.11 KATOSI-MUKONO 24hr'!M77)</f>
        <v>19.5</v>
      </c>
      <c r="N77" s="49">
        <f>AVERAGE('1.11 KATOSI-MUKONO-24hr'!N77,'2.11 KATOSI-MUKONO 24hr'!N77)</f>
        <v>0</v>
      </c>
      <c r="O77" s="15">
        <f t="shared" si="35"/>
        <v>14.5</v>
      </c>
      <c r="P77" s="15">
        <f t="shared" si="36"/>
        <v>34</v>
      </c>
      <c r="R77" s="8"/>
      <c r="T77"/>
    </row>
    <row r="78" spans="2:20" ht="23.1" customHeight="1" x14ac:dyDescent="0.25">
      <c r="B78" s="24" t="s">
        <v>118</v>
      </c>
      <c r="C78" s="49">
        <f>AVERAGE('1.11 KATOSI-MUKONO-24hr'!C78,'2.11 KATOSI-MUKONO 24hr'!C78)</f>
        <v>0</v>
      </c>
      <c r="D78" s="49">
        <f>AVERAGE('1.11 KATOSI-MUKONO-24hr'!D78,'2.11 KATOSI-MUKONO 24hr'!D78)</f>
        <v>1.5</v>
      </c>
      <c r="E78" s="49">
        <f>AVERAGE('1.11 KATOSI-MUKONO-24hr'!E78,'2.11 KATOSI-MUKONO 24hr'!E78)</f>
        <v>0.5</v>
      </c>
      <c r="F78" s="49">
        <f>AVERAGE('1.11 KATOSI-MUKONO-24hr'!F78,'2.11 KATOSI-MUKONO 24hr'!F78)</f>
        <v>4</v>
      </c>
      <c r="G78" s="49">
        <f>AVERAGE('1.11 KATOSI-MUKONO-24hr'!G78,'2.11 KATOSI-MUKONO 24hr'!G78)</f>
        <v>0</v>
      </c>
      <c r="H78" s="49">
        <f>AVERAGE('1.11 KATOSI-MUKONO-24hr'!H78,'2.11 KATOSI-MUKONO 24hr'!H78)</f>
        <v>0</v>
      </c>
      <c r="I78" s="49">
        <f>AVERAGE('1.11 KATOSI-MUKONO-24hr'!I78,'2.11 KATOSI-MUKONO 24hr'!I78)</f>
        <v>1</v>
      </c>
      <c r="J78" s="49">
        <f>AVERAGE('1.11 KATOSI-MUKONO-24hr'!J78,'2.11 KATOSI-MUKONO 24hr'!J78)</f>
        <v>0</v>
      </c>
      <c r="K78" s="49">
        <f>AVERAGE('1.11 KATOSI-MUKONO-24hr'!K78,'2.11 KATOSI-MUKONO 24hr'!K78)</f>
        <v>0</v>
      </c>
      <c r="L78" s="49">
        <f>AVERAGE('1.11 KATOSI-MUKONO-24hr'!L78,'2.11 KATOSI-MUKONO 24hr'!L78)</f>
        <v>0</v>
      </c>
      <c r="M78" s="49">
        <f>AVERAGE('1.11 KATOSI-MUKONO-24hr'!M78,'2.11 KATOSI-MUKONO 24hr'!M78)</f>
        <v>15.5</v>
      </c>
      <c r="N78" s="49">
        <f>AVERAGE('1.11 KATOSI-MUKONO-24hr'!N78,'2.11 KATOSI-MUKONO 24hr'!N78)</f>
        <v>0</v>
      </c>
      <c r="O78" s="15">
        <f t="shared" si="35"/>
        <v>7</v>
      </c>
      <c r="P78" s="15">
        <f t="shared" si="36"/>
        <v>22.5</v>
      </c>
      <c r="R78" s="8"/>
      <c r="T78"/>
    </row>
    <row r="79" spans="2:20" ht="23.1" customHeight="1" x14ac:dyDescent="0.25">
      <c r="B79" s="23" t="s">
        <v>119</v>
      </c>
      <c r="C79" s="49">
        <f>AVERAGE('1.11 KATOSI-MUKONO-24hr'!C79,'2.11 KATOSI-MUKONO 24hr'!C79)</f>
        <v>0.5</v>
      </c>
      <c r="D79" s="49">
        <f>AVERAGE('1.11 KATOSI-MUKONO-24hr'!D79,'2.11 KATOSI-MUKONO 24hr'!D79)</f>
        <v>0.5</v>
      </c>
      <c r="E79" s="49">
        <f>AVERAGE('1.11 KATOSI-MUKONO-24hr'!E79,'2.11 KATOSI-MUKONO 24hr'!E79)</f>
        <v>0.5</v>
      </c>
      <c r="F79" s="49">
        <f>AVERAGE('1.11 KATOSI-MUKONO-24hr'!F79,'2.11 KATOSI-MUKONO 24hr'!F79)</f>
        <v>1</v>
      </c>
      <c r="G79" s="49">
        <f>AVERAGE('1.11 KATOSI-MUKONO-24hr'!G79,'2.11 KATOSI-MUKONO 24hr'!G79)</f>
        <v>0</v>
      </c>
      <c r="H79" s="49">
        <f>AVERAGE('1.11 KATOSI-MUKONO-24hr'!H79,'2.11 KATOSI-MUKONO 24hr'!H79)</f>
        <v>0</v>
      </c>
      <c r="I79" s="49">
        <f>AVERAGE('1.11 KATOSI-MUKONO-24hr'!I79,'2.11 KATOSI-MUKONO 24hr'!I79)</f>
        <v>0</v>
      </c>
      <c r="J79" s="49">
        <f>AVERAGE('1.11 KATOSI-MUKONO-24hr'!J79,'2.11 KATOSI-MUKONO 24hr'!J79)</f>
        <v>0.5</v>
      </c>
      <c r="K79" s="49">
        <f>AVERAGE('1.11 KATOSI-MUKONO-24hr'!K79,'2.11 KATOSI-MUKONO 24hr'!K79)</f>
        <v>0</v>
      </c>
      <c r="L79" s="49">
        <f>AVERAGE('1.11 KATOSI-MUKONO-24hr'!L79,'2.11 KATOSI-MUKONO 24hr'!L79)</f>
        <v>0</v>
      </c>
      <c r="M79" s="49">
        <f>AVERAGE('1.11 KATOSI-MUKONO-24hr'!M79,'2.11 KATOSI-MUKONO 24hr'!M79)</f>
        <v>11.5</v>
      </c>
      <c r="N79" s="49">
        <f>AVERAGE('1.11 KATOSI-MUKONO-24hr'!N79,'2.11 KATOSI-MUKONO 24hr'!N79)</f>
        <v>0</v>
      </c>
      <c r="O79" s="15">
        <f t="shared" si="35"/>
        <v>3</v>
      </c>
      <c r="P79" s="15">
        <f t="shared" si="36"/>
        <v>14.5</v>
      </c>
      <c r="R79" s="8"/>
      <c r="T79"/>
    </row>
    <row r="80" spans="2:20" ht="23.1" customHeight="1" x14ac:dyDescent="0.25">
      <c r="B80" s="25" t="s">
        <v>120</v>
      </c>
      <c r="C80" s="49">
        <f>AVERAGE('1.11 KATOSI-MUKONO-24hr'!C80,'2.11 KATOSI-MUKONO 24hr'!C80)</f>
        <v>0.5</v>
      </c>
      <c r="D80" s="49">
        <f>AVERAGE('1.11 KATOSI-MUKONO-24hr'!D80,'2.11 KATOSI-MUKONO 24hr'!D80)</f>
        <v>0.5</v>
      </c>
      <c r="E80" s="49">
        <f>AVERAGE('1.11 KATOSI-MUKONO-24hr'!E80,'2.11 KATOSI-MUKONO 24hr'!E80)</f>
        <v>0</v>
      </c>
      <c r="F80" s="49">
        <f>AVERAGE('1.11 KATOSI-MUKONO-24hr'!F80,'2.11 KATOSI-MUKONO 24hr'!F80)</f>
        <v>1</v>
      </c>
      <c r="G80" s="49">
        <f>AVERAGE('1.11 KATOSI-MUKONO-24hr'!G80,'2.11 KATOSI-MUKONO 24hr'!G80)</f>
        <v>0</v>
      </c>
      <c r="H80" s="49">
        <f>AVERAGE('1.11 KATOSI-MUKONO-24hr'!H80,'2.11 KATOSI-MUKONO 24hr'!H80)</f>
        <v>0</v>
      </c>
      <c r="I80" s="49">
        <f>AVERAGE('1.11 KATOSI-MUKONO-24hr'!I80,'2.11 KATOSI-MUKONO 24hr'!I80)</f>
        <v>0</v>
      </c>
      <c r="J80" s="49">
        <f>AVERAGE('1.11 KATOSI-MUKONO-24hr'!J80,'2.11 KATOSI-MUKONO 24hr'!J80)</f>
        <v>0</v>
      </c>
      <c r="K80" s="49">
        <f>AVERAGE('1.11 KATOSI-MUKONO-24hr'!K80,'2.11 KATOSI-MUKONO 24hr'!K80)</f>
        <v>0</v>
      </c>
      <c r="L80" s="49">
        <f>AVERAGE('1.11 KATOSI-MUKONO-24hr'!L80,'2.11 KATOSI-MUKONO 24hr'!L80)</f>
        <v>0</v>
      </c>
      <c r="M80" s="49">
        <f>AVERAGE('1.11 KATOSI-MUKONO-24hr'!M80,'2.11 KATOSI-MUKONO 24hr'!M80)</f>
        <v>10</v>
      </c>
      <c r="N80" s="49">
        <f>AVERAGE('1.11 KATOSI-MUKONO-24hr'!N80,'2.11 KATOSI-MUKONO 24hr'!N80)</f>
        <v>0</v>
      </c>
      <c r="O80" s="15">
        <f t="shared" si="35"/>
        <v>2</v>
      </c>
      <c r="P80" s="15">
        <f t="shared" si="36"/>
        <v>12</v>
      </c>
      <c r="R80" s="8"/>
      <c r="T80"/>
    </row>
    <row r="81" spans="2:20" ht="23.1" customHeight="1" x14ac:dyDescent="0.25">
      <c r="B81" s="23" t="s">
        <v>121</v>
      </c>
      <c r="C81" s="49">
        <f>AVERAGE('1.11 KATOSI-MUKONO-24hr'!C81,'2.11 KATOSI-MUKONO 24hr'!C81)</f>
        <v>0</v>
      </c>
      <c r="D81" s="49">
        <f>AVERAGE('1.11 KATOSI-MUKONO-24hr'!D81,'2.11 KATOSI-MUKONO 24hr'!D81)</f>
        <v>3.5</v>
      </c>
      <c r="E81" s="49">
        <f>AVERAGE('1.11 KATOSI-MUKONO-24hr'!E81,'2.11 KATOSI-MUKONO 24hr'!E81)</f>
        <v>0.5</v>
      </c>
      <c r="F81" s="49">
        <f>AVERAGE('1.11 KATOSI-MUKONO-24hr'!F81,'2.11 KATOSI-MUKONO 24hr'!F81)</f>
        <v>1.5</v>
      </c>
      <c r="G81" s="49">
        <f>AVERAGE('1.11 KATOSI-MUKONO-24hr'!G81,'2.11 KATOSI-MUKONO 24hr'!G81)</f>
        <v>0</v>
      </c>
      <c r="H81" s="49">
        <f>AVERAGE('1.11 KATOSI-MUKONO-24hr'!H81,'2.11 KATOSI-MUKONO 24hr'!H81)</f>
        <v>0</v>
      </c>
      <c r="I81" s="49">
        <f>AVERAGE('1.11 KATOSI-MUKONO-24hr'!I81,'2.11 KATOSI-MUKONO 24hr'!I81)</f>
        <v>1.5</v>
      </c>
      <c r="J81" s="49">
        <f>AVERAGE('1.11 KATOSI-MUKONO-24hr'!J81,'2.11 KATOSI-MUKONO 24hr'!J81)</f>
        <v>0.5</v>
      </c>
      <c r="K81" s="49">
        <f>AVERAGE('1.11 KATOSI-MUKONO-24hr'!K81,'2.11 KATOSI-MUKONO 24hr'!K81)</f>
        <v>0</v>
      </c>
      <c r="L81" s="49">
        <f>AVERAGE('1.11 KATOSI-MUKONO-24hr'!L81,'2.11 KATOSI-MUKONO 24hr'!L81)</f>
        <v>0.5</v>
      </c>
      <c r="M81" s="49">
        <f>AVERAGE('1.11 KATOSI-MUKONO-24hr'!M81,'2.11 KATOSI-MUKONO 24hr'!M81)</f>
        <v>5.5</v>
      </c>
      <c r="N81" s="49">
        <f>AVERAGE('1.11 KATOSI-MUKONO-24hr'!N81,'2.11 KATOSI-MUKONO 24hr'!N81)</f>
        <v>0</v>
      </c>
      <c r="O81" s="15">
        <f t="shared" si="35"/>
        <v>8</v>
      </c>
      <c r="P81" s="15">
        <f t="shared" si="36"/>
        <v>13.5</v>
      </c>
      <c r="R81" s="8"/>
      <c r="T81"/>
    </row>
    <row r="82" spans="2:20" ht="23.1" customHeight="1" x14ac:dyDescent="0.25">
      <c r="B82" s="24" t="s">
        <v>122</v>
      </c>
      <c r="C82" s="49">
        <f>AVERAGE('1.11 KATOSI-MUKONO-24hr'!C82,'2.11 KATOSI-MUKONO 24hr'!C82)</f>
        <v>0.5</v>
      </c>
      <c r="D82" s="49">
        <f>AVERAGE('1.11 KATOSI-MUKONO-24hr'!D82,'2.11 KATOSI-MUKONO 24hr'!D82)</f>
        <v>1</v>
      </c>
      <c r="E82" s="49">
        <f>AVERAGE('1.11 KATOSI-MUKONO-24hr'!E82,'2.11 KATOSI-MUKONO 24hr'!E82)</f>
        <v>0</v>
      </c>
      <c r="F82" s="49">
        <f>AVERAGE('1.11 KATOSI-MUKONO-24hr'!F82,'2.11 KATOSI-MUKONO 24hr'!F82)</f>
        <v>0.5</v>
      </c>
      <c r="G82" s="49">
        <f>AVERAGE('1.11 KATOSI-MUKONO-24hr'!G82,'2.11 KATOSI-MUKONO 24hr'!G82)</f>
        <v>0</v>
      </c>
      <c r="H82" s="49">
        <f>AVERAGE('1.11 KATOSI-MUKONO-24hr'!H82,'2.11 KATOSI-MUKONO 24hr'!H82)</f>
        <v>0</v>
      </c>
      <c r="I82" s="49">
        <f>AVERAGE('1.11 KATOSI-MUKONO-24hr'!I82,'2.11 KATOSI-MUKONO 24hr'!I82)</f>
        <v>0.5</v>
      </c>
      <c r="J82" s="49">
        <f>AVERAGE('1.11 KATOSI-MUKONO-24hr'!J82,'2.11 KATOSI-MUKONO 24hr'!J82)</f>
        <v>0</v>
      </c>
      <c r="K82" s="49">
        <f>AVERAGE('1.11 KATOSI-MUKONO-24hr'!K82,'2.11 KATOSI-MUKONO 24hr'!K82)</f>
        <v>0</v>
      </c>
      <c r="L82" s="49">
        <f>AVERAGE('1.11 KATOSI-MUKONO-24hr'!L82,'2.11 KATOSI-MUKONO 24hr'!L82)</f>
        <v>0</v>
      </c>
      <c r="M82" s="49">
        <f>AVERAGE('1.11 KATOSI-MUKONO-24hr'!M82,'2.11 KATOSI-MUKONO 24hr'!M82)</f>
        <v>7.5</v>
      </c>
      <c r="N82" s="49">
        <f>AVERAGE('1.11 KATOSI-MUKONO-24hr'!N82,'2.11 KATOSI-MUKONO 24hr'!N82)</f>
        <v>0</v>
      </c>
      <c r="O82" s="15">
        <f t="shared" si="35"/>
        <v>2.5</v>
      </c>
      <c r="P82" s="15">
        <f t="shared" si="36"/>
        <v>10</v>
      </c>
      <c r="R82" s="8"/>
      <c r="T82"/>
    </row>
    <row r="83" spans="2:20" ht="23.1" customHeight="1" x14ac:dyDescent="0.25">
      <c r="B83" s="23" t="s">
        <v>123</v>
      </c>
      <c r="C83" s="49">
        <f>AVERAGE('1.11 KATOSI-MUKONO-24hr'!C83,'2.11 KATOSI-MUKONO 24hr'!C83)</f>
        <v>0</v>
      </c>
      <c r="D83" s="49">
        <f>AVERAGE('1.11 KATOSI-MUKONO-24hr'!D83,'2.11 KATOSI-MUKONO 24hr'!D83)</f>
        <v>1</v>
      </c>
      <c r="E83" s="49">
        <f>AVERAGE('1.11 KATOSI-MUKONO-24hr'!E83,'2.11 KATOSI-MUKONO 24hr'!E83)</f>
        <v>0</v>
      </c>
      <c r="F83" s="49">
        <f>AVERAGE('1.11 KATOSI-MUKONO-24hr'!F83,'2.11 KATOSI-MUKONO 24hr'!F83)</f>
        <v>0.5</v>
      </c>
      <c r="G83" s="49">
        <f>AVERAGE('1.11 KATOSI-MUKONO-24hr'!G83,'2.11 KATOSI-MUKONO 24hr'!G83)</f>
        <v>0</v>
      </c>
      <c r="H83" s="49">
        <f>AVERAGE('1.11 KATOSI-MUKONO-24hr'!H83,'2.11 KATOSI-MUKONO 24hr'!H83)</f>
        <v>0</v>
      </c>
      <c r="I83" s="49">
        <f>AVERAGE('1.11 KATOSI-MUKONO-24hr'!I83,'2.11 KATOSI-MUKONO 24hr'!I83)</f>
        <v>0</v>
      </c>
      <c r="J83" s="49">
        <f>AVERAGE('1.11 KATOSI-MUKONO-24hr'!J83,'2.11 KATOSI-MUKONO 24hr'!J83)</f>
        <v>0</v>
      </c>
      <c r="K83" s="49">
        <f>AVERAGE('1.11 KATOSI-MUKONO-24hr'!K83,'2.11 KATOSI-MUKONO 24hr'!K83)</f>
        <v>0</v>
      </c>
      <c r="L83" s="49">
        <f>AVERAGE('1.11 KATOSI-MUKONO-24hr'!L83,'2.11 KATOSI-MUKONO 24hr'!L83)</f>
        <v>0</v>
      </c>
      <c r="M83" s="49">
        <f>AVERAGE('1.11 KATOSI-MUKONO-24hr'!M83,'2.11 KATOSI-MUKONO 24hr'!M83)</f>
        <v>4</v>
      </c>
      <c r="N83" s="49">
        <f>AVERAGE('1.11 KATOSI-MUKONO-24hr'!N83,'2.11 KATOSI-MUKONO 24hr'!N83)</f>
        <v>0</v>
      </c>
      <c r="O83" s="15">
        <f t="shared" si="35"/>
        <v>1.5</v>
      </c>
      <c r="P83" s="15">
        <f t="shared" si="36"/>
        <v>5.5</v>
      </c>
      <c r="R83" s="8"/>
      <c r="T83"/>
    </row>
    <row r="84" spans="2:20" ht="23.1" customHeight="1" x14ac:dyDescent="0.25">
      <c r="B84" s="25" t="s">
        <v>124</v>
      </c>
      <c r="C84" s="49">
        <f>AVERAGE('1.11 KATOSI-MUKONO-24hr'!C84,'2.11 KATOSI-MUKONO 24hr'!C84)</f>
        <v>1</v>
      </c>
      <c r="D84" s="49">
        <f>AVERAGE('1.11 KATOSI-MUKONO-24hr'!D84,'2.11 KATOSI-MUKONO 24hr'!D84)</f>
        <v>0</v>
      </c>
      <c r="E84" s="49">
        <f>AVERAGE('1.11 KATOSI-MUKONO-24hr'!E84,'2.11 KATOSI-MUKONO 24hr'!E84)</f>
        <v>0.5</v>
      </c>
      <c r="F84" s="49">
        <f>AVERAGE('1.11 KATOSI-MUKONO-24hr'!F84,'2.11 KATOSI-MUKONO 24hr'!F84)</f>
        <v>0</v>
      </c>
      <c r="G84" s="49">
        <f>AVERAGE('1.11 KATOSI-MUKONO-24hr'!G84,'2.11 KATOSI-MUKONO 24hr'!G84)</f>
        <v>0</v>
      </c>
      <c r="H84" s="49">
        <f>AVERAGE('1.11 KATOSI-MUKONO-24hr'!H84,'2.11 KATOSI-MUKONO 24hr'!H84)</f>
        <v>0</v>
      </c>
      <c r="I84" s="49">
        <f>AVERAGE('1.11 KATOSI-MUKONO-24hr'!I84,'2.11 KATOSI-MUKONO 24hr'!I84)</f>
        <v>0.5</v>
      </c>
      <c r="J84" s="49">
        <f>AVERAGE('1.11 KATOSI-MUKONO-24hr'!J84,'2.11 KATOSI-MUKONO 24hr'!J84)</f>
        <v>0.5</v>
      </c>
      <c r="K84" s="49">
        <f>AVERAGE('1.11 KATOSI-MUKONO-24hr'!K84,'2.11 KATOSI-MUKONO 24hr'!K84)</f>
        <v>0</v>
      </c>
      <c r="L84" s="49">
        <f>AVERAGE('1.11 KATOSI-MUKONO-24hr'!L84,'2.11 KATOSI-MUKONO 24hr'!L84)</f>
        <v>0</v>
      </c>
      <c r="M84" s="49">
        <f>AVERAGE('1.11 KATOSI-MUKONO-24hr'!M84,'2.11 KATOSI-MUKONO 24hr'!M84)</f>
        <v>2.5</v>
      </c>
      <c r="N84" s="49">
        <f>AVERAGE('1.11 KATOSI-MUKONO-24hr'!N84,'2.11 KATOSI-MUKONO 24hr'!N84)</f>
        <v>0</v>
      </c>
      <c r="O84" s="15">
        <f t="shared" si="35"/>
        <v>2.5</v>
      </c>
      <c r="P84" s="15">
        <f t="shared" si="36"/>
        <v>5</v>
      </c>
      <c r="R84" s="8"/>
      <c r="T84"/>
    </row>
    <row r="85" spans="2:20" ht="23.1" customHeight="1" x14ac:dyDescent="0.25">
      <c r="B85" s="23" t="s">
        <v>125</v>
      </c>
      <c r="C85" s="49">
        <f>AVERAGE('1.11 KATOSI-MUKONO-24hr'!C85,'2.11 KATOSI-MUKONO 24hr'!C85)</f>
        <v>0</v>
      </c>
      <c r="D85" s="49">
        <f>AVERAGE('1.11 KATOSI-MUKONO-24hr'!D85,'2.11 KATOSI-MUKONO 24hr'!D85)</f>
        <v>0</v>
      </c>
      <c r="E85" s="49">
        <f>AVERAGE('1.11 KATOSI-MUKONO-24hr'!E85,'2.11 KATOSI-MUKONO 24hr'!E85)</f>
        <v>0.5</v>
      </c>
      <c r="F85" s="49">
        <f>AVERAGE('1.11 KATOSI-MUKONO-24hr'!F85,'2.11 KATOSI-MUKONO 24hr'!F85)</f>
        <v>0</v>
      </c>
      <c r="G85" s="49">
        <f>AVERAGE('1.11 KATOSI-MUKONO-24hr'!G85,'2.11 KATOSI-MUKONO 24hr'!G85)</f>
        <v>0</v>
      </c>
      <c r="H85" s="49">
        <f>AVERAGE('1.11 KATOSI-MUKONO-24hr'!H85,'2.11 KATOSI-MUKONO 24hr'!H85)</f>
        <v>0</v>
      </c>
      <c r="I85" s="49">
        <f>AVERAGE('1.11 KATOSI-MUKONO-24hr'!I85,'2.11 KATOSI-MUKONO 24hr'!I85)</f>
        <v>0</v>
      </c>
      <c r="J85" s="49">
        <f>AVERAGE('1.11 KATOSI-MUKONO-24hr'!J85,'2.11 KATOSI-MUKONO 24hr'!J85)</f>
        <v>0</v>
      </c>
      <c r="K85" s="49">
        <f>AVERAGE('1.11 KATOSI-MUKONO-24hr'!K85,'2.11 KATOSI-MUKONO 24hr'!K85)</f>
        <v>0</v>
      </c>
      <c r="L85" s="49">
        <f>AVERAGE('1.11 KATOSI-MUKONO-24hr'!L85,'2.11 KATOSI-MUKONO 24hr'!L85)</f>
        <v>0</v>
      </c>
      <c r="M85" s="49">
        <f>AVERAGE('1.11 KATOSI-MUKONO-24hr'!M85,'2.11 KATOSI-MUKONO 24hr'!M85)</f>
        <v>6</v>
      </c>
      <c r="N85" s="49">
        <f>AVERAGE('1.11 KATOSI-MUKONO-24hr'!N85,'2.11 KATOSI-MUKONO 24hr'!N85)</f>
        <v>0</v>
      </c>
      <c r="O85" s="15">
        <f t="shared" si="35"/>
        <v>0.5</v>
      </c>
      <c r="P85" s="15">
        <f t="shared" si="36"/>
        <v>6.5</v>
      </c>
      <c r="R85" s="8"/>
      <c r="T85"/>
    </row>
    <row r="86" spans="2:20" ht="23.1" customHeight="1" x14ac:dyDescent="0.25">
      <c r="B86" s="24" t="s">
        <v>126</v>
      </c>
      <c r="C86" s="49">
        <f>AVERAGE('1.11 KATOSI-MUKONO-24hr'!C86,'2.11 KATOSI-MUKONO 24hr'!C86)</f>
        <v>0</v>
      </c>
      <c r="D86" s="49">
        <f>AVERAGE('1.11 KATOSI-MUKONO-24hr'!D86,'2.11 KATOSI-MUKONO 24hr'!D86)</f>
        <v>0.5</v>
      </c>
      <c r="E86" s="49">
        <f>AVERAGE('1.11 KATOSI-MUKONO-24hr'!E86,'2.11 KATOSI-MUKONO 24hr'!E86)</f>
        <v>0.5</v>
      </c>
      <c r="F86" s="49">
        <f>AVERAGE('1.11 KATOSI-MUKONO-24hr'!F86,'2.11 KATOSI-MUKONO 24hr'!F86)</f>
        <v>1</v>
      </c>
      <c r="G86" s="49">
        <f>AVERAGE('1.11 KATOSI-MUKONO-24hr'!G86,'2.11 KATOSI-MUKONO 24hr'!G86)</f>
        <v>0</v>
      </c>
      <c r="H86" s="49">
        <f>AVERAGE('1.11 KATOSI-MUKONO-24hr'!H86,'2.11 KATOSI-MUKONO 24hr'!H86)</f>
        <v>0</v>
      </c>
      <c r="I86" s="49">
        <f>AVERAGE('1.11 KATOSI-MUKONO-24hr'!I86,'2.11 KATOSI-MUKONO 24hr'!I86)</f>
        <v>0.5</v>
      </c>
      <c r="J86" s="49">
        <f>AVERAGE('1.11 KATOSI-MUKONO-24hr'!J86,'2.11 KATOSI-MUKONO 24hr'!J86)</f>
        <v>0.5</v>
      </c>
      <c r="K86" s="49">
        <f>AVERAGE('1.11 KATOSI-MUKONO-24hr'!K86,'2.11 KATOSI-MUKONO 24hr'!K86)</f>
        <v>0</v>
      </c>
      <c r="L86" s="49">
        <f>AVERAGE('1.11 KATOSI-MUKONO-24hr'!L86,'2.11 KATOSI-MUKONO 24hr'!L86)</f>
        <v>0</v>
      </c>
      <c r="M86" s="49">
        <f>AVERAGE('1.11 KATOSI-MUKONO-24hr'!M86,'2.11 KATOSI-MUKONO 24hr'!M86)</f>
        <v>7</v>
      </c>
      <c r="N86" s="49">
        <f>AVERAGE('1.11 KATOSI-MUKONO-24hr'!N86,'2.11 KATOSI-MUKONO 24hr'!N86)</f>
        <v>0</v>
      </c>
      <c r="O86" s="15">
        <f t="shared" si="35"/>
        <v>3</v>
      </c>
      <c r="P86" s="15">
        <f t="shared" si="36"/>
        <v>10</v>
      </c>
      <c r="R86" s="8"/>
      <c r="T86"/>
    </row>
    <row r="87" spans="2:20" ht="23.1" customHeight="1" x14ac:dyDescent="0.25">
      <c r="B87" s="23" t="s">
        <v>127</v>
      </c>
      <c r="C87" s="49">
        <f>AVERAGE('1.11 KATOSI-MUKONO-24hr'!C87,'2.11 KATOSI-MUKONO 24hr'!C87)</f>
        <v>0.5</v>
      </c>
      <c r="D87" s="49">
        <f>AVERAGE('1.11 KATOSI-MUKONO-24hr'!D87,'2.11 KATOSI-MUKONO 24hr'!D87)</f>
        <v>0</v>
      </c>
      <c r="E87" s="49">
        <f>AVERAGE('1.11 KATOSI-MUKONO-24hr'!E87,'2.11 KATOSI-MUKONO 24hr'!E87)</f>
        <v>0.5</v>
      </c>
      <c r="F87" s="49">
        <f>AVERAGE('1.11 KATOSI-MUKONO-24hr'!F87,'2.11 KATOSI-MUKONO 24hr'!F87)</f>
        <v>0</v>
      </c>
      <c r="G87" s="49">
        <f>AVERAGE('1.11 KATOSI-MUKONO-24hr'!G87,'2.11 KATOSI-MUKONO 24hr'!G87)</f>
        <v>0</v>
      </c>
      <c r="H87" s="49">
        <f>AVERAGE('1.11 KATOSI-MUKONO-24hr'!H87,'2.11 KATOSI-MUKONO 24hr'!H87)</f>
        <v>0</v>
      </c>
      <c r="I87" s="49">
        <f>AVERAGE('1.11 KATOSI-MUKONO-24hr'!I87,'2.11 KATOSI-MUKONO 24hr'!I87)</f>
        <v>0</v>
      </c>
      <c r="J87" s="49">
        <f>AVERAGE('1.11 KATOSI-MUKONO-24hr'!J87,'2.11 KATOSI-MUKONO 24hr'!J87)</f>
        <v>0</v>
      </c>
      <c r="K87" s="49">
        <f>AVERAGE('1.11 KATOSI-MUKONO-24hr'!K87,'2.11 KATOSI-MUKONO 24hr'!K87)</f>
        <v>0</v>
      </c>
      <c r="L87" s="49">
        <f>AVERAGE('1.11 KATOSI-MUKONO-24hr'!L87,'2.11 KATOSI-MUKONO 24hr'!L87)</f>
        <v>0</v>
      </c>
      <c r="M87" s="49">
        <f>AVERAGE('1.11 KATOSI-MUKONO-24hr'!M87,'2.11 KATOSI-MUKONO 24hr'!M87)</f>
        <v>1.5</v>
      </c>
      <c r="N87" s="49">
        <f>AVERAGE('1.11 KATOSI-MUKONO-24hr'!N87,'2.11 KATOSI-MUKONO 24hr'!N87)</f>
        <v>0</v>
      </c>
      <c r="O87" s="15">
        <f t="shared" si="35"/>
        <v>1</v>
      </c>
      <c r="P87" s="15">
        <f t="shared" si="36"/>
        <v>2.5</v>
      </c>
      <c r="R87" s="8"/>
      <c r="T87"/>
    </row>
    <row r="88" spans="2:20" ht="23.1" customHeight="1" x14ac:dyDescent="0.25">
      <c r="B88" s="25" t="s">
        <v>128</v>
      </c>
      <c r="C88" s="49">
        <f>AVERAGE('1.11 KATOSI-MUKONO-24hr'!C88,'2.11 KATOSI-MUKONO 24hr'!C88)</f>
        <v>1</v>
      </c>
      <c r="D88" s="49">
        <f>AVERAGE('1.11 KATOSI-MUKONO-24hr'!D88,'2.11 KATOSI-MUKONO 24hr'!D88)</f>
        <v>0</v>
      </c>
      <c r="E88" s="49">
        <f>AVERAGE('1.11 KATOSI-MUKONO-24hr'!E88,'2.11 KATOSI-MUKONO 24hr'!E88)</f>
        <v>0</v>
      </c>
      <c r="F88" s="49">
        <f>AVERAGE('1.11 KATOSI-MUKONO-24hr'!F88,'2.11 KATOSI-MUKONO 24hr'!F88)</f>
        <v>1</v>
      </c>
      <c r="G88" s="49">
        <f>AVERAGE('1.11 KATOSI-MUKONO-24hr'!G88,'2.11 KATOSI-MUKONO 24hr'!G88)</f>
        <v>0</v>
      </c>
      <c r="H88" s="49">
        <f>AVERAGE('1.11 KATOSI-MUKONO-24hr'!H88,'2.11 KATOSI-MUKONO 24hr'!H88)</f>
        <v>0</v>
      </c>
      <c r="I88" s="49">
        <f>AVERAGE('1.11 KATOSI-MUKONO-24hr'!I88,'2.11 KATOSI-MUKONO 24hr'!I88)</f>
        <v>0</v>
      </c>
      <c r="J88" s="49">
        <f>AVERAGE('1.11 KATOSI-MUKONO-24hr'!J88,'2.11 KATOSI-MUKONO 24hr'!J88)</f>
        <v>0.5</v>
      </c>
      <c r="K88" s="49">
        <f>AVERAGE('1.11 KATOSI-MUKONO-24hr'!K88,'2.11 KATOSI-MUKONO 24hr'!K88)</f>
        <v>0</v>
      </c>
      <c r="L88" s="49">
        <f>AVERAGE('1.11 KATOSI-MUKONO-24hr'!L88,'2.11 KATOSI-MUKONO 24hr'!L88)</f>
        <v>0</v>
      </c>
      <c r="M88" s="49">
        <f>AVERAGE('1.11 KATOSI-MUKONO-24hr'!M88,'2.11 KATOSI-MUKONO 24hr'!M88)</f>
        <v>5.5</v>
      </c>
      <c r="N88" s="49">
        <f>AVERAGE('1.11 KATOSI-MUKONO-24hr'!N88,'2.11 KATOSI-MUKONO 24hr'!N88)</f>
        <v>0</v>
      </c>
      <c r="O88" s="15">
        <f t="shared" si="35"/>
        <v>2.5</v>
      </c>
      <c r="P88" s="15">
        <f t="shared" si="36"/>
        <v>8</v>
      </c>
      <c r="R88" s="8"/>
      <c r="T88"/>
    </row>
    <row r="89" spans="2:20" ht="23.1" customHeight="1" x14ac:dyDescent="0.25">
      <c r="B89" s="23" t="s">
        <v>129</v>
      </c>
      <c r="C89" s="49">
        <f>AVERAGE('1.11 KATOSI-MUKONO-24hr'!C89,'2.11 KATOSI-MUKONO 24hr'!C89)</f>
        <v>0</v>
      </c>
      <c r="D89" s="49">
        <f>AVERAGE('1.11 KATOSI-MUKONO-24hr'!D89,'2.11 KATOSI-MUKONO 24hr'!D89)</f>
        <v>0</v>
      </c>
      <c r="E89" s="49">
        <f>AVERAGE('1.11 KATOSI-MUKONO-24hr'!E89,'2.11 KATOSI-MUKONO 24hr'!E89)</f>
        <v>0</v>
      </c>
      <c r="F89" s="49">
        <f>AVERAGE('1.11 KATOSI-MUKONO-24hr'!F89,'2.11 KATOSI-MUKONO 24hr'!F89)</f>
        <v>0</v>
      </c>
      <c r="G89" s="49">
        <f>AVERAGE('1.11 KATOSI-MUKONO-24hr'!G89,'2.11 KATOSI-MUKONO 24hr'!G89)</f>
        <v>0</v>
      </c>
      <c r="H89" s="49">
        <f>AVERAGE('1.11 KATOSI-MUKONO-24hr'!H89,'2.11 KATOSI-MUKONO 24hr'!H89)</f>
        <v>0</v>
      </c>
      <c r="I89" s="49">
        <f>AVERAGE('1.11 KATOSI-MUKONO-24hr'!I89,'2.11 KATOSI-MUKONO 24hr'!I89)</f>
        <v>0</v>
      </c>
      <c r="J89" s="49">
        <f>AVERAGE('1.11 KATOSI-MUKONO-24hr'!J89,'2.11 KATOSI-MUKONO 24hr'!J89)</f>
        <v>0.5</v>
      </c>
      <c r="K89" s="49">
        <f>AVERAGE('1.11 KATOSI-MUKONO-24hr'!K89,'2.11 KATOSI-MUKONO 24hr'!K89)</f>
        <v>0</v>
      </c>
      <c r="L89" s="49">
        <f>AVERAGE('1.11 KATOSI-MUKONO-24hr'!L89,'2.11 KATOSI-MUKONO 24hr'!L89)</f>
        <v>1</v>
      </c>
      <c r="M89" s="49">
        <f>AVERAGE('1.11 KATOSI-MUKONO-24hr'!M89,'2.11 KATOSI-MUKONO 24hr'!M89)</f>
        <v>4.5</v>
      </c>
      <c r="N89" s="49">
        <f>AVERAGE('1.11 KATOSI-MUKONO-24hr'!N89,'2.11 KATOSI-MUKONO 24hr'!N89)</f>
        <v>0</v>
      </c>
      <c r="O89" s="15">
        <f t="shared" si="35"/>
        <v>1.5</v>
      </c>
      <c r="P89" s="15">
        <f t="shared" si="36"/>
        <v>6</v>
      </c>
      <c r="R89" s="8"/>
      <c r="T89"/>
    </row>
    <row r="90" spans="2:20" ht="23.1" customHeight="1" x14ac:dyDescent="0.25">
      <c r="B90" s="24" t="s">
        <v>130</v>
      </c>
      <c r="C90" s="49">
        <f>AVERAGE('1.11 KATOSI-MUKONO-24hr'!C90,'2.11 KATOSI-MUKONO 24hr'!C90)</f>
        <v>1.5</v>
      </c>
      <c r="D90" s="49">
        <f>AVERAGE('1.11 KATOSI-MUKONO-24hr'!D90,'2.11 KATOSI-MUKONO 24hr'!D90)</f>
        <v>0</v>
      </c>
      <c r="E90" s="49">
        <f>AVERAGE('1.11 KATOSI-MUKONO-24hr'!E90,'2.11 KATOSI-MUKONO 24hr'!E90)</f>
        <v>0</v>
      </c>
      <c r="F90" s="49">
        <f>AVERAGE('1.11 KATOSI-MUKONO-24hr'!F90,'2.11 KATOSI-MUKONO 24hr'!F90)</f>
        <v>0.5</v>
      </c>
      <c r="G90" s="49">
        <f>AVERAGE('1.11 KATOSI-MUKONO-24hr'!G90,'2.11 KATOSI-MUKONO 24hr'!G90)</f>
        <v>0</v>
      </c>
      <c r="H90" s="49">
        <f>AVERAGE('1.11 KATOSI-MUKONO-24hr'!H90,'2.11 KATOSI-MUKONO 24hr'!H90)</f>
        <v>0</v>
      </c>
      <c r="I90" s="49">
        <f>AVERAGE('1.11 KATOSI-MUKONO-24hr'!I90,'2.11 KATOSI-MUKONO 24hr'!I90)</f>
        <v>0.5</v>
      </c>
      <c r="J90" s="49">
        <f>AVERAGE('1.11 KATOSI-MUKONO-24hr'!J90,'2.11 KATOSI-MUKONO 24hr'!J90)</f>
        <v>0</v>
      </c>
      <c r="K90" s="49">
        <f>AVERAGE('1.11 KATOSI-MUKONO-24hr'!K90,'2.11 KATOSI-MUKONO 24hr'!K90)</f>
        <v>0</v>
      </c>
      <c r="L90" s="49">
        <f>AVERAGE('1.11 KATOSI-MUKONO-24hr'!L90,'2.11 KATOSI-MUKONO 24hr'!L90)</f>
        <v>0</v>
      </c>
      <c r="M90" s="49">
        <f>AVERAGE('1.11 KATOSI-MUKONO-24hr'!M90,'2.11 KATOSI-MUKONO 24hr'!M90)</f>
        <v>4</v>
      </c>
      <c r="N90" s="49">
        <f>AVERAGE('1.11 KATOSI-MUKONO-24hr'!N90,'2.11 KATOSI-MUKONO 24hr'!N90)</f>
        <v>0</v>
      </c>
      <c r="O90" s="15">
        <f t="shared" si="35"/>
        <v>2.5</v>
      </c>
      <c r="P90" s="15">
        <f t="shared" si="36"/>
        <v>6.5</v>
      </c>
      <c r="R90" s="8"/>
      <c r="T90"/>
    </row>
    <row r="91" spans="2:20" ht="23.1" customHeight="1" x14ac:dyDescent="0.25">
      <c r="B91" s="23" t="s">
        <v>131</v>
      </c>
      <c r="C91" s="49">
        <f>AVERAGE('1.11 KATOSI-MUKONO-24hr'!C91,'2.11 KATOSI-MUKONO 24hr'!C91)</f>
        <v>0.5</v>
      </c>
      <c r="D91" s="49">
        <f>AVERAGE('1.11 KATOSI-MUKONO-24hr'!D91,'2.11 KATOSI-MUKONO 24hr'!D91)</f>
        <v>0</v>
      </c>
      <c r="E91" s="49">
        <f>AVERAGE('1.11 KATOSI-MUKONO-24hr'!E91,'2.11 KATOSI-MUKONO 24hr'!E91)</f>
        <v>0</v>
      </c>
      <c r="F91" s="49">
        <f>AVERAGE('1.11 KATOSI-MUKONO-24hr'!F91,'2.11 KATOSI-MUKONO 24hr'!F91)</f>
        <v>0.5</v>
      </c>
      <c r="G91" s="49">
        <f>AVERAGE('1.11 KATOSI-MUKONO-24hr'!G91,'2.11 KATOSI-MUKONO 24hr'!G91)</f>
        <v>0</v>
      </c>
      <c r="H91" s="49">
        <f>AVERAGE('1.11 KATOSI-MUKONO-24hr'!H91,'2.11 KATOSI-MUKONO 24hr'!H91)</f>
        <v>0</v>
      </c>
      <c r="I91" s="49">
        <f>AVERAGE('1.11 KATOSI-MUKONO-24hr'!I91,'2.11 KATOSI-MUKONO 24hr'!I91)</f>
        <v>0</v>
      </c>
      <c r="J91" s="49">
        <f>AVERAGE('1.11 KATOSI-MUKONO-24hr'!J91,'2.11 KATOSI-MUKONO 24hr'!J91)</f>
        <v>0</v>
      </c>
      <c r="K91" s="49">
        <f>AVERAGE('1.11 KATOSI-MUKONO-24hr'!K91,'2.11 KATOSI-MUKONO 24hr'!K91)</f>
        <v>0</v>
      </c>
      <c r="L91" s="49">
        <f>AVERAGE('1.11 KATOSI-MUKONO-24hr'!L91,'2.11 KATOSI-MUKONO 24hr'!L91)</f>
        <v>0</v>
      </c>
      <c r="M91" s="49">
        <f>AVERAGE('1.11 KATOSI-MUKONO-24hr'!M91,'2.11 KATOSI-MUKONO 24hr'!M91)</f>
        <v>2.5</v>
      </c>
      <c r="N91" s="49">
        <f>AVERAGE('1.11 KATOSI-MUKONO-24hr'!N91,'2.11 KATOSI-MUKONO 24hr'!N91)</f>
        <v>0</v>
      </c>
      <c r="O91" s="15">
        <f t="shared" si="35"/>
        <v>1</v>
      </c>
      <c r="P91" s="15">
        <f t="shared" si="36"/>
        <v>3.5</v>
      </c>
      <c r="R91" s="8"/>
      <c r="T91"/>
    </row>
    <row r="92" spans="2:20" ht="23.1" customHeight="1" x14ac:dyDescent="0.25">
      <c r="B92" s="25" t="s">
        <v>132</v>
      </c>
      <c r="C92" s="49">
        <f>AVERAGE('1.11 KATOSI-MUKONO-24hr'!C92,'2.11 KATOSI-MUKONO 24hr'!C92)</f>
        <v>1</v>
      </c>
      <c r="D92" s="49">
        <f>AVERAGE('1.11 KATOSI-MUKONO-24hr'!D92,'2.11 KATOSI-MUKONO 24hr'!D92)</f>
        <v>0</v>
      </c>
      <c r="E92" s="49">
        <f>AVERAGE('1.11 KATOSI-MUKONO-24hr'!E92,'2.11 KATOSI-MUKONO 24hr'!E92)</f>
        <v>0</v>
      </c>
      <c r="F92" s="49">
        <f>AVERAGE('1.11 KATOSI-MUKONO-24hr'!F92,'2.11 KATOSI-MUKONO 24hr'!F92)</f>
        <v>0.5</v>
      </c>
      <c r="G92" s="49">
        <f>AVERAGE('1.11 KATOSI-MUKONO-24hr'!G92,'2.11 KATOSI-MUKONO 24hr'!G92)</f>
        <v>0</v>
      </c>
      <c r="H92" s="49">
        <f>AVERAGE('1.11 KATOSI-MUKONO-24hr'!H92,'2.11 KATOSI-MUKONO 24hr'!H92)</f>
        <v>0</v>
      </c>
      <c r="I92" s="49">
        <f>AVERAGE('1.11 KATOSI-MUKONO-24hr'!I92,'2.11 KATOSI-MUKONO 24hr'!I92)</f>
        <v>0.5</v>
      </c>
      <c r="J92" s="49">
        <f>AVERAGE('1.11 KATOSI-MUKONO-24hr'!J92,'2.11 KATOSI-MUKONO 24hr'!J92)</f>
        <v>0</v>
      </c>
      <c r="K92" s="49">
        <f>AVERAGE('1.11 KATOSI-MUKONO-24hr'!K92,'2.11 KATOSI-MUKONO 24hr'!K92)</f>
        <v>0</v>
      </c>
      <c r="L92" s="49">
        <f>AVERAGE('1.11 KATOSI-MUKONO-24hr'!L92,'2.11 KATOSI-MUKONO 24hr'!L92)</f>
        <v>0</v>
      </c>
      <c r="M92" s="49">
        <f>AVERAGE('1.11 KATOSI-MUKONO-24hr'!M92,'2.11 KATOSI-MUKONO 24hr'!M92)</f>
        <v>7</v>
      </c>
      <c r="N92" s="49">
        <f>AVERAGE('1.11 KATOSI-MUKONO-24hr'!N92,'2.11 KATOSI-MUKONO 24hr'!N92)</f>
        <v>0</v>
      </c>
      <c r="O92" s="15">
        <f t="shared" si="35"/>
        <v>2</v>
      </c>
      <c r="P92" s="15">
        <f t="shared" si="36"/>
        <v>9</v>
      </c>
      <c r="R92" s="8"/>
      <c r="T92"/>
    </row>
    <row r="93" spans="2:20" ht="23.1" customHeight="1" x14ac:dyDescent="0.25">
      <c r="B93" s="23" t="s">
        <v>133</v>
      </c>
      <c r="C93" s="49">
        <f>AVERAGE('1.11 KATOSI-MUKONO-24hr'!C93,'2.11 KATOSI-MUKONO 24hr'!C93)</f>
        <v>1</v>
      </c>
      <c r="D93" s="49">
        <f>AVERAGE('1.11 KATOSI-MUKONO-24hr'!D93,'2.11 KATOSI-MUKONO 24hr'!D93)</f>
        <v>0</v>
      </c>
      <c r="E93" s="49">
        <f>AVERAGE('1.11 KATOSI-MUKONO-24hr'!E93,'2.11 KATOSI-MUKONO 24hr'!E93)</f>
        <v>0</v>
      </c>
      <c r="F93" s="49">
        <f>AVERAGE('1.11 KATOSI-MUKONO-24hr'!F93,'2.11 KATOSI-MUKONO 24hr'!F93)</f>
        <v>1</v>
      </c>
      <c r="G93" s="49">
        <f>AVERAGE('1.11 KATOSI-MUKONO-24hr'!G93,'2.11 KATOSI-MUKONO 24hr'!G93)</f>
        <v>0</v>
      </c>
      <c r="H93" s="49">
        <f>AVERAGE('1.11 KATOSI-MUKONO-24hr'!H93,'2.11 KATOSI-MUKONO 24hr'!H93)</f>
        <v>0</v>
      </c>
      <c r="I93" s="49">
        <f>AVERAGE('1.11 KATOSI-MUKONO-24hr'!I93,'2.11 KATOSI-MUKONO 24hr'!I93)</f>
        <v>0</v>
      </c>
      <c r="J93" s="49">
        <f>AVERAGE('1.11 KATOSI-MUKONO-24hr'!J93,'2.11 KATOSI-MUKONO 24hr'!J93)</f>
        <v>0</v>
      </c>
      <c r="K93" s="49">
        <f>AVERAGE('1.11 KATOSI-MUKONO-24hr'!K93,'2.11 KATOSI-MUKONO 24hr'!K93)</f>
        <v>0</v>
      </c>
      <c r="L93" s="49">
        <f>AVERAGE('1.11 KATOSI-MUKONO-24hr'!L93,'2.11 KATOSI-MUKONO 24hr'!L93)</f>
        <v>0</v>
      </c>
      <c r="M93" s="49">
        <f>AVERAGE('1.11 KATOSI-MUKONO-24hr'!M93,'2.11 KATOSI-MUKONO 24hr'!M93)</f>
        <v>3.5</v>
      </c>
      <c r="N93" s="49">
        <f>AVERAGE('1.11 KATOSI-MUKONO-24hr'!N93,'2.11 KATOSI-MUKONO 24hr'!N93)</f>
        <v>0</v>
      </c>
      <c r="O93" s="15">
        <f t="shared" si="35"/>
        <v>2</v>
      </c>
      <c r="P93" s="15">
        <f t="shared" si="36"/>
        <v>5.5</v>
      </c>
      <c r="R93" s="8"/>
      <c r="T93"/>
    </row>
    <row r="94" spans="2:20" ht="23.1" customHeight="1" x14ac:dyDescent="0.25">
      <c r="B94" s="24" t="s">
        <v>134</v>
      </c>
      <c r="C94" s="49">
        <f>AVERAGE('1.11 KATOSI-MUKONO-24hr'!C94,'2.11 KATOSI-MUKONO 24hr'!C94)</f>
        <v>1.5</v>
      </c>
      <c r="D94" s="49">
        <f>AVERAGE('1.11 KATOSI-MUKONO-24hr'!D94,'2.11 KATOSI-MUKONO 24hr'!D94)</f>
        <v>0</v>
      </c>
      <c r="E94" s="49">
        <f>AVERAGE('1.11 KATOSI-MUKONO-24hr'!E94,'2.11 KATOSI-MUKONO 24hr'!E94)</f>
        <v>0</v>
      </c>
      <c r="F94" s="49">
        <f>AVERAGE('1.11 KATOSI-MUKONO-24hr'!F94,'2.11 KATOSI-MUKONO 24hr'!F94)</f>
        <v>3</v>
      </c>
      <c r="G94" s="49">
        <f>AVERAGE('1.11 KATOSI-MUKONO-24hr'!G94,'2.11 KATOSI-MUKONO 24hr'!G94)</f>
        <v>0</v>
      </c>
      <c r="H94" s="49">
        <f>AVERAGE('1.11 KATOSI-MUKONO-24hr'!H94,'2.11 KATOSI-MUKONO 24hr'!H94)</f>
        <v>0</v>
      </c>
      <c r="I94" s="49">
        <f>AVERAGE('1.11 KATOSI-MUKONO-24hr'!I94,'2.11 KATOSI-MUKONO 24hr'!I94)</f>
        <v>0.5</v>
      </c>
      <c r="J94" s="49">
        <f>AVERAGE('1.11 KATOSI-MUKONO-24hr'!J94,'2.11 KATOSI-MUKONO 24hr'!J94)</f>
        <v>0</v>
      </c>
      <c r="K94" s="49">
        <f>AVERAGE('1.11 KATOSI-MUKONO-24hr'!K94,'2.11 KATOSI-MUKONO 24hr'!K94)</f>
        <v>0</v>
      </c>
      <c r="L94" s="49">
        <f>AVERAGE('1.11 KATOSI-MUKONO-24hr'!L94,'2.11 KATOSI-MUKONO 24hr'!L94)</f>
        <v>0</v>
      </c>
      <c r="M94" s="49">
        <f>AVERAGE('1.11 KATOSI-MUKONO-24hr'!M94,'2.11 KATOSI-MUKONO 24hr'!M94)</f>
        <v>5</v>
      </c>
      <c r="N94" s="49">
        <f>AVERAGE('1.11 KATOSI-MUKONO-24hr'!N94,'2.11 KATOSI-MUKONO 24hr'!N94)</f>
        <v>0</v>
      </c>
      <c r="O94" s="15">
        <f t="shared" si="35"/>
        <v>5</v>
      </c>
      <c r="P94" s="15">
        <f t="shared" si="36"/>
        <v>10</v>
      </c>
      <c r="R94" s="8"/>
      <c r="T94"/>
    </row>
    <row r="95" spans="2:20" ht="23.1" customHeight="1" x14ac:dyDescent="0.25">
      <c r="B95" s="23" t="s">
        <v>135</v>
      </c>
      <c r="C95" s="49">
        <f>AVERAGE('1.11 KATOSI-MUKONO-24hr'!C95,'2.11 KATOSI-MUKONO 24hr'!C95)</f>
        <v>0</v>
      </c>
      <c r="D95" s="49">
        <f>AVERAGE('1.11 KATOSI-MUKONO-24hr'!D95,'2.11 KATOSI-MUKONO 24hr'!D95)</f>
        <v>0</v>
      </c>
      <c r="E95" s="49">
        <f>AVERAGE('1.11 KATOSI-MUKONO-24hr'!E95,'2.11 KATOSI-MUKONO 24hr'!E95)</f>
        <v>0</v>
      </c>
      <c r="F95" s="49">
        <f>AVERAGE('1.11 KATOSI-MUKONO-24hr'!F95,'2.11 KATOSI-MUKONO 24hr'!F95)</f>
        <v>0</v>
      </c>
      <c r="G95" s="49">
        <f>AVERAGE('1.11 KATOSI-MUKONO-24hr'!G95,'2.11 KATOSI-MUKONO 24hr'!G95)</f>
        <v>0</v>
      </c>
      <c r="H95" s="49">
        <f>AVERAGE('1.11 KATOSI-MUKONO-24hr'!H95,'2.11 KATOSI-MUKONO 24hr'!H95)</f>
        <v>0</v>
      </c>
      <c r="I95" s="49">
        <f>AVERAGE('1.11 KATOSI-MUKONO-24hr'!I95,'2.11 KATOSI-MUKONO 24hr'!I95)</f>
        <v>0.5</v>
      </c>
      <c r="J95" s="49">
        <f>AVERAGE('1.11 KATOSI-MUKONO-24hr'!J95,'2.11 KATOSI-MUKONO 24hr'!J95)</f>
        <v>0</v>
      </c>
      <c r="K95" s="49">
        <f>AVERAGE('1.11 KATOSI-MUKONO-24hr'!K95,'2.11 KATOSI-MUKONO 24hr'!K95)</f>
        <v>0</v>
      </c>
      <c r="L95" s="49">
        <f>AVERAGE('1.11 KATOSI-MUKONO-24hr'!L95,'2.11 KATOSI-MUKONO 24hr'!L95)</f>
        <v>0</v>
      </c>
      <c r="M95" s="49">
        <f>AVERAGE('1.11 KATOSI-MUKONO-24hr'!M95,'2.11 KATOSI-MUKONO 24hr'!M95)</f>
        <v>8</v>
      </c>
      <c r="N95" s="49">
        <f>AVERAGE('1.11 KATOSI-MUKONO-24hr'!N95,'2.11 KATOSI-MUKONO 24hr'!N95)</f>
        <v>0</v>
      </c>
      <c r="O95" s="15">
        <f t="shared" si="35"/>
        <v>0.5</v>
      </c>
      <c r="P95" s="15">
        <f t="shared" si="36"/>
        <v>8.5</v>
      </c>
      <c r="R95" s="8"/>
      <c r="T95"/>
    </row>
    <row r="96" spans="2:20" ht="23.1" customHeight="1" x14ac:dyDescent="0.25">
      <c r="B96" s="25" t="s">
        <v>136</v>
      </c>
      <c r="C96" s="49">
        <f>AVERAGE('1.11 KATOSI-MUKONO-24hr'!C96,'2.11 KATOSI-MUKONO 24hr'!C96)</f>
        <v>3.5</v>
      </c>
      <c r="D96" s="49">
        <f>AVERAGE('1.11 KATOSI-MUKONO-24hr'!D96,'2.11 KATOSI-MUKONO 24hr'!D96)</f>
        <v>0</v>
      </c>
      <c r="E96" s="49">
        <f>AVERAGE('1.11 KATOSI-MUKONO-24hr'!E96,'2.11 KATOSI-MUKONO 24hr'!E96)</f>
        <v>0</v>
      </c>
      <c r="F96" s="49">
        <f>AVERAGE('1.11 KATOSI-MUKONO-24hr'!F96,'2.11 KATOSI-MUKONO 24hr'!F96)</f>
        <v>8.5</v>
      </c>
      <c r="G96" s="49">
        <f>AVERAGE('1.11 KATOSI-MUKONO-24hr'!G96,'2.11 KATOSI-MUKONO 24hr'!G96)</f>
        <v>0</v>
      </c>
      <c r="H96" s="49">
        <f>AVERAGE('1.11 KATOSI-MUKONO-24hr'!H96,'2.11 KATOSI-MUKONO 24hr'!H96)</f>
        <v>0</v>
      </c>
      <c r="I96" s="49">
        <f>AVERAGE('1.11 KATOSI-MUKONO-24hr'!I96,'2.11 KATOSI-MUKONO 24hr'!I96)</f>
        <v>0</v>
      </c>
      <c r="J96" s="49">
        <f>AVERAGE('1.11 KATOSI-MUKONO-24hr'!J96,'2.11 KATOSI-MUKONO 24hr'!J96)</f>
        <v>0</v>
      </c>
      <c r="K96" s="49">
        <f>AVERAGE('1.11 KATOSI-MUKONO-24hr'!K96,'2.11 KATOSI-MUKONO 24hr'!K96)</f>
        <v>0</v>
      </c>
      <c r="L96" s="49">
        <f>AVERAGE('1.11 KATOSI-MUKONO-24hr'!L96,'2.11 KATOSI-MUKONO 24hr'!L96)</f>
        <v>0</v>
      </c>
      <c r="M96" s="49">
        <f>AVERAGE('1.11 KATOSI-MUKONO-24hr'!M96,'2.11 KATOSI-MUKONO 24hr'!M96)</f>
        <v>8</v>
      </c>
      <c r="N96" s="49">
        <f>AVERAGE('1.11 KATOSI-MUKONO-24hr'!N96,'2.11 KATOSI-MUKONO 24hr'!N96)</f>
        <v>0</v>
      </c>
      <c r="O96" s="15">
        <f t="shared" si="35"/>
        <v>12</v>
      </c>
      <c r="P96" s="15">
        <f t="shared" si="36"/>
        <v>20</v>
      </c>
      <c r="R96" s="8"/>
      <c r="T96"/>
    </row>
    <row r="97" spans="2:20" ht="23.1" customHeight="1" x14ac:dyDescent="0.25">
      <c r="B97" s="23" t="s">
        <v>137</v>
      </c>
      <c r="C97" s="49">
        <f>AVERAGE('1.11 KATOSI-MUKONO-24hr'!C97,'2.11 KATOSI-MUKONO 24hr'!C97)</f>
        <v>1</v>
      </c>
      <c r="D97" s="49">
        <f>AVERAGE('1.11 KATOSI-MUKONO-24hr'!D97,'2.11 KATOSI-MUKONO 24hr'!D97)</f>
        <v>0</v>
      </c>
      <c r="E97" s="49">
        <f>AVERAGE('1.11 KATOSI-MUKONO-24hr'!E97,'2.11 KATOSI-MUKONO 24hr'!E97)</f>
        <v>0.5</v>
      </c>
      <c r="F97" s="49">
        <f>AVERAGE('1.11 KATOSI-MUKONO-24hr'!F97,'2.11 KATOSI-MUKONO 24hr'!F97)</f>
        <v>3</v>
      </c>
      <c r="G97" s="49">
        <f>AVERAGE('1.11 KATOSI-MUKONO-24hr'!G97,'2.11 KATOSI-MUKONO 24hr'!G97)</f>
        <v>0</v>
      </c>
      <c r="H97" s="49">
        <f>AVERAGE('1.11 KATOSI-MUKONO-24hr'!H97,'2.11 KATOSI-MUKONO 24hr'!H97)</f>
        <v>0</v>
      </c>
      <c r="I97" s="49">
        <f>AVERAGE('1.11 KATOSI-MUKONO-24hr'!I97,'2.11 KATOSI-MUKONO 24hr'!I97)</f>
        <v>2</v>
      </c>
      <c r="J97" s="49">
        <f>AVERAGE('1.11 KATOSI-MUKONO-24hr'!J97,'2.11 KATOSI-MUKONO 24hr'!J97)</f>
        <v>0</v>
      </c>
      <c r="K97" s="49">
        <f>AVERAGE('1.11 KATOSI-MUKONO-24hr'!K97,'2.11 KATOSI-MUKONO 24hr'!K97)</f>
        <v>0</v>
      </c>
      <c r="L97" s="49">
        <f>AVERAGE('1.11 KATOSI-MUKONO-24hr'!L97,'2.11 KATOSI-MUKONO 24hr'!L97)</f>
        <v>0.5</v>
      </c>
      <c r="M97" s="49">
        <f>AVERAGE('1.11 KATOSI-MUKONO-24hr'!M97,'2.11 KATOSI-MUKONO 24hr'!M97)</f>
        <v>5</v>
      </c>
      <c r="N97" s="49">
        <f>AVERAGE('1.11 KATOSI-MUKONO-24hr'!N97,'2.11 KATOSI-MUKONO 24hr'!N97)</f>
        <v>0</v>
      </c>
      <c r="O97" s="15">
        <f t="shared" si="35"/>
        <v>7</v>
      </c>
      <c r="P97" s="15">
        <f t="shared" si="36"/>
        <v>12</v>
      </c>
      <c r="R97" s="8"/>
      <c r="T97"/>
    </row>
    <row r="98" spans="2:20" ht="23.1" customHeight="1" x14ac:dyDescent="0.25">
      <c r="B98" s="24" t="s">
        <v>138</v>
      </c>
      <c r="C98" s="49">
        <f>AVERAGE('1.11 KATOSI-MUKONO-24hr'!C98,'2.11 KATOSI-MUKONO 24hr'!C98)</f>
        <v>2</v>
      </c>
      <c r="D98" s="49">
        <f>AVERAGE('1.11 KATOSI-MUKONO-24hr'!D98,'2.11 KATOSI-MUKONO 24hr'!D98)</f>
        <v>3.5</v>
      </c>
      <c r="E98" s="49">
        <f>AVERAGE('1.11 KATOSI-MUKONO-24hr'!E98,'2.11 KATOSI-MUKONO 24hr'!E98)</f>
        <v>0.5</v>
      </c>
      <c r="F98" s="49">
        <f>AVERAGE('1.11 KATOSI-MUKONO-24hr'!F98,'2.11 KATOSI-MUKONO 24hr'!F98)</f>
        <v>6.5</v>
      </c>
      <c r="G98" s="49">
        <f>AVERAGE('1.11 KATOSI-MUKONO-24hr'!G98,'2.11 KATOSI-MUKONO 24hr'!G98)</f>
        <v>0</v>
      </c>
      <c r="H98" s="49">
        <f>AVERAGE('1.11 KATOSI-MUKONO-24hr'!H98,'2.11 KATOSI-MUKONO 24hr'!H98)</f>
        <v>0</v>
      </c>
      <c r="I98" s="49">
        <f>AVERAGE('1.11 KATOSI-MUKONO-24hr'!I98,'2.11 KATOSI-MUKONO 24hr'!I98)</f>
        <v>1.5</v>
      </c>
      <c r="J98" s="49">
        <f>AVERAGE('1.11 KATOSI-MUKONO-24hr'!J98,'2.11 KATOSI-MUKONO 24hr'!J98)</f>
        <v>0</v>
      </c>
      <c r="K98" s="49">
        <f>AVERAGE('1.11 KATOSI-MUKONO-24hr'!K98,'2.11 KATOSI-MUKONO 24hr'!K98)</f>
        <v>0</v>
      </c>
      <c r="L98" s="49">
        <f>AVERAGE('1.11 KATOSI-MUKONO-24hr'!L98,'2.11 KATOSI-MUKONO 24hr'!L98)</f>
        <v>0</v>
      </c>
      <c r="M98" s="49">
        <f>AVERAGE('1.11 KATOSI-MUKONO-24hr'!M98,'2.11 KATOSI-MUKONO 24hr'!M98)</f>
        <v>16</v>
      </c>
      <c r="N98" s="49">
        <f>AVERAGE('1.11 KATOSI-MUKONO-24hr'!N98,'2.11 KATOSI-MUKONO 24hr'!N98)</f>
        <v>0</v>
      </c>
      <c r="O98" s="15">
        <f t="shared" si="35"/>
        <v>14</v>
      </c>
      <c r="P98" s="15">
        <f t="shared" si="36"/>
        <v>30</v>
      </c>
      <c r="R98" s="8"/>
      <c r="T98"/>
    </row>
    <row r="99" spans="2:20" ht="23.1" customHeight="1" x14ac:dyDescent="0.25">
      <c r="B99" s="23" t="s">
        <v>139</v>
      </c>
      <c r="C99" s="49">
        <f>AVERAGE('1.11 KATOSI-MUKONO-24hr'!C99,'2.11 KATOSI-MUKONO 24hr'!C99)</f>
        <v>0.5</v>
      </c>
      <c r="D99" s="49">
        <f>AVERAGE('1.11 KATOSI-MUKONO-24hr'!D99,'2.11 KATOSI-MUKONO 24hr'!D99)</f>
        <v>0.5</v>
      </c>
      <c r="E99" s="49">
        <f>AVERAGE('1.11 KATOSI-MUKONO-24hr'!E99,'2.11 KATOSI-MUKONO 24hr'!E99)</f>
        <v>2</v>
      </c>
      <c r="F99" s="49">
        <f>AVERAGE('1.11 KATOSI-MUKONO-24hr'!F99,'2.11 KATOSI-MUKONO 24hr'!F99)</f>
        <v>5</v>
      </c>
      <c r="G99" s="49">
        <f>AVERAGE('1.11 KATOSI-MUKONO-24hr'!G99,'2.11 KATOSI-MUKONO 24hr'!G99)</f>
        <v>0</v>
      </c>
      <c r="H99" s="49">
        <f>AVERAGE('1.11 KATOSI-MUKONO-24hr'!H99,'2.11 KATOSI-MUKONO 24hr'!H99)</f>
        <v>0</v>
      </c>
      <c r="I99" s="49">
        <f>AVERAGE('1.11 KATOSI-MUKONO-24hr'!I99,'2.11 KATOSI-MUKONO 24hr'!I99)</f>
        <v>0.5</v>
      </c>
      <c r="J99" s="49">
        <f>AVERAGE('1.11 KATOSI-MUKONO-24hr'!J99,'2.11 KATOSI-MUKONO 24hr'!J99)</f>
        <v>0.5</v>
      </c>
      <c r="K99" s="49">
        <f>AVERAGE('1.11 KATOSI-MUKONO-24hr'!K99,'2.11 KATOSI-MUKONO 24hr'!K99)</f>
        <v>0</v>
      </c>
      <c r="L99" s="49">
        <f>AVERAGE('1.11 KATOSI-MUKONO-24hr'!L99,'2.11 KATOSI-MUKONO 24hr'!L99)</f>
        <v>0</v>
      </c>
      <c r="M99" s="49">
        <f>AVERAGE('1.11 KATOSI-MUKONO-24hr'!M99,'2.11 KATOSI-MUKONO 24hr'!M99)</f>
        <v>15.5</v>
      </c>
      <c r="N99" s="49">
        <f>AVERAGE('1.11 KATOSI-MUKONO-24hr'!N99,'2.11 KATOSI-MUKONO 24hr'!N99)</f>
        <v>0</v>
      </c>
      <c r="O99" s="15">
        <f t="shared" si="35"/>
        <v>9</v>
      </c>
      <c r="P99" s="15">
        <f t="shared" si="36"/>
        <v>24.5</v>
      </c>
      <c r="R99" s="8"/>
      <c r="T99"/>
    </row>
    <row r="100" spans="2:20" ht="23.1" customHeight="1" x14ac:dyDescent="0.25">
      <c r="B100" s="25" t="s">
        <v>140</v>
      </c>
      <c r="C100" s="49">
        <f>AVERAGE('1.11 KATOSI-MUKONO-24hr'!C100,'2.11 KATOSI-MUKONO 24hr'!C100)</f>
        <v>4.5</v>
      </c>
      <c r="D100" s="49">
        <f>AVERAGE('1.11 KATOSI-MUKONO-24hr'!D100,'2.11 KATOSI-MUKONO 24hr'!D100)</f>
        <v>2.5</v>
      </c>
      <c r="E100" s="49">
        <f>AVERAGE('1.11 KATOSI-MUKONO-24hr'!E100,'2.11 KATOSI-MUKONO 24hr'!E100)</f>
        <v>1.5</v>
      </c>
      <c r="F100" s="49">
        <f>AVERAGE('1.11 KATOSI-MUKONO-24hr'!F100,'2.11 KATOSI-MUKONO 24hr'!F100)</f>
        <v>8</v>
      </c>
      <c r="G100" s="49">
        <f>AVERAGE('1.11 KATOSI-MUKONO-24hr'!G100,'2.11 KATOSI-MUKONO 24hr'!G100)</f>
        <v>1.5</v>
      </c>
      <c r="H100" s="49">
        <f>AVERAGE('1.11 KATOSI-MUKONO-24hr'!H100,'2.11 KATOSI-MUKONO 24hr'!H100)</f>
        <v>0</v>
      </c>
      <c r="I100" s="49">
        <f>AVERAGE('1.11 KATOSI-MUKONO-24hr'!I100,'2.11 KATOSI-MUKONO 24hr'!I100)</f>
        <v>4</v>
      </c>
      <c r="J100" s="49">
        <f>AVERAGE('1.11 KATOSI-MUKONO-24hr'!J100,'2.11 KATOSI-MUKONO 24hr'!J100)</f>
        <v>0</v>
      </c>
      <c r="K100" s="49">
        <f>AVERAGE('1.11 KATOSI-MUKONO-24hr'!K100,'2.11 KATOSI-MUKONO 24hr'!K100)</f>
        <v>0</v>
      </c>
      <c r="L100" s="49">
        <f>AVERAGE('1.11 KATOSI-MUKONO-24hr'!L100,'2.11 KATOSI-MUKONO 24hr'!L100)</f>
        <v>0</v>
      </c>
      <c r="M100" s="49">
        <f>AVERAGE('1.11 KATOSI-MUKONO-24hr'!M100,'2.11 KATOSI-MUKONO 24hr'!M100)</f>
        <v>19</v>
      </c>
      <c r="N100" s="49">
        <f>AVERAGE('1.11 KATOSI-MUKONO-24hr'!N100,'2.11 KATOSI-MUKONO 24hr'!N100)</f>
        <v>0</v>
      </c>
      <c r="O100" s="15">
        <f t="shared" si="35"/>
        <v>22</v>
      </c>
      <c r="P100" s="15">
        <f t="shared" si="36"/>
        <v>41</v>
      </c>
      <c r="R100" s="8"/>
      <c r="T100"/>
    </row>
    <row r="101" spans="2:20" ht="23.1" customHeight="1" x14ac:dyDescent="0.25">
      <c r="B101" s="23" t="s">
        <v>141</v>
      </c>
      <c r="C101" s="49">
        <f>AVERAGE('1.11 KATOSI-MUKONO-24hr'!C101,'2.11 KATOSI-MUKONO 24hr'!C101)</f>
        <v>1.5</v>
      </c>
      <c r="D101" s="49">
        <f>AVERAGE('1.11 KATOSI-MUKONO-24hr'!D101,'2.11 KATOSI-MUKONO 24hr'!D101)</f>
        <v>0.5</v>
      </c>
      <c r="E101" s="49">
        <f>AVERAGE('1.11 KATOSI-MUKONO-24hr'!E101,'2.11 KATOSI-MUKONO 24hr'!E101)</f>
        <v>0</v>
      </c>
      <c r="F101" s="49">
        <f>AVERAGE('1.11 KATOSI-MUKONO-24hr'!F101,'2.11 KATOSI-MUKONO 24hr'!F101)</f>
        <v>7</v>
      </c>
      <c r="G101" s="49">
        <f>AVERAGE('1.11 KATOSI-MUKONO-24hr'!G101,'2.11 KATOSI-MUKONO 24hr'!G101)</f>
        <v>0</v>
      </c>
      <c r="H101" s="49">
        <f>AVERAGE('1.11 KATOSI-MUKONO-24hr'!H101,'2.11 KATOSI-MUKONO 24hr'!H101)</f>
        <v>0</v>
      </c>
      <c r="I101" s="49">
        <f>AVERAGE('1.11 KATOSI-MUKONO-24hr'!I101,'2.11 KATOSI-MUKONO 24hr'!I101)</f>
        <v>0.5</v>
      </c>
      <c r="J101" s="49">
        <f>AVERAGE('1.11 KATOSI-MUKONO-24hr'!J101,'2.11 KATOSI-MUKONO 24hr'!J101)</f>
        <v>0</v>
      </c>
      <c r="K101" s="49">
        <f>AVERAGE('1.11 KATOSI-MUKONO-24hr'!K101,'2.11 KATOSI-MUKONO 24hr'!K101)</f>
        <v>0</v>
      </c>
      <c r="L101" s="49">
        <f>AVERAGE('1.11 KATOSI-MUKONO-24hr'!L101,'2.11 KATOSI-MUKONO 24hr'!L101)</f>
        <v>0</v>
      </c>
      <c r="M101" s="49">
        <f>AVERAGE('1.11 KATOSI-MUKONO-24hr'!M101,'2.11 KATOSI-MUKONO 24hr'!M101)</f>
        <v>26.5</v>
      </c>
      <c r="N101" s="49">
        <f>AVERAGE('1.11 KATOSI-MUKONO-24hr'!N101,'2.11 KATOSI-MUKONO 24hr'!N101)</f>
        <v>0</v>
      </c>
      <c r="O101" s="15">
        <f t="shared" si="35"/>
        <v>9.5</v>
      </c>
      <c r="P101" s="15">
        <f t="shared" si="36"/>
        <v>36</v>
      </c>
      <c r="R101" s="8"/>
      <c r="T101"/>
    </row>
    <row r="102" spans="2:20" ht="23.1" customHeight="1" x14ac:dyDescent="0.25">
      <c r="B102" s="24" t="s">
        <v>142</v>
      </c>
      <c r="C102" s="49">
        <f>AVERAGE('1.11 KATOSI-MUKONO-24hr'!C102,'2.11 KATOSI-MUKONO 24hr'!C102)</f>
        <v>4</v>
      </c>
      <c r="D102" s="49">
        <f>AVERAGE('1.11 KATOSI-MUKONO-24hr'!D102,'2.11 KATOSI-MUKONO 24hr'!D102)</f>
        <v>3</v>
      </c>
      <c r="E102" s="49">
        <f>AVERAGE('1.11 KATOSI-MUKONO-24hr'!E102,'2.11 KATOSI-MUKONO 24hr'!E102)</f>
        <v>0</v>
      </c>
      <c r="F102" s="49">
        <f>AVERAGE('1.11 KATOSI-MUKONO-24hr'!F102,'2.11 KATOSI-MUKONO 24hr'!F102)</f>
        <v>9.5</v>
      </c>
      <c r="G102" s="49">
        <f>AVERAGE('1.11 KATOSI-MUKONO-24hr'!G102,'2.11 KATOSI-MUKONO 24hr'!G102)</f>
        <v>2</v>
      </c>
      <c r="H102" s="49">
        <f>AVERAGE('1.11 KATOSI-MUKONO-24hr'!H102,'2.11 KATOSI-MUKONO 24hr'!H102)</f>
        <v>0</v>
      </c>
      <c r="I102" s="49">
        <f>AVERAGE('1.11 KATOSI-MUKONO-24hr'!I102,'2.11 KATOSI-MUKONO 24hr'!I102)</f>
        <v>1.5</v>
      </c>
      <c r="J102" s="49">
        <f>AVERAGE('1.11 KATOSI-MUKONO-24hr'!J102,'2.11 KATOSI-MUKONO 24hr'!J102)</f>
        <v>0.5</v>
      </c>
      <c r="K102" s="49">
        <f>AVERAGE('1.11 KATOSI-MUKONO-24hr'!K102,'2.11 KATOSI-MUKONO 24hr'!K102)</f>
        <v>0.5</v>
      </c>
      <c r="L102" s="49">
        <f>AVERAGE('1.11 KATOSI-MUKONO-24hr'!L102,'2.11 KATOSI-MUKONO 24hr'!L102)</f>
        <v>0</v>
      </c>
      <c r="M102" s="49">
        <f>AVERAGE('1.11 KATOSI-MUKONO-24hr'!M102,'2.11 KATOSI-MUKONO 24hr'!M102)</f>
        <v>34</v>
      </c>
      <c r="N102" s="49">
        <f>AVERAGE('1.11 KATOSI-MUKONO-24hr'!N102,'2.11 KATOSI-MUKONO 24hr'!N102)</f>
        <v>0</v>
      </c>
      <c r="O102" s="15">
        <f t="shared" si="35"/>
        <v>21</v>
      </c>
      <c r="P102" s="15">
        <f t="shared" si="36"/>
        <v>55</v>
      </c>
      <c r="R102" s="8"/>
      <c r="T102"/>
    </row>
    <row r="103" spans="2:20" ht="23.1" customHeight="1" x14ac:dyDescent="0.25">
      <c r="B103" s="23" t="s">
        <v>143</v>
      </c>
      <c r="C103" s="49">
        <f>AVERAGE('1.11 KATOSI-MUKONO-24hr'!C103,'2.11 KATOSI-MUKONO 24hr'!C103)</f>
        <v>6</v>
      </c>
      <c r="D103" s="49">
        <f>AVERAGE('1.11 KATOSI-MUKONO-24hr'!D103,'2.11 KATOSI-MUKONO 24hr'!D103)</f>
        <v>1.5</v>
      </c>
      <c r="E103" s="49">
        <f>AVERAGE('1.11 KATOSI-MUKONO-24hr'!E103,'2.11 KATOSI-MUKONO 24hr'!E103)</f>
        <v>1</v>
      </c>
      <c r="F103" s="49">
        <f>AVERAGE('1.11 KATOSI-MUKONO-24hr'!F103,'2.11 KATOSI-MUKONO 24hr'!F103)</f>
        <v>6.5</v>
      </c>
      <c r="G103" s="49">
        <f>AVERAGE('1.11 KATOSI-MUKONO-24hr'!G103,'2.11 KATOSI-MUKONO 24hr'!G103)</f>
        <v>3.5</v>
      </c>
      <c r="H103" s="49">
        <f>AVERAGE('1.11 KATOSI-MUKONO-24hr'!H103,'2.11 KATOSI-MUKONO 24hr'!H103)</f>
        <v>0</v>
      </c>
      <c r="I103" s="49">
        <f>AVERAGE('1.11 KATOSI-MUKONO-24hr'!I103,'2.11 KATOSI-MUKONO 24hr'!I103)</f>
        <v>0.5</v>
      </c>
      <c r="J103" s="49">
        <f>AVERAGE('1.11 KATOSI-MUKONO-24hr'!J103,'2.11 KATOSI-MUKONO 24hr'!J103)</f>
        <v>0.5</v>
      </c>
      <c r="K103" s="49">
        <f>AVERAGE('1.11 KATOSI-MUKONO-24hr'!K103,'2.11 KATOSI-MUKONO 24hr'!K103)</f>
        <v>0</v>
      </c>
      <c r="L103" s="49">
        <f>AVERAGE('1.11 KATOSI-MUKONO-24hr'!L103,'2.11 KATOSI-MUKONO 24hr'!L103)</f>
        <v>0</v>
      </c>
      <c r="M103" s="49">
        <f>AVERAGE('1.11 KATOSI-MUKONO-24hr'!M103,'2.11 KATOSI-MUKONO 24hr'!M103)</f>
        <v>36.5</v>
      </c>
      <c r="N103" s="49">
        <f>AVERAGE('1.11 KATOSI-MUKONO-24hr'!N103,'2.11 KATOSI-MUKONO 24hr'!N103)</f>
        <v>0</v>
      </c>
      <c r="O103" s="15">
        <f t="shared" si="35"/>
        <v>19.5</v>
      </c>
      <c r="P103" s="15">
        <f t="shared" si="36"/>
        <v>56</v>
      </c>
      <c r="R103" s="8"/>
      <c r="T103"/>
    </row>
    <row r="104" spans="2:20" ht="23.1" customHeight="1" x14ac:dyDescent="0.25">
      <c r="B104" s="25" t="s">
        <v>144</v>
      </c>
      <c r="C104" s="49">
        <f>AVERAGE('1.11 KATOSI-MUKONO-24hr'!C104,'2.11 KATOSI-MUKONO 24hr'!C104)</f>
        <v>1.5</v>
      </c>
      <c r="D104" s="49">
        <f>AVERAGE('1.11 KATOSI-MUKONO-24hr'!D104,'2.11 KATOSI-MUKONO 24hr'!D104)</f>
        <v>1</v>
      </c>
      <c r="E104" s="49">
        <f>AVERAGE('1.11 KATOSI-MUKONO-24hr'!E104,'2.11 KATOSI-MUKONO 24hr'!E104)</f>
        <v>0.5</v>
      </c>
      <c r="F104" s="49">
        <f>AVERAGE('1.11 KATOSI-MUKONO-24hr'!F104,'2.11 KATOSI-MUKONO 24hr'!F104)</f>
        <v>10</v>
      </c>
      <c r="G104" s="49">
        <f>AVERAGE('1.11 KATOSI-MUKONO-24hr'!G104,'2.11 KATOSI-MUKONO 24hr'!G104)</f>
        <v>0.5</v>
      </c>
      <c r="H104" s="49">
        <f>AVERAGE('1.11 KATOSI-MUKONO-24hr'!H104,'2.11 KATOSI-MUKONO 24hr'!H104)</f>
        <v>0</v>
      </c>
      <c r="I104" s="49">
        <f>AVERAGE('1.11 KATOSI-MUKONO-24hr'!I104,'2.11 KATOSI-MUKONO 24hr'!I104)</f>
        <v>0.5</v>
      </c>
      <c r="J104" s="49">
        <f>AVERAGE('1.11 KATOSI-MUKONO-24hr'!J104,'2.11 KATOSI-MUKONO 24hr'!J104)</f>
        <v>0.5</v>
      </c>
      <c r="K104" s="49">
        <f>AVERAGE('1.11 KATOSI-MUKONO-24hr'!K104,'2.11 KATOSI-MUKONO 24hr'!K104)</f>
        <v>0.5</v>
      </c>
      <c r="L104" s="49">
        <f>AVERAGE('1.11 KATOSI-MUKONO-24hr'!L104,'2.11 KATOSI-MUKONO 24hr'!L104)</f>
        <v>0</v>
      </c>
      <c r="M104" s="49">
        <f>AVERAGE('1.11 KATOSI-MUKONO-24hr'!M104,'2.11 KATOSI-MUKONO 24hr'!M104)</f>
        <v>31</v>
      </c>
      <c r="N104" s="49">
        <f>AVERAGE('1.11 KATOSI-MUKONO-24hr'!N104,'2.11 KATOSI-MUKONO 24hr'!N104)</f>
        <v>0</v>
      </c>
      <c r="O104" s="15">
        <f t="shared" si="35"/>
        <v>15</v>
      </c>
      <c r="P104" s="15">
        <f t="shared" si="36"/>
        <v>46</v>
      </c>
      <c r="R104" s="8"/>
      <c r="T104"/>
    </row>
    <row r="105" spans="2:20" ht="23.1" customHeight="1" x14ac:dyDescent="0.25">
      <c r="B105" s="23" t="s">
        <v>145</v>
      </c>
      <c r="C105" s="49">
        <f>AVERAGE('1.11 KATOSI-MUKONO-24hr'!C105,'2.11 KATOSI-MUKONO 24hr'!C105)</f>
        <v>2</v>
      </c>
      <c r="D105" s="49">
        <f>AVERAGE('1.11 KATOSI-MUKONO-24hr'!D105,'2.11 KATOSI-MUKONO 24hr'!D105)</f>
        <v>1</v>
      </c>
      <c r="E105" s="49">
        <f>AVERAGE('1.11 KATOSI-MUKONO-24hr'!E105,'2.11 KATOSI-MUKONO 24hr'!E105)</f>
        <v>2</v>
      </c>
      <c r="F105" s="49">
        <f>AVERAGE('1.11 KATOSI-MUKONO-24hr'!F105,'2.11 KATOSI-MUKONO 24hr'!F105)</f>
        <v>4</v>
      </c>
      <c r="G105" s="49">
        <f>AVERAGE('1.11 KATOSI-MUKONO-24hr'!G105,'2.11 KATOSI-MUKONO 24hr'!G105)</f>
        <v>2</v>
      </c>
      <c r="H105" s="49">
        <f>AVERAGE('1.11 KATOSI-MUKONO-24hr'!H105,'2.11 KATOSI-MUKONO 24hr'!H105)</f>
        <v>0</v>
      </c>
      <c r="I105" s="49">
        <f>AVERAGE('1.11 KATOSI-MUKONO-24hr'!I105,'2.11 KATOSI-MUKONO 24hr'!I105)</f>
        <v>1</v>
      </c>
      <c r="J105" s="49">
        <f>AVERAGE('1.11 KATOSI-MUKONO-24hr'!J105,'2.11 KATOSI-MUKONO 24hr'!J105)</f>
        <v>1.5</v>
      </c>
      <c r="K105" s="49">
        <f>AVERAGE('1.11 KATOSI-MUKONO-24hr'!K105,'2.11 KATOSI-MUKONO 24hr'!K105)</f>
        <v>0</v>
      </c>
      <c r="L105" s="49">
        <f>AVERAGE('1.11 KATOSI-MUKONO-24hr'!L105,'2.11 KATOSI-MUKONO 24hr'!L105)</f>
        <v>0</v>
      </c>
      <c r="M105" s="49">
        <f>AVERAGE('1.11 KATOSI-MUKONO-24hr'!M105,'2.11 KATOSI-MUKONO 24hr'!M105)</f>
        <v>45.5</v>
      </c>
      <c r="N105" s="49">
        <f>AVERAGE('1.11 KATOSI-MUKONO-24hr'!N105,'2.11 KATOSI-MUKONO 24hr'!N105)</f>
        <v>0</v>
      </c>
      <c r="O105" s="15">
        <f>SUM(C105:L105,N105)</f>
        <v>13.5</v>
      </c>
      <c r="P105" s="15">
        <f>SUM(C105:N105)</f>
        <v>59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879.71428571428555</v>
      </c>
      <c r="D106" s="16">
        <f t="shared" ref="D106:P106" si="37">SUM(D10:D105)</f>
        <v>369</v>
      </c>
      <c r="E106" s="16">
        <f t="shared" si="37"/>
        <v>227.71428571428572</v>
      </c>
      <c r="F106" s="16">
        <f t="shared" si="37"/>
        <v>613.92857142857133</v>
      </c>
      <c r="G106" s="16">
        <f t="shared" si="37"/>
        <v>46.071428571428569</v>
      </c>
      <c r="H106" s="16">
        <f t="shared" si="37"/>
        <v>1.1428571428571426</v>
      </c>
      <c r="I106" s="16">
        <f t="shared" si="37"/>
        <v>403.14285714285717</v>
      </c>
      <c r="J106" s="16">
        <f t="shared" si="37"/>
        <v>101.14285714285714</v>
      </c>
      <c r="K106" s="16">
        <f t="shared" si="37"/>
        <v>29.714285714285712</v>
      </c>
      <c r="L106" s="16">
        <f t="shared" si="37"/>
        <v>56.714285714285722</v>
      </c>
      <c r="M106" s="16">
        <f t="shared" si="37"/>
        <v>5550.6428571428569</v>
      </c>
      <c r="N106" s="16">
        <f t="shared" si="37"/>
        <v>20.714285714285712</v>
      </c>
      <c r="O106" s="16">
        <f t="shared" si="37"/>
        <v>2749</v>
      </c>
      <c r="P106" s="16">
        <f t="shared" si="37"/>
        <v>8299.6428571428587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0.10599423383105981</v>
      </c>
      <c r="D107" s="43">
        <f t="shared" si="38"/>
        <v>4.4459744395197717E-2</v>
      </c>
      <c r="E107" s="43">
        <f t="shared" si="38"/>
        <v>2.7436636688325654E-2</v>
      </c>
      <c r="F107" s="43">
        <f t="shared" si="38"/>
        <v>7.3970480657515353E-2</v>
      </c>
      <c r="G107" s="43">
        <f t="shared" si="38"/>
        <v>5.5510133826756729E-3</v>
      </c>
      <c r="H107" s="43">
        <f t="shared" si="38"/>
        <v>1.3769955677955155E-4</v>
      </c>
      <c r="I107" s="43">
        <f t="shared" si="38"/>
        <v>4.8573518653986826E-2</v>
      </c>
      <c r="J107" s="43">
        <f t="shared" si="38"/>
        <v>1.2186410774990315E-2</v>
      </c>
      <c r="K107" s="43">
        <f t="shared" si="38"/>
        <v>3.5801884762683409E-3</v>
      </c>
      <c r="L107" s="43">
        <f t="shared" si="38"/>
        <v>6.8333405051852489E-3</v>
      </c>
      <c r="M107" s="43">
        <f t="shared" si="38"/>
        <v>0.66878092861138583</v>
      </c>
      <c r="N107" s="43">
        <f t="shared" si="38"/>
        <v>2.4958044666293722E-3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0.32001247206776484</v>
      </c>
      <c r="D108" s="44">
        <f t="shared" ref="D108:N108" si="39">D106/$O$106</f>
        <v>0.13423062931975263</v>
      </c>
      <c r="E108" s="44">
        <f t="shared" si="39"/>
        <v>8.2835316738554279E-2</v>
      </c>
      <c r="F108" s="44">
        <f t="shared" si="39"/>
        <v>0.22332796341526787</v>
      </c>
      <c r="G108" s="44">
        <f t="shared" si="39"/>
        <v>1.675934105908642E-2</v>
      </c>
      <c r="H108" s="44">
        <f t="shared" si="39"/>
        <v>4.15735592163384E-4</v>
      </c>
      <c r="I108" s="44">
        <f t="shared" si="39"/>
        <v>0.14665073013563373</v>
      </c>
      <c r="J108" s="44">
        <f t="shared" si="39"/>
        <v>3.6792599906459493E-2</v>
      </c>
      <c r="K108" s="44">
        <f t="shared" si="39"/>
        <v>1.0809125396247985E-2</v>
      </c>
      <c r="L108" s="44">
        <f t="shared" si="39"/>
        <v>2.0630878761107939E-2</v>
      </c>
      <c r="M108" s="44"/>
      <c r="N108" s="44">
        <f t="shared" si="39"/>
        <v>7.5352076079613353E-3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L54" zoomScale="60" workbookViewId="0">
      <selection activeCell="Y96" sqref="Y95:Y9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6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2:32" ht="20.100000000000001" customHeight="1" x14ac:dyDescent="0.25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2:32" ht="20.100000000000001" customHeight="1" x14ac:dyDescent="0.25">
      <c r="B3" s="22" t="s">
        <v>96</v>
      </c>
      <c r="C3" s="59" t="str">
        <f>'4.11 KATOSI-MUKONO'!C3:G3</f>
        <v>MCC - C2 - STN077 - KATOSI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2" t="s">
        <v>162</v>
      </c>
      <c r="E5" s="63"/>
      <c r="F5" s="41" t="s">
        <v>1</v>
      </c>
      <c r="G5" s="60" t="str">
        <f>'Avg Week KATOSI-MUKONO'!G5:H5</f>
        <v>SHELL PETROL STATION</v>
      </c>
      <c r="H5" s="61"/>
      <c r="I5" s="14"/>
      <c r="J5" s="2" t="s">
        <v>5</v>
      </c>
      <c r="K5" s="60" t="str">
        <f>'Avg Week KATOSI-MUKONO'!K5:L5</f>
        <v>MOSES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4" t="s">
        <v>161</v>
      </c>
      <c r="E6" s="65"/>
      <c r="F6" s="2" t="s">
        <v>2</v>
      </c>
      <c r="G6" s="64" t="s">
        <v>161</v>
      </c>
      <c r="H6" s="65"/>
      <c r="J6" s="2" t="s">
        <v>21</v>
      </c>
      <c r="K6" s="60" t="str">
        <f>'Avg Week KATOSI-MUKONO'!K6:L6</f>
        <v>VICTOR M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MUKONO-KATOSI'!C10+'Avg Week KATOSI-MUKONO'!C10</f>
        <v>12.285714285714285</v>
      </c>
      <c r="D10" s="49">
        <f>'Avg Week MUKONO-KATOSI'!D10+'Avg Week KATOSI-MUKONO'!D10</f>
        <v>5.2857142857142856</v>
      </c>
      <c r="E10" s="49">
        <f>'Avg Week MUKONO-KATOSI'!E10+'Avg Week KATOSI-MUKONO'!E10</f>
        <v>3.2857142857142856</v>
      </c>
      <c r="F10" s="49">
        <f>'Avg Week MUKONO-KATOSI'!F10+'Avg Week KATOSI-MUKONO'!F10</f>
        <v>12.571428571428571</v>
      </c>
      <c r="G10" s="49">
        <f>'Avg Week MUKONO-KATOSI'!G10+'Avg Week KATOSI-MUKONO'!G10</f>
        <v>2.1428571428571428</v>
      </c>
      <c r="H10" s="49">
        <f>'Avg Week MUKONO-KATOSI'!H10+'Avg Week KATOSI-MUKONO'!H10</f>
        <v>0.5714285714285714</v>
      </c>
      <c r="I10" s="49">
        <f>'Avg Week MUKONO-KATOSI'!I10+'Avg Week KATOSI-MUKONO'!I10</f>
        <v>4.4285714285714288</v>
      </c>
      <c r="J10" s="49">
        <f>'Avg Week MUKONO-KATOSI'!J10+'Avg Week KATOSI-MUKONO'!J10</f>
        <v>2.4285714285714288</v>
      </c>
      <c r="K10" s="49">
        <f>'Avg Week MUKONO-KATOSI'!K10+'Avg Week KATOSI-MUKONO'!K10</f>
        <v>0.2857142857142857</v>
      </c>
      <c r="L10" s="49">
        <f>'Avg Week MUKONO-KATOSI'!L10+'Avg Week KATOSI-MUKONO'!L10</f>
        <v>0.5714285714285714</v>
      </c>
      <c r="M10" s="49">
        <f>'Avg Week MUKONO-KATOSI'!M10+'Avg Week KATOSI-MUKONO'!M10</f>
        <v>149</v>
      </c>
      <c r="N10" s="49">
        <f>'Avg Week MUKONO-KATOSI'!N10+'Avg Week KATOSI-MUKONO'!N10</f>
        <v>0</v>
      </c>
      <c r="O10" s="15">
        <f t="shared" ref="O10:O73" si="0">SUM(C10:L10,N10)</f>
        <v>43.857142857142854</v>
      </c>
      <c r="P10" s="15">
        <f t="shared" ref="P10:P73" si="1">SUM(C10:N10)</f>
        <v>192.85714285714286</v>
      </c>
      <c r="R10" s="1" t="s">
        <v>6</v>
      </c>
      <c r="S10" s="17">
        <f t="shared" ref="S10:AF10" si="2">SUM(C10:C13)</f>
        <v>97</v>
      </c>
      <c r="T10" s="17">
        <f t="shared" si="2"/>
        <v>32.142857142857139</v>
      </c>
      <c r="U10" s="17">
        <f t="shared" si="2"/>
        <v>21.142857142857142</v>
      </c>
      <c r="V10" s="17">
        <f t="shared" si="2"/>
        <v>73.428571428571431</v>
      </c>
      <c r="W10" s="17">
        <f t="shared" si="2"/>
        <v>8</v>
      </c>
      <c r="X10" s="17">
        <f t="shared" si="2"/>
        <v>0.5714285714285714</v>
      </c>
      <c r="Y10" s="17">
        <f t="shared" si="2"/>
        <v>41</v>
      </c>
      <c r="Z10" s="17">
        <f t="shared" si="2"/>
        <v>8.1428571428571423</v>
      </c>
      <c r="AA10" s="17">
        <f t="shared" si="2"/>
        <v>1.8571428571428572</v>
      </c>
      <c r="AB10" s="17">
        <f t="shared" si="2"/>
        <v>2.4285714285714288</v>
      </c>
      <c r="AC10" s="17">
        <f t="shared" si="2"/>
        <v>689.85714285714289</v>
      </c>
      <c r="AD10" s="17">
        <f t="shared" si="2"/>
        <v>6</v>
      </c>
      <c r="AE10" s="31">
        <f t="shared" si="2"/>
        <v>291.71428571428572</v>
      </c>
      <c r="AF10" s="31">
        <f t="shared" si="2"/>
        <v>981.57142857142856</v>
      </c>
    </row>
    <row r="11" spans="2:32" s="6" customFormat="1" ht="23.1" customHeight="1" x14ac:dyDescent="0.25">
      <c r="B11" s="23" t="s">
        <v>38</v>
      </c>
      <c r="C11" s="49">
        <f>'Avg Week MUKONO-KATOSI'!C11+'Avg Week KATOSI-MUKONO'!C11</f>
        <v>28.571428571428569</v>
      </c>
      <c r="D11" s="49">
        <f>'Avg Week MUKONO-KATOSI'!D11+'Avg Week KATOSI-MUKONO'!D11</f>
        <v>8.7142857142857135</v>
      </c>
      <c r="E11" s="49">
        <f>'Avg Week MUKONO-KATOSI'!E11+'Avg Week KATOSI-MUKONO'!E11</f>
        <v>4</v>
      </c>
      <c r="F11" s="49">
        <f>'Avg Week MUKONO-KATOSI'!F11+'Avg Week KATOSI-MUKONO'!F11</f>
        <v>15.857142857142858</v>
      </c>
      <c r="G11" s="49">
        <f>'Avg Week MUKONO-KATOSI'!G11+'Avg Week KATOSI-MUKONO'!G11</f>
        <v>1.5714285714285714</v>
      </c>
      <c r="H11" s="49">
        <f>'Avg Week MUKONO-KATOSI'!H11+'Avg Week KATOSI-MUKONO'!H11</f>
        <v>0</v>
      </c>
      <c r="I11" s="49">
        <f>'Avg Week MUKONO-KATOSI'!I11+'Avg Week KATOSI-MUKONO'!I11</f>
        <v>10</v>
      </c>
      <c r="J11" s="49">
        <f>'Avg Week MUKONO-KATOSI'!J11+'Avg Week KATOSI-MUKONO'!J11</f>
        <v>1.8571428571428572</v>
      </c>
      <c r="K11" s="49">
        <f>'Avg Week MUKONO-KATOSI'!K11+'Avg Week KATOSI-MUKONO'!K11</f>
        <v>0.5714285714285714</v>
      </c>
      <c r="L11" s="49">
        <f>'Avg Week MUKONO-KATOSI'!L11+'Avg Week KATOSI-MUKONO'!L11</f>
        <v>0</v>
      </c>
      <c r="M11" s="49">
        <f>'Avg Week MUKONO-KATOSI'!M11+'Avg Week KATOSI-MUKONO'!M11</f>
        <v>169.28571428571428</v>
      </c>
      <c r="N11" s="49">
        <f>'Avg Week MUKONO-KATOSI'!N11+'Avg Week KATOSI-MUKONO'!N11</f>
        <v>6</v>
      </c>
      <c r="O11" s="15">
        <f t="shared" si="0"/>
        <v>77.142857142857139</v>
      </c>
      <c r="P11" s="15">
        <f t="shared" si="1"/>
        <v>246.42857142857142</v>
      </c>
      <c r="R11" s="1" t="s">
        <v>7</v>
      </c>
      <c r="S11" s="17">
        <f t="shared" ref="S11:AF11" si="3">SUM(C14:C17)</f>
        <v>101.71428571428572</v>
      </c>
      <c r="T11" s="17">
        <f t="shared" si="3"/>
        <v>39</v>
      </c>
      <c r="U11" s="17">
        <f t="shared" si="3"/>
        <v>24.857142857142858</v>
      </c>
      <c r="V11" s="17">
        <f t="shared" si="3"/>
        <v>72.142857142857139</v>
      </c>
      <c r="W11" s="17">
        <f t="shared" si="3"/>
        <v>10.142857142857142</v>
      </c>
      <c r="X11" s="17">
        <f t="shared" si="3"/>
        <v>0.2857142857142857</v>
      </c>
      <c r="Y11" s="17">
        <f t="shared" si="3"/>
        <v>42.857142857142854</v>
      </c>
      <c r="Z11" s="17">
        <f t="shared" si="3"/>
        <v>8.1428571428571423</v>
      </c>
      <c r="AA11" s="17">
        <f t="shared" si="3"/>
        <v>3.714285714285714</v>
      </c>
      <c r="AB11" s="17">
        <f t="shared" si="3"/>
        <v>4.5714285714285712</v>
      </c>
      <c r="AC11" s="17">
        <f t="shared" si="3"/>
        <v>740.14285714285711</v>
      </c>
      <c r="AD11" s="17">
        <f t="shared" si="3"/>
        <v>14.285714285714285</v>
      </c>
      <c r="AE11" s="31">
        <f t="shared" si="3"/>
        <v>321.71428571428572</v>
      </c>
      <c r="AF11" s="31">
        <f t="shared" si="3"/>
        <v>1061.8571428571429</v>
      </c>
    </row>
    <row r="12" spans="2:32" ht="23.1" customHeight="1" x14ac:dyDescent="0.25">
      <c r="B12" s="23" t="s">
        <v>39</v>
      </c>
      <c r="C12" s="49">
        <f>'Avg Week MUKONO-KATOSI'!C12+'Avg Week KATOSI-MUKONO'!C12</f>
        <v>24.857142857142861</v>
      </c>
      <c r="D12" s="49">
        <f>'Avg Week MUKONO-KATOSI'!D12+'Avg Week KATOSI-MUKONO'!D12</f>
        <v>8</v>
      </c>
      <c r="E12" s="49">
        <f>'Avg Week MUKONO-KATOSI'!E12+'Avg Week KATOSI-MUKONO'!E12</f>
        <v>6</v>
      </c>
      <c r="F12" s="49">
        <f>'Avg Week MUKONO-KATOSI'!F12+'Avg Week KATOSI-MUKONO'!F12</f>
        <v>21.428571428571431</v>
      </c>
      <c r="G12" s="49">
        <f>'Avg Week MUKONO-KATOSI'!G12+'Avg Week KATOSI-MUKONO'!G12</f>
        <v>1.7142857142857142</v>
      </c>
      <c r="H12" s="49">
        <f>'Avg Week MUKONO-KATOSI'!H12+'Avg Week KATOSI-MUKONO'!H12</f>
        <v>0</v>
      </c>
      <c r="I12" s="49">
        <f>'Avg Week MUKONO-KATOSI'!I12+'Avg Week KATOSI-MUKONO'!I12</f>
        <v>12.142857142857142</v>
      </c>
      <c r="J12" s="49">
        <f>'Avg Week MUKONO-KATOSI'!J12+'Avg Week KATOSI-MUKONO'!J12</f>
        <v>2.1428571428571428</v>
      </c>
      <c r="K12" s="49">
        <f>'Avg Week MUKONO-KATOSI'!K12+'Avg Week KATOSI-MUKONO'!K12</f>
        <v>0.14285714285714285</v>
      </c>
      <c r="L12" s="49">
        <f>'Avg Week MUKONO-KATOSI'!L12+'Avg Week KATOSI-MUKONO'!L12</f>
        <v>0.5714285714285714</v>
      </c>
      <c r="M12" s="49">
        <f>'Avg Week MUKONO-KATOSI'!M12+'Avg Week KATOSI-MUKONO'!M12</f>
        <v>180.85714285714283</v>
      </c>
      <c r="N12" s="49">
        <f>'Avg Week MUKONO-KATOSI'!N12+'Avg Week KATOSI-MUKONO'!N12</f>
        <v>0</v>
      </c>
      <c r="O12" s="15">
        <f t="shared" si="0"/>
        <v>77</v>
      </c>
      <c r="P12" s="15">
        <f t="shared" si="1"/>
        <v>257.85714285714283</v>
      </c>
      <c r="R12" s="1" t="s">
        <v>8</v>
      </c>
      <c r="S12" s="17">
        <f t="shared" ref="S12:AF12" si="4">SUM(C18:C21)</f>
        <v>96.714285714285708</v>
      </c>
      <c r="T12" s="17">
        <f t="shared" si="4"/>
        <v>38.571428571428569</v>
      </c>
      <c r="U12" s="17">
        <f t="shared" si="4"/>
        <v>28.285714285714285</v>
      </c>
      <c r="V12" s="17">
        <f t="shared" si="4"/>
        <v>58.571428571428569</v>
      </c>
      <c r="W12" s="17">
        <f t="shared" si="4"/>
        <v>4.2857142857142856</v>
      </c>
      <c r="X12" s="17">
        <f t="shared" si="4"/>
        <v>1.1428571428571428</v>
      </c>
      <c r="Y12" s="17">
        <f t="shared" si="4"/>
        <v>48.142857142857139</v>
      </c>
      <c r="Z12" s="17">
        <f t="shared" si="4"/>
        <v>13.142857142857142</v>
      </c>
      <c r="AA12" s="17">
        <f t="shared" si="4"/>
        <v>4.8571428571428568</v>
      </c>
      <c r="AB12" s="17">
        <f t="shared" si="4"/>
        <v>12.714285714285715</v>
      </c>
      <c r="AC12" s="17">
        <f t="shared" si="4"/>
        <v>809.42857142857156</v>
      </c>
      <c r="AD12" s="17">
        <f t="shared" si="4"/>
        <v>0.14285714285714285</v>
      </c>
      <c r="AE12" s="31">
        <f t="shared" si="4"/>
        <v>306.57142857142856</v>
      </c>
      <c r="AF12" s="31">
        <f t="shared" si="4"/>
        <v>1116</v>
      </c>
    </row>
    <row r="13" spans="2:32" ht="23.1" customHeight="1" x14ac:dyDescent="0.25">
      <c r="B13" s="23" t="s">
        <v>40</v>
      </c>
      <c r="C13" s="49">
        <f>'Avg Week MUKONO-KATOSI'!C13+'Avg Week KATOSI-MUKONO'!C13</f>
        <v>31.285714285714285</v>
      </c>
      <c r="D13" s="49">
        <f>'Avg Week MUKONO-KATOSI'!D13+'Avg Week KATOSI-MUKONO'!D13</f>
        <v>10.142857142857142</v>
      </c>
      <c r="E13" s="49">
        <f>'Avg Week MUKONO-KATOSI'!E13+'Avg Week KATOSI-MUKONO'!E13</f>
        <v>7.8571428571428577</v>
      </c>
      <c r="F13" s="49">
        <f>'Avg Week MUKONO-KATOSI'!F13+'Avg Week KATOSI-MUKONO'!F13</f>
        <v>23.571428571428569</v>
      </c>
      <c r="G13" s="49">
        <f>'Avg Week MUKONO-KATOSI'!G13+'Avg Week KATOSI-MUKONO'!G13</f>
        <v>2.5714285714285712</v>
      </c>
      <c r="H13" s="49">
        <f>'Avg Week MUKONO-KATOSI'!H13+'Avg Week KATOSI-MUKONO'!H13</f>
        <v>0</v>
      </c>
      <c r="I13" s="49">
        <f>'Avg Week MUKONO-KATOSI'!I13+'Avg Week KATOSI-MUKONO'!I13</f>
        <v>14.428571428571427</v>
      </c>
      <c r="J13" s="49">
        <f>'Avg Week MUKONO-KATOSI'!J13+'Avg Week KATOSI-MUKONO'!J13</f>
        <v>1.7142857142857144</v>
      </c>
      <c r="K13" s="49">
        <f>'Avg Week MUKONO-KATOSI'!K13+'Avg Week KATOSI-MUKONO'!K13</f>
        <v>0.8571428571428571</v>
      </c>
      <c r="L13" s="49">
        <f>'Avg Week MUKONO-KATOSI'!L13+'Avg Week KATOSI-MUKONO'!L13</f>
        <v>1.2857142857142858</v>
      </c>
      <c r="M13" s="49">
        <f>'Avg Week MUKONO-KATOSI'!M13+'Avg Week KATOSI-MUKONO'!M13</f>
        <v>190.71428571428572</v>
      </c>
      <c r="N13" s="49">
        <f>'Avg Week MUKONO-KATOSI'!N13+'Avg Week KATOSI-MUKONO'!N13</f>
        <v>0</v>
      </c>
      <c r="O13" s="15">
        <f t="shared" si="0"/>
        <v>93.714285714285722</v>
      </c>
      <c r="P13" s="15">
        <f t="shared" si="1"/>
        <v>284.42857142857144</v>
      </c>
      <c r="R13" s="1" t="s">
        <v>9</v>
      </c>
      <c r="S13" s="17">
        <f t="shared" ref="S13:AF13" si="5">SUM(C22:C25)</f>
        <v>90.142857142857139</v>
      </c>
      <c r="T13" s="17">
        <f t="shared" si="5"/>
        <v>38.285714285714285</v>
      </c>
      <c r="U13" s="17">
        <f t="shared" si="5"/>
        <v>24.428571428571431</v>
      </c>
      <c r="V13" s="17">
        <f t="shared" si="5"/>
        <v>61.571428571428569</v>
      </c>
      <c r="W13" s="17">
        <f t="shared" si="5"/>
        <v>3</v>
      </c>
      <c r="X13" s="17">
        <f t="shared" si="5"/>
        <v>0.14285714285714285</v>
      </c>
      <c r="Y13" s="17">
        <f t="shared" si="5"/>
        <v>58.428571428571423</v>
      </c>
      <c r="Z13" s="17">
        <f t="shared" si="5"/>
        <v>12.428571428571427</v>
      </c>
      <c r="AA13" s="17">
        <f t="shared" si="5"/>
        <v>4.4285714285714288</v>
      </c>
      <c r="AB13" s="17">
        <f t="shared" si="5"/>
        <v>3.5714285714285716</v>
      </c>
      <c r="AC13" s="17">
        <f t="shared" si="5"/>
        <v>727.85714285714289</v>
      </c>
      <c r="AD13" s="17">
        <f t="shared" si="5"/>
        <v>0</v>
      </c>
      <c r="AE13" s="31">
        <f t="shared" si="5"/>
        <v>296.42857142857144</v>
      </c>
      <c r="AF13" s="31">
        <f t="shared" si="5"/>
        <v>1024.2857142857142</v>
      </c>
    </row>
    <row r="14" spans="2:32" ht="23.1" customHeight="1" x14ac:dyDescent="0.25">
      <c r="B14" s="23" t="s">
        <v>41</v>
      </c>
      <c r="C14" s="49">
        <f>'Avg Week MUKONO-KATOSI'!C14+'Avg Week KATOSI-MUKONO'!C14</f>
        <v>28.428571428571427</v>
      </c>
      <c r="D14" s="49">
        <f>'Avg Week MUKONO-KATOSI'!D14+'Avg Week KATOSI-MUKONO'!D14</f>
        <v>12.285714285714285</v>
      </c>
      <c r="E14" s="49">
        <f>'Avg Week MUKONO-KATOSI'!E14+'Avg Week KATOSI-MUKONO'!E14</f>
        <v>7.1428571428571432</v>
      </c>
      <c r="F14" s="49">
        <f>'Avg Week MUKONO-KATOSI'!F14+'Avg Week KATOSI-MUKONO'!F14</f>
        <v>23.714285714285715</v>
      </c>
      <c r="G14" s="49">
        <f>'Avg Week MUKONO-KATOSI'!G14+'Avg Week KATOSI-MUKONO'!G14</f>
        <v>4.2857142857142856</v>
      </c>
      <c r="H14" s="49">
        <f>'Avg Week MUKONO-KATOSI'!H14+'Avg Week KATOSI-MUKONO'!H14</f>
        <v>0.14285714285714285</v>
      </c>
      <c r="I14" s="49">
        <f>'Avg Week MUKONO-KATOSI'!I14+'Avg Week KATOSI-MUKONO'!I14</f>
        <v>12.285714285714285</v>
      </c>
      <c r="J14" s="49">
        <f>'Avg Week MUKONO-KATOSI'!J14+'Avg Week KATOSI-MUKONO'!J14</f>
        <v>1.5714285714285716</v>
      </c>
      <c r="K14" s="49">
        <f>'Avg Week MUKONO-KATOSI'!K14+'Avg Week KATOSI-MUKONO'!K14</f>
        <v>1.1428571428571428</v>
      </c>
      <c r="L14" s="49">
        <f>'Avg Week MUKONO-KATOSI'!L14+'Avg Week KATOSI-MUKONO'!L14</f>
        <v>1.2857142857142856</v>
      </c>
      <c r="M14" s="49">
        <f>'Avg Week MUKONO-KATOSI'!M14+'Avg Week KATOSI-MUKONO'!M14</f>
        <v>189</v>
      </c>
      <c r="N14" s="49">
        <f>'Avg Week MUKONO-KATOSI'!N14+'Avg Week KATOSI-MUKONO'!N14</f>
        <v>0</v>
      </c>
      <c r="O14" s="15">
        <f t="shared" si="0"/>
        <v>92.285714285714278</v>
      </c>
      <c r="P14" s="15">
        <f t="shared" si="1"/>
        <v>281.28571428571428</v>
      </c>
      <c r="R14" s="1" t="s">
        <v>10</v>
      </c>
      <c r="S14" s="17">
        <f t="shared" ref="S14:AF14" si="6">SUM(C26:C29)</f>
        <v>101.14285714285714</v>
      </c>
      <c r="T14" s="17">
        <f t="shared" si="6"/>
        <v>40.428571428571431</v>
      </c>
      <c r="U14" s="17">
        <f t="shared" si="6"/>
        <v>28.428571428571431</v>
      </c>
      <c r="V14" s="17">
        <f t="shared" si="6"/>
        <v>65.142857142857139</v>
      </c>
      <c r="W14" s="17">
        <f t="shared" si="6"/>
        <v>2.5714285714285712</v>
      </c>
      <c r="X14" s="17">
        <f t="shared" si="6"/>
        <v>0</v>
      </c>
      <c r="Y14" s="17">
        <f t="shared" si="6"/>
        <v>58.142857142857139</v>
      </c>
      <c r="Z14" s="17">
        <f t="shared" si="6"/>
        <v>11</v>
      </c>
      <c r="AA14" s="17">
        <f t="shared" si="6"/>
        <v>3.8571428571428568</v>
      </c>
      <c r="AB14" s="17">
        <f t="shared" si="6"/>
        <v>14.857142857142858</v>
      </c>
      <c r="AC14" s="17">
        <f t="shared" si="6"/>
        <v>749.71428571428555</v>
      </c>
      <c r="AD14" s="17">
        <f t="shared" si="6"/>
        <v>0.42857142857142855</v>
      </c>
      <c r="AE14" s="31">
        <f t="shared" si="6"/>
        <v>326</v>
      </c>
      <c r="AF14" s="31">
        <f t="shared" si="6"/>
        <v>1075.7142857142858</v>
      </c>
    </row>
    <row r="15" spans="2:32" ht="23.1" customHeight="1" x14ac:dyDescent="0.25">
      <c r="B15" s="23" t="s">
        <v>42</v>
      </c>
      <c r="C15" s="49">
        <f>'Avg Week MUKONO-KATOSI'!C15+'Avg Week KATOSI-MUKONO'!C15</f>
        <v>26.428571428571431</v>
      </c>
      <c r="D15" s="49">
        <f>'Avg Week MUKONO-KATOSI'!D15+'Avg Week KATOSI-MUKONO'!D15</f>
        <v>9.2857142857142847</v>
      </c>
      <c r="E15" s="49">
        <f>'Avg Week MUKONO-KATOSI'!E15+'Avg Week KATOSI-MUKONO'!E15</f>
        <v>6.5714285714285712</v>
      </c>
      <c r="F15" s="49">
        <f>'Avg Week MUKONO-KATOSI'!F15+'Avg Week KATOSI-MUKONO'!F15</f>
        <v>13.571428571428571</v>
      </c>
      <c r="G15" s="49">
        <f>'Avg Week MUKONO-KATOSI'!G15+'Avg Week KATOSI-MUKONO'!G15</f>
        <v>1.7142857142857144</v>
      </c>
      <c r="H15" s="49">
        <f>'Avg Week MUKONO-KATOSI'!H15+'Avg Week KATOSI-MUKONO'!H15</f>
        <v>0</v>
      </c>
      <c r="I15" s="49">
        <f>'Avg Week MUKONO-KATOSI'!I15+'Avg Week KATOSI-MUKONO'!I15</f>
        <v>11.142857142857142</v>
      </c>
      <c r="J15" s="49">
        <f>'Avg Week MUKONO-KATOSI'!J15+'Avg Week KATOSI-MUKONO'!J15</f>
        <v>1.1428571428571428</v>
      </c>
      <c r="K15" s="49">
        <f>'Avg Week MUKONO-KATOSI'!K15+'Avg Week KATOSI-MUKONO'!K15</f>
        <v>1</v>
      </c>
      <c r="L15" s="49">
        <f>'Avg Week MUKONO-KATOSI'!L15+'Avg Week KATOSI-MUKONO'!L15</f>
        <v>1.2857142857142856</v>
      </c>
      <c r="M15" s="49">
        <f>'Avg Week MUKONO-KATOSI'!M15+'Avg Week KATOSI-MUKONO'!M15</f>
        <v>177.57142857142856</v>
      </c>
      <c r="N15" s="49">
        <f>'Avg Week MUKONO-KATOSI'!N15+'Avg Week KATOSI-MUKONO'!N15</f>
        <v>0</v>
      </c>
      <c r="O15" s="15">
        <f t="shared" si="0"/>
        <v>72.142857142857139</v>
      </c>
      <c r="P15" s="15">
        <f t="shared" si="1"/>
        <v>249.71428571428569</v>
      </c>
      <c r="R15" s="1" t="s">
        <v>11</v>
      </c>
      <c r="S15" s="17">
        <f t="shared" ref="S15:AF15" si="7">SUM(C30:C33)</f>
        <v>99.857142857142861</v>
      </c>
      <c r="T15" s="17">
        <f t="shared" si="7"/>
        <v>44.714285714285715</v>
      </c>
      <c r="U15" s="17">
        <f t="shared" si="7"/>
        <v>29.571428571428569</v>
      </c>
      <c r="V15" s="17">
        <f t="shared" si="7"/>
        <v>62.428571428571431</v>
      </c>
      <c r="W15" s="17">
        <f t="shared" si="7"/>
        <v>3.5714285714285712</v>
      </c>
      <c r="X15" s="17">
        <f t="shared" si="7"/>
        <v>0.8571428571428571</v>
      </c>
      <c r="Y15" s="17">
        <f t="shared" si="7"/>
        <v>51.285714285714292</v>
      </c>
      <c r="Z15" s="17">
        <f t="shared" si="7"/>
        <v>13</v>
      </c>
      <c r="AA15" s="17">
        <f t="shared" si="7"/>
        <v>6</v>
      </c>
      <c r="AB15" s="17">
        <f t="shared" si="7"/>
        <v>31.285714285714285</v>
      </c>
      <c r="AC15" s="17">
        <f t="shared" si="7"/>
        <v>707.85714285714278</v>
      </c>
      <c r="AD15" s="17">
        <f t="shared" si="7"/>
        <v>0.14285714285714285</v>
      </c>
      <c r="AE15" s="31">
        <f t="shared" si="7"/>
        <v>342.71428571428572</v>
      </c>
      <c r="AF15" s="31">
        <f t="shared" si="7"/>
        <v>1050.5714285714284</v>
      </c>
    </row>
    <row r="16" spans="2:32" ht="23.1" customHeight="1" x14ac:dyDescent="0.25">
      <c r="B16" s="23" t="s">
        <v>43</v>
      </c>
      <c r="C16" s="49">
        <f>'Avg Week MUKONO-KATOSI'!C16+'Avg Week KATOSI-MUKONO'!C16</f>
        <v>25.571428571428573</v>
      </c>
      <c r="D16" s="49">
        <f>'Avg Week MUKONO-KATOSI'!D16+'Avg Week KATOSI-MUKONO'!D16</f>
        <v>7.2857142857142856</v>
      </c>
      <c r="E16" s="49">
        <f>'Avg Week MUKONO-KATOSI'!E16+'Avg Week KATOSI-MUKONO'!E16</f>
        <v>4.8571428571428577</v>
      </c>
      <c r="F16" s="49">
        <f>'Avg Week MUKONO-KATOSI'!F16+'Avg Week KATOSI-MUKONO'!F16</f>
        <v>17.428571428571431</v>
      </c>
      <c r="G16" s="49">
        <f>'Avg Week MUKONO-KATOSI'!G16+'Avg Week KATOSI-MUKONO'!G16</f>
        <v>1</v>
      </c>
      <c r="H16" s="49">
        <f>'Avg Week MUKONO-KATOSI'!H16+'Avg Week KATOSI-MUKONO'!H16</f>
        <v>0</v>
      </c>
      <c r="I16" s="49">
        <f>'Avg Week MUKONO-KATOSI'!I16+'Avg Week KATOSI-MUKONO'!I16</f>
        <v>9.7142857142857153</v>
      </c>
      <c r="J16" s="49">
        <f>'Avg Week MUKONO-KATOSI'!J16+'Avg Week KATOSI-MUKONO'!J16</f>
        <v>2.5714285714285712</v>
      </c>
      <c r="K16" s="49">
        <f>'Avg Week MUKONO-KATOSI'!K16+'Avg Week KATOSI-MUKONO'!K16</f>
        <v>0.42857142857142855</v>
      </c>
      <c r="L16" s="49">
        <f>'Avg Week MUKONO-KATOSI'!L16+'Avg Week KATOSI-MUKONO'!L16</f>
        <v>0.71428571428571419</v>
      </c>
      <c r="M16" s="49">
        <f>'Avg Week MUKONO-KATOSI'!M16+'Avg Week KATOSI-MUKONO'!M16</f>
        <v>195.57142857142858</v>
      </c>
      <c r="N16" s="49">
        <f>'Avg Week MUKONO-KATOSI'!N16+'Avg Week KATOSI-MUKONO'!N16</f>
        <v>0</v>
      </c>
      <c r="O16" s="15">
        <f t="shared" si="0"/>
        <v>69.571428571428569</v>
      </c>
      <c r="P16" s="15">
        <f t="shared" si="1"/>
        <v>265.14285714285717</v>
      </c>
      <c r="R16" s="1" t="s">
        <v>12</v>
      </c>
      <c r="S16" s="17">
        <f t="shared" ref="S16:AF16" si="8">SUM(C34:C37)</f>
        <v>100.42857142857142</v>
      </c>
      <c r="T16" s="17">
        <f t="shared" si="8"/>
        <v>44</v>
      </c>
      <c r="U16" s="17">
        <f t="shared" si="8"/>
        <v>25.285714285714285</v>
      </c>
      <c r="V16" s="17">
        <f t="shared" si="8"/>
        <v>56.571428571428569</v>
      </c>
      <c r="W16" s="17">
        <f t="shared" si="8"/>
        <v>5.5714285714285712</v>
      </c>
      <c r="X16" s="17">
        <f t="shared" si="8"/>
        <v>0</v>
      </c>
      <c r="Y16" s="17">
        <f t="shared" si="8"/>
        <v>52.142857142857146</v>
      </c>
      <c r="Z16" s="17">
        <f t="shared" si="8"/>
        <v>12.571428571428571</v>
      </c>
      <c r="AA16" s="17">
        <f t="shared" si="8"/>
        <v>4.4285714285714288</v>
      </c>
      <c r="AB16" s="17">
        <f t="shared" si="8"/>
        <v>3.4285714285714284</v>
      </c>
      <c r="AC16" s="17">
        <f t="shared" si="8"/>
        <v>747</v>
      </c>
      <c r="AD16" s="17">
        <f t="shared" si="8"/>
        <v>0.14285714285714285</v>
      </c>
      <c r="AE16" s="31">
        <f t="shared" si="8"/>
        <v>304.57142857142856</v>
      </c>
      <c r="AF16" s="31">
        <f t="shared" si="8"/>
        <v>1051.5714285714287</v>
      </c>
    </row>
    <row r="17" spans="2:32" ht="23.1" customHeight="1" x14ac:dyDescent="0.25">
      <c r="B17" s="23" t="s">
        <v>44</v>
      </c>
      <c r="C17" s="49">
        <f>'Avg Week MUKONO-KATOSI'!C17+'Avg Week KATOSI-MUKONO'!C17</f>
        <v>21.285714285714285</v>
      </c>
      <c r="D17" s="49">
        <f>'Avg Week MUKONO-KATOSI'!D17+'Avg Week KATOSI-MUKONO'!D17</f>
        <v>10.142857142857142</v>
      </c>
      <c r="E17" s="49">
        <f>'Avg Week MUKONO-KATOSI'!E17+'Avg Week KATOSI-MUKONO'!E17</f>
        <v>6.2857142857142856</v>
      </c>
      <c r="F17" s="49">
        <f>'Avg Week MUKONO-KATOSI'!F17+'Avg Week KATOSI-MUKONO'!F17</f>
        <v>17.428571428571431</v>
      </c>
      <c r="G17" s="49">
        <f>'Avg Week MUKONO-KATOSI'!G17+'Avg Week KATOSI-MUKONO'!G17</f>
        <v>3.1428571428571428</v>
      </c>
      <c r="H17" s="49">
        <f>'Avg Week MUKONO-KATOSI'!H17+'Avg Week KATOSI-MUKONO'!H17</f>
        <v>0.14285714285714285</v>
      </c>
      <c r="I17" s="49">
        <f>'Avg Week MUKONO-KATOSI'!I17+'Avg Week KATOSI-MUKONO'!I17</f>
        <v>9.7142857142857153</v>
      </c>
      <c r="J17" s="49">
        <f>'Avg Week MUKONO-KATOSI'!J17+'Avg Week KATOSI-MUKONO'!J17</f>
        <v>2.8571428571428568</v>
      </c>
      <c r="K17" s="49">
        <f>'Avg Week MUKONO-KATOSI'!K17+'Avg Week KATOSI-MUKONO'!K17</f>
        <v>1.1428571428571428</v>
      </c>
      <c r="L17" s="49">
        <f>'Avg Week MUKONO-KATOSI'!L17+'Avg Week KATOSI-MUKONO'!L17</f>
        <v>1.2857142857142856</v>
      </c>
      <c r="M17" s="49">
        <f>'Avg Week MUKONO-KATOSI'!M17+'Avg Week KATOSI-MUKONO'!M17</f>
        <v>178</v>
      </c>
      <c r="N17" s="49">
        <f>'Avg Week MUKONO-KATOSI'!N17+'Avg Week KATOSI-MUKONO'!N17</f>
        <v>14.285714285714285</v>
      </c>
      <c r="O17" s="15">
        <f t="shared" si="0"/>
        <v>87.714285714285722</v>
      </c>
      <c r="P17" s="15">
        <f t="shared" si="1"/>
        <v>265.71428571428572</v>
      </c>
      <c r="R17" s="1" t="s">
        <v>13</v>
      </c>
      <c r="S17" s="17">
        <f t="shared" ref="S17:AF17" si="9">SUM(C38:C41)</f>
        <v>97.428571428571431</v>
      </c>
      <c r="T17" s="17">
        <f t="shared" si="9"/>
        <v>41.857142857142854</v>
      </c>
      <c r="U17" s="17">
        <f t="shared" si="9"/>
        <v>31.714285714285712</v>
      </c>
      <c r="V17" s="17">
        <f t="shared" si="9"/>
        <v>58.428571428571431</v>
      </c>
      <c r="W17" s="17">
        <f t="shared" si="9"/>
        <v>2.8571428571428568</v>
      </c>
      <c r="X17" s="17">
        <f t="shared" si="9"/>
        <v>0.71428571428571419</v>
      </c>
      <c r="Y17" s="17">
        <f t="shared" si="9"/>
        <v>53.428571428571431</v>
      </c>
      <c r="Z17" s="17">
        <f t="shared" si="9"/>
        <v>13.142857142857142</v>
      </c>
      <c r="AA17" s="17">
        <f t="shared" si="9"/>
        <v>5</v>
      </c>
      <c r="AB17" s="17">
        <f t="shared" si="9"/>
        <v>4.7142857142857135</v>
      </c>
      <c r="AC17" s="17">
        <f t="shared" si="9"/>
        <v>581</v>
      </c>
      <c r="AD17" s="17">
        <f t="shared" si="9"/>
        <v>0.14285714285714285</v>
      </c>
      <c r="AE17" s="31">
        <f t="shared" si="9"/>
        <v>309.4285714285715</v>
      </c>
      <c r="AF17" s="31">
        <f t="shared" si="9"/>
        <v>890.42857142857133</v>
      </c>
    </row>
    <row r="18" spans="2:32" ht="23.1" customHeight="1" x14ac:dyDescent="0.25">
      <c r="B18" s="23" t="s">
        <v>45</v>
      </c>
      <c r="C18" s="49">
        <f>'Avg Week MUKONO-KATOSI'!C18+'Avg Week KATOSI-MUKONO'!C18</f>
        <v>27.428571428571431</v>
      </c>
      <c r="D18" s="49">
        <f>'Avg Week MUKONO-KATOSI'!D18+'Avg Week KATOSI-MUKONO'!D18</f>
        <v>11.142857142857142</v>
      </c>
      <c r="E18" s="49">
        <f>'Avg Week MUKONO-KATOSI'!E18+'Avg Week KATOSI-MUKONO'!E18</f>
        <v>8.5714285714285712</v>
      </c>
      <c r="F18" s="49">
        <f>'Avg Week MUKONO-KATOSI'!F18+'Avg Week KATOSI-MUKONO'!F18</f>
        <v>17.857142857142858</v>
      </c>
      <c r="G18" s="49">
        <f>'Avg Week MUKONO-KATOSI'!G18+'Avg Week KATOSI-MUKONO'!G18</f>
        <v>1.1428571428571428</v>
      </c>
      <c r="H18" s="49">
        <f>'Avg Week MUKONO-KATOSI'!H18+'Avg Week KATOSI-MUKONO'!H18</f>
        <v>0.14285714285714285</v>
      </c>
      <c r="I18" s="49">
        <f>'Avg Week MUKONO-KATOSI'!I18+'Avg Week KATOSI-MUKONO'!I18</f>
        <v>12.428571428571429</v>
      </c>
      <c r="J18" s="49">
        <f>'Avg Week MUKONO-KATOSI'!J18+'Avg Week KATOSI-MUKONO'!J18</f>
        <v>2.5714285714285712</v>
      </c>
      <c r="K18" s="49">
        <f>'Avg Week MUKONO-KATOSI'!K18+'Avg Week KATOSI-MUKONO'!K18</f>
        <v>0.71428571428571419</v>
      </c>
      <c r="L18" s="49">
        <f>'Avg Week MUKONO-KATOSI'!L18+'Avg Week KATOSI-MUKONO'!L18</f>
        <v>0.42857142857142855</v>
      </c>
      <c r="M18" s="49">
        <f>'Avg Week MUKONO-KATOSI'!M18+'Avg Week KATOSI-MUKONO'!M18</f>
        <v>223.42857142857144</v>
      </c>
      <c r="N18" s="49">
        <f>'Avg Week MUKONO-KATOSI'!N18+'Avg Week KATOSI-MUKONO'!N18</f>
        <v>0</v>
      </c>
      <c r="O18" s="15">
        <f t="shared" si="0"/>
        <v>82.428571428571416</v>
      </c>
      <c r="P18" s="15">
        <f t="shared" si="1"/>
        <v>305.85714285714289</v>
      </c>
      <c r="R18" s="1" t="s">
        <v>14</v>
      </c>
      <c r="S18" s="17">
        <f t="shared" ref="S18:AF18" si="10">SUM(C42:C45)</f>
        <v>106</v>
      </c>
      <c r="T18" s="17">
        <f t="shared" si="10"/>
        <v>56.142857142857139</v>
      </c>
      <c r="U18" s="17">
        <f t="shared" si="10"/>
        <v>30.714285714285715</v>
      </c>
      <c r="V18" s="17">
        <f t="shared" si="10"/>
        <v>64</v>
      </c>
      <c r="W18" s="17">
        <f t="shared" si="10"/>
        <v>2.714285714285714</v>
      </c>
      <c r="X18" s="17">
        <f t="shared" si="10"/>
        <v>0.14285714285714285</v>
      </c>
      <c r="Y18" s="17">
        <f t="shared" si="10"/>
        <v>54.142857142857139</v>
      </c>
      <c r="Z18" s="17">
        <f t="shared" si="10"/>
        <v>14.142857142857142</v>
      </c>
      <c r="AA18" s="17">
        <f t="shared" si="10"/>
        <v>5.5714285714285712</v>
      </c>
      <c r="AB18" s="17">
        <f t="shared" si="10"/>
        <v>3.714285714285714</v>
      </c>
      <c r="AC18" s="17">
        <f t="shared" si="10"/>
        <v>699.42857142857144</v>
      </c>
      <c r="AD18" s="17">
        <f t="shared" si="10"/>
        <v>0.2857142857142857</v>
      </c>
      <c r="AE18" s="31">
        <f t="shared" si="10"/>
        <v>337.57142857142856</v>
      </c>
      <c r="AF18" s="31">
        <f t="shared" si="10"/>
        <v>1037</v>
      </c>
    </row>
    <row r="19" spans="2:32" ht="23.1" customHeight="1" x14ac:dyDescent="0.25">
      <c r="B19" s="23" t="s">
        <v>46</v>
      </c>
      <c r="C19" s="49">
        <f>'Avg Week MUKONO-KATOSI'!C19+'Avg Week KATOSI-MUKONO'!C19</f>
        <v>27</v>
      </c>
      <c r="D19" s="49">
        <f>'Avg Week MUKONO-KATOSI'!D19+'Avg Week KATOSI-MUKONO'!D19</f>
        <v>10.428571428571429</v>
      </c>
      <c r="E19" s="49">
        <f>'Avg Week MUKONO-KATOSI'!E19+'Avg Week KATOSI-MUKONO'!E19</f>
        <v>7</v>
      </c>
      <c r="F19" s="49">
        <f>'Avg Week MUKONO-KATOSI'!F19+'Avg Week KATOSI-MUKONO'!F19</f>
        <v>14</v>
      </c>
      <c r="G19" s="49">
        <f>'Avg Week MUKONO-KATOSI'!G19+'Avg Week KATOSI-MUKONO'!G19</f>
        <v>1</v>
      </c>
      <c r="H19" s="49">
        <f>'Avg Week MUKONO-KATOSI'!H19+'Avg Week KATOSI-MUKONO'!H19</f>
        <v>0</v>
      </c>
      <c r="I19" s="49">
        <f>'Avg Week MUKONO-KATOSI'!I19+'Avg Week KATOSI-MUKONO'!I19</f>
        <v>9.4285714285714288</v>
      </c>
      <c r="J19" s="49">
        <f>'Avg Week MUKONO-KATOSI'!J19+'Avg Week KATOSI-MUKONO'!J19</f>
        <v>3</v>
      </c>
      <c r="K19" s="49">
        <f>'Avg Week MUKONO-KATOSI'!K19+'Avg Week KATOSI-MUKONO'!K19</f>
        <v>1.7142857142857144</v>
      </c>
      <c r="L19" s="49">
        <f>'Avg Week MUKONO-KATOSI'!L19+'Avg Week KATOSI-MUKONO'!L19</f>
        <v>0.8571428571428571</v>
      </c>
      <c r="M19" s="49">
        <f>'Avg Week MUKONO-KATOSI'!M19+'Avg Week KATOSI-MUKONO'!M19</f>
        <v>195.57142857142858</v>
      </c>
      <c r="N19" s="49">
        <f>'Avg Week MUKONO-KATOSI'!N19+'Avg Week KATOSI-MUKONO'!N19</f>
        <v>0</v>
      </c>
      <c r="O19" s="15">
        <f t="shared" si="0"/>
        <v>74.428571428571431</v>
      </c>
      <c r="P19" s="15">
        <f t="shared" si="1"/>
        <v>270</v>
      </c>
      <c r="R19" s="1" t="s">
        <v>15</v>
      </c>
      <c r="S19" s="17">
        <f t="shared" ref="S19:AF19" si="11">SUM(C46:C49)</f>
        <v>112.28571428571428</v>
      </c>
      <c r="T19" s="17">
        <f t="shared" si="11"/>
        <v>51.142857142857139</v>
      </c>
      <c r="U19" s="17">
        <f t="shared" si="11"/>
        <v>33.714285714285715</v>
      </c>
      <c r="V19" s="17">
        <f t="shared" si="11"/>
        <v>72</v>
      </c>
      <c r="W19" s="17">
        <f t="shared" si="11"/>
        <v>6.2857142857142856</v>
      </c>
      <c r="X19" s="17">
        <f t="shared" si="11"/>
        <v>0</v>
      </c>
      <c r="Y19" s="17">
        <f t="shared" si="11"/>
        <v>59.285714285714292</v>
      </c>
      <c r="Z19" s="17">
        <f t="shared" si="11"/>
        <v>12</v>
      </c>
      <c r="AA19" s="17">
        <f t="shared" si="11"/>
        <v>3.7142857142857144</v>
      </c>
      <c r="AB19" s="17">
        <f t="shared" si="11"/>
        <v>4.8571428571428568</v>
      </c>
      <c r="AC19" s="17">
        <f t="shared" si="11"/>
        <v>719.57142857142856</v>
      </c>
      <c r="AD19" s="17">
        <f t="shared" si="11"/>
        <v>0.2857142857142857</v>
      </c>
      <c r="AE19" s="31">
        <f t="shared" si="11"/>
        <v>355.57142857142856</v>
      </c>
      <c r="AF19" s="31">
        <f t="shared" si="11"/>
        <v>1075.1428571428571</v>
      </c>
    </row>
    <row r="20" spans="2:32" ht="23.1" customHeight="1" x14ac:dyDescent="0.25">
      <c r="B20" s="23" t="s">
        <v>47</v>
      </c>
      <c r="C20" s="49">
        <f>'Avg Week MUKONO-KATOSI'!C20+'Avg Week KATOSI-MUKONO'!C20</f>
        <v>20.714285714285715</v>
      </c>
      <c r="D20" s="49">
        <f>'Avg Week MUKONO-KATOSI'!D20+'Avg Week KATOSI-MUKONO'!D20</f>
        <v>7.7142857142857144</v>
      </c>
      <c r="E20" s="49">
        <f>'Avg Week MUKONO-KATOSI'!E20+'Avg Week KATOSI-MUKONO'!E20</f>
        <v>5.2857142857142856</v>
      </c>
      <c r="F20" s="49">
        <f>'Avg Week MUKONO-KATOSI'!F20+'Avg Week KATOSI-MUKONO'!F20</f>
        <v>13.142857142857142</v>
      </c>
      <c r="G20" s="49">
        <f>'Avg Week MUKONO-KATOSI'!G20+'Avg Week KATOSI-MUKONO'!G20</f>
        <v>1</v>
      </c>
      <c r="H20" s="49">
        <f>'Avg Week MUKONO-KATOSI'!H20+'Avg Week KATOSI-MUKONO'!H20</f>
        <v>0.42857142857142855</v>
      </c>
      <c r="I20" s="49">
        <f>'Avg Week MUKONO-KATOSI'!I20+'Avg Week KATOSI-MUKONO'!I20</f>
        <v>13.714285714285715</v>
      </c>
      <c r="J20" s="49">
        <f>'Avg Week MUKONO-KATOSI'!J20+'Avg Week KATOSI-MUKONO'!J20</f>
        <v>4.4285714285714288</v>
      </c>
      <c r="K20" s="49">
        <f>'Avg Week MUKONO-KATOSI'!K20+'Avg Week KATOSI-MUKONO'!K20</f>
        <v>1.5714285714285714</v>
      </c>
      <c r="L20" s="49">
        <f>'Avg Week MUKONO-KATOSI'!L20+'Avg Week KATOSI-MUKONO'!L20</f>
        <v>11.428571428571429</v>
      </c>
      <c r="M20" s="49">
        <f>'Avg Week MUKONO-KATOSI'!M20+'Avg Week KATOSI-MUKONO'!M20</f>
        <v>201.71428571428572</v>
      </c>
      <c r="N20" s="49">
        <f>'Avg Week MUKONO-KATOSI'!N20+'Avg Week KATOSI-MUKONO'!N20</f>
        <v>0.14285714285714285</v>
      </c>
      <c r="O20" s="15">
        <f t="shared" si="0"/>
        <v>79.571428571428569</v>
      </c>
      <c r="P20" s="15">
        <f t="shared" si="1"/>
        <v>281.28571428571433</v>
      </c>
      <c r="R20" s="1" t="s">
        <v>16</v>
      </c>
      <c r="S20" s="17">
        <f t="shared" ref="S20:AF20" si="12">SUM(C50:C53)</f>
        <v>116.85714285714286</v>
      </c>
      <c r="T20" s="17">
        <f t="shared" si="12"/>
        <v>50.285714285714285</v>
      </c>
      <c r="U20" s="17">
        <f t="shared" si="12"/>
        <v>29.428571428571427</v>
      </c>
      <c r="V20" s="17">
        <f t="shared" si="12"/>
        <v>80.571428571428555</v>
      </c>
      <c r="W20" s="17">
        <f t="shared" si="12"/>
        <v>6.5714285714285712</v>
      </c>
      <c r="X20" s="17">
        <f t="shared" si="12"/>
        <v>0.42857142857142855</v>
      </c>
      <c r="Y20" s="17">
        <f t="shared" si="12"/>
        <v>45.857142857142861</v>
      </c>
      <c r="Z20" s="17">
        <f t="shared" si="12"/>
        <v>14.142857142857142</v>
      </c>
      <c r="AA20" s="17">
        <f t="shared" si="12"/>
        <v>3</v>
      </c>
      <c r="AB20" s="17">
        <f t="shared" si="12"/>
        <v>15.428571428571429</v>
      </c>
      <c r="AC20" s="17">
        <f t="shared" si="12"/>
        <v>704.99999999999989</v>
      </c>
      <c r="AD20" s="17">
        <f t="shared" si="12"/>
        <v>0</v>
      </c>
      <c r="AE20" s="31">
        <f t="shared" si="12"/>
        <v>362.57142857142856</v>
      </c>
      <c r="AF20" s="31">
        <f t="shared" si="12"/>
        <v>1067.5714285714287</v>
      </c>
    </row>
    <row r="21" spans="2:32" ht="23.1" customHeight="1" x14ac:dyDescent="0.25">
      <c r="B21" s="23" t="s">
        <v>48</v>
      </c>
      <c r="C21" s="49">
        <f>'Avg Week MUKONO-KATOSI'!C21+'Avg Week KATOSI-MUKONO'!C21</f>
        <v>21.571428571428569</v>
      </c>
      <c r="D21" s="49">
        <f>'Avg Week MUKONO-KATOSI'!D21+'Avg Week KATOSI-MUKONO'!D21</f>
        <v>9.2857142857142865</v>
      </c>
      <c r="E21" s="49">
        <f>'Avg Week MUKONO-KATOSI'!E21+'Avg Week KATOSI-MUKONO'!E21</f>
        <v>7.4285714285714288</v>
      </c>
      <c r="F21" s="49">
        <f>'Avg Week MUKONO-KATOSI'!F21+'Avg Week KATOSI-MUKONO'!F21</f>
        <v>13.571428571428571</v>
      </c>
      <c r="G21" s="49">
        <f>'Avg Week MUKONO-KATOSI'!G21+'Avg Week KATOSI-MUKONO'!G21</f>
        <v>1.1428571428571428</v>
      </c>
      <c r="H21" s="49">
        <f>'Avg Week MUKONO-KATOSI'!H21+'Avg Week KATOSI-MUKONO'!H21</f>
        <v>0.5714285714285714</v>
      </c>
      <c r="I21" s="49">
        <f>'Avg Week MUKONO-KATOSI'!I21+'Avg Week KATOSI-MUKONO'!I21</f>
        <v>12.571428571428573</v>
      </c>
      <c r="J21" s="49">
        <f>'Avg Week MUKONO-KATOSI'!J21+'Avg Week KATOSI-MUKONO'!J21</f>
        <v>3.1428571428571428</v>
      </c>
      <c r="K21" s="49">
        <f>'Avg Week MUKONO-KATOSI'!K21+'Avg Week KATOSI-MUKONO'!K21</f>
        <v>0.8571428571428571</v>
      </c>
      <c r="L21" s="49">
        <f>'Avg Week MUKONO-KATOSI'!L21+'Avg Week KATOSI-MUKONO'!L21</f>
        <v>0</v>
      </c>
      <c r="M21" s="49">
        <f>'Avg Week MUKONO-KATOSI'!M21+'Avg Week KATOSI-MUKONO'!M21</f>
        <v>188.71428571428572</v>
      </c>
      <c r="N21" s="49">
        <f>'Avg Week MUKONO-KATOSI'!N21+'Avg Week KATOSI-MUKONO'!N21</f>
        <v>0</v>
      </c>
      <c r="O21" s="15">
        <f t="shared" si="0"/>
        <v>70.142857142857139</v>
      </c>
      <c r="P21" s="15">
        <f t="shared" si="1"/>
        <v>258.85714285714289</v>
      </c>
      <c r="R21" s="1" t="s">
        <v>20</v>
      </c>
      <c r="S21" s="34">
        <f t="shared" ref="S21:AF21" si="13">SUM(C54:C57)</f>
        <v>121.14285714285714</v>
      </c>
      <c r="T21" s="17">
        <f t="shared" si="13"/>
        <v>54.857142857142861</v>
      </c>
      <c r="U21" s="17">
        <f t="shared" si="13"/>
        <v>29.285714285714285</v>
      </c>
      <c r="V21" s="17">
        <f t="shared" si="13"/>
        <v>78.142857142857139</v>
      </c>
      <c r="W21" s="17">
        <f t="shared" si="13"/>
        <v>5</v>
      </c>
      <c r="X21" s="17">
        <f t="shared" si="13"/>
        <v>0.14285714285714285</v>
      </c>
      <c r="Y21" s="17">
        <f t="shared" si="13"/>
        <v>46.285714285714292</v>
      </c>
      <c r="Z21" s="17">
        <f t="shared" si="13"/>
        <v>12.428571428571427</v>
      </c>
      <c r="AA21" s="17">
        <f t="shared" si="13"/>
        <v>3.1428571428571428</v>
      </c>
      <c r="AB21" s="17">
        <f t="shared" si="13"/>
        <v>2.4285714285714284</v>
      </c>
      <c r="AC21" s="17">
        <f t="shared" si="13"/>
        <v>740</v>
      </c>
      <c r="AD21" s="17">
        <f t="shared" si="13"/>
        <v>0.14285714285714285</v>
      </c>
      <c r="AE21" s="31">
        <f t="shared" si="13"/>
        <v>353</v>
      </c>
      <c r="AF21" s="31">
        <f t="shared" si="13"/>
        <v>1093</v>
      </c>
    </row>
    <row r="22" spans="2:32" ht="23.1" customHeight="1" x14ac:dyDescent="0.25">
      <c r="B22" s="23" t="s">
        <v>49</v>
      </c>
      <c r="C22" s="49">
        <f>'Avg Week MUKONO-KATOSI'!C22+'Avg Week KATOSI-MUKONO'!C22</f>
        <v>21</v>
      </c>
      <c r="D22" s="49">
        <f>'Avg Week MUKONO-KATOSI'!D22+'Avg Week KATOSI-MUKONO'!D22</f>
        <v>8.4285714285714288</v>
      </c>
      <c r="E22" s="49">
        <f>'Avg Week MUKONO-KATOSI'!E22+'Avg Week KATOSI-MUKONO'!E22</f>
        <v>4.2857142857142856</v>
      </c>
      <c r="F22" s="49">
        <f>'Avg Week MUKONO-KATOSI'!F22+'Avg Week KATOSI-MUKONO'!F22</f>
        <v>16.142857142857142</v>
      </c>
      <c r="G22" s="49">
        <f>'Avg Week MUKONO-KATOSI'!G22+'Avg Week KATOSI-MUKONO'!G22</f>
        <v>1.1428571428571428</v>
      </c>
      <c r="H22" s="49">
        <f>'Avg Week MUKONO-KATOSI'!H22+'Avg Week KATOSI-MUKONO'!H22</f>
        <v>0</v>
      </c>
      <c r="I22" s="49">
        <f>'Avg Week MUKONO-KATOSI'!I22+'Avg Week KATOSI-MUKONO'!I22</f>
        <v>12</v>
      </c>
      <c r="J22" s="49">
        <f>'Avg Week MUKONO-KATOSI'!J22+'Avg Week KATOSI-MUKONO'!J22</f>
        <v>2.1428571428571428</v>
      </c>
      <c r="K22" s="49">
        <f>'Avg Week MUKONO-KATOSI'!K22+'Avg Week KATOSI-MUKONO'!K22</f>
        <v>2</v>
      </c>
      <c r="L22" s="49">
        <f>'Avg Week MUKONO-KATOSI'!L22+'Avg Week KATOSI-MUKONO'!L22</f>
        <v>0.42857142857142855</v>
      </c>
      <c r="M22" s="49">
        <f>'Avg Week MUKONO-KATOSI'!M22+'Avg Week KATOSI-MUKONO'!M22</f>
        <v>170.57142857142856</v>
      </c>
      <c r="N22" s="49">
        <f>'Avg Week MUKONO-KATOSI'!N22+'Avg Week KATOSI-MUKONO'!N22</f>
        <v>0</v>
      </c>
      <c r="O22" s="15">
        <f t="shared" si="0"/>
        <v>67.571428571428584</v>
      </c>
      <c r="P22" s="15">
        <f t="shared" si="1"/>
        <v>238.14285714285714</v>
      </c>
      <c r="R22" s="1" t="s">
        <v>146</v>
      </c>
      <c r="S22" s="34">
        <f>SUM(C58:C61)</f>
        <v>107.5</v>
      </c>
      <c r="T22" s="34">
        <f t="shared" ref="T22:AF22" si="14">SUM(D58:D61)</f>
        <v>55.5</v>
      </c>
      <c r="U22" s="34">
        <f t="shared" si="14"/>
        <v>27.5</v>
      </c>
      <c r="V22" s="34">
        <f t="shared" si="14"/>
        <v>45.5</v>
      </c>
      <c r="W22" s="34">
        <f t="shared" si="14"/>
        <v>2.5</v>
      </c>
      <c r="X22" s="34">
        <f t="shared" si="14"/>
        <v>0</v>
      </c>
      <c r="Y22" s="34">
        <f t="shared" si="14"/>
        <v>34.5</v>
      </c>
      <c r="Z22" s="34">
        <f t="shared" si="14"/>
        <v>11</v>
      </c>
      <c r="AA22" s="34">
        <f t="shared" si="14"/>
        <v>3.5</v>
      </c>
      <c r="AB22" s="34">
        <f t="shared" si="14"/>
        <v>3</v>
      </c>
      <c r="AC22" s="34">
        <f t="shared" si="14"/>
        <v>600.5</v>
      </c>
      <c r="AD22" s="34">
        <f t="shared" si="14"/>
        <v>0</v>
      </c>
      <c r="AE22" s="31">
        <f t="shared" si="14"/>
        <v>290.5</v>
      </c>
      <c r="AF22" s="31">
        <f t="shared" si="14"/>
        <v>891</v>
      </c>
    </row>
    <row r="23" spans="2:32" ht="23.1" customHeight="1" x14ac:dyDescent="0.25">
      <c r="B23" s="23" t="s">
        <v>50</v>
      </c>
      <c r="C23" s="49">
        <f>'Avg Week MUKONO-KATOSI'!C23+'Avg Week KATOSI-MUKONO'!C23</f>
        <v>24.142857142857142</v>
      </c>
      <c r="D23" s="49">
        <f>'Avg Week MUKONO-KATOSI'!D23+'Avg Week KATOSI-MUKONO'!D23</f>
        <v>8.7142857142857135</v>
      </c>
      <c r="E23" s="49">
        <f>'Avg Week MUKONO-KATOSI'!E23+'Avg Week KATOSI-MUKONO'!E23</f>
        <v>6.1428571428571432</v>
      </c>
      <c r="F23" s="49">
        <f>'Avg Week MUKONO-KATOSI'!F23+'Avg Week KATOSI-MUKONO'!F23</f>
        <v>14.571428571428571</v>
      </c>
      <c r="G23" s="49">
        <f>'Avg Week MUKONO-KATOSI'!G23+'Avg Week KATOSI-MUKONO'!G23</f>
        <v>0.42857142857142855</v>
      </c>
      <c r="H23" s="49">
        <f>'Avg Week MUKONO-KATOSI'!H23+'Avg Week KATOSI-MUKONO'!H23</f>
        <v>0</v>
      </c>
      <c r="I23" s="49">
        <f>'Avg Week MUKONO-KATOSI'!I23+'Avg Week KATOSI-MUKONO'!I23</f>
        <v>18</v>
      </c>
      <c r="J23" s="49">
        <f>'Avg Week MUKONO-KATOSI'!J23+'Avg Week KATOSI-MUKONO'!J23</f>
        <v>4</v>
      </c>
      <c r="K23" s="49">
        <f>'Avg Week MUKONO-KATOSI'!K23+'Avg Week KATOSI-MUKONO'!K23</f>
        <v>1</v>
      </c>
      <c r="L23" s="49">
        <f>'Avg Week MUKONO-KATOSI'!L23+'Avg Week KATOSI-MUKONO'!L23</f>
        <v>1.1428571428571428</v>
      </c>
      <c r="M23" s="49">
        <f>'Avg Week MUKONO-KATOSI'!M23+'Avg Week KATOSI-MUKONO'!M23</f>
        <v>181.14285714285717</v>
      </c>
      <c r="N23" s="49">
        <f>'Avg Week MUKONO-KATOSI'!N23+'Avg Week KATOSI-MUKONO'!N23</f>
        <v>0</v>
      </c>
      <c r="O23" s="15">
        <f t="shared" si="0"/>
        <v>78.142857142857139</v>
      </c>
      <c r="P23" s="15">
        <f t="shared" si="1"/>
        <v>259.28571428571433</v>
      </c>
      <c r="R23" s="1" t="s">
        <v>147</v>
      </c>
      <c r="S23" s="34">
        <f>SUM(C62:C65)</f>
        <v>119</v>
      </c>
      <c r="T23" s="34">
        <f t="shared" ref="T23:AF23" si="15">SUM(D62:D65)</f>
        <v>46</v>
      </c>
      <c r="U23" s="34">
        <f t="shared" si="15"/>
        <v>27</v>
      </c>
      <c r="V23" s="34">
        <f t="shared" si="15"/>
        <v>51</v>
      </c>
      <c r="W23" s="34">
        <f t="shared" si="15"/>
        <v>3.5</v>
      </c>
      <c r="X23" s="34">
        <f t="shared" si="15"/>
        <v>0</v>
      </c>
      <c r="Y23" s="34">
        <f t="shared" si="15"/>
        <v>40.5</v>
      </c>
      <c r="Z23" s="34">
        <f t="shared" si="15"/>
        <v>9.5</v>
      </c>
      <c r="AA23" s="34">
        <f t="shared" si="15"/>
        <v>3.5</v>
      </c>
      <c r="AB23" s="34">
        <f t="shared" si="15"/>
        <v>1.5</v>
      </c>
      <c r="AC23" s="34">
        <f t="shared" si="15"/>
        <v>574</v>
      </c>
      <c r="AD23" s="34">
        <f t="shared" si="15"/>
        <v>0</v>
      </c>
      <c r="AE23" s="31">
        <f t="shared" si="15"/>
        <v>301.5</v>
      </c>
      <c r="AF23" s="31">
        <f t="shared" si="15"/>
        <v>875.5</v>
      </c>
    </row>
    <row r="24" spans="2:32" ht="23.1" customHeight="1" x14ac:dyDescent="0.25">
      <c r="B24" s="23" t="s">
        <v>51</v>
      </c>
      <c r="C24" s="49">
        <f>'Avg Week MUKONO-KATOSI'!C24+'Avg Week KATOSI-MUKONO'!C24</f>
        <v>25.571428571428569</v>
      </c>
      <c r="D24" s="49">
        <f>'Avg Week MUKONO-KATOSI'!D24+'Avg Week KATOSI-MUKONO'!D24</f>
        <v>12</v>
      </c>
      <c r="E24" s="49">
        <f>'Avg Week MUKONO-KATOSI'!E24+'Avg Week KATOSI-MUKONO'!E24</f>
        <v>6.7142857142857153</v>
      </c>
      <c r="F24" s="49">
        <f>'Avg Week MUKONO-KATOSI'!F24+'Avg Week KATOSI-MUKONO'!F24</f>
        <v>15</v>
      </c>
      <c r="G24" s="49">
        <f>'Avg Week MUKONO-KATOSI'!G24+'Avg Week KATOSI-MUKONO'!G24</f>
        <v>0.5714285714285714</v>
      </c>
      <c r="H24" s="49">
        <f>'Avg Week MUKONO-KATOSI'!H24+'Avg Week KATOSI-MUKONO'!H24</f>
        <v>0</v>
      </c>
      <c r="I24" s="49">
        <f>'Avg Week MUKONO-KATOSI'!I24+'Avg Week KATOSI-MUKONO'!I24</f>
        <v>14.142857142857142</v>
      </c>
      <c r="J24" s="49">
        <f>'Avg Week MUKONO-KATOSI'!J24+'Avg Week KATOSI-MUKONO'!J24</f>
        <v>3.2857142857142856</v>
      </c>
      <c r="K24" s="49">
        <f>'Avg Week MUKONO-KATOSI'!K24+'Avg Week KATOSI-MUKONO'!K24</f>
        <v>0.71428571428571419</v>
      </c>
      <c r="L24" s="49">
        <f>'Avg Week MUKONO-KATOSI'!L24+'Avg Week KATOSI-MUKONO'!L24</f>
        <v>1.1428571428571428</v>
      </c>
      <c r="M24" s="49">
        <f>'Avg Week MUKONO-KATOSI'!M24+'Avg Week KATOSI-MUKONO'!M24</f>
        <v>193.28571428571428</v>
      </c>
      <c r="N24" s="49">
        <f>'Avg Week MUKONO-KATOSI'!N24+'Avg Week KATOSI-MUKONO'!N24</f>
        <v>0</v>
      </c>
      <c r="O24" s="15">
        <f t="shared" si="0"/>
        <v>79.142857142857139</v>
      </c>
      <c r="P24" s="15">
        <f t="shared" si="1"/>
        <v>272.42857142857144</v>
      </c>
      <c r="R24" s="1" t="s">
        <v>148</v>
      </c>
      <c r="S24" s="34">
        <f>SUM(C66:C69)</f>
        <v>80.5</v>
      </c>
      <c r="T24" s="34">
        <f t="shared" ref="T24:AF24" si="16">SUM(D66:D69)</f>
        <v>33.5</v>
      </c>
      <c r="U24" s="34">
        <f t="shared" si="16"/>
        <v>22</v>
      </c>
      <c r="V24" s="34">
        <f t="shared" si="16"/>
        <v>46.5</v>
      </c>
      <c r="W24" s="34">
        <f t="shared" si="16"/>
        <v>3.5</v>
      </c>
      <c r="X24" s="34">
        <f t="shared" si="16"/>
        <v>0</v>
      </c>
      <c r="Y24" s="34">
        <f t="shared" si="16"/>
        <v>18.5</v>
      </c>
      <c r="Z24" s="34">
        <f t="shared" si="16"/>
        <v>12</v>
      </c>
      <c r="AA24" s="34">
        <f t="shared" si="16"/>
        <v>3.5</v>
      </c>
      <c r="AB24" s="34">
        <f t="shared" si="16"/>
        <v>0.5</v>
      </c>
      <c r="AC24" s="34">
        <f t="shared" si="16"/>
        <v>558.5</v>
      </c>
      <c r="AD24" s="34">
        <f t="shared" si="16"/>
        <v>0</v>
      </c>
      <c r="AE24" s="31">
        <f t="shared" si="16"/>
        <v>220.5</v>
      </c>
      <c r="AF24" s="31">
        <f t="shared" si="16"/>
        <v>779</v>
      </c>
    </row>
    <row r="25" spans="2:32" ht="23.1" customHeight="1" x14ac:dyDescent="0.25">
      <c r="B25" s="23" t="s">
        <v>52</v>
      </c>
      <c r="C25" s="49">
        <f>'Avg Week MUKONO-KATOSI'!C25+'Avg Week KATOSI-MUKONO'!C25</f>
        <v>19.428571428571431</v>
      </c>
      <c r="D25" s="49">
        <f>'Avg Week MUKONO-KATOSI'!D25+'Avg Week KATOSI-MUKONO'!D25</f>
        <v>9.1428571428571423</v>
      </c>
      <c r="E25" s="49">
        <f>'Avg Week MUKONO-KATOSI'!E25+'Avg Week KATOSI-MUKONO'!E25</f>
        <v>7.2857142857142856</v>
      </c>
      <c r="F25" s="49">
        <f>'Avg Week MUKONO-KATOSI'!F25+'Avg Week KATOSI-MUKONO'!F25</f>
        <v>15.857142857142858</v>
      </c>
      <c r="G25" s="49">
        <f>'Avg Week MUKONO-KATOSI'!G25+'Avg Week KATOSI-MUKONO'!G25</f>
        <v>0.8571428571428571</v>
      </c>
      <c r="H25" s="49">
        <f>'Avg Week MUKONO-KATOSI'!H25+'Avg Week KATOSI-MUKONO'!H25</f>
        <v>0.14285714285714285</v>
      </c>
      <c r="I25" s="49">
        <f>'Avg Week MUKONO-KATOSI'!I25+'Avg Week KATOSI-MUKONO'!I25</f>
        <v>14.285714285714285</v>
      </c>
      <c r="J25" s="49">
        <f>'Avg Week MUKONO-KATOSI'!J25+'Avg Week KATOSI-MUKONO'!J25</f>
        <v>3</v>
      </c>
      <c r="K25" s="49">
        <f>'Avg Week MUKONO-KATOSI'!K25+'Avg Week KATOSI-MUKONO'!K25</f>
        <v>0.71428571428571419</v>
      </c>
      <c r="L25" s="49">
        <f>'Avg Week MUKONO-KATOSI'!L25+'Avg Week KATOSI-MUKONO'!L25</f>
        <v>0.8571428571428571</v>
      </c>
      <c r="M25" s="49">
        <f>'Avg Week MUKONO-KATOSI'!M25+'Avg Week KATOSI-MUKONO'!M25</f>
        <v>182.85714285714286</v>
      </c>
      <c r="N25" s="49">
        <f>'Avg Week MUKONO-KATOSI'!N25+'Avg Week KATOSI-MUKONO'!N25</f>
        <v>0</v>
      </c>
      <c r="O25" s="15">
        <f t="shared" si="0"/>
        <v>71.571428571428569</v>
      </c>
      <c r="P25" s="15">
        <f t="shared" si="1"/>
        <v>254.42857142857144</v>
      </c>
      <c r="R25" s="1" t="s">
        <v>149</v>
      </c>
      <c r="S25" s="34">
        <f>SUM(C70:C73)</f>
        <v>45</v>
      </c>
      <c r="T25" s="34">
        <f t="shared" ref="T25:AF25" si="17">SUM(D70:D73)</f>
        <v>17.5</v>
      </c>
      <c r="U25" s="34">
        <f t="shared" si="17"/>
        <v>9</v>
      </c>
      <c r="V25" s="34">
        <f t="shared" si="17"/>
        <v>33.5</v>
      </c>
      <c r="W25" s="34">
        <f t="shared" si="17"/>
        <v>1</v>
      </c>
      <c r="X25" s="34">
        <f t="shared" si="17"/>
        <v>1</v>
      </c>
      <c r="Y25" s="34">
        <f t="shared" si="17"/>
        <v>14.5</v>
      </c>
      <c r="Z25" s="34">
        <f t="shared" si="17"/>
        <v>7</v>
      </c>
      <c r="AA25" s="34">
        <f t="shared" si="17"/>
        <v>2.5</v>
      </c>
      <c r="AB25" s="34">
        <f t="shared" si="17"/>
        <v>0</v>
      </c>
      <c r="AC25" s="34">
        <f t="shared" si="17"/>
        <v>352.5</v>
      </c>
      <c r="AD25" s="34">
        <f t="shared" si="17"/>
        <v>0</v>
      </c>
      <c r="AE25" s="31">
        <f t="shared" si="17"/>
        <v>131</v>
      </c>
      <c r="AF25" s="31">
        <f t="shared" si="17"/>
        <v>483.5</v>
      </c>
    </row>
    <row r="26" spans="2:32" ht="23.1" customHeight="1" x14ac:dyDescent="0.25">
      <c r="B26" s="23" t="s">
        <v>53</v>
      </c>
      <c r="C26" s="49">
        <f>'Avg Week MUKONO-KATOSI'!C26+'Avg Week KATOSI-MUKONO'!C26</f>
        <v>20.714285714285715</v>
      </c>
      <c r="D26" s="49">
        <f>'Avg Week MUKONO-KATOSI'!D26+'Avg Week KATOSI-MUKONO'!D26</f>
        <v>9.5714285714285712</v>
      </c>
      <c r="E26" s="49">
        <f>'Avg Week MUKONO-KATOSI'!E26+'Avg Week KATOSI-MUKONO'!E26</f>
        <v>6</v>
      </c>
      <c r="F26" s="49">
        <f>'Avg Week MUKONO-KATOSI'!F26+'Avg Week KATOSI-MUKONO'!F26</f>
        <v>15</v>
      </c>
      <c r="G26" s="49">
        <f>'Avg Week MUKONO-KATOSI'!G26+'Avg Week KATOSI-MUKONO'!G26</f>
        <v>0.71428571428571419</v>
      </c>
      <c r="H26" s="49">
        <f>'Avg Week MUKONO-KATOSI'!H26+'Avg Week KATOSI-MUKONO'!H26</f>
        <v>0</v>
      </c>
      <c r="I26" s="49">
        <f>'Avg Week MUKONO-KATOSI'!I26+'Avg Week KATOSI-MUKONO'!I26</f>
        <v>14.142857142857142</v>
      </c>
      <c r="J26" s="49">
        <f>'Avg Week MUKONO-KATOSI'!J26+'Avg Week KATOSI-MUKONO'!J26</f>
        <v>2.5714285714285712</v>
      </c>
      <c r="K26" s="49">
        <f>'Avg Week MUKONO-KATOSI'!K26+'Avg Week KATOSI-MUKONO'!K26</f>
        <v>1.2857142857142856</v>
      </c>
      <c r="L26" s="49">
        <f>'Avg Week MUKONO-KATOSI'!L26+'Avg Week KATOSI-MUKONO'!L26</f>
        <v>1</v>
      </c>
      <c r="M26" s="49">
        <f>'Avg Week MUKONO-KATOSI'!M26+'Avg Week KATOSI-MUKONO'!M26</f>
        <v>179.57142857142856</v>
      </c>
      <c r="N26" s="49">
        <f>'Avg Week MUKONO-KATOSI'!N26+'Avg Week KATOSI-MUKONO'!N26</f>
        <v>0.14285714285714285</v>
      </c>
      <c r="O26" s="15">
        <f t="shared" si="0"/>
        <v>71.142857142857139</v>
      </c>
      <c r="P26" s="15">
        <f t="shared" si="1"/>
        <v>250.71428571428569</v>
      </c>
      <c r="R26" s="1" t="s">
        <v>150</v>
      </c>
      <c r="S26" s="34">
        <f>SUM(C74:C77)</f>
        <v>49</v>
      </c>
      <c r="T26" s="34">
        <f t="shared" ref="T26:AF26" si="18">SUM(D74:D77)</f>
        <v>16.5</v>
      </c>
      <c r="U26" s="34">
        <f t="shared" si="18"/>
        <v>13</v>
      </c>
      <c r="V26" s="34">
        <f t="shared" si="18"/>
        <v>32</v>
      </c>
      <c r="W26" s="34">
        <f t="shared" si="18"/>
        <v>1.5</v>
      </c>
      <c r="X26" s="34">
        <f t="shared" si="18"/>
        <v>0</v>
      </c>
      <c r="Y26" s="34">
        <f t="shared" si="18"/>
        <v>9.5</v>
      </c>
      <c r="Z26" s="34">
        <f t="shared" si="18"/>
        <v>3</v>
      </c>
      <c r="AA26" s="34">
        <f t="shared" si="18"/>
        <v>1.5</v>
      </c>
      <c r="AB26" s="34">
        <f t="shared" si="18"/>
        <v>0</v>
      </c>
      <c r="AC26" s="34">
        <f t="shared" si="18"/>
        <v>288</v>
      </c>
      <c r="AD26" s="34">
        <f t="shared" si="18"/>
        <v>0</v>
      </c>
      <c r="AE26" s="31">
        <f t="shared" si="18"/>
        <v>126</v>
      </c>
      <c r="AF26" s="31">
        <f t="shared" si="18"/>
        <v>414</v>
      </c>
    </row>
    <row r="27" spans="2:32" ht="23.1" customHeight="1" x14ac:dyDescent="0.25">
      <c r="B27" s="23" t="s">
        <v>54</v>
      </c>
      <c r="C27" s="49">
        <f>'Avg Week MUKONO-KATOSI'!C27+'Avg Week KATOSI-MUKONO'!C27</f>
        <v>28.714285714285715</v>
      </c>
      <c r="D27" s="49">
        <f>'Avg Week MUKONO-KATOSI'!D27+'Avg Week KATOSI-MUKONO'!D27</f>
        <v>9.2857142857142847</v>
      </c>
      <c r="E27" s="49">
        <f>'Avg Week MUKONO-KATOSI'!E27+'Avg Week KATOSI-MUKONO'!E27</f>
        <v>9.4285714285714288</v>
      </c>
      <c r="F27" s="49">
        <f>'Avg Week MUKONO-KATOSI'!F27+'Avg Week KATOSI-MUKONO'!F27</f>
        <v>15.428571428571427</v>
      </c>
      <c r="G27" s="49">
        <f>'Avg Week MUKONO-KATOSI'!G27+'Avg Week KATOSI-MUKONO'!G27</f>
        <v>0.71428571428571419</v>
      </c>
      <c r="H27" s="49">
        <f>'Avg Week MUKONO-KATOSI'!H27+'Avg Week KATOSI-MUKONO'!H27</f>
        <v>0</v>
      </c>
      <c r="I27" s="49">
        <f>'Avg Week MUKONO-KATOSI'!I27+'Avg Week KATOSI-MUKONO'!I27</f>
        <v>13.714285714285714</v>
      </c>
      <c r="J27" s="49">
        <f>'Avg Week MUKONO-KATOSI'!J27+'Avg Week KATOSI-MUKONO'!J27</f>
        <v>2.4285714285714288</v>
      </c>
      <c r="K27" s="49">
        <f>'Avg Week MUKONO-KATOSI'!K27+'Avg Week KATOSI-MUKONO'!K27</f>
        <v>1</v>
      </c>
      <c r="L27" s="49">
        <f>'Avg Week MUKONO-KATOSI'!L27+'Avg Week KATOSI-MUKONO'!L27</f>
        <v>1</v>
      </c>
      <c r="M27" s="49">
        <f>'Avg Week MUKONO-KATOSI'!M27+'Avg Week KATOSI-MUKONO'!M27</f>
        <v>180.57142857142856</v>
      </c>
      <c r="N27" s="49">
        <f>'Avg Week MUKONO-KATOSI'!N27+'Avg Week KATOSI-MUKONO'!N27</f>
        <v>0</v>
      </c>
      <c r="O27" s="15">
        <f t="shared" si="0"/>
        <v>81.714285714285722</v>
      </c>
      <c r="P27" s="15">
        <f t="shared" si="1"/>
        <v>262.28571428571428</v>
      </c>
      <c r="R27" s="1" t="s">
        <v>151</v>
      </c>
      <c r="S27" s="34">
        <f>SUM(C78:C81)</f>
        <v>20.5</v>
      </c>
      <c r="T27" s="34">
        <f t="shared" ref="T27:AF27" si="19">SUM(D78:D81)</f>
        <v>10.5</v>
      </c>
      <c r="U27" s="34">
        <f t="shared" si="19"/>
        <v>4.5</v>
      </c>
      <c r="V27" s="34">
        <f t="shared" si="19"/>
        <v>21.5</v>
      </c>
      <c r="W27" s="34">
        <f t="shared" si="19"/>
        <v>1</v>
      </c>
      <c r="X27" s="34">
        <f t="shared" si="19"/>
        <v>0</v>
      </c>
      <c r="Y27" s="34">
        <f t="shared" si="19"/>
        <v>7.5</v>
      </c>
      <c r="Z27" s="34">
        <f t="shared" si="19"/>
        <v>5</v>
      </c>
      <c r="AA27" s="34">
        <f t="shared" si="19"/>
        <v>0.5</v>
      </c>
      <c r="AB27" s="34">
        <f t="shared" si="19"/>
        <v>0.5</v>
      </c>
      <c r="AC27" s="34">
        <f t="shared" si="19"/>
        <v>114</v>
      </c>
      <c r="AD27" s="34">
        <f t="shared" si="19"/>
        <v>0</v>
      </c>
      <c r="AE27" s="31">
        <f t="shared" si="19"/>
        <v>71.5</v>
      </c>
      <c r="AF27" s="31">
        <f t="shared" si="19"/>
        <v>185.5</v>
      </c>
    </row>
    <row r="28" spans="2:32" ht="23.1" customHeight="1" x14ac:dyDescent="0.25">
      <c r="B28" s="23" t="s">
        <v>55</v>
      </c>
      <c r="C28" s="49">
        <f>'Avg Week MUKONO-KATOSI'!C28+'Avg Week KATOSI-MUKONO'!C28</f>
        <v>26</v>
      </c>
      <c r="D28" s="49">
        <f>'Avg Week MUKONO-KATOSI'!D28+'Avg Week KATOSI-MUKONO'!D28</f>
        <v>10.428571428571429</v>
      </c>
      <c r="E28" s="49">
        <f>'Avg Week MUKONO-KATOSI'!E28+'Avg Week KATOSI-MUKONO'!E28</f>
        <v>5.5714285714285712</v>
      </c>
      <c r="F28" s="49">
        <f>'Avg Week MUKONO-KATOSI'!F28+'Avg Week KATOSI-MUKONO'!F28</f>
        <v>17.428571428571431</v>
      </c>
      <c r="G28" s="49">
        <f>'Avg Week MUKONO-KATOSI'!G28+'Avg Week KATOSI-MUKONO'!G28</f>
        <v>0.42857142857142855</v>
      </c>
      <c r="H28" s="49">
        <f>'Avg Week MUKONO-KATOSI'!H28+'Avg Week KATOSI-MUKONO'!H28</f>
        <v>0</v>
      </c>
      <c r="I28" s="49">
        <f>'Avg Week MUKONO-KATOSI'!I28+'Avg Week KATOSI-MUKONO'!I28</f>
        <v>15.714285714285715</v>
      </c>
      <c r="J28" s="49">
        <f>'Avg Week MUKONO-KATOSI'!J28+'Avg Week KATOSI-MUKONO'!J28</f>
        <v>3</v>
      </c>
      <c r="K28" s="49">
        <f>'Avg Week MUKONO-KATOSI'!K28+'Avg Week KATOSI-MUKONO'!K28</f>
        <v>0.42857142857142855</v>
      </c>
      <c r="L28" s="49">
        <f>'Avg Week MUKONO-KATOSI'!L28+'Avg Week KATOSI-MUKONO'!L28</f>
        <v>12</v>
      </c>
      <c r="M28" s="49">
        <f>'Avg Week MUKONO-KATOSI'!M28+'Avg Week KATOSI-MUKONO'!M28</f>
        <v>197.28571428571428</v>
      </c>
      <c r="N28" s="49">
        <f>'Avg Week MUKONO-KATOSI'!N28+'Avg Week KATOSI-MUKONO'!N28</f>
        <v>0.14285714285714285</v>
      </c>
      <c r="O28" s="15">
        <f t="shared" si="0"/>
        <v>91.142857142857153</v>
      </c>
      <c r="P28" s="15">
        <f t="shared" si="1"/>
        <v>288.42857142857144</v>
      </c>
      <c r="R28" s="1" t="s">
        <v>152</v>
      </c>
      <c r="S28" s="34">
        <f>SUM(C82:C85)</f>
        <v>23</v>
      </c>
      <c r="T28" s="34">
        <f t="shared" ref="T28:AF28" si="20">SUM(D82:D85)</f>
        <v>3</v>
      </c>
      <c r="U28" s="34">
        <f t="shared" si="20"/>
        <v>4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2</v>
      </c>
      <c r="AA28" s="34">
        <f t="shared" si="20"/>
        <v>0.5</v>
      </c>
      <c r="AB28" s="34">
        <f t="shared" si="20"/>
        <v>0</v>
      </c>
      <c r="AC28" s="34">
        <f t="shared" si="20"/>
        <v>55.5</v>
      </c>
      <c r="AD28" s="34">
        <f t="shared" si="20"/>
        <v>0</v>
      </c>
      <c r="AE28" s="31">
        <f t="shared" si="20"/>
        <v>38.5</v>
      </c>
      <c r="AF28" s="31">
        <f t="shared" si="20"/>
        <v>94</v>
      </c>
    </row>
    <row r="29" spans="2:32" ht="23.1" customHeight="1" x14ac:dyDescent="0.25">
      <c r="B29" s="23" t="s">
        <v>56</v>
      </c>
      <c r="C29" s="49">
        <f>'Avg Week MUKONO-KATOSI'!C29+'Avg Week KATOSI-MUKONO'!C29</f>
        <v>25.714285714285715</v>
      </c>
      <c r="D29" s="49">
        <f>'Avg Week MUKONO-KATOSI'!D29+'Avg Week KATOSI-MUKONO'!D29</f>
        <v>11.142857142857142</v>
      </c>
      <c r="E29" s="49">
        <f>'Avg Week MUKONO-KATOSI'!E29+'Avg Week KATOSI-MUKONO'!E29</f>
        <v>7.4285714285714288</v>
      </c>
      <c r="F29" s="49">
        <f>'Avg Week MUKONO-KATOSI'!F29+'Avg Week KATOSI-MUKONO'!F29</f>
        <v>17.285714285714285</v>
      </c>
      <c r="G29" s="49">
        <f>'Avg Week MUKONO-KATOSI'!G29+'Avg Week KATOSI-MUKONO'!G29</f>
        <v>0.71428571428571419</v>
      </c>
      <c r="H29" s="49">
        <f>'Avg Week MUKONO-KATOSI'!H29+'Avg Week KATOSI-MUKONO'!H29</f>
        <v>0</v>
      </c>
      <c r="I29" s="49">
        <f>'Avg Week MUKONO-KATOSI'!I29+'Avg Week KATOSI-MUKONO'!I29</f>
        <v>14.571428571428573</v>
      </c>
      <c r="J29" s="49">
        <f>'Avg Week MUKONO-KATOSI'!J29+'Avg Week KATOSI-MUKONO'!J29</f>
        <v>3</v>
      </c>
      <c r="K29" s="49">
        <f>'Avg Week MUKONO-KATOSI'!K29+'Avg Week KATOSI-MUKONO'!K29</f>
        <v>1.1428571428571428</v>
      </c>
      <c r="L29" s="49">
        <f>'Avg Week MUKONO-KATOSI'!L29+'Avg Week KATOSI-MUKONO'!L29</f>
        <v>0.8571428571428571</v>
      </c>
      <c r="M29" s="49">
        <f>'Avg Week MUKONO-KATOSI'!M29+'Avg Week KATOSI-MUKONO'!M29</f>
        <v>192.28571428571428</v>
      </c>
      <c r="N29" s="49">
        <f>'Avg Week MUKONO-KATOSI'!N29+'Avg Week KATOSI-MUKONO'!N29</f>
        <v>0.14285714285714285</v>
      </c>
      <c r="O29" s="15">
        <f t="shared" si="0"/>
        <v>82</v>
      </c>
      <c r="P29" s="15">
        <f t="shared" si="1"/>
        <v>274.28571428571428</v>
      </c>
      <c r="R29" s="1" t="s">
        <v>153</v>
      </c>
      <c r="S29" s="34">
        <f>SUM(C86:C89)</f>
        <v>6</v>
      </c>
      <c r="T29" s="34">
        <f t="shared" ref="T29:AF29" si="21">SUM(D86:D89)</f>
        <v>4</v>
      </c>
      <c r="U29" s="34">
        <f t="shared" si="21"/>
        <v>1.5</v>
      </c>
      <c r="V29" s="34">
        <f t="shared" si="21"/>
        <v>5.5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2.5</v>
      </c>
      <c r="AA29" s="34">
        <f t="shared" si="21"/>
        <v>0</v>
      </c>
      <c r="AB29" s="34">
        <f t="shared" si="21"/>
        <v>2.5</v>
      </c>
      <c r="AC29" s="34">
        <f t="shared" si="21"/>
        <v>36.5</v>
      </c>
      <c r="AD29" s="34">
        <f t="shared" si="21"/>
        <v>0</v>
      </c>
      <c r="AE29" s="31">
        <f t="shared" si="21"/>
        <v>24</v>
      </c>
      <c r="AF29" s="31">
        <f t="shared" si="21"/>
        <v>60.5</v>
      </c>
    </row>
    <row r="30" spans="2:32" ht="23.1" customHeight="1" x14ac:dyDescent="0.25">
      <c r="B30" s="23" t="s">
        <v>57</v>
      </c>
      <c r="C30" s="49">
        <f>'Avg Week MUKONO-KATOSI'!C30+'Avg Week KATOSI-MUKONO'!C30</f>
        <v>27.142857142857142</v>
      </c>
      <c r="D30" s="49">
        <f>'Avg Week MUKONO-KATOSI'!D30+'Avg Week KATOSI-MUKONO'!D30</f>
        <v>14.571428571428573</v>
      </c>
      <c r="E30" s="49">
        <f>'Avg Week MUKONO-KATOSI'!E30+'Avg Week KATOSI-MUKONO'!E30</f>
        <v>7.7142857142857144</v>
      </c>
      <c r="F30" s="49">
        <f>'Avg Week MUKONO-KATOSI'!F30+'Avg Week KATOSI-MUKONO'!F30</f>
        <v>13.571428571428571</v>
      </c>
      <c r="G30" s="49">
        <f>'Avg Week MUKONO-KATOSI'!G30+'Avg Week KATOSI-MUKONO'!G30</f>
        <v>0.5714285714285714</v>
      </c>
      <c r="H30" s="49">
        <f>'Avg Week MUKONO-KATOSI'!H30+'Avg Week KATOSI-MUKONO'!H30</f>
        <v>0.8571428571428571</v>
      </c>
      <c r="I30" s="49">
        <f>'Avg Week MUKONO-KATOSI'!I30+'Avg Week KATOSI-MUKONO'!I30</f>
        <v>12.285714285714285</v>
      </c>
      <c r="J30" s="49">
        <f>'Avg Week MUKONO-KATOSI'!J30+'Avg Week KATOSI-MUKONO'!J30</f>
        <v>2.8571428571428568</v>
      </c>
      <c r="K30" s="49">
        <f>'Avg Week MUKONO-KATOSI'!K30+'Avg Week KATOSI-MUKONO'!K30</f>
        <v>1</v>
      </c>
      <c r="L30" s="49">
        <f>'Avg Week MUKONO-KATOSI'!L30+'Avg Week KATOSI-MUKONO'!L30</f>
        <v>7.8571428571428577</v>
      </c>
      <c r="M30" s="49">
        <f>'Avg Week MUKONO-KATOSI'!M30+'Avg Week KATOSI-MUKONO'!M30</f>
        <v>173.71428571428572</v>
      </c>
      <c r="N30" s="49">
        <f>'Avg Week MUKONO-KATOSI'!N30+'Avg Week KATOSI-MUKONO'!N30</f>
        <v>0</v>
      </c>
      <c r="O30" s="15">
        <f t="shared" si="0"/>
        <v>88.428571428571445</v>
      </c>
      <c r="P30" s="15">
        <f t="shared" si="1"/>
        <v>262.14285714285717</v>
      </c>
      <c r="R30" s="1" t="s">
        <v>154</v>
      </c>
      <c r="S30" s="34">
        <f>SUM(C90:C93)</f>
        <v>5</v>
      </c>
      <c r="T30" s="34">
        <f t="shared" ref="T30:AF30" si="22">SUM(D90:D93)</f>
        <v>1.5</v>
      </c>
      <c r="U30" s="34">
        <f t="shared" si="22"/>
        <v>0.5</v>
      </c>
      <c r="V30" s="34">
        <f t="shared" si="22"/>
        <v>3.5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1</v>
      </c>
      <c r="AA30" s="34">
        <f t="shared" si="22"/>
        <v>1</v>
      </c>
      <c r="AB30" s="34">
        <f t="shared" si="22"/>
        <v>0</v>
      </c>
      <c r="AC30" s="34">
        <f t="shared" si="22"/>
        <v>32</v>
      </c>
      <c r="AD30" s="34">
        <f t="shared" si="22"/>
        <v>0</v>
      </c>
      <c r="AE30" s="31">
        <f t="shared" si="22"/>
        <v>15</v>
      </c>
      <c r="AF30" s="31">
        <f t="shared" si="22"/>
        <v>47</v>
      </c>
    </row>
    <row r="31" spans="2:32" ht="23.1" customHeight="1" x14ac:dyDescent="0.25">
      <c r="B31" s="24" t="s">
        <v>58</v>
      </c>
      <c r="C31" s="49">
        <f>'Avg Week MUKONO-KATOSI'!C31+'Avg Week KATOSI-MUKONO'!C31</f>
        <v>22.714285714285715</v>
      </c>
      <c r="D31" s="49">
        <f>'Avg Week MUKONO-KATOSI'!D31+'Avg Week KATOSI-MUKONO'!D31</f>
        <v>8.8571428571428577</v>
      </c>
      <c r="E31" s="49">
        <f>'Avg Week MUKONO-KATOSI'!E31+'Avg Week KATOSI-MUKONO'!E31</f>
        <v>6</v>
      </c>
      <c r="F31" s="49">
        <f>'Avg Week MUKONO-KATOSI'!F31+'Avg Week KATOSI-MUKONO'!F31</f>
        <v>14.571428571428571</v>
      </c>
      <c r="G31" s="49">
        <f>'Avg Week MUKONO-KATOSI'!G31+'Avg Week KATOSI-MUKONO'!G31</f>
        <v>1.1428571428571428</v>
      </c>
      <c r="H31" s="49">
        <f>'Avg Week MUKONO-KATOSI'!H31+'Avg Week KATOSI-MUKONO'!H31</f>
        <v>0</v>
      </c>
      <c r="I31" s="49">
        <f>'Avg Week MUKONO-KATOSI'!I31+'Avg Week KATOSI-MUKONO'!I31</f>
        <v>10.857142857142858</v>
      </c>
      <c r="J31" s="49">
        <f>'Avg Week MUKONO-KATOSI'!J31+'Avg Week KATOSI-MUKONO'!J31</f>
        <v>3</v>
      </c>
      <c r="K31" s="49">
        <f>'Avg Week MUKONO-KATOSI'!K31+'Avg Week KATOSI-MUKONO'!K31</f>
        <v>0.8571428571428571</v>
      </c>
      <c r="L31" s="49">
        <f>'Avg Week MUKONO-KATOSI'!L31+'Avg Week KATOSI-MUKONO'!L31</f>
        <v>0.71428571428571419</v>
      </c>
      <c r="M31" s="49">
        <f>'Avg Week MUKONO-KATOSI'!M31+'Avg Week KATOSI-MUKONO'!M31</f>
        <v>188.85714285714283</v>
      </c>
      <c r="N31" s="49">
        <f>'Avg Week MUKONO-KATOSI'!N31+'Avg Week KATOSI-MUKONO'!N31</f>
        <v>0</v>
      </c>
      <c r="O31" s="15">
        <f t="shared" si="0"/>
        <v>68.714285714285708</v>
      </c>
      <c r="P31" s="15">
        <f t="shared" si="1"/>
        <v>257.57142857142856</v>
      </c>
      <c r="R31" s="1" t="s">
        <v>155</v>
      </c>
      <c r="S31" s="34">
        <f>SUM(C94:C97)</f>
        <v>12</v>
      </c>
      <c r="T31" s="34">
        <f t="shared" ref="T31:AF31" si="23">SUM(D94:D97)</f>
        <v>1.5</v>
      </c>
      <c r="U31" s="34">
        <f t="shared" si="23"/>
        <v>1.5</v>
      </c>
      <c r="V31" s="34">
        <f t="shared" si="23"/>
        <v>21</v>
      </c>
      <c r="W31" s="34">
        <f t="shared" si="23"/>
        <v>0.5</v>
      </c>
      <c r="X31" s="34">
        <f t="shared" si="23"/>
        <v>0</v>
      </c>
      <c r="Y31" s="34">
        <f t="shared" si="23"/>
        <v>4</v>
      </c>
      <c r="Z31" s="34">
        <f t="shared" si="23"/>
        <v>0</v>
      </c>
      <c r="AA31" s="34">
        <f t="shared" si="23"/>
        <v>0</v>
      </c>
      <c r="AB31" s="34">
        <f t="shared" si="23"/>
        <v>0.5</v>
      </c>
      <c r="AC31" s="34">
        <f t="shared" si="23"/>
        <v>51.5</v>
      </c>
      <c r="AD31" s="34">
        <f t="shared" si="23"/>
        <v>0</v>
      </c>
      <c r="AE31" s="31">
        <f t="shared" si="23"/>
        <v>41</v>
      </c>
      <c r="AF31" s="31">
        <f t="shared" si="23"/>
        <v>92.5</v>
      </c>
    </row>
    <row r="32" spans="2:32" ht="23.1" customHeight="1" x14ac:dyDescent="0.25">
      <c r="B32" s="24" t="s">
        <v>59</v>
      </c>
      <c r="C32" s="49">
        <f>'Avg Week MUKONO-KATOSI'!C32+'Avg Week KATOSI-MUKONO'!C32</f>
        <v>24</v>
      </c>
      <c r="D32" s="49">
        <f>'Avg Week MUKONO-KATOSI'!D32+'Avg Week KATOSI-MUKONO'!D32</f>
        <v>10.571428571428571</v>
      </c>
      <c r="E32" s="49">
        <f>'Avg Week MUKONO-KATOSI'!E32+'Avg Week KATOSI-MUKONO'!E32</f>
        <v>7.2857142857142856</v>
      </c>
      <c r="F32" s="49">
        <f>'Avg Week MUKONO-KATOSI'!F32+'Avg Week KATOSI-MUKONO'!F32</f>
        <v>15.428571428571427</v>
      </c>
      <c r="G32" s="49">
        <f>'Avg Week MUKONO-KATOSI'!G32+'Avg Week KATOSI-MUKONO'!G32</f>
        <v>0.7142857142857143</v>
      </c>
      <c r="H32" s="49">
        <f>'Avg Week MUKONO-KATOSI'!H32+'Avg Week KATOSI-MUKONO'!H32</f>
        <v>0</v>
      </c>
      <c r="I32" s="49">
        <f>'Avg Week MUKONO-KATOSI'!I32+'Avg Week KATOSI-MUKONO'!I32</f>
        <v>12.571428571428573</v>
      </c>
      <c r="J32" s="49">
        <f>'Avg Week MUKONO-KATOSI'!J32+'Avg Week KATOSI-MUKONO'!J32</f>
        <v>3.1428571428571428</v>
      </c>
      <c r="K32" s="49">
        <f>'Avg Week MUKONO-KATOSI'!K32+'Avg Week KATOSI-MUKONO'!K32</f>
        <v>1.5714285714285714</v>
      </c>
      <c r="L32" s="49">
        <f>'Avg Week MUKONO-KATOSI'!L32+'Avg Week KATOSI-MUKONO'!L32</f>
        <v>21</v>
      </c>
      <c r="M32" s="49">
        <f>'Avg Week MUKONO-KATOSI'!M32+'Avg Week KATOSI-MUKONO'!M32</f>
        <v>167.71428571428572</v>
      </c>
      <c r="N32" s="49">
        <f>'Avg Week MUKONO-KATOSI'!N32+'Avg Week KATOSI-MUKONO'!N32</f>
        <v>0.14285714285714285</v>
      </c>
      <c r="O32" s="15">
        <f t="shared" si="0"/>
        <v>96.428571428571416</v>
      </c>
      <c r="P32" s="15">
        <f t="shared" si="1"/>
        <v>264.14285714285717</v>
      </c>
      <c r="R32" s="1" t="s">
        <v>156</v>
      </c>
      <c r="S32" s="34">
        <f>SUM(C98:C101)</f>
        <v>12.5</v>
      </c>
      <c r="T32" s="34">
        <f t="shared" ref="T32:AF32" si="24">SUM(D98:D101)</f>
        <v>7</v>
      </c>
      <c r="U32" s="34">
        <f t="shared" si="24"/>
        <v>6.5</v>
      </c>
      <c r="V32" s="34">
        <f t="shared" si="24"/>
        <v>42</v>
      </c>
      <c r="W32" s="34">
        <f t="shared" si="24"/>
        <v>1.5</v>
      </c>
      <c r="X32" s="34">
        <f t="shared" si="24"/>
        <v>0</v>
      </c>
      <c r="Y32" s="34">
        <f t="shared" si="24"/>
        <v>12.5</v>
      </c>
      <c r="Z32" s="34">
        <f t="shared" si="24"/>
        <v>5.5</v>
      </c>
      <c r="AA32" s="34">
        <f t="shared" si="24"/>
        <v>0</v>
      </c>
      <c r="AB32" s="34">
        <f t="shared" si="24"/>
        <v>0</v>
      </c>
      <c r="AC32" s="34">
        <f t="shared" si="24"/>
        <v>125</v>
      </c>
      <c r="AD32" s="34">
        <f t="shared" si="24"/>
        <v>0</v>
      </c>
      <c r="AE32" s="31">
        <f t="shared" si="24"/>
        <v>87.5</v>
      </c>
      <c r="AF32" s="31">
        <f t="shared" si="24"/>
        <v>212.5</v>
      </c>
    </row>
    <row r="33" spans="2:32" ht="23.1" customHeight="1" x14ac:dyDescent="0.25">
      <c r="B33" s="23" t="s">
        <v>60</v>
      </c>
      <c r="C33" s="49">
        <f>'Avg Week MUKONO-KATOSI'!C33+'Avg Week KATOSI-MUKONO'!C33</f>
        <v>26</v>
      </c>
      <c r="D33" s="49">
        <f>'Avg Week MUKONO-KATOSI'!D33+'Avg Week KATOSI-MUKONO'!D33</f>
        <v>10.714285714285715</v>
      </c>
      <c r="E33" s="49">
        <f>'Avg Week MUKONO-KATOSI'!E33+'Avg Week KATOSI-MUKONO'!E33</f>
        <v>8.5714285714285712</v>
      </c>
      <c r="F33" s="49">
        <f>'Avg Week MUKONO-KATOSI'!F33+'Avg Week KATOSI-MUKONO'!F33</f>
        <v>18.857142857142858</v>
      </c>
      <c r="G33" s="49">
        <f>'Avg Week MUKONO-KATOSI'!G33+'Avg Week KATOSI-MUKONO'!G33</f>
        <v>1.1428571428571428</v>
      </c>
      <c r="H33" s="49">
        <f>'Avg Week MUKONO-KATOSI'!H33+'Avg Week KATOSI-MUKONO'!H33</f>
        <v>0</v>
      </c>
      <c r="I33" s="49">
        <f>'Avg Week MUKONO-KATOSI'!I33+'Avg Week KATOSI-MUKONO'!I33</f>
        <v>15.571428571428573</v>
      </c>
      <c r="J33" s="49">
        <f>'Avg Week MUKONO-KATOSI'!J33+'Avg Week KATOSI-MUKONO'!J33</f>
        <v>4</v>
      </c>
      <c r="K33" s="49">
        <f>'Avg Week MUKONO-KATOSI'!K33+'Avg Week KATOSI-MUKONO'!K33</f>
        <v>2.5714285714285716</v>
      </c>
      <c r="L33" s="49">
        <f>'Avg Week MUKONO-KATOSI'!L33+'Avg Week KATOSI-MUKONO'!L33</f>
        <v>1.7142857142857144</v>
      </c>
      <c r="M33" s="49">
        <f>'Avg Week MUKONO-KATOSI'!M33+'Avg Week KATOSI-MUKONO'!M33</f>
        <v>177.57142857142856</v>
      </c>
      <c r="N33" s="49">
        <f>'Avg Week MUKONO-KATOSI'!N33+'Avg Week KATOSI-MUKONO'!N33</f>
        <v>0</v>
      </c>
      <c r="O33" s="15">
        <f t="shared" si="0"/>
        <v>89.142857142857125</v>
      </c>
      <c r="P33" s="15">
        <f t="shared" si="1"/>
        <v>266.71428571428567</v>
      </c>
      <c r="R33" s="1" t="s">
        <v>157</v>
      </c>
      <c r="S33" s="34">
        <f>SUM(C102:C105)</f>
        <v>30.5</v>
      </c>
      <c r="T33" s="34">
        <f t="shared" ref="T33:AF33" si="25">SUM(D102:D105)</f>
        <v>14</v>
      </c>
      <c r="U33" s="34">
        <f t="shared" si="25"/>
        <v>7.5</v>
      </c>
      <c r="V33" s="34">
        <f t="shared" si="25"/>
        <v>53</v>
      </c>
      <c r="W33" s="34">
        <f t="shared" si="25"/>
        <v>9.5</v>
      </c>
      <c r="X33" s="34">
        <f t="shared" si="25"/>
        <v>0</v>
      </c>
      <c r="Y33" s="34">
        <f t="shared" si="25"/>
        <v>13.5</v>
      </c>
      <c r="Z33" s="34">
        <f t="shared" si="25"/>
        <v>7</v>
      </c>
      <c r="AA33" s="34">
        <f t="shared" si="25"/>
        <v>3.5</v>
      </c>
      <c r="AB33" s="34">
        <f t="shared" si="25"/>
        <v>2</v>
      </c>
      <c r="AC33" s="34">
        <f t="shared" si="25"/>
        <v>291</v>
      </c>
      <c r="AD33" s="34">
        <f t="shared" si="25"/>
        <v>0</v>
      </c>
      <c r="AE33" s="31">
        <f t="shared" si="25"/>
        <v>140.5</v>
      </c>
      <c r="AF33" s="31">
        <f t="shared" si="25"/>
        <v>431.5</v>
      </c>
    </row>
    <row r="34" spans="2:32" ht="23.1" customHeight="1" x14ac:dyDescent="0.25">
      <c r="B34" s="24" t="s">
        <v>61</v>
      </c>
      <c r="C34" s="49">
        <f>'Avg Week MUKONO-KATOSI'!C34+'Avg Week KATOSI-MUKONO'!C34</f>
        <v>26.428571428571431</v>
      </c>
      <c r="D34" s="49">
        <f>'Avg Week MUKONO-KATOSI'!D34+'Avg Week KATOSI-MUKONO'!D34</f>
        <v>9.2857142857142865</v>
      </c>
      <c r="E34" s="49">
        <f>'Avg Week MUKONO-KATOSI'!E34+'Avg Week KATOSI-MUKONO'!E34</f>
        <v>7</v>
      </c>
      <c r="F34" s="49">
        <f>'Avg Week MUKONO-KATOSI'!F34+'Avg Week KATOSI-MUKONO'!F34</f>
        <v>16</v>
      </c>
      <c r="G34" s="49">
        <f>'Avg Week MUKONO-KATOSI'!G34+'Avg Week KATOSI-MUKONO'!G34</f>
        <v>1.4285714285714286</v>
      </c>
      <c r="H34" s="49">
        <f>'Avg Week MUKONO-KATOSI'!H34+'Avg Week KATOSI-MUKONO'!H34</f>
        <v>0</v>
      </c>
      <c r="I34" s="49">
        <f>'Avg Week MUKONO-KATOSI'!I34+'Avg Week KATOSI-MUKONO'!I34</f>
        <v>14.428571428571427</v>
      </c>
      <c r="J34" s="49">
        <f>'Avg Week MUKONO-KATOSI'!J34+'Avg Week KATOSI-MUKONO'!J34</f>
        <v>3.7142857142857144</v>
      </c>
      <c r="K34" s="49">
        <f>'Avg Week MUKONO-KATOSI'!K34+'Avg Week KATOSI-MUKONO'!K34</f>
        <v>1</v>
      </c>
      <c r="L34" s="49">
        <f>'Avg Week MUKONO-KATOSI'!L34+'Avg Week KATOSI-MUKONO'!L34</f>
        <v>1.4285714285714286</v>
      </c>
      <c r="M34" s="49">
        <f>'Avg Week MUKONO-KATOSI'!M34+'Avg Week KATOSI-MUKONO'!M34</f>
        <v>187.71428571428572</v>
      </c>
      <c r="N34" s="49">
        <f>'Avg Week MUKONO-KATOSI'!N34+'Avg Week KATOSI-MUKONO'!N34</f>
        <v>0</v>
      </c>
      <c r="O34" s="15">
        <f t="shared" si="0"/>
        <v>80.714285714285708</v>
      </c>
      <c r="P34" s="15">
        <f t="shared" si="1"/>
        <v>268.42857142857144</v>
      </c>
      <c r="R34" s="38" t="s">
        <v>90</v>
      </c>
      <c r="S34" s="39">
        <f t="shared" ref="S34:AF34" si="26">MAX(S10:S12)</f>
        <v>101.71428571428572</v>
      </c>
      <c r="T34" s="39">
        <f t="shared" si="26"/>
        <v>39</v>
      </c>
      <c r="U34" s="39">
        <f t="shared" si="26"/>
        <v>28.285714285714285</v>
      </c>
      <c r="V34" s="39">
        <f t="shared" si="26"/>
        <v>73.428571428571431</v>
      </c>
      <c r="W34" s="39">
        <f t="shared" si="26"/>
        <v>10.142857142857142</v>
      </c>
      <c r="X34" s="39">
        <f t="shared" si="26"/>
        <v>1.1428571428571428</v>
      </c>
      <c r="Y34" s="39">
        <f t="shared" si="26"/>
        <v>48.142857142857139</v>
      </c>
      <c r="Z34" s="39">
        <f t="shared" si="26"/>
        <v>13.142857142857142</v>
      </c>
      <c r="AA34" s="39">
        <f t="shared" si="26"/>
        <v>4.8571428571428568</v>
      </c>
      <c r="AB34" s="39">
        <f t="shared" si="26"/>
        <v>12.714285714285715</v>
      </c>
      <c r="AC34" s="39">
        <f t="shared" si="26"/>
        <v>809.42857142857156</v>
      </c>
      <c r="AD34" s="39">
        <f t="shared" si="26"/>
        <v>14.285714285714285</v>
      </c>
      <c r="AE34" s="40">
        <f t="shared" si="26"/>
        <v>321.71428571428572</v>
      </c>
      <c r="AF34" s="40">
        <f t="shared" si="26"/>
        <v>1116</v>
      </c>
    </row>
    <row r="35" spans="2:32" ht="23.1" customHeight="1" x14ac:dyDescent="0.25">
      <c r="B35" s="24" t="s">
        <v>62</v>
      </c>
      <c r="C35" s="49">
        <f>'Avg Week MUKONO-KATOSI'!C35+'Avg Week KATOSI-MUKONO'!C35</f>
        <v>25</v>
      </c>
      <c r="D35" s="49">
        <f>'Avg Week MUKONO-KATOSI'!D35+'Avg Week KATOSI-MUKONO'!D35</f>
        <v>12.857142857142858</v>
      </c>
      <c r="E35" s="49">
        <f>'Avg Week MUKONO-KATOSI'!E35+'Avg Week KATOSI-MUKONO'!E35</f>
        <v>7.5714285714285712</v>
      </c>
      <c r="F35" s="49">
        <f>'Avg Week MUKONO-KATOSI'!F35+'Avg Week KATOSI-MUKONO'!F35</f>
        <v>14</v>
      </c>
      <c r="G35" s="49">
        <f>'Avg Week MUKONO-KATOSI'!G35+'Avg Week KATOSI-MUKONO'!G35</f>
        <v>2.1428571428571428</v>
      </c>
      <c r="H35" s="49">
        <f>'Avg Week MUKONO-KATOSI'!H35+'Avg Week KATOSI-MUKONO'!H35</f>
        <v>0</v>
      </c>
      <c r="I35" s="49">
        <f>'Avg Week MUKONO-KATOSI'!I35+'Avg Week KATOSI-MUKONO'!I35</f>
        <v>12.714285714285715</v>
      </c>
      <c r="J35" s="49">
        <f>'Avg Week MUKONO-KATOSI'!J35+'Avg Week KATOSI-MUKONO'!J35</f>
        <v>3.5714285714285712</v>
      </c>
      <c r="K35" s="49">
        <f>'Avg Week MUKONO-KATOSI'!K35+'Avg Week KATOSI-MUKONO'!K35</f>
        <v>1</v>
      </c>
      <c r="L35" s="49">
        <f>'Avg Week MUKONO-KATOSI'!L35+'Avg Week KATOSI-MUKONO'!L35</f>
        <v>0.8571428571428571</v>
      </c>
      <c r="M35" s="49">
        <f>'Avg Week MUKONO-KATOSI'!M35+'Avg Week KATOSI-MUKONO'!M35</f>
        <v>195.57142857142856</v>
      </c>
      <c r="N35" s="49">
        <f>'Avg Week MUKONO-KATOSI'!N35+'Avg Week KATOSI-MUKONO'!N35</f>
        <v>0</v>
      </c>
      <c r="O35" s="15">
        <f t="shared" si="0"/>
        <v>79.714285714285722</v>
      </c>
      <c r="P35" s="15">
        <f t="shared" si="1"/>
        <v>275.28571428571428</v>
      </c>
      <c r="R35" s="38" t="s">
        <v>91</v>
      </c>
      <c r="S35" s="39">
        <f t="shared" ref="S35:AF35" si="27">MAX(S13:S18)</f>
        <v>106</v>
      </c>
      <c r="T35" s="39">
        <f t="shared" si="27"/>
        <v>56.142857142857139</v>
      </c>
      <c r="U35" s="39">
        <f t="shared" si="27"/>
        <v>31.714285714285712</v>
      </c>
      <c r="V35" s="39">
        <f t="shared" si="27"/>
        <v>65.142857142857139</v>
      </c>
      <c r="W35" s="39">
        <f t="shared" si="27"/>
        <v>5.5714285714285712</v>
      </c>
      <c r="X35" s="39">
        <f t="shared" si="27"/>
        <v>0.8571428571428571</v>
      </c>
      <c r="Y35" s="39">
        <f t="shared" si="27"/>
        <v>58.428571428571423</v>
      </c>
      <c r="Z35" s="39">
        <f t="shared" si="27"/>
        <v>14.142857142857142</v>
      </c>
      <c r="AA35" s="39">
        <f t="shared" si="27"/>
        <v>6</v>
      </c>
      <c r="AB35" s="39">
        <f t="shared" si="27"/>
        <v>31.285714285714285</v>
      </c>
      <c r="AC35" s="39">
        <f t="shared" si="27"/>
        <v>749.71428571428555</v>
      </c>
      <c r="AD35" s="39">
        <f t="shared" si="27"/>
        <v>0.42857142857142855</v>
      </c>
      <c r="AE35" s="40">
        <f t="shared" si="27"/>
        <v>342.71428571428572</v>
      </c>
      <c r="AF35" s="40">
        <f t="shared" si="27"/>
        <v>1075.7142857142858</v>
      </c>
    </row>
    <row r="36" spans="2:32" ht="23.1" customHeight="1" x14ac:dyDescent="0.25">
      <c r="B36" s="24" t="s">
        <v>63</v>
      </c>
      <c r="C36" s="49">
        <f>'Avg Week MUKONO-KATOSI'!C36+'Avg Week KATOSI-MUKONO'!C36</f>
        <v>24.857142857142854</v>
      </c>
      <c r="D36" s="49">
        <f>'Avg Week MUKONO-KATOSI'!D36+'Avg Week KATOSI-MUKONO'!D36</f>
        <v>12.571428571428571</v>
      </c>
      <c r="E36" s="49">
        <f>'Avg Week MUKONO-KATOSI'!E36+'Avg Week KATOSI-MUKONO'!E36</f>
        <v>5.5714285714285712</v>
      </c>
      <c r="F36" s="49">
        <f>'Avg Week MUKONO-KATOSI'!F36+'Avg Week KATOSI-MUKONO'!F36</f>
        <v>13.571428571428571</v>
      </c>
      <c r="G36" s="49">
        <f>'Avg Week MUKONO-KATOSI'!G36+'Avg Week KATOSI-MUKONO'!G36</f>
        <v>0.8571428571428571</v>
      </c>
      <c r="H36" s="49">
        <f>'Avg Week MUKONO-KATOSI'!H36+'Avg Week KATOSI-MUKONO'!H36</f>
        <v>0</v>
      </c>
      <c r="I36" s="49">
        <f>'Avg Week MUKONO-KATOSI'!I36+'Avg Week KATOSI-MUKONO'!I36</f>
        <v>14.285714285714285</v>
      </c>
      <c r="J36" s="49">
        <f>'Avg Week MUKONO-KATOSI'!J36+'Avg Week KATOSI-MUKONO'!J36</f>
        <v>3.1428571428571428</v>
      </c>
      <c r="K36" s="49">
        <f>'Avg Week MUKONO-KATOSI'!K36+'Avg Week KATOSI-MUKONO'!K36</f>
        <v>1.7142857142857142</v>
      </c>
      <c r="L36" s="49">
        <f>'Avg Week MUKONO-KATOSI'!L36+'Avg Week KATOSI-MUKONO'!L36</f>
        <v>0.71428571428571419</v>
      </c>
      <c r="M36" s="49">
        <f>'Avg Week MUKONO-KATOSI'!M36+'Avg Week KATOSI-MUKONO'!M36</f>
        <v>187.14285714285714</v>
      </c>
      <c r="N36" s="49">
        <f>'Avg Week MUKONO-KATOSI'!N36+'Avg Week KATOSI-MUKONO'!N36</f>
        <v>0.14285714285714285</v>
      </c>
      <c r="O36" s="15">
        <f t="shared" si="0"/>
        <v>77.428571428571388</v>
      </c>
      <c r="P36" s="15">
        <f t="shared" si="1"/>
        <v>264.57142857142856</v>
      </c>
      <c r="R36" s="38" t="s">
        <v>92</v>
      </c>
      <c r="S36" s="39">
        <f t="shared" ref="S36:AF36" si="28">MAX(S19:S21)</f>
        <v>121.14285714285714</v>
      </c>
      <c r="T36" s="39">
        <f t="shared" si="28"/>
        <v>54.857142857142861</v>
      </c>
      <c r="U36" s="39">
        <f t="shared" si="28"/>
        <v>33.714285714285715</v>
      </c>
      <c r="V36" s="39">
        <f t="shared" si="28"/>
        <v>80.571428571428555</v>
      </c>
      <c r="W36" s="39">
        <f t="shared" si="28"/>
        <v>6.5714285714285712</v>
      </c>
      <c r="X36" s="39">
        <f t="shared" si="28"/>
        <v>0.42857142857142855</v>
      </c>
      <c r="Y36" s="39">
        <f t="shared" si="28"/>
        <v>59.285714285714292</v>
      </c>
      <c r="Z36" s="39">
        <f t="shared" si="28"/>
        <v>14.142857142857142</v>
      </c>
      <c r="AA36" s="39">
        <f t="shared" si="28"/>
        <v>3.7142857142857144</v>
      </c>
      <c r="AB36" s="39">
        <f t="shared" si="28"/>
        <v>15.428571428571429</v>
      </c>
      <c r="AC36" s="39">
        <f t="shared" si="28"/>
        <v>740</v>
      </c>
      <c r="AD36" s="39">
        <f t="shared" si="28"/>
        <v>0.2857142857142857</v>
      </c>
      <c r="AE36" s="40">
        <f t="shared" si="28"/>
        <v>362.57142857142856</v>
      </c>
      <c r="AF36" s="40">
        <f t="shared" si="28"/>
        <v>1093</v>
      </c>
    </row>
    <row r="37" spans="2:32" ht="23.1" customHeight="1" x14ac:dyDescent="0.25">
      <c r="B37" s="23" t="s">
        <v>64</v>
      </c>
      <c r="C37" s="49">
        <f>'Avg Week MUKONO-KATOSI'!C37+'Avg Week KATOSI-MUKONO'!C37</f>
        <v>24.142857142857142</v>
      </c>
      <c r="D37" s="49">
        <f>'Avg Week MUKONO-KATOSI'!D37+'Avg Week KATOSI-MUKONO'!D37</f>
        <v>9.2857142857142865</v>
      </c>
      <c r="E37" s="49">
        <f>'Avg Week MUKONO-KATOSI'!E37+'Avg Week KATOSI-MUKONO'!E37</f>
        <v>5.1428571428571432</v>
      </c>
      <c r="F37" s="49">
        <f>'Avg Week MUKONO-KATOSI'!F37+'Avg Week KATOSI-MUKONO'!F37</f>
        <v>13</v>
      </c>
      <c r="G37" s="49">
        <f>'Avg Week MUKONO-KATOSI'!G37+'Avg Week KATOSI-MUKONO'!G37</f>
        <v>1.1428571428571428</v>
      </c>
      <c r="H37" s="49">
        <f>'Avg Week MUKONO-KATOSI'!H37+'Avg Week KATOSI-MUKONO'!H37</f>
        <v>0</v>
      </c>
      <c r="I37" s="49">
        <f>'Avg Week MUKONO-KATOSI'!I37+'Avg Week KATOSI-MUKONO'!I37</f>
        <v>10.714285714285715</v>
      </c>
      <c r="J37" s="49">
        <f>'Avg Week MUKONO-KATOSI'!J37+'Avg Week KATOSI-MUKONO'!J37</f>
        <v>2.1428571428571428</v>
      </c>
      <c r="K37" s="49">
        <f>'Avg Week MUKONO-KATOSI'!K37+'Avg Week KATOSI-MUKONO'!K37</f>
        <v>0.71428571428571419</v>
      </c>
      <c r="L37" s="49">
        <f>'Avg Week MUKONO-KATOSI'!L37+'Avg Week KATOSI-MUKONO'!L37</f>
        <v>0.42857142857142855</v>
      </c>
      <c r="M37" s="49">
        <f>'Avg Week MUKONO-KATOSI'!M37+'Avg Week KATOSI-MUKONO'!M37</f>
        <v>176.57142857142858</v>
      </c>
      <c r="N37" s="49">
        <f>'Avg Week MUKONO-KATOSI'!N37+'Avg Week KATOSI-MUKONO'!N37</f>
        <v>0</v>
      </c>
      <c r="O37" s="15">
        <f t="shared" si="0"/>
        <v>66.714285714285722</v>
      </c>
      <c r="P37" s="15">
        <f t="shared" si="1"/>
        <v>243.28571428571431</v>
      </c>
      <c r="R37" s="37" t="s">
        <v>85</v>
      </c>
      <c r="S37" s="35">
        <f t="shared" ref="S37:AF37" si="29">SUM(S10:S12)</f>
        <v>295.42857142857144</v>
      </c>
      <c r="T37" s="16">
        <f t="shared" si="29"/>
        <v>109.71428571428571</v>
      </c>
      <c r="U37" s="16">
        <f t="shared" si="29"/>
        <v>74.285714285714278</v>
      </c>
      <c r="V37" s="16">
        <f t="shared" si="29"/>
        <v>204.14285714285711</v>
      </c>
      <c r="W37" s="16">
        <f t="shared" si="29"/>
        <v>22.428571428571427</v>
      </c>
      <c r="X37" s="16">
        <f t="shared" si="29"/>
        <v>2</v>
      </c>
      <c r="Y37" s="16">
        <f t="shared" si="29"/>
        <v>132</v>
      </c>
      <c r="Z37" s="16">
        <f t="shared" si="29"/>
        <v>29.428571428571427</v>
      </c>
      <c r="AA37" s="16">
        <f t="shared" si="29"/>
        <v>10.428571428571427</v>
      </c>
      <c r="AB37" s="16">
        <f t="shared" si="29"/>
        <v>19.714285714285715</v>
      </c>
      <c r="AC37" s="16">
        <f t="shared" si="29"/>
        <v>2239.4285714285716</v>
      </c>
      <c r="AD37" s="16">
        <f t="shared" si="29"/>
        <v>20.428571428571427</v>
      </c>
      <c r="AE37" s="32">
        <f t="shared" si="29"/>
        <v>920</v>
      </c>
      <c r="AF37" s="32">
        <f t="shared" si="29"/>
        <v>3159.4285714285716</v>
      </c>
    </row>
    <row r="38" spans="2:32" ht="23.1" customHeight="1" x14ac:dyDescent="0.25">
      <c r="B38" s="24" t="s">
        <v>65</v>
      </c>
      <c r="C38" s="49">
        <f>'Avg Week MUKONO-KATOSI'!C38+'Avg Week KATOSI-MUKONO'!C38</f>
        <v>27.428571428571431</v>
      </c>
      <c r="D38" s="49">
        <f>'Avg Week MUKONO-KATOSI'!D38+'Avg Week KATOSI-MUKONO'!D38</f>
        <v>11.285714285714285</v>
      </c>
      <c r="E38" s="49">
        <f>'Avg Week MUKONO-KATOSI'!E38+'Avg Week KATOSI-MUKONO'!E38</f>
        <v>10</v>
      </c>
      <c r="F38" s="49">
        <f>'Avg Week MUKONO-KATOSI'!F38+'Avg Week KATOSI-MUKONO'!F38</f>
        <v>17.142857142857142</v>
      </c>
      <c r="G38" s="49">
        <f>'Avg Week MUKONO-KATOSI'!G38+'Avg Week KATOSI-MUKONO'!G38</f>
        <v>1.1428571428571428</v>
      </c>
      <c r="H38" s="49">
        <f>'Avg Week MUKONO-KATOSI'!H38+'Avg Week KATOSI-MUKONO'!H38</f>
        <v>0.2857142857142857</v>
      </c>
      <c r="I38" s="49">
        <f>'Avg Week MUKONO-KATOSI'!I38+'Avg Week KATOSI-MUKONO'!I38</f>
        <v>19</v>
      </c>
      <c r="J38" s="49">
        <f>'Avg Week MUKONO-KATOSI'!J38+'Avg Week KATOSI-MUKONO'!J38</f>
        <v>3</v>
      </c>
      <c r="K38" s="49">
        <f>'Avg Week MUKONO-KATOSI'!K38+'Avg Week KATOSI-MUKONO'!K38</f>
        <v>1.2857142857142856</v>
      </c>
      <c r="L38" s="49">
        <f>'Avg Week MUKONO-KATOSI'!L38+'Avg Week KATOSI-MUKONO'!L38</f>
        <v>1.2857142857142856</v>
      </c>
      <c r="M38" s="49">
        <f>'Avg Week MUKONO-KATOSI'!M38+'Avg Week KATOSI-MUKONO'!M38</f>
        <v>145.28571428571428</v>
      </c>
      <c r="N38" s="49">
        <f>'Avg Week MUKONO-KATOSI'!N38+'Avg Week KATOSI-MUKONO'!N38</f>
        <v>0</v>
      </c>
      <c r="O38" s="15">
        <f t="shared" si="0"/>
        <v>91.857142857142875</v>
      </c>
      <c r="P38" s="15">
        <f t="shared" si="1"/>
        <v>237.14285714285717</v>
      </c>
      <c r="R38" s="28" t="s">
        <v>86</v>
      </c>
      <c r="S38" s="16">
        <f t="shared" ref="S38:AF38" si="30">SUM(S13:S18)</f>
        <v>595</v>
      </c>
      <c r="T38" s="16">
        <f t="shared" si="30"/>
        <v>265.42857142857144</v>
      </c>
      <c r="U38" s="16">
        <f t="shared" si="30"/>
        <v>170.14285714285717</v>
      </c>
      <c r="V38" s="16">
        <f t="shared" si="30"/>
        <v>368.14285714285717</v>
      </c>
      <c r="W38" s="16">
        <f t="shared" si="30"/>
        <v>20.285714285714285</v>
      </c>
      <c r="X38" s="16">
        <f t="shared" si="30"/>
        <v>1.857142857142857</v>
      </c>
      <c r="Y38" s="16">
        <f t="shared" si="30"/>
        <v>327.57142857142856</v>
      </c>
      <c r="Z38" s="16">
        <f t="shared" si="30"/>
        <v>76.285714285714278</v>
      </c>
      <c r="AA38" s="16">
        <f t="shared" si="30"/>
        <v>29.285714285714285</v>
      </c>
      <c r="AB38" s="16">
        <f t="shared" si="30"/>
        <v>61.571428571428577</v>
      </c>
      <c r="AC38" s="16">
        <f t="shared" si="30"/>
        <v>4212.8571428571422</v>
      </c>
      <c r="AD38" s="16">
        <f t="shared" si="30"/>
        <v>1.1428571428571428</v>
      </c>
      <c r="AE38" s="32">
        <f t="shared" si="30"/>
        <v>1916.7142857142858</v>
      </c>
      <c r="AF38" s="32">
        <f t="shared" si="30"/>
        <v>6129.5714285714284</v>
      </c>
    </row>
    <row r="39" spans="2:32" ht="23.1" customHeight="1" x14ac:dyDescent="0.25">
      <c r="B39" s="24" t="s">
        <v>66</v>
      </c>
      <c r="C39" s="49">
        <f>'Avg Week MUKONO-KATOSI'!C39+'Avg Week KATOSI-MUKONO'!C39</f>
        <v>23.857142857142854</v>
      </c>
      <c r="D39" s="49">
        <f>'Avg Week MUKONO-KATOSI'!D39+'Avg Week KATOSI-MUKONO'!D39</f>
        <v>9.2857142857142847</v>
      </c>
      <c r="E39" s="49">
        <f>'Avg Week MUKONO-KATOSI'!E39+'Avg Week KATOSI-MUKONO'!E39</f>
        <v>7.1428571428571423</v>
      </c>
      <c r="F39" s="49">
        <f>'Avg Week MUKONO-KATOSI'!F39+'Avg Week KATOSI-MUKONO'!F39</f>
        <v>13.857142857142858</v>
      </c>
      <c r="G39" s="49">
        <f>'Avg Week MUKONO-KATOSI'!G39+'Avg Week KATOSI-MUKONO'!G39</f>
        <v>1.1428571428571428</v>
      </c>
      <c r="H39" s="49">
        <f>'Avg Week MUKONO-KATOSI'!H39+'Avg Week KATOSI-MUKONO'!H39</f>
        <v>0.2857142857142857</v>
      </c>
      <c r="I39" s="49">
        <f>'Avg Week MUKONO-KATOSI'!I39+'Avg Week KATOSI-MUKONO'!I39</f>
        <v>12.857142857142858</v>
      </c>
      <c r="J39" s="49">
        <f>'Avg Week MUKONO-KATOSI'!J39+'Avg Week KATOSI-MUKONO'!J39</f>
        <v>4.2857142857142856</v>
      </c>
      <c r="K39" s="49">
        <f>'Avg Week MUKONO-KATOSI'!K39+'Avg Week KATOSI-MUKONO'!K39</f>
        <v>0.8571428571428571</v>
      </c>
      <c r="L39" s="49">
        <f>'Avg Week MUKONO-KATOSI'!L39+'Avg Week KATOSI-MUKONO'!L39</f>
        <v>1.2857142857142856</v>
      </c>
      <c r="M39" s="49">
        <f>'Avg Week MUKONO-KATOSI'!M39+'Avg Week KATOSI-MUKONO'!M39</f>
        <v>147.71428571428572</v>
      </c>
      <c r="N39" s="49">
        <f>'Avg Week MUKONO-KATOSI'!N39+'Avg Week KATOSI-MUKONO'!N39</f>
        <v>0.14285714285714285</v>
      </c>
      <c r="O39" s="15">
        <f t="shared" si="0"/>
        <v>75.000000000000014</v>
      </c>
      <c r="P39" s="15">
        <f t="shared" si="1"/>
        <v>222.71428571428575</v>
      </c>
      <c r="R39" s="29" t="s">
        <v>87</v>
      </c>
      <c r="S39" s="16">
        <f t="shared" ref="S39:AF39" si="31">SUM(S19:S21)</f>
        <v>350.28571428571428</v>
      </c>
      <c r="T39" s="16">
        <f t="shared" si="31"/>
        <v>156.28571428571428</v>
      </c>
      <c r="U39" s="16">
        <f t="shared" si="31"/>
        <v>92.428571428571416</v>
      </c>
      <c r="V39" s="16">
        <f t="shared" si="31"/>
        <v>230.71428571428569</v>
      </c>
      <c r="W39" s="16">
        <f t="shared" si="31"/>
        <v>17.857142857142858</v>
      </c>
      <c r="X39" s="16">
        <f t="shared" si="31"/>
        <v>0.5714285714285714</v>
      </c>
      <c r="Y39" s="16">
        <f t="shared" si="31"/>
        <v>151.42857142857144</v>
      </c>
      <c r="Z39" s="16">
        <f t="shared" si="31"/>
        <v>38.571428571428569</v>
      </c>
      <c r="AA39" s="16">
        <f t="shared" si="31"/>
        <v>9.8571428571428577</v>
      </c>
      <c r="AB39" s="16">
        <f t="shared" si="31"/>
        <v>22.714285714285712</v>
      </c>
      <c r="AC39" s="16">
        <f t="shared" si="31"/>
        <v>2164.5714285714284</v>
      </c>
      <c r="AD39" s="16">
        <f t="shared" si="31"/>
        <v>0.42857142857142855</v>
      </c>
      <c r="AE39" s="32">
        <f t="shared" si="31"/>
        <v>1071.1428571428571</v>
      </c>
      <c r="AF39" s="32">
        <f t="shared" si="31"/>
        <v>3235.7142857142858</v>
      </c>
    </row>
    <row r="40" spans="2:32" ht="23.1" customHeight="1" x14ac:dyDescent="0.25">
      <c r="B40" s="24" t="s">
        <v>67</v>
      </c>
      <c r="C40" s="49">
        <f>'Avg Week MUKONO-KATOSI'!C40+'Avg Week KATOSI-MUKONO'!C40</f>
        <v>23.571428571428569</v>
      </c>
      <c r="D40" s="49">
        <f>'Avg Week MUKONO-KATOSI'!D40+'Avg Week KATOSI-MUKONO'!D40</f>
        <v>10.428571428571427</v>
      </c>
      <c r="E40" s="49">
        <f>'Avg Week MUKONO-KATOSI'!E40+'Avg Week KATOSI-MUKONO'!E40</f>
        <v>7.4285714285714288</v>
      </c>
      <c r="F40" s="49">
        <f>'Avg Week MUKONO-KATOSI'!F40+'Avg Week KATOSI-MUKONO'!F40</f>
        <v>14.571428571428573</v>
      </c>
      <c r="G40" s="49">
        <f>'Avg Week MUKONO-KATOSI'!G40+'Avg Week KATOSI-MUKONO'!G40</f>
        <v>0.2857142857142857</v>
      </c>
      <c r="H40" s="49">
        <f>'Avg Week MUKONO-KATOSI'!H40+'Avg Week KATOSI-MUKONO'!H40</f>
        <v>0</v>
      </c>
      <c r="I40" s="49">
        <f>'Avg Week MUKONO-KATOSI'!I40+'Avg Week KATOSI-MUKONO'!I40</f>
        <v>10.571428571428571</v>
      </c>
      <c r="J40" s="49">
        <f>'Avg Week MUKONO-KATOSI'!J40+'Avg Week KATOSI-MUKONO'!J40</f>
        <v>2.7142857142857144</v>
      </c>
      <c r="K40" s="49">
        <f>'Avg Week MUKONO-KATOSI'!K40+'Avg Week KATOSI-MUKONO'!K40</f>
        <v>1.2857142857142856</v>
      </c>
      <c r="L40" s="49">
        <f>'Avg Week MUKONO-KATOSI'!L40+'Avg Week KATOSI-MUKONO'!L40</f>
        <v>1.2857142857142856</v>
      </c>
      <c r="M40" s="49">
        <f>'Avg Week MUKONO-KATOSI'!M40+'Avg Week KATOSI-MUKONO'!M40</f>
        <v>152.14285714285714</v>
      </c>
      <c r="N40" s="49">
        <f>'Avg Week MUKONO-KATOSI'!N40+'Avg Week KATOSI-MUKONO'!N40</f>
        <v>0</v>
      </c>
      <c r="O40" s="15">
        <f t="shared" si="0"/>
        <v>72.142857142857153</v>
      </c>
      <c r="P40" s="15">
        <f t="shared" si="1"/>
        <v>224.28571428571428</v>
      </c>
      <c r="R40" s="5" t="s">
        <v>17</v>
      </c>
      <c r="S40" s="16">
        <f t="shared" ref="S40:AF40" si="32">SUM(S10:S21)</f>
        <v>1240.7142857142858</v>
      </c>
      <c r="T40" s="16">
        <f t="shared" si="32"/>
        <v>531.42857142857133</v>
      </c>
      <c r="U40" s="16">
        <f t="shared" si="32"/>
        <v>336.85714285714289</v>
      </c>
      <c r="V40" s="16">
        <f t="shared" si="32"/>
        <v>802.99999999999989</v>
      </c>
      <c r="W40" s="16">
        <f t="shared" si="32"/>
        <v>60.571428571428562</v>
      </c>
      <c r="X40" s="16">
        <f t="shared" si="32"/>
        <v>4.4285714285714288</v>
      </c>
      <c r="Y40" s="16">
        <f t="shared" si="32"/>
        <v>611.00000000000011</v>
      </c>
      <c r="Z40" s="16">
        <f t="shared" si="32"/>
        <v>144.28571428571428</v>
      </c>
      <c r="AA40" s="16">
        <f t="shared" si="32"/>
        <v>49.571428571428569</v>
      </c>
      <c r="AB40" s="16">
        <f t="shared" si="32"/>
        <v>104</v>
      </c>
      <c r="AC40" s="16">
        <f t="shared" si="32"/>
        <v>8616.8571428571431</v>
      </c>
      <c r="AD40" s="16">
        <f t="shared" si="32"/>
        <v>21.999999999999993</v>
      </c>
      <c r="AE40" s="32">
        <f t="shared" si="32"/>
        <v>3907.8571428571427</v>
      </c>
      <c r="AF40" s="32">
        <f t="shared" si="32"/>
        <v>12524.714285714286</v>
      </c>
    </row>
    <row r="41" spans="2:32" ht="23.1" customHeight="1" x14ac:dyDescent="0.25">
      <c r="B41" s="23" t="s">
        <v>68</v>
      </c>
      <c r="C41" s="49">
        <f>'Avg Week MUKONO-KATOSI'!C41+'Avg Week KATOSI-MUKONO'!C41</f>
        <v>22.571428571428569</v>
      </c>
      <c r="D41" s="49">
        <f>'Avg Week MUKONO-KATOSI'!D41+'Avg Week KATOSI-MUKONO'!D41</f>
        <v>10.857142857142858</v>
      </c>
      <c r="E41" s="49">
        <f>'Avg Week MUKONO-KATOSI'!E41+'Avg Week KATOSI-MUKONO'!E41</f>
        <v>7.1428571428571432</v>
      </c>
      <c r="F41" s="49">
        <f>'Avg Week MUKONO-KATOSI'!F41+'Avg Week KATOSI-MUKONO'!F41</f>
        <v>12.857142857142858</v>
      </c>
      <c r="G41" s="49">
        <f>'Avg Week MUKONO-KATOSI'!G41+'Avg Week KATOSI-MUKONO'!G41</f>
        <v>0.2857142857142857</v>
      </c>
      <c r="H41" s="49">
        <f>'Avg Week MUKONO-KATOSI'!H41+'Avg Week KATOSI-MUKONO'!H41</f>
        <v>0.14285714285714285</v>
      </c>
      <c r="I41" s="49">
        <f>'Avg Week MUKONO-KATOSI'!I41+'Avg Week KATOSI-MUKONO'!I41</f>
        <v>11</v>
      </c>
      <c r="J41" s="49">
        <f>'Avg Week MUKONO-KATOSI'!J41+'Avg Week KATOSI-MUKONO'!J41</f>
        <v>3.1428571428571428</v>
      </c>
      <c r="K41" s="49">
        <f>'Avg Week MUKONO-KATOSI'!K41+'Avg Week KATOSI-MUKONO'!K41</f>
        <v>1.5714285714285714</v>
      </c>
      <c r="L41" s="49">
        <f>'Avg Week MUKONO-KATOSI'!L41+'Avg Week KATOSI-MUKONO'!L41</f>
        <v>0.85714285714285721</v>
      </c>
      <c r="M41" s="49">
        <f>'Avg Week MUKONO-KATOSI'!M41+'Avg Week KATOSI-MUKONO'!M41</f>
        <v>135.85714285714283</v>
      </c>
      <c r="N41" s="49">
        <f>'Avg Week MUKONO-KATOSI'!N41+'Avg Week KATOSI-MUKONO'!N41</f>
        <v>0</v>
      </c>
      <c r="O41" s="15">
        <f t="shared" si="0"/>
        <v>70.428571428571431</v>
      </c>
      <c r="P41" s="15">
        <f t="shared" si="1"/>
        <v>206.28571428571428</v>
      </c>
      <c r="R41" s="5" t="s">
        <v>185</v>
      </c>
      <c r="S41" s="16">
        <f>SUM(S10:S33)</f>
        <v>1751.2142857142858</v>
      </c>
      <c r="T41" s="16">
        <f t="shared" ref="T41:AD41" si="33">SUM(T10:T33)</f>
        <v>741.92857142857133</v>
      </c>
      <c r="U41" s="16">
        <f t="shared" si="33"/>
        <v>461.35714285714289</v>
      </c>
      <c r="V41" s="16">
        <f t="shared" si="33"/>
        <v>1160</v>
      </c>
      <c r="W41" s="16">
        <f t="shared" si="33"/>
        <v>85.071428571428555</v>
      </c>
      <c r="X41" s="16">
        <f t="shared" si="33"/>
        <v>5.4285714285714288</v>
      </c>
      <c r="Y41" s="16">
        <f t="shared" si="33"/>
        <v>774.50000000000011</v>
      </c>
      <c r="Z41" s="16">
        <f t="shared" si="33"/>
        <v>209.78571428571428</v>
      </c>
      <c r="AA41" s="16">
        <f t="shared" si="33"/>
        <v>69.571428571428569</v>
      </c>
      <c r="AB41" s="16">
        <f t="shared" si="33"/>
        <v>114.5</v>
      </c>
      <c r="AC41" s="16">
        <f t="shared" si="33"/>
        <v>11695.857142857143</v>
      </c>
      <c r="AD41" s="16">
        <f t="shared" si="33"/>
        <v>21.999999999999993</v>
      </c>
      <c r="AE41" s="32">
        <f>SUM(AE10:AE33)</f>
        <v>5395.3571428571431</v>
      </c>
      <c r="AF41" s="32">
        <f>SUM(AF10:AF33)</f>
        <v>17091.214285714286</v>
      </c>
    </row>
    <row r="42" spans="2:32" ht="23.1" customHeight="1" x14ac:dyDescent="0.25">
      <c r="B42" s="24" t="s">
        <v>69</v>
      </c>
      <c r="C42" s="49">
        <f>'Avg Week MUKONO-KATOSI'!C42+'Avg Week KATOSI-MUKONO'!C42</f>
        <v>26.857142857142858</v>
      </c>
      <c r="D42" s="49">
        <f>'Avg Week MUKONO-KATOSI'!D42+'Avg Week KATOSI-MUKONO'!D42</f>
        <v>12.714285714285715</v>
      </c>
      <c r="E42" s="49">
        <f>'Avg Week MUKONO-KATOSI'!E42+'Avg Week KATOSI-MUKONO'!E42</f>
        <v>8.2857142857142865</v>
      </c>
      <c r="F42" s="49">
        <f>'Avg Week MUKONO-KATOSI'!F42+'Avg Week KATOSI-MUKONO'!F42</f>
        <v>15.571428571428573</v>
      </c>
      <c r="G42" s="49">
        <f>'Avg Week MUKONO-KATOSI'!G42+'Avg Week KATOSI-MUKONO'!G42</f>
        <v>0.71428571428571419</v>
      </c>
      <c r="H42" s="49">
        <f>'Avg Week MUKONO-KATOSI'!H42+'Avg Week KATOSI-MUKONO'!H42</f>
        <v>0</v>
      </c>
      <c r="I42" s="49">
        <f>'Avg Week MUKONO-KATOSI'!I42+'Avg Week KATOSI-MUKONO'!I42</f>
        <v>10.857142857142858</v>
      </c>
      <c r="J42" s="49">
        <f>'Avg Week MUKONO-KATOSI'!J42+'Avg Week KATOSI-MUKONO'!J42</f>
        <v>3.7142857142857144</v>
      </c>
      <c r="K42" s="49">
        <f>'Avg Week MUKONO-KATOSI'!K42+'Avg Week KATOSI-MUKONO'!K42</f>
        <v>1.2857142857142856</v>
      </c>
      <c r="L42" s="49">
        <f>'Avg Week MUKONO-KATOSI'!L42+'Avg Week KATOSI-MUKONO'!L42</f>
        <v>0.71428571428571419</v>
      </c>
      <c r="M42" s="49">
        <f>'Avg Week MUKONO-KATOSI'!M42+'Avg Week KATOSI-MUKONO'!M42</f>
        <v>167.71428571428572</v>
      </c>
      <c r="N42" s="49">
        <f>'Avg Week MUKONO-KATOSI'!N42+'Avg Week KATOSI-MUKONO'!N42</f>
        <v>0.14285714285714285</v>
      </c>
      <c r="O42" s="15">
        <f t="shared" si="0"/>
        <v>80.857142857142847</v>
      </c>
      <c r="P42" s="15">
        <f t="shared" si="1"/>
        <v>248.57142857142858</v>
      </c>
      <c r="R42" s="5" t="s">
        <v>160</v>
      </c>
      <c r="S42" s="48">
        <f>S41/S40</f>
        <v>1.4114565342544616</v>
      </c>
      <c r="T42" s="48">
        <f t="shared" ref="T42:AF42" si="34">T41/T40</f>
        <v>1.3961021505376345</v>
      </c>
      <c r="U42" s="48">
        <f t="shared" si="34"/>
        <v>1.3695928753180662</v>
      </c>
      <c r="V42" s="48">
        <f t="shared" si="34"/>
        <v>1.4445828144458284</v>
      </c>
      <c r="W42" s="48">
        <f t="shared" si="34"/>
        <v>1.4044811320754715</v>
      </c>
      <c r="X42" s="48">
        <f t="shared" si="34"/>
        <v>1.2258064516129032</v>
      </c>
      <c r="Y42" s="48">
        <f t="shared" si="34"/>
        <v>1.2675941080196398</v>
      </c>
      <c r="Z42" s="48">
        <f t="shared" si="34"/>
        <v>1.4539603960396039</v>
      </c>
      <c r="AA42" s="48">
        <f t="shared" si="34"/>
        <v>1.4034582132564841</v>
      </c>
      <c r="AB42" s="48">
        <f t="shared" si="34"/>
        <v>1.1009615384615385</v>
      </c>
      <c r="AC42" s="48">
        <f t="shared" si="34"/>
        <v>1.3573228555323453</v>
      </c>
      <c r="AD42" s="48">
        <f t="shared" si="34"/>
        <v>1</v>
      </c>
      <c r="AE42" s="52">
        <f t="shared" si="34"/>
        <v>1.3806433924328279</v>
      </c>
      <c r="AF42" s="52">
        <f t="shared" si="34"/>
        <v>1.3645991354236766</v>
      </c>
    </row>
    <row r="43" spans="2:32" ht="23.1" customHeight="1" x14ac:dyDescent="0.25">
      <c r="B43" s="23" t="s">
        <v>70</v>
      </c>
      <c r="C43" s="49">
        <f>'Avg Week MUKONO-KATOSI'!C43+'Avg Week KATOSI-MUKONO'!C43</f>
        <v>25.714285714285715</v>
      </c>
      <c r="D43" s="49">
        <f>'Avg Week MUKONO-KATOSI'!D43+'Avg Week KATOSI-MUKONO'!D43</f>
        <v>18.857142857142858</v>
      </c>
      <c r="E43" s="49">
        <f>'Avg Week MUKONO-KATOSI'!E43+'Avg Week KATOSI-MUKONO'!E43</f>
        <v>9.5714285714285712</v>
      </c>
      <c r="F43" s="49">
        <f>'Avg Week MUKONO-KATOSI'!F43+'Avg Week KATOSI-MUKONO'!F43</f>
        <v>16.571428571428573</v>
      </c>
      <c r="G43" s="49">
        <f>'Avg Week MUKONO-KATOSI'!G43+'Avg Week KATOSI-MUKONO'!G43</f>
        <v>1.2857142857142856</v>
      </c>
      <c r="H43" s="49">
        <f>'Avg Week MUKONO-KATOSI'!H43+'Avg Week KATOSI-MUKONO'!H43</f>
        <v>0</v>
      </c>
      <c r="I43" s="49">
        <f>'Avg Week MUKONO-KATOSI'!I43+'Avg Week KATOSI-MUKONO'!I43</f>
        <v>14.285714285714285</v>
      </c>
      <c r="J43" s="49">
        <f>'Avg Week MUKONO-KATOSI'!J43+'Avg Week KATOSI-MUKONO'!J43</f>
        <v>4.2857142857142856</v>
      </c>
      <c r="K43" s="49">
        <f>'Avg Week MUKONO-KATOSI'!K43+'Avg Week KATOSI-MUKONO'!K43</f>
        <v>1.1428571428571428</v>
      </c>
      <c r="L43" s="49">
        <f>'Avg Week MUKONO-KATOSI'!L43+'Avg Week KATOSI-MUKONO'!L43</f>
        <v>1.2857142857142856</v>
      </c>
      <c r="M43" s="49">
        <f>'Avg Week MUKONO-KATOSI'!M43+'Avg Week KATOSI-MUKONO'!M43</f>
        <v>177.85714285714283</v>
      </c>
      <c r="N43" s="49">
        <f>'Avg Week MUKONO-KATOSI'!N43+'Avg Week KATOSI-MUKONO'!N43</f>
        <v>0</v>
      </c>
      <c r="O43" s="15">
        <f t="shared" si="0"/>
        <v>93</v>
      </c>
      <c r="P43" s="15">
        <f t="shared" si="1"/>
        <v>270.85714285714283</v>
      </c>
    </row>
    <row r="44" spans="2:32" ht="23.1" customHeight="1" x14ac:dyDescent="0.25">
      <c r="B44" s="25" t="s">
        <v>71</v>
      </c>
      <c r="C44" s="49">
        <f>'Avg Week MUKONO-KATOSI'!C44+'Avg Week KATOSI-MUKONO'!C44</f>
        <v>25.428571428571431</v>
      </c>
      <c r="D44" s="49">
        <f>'Avg Week MUKONO-KATOSI'!D44+'Avg Week KATOSI-MUKONO'!D44</f>
        <v>12</v>
      </c>
      <c r="E44" s="49">
        <f>'Avg Week MUKONO-KATOSI'!E44+'Avg Week KATOSI-MUKONO'!E44</f>
        <v>5.7142857142857144</v>
      </c>
      <c r="F44" s="49">
        <f>'Avg Week MUKONO-KATOSI'!F44+'Avg Week KATOSI-MUKONO'!F44</f>
        <v>16.285714285714285</v>
      </c>
      <c r="G44" s="49">
        <f>'Avg Week MUKONO-KATOSI'!G44+'Avg Week KATOSI-MUKONO'!G44</f>
        <v>0.5714285714285714</v>
      </c>
      <c r="H44" s="49">
        <f>'Avg Week MUKONO-KATOSI'!H44+'Avg Week KATOSI-MUKONO'!H44</f>
        <v>0</v>
      </c>
      <c r="I44" s="49">
        <f>'Avg Week MUKONO-KATOSI'!I44+'Avg Week KATOSI-MUKONO'!I44</f>
        <v>14.714285714285714</v>
      </c>
      <c r="J44" s="49">
        <f>'Avg Week MUKONO-KATOSI'!J44+'Avg Week KATOSI-MUKONO'!J44</f>
        <v>3.1428571428571432</v>
      </c>
      <c r="K44" s="49">
        <f>'Avg Week MUKONO-KATOSI'!K44+'Avg Week KATOSI-MUKONO'!K44</f>
        <v>1.857142857142857</v>
      </c>
      <c r="L44" s="49">
        <f>'Avg Week MUKONO-KATOSI'!L44+'Avg Week KATOSI-MUKONO'!L44</f>
        <v>0.5714285714285714</v>
      </c>
      <c r="M44" s="49">
        <f>'Avg Week MUKONO-KATOSI'!M44+'Avg Week KATOSI-MUKONO'!M44</f>
        <v>175.42857142857144</v>
      </c>
      <c r="N44" s="49">
        <f>'Avg Week MUKONO-KATOSI'!N44+'Avg Week KATOSI-MUKONO'!N44</f>
        <v>0.14285714285714285</v>
      </c>
      <c r="O44" s="15">
        <f t="shared" si="0"/>
        <v>80.428571428571416</v>
      </c>
      <c r="P44" s="15">
        <f t="shared" si="1"/>
        <v>255.85714285714286</v>
      </c>
    </row>
    <row r="45" spans="2:32" ht="23.1" customHeight="1" x14ac:dyDescent="0.25">
      <c r="B45" s="23" t="s">
        <v>72</v>
      </c>
      <c r="C45" s="49">
        <f>'Avg Week MUKONO-KATOSI'!C45+'Avg Week KATOSI-MUKONO'!C45</f>
        <v>28</v>
      </c>
      <c r="D45" s="49">
        <f>'Avg Week MUKONO-KATOSI'!D45+'Avg Week KATOSI-MUKONO'!D45</f>
        <v>12.571428571428573</v>
      </c>
      <c r="E45" s="49">
        <f>'Avg Week MUKONO-KATOSI'!E45+'Avg Week KATOSI-MUKONO'!E45</f>
        <v>7.1428571428571423</v>
      </c>
      <c r="F45" s="49">
        <f>'Avg Week MUKONO-KATOSI'!F45+'Avg Week KATOSI-MUKONO'!F45</f>
        <v>15.571428571428573</v>
      </c>
      <c r="G45" s="49">
        <f>'Avg Week MUKONO-KATOSI'!G45+'Avg Week KATOSI-MUKONO'!G45</f>
        <v>0.14285714285714285</v>
      </c>
      <c r="H45" s="49">
        <f>'Avg Week MUKONO-KATOSI'!H45+'Avg Week KATOSI-MUKONO'!H45</f>
        <v>0.14285714285714285</v>
      </c>
      <c r="I45" s="49">
        <f>'Avg Week MUKONO-KATOSI'!I45+'Avg Week KATOSI-MUKONO'!I45</f>
        <v>14.285714285714286</v>
      </c>
      <c r="J45" s="49">
        <f>'Avg Week MUKONO-KATOSI'!J45+'Avg Week KATOSI-MUKONO'!J45</f>
        <v>3</v>
      </c>
      <c r="K45" s="49">
        <f>'Avg Week MUKONO-KATOSI'!K45+'Avg Week KATOSI-MUKONO'!K45</f>
        <v>1.2857142857142856</v>
      </c>
      <c r="L45" s="49">
        <f>'Avg Week MUKONO-KATOSI'!L45+'Avg Week KATOSI-MUKONO'!L45</f>
        <v>1.1428571428571428</v>
      </c>
      <c r="M45" s="49">
        <f>'Avg Week MUKONO-KATOSI'!M45+'Avg Week KATOSI-MUKONO'!M45</f>
        <v>178.42857142857144</v>
      </c>
      <c r="N45" s="49">
        <f>'Avg Week MUKONO-KATOSI'!N45+'Avg Week KATOSI-MUKONO'!N45</f>
        <v>0</v>
      </c>
      <c r="O45" s="15">
        <f t="shared" si="0"/>
        <v>83.285714285714292</v>
      </c>
      <c r="P45" s="15">
        <f t="shared" si="1"/>
        <v>261.71428571428572</v>
      </c>
    </row>
    <row r="46" spans="2:32" ht="23.1" customHeight="1" x14ac:dyDescent="0.25">
      <c r="B46" s="24" t="s">
        <v>73</v>
      </c>
      <c r="C46" s="49">
        <f>'Avg Week MUKONO-KATOSI'!C46+'Avg Week KATOSI-MUKONO'!C46</f>
        <v>27.857142857142854</v>
      </c>
      <c r="D46" s="49">
        <f>'Avg Week MUKONO-KATOSI'!D46+'Avg Week KATOSI-MUKONO'!D46</f>
        <v>13.285714285714285</v>
      </c>
      <c r="E46" s="49">
        <f>'Avg Week MUKONO-KATOSI'!E46+'Avg Week KATOSI-MUKONO'!E46</f>
        <v>8.2857142857142847</v>
      </c>
      <c r="F46" s="49">
        <f>'Avg Week MUKONO-KATOSI'!F46+'Avg Week KATOSI-MUKONO'!F46</f>
        <v>19.142857142857142</v>
      </c>
      <c r="G46" s="49">
        <f>'Avg Week MUKONO-KATOSI'!G46+'Avg Week KATOSI-MUKONO'!G46</f>
        <v>0.5714285714285714</v>
      </c>
      <c r="H46" s="49">
        <f>'Avg Week MUKONO-KATOSI'!H46+'Avg Week KATOSI-MUKONO'!H46</f>
        <v>0</v>
      </c>
      <c r="I46" s="49">
        <f>'Avg Week MUKONO-KATOSI'!I46+'Avg Week KATOSI-MUKONO'!I46</f>
        <v>18.571428571428573</v>
      </c>
      <c r="J46" s="49">
        <f>'Avg Week MUKONO-KATOSI'!J46+'Avg Week KATOSI-MUKONO'!J46</f>
        <v>4.1428571428571432</v>
      </c>
      <c r="K46" s="49">
        <f>'Avg Week MUKONO-KATOSI'!K46+'Avg Week KATOSI-MUKONO'!K46</f>
        <v>0.5714285714285714</v>
      </c>
      <c r="L46" s="49">
        <f>'Avg Week MUKONO-KATOSI'!L46+'Avg Week KATOSI-MUKONO'!L46</f>
        <v>1.4285714285714284</v>
      </c>
      <c r="M46" s="49">
        <f>'Avg Week MUKONO-KATOSI'!M46+'Avg Week KATOSI-MUKONO'!M46</f>
        <v>179</v>
      </c>
      <c r="N46" s="49">
        <f>'Avg Week MUKONO-KATOSI'!N46+'Avg Week KATOSI-MUKONO'!N46</f>
        <v>0.14285714285714285</v>
      </c>
      <c r="O46" s="15">
        <f t="shared" si="0"/>
        <v>93.999999999999986</v>
      </c>
      <c r="P46" s="15">
        <f t="shared" si="1"/>
        <v>273</v>
      </c>
      <c r="R46" s="8"/>
      <c r="T46"/>
    </row>
    <row r="47" spans="2:32" ht="23.1" customHeight="1" x14ac:dyDescent="0.25">
      <c r="B47" s="24" t="s">
        <v>74</v>
      </c>
      <c r="C47" s="49">
        <f>'Avg Week MUKONO-KATOSI'!C47+'Avg Week KATOSI-MUKONO'!C47</f>
        <v>27.857142857142858</v>
      </c>
      <c r="D47" s="49">
        <f>'Avg Week MUKONO-KATOSI'!D47+'Avg Week KATOSI-MUKONO'!D47</f>
        <v>14</v>
      </c>
      <c r="E47" s="49">
        <f>'Avg Week MUKONO-KATOSI'!E47+'Avg Week KATOSI-MUKONO'!E47</f>
        <v>10.142857142857142</v>
      </c>
      <c r="F47" s="49">
        <f>'Avg Week MUKONO-KATOSI'!F47+'Avg Week KATOSI-MUKONO'!F47</f>
        <v>22.857142857142858</v>
      </c>
      <c r="G47" s="49">
        <f>'Avg Week MUKONO-KATOSI'!G47+'Avg Week KATOSI-MUKONO'!G47</f>
        <v>1.7142857142857142</v>
      </c>
      <c r="H47" s="49">
        <f>'Avg Week MUKONO-KATOSI'!H47+'Avg Week KATOSI-MUKONO'!H47</f>
        <v>0</v>
      </c>
      <c r="I47" s="49">
        <f>'Avg Week MUKONO-KATOSI'!I47+'Avg Week KATOSI-MUKONO'!I47</f>
        <v>11.285714285714285</v>
      </c>
      <c r="J47" s="49">
        <f>'Avg Week MUKONO-KATOSI'!J47+'Avg Week KATOSI-MUKONO'!J47</f>
        <v>1.7142857142857144</v>
      </c>
      <c r="K47" s="49">
        <f>'Avg Week MUKONO-KATOSI'!K47+'Avg Week KATOSI-MUKONO'!K47</f>
        <v>1.4285714285714286</v>
      </c>
      <c r="L47" s="49">
        <f>'Avg Week MUKONO-KATOSI'!L47+'Avg Week KATOSI-MUKONO'!L47</f>
        <v>1.2857142857142856</v>
      </c>
      <c r="M47" s="49">
        <f>'Avg Week MUKONO-KATOSI'!M47+'Avg Week KATOSI-MUKONO'!M47</f>
        <v>187.57142857142856</v>
      </c>
      <c r="N47" s="49">
        <f>'Avg Week MUKONO-KATOSI'!N47+'Avg Week KATOSI-MUKONO'!N47</f>
        <v>0.14285714285714285</v>
      </c>
      <c r="O47" s="15">
        <f t="shared" si="0"/>
        <v>92.428571428571431</v>
      </c>
      <c r="P47" s="15">
        <f t="shared" si="1"/>
        <v>280</v>
      </c>
      <c r="R47" s="8"/>
      <c r="T47"/>
    </row>
    <row r="48" spans="2:32" ht="23.1" customHeight="1" x14ac:dyDescent="0.25">
      <c r="B48" s="24" t="s">
        <v>75</v>
      </c>
      <c r="C48" s="49">
        <f>'Avg Week MUKONO-KATOSI'!C48+'Avg Week KATOSI-MUKONO'!C48</f>
        <v>26.857142857142858</v>
      </c>
      <c r="D48" s="49">
        <f>'Avg Week MUKONO-KATOSI'!D48+'Avg Week KATOSI-MUKONO'!D48</f>
        <v>11</v>
      </c>
      <c r="E48" s="49">
        <f>'Avg Week MUKONO-KATOSI'!E48+'Avg Week KATOSI-MUKONO'!E48</f>
        <v>8.5714285714285712</v>
      </c>
      <c r="F48" s="49">
        <f>'Avg Week MUKONO-KATOSI'!F48+'Avg Week KATOSI-MUKONO'!F48</f>
        <v>15.857142857142858</v>
      </c>
      <c r="G48" s="49">
        <f>'Avg Week MUKONO-KATOSI'!G48+'Avg Week KATOSI-MUKONO'!G48</f>
        <v>2.2857142857142856</v>
      </c>
      <c r="H48" s="49">
        <f>'Avg Week MUKONO-KATOSI'!H48+'Avg Week KATOSI-MUKONO'!H48</f>
        <v>0</v>
      </c>
      <c r="I48" s="49">
        <f>'Avg Week MUKONO-KATOSI'!I48+'Avg Week KATOSI-MUKONO'!I48</f>
        <v>14.571428571428569</v>
      </c>
      <c r="J48" s="49">
        <f>'Avg Week MUKONO-KATOSI'!J48+'Avg Week KATOSI-MUKONO'!J48</f>
        <v>2.4285714285714284</v>
      </c>
      <c r="K48" s="49">
        <f>'Avg Week MUKONO-KATOSI'!K48+'Avg Week KATOSI-MUKONO'!K48</f>
        <v>1</v>
      </c>
      <c r="L48" s="49">
        <f>'Avg Week MUKONO-KATOSI'!L48+'Avg Week KATOSI-MUKONO'!L48</f>
        <v>1.1428571428571428</v>
      </c>
      <c r="M48" s="49">
        <f>'Avg Week MUKONO-KATOSI'!M48+'Avg Week KATOSI-MUKONO'!M48</f>
        <v>184.42857142857144</v>
      </c>
      <c r="N48" s="49">
        <f>'Avg Week MUKONO-KATOSI'!N48+'Avg Week KATOSI-MUKONO'!N48</f>
        <v>0</v>
      </c>
      <c r="O48" s="15">
        <f t="shared" si="0"/>
        <v>83.714285714285722</v>
      </c>
      <c r="P48" s="15">
        <f t="shared" si="1"/>
        <v>268.14285714285717</v>
      </c>
      <c r="R48" s="8"/>
      <c r="T48"/>
    </row>
    <row r="49" spans="2:20" ht="23.1" customHeight="1" x14ac:dyDescent="0.25">
      <c r="B49" s="23" t="s">
        <v>76</v>
      </c>
      <c r="C49" s="49">
        <f>'Avg Week MUKONO-KATOSI'!C49+'Avg Week KATOSI-MUKONO'!C49</f>
        <v>29.714285714285715</v>
      </c>
      <c r="D49" s="49">
        <f>'Avg Week MUKONO-KATOSI'!D49+'Avg Week KATOSI-MUKONO'!D49</f>
        <v>12.857142857142858</v>
      </c>
      <c r="E49" s="49">
        <f>'Avg Week MUKONO-KATOSI'!E49+'Avg Week KATOSI-MUKONO'!E49</f>
        <v>6.7142857142857144</v>
      </c>
      <c r="F49" s="49">
        <f>'Avg Week MUKONO-KATOSI'!F49+'Avg Week KATOSI-MUKONO'!F49</f>
        <v>14.142857142857142</v>
      </c>
      <c r="G49" s="49">
        <f>'Avg Week MUKONO-KATOSI'!G49+'Avg Week KATOSI-MUKONO'!G49</f>
        <v>1.7142857142857142</v>
      </c>
      <c r="H49" s="49">
        <f>'Avg Week MUKONO-KATOSI'!H49+'Avg Week KATOSI-MUKONO'!H49</f>
        <v>0</v>
      </c>
      <c r="I49" s="49">
        <f>'Avg Week MUKONO-KATOSI'!I49+'Avg Week KATOSI-MUKONO'!I49</f>
        <v>14.857142857142858</v>
      </c>
      <c r="J49" s="49">
        <f>'Avg Week MUKONO-KATOSI'!J49+'Avg Week KATOSI-MUKONO'!J49</f>
        <v>3.7142857142857144</v>
      </c>
      <c r="K49" s="49">
        <f>'Avg Week MUKONO-KATOSI'!K49+'Avg Week KATOSI-MUKONO'!K49</f>
        <v>0.71428571428571419</v>
      </c>
      <c r="L49" s="49">
        <f>'Avg Week MUKONO-KATOSI'!L49+'Avg Week KATOSI-MUKONO'!L49</f>
        <v>1</v>
      </c>
      <c r="M49" s="49">
        <f>'Avg Week MUKONO-KATOSI'!M49+'Avg Week KATOSI-MUKONO'!M49</f>
        <v>168.57142857142856</v>
      </c>
      <c r="N49" s="49">
        <f>'Avg Week MUKONO-KATOSI'!N49+'Avg Week KATOSI-MUKONO'!N49</f>
        <v>0</v>
      </c>
      <c r="O49" s="15">
        <f t="shared" si="0"/>
        <v>85.428571428571416</v>
      </c>
      <c r="P49" s="15">
        <f t="shared" si="1"/>
        <v>253.99999999999997</v>
      </c>
      <c r="R49" s="8"/>
      <c r="T49"/>
    </row>
    <row r="50" spans="2:20" ht="23.1" customHeight="1" x14ac:dyDescent="0.25">
      <c r="B50" s="24" t="s">
        <v>77</v>
      </c>
      <c r="C50" s="49">
        <f>'Avg Week MUKONO-KATOSI'!C50+'Avg Week KATOSI-MUKONO'!C50</f>
        <v>25.428571428571431</v>
      </c>
      <c r="D50" s="49">
        <f>'Avg Week MUKONO-KATOSI'!D50+'Avg Week KATOSI-MUKONO'!D50</f>
        <v>11.142857142857142</v>
      </c>
      <c r="E50" s="49">
        <f>'Avg Week MUKONO-KATOSI'!E50+'Avg Week KATOSI-MUKONO'!E50</f>
        <v>7</v>
      </c>
      <c r="F50" s="49">
        <f>'Avg Week MUKONO-KATOSI'!F50+'Avg Week KATOSI-MUKONO'!F50</f>
        <v>24.857142857142854</v>
      </c>
      <c r="G50" s="49">
        <f>'Avg Week MUKONO-KATOSI'!G50+'Avg Week KATOSI-MUKONO'!G50</f>
        <v>1</v>
      </c>
      <c r="H50" s="49">
        <f>'Avg Week MUKONO-KATOSI'!H50+'Avg Week KATOSI-MUKONO'!H50</f>
        <v>0.14285714285714285</v>
      </c>
      <c r="I50" s="49">
        <f>'Avg Week MUKONO-KATOSI'!I50+'Avg Week KATOSI-MUKONO'!I50</f>
        <v>12.571428571428573</v>
      </c>
      <c r="J50" s="49">
        <f>'Avg Week MUKONO-KATOSI'!J50+'Avg Week KATOSI-MUKONO'!J50</f>
        <v>5</v>
      </c>
      <c r="K50" s="49">
        <f>'Avg Week MUKONO-KATOSI'!K50+'Avg Week KATOSI-MUKONO'!K50</f>
        <v>0.71428571428571419</v>
      </c>
      <c r="L50" s="49">
        <f>'Avg Week MUKONO-KATOSI'!L50+'Avg Week KATOSI-MUKONO'!L50</f>
        <v>12.857142857142858</v>
      </c>
      <c r="M50" s="49">
        <f>'Avg Week MUKONO-KATOSI'!M50+'Avg Week KATOSI-MUKONO'!M50</f>
        <v>169.71428571428572</v>
      </c>
      <c r="N50" s="49">
        <f>'Avg Week MUKONO-KATOSI'!N50+'Avg Week KATOSI-MUKONO'!N50</f>
        <v>0</v>
      </c>
      <c r="O50" s="15">
        <f t="shared" si="0"/>
        <v>100.71428571428569</v>
      </c>
      <c r="P50" s="15">
        <f t="shared" si="1"/>
        <v>270.42857142857144</v>
      </c>
      <c r="R50" s="8"/>
      <c r="T50"/>
    </row>
    <row r="51" spans="2:20" ht="23.1" customHeight="1" x14ac:dyDescent="0.25">
      <c r="B51" s="24" t="s">
        <v>78</v>
      </c>
      <c r="C51" s="49">
        <f>'Avg Week MUKONO-KATOSI'!C51+'Avg Week KATOSI-MUKONO'!C51</f>
        <v>27.714285714285715</v>
      </c>
      <c r="D51" s="49">
        <f>'Avg Week MUKONO-KATOSI'!D51+'Avg Week KATOSI-MUKONO'!D51</f>
        <v>12.428571428571427</v>
      </c>
      <c r="E51" s="49">
        <f>'Avg Week MUKONO-KATOSI'!E51+'Avg Week KATOSI-MUKONO'!E51</f>
        <v>8.4285714285714288</v>
      </c>
      <c r="F51" s="49">
        <f>'Avg Week MUKONO-KATOSI'!F51+'Avg Week KATOSI-MUKONO'!F51</f>
        <v>14.857142857142858</v>
      </c>
      <c r="G51" s="49">
        <f>'Avg Week MUKONO-KATOSI'!G51+'Avg Week KATOSI-MUKONO'!G51</f>
        <v>1</v>
      </c>
      <c r="H51" s="49">
        <f>'Avg Week MUKONO-KATOSI'!H51+'Avg Week KATOSI-MUKONO'!H51</f>
        <v>0</v>
      </c>
      <c r="I51" s="49">
        <f>'Avg Week MUKONO-KATOSI'!I51+'Avg Week KATOSI-MUKONO'!I51</f>
        <v>11.428571428571429</v>
      </c>
      <c r="J51" s="49">
        <f>'Avg Week MUKONO-KATOSI'!J51+'Avg Week KATOSI-MUKONO'!J51</f>
        <v>3.1428571428571428</v>
      </c>
      <c r="K51" s="49">
        <f>'Avg Week MUKONO-KATOSI'!K51+'Avg Week KATOSI-MUKONO'!K51</f>
        <v>0.2857142857142857</v>
      </c>
      <c r="L51" s="49">
        <f>'Avg Week MUKONO-KATOSI'!L51+'Avg Week KATOSI-MUKONO'!L51</f>
        <v>0.8571428571428571</v>
      </c>
      <c r="M51" s="49">
        <f>'Avg Week MUKONO-KATOSI'!M51+'Avg Week KATOSI-MUKONO'!M51</f>
        <v>175.42857142857142</v>
      </c>
      <c r="N51" s="49">
        <f>'Avg Week MUKONO-KATOSI'!N51+'Avg Week KATOSI-MUKONO'!N51</f>
        <v>0</v>
      </c>
      <c r="O51" s="15">
        <f t="shared" si="0"/>
        <v>80.142857142857153</v>
      </c>
      <c r="P51" s="15">
        <f t="shared" si="1"/>
        <v>255.57142857142856</v>
      </c>
      <c r="R51" s="8"/>
      <c r="T51"/>
    </row>
    <row r="52" spans="2:20" ht="23.1" customHeight="1" x14ac:dyDescent="0.25">
      <c r="B52" s="24" t="s">
        <v>79</v>
      </c>
      <c r="C52" s="49">
        <f>'Avg Week MUKONO-KATOSI'!C52+'Avg Week KATOSI-MUKONO'!C52</f>
        <v>27.428571428571427</v>
      </c>
      <c r="D52" s="49">
        <f>'Avg Week MUKONO-KATOSI'!D52+'Avg Week KATOSI-MUKONO'!D52</f>
        <v>12.714285714285714</v>
      </c>
      <c r="E52" s="49">
        <f>'Avg Week MUKONO-KATOSI'!E52+'Avg Week KATOSI-MUKONO'!E52</f>
        <v>7.7142857142857144</v>
      </c>
      <c r="F52" s="49">
        <f>'Avg Week MUKONO-KATOSI'!F52+'Avg Week KATOSI-MUKONO'!F52</f>
        <v>21</v>
      </c>
      <c r="G52" s="49">
        <f>'Avg Week MUKONO-KATOSI'!G52+'Avg Week KATOSI-MUKONO'!G52</f>
        <v>1.8571428571428572</v>
      </c>
      <c r="H52" s="49">
        <f>'Avg Week MUKONO-KATOSI'!H52+'Avg Week KATOSI-MUKONO'!H52</f>
        <v>0</v>
      </c>
      <c r="I52" s="49">
        <f>'Avg Week MUKONO-KATOSI'!I52+'Avg Week KATOSI-MUKONO'!I52</f>
        <v>11</v>
      </c>
      <c r="J52" s="49">
        <f>'Avg Week MUKONO-KATOSI'!J52+'Avg Week KATOSI-MUKONO'!J52</f>
        <v>2.5714285714285712</v>
      </c>
      <c r="K52" s="49">
        <f>'Avg Week MUKONO-KATOSI'!K52+'Avg Week KATOSI-MUKONO'!K52</f>
        <v>0.8571428571428571</v>
      </c>
      <c r="L52" s="49">
        <f>'Avg Week MUKONO-KATOSI'!L52+'Avg Week KATOSI-MUKONO'!L52</f>
        <v>1.2857142857142856</v>
      </c>
      <c r="M52" s="49">
        <f>'Avg Week MUKONO-KATOSI'!M52+'Avg Week KATOSI-MUKONO'!M52</f>
        <v>175.28571428571428</v>
      </c>
      <c r="N52" s="49">
        <f>'Avg Week MUKONO-KATOSI'!N52+'Avg Week KATOSI-MUKONO'!N52</f>
        <v>0</v>
      </c>
      <c r="O52" s="15">
        <f t="shared" si="0"/>
        <v>86.428571428571445</v>
      </c>
      <c r="P52" s="15">
        <f t="shared" si="1"/>
        <v>261.71428571428572</v>
      </c>
      <c r="R52" s="8"/>
      <c r="T52"/>
    </row>
    <row r="53" spans="2:20" ht="23.1" customHeight="1" x14ac:dyDescent="0.25">
      <c r="B53" s="23" t="s">
        <v>80</v>
      </c>
      <c r="C53" s="49">
        <f>'Avg Week MUKONO-KATOSI'!C53+'Avg Week KATOSI-MUKONO'!C53</f>
        <v>36.285714285714285</v>
      </c>
      <c r="D53" s="49">
        <f>'Avg Week MUKONO-KATOSI'!D53+'Avg Week KATOSI-MUKONO'!D53</f>
        <v>14</v>
      </c>
      <c r="E53" s="49">
        <f>'Avg Week MUKONO-KATOSI'!E53+'Avg Week KATOSI-MUKONO'!E53</f>
        <v>6.2857142857142856</v>
      </c>
      <c r="F53" s="49">
        <f>'Avg Week MUKONO-KATOSI'!F53+'Avg Week KATOSI-MUKONO'!F53</f>
        <v>19.857142857142854</v>
      </c>
      <c r="G53" s="49">
        <f>'Avg Week MUKONO-KATOSI'!G53+'Avg Week KATOSI-MUKONO'!G53</f>
        <v>2.7142857142857144</v>
      </c>
      <c r="H53" s="49">
        <f>'Avg Week MUKONO-KATOSI'!H53+'Avg Week KATOSI-MUKONO'!H53</f>
        <v>0.2857142857142857</v>
      </c>
      <c r="I53" s="49">
        <f>'Avg Week MUKONO-KATOSI'!I53+'Avg Week KATOSI-MUKONO'!I53</f>
        <v>10.857142857142858</v>
      </c>
      <c r="J53" s="49">
        <f>'Avg Week MUKONO-KATOSI'!J53+'Avg Week KATOSI-MUKONO'!J53</f>
        <v>3.4285714285714288</v>
      </c>
      <c r="K53" s="49">
        <f>'Avg Week MUKONO-KATOSI'!K53+'Avg Week KATOSI-MUKONO'!K53</f>
        <v>1.1428571428571428</v>
      </c>
      <c r="L53" s="49">
        <f>'Avg Week MUKONO-KATOSI'!L53+'Avg Week KATOSI-MUKONO'!L53</f>
        <v>0.42857142857142855</v>
      </c>
      <c r="M53" s="49">
        <f>'Avg Week MUKONO-KATOSI'!M53+'Avg Week KATOSI-MUKONO'!M53</f>
        <v>184.57142857142856</v>
      </c>
      <c r="N53" s="49">
        <f>'Avg Week MUKONO-KATOSI'!N53+'Avg Week KATOSI-MUKONO'!N53</f>
        <v>0</v>
      </c>
      <c r="O53" s="15">
        <f t="shared" si="0"/>
        <v>95.285714285714278</v>
      </c>
      <c r="P53" s="15">
        <f t="shared" si="1"/>
        <v>279.85714285714283</v>
      </c>
      <c r="R53" s="8"/>
      <c r="T53"/>
    </row>
    <row r="54" spans="2:20" ht="23.1" customHeight="1" x14ac:dyDescent="0.25">
      <c r="B54" s="23" t="s">
        <v>81</v>
      </c>
      <c r="C54" s="49">
        <f>'Avg Week MUKONO-KATOSI'!C54+'Avg Week KATOSI-MUKONO'!C54</f>
        <v>29</v>
      </c>
      <c r="D54" s="49">
        <f>'Avg Week MUKONO-KATOSI'!D54+'Avg Week KATOSI-MUKONO'!D54</f>
        <v>11.857142857142858</v>
      </c>
      <c r="E54" s="49">
        <f>'Avg Week MUKONO-KATOSI'!E54+'Avg Week KATOSI-MUKONO'!E54</f>
        <v>7.2857142857142865</v>
      </c>
      <c r="F54" s="49">
        <f>'Avg Week MUKONO-KATOSI'!F54+'Avg Week KATOSI-MUKONO'!F54</f>
        <v>22.857142857142858</v>
      </c>
      <c r="G54" s="49">
        <f>'Avg Week MUKONO-KATOSI'!G54+'Avg Week KATOSI-MUKONO'!G54</f>
        <v>1.4285714285714284</v>
      </c>
      <c r="H54" s="49">
        <f>'Avg Week MUKONO-KATOSI'!H54+'Avg Week KATOSI-MUKONO'!H54</f>
        <v>0</v>
      </c>
      <c r="I54" s="49">
        <f>'Avg Week MUKONO-KATOSI'!I54+'Avg Week KATOSI-MUKONO'!I54</f>
        <v>11.714285714285715</v>
      </c>
      <c r="J54" s="49">
        <f>'Avg Week MUKONO-KATOSI'!J54+'Avg Week KATOSI-MUKONO'!J54</f>
        <v>4.1428571428571423</v>
      </c>
      <c r="K54" s="49">
        <f>'Avg Week MUKONO-KATOSI'!K54+'Avg Week KATOSI-MUKONO'!K54</f>
        <v>0.8571428571428571</v>
      </c>
      <c r="L54" s="49">
        <f>'Avg Week MUKONO-KATOSI'!L54+'Avg Week KATOSI-MUKONO'!L54</f>
        <v>0.2857142857142857</v>
      </c>
      <c r="M54" s="49">
        <f>'Avg Week MUKONO-KATOSI'!M54+'Avg Week KATOSI-MUKONO'!M54</f>
        <v>187.57142857142856</v>
      </c>
      <c r="N54" s="49">
        <f>'Avg Week MUKONO-KATOSI'!N54+'Avg Week KATOSI-MUKONO'!N54</f>
        <v>0.14285714285714285</v>
      </c>
      <c r="O54" s="15">
        <f t="shared" si="0"/>
        <v>89.571428571428569</v>
      </c>
      <c r="P54" s="15">
        <f t="shared" si="1"/>
        <v>277.14285714285717</v>
      </c>
      <c r="R54" s="8"/>
      <c r="T54"/>
    </row>
    <row r="55" spans="2:20" ht="23.1" customHeight="1" x14ac:dyDescent="0.25">
      <c r="B55" s="23" t="s">
        <v>82</v>
      </c>
      <c r="C55" s="49">
        <f>'Avg Week MUKONO-KATOSI'!C55+'Avg Week KATOSI-MUKONO'!C55</f>
        <v>34.571428571428569</v>
      </c>
      <c r="D55" s="49">
        <f>'Avg Week MUKONO-KATOSI'!D55+'Avg Week KATOSI-MUKONO'!D55</f>
        <v>12.857142857142858</v>
      </c>
      <c r="E55" s="49">
        <f>'Avg Week MUKONO-KATOSI'!E55+'Avg Week KATOSI-MUKONO'!E55</f>
        <v>6.5714285714285712</v>
      </c>
      <c r="F55" s="49">
        <f>'Avg Week MUKONO-KATOSI'!F55+'Avg Week KATOSI-MUKONO'!F55</f>
        <v>19</v>
      </c>
      <c r="G55" s="49">
        <f>'Avg Week MUKONO-KATOSI'!G55+'Avg Week KATOSI-MUKONO'!G55</f>
        <v>0.85714285714285721</v>
      </c>
      <c r="H55" s="49">
        <f>'Avg Week MUKONO-KATOSI'!H55+'Avg Week KATOSI-MUKONO'!H55</f>
        <v>0</v>
      </c>
      <c r="I55" s="49">
        <f>'Avg Week MUKONO-KATOSI'!I55+'Avg Week KATOSI-MUKONO'!I55</f>
        <v>11.857142857142858</v>
      </c>
      <c r="J55" s="49">
        <f>'Avg Week MUKONO-KATOSI'!J55+'Avg Week KATOSI-MUKONO'!J55</f>
        <v>4.2857142857142856</v>
      </c>
      <c r="K55" s="49">
        <f>'Avg Week MUKONO-KATOSI'!K55+'Avg Week KATOSI-MUKONO'!K55</f>
        <v>0.5714285714285714</v>
      </c>
      <c r="L55" s="49">
        <f>'Avg Week MUKONO-KATOSI'!L55+'Avg Week KATOSI-MUKONO'!L55</f>
        <v>1</v>
      </c>
      <c r="M55" s="49">
        <f>'Avg Week MUKONO-KATOSI'!M55+'Avg Week KATOSI-MUKONO'!M55</f>
        <v>186.28571428571428</v>
      </c>
      <c r="N55" s="49">
        <f>'Avg Week MUKONO-KATOSI'!N55+'Avg Week KATOSI-MUKONO'!N55</f>
        <v>0</v>
      </c>
      <c r="O55" s="15">
        <f t="shared" si="0"/>
        <v>91.571428571428584</v>
      </c>
      <c r="P55" s="15">
        <f t="shared" si="1"/>
        <v>277.85714285714289</v>
      </c>
      <c r="R55" s="8"/>
      <c r="T55"/>
    </row>
    <row r="56" spans="2:20" ht="23.1" customHeight="1" x14ac:dyDescent="0.25">
      <c r="B56" s="23" t="s">
        <v>83</v>
      </c>
      <c r="C56" s="49">
        <f>'Avg Week MUKONO-KATOSI'!C56+'Avg Week KATOSI-MUKONO'!C56</f>
        <v>28</v>
      </c>
      <c r="D56" s="49">
        <f>'Avg Week MUKONO-KATOSI'!D56+'Avg Week KATOSI-MUKONO'!D56</f>
        <v>16.428571428571431</v>
      </c>
      <c r="E56" s="49">
        <f>'Avg Week MUKONO-KATOSI'!E56+'Avg Week KATOSI-MUKONO'!E56</f>
        <v>8.1428571428571423</v>
      </c>
      <c r="F56" s="49">
        <f>'Avg Week MUKONO-KATOSI'!F56+'Avg Week KATOSI-MUKONO'!F56</f>
        <v>18.714285714285715</v>
      </c>
      <c r="G56" s="49">
        <f>'Avg Week MUKONO-KATOSI'!G56+'Avg Week KATOSI-MUKONO'!G56</f>
        <v>1.4285714285714284</v>
      </c>
      <c r="H56" s="49">
        <f>'Avg Week MUKONO-KATOSI'!H56+'Avg Week KATOSI-MUKONO'!H56</f>
        <v>0</v>
      </c>
      <c r="I56" s="49">
        <f>'Avg Week MUKONO-KATOSI'!I56+'Avg Week KATOSI-MUKONO'!I56</f>
        <v>10.857142857142858</v>
      </c>
      <c r="J56" s="49">
        <f>'Avg Week MUKONO-KATOSI'!J56+'Avg Week KATOSI-MUKONO'!J56</f>
        <v>2.1428571428571428</v>
      </c>
      <c r="K56" s="49">
        <f>'Avg Week MUKONO-KATOSI'!K56+'Avg Week KATOSI-MUKONO'!K56</f>
        <v>0.8571428571428571</v>
      </c>
      <c r="L56" s="49">
        <f>'Avg Week MUKONO-KATOSI'!L56+'Avg Week KATOSI-MUKONO'!L56</f>
        <v>0.2857142857142857</v>
      </c>
      <c r="M56" s="49">
        <f>'Avg Week MUKONO-KATOSI'!M56+'Avg Week KATOSI-MUKONO'!M56</f>
        <v>189</v>
      </c>
      <c r="N56" s="49">
        <f>'Avg Week MUKONO-KATOSI'!N56+'Avg Week KATOSI-MUKONO'!N56</f>
        <v>0</v>
      </c>
      <c r="O56" s="15">
        <f t="shared" si="0"/>
        <v>86.857142857142861</v>
      </c>
      <c r="P56" s="15">
        <f t="shared" si="1"/>
        <v>275.85714285714289</v>
      </c>
      <c r="R56" s="8"/>
      <c r="T56"/>
    </row>
    <row r="57" spans="2:20" ht="23.1" customHeight="1" x14ac:dyDescent="0.25">
      <c r="B57" s="23" t="s">
        <v>84</v>
      </c>
      <c r="C57" s="49">
        <f>'Avg Week MUKONO-KATOSI'!C57+'Avg Week KATOSI-MUKONO'!C57</f>
        <v>29.571428571428569</v>
      </c>
      <c r="D57" s="49">
        <f>'Avg Week MUKONO-KATOSI'!D57+'Avg Week KATOSI-MUKONO'!D57</f>
        <v>13.714285714285715</v>
      </c>
      <c r="E57" s="49">
        <f>'Avg Week MUKONO-KATOSI'!E57+'Avg Week KATOSI-MUKONO'!E57</f>
        <v>7.2857142857142856</v>
      </c>
      <c r="F57" s="49">
        <f>'Avg Week MUKONO-KATOSI'!F57+'Avg Week KATOSI-MUKONO'!F57</f>
        <v>17.571428571428569</v>
      </c>
      <c r="G57" s="49">
        <f>'Avg Week MUKONO-KATOSI'!G57+'Avg Week KATOSI-MUKONO'!G57</f>
        <v>1.2857142857142856</v>
      </c>
      <c r="H57" s="49">
        <f>'Avg Week MUKONO-KATOSI'!H57+'Avg Week KATOSI-MUKONO'!H57</f>
        <v>0.14285714285714285</v>
      </c>
      <c r="I57" s="49">
        <f>'Avg Week MUKONO-KATOSI'!I57+'Avg Week KATOSI-MUKONO'!I57</f>
        <v>11.857142857142858</v>
      </c>
      <c r="J57" s="49">
        <f>'Avg Week MUKONO-KATOSI'!J57+'Avg Week KATOSI-MUKONO'!J57</f>
        <v>1.8571428571428572</v>
      </c>
      <c r="K57" s="49">
        <f>'Avg Week MUKONO-KATOSI'!K57+'Avg Week KATOSI-MUKONO'!K57</f>
        <v>0.8571428571428571</v>
      </c>
      <c r="L57" s="49">
        <f>'Avg Week MUKONO-KATOSI'!L57+'Avg Week KATOSI-MUKONO'!L57</f>
        <v>0.85714285714285721</v>
      </c>
      <c r="M57" s="49">
        <f>'Avg Week MUKONO-KATOSI'!M57+'Avg Week KATOSI-MUKONO'!M57</f>
        <v>177.14285714285714</v>
      </c>
      <c r="N57" s="49">
        <f>'Avg Week MUKONO-KATOSI'!N57+'Avg Week KATOSI-MUKONO'!N57</f>
        <v>0</v>
      </c>
      <c r="O57" s="15">
        <f t="shared" si="0"/>
        <v>85.000000000000014</v>
      </c>
      <c r="P57" s="15">
        <f t="shared" si="1"/>
        <v>262.14285714285717</v>
      </c>
      <c r="R57" s="8"/>
      <c r="T57"/>
    </row>
    <row r="58" spans="2:20" ht="23.1" customHeight="1" x14ac:dyDescent="0.25">
      <c r="B58" s="23" t="s">
        <v>99</v>
      </c>
      <c r="C58" s="49">
        <f>'Avg Week MUKONO-KATOSI'!C58+'Avg Week KATOSI-MUKONO'!C58</f>
        <v>19.5</v>
      </c>
      <c r="D58" s="49">
        <f>'Avg Week MUKONO-KATOSI'!D58+'Avg Week KATOSI-MUKONO'!D58</f>
        <v>10.5</v>
      </c>
      <c r="E58" s="49">
        <f>'Avg Week MUKONO-KATOSI'!E58+'Avg Week KATOSI-MUKONO'!E58</f>
        <v>9</v>
      </c>
      <c r="F58" s="49">
        <f>'Avg Week MUKONO-KATOSI'!F58+'Avg Week KATOSI-MUKONO'!F58</f>
        <v>11.5</v>
      </c>
      <c r="G58" s="49">
        <f>'Avg Week MUKONO-KATOSI'!G58+'Avg Week KATOSI-MUKONO'!G58</f>
        <v>0</v>
      </c>
      <c r="H58" s="49">
        <f>'Avg Week MUKONO-KATOSI'!H58+'Avg Week KATOSI-MUKONO'!H58</f>
        <v>0</v>
      </c>
      <c r="I58" s="49">
        <f>'Avg Week MUKONO-KATOSI'!I58+'Avg Week KATOSI-MUKONO'!I58</f>
        <v>12</v>
      </c>
      <c r="J58" s="49">
        <f>'Avg Week MUKONO-KATOSI'!J58+'Avg Week KATOSI-MUKONO'!J58</f>
        <v>3.5</v>
      </c>
      <c r="K58" s="49">
        <f>'Avg Week MUKONO-KATOSI'!K58+'Avg Week KATOSI-MUKONO'!K58</f>
        <v>1.5</v>
      </c>
      <c r="L58" s="49">
        <f>'Avg Week MUKONO-KATOSI'!L58+'Avg Week KATOSI-MUKONO'!L58</f>
        <v>1.5</v>
      </c>
      <c r="M58" s="49">
        <f>'Avg Week MUKONO-KATOSI'!M58+'Avg Week KATOSI-MUKONO'!M58</f>
        <v>139</v>
      </c>
      <c r="N58" s="49">
        <f>'Avg Week MUKONO-KATOSI'!N58+'Avg Week KATOSI-MUKONO'!N58</f>
        <v>0</v>
      </c>
      <c r="O58" s="15">
        <f t="shared" si="0"/>
        <v>69</v>
      </c>
      <c r="P58" s="15">
        <f t="shared" si="1"/>
        <v>208</v>
      </c>
      <c r="R58" s="8"/>
      <c r="T58"/>
    </row>
    <row r="59" spans="2:20" ht="23.1" customHeight="1" x14ac:dyDescent="0.25">
      <c r="B59" s="23" t="s">
        <v>100</v>
      </c>
      <c r="C59" s="49">
        <f>'Avg Week MUKONO-KATOSI'!C59+'Avg Week KATOSI-MUKONO'!C59</f>
        <v>24.5</v>
      </c>
      <c r="D59" s="49">
        <f>'Avg Week MUKONO-KATOSI'!D59+'Avg Week KATOSI-MUKONO'!D59</f>
        <v>12.5</v>
      </c>
      <c r="E59" s="49">
        <f>'Avg Week MUKONO-KATOSI'!E59+'Avg Week KATOSI-MUKONO'!E59</f>
        <v>3.5</v>
      </c>
      <c r="F59" s="49">
        <f>'Avg Week MUKONO-KATOSI'!F59+'Avg Week KATOSI-MUKONO'!F59</f>
        <v>14.5</v>
      </c>
      <c r="G59" s="49">
        <f>'Avg Week MUKONO-KATOSI'!G59+'Avg Week KATOSI-MUKONO'!G59</f>
        <v>1</v>
      </c>
      <c r="H59" s="49">
        <f>'Avg Week MUKONO-KATOSI'!H59+'Avg Week KATOSI-MUKONO'!H59</f>
        <v>0</v>
      </c>
      <c r="I59" s="49">
        <f>'Avg Week MUKONO-KATOSI'!I59+'Avg Week KATOSI-MUKONO'!I59</f>
        <v>9.5</v>
      </c>
      <c r="J59" s="49">
        <f>'Avg Week MUKONO-KATOSI'!J59+'Avg Week KATOSI-MUKONO'!J59</f>
        <v>3.5</v>
      </c>
      <c r="K59" s="49">
        <f>'Avg Week MUKONO-KATOSI'!K59+'Avg Week KATOSI-MUKONO'!K59</f>
        <v>1.5</v>
      </c>
      <c r="L59" s="49">
        <f>'Avg Week MUKONO-KATOSI'!L59+'Avg Week KATOSI-MUKONO'!L59</f>
        <v>1</v>
      </c>
      <c r="M59" s="49">
        <f>'Avg Week MUKONO-KATOSI'!M59+'Avg Week KATOSI-MUKONO'!M59</f>
        <v>183</v>
      </c>
      <c r="N59" s="49">
        <f>'Avg Week MUKONO-KATOSI'!N59+'Avg Week KATOSI-MUKONO'!N59</f>
        <v>0</v>
      </c>
      <c r="O59" s="15">
        <f t="shared" si="0"/>
        <v>71.5</v>
      </c>
      <c r="P59" s="15">
        <f t="shared" si="1"/>
        <v>254.5</v>
      </c>
      <c r="R59" s="8"/>
      <c r="T59"/>
    </row>
    <row r="60" spans="2:20" ht="23.1" customHeight="1" x14ac:dyDescent="0.25">
      <c r="B60" s="23" t="s">
        <v>101</v>
      </c>
      <c r="C60" s="49">
        <f>'Avg Week MUKONO-KATOSI'!C60+'Avg Week KATOSI-MUKONO'!C60</f>
        <v>32.5</v>
      </c>
      <c r="D60" s="49">
        <f>'Avg Week MUKONO-KATOSI'!D60+'Avg Week KATOSI-MUKONO'!D60</f>
        <v>14.5</v>
      </c>
      <c r="E60" s="49">
        <f>'Avg Week MUKONO-KATOSI'!E60+'Avg Week KATOSI-MUKONO'!E60</f>
        <v>9.5</v>
      </c>
      <c r="F60" s="49">
        <f>'Avg Week MUKONO-KATOSI'!F60+'Avg Week KATOSI-MUKONO'!F60</f>
        <v>10</v>
      </c>
      <c r="G60" s="49">
        <f>'Avg Week MUKONO-KATOSI'!G60+'Avg Week KATOSI-MUKONO'!G60</f>
        <v>0.5</v>
      </c>
      <c r="H60" s="49">
        <f>'Avg Week MUKONO-KATOSI'!H60+'Avg Week KATOSI-MUKONO'!H60</f>
        <v>0</v>
      </c>
      <c r="I60" s="49">
        <f>'Avg Week MUKONO-KATOSI'!I60+'Avg Week KATOSI-MUKONO'!I60</f>
        <v>6.5</v>
      </c>
      <c r="J60" s="49">
        <f>'Avg Week MUKONO-KATOSI'!J60+'Avg Week KATOSI-MUKONO'!J60</f>
        <v>2.5</v>
      </c>
      <c r="K60" s="49">
        <f>'Avg Week MUKONO-KATOSI'!K60+'Avg Week KATOSI-MUKONO'!K60</f>
        <v>0.5</v>
      </c>
      <c r="L60" s="49">
        <f>'Avg Week MUKONO-KATOSI'!L60+'Avg Week KATOSI-MUKONO'!L60</f>
        <v>0</v>
      </c>
      <c r="M60" s="49">
        <f>'Avg Week MUKONO-KATOSI'!M60+'Avg Week KATOSI-MUKONO'!M60</f>
        <v>152.5</v>
      </c>
      <c r="N60" s="49">
        <f>'Avg Week MUKONO-KATOSI'!N60+'Avg Week KATOSI-MUKONO'!N60</f>
        <v>0</v>
      </c>
      <c r="O60" s="15">
        <f t="shared" si="0"/>
        <v>76.5</v>
      </c>
      <c r="P60" s="15">
        <f t="shared" si="1"/>
        <v>229</v>
      </c>
      <c r="R60" s="8"/>
      <c r="T60"/>
    </row>
    <row r="61" spans="2:20" ht="23.1" customHeight="1" x14ac:dyDescent="0.25">
      <c r="B61" s="23" t="s">
        <v>102</v>
      </c>
      <c r="C61" s="49">
        <f>'Avg Week MUKONO-KATOSI'!C61+'Avg Week KATOSI-MUKONO'!C61</f>
        <v>31</v>
      </c>
      <c r="D61" s="49">
        <f>'Avg Week MUKONO-KATOSI'!D61+'Avg Week KATOSI-MUKONO'!D61</f>
        <v>18</v>
      </c>
      <c r="E61" s="49">
        <f>'Avg Week MUKONO-KATOSI'!E61+'Avg Week KATOSI-MUKONO'!E61</f>
        <v>5.5</v>
      </c>
      <c r="F61" s="49">
        <f>'Avg Week MUKONO-KATOSI'!F61+'Avg Week KATOSI-MUKONO'!F61</f>
        <v>9.5</v>
      </c>
      <c r="G61" s="49">
        <f>'Avg Week MUKONO-KATOSI'!G61+'Avg Week KATOSI-MUKONO'!G61</f>
        <v>1</v>
      </c>
      <c r="H61" s="49">
        <f>'Avg Week MUKONO-KATOSI'!H61+'Avg Week KATOSI-MUKONO'!H61</f>
        <v>0</v>
      </c>
      <c r="I61" s="49">
        <f>'Avg Week MUKONO-KATOSI'!I61+'Avg Week KATOSI-MUKONO'!I61</f>
        <v>6.5</v>
      </c>
      <c r="J61" s="49">
        <f>'Avg Week MUKONO-KATOSI'!J61+'Avg Week KATOSI-MUKONO'!J61</f>
        <v>1.5</v>
      </c>
      <c r="K61" s="49">
        <f>'Avg Week MUKONO-KATOSI'!K61+'Avg Week KATOSI-MUKONO'!K61</f>
        <v>0</v>
      </c>
      <c r="L61" s="49">
        <f>'Avg Week MUKONO-KATOSI'!L61+'Avg Week KATOSI-MUKONO'!L61</f>
        <v>0.5</v>
      </c>
      <c r="M61" s="49">
        <f>'Avg Week MUKONO-KATOSI'!M61+'Avg Week KATOSI-MUKONO'!M61</f>
        <v>126</v>
      </c>
      <c r="N61" s="49">
        <f>'Avg Week MUKONO-KATOSI'!N61+'Avg Week KATOSI-MUKONO'!N61</f>
        <v>0</v>
      </c>
      <c r="O61" s="15">
        <f t="shared" si="0"/>
        <v>73.5</v>
      </c>
      <c r="P61" s="15">
        <f t="shared" si="1"/>
        <v>199.5</v>
      </c>
      <c r="R61" s="8"/>
      <c r="T61"/>
    </row>
    <row r="62" spans="2:20" ht="23.1" customHeight="1" x14ac:dyDescent="0.25">
      <c r="B62" s="23" t="s">
        <v>107</v>
      </c>
      <c r="C62" s="49">
        <f>'Avg Week MUKONO-KATOSI'!C62+'Avg Week KATOSI-MUKONO'!C62</f>
        <v>36</v>
      </c>
      <c r="D62" s="49">
        <f>'Avg Week MUKONO-KATOSI'!D62+'Avg Week KATOSI-MUKONO'!D62</f>
        <v>13.5</v>
      </c>
      <c r="E62" s="49">
        <f>'Avg Week MUKONO-KATOSI'!E62+'Avg Week KATOSI-MUKONO'!E62</f>
        <v>12.5</v>
      </c>
      <c r="F62" s="49">
        <f>'Avg Week MUKONO-KATOSI'!F62+'Avg Week KATOSI-MUKONO'!F62</f>
        <v>17</v>
      </c>
      <c r="G62" s="49">
        <f>'Avg Week MUKONO-KATOSI'!G62+'Avg Week KATOSI-MUKONO'!G62</f>
        <v>0</v>
      </c>
      <c r="H62" s="49">
        <f>'Avg Week MUKONO-KATOSI'!H62+'Avg Week KATOSI-MUKONO'!H62</f>
        <v>0</v>
      </c>
      <c r="I62" s="49">
        <f>'Avg Week MUKONO-KATOSI'!I62+'Avg Week KATOSI-MUKONO'!I62</f>
        <v>17</v>
      </c>
      <c r="J62" s="49">
        <f>'Avg Week MUKONO-KATOSI'!J62+'Avg Week KATOSI-MUKONO'!J62</f>
        <v>3</v>
      </c>
      <c r="K62" s="49">
        <f>'Avg Week MUKONO-KATOSI'!K62+'Avg Week KATOSI-MUKONO'!K62</f>
        <v>1.5</v>
      </c>
      <c r="L62" s="49">
        <f>'Avg Week MUKONO-KATOSI'!L62+'Avg Week KATOSI-MUKONO'!L62</f>
        <v>0.5</v>
      </c>
      <c r="M62" s="49">
        <f>'Avg Week MUKONO-KATOSI'!M62+'Avg Week KATOSI-MUKONO'!M62</f>
        <v>162</v>
      </c>
      <c r="N62" s="49">
        <f>'Avg Week MUKONO-KATOSI'!N62+'Avg Week KATOSI-MUKONO'!N62</f>
        <v>0</v>
      </c>
      <c r="O62" s="15">
        <f t="shared" si="0"/>
        <v>101</v>
      </c>
      <c r="P62" s="15">
        <f t="shared" si="1"/>
        <v>263</v>
      </c>
      <c r="R62" s="8"/>
      <c r="T62"/>
    </row>
    <row r="63" spans="2:20" ht="23.1" customHeight="1" x14ac:dyDescent="0.25">
      <c r="B63" s="23" t="s">
        <v>108</v>
      </c>
      <c r="C63" s="49">
        <f>'Avg Week MUKONO-KATOSI'!C63+'Avg Week KATOSI-MUKONO'!C63</f>
        <v>45.5</v>
      </c>
      <c r="D63" s="49">
        <f>'Avg Week MUKONO-KATOSI'!D63+'Avg Week KATOSI-MUKONO'!D63</f>
        <v>20</v>
      </c>
      <c r="E63" s="49">
        <f>'Avg Week MUKONO-KATOSI'!E63+'Avg Week KATOSI-MUKONO'!E63</f>
        <v>4.5</v>
      </c>
      <c r="F63" s="49">
        <f>'Avg Week MUKONO-KATOSI'!F63+'Avg Week KATOSI-MUKONO'!F63</f>
        <v>9.5</v>
      </c>
      <c r="G63" s="49">
        <f>'Avg Week MUKONO-KATOSI'!G63+'Avg Week KATOSI-MUKONO'!G63</f>
        <v>2</v>
      </c>
      <c r="H63" s="49">
        <f>'Avg Week MUKONO-KATOSI'!H63+'Avg Week KATOSI-MUKONO'!H63</f>
        <v>0</v>
      </c>
      <c r="I63" s="49">
        <f>'Avg Week MUKONO-KATOSI'!I63+'Avg Week KATOSI-MUKONO'!I63</f>
        <v>10.5</v>
      </c>
      <c r="J63" s="49">
        <f>'Avg Week MUKONO-KATOSI'!J63+'Avg Week KATOSI-MUKONO'!J63</f>
        <v>1.5</v>
      </c>
      <c r="K63" s="49">
        <f>'Avg Week MUKONO-KATOSI'!K63+'Avg Week KATOSI-MUKONO'!K63</f>
        <v>0.5</v>
      </c>
      <c r="L63" s="49">
        <f>'Avg Week MUKONO-KATOSI'!L63+'Avg Week KATOSI-MUKONO'!L63</f>
        <v>0.5</v>
      </c>
      <c r="M63" s="49">
        <f>'Avg Week MUKONO-KATOSI'!M63+'Avg Week KATOSI-MUKONO'!M63</f>
        <v>137.5</v>
      </c>
      <c r="N63" s="49">
        <f>'Avg Week MUKONO-KATOSI'!N63+'Avg Week KATOSI-MUKONO'!N63</f>
        <v>0</v>
      </c>
      <c r="O63" s="15">
        <f t="shared" si="0"/>
        <v>94.5</v>
      </c>
      <c r="P63" s="15">
        <f t="shared" si="1"/>
        <v>232</v>
      </c>
      <c r="R63" s="8"/>
      <c r="T63"/>
    </row>
    <row r="64" spans="2:20" ht="23.1" customHeight="1" x14ac:dyDescent="0.25">
      <c r="B64" s="23" t="s">
        <v>109</v>
      </c>
      <c r="C64" s="49">
        <f>'Avg Week MUKONO-KATOSI'!C64+'Avg Week KATOSI-MUKONO'!C64</f>
        <v>21</v>
      </c>
      <c r="D64" s="49">
        <f>'Avg Week MUKONO-KATOSI'!D64+'Avg Week KATOSI-MUKONO'!D64</f>
        <v>7</v>
      </c>
      <c r="E64" s="49">
        <f>'Avg Week MUKONO-KATOSI'!E64+'Avg Week KATOSI-MUKONO'!E64</f>
        <v>6</v>
      </c>
      <c r="F64" s="49">
        <f>'Avg Week MUKONO-KATOSI'!F64+'Avg Week KATOSI-MUKONO'!F64</f>
        <v>13</v>
      </c>
      <c r="G64" s="49">
        <f>'Avg Week MUKONO-KATOSI'!G64+'Avg Week KATOSI-MUKONO'!G64</f>
        <v>1</v>
      </c>
      <c r="H64" s="49">
        <f>'Avg Week MUKONO-KATOSI'!H64+'Avg Week KATOSI-MUKONO'!H64</f>
        <v>0</v>
      </c>
      <c r="I64" s="49">
        <f>'Avg Week MUKONO-KATOSI'!I64+'Avg Week KATOSI-MUKONO'!I64</f>
        <v>3.5</v>
      </c>
      <c r="J64" s="49">
        <f>'Avg Week MUKONO-KATOSI'!J64+'Avg Week KATOSI-MUKONO'!J64</f>
        <v>3.5</v>
      </c>
      <c r="K64" s="49">
        <f>'Avg Week MUKONO-KATOSI'!K64+'Avg Week KATOSI-MUKONO'!K64</f>
        <v>0.5</v>
      </c>
      <c r="L64" s="49">
        <f>'Avg Week MUKONO-KATOSI'!L64+'Avg Week KATOSI-MUKONO'!L64</f>
        <v>0.5</v>
      </c>
      <c r="M64" s="49">
        <f>'Avg Week MUKONO-KATOSI'!M64+'Avg Week KATOSI-MUKONO'!M64</f>
        <v>136</v>
      </c>
      <c r="N64" s="49">
        <f>'Avg Week MUKONO-KATOSI'!N64+'Avg Week KATOSI-MUKONO'!N64</f>
        <v>0</v>
      </c>
      <c r="O64" s="15">
        <f t="shared" si="0"/>
        <v>56</v>
      </c>
      <c r="P64" s="15">
        <f t="shared" si="1"/>
        <v>192</v>
      </c>
      <c r="R64" s="8"/>
      <c r="T64"/>
    </row>
    <row r="65" spans="2:20" ht="23.1" customHeight="1" x14ac:dyDescent="0.25">
      <c r="B65" s="23" t="s">
        <v>158</v>
      </c>
      <c r="C65" s="49">
        <f>'Avg Week MUKONO-KATOSI'!C65+'Avg Week KATOSI-MUKONO'!C65</f>
        <v>16.5</v>
      </c>
      <c r="D65" s="49">
        <f>'Avg Week MUKONO-KATOSI'!D65+'Avg Week KATOSI-MUKONO'!D65</f>
        <v>5.5</v>
      </c>
      <c r="E65" s="49">
        <f>'Avg Week MUKONO-KATOSI'!E65+'Avg Week KATOSI-MUKONO'!E65</f>
        <v>4</v>
      </c>
      <c r="F65" s="49">
        <f>'Avg Week MUKONO-KATOSI'!F65+'Avg Week KATOSI-MUKONO'!F65</f>
        <v>11.5</v>
      </c>
      <c r="G65" s="49">
        <f>'Avg Week MUKONO-KATOSI'!G65+'Avg Week KATOSI-MUKONO'!G65</f>
        <v>0.5</v>
      </c>
      <c r="H65" s="49">
        <f>'Avg Week MUKONO-KATOSI'!H65+'Avg Week KATOSI-MUKONO'!H65</f>
        <v>0</v>
      </c>
      <c r="I65" s="49">
        <f>'Avg Week MUKONO-KATOSI'!I65+'Avg Week KATOSI-MUKONO'!I65</f>
        <v>9.5</v>
      </c>
      <c r="J65" s="49">
        <f>'Avg Week MUKONO-KATOSI'!J65+'Avg Week KATOSI-MUKONO'!J65</f>
        <v>1.5</v>
      </c>
      <c r="K65" s="49">
        <f>'Avg Week MUKONO-KATOSI'!K65+'Avg Week KATOSI-MUKONO'!K65</f>
        <v>1</v>
      </c>
      <c r="L65" s="49">
        <f>'Avg Week MUKONO-KATOSI'!L65+'Avg Week KATOSI-MUKONO'!L65</f>
        <v>0</v>
      </c>
      <c r="M65" s="49">
        <f>'Avg Week MUKONO-KATOSI'!M65+'Avg Week KATOSI-MUKONO'!M65</f>
        <v>138.5</v>
      </c>
      <c r="N65" s="49">
        <f>'Avg Week MUKONO-KATOSI'!N65+'Avg Week KATOSI-MUKONO'!N65</f>
        <v>0</v>
      </c>
      <c r="O65" s="15">
        <f t="shared" si="0"/>
        <v>50</v>
      </c>
      <c r="P65" s="15">
        <f t="shared" si="1"/>
        <v>188.5</v>
      </c>
      <c r="R65" s="8"/>
      <c r="T65"/>
    </row>
    <row r="66" spans="2:20" ht="23.1" customHeight="1" x14ac:dyDescent="0.25">
      <c r="B66" s="23" t="s">
        <v>103</v>
      </c>
      <c r="C66" s="49">
        <f>'Avg Week MUKONO-KATOSI'!C66+'Avg Week KATOSI-MUKONO'!C66</f>
        <v>23</v>
      </c>
      <c r="D66" s="49">
        <f>'Avg Week MUKONO-KATOSI'!D66+'Avg Week KATOSI-MUKONO'!D66</f>
        <v>8</v>
      </c>
      <c r="E66" s="49">
        <f>'Avg Week MUKONO-KATOSI'!E66+'Avg Week KATOSI-MUKONO'!E66</f>
        <v>7.5</v>
      </c>
      <c r="F66" s="49">
        <f>'Avg Week MUKONO-KATOSI'!F66+'Avg Week KATOSI-MUKONO'!F66</f>
        <v>14.5</v>
      </c>
      <c r="G66" s="49">
        <f>'Avg Week MUKONO-KATOSI'!G66+'Avg Week KATOSI-MUKONO'!G66</f>
        <v>1</v>
      </c>
      <c r="H66" s="49">
        <f>'Avg Week MUKONO-KATOSI'!H66+'Avg Week KATOSI-MUKONO'!H66</f>
        <v>0</v>
      </c>
      <c r="I66" s="49">
        <f>'Avg Week MUKONO-KATOSI'!I66+'Avg Week KATOSI-MUKONO'!I66</f>
        <v>6</v>
      </c>
      <c r="J66" s="49">
        <f>'Avg Week MUKONO-KATOSI'!J66+'Avg Week KATOSI-MUKONO'!J66</f>
        <v>0.5</v>
      </c>
      <c r="K66" s="49">
        <f>'Avg Week MUKONO-KATOSI'!K66+'Avg Week KATOSI-MUKONO'!K66</f>
        <v>1.5</v>
      </c>
      <c r="L66" s="49">
        <f>'Avg Week MUKONO-KATOSI'!L66+'Avg Week KATOSI-MUKONO'!L66</f>
        <v>0.5</v>
      </c>
      <c r="M66" s="49">
        <f>'Avg Week MUKONO-KATOSI'!M66+'Avg Week KATOSI-MUKONO'!M66</f>
        <v>151.5</v>
      </c>
      <c r="N66" s="49">
        <f>'Avg Week MUKONO-KATOSI'!N66+'Avg Week KATOSI-MUKONO'!N66</f>
        <v>0</v>
      </c>
      <c r="O66" s="15">
        <f t="shared" si="0"/>
        <v>62.5</v>
      </c>
      <c r="P66" s="15">
        <f t="shared" si="1"/>
        <v>214</v>
      </c>
      <c r="R66" s="8"/>
      <c r="T66"/>
    </row>
    <row r="67" spans="2:20" ht="23.1" customHeight="1" x14ac:dyDescent="0.25">
      <c r="B67" s="23" t="s">
        <v>104</v>
      </c>
      <c r="C67" s="49">
        <f>'Avg Week MUKONO-KATOSI'!C67+'Avg Week KATOSI-MUKONO'!C67</f>
        <v>27</v>
      </c>
      <c r="D67" s="49">
        <f>'Avg Week MUKONO-KATOSI'!D67+'Avg Week KATOSI-MUKONO'!D67</f>
        <v>10.5</v>
      </c>
      <c r="E67" s="49">
        <f>'Avg Week MUKONO-KATOSI'!E67+'Avg Week KATOSI-MUKONO'!E67</f>
        <v>5</v>
      </c>
      <c r="F67" s="49">
        <f>'Avg Week MUKONO-KATOSI'!F67+'Avg Week KATOSI-MUKONO'!F67</f>
        <v>14</v>
      </c>
      <c r="G67" s="49">
        <f>'Avg Week MUKONO-KATOSI'!G67+'Avg Week KATOSI-MUKONO'!G67</f>
        <v>1</v>
      </c>
      <c r="H67" s="49">
        <f>'Avg Week MUKONO-KATOSI'!H67+'Avg Week KATOSI-MUKONO'!H67</f>
        <v>0</v>
      </c>
      <c r="I67" s="49">
        <f>'Avg Week MUKONO-KATOSI'!I67+'Avg Week KATOSI-MUKONO'!I67</f>
        <v>4.5</v>
      </c>
      <c r="J67" s="49">
        <f>'Avg Week MUKONO-KATOSI'!J67+'Avg Week KATOSI-MUKONO'!J67</f>
        <v>4.5</v>
      </c>
      <c r="K67" s="49">
        <f>'Avg Week MUKONO-KATOSI'!K67+'Avg Week KATOSI-MUKONO'!K67</f>
        <v>0.5</v>
      </c>
      <c r="L67" s="49">
        <f>'Avg Week MUKONO-KATOSI'!L67+'Avg Week KATOSI-MUKONO'!L67</f>
        <v>0</v>
      </c>
      <c r="M67" s="49">
        <f>'Avg Week MUKONO-KATOSI'!M67+'Avg Week KATOSI-MUKONO'!M67</f>
        <v>146.5</v>
      </c>
      <c r="N67" s="49">
        <f>'Avg Week MUKONO-KATOSI'!N67+'Avg Week KATOSI-MUKONO'!N67</f>
        <v>0</v>
      </c>
      <c r="O67" s="15">
        <f t="shared" si="0"/>
        <v>67</v>
      </c>
      <c r="P67" s="15">
        <f t="shared" si="1"/>
        <v>213.5</v>
      </c>
      <c r="R67" s="8"/>
      <c r="T67"/>
    </row>
    <row r="68" spans="2:20" ht="23.1" customHeight="1" x14ac:dyDescent="0.25">
      <c r="B68" s="23" t="s">
        <v>105</v>
      </c>
      <c r="C68" s="49">
        <f>'Avg Week MUKONO-KATOSI'!C68+'Avg Week KATOSI-MUKONO'!C68</f>
        <v>20</v>
      </c>
      <c r="D68" s="49">
        <f>'Avg Week MUKONO-KATOSI'!D68+'Avg Week KATOSI-MUKONO'!D68</f>
        <v>7.5</v>
      </c>
      <c r="E68" s="49">
        <f>'Avg Week MUKONO-KATOSI'!E68+'Avg Week KATOSI-MUKONO'!E68</f>
        <v>6</v>
      </c>
      <c r="F68" s="49">
        <f>'Avg Week MUKONO-KATOSI'!F68+'Avg Week KATOSI-MUKONO'!F68</f>
        <v>10.5</v>
      </c>
      <c r="G68" s="49">
        <f>'Avg Week MUKONO-KATOSI'!G68+'Avg Week KATOSI-MUKONO'!G68</f>
        <v>1.5</v>
      </c>
      <c r="H68" s="49">
        <f>'Avg Week MUKONO-KATOSI'!H68+'Avg Week KATOSI-MUKONO'!H68</f>
        <v>0</v>
      </c>
      <c r="I68" s="49">
        <f>'Avg Week MUKONO-KATOSI'!I68+'Avg Week KATOSI-MUKONO'!I68</f>
        <v>5</v>
      </c>
      <c r="J68" s="49">
        <f>'Avg Week MUKONO-KATOSI'!J68+'Avg Week KATOSI-MUKONO'!J68</f>
        <v>2</v>
      </c>
      <c r="K68" s="49">
        <f>'Avg Week MUKONO-KATOSI'!K68+'Avg Week KATOSI-MUKONO'!K68</f>
        <v>1.5</v>
      </c>
      <c r="L68" s="49">
        <f>'Avg Week MUKONO-KATOSI'!L68+'Avg Week KATOSI-MUKONO'!L68</f>
        <v>0</v>
      </c>
      <c r="M68" s="49">
        <f>'Avg Week MUKONO-KATOSI'!M68+'Avg Week KATOSI-MUKONO'!M68</f>
        <v>141</v>
      </c>
      <c r="N68" s="49">
        <f>'Avg Week MUKONO-KATOSI'!N68+'Avg Week KATOSI-MUKONO'!N68</f>
        <v>0</v>
      </c>
      <c r="O68" s="15">
        <f t="shared" si="0"/>
        <v>54</v>
      </c>
      <c r="P68" s="15">
        <f t="shared" si="1"/>
        <v>195</v>
      </c>
      <c r="R68" s="8"/>
      <c r="T68"/>
    </row>
    <row r="69" spans="2:20" ht="23.1" customHeight="1" x14ac:dyDescent="0.25">
      <c r="B69" s="23" t="s">
        <v>106</v>
      </c>
      <c r="C69" s="49">
        <f>'Avg Week MUKONO-KATOSI'!C69+'Avg Week KATOSI-MUKONO'!C69</f>
        <v>10.5</v>
      </c>
      <c r="D69" s="49">
        <f>'Avg Week MUKONO-KATOSI'!D69+'Avg Week KATOSI-MUKONO'!D69</f>
        <v>7.5</v>
      </c>
      <c r="E69" s="49">
        <f>'Avg Week MUKONO-KATOSI'!E69+'Avg Week KATOSI-MUKONO'!E69</f>
        <v>3.5</v>
      </c>
      <c r="F69" s="49">
        <f>'Avg Week MUKONO-KATOSI'!F69+'Avg Week KATOSI-MUKONO'!F69</f>
        <v>7.5</v>
      </c>
      <c r="G69" s="49">
        <f>'Avg Week MUKONO-KATOSI'!G69+'Avg Week KATOSI-MUKONO'!G69</f>
        <v>0</v>
      </c>
      <c r="H69" s="49">
        <f>'Avg Week MUKONO-KATOSI'!H69+'Avg Week KATOSI-MUKONO'!H69</f>
        <v>0</v>
      </c>
      <c r="I69" s="49">
        <f>'Avg Week MUKONO-KATOSI'!I69+'Avg Week KATOSI-MUKONO'!I69</f>
        <v>3</v>
      </c>
      <c r="J69" s="49">
        <f>'Avg Week MUKONO-KATOSI'!J69+'Avg Week KATOSI-MUKONO'!J69</f>
        <v>5</v>
      </c>
      <c r="K69" s="49">
        <f>'Avg Week MUKONO-KATOSI'!K69+'Avg Week KATOSI-MUKONO'!K69</f>
        <v>0</v>
      </c>
      <c r="L69" s="49">
        <f>'Avg Week MUKONO-KATOSI'!L69+'Avg Week KATOSI-MUKONO'!L69</f>
        <v>0</v>
      </c>
      <c r="M69" s="49">
        <f>'Avg Week MUKONO-KATOSI'!M69+'Avg Week KATOSI-MUKONO'!M69</f>
        <v>119.5</v>
      </c>
      <c r="N69" s="49">
        <f>'Avg Week MUKONO-KATOSI'!N69+'Avg Week KATOSI-MUKONO'!N69</f>
        <v>0</v>
      </c>
      <c r="O69" s="15">
        <f t="shared" si="0"/>
        <v>37</v>
      </c>
      <c r="P69" s="15">
        <f t="shared" si="1"/>
        <v>156.5</v>
      </c>
      <c r="R69" s="8"/>
      <c r="T69"/>
    </row>
    <row r="70" spans="2:20" ht="23.1" customHeight="1" x14ac:dyDescent="0.25">
      <c r="B70" s="23" t="s">
        <v>110</v>
      </c>
      <c r="C70" s="49">
        <f>'Avg Week MUKONO-KATOSI'!C70+'Avg Week KATOSI-MUKONO'!C70</f>
        <v>11.5</v>
      </c>
      <c r="D70" s="49">
        <f>'Avg Week MUKONO-KATOSI'!D70+'Avg Week KATOSI-MUKONO'!D70</f>
        <v>4.5</v>
      </c>
      <c r="E70" s="49">
        <f>'Avg Week MUKONO-KATOSI'!E70+'Avg Week KATOSI-MUKONO'!E70</f>
        <v>2.5</v>
      </c>
      <c r="F70" s="49">
        <f>'Avg Week MUKONO-KATOSI'!F70+'Avg Week KATOSI-MUKONO'!F70</f>
        <v>11</v>
      </c>
      <c r="G70" s="49">
        <f>'Avg Week MUKONO-KATOSI'!G70+'Avg Week KATOSI-MUKONO'!G70</f>
        <v>0</v>
      </c>
      <c r="H70" s="49">
        <f>'Avg Week MUKONO-KATOSI'!H70+'Avg Week KATOSI-MUKONO'!H70</f>
        <v>0</v>
      </c>
      <c r="I70" s="49">
        <f>'Avg Week MUKONO-KATOSI'!I70+'Avg Week KATOSI-MUKONO'!I70</f>
        <v>2.5</v>
      </c>
      <c r="J70" s="49">
        <f>'Avg Week MUKONO-KATOSI'!J70+'Avg Week KATOSI-MUKONO'!J70</f>
        <v>2.5</v>
      </c>
      <c r="K70" s="49">
        <f>'Avg Week MUKONO-KATOSI'!K70+'Avg Week KATOSI-MUKONO'!K70</f>
        <v>0.5</v>
      </c>
      <c r="L70" s="49">
        <f>'Avg Week MUKONO-KATOSI'!L70+'Avg Week KATOSI-MUKONO'!L70</f>
        <v>0</v>
      </c>
      <c r="M70" s="49">
        <f>'Avg Week MUKONO-KATOSI'!M70+'Avg Week KATOSI-MUKONO'!M70</f>
        <v>85.5</v>
      </c>
      <c r="N70" s="49">
        <f>'Avg Week MUKONO-KATOSI'!N70+'Avg Week KATOSI-MUKONO'!N70</f>
        <v>0</v>
      </c>
      <c r="O70" s="15">
        <f t="shared" si="0"/>
        <v>35</v>
      </c>
      <c r="P70" s="15">
        <f t="shared" si="1"/>
        <v>120.5</v>
      </c>
      <c r="R70" s="8"/>
      <c r="T70"/>
    </row>
    <row r="71" spans="2:20" ht="23.1" customHeight="1" x14ac:dyDescent="0.25">
      <c r="B71" s="23" t="s">
        <v>111</v>
      </c>
      <c r="C71" s="49">
        <f>'Avg Week MUKONO-KATOSI'!C71+'Avg Week KATOSI-MUKONO'!C71</f>
        <v>11.5</v>
      </c>
      <c r="D71" s="49">
        <f>'Avg Week MUKONO-KATOSI'!D71+'Avg Week KATOSI-MUKONO'!D71</f>
        <v>3.5</v>
      </c>
      <c r="E71" s="49">
        <f>'Avg Week MUKONO-KATOSI'!E71+'Avg Week KATOSI-MUKONO'!E71</f>
        <v>2</v>
      </c>
      <c r="F71" s="49">
        <f>'Avg Week MUKONO-KATOSI'!F71+'Avg Week KATOSI-MUKONO'!F71</f>
        <v>7</v>
      </c>
      <c r="G71" s="49">
        <f>'Avg Week MUKONO-KATOSI'!G71+'Avg Week KATOSI-MUKONO'!G71</f>
        <v>1</v>
      </c>
      <c r="H71" s="49">
        <f>'Avg Week MUKONO-KATOSI'!H71+'Avg Week KATOSI-MUKONO'!H71</f>
        <v>0</v>
      </c>
      <c r="I71" s="49">
        <f>'Avg Week MUKONO-KATOSI'!I71+'Avg Week KATOSI-MUKONO'!I71</f>
        <v>6</v>
      </c>
      <c r="J71" s="49">
        <f>'Avg Week MUKONO-KATOSI'!J71+'Avg Week KATOSI-MUKONO'!J71</f>
        <v>2.5</v>
      </c>
      <c r="K71" s="49">
        <f>'Avg Week MUKONO-KATOSI'!K71+'Avg Week KATOSI-MUKONO'!K71</f>
        <v>0</v>
      </c>
      <c r="L71" s="49">
        <f>'Avg Week MUKONO-KATOSI'!L71+'Avg Week KATOSI-MUKONO'!L71</f>
        <v>0</v>
      </c>
      <c r="M71" s="49">
        <f>'Avg Week MUKONO-KATOSI'!M71+'Avg Week KATOSI-MUKONO'!M71</f>
        <v>103.5</v>
      </c>
      <c r="N71" s="49">
        <f>'Avg Week MUKONO-KATOSI'!N71+'Avg Week KATOSI-MUKONO'!N71</f>
        <v>0</v>
      </c>
      <c r="O71" s="15">
        <f t="shared" si="0"/>
        <v>33.5</v>
      </c>
      <c r="P71" s="15">
        <f t="shared" si="1"/>
        <v>137</v>
      </c>
      <c r="R71" s="8"/>
      <c r="T71"/>
    </row>
    <row r="72" spans="2:20" ht="23.1" customHeight="1" x14ac:dyDescent="0.25">
      <c r="B72" s="23" t="s">
        <v>112</v>
      </c>
      <c r="C72" s="49">
        <f>'Avg Week MUKONO-KATOSI'!C72+'Avg Week KATOSI-MUKONO'!C72</f>
        <v>10</v>
      </c>
      <c r="D72" s="49">
        <f>'Avg Week MUKONO-KATOSI'!D72+'Avg Week KATOSI-MUKONO'!D72</f>
        <v>5</v>
      </c>
      <c r="E72" s="49">
        <f>'Avg Week MUKONO-KATOSI'!E72+'Avg Week KATOSI-MUKONO'!E72</f>
        <v>3</v>
      </c>
      <c r="F72" s="49">
        <f>'Avg Week MUKONO-KATOSI'!F72+'Avg Week KATOSI-MUKONO'!F72</f>
        <v>7</v>
      </c>
      <c r="G72" s="49">
        <f>'Avg Week MUKONO-KATOSI'!G72+'Avg Week KATOSI-MUKONO'!G72</f>
        <v>0</v>
      </c>
      <c r="H72" s="49">
        <f>'Avg Week MUKONO-KATOSI'!H72+'Avg Week KATOSI-MUKONO'!H72</f>
        <v>0</v>
      </c>
      <c r="I72" s="49">
        <f>'Avg Week MUKONO-KATOSI'!I72+'Avg Week KATOSI-MUKONO'!I72</f>
        <v>3</v>
      </c>
      <c r="J72" s="49">
        <f>'Avg Week MUKONO-KATOSI'!J72+'Avg Week KATOSI-MUKONO'!J72</f>
        <v>1.5</v>
      </c>
      <c r="K72" s="49">
        <f>'Avg Week MUKONO-KATOSI'!K72+'Avg Week KATOSI-MUKONO'!K72</f>
        <v>1.5</v>
      </c>
      <c r="L72" s="49">
        <f>'Avg Week MUKONO-KATOSI'!L72+'Avg Week KATOSI-MUKONO'!L72</f>
        <v>0</v>
      </c>
      <c r="M72" s="49">
        <f>'Avg Week MUKONO-KATOSI'!M72+'Avg Week KATOSI-MUKONO'!M72</f>
        <v>85</v>
      </c>
      <c r="N72" s="49">
        <f>'Avg Week MUKONO-KATOSI'!N72+'Avg Week KATOSI-MUKONO'!N72</f>
        <v>0</v>
      </c>
      <c r="O72" s="15">
        <f t="shared" si="0"/>
        <v>31</v>
      </c>
      <c r="P72" s="15">
        <f t="shared" si="1"/>
        <v>116</v>
      </c>
      <c r="R72" s="8"/>
      <c r="T72"/>
    </row>
    <row r="73" spans="2:20" ht="23.1" customHeight="1" x14ac:dyDescent="0.25">
      <c r="B73" s="23" t="s">
        <v>113</v>
      </c>
      <c r="C73" s="49">
        <f>'Avg Week MUKONO-KATOSI'!C73+'Avg Week KATOSI-MUKONO'!C73</f>
        <v>12</v>
      </c>
      <c r="D73" s="49">
        <f>'Avg Week MUKONO-KATOSI'!D73+'Avg Week KATOSI-MUKONO'!D73</f>
        <v>4.5</v>
      </c>
      <c r="E73" s="49">
        <f>'Avg Week MUKONO-KATOSI'!E73+'Avg Week KATOSI-MUKONO'!E73</f>
        <v>1.5</v>
      </c>
      <c r="F73" s="49">
        <f>'Avg Week MUKONO-KATOSI'!F73+'Avg Week KATOSI-MUKONO'!F73</f>
        <v>8.5</v>
      </c>
      <c r="G73" s="49">
        <f>'Avg Week MUKONO-KATOSI'!G73+'Avg Week KATOSI-MUKONO'!G73</f>
        <v>0</v>
      </c>
      <c r="H73" s="49">
        <f>'Avg Week MUKONO-KATOSI'!H73+'Avg Week KATOSI-MUKONO'!H73</f>
        <v>1</v>
      </c>
      <c r="I73" s="49">
        <f>'Avg Week MUKONO-KATOSI'!I73+'Avg Week KATOSI-MUKONO'!I73</f>
        <v>3</v>
      </c>
      <c r="J73" s="49">
        <f>'Avg Week MUKONO-KATOSI'!J73+'Avg Week KATOSI-MUKONO'!J73</f>
        <v>0.5</v>
      </c>
      <c r="K73" s="49">
        <f>'Avg Week MUKONO-KATOSI'!K73+'Avg Week KATOSI-MUKONO'!K73</f>
        <v>0.5</v>
      </c>
      <c r="L73" s="49">
        <f>'Avg Week MUKONO-KATOSI'!L73+'Avg Week KATOSI-MUKONO'!L73</f>
        <v>0</v>
      </c>
      <c r="M73" s="49">
        <f>'Avg Week MUKONO-KATOSI'!M73+'Avg Week KATOSI-MUKONO'!M73</f>
        <v>78.5</v>
      </c>
      <c r="N73" s="49">
        <f>'Avg Week MUKONO-KATOSI'!N73+'Avg Week KATOSI-MUKONO'!N73</f>
        <v>0</v>
      </c>
      <c r="O73" s="15">
        <f t="shared" si="0"/>
        <v>31.5</v>
      </c>
      <c r="P73" s="15">
        <f t="shared" si="1"/>
        <v>110</v>
      </c>
      <c r="R73" s="8"/>
      <c r="T73"/>
    </row>
    <row r="74" spans="2:20" ht="23.1" customHeight="1" x14ac:dyDescent="0.25">
      <c r="B74" s="23" t="s">
        <v>114</v>
      </c>
      <c r="C74" s="49">
        <f>'Avg Week MUKONO-KATOSI'!C74+'Avg Week KATOSI-MUKONO'!C74</f>
        <v>13.5</v>
      </c>
      <c r="D74" s="49">
        <f>'Avg Week MUKONO-KATOSI'!D74+'Avg Week KATOSI-MUKONO'!D74</f>
        <v>7.5</v>
      </c>
      <c r="E74" s="49">
        <f>'Avg Week MUKONO-KATOSI'!E74+'Avg Week KATOSI-MUKONO'!E74</f>
        <v>4.5</v>
      </c>
      <c r="F74" s="49">
        <f>'Avg Week MUKONO-KATOSI'!F74+'Avg Week KATOSI-MUKONO'!F74</f>
        <v>6</v>
      </c>
      <c r="G74" s="49">
        <f>'Avg Week MUKONO-KATOSI'!G74+'Avg Week KATOSI-MUKONO'!G74</f>
        <v>1</v>
      </c>
      <c r="H74" s="49">
        <f>'Avg Week MUKONO-KATOSI'!H74+'Avg Week KATOSI-MUKONO'!H74</f>
        <v>0</v>
      </c>
      <c r="I74" s="49">
        <f>'Avg Week MUKONO-KATOSI'!I74+'Avg Week KATOSI-MUKONO'!I74</f>
        <v>5</v>
      </c>
      <c r="J74" s="49">
        <f>'Avg Week MUKONO-KATOSI'!J74+'Avg Week KATOSI-MUKONO'!J74</f>
        <v>2</v>
      </c>
      <c r="K74" s="49">
        <f>'Avg Week MUKONO-KATOSI'!K74+'Avg Week KATOSI-MUKONO'!K74</f>
        <v>1</v>
      </c>
      <c r="L74" s="49">
        <f>'Avg Week MUKONO-KATOSI'!L74+'Avg Week KATOSI-MUKONO'!L74</f>
        <v>0</v>
      </c>
      <c r="M74" s="49">
        <f>'Avg Week MUKONO-KATOSI'!M74+'Avg Week KATOSI-MUKONO'!M74</f>
        <v>74</v>
      </c>
      <c r="N74" s="49">
        <f>'Avg Week MUKONO-KATOSI'!N74+'Avg Week KATOSI-MUKONO'!N74</f>
        <v>0</v>
      </c>
      <c r="O74" s="15">
        <f t="shared" ref="O74:O104" si="35">SUM(C74:L74,N74)</f>
        <v>40.5</v>
      </c>
      <c r="P74" s="15">
        <f t="shared" ref="P74:P104" si="36">SUM(C74:N74)</f>
        <v>114.5</v>
      </c>
      <c r="R74" s="8"/>
      <c r="T74"/>
    </row>
    <row r="75" spans="2:20" ht="23.1" customHeight="1" x14ac:dyDescent="0.25">
      <c r="B75" s="23" t="s">
        <v>115</v>
      </c>
      <c r="C75" s="49">
        <f>'Avg Week MUKONO-KATOSI'!C75+'Avg Week KATOSI-MUKONO'!C75</f>
        <v>16</v>
      </c>
      <c r="D75" s="49">
        <f>'Avg Week MUKONO-KATOSI'!D75+'Avg Week KATOSI-MUKONO'!D75</f>
        <v>1.5</v>
      </c>
      <c r="E75" s="49">
        <f>'Avg Week MUKONO-KATOSI'!E75+'Avg Week KATOSI-MUKONO'!E75</f>
        <v>5</v>
      </c>
      <c r="F75" s="49">
        <f>'Avg Week MUKONO-KATOSI'!F75+'Avg Week KATOSI-MUKONO'!F75</f>
        <v>5.5</v>
      </c>
      <c r="G75" s="49">
        <f>'Avg Week MUKONO-KATOSI'!G75+'Avg Week KATOSI-MUKONO'!G75</f>
        <v>0.5</v>
      </c>
      <c r="H75" s="49">
        <f>'Avg Week MUKONO-KATOSI'!H75+'Avg Week KATOSI-MUKONO'!H75</f>
        <v>0</v>
      </c>
      <c r="I75" s="49">
        <f>'Avg Week MUKONO-KATOSI'!I75+'Avg Week KATOSI-MUKONO'!I75</f>
        <v>2.5</v>
      </c>
      <c r="J75" s="49">
        <f>'Avg Week MUKONO-KATOSI'!J75+'Avg Week KATOSI-MUKONO'!J75</f>
        <v>0.5</v>
      </c>
      <c r="K75" s="49">
        <f>'Avg Week MUKONO-KATOSI'!K75+'Avg Week KATOSI-MUKONO'!K75</f>
        <v>0.5</v>
      </c>
      <c r="L75" s="49">
        <f>'Avg Week MUKONO-KATOSI'!L75+'Avg Week KATOSI-MUKONO'!L75</f>
        <v>0</v>
      </c>
      <c r="M75" s="49">
        <f>'Avg Week MUKONO-KATOSI'!M75+'Avg Week KATOSI-MUKONO'!M75</f>
        <v>61</v>
      </c>
      <c r="N75" s="49">
        <f>'Avg Week MUKONO-KATOSI'!N75+'Avg Week KATOSI-MUKONO'!N75</f>
        <v>0</v>
      </c>
      <c r="O75" s="15">
        <f t="shared" si="35"/>
        <v>32</v>
      </c>
      <c r="P75" s="15">
        <f t="shared" si="36"/>
        <v>93</v>
      </c>
      <c r="R75" s="8"/>
      <c r="T75"/>
    </row>
    <row r="76" spans="2:20" ht="23.1" customHeight="1" x14ac:dyDescent="0.25">
      <c r="B76" s="23" t="s">
        <v>116</v>
      </c>
      <c r="C76" s="49">
        <f>'Avg Week MUKONO-KATOSI'!C76+'Avg Week KATOSI-MUKONO'!C76</f>
        <v>12</v>
      </c>
      <c r="D76" s="49">
        <f>'Avg Week MUKONO-KATOSI'!D76+'Avg Week KATOSI-MUKONO'!D76</f>
        <v>2</v>
      </c>
      <c r="E76" s="49">
        <f>'Avg Week MUKONO-KATOSI'!E76+'Avg Week KATOSI-MUKONO'!E76</f>
        <v>1.5</v>
      </c>
      <c r="F76" s="49">
        <f>'Avg Week MUKONO-KATOSI'!F76+'Avg Week KATOSI-MUKONO'!F76</f>
        <v>11.5</v>
      </c>
      <c r="G76" s="49">
        <f>'Avg Week MUKONO-KATOSI'!G76+'Avg Week KATOSI-MUKONO'!G76</f>
        <v>0</v>
      </c>
      <c r="H76" s="49">
        <f>'Avg Week MUKONO-KATOSI'!H76+'Avg Week KATOSI-MUKONO'!H76</f>
        <v>0</v>
      </c>
      <c r="I76" s="49">
        <f>'Avg Week MUKONO-KATOSI'!I76+'Avg Week KATOSI-MUKONO'!I76</f>
        <v>2</v>
      </c>
      <c r="J76" s="49">
        <f>'Avg Week MUKONO-KATOSI'!J76+'Avg Week KATOSI-MUKONO'!J76</f>
        <v>0.5</v>
      </c>
      <c r="K76" s="49">
        <f>'Avg Week MUKONO-KATOSI'!K76+'Avg Week KATOSI-MUKONO'!K76</f>
        <v>0</v>
      </c>
      <c r="L76" s="49">
        <f>'Avg Week MUKONO-KATOSI'!L76+'Avg Week KATOSI-MUKONO'!L76</f>
        <v>0</v>
      </c>
      <c r="M76" s="49">
        <f>'Avg Week MUKONO-KATOSI'!M76+'Avg Week KATOSI-MUKONO'!M76</f>
        <v>90</v>
      </c>
      <c r="N76" s="49">
        <f>'Avg Week MUKONO-KATOSI'!N76+'Avg Week KATOSI-MUKONO'!N76</f>
        <v>0</v>
      </c>
      <c r="O76" s="15">
        <f t="shared" si="35"/>
        <v>29.5</v>
      </c>
      <c r="P76" s="15">
        <f t="shared" si="36"/>
        <v>119.5</v>
      </c>
      <c r="R76" s="8"/>
      <c r="T76"/>
    </row>
    <row r="77" spans="2:20" ht="23.1" customHeight="1" x14ac:dyDescent="0.25">
      <c r="B77" s="23" t="s">
        <v>117</v>
      </c>
      <c r="C77" s="49">
        <f>'Avg Week MUKONO-KATOSI'!C77+'Avg Week KATOSI-MUKONO'!C77</f>
        <v>7.5</v>
      </c>
      <c r="D77" s="49">
        <f>'Avg Week MUKONO-KATOSI'!D77+'Avg Week KATOSI-MUKONO'!D77</f>
        <v>5.5</v>
      </c>
      <c r="E77" s="49">
        <f>'Avg Week MUKONO-KATOSI'!E77+'Avg Week KATOSI-MUKONO'!E77</f>
        <v>2</v>
      </c>
      <c r="F77" s="49">
        <f>'Avg Week MUKONO-KATOSI'!F77+'Avg Week KATOSI-MUKONO'!F77</f>
        <v>9</v>
      </c>
      <c r="G77" s="49">
        <f>'Avg Week MUKONO-KATOSI'!G77+'Avg Week KATOSI-MUKONO'!G77</f>
        <v>0</v>
      </c>
      <c r="H77" s="49">
        <f>'Avg Week MUKONO-KATOSI'!H77+'Avg Week KATOSI-MUKONO'!H77</f>
        <v>0</v>
      </c>
      <c r="I77" s="49">
        <f>'Avg Week MUKONO-KATOSI'!I77+'Avg Week KATOSI-MUKONO'!I77</f>
        <v>0</v>
      </c>
      <c r="J77" s="49">
        <f>'Avg Week MUKONO-KATOSI'!J77+'Avg Week KATOSI-MUKONO'!J77</f>
        <v>0</v>
      </c>
      <c r="K77" s="49">
        <f>'Avg Week MUKONO-KATOSI'!K77+'Avg Week KATOSI-MUKONO'!K77</f>
        <v>0</v>
      </c>
      <c r="L77" s="49">
        <f>'Avg Week MUKONO-KATOSI'!L77+'Avg Week KATOSI-MUKONO'!L77</f>
        <v>0</v>
      </c>
      <c r="M77" s="49">
        <f>'Avg Week MUKONO-KATOSI'!M77+'Avg Week KATOSI-MUKONO'!M77</f>
        <v>63</v>
      </c>
      <c r="N77" s="49">
        <f>'Avg Week MUKONO-KATOSI'!N77+'Avg Week KATOSI-MUKONO'!N77</f>
        <v>0</v>
      </c>
      <c r="O77" s="15">
        <f t="shared" si="35"/>
        <v>24</v>
      </c>
      <c r="P77" s="15">
        <f t="shared" si="36"/>
        <v>87</v>
      </c>
      <c r="R77" s="8"/>
      <c r="T77"/>
    </row>
    <row r="78" spans="2:20" ht="23.1" customHeight="1" x14ac:dyDescent="0.25">
      <c r="B78" s="24" t="s">
        <v>118</v>
      </c>
      <c r="C78" s="49">
        <f>'Avg Week MUKONO-KATOSI'!C78+'Avg Week KATOSI-MUKONO'!C78</f>
        <v>5</v>
      </c>
      <c r="D78" s="49">
        <f>'Avg Week MUKONO-KATOSI'!D78+'Avg Week KATOSI-MUKONO'!D78</f>
        <v>2.5</v>
      </c>
      <c r="E78" s="49">
        <f>'Avg Week MUKONO-KATOSI'!E78+'Avg Week KATOSI-MUKONO'!E78</f>
        <v>1</v>
      </c>
      <c r="F78" s="49">
        <f>'Avg Week MUKONO-KATOSI'!F78+'Avg Week KATOSI-MUKONO'!F78</f>
        <v>7.5</v>
      </c>
      <c r="G78" s="49">
        <f>'Avg Week MUKONO-KATOSI'!G78+'Avg Week KATOSI-MUKONO'!G78</f>
        <v>0</v>
      </c>
      <c r="H78" s="49">
        <f>'Avg Week MUKONO-KATOSI'!H78+'Avg Week KATOSI-MUKONO'!H78</f>
        <v>0</v>
      </c>
      <c r="I78" s="49">
        <f>'Avg Week MUKONO-KATOSI'!I78+'Avg Week KATOSI-MUKONO'!I78</f>
        <v>1.5</v>
      </c>
      <c r="J78" s="49">
        <f>'Avg Week MUKONO-KATOSI'!J78+'Avg Week KATOSI-MUKONO'!J78</f>
        <v>1</v>
      </c>
      <c r="K78" s="49">
        <f>'Avg Week MUKONO-KATOSI'!K78+'Avg Week KATOSI-MUKONO'!K78</f>
        <v>0</v>
      </c>
      <c r="L78" s="49">
        <f>'Avg Week MUKONO-KATOSI'!L78+'Avg Week KATOSI-MUKONO'!L78</f>
        <v>0</v>
      </c>
      <c r="M78" s="49">
        <f>'Avg Week MUKONO-KATOSI'!M78+'Avg Week KATOSI-MUKONO'!M78</f>
        <v>42.5</v>
      </c>
      <c r="N78" s="49">
        <f>'Avg Week MUKONO-KATOSI'!N78+'Avg Week KATOSI-MUKONO'!N78</f>
        <v>0</v>
      </c>
      <c r="O78" s="15">
        <f t="shared" si="35"/>
        <v>18.5</v>
      </c>
      <c r="P78" s="15">
        <f t="shared" si="36"/>
        <v>61</v>
      </c>
      <c r="R78" s="8"/>
      <c r="T78"/>
    </row>
    <row r="79" spans="2:20" ht="23.1" customHeight="1" x14ac:dyDescent="0.25">
      <c r="B79" s="23" t="s">
        <v>119</v>
      </c>
      <c r="C79" s="49">
        <f>'Avg Week MUKONO-KATOSI'!C79+'Avg Week KATOSI-MUKONO'!C79</f>
        <v>3</v>
      </c>
      <c r="D79" s="49">
        <f>'Avg Week MUKONO-KATOSI'!D79+'Avg Week KATOSI-MUKONO'!D79</f>
        <v>3</v>
      </c>
      <c r="E79" s="49">
        <f>'Avg Week MUKONO-KATOSI'!E79+'Avg Week KATOSI-MUKONO'!E79</f>
        <v>1</v>
      </c>
      <c r="F79" s="49">
        <f>'Avg Week MUKONO-KATOSI'!F79+'Avg Week KATOSI-MUKONO'!F79</f>
        <v>7.5</v>
      </c>
      <c r="G79" s="49">
        <f>'Avg Week MUKONO-KATOSI'!G79+'Avg Week KATOSI-MUKONO'!G79</f>
        <v>0</v>
      </c>
      <c r="H79" s="49">
        <f>'Avg Week MUKONO-KATOSI'!H79+'Avg Week KATOSI-MUKONO'!H79</f>
        <v>0</v>
      </c>
      <c r="I79" s="49">
        <f>'Avg Week MUKONO-KATOSI'!I79+'Avg Week KATOSI-MUKONO'!I79</f>
        <v>1</v>
      </c>
      <c r="J79" s="49">
        <f>'Avg Week MUKONO-KATOSI'!J79+'Avg Week KATOSI-MUKONO'!J79</f>
        <v>1</v>
      </c>
      <c r="K79" s="49">
        <f>'Avg Week MUKONO-KATOSI'!K79+'Avg Week KATOSI-MUKONO'!K79</f>
        <v>0</v>
      </c>
      <c r="L79" s="49">
        <f>'Avg Week MUKONO-KATOSI'!L79+'Avg Week KATOSI-MUKONO'!L79</f>
        <v>0</v>
      </c>
      <c r="M79" s="49">
        <f>'Avg Week MUKONO-KATOSI'!M79+'Avg Week KATOSI-MUKONO'!M79</f>
        <v>28</v>
      </c>
      <c r="N79" s="49">
        <f>'Avg Week MUKONO-KATOSI'!N79+'Avg Week KATOSI-MUKONO'!N79</f>
        <v>0</v>
      </c>
      <c r="O79" s="15">
        <f t="shared" si="35"/>
        <v>16.5</v>
      </c>
      <c r="P79" s="15">
        <f t="shared" si="36"/>
        <v>44.5</v>
      </c>
      <c r="R79" s="8"/>
      <c r="T79"/>
    </row>
    <row r="80" spans="2:20" ht="23.1" customHeight="1" x14ac:dyDescent="0.25">
      <c r="B80" s="25" t="s">
        <v>120</v>
      </c>
      <c r="C80" s="49">
        <f>'Avg Week MUKONO-KATOSI'!C80+'Avg Week KATOSI-MUKONO'!C80</f>
        <v>7.5</v>
      </c>
      <c r="D80" s="49">
        <f>'Avg Week MUKONO-KATOSI'!D80+'Avg Week KATOSI-MUKONO'!D80</f>
        <v>0.5</v>
      </c>
      <c r="E80" s="49">
        <f>'Avg Week MUKONO-KATOSI'!E80+'Avg Week KATOSI-MUKONO'!E80</f>
        <v>0</v>
      </c>
      <c r="F80" s="49">
        <f>'Avg Week MUKONO-KATOSI'!F80+'Avg Week KATOSI-MUKONO'!F80</f>
        <v>3</v>
      </c>
      <c r="G80" s="49">
        <f>'Avg Week MUKONO-KATOSI'!G80+'Avg Week KATOSI-MUKONO'!G80</f>
        <v>0</v>
      </c>
      <c r="H80" s="49">
        <f>'Avg Week MUKONO-KATOSI'!H80+'Avg Week KATOSI-MUKONO'!H80</f>
        <v>0</v>
      </c>
      <c r="I80" s="49">
        <f>'Avg Week MUKONO-KATOSI'!I80+'Avg Week KATOSI-MUKONO'!I80</f>
        <v>0.5</v>
      </c>
      <c r="J80" s="49">
        <f>'Avg Week MUKONO-KATOSI'!J80+'Avg Week KATOSI-MUKONO'!J80</f>
        <v>1.5</v>
      </c>
      <c r="K80" s="49">
        <f>'Avg Week MUKONO-KATOSI'!K80+'Avg Week KATOSI-MUKONO'!K80</f>
        <v>0</v>
      </c>
      <c r="L80" s="49">
        <f>'Avg Week MUKONO-KATOSI'!L80+'Avg Week KATOSI-MUKONO'!L80</f>
        <v>0</v>
      </c>
      <c r="M80" s="49">
        <f>'Avg Week MUKONO-KATOSI'!M80+'Avg Week KATOSI-MUKONO'!M80</f>
        <v>25</v>
      </c>
      <c r="N80" s="49">
        <f>'Avg Week MUKONO-KATOSI'!N80+'Avg Week KATOSI-MUKONO'!N80</f>
        <v>0</v>
      </c>
      <c r="O80" s="15">
        <f t="shared" si="35"/>
        <v>13</v>
      </c>
      <c r="P80" s="15">
        <f t="shared" si="36"/>
        <v>38</v>
      </c>
      <c r="R80" s="8"/>
      <c r="T80"/>
    </row>
    <row r="81" spans="2:20" ht="23.1" customHeight="1" x14ac:dyDescent="0.25">
      <c r="B81" s="23" t="s">
        <v>121</v>
      </c>
      <c r="C81" s="49">
        <f>'Avg Week MUKONO-KATOSI'!C81+'Avg Week KATOSI-MUKONO'!C81</f>
        <v>5</v>
      </c>
      <c r="D81" s="49">
        <f>'Avg Week MUKONO-KATOSI'!D81+'Avg Week KATOSI-MUKONO'!D81</f>
        <v>4.5</v>
      </c>
      <c r="E81" s="49">
        <f>'Avg Week MUKONO-KATOSI'!E81+'Avg Week KATOSI-MUKONO'!E81</f>
        <v>2.5</v>
      </c>
      <c r="F81" s="49">
        <f>'Avg Week MUKONO-KATOSI'!F81+'Avg Week KATOSI-MUKONO'!F81</f>
        <v>3.5</v>
      </c>
      <c r="G81" s="49">
        <f>'Avg Week MUKONO-KATOSI'!G81+'Avg Week KATOSI-MUKONO'!G81</f>
        <v>1</v>
      </c>
      <c r="H81" s="49">
        <f>'Avg Week MUKONO-KATOSI'!H81+'Avg Week KATOSI-MUKONO'!H81</f>
        <v>0</v>
      </c>
      <c r="I81" s="49">
        <f>'Avg Week MUKONO-KATOSI'!I81+'Avg Week KATOSI-MUKONO'!I81</f>
        <v>4.5</v>
      </c>
      <c r="J81" s="49">
        <f>'Avg Week MUKONO-KATOSI'!J81+'Avg Week KATOSI-MUKONO'!J81</f>
        <v>1.5</v>
      </c>
      <c r="K81" s="49">
        <f>'Avg Week MUKONO-KATOSI'!K81+'Avg Week KATOSI-MUKONO'!K81</f>
        <v>0.5</v>
      </c>
      <c r="L81" s="49">
        <f>'Avg Week MUKONO-KATOSI'!L81+'Avg Week KATOSI-MUKONO'!L81</f>
        <v>0.5</v>
      </c>
      <c r="M81" s="49">
        <f>'Avg Week MUKONO-KATOSI'!M81+'Avg Week KATOSI-MUKONO'!M81</f>
        <v>18.5</v>
      </c>
      <c r="N81" s="49">
        <f>'Avg Week MUKONO-KATOSI'!N81+'Avg Week KATOSI-MUKONO'!N81</f>
        <v>0</v>
      </c>
      <c r="O81" s="15">
        <f t="shared" si="35"/>
        <v>23.5</v>
      </c>
      <c r="P81" s="15">
        <f t="shared" si="36"/>
        <v>42</v>
      </c>
      <c r="R81" s="8"/>
      <c r="T81"/>
    </row>
    <row r="82" spans="2:20" ht="23.1" customHeight="1" x14ac:dyDescent="0.25">
      <c r="B82" s="24" t="s">
        <v>122</v>
      </c>
      <c r="C82" s="49">
        <f>'Avg Week MUKONO-KATOSI'!C82+'Avg Week KATOSI-MUKONO'!C82</f>
        <v>12</v>
      </c>
      <c r="D82" s="49">
        <f>'Avg Week MUKONO-KATOSI'!D82+'Avg Week KATOSI-MUKONO'!D82</f>
        <v>1.5</v>
      </c>
      <c r="E82" s="49">
        <f>'Avg Week MUKONO-KATOSI'!E82+'Avg Week KATOSI-MUKONO'!E82</f>
        <v>3</v>
      </c>
      <c r="F82" s="49">
        <f>'Avg Week MUKONO-KATOSI'!F82+'Avg Week KATOSI-MUKONO'!F82</f>
        <v>0.5</v>
      </c>
      <c r="G82" s="49">
        <f>'Avg Week MUKONO-KATOSI'!G82+'Avg Week KATOSI-MUKONO'!G82</f>
        <v>0</v>
      </c>
      <c r="H82" s="49">
        <f>'Avg Week MUKONO-KATOSI'!H82+'Avg Week KATOSI-MUKONO'!H82</f>
        <v>0</v>
      </c>
      <c r="I82" s="49">
        <f>'Avg Week MUKONO-KATOSI'!I82+'Avg Week KATOSI-MUKONO'!I82</f>
        <v>2</v>
      </c>
      <c r="J82" s="49">
        <f>'Avg Week MUKONO-KATOSI'!J82+'Avg Week KATOSI-MUKONO'!J82</f>
        <v>0.5</v>
      </c>
      <c r="K82" s="49">
        <f>'Avg Week MUKONO-KATOSI'!K82+'Avg Week KATOSI-MUKONO'!K82</f>
        <v>0.5</v>
      </c>
      <c r="L82" s="49">
        <f>'Avg Week MUKONO-KATOSI'!L82+'Avg Week KATOSI-MUKONO'!L82</f>
        <v>0</v>
      </c>
      <c r="M82" s="49">
        <f>'Avg Week MUKONO-KATOSI'!M82+'Avg Week KATOSI-MUKONO'!M82</f>
        <v>25</v>
      </c>
      <c r="N82" s="49">
        <f>'Avg Week MUKONO-KATOSI'!N82+'Avg Week KATOSI-MUKONO'!N82</f>
        <v>0</v>
      </c>
      <c r="O82" s="15">
        <f t="shared" si="35"/>
        <v>20</v>
      </c>
      <c r="P82" s="15">
        <f t="shared" si="36"/>
        <v>45</v>
      </c>
      <c r="R82" s="8"/>
      <c r="T82"/>
    </row>
    <row r="83" spans="2:20" ht="23.1" customHeight="1" x14ac:dyDescent="0.25">
      <c r="B83" s="23" t="s">
        <v>123</v>
      </c>
      <c r="C83" s="49">
        <f>'Avg Week MUKONO-KATOSI'!C83+'Avg Week KATOSI-MUKONO'!C83</f>
        <v>3.5</v>
      </c>
      <c r="D83" s="49">
        <f>'Avg Week MUKONO-KATOSI'!D83+'Avg Week KATOSI-MUKONO'!D83</f>
        <v>1.5</v>
      </c>
      <c r="E83" s="49">
        <f>'Avg Week MUKONO-KATOSI'!E83+'Avg Week KATOSI-MUKONO'!E83</f>
        <v>0</v>
      </c>
      <c r="F83" s="49">
        <f>'Avg Week MUKONO-KATOSI'!F83+'Avg Week KATOSI-MUKONO'!F83</f>
        <v>1</v>
      </c>
      <c r="G83" s="49">
        <f>'Avg Week MUKONO-KATOSI'!G83+'Avg Week KATOSI-MUKONO'!G83</f>
        <v>0</v>
      </c>
      <c r="H83" s="49">
        <f>'Avg Week MUKONO-KATOSI'!H83+'Avg Week KATOSI-MUKONO'!H83</f>
        <v>0</v>
      </c>
      <c r="I83" s="49">
        <f>'Avg Week MUKONO-KATOSI'!I83+'Avg Week KATOSI-MUKONO'!I83</f>
        <v>0.5</v>
      </c>
      <c r="J83" s="49">
        <f>'Avg Week MUKONO-KATOSI'!J83+'Avg Week KATOSI-MUKONO'!J83</f>
        <v>1</v>
      </c>
      <c r="K83" s="49">
        <f>'Avg Week MUKONO-KATOSI'!K83+'Avg Week KATOSI-MUKONO'!K83</f>
        <v>0</v>
      </c>
      <c r="L83" s="49">
        <f>'Avg Week MUKONO-KATOSI'!L83+'Avg Week KATOSI-MUKONO'!L83</f>
        <v>0</v>
      </c>
      <c r="M83" s="49">
        <f>'Avg Week MUKONO-KATOSI'!M83+'Avg Week KATOSI-MUKONO'!M83</f>
        <v>13</v>
      </c>
      <c r="N83" s="49">
        <f>'Avg Week MUKONO-KATOSI'!N83+'Avg Week KATOSI-MUKONO'!N83</f>
        <v>0</v>
      </c>
      <c r="O83" s="15">
        <f t="shared" si="35"/>
        <v>7.5</v>
      </c>
      <c r="P83" s="15">
        <f t="shared" si="36"/>
        <v>20.5</v>
      </c>
      <c r="R83" s="8"/>
      <c r="T83"/>
    </row>
    <row r="84" spans="2:20" ht="23.1" customHeight="1" x14ac:dyDescent="0.25">
      <c r="B84" s="25" t="s">
        <v>124</v>
      </c>
      <c r="C84" s="49">
        <f>'Avg Week MUKONO-KATOSI'!C84+'Avg Week KATOSI-MUKONO'!C84</f>
        <v>6.5</v>
      </c>
      <c r="D84" s="49">
        <f>'Avg Week MUKONO-KATOSI'!D84+'Avg Week KATOSI-MUKONO'!D84</f>
        <v>0</v>
      </c>
      <c r="E84" s="49">
        <f>'Avg Week MUKONO-KATOSI'!E84+'Avg Week KATOSI-MUKONO'!E84</f>
        <v>0.5</v>
      </c>
      <c r="F84" s="49">
        <f>'Avg Week MUKONO-KATOSI'!F84+'Avg Week KATOSI-MUKONO'!F84</f>
        <v>0</v>
      </c>
      <c r="G84" s="49">
        <f>'Avg Week MUKONO-KATOSI'!G84+'Avg Week KATOSI-MUKONO'!G84</f>
        <v>0</v>
      </c>
      <c r="H84" s="49">
        <f>'Avg Week MUKONO-KATOSI'!H84+'Avg Week KATOSI-MUKONO'!H84</f>
        <v>0</v>
      </c>
      <c r="I84" s="49">
        <f>'Avg Week MUKONO-KATOSI'!I84+'Avg Week KATOSI-MUKONO'!I84</f>
        <v>1.5</v>
      </c>
      <c r="J84" s="49">
        <f>'Avg Week MUKONO-KATOSI'!J84+'Avg Week KATOSI-MUKONO'!J84</f>
        <v>0.5</v>
      </c>
      <c r="K84" s="49">
        <f>'Avg Week MUKONO-KATOSI'!K84+'Avg Week KATOSI-MUKONO'!K84</f>
        <v>0</v>
      </c>
      <c r="L84" s="49">
        <f>'Avg Week MUKONO-KATOSI'!L84+'Avg Week KATOSI-MUKONO'!L84</f>
        <v>0</v>
      </c>
      <c r="M84" s="49">
        <f>'Avg Week MUKONO-KATOSI'!M84+'Avg Week KATOSI-MUKONO'!M84</f>
        <v>8.5</v>
      </c>
      <c r="N84" s="49">
        <f>'Avg Week MUKONO-KATOSI'!N84+'Avg Week KATOSI-MUKONO'!N84</f>
        <v>0</v>
      </c>
      <c r="O84" s="15">
        <f t="shared" si="35"/>
        <v>9</v>
      </c>
      <c r="P84" s="15">
        <f t="shared" si="36"/>
        <v>17.5</v>
      </c>
      <c r="R84" s="8"/>
      <c r="T84"/>
    </row>
    <row r="85" spans="2:20" ht="23.1" customHeight="1" x14ac:dyDescent="0.25">
      <c r="B85" s="23" t="s">
        <v>125</v>
      </c>
      <c r="C85" s="49">
        <f>'Avg Week MUKONO-KATOSI'!C85+'Avg Week KATOSI-MUKONO'!C85</f>
        <v>1</v>
      </c>
      <c r="D85" s="49">
        <f>'Avg Week MUKONO-KATOSI'!D85+'Avg Week KATOSI-MUKONO'!D85</f>
        <v>0</v>
      </c>
      <c r="E85" s="49">
        <f>'Avg Week MUKONO-KATOSI'!E85+'Avg Week KATOSI-MUKONO'!E85</f>
        <v>0.5</v>
      </c>
      <c r="F85" s="49">
        <f>'Avg Week MUKONO-KATOSI'!F85+'Avg Week KATOSI-MUKONO'!F85</f>
        <v>0.5</v>
      </c>
      <c r="G85" s="49">
        <f>'Avg Week MUKONO-KATOSI'!G85+'Avg Week KATOSI-MUKONO'!G85</f>
        <v>0</v>
      </c>
      <c r="H85" s="49">
        <f>'Avg Week MUKONO-KATOSI'!H85+'Avg Week KATOSI-MUKONO'!H85</f>
        <v>0</v>
      </c>
      <c r="I85" s="49">
        <f>'Avg Week MUKONO-KATOSI'!I85+'Avg Week KATOSI-MUKONO'!I85</f>
        <v>0</v>
      </c>
      <c r="J85" s="49">
        <f>'Avg Week MUKONO-KATOSI'!J85+'Avg Week KATOSI-MUKONO'!J85</f>
        <v>0</v>
      </c>
      <c r="K85" s="49">
        <f>'Avg Week MUKONO-KATOSI'!K85+'Avg Week KATOSI-MUKONO'!K85</f>
        <v>0</v>
      </c>
      <c r="L85" s="49">
        <f>'Avg Week MUKONO-KATOSI'!L85+'Avg Week KATOSI-MUKONO'!L85</f>
        <v>0</v>
      </c>
      <c r="M85" s="49">
        <f>'Avg Week MUKONO-KATOSI'!M85+'Avg Week KATOSI-MUKONO'!M85</f>
        <v>9</v>
      </c>
      <c r="N85" s="49">
        <f>'Avg Week MUKONO-KATOSI'!N85+'Avg Week KATOSI-MUKONO'!N85</f>
        <v>0</v>
      </c>
      <c r="O85" s="15">
        <f t="shared" si="35"/>
        <v>2</v>
      </c>
      <c r="P85" s="15">
        <f t="shared" si="36"/>
        <v>11</v>
      </c>
      <c r="R85" s="8"/>
      <c r="T85"/>
    </row>
    <row r="86" spans="2:20" ht="23.1" customHeight="1" x14ac:dyDescent="0.25">
      <c r="B86" s="24" t="s">
        <v>126</v>
      </c>
      <c r="C86" s="49">
        <f>'Avg Week MUKONO-KATOSI'!C86+'Avg Week KATOSI-MUKONO'!C86</f>
        <v>0.5</v>
      </c>
      <c r="D86" s="49">
        <f>'Avg Week MUKONO-KATOSI'!D86+'Avg Week KATOSI-MUKONO'!D86</f>
        <v>0.5</v>
      </c>
      <c r="E86" s="49">
        <f>'Avg Week MUKONO-KATOSI'!E86+'Avg Week KATOSI-MUKONO'!E86</f>
        <v>0.5</v>
      </c>
      <c r="F86" s="49">
        <f>'Avg Week MUKONO-KATOSI'!F86+'Avg Week KATOSI-MUKONO'!F86</f>
        <v>2.5</v>
      </c>
      <c r="G86" s="49">
        <f>'Avg Week MUKONO-KATOSI'!G86+'Avg Week KATOSI-MUKONO'!G86</f>
        <v>0</v>
      </c>
      <c r="H86" s="49">
        <f>'Avg Week MUKONO-KATOSI'!H86+'Avg Week KATOSI-MUKONO'!H86</f>
        <v>0</v>
      </c>
      <c r="I86" s="49">
        <f>'Avg Week MUKONO-KATOSI'!I86+'Avg Week KATOSI-MUKONO'!I86</f>
        <v>1</v>
      </c>
      <c r="J86" s="49">
        <f>'Avg Week MUKONO-KATOSI'!J86+'Avg Week KATOSI-MUKONO'!J86</f>
        <v>0.5</v>
      </c>
      <c r="K86" s="49">
        <f>'Avg Week MUKONO-KATOSI'!K86+'Avg Week KATOSI-MUKONO'!K86</f>
        <v>0</v>
      </c>
      <c r="L86" s="49">
        <f>'Avg Week MUKONO-KATOSI'!L86+'Avg Week KATOSI-MUKONO'!L86</f>
        <v>0.5</v>
      </c>
      <c r="M86" s="49">
        <f>'Avg Week MUKONO-KATOSI'!M86+'Avg Week KATOSI-MUKONO'!M86</f>
        <v>10.5</v>
      </c>
      <c r="N86" s="49">
        <f>'Avg Week MUKONO-KATOSI'!N86+'Avg Week KATOSI-MUKONO'!N86</f>
        <v>0</v>
      </c>
      <c r="O86" s="15">
        <f t="shared" si="35"/>
        <v>6</v>
      </c>
      <c r="P86" s="15">
        <f t="shared" si="36"/>
        <v>16.5</v>
      </c>
      <c r="R86" s="8"/>
      <c r="T86"/>
    </row>
    <row r="87" spans="2:20" ht="23.1" customHeight="1" x14ac:dyDescent="0.25">
      <c r="B87" s="23" t="s">
        <v>127</v>
      </c>
      <c r="C87" s="49">
        <f>'Avg Week MUKONO-KATOSI'!C87+'Avg Week KATOSI-MUKONO'!C87</f>
        <v>3</v>
      </c>
      <c r="D87" s="49">
        <f>'Avg Week MUKONO-KATOSI'!D87+'Avg Week KATOSI-MUKONO'!D87</f>
        <v>0.5</v>
      </c>
      <c r="E87" s="49">
        <f>'Avg Week MUKONO-KATOSI'!E87+'Avg Week KATOSI-MUKONO'!E87</f>
        <v>0.5</v>
      </c>
      <c r="F87" s="49">
        <f>'Avg Week MUKONO-KATOSI'!F87+'Avg Week KATOSI-MUKONO'!F87</f>
        <v>1</v>
      </c>
      <c r="G87" s="49">
        <f>'Avg Week MUKONO-KATOSI'!G87+'Avg Week KATOSI-MUKONO'!G87</f>
        <v>0</v>
      </c>
      <c r="H87" s="49">
        <f>'Avg Week MUKONO-KATOSI'!H87+'Avg Week KATOSI-MUKONO'!H87</f>
        <v>0</v>
      </c>
      <c r="I87" s="49">
        <f>'Avg Week MUKONO-KATOSI'!I87+'Avg Week KATOSI-MUKONO'!I87</f>
        <v>0</v>
      </c>
      <c r="J87" s="49">
        <f>'Avg Week MUKONO-KATOSI'!J87+'Avg Week KATOSI-MUKONO'!J87</f>
        <v>1</v>
      </c>
      <c r="K87" s="49">
        <f>'Avg Week MUKONO-KATOSI'!K87+'Avg Week KATOSI-MUKONO'!K87</f>
        <v>0</v>
      </c>
      <c r="L87" s="49">
        <f>'Avg Week MUKONO-KATOSI'!L87+'Avg Week KATOSI-MUKONO'!L87</f>
        <v>0.5</v>
      </c>
      <c r="M87" s="49">
        <f>'Avg Week MUKONO-KATOSI'!M87+'Avg Week KATOSI-MUKONO'!M87</f>
        <v>6.5</v>
      </c>
      <c r="N87" s="49">
        <f>'Avg Week MUKONO-KATOSI'!N87+'Avg Week KATOSI-MUKONO'!N87</f>
        <v>0</v>
      </c>
      <c r="O87" s="15">
        <f t="shared" si="35"/>
        <v>6.5</v>
      </c>
      <c r="P87" s="15">
        <f t="shared" si="36"/>
        <v>13</v>
      </c>
      <c r="R87" s="8"/>
      <c r="T87"/>
    </row>
    <row r="88" spans="2:20" ht="23.1" customHeight="1" x14ac:dyDescent="0.25">
      <c r="B88" s="25" t="s">
        <v>128</v>
      </c>
      <c r="C88" s="49">
        <f>'Avg Week MUKONO-KATOSI'!C88+'Avg Week KATOSI-MUKONO'!C88</f>
        <v>2</v>
      </c>
      <c r="D88" s="49">
        <f>'Avg Week MUKONO-KATOSI'!D88+'Avg Week KATOSI-MUKONO'!D88</f>
        <v>1</v>
      </c>
      <c r="E88" s="49">
        <f>'Avg Week MUKONO-KATOSI'!E88+'Avg Week KATOSI-MUKONO'!E88</f>
        <v>0.5</v>
      </c>
      <c r="F88" s="49">
        <f>'Avg Week MUKONO-KATOSI'!F88+'Avg Week KATOSI-MUKONO'!F88</f>
        <v>1</v>
      </c>
      <c r="G88" s="49">
        <f>'Avg Week MUKONO-KATOSI'!G88+'Avg Week KATOSI-MUKONO'!G88</f>
        <v>0</v>
      </c>
      <c r="H88" s="49">
        <f>'Avg Week MUKONO-KATOSI'!H88+'Avg Week KATOSI-MUKONO'!H88</f>
        <v>0</v>
      </c>
      <c r="I88" s="49">
        <f>'Avg Week MUKONO-KATOSI'!I88+'Avg Week KATOSI-MUKONO'!I88</f>
        <v>0.5</v>
      </c>
      <c r="J88" s="49">
        <f>'Avg Week MUKONO-KATOSI'!J88+'Avg Week KATOSI-MUKONO'!J88</f>
        <v>0.5</v>
      </c>
      <c r="K88" s="49">
        <f>'Avg Week MUKONO-KATOSI'!K88+'Avg Week KATOSI-MUKONO'!K88</f>
        <v>0</v>
      </c>
      <c r="L88" s="49">
        <f>'Avg Week MUKONO-KATOSI'!L88+'Avg Week KATOSI-MUKONO'!L88</f>
        <v>0.5</v>
      </c>
      <c r="M88" s="49">
        <f>'Avg Week MUKONO-KATOSI'!M88+'Avg Week KATOSI-MUKONO'!M88</f>
        <v>10</v>
      </c>
      <c r="N88" s="49">
        <f>'Avg Week MUKONO-KATOSI'!N88+'Avg Week KATOSI-MUKONO'!N88</f>
        <v>0</v>
      </c>
      <c r="O88" s="15">
        <f t="shared" si="35"/>
        <v>6</v>
      </c>
      <c r="P88" s="15">
        <f t="shared" si="36"/>
        <v>16</v>
      </c>
      <c r="R88" s="8"/>
      <c r="T88"/>
    </row>
    <row r="89" spans="2:20" ht="23.1" customHeight="1" x14ac:dyDescent="0.25">
      <c r="B89" s="23" t="s">
        <v>129</v>
      </c>
      <c r="C89" s="49">
        <f>'Avg Week MUKONO-KATOSI'!C89+'Avg Week KATOSI-MUKONO'!C89</f>
        <v>0.5</v>
      </c>
      <c r="D89" s="49">
        <f>'Avg Week MUKONO-KATOSI'!D89+'Avg Week KATOSI-MUKONO'!D89</f>
        <v>2</v>
      </c>
      <c r="E89" s="49">
        <f>'Avg Week MUKONO-KATOSI'!E89+'Avg Week KATOSI-MUKONO'!E89</f>
        <v>0</v>
      </c>
      <c r="F89" s="49">
        <f>'Avg Week MUKONO-KATOSI'!F89+'Avg Week KATOSI-MUKONO'!F89</f>
        <v>1</v>
      </c>
      <c r="G89" s="49">
        <f>'Avg Week MUKONO-KATOSI'!G89+'Avg Week KATOSI-MUKONO'!G89</f>
        <v>0</v>
      </c>
      <c r="H89" s="49">
        <f>'Avg Week MUKONO-KATOSI'!H89+'Avg Week KATOSI-MUKONO'!H89</f>
        <v>0</v>
      </c>
      <c r="I89" s="49">
        <f>'Avg Week MUKONO-KATOSI'!I89+'Avg Week KATOSI-MUKONO'!I89</f>
        <v>0.5</v>
      </c>
      <c r="J89" s="49">
        <f>'Avg Week MUKONO-KATOSI'!J89+'Avg Week KATOSI-MUKONO'!J89</f>
        <v>0.5</v>
      </c>
      <c r="K89" s="49">
        <f>'Avg Week MUKONO-KATOSI'!K89+'Avg Week KATOSI-MUKONO'!K89</f>
        <v>0</v>
      </c>
      <c r="L89" s="49">
        <f>'Avg Week MUKONO-KATOSI'!L89+'Avg Week KATOSI-MUKONO'!L89</f>
        <v>1</v>
      </c>
      <c r="M89" s="49">
        <f>'Avg Week MUKONO-KATOSI'!M89+'Avg Week KATOSI-MUKONO'!M89</f>
        <v>9.5</v>
      </c>
      <c r="N89" s="49">
        <f>'Avg Week MUKONO-KATOSI'!N89+'Avg Week KATOSI-MUKONO'!N89</f>
        <v>0</v>
      </c>
      <c r="O89" s="15">
        <f t="shared" si="35"/>
        <v>5.5</v>
      </c>
      <c r="P89" s="15">
        <f t="shared" si="36"/>
        <v>15</v>
      </c>
      <c r="R89" s="8"/>
      <c r="T89"/>
    </row>
    <row r="90" spans="2:20" ht="23.1" customHeight="1" x14ac:dyDescent="0.25">
      <c r="B90" s="24" t="s">
        <v>130</v>
      </c>
      <c r="C90" s="49">
        <f>'Avg Week MUKONO-KATOSI'!C90+'Avg Week KATOSI-MUKONO'!C90</f>
        <v>1.5</v>
      </c>
      <c r="D90" s="49">
        <f>'Avg Week MUKONO-KATOSI'!D90+'Avg Week KATOSI-MUKONO'!D90</f>
        <v>0.5</v>
      </c>
      <c r="E90" s="49">
        <f>'Avg Week MUKONO-KATOSI'!E90+'Avg Week KATOSI-MUKONO'!E90</f>
        <v>0</v>
      </c>
      <c r="F90" s="49">
        <f>'Avg Week MUKONO-KATOSI'!F90+'Avg Week KATOSI-MUKONO'!F90</f>
        <v>0.5</v>
      </c>
      <c r="G90" s="49">
        <f>'Avg Week MUKONO-KATOSI'!G90+'Avg Week KATOSI-MUKONO'!G90</f>
        <v>0</v>
      </c>
      <c r="H90" s="49">
        <f>'Avg Week MUKONO-KATOSI'!H90+'Avg Week KATOSI-MUKONO'!H90</f>
        <v>0</v>
      </c>
      <c r="I90" s="49">
        <f>'Avg Week MUKONO-KATOSI'!I90+'Avg Week KATOSI-MUKONO'!I90</f>
        <v>0.5</v>
      </c>
      <c r="J90" s="49">
        <f>'Avg Week MUKONO-KATOSI'!J90+'Avg Week KATOSI-MUKONO'!J90</f>
        <v>0.5</v>
      </c>
      <c r="K90" s="49">
        <f>'Avg Week MUKONO-KATOSI'!K90+'Avg Week KATOSI-MUKONO'!K90</f>
        <v>0</v>
      </c>
      <c r="L90" s="49">
        <f>'Avg Week MUKONO-KATOSI'!L90+'Avg Week KATOSI-MUKONO'!L90</f>
        <v>0</v>
      </c>
      <c r="M90" s="49">
        <f>'Avg Week MUKONO-KATOSI'!M90+'Avg Week KATOSI-MUKONO'!M90</f>
        <v>9.5</v>
      </c>
      <c r="N90" s="49">
        <f>'Avg Week MUKONO-KATOSI'!N90+'Avg Week KATOSI-MUKONO'!N90</f>
        <v>0</v>
      </c>
      <c r="O90" s="15">
        <f t="shared" si="35"/>
        <v>3.5</v>
      </c>
      <c r="P90" s="15">
        <f t="shared" si="36"/>
        <v>13</v>
      </c>
      <c r="R90" s="8"/>
      <c r="T90"/>
    </row>
    <row r="91" spans="2:20" ht="23.1" customHeight="1" x14ac:dyDescent="0.25">
      <c r="B91" s="23" t="s">
        <v>131</v>
      </c>
      <c r="C91" s="49">
        <f>'Avg Week MUKONO-KATOSI'!C91+'Avg Week KATOSI-MUKONO'!C91</f>
        <v>1</v>
      </c>
      <c r="D91" s="49">
        <f>'Avg Week MUKONO-KATOSI'!D91+'Avg Week KATOSI-MUKONO'!D91</f>
        <v>0.5</v>
      </c>
      <c r="E91" s="49">
        <f>'Avg Week MUKONO-KATOSI'!E91+'Avg Week KATOSI-MUKONO'!E91</f>
        <v>0</v>
      </c>
      <c r="F91" s="49">
        <f>'Avg Week MUKONO-KATOSI'!F91+'Avg Week KATOSI-MUKONO'!F91</f>
        <v>1.5</v>
      </c>
      <c r="G91" s="49">
        <f>'Avg Week MUKONO-KATOSI'!G91+'Avg Week KATOSI-MUKONO'!G91</f>
        <v>0</v>
      </c>
      <c r="H91" s="49">
        <f>'Avg Week MUKONO-KATOSI'!H91+'Avg Week KATOSI-MUKONO'!H91</f>
        <v>0</v>
      </c>
      <c r="I91" s="49">
        <f>'Avg Week MUKONO-KATOSI'!I91+'Avg Week KATOSI-MUKONO'!I91</f>
        <v>1</v>
      </c>
      <c r="J91" s="49">
        <f>'Avg Week MUKONO-KATOSI'!J91+'Avg Week KATOSI-MUKONO'!J91</f>
        <v>0.5</v>
      </c>
      <c r="K91" s="49">
        <f>'Avg Week MUKONO-KATOSI'!K91+'Avg Week KATOSI-MUKONO'!K91</f>
        <v>0.5</v>
      </c>
      <c r="L91" s="49">
        <f>'Avg Week MUKONO-KATOSI'!L91+'Avg Week KATOSI-MUKONO'!L91</f>
        <v>0</v>
      </c>
      <c r="M91" s="49">
        <f>'Avg Week MUKONO-KATOSI'!M91+'Avg Week KATOSI-MUKONO'!M91</f>
        <v>4.5</v>
      </c>
      <c r="N91" s="49">
        <f>'Avg Week MUKONO-KATOSI'!N91+'Avg Week KATOSI-MUKONO'!N91</f>
        <v>0</v>
      </c>
      <c r="O91" s="15">
        <f t="shared" si="35"/>
        <v>5</v>
      </c>
      <c r="P91" s="15">
        <f t="shared" si="36"/>
        <v>9.5</v>
      </c>
      <c r="R91" s="8"/>
      <c r="T91"/>
    </row>
    <row r="92" spans="2:20" ht="23.1" customHeight="1" x14ac:dyDescent="0.25">
      <c r="B92" s="25" t="s">
        <v>132</v>
      </c>
      <c r="C92" s="49">
        <f>'Avg Week MUKONO-KATOSI'!C92+'Avg Week KATOSI-MUKONO'!C92</f>
        <v>1.5</v>
      </c>
      <c r="D92" s="49">
        <f>'Avg Week MUKONO-KATOSI'!D92+'Avg Week KATOSI-MUKONO'!D92</f>
        <v>0.5</v>
      </c>
      <c r="E92" s="49">
        <f>'Avg Week MUKONO-KATOSI'!E92+'Avg Week KATOSI-MUKONO'!E92</f>
        <v>0.5</v>
      </c>
      <c r="F92" s="49">
        <f>'Avg Week MUKONO-KATOSI'!F92+'Avg Week KATOSI-MUKONO'!F92</f>
        <v>0.5</v>
      </c>
      <c r="G92" s="49">
        <f>'Avg Week MUKONO-KATOSI'!G92+'Avg Week KATOSI-MUKONO'!G92</f>
        <v>0</v>
      </c>
      <c r="H92" s="49">
        <f>'Avg Week MUKONO-KATOSI'!H92+'Avg Week KATOSI-MUKONO'!H92</f>
        <v>0</v>
      </c>
      <c r="I92" s="49">
        <f>'Avg Week MUKONO-KATOSI'!I92+'Avg Week KATOSI-MUKONO'!I92</f>
        <v>0.5</v>
      </c>
      <c r="J92" s="49">
        <f>'Avg Week MUKONO-KATOSI'!J92+'Avg Week KATOSI-MUKONO'!J92</f>
        <v>0</v>
      </c>
      <c r="K92" s="49">
        <f>'Avg Week MUKONO-KATOSI'!K92+'Avg Week KATOSI-MUKONO'!K92</f>
        <v>0.5</v>
      </c>
      <c r="L92" s="49">
        <f>'Avg Week MUKONO-KATOSI'!L92+'Avg Week KATOSI-MUKONO'!L92</f>
        <v>0</v>
      </c>
      <c r="M92" s="49">
        <f>'Avg Week MUKONO-KATOSI'!M92+'Avg Week KATOSI-MUKONO'!M92</f>
        <v>11</v>
      </c>
      <c r="N92" s="49">
        <f>'Avg Week MUKONO-KATOSI'!N92+'Avg Week KATOSI-MUKONO'!N92</f>
        <v>0</v>
      </c>
      <c r="O92" s="15">
        <f t="shared" si="35"/>
        <v>4</v>
      </c>
      <c r="P92" s="15">
        <f t="shared" si="36"/>
        <v>15</v>
      </c>
      <c r="R92" s="8"/>
      <c r="T92"/>
    </row>
    <row r="93" spans="2:20" ht="23.1" customHeight="1" x14ac:dyDescent="0.25">
      <c r="B93" s="23" t="s">
        <v>133</v>
      </c>
      <c r="C93" s="49">
        <f>'Avg Week MUKONO-KATOSI'!C93+'Avg Week KATOSI-MUKONO'!C93</f>
        <v>1</v>
      </c>
      <c r="D93" s="49">
        <f>'Avg Week MUKONO-KATOSI'!D93+'Avg Week KATOSI-MUKONO'!D93</f>
        <v>0</v>
      </c>
      <c r="E93" s="49">
        <f>'Avg Week MUKONO-KATOSI'!E93+'Avg Week KATOSI-MUKONO'!E93</f>
        <v>0</v>
      </c>
      <c r="F93" s="49">
        <f>'Avg Week MUKONO-KATOSI'!F93+'Avg Week KATOSI-MUKONO'!F93</f>
        <v>1</v>
      </c>
      <c r="G93" s="49">
        <f>'Avg Week MUKONO-KATOSI'!G93+'Avg Week KATOSI-MUKONO'!G93</f>
        <v>0</v>
      </c>
      <c r="H93" s="49">
        <f>'Avg Week MUKONO-KATOSI'!H93+'Avg Week KATOSI-MUKONO'!H93</f>
        <v>0</v>
      </c>
      <c r="I93" s="49">
        <f>'Avg Week MUKONO-KATOSI'!I93+'Avg Week KATOSI-MUKONO'!I93</f>
        <v>0.5</v>
      </c>
      <c r="J93" s="49">
        <f>'Avg Week MUKONO-KATOSI'!J93+'Avg Week KATOSI-MUKONO'!J93</f>
        <v>0</v>
      </c>
      <c r="K93" s="49">
        <f>'Avg Week MUKONO-KATOSI'!K93+'Avg Week KATOSI-MUKONO'!K93</f>
        <v>0</v>
      </c>
      <c r="L93" s="49">
        <f>'Avg Week MUKONO-KATOSI'!L93+'Avg Week KATOSI-MUKONO'!L93</f>
        <v>0</v>
      </c>
      <c r="M93" s="49">
        <f>'Avg Week MUKONO-KATOSI'!M93+'Avg Week KATOSI-MUKONO'!M93</f>
        <v>7</v>
      </c>
      <c r="N93" s="49">
        <f>'Avg Week MUKONO-KATOSI'!N93+'Avg Week KATOSI-MUKONO'!N93</f>
        <v>0</v>
      </c>
      <c r="O93" s="15">
        <f t="shared" si="35"/>
        <v>2.5</v>
      </c>
      <c r="P93" s="15">
        <f t="shared" si="36"/>
        <v>9.5</v>
      </c>
      <c r="R93" s="8"/>
      <c r="T93"/>
    </row>
    <row r="94" spans="2:20" ht="23.1" customHeight="1" x14ac:dyDescent="0.25">
      <c r="B94" s="24" t="s">
        <v>134</v>
      </c>
      <c r="C94" s="49">
        <f>'Avg Week MUKONO-KATOSI'!C94+'Avg Week KATOSI-MUKONO'!C94</f>
        <v>3</v>
      </c>
      <c r="D94" s="49">
        <f>'Avg Week MUKONO-KATOSI'!D94+'Avg Week KATOSI-MUKONO'!D94</f>
        <v>0</v>
      </c>
      <c r="E94" s="49">
        <f>'Avg Week MUKONO-KATOSI'!E94+'Avg Week KATOSI-MUKONO'!E94</f>
        <v>0</v>
      </c>
      <c r="F94" s="49">
        <f>'Avg Week MUKONO-KATOSI'!F94+'Avg Week KATOSI-MUKONO'!F94</f>
        <v>4</v>
      </c>
      <c r="G94" s="49">
        <f>'Avg Week MUKONO-KATOSI'!G94+'Avg Week KATOSI-MUKONO'!G94</f>
        <v>0</v>
      </c>
      <c r="H94" s="49">
        <f>'Avg Week MUKONO-KATOSI'!H94+'Avg Week KATOSI-MUKONO'!H94</f>
        <v>0</v>
      </c>
      <c r="I94" s="49">
        <f>'Avg Week MUKONO-KATOSI'!I94+'Avg Week KATOSI-MUKONO'!I94</f>
        <v>0.5</v>
      </c>
      <c r="J94" s="49">
        <f>'Avg Week MUKONO-KATOSI'!J94+'Avg Week KATOSI-MUKONO'!J94</f>
        <v>0</v>
      </c>
      <c r="K94" s="49">
        <f>'Avg Week MUKONO-KATOSI'!K94+'Avg Week KATOSI-MUKONO'!K94</f>
        <v>0</v>
      </c>
      <c r="L94" s="49">
        <f>'Avg Week MUKONO-KATOSI'!L94+'Avg Week KATOSI-MUKONO'!L94</f>
        <v>0</v>
      </c>
      <c r="M94" s="49">
        <f>'Avg Week MUKONO-KATOSI'!M94+'Avg Week KATOSI-MUKONO'!M94</f>
        <v>10</v>
      </c>
      <c r="N94" s="49">
        <f>'Avg Week MUKONO-KATOSI'!N94+'Avg Week KATOSI-MUKONO'!N94</f>
        <v>0</v>
      </c>
      <c r="O94" s="15">
        <f t="shared" si="35"/>
        <v>7.5</v>
      </c>
      <c r="P94" s="15">
        <f t="shared" si="36"/>
        <v>17.5</v>
      </c>
      <c r="R94" s="8"/>
      <c r="T94"/>
    </row>
    <row r="95" spans="2:20" ht="23.1" customHeight="1" x14ac:dyDescent="0.25">
      <c r="B95" s="23" t="s">
        <v>135</v>
      </c>
      <c r="C95" s="49">
        <f>'Avg Week MUKONO-KATOSI'!C95+'Avg Week KATOSI-MUKONO'!C95</f>
        <v>1</v>
      </c>
      <c r="D95" s="49">
        <f>'Avg Week MUKONO-KATOSI'!D95+'Avg Week KATOSI-MUKONO'!D95</f>
        <v>1</v>
      </c>
      <c r="E95" s="49">
        <f>'Avg Week MUKONO-KATOSI'!E95+'Avg Week KATOSI-MUKONO'!E95</f>
        <v>1</v>
      </c>
      <c r="F95" s="49">
        <f>'Avg Week MUKONO-KATOSI'!F95+'Avg Week KATOSI-MUKONO'!F95</f>
        <v>0.5</v>
      </c>
      <c r="G95" s="49">
        <f>'Avg Week MUKONO-KATOSI'!G95+'Avg Week KATOSI-MUKONO'!G95</f>
        <v>0</v>
      </c>
      <c r="H95" s="49">
        <f>'Avg Week MUKONO-KATOSI'!H95+'Avg Week KATOSI-MUKONO'!H95</f>
        <v>0</v>
      </c>
      <c r="I95" s="49">
        <f>'Avg Week MUKONO-KATOSI'!I95+'Avg Week KATOSI-MUKONO'!I95</f>
        <v>1</v>
      </c>
      <c r="J95" s="49">
        <f>'Avg Week MUKONO-KATOSI'!J95+'Avg Week KATOSI-MUKONO'!J95</f>
        <v>0</v>
      </c>
      <c r="K95" s="49">
        <f>'Avg Week MUKONO-KATOSI'!K95+'Avg Week KATOSI-MUKONO'!K95</f>
        <v>0</v>
      </c>
      <c r="L95" s="49">
        <f>'Avg Week MUKONO-KATOSI'!L95+'Avg Week KATOSI-MUKONO'!L95</f>
        <v>0</v>
      </c>
      <c r="M95" s="49">
        <f>'Avg Week MUKONO-KATOSI'!M95+'Avg Week KATOSI-MUKONO'!M95</f>
        <v>14.5</v>
      </c>
      <c r="N95" s="49">
        <f>'Avg Week MUKONO-KATOSI'!N95+'Avg Week KATOSI-MUKONO'!N95</f>
        <v>0</v>
      </c>
      <c r="O95" s="15">
        <f t="shared" si="35"/>
        <v>4.5</v>
      </c>
      <c r="P95" s="15">
        <f t="shared" si="36"/>
        <v>19</v>
      </c>
      <c r="R95" s="8"/>
      <c r="T95"/>
    </row>
    <row r="96" spans="2:20" ht="23.1" customHeight="1" x14ac:dyDescent="0.25">
      <c r="B96" s="25" t="s">
        <v>136</v>
      </c>
      <c r="C96" s="49">
        <f>'Avg Week MUKONO-KATOSI'!C96+'Avg Week KATOSI-MUKONO'!C96</f>
        <v>6</v>
      </c>
      <c r="D96" s="49">
        <f>'Avg Week MUKONO-KATOSI'!D96+'Avg Week KATOSI-MUKONO'!D96</f>
        <v>0.5</v>
      </c>
      <c r="E96" s="49">
        <f>'Avg Week MUKONO-KATOSI'!E96+'Avg Week KATOSI-MUKONO'!E96</f>
        <v>0</v>
      </c>
      <c r="F96" s="49">
        <f>'Avg Week MUKONO-KATOSI'!F96+'Avg Week KATOSI-MUKONO'!F96</f>
        <v>9</v>
      </c>
      <c r="G96" s="49">
        <f>'Avg Week MUKONO-KATOSI'!G96+'Avg Week KATOSI-MUKONO'!G96</f>
        <v>0</v>
      </c>
      <c r="H96" s="49">
        <f>'Avg Week MUKONO-KATOSI'!H96+'Avg Week KATOSI-MUKONO'!H96</f>
        <v>0</v>
      </c>
      <c r="I96" s="49">
        <f>'Avg Week MUKONO-KATOSI'!I96+'Avg Week KATOSI-MUKONO'!I96</f>
        <v>0.5</v>
      </c>
      <c r="J96" s="49">
        <f>'Avg Week MUKONO-KATOSI'!J96+'Avg Week KATOSI-MUKONO'!J96</f>
        <v>0</v>
      </c>
      <c r="K96" s="49">
        <f>'Avg Week MUKONO-KATOSI'!K96+'Avg Week KATOSI-MUKONO'!K96</f>
        <v>0</v>
      </c>
      <c r="L96" s="49">
        <f>'Avg Week MUKONO-KATOSI'!L96+'Avg Week KATOSI-MUKONO'!L96</f>
        <v>0</v>
      </c>
      <c r="M96" s="49">
        <f>'Avg Week MUKONO-KATOSI'!M96+'Avg Week KATOSI-MUKONO'!M96</f>
        <v>13.5</v>
      </c>
      <c r="N96" s="49">
        <f>'Avg Week MUKONO-KATOSI'!N96+'Avg Week KATOSI-MUKONO'!N96</f>
        <v>0</v>
      </c>
      <c r="O96" s="15">
        <f t="shared" si="35"/>
        <v>16</v>
      </c>
      <c r="P96" s="15">
        <f t="shared" si="36"/>
        <v>29.5</v>
      </c>
      <c r="R96" s="8"/>
      <c r="T96"/>
    </row>
    <row r="97" spans="2:20" ht="23.1" customHeight="1" x14ac:dyDescent="0.25">
      <c r="B97" s="23" t="s">
        <v>137</v>
      </c>
      <c r="C97" s="49">
        <f>'Avg Week MUKONO-KATOSI'!C97+'Avg Week KATOSI-MUKONO'!C97</f>
        <v>2</v>
      </c>
      <c r="D97" s="49">
        <f>'Avg Week MUKONO-KATOSI'!D97+'Avg Week KATOSI-MUKONO'!D97</f>
        <v>0</v>
      </c>
      <c r="E97" s="49">
        <f>'Avg Week MUKONO-KATOSI'!E97+'Avg Week KATOSI-MUKONO'!E97</f>
        <v>0.5</v>
      </c>
      <c r="F97" s="49">
        <f>'Avg Week MUKONO-KATOSI'!F97+'Avg Week KATOSI-MUKONO'!F97</f>
        <v>7.5</v>
      </c>
      <c r="G97" s="49">
        <f>'Avg Week MUKONO-KATOSI'!G97+'Avg Week KATOSI-MUKONO'!G97</f>
        <v>0.5</v>
      </c>
      <c r="H97" s="49">
        <f>'Avg Week MUKONO-KATOSI'!H97+'Avg Week KATOSI-MUKONO'!H97</f>
        <v>0</v>
      </c>
      <c r="I97" s="49">
        <f>'Avg Week MUKONO-KATOSI'!I97+'Avg Week KATOSI-MUKONO'!I97</f>
        <v>2</v>
      </c>
      <c r="J97" s="49">
        <f>'Avg Week MUKONO-KATOSI'!J97+'Avg Week KATOSI-MUKONO'!J97</f>
        <v>0</v>
      </c>
      <c r="K97" s="49">
        <f>'Avg Week MUKONO-KATOSI'!K97+'Avg Week KATOSI-MUKONO'!K97</f>
        <v>0</v>
      </c>
      <c r="L97" s="49">
        <f>'Avg Week MUKONO-KATOSI'!L97+'Avg Week KATOSI-MUKONO'!L97</f>
        <v>0.5</v>
      </c>
      <c r="M97" s="49">
        <f>'Avg Week MUKONO-KATOSI'!M97+'Avg Week KATOSI-MUKONO'!M97</f>
        <v>13.5</v>
      </c>
      <c r="N97" s="49">
        <f>'Avg Week MUKONO-KATOSI'!N97+'Avg Week KATOSI-MUKONO'!N97</f>
        <v>0</v>
      </c>
      <c r="O97" s="15">
        <f t="shared" si="35"/>
        <v>13</v>
      </c>
      <c r="P97" s="15">
        <f t="shared" si="36"/>
        <v>26.5</v>
      </c>
      <c r="R97" s="8"/>
      <c r="T97"/>
    </row>
    <row r="98" spans="2:20" ht="23.1" customHeight="1" x14ac:dyDescent="0.25">
      <c r="B98" s="24" t="s">
        <v>138</v>
      </c>
      <c r="C98" s="49">
        <f>'Avg Week MUKONO-KATOSI'!C98+'Avg Week KATOSI-MUKONO'!C98</f>
        <v>2.5</v>
      </c>
      <c r="D98" s="49">
        <f>'Avg Week MUKONO-KATOSI'!D98+'Avg Week KATOSI-MUKONO'!D98</f>
        <v>3.5</v>
      </c>
      <c r="E98" s="49">
        <f>'Avg Week MUKONO-KATOSI'!E98+'Avg Week KATOSI-MUKONO'!E98</f>
        <v>1.5</v>
      </c>
      <c r="F98" s="49">
        <f>'Avg Week MUKONO-KATOSI'!F98+'Avg Week KATOSI-MUKONO'!F98</f>
        <v>11</v>
      </c>
      <c r="G98" s="49">
        <f>'Avg Week MUKONO-KATOSI'!G98+'Avg Week KATOSI-MUKONO'!G98</f>
        <v>0</v>
      </c>
      <c r="H98" s="49">
        <f>'Avg Week MUKONO-KATOSI'!H98+'Avg Week KATOSI-MUKONO'!H98</f>
        <v>0</v>
      </c>
      <c r="I98" s="49">
        <f>'Avg Week MUKONO-KATOSI'!I98+'Avg Week KATOSI-MUKONO'!I98</f>
        <v>2.5</v>
      </c>
      <c r="J98" s="49">
        <f>'Avg Week MUKONO-KATOSI'!J98+'Avg Week KATOSI-MUKONO'!J98</f>
        <v>1.5</v>
      </c>
      <c r="K98" s="49">
        <f>'Avg Week MUKONO-KATOSI'!K98+'Avg Week KATOSI-MUKONO'!K98</f>
        <v>0</v>
      </c>
      <c r="L98" s="49">
        <f>'Avg Week MUKONO-KATOSI'!L98+'Avg Week KATOSI-MUKONO'!L98</f>
        <v>0</v>
      </c>
      <c r="M98" s="49">
        <f>'Avg Week MUKONO-KATOSI'!M98+'Avg Week KATOSI-MUKONO'!M98</f>
        <v>24</v>
      </c>
      <c r="N98" s="49">
        <f>'Avg Week MUKONO-KATOSI'!N98+'Avg Week KATOSI-MUKONO'!N98</f>
        <v>0</v>
      </c>
      <c r="O98" s="15">
        <f t="shared" si="35"/>
        <v>22.5</v>
      </c>
      <c r="P98" s="15">
        <f t="shared" si="36"/>
        <v>46.5</v>
      </c>
      <c r="R98" s="8"/>
      <c r="T98"/>
    </row>
    <row r="99" spans="2:20" ht="23.1" customHeight="1" x14ac:dyDescent="0.25">
      <c r="B99" s="23" t="s">
        <v>139</v>
      </c>
      <c r="C99" s="49">
        <f>'Avg Week MUKONO-KATOSI'!C99+'Avg Week KATOSI-MUKONO'!C99</f>
        <v>1</v>
      </c>
      <c r="D99" s="49">
        <f>'Avg Week MUKONO-KATOSI'!D99+'Avg Week KATOSI-MUKONO'!D99</f>
        <v>0.5</v>
      </c>
      <c r="E99" s="49">
        <f>'Avg Week MUKONO-KATOSI'!E99+'Avg Week KATOSI-MUKONO'!E99</f>
        <v>2</v>
      </c>
      <c r="F99" s="49">
        <f>'Avg Week MUKONO-KATOSI'!F99+'Avg Week KATOSI-MUKONO'!F99</f>
        <v>6.5</v>
      </c>
      <c r="G99" s="49">
        <f>'Avg Week MUKONO-KATOSI'!G99+'Avg Week KATOSI-MUKONO'!G99</f>
        <v>0</v>
      </c>
      <c r="H99" s="49">
        <f>'Avg Week MUKONO-KATOSI'!H99+'Avg Week KATOSI-MUKONO'!H99</f>
        <v>0</v>
      </c>
      <c r="I99" s="49">
        <f>'Avg Week MUKONO-KATOSI'!I99+'Avg Week KATOSI-MUKONO'!I99</f>
        <v>0.5</v>
      </c>
      <c r="J99" s="49">
        <f>'Avg Week MUKONO-KATOSI'!J99+'Avg Week KATOSI-MUKONO'!J99</f>
        <v>1</v>
      </c>
      <c r="K99" s="49">
        <f>'Avg Week MUKONO-KATOSI'!K99+'Avg Week KATOSI-MUKONO'!K99</f>
        <v>0</v>
      </c>
      <c r="L99" s="49">
        <f>'Avg Week MUKONO-KATOSI'!L99+'Avg Week KATOSI-MUKONO'!L99</f>
        <v>0</v>
      </c>
      <c r="M99" s="49">
        <f>'Avg Week MUKONO-KATOSI'!M99+'Avg Week KATOSI-MUKONO'!M99</f>
        <v>25</v>
      </c>
      <c r="N99" s="49">
        <f>'Avg Week MUKONO-KATOSI'!N99+'Avg Week KATOSI-MUKONO'!N99</f>
        <v>0</v>
      </c>
      <c r="O99" s="15">
        <f t="shared" si="35"/>
        <v>11.5</v>
      </c>
      <c r="P99" s="15">
        <f t="shared" si="36"/>
        <v>36.5</v>
      </c>
      <c r="R99" s="8"/>
      <c r="T99"/>
    </row>
    <row r="100" spans="2:20" ht="23.1" customHeight="1" x14ac:dyDescent="0.25">
      <c r="B100" s="25" t="s">
        <v>140</v>
      </c>
      <c r="C100" s="49">
        <f>'Avg Week MUKONO-KATOSI'!C100+'Avg Week KATOSI-MUKONO'!C100</f>
        <v>7.5</v>
      </c>
      <c r="D100" s="49">
        <f>'Avg Week MUKONO-KATOSI'!D100+'Avg Week KATOSI-MUKONO'!D100</f>
        <v>2.5</v>
      </c>
      <c r="E100" s="49">
        <f>'Avg Week MUKONO-KATOSI'!E100+'Avg Week KATOSI-MUKONO'!E100</f>
        <v>2.5</v>
      </c>
      <c r="F100" s="49">
        <f>'Avg Week MUKONO-KATOSI'!F100+'Avg Week KATOSI-MUKONO'!F100</f>
        <v>12.5</v>
      </c>
      <c r="G100" s="49">
        <f>'Avg Week MUKONO-KATOSI'!G100+'Avg Week KATOSI-MUKONO'!G100</f>
        <v>1.5</v>
      </c>
      <c r="H100" s="49">
        <f>'Avg Week MUKONO-KATOSI'!H100+'Avg Week KATOSI-MUKONO'!H100</f>
        <v>0</v>
      </c>
      <c r="I100" s="49">
        <f>'Avg Week MUKONO-KATOSI'!I100+'Avg Week KATOSI-MUKONO'!I100</f>
        <v>6.5</v>
      </c>
      <c r="J100" s="49">
        <f>'Avg Week MUKONO-KATOSI'!J100+'Avg Week KATOSI-MUKONO'!J100</f>
        <v>1.5</v>
      </c>
      <c r="K100" s="49">
        <f>'Avg Week MUKONO-KATOSI'!K100+'Avg Week KATOSI-MUKONO'!K100</f>
        <v>0</v>
      </c>
      <c r="L100" s="49">
        <f>'Avg Week MUKONO-KATOSI'!L100+'Avg Week KATOSI-MUKONO'!L100</f>
        <v>0</v>
      </c>
      <c r="M100" s="49">
        <f>'Avg Week MUKONO-KATOSI'!M100+'Avg Week KATOSI-MUKONO'!M100</f>
        <v>32.5</v>
      </c>
      <c r="N100" s="49">
        <f>'Avg Week MUKONO-KATOSI'!N100+'Avg Week KATOSI-MUKONO'!N100</f>
        <v>0</v>
      </c>
      <c r="O100" s="15">
        <f t="shared" si="35"/>
        <v>34.5</v>
      </c>
      <c r="P100" s="15">
        <f t="shared" si="36"/>
        <v>67</v>
      </c>
      <c r="R100" s="8"/>
      <c r="T100"/>
    </row>
    <row r="101" spans="2:20" ht="23.1" customHeight="1" x14ac:dyDescent="0.25">
      <c r="B101" s="23" t="s">
        <v>141</v>
      </c>
      <c r="C101" s="49">
        <f>'Avg Week MUKONO-KATOSI'!C101+'Avg Week KATOSI-MUKONO'!C101</f>
        <v>1.5</v>
      </c>
      <c r="D101" s="49">
        <f>'Avg Week MUKONO-KATOSI'!D101+'Avg Week KATOSI-MUKONO'!D101</f>
        <v>0.5</v>
      </c>
      <c r="E101" s="49">
        <f>'Avg Week MUKONO-KATOSI'!E101+'Avg Week KATOSI-MUKONO'!E101</f>
        <v>0.5</v>
      </c>
      <c r="F101" s="49">
        <f>'Avg Week MUKONO-KATOSI'!F101+'Avg Week KATOSI-MUKONO'!F101</f>
        <v>12</v>
      </c>
      <c r="G101" s="49">
        <f>'Avg Week MUKONO-KATOSI'!G101+'Avg Week KATOSI-MUKONO'!G101</f>
        <v>0</v>
      </c>
      <c r="H101" s="49">
        <f>'Avg Week MUKONO-KATOSI'!H101+'Avg Week KATOSI-MUKONO'!H101</f>
        <v>0</v>
      </c>
      <c r="I101" s="49">
        <f>'Avg Week MUKONO-KATOSI'!I101+'Avg Week KATOSI-MUKONO'!I101</f>
        <v>3</v>
      </c>
      <c r="J101" s="49">
        <f>'Avg Week MUKONO-KATOSI'!J101+'Avg Week KATOSI-MUKONO'!J101</f>
        <v>1.5</v>
      </c>
      <c r="K101" s="49">
        <f>'Avg Week MUKONO-KATOSI'!K101+'Avg Week KATOSI-MUKONO'!K101</f>
        <v>0</v>
      </c>
      <c r="L101" s="49">
        <f>'Avg Week MUKONO-KATOSI'!L101+'Avg Week KATOSI-MUKONO'!L101</f>
        <v>0</v>
      </c>
      <c r="M101" s="49">
        <f>'Avg Week MUKONO-KATOSI'!M101+'Avg Week KATOSI-MUKONO'!M101</f>
        <v>43.5</v>
      </c>
      <c r="N101" s="49">
        <f>'Avg Week MUKONO-KATOSI'!N101+'Avg Week KATOSI-MUKONO'!N101</f>
        <v>0</v>
      </c>
      <c r="O101" s="15">
        <f t="shared" si="35"/>
        <v>19</v>
      </c>
      <c r="P101" s="15">
        <f t="shared" si="36"/>
        <v>62.5</v>
      </c>
      <c r="R101" s="8"/>
      <c r="T101"/>
    </row>
    <row r="102" spans="2:20" ht="23.1" customHeight="1" x14ac:dyDescent="0.25">
      <c r="B102" s="24" t="s">
        <v>142</v>
      </c>
      <c r="C102" s="49">
        <f>'Avg Week MUKONO-KATOSI'!C102+'Avg Week KATOSI-MUKONO'!C102</f>
        <v>8</v>
      </c>
      <c r="D102" s="49">
        <f>'Avg Week MUKONO-KATOSI'!D102+'Avg Week KATOSI-MUKONO'!D102</f>
        <v>4</v>
      </c>
      <c r="E102" s="49">
        <f>'Avg Week MUKONO-KATOSI'!E102+'Avg Week KATOSI-MUKONO'!E102</f>
        <v>1</v>
      </c>
      <c r="F102" s="49">
        <f>'Avg Week MUKONO-KATOSI'!F102+'Avg Week KATOSI-MUKONO'!F102</f>
        <v>15</v>
      </c>
      <c r="G102" s="49">
        <f>'Avg Week MUKONO-KATOSI'!G102+'Avg Week KATOSI-MUKONO'!G102</f>
        <v>2.5</v>
      </c>
      <c r="H102" s="49">
        <f>'Avg Week MUKONO-KATOSI'!H102+'Avg Week KATOSI-MUKONO'!H102</f>
        <v>0</v>
      </c>
      <c r="I102" s="49">
        <f>'Avg Week MUKONO-KATOSI'!I102+'Avg Week KATOSI-MUKONO'!I102</f>
        <v>4</v>
      </c>
      <c r="J102" s="49">
        <f>'Avg Week MUKONO-KATOSI'!J102+'Avg Week KATOSI-MUKONO'!J102</f>
        <v>2</v>
      </c>
      <c r="K102" s="49">
        <f>'Avg Week MUKONO-KATOSI'!K102+'Avg Week KATOSI-MUKONO'!K102</f>
        <v>1</v>
      </c>
      <c r="L102" s="49">
        <f>'Avg Week MUKONO-KATOSI'!L102+'Avg Week KATOSI-MUKONO'!L102</f>
        <v>0</v>
      </c>
      <c r="M102" s="49">
        <f>'Avg Week MUKONO-KATOSI'!M102+'Avg Week KATOSI-MUKONO'!M102</f>
        <v>56</v>
      </c>
      <c r="N102" s="49">
        <f>'Avg Week MUKONO-KATOSI'!N102+'Avg Week KATOSI-MUKONO'!N102</f>
        <v>0</v>
      </c>
      <c r="O102" s="15">
        <f t="shared" si="35"/>
        <v>37.5</v>
      </c>
      <c r="P102" s="15">
        <f t="shared" si="36"/>
        <v>93.5</v>
      </c>
      <c r="R102" s="8"/>
      <c r="T102"/>
    </row>
    <row r="103" spans="2:20" ht="23.1" customHeight="1" x14ac:dyDescent="0.25">
      <c r="B103" s="23" t="s">
        <v>143</v>
      </c>
      <c r="C103" s="49">
        <f>'Avg Week MUKONO-KATOSI'!C103+'Avg Week KATOSI-MUKONO'!C103</f>
        <v>8.5</v>
      </c>
      <c r="D103" s="49">
        <f>'Avg Week MUKONO-KATOSI'!D103+'Avg Week KATOSI-MUKONO'!D103</f>
        <v>1.5</v>
      </c>
      <c r="E103" s="49">
        <f>'Avg Week MUKONO-KATOSI'!E103+'Avg Week KATOSI-MUKONO'!E103</f>
        <v>1.5</v>
      </c>
      <c r="F103" s="49">
        <f>'Avg Week MUKONO-KATOSI'!F103+'Avg Week KATOSI-MUKONO'!F103</f>
        <v>10.5</v>
      </c>
      <c r="G103" s="49">
        <f>'Avg Week MUKONO-KATOSI'!G103+'Avg Week KATOSI-MUKONO'!G103</f>
        <v>3.5</v>
      </c>
      <c r="H103" s="49">
        <f>'Avg Week MUKONO-KATOSI'!H103+'Avg Week KATOSI-MUKONO'!H103</f>
        <v>0</v>
      </c>
      <c r="I103" s="49">
        <f>'Avg Week MUKONO-KATOSI'!I103+'Avg Week KATOSI-MUKONO'!I103</f>
        <v>2</v>
      </c>
      <c r="J103" s="49">
        <f>'Avg Week MUKONO-KATOSI'!J103+'Avg Week KATOSI-MUKONO'!J103</f>
        <v>1.5</v>
      </c>
      <c r="K103" s="49">
        <f>'Avg Week MUKONO-KATOSI'!K103+'Avg Week KATOSI-MUKONO'!K103</f>
        <v>0</v>
      </c>
      <c r="L103" s="49">
        <f>'Avg Week MUKONO-KATOSI'!L103+'Avg Week KATOSI-MUKONO'!L103</f>
        <v>1</v>
      </c>
      <c r="M103" s="49">
        <f>'Avg Week MUKONO-KATOSI'!M103+'Avg Week KATOSI-MUKONO'!M103</f>
        <v>71</v>
      </c>
      <c r="N103" s="49">
        <f>'Avg Week MUKONO-KATOSI'!N103+'Avg Week KATOSI-MUKONO'!N103</f>
        <v>0</v>
      </c>
      <c r="O103" s="15">
        <f t="shared" si="35"/>
        <v>30</v>
      </c>
      <c r="P103" s="15">
        <f t="shared" si="36"/>
        <v>101</v>
      </c>
      <c r="R103" s="8"/>
      <c r="T103"/>
    </row>
    <row r="104" spans="2:20" ht="23.1" customHeight="1" x14ac:dyDescent="0.25">
      <c r="B104" s="25" t="s">
        <v>144</v>
      </c>
      <c r="C104" s="49">
        <f>'Avg Week MUKONO-KATOSI'!C104+'Avg Week KATOSI-MUKONO'!C104</f>
        <v>7</v>
      </c>
      <c r="D104" s="49">
        <f>'Avg Week MUKONO-KATOSI'!D104+'Avg Week KATOSI-MUKONO'!D104</f>
        <v>4.5</v>
      </c>
      <c r="E104" s="49">
        <f>'Avg Week MUKONO-KATOSI'!E104+'Avg Week KATOSI-MUKONO'!E104</f>
        <v>1.5</v>
      </c>
      <c r="F104" s="49">
        <f>'Avg Week MUKONO-KATOSI'!F104+'Avg Week KATOSI-MUKONO'!F104</f>
        <v>16</v>
      </c>
      <c r="G104" s="49">
        <f>'Avg Week MUKONO-KATOSI'!G104+'Avg Week KATOSI-MUKONO'!G104</f>
        <v>1.5</v>
      </c>
      <c r="H104" s="49">
        <f>'Avg Week MUKONO-KATOSI'!H104+'Avg Week KATOSI-MUKONO'!H104</f>
        <v>0</v>
      </c>
      <c r="I104" s="49">
        <f>'Avg Week MUKONO-KATOSI'!I104+'Avg Week KATOSI-MUKONO'!I104</f>
        <v>3.5</v>
      </c>
      <c r="J104" s="49">
        <f>'Avg Week MUKONO-KATOSI'!J104+'Avg Week KATOSI-MUKONO'!J104</f>
        <v>1</v>
      </c>
      <c r="K104" s="49">
        <f>'Avg Week MUKONO-KATOSI'!K104+'Avg Week KATOSI-MUKONO'!K104</f>
        <v>1</v>
      </c>
      <c r="L104" s="49">
        <f>'Avg Week MUKONO-KATOSI'!L104+'Avg Week KATOSI-MUKONO'!L104</f>
        <v>0</v>
      </c>
      <c r="M104" s="49">
        <f>'Avg Week MUKONO-KATOSI'!M104+'Avg Week KATOSI-MUKONO'!M104</f>
        <v>71.5</v>
      </c>
      <c r="N104" s="49">
        <f>'Avg Week MUKONO-KATOSI'!N104+'Avg Week KATOSI-MUKONO'!N104</f>
        <v>0</v>
      </c>
      <c r="O104" s="15">
        <f t="shared" si="35"/>
        <v>36</v>
      </c>
      <c r="P104" s="15">
        <f t="shared" si="36"/>
        <v>107.5</v>
      </c>
      <c r="R104" s="8"/>
      <c r="T104"/>
    </row>
    <row r="105" spans="2:20" ht="23.1" customHeight="1" x14ac:dyDescent="0.25">
      <c r="B105" s="23" t="s">
        <v>145</v>
      </c>
      <c r="C105" s="49">
        <f>'Avg Week MUKONO-KATOSI'!C105+'Avg Week KATOSI-MUKONO'!C105</f>
        <v>7</v>
      </c>
      <c r="D105" s="49">
        <f>'Avg Week MUKONO-KATOSI'!D105+'Avg Week KATOSI-MUKONO'!D105</f>
        <v>4</v>
      </c>
      <c r="E105" s="49">
        <f>'Avg Week MUKONO-KATOSI'!E105+'Avg Week KATOSI-MUKONO'!E105</f>
        <v>3.5</v>
      </c>
      <c r="F105" s="49">
        <f>'Avg Week MUKONO-KATOSI'!F105+'Avg Week KATOSI-MUKONO'!F105</f>
        <v>11.5</v>
      </c>
      <c r="G105" s="49">
        <f>'Avg Week MUKONO-KATOSI'!G105+'Avg Week KATOSI-MUKONO'!G105</f>
        <v>2</v>
      </c>
      <c r="H105" s="49">
        <f>'Avg Week MUKONO-KATOSI'!H105+'Avg Week KATOSI-MUKONO'!H105</f>
        <v>0</v>
      </c>
      <c r="I105" s="49">
        <f>'Avg Week MUKONO-KATOSI'!I105+'Avg Week KATOSI-MUKONO'!I105</f>
        <v>4</v>
      </c>
      <c r="J105" s="49">
        <f>'Avg Week MUKONO-KATOSI'!J105+'Avg Week KATOSI-MUKONO'!J105</f>
        <v>2.5</v>
      </c>
      <c r="K105" s="49">
        <f>'Avg Week MUKONO-KATOSI'!K105+'Avg Week KATOSI-MUKONO'!K105</f>
        <v>1.5</v>
      </c>
      <c r="L105" s="49">
        <f>'Avg Week MUKONO-KATOSI'!L105+'Avg Week KATOSI-MUKONO'!L105</f>
        <v>1</v>
      </c>
      <c r="M105" s="49">
        <f>'Avg Week MUKONO-KATOSI'!M105+'Avg Week KATOSI-MUKONO'!M105</f>
        <v>92.5</v>
      </c>
      <c r="N105" s="49">
        <f>'Avg Week MUKONO-KATOSI'!N105+'Avg Week KATOSI-MUKONO'!N105</f>
        <v>0</v>
      </c>
      <c r="O105" s="15">
        <f>SUM(C105:L105,N105)</f>
        <v>37</v>
      </c>
      <c r="P105" s="15">
        <f>SUM(C105:N105)</f>
        <v>129.5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1751.2142857142858</v>
      </c>
      <c r="D106" s="16">
        <f t="shared" ref="D106:P106" si="37">SUM(D10:D105)</f>
        <v>741.92857142857122</v>
      </c>
      <c r="E106" s="16">
        <f t="shared" si="37"/>
        <v>461.35714285714289</v>
      </c>
      <c r="F106" s="16">
        <f t="shared" si="37"/>
        <v>1160</v>
      </c>
      <c r="G106" s="16">
        <f t="shared" si="37"/>
        <v>85.071428571428584</v>
      </c>
      <c r="H106" s="16">
        <f t="shared" si="37"/>
        <v>5.4285714285714288</v>
      </c>
      <c r="I106" s="16">
        <f t="shared" si="37"/>
        <v>774.5</v>
      </c>
      <c r="J106" s="16">
        <f t="shared" si="37"/>
        <v>209.78571428571422</v>
      </c>
      <c r="K106" s="16">
        <f t="shared" si="37"/>
        <v>69.571428571428555</v>
      </c>
      <c r="L106" s="16">
        <f t="shared" si="37"/>
        <v>114.50000000000006</v>
      </c>
      <c r="M106" s="16">
        <f t="shared" si="37"/>
        <v>11695.857142857141</v>
      </c>
      <c r="N106" s="16">
        <f t="shared" si="37"/>
        <v>21.999999999999993</v>
      </c>
      <c r="O106" s="16">
        <f t="shared" si="37"/>
        <v>5395.3571428571431</v>
      </c>
      <c r="P106" s="16">
        <f t="shared" si="37"/>
        <v>17091.21428571429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0.10246283595999614</v>
      </c>
      <c r="D107" s="43">
        <f t="shared" si="38"/>
        <v>4.340993910823019E-2</v>
      </c>
      <c r="E107" s="43">
        <f t="shared" si="38"/>
        <v>2.6993818879374111E-2</v>
      </c>
      <c r="F107" s="43">
        <f t="shared" si="38"/>
        <v>6.7871128441095455E-2</v>
      </c>
      <c r="G107" s="43">
        <f t="shared" si="38"/>
        <v>4.9774947027921611E-3</v>
      </c>
      <c r="H107" s="43">
        <f t="shared" si="38"/>
        <v>3.1762350748295903E-4</v>
      </c>
      <c r="I107" s="43">
        <f t="shared" si="38"/>
        <v>4.5315680153127952E-2</v>
      </c>
      <c r="J107" s="43">
        <f t="shared" si="38"/>
        <v>1.2274476861545399E-2</v>
      </c>
      <c r="K107" s="43">
        <f t="shared" si="38"/>
        <v>4.0705960037947632E-3</v>
      </c>
      <c r="L107" s="43">
        <f t="shared" si="38"/>
        <v>6.6993484538839937E-3</v>
      </c>
      <c r="M107" s="43">
        <f t="shared" si="38"/>
        <v>0.68431984687203506</v>
      </c>
      <c r="N107" s="43">
        <f t="shared" si="38"/>
        <v>1.2872110566414651E-3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0.32457801019394983</v>
      </c>
      <c r="D108" s="44">
        <f t="shared" ref="D108:N108" si="39">D106/$O$106</f>
        <v>0.13751241146488377</v>
      </c>
      <c r="E108" s="44">
        <f t="shared" si="39"/>
        <v>8.5510028463626139E-2</v>
      </c>
      <c r="F108" s="44">
        <f t="shared" si="39"/>
        <v>0.21499966902760309</v>
      </c>
      <c r="G108" s="44">
        <f t="shared" si="39"/>
        <v>1.5767524988415969E-2</v>
      </c>
      <c r="H108" s="44">
        <f t="shared" si="39"/>
        <v>1.0061560865823791E-3</v>
      </c>
      <c r="I108" s="44">
        <f t="shared" si="39"/>
        <v>0.1435493479843781</v>
      </c>
      <c r="J108" s="44">
        <f t="shared" si="39"/>
        <v>3.8882637188058504E-2</v>
      </c>
      <c r="K108" s="44">
        <f t="shared" si="39"/>
        <v>1.2894684583305749E-2</v>
      </c>
      <c r="L108" s="44">
        <f t="shared" si="39"/>
        <v>2.1221950089362555E-2</v>
      </c>
      <c r="M108" s="44"/>
      <c r="N108" s="44">
        <f t="shared" si="39"/>
        <v>4.0775799298338501E-3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29.10-MUKONO-KATOSI</vt:lpstr>
      <vt:lpstr>29.10 KATOSI-MUKONO</vt:lpstr>
      <vt:lpstr>30.10 MUKONO-KATOSI</vt:lpstr>
      <vt:lpstr>30.10 KATOSI-MUKONO</vt:lpstr>
      <vt:lpstr>31.10 MUKONO-KATOSI</vt:lpstr>
      <vt:lpstr>31.10 KATOSI-MUKONO</vt:lpstr>
      <vt:lpstr>1.11 MUKONO-KATOSI 24hr</vt:lpstr>
      <vt:lpstr>1.11 KATOSI-MUKONO-24hr</vt:lpstr>
      <vt:lpstr>2.11 MUKONO-KATOSI 24hr</vt:lpstr>
      <vt:lpstr>2.11 KATOSI-MUKONO 24hr</vt:lpstr>
      <vt:lpstr>3.11 MUKONO-KATOSI</vt:lpstr>
      <vt:lpstr>3.11 KATOSI-MUKONO</vt:lpstr>
      <vt:lpstr>4.11 MUKONO-KATOSI</vt:lpstr>
      <vt:lpstr>4.11 KATOSI-MUKONO</vt:lpstr>
      <vt:lpstr>Avg Week MUKONO-KATOSI</vt:lpstr>
      <vt:lpstr>Avg Week KATOSI-MUKONO</vt:lpstr>
      <vt:lpstr>Avg Week MUKONO-KATOSI-2Dir</vt:lpstr>
      <vt:lpstr>'1.11 KATOSI-MUKONO-24hr'!Print_Area</vt:lpstr>
      <vt:lpstr>'1.11 MUKONO-KATOSI 24hr'!Print_Area</vt:lpstr>
      <vt:lpstr>'2.11 KATOSI-MUKONO 24hr'!Print_Area</vt:lpstr>
      <vt:lpstr>'2.11 MUKONO-KATOSI 24hr'!Print_Area</vt:lpstr>
      <vt:lpstr>'29.10 KATOSI-MUKONO'!Print_Area</vt:lpstr>
      <vt:lpstr>'29.10-MUKONO-KATOSI'!Print_Area</vt:lpstr>
      <vt:lpstr>'3.11 KATOSI-MUKONO'!Print_Area</vt:lpstr>
      <vt:lpstr>'3.11 MUKONO-KATOSI'!Print_Area</vt:lpstr>
      <vt:lpstr>'30.10 KATOSI-MUKONO'!Print_Area</vt:lpstr>
      <vt:lpstr>'30.10 MUKONO-KATOSI'!Print_Area</vt:lpstr>
      <vt:lpstr>'31.10 KATOSI-MUKONO'!Print_Area</vt:lpstr>
      <vt:lpstr>'31.10 MUKONO-KATOSI'!Print_Area</vt:lpstr>
      <vt:lpstr>'4.11 KATOSI-MUKONO'!Print_Area</vt:lpstr>
      <vt:lpstr>'4.11 MUKONO-KATOSI'!Print_Area</vt:lpstr>
      <vt:lpstr>'Avg Week KATOSI-MUKONO'!Print_Area</vt:lpstr>
      <vt:lpstr>'Avg Week MUKONO-KATOSI'!Print_Area</vt:lpstr>
      <vt:lpstr>'Avg Week MUKONO-KATOSI-2Dir'!Print_Area</vt:lpstr>
      <vt:lpstr>'1.11 KATOSI-MUKONO-24hr'!Print_Titles</vt:lpstr>
      <vt:lpstr>'1.11 MUKONO-KATOSI 24hr'!Print_Titles</vt:lpstr>
      <vt:lpstr>'2.11 KATOSI-MUKONO 24hr'!Print_Titles</vt:lpstr>
      <vt:lpstr>'2.11 MUKONO-KATOSI 24hr'!Print_Titles</vt:lpstr>
      <vt:lpstr>'29.10 KATOSI-MUKONO'!Print_Titles</vt:lpstr>
      <vt:lpstr>'29.10-MUKONO-KATOSI'!Print_Titles</vt:lpstr>
      <vt:lpstr>'3.11 KATOSI-MUKONO'!Print_Titles</vt:lpstr>
      <vt:lpstr>'3.11 MUKONO-KATOSI'!Print_Titles</vt:lpstr>
      <vt:lpstr>'30.10 KATOSI-MUKONO'!Print_Titles</vt:lpstr>
      <vt:lpstr>'30.10 MUKONO-KATOSI'!Print_Titles</vt:lpstr>
      <vt:lpstr>'31.10 KATOSI-MUKONO'!Print_Titles</vt:lpstr>
      <vt:lpstr>'31.10 MUKONO-KATOSI'!Print_Titles</vt:lpstr>
      <vt:lpstr>'4.11 KATOSI-MUKONO'!Print_Titles</vt:lpstr>
      <vt:lpstr>'4.11 MUKONO-KATOSI'!Print_Titles</vt:lpstr>
      <vt:lpstr>'Avg Week KATOSI-MUKONO'!Print_Titles</vt:lpstr>
      <vt:lpstr>'Avg Week MUKONO-KATOSI'!Print_Titles</vt:lpstr>
      <vt:lpstr>'Avg Week MUKONO-KATOSI-2Dir'!Print_Titles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2020-01-16T12:09:56Z</dcterms:modified>
</cp:coreProperties>
</file>