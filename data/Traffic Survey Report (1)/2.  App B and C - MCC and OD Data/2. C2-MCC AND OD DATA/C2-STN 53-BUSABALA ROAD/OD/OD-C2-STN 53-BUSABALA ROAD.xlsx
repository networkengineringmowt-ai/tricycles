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3-BUSABALA ROAD\OD\"/>
    </mc:Choice>
  </mc:AlternateContent>
  <xr:revisionPtr revIDLastSave="0" documentId="13_ncr:1_{2E44C617-DB36-4513-9C58-52BC4EA07A0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3" r:id="rId1"/>
    <sheet name="ALL DATA" sheetId="40" r:id="rId2"/>
    <sheet name="Zones" sheetId="41" r:id="rId3"/>
    <sheet name="Zone analysis" sheetId="42" r:id="rId4"/>
    <sheet name="11.10.BUSABALA-ENTEBBE" sheetId="3" r:id="rId5"/>
    <sheet name="RSI FORM" sheetId="4" state="hidden" r:id="rId6"/>
    <sheet name="11.10.ENTEBBE-BUSABALA" sheetId="37" r:id="rId7"/>
    <sheet name="12.10 ENTEBBE-BUSABALA" sheetId="38" r:id="rId8"/>
    <sheet name="12.10 BUSABALA-ENTEBBE" sheetId="39" r:id="rId9"/>
    <sheet name="Key" sheetId="5" r:id="rId10"/>
  </sheets>
  <externalReferences>
    <externalReference r:id="rId11"/>
    <externalReference r:id="rId12"/>
  </externalReferences>
  <definedNames>
    <definedName name="_xlnm._FilterDatabase" localSheetId="4" hidden="1">'11.10.BUSABALA-ENTEBBE'!$B$9:$AB$59</definedName>
    <definedName name="_xlnm._FilterDatabase" localSheetId="6" hidden="1">'11.10.ENTEBBE-BUSABALA'!$B$9:$AB$28</definedName>
    <definedName name="_xlnm._FilterDatabase" localSheetId="8" hidden="1">'12.10 BUSABALA-ENTEBBE'!$B$9:$AB$80</definedName>
    <definedName name="_xlnm._FilterDatabase" localSheetId="7" hidden="1">'12.10 ENTEBBE-BUSABALA'!$B$9:$AB$105</definedName>
    <definedName name="_xlnm._FilterDatabase" localSheetId="1" hidden="1">'ALL DATA'!$AB$1:$AB$250</definedName>
    <definedName name="_xlnm._FilterDatabase" localSheetId="3" hidden="1">'Zone analysis'!$A$1:$E$1532</definedName>
    <definedName name="_xlnm._FilterDatabase" localSheetId="2" hidden="1">Zones!$A$1:$N$1596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6">'11.10.ENTEBBE-BUSABALA'!$D$9:$D$28</definedName>
    <definedName name="Veh_Type" localSheetId="8">'12.10 BUSABALA-ENTEBBE'!$D$9:$D$37</definedName>
    <definedName name="Veh_Type" localSheetId="1">'ALL DATA'!$D$9:$D$33</definedName>
    <definedName name="Veh_Type" localSheetId="3">'[1]25.07 BUSEGA-NATEETE'!$D:$D</definedName>
    <definedName name="Veh_Type" localSheetId="2">'[1]25.07 BUSEGA-NATEETE'!$D:$D</definedName>
    <definedName name="Veh_Type">'11.10.BUSABALA-ENTEBBE'!$D$9:$D$33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3" l="1"/>
  <c r="X66" i="43"/>
  <c r="W66" i="43"/>
  <c r="V66" i="43"/>
  <c r="U66" i="43"/>
  <c r="T66" i="43"/>
  <c r="S66" i="43"/>
  <c r="R66" i="43"/>
  <c r="Y65" i="43"/>
  <c r="X65" i="43"/>
  <c r="W65" i="43"/>
  <c r="V65" i="43"/>
  <c r="U65" i="43"/>
  <c r="T65" i="43"/>
  <c r="S65" i="43"/>
  <c r="R65" i="43"/>
  <c r="Y64" i="43"/>
  <c r="X64" i="43"/>
  <c r="W64" i="43"/>
  <c r="V64" i="43"/>
  <c r="U64" i="43"/>
  <c r="T64" i="43"/>
  <c r="S64" i="43"/>
  <c r="R64" i="43"/>
  <c r="Y63" i="43"/>
  <c r="X63" i="43"/>
  <c r="W63" i="43"/>
  <c r="V63" i="43"/>
  <c r="U63" i="43"/>
  <c r="T63" i="43"/>
  <c r="S63" i="43"/>
  <c r="R63" i="43"/>
  <c r="Y62" i="43"/>
  <c r="X62" i="43"/>
  <c r="W62" i="43"/>
  <c r="V62" i="43"/>
  <c r="U62" i="43"/>
  <c r="T62" i="43"/>
  <c r="S62" i="43"/>
  <c r="R62" i="43"/>
  <c r="Y61" i="43"/>
  <c r="X61" i="43"/>
  <c r="W61" i="43"/>
  <c r="V61" i="43"/>
  <c r="U61" i="43"/>
  <c r="T61" i="43"/>
  <c r="S61" i="43"/>
  <c r="R61" i="43"/>
  <c r="Y60" i="43"/>
  <c r="X60" i="43"/>
  <c r="W60" i="43"/>
  <c r="V60" i="43"/>
  <c r="U60" i="43"/>
  <c r="T60" i="43"/>
  <c r="S60" i="43"/>
  <c r="R60" i="43"/>
  <c r="Y59" i="43"/>
  <c r="X59" i="43"/>
  <c r="W59" i="43"/>
  <c r="V59" i="43"/>
  <c r="V48" i="43" s="1"/>
  <c r="U59" i="43"/>
  <c r="T59" i="43"/>
  <c r="S59" i="43"/>
  <c r="R59" i="43"/>
  <c r="Y55" i="43" s="1"/>
  <c r="Y76" i="43"/>
  <c r="X76" i="43"/>
  <c r="W76" i="43"/>
  <c r="V76" i="43"/>
  <c r="U76" i="43"/>
  <c r="T76" i="43"/>
  <c r="S76" i="43"/>
  <c r="R76" i="43"/>
  <c r="Y75" i="43"/>
  <c r="X75" i="43"/>
  <c r="W75" i="43"/>
  <c r="V75" i="43"/>
  <c r="U75" i="43"/>
  <c r="T75" i="43"/>
  <c r="S75" i="43"/>
  <c r="R75" i="43"/>
  <c r="Y74" i="43"/>
  <c r="X74" i="43"/>
  <c r="W74" i="43"/>
  <c r="V74" i="43"/>
  <c r="U74" i="43"/>
  <c r="T74" i="43"/>
  <c r="S74" i="43"/>
  <c r="R74" i="43"/>
  <c r="Y73" i="43"/>
  <c r="X73" i="43"/>
  <c r="W73" i="43"/>
  <c r="V73" i="43"/>
  <c r="U73" i="43"/>
  <c r="T73" i="43"/>
  <c r="S73" i="43"/>
  <c r="R73" i="43"/>
  <c r="Y72" i="43"/>
  <c r="X72" i="43"/>
  <c r="W72" i="43"/>
  <c r="V72" i="43"/>
  <c r="U72" i="43"/>
  <c r="T72" i="43"/>
  <c r="S72" i="43"/>
  <c r="R72" i="43"/>
  <c r="Y71" i="43"/>
  <c r="X71" i="43"/>
  <c r="W71" i="43"/>
  <c r="V71" i="43"/>
  <c r="U71" i="43"/>
  <c r="T71" i="43"/>
  <c r="S71" i="43"/>
  <c r="R71" i="43"/>
  <c r="Y70" i="43"/>
  <c r="X70" i="43"/>
  <c r="W70" i="43"/>
  <c r="V70" i="43"/>
  <c r="U70" i="43"/>
  <c r="T70" i="43"/>
  <c r="S70" i="43"/>
  <c r="R70" i="43"/>
  <c r="Y69" i="43"/>
  <c r="X69" i="43"/>
  <c r="W69" i="43"/>
  <c r="V69" i="43"/>
  <c r="U69" i="43"/>
  <c r="T69" i="43"/>
  <c r="S69" i="43"/>
  <c r="R69" i="43"/>
  <c r="S49" i="43" l="1"/>
  <c r="S50" i="43"/>
  <c r="W50" i="43"/>
  <c r="W51" i="43"/>
  <c r="S53" i="43"/>
  <c r="S54" i="43"/>
  <c r="S55" i="43"/>
  <c r="W55" i="43"/>
  <c r="R48" i="43"/>
  <c r="S48" i="43"/>
  <c r="W48" i="43"/>
  <c r="W49" i="43"/>
  <c r="S51" i="43"/>
  <c r="S52" i="43"/>
  <c r="W52" i="43"/>
  <c r="W53" i="43"/>
  <c r="W54" i="43"/>
  <c r="T48" i="43"/>
  <c r="X48" i="43"/>
  <c r="T49" i="43"/>
  <c r="X49" i="43"/>
  <c r="T50" i="43"/>
  <c r="X50" i="43"/>
  <c r="T51" i="43"/>
  <c r="X51" i="43"/>
  <c r="T52" i="43"/>
  <c r="X52" i="43"/>
  <c r="T53" i="43"/>
  <c r="X53" i="43"/>
  <c r="T54" i="43"/>
  <c r="X54" i="43"/>
  <c r="T55" i="43"/>
  <c r="X55" i="43"/>
  <c r="R49" i="43"/>
  <c r="V49" i="43"/>
  <c r="R50" i="43"/>
  <c r="V50" i="43"/>
  <c r="R51" i="43"/>
  <c r="V51" i="43"/>
  <c r="R52" i="43"/>
  <c r="V52" i="43"/>
  <c r="R53" i="43"/>
  <c r="V53" i="43"/>
  <c r="R54" i="43"/>
  <c r="V54" i="43"/>
  <c r="R55" i="43"/>
  <c r="V55" i="43"/>
  <c r="U48" i="43"/>
  <c r="Y48" i="43"/>
  <c r="U49" i="43"/>
  <c r="Y49" i="43"/>
  <c r="U50" i="43"/>
  <c r="Y50" i="43"/>
  <c r="U51" i="43"/>
  <c r="Y51" i="43"/>
  <c r="U52" i="43"/>
  <c r="Y52" i="43"/>
  <c r="U53" i="43"/>
  <c r="Y53" i="43"/>
  <c r="U54" i="43"/>
  <c r="Y54" i="43"/>
  <c r="U55" i="43"/>
  <c r="C71" i="43"/>
  <c r="C70" i="43"/>
  <c r="C69" i="43"/>
  <c r="C68" i="43"/>
  <c r="C67" i="43"/>
  <c r="C66" i="43"/>
  <c r="C65" i="43"/>
  <c r="C64" i="43"/>
  <c r="C63" i="43"/>
  <c r="C62" i="43"/>
  <c r="C61" i="43"/>
  <c r="C60" i="43"/>
  <c r="C42" i="43"/>
  <c r="C16" i="43"/>
  <c r="C15" i="43"/>
  <c r="C14" i="43"/>
  <c r="C13" i="43"/>
  <c r="C12" i="43"/>
  <c r="C11" i="43"/>
  <c r="C10" i="43"/>
  <c r="C9" i="43"/>
  <c r="C8" i="43"/>
  <c r="C7" i="43"/>
  <c r="C6" i="43"/>
  <c r="C5" i="43"/>
  <c r="C88" i="43"/>
  <c r="C87" i="43"/>
  <c r="C86" i="43"/>
  <c r="C85" i="43"/>
  <c r="D85" i="43" s="1"/>
  <c r="E85" i="43" s="1"/>
  <c r="C84" i="43"/>
  <c r="C83" i="43"/>
  <c r="C82" i="43"/>
  <c r="C81" i="43"/>
  <c r="D81" i="43" s="1"/>
  <c r="E81" i="43" s="1"/>
  <c r="C80" i="43"/>
  <c r="D80" i="43" s="1"/>
  <c r="E80" i="43" s="1"/>
  <c r="O28" i="43"/>
  <c r="O27" i="43"/>
  <c r="O26" i="43"/>
  <c r="O25" i="43"/>
  <c r="O24" i="43"/>
  <c r="O23" i="43"/>
  <c r="O15" i="43"/>
  <c r="P15" i="43" s="1"/>
  <c r="Q15" i="43" s="1"/>
  <c r="O14" i="43"/>
  <c r="O13" i="43"/>
  <c r="O12" i="43"/>
  <c r="O11" i="43"/>
  <c r="O10" i="43"/>
  <c r="O9" i="43"/>
  <c r="O8" i="43"/>
  <c r="O7" i="43"/>
  <c r="P7" i="43" s="1"/>
  <c r="Q7" i="43" s="1"/>
  <c r="O6" i="43"/>
  <c r="O5" i="43"/>
  <c r="P6" i="43" s="1"/>
  <c r="Q6" i="43" s="1"/>
  <c r="D88" i="43" l="1"/>
  <c r="E88" i="43" s="1"/>
  <c r="D87" i="43"/>
  <c r="E87" i="43" s="1"/>
  <c r="C17" i="43"/>
  <c r="D8" i="43" s="1"/>
  <c r="D83" i="43"/>
  <c r="E83" i="43" s="1"/>
  <c r="D84" i="43"/>
  <c r="E84" i="43" s="1"/>
  <c r="P14" i="43"/>
  <c r="Q14" i="43" s="1"/>
  <c r="P9" i="43"/>
  <c r="Q9" i="43" s="1"/>
  <c r="P13" i="43"/>
  <c r="Q13" i="43" s="1"/>
  <c r="P10" i="43"/>
  <c r="Q10" i="43" s="1"/>
  <c r="P11" i="43"/>
  <c r="Q11" i="43" s="1"/>
  <c r="D86" i="43"/>
  <c r="E86" i="43" s="1"/>
  <c r="D12" i="43"/>
  <c r="D10" i="43"/>
  <c r="D16" i="43"/>
  <c r="D13" i="43"/>
  <c r="D9" i="43"/>
  <c r="D15" i="43"/>
  <c r="P12" i="43"/>
  <c r="Q12" i="43" s="1"/>
  <c r="O29" i="43"/>
  <c r="P27" i="43" s="1"/>
  <c r="P8" i="43"/>
  <c r="Q8" i="43" s="1"/>
  <c r="D82" i="43"/>
  <c r="E82" i="43" s="1"/>
  <c r="P5" i="43"/>
  <c r="Q5" i="43" s="1"/>
  <c r="D11" i="43" l="1"/>
  <c r="C29" i="43"/>
  <c r="D6" i="43"/>
  <c r="D5" i="43"/>
  <c r="D7" i="43"/>
  <c r="D14" i="43"/>
  <c r="P23" i="43"/>
  <c r="P26" i="43"/>
  <c r="P25" i="43"/>
  <c r="P24" i="43"/>
  <c r="C44" i="43"/>
  <c r="P28" i="43"/>
  <c r="C43" i="43" l="1"/>
  <c r="D43" i="43" s="1"/>
  <c r="D42" i="43"/>
  <c r="D3" i="41" l="1"/>
  <c r="D4" i="41"/>
  <c r="D5" i="41"/>
  <c r="D6" i="41"/>
  <c r="D7" i="41"/>
  <c r="D8" i="41"/>
  <c r="D9" i="41"/>
  <c r="D10" i="41"/>
  <c r="D11" i="41"/>
  <c r="D12" i="41"/>
  <c r="D13" i="41"/>
  <c r="D14" i="41"/>
  <c r="D15" i="41"/>
  <c r="D16" i="41"/>
  <c r="D17" i="41"/>
  <c r="D18" i="41"/>
  <c r="D19" i="41"/>
  <c r="D20" i="41"/>
  <c r="D21" i="41"/>
  <c r="D22" i="41"/>
  <c r="D23" i="41"/>
  <c r="D24" i="41"/>
  <c r="D25" i="41"/>
  <c r="D26" i="41"/>
  <c r="D27" i="41"/>
  <c r="D28" i="41"/>
  <c r="D29" i="41"/>
  <c r="D30" i="41"/>
  <c r="D31" i="41"/>
  <c r="D32" i="41"/>
  <c r="D33" i="41"/>
  <c r="D34" i="41"/>
  <c r="D35" i="41"/>
  <c r="D36" i="41"/>
  <c r="D37" i="41"/>
  <c r="D38" i="41"/>
  <c r="D39" i="41"/>
  <c r="D40" i="41"/>
  <c r="D41" i="41"/>
  <c r="D42" i="41"/>
  <c r="D43" i="41"/>
  <c r="D44" i="41"/>
  <c r="D45" i="41"/>
  <c r="D46" i="41"/>
  <c r="D47" i="41"/>
  <c r="D48" i="41"/>
  <c r="D49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79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D102" i="41"/>
  <c r="D103" i="41"/>
  <c r="D104" i="41"/>
  <c r="D105" i="41"/>
  <c r="D106" i="41"/>
  <c r="D107" i="41"/>
  <c r="D108" i="41"/>
  <c r="D109" i="41"/>
  <c r="D110" i="41"/>
  <c r="D111" i="41"/>
  <c r="D112" i="41"/>
  <c r="D113" i="41"/>
  <c r="D114" i="41"/>
  <c r="D115" i="41"/>
  <c r="D116" i="41"/>
  <c r="D117" i="41"/>
  <c r="D118" i="41"/>
  <c r="D119" i="41"/>
  <c r="D120" i="41"/>
  <c r="D121" i="41"/>
  <c r="D122" i="41"/>
  <c r="D123" i="41"/>
  <c r="D124" i="41"/>
  <c r="D125" i="41"/>
  <c r="D126" i="41"/>
  <c r="D127" i="41"/>
  <c r="D128" i="41"/>
  <c r="D129" i="41"/>
  <c r="D130" i="41"/>
  <c r="D131" i="41"/>
  <c r="D132" i="41"/>
  <c r="D133" i="41"/>
  <c r="D134" i="41"/>
  <c r="D135" i="41"/>
  <c r="D136" i="41"/>
  <c r="D137" i="41"/>
  <c r="D138" i="41"/>
  <c r="D139" i="41"/>
  <c r="D140" i="41"/>
  <c r="D141" i="41"/>
  <c r="D142" i="41"/>
  <c r="D143" i="41"/>
  <c r="D144" i="41"/>
  <c r="D145" i="41"/>
  <c r="D146" i="41"/>
  <c r="D147" i="41"/>
  <c r="D148" i="41"/>
  <c r="D149" i="41"/>
  <c r="D150" i="41"/>
  <c r="D151" i="41"/>
  <c r="D152" i="41"/>
  <c r="D153" i="41"/>
  <c r="D154" i="41"/>
  <c r="D155" i="41"/>
  <c r="D156" i="41"/>
  <c r="D157" i="41"/>
  <c r="D158" i="41"/>
  <c r="D159" i="41"/>
  <c r="D160" i="41"/>
  <c r="D161" i="41"/>
  <c r="D162" i="41"/>
  <c r="D163" i="41"/>
  <c r="D164" i="41"/>
  <c r="D165" i="41"/>
  <c r="D166" i="41"/>
  <c r="D167" i="41"/>
  <c r="D168" i="41"/>
  <c r="D169" i="41"/>
  <c r="D170" i="41"/>
  <c r="D171" i="41"/>
  <c r="D172" i="41"/>
  <c r="D173" i="41"/>
  <c r="D174" i="41"/>
  <c r="D175" i="41"/>
  <c r="D176" i="41"/>
  <c r="D177" i="41"/>
  <c r="D178" i="41"/>
  <c r="D179" i="41"/>
  <c r="D180" i="41"/>
  <c r="D181" i="41"/>
  <c r="D182" i="41"/>
  <c r="D183" i="41"/>
  <c r="D184" i="41"/>
  <c r="D185" i="41"/>
  <c r="D186" i="41"/>
  <c r="D187" i="41"/>
  <c r="D188" i="41"/>
  <c r="D189" i="41"/>
  <c r="D190" i="41"/>
  <c r="D191" i="41"/>
  <c r="D192" i="41"/>
  <c r="D193" i="41"/>
  <c r="D194" i="41"/>
  <c r="D195" i="41"/>
  <c r="D196" i="41"/>
  <c r="D197" i="41"/>
  <c r="D198" i="41"/>
  <c r="D199" i="41"/>
  <c r="D200" i="41"/>
  <c r="D201" i="41"/>
  <c r="D202" i="41"/>
  <c r="D203" i="41"/>
  <c r="D204" i="41"/>
  <c r="D205" i="41"/>
  <c r="D206" i="41"/>
  <c r="D207" i="41"/>
  <c r="D208" i="41"/>
  <c r="D209" i="41"/>
  <c r="D210" i="41"/>
  <c r="D211" i="41"/>
  <c r="D212" i="41"/>
  <c r="D213" i="41"/>
  <c r="D214" i="41"/>
  <c r="D215" i="41"/>
  <c r="D216" i="41"/>
  <c r="D217" i="41"/>
  <c r="D218" i="41"/>
  <c r="D219" i="41"/>
  <c r="D220" i="41"/>
  <c r="D221" i="41"/>
  <c r="D222" i="41"/>
  <c r="D223" i="41"/>
  <c r="D224" i="41"/>
  <c r="D225" i="41"/>
  <c r="D226" i="41"/>
  <c r="D227" i="41"/>
  <c r="D228" i="41"/>
  <c r="D229" i="41"/>
  <c r="D230" i="41"/>
  <c r="D231" i="41"/>
  <c r="D232" i="41"/>
  <c r="D233" i="41"/>
  <c r="D234" i="41"/>
  <c r="D235" i="41"/>
  <c r="D236" i="41"/>
  <c r="D237" i="41"/>
  <c r="D238" i="41"/>
  <c r="D239" i="41"/>
  <c r="D240" i="41"/>
  <c r="D241" i="41"/>
  <c r="D242" i="41"/>
  <c r="D243" i="41"/>
  <c r="D244" i="41"/>
  <c r="D245" i="41"/>
  <c r="D246" i="41"/>
  <c r="D247" i="41"/>
  <c r="D248" i="41"/>
  <c r="D249" i="41"/>
  <c r="D250" i="41"/>
  <c r="D251" i="41"/>
  <c r="D252" i="41"/>
  <c r="D253" i="41"/>
  <c r="D254" i="41"/>
  <c r="D255" i="41"/>
  <c r="D256" i="41"/>
  <c r="D257" i="41"/>
  <c r="D258" i="41"/>
  <c r="D259" i="41"/>
  <c r="D260" i="41"/>
  <c r="D261" i="41"/>
  <c r="D262" i="41"/>
  <c r="D263" i="41"/>
  <c r="D264" i="41"/>
  <c r="D265" i="41"/>
  <c r="D266" i="41"/>
  <c r="D267" i="41"/>
  <c r="D268" i="41"/>
  <c r="D269" i="41"/>
  <c r="D270" i="41"/>
  <c r="D271" i="41"/>
  <c r="D272" i="41"/>
  <c r="D273" i="41"/>
  <c r="D274" i="41"/>
  <c r="D275" i="41"/>
  <c r="D276" i="41"/>
  <c r="D277" i="41"/>
  <c r="D278" i="41"/>
  <c r="D279" i="41"/>
  <c r="D280" i="41"/>
  <c r="D281" i="41"/>
  <c r="D282" i="41"/>
  <c r="D283" i="41"/>
  <c r="D284" i="41"/>
  <c r="D285" i="41"/>
  <c r="D286" i="41"/>
  <c r="D287" i="41"/>
  <c r="D288" i="41"/>
  <c r="D289" i="41"/>
  <c r="D290" i="41"/>
  <c r="D291" i="41"/>
  <c r="D292" i="41"/>
  <c r="D293" i="41"/>
  <c r="D294" i="41"/>
  <c r="D295" i="41"/>
  <c r="D296" i="41"/>
  <c r="D297" i="41"/>
  <c r="D298" i="41"/>
  <c r="D299" i="41"/>
  <c r="D300" i="41"/>
  <c r="D301" i="41"/>
  <c r="D302" i="41"/>
  <c r="D303" i="41"/>
  <c r="D304" i="41"/>
  <c r="D305" i="41"/>
  <c r="D306" i="41"/>
  <c r="D307" i="41"/>
  <c r="D308" i="41"/>
  <c r="D309" i="41"/>
  <c r="D310" i="41"/>
  <c r="D311" i="41"/>
  <c r="D312" i="41"/>
  <c r="D313" i="41"/>
  <c r="D314" i="41"/>
  <c r="D315" i="41"/>
  <c r="D316" i="41"/>
  <c r="D317" i="41"/>
  <c r="D318" i="41"/>
  <c r="D319" i="41"/>
  <c r="D320" i="41"/>
  <c r="D321" i="41"/>
  <c r="D322" i="41"/>
  <c r="D323" i="41"/>
  <c r="D324" i="41"/>
  <c r="D325" i="41"/>
  <c r="D326" i="41"/>
  <c r="D327" i="41"/>
  <c r="D328" i="41"/>
  <c r="D329" i="41"/>
  <c r="D330" i="41"/>
  <c r="D331" i="41"/>
  <c r="D332" i="41"/>
  <c r="D333" i="41"/>
  <c r="D334" i="41"/>
  <c r="D335" i="41"/>
  <c r="D336" i="41"/>
  <c r="D337" i="41"/>
  <c r="D338" i="41"/>
  <c r="D339" i="41"/>
  <c r="D340" i="41"/>
  <c r="D341" i="41"/>
  <c r="D342" i="41"/>
  <c r="D343" i="41"/>
  <c r="D344" i="41"/>
  <c r="D345" i="41"/>
  <c r="D346" i="41"/>
  <c r="D347" i="41"/>
  <c r="D348" i="41"/>
  <c r="D349" i="41"/>
  <c r="D350" i="41"/>
  <c r="D351" i="41"/>
  <c r="D352" i="41"/>
  <c r="D353" i="41"/>
  <c r="D354" i="41"/>
  <c r="D355" i="41"/>
  <c r="D356" i="41"/>
  <c r="D357" i="41"/>
  <c r="D358" i="41"/>
  <c r="D359" i="41"/>
  <c r="D360" i="41"/>
  <c r="D361" i="41"/>
  <c r="D362" i="41"/>
  <c r="D363" i="41"/>
  <c r="D364" i="41"/>
  <c r="D365" i="41"/>
  <c r="D366" i="41"/>
  <c r="D367" i="41"/>
  <c r="D368" i="41"/>
  <c r="D369" i="41"/>
  <c r="D370" i="41"/>
  <c r="D371" i="41"/>
  <c r="D372" i="41"/>
  <c r="D373" i="41"/>
  <c r="D374" i="41"/>
  <c r="D375" i="41"/>
  <c r="D376" i="41"/>
  <c r="D377" i="41"/>
  <c r="D378" i="41"/>
  <c r="D379" i="41"/>
  <c r="D380" i="41"/>
  <c r="D381" i="41"/>
  <c r="D382" i="41"/>
  <c r="D383" i="41"/>
  <c r="D384" i="41"/>
  <c r="D385" i="41"/>
  <c r="D386" i="41"/>
  <c r="D387" i="41"/>
  <c r="D388" i="41"/>
  <c r="D389" i="41"/>
  <c r="D390" i="41"/>
  <c r="D391" i="41"/>
  <c r="D392" i="41"/>
  <c r="D393" i="41"/>
  <c r="D394" i="41"/>
  <c r="D395" i="41"/>
  <c r="D396" i="41"/>
  <c r="D397" i="41"/>
  <c r="D398" i="41"/>
  <c r="D399" i="41"/>
  <c r="D400" i="41"/>
  <c r="D401" i="41"/>
  <c r="D402" i="41"/>
  <c r="D403" i="41"/>
  <c r="D404" i="41"/>
  <c r="D405" i="41"/>
  <c r="D406" i="41"/>
  <c r="D407" i="41"/>
  <c r="D408" i="41"/>
  <c r="D409" i="41"/>
  <c r="D410" i="41"/>
  <c r="D411" i="41"/>
  <c r="D412" i="41"/>
  <c r="D413" i="41"/>
  <c r="D414" i="41"/>
  <c r="D415" i="41"/>
  <c r="D416" i="41"/>
  <c r="D417" i="41"/>
  <c r="D418" i="41"/>
  <c r="D419" i="41"/>
  <c r="D420" i="41"/>
  <c r="D421" i="41"/>
  <c r="D422" i="41"/>
  <c r="D423" i="41"/>
  <c r="D424" i="41"/>
  <c r="D425" i="41"/>
  <c r="D426" i="41"/>
  <c r="D427" i="41"/>
  <c r="D428" i="41"/>
  <c r="D429" i="41"/>
  <c r="D430" i="41"/>
  <c r="D431" i="41"/>
  <c r="D432" i="41"/>
  <c r="D433" i="41"/>
  <c r="D434" i="41"/>
  <c r="D435" i="41"/>
  <c r="D436" i="41"/>
  <c r="D437" i="41"/>
  <c r="D438" i="41"/>
  <c r="D439" i="41"/>
  <c r="D440" i="41"/>
  <c r="D441" i="41"/>
  <c r="D442" i="41"/>
  <c r="D443" i="41"/>
  <c r="D444" i="41"/>
  <c r="D445" i="41"/>
  <c r="D446" i="41"/>
  <c r="D447" i="41"/>
  <c r="D448" i="41"/>
  <c r="D449" i="41"/>
  <c r="D450" i="41"/>
  <c r="D451" i="41"/>
  <c r="D452" i="41"/>
  <c r="D453" i="41"/>
  <c r="D454" i="41"/>
  <c r="D455" i="41"/>
  <c r="D456" i="41"/>
  <c r="D457" i="41"/>
  <c r="D458" i="41"/>
  <c r="D459" i="41"/>
  <c r="D460" i="41"/>
  <c r="D461" i="41"/>
  <c r="D462" i="41"/>
  <c r="D463" i="41"/>
  <c r="D464" i="41"/>
  <c r="D465" i="41"/>
  <c r="D466" i="41"/>
  <c r="D467" i="41"/>
  <c r="D468" i="41"/>
  <c r="D469" i="41"/>
  <c r="D470" i="41"/>
  <c r="D471" i="41"/>
  <c r="D472" i="41"/>
  <c r="D473" i="41"/>
  <c r="D474" i="41"/>
  <c r="D475" i="41"/>
  <c r="D476" i="41"/>
  <c r="D477" i="41"/>
  <c r="D478" i="41"/>
  <c r="D479" i="41"/>
  <c r="D480" i="41"/>
  <c r="D481" i="41"/>
  <c r="D482" i="41"/>
  <c r="D483" i="41"/>
  <c r="D484" i="41"/>
  <c r="D485" i="41"/>
  <c r="D486" i="41"/>
  <c r="D487" i="41"/>
  <c r="D488" i="41"/>
  <c r="D489" i="41"/>
  <c r="D490" i="41"/>
  <c r="D491" i="41"/>
  <c r="D492" i="41"/>
  <c r="D493" i="41"/>
  <c r="D494" i="41"/>
  <c r="D495" i="41"/>
  <c r="D496" i="41"/>
  <c r="D497" i="41"/>
  <c r="D498" i="41"/>
  <c r="D499" i="41"/>
  <c r="D500" i="41"/>
  <c r="D501" i="41"/>
  <c r="D502" i="41"/>
  <c r="D503" i="41"/>
  <c r="D504" i="41"/>
  <c r="D505" i="41"/>
  <c r="D506" i="41"/>
  <c r="D507" i="41"/>
  <c r="D508" i="41"/>
  <c r="D509" i="41"/>
  <c r="D510" i="41"/>
  <c r="D511" i="41"/>
  <c r="D512" i="41"/>
  <c r="D513" i="41"/>
  <c r="D514" i="41"/>
  <c r="D515" i="41"/>
  <c r="D516" i="41"/>
  <c r="D517" i="41"/>
  <c r="D518" i="41"/>
  <c r="D519" i="41"/>
  <c r="D520" i="41"/>
  <c r="D521" i="41"/>
  <c r="D522" i="41"/>
  <c r="D523" i="41"/>
  <c r="D524" i="41"/>
  <c r="D525" i="41"/>
  <c r="D526" i="41"/>
  <c r="D527" i="41"/>
  <c r="D528" i="41"/>
  <c r="D529" i="41"/>
  <c r="D530" i="41"/>
  <c r="D531" i="41"/>
  <c r="D532" i="41"/>
  <c r="D533" i="41"/>
  <c r="D534" i="41"/>
  <c r="D535" i="41"/>
  <c r="D536" i="41"/>
  <c r="D537" i="41"/>
  <c r="D538" i="41"/>
  <c r="D539" i="41"/>
  <c r="D540" i="41"/>
  <c r="D541" i="41"/>
  <c r="D542" i="41"/>
  <c r="D543" i="41"/>
  <c r="D544" i="41"/>
  <c r="D545" i="41"/>
  <c r="D546" i="41"/>
  <c r="D547" i="41"/>
  <c r="D548" i="41"/>
  <c r="D549" i="41"/>
  <c r="D550" i="41"/>
  <c r="D551" i="41"/>
  <c r="D552" i="41"/>
  <c r="D553" i="41"/>
  <c r="D554" i="41"/>
  <c r="D555" i="41"/>
  <c r="D556" i="41"/>
  <c r="D557" i="41"/>
  <c r="D558" i="41"/>
  <c r="D559" i="41"/>
  <c r="D560" i="41"/>
  <c r="D561" i="41"/>
  <c r="D562" i="41"/>
  <c r="D563" i="41"/>
  <c r="D564" i="41"/>
  <c r="D565" i="41"/>
  <c r="D566" i="41"/>
  <c r="D567" i="41"/>
  <c r="D568" i="41"/>
  <c r="D569" i="41"/>
  <c r="D570" i="41"/>
  <c r="D571" i="41"/>
  <c r="D572" i="41"/>
  <c r="D573" i="41"/>
  <c r="D574" i="41"/>
  <c r="D575" i="41"/>
  <c r="D576" i="41"/>
  <c r="D577" i="41"/>
  <c r="D578" i="41"/>
  <c r="D579" i="41"/>
  <c r="D580" i="41"/>
  <c r="D581" i="41"/>
  <c r="D582" i="41"/>
  <c r="D583" i="41"/>
  <c r="D584" i="41"/>
  <c r="D585" i="41"/>
  <c r="D586" i="41"/>
  <c r="D587" i="41"/>
  <c r="D588" i="41"/>
  <c r="D589" i="41"/>
  <c r="D590" i="41"/>
  <c r="D591" i="41"/>
  <c r="D592" i="41"/>
  <c r="D593" i="41"/>
  <c r="D594" i="41"/>
  <c r="D595" i="41"/>
  <c r="D596" i="41"/>
  <c r="D597" i="41"/>
  <c r="D598" i="41"/>
  <c r="D599" i="41"/>
  <c r="D600" i="41"/>
  <c r="D601" i="41"/>
  <c r="D602" i="41"/>
  <c r="D603" i="41"/>
  <c r="D604" i="41"/>
  <c r="D605" i="41"/>
  <c r="D606" i="41"/>
  <c r="D607" i="41"/>
  <c r="D608" i="41"/>
  <c r="D609" i="41"/>
  <c r="D610" i="41"/>
  <c r="D611" i="41"/>
  <c r="D612" i="41"/>
  <c r="D613" i="41"/>
  <c r="D614" i="41"/>
  <c r="D615" i="41"/>
  <c r="D616" i="41"/>
  <c r="D617" i="41"/>
  <c r="D618" i="41"/>
  <c r="D619" i="41"/>
  <c r="D620" i="41"/>
  <c r="D621" i="41"/>
  <c r="D622" i="41"/>
  <c r="D623" i="41"/>
  <c r="D624" i="41"/>
  <c r="D625" i="41"/>
  <c r="D626" i="41"/>
  <c r="D627" i="41"/>
  <c r="D628" i="41"/>
  <c r="D629" i="41"/>
  <c r="D630" i="41"/>
  <c r="D631" i="41"/>
  <c r="D632" i="41"/>
  <c r="D633" i="41"/>
  <c r="D634" i="41"/>
  <c r="D635" i="41"/>
  <c r="D636" i="41"/>
  <c r="D637" i="41"/>
  <c r="D638" i="41"/>
  <c r="D639" i="41"/>
  <c r="D640" i="41"/>
  <c r="D641" i="41"/>
  <c r="D642" i="41"/>
  <c r="D643" i="41"/>
  <c r="D644" i="41"/>
  <c r="D645" i="41"/>
  <c r="D646" i="41"/>
  <c r="D647" i="41"/>
  <c r="D648" i="41"/>
  <c r="D649" i="41"/>
  <c r="D650" i="41"/>
  <c r="D651" i="41"/>
  <c r="D652" i="41"/>
  <c r="D653" i="41"/>
  <c r="D654" i="41"/>
  <c r="D655" i="41"/>
  <c r="D656" i="41"/>
  <c r="D657" i="41"/>
  <c r="D658" i="41"/>
  <c r="D659" i="41"/>
  <c r="D660" i="41"/>
  <c r="D661" i="41"/>
  <c r="D662" i="41"/>
  <c r="D663" i="41"/>
  <c r="D664" i="41"/>
  <c r="D665" i="41"/>
  <c r="D666" i="41"/>
  <c r="D667" i="41"/>
  <c r="D668" i="41"/>
  <c r="D669" i="41"/>
  <c r="D670" i="41"/>
  <c r="D671" i="41"/>
  <c r="D672" i="41"/>
  <c r="D673" i="41"/>
  <c r="D674" i="41"/>
  <c r="D675" i="41"/>
  <c r="D676" i="41"/>
  <c r="D677" i="41"/>
  <c r="D678" i="41"/>
  <c r="D679" i="41"/>
  <c r="D680" i="41"/>
  <c r="D681" i="41"/>
  <c r="D682" i="41"/>
  <c r="D683" i="41"/>
  <c r="D684" i="41"/>
  <c r="D685" i="41"/>
  <c r="D686" i="41"/>
  <c r="D687" i="41"/>
  <c r="D688" i="41"/>
  <c r="D689" i="41"/>
  <c r="D690" i="41"/>
  <c r="D691" i="41"/>
  <c r="D692" i="41"/>
  <c r="D693" i="41"/>
  <c r="D694" i="41"/>
  <c r="D695" i="41"/>
  <c r="D696" i="41"/>
  <c r="D697" i="41"/>
  <c r="D698" i="41"/>
  <c r="D699" i="41"/>
  <c r="D700" i="41"/>
  <c r="D701" i="41"/>
  <c r="D702" i="41"/>
  <c r="D703" i="41"/>
  <c r="D704" i="41"/>
  <c r="D705" i="41"/>
  <c r="D706" i="41"/>
  <c r="D707" i="41"/>
  <c r="D708" i="41"/>
  <c r="D709" i="41"/>
  <c r="D710" i="41"/>
  <c r="D711" i="41"/>
  <c r="D712" i="41"/>
  <c r="D713" i="41"/>
  <c r="D714" i="41"/>
  <c r="D715" i="41"/>
  <c r="D716" i="41"/>
  <c r="D717" i="41"/>
  <c r="D718" i="41"/>
  <c r="D719" i="41"/>
  <c r="D720" i="41"/>
  <c r="D721" i="41"/>
  <c r="D722" i="41"/>
  <c r="D723" i="41"/>
  <c r="D724" i="41"/>
  <c r="D725" i="41"/>
  <c r="D726" i="41"/>
  <c r="D727" i="41"/>
  <c r="D728" i="41"/>
  <c r="D729" i="41"/>
  <c r="D730" i="41"/>
  <c r="D731" i="41"/>
  <c r="D732" i="41"/>
  <c r="D733" i="41"/>
  <c r="D734" i="41"/>
  <c r="D735" i="41"/>
  <c r="D736" i="41"/>
  <c r="D737" i="41"/>
  <c r="D738" i="41"/>
  <c r="D739" i="41"/>
  <c r="D740" i="41"/>
  <c r="D741" i="41"/>
  <c r="D742" i="41"/>
  <c r="D743" i="41"/>
  <c r="D744" i="41"/>
  <c r="D745" i="41"/>
  <c r="D746" i="41"/>
  <c r="D747" i="41"/>
  <c r="D748" i="41"/>
  <c r="D749" i="41"/>
  <c r="D750" i="41"/>
  <c r="D751" i="41"/>
  <c r="D752" i="41"/>
  <c r="D753" i="41"/>
  <c r="D754" i="41"/>
  <c r="D755" i="41"/>
  <c r="D756" i="41"/>
  <c r="D757" i="41"/>
  <c r="D758" i="41"/>
  <c r="D759" i="41"/>
  <c r="D760" i="41"/>
  <c r="D761" i="41"/>
  <c r="D762" i="41"/>
  <c r="D763" i="41"/>
  <c r="D764" i="41"/>
  <c r="D765" i="41"/>
  <c r="D766" i="41"/>
  <c r="D767" i="41"/>
  <c r="D768" i="41"/>
  <c r="D769" i="41"/>
  <c r="D770" i="41"/>
  <c r="D771" i="41"/>
  <c r="D772" i="41"/>
  <c r="D773" i="41"/>
  <c r="D774" i="41"/>
  <c r="D775" i="41"/>
  <c r="D776" i="41"/>
  <c r="D777" i="41"/>
  <c r="D778" i="41"/>
  <c r="D779" i="41"/>
  <c r="D780" i="41"/>
  <c r="D781" i="41"/>
  <c r="D782" i="41"/>
  <c r="D783" i="41"/>
  <c r="D784" i="41"/>
  <c r="D785" i="41"/>
  <c r="D786" i="41"/>
  <c r="D787" i="41"/>
  <c r="D788" i="41"/>
  <c r="D789" i="41"/>
  <c r="D790" i="41"/>
  <c r="D791" i="41"/>
  <c r="D792" i="41"/>
  <c r="D793" i="41"/>
  <c r="D794" i="41"/>
  <c r="D795" i="41"/>
  <c r="D796" i="41"/>
  <c r="D797" i="41"/>
  <c r="D798" i="41"/>
  <c r="D799" i="41"/>
  <c r="D800" i="41"/>
  <c r="D801" i="41"/>
  <c r="D802" i="41"/>
  <c r="D803" i="41"/>
  <c r="D804" i="41"/>
  <c r="D805" i="41"/>
  <c r="D806" i="41"/>
  <c r="D807" i="41"/>
  <c r="D808" i="41"/>
  <c r="D809" i="41"/>
  <c r="D810" i="41"/>
  <c r="D811" i="41"/>
  <c r="D812" i="41"/>
  <c r="D813" i="41"/>
  <c r="D814" i="41"/>
  <c r="D815" i="41"/>
  <c r="D816" i="41"/>
  <c r="D817" i="41"/>
  <c r="D818" i="41"/>
  <c r="D819" i="41"/>
  <c r="D820" i="41"/>
  <c r="D821" i="41"/>
  <c r="D822" i="41"/>
  <c r="D823" i="41"/>
  <c r="D824" i="41"/>
  <c r="D825" i="41"/>
  <c r="D826" i="41"/>
  <c r="D827" i="41"/>
  <c r="D828" i="41"/>
  <c r="D829" i="41"/>
  <c r="D830" i="41"/>
  <c r="D831" i="41"/>
  <c r="D832" i="41"/>
  <c r="D833" i="41"/>
  <c r="D834" i="41"/>
  <c r="D835" i="41"/>
  <c r="D836" i="41"/>
  <c r="D837" i="41"/>
  <c r="D838" i="41"/>
  <c r="D839" i="41"/>
  <c r="D840" i="41"/>
  <c r="D841" i="41"/>
  <c r="D842" i="41"/>
  <c r="D843" i="41"/>
  <c r="D844" i="41"/>
  <c r="D845" i="41"/>
  <c r="D846" i="41"/>
  <c r="D847" i="41"/>
  <c r="D848" i="41"/>
  <c r="D849" i="41"/>
  <c r="D850" i="41"/>
  <c r="D851" i="41"/>
  <c r="D852" i="41"/>
  <c r="D853" i="41"/>
  <c r="D854" i="41"/>
  <c r="D855" i="41"/>
  <c r="D856" i="41"/>
  <c r="D857" i="41"/>
  <c r="D858" i="41"/>
  <c r="D859" i="41"/>
  <c r="D860" i="41"/>
  <c r="D861" i="41"/>
  <c r="D862" i="41"/>
  <c r="D863" i="41"/>
  <c r="D864" i="41"/>
  <c r="D865" i="41"/>
  <c r="D866" i="41"/>
  <c r="D867" i="41"/>
  <c r="D868" i="41"/>
  <c r="D869" i="41"/>
  <c r="D870" i="41"/>
  <c r="D871" i="41"/>
  <c r="D872" i="41"/>
  <c r="D873" i="41"/>
  <c r="D874" i="41"/>
  <c r="D875" i="41"/>
  <c r="D876" i="41"/>
  <c r="D877" i="41"/>
  <c r="D878" i="41"/>
  <c r="D879" i="41"/>
  <c r="D880" i="41"/>
  <c r="D881" i="41"/>
  <c r="D882" i="41"/>
  <c r="D883" i="41"/>
  <c r="D884" i="41"/>
  <c r="D885" i="41"/>
  <c r="D886" i="41"/>
  <c r="D887" i="41"/>
  <c r="D888" i="41"/>
  <c r="D889" i="41"/>
  <c r="D890" i="41"/>
  <c r="D891" i="41"/>
  <c r="D892" i="41"/>
  <c r="D893" i="41"/>
  <c r="D894" i="41"/>
  <c r="D895" i="41"/>
  <c r="D896" i="41"/>
  <c r="D897" i="41"/>
  <c r="D898" i="41"/>
  <c r="D899" i="41"/>
  <c r="D900" i="41"/>
  <c r="D901" i="41"/>
  <c r="D902" i="41"/>
  <c r="D903" i="41"/>
  <c r="D904" i="41"/>
  <c r="D905" i="41"/>
  <c r="D906" i="41"/>
  <c r="D907" i="41"/>
  <c r="D908" i="41"/>
  <c r="D909" i="41"/>
  <c r="D910" i="41"/>
  <c r="D911" i="41"/>
  <c r="D912" i="41"/>
  <c r="D913" i="41"/>
  <c r="D914" i="41"/>
  <c r="D915" i="41"/>
  <c r="D916" i="41"/>
  <c r="D917" i="41"/>
  <c r="D918" i="41"/>
  <c r="D919" i="41"/>
  <c r="D920" i="41"/>
  <c r="D921" i="41"/>
  <c r="D922" i="41"/>
  <c r="D923" i="41"/>
  <c r="D924" i="41"/>
  <c r="D925" i="41"/>
  <c r="D926" i="41"/>
  <c r="D927" i="41"/>
  <c r="D928" i="41"/>
  <c r="D929" i="41"/>
  <c r="D930" i="41"/>
  <c r="D931" i="41"/>
  <c r="D932" i="41"/>
  <c r="D933" i="41"/>
  <c r="D934" i="41"/>
  <c r="D935" i="41"/>
  <c r="D936" i="41"/>
  <c r="D937" i="41"/>
  <c r="D938" i="41"/>
  <c r="D939" i="41"/>
  <c r="D940" i="41"/>
  <c r="D941" i="41"/>
  <c r="D942" i="41"/>
  <c r="D943" i="41"/>
  <c r="D944" i="41"/>
  <c r="D945" i="41"/>
  <c r="D946" i="41"/>
  <c r="D947" i="41"/>
  <c r="D948" i="41"/>
  <c r="D949" i="41"/>
  <c r="D950" i="41"/>
  <c r="D951" i="41"/>
  <c r="D952" i="41"/>
  <c r="D953" i="41"/>
  <c r="D954" i="41"/>
  <c r="D955" i="41"/>
  <c r="D956" i="41"/>
  <c r="D957" i="41"/>
  <c r="D958" i="41"/>
  <c r="D959" i="41"/>
  <c r="D960" i="41"/>
  <c r="D961" i="41"/>
  <c r="D962" i="41"/>
  <c r="D963" i="41"/>
  <c r="D964" i="41"/>
  <c r="D965" i="41"/>
  <c r="D966" i="41"/>
  <c r="D967" i="41"/>
  <c r="D968" i="41"/>
  <c r="D969" i="41"/>
  <c r="D970" i="41"/>
  <c r="D971" i="41"/>
  <c r="D972" i="41"/>
  <c r="D973" i="41"/>
  <c r="D974" i="41"/>
  <c r="D975" i="41"/>
  <c r="D976" i="41"/>
  <c r="D977" i="41"/>
  <c r="D978" i="41"/>
  <c r="D979" i="41"/>
  <c r="D980" i="41"/>
  <c r="D981" i="41"/>
  <c r="D982" i="41"/>
  <c r="D983" i="41"/>
  <c r="D984" i="41"/>
  <c r="D985" i="41"/>
  <c r="D986" i="41"/>
  <c r="D987" i="41"/>
  <c r="D988" i="41"/>
  <c r="D989" i="41"/>
  <c r="D990" i="41"/>
  <c r="D991" i="41"/>
  <c r="D992" i="41"/>
  <c r="D993" i="41"/>
  <c r="D994" i="41"/>
  <c r="D995" i="41"/>
  <c r="D996" i="41"/>
  <c r="D997" i="41"/>
  <c r="D998" i="41"/>
  <c r="D999" i="41"/>
  <c r="D1000" i="41"/>
  <c r="D1001" i="41"/>
  <c r="D1002" i="41"/>
  <c r="D1003" i="41"/>
  <c r="D1004" i="41"/>
  <c r="D1005" i="41"/>
  <c r="D1006" i="41"/>
  <c r="D1007" i="41"/>
  <c r="D1008" i="41"/>
  <c r="D1009" i="41"/>
  <c r="D1010" i="41"/>
  <c r="D1011" i="41"/>
  <c r="D1012" i="41"/>
  <c r="D1013" i="41"/>
  <c r="D1014" i="41"/>
  <c r="D1015" i="41"/>
  <c r="D1016" i="41"/>
  <c r="D1017" i="41"/>
  <c r="D1018" i="41"/>
  <c r="D1019" i="41"/>
  <c r="D1020" i="41"/>
  <c r="D1021" i="41"/>
  <c r="D1022" i="41"/>
  <c r="D1023" i="41"/>
  <c r="D1024" i="41"/>
  <c r="D1025" i="41"/>
  <c r="D1026" i="41"/>
  <c r="D1027" i="41"/>
  <c r="D1028" i="41"/>
  <c r="D1029" i="41"/>
  <c r="D1030" i="41"/>
  <c r="D1031" i="41"/>
  <c r="D1032" i="41"/>
  <c r="D1033" i="41"/>
  <c r="D1034" i="41"/>
  <c r="D1035" i="41"/>
  <c r="D1036" i="41"/>
  <c r="D1037" i="41"/>
  <c r="D1038" i="41"/>
  <c r="D1039" i="41"/>
  <c r="D1040" i="41"/>
  <c r="D1041" i="41"/>
  <c r="D1042" i="41"/>
  <c r="D1043" i="41"/>
  <c r="D1044" i="41"/>
  <c r="D1045" i="41"/>
  <c r="D1046" i="41"/>
  <c r="D1047" i="41"/>
  <c r="D1048" i="41"/>
  <c r="D1049" i="41"/>
  <c r="D1050" i="41"/>
  <c r="D1051" i="41"/>
  <c r="D1052" i="41"/>
  <c r="D1053" i="41"/>
  <c r="D1054" i="41"/>
  <c r="D1055" i="41"/>
  <c r="D1056" i="41"/>
  <c r="D1057" i="41"/>
  <c r="D1058" i="41"/>
  <c r="D1059" i="41"/>
  <c r="D1060" i="41"/>
  <c r="D1061" i="41"/>
  <c r="D1062" i="41"/>
  <c r="D1063" i="41"/>
  <c r="D1064" i="41"/>
  <c r="D1065" i="41"/>
  <c r="D1066" i="41"/>
  <c r="D1067" i="41"/>
  <c r="D1068" i="41"/>
  <c r="D1069" i="41"/>
  <c r="D1070" i="41"/>
  <c r="D1071" i="41"/>
  <c r="D1072" i="41"/>
  <c r="D1073" i="41"/>
  <c r="D1074" i="41"/>
  <c r="D1075" i="41"/>
  <c r="D1076" i="41"/>
  <c r="D1077" i="41"/>
  <c r="D1078" i="41"/>
  <c r="D1079" i="41"/>
  <c r="D1080" i="41"/>
  <c r="D1081" i="41"/>
  <c r="D1082" i="41"/>
  <c r="D1083" i="41"/>
  <c r="D1084" i="41"/>
  <c r="D1085" i="41"/>
  <c r="D1086" i="41"/>
  <c r="D1087" i="41"/>
  <c r="D1088" i="41"/>
  <c r="D1089" i="41"/>
  <c r="D1090" i="41"/>
  <c r="D1091" i="41"/>
  <c r="D1092" i="41"/>
  <c r="D1093" i="41"/>
  <c r="D1094" i="41"/>
  <c r="D1095" i="41"/>
  <c r="D1096" i="41"/>
  <c r="D1097" i="41"/>
  <c r="D1098" i="41"/>
  <c r="D1099" i="41"/>
  <c r="D1100" i="41"/>
  <c r="D1101" i="41"/>
  <c r="D1102" i="41"/>
  <c r="D1103" i="41"/>
  <c r="D1104" i="41"/>
  <c r="D1105" i="41"/>
  <c r="D1106" i="41"/>
  <c r="D1107" i="41"/>
  <c r="D1108" i="41"/>
  <c r="D1109" i="41"/>
  <c r="D1110" i="41"/>
  <c r="D1111" i="41"/>
  <c r="D1112" i="41"/>
  <c r="D1113" i="41"/>
  <c r="D1114" i="41"/>
  <c r="D1115" i="41"/>
  <c r="D1116" i="41"/>
  <c r="D1117" i="41"/>
  <c r="D1118" i="41"/>
  <c r="D1119" i="41"/>
  <c r="D1120" i="41"/>
  <c r="D1121" i="41"/>
  <c r="D1122" i="41"/>
  <c r="D1123" i="41"/>
  <c r="D1124" i="41"/>
  <c r="D1125" i="41"/>
  <c r="D1126" i="41"/>
  <c r="D1127" i="41"/>
  <c r="D1128" i="41"/>
  <c r="D1129" i="41"/>
  <c r="D1130" i="41"/>
  <c r="D1131" i="41"/>
  <c r="D1132" i="41"/>
  <c r="D1133" i="41"/>
  <c r="D1134" i="41"/>
  <c r="D1135" i="41"/>
  <c r="D1136" i="41"/>
  <c r="D1137" i="41"/>
  <c r="D1138" i="41"/>
  <c r="D1139" i="41"/>
  <c r="D1140" i="41"/>
  <c r="D1141" i="41"/>
  <c r="D1142" i="41"/>
  <c r="D1143" i="41"/>
  <c r="D1144" i="41"/>
  <c r="D1145" i="41"/>
  <c r="D1146" i="41"/>
  <c r="D1147" i="41"/>
  <c r="D1148" i="41"/>
  <c r="D1149" i="41"/>
  <c r="D1150" i="41"/>
  <c r="D1151" i="41"/>
  <c r="D1152" i="41"/>
  <c r="D1153" i="41"/>
  <c r="D1154" i="41"/>
  <c r="D1155" i="41"/>
  <c r="D1156" i="41"/>
  <c r="D1157" i="41"/>
  <c r="D1158" i="41"/>
  <c r="D1159" i="41"/>
  <c r="D1160" i="41"/>
  <c r="D1161" i="41"/>
  <c r="D1162" i="41"/>
  <c r="D1163" i="41"/>
  <c r="D1164" i="41"/>
  <c r="D1165" i="41"/>
  <c r="D1166" i="41"/>
  <c r="D1167" i="41"/>
  <c r="D1168" i="41"/>
  <c r="D1169" i="41"/>
  <c r="D1170" i="41"/>
  <c r="D1171" i="41"/>
  <c r="D1172" i="41"/>
  <c r="D1173" i="41"/>
  <c r="D1174" i="41"/>
  <c r="D1175" i="41"/>
  <c r="D1176" i="41"/>
  <c r="D1177" i="41"/>
  <c r="D1178" i="41"/>
  <c r="D1179" i="41"/>
  <c r="D1180" i="41"/>
  <c r="D1181" i="41"/>
  <c r="D1182" i="41"/>
  <c r="D1183" i="41"/>
  <c r="D1184" i="41"/>
  <c r="D1185" i="41"/>
  <c r="D1186" i="41"/>
  <c r="D1187" i="41"/>
  <c r="D1188" i="41"/>
  <c r="D1189" i="41"/>
  <c r="D1190" i="41"/>
  <c r="D1191" i="41"/>
  <c r="D1192" i="41"/>
  <c r="D1193" i="41"/>
  <c r="D1194" i="41"/>
  <c r="D1195" i="41"/>
  <c r="D1196" i="41"/>
  <c r="D1197" i="41"/>
  <c r="D1198" i="41"/>
  <c r="D1199" i="41"/>
  <c r="D1200" i="41"/>
  <c r="D1201" i="41"/>
  <c r="D1202" i="41"/>
  <c r="D1203" i="41"/>
  <c r="D1204" i="41"/>
  <c r="D1205" i="41"/>
  <c r="D1206" i="41"/>
  <c r="D1207" i="41"/>
  <c r="D1208" i="41"/>
  <c r="D1209" i="41"/>
  <c r="D1210" i="41"/>
  <c r="D1211" i="41"/>
  <c r="D1212" i="41"/>
  <c r="D1213" i="41"/>
  <c r="D1214" i="41"/>
  <c r="D1215" i="41"/>
  <c r="D1216" i="41"/>
  <c r="D1217" i="41"/>
  <c r="D1218" i="41"/>
  <c r="D1219" i="41"/>
  <c r="D1220" i="41"/>
  <c r="D1221" i="41"/>
  <c r="D1222" i="41"/>
  <c r="D1223" i="41"/>
  <c r="D1224" i="41"/>
  <c r="D1225" i="41"/>
  <c r="D1226" i="41"/>
  <c r="D1227" i="41"/>
  <c r="D1228" i="41"/>
  <c r="D1229" i="41"/>
  <c r="D1230" i="41"/>
  <c r="D1231" i="41"/>
  <c r="D1232" i="41"/>
  <c r="D1233" i="41"/>
  <c r="D1234" i="41"/>
  <c r="D1235" i="41"/>
  <c r="D1236" i="41"/>
  <c r="D1237" i="41"/>
  <c r="D1238" i="41"/>
  <c r="D1239" i="41"/>
  <c r="D1240" i="41"/>
  <c r="D1241" i="41"/>
  <c r="D1242" i="41"/>
  <c r="D1243" i="41"/>
  <c r="D1244" i="41"/>
  <c r="D1245" i="41"/>
  <c r="D1246" i="41"/>
  <c r="D1247" i="41"/>
  <c r="D1248" i="41"/>
  <c r="D1249" i="41"/>
  <c r="D1250" i="41"/>
  <c r="D1251" i="41"/>
  <c r="D1252" i="41"/>
  <c r="D1253" i="41"/>
  <c r="D1254" i="41"/>
  <c r="D1255" i="41"/>
  <c r="D1256" i="41"/>
  <c r="D1257" i="41"/>
  <c r="D1258" i="41"/>
  <c r="D1259" i="41"/>
  <c r="D1260" i="41"/>
  <c r="D1261" i="41"/>
  <c r="D1262" i="41"/>
  <c r="D1263" i="41"/>
  <c r="D1264" i="41"/>
  <c r="D1265" i="41"/>
  <c r="D1266" i="41"/>
  <c r="D1267" i="41"/>
  <c r="D1268" i="41"/>
  <c r="D1269" i="41"/>
  <c r="D1270" i="41"/>
  <c r="D1271" i="41"/>
  <c r="D1272" i="41"/>
  <c r="D1273" i="41"/>
  <c r="D1274" i="41"/>
  <c r="D1275" i="41"/>
  <c r="D1276" i="41"/>
  <c r="D1277" i="41"/>
  <c r="D1278" i="41"/>
  <c r="D1279" i="41"/>
  <c r="D1280" i="41"/>
  <c r="D1281" i="41"/>
  <c r="D1282" i="41"/>
  <c r="D1283" i="41"/>
  <c r="D1284" i="41"/>
  <c r="D1285" i="41"/>
  <c r="D1286" i="41"/>
  <c r="D1287" i="41"/>
  <c r="D1288" i="41"/>
  <c r="D1289" i="41"/>
  <c r="D1290" i="41"/>
  <c r="D1291" i="41"/>
  <c r="D1292" i="41"/>
  <c r="D1293" i="41"/>
  <c r="D1294" i="41"/>
  <c r="D1295" i="41"/>
  <c r="D1296" i="41"/>
  <c r="D1297" i="41"/>
  <c r="D1298" i="41"/>
  <c r="D1299" i="41"/>
  <c r="D1300" i="41"/>
  <c r="D1301" i="41"/>
  <c r="D1302" i="41"/>
  <c r="D1303" i="41"/>
  <c r="D1304" i="41"/>
  <c r="D1305" i="41"/>
  <c r="D1306" i="41"/>
  <c r="D1307" i="41"/>
  <c r="D1308" i="41"/>
  <c r="D1309" i="41"/>
  <c r="D1310" i="41"/>
  <c r="D1311" i="41"/>
  <c r="D1312" i="41"/>
  <c r="D1313" i="41"/>
  <c r="D1314" i="41"/>
  <c r="D1315" i="41"/>
  <c r="D1316" i="41"/>
  <c r="D1317" i="41"/>
  <c r="D1318" i="41"/>
  <c r="D1319" i="41"/>
  <c r="D1320" i="41"/>
  <c r="D1321" i="41"/>
  <c r="D1322" i="41"/>
  <c r="D1323" i="41"/>
  <c r="D1324" i="41"/>
  <c r="D1325" i="41"/>
  <c r="D1326" i="41"/>
  <c r="D1327" i="41"/>
  <c r="D1328" i="41"/>
  <c r="D1329" i="41"/>
  <c r="D1330" i="41"/>
  <c r="D1331" i="41"/>
  <c r="D1332" i="41"/>
  <c r="D1333" i="41"/>
  <c r="D1334" i="41"/>
  <c r="D1335" i="41"/>
  <c r="D1336" i="41"/>
  <c r="D1337" i="41"/>
  <c r="D1338" i="41"/>
  <c r="D1339" i="41"/>
  <c r="D1340" i="41"/>
  <c r="D1341" i="41"/>
  <c r="D1342" i="41"/>
  <c r="D1343" i="41"/>
  <c r="D1344" i="41"/>
  <c r="D1345" i="41"/>
  <c r="D1346" i="41"/>
  <c r="D1347" i="41"/>
  <c r="D1348" i="41"/>
  <c r="D1349" i="41"/>
  <c r="D1350" i="41"/>
  <c r="D1351" i="41"/>
  <c r="D1352" i="41"/>
  <c r="D1353" i="41"/>
  <c r="D1354" i="41"/>
  <c r="D1355" i="41"/>
  <c r="D1356" i="41"/>
  <c r="D1357" i="41"/>
  <c r="D1358" i="41"/>
  <c r="D1359" i="41"/>
  <c r="D1360" i="41"/>
  <c r="D1361" i="41"/>
  <c r="D1362" i="41"/>
  <c r="D1363" i="41"/>
  <c r="D1364" i="41"/>
  <c r="D1365" i="41"/>
  <c r="D1366" i="41"/>
  <c r="D1367" i="41"/>
  <c r="D1368" i="41"/>
  <c r="D1369" i="41"/>
  <c r="D1370" i="41"/>
  <c r="D1371" i="41"/>
  <c r="D1372" i="41"/>
  <c r="D1373" i="41"/>
  <c r="D1374" i="41"/>
  <c r="D1375" i="41"/>
  <c r="D1376" i="41"/>
  <c r="D1377" i="41"/>
  <c r="D1378" i="41"/>
  <c r="D1379" i="41"/>
  <c r="D1380" i="41"/>
  <c r="D1381" i="41"/>
  <c r="D1382" i="41"/>
  <c r="D1383" i="41"/>
  <c r="D1384" i="41"/>
  <c r="D1385" i="41"/>
  <c r="D1386" i="41"/>
  <c r="D1387" i="41"/>
  <c r="D1388" i="41"/>
  <c r="D1389" i="41"/>
  <c r="D1390" i="41"/>
  <c r="D1391" i="41"/>
  <c r="D1392" i="41"/>
  <c r="D1393" i="41"/>
  <c r="D1394" i="41"/>
  <c r="D1395" i="41"/>
  <c r="D1396" i="41"/>
  <c r="D1397" i="41"/>
  <c r="D1398" i="41"/>
  <c r="D1399" i="41"/>
  <c r="D1400" i="41"/>
  <c r="D1401" i="41"/>
  <c r="D1402" i="41"/>
  <c r="D1403" i="41"/>
  <c r="D1404" i="41"/>
  <c r="D1405" i="41"/>
  <c r="D1406" i="41"/>
  <c r="D1407" i="41"/>
  <c r="D1408" i="41"/>
  <c r="D1409" i="41"/>
  <c r="D1410" i="41"/>
  <c r="D1411" i="41"/>
  <c r="D1412" i="41"/>
  <c r="D1413" i="41"/>
  <c r="D1414" i="41"/>
  <c r="D1415" i="41"/>
  <c r="D1416" i="41"/>
  <c r="D1417" i="41"/>
  <c r="D1418" i="41"/>
  <c r="D1419" i="41"/>
  <c r="D1420" i="41"/>
  <c r="D1421" i="41"/>
  <c r="D1422" i="41"/>
  <c r="D1423" i="41"/>
  <c r="D1424" i="41"/>
  <c r="D1425" i="41"/>
  <c r="D1426" i="41"/>
  <c r="D1427" i="41"/>
  <c r="D1428" i="41"/>
  <c r="D1429" i="41"/>
  <c r="D1430" i="41"/>
  <c r="D1431" i="41"/>
  <c r="D1432" i="41"/>
  <c r="D1433" i="41"/>
  <c r="D1434" i="41"/>
  <c r="D1435" i="41"/>
  <c r="D1436" i="41"/>
  <c r="D1437" i="41"/>
  <c r="D1438" i="41"/>
  <c r="D1439" i="41"/>
  <c r="D1440" i="41"/>
  <c r="D1441" i="41"/>
  <c r="D1442" i="41"/>
  <c r="D1443" i="41"/>
  <c r="D1444" i="41"/>
  <c r="D1445" i="41"/>
  <c r="D1446" i="41"/>
  <c r="D1447" i="41"/>
  <c r="D1448" i="41"/>
  <c r="D1449" i="41"/>
  <c r="D1450" i="41"/>
  <c r="D1451" i="41"/>
  <c r="D1452" i="41"/>
  <c r="D1453" i="41"/>
  <c r="D1454" i="41"/>
  <c r="D1455" i="41"/>
  <c r="D1456" i="41"/>
  <c r="D1457" i="41"/>
  <c r="D1458" i="41"/>
  <c r="D1459" i="41"/>
  <c r="D1460" i="41"/>
  <c r="D1461" i="41"/>
  <c r="D1462" i="41"/>
  <c r="D1463" i="41"/>
  <c r="D1464" i="41"/>
  <c r="D1465" i="41"/>
  <c r="D1466" i="41"/>
  <c r="D1467" i="41"/>
  <c r="D1468" i="41"/>
  <c r="D1469" i="41"/>
  <c r="D1470" i="41"/>
  <c r="D1471" i="41"/>
  <c r="D1472" i="41"/>
  <c r="D1473" i="41"/>
  <c r="D1474" i="41"/>
  <c r="D1475" i="41"/>
  <c r="D1476" i="41"/>
  <c r="D1477" i="41"/>
  <c r="D1478" i="41"/>
  <c r="D1479" i="41"/>
  <c r="D1480" i="41"/>
  <c r="D1481" i="41"/>
  <c r="D1482" i="41"/>
  <c r="D1483" i="41"/>
  <c r="D1484" i="41"/>
  <c r="D1485" i="41"/>
  <c r="D1486" i="41"/>
  <c r="D1487" i="41"/>
  <c r="D1488" i="41"/>
  <c r="D1489" i="41"/>
  <c r="D1490" i="41"/>
  <c r="D1491" i="41"/>
  <c r="D1492" i="41"/>
  <c r="D1493" i="41"/>
  <c r="D1494" i="41"/>
  <c r="D1495" i="41"/>
  <c r="D1496" i="41"/>
  <c r="D1497" i="41"/>
  <c r="D1498" i="41"/>
  <c r="D1499" i="41"/>
  <c r="D1500" i="41"/>
  <c r="D1501" i="41"/>
  <c r="D1502" i="41"/>
  <c r="D1503" i="41"/>
  <c r="D1504" i="41"/>
  <c r="D1505" i="41"/>
  <c r="D1506" i="41"/>
  <c r="D1507" i="41"/>
  <c r="D1508" i="41"/>
  <c r="D1509" i="41"/>
  <c r="D1510" i="41"/>
  <c r="D1511" i="41"/>
  <c r="D1512" i="41"/>
  <c r="D1513" i="41"/>
  <c r="D1514" i="41"/>
  <c r="D1515" i="41"/>
  <c r="D1516" i="41"/>
  <c r="D1517" i="41"/>
  <c r="D1518" i="41"/>
  <c r="D1519" i="41"/>
  <c r="D1520" i="41"/>
  <c r="D1521" i="41"/>
  <c r="D1522" i="41"/>
  <c r="D1523" i="41"/>
  <c r="D1524" i="41"/>
  <c r="D1525" i="41"/>
  <c r="D1526" i="41"/>
  <c r="D1527" i="41"/>
  <c r="D1528" i="41"/>
  <c r="D1529" i="41"/>
  <c r="D1530" i="41"/>
  <c r="D1531" i="41"/>
  <c r="D1532" i="41"/>
  <c r="D1533" i="41"/>
  <c r="D1534" i="41"/>
  <c r="D1535" i="41"/>
  <c r="D1536" i="41"/>
  <c r="D1537" i="41"/>
  <c r="D1538" i="41"/>
  <c r="D1539" i="41"/>
  <c r="D1540" i="41"/>
  <c r="D1541" i="41"/>
  <c r="D1542" i="41"/>
  <c r="D1543" i="41"/>
  <c r="D1544" i="41"/>
  <c r="D1545" i="41"/>
  <c r="D1546" i="41"/>
  <c r="D1547" i="41"/>
  <c r="D1548" i="41"/>
  <c r="D1549" i="41"/>
  <c r="D1550" i="41"/>
  <c r="D1551" i="41"/>
  <c r="D1552" i="41"/>
  <c r="D1553" i="41"/>
  <c r="D1554" i="41"/>
  <c r="D1555" i="41"/>
  <c r="D1556" i="41"/>
  <c r="D1557" i="41"/>
  <c r="D1558" i="41"/>
  <c r="D1559" i="41"/>
  <c r="D1560" i="41"/>
  <c r="D1561" i="41"/>
  <c r="D1562" i="41"/>
  <c r="D1563" i="41"/>
  <c r="D1564" i="41"/>
  <c r="D1565" i="41"/>
  <c r="D1566" i="41"/>
  <c r="D1567" i="41"/>
  <c r="D1568" i="41"/>
  <c r="D1569" i="41"/>
  <c r="D1570" i="41"/>
  <c r="D1571" i="41"/>
  <c r="D1572" i="41"/>
  <c r="D1573" i="41"/>
  <c r="D1574" i="41"/>
  <c r="D1575" i="41"/>
  <c r="D1576" i="41"/>
  <c r="D1577" i="41"/>
  <c r="D1578" i="41"/>
  <c r="D1579" i="41"/>
  <c r="D1580" i="41"/>
  <c r="D1581" i="41"/>
  <c r="D1582" i="41"/>
  <c r="D1583" i="41"/>
  <c r="D1584" i="41"/>
  <c r="D1585" i="41"/>
  <c r="D1586" i="41"/>
  <c r="D1587" i="41"/>
  <c r="D1588" i="41"/>
  <c r="D1589" i="41"/>
  <c r="D1590" i="41"/>
  <c r="D1591" i="41"/>
  <c r="D1592" i="41"/>
  <c r="D1593" i="41"/>
  <c r="D1594" i="41"/>
  <c r="D1595" i="41"/>
  <c r="D1596" i="41"/>
  <c r="D1598" i="41"/>
  <c r="D1599" i="41"/>
  <c r="D1600" i="41"/>
  <c r="D1601" i="41"/>
  <c r="D1602" i="41"/>
  <c r="D1603" i="41"/>
  <c r="D1604" i="41"/>
  <c r="D1605" i="41"/>
  <c r="D1606" i="41"/>
  <c r="D1607" i="41"/>
  <c r="D1608" i="41"/>
  <c r="D1609" i="41"/>
  <c r="D1610" i="41"/>
  <c r="D1611" i="41"/>
  <c r="D1612" i="41"/>
  <c r="D1613" i="41"/>
  <c r="D1614" i="41"/>
  <c r="AB244" i="40" l="1"/>
  <c r="AB212" i="40"/>
  <c r="AA205" i="40"/>
  <c r="E531" i="41" l="1"/>
  <c r="E525" i="41"/>
  <c r="E682" i="41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5" i="40"/>
  <c r="AB246" i="40"/>
  <c r="AB247" i="40"/>
  <c r="AB248" i="40"/>
  <c r="AB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177" i="40"/>
  <c r="E595" i="41"/>
  <c r="E662" i="41"/>
  <c r="E533" i="41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80" i="40"/>
  <c r="E559" i="41"/>
  <c r="E560" i="41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60" i="40"/>
  <c r="E633" i="41"/>
  <c r="E652" i="41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9" i="40"/>
  <c r="AA10" i="40"/>
  <c r="AA11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9" i="40"/>
  <c r="G1532" i="42"/>
  <c r="F1532" i="42"/>
  <c r="G1531" i="42"/>
  <c r="F1531" i="42"/>
  <c r="G1530" i="42"/>
  <c r="F1530" i="42"/>
  <c r="G1529" i="42"/>
  <c r="F1529" i="42"/>
  <c r="G1528" i="42"/>
  <c r="F1528" i="42"/>
  <c r="G1527" i="42"/>
  <c r="F1527" i="42"/>
  <c r="G1526" i="42"/>
  <c r="F1526" i="42"/>
  <c r="G1525" i="42"/>
  <c r="F1525" i="42"/>
  <c r="G1524" i="42"/>
  <c r="F1524" i="42"/>
  <c r="G1523" i="42"/>
  <c r="F1523" i="42"/>
  <c r="G1522" i="42"/>
  <c r="F1522" i="42"/>
  <c r="G1521" i="42"/>
  <c r="F1521" i="42"/>
  <c r="G1520" i="42"/>
  <c r="F1520" i="42"/>
  <c r="G1519" i="42"/>
  <c r="F1519" i="42"/>
  <c r="G1518" i="42"/>
  <c r="F1518" i="42"/>
  <c r="G1517" i="42"/>
  <c r="F1517" i="42"/>
  <c r="G1516" i="42"/>
  <c r="F1516" i="42"/>
  <c r="G1515" i="42"/>
  <c r="F1515" i="42"/>
  <c r="G1514" i="42"/>
  <c r="F1514" i="42"/>
  <c r="G1513" i="42"/>
  <c r="F1513" i="42"/>
  <c r="G1512" i="42"/>
  <c r="F1512" i="42"/>
  <c r="G1511" i="42"/>
  <c r="F1511" i="42"/>
  <c r="G1510" i="42"/>
  <c r="F1510" i="42"/>
  <c r="G1509" i="42"/>
  <c r="F1509" i="42"/>
  <c r="G1508" i="42"/>
  <c r="F1508" i="42"/>
  <c r="G1507" i="42"/>
  <c r="F1507" i="42"/>
  <c r="G1506" i="42"/>
  <c r="F1506" i="42"/>
  <c r="G1505" i="42"/>
  <c r="F1505" i="42"/>
  <c r="G1504" i="42"/>
  <c r="F1504" i="42"/>
  <c r="G1503" i="42"/>
  <c r="F1503" i="42"/>
  <c r="G1502" i="42"/>
  <c r="F1502" i="42"/>
  <c r="G1501" i="42"/>
  <c r="F1501" i="42"/>
  <c r="G1500" i="42"/>
  <c r="F1500" i="42"/>
  <c r="G1499" i="42"/>
  <c r="F1499" i="42"/>
  <c r="G1498" i="42"/>
  <c r="F1498" i="42"/>
  <c r="G1497" i="42"/>
  <c r="F1497" i="42"/>
  <c r="G1496" i="42"/>
  <c r="F1496" i="42"/>
  <c r="G1495" i="42"/>
  <c r="F1495" i="42"/>
  <c r="G1494" i="42"/>
  <c r="F1494" i="42"/>
  <c r="G1493" i="42"/>
  <c r="F1493" i="42"/>
  <c r="G1492" i="42"/>
  <c r="F1492" i="42"/>
  <c r="G1491" i="42"/>
  <c r="F1491" i="42"/>
  <c r="G1490" i="42"/>
  <c r="F1490" i="42"/>
  <c r="G1489" i="42"/>
  <c r="F1489" i="42"/>
  <c r="G1488" i="42"/>
  <c r="F1488" i="42"/>
  <c r="G1487" i="42"/>
  <c r="F1487" i="42"/>
  <c r="G1486" i="42"/>
  <c r="F1486" i="42"/>
  <c r="G1485" i="42"/>
  <c r="F1485" i="42"/>
  <c r="G1484" i="42"/>
  <c r="F1484" i="42"/>
  <c r="G1483" i="42"/>
  <c r="F1483" i="42"/>
  <c r="G1482" i="42"/>
  <c r="F1482" i="42"/>
  <c r="G1481" i="42"/>
  <c r="F1481" i="42"/>
  <c r="G1480" i="42"/>
  <c r="F1480" i="42"/>
  <c r="G1479" i="42"/>
  <c r="F1479" i="42"/>
  <c r="G1478" i="42"/>
  <c r="F1478" i="42"/>
  <c r="G1477" i="42"/>
  <c r="F1477" i="42"/>
  <c r="G1476" i="42"/>
  <c r="F1476" i="42"/>
  <c r="G1475" i="42"/>
  <c r="F1475" i="42"/>
  <c r="G1474" i="42"/>
  <c r="F1474" i="42"/>
  <c r="G1473" i="42"/>
  <c r="F1473" i="42"/>
  <c r="G1472" i="42"/>
  <c r="F1472" i="42"/>
  <c r="G1471" i="42"/>
  <c r="F1471" i="42"/>
  <c r="G1470" i="42"/>
  <c r="F1470" i="42"/>
  <c r="G1469" i="42"/>
  <c r="F1469" i="42"/>
  <c r="G1468" i="42"/>
  <c r="F1468" i="42"/>
  <c r="G1467" i="42"/>
  <c r="F1467" i="42"/>
  <c r="G1466" i="42"/>
  <c r="F1466" i="42"/>
  <c r="G1465" i="42"/>
  <c r="F1465" i="42"/>
  <c r="G1464" i="42"/>
  <c r="F1464" i="42"/>
  <c r="G1463" i="42"/>
  <c r="F1463" i="42"/>
  <c r="G1462" i="42"/>
  <c r="F1462" i="42"/>
  <c r="G1461" i="42"/>
  <c r="F1461" i="42"/>
  <c r="G1460" i="42"/>
  <c r="F1460" i="42"/>
  <c r="G1459" i="42"/>
  <c r="F1459" i="42"/>
  <c r="G1458" i="42"/>
  <c r="F1458" i="42"/>
  <c r="G1457" i="42"/>
  <c r="F1457" i="42"/>
  <c r="G1456" i="42"/>
  <c r="F1456" i="42"/>
  <c r="G1455" i="42"/>
  <c r="F1455" i="42"/>
  <c r="G1454" i="42"/>
  <c r="F1454" i="42"/>
  <c r="G1453" i="42"/>
  <c r="F1453" i="42"/>
  <c r="G1452" i="42"/>
  <c r="F1452" i="42"/>
  <c r="G1451" i="42"/>
  <c r="F1451" i="42"/>
  <c r="G1450" i="42"/>
  <c r="F1450" i="42"/>
  <c r="G1449" i="42"/>
  <c r="F1449" i="42"/>
  <c r="G1448" i="42"/>
  <c r="F1448" i="42"/>
  <c r="G1447" i="42"/>
  <c r="F1447" i="42"/>
  <c r="G1446" i="42"/>
  <c r="F1446" i="42"/>
  <c r="G1445" i="42"/>
  <c r="F1445" i="42"/>
  <c r="G1444" i="42"/>
  <c r="F1444" i="42"/>
  <c r="G1443" i="42"/>
  <c r="F1443" i="42"/>
  <c r="G1442" i="42"/>
  <c r="F1442" i="42"/>
  <c r="G1441" i="42"/>
  <c r="F1441" i="42"/>
  <c r="G1440" i="42"/>
  <c r="F1440" i="42"/>
  <c r="G1439" i="42"/>
  <c r="F1439" i="42"/>
  <c r="G1438" i="42"/>
  <c r="F1438" i="42"/>
  <c r="G1437" i="42"/>
  <c r="F1437" i="42"/>
  <c r="G1436" i="42"/>
  <c r="F1436" i="42"/>
  <c r="G1435" i="42"/>
  <c r="F1435" i="42"/>
  <c r="G1434" i="42"/>
  <c r="F1434" i="42"/>
  <c r="G1433" i="42"/>
  <c r="F1433" i="42"/>
  <c r="G1432" i="42"/>
  <c r="F1432" i="42"/>
  <c r="G1431" i="42"/>
  <c r="F1431" i="42"/>
  <c r="G1430" i="42"/>
  <c r="F1430" i="42"/>
  <c r="G1429" i="42"/>
  <c r="F1429" i="42"/>
  <c r="G1428" i="42"/>
  <c r="F1428" i="42"/>
  <c r="G1427" i="42"/>
  <c r="F1427" i="42"/>
  <c r="G1426" i="42"/>
  <c r="F1426" i="42"/>
  <c r="G1425" i="42"/>
  <c r="F1425" i="42"/>
  <c r="G1424" i="42"/>
  <c r="F1424" i="42"/>
  <c r="G1423" i="42"/>
  <c r="F1423" i="42"/>
  <c r="G1422" i="42"/>
  <c r="F1422" i="42"/>
  <c r="G1421" i="42"/>
  <c r="F1421" i="42"/>
  <c r="G1420" i="42"/>
  <c r="F1420" i="42"/>
  <c r="G1419" i="42"/>
  <c r="F1419" i="42"/>
  <c r="G1418" i="42"/>
  <c r="F1418" i="42"/>
  <c r="G1417" i="42"/>
  <c r="F1417" i="42"/>
  <c r="G1416" i="42"/>
  <c r="F1416" i="42"/>
  <c r="G1415" i="42"/>
  <c r="F1415" i="42"/>
  <c r="G1414" i="42"/>
  <c r="F1414" i="42"/>
  <c r="G1413" i="42"/>
  <c r="F1413" i="42"/>
  <c r="G1412" i="42"/>
  <c r="F1412" i="42"/>
  <c r="G1411" i="42"/>
  <c r="F1411" i="42"/>
  <c r="G1410" i="42"/>
  <c r="F1410" i="42"/>
  <c r="G1409" i="42"/>
  <c r="F1409" i="42"/>
  <c r="G1408" i="42"/>
  <c r="F1408" i="42"/>
  <c r="G1407" i="42"/>
  <c r="F1407" i="42"/>
  <c r="G1406" i="42"/>
  <c r="F1406" i="42"/>
  <c r="G1405" i="42"/>
  <c r="F1405" i="42"/>
  <c r="G1404" i="42"/>
  <c r="F1404" i="42"/>
  <c r="G1403" i="42"/>
  <c r="F1403" i="42"/>
  <c r="G1402" i="42"/>
  <c r="F1402" i="42"/>
  <c r="G1401" i="42"/>
  <c r="G1400" i="42"/>
  <c r="G1399" i="42"/>
  <c r="G1398" i="42"/>
  <c r="G1397" i="42"/>
  <c r="G1396" i="42"/>
  <c r="G1395" i="42"/>
  <c r="G1394" i="42"/>
  <c r="G1393" i="42"/>
  <c r="G1392" i="42"/>
  <c r="G1391" i="42"/>
  <c r="G1390" i="42"/>
  <c r="G1389" i="42"/>
  <c r="G1388" i="42"/>
  <c r="F1388" i="42"/>
  <c r="G1387" i="42"/>
  <c r="F1387" i="42"/>
  <c r="G1386" i="42"/>
  <c r="F1386" i="42"/>
  <c r="G1385" i="42"/>
  <c r="F1385" i="42"/>
  <c r="G1384" i="42"/>
  <c r="F1384" i="42"/>
  <c r="G1383" i="42"/>
  <c r="F1383" i="42"/>
  <c r="G1382" i="42"/>
  <c r="F1382" i="42"/>
  <c r="G1381" i="42"/>
  <c r="F1381" i="42"/>
  <c r="G1380" i="42"/>
  <c r="F1380" i="42"/>
  <c r="G1379" i="42"/>
  <c r="F1379" i="42"/>
  <c r="G1378" i="42"/>
  <c r="F1378" i="42"/>
  <c r="G1377" i="42"/>
  <c r="F1377" i="42"/>
  <c r="G1376" i="42"/>
  <c r="F1376" i="42"/>
  <c r="G1375" i="42"/>
  <c r="F1375" i="42"/>
  <c r="G1374" i="42"/>
  <c r="F1374" i="42"/>
  <c r="G1373" i="42"/>
  <c r="F1373" i="42"/>
  <c r="G1372" i="42"/>
  <c r="F1372" i="42"/>
  <c r="G1371" i="42"/>
  <c r="F1371" i="42"/>
  <c r="G1370" i="42"/>
  <c r="F1370" i="42"/>
  <c r="G1369" i="42"/>
  <c r="F1369" i="42"/>
  <c r="G1368" i="42"/>
  <c r="F1368" i="42"/>
  <c r="G1367" i="42"/>
  <c r="F1367" i="42"/>
  <c r="G1366" i="42"/>
  <c r="F1366" i="42"/>
  <c r="G1365" i="42"/>
  <c r="F1365" i="42"/>
  <c r="G1364" i="42"/>
  <c r="F1364" i="42"/>
  <c r="G1363" i="42"/>
  <c r="F1363" i="42"/>
  <c r="G1362" i="42"/>
  <c r="F1362" i="42"/>
  <c r="G1361" i="42"/>
  <c r="F1361" i="42"/>
  <c r="G1360" i="42"/>
  <c r="F1360" i="42"/>
  <c r="G1359" i="42"/>
  <c r="F1359" i="42"/>
  <c r="G1358" i="42"/>
  <c r="F1358" i="42"/>
  <c r="G1357" i="42"/>
  <c r="G1356" i="42"/>
  <c r="G1355" i="42"/>
  <c r="G1354" i="42"/>
  <c r="F1354" i="42"/>
  <c r="G1353" i="42"/>
  <c r="F1353" i="42"/>
  <c r="G1352" i="42"/>
  <c r="F1352" i="42"/>
  <c r="G1351" i="42"/>
  <c r="F1351" i="42"/>
  <c r="G1350" i="42"/>
  <c r="F1350" i="42"/>
  <c r="G1349" i="42"/>
  <c r="F1349" i="42"/>
  <c r="G1348" i="42"/>
  <c r="F1348" i="42"/>
  <c r="G1347" i="42"/>
  <c r="F1347" i="42"/>
  <c r="G1346" i="42"/>
  <c r="F1346" i="42"/>
  <c r="G1345" i="42"/>
  <c r="F1345" i="42"/>
  <c r="G1344" i="42"/>
  <c r="F1344" i="42"/>
  <c r="G1343" i="42"/>
  <c r="G1342" i="42"/>
  <c r="G1341" i="42"/>
  <c r="G1340" i="42"/>
  <c r="F1340" i="42"/>
  <c r="G1339" i="42"/>
  <c r="F1339" i="42"/>
  <c r="G1338" i="42"/>
  <c r="F1338" i="42"/>
  <c r="G1337" i="42"/>
  <c r="F1337" i="42"/>
  <c r="G1336" i="42"/>
  <c r="F1336" i="42"/>
  <c r="G1335" i="42"/>
  <c r="F1335" i="42"/>
  <c r="G1334" i="42"/>
  <c r="F1334" i="42"/>
  <c r="G1333" i="42"/>
  <c r="F1333" i="42"/>
  <c r="G1332" i="42"/>
  <c r="F1332" i="42"/>
  <c r="G1331" i="42"/>
  <c r="F1331" i="42"/>
  <c r="G1330" i="42"/>
  <c r="F1330" i="42"/>
  <c r="G1329" i="42"/>
  <c r="F1329" i="42"/>
  <c r="G1328" i="42"/>
  <c r="F1328" i="42"/>
  <c r="G1327" i="42"/>
  <c r="F1327" i="42"/>
  <c r="G1326" i="42"/>
  <c r="F1326" i="42"/>
  <c r="G1325" i="42"/>
  <c r="F1325" i="42"/>
  <c r="G1324" i="42"/>
  <c r="F1324" i="42"/>
  <c r="G1323" i="42"/>
  <c r="F1323" i="42"/>
  <c r="G1322" i="42"/>
  <c r="F1322" i="42"/>
  <c r="G1321" i="42"/>
  <c r="F1321" i="42"/>
  <c r="G1320" i="42"/>
  <c r="F1320" i="42"/>
  <c r="G1319" i="42"/>
  <c r="F1319" i="42"/>
  <c r="G1318" i="42"/>
  <c r="F1318" i="42"/>
  <c r="G1317" i="42"/>
  <c r="F1317" i="42"/>
  <c r="G1316" i="42"/>
  <c r="F1316" i="42"/>
  <c r="G1315" i="42"/>
  <c r="F1315" i="42"/>
  <c r="G1314" i="42"/>
  <c r="F1314" i="42"/>
  <c r="G1313" i="42"/>
  <c r="F1313" i="42"/>
  <c r="G1312" i="42"/>
  <c r="F1312" i="42"/>
  <c r="G1311" i="42"/>
  <c r="F1311" i="42"/>
  <c r="G1310" i="42"/>
  <c r="F1310" i="42"/>
  <c r="G1309" i="42"/>
  <c r="F1309" i="42"/>
  <c r="G1308" i="42"/>
  <c r="F1308" i="42"/>
  <c r="G1307" i="42"/>
  <c r="F1307" i="42"/>
  <c r="G1306" i="42"/>
  <c r="F1306" i="42"/>
  <c r="G1305" i="42"/>
  <c r="F1305" i="42"/>
  <c r="G1304" i="42"/>
  <c r="F1304" i="42"/>
  <c r="G1303" i="42"/>
  <c r="F1303" i="42"/>
  <c r="G1302" i="42"/>
  <c r="F1302" i="42"/>
  <c r="G1301" i="42"/>
  <c r="F1301" i="42"/>
  <c r="G1300" i="42"/>
  <c r="F1300" i="42"/>
  <c r="G1299" i="42"/>
  <c r="F1299" i="42"/>
  <c r="G1298" i="42"/>
  <c r="F1298" i="42"/>
  <c r="G1297" i="42"/>
  <c r="F1297" i="42"/>
  <c r="G1296" i="42"/>
  <c r="F1296" i="42"/>
  <c r="G1295" i="42"/>
  <c r="F1295" i="42"/>
  <c r="G1294" i="42"/>
  <c r="F1294" i="42"/>
  <c r="G1293" i="42"/>
  <c r="F1293" i="42"/>
  <c r="G1292" i="42"/>
  <c r="F1292" i="42"/>
  <c r="G1291" i="42"/>
  <c r="F1291" i="42"/>
  <c r="G1290" i="42"/>
  <c r="F1290" i="42"/>
  <c r="G1289" i="42"/>
  <c r="F1289" i="42"/>
  <c r="G1288" i="42"/>
  <c r="F1288" i="42"/>
  <c r="G1287" i="42"/>
  <c r="F1287" i="42"/>
  <c r="G1286" i="42"/>
  <c r="F1286" i="42"/>
  <c r="G1285" i="42"/>
  <c r="F1285" i="42"/>
  <c r="G1284" i="42"/>
  <c r="F1284" i="42"/>
  <c r="G1283" i="42"/>
  <c r="F1283" i="42"/>
  <c r="G1282" i="42"/>
  <c r="F1282" i="42"/>
  <c r="G1281" i="42"/>
  <c r="F1281" i="42"/>
  <c r="G1280" i="42"/>
  <c r="F1280" i="42"/>
  <c r="G1279" i="42"/>
  <c r="F1279" i="42"/>
  <c r="G1278" i="42"/>
  <c r="F1278" i="42"/>
  <c r="G1277" i="42"/>
  <c r="F1277" i="42"/>
  <c r="G1276" i="42"/>
  <c r="F1276" i="42"/>
  <c r="G1275" i="42"/>
  <c r="F1275" i="42"/>
  <c r="G1274" i="42"/>
  <c r="F1274" i="42"/>
  <c r="G1273" i="42"/>
  <c r="F1273" i="42"/>
  <c r="G1272" i="42"/>
  <c r="F1272" i="42"/>
  <c r="G1271" i="42"/>
  <c r="F1271" i="42"/>
  <c r="G1270" i="42"/>
  <c r="F1270" i="42"/>
  <c r="G1269" i="42"/>
  <c r="F1269" i="42"/>
  <c r="G1268" i="42"/>
  <c r="F1268" i="42"/>
  <c r="G1267" i="42"/>
  <c r="F1267" i="42"/>
  <c r="G1266" i="42"/>
  <c r="F1266" i="42"/>
  <c r="G1265" i="42"/>
  <c r="F1265" i="42"/>
  <c r="G1264" i="42"/>
  <c r="F1264" i="42"/>
  <c r="G1263" i="42"/>
  <c r="F1263" i="42"/>
  <c r="G1262" i="42"/>
  <c r="F1262" i="42"/>
  <c r="G1261" i="42"/>
  <c r="F1261" i="42"/>
  <c r="G1260" i="42"/>
  <c r="F1260" i="42"/>
  <c r="G1259" i="42"/>
  <c r="F1259" i="42"/>
  <c r="G1258" i="42"/>
  <c r="F1258" i="42"/>
  <c r="G1257" i="42"/>
  <c r="F1257" i="42"/>
  <c r="G1256" i="42"/>
  <c r="F1256" i="42"/>
  <c r="G1255" i="42"/>
  <c r="F1255" i="42"/>
  <c r="G1254" i="42"/>
  <c r="F1254" i="42"/>
  <c r="G1253" i="42"/>
  <c r="F1253" i="42"/>
  <c r="G1252" i="42"/>
  <c r="F1252" i="42"/>
  <c r="G1251" i="42"/>
  <c r="F1251" i="42"/>
  <c r="G1250" i="42"/>
  <c r="F1250" i="42"/>
  <c r="G1249" i="42"/>
  <c r="F1249" i="42"/>
  <c r="G1248" i="42"/>
  <c r="F1248" i="42"/>
  <c r="G1247" i="42"/>
  <c r="F1247" i="42"/>
  <c r="G1246" i="42"/>
  <c r="F1246" i="42"/>
  <c r="G1245" i="42"/>
  <c r="F1245" i="42"/>
  <c r="G1244" i="42"/>
  <c r="F1244" i="42"/>
  <c r="G1243" i="42"/>
  <c r="F1243" i="42"/>
  <c r="G1242" i="42"/>
  <c r="F1242" i="42"/>
  <c r="G1241" i="42"/>
  <c r="F1241" i="42"/>
  <c r="G1240" i="42"/>
  <c r="F1240" i="42"/>
  <c r="G1239" i="42"/>
  <c r="F1239" i="42"/>
  <c r="G1238" i="42"/>
  <c r="F1238" i="42"/>
  <c r="G1237" i="42"/>
  <c r="F1237" i="42"/>
  <c r="G1236" i="42"/>
  <c r="F1236" i="42"/>
  <c r="G1235" i="42"/>
  <c r="F1235" i="42"/>
  <c r="G1234" i="42"/>
  <c r="F1234" i="42"/>
  <c r="G1233" i="42"/>
  <c r="F1233" i="42"/>
  <c r="G1232" i="42"/>
  <c r="F1232" i="42"/>
  <c r="G1231" i="42"/>
  <c r="F1231" i="42"/>
  <c r="G1230" i="42"/>
  <c r="F1230" i="42"/>
  <c r="G1229" i="42"/>
  <c r="F1229" i="42"/>
  <c r="G1228" i="42"/>
  <c r="F1228" i="42"/>
  <c r="G1227" i="42"/>
  <c r="F1227" i="42"/>
  <c r="G1226" i="42"/>
  <c r="F1226" i="42"/>
  <c r="G1225" i="42"/>
  <c r="F1225" i="42"/>
  <c r="G1224" i="42"/>
  <c r="F1224" i="42"/>
  <c r="G1223" i="42"/>
  <c r="F1223" i="42"/>
  <c r="G1222" i="42"/>
  <c r="F1222" i="42"/>
  <c r="G1221" i="42"/>
  <c r="F1221" i="42"/>
  <c r="G1220" i="42"/>
  <c r="F1220" i="42"/>
  <c r="G1219" i="42"/>
  <c r="F1219" i="42"/>
  <c r="G1218" i="42"/>
  <c r="F1218" i="42"/>
  <c r="G1217" i="42"/>
  <c r="F1217" i="42"/>
  <c r="G1216" i="42"/>
  <c r="F1216" i="42"/>
  <c r="G1215" i="42"/>
  <c r="F1215" i="42"/>
  <c r="G1214" i="42"/>
  <c r="F1214" i="42"/>
  <c r="G1213" i="42"/>
  <c r="F1213" i="42"/>
  <c r="G1212" i="42"/>
  <c r="F1212" i="42"/>
  <c r="G1211" i="42"/>
  <c r="F1211" i="42"/>
  <c r="G1210" i="42"/>
  <c r="F1210" i="42"/>
  <c r="G1209" i="42"/>
  <c r="F1209" i="42"/>
  <c r="G1208" i="42"/>
  <c r="F1208" i="42"/>
  <c r="G1207" i="42"/>
  <c r="F1207" i="42"/>
  <c r="G1206" i="42"/>
  <c r="F1206" i="42"/>
  <c r="G1205" i="42"/>
  <c r="F1205" i="42"/>
  <c r="G1204" i="42"/>
  <c r="F1204" i="42"/>
  <c r="G1203" i="42"/>
  <c r="F1203" i="42"/>
  <c r="G1202" i="42"/>
  <c r="F1202" i="42"/>
  <c r="G1201" i="42"/>
  <c r="F1201" i="42"/>
  <c r="G1200" i="42"/>
  <c r="F1200" i="42"/>
  <c r="G1199" i="42"/>
  <c r="F1199" i="42"/>
  <c r="G1198" i="42"/>
  <c r="F1198" i="42"/>
  <c r="G1197" i="42"/>
  <c r="F1197" i="42"/>
  <c r="G1196" i="42"/>
  <c r="G1195" i="42"/>
  <c r="F1195" i="42"/>
  <c r="G1194" i="42"/>
  <c r="F1194" i="42"/>
  <c r="G1193" i="42"/>
  <c r="F1193" i="42"/>
  <c r="G1192" i="42"/>
  <c r="F1192" i="42"/>
  <c r="G1191" i="42"/>
  <c r="F1191" i="42"/>
  <c r="G1190" i="42"/>
  <c r="F1190" i="42"/>
  <c r="G1189" i="42"/>
  <c r="F1189" i="42"/>
  <c r="G1188" i="42"/>
  <c r="F1188" i="42"/>
  <c r="G1187" i="42"/>
  <c r="F1187" i="42"/>
  <c r="G1186" i="42"/>
  <c r="F1186" i="42"/>
  <c r="G1185" i="42"/>
  <c r="F1185" i="42"/>
  <c r="G1184" i="42"/>
  <c r="F1184" i="42"/>
  <c r="G1183" i="42"/>
  <c r="F1183" i="42"/>
  <c r="G1182" i="42"/>
  <c r="F1182" i="42"/>
  <c r="G1181" i="42"/>
  <c r="F1181" i="42"/>
  <c r="G1180" i="42"/>
  <c r="G1179" i="42"/>
  <c r="F1179" i="42"/>
  <c r="G1178" i="42"/>
  <c r="F1178" i="42"/>
  <c r="G1177" i="42"/>
  <c r="F1177" i="42"/>
  <c r="G1176" i="42"/>
  <c r="F1176" i="42"/>
  <c r="G1175" i="42"/>
  <c r="F1175" i="42"/>
  <c r="G1174" i="42"/>
  <c r="F1174" i="42"/>
  <c r="G1173" i="42"/>
  <c r="F1173" i="42"/>
  <c r="G1172" i="42"/>
  <c r="F1172" i="42"/>
  <c r="G1171" i="42"/>
  <c r="G1170" i="42"/>
  <c r="F1170" i="42"/>
  <c r="G1169" i="42"/>
  <c r="F1169" i="42"/>
  <c r="G1168" i="42"/>
  <c r="F1168" i="42"/>
  <c r="G1167" i="42"/>
  <c r="F1167" i="42"/>
  <c r="G1166" i="42"/>
  <c r="F1166" i="42"/>
  <c r="G1165" i="42"/>
  <c r="F1165" i="42"/>
  <c r="G1164" i="42"/>
  <c r="F1164" i="42"/>
  <c r="G1163" i="42"/>
  <c r="F1163" i="42"/>
  <c r="G1162" i="42"/>
  <c r="F1162" i="42"/>
  <c r="G1161" i="42"/>
  <c r="F1161" i="42"/>
  <c r="G1160" i="42"/>
  <c r="F1160" i="42"/>
  <c r="G1159" i="42"/>
  <c r="F1159" i="42"/>
  <c r="G1158" i="42"/>
  <c r="F1158" i="42"/>
  <c r="G1157" i="42"/>
  <c r="F1157" i="42"/>
  <c r="G1156" i="42"/>
  <c r="F1156" i="42"/>
  <c r="G1155" i="42"/>
  <c r="F1155" i="42"/>
  <c r="G1154" i="42"/>
  <c r="F1154" i="42"/>
  <c r="G1153" i="42"/>
  <c r="F1153" i="42"/>
  <c r="G1152" i="42"/>
  <c r="F1152" i="42"/>
  <c r="G1151" i="42"/>
  <c r="F1151" i="42"/>
  <c r="G1150" i="42"/>
  <c r="F1150" i="42"/>
  <c r="G1149" i="42"/>
  <c r="F1149" i="42"/>
  <c r="G1148" i="42"/>
  <c r="F1148" i="42"/>
  <c r="G1147" i="42"/>
  <c r="F1147" i="42"/>
  <c r="G1146" i="42"/>
  <c r="F1146" i="42"/>
  <c r="G1145" i="42"/>
  <c r="F1145" i="42"/>
  <c r="G1144" i="42"/>
  <c r="G1143" i="42"/>
  <c r="G1142" i="42"/>
  <c r="G1141" i="42"/>
  <c r="G1140" i="42"/>
  <c r="G1139" i="42"/>
  <c r="G1138" i="42"/>
  <c r="G1137" i="42"/>
  <c r="G1136" i="42"/>
  <c r="G1135" i="42"/>
  <c r="G1134" i="42"/>
  <c r="G1133" i="42"/>
  <c r="G1132" i="42"/>
  <c r="G1131" i="42"/>
  <c r="G1130" i="42"/>
  <c r="G1129" i="42"/>
  <c r="G1128" i="42"/>
  <c r="G1127" i="42"/>
  <c r="G1126" i="42"/>
  <c r="G1125" i="42"/>
  <c r="G1124" i="42"/>
  <c r="G1123" i="42"/>
  <c r="G1122" i="42"/>
  <c r="G1121" i="42"/>
  <c r="F1121" i="42"/>
  <c r="G1120" i="42"/>
  <c r="F1120" i="42"/>
  <c r="G1119" i="42"/>
  <c r="F1119" i="42"/>
  <c r="G1118" i="42"/>
  <c r="F1118" i="42"/>
  <c r="G1117" i="42"/>
  <c r="F1117" i="42"/>
  <c r="G1116" i="42"/>
  <c r="F1116" i="42"/>
  <c r="G1115" i="42"/>
  <c r="F1115" i="42"/>
  <c r="G1114" i="42"/>
  <c r="F1114" i="42"/>
  <c r="G1113" i="42"/>
  <c r="F1113" i="42"/>
  <c r="G1112" i="42"/>
  <c r="F1112" i="42"/>
  <c r="G1111" i="42"/>
  <c r="F1111" i="42"/>
  <c r="G1110" i="42"/>
  <c r="F1110" i="42"/>
  <c r="G1109" i="42"/>
  <c r="F1109" i="42"/>
  <c r="G1108" i="42"/>
  <c r="F1108" i="42"/>
  <c r="G1107" i="42"/>
  <c r="F1107" i="42"/>
  <c r="G1106" i="42"/>
  <c r="F1106" i="42"/>
  <c r="G1105" i="42"/>
  <c r="F1105" i="42"/>
  <c r="G1104" i="42"/>
  <c r="F1104" i="42"/>
  <c r="G1103" i="42"/>
  <c r="F1103" i="42"/>
  <c r="G1102" i="42"/>
  <c r="G1101" i="42"/>
  <c r="F1101" i="42"/>
  <c r="G1100" i="42"/>
  <c r="F1100" i="42"/>
  <c r="G1099" i="42"/>
  <c r="F1099" i="42"/>
  <c r="G1098" i="42"/>
  <c r="F1098" i="42"/>
  <c r="G1097" i="42"/>
  <c r="F1097" i="42"/>
  <c r="G1096" i="42"/>
  <c r="F1096" i="42"/>
  <c r="G1095" i="42"/>
  <c r="F1095" i="42"/>
  <c r="G1094" i="42"/>
  <c r="F1094" i="42"/>
  <c r="G1093" i="42"/>
  <c r="F1093" i="42"/>
  <c r="G1092" i="42"/>
  <c r="F1092" i="42"/>
  <c r="G1091" i="42"/>
  <c r="F1091" i="42"/>
  <c r="G1090" i="42"/>
  <c r="F1090" i="42"/>
  <c r="G1089" i="42"/>
  <c r="F1089" i="42"/>
  <c r="G1088" i="42"/>
  <c r="F1088" i="42"/>
  <c r="G1087" i="42"/>
  <c r="F1087" i="42"/>
  <c r="G1086" i="42"/>
  <c r="F1086" i="42"/>
  <c r="G1085" i="42"/>
  <c r="F1085" i="42"/>
  <c r="G1084" i="42"/>
  <c r="F1084" i="42"/>
  <c r="G1083" i="42"/>
  <c r="F1083" i="42"/>
  <c r="G1082" i="42"/>
  <c r="F1082" i="42"/>
  <c r="G1081" i="42"/>
  <c r="F1081" i="42"/>
  <c r="G1080" i="42"/>
  <c r="F1080" i="42"/>
  <c r="G1079" i="42"/>
  <c r="F1079" i="42"/>
  <c r="G1078" i="42"/>
  <c r="F1078" i="42"/>
  <c r="G1077" i="42"/>
  <c r="F1077" i="42"/>
  <c r="G1076" i="42"/>
  <c r="F1076" i="42"/>
  <c r="G1075" i="42"/>
  <c r="F1075" i="42"/>
  <c r="G1074" i="42"/>
  <c r="F1074" i="42"/>
  <c r="G1073" i="42"/>
  <c r="F1073" i="42"/>
  <c r="G1072" i="42"/>
  <c r="F1072" i="42"/>
  <c r="G1071" i="42"/>
  <c r="F1071" i="42"/>
  <c r="G1070" i="42"/>
  <c r="F1070" i="42"/>
  <c r="G1069" i="42"/>
  <c r="F1069" i="42"/>
  <c r="G1068" i="42"/>
  <c r="F1068" i="42"/>
  <c r="G1067" i="42"/>
  <c r="F1067" i="42"/>
  <c r="G1066" i="42"/>
  <c r="F1066" i="42"/>
  <c r="G1065" i="42"/>
  <c r="F1065" i="42"/>
  <c r="G1064" i="42"/>
  <c r="F1064" i="42"/>
  <c r="G1063" i="42"/>
  <c r="F1063" i="42"/>
  <c r="G1062" i="42"/>
  <c r="F1062" i="42"/>
  <c r="G1061" i="42"/>
  <c r="F1061" i="42"/>
  <c r="G1060" i="42"/>
  <c r="F1060" i="42"/>
  <c r="G1059" i="42"/>
  <c r="F1059" i="42"/>
  <c r="G1058" i="42"/>
  <c r="F1058" i="42"/>
  <c r="G1057" i="42"/>
  <c r="F1057" i="42"/>
  <c r="G1056" i="42"/>
  <c r="F1056" i="42"/>
  <c r="G1055" i="42"/>
  <c r="F1055" i="42"/>
  <c r="G1054" i="42"/>
  <c r="F1054" i="42"/>
  <c r="G1053" i="42"/>
  <c r="F1053" i="42"/>
  <c r="G1052" i="42"/>
  <c r="F1052" i="42"/>
  <c r="G1051" i="42"/>
  <c r="F1051" i="42"/>
  <c r="G1050" i="42"/>
  <c r="F1050" i="42"/>
  <c r="G1049" i="42"/>
  <c r="F1049" i="42"/>
  <c r="G1048" i="42"/>
  <c r="F1048" i="42"/>
  <c r="G1047" i="42"/>
  <c r="F1047" i="42"/>
  <c r="G1046" i="42"/>
  <c r="F1046" i="42"/>
  <c r="G1045" i="42"/>
  <c r="F1045" i="42"/>
  <c r="G1044" i="42"/>
  <c r="F1044" i="42"/>
  <c r="G1043" i="42"/>
  <c r="F1043" i="42"/>
  <c r="G1042" i="42"/>
  <c r="F1042" i="42"/>
  <c r="G1041" i="42"/>
  <c r="F1041" i="42"/>
  <c r="G1040" i="42"/>
  <c r="F1040" i="42"/>
  <c r="G1039" i="42"/>
  <c r="F1039" i="42"/>
  <c r="G1038" i="42"/>
  <c r="F1038" i="42"/>
  <c r="G1037" i="42"/>
  <c r="F1037" i="42"/>
  <c r="G1036" i="42"/>
  <c r="F1036" i="42"/>
  <c r="G1035" i="42"/>
  <c r="F1035" i="42"/>
  <c r="G1034" i="42"/>
  <c r="F1034" i="42"/>
  <c r="G1033" i="42"/>
  <c r="F1033" i="42"/>
  <c r="G1032" i="42"/>
  <c r="F1032" i="42"/>
  <c r="G1031" i="42"/>
  <c r="F1031" i="42"/>
  <c r="G1030" i="42"/>
  <c r="F1030" i="42"/>
  <c r="G1029" i="42"/>
  <c r="F1029" i="42"/>
  <c r="G1028" i="42"/>
  <c r="F1028" i="42"/>
  <c r="G1027" i="42"/>
  <c r="F1027" i="42"/>
  <c r="G1026" i="42"/>
  <c r="F1026" i="42"/>
  <c r="G1025" i="42"/>
  <c r="F1025" i="42"/>
  <c r="G1024" i="42"/>
  <c r="F1024" i="42"/>
  <c r="G1023" i="42"/>
  <c r="F1023" i="42"/>
  <c r="G1022" i="42"/>
  <c r="F1022" i="42"/>
  <c r="G1021" i="42"/>
  <c r="F1021" i="42"/>
  <c r="G1020" i="42"/>
  <c r="F1020" i="42"/>
  <c r="G1019" i="42"/>
  <c r="F1019" i="42"/>
  <c r="G1018" i="42"/>
  <c r="F1018" i="42"/>
  <c r="G1017" i="42"/>
  <c r="F1017" i="42"/>
  <c r="G1016" i="42"/>
  <c r="F1016" i="42"/>
  <c r="G1015" i="42"/>
  <c r="F1015" i="42"/>
  <c r="G1014" i="42"/>
  <c r="F1014" i="42"/>
  <c r="G1013" i="42"/>
  <c r="F1013" i="42"/>
  <c r="G1012" i="42"/>
  <c r="F1012" i="42"/>
  <c r="G1011" i="42"/>
  <c r="F1011" i="42"/>
  <c r="G1010" i="42"/>
  <c r="F1010" i="42"/>
  <c r="G1009" i="42"/>
  <c r="F1009" i="42"/>
  <c r="G1008" i="42"/>
  <c r="F1008" i="42"/>
  <c r="G1007" i="42"/>
  <c r="F1007" i="42"/>
  <c r="G1006" i="42"/>
  <c r="F1006" i="42"/>
  <c r="G1005" i="42"/>
  <c r="F1005" i="42"/>
  <c r="G1004" i="42"/>
  <c r="G1003" i="42"/>
  <c r="F1003" i="42"/>
  <c r="G1002" i="42"/>
  <c r="F1002" i="42"/>
  <c r="G1001" i="42"/>
  <c r="F1001" i="42"/>
  <c r="G1000" i="42"/>
  <c r="F1000" i="42"/>
  <c r="G999" i="42"/>
  <c r="F999" i="42"/>
  <c r="G998" i="42"/>
  <c r="F998" i="42"/>
  <c r="G997" i="42"/>
  <c r="F997" i="42"/>
  <c r="G996" i="42"/>
  <c r="F996" i="42"/>
  <c r="G995" i="42"/>
  <c r="F995" i="42"/>
  <c r="G994" i="42"/>
  <c r="F994" i="42"/>
  <c r="G993" i="42"/>
  <c r="F993" i="42"/>
  <c r="G992" i="42"/>
  <c r="F992" i="42"/>
  <c r="G991" i="42"/>
  <c r="F991" i="42"/>
  <c r="G990" i="42"/>
  <c r="F990" i="42"/>
  <c r="G989" i="42"/>
  <c r="F989" i="42"/>
  <c r="G988" i="42"/>
  <c r="F988" i="42"/>
  <c r="G987" i="42"/>
  <c r="G986" i="42"/>
  <c r="G985" i="42"/>
  <c r="G984" i="42"/>
  <c r="G983" i="42"/>
  <c r="G982" i="42"/>
  <c r="G981" i="42"/>
  <c r="G980" i="42"/>
  <c r="G979" i="42"/>
  <c r="G978" i="42"/>
  <c r="G977" i="42"/>
  <c r="G976" i="42"/>
  <c r="G975" i="42"/>
  <c r="G974" i="42"/>
  <c r="G973" i="42"/>
  <c r="G972" i="42"/>
  <c r="G971" i="42"/>
  <c r="G970" i="42"/>
  <c r="G969" i="42"/>
  <c r="G968" i="42"/>
  <c r="G967" i="42"/>
  <c r="G966" i="42"/>
  <c r="F966" i="42"/>
  <c r="G965" i="42"/>
  <c r="F965" i="42"/>
  <c r="G964" i="42"/>
  <c r="F964" i="42"/>
  <c r="G963" i="42"/>
  <c r="F963" i="42"/>
  <c r="G962" i="42"/>
  <c r="F962" i="42"/>
  <c r="G961" i="42"/>
  <c r="F961" i="42"/>
  <c r="G960" i="42"/>
  <c r="F960" i="42"/>
  <c r="G959" i="42"/>
  <c r="F959" i="42"/>
  <c r="G958" i="42"/>
  <c r="F958" i="42"/>
  <c r="G957" i="42"/>
  <c r="F957" i="42"/>
  <c r="G956" i="42"/>
  <c r="F956" i="42"/>
  <c r="G955" i="42"/>
  <c r="F955" i="42"/>
  <c r="G954" i="42"/>
  <c r="F954" i="42"/>
  <c r="G953" i="42"/>
  <c r="F953" i="42"/>
  <c r="G952" i="42"/>
  <c r="F952" i="42"/>
  <c r="G951" i="42"/>
  <c r="F951" i="42"/>
  <c r="G950" i="42"/>
  <c r="F950" i="42"/>
  <c r="G949" i="42"/>
  <c r="F949" i="42"/>
  <c r="G948" i="42"/>
  <c r="F948" i="42"/>
  <c r="G947" i="42"/>
  <c r="F947" i="42"/>
  <c r="G946" i="42"/>
  <c r="F946" i="42"/>
  <c r="G945" i="42"/>
  <c r="F945" i="42"/>
  <c r="G944" i="42"/>
  <c r="F944" i="42"/>
  <c r="G943" i="42"/>
  <c r="F943" i="42"/>
  <c r="G942" i="42"/>
  <c r="F942" i="42"/>
  <c r="G941" i="42"/>
  <c r="F941" i="42"/>
  <c r="G940" i="42"/>
  <c r="F940" i="42"/>
  <c r="G939" i="42"/>
  <c r="F939" i="42"/>
  <c r="G938" i="42"/>
  <c r="F938" i="42"/>
  <c r="G937" i="42"/>
  <c r="F937" i="42"/>
  <c r="G936" i="42"/>
  <c r="F936" i="42"/>
  <c r="G935" i="42"/>
  <c r="F935" i="42"/>
  <c r="G934" i="42"/>
  <c r="F934" i="42"/>
  <c r="G933" i="42"/>
  <c r="F933" i="42"/>
  <c r="G932" i="42"/>
  <c r="F932" i="42"/>
  <c r="G931" i="42"/>
  <c r="F931" i="42"/>
  <c r="G930" i="42"/>
  <c r="F930" i="42"/>
  <c r="G929" i="42"/>
  <c r="F929" i="42"/>
  <c r="G928" i="42"/>
  <c r="F928" i="42"/>
  <c r="G927" i="42"/>
  <c r="F927" i="42"/>
  <c r="G926" i="42"/>
  <c r="F926" i="42"/>
  <c r="G925" i="42"/>
  <c r="F925" i="42"/>
  <c r="G924" i="42"/>
  <c r="F924" i="42"/>
  <c r="G923" i="42"/>
  <c r="F923" i="42"/>
  <c r="G922" i="42"/>
  <c r="F922" i="42"/>
  <c r="G921" i="42"/>
  <c r="F921" i="42"/>
  <c r="G920" i="42"/>
  <c r="F920" i="42"/>
  <c r="G919" i="42"/>
  <c r="F919" i="42"/>
  <c r="G918" i="42"/>
  <c r="F918" i="42"/>
  <c r="G917" i="42"/>
  <c r="F917" i="42"/>
  <c r="G916" i="42"/>
  <c r="F916" i="42"/>
  <c r="G915" i="42"/>
  <c r="F915" i="42"/>
  <c r="G914" i="42"/>
  <c r="F914" i="42"/>
  <c r="G913" i="42"/>
  <c r="F913" i="42"/>
  <c r="G912" i="42"/>
  <c r="F912" i="42"/>
  <c r="G911" i="42"/>
  <c r="F911" i="42"/>
  <c r="G910" i="42"/>
  <c r="F910" i="42"/>
  <c r="G909" i="42"/>
  <c r="F909" i="42"/>
  <c r="G908" i="42"/>
  <c r="F908" i="42"/>
  <c r="G907" i="42"/>
  <c r="F907" i="42"/>
  <c r="G906" i="42"/>
  <c r="F906" i="42"/>
  <c r="G905" i="42"/>
  <c r="F905" i="42"/>
  <c r="G904" i="42"/>
  <c r="F904" i="42"/>
  <c r="G903" i="42"/>
  <c r="F903" i="42"/>
  <c r="G902" i="42"/>
  <c r="F902" i="42"/>
  <c r="G901" i="42"/>
  <c r="F901" i="42"/>
  <c r="G900" i="42"/>
  <c r="F900" i="42"/>
  <c r="G899" i="42"/>
  <c r="F899" i="42"/>
  <c r="G898" i="42"/>
  <c r="F898" i="42"/>
  <c r="G897" i="42"/>
  <c r="F897" i="42"/>
  <c r="G896" i="42"/>
  <c r="F896" i="42"/>
  <c r="G895" i="42"/>
  <c r="F895" i="42"/>
  <c r="G894" i="42"/>
  <c r="F894" i="42"/>
  <c r="G893" i="42"/>
  <c r="F893" i="42"/>
  <c r="G892" i="42"/>
  <c r="F892" i="42"/>
  <c r="G891" i="42"/>
  <c r="F891" i="42"/>
  <c r="G890" i="42"/>
  <c r="F890" i="42"/>
  <c r="G889" i="42"/>
  <c r="F889" i="42"/>
  <c r="G888" i="42"/>
  <c r="F888" i="42"/>
  <c r="G887" i="42"/>
  <c r="F887" i="42"/>
  <c r="G886" i="42"/>
  <c r="F886" i="42"/>
  <c r="G885" i="42"/>
  <c r="F885" i="42"/>
  <c r="G884" i="42"/>
  <c r="F884" i="42"/>
  <c r="G883" i="42"/>
  <c r="F883" i="42"/>
  <c r="G882" i="42"/>
  <c r="F882" i="42"/>
  <c r="G881" i="42"/>
  <c r="F881" i="42"/>
  <c r="G880" i="42"/>
  <c r="F880" i="42"/>
  <c r="G879" i="42"/>
  <c r="F879" i="42"/>
  <c r="G878" i="42"/>
  <c r="F878" i="42"/>
  <c r="G877" i="42"/>
  <c r="F877" i="42"/>
  <c r="G876" i="42"/>
  <c r="F876" i="42"/>
  <c r="G875" i="42"/>
  <c r="F875" i="42"/>
  <c r="G874" i="42"/>
  <c r="F874" i="42"/>
  <c r="G873" i="42"/>
  <c r="F873" i="42"/>
  <c r="G872" i="42"/>
  <c r="F872" i="42"/>
  <c r="G871" i="42"/>
  <c r="F871" i="42"/>
  <c r="G870" i="42"/>
  <c r="F870" i="42"/>
  <c r="G869" i="42"/>
  <c r="F869" i="42"/>
  <c r="G868" i="42"/>
  <c r="F868" i="42"/>
  <c r="G867" i="42"/>
  <c r="F867" i="42"/>
  <c r="G866" i="42"/>
  <c r="F866" i="42"/>
  <c r="G865" i="42"/>
  <c r="F865" i="42"/>
  <c r="G864" i="42"/>
  <c r="F864" i="42"/>
  <c r="G863" i="42"/>
  <c r="F863" i="42"/>
  <c r="G862" i="42"/>
  <c r="F862" i="42"/>
  <c r="G861" i="42"/>
  <c r="F861" i="42"/>
  <c r="G860" i="42"/>
  <c r="F860" i="42"/>
  <c r="G859" i="42"/>
  <c r="F859" i="42"/>
  <c r="G858" i="42"/>
  <c r="F858" i="42"/>
  <c r="G857" i="42"/>
  <c r="F857" i="42"/>
  <c r="G856" i="42"/>
  <c r="F856" i="42"/>
  <c r="G855" i="42"/>
  <c r="F855" i="42"/>
  <c r="G854" i="42"/>
  <c r="F854" i="42"/>
  <c r="G853" i="42"/>
  <c r="F853" i="42"/>
  <c r="G852" i="42"/>
  <c r="F852" i="42"/>
  <c r="G851" i="42"/>
  <c r="F851" i="42"/>
  <c r="G850" i="42"/>
  <c r="F850" i="42"/>
  <c r="G849" i="42"/>
  <c r="F849" i="42"/>
  <c r="G848" i="42"/>
  <c r="F848" i="42"/>
  <c r="G847" i="42"/>
  <c r="F847" i="42"/>
  <c r="G846" i="42"/>
  <c r="F846" i="42"/>
  <c r="G845" i="42"/>
  <c r="F845" i="42"/>
  <c r="G844" i="42"/>
  <c r="F844" i="42"/>
  <c r="G843" i="42"/>
  <c r="F843" i="42"/>
  <c r="G842" i="42"/>
  <c r="F842" i="42"/>
  <c r="G841" i="42"/>
  <c r="F841" i="42"/>
  <c r="G840" i="42"/>
  <c r="F840" i="42"/>
  <c r="G839" i="42"/>
  <c r="F839" i="42"/>
  <c r="G838" i="42"/>
  <c r="F838" i="42"/>
  <c r="G837" i="42"/>
  <c r="F837" i="42"/>
  <c r="G836" i="42"/>
  <c r="F836" i="42"/>
  <c r="G835" i="42"/>
  <c r="F835" i="42"/>
  <c r="G834" i="42"/>
  <c r="F834" i="42"/>
  <c r="G833" i="42"/>
  <c r="F833" i="42"/>
  <c r="G832" i="42"/>
  <c r="F832" i="42"/>
  <c r="G831" i="42"/>
  <c r="F831" i="42"/>
  <c r="G830" i="42"/>
  <c r="F830" i="42"/>
  <c r="G829" i="42"/>
  <c r="F829" i="42"/>
  <c r="G828" i="42"/>
  <c r="F828" i="42"/>
  <c r="G827" i="42"/>
  <c r="F827" i="42"/>
  <c r="G826" i="42"/>
  <c r="F826" i="42"/>
  <c r="G825" i="42"/>
  <c r="F825" i="42"/>
  <c r="G824" i="42"/>
  <c r="F824" i="42"/>
  <c r="G823" i="42"/>
  <c r="F823" i="42"/>
  <c r="G822" i="42"/>
  <c r="F822" i="42"/>
  <c r="G821" i="42"/>
  <c r="F821" i="42"/>
  <c r="G820" i="42"/>
  <c r="F820" i="42"/>
  <c r="G819" i="42"/>
  <c r="F819" i="42"/>
  <c r="G818" i="42"/>
  <c r="F818" i="42"/>
  <c r="G817" i="42"/>
  <c r="F817" i="42"/>
  <c r="G816" i="42"/>
  <c r="F816" i="42"/>
  <c r="G815" i="42"/>
  <c r="F815" i="42"/>
  <c r="G814" i="42"/>
  <c r="F814" i="42"/>
  <c r="G813" i="42"/>
  <c r="F813" i="42"/>
  <c r="G812" i="42"/>
  <c r="F812" i="42"/>
  <c r="G811" i="42"/>
  <c r="F811" i="42"/>
  <c r="G810" i="42"/>
  <c r="F810" i="42"/>
  <c r="G809" i="42"/>
  <c r="F809" i="42"/>
  <c r="G808" i="42"/>
  <c r="F808" i="42"/>
  <c r="G807" i="42"/>
  <c r="F807" i="42"/>
  <c r="G806" i="42"/>
  <c r="F806" i="42"/>
  <c r="G805" i="42"/>
  <c r="F805" i="42"/>
  <c r="G804" i="42"/>
  <c r="F804" i="42"/>
  <c r="G803" i="42"/>
  <c r="F803" i="42"/>
  <c r="G802" i="42"/>
  <c r="F802" i="42"/>
  <c r="G801" i="42"/>
  <c r="F801" i="42"/>
  <c r="G800" i="42"/>
  <c r="F800" i="42"/>
  <c r="G799" i="42"/>
  <c r="F799" i="42"/>
  <c r="G798" i="42"/>
  <c r="F798" i="42"/>
  <c r="G797" i="42"/>
  <c r="F797" i="42"/>
  <c r="G796" i="42"/>
  <c r="F796" i="42"/>
  <c r="G795" i="42"/>
  <c r="F795" i="42"/>
  <c r="G794" i="42"/>
  <c r="F794" i="42"/>
  <c r="G793" i="42"/>
  <c r="F793" i="42"/>
  <c r="G792" i="42"/>
  <c r="F792" i="42"/>
  <c r="G791" i="42"/>
  <c r="F791" i="42"/>
  <c r="G790" i="42"/>
  <c r="F790" i="42"/>
  <c r="G789" i="42"/>
  <c r="F789" i="42"/>
  <c r="G788" i="42"/>
  <c r="F788" i="42"/>
  <c r="G787" i="42"/>
  <c r="F787" i="42"/>
  <c r="G786" i="42"/>
  <c r="F786" i="42"/>
  <c r="G785" i="42"/>
  <c r="F785" i="42"/>
  <c r="G784" i="42"/>
  <c r="F784" i="42"/>
  <c r="G783" i="42"/>
  <c r="F783" i="42"/>
  <c r="G782" i="42"/>
  <c r="F782" i="42"/>
  <c r="G781" i="42"/>
  <c r="F781" i="42"/>
  <c r="G780" i="42"/>
  <c r="F780" i="42"/>
  <c r="G779" i="42"/>
  <c r="F779" i="42"/>
  <c r="G778" i="42"/>
  <c r="F778" i="42"/>
  <c r="G777" i="42"/>
  <c r="F777" i="42"/>
  <c r="G776" i="42"/>
  <c r="F776" i="42"/>
  <c r="G775" i="42"/>
  <c r="F775" i="42"/>
  <c r="G774" i="42"/>
  <c r="F774" i="42"/>
  <c r="G773" i="42"/>
  <c r="F773" i="42"/>
  <c r="G772" i="42"/>
  <c r="F772" i="42"/>
  <c r="G771" i="42"/>
  <c r="G770" i="42"/>
  <c r="F770" i="42"/>
  <c r="G769" i="42"/>
  <c r="F769" i="42"/>
  <c r="G768" i="42"/>
  <c r="F768" i="42"/>
  <c r="G767" i="42"/>
  <c r="F767" i="42"/>
  <c r="G766" i="42"/>
  <c r="F766" i="42"/>
  <c r="G765" i="42"/>
  <c r="F765" i="42"/>
  <c r="G764" i="42"/>
  <c r="F764" i="42"/>
  <c r="G763" i="42"/>
  <c r="F763" i="42"/>
  <c r="G762" i="42"/>
  <c r="F762" i="42"/>
  <c r="G761" i="42"/>
  <c r="F761" i="42"/>
  <c r="G760" i="42"/>
  <c r="F760" i="42"/>
  <c r="G759" i="42"/>
  <c r="F759" i="42"/>
  <c r="G758" i="42"/>
  <c r="F758" i="42"/>
  <c r="G757" i="42"/>
  <c r="F757" i="42"/>
  <c r="G756" i="42"/>
  <c r="F756" i="42"/>
  <c r="G755" i="42"/>
  <c r="F755" i="42"/>
  <c r="G754" i="42"/>
  <c r="F754" i="42"/>
  <c r="G753" i="42"/>
  <c r="F753" i="42"/>
  <c r="G752" i="42"/>
  <c r="F752" i="42"/>
  <c r="G751" i="42"/>
  <c r="F751" i="42"/>
  <c r="G750" i="42"/>
  <c r="F750" i="42"/>
  <c r="G749" i="42"/>
  <c r="F749" i="42"/>
  <c r="G748" i="42"/>
  <c r="F748" i="42"/>
  <c r="G747" i="42"/>
  <c r="F747" i="42"/>
  <c r="G746" i="42"/>
  <c r="F746" i="42"/>
  <c r="G745" i="42"/>
  <c r="F745" i="42"/>
  <c r="G744" i="42"/>
  <c r="F744" i="42"/>
  <c r="G743" i="42"/>
  <c r="F743" i="42"/>
  <c r="G742" i="42"/>
  <c r="F742" i="42"/>
  <c r="G741" i="42"/>
  <c r="F741" i="42"/>
  <c r="G740" i="42"/>
  <c r="F740" i="42"/>
  <c r="G739" i="42"/>
  <c r="F739" i="42"/>
  <c r="G738" i="42"/>
  <c r="F738" i="42"/>
  <c r="G737" i="42"/>
  <c r="F737" i="42"/>
  <c r="G736" i="42"/>
  <c r="F736" i="42"/>
  <c r="G735" i="42"/>
  <c r="F735" i="42"/>
  <c r="G734" i="42"/>
  <c r="F734" i="42"/>
  <c r="G733" i="42"/>
  <c r="F733" i="42"/>
  <c r="G732" i="42"/>
  <c r="F732" i="42"/>
  <c r="G731" i="42"/>
  <c r="F731" i="42"/>
  <c r="G730" i="42"/>
  <c r="F730" i="42"/>
  <c r="G729" i="42"/>
  <c r="F729" i="42"/>
  <c r="G728" i="42"/>
  <c r="F728" i="42"/>
  <c r="G727" i="42"/>
  <c r="F727" i="42"/>
  <c r="G726" i="42"/>
  <c r="F726" i="42"/>
  <c r="G725" i="42"/>
  <c r="F725" i="42"/>
  <c r="G724" i="42"/>
  <c r="F724" i="42"/>
  <c r="G723" i="42"/>
  <c r="F723" i="42"/>
  <c r="G722" i="42"/>
  <c r="F722" i="42"/>
  <c r="G721" i="42"/>
  <c r="F721" i="42"/>
  <c r="G720" i="42"/>
  <c r="F720" i="42"/>
  <c r="G719" i="42"/>
  <c r="F719" i="42"/>
  <c r="G718" i="42"/>
  <c r="F718" i="42"/>
  <c r="G717" i="42"/>
  <c r="F717" i="42"/>
  <c r="G716" i="42"/>
  <c r="F716" i="42"/>
  <c r="G715" i="42"/>
  <c r="F715" i="42"/>
  <c r="G714" i="42"/>
  <c r="F714" i="42"/>
  <c r="G713" i="42"/>
  <c r="F713" i="42"/>
  <c r="G712" i="42"/>
  <c r="F712" i="42"/>
  <c r="G711" i="42"/>
  <c r="F711" i="42"/>
  <c r="G710" i="42"/>
  <c r="F710" i="42"/>
  <c r="G709" i="42"/>
  <c r="F709" i="42"/>
  <c r="G708" i="42"/>
  <c r="F708" i="42"/>
  <c r="G707" i="42"/>
  <c r="F707" i="42"/>
  <c r="G706" i="42"/>
  <c r="F706" i="42"/>
  <c r="G705" i="42"/>
  <c r="F705" i="42"/>
  <c r="G704" i="42"/>
  <c r="F704" i="42"/>
  <c r="G703" i="42"/>
  <c r="F703" i="42"/>
  <c r="G702" i="42"/>
  <c r="F702" i="42"/>
  <c r="G701" i="42"/>
  <c r="F701" i="42"/>
  <c r="G700" i="42"/>
  <c r="F700" i="42"/>
  <c r="G699" i="42"/>
  <c r="F699" i="42"/>
  <c r="G698" i="42"/>
  <c r="F698" i="42"/>
  <c r="G697" i="42"/>
  <c r="F697" i="42"/>
  <c r="G696" i="42"/>
  <c r="G695" i="42"/>
  <c r="G694" i="42"/>
  <c r="F694" i="42"/>
  <c r="G693" i="42"/>
  <c r="F693" i="42"/>
  <c r="G692" i="42"/>
  <c r="F692" i="42"/>
  <c r="G691" i="42"/>
  <c r="G690" i="42"/>
  <c r="G689" i="42"/>
  <c r="F689" i="42"/>
  <c r="G688" i="42"/>
  <c r="F688" i="42"/>
  <c r="G687" i="42"/>
  <c r="F687" i="42"/>
  <c r="G686" i="42"/>
  <c r="F686" i="42"/>
  <c r="G685" i="42"/>
  <c r="F685" i="42"/>
  <c r="G684" i="42"/>
  <c r="G683" i="42"/>
  <c r="F683" i="42"/>
  <c r="G682" i="42"/>
  <c r="F682" i="42"/>
  <c r="G681" i="42"/>
  <c r="G680" i="42"/>
  <c r="G679" i="42"/>
  <c r="F679" i="42"/>
  <c r="G678" i="42"/>
  <c r="F678" i="42"/>
  <c r="G677" i="42"/>
  <c r="F677" i="42"/>
  <c r="G676" i="42"/>
  <c r="F676" i="42"/>
  <c r="G675" i="42"/>
  <c r="F675" i="42"/>
  <c r="G674" i="42"/>
  <c r="F674" i="42"/>
  <c r="G673" i="42"/>
  <c r="F673" i="42"/>
  <c r="G672" i="42"/>
  <c r="F672" i="42"/>
  <c r="G671" i="42"/>
  <c r="F671" i="42"/>
  <c r="G670" i="42"/>
  <c r="F670" i="42"/>
  <c r="G669" i="42"/>
  <c r="F669" i="42"/>
  <c r="G668" i="42"/>
  <c r="F668" i="42"/>
  <c r="G667" i="42"/>
  <c r="F667" i="42"/>
  <c r="G666" i="42"/>
  <c r="F666" i="42"/>
  <c r="G665" i="42"/>
  <c r="F665" i="42"/>
  <c r="G664" i="42"/>
  <c r="F664" i="42"/>
  <c r="G663" i="42"/>
  <c r="F663" i="42"/>
  <c r="G662" i="42"/>
  <c r="F662" i="42"/>
  <c r="G661" i="42"/>
  <c r="F661" i="42"/>
  <c r="G660" i="42"/>
  <c r="F660" i="42"/>
  <c r="G659" i="42"/>
  <c r="F659" i="42"/>
  <c r="G658" i="42"/>
  <c r="F658" i="42"/>
  <c r="G657" i="42"/>
  <c r="F657" i="42"/>
  <c r="G656" i="42"/>
  <c r="F656" i="42"/>
  <c r="G655" i="42"/>
  <c r="F655" i="42"/>
  <c r="G654" i="42"/>
  <c r="F654" i="42"/>
  <c r="G653" i="42"/>
  <c r="F653" i="42"/>
  <c r="G652" i="42"/>
  <c r="F652" i="42"/>
  <c r="G651" i="42"/>
  <c r="F651" i="42"/>
  <c r="G650" i="42"/>
  <c r="F650" i="42"/>
  <c r="G649" i="42"/>
  <c r="F649" i="42"/>
  <c r="G648" i="42"/>
  <c r="F648" i="42"/>
  <c r="G647" i="42"/>
  <c r="F647" i="42"/>
  <c r="G646" i="42"/>
  <c r="F646" i="42"/>
  <c r="G645" i="42"/>
  <c r="F645" i="42"/>
  <c r="G644" i="42"/>
  <c r="F644" i="42"/>
  <c r="G643" i="42"/>
  <c r="F643" i="42"/>
  <c r="G642" i="42"/>
  <c r="F642" i="42"/>
  <c r="G641" i="42"/>
  <c r="F641" i="42"/>
  <c r="G640" i="42"/>
  <c r="F640" i="42"/>
  <c r="G639" i="42"/>
  <c r="F639" i="42"/>
  <c r="G638" i="42"/>
  <c r="F638" i="42"/>
  <c r="G637" i="42"/>
  <c r="F637" i="42"/>
  <c r="G636" i="42"/>
  <c r="F636" i="42"/>
  <c r="G635" i="42"/>
  <c r="F635" i="42"/>
  <c r="G634" i="42"/>
  <c r="F634" i="42"/>
  <c r="G633" i="42"/>
  <c r="F633" i="42"/>
  <c r="G632" i="42"/>
  <c r="F632" i="42"/>
  <c r="G631" i="42"/>
  <c r="F631" i="42"/>
  <c r="G630" i="42"/>
  <c r="F630" i="42"/>
  <c r="G629" i="42"/>
  <c r="F629" i="42"/>
  <c r="G628" i="42"/>
  <c r="F628" i="42"/>
  <c r="G627" i="42"/>
  <c r="F627" i="42"/>
  <c r="G626" i="42"/>
  <c r="F626" i="42"/>
  <c r="G625" i="42"/>
  <c r="F625" i="42"/>
  <c r="G624" i="42"/>
  <c r="F624" i="42"/>
  <c r="G623" i="42"/>
  <c r="F623" i="42"/>
  <c r="G622" i="42"/>
  <c r="F622" i="42"/>
  <c r="G621" i="42"/>
  <c r="F621" i="42"/>
  <c r="G620" i="42"/>
  <c r="F620" i="42"/>
  <c r="G619" i="42"/>
  <c r="F619" i="42"/>
  <c r="G618" i="42"/>
  <c r="F618" i="42"/>
  <c r="G617" i="42"/>
  <c r="F617" i="42"/>
  <c r="G616" i="42"/>
  <c r="F616" i="42"/>
  <c r="G615" i="42"/>
  <c r="F615" i="42"/>
  <c r="G614" i="42"/>
  <c r="F614" i="42"/>
  <c r="G613" i="42"/>
  <c r="F613" i="42"/>
  <c r="G612" i="42"/>
  <c r="F612" i="42"/>
  <c r="G611" i="42"/>
  <c r="F611" i="42"/>
  <c r="G610" i="42"/>
  <c r="F610" i="42"/>
  <c r="G609" i="42"/>
  <c r="F609" i="42"/>
  <c r="G608" i="42"/>
  <c r="F608" i="42"/>
  <c r="G607" i="42"/>
  <c r="F607" i="42"/>
  <c r="G606" i="42"/>
  <c r="F606" i="42"/>
  <c r="G605" i="42"/>
  <c r="F605" i="42"/>
  <c r="G604" i="42"/>
  <c r="F604" i="42"/>
  <c r="G603" i="42"/>
  <c r="F603" i="42"/>
  <c r="G602" i="42"/>
  <c r="F602" i="42"/>
  <c r="G601" i="42"/>
  <c r="F601" i="42"/>
  <c r="G600" i="42"/>
  <c r="F600" i="42"/>
  <c r="G599" i="42"/>
  <c r="F599" i="42"/>
  <c r="G598" i="42"/>
  <c r="F598" i="42"/>
  <c r="G597" i="42"/>
  <c r="F597" i="42"/>
  <c r="G596" i="42"/>
  <c r="F596" i="42"/>
  <c r="G595" i="42"/>
  <c r="F595" i="42"/>
  <c r="G594" i="42"/>
  <c r="F594" i="42"/>
  <c r="G593" i="42"/>
  <c r="F593" i="42"/>
  <c r="G592" i="42"/>
  <c r="F592" i="42"/>
  <c r="G591" i="42"/>
  <c r="F591" i="42"/>
  <c r="G590" i="42"/>
  <c r="F590" i="42"/>
  <c r="G589" i="42"/>
  <c r="F589" i="42"/>
  <c r="G588" i="42"/>
  <c r="F588" i="42"/>
  <c r="G587" i="42"/>
  <c r="F587" i="42"/>
  <c r="G586" i="42"/>
  <c r="F586" i="42"/>
  <c r="G585" i="42"/>
  <c r="F585" i="42"/>
  <c r="G584" i="42"/>
  <c r="F584" i="42"/>
  <c r="G583" i="42"/>
  <c r="F583" i="42"/>
  <c r="G582" i="42"/>
  <c r="F582" i="42"/>
  <c r="G581" i="42"/>
  <c r="F581" i="42"/>
  <c r="G580" i="42"/>
  <c r="F580" i="42"/>
  <c r="G579" i="42"/>
  <c r="F579" i="42"/>
  <c r="G578" i="42"/>
  <c r="F578" i="42"/>
  <c r="G577" i="42"/>
  <c r="F577" i="42"/>
  <c r="G576" i="42"/>
  <c r="F576" i="42"/>
  <c r="G575" i="42"/>
  <c r="F575" i="42"/>
  <c r="G574" i="42"/>
  <c r="F574" i="42"/>
  <c r="G573" i="42"/>
  <c r="F573" i="42"/>
  <c r="G572" i="42"/>
  <c r="F572" i="42"/>
  <c r="G571" i="42"/>
  <c r="F571" i="42"/>
  <c r="G570" i="42"/>
  <c r="F570" i="42"/>
  <c r="G569" i="42"/>
  <c r="F569" i="42"/>
  <c r="G568" i="42"/>
  <c r="F568" i="42"/>
  <c r="G567" i="42"/>
  <c r="F567" i="42"/>
  <c r="G566" i="42"/>
  <c r="F566" i="42"/>
  <c r="G565" i="42"/>
  <c r="F565" i="42"/>
  <c r="G564" i="42"/>
  <c r="F564" i="42"/>
  <c r="G563" i="42"/>
  <c r="F563" i="42"/>
  <c r="G562" i="42"/>
  <c r="F562" i="42"/>
  <c r="G561" i="42"/>
  <c r="F561" i="42"/>
  <c r="G560" i="42"/>
  <c r="F560" i="42"/>
  <c r="G559" i="42"/>
  <c r="F559" i="42"/>
  <c r="G558" i="42"/>
  <c r="F558" i="42"/>
  <c r="G557" i="42"/>
  <c r="F557" i="42"/>
  <c r="G556" i="42"/>
  <c r="F556" i="42"/>
  <c r="G555" i="42"/>
  <c r="F555" i="42"/>
  <c r="G554" i="42"/>
  <c r="F554" i="42"/>
  <c r="G553" i="42"/>
  <c r="F553" i="42"/>
  <c r="G552" i="42"/>
  <c r="F552" i="42"/>
  <c r="G551" i="42"/>
  <c r="F551" i="42"/>
  <c r="G550" i="42"/>
  <c r="F550" i="42"/>
  <c r="G549" i="42"/>
  <c r="F549" i="42"/>
  <c r="G548" i="42"/>
  <c r="F548" i="42"/>
  <c r="G547" i="42"/>
  <c r="F547" i="42"/>
  <c r="G546" i="42"/>
  <c r="F546" i="42"/>
  <c r="G545" i="42"/>
  <c r="F545" i="42"/>
  <c r="G544" i="42"/>
  <c r="F544" i="42"/>
  <c r="G543" i="42"/>
  <c r="F543" i="42"/>
  <c r="G542" i="42"/>
  <c r="F542" i="42"/>
  <c r="G541" i="42"/>
  <c r="F541" i="42"/>
  <c r="G540" i="42"/>
  <c r="F540" i="42"/>
  <c r="G539" i="42"/>
  <c r="F539" i="42"/>
  <c r="G538" i="42"/>
  <c r="F538" i="42"/>
  <c r="G537" i="42"/>
  <c r="F537" i="42"/>
  <c r="G536" i="42"/>
  <c r="F536" i="42"/>
  <c r="G535" i="42"/>
  <c r="F535" i="42"/>
  <c r="G534" i="42"/>
  <c r="F534" i="42"/>
  <c r="G533" i="42"/>
  <c r="F533" i="42"/>
  <c r="G532" i="42"/>
  <c r="F532" i="42"/>
  <c r="G531" i="42"/>
  <c r="F531" i="42"/>
  <c r="G530" i="42"/>
  <c r="F530" i="42"/>
  <c r="G529" i="42"/>
  <c r="F529" i="42"/>
  <c r="G528" i="42"/>
  <c r="F528" i="42"/>
  <c r="G527" i="42"/>
  <c r="F527" i="42"/>
  <c r="G526" i="42"/>
  <c r="F526" i="42"/>
  <c r="G525" i="42"/>
  <c r="F525" i="42"/>
  <c r="G524" i="42"/>
  <c r="F524" i="42"/>
  <c r="G523" i="42"/>
  <c r="F523" i="42"/>
  <c r="G522" i="42"/>
  <c r="F522" i="42"/>
  <c r="G521" i="42"/>
  <c r="F521" i="42"/>
  <c r="G520" i="42"/>
  <c r="F520" i="42"/>
  <c r="G519" i="42"/>
  <c r="F519" i="42"/>
  <c r="G518" i="42"/>
  <c r="F518" i="42"/>
  <c r="G517" i="42"/>
  <c r="F517" i="42"/>
  <c r="G516" i="42"/>
  <c r="F516" i="42"/>
  <c r="G515" i="42"/>
  <c r="F515" i="42"/>
  <c r="G514" i="42"/>
  <c r="F514" i="42"/>
  <c r="G513" i="42"/>
  <c r="F513" i="42"/>
  <c r="G512" i="42"/>
  <c r="F512" i="42"/>
  <c r="G511" i="42"/>
  <c r="F511" i="42"/>
  <c r="G510" i="42"/>
  <c r="F510" i="42"/>
  <c r="G509" i="42"/>
  <c r="F509" i="42"/>
  <c r="G508" i="42"/>
  <c r="F508" i="42"/>
  <c r="G507" i="42"/>
  <c r="F507" i="42"/>
  <c r="G506" i="42"/>
  <c r="F506" i="42"/>
  <c r="G505" i="42"/>
  <c r="F505" i="42"/>
  <c r="G504" i="42"/>
  <c r="F504" i="42"/>
  <c r="G503" i="42"/>
  <c r="F503" i="42"/>
  <c r="G502" i="42"/>
  <c r="F502" i="42"/>
  <c r="G501" i="42"/>
  <c r="F501" i="42"/>
  <c r="G500" i="42"/>
  <c r="F500" i="42"/>
  <c r="G499" i="42"/>
  <c r="F499" i="42"/>
  <c r="G498" i="42"/>
  <c r="F498" i="42"/>
  <c r="G497" i="42"/>
  <c r="F497" i="42"/>
  <c r="G496" i="42"/>
  <c r="F496" i="42"/>
  <c r="G495" i="42"/>
  <c r="F495" i="42"/>
  <c r="G494" i="42"/>
  <c r="F494" i="42"/>
  <c r="G493" i="42"/>
  <c r="F493" i="42"/>
  <c r="G492" i="42"/>
  <c r="F492" i="42"/>
  <c r="G491" i="42"/>
  <c r="F491" i="42"/>
  <c r="G490" i="42"/>
  <c r="F490" i="42"/>
  <c r="G489" i="42"/>
  <c r="F489" i="42"/>
  <c r="G488" i="42"/>
  <c r="F488" i="42"/>
  <c r="G487" i="42"/>
  <c r="F487" i="42"/>
  <c r="G486" i="42"/>
  <c r="F486" i="42"/>
  <c r="G485" i="42"/>
  <c r="F485" i="42"/>
  <c r="G484" i="42"/>
  <c r="F484" i="42"/>
  <c r="G483" i="42"/>
  <c r="F483" i="42"/>
  <c r="G482" i="42"/>
  <c r="F482" i="42"/>
  <c r="G481" i="42"/>
  <c r="F481" i="42"/>
  <c r="G480" i="42"/>
  <c r="F480" i="42"/>
  <c r="G479" i="42"/>
  <c r="F479" i="42"/>
  <c r="G478" i="42"/>
  <c r="F478" i="42"/>
  <c r="G477" i="42"/>
  <c r="F477" i="42"/>
  <c r="G476" i="42"/>
  <c r="F476" i="42"/>
  <c r="G475" i="42"/>
  <c r="F475" i="42"/>
  <c r="G474" i="42"/>
  <c r="F474" i="42"/>
  <c r="G473" i="42"/>
  <c r="F473" i="42"/>
  <c r="G472" i="42"/>
  <c r="F472" i="42"/>
  <c r="G471" i="42"/>
  <c r="F471" i="42"/>
  <c r="G470" i="42"/>
  <c r="F470" i="42"/>
  <c r="G469" i="42"/>
  <c r="F469" i="42"/>
  <c r="G468" i="42"/>
  <c r="F468" i="42"/>
  <c r="G467" i="42"/>
  <c r="F467" i="42"/>
  <c r="G466" i="42"/>
  <c r="F466" i="42"/>
  <c r="G465" i="42"/>
  <c r="F465" i="42"/>
  <c r="G464" i="42"/>
  <c r="F464" i="42"/>
  <c r="G463" i="42"/>
  <c r="F463" i="42"/>
  <c r="G462" i="42"/>
  <c r="F462" i="42"/>
  <c r="G461" i="42"/>
  <c r="F461" i="42"/>
  <c r="G460" i="42"/>
  <c r="F460" i="42"/>
  <c r="G459" i="42"/>
  <c r="F459" i="42"/>
  <c r="G458" i="42"/>
  <c r="F458" i="42"/>
  <c r="G457" i="42"/>
  <c r="F457" i="42"/>
  <c r="G456" i="42"/>
  <c r="F456" i="42"/>
  <c r="G455" i="42"/>
  <c r="F455" i="42"/>
  <c r="G454" i="42"/>
  <c r="F454" i="42"/>
  <c r="G453" i="42"/>
  <c r="F453" i="42"/>
  <c r="G452" i="42"/>
  <c r="F452" i="42"/>
  <c r="G451" i="42"/>
  <c r="G450" i="42"/>
  <c r="F450" i="42"/>
  <c r="G449" i="42"/>
  <c r="F449" i="42"/>
  <c r="G448" i="42"/>
  <c r="F448" i="42"/>
  <c r="G447" i="42"/>
  <c r="F447" i="42"/>
  <c r="G446" i="42"/>
  <c r="F446" i="42"/>
  <c r="G445" i="42"/>
  <c r="F445" i="42"/>
  <c r="G444" i="42"/>
  <c r="F444" i="42"/>
  <c r="G443" i="42"/>
  <c r="F443" i="42"/>
  <c r="G442" i="42"/>
  <c r="F442" i="42"/>
  <c r="G441" i="42"/>
  <c r="F441" i="42"/>
  <c r="G440" i="42"/>
  <c r="F440" i="42"/>
  <c r="G439" i="42"/>
  <c r="F439" i="42"/>
  <c r="G438" i="42"/>
  <c r="F438" i="42"/>
  <c r="G437" i="42"/>
  <c r="F437" i="42"/>
  <c r="G436" i="42"/>
  <c r="F436" i="42"/>
  <c r="G435" i="42"/>
  <c r="F435" i="42"/>
  <c r="G434" i="42"/>
  <c r="F434" i="42"/>
  <c r="G433" i="42"/>
  <c r="F433" i="42"/>
  <c r="G432" i="42"/>
  <c r="F432" i="42"/>
  <c r="G431" i="42"/>
  <c r="F431" i="42"/>
  <c r="G430" i="42"/>
  <c r="G429" i="42"/>
  <c r="F429" i="42"/>
  <c r="G428" i="42"/>
  <c r="F428" i="42"/>
  <c r="G427" i="42"/>
  <c r="F427" i="42"/>
  <c r="G426" i="42"/>
  <c r="F426" i="42"/>
  <c r="G425" i="42"/>
  <c r="F425" i="42"/>
  <c r="G424" i="42"/>
  <c r="F424" i="42"/>
  <c r="G423" i="42"/>
  <c r="F423" i="42"/>
  <c r="G422" i="42"/>
  <c r="G421" i="42"/>
  <c r="F421" i="42"/>
  <c r="G420" i="42"/>
  <c r="F420" i="42"/>
  <c r="G419" i="42"/>
  <c r="F419" i="42"/>
  <c r="G418" i="42"/>
  <c r="F418" i="42"/>
  <c r="G417" i="42"/>
  <c r="F417" i="42"/>
  <c r="G416" i="42"/>
  <c r="F416" i="42"/>
  <c r="G415" i="42"/>
  <c r="F415" i="42"/>
  <c r="G414" i="42"/>
  <c r="F414" i="42"/>
  <c r="G413" i="42"/>
  <c r="F413" i="42"/>
  <c r="G412" i="42"/>
  <c r="F412" i="42"/>
  <c r="G411" i="42"/>
  <c r="F411" i="42"/>
  <c r="G410" i="42"/>
  <c r="F410" i="42"/>
  <c r="G409" i="42"/>
  <c r="F409" i="42"/>
  <c r="G408" i="42"/>
  <c r="F408" i="42"/>
  <c r="G407" i="42"/>
  <c r="F407" i="42"/>
  <c r="G406" i="42"/>
  <c r="F406" i="42"/>
  <c r="G405" i="42"/>
  <c r="F405" i="42"/>
  <c r="G404" i="42"/>
  <c r="F404" i="42"/>
  <c r="G403" i="42"/>
  <c r="F403" i="42"/>
  <c r="G402" i="42"/>
  <c r="F402" i="42"/>
  <c r="G401" i="42"/>
  <c r="F401" i="42"/>
  <c r="G400" i="42"/>
  <c r="F400" i="42"/>
  <c r="G399" i="42"/>
  <c r="F399" i="42"/>
  <c r="G398" i="42"/>
  <c r="F398" i="42"/>
  <c r="G397" i="42"/>
  <c r="F397" i="42"/>
  <c r="G396" i="42"/>
  <c r="F396" i="42"/>
  <c r="G395" i="42"/>
  <c r="F395" i="42"/>
  <c r="G394" i="42"/>
  <c r="F394" i="42"/>
  <c r="G393" i="42"/>
  <c r="G392" i="42"/>
  <c r="G391" i="42"/>
  <c r="G390" i="42"/>
  <c r="G389" i="42"/>
  <c r="F389" i="42"/>
  <c r="G388" i="42"/>
  <c r="G387" i="42"/>
  <c r="G386" i="42"/>
  <c r="G385" i="42"/>
  <c r="G384" i="42"/>
  <c r="G383" i="42"/>
  <c r="G382" i="42"/>
  <c r="G381" i="42"/>
  <c r="G380" i="42"/>
  <c r="G379" i="42"/>
  <c r="F379" i="42"/>
  <c r="G378" i="42"/>
  <c r="F378" i="42"/>
  <c r="G377" i="42"/>
  <c r="F377" i="42"/>
  <c r="G376" i="42"/>
  <c r="F376" i="42"/>
  <c r="G375" i="42"/>
  <c r="F375" i="42"/>
  <c r="G374" i="42"/>
  <c r="F374" i="42"/>
  <c r="G373" i="42"/>
  <c r="F373" i="42"/>
  <c r="G372" i="42"/>
  <c r="F372" i="42"/>
  <c r="G371" i="42"/>
  <c r="F371" i="42"/>
  <c r="G370" i="42"/>
  <c r="F370" i="42"/>
  <c r="G369" i="42"/>
  <c r="F369" i="42"/>
  <c r="G368" i="42"/>
  <c r="F368" i="42"/>
  <c r="G367" i="42"/>
  <c r="F367" i="42"/>
  <c r="G366" i="42"/>
  <c r="F366" i="42"/>
  <c r="G365" i="42"/>
  <c r="F365" i="42"/>
  <c r="G364" i="42"/>
  <c r="F364" i="42"/>
  <c r="G363" i="42"/>
  <c r="F363" i="42"/>
  <c r="G362" i="42"/>
  <c r="F362" i="42"/>
  <c r="G361" i="42"/>
  <c r="F361" i="42"/>
  <c r="G360" i="42"/>
  <c r="F360" i="42"/>
  <c r="G359" i="42"/>
  <c r="F359" i="42"/>
  <c r="G358" i="42"/>
  <c r="F358" i="42"/>
  <c r="G357" i="42"/>
  <c r="F357" i="42"/>
  <c r="G356" i="42"/>
  <c r="F356" i="42"/>
  <c r="G355" i="42"/>
  <c r="F355" i="42"/>
  <c r="G354" i="42"/>
  <c r="F354" i="42"/>
  <c r="G353" i="42"/>
  <c r="F353" i="42"/>
  <c r="G352" i="42"/>
  <c r="F352" i="42"/>
  <c r="G351" i="42"/>
  <c r="F351" i="42"/>
  <c r="G350" i="42"/>
  <c r="F350" i="42"/>
  <c r="G349" i="42"/>
  <c r="F349" i="42"/>
  <c r="G348" i="42"/>
  <c r="F348" i="42"/>
  <c r="G347" i="42"/>
  <c r="F347" i="42"/>
  <c r="G346" i="42"/>
  <c r="F346" i="42"/>
  <c r="G345" i="42"/>
  <c r="F345" i="42"/>
  <c r="G344" i="42"/>
  <c r="F344" i="42"/>
  <c r="G343" i="42"/>
  <c r="F343" i="42"/>
  <c r="G342" i="42"/>
  <c r="F342" i="42"/>
  <c r="G341" i="42"/>
  <c r="F341" i="42"/>
  <c r="G340" i="42"/>
  <c r="F340" i="42"/>
  <c r="G339" i="42"/>
  <c r="F339" i="42"/>
  <c r="G338" i="42"/>
  <c r="F338" i="42"/>
  <c r="G337" i="42"/>
  <c r="F337" i="42"/>
  <c r="G336" i="42"/>
  <c r="F336" i="42"/>
  <c r="G335" i="42"/>
  <c r="F335" i="42"/>
  <c r="G334" i="42"/>
  <c r="F334" i="42"/>
  <c r="G333" i="42"/>
  <c r="F333" i="42"/>
  <c r="G332" i="42"/>
  <c r="F332" i="42"/>
  <c r="G331" i="42"/>
  <c r="F331" i="42"/>
  <c r="G330" i="42"/>
  <c r="F330" i="42"/>
  <c r="G329" i="42"/>
  <c r="F329" i="42"/>
  <c r="G328" i="42"/>
  <c r="F328" i="42"/>
  <c r="G327" i="42"/>
  <c r="F327" i="42"/>
  <c r="G326" i="42"/>
  <c r="F326" i="42"/>
  <c r="G325" i="42"/>
  <c r="F325" i="42"/>
  <c r="G324" i="42"/>
  <c r="F324" i="42"/>
  <c r="G323" i="42"/>
  <c r="F323" i="42"/>
  <c r="G322" i="42"/>
  <c r="F322" i="42"/>
  <c r="G321" i="42"/>
  <c r="F321" i="42"/>
  <c r="G320" i="42"/>
  <c r="F320" i="42"/>
  <c r="G319" i="42"/>
  <c r="F319" i="42"/>
  <c r="G318" i="42"/>
  <c r="F318" i="42"/>
  <c r="G317" i="42"/>
  <c r="F317" i="42"/>
  <c r="G316" i="42"/>
  <c r="F316" i="42"/>
  <c r="G315" i="42"/>
  <c r="F315" i="42"/>
  <c r="G314" i="42"/>
  <c r="F314" i="42"/>
  <c r="G313" i="42"/>
  <c r="F313" i="42"/>
  <c r="G312" i="42"/>
  <c r="F312" i="42"/>
  <c r="G311" i="42"/>
  <c r="F311" i="42"/>
  <c r="G310" i="42"/>
  <c r="F310" i="42"/>
  <c r="G309" i="42"/>
  <c r="F309" i="42"/>
  <c r="G308" i="42"/>
  <c r="F308" i="42"/>
  <c r="G307" i="42"/>
  <c r="F307" i="42"/>
  <c r="G306" i="42"/>
  <c r="F306" i="42"/>
  <c r="G305" i="42"/>
  <c r="F305" i="42"/>
  <c r="G304" i="42"/>
  <c r="F304" i="42"/>
  <c r="G303" i="42"/>
  <c r="F303" i="42"/>
  <c r="G302" i="42"/>
  <c r="F302" i="42"/>
  <c r="G301" i="42"/>
  <c r="F301" i="42"/>
  <c r="G300" i="42"/>
  <c r="F300" i="42"/>
  <c r="G299" i="42"/>
  <c r="F299" i="42"/>
  <c r="G298" i="42"/>
  <c r="F298" i="42"/>
  <c r="G297" i="42"/>
  <c r="F297" i="42"/>
  <c r="G296" i="42"/>
  <c r="F296" i="42"/>
  <c r="G295" i="42"/>
  <c r="F295" i="42"/>
  <c r="G294" i="42"/>
  <c r="F294" i="42"/>
  <c r="G293" i="42"/>
  <c r="F293" i="42"/>
  <c r="G292" i="42"/>
  <c r="F292" i="42"/>
  <c r="G291" i="42"/>
  <c r="F291" i="42"/>
  <c r="G290" i="42"/>
  <c r="F290" i="42"/>
  <c r="G289" i="42"/>
  <c r="F289" i="42"/>
  <c r="G288" i="42"/>
  <c r="F288" i="42"/>
  <c r="G287" i="42"/>
  <c r="F287" i="42"/>
  <c r="G286" i="42"/>
  <c r="F286" i="42"/>
  <c r="G285" i="42"/>
  <c r="F285" i="42"/>
  <c r="G284" i="42"/>
  <c r="F284" i="42"/>
  <c r="G283" i="42"/>
  <c r="F283" i="42"/>
  <c r="G282" i="42"/>
  <c r="F282" i="42"/>
  <c r="G281" i="42"/>
  <c r="F281" i="42"/>
  <c r="G280" i="42"/>
  <c r="F280" i="42"/>
  <c r="G279" i="42"/>
  <c r="F279" i="42"/>
  <c r="G278" i="42"/>
  <c r="F278" i="42"/>
  <c r="G277" i="42"/>
  <c r="F277" i="42"/>
  <c r="G276" i="42"/>
  <c r="F276" i="42"/>
  <c r="G275" i="42"/>
  <c r="F275" i="42"/>
  <c r="G274" i="42"/>
  <c r="F274" i="42"/>
  <c r="G273" i="42"/>
  <c r="F273" i="42"/>
  <c r="G272" i="42"/>
  <c r="F272" i="42"/>
  <c r="G271" i="42"/>
  <c r="F271" i="42"/>
  <c r="G270" i="42"/>
  <c r="F270" i="42"/>
  <c r="G269" i="42"/>
  <c r="F269" i="42"/>
  <c r="G268" i="42"/>
  <c r="F268" i="42"/>
  <c r="G267" i="42"/>
  <c r="F267" i="42"/>
  <c r="G266" i="42"/>
  <c r="F266" i="42"/>
  <c r="G265" i="42"/>
  <c r="F265" i="42"/>
  <c r="G264" i="42"/>
  <c r="F264" i="42"/>
  <c r="G263" i="42"/>
  <c r="F263" i="42"/>
  <c r="G262" i="42"/>
  <c r="F262" i="42"/>
  <c r="G261" i="42"/>
  <c r="F261" i="42"/>
  <c r="G260" i="42"/>
  <c r="F260" i="42"/>
  <c r="G259" i="42"/>
  <c r="F259" i="42"/>
  <c r="G258" i="42"/>
  <c r="F258" i="42"/>
  <c r="G257" i="42"/>
  <c r="F257" i="42"/>
  <c r="G256" i="42"/>
  <c r="F256" i="42"/>
  <c r="G255" i="42"/>
  <c r="F255" i="42"/>
  <c r="G254" i="42"/>
  <c r="F254" i="42"/>
  <c r="G253" i="42"/>
  <c r="F253" i="42"/>
  <c r="G252" i="42"/>
  <c r="F252" i="42"/>
  <c r="G251" i="42"/>
  <c r="F251" i="42"/>
  <c r="G250" i="42"/>
  <c r="F250" i="42"/>
  <c r="G249" i="42"/>
  <c r="F249" i="42"/>
  <c r="G248" i="42"/>
  <c r="F248" i="42"/>
  <c r="G247" i="42"/>
  <c r="F247" i="42"/>
  <c r="G246" i="42"/>
  <c r="F246" i="42"/>
  <c r="G245" i="42"/>
  <c r="F245" i="42"/>
  <c r="G244" i="42"/>
  <c r="F244" i="42"/>
  <c r="G243" i="42"/>
  <c r="F243" i="42"/>
  <c r="G242" i="42"/>
  <c r="F242" i="42"/>
  <c r="G241" i="42"/>
  <c r="F241" i="42"/>
  <c r="G240" i="42"/>
  <c r="F240" i="42"/>
  <c r="G239" i="42"/>
  <c r="F239" i="42"/>
  <c r="G238" i="42"/>
  <c r="F238" i="42"/>
  <c r="G237" i="42"/>
  <c r="F237" i="42"/>
  <c r="G236" i="42"/>
  <c r="F236" i="42"/>
  <c r="G235" i="42"/>
  <c r="F235" i="42"/>
  <c r="G234" i="42"/>
  <c r="F234" i="42"/>
  <c r="G233" i="42"/>
  <c r="F233" i="42"/>
  <c r="G232" i="42"/>
  <c r="F232" i="42"/>
  <c r="G231" i="42"/>
  <c r="F231" i="42"/>
  <c r="G230" i="42"/>
  <c r="F230" i="42"/>
  <c r="G229" i="42"/>
  <c r="F229" i="42"/>
  <c r="G228" i="42"/>
  <c r="F228" i="42"/>
  <c r="G227" i="42"/>
  <c r="F227" i="42"/>
  <c r="G226" i="42"/>
  <c r="F226" i="42"/>
  <c r="G225" i="42"/>
  <c r="F225" i="42"/>
  <c r="G224" i="42"/>
  <c r="F224" i="42"/>
  <c r="G223" i="42"/>
  <c r="F223" i="42"/>
  <c r="G222" i="42"/>
  <c r="F222" i="42"/>
  <c r="G221" i="42"/>
  <c r="F221" i="42"/>
  <c r="G220" i="42"/>
  <c r="F220" i="42"/>
  <c r="G219" i="42"/>
  <c r="F219" i="42"/>
  <c r="G218" i="42"/>
  <c r="F218" i="42"/>
  <c r="G217" i="42"/>
  <c r="F217" i="42"/>
  <c r="G216" i="42"/>
  <c r="F216" i="42"/>
  <c r="G215" i="42"/>
  <c r="F215" i="42"/>
  <c r="G214" i="42"/>
  <c r="F214" i="42"/>
  <c r="G213" i="42"/>
  <c r="F213" i="42"/>
  <c r="G212" i="42"/>
  <c r="F212" i="42"/>
  <c r="G211" i="42"/>
  <c r="F211" i="42"/>
  <c r="G210" i="42"/>
  <c r="F210" i="42"/>
  <c r="G209" i="42"/>
  <c r="F209" i="42"/>
  <c r="G208" i="42"/>
  <c r="F208" i="42"/>
  <c r="G207" i="42"/>
  <c r="F207" i="42"/>
  <c r="G206" i="42"/>
  <c r="F206" i="42"/>
  <c r="G205" i="42"/>
  <c r="F205" i="42"/>
  <c r="G204" i="42"/>
  <c r="F204" i="42"/>
  <c r="G203" i="42"/>
  <c r="F203" i="42"/>
  <c r="G202" i="42"/>
  <c r="F202" i="42"/>
  <c r="G201" i="42"/>
  <c r="F201" i="42"/>
  <c r="G200" i="42"/>
  <c r="F200" i="42"/>
  <c r="G199" i="42"/>
  <c r="F199" i="42"/>
  <c r="G198" i="42"/>
  <c r="F198" i="42"/>
  <c r="G197" i="42"/>
  <c r="F197" i="42"/>
  <c r="G196" i="42"/>
  <c r="F196" i="42"/>
  <c r="G195" i="42"/>
  <c r="F195" i="42"/>
  <c r="G194" i="42"/>
  <c r="F194" i="42"/>
  <c r="G193" i="42"/>
  <c r="F193" i="42"/>
  <c r="G192" i="42"/>
  <c r="F192" i="42"/>
  <c r="G191" i="42"/>
  <c r="F191" i="42"/>
  <c r="G190" i="42"/>
  <c r="F190" i="42"/>
  <c r="G189" i="42"/>
  <c r="F189" i="42"/>
  <c r="G188" i="42"/>
  <c r="F188" i="42"/>
  <c r="G187" i="42"/>
  <c r="F187" i="42"/>
  <c r="G186" i="42"/>
  <c r="F186" i="42"/>
  <c r="G185" i="42"/>
  <c r="F185" i="42"/>
  <c r="G184" i="42"/>
  <c r="F184" i="42"/>
  <c r="G183" i="42"/>
  <c r="F183" i="42"/>
  <c r="G182" i="42"/>
  <c r="F182" i="42"/>
  <c r="G181" i="42"/>
  <c r="F181" i="42"/>
  <c r="G180" i="42"/>
  <c r="F180" i="42"/>
  <c r="G179" i="42"/>
  <c r="F179" i="42"/>
  <c r="G178" i="42"/>
  <c r="F178" i="42"/>
  <c r="G177" i="42"/>
  <c r="F177" i="42"/>
  <c r="G176" i="42"/>
  <c r="F176" i="42"/>
  <c r="G175" i="42"/>
  <c r="F175" i="42"/>
  <c r="G174" i="42"/>
  <c r="F174" i="42"/>
  <c r="G173" i="42"/>
  <c r="F173" i="42"/>
  <c r="G172" i="42"/>
  <c r="F172" i="42"/>
  <c r="G171" i="42"/>
  <c r="F171" i="42"/>
  <c r="G170" i="42"/>
  <c r="F170" i="42"/>
  <c r="G169" i="42"/>
  <c r="F169" i="42"/>
  <c r="G168" i="42"/>
  <c r="F168" i="42"/>
  <c r="G167" i="42"/>
  <c r="F167" i="42"/>
  <c r="G166" i="42"/>
  <c r="F166" i="42"/>
  <c r="G165" i="42"/>
  <c r="F165" i="42"/>
  <c r="G164" i="42"/>
  <c r="F164" i="42"/>
  <c r="G163" i="42"/>
  <c r="F163" i="42"/>
  <c r="G162" i="42"/>
  <c r="F162" i="42"/>
  <c r="G161" i="42"/>
  <c r="F161" i="42"/>
  <c r="G160" i="42"/>
  <c r="F160" i="42"/>
  <c r="G159" i="42"/>
  <c r="F159" i="42"/>
  <c r="G158" i="42"/>
  <c r="F158" i="42"/>
  <c r="G157" i="42"/>
  <c r="F157" i="42"/>
  <c r="G156" i="42"/>
  <c r="F156" i="42"/>
  <c r="G155" i="42"/>
  <c r="F155" i="42"/>
  <c r="G154" i="42"/>
  <c r="F154" i="42"/>
  <c r="G153" i="42"/>
  <c r="F153" i="42"/>
  <c r="G152" i="42"/>
  <c r="F152" i="42"/>
  <c r="G151" i="42"/>
  <c r="F151" i="42"/>
  <c r="G150" i="42"/>
  <c r="F150" i="42"/>
  <c r="G149" i="42"/>
  <c r="F149" i="42"/>
  <c r="G148" i="42"/>
  <c r="F148" i="42"/>
  <c r="G147" i="42"/>
  <c r="F147" i="42"/>
  <c r="G146" i="42"/>
  <c r="F146" i="42"/>
  <c r="G145" i="42"/>
  <c r="F145" i="42"/>
  <c r="G144" i="42"/>
  <c r="F144" i="42"/>
  <c r="G143" i="42"/>
  <c r="F143" i="42"/>
  <c r="G142" i="42"/>
  <c r="F142" i="42"/>
  <c r="G141" i="42"/>
  <c r="F141" i="42"/>
  <c r="G140" i="42"/>
  <c r="F140" i="42"/>
  <c r="G139" i="42"/>
  <c r="F139" i="42"/>
  <c r="G138" i="42"/>
  <c r="F138" i="42"/>
  <c r="G137" i="42"/>
  <c r="F137" i="42"/>
  <c r="G136" i="42"/>
  <c r="F136" i="42"/>
  <c r="G135" i="42"/>
  <c r="F135" i="42"/>
  <c r="G134" i="42"/>
  <c r="F134" i="42"/>
  <c r="G133" i="42"/>
  <c r="F133" i="42"/>
  <c r="G132" i="42"/>
  <c r="F132" i="42"/>
  <c r="G131" i="42"/>
  <c r="F131" i="42"/>
  <c r="G130" i="42"/>
  <c r="F130" i="42"/>
  <c r="G129" i="42"/>
  <c r="F129" i="42"/>
  <c r="G128" i="42"/>
  <c r="F128" i="42"/>
  <c r="G127" i="42"/>
  <c r="F127" i="42"/>
  <c r="G126" i="42"/>
  <c r="F126" i="42"/>
  <c r="G125" i="42"/>
  <c r="F125" i="42"/>
  <c r="G124" i="42"/>
  <c r="F124" i="42"/>
  <c r="G123" i="42"/>
  <c r="F123" i="42"/>
  <c r="G122" i="42"/>
  <c r="F122" i="42"/>
  <c r="G121" i="42"/>
  <c r="F121" i="42"/>
  <c r="G120" i="42"/>
  <c r="F120" i="42"/>
  <c r="G119" i="42"/>
  <c r="F119" i="42"/>
  <c r="G118" i="42"/>
  <c r="F118" i="42"/>
  <c r="G117" i="42"/>
  <c r="F117" i="42"/>
  <c r="G116" i="42"/>
  <c r="F116" i="42"/>
  <c r="G115" i="42"/>
  <c r="F115" i="42"/>
  <c r="G114" i="42"/>
  <c r="F114" i="42"/>
  <c r="G113" i="42"/>
  <c r="F113" i="42"/>
  <c r="G112" i="42"/>
  <c r="F112" i="42"/>
  <c r="G111" i="42"/>
  <c r="F111" i="42"/>
  <c r="G110" i="42"/>
  <c r="F110" i="42"/>
  <c r="G109" i="42"/>
  <c r="F109" i="42"/>
  <c r="G108" i="42"/>
  <c r="F108" i="42"/>
  <c r="G107" i="42"/>
  <c r="F107" i="42"/>
  <c r="G106" i="42"/>
  <c r="F106" i="42"/>
  <c r="G105" i="42"/>
  <c r="F105" i="42"/>
  <c r="G104" i="42"/>
  <c r="F104" i="42"/>
  <c r="G103" i="42"/>
  <c r="F103" i="42"/>
  <c r="G102" i="42"/>
  <c r="F102" i="42"/>
  <c r="G101" i="42"/>
  <c r="F101" i="42"/>
  <c r="G100" i="42"/>
  <c r="F100" i="42"/>
  <c r="G99" i="42"/>
  <c r="F99" i="42"/>
  <c r="G98" i="42"/>
  <c r="F98" i="42"/>
  <c r="G97" i="42"/>
  <c r="F97" i="42"/>
  <c r="G96" i="42"/>
  <c r="F96" i="42"/>
  <c r="G95" i="42"/>
  <c r="F95" i="42"/>
  <c r="G94" i="42"/>
  <c r="F94" i="42"/>
  <c r="G93" i="42"/>
  <c r="F93" i="42"/>
  <c r="G92" i="42"/>
  <c r="F92" i="42"/>
  <c r="G91" i="42"/>
  <c r="F91" i="42"/>
  <c r="G90" i="42"/>
  <c r="F90" i="42"/>
  <c r="G89" i="42"/>
  <c r="F89" i="42"/>
  <c r="G88" i="42"/>
  <c r="F88" i="42"/>
  <c r="G87" i="42"/>
  <c r="F87" i="42"/>
  <c r="G86" i="42"/>
  <c r="F86" i="42"/>
  <c r="G85" i="42"/>
  <c r="F85" i="42"/>
  <c r="G84" i="42"/>
  <c r="F84" i="42"/>
  <c r="G83" i="42"/>
  <c r="F83" i="42"/>
  <c r="G82" i="42"/>
  <c r="F82" i="42"/>
  <c r="G81" i="42"/>
  <c r="F81" i="42"/>
  <c r="G80" i="42"/>
  <c r="F80" i="42"/>
  <c r="G79" i="42"/>
  <c r="F79" i="42"/>
  <c r="G78" i="42"/>
  <c r="F78" i="42"/>
  <c r="G77" i="42"/>
  <c r="F77" i="42"/>
  <c r="G76" i="42"/>
  <c r="F76" i="42"/>
  <c r="G75" i="42"/>
  <c r="F75" i="42"/>
  <c r="G74" i="42"/>
  <c r="F74" i="42"/>
  <c r="G73" i="42"/>
  <c r="F73" i="42"/>
  <c r="G72" i="42"/>
  <c r="F72" i="42"/>
  <c r="G71" i="42"/>
  <c r="F71" i="42"/>
  <c r="G70" i="42"/>
  <c r="F70" i="42"/>
  <c r="G69" i="42"/>
  <c r="F69" i="42"/>
  <c r="G68" i="42"/>
  <c r="F68" i="42"/>
  <c r="G67" i="42"/>
  <c r="F67" i="42"/>
  <c r="G66" i="42"/>
  <c r="F66" i="42"/>
  <c r="G65" i="42"/>
  <c r="F65" i="42"/>
  <c r="G64" i="42"/>
  <c r="F64" i="42"/>
  <c r="G63" i="42"/>
  <c r="F63" i="42"/>
  <c r="G62" i="42"/>
  <c r="F62" i="42"/>
  <c r="G61" i="42"/>
  <c r="F61" i="42"/>
  <c r="G60" i="42"/>
  <c r="F60" i="42"/>
  <c r="G59" i="42"/>
  <c r="F59" i="42"/>
  <c r="G58" i="42"/>
  <c r="F58" i="42"/>
  <c r="G57" i="42"/>
  <c r="F57" i="42"/>
  <c r="G56" i="42"/>
  <c r="F56" i="42"/>
  <c r="G55" i="42"/>
  <c r="F55" i="42"/>
  <c r="G54" i="42"/>
  <c r="F54" i="42"/>
  <c r="G53" i="42"/>
  <c r="F53" i="42"/>
  <c r="G52" i="42"/>
  <c r="F52" i="42"/>
  <c r="G51" i="42"/>
  <c r="F51" i="42"/>
  <c r="G50" i="42"/>
  <c r="F50" i="42"/>
  <c r="G49" i="42"/>
  <c r="F49" i="42"/>
  <c r="G48" i="42"/>
  <c r="F48" i="42"/>
  <c r="G47" i="42"/>
  <c r="F47" i="42"/>
  <c r="G46" i="42"/>
  <c r="F46" i="42"/>
  <c r="G45" i="42"/>
  <c r="F45" i="42"/>
  <c r="G44" i="42"/>
  <c r="F44" i="42"/>
  <c r="G43" i="42"/>
  <c r="F43" i="42"/>
  <c r="G42" i="42"/>
  <c r="F42" i="42"/>
  <c r="G41" i="42"/>
  <c r="F41" i="42"/>
  <c r="G40" i="42"/>
  <c r="F40" i="42"/>
  <c r="G39" i="42"/>
  <c r="F39" i="42"/>
  <c r="G38" i="42"/>
  <c r="F38" i="42"/>
  <c r="G37" i="42"/>
  <c r="F37" i="42"/>
  <c r="G36" i="42"/>
  <c r="F36" i="42"/>
  <c r="G35" i="42"/>
  <c r="F35" i="42"/>
  <c r="G34" i="42"/>
  <c r="F34" i="42"/>
  <c r="G33" i="42"/>
  <c r="F33" i="42"/>
  <c r="G32" i="42"/>
  <c r="F32" i="42"/>
  <c r="G31" i="42"/>
  <c r="F31" i="42"/>
  <c r="G30" i="42"/>
  <c r="F30" i="42"/>
  <c r="G29" i="42"/>
  <c r="F29" i="42"/>
  <c r="G28" i="42"/>
  <c r="F28" i="42"/>
  <c r="G27" i="42"/>
  <c r="F27" i="42"/>
  <c r="G26" i="42"/>
  <c r="F26" i="42"/>
  <c r="G25" i="42"/>
  <c r="F25" i="42"/>
  <c r="G24" i="42"/>
  <c r="F24" i="42"/>
  <c r="G23" i="42"/>
  <c r="F23" i="42"/>
  <c r="G22" i="42"/>
  <c r="F22" i="42"/>
  <c r="G21" i="42"/>
  <c r="F21" i="42"/>
  <c r="G20" i="42"/>
  <c r="F20" i="42"/>
  <c r="G19" i="42"/>
  <c r="F19" i="42"/>
  <c r="G18" i="42"/>
  <c r="F18" i="42"/>
  <c r="G17" i="42"/>
  <c r="F17" i="42"/>
  <c r="G16" i="42"/>
  <c r="F16" i="42"/>
  <c r="G15" i="42"/>
  <c r="F15" i="42"/>
  <c r="G14" i="42"/>
  <c r="F14" i="42"/>
  <c r="G13" i="42"/>
  <c r="F13" i="42"/>
  <c r="G12" i="42"/>
  <c r="F12" i="42"/>
  <c r="G11" i="42"/>
  <c r="F11" i="42"/>
  <c r="G10" i="42"/>
  <c r="F10" i="42"/>
  <c r="G9" i="42"/>
  <c r="F9" i="42"/>
  <c r="G8" i="42"/>
  <c r="F8" i="42"/>
  <c r="G7" i="42"/>
  <c r="F7" i="42"/>
  <c r="G6" i="42"/>
  <c r="F6" i="42"/>
  <c r="G5" i="42"/>
  <c r="F5" i="42"/>
  <c r="G4" i="42"/>
  <c r="F4" i="42"/>
  <c r="G3" i="42"/>
  <c r="F3" i="42"/>
  <c r="G2" i="42"/>
  <c r="F2" i="42"/>
  <c r="E693" i="41"/>
  <c r="E692" i="41"/>
  <c r="E691" i="41"/>
  <c r="E690" i="41"/>
  <c r="E689" i="41"/>
  <c r="E688" i="41"/>
  <c r="E687" i="41"/>
  <c r="E686" i="41"/>
  <c r="E685" i="41"/>
  <c r="E684" i="41"/>
  <c r="E683" i="41"/>
  <c r="E681" i="41"/>
  <c r="E680" i="41"/>
  <c r="E679" i="41"/>
  <c r="E678" i="41"/>
  <c r="E677" i="41"/>
  <c r="E676" i="41"/>
  <c r="E674" i="41"/>
  <c r="E673" i="41"/>
  <c r="E672" i="41"/>
  <c r="E671" i="41"/>
  <c r="E670" i="41"/>
  <c r="E669" i="41"/>
  <c r="E668" i="41"/>
  <c r="E667" i="41"/>
  <c r="E666" i="41"/>
  <c r="E665" i="41"/>
  <c r="E664" i="41"/>
  <c r="E663" i="41"/>
  <c r="E661" i="41"/>
  <c r="E660" i="41"/>
  <c r="E659" i="41"/>
  <c r="E657" i="41"/>
  <c r="E651" i="41"/>
  <c r="E650" i="41"/>
  <c r="E649" i="41"/>
  <c r="E648" i="41"/>
  <c r="E647" i="41"/>
  <c r="E646" i="41"/>
  <c r="E645" i="41"/>
  <c r="E644" i="41"/>
  <c r="E643" i="41"/>
  <c r="E642" i="41"/>
  <c r="E641" i="41"/>
  <c r="E640" i="41"/>
  <c r="E638" i="41"/>
  <c r="E637" i="41"/>
  <c r="E636" i="41"/>
  <c r="E635" i="41"/>
  <c r="E634" i="41"/>
  <c r="E632" i="41"/>
  <c r="E631" i="41"/>
  <c r="E630" i="41"/>
  <c r="E629" i="41"/>
  <c r="E628" i="41"/>
  <c r="E627" i="41"/>
  <c r="E626" i="41"/>
  <c r="E625" i="41"/>
  <c r="E624" i="41"/>
  <c r="E623" i="41"/>
  <c r="E622" i="41"/>
  <c r="E621" i="41"/>
  <c r="E620" i="41"/>
  <c r="E618" i="41"/>
  <c r="E617" i="41"/>
  <c r="E616" i="41"/>
  <c r="E615" i="41"/>
  <c r="E614" i="41"/>
  <c r="E613" i="41"/>
  <c r="E612" i="41"/>
  <c r="E611" i="41"/>
  <c r="E610" i="41"/>
  <c r="E608" i="41"/>
  <c r="E607" i="41"/>
  <c r="E606" i="41"/>
  <c r="E605" i="41"/>
  <c r="E604" i="41"/>
  <c r="E603" i="41"/>
  <c r="E602" i="41"/>
  <c r="E601" i="41"/>
  <c r="E600" i="41"/>
  <c r="E599" i="41"/>
  <c r="E598" i="41"/>
  <c r="E597" i="41"/>
  <c r="E594" i="41"/>
  <c r="E593" i="41"/>
  <c r="E592" i="41"/>
  <c r="E591" i="41"/>
  <c r="E589" i="41"/>
  <c r="E587" i="41"/>
  <c r="E586" i="41"/>
  <c r="E582" i="41"/>
  <c r="E580" i="41"/>
  <c r="E577" i="41"/>
  <c r="E568" i="41"/>
  <c r="E567" i="41"/>
  <c r="E566" i="41"/>
  <c r="E565" i="41"/>
  <c r="E563" i="41"/>
  <c r="E562" i="41"/>
  <c r="E561" i="41"/>
  <c r="E558" i="41"/>
  <c r="E557" i="41"/>
  <c r="E556" i="41"/>
  <c r="E553" i="41"/>
  <c r="E552" i="41"/>
  <c r="E551" i="41"/>
  <c r="E550" i="41"/>
  <c r="E549" i="41"/>
  <c r="E548" i="41"/>
  <c r="E547" i="41"/>
  <c r="E546" i="41"/>
  <c r="E544" i="41"/>
  <c r="E543" i="41"/>
  <c r="E542" i="41"/>
  <c r="E537" i="41"/>
  <c r="E534" i="41"/>
  <c r="E532" i="41"/>
  <c r="E530" i="41"/>
  <c r="E529" i="41"/>
  <c r="E528" i="41"/>
  <c r="E527" i="41"/>
  <c r="E526" i="41"/>
  <c r="E524" i="41"/>
  <c r="E523" i="41"/>
  <c r="E522" i="41"/>
  <c r="E521" i="41"/>
  <c r="E519" i="41"/>
  <c r="E518" i="41"/>
  <c r="D2" i="41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K216" i="40"/>
  <c r="R216" i="40" s="1"/>
  <c r="Q215" i="40"/>
  <c r="K215" i="40"/>
  <c r="Q214" i="40"/>
  <c r="K214" i="40"/>
  <c r="K213" i="40"/>
  <c r="R213" i="40" s="1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R188" i="40" s="1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R180" i="40" s="1"/>
  <c r="Q179" i="40"/>
  <c r="K179" i="40"/>
  <c r="Q178" i="40"/>
  <c r="K178" i="40"/>
  <c r="Q177" i="40"/>
  <c r="K177" i="40"/>
  <c r="Q176" i="40"/>
  <c r="K176" i="40"/>
  <c r="R176" i="40" s="1"/>
  <c r="Q175" i="40"/>
  <c r="K175" i="40"/>
  <c r="Q174" i="40"/>
  <c r="K174" i="40"/>
  <c r="Q173" i="40"/>
  <c r="K173" i="40"/>
  <c r="Q172" i="40"/>
  <c r="K172" i="40"/>
  <c r="R172" i="40" s="1"/>
  <c r="Q171" i="40"/>
  <c r="K171" i="40"/>
  <c r="Q170" i="40"/>
  <c r="K170" i="40"/>
  <c r="Q169" i="40"/>
  <c r="K169" i="40"/>
  <c r="Q168" i="40"/>
  <c r="K168" i="40"/>
  <c r="R168" i="40" s="1"/>
  <c r="Q167" i="40"/>
  <c r="K167" i="40"/>
  <c r="Q166" i="40"/>
  <c r="K166" i="40"/>
  <c r="Q165" i="40"/>
  <c r="K165" i="40"/>
  <c r="Q164" i="40"/>
  <c r="K164" i="40"/>
  <c r="R164" i="40" s="1"/>
  <c r="Q163" i="40"/>
  <c r="K163" i="40"/>
  <c r="Q162" i="40"/>
  <c r="K162" i="40"/>
  <c r="Q161" i="40"/>
  <c r="K161" i="40"/>
  <c r="Q160" i="40"/>
  <c r="K160" i="40"/>
  <c r="R160" i="40" s="1"/>
  <c r="Q159" i="40"/>
  <c r="K159" i="40"/>
  <c r="Q158" i="40"/>
  <c r="K158" i="40"/>
  <c r="Q157" i="40"/>
  <c r="K157" i="40"/>
  <c r="Q156" i="40"/>
  <c r="K156" i="40"/>
  <c r="R156" i="40" s="1"/>
  <c r="Q155" i="40"/>
  <c r="K155" i="40"/>
  <c r="Q154" i="40"/>
  <c r="K154" i="40"/>
  <c r="Q153" i="40"/>
  <c r="K153" i="40"/>
  <c r="Q152" i="40"/>
  <c r="K152" i="40"/>
  <c r="R152" i="40" s="1"/>
  <c r="Q151" i="40"/>
  <c r="K151" i="40"/>
  <c r="Q150" i="40"/>
  <c r="K150" i="40"/>
  <c r="Q149" i="40"/>
  <c r="K149" i="40"/>
  <c r="Q148" i="40"/>
  <c r="K148" i="40"/>
  <c r="R148" i="40" s="1"/>
  <c r="Q147" i="40"/>
  <c r="K147" i="40"/>
  <c r="Q146" i="40"/>
  <c r="K146" i="40"/>
  <c r="Q145" i="40"/>
  <c r="K145" i="40"/>
  <c r="Q144" i="40"/>
  <c r="K144" i="40"/>
  <c r="R144" i="40" s="1"/>
  <c r="Q143" i="40"/>
  <c r="K143" i="40"/>
  <c r="Q142" i="40"/>
  <c r="K142" i="40"/>
  <c r="Q141" i="40"/>
  <c r="K141" i="40"/>
  <c r="Q140" i="40"/>
  <c r="K140" i="40"/>
  <c r="R140" i="40" s="1"/>
  <c r="Q139" i="40"/>
  <c r="K139" i="40"/>
  <c r="Q138" i="40"/>
  <c r="K138" i="40"/>
  <c r="Q137" i="40"/>
  <c r="K137" i="40"/>
  <c r="Q136" i="40"/>
  <c r="K136" i="40"/>
  <c r="R136" i="40" s="1"/>
  <c r="Q135" i="40"/>
  <c r="R135" i="40" s="1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R64" i="40" s="1"/>
  <c r="Q63" i="40"/>
  <c r="K63" i="40"/>
  <c r="R63" i="40" s="1"/>
  <c r="Q62" i="40"/>
  <c r="K62" i="40"/>
  <c r="Q61" i="40"/>
  <c r="K61" i="40"/>
  <c r="Q60" i="40"/>
  <c r="K60" i="40"/>
  <c r="Q59" i="40"/>
  <c r="K59" i="40"/>
  <c r="R59" i="40" s="1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R51" i="40" s="1"/>
  <c r="Q50" i="40"/>
  <c r="K50" i="40"/>
  <c r="Q49" i="40"/>
  <c r="K49" i="40"/>
  <c r="Q48" i="40"/>
  <c r="K48" i="40"/>
  <c r="Q47" i="40"/>
  <c r="K47" i="40"/>
  <c r="R47" i="40" s="1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R46" i="40" l="1"/>
  <c r="R54" i="40"/>
  <c r="R58" i="40"/>
  <c r="R179" i="40"/>
  <c r="R183" i="40"/>
  <c r="R187" i="40"/>
  <c r="R232" i="40"/>
  <c r="R240" i="40"/>
  <c r="R248" i="40"/>
  <c r="R37" i="40"/>
  <c r="R45" i="40"/>
  <c r="R219" i="40"/>
  <c r="R227" i="40"/>
  <c r="R231" i="40"/>
  <c r="R235" i="40"/>
  <c r="R243" i="40"/>
  <c r="R16" i="40"/>
  <c r="R24" i="40"/>
  <c r="R9" i="40"/>
  <c r="R17" i="40"/>
  <c r="R25" i="40"/>
  <c r="R70" i="40"/>
  <c r="R78" i="40"/>
  <c r="R28" i="40"/>
  <c r="R81" i="40"/>
  <c r="R85" i="40"/>
  <c r="R89" i="40"/>
  <c r="R93" i="40"/>
  <c r="R97" i="40"/>
  <c r="R101" i="40"/>
  <c r="R105" i="40"/>
  <c r="R109" i="40"/>
  <c r="R113" i="40"/>
  <c r="R117" i="40"/>
  <c r="R121" i="40"/>
  <c r="R125" i="40"/>
  <c r="R129" i="40"/>
  <c r="R133" i="40"/>
  <c r="R173" i="40"/>
  <c r="R177" i="40"/>
  <c r="R185" i="40"/>
  <c r="R34" i="40"/>
  <c r="R42" i="40"/>
  <c r="R189" i="40"/>
  <c r="R197" i="40"/>
  <c r="R201" i="40"/>
  <c r="R205" i="40"/>
  <c r="R218" i="40"/>
  <c r="R32" i="40"/>
  <c r="R182" i="40"/>
  <c r="R198" i="40"/>
  <c r="R206" i="40"/>
  <c r="R29" i="40"/>
  <c r="R53" i="40"/>
  <c r="R61" i="40"/>
  <c r="R77" i="40"/>
  <c r="R193" i="40"/>
  <c r="R209" i="40"/>
  <c r="R226" i="40"/>
  <c r="R234" i="40"/>
  <c r="R238" i="40"/>
  <c r="R242" i="40"/>
  <c r="R10" i="40"/>
  <c r="R18" i="40"/>
  <c r="R22" i="40"/>
  <c r="R26" i="40"/>
  <c r="R38" i="40"/>
  <c r="R66" i="40"/>
  <c r="R74" i="40"/>
  <c r="R82" i="40"/>
  <c r="R86" i="40"/>
  <c r="R90" i="40"/>
  <c r="R94" i="40"/>
  <c r="R98" i="40"/>
  <c r="R102" i="40"/>
  <c r="R106" i="40"/>
  <c r="R110" i="40"/>
  <c r="R114" i="40"/>
  <c r="R118" i="40"/>
  <c r="R122" i="40"/>
  <c r="R126" i="40"/>
  <c r="R130" i="40"/>
  <c r="R134" i="40"/>
  <c r="R11" i="40"/>
  <c r="R15" i="40"/>
  <c r="R19" i="40"/>
  <c r="R27" i="40"/>
  <c r="R35" i="40"/>
  <c r="R43" i="40"/>
  <c r="R50" i="40"/>
  <c r="R71" i="40"/>
  <c r="R79" i="40"/>
  <c r="R83" i="40"/>
  <c r="R87" i="40"/>
  <c r="R91" i="40"/>
  <c r="R95" i="40"/>
  <c r="R99" i="40"/>
  <c r="R103" i="40"/>
  <c r="R107" i="40"/>
  <c r="R111" i="40"/>
  <c r="R127" i="40"/>
  <c r="R131" i="40"/>
  <c r="R195" i="40"/>
  <c r="R203" i="40"/>
  <c r="R211" i="40"/>
  <c r="R223" i="40"/>
  <c r="R239" i="40"/>
  <c r="R247" i="40"/>
  <c r="R12" i="40"/>
  <c r="R20" i="40"/>
  <c r="R36" i="40"/>
  <c r="R40" i="40"/>
  <c r="R44" i="40"/>
  <c r="R72" i="40"/>
  <c r="R76" i="40"/>
  <c r="R80" i="40"/>
  <c r="R84" i="40"/>
  <c r="R88" i="40"/>
  <c r="R92" i="40"/>
  <c r="R96" i="40"/>
  <c r="R100" i="40"/>
  <c r="R104" i="40"/>
  <c r="R108" i="40"/>
  <c r="R112" i="40"/>
  <c r="R116" i="40"/>
  <c r="R120" i="40"/>
  <c r="R124" i="40"/>
  <c r="R128" i="40"/>
  <c r="R132" i="40"/>
  <c r="R196" i="40"/>
  <c r="R204" i="40"/>
  <c r="R208" i="40"/>
  <c r="R212" i="40"/>
  <c r="R217" i="40"/>
  <c r="R228" i="40"/>
  <c r="R52" i="40"/>
  <c r="R60" i="40"/>
  <c r="R181" i="40"/>
  <c r="R225" i="40"/>
  <c r="R233" i="40"/>
  <c r="R241" i="40"/>
  <c r="R245" i="40"/>
  <c r="R23" i="40"/>
  <c r="R30" i="40"/>
  <c r="R41" i="40"/>
  <c r="R48" i="40"/>
  <c r="R55" i="40"/>
  <c r="R62" i="40"/>
  <c r="R73" i="40"/>
  <c r="R137" i="40"/>
  <c r="R141" i="40"/>
  <c r="R145" i="40"/>
  <c r="R149" i="40"/>
  <c r="R153" i="40"/>
  <c r="R157" i="40"/>
  <c r="R161" i="40"/>
  <c r="R165" i="40"/>
  <c r="R169" i="40"/>
  <c r="R184" i="40"/>
  <c r="R191" i="40"/>
  <c r="R194" i="40"/>
  <c r="R221" i="40"/>
  <c r="R224" i="40"/>
  <c r="R246" i="40"/>
  <c r="R13" i="40"/>
  <c r="R31" i="40"/>
  <c r="R49" i="40"/>
  <c r="R56" i="40"/>
  <c r="R67" i="40"/>
  <c r="R138" i="40"/>
  <c r="R142" i="40"/>
  <c r="R146" i="40"/>
  <c r="R150" i="40"/>
  <c r="R154" i="40"/>
  <c r="R158" i="40"/>
  <c r="R162" i="40"/>
  <c r="R166" i="40"/>
  <c r="R170" i="40"/>
  <c r="R174" i="40"/>
  <c r="R192" i="40"/>
  <c r="R199" i="40"/>
  <c r="R202" i="40"/>
  <c r="R214" i="40"/>
  <c r="R222" i="40"/>
  <c r="R229" i="40"/>
  <c r="R236" i="40"/>
  <c r="R65" i="40"/>
  <c r="R115" i="40"/>
  <c r="R123" i="40"/>
  <c r="R220" i="40"/>
  <c r="R119" i="40"/>
  <c r="R186" i="40"/>
  <c r="R69" i="40"/>
  <c r="R190" i="40"/>
  <c r="R14" i="40"/>
  <c r="R21" i="40"/>
  <c r="R39" i="40"/>
  <c r="R57" i="40"/>
  <c r="R68" i="40"/>
  <c r="R75" i="40"/>
  <c r="R139" i="40"/>
  <c r="R143" i="40"/>
  <c r="R147" i="40"/>
  <c r="R151" i="40"/>
  <c r="R155" i="40"/>
  <c r="R159" i="40"/>
  <c r="R163" i="40"/>
  <c r="R167" i="40"/>
  <c r="R171" i="40"/>
  <c r="R175" i="40"/>
  <c r="R178" i="40"/>
  <c r="R200" i="40"/>
  <c r="R207" i="40"/>
  <c r="R210" i="40"/>
  <c r="R215" i="40"/>
  <c r="R230" i="40"/>
  <c r="R237" i="40"/>
  <c r="R244" i="40"/>
  <c r="K62" i="39"/>
  <c r="C24" i="43" l="1"/>
  <c r="C25" i="43"/>
  <c r="D25" i="43" s="1"/>
  <c r="C27" i="43"/>
  <c r="D27" i="43" s="1"/>
  <c r="C26" i="43"/>
  <c r="D26" i="43" s="1"/>
  <c r="Q80" i="39"/>
  <c r="K80" i="39"/>
  <c r="Q79" i="39"/>
  <c r="K79" i="39"/>
  <c r="R79" i="39" s="1"/>
  <c r="Q78" i="39"/>
  <c r="K78" i="39"/>
  <c r="Q77" i="39"/>
  <c r="K77" i="39"/>
  <c r="Q23" i="3"/>
  <c r="D24" i="43" l="1"/>
  <c r="C28" i="43"/>
  <c r="D28" i="43" s="1"/>
  <c r="R77" i="39"/>
  <c r="R78" i="39"/>
  <c r="R80" i="39"/>
  <c r="K34" i="3"/>
  <c r="Q34" i="3"/>
  <c r="K35" i="3"/>
  <c r="Q35" i="3"/>
  <c r="K36" i="3"/>
  <c r="Q36" i="3"/>
  <c r="K37" i="3"/>
  <c r="Q37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K46" i="39"/>
  <c r="Q46" i="39"/>
  <c r="K47" i="39"/>
  <c r="Q47" i="39"/>
  <c r="K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R49" i="38" l="1"/>
  <c r="R39" i="39"/>
  <c r="R97" i="38"/>
  <c r="R81" i="38"/>
  <c r="R65" i="38"/>
  <c r="R49" i="3"/>
  <c r="R71" i="39"/>
  <c r="R55" i="39"/>
  <c r="R47" i="39"/>
  <c r="R43" i="39"/>
  <c r="R41" i="39"/>
  <c r="R40" i="39"/>
  <c r="R105" i="38"/>
  <c r="R101" i="38"/>
  <c r="R99" i="38"/>
  <c r="R98" i="38"/>
  <c r="R89" i="38"/>
  <c r="R85" i="38"/>
  <c r="R83" i="38"/>
  <c r="R82" i="38"/>
  <c r="R73" i="38"/>
  <c r="R69" i="38"/>
  <c r="R67" i="38"/>
  <c r="R66" i="38"/>
  <c r="R57" i="38"/>
  <c r="R53" i="38"/>
  <c r="R51" i="38"/>
  <c r="R50" i="38"/>
  <c r="R41" i="38"/>
  <c r="R57" i="3"/>
  <c r="R53" i="3"/>
  <c r="R50" i="3"/>
  <c r="R93" i="38"/>
  <c r="R91" i="38"/>
  <c r="R90" i="38"/>
  <c r="R77" i="38"/>
  <c r="R75" i="38"/>
  <c r="R74" i="38"/>
  <c r="R61" i="38"/>
  <c r="R59" i="38"/>
  <c r="R58" i="38"/>
  <c r="R45" i="38"/>
  <c r="R43" i="38"/>
  <c r="R42" i="38"/>
  <c r="R75" i="39"/>
  <c r="R73" i="39"/>
  <c r="R72" i="39"/>
  <c r="R58" i="3"/>
  <c r="R43" i="3"/>
  <c r="R42" i="3"/>
  <c r="R41" i="3"/>
  <c r="R37" i="3"/>
  <c r="R34" i="3"/>
  <c r="R59" i="3"/>
  <c r="R51" i="3"/>
  <c r="R45" i="3"/>
  <c r="R35" i="3"/>
  <c r="R55" i="3"/>
  <c r="R54" i="3"/>
  <c r="R47" i="3"/>
  <c r="R46" i="3"/>
  <c r="R39" i="3"/>
  <c r="R38" i="3"/>
  <c r="R103" i="38"/>
  <c r="R102" i="38"/>
  <c r="R95" i="38"/>
  <c r="R94" i="38"/>
  <c r="R87" i="38"/>
  <c r="R86" i="38"/>
  <c r="R79" i="38"/>
  <c r="R78" i="38"/>
  <c r="R71" i="38"/>
  <c r="R70" i="38"/>
  <c r="R63" i="38"/>
  <c r="R62" i="38"/>
  <c r="R55" i="38"/>
  <c r="R54" i="38"/>
  <c r="R47" i="38"/>
  <c r="R46" i="38"/>
  <c r="R39" i="38"/>
  <c r="R38" i="38"/>
  <c r="R63" i="39"/>
  <c r="R59" i="39"/>
  <c r="R57" i="39"/>
  <c r="R56" i="39"/>
  <c r="R67" i="39"/>
  <c r="R65" i="39"/>
  <c r="R64" i="39"/>
  <c r="R51" i="39"/>
  <c r="R49" i="39"/>
  <c r="R48" i="39"/>
  <c r="R76" i="39"/>
  <c r="R69" i="39"/>
  <c r="R68" i="39"/>
  <c r="R61" i="39"/>
  <c r="R60" i="39"/>
  <c r="R53" i="39"/>
  <c r="R52" i="39"/>
  <c r="R45" i="39"/>
  <c r="R44" i="39"/>
  <c r="R74" i="39"/>
  <c r="R70" i="39"/>
  <c r="R66" i="39"/>
  <c r="R62" i="39"/>
  <c r="R58" i="39"/>
  <c r="R54" i="39"/>
  <c r="R50" i="39"/>
  <c r="R46" i="39"/>
  <c r="R42" i="39"/>
  <c r="R38" i="39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56" i="3"/>
  <c r="R52" i="3"/>
  <c r="R48" i="3"/>
  <c r="R44" i="3"/>
  <c r="R40" i="3"/>
  <c r="R36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4" i="3"/>
  <c r="Q25" i="3"/>
  <c r="Q26" i="3"/>
  <c r="Q27" i="3"/>
  <c r="Q28" i="3"/>
  <c r="Q29" i="3"/>
  <c r="Q30" i="3"/>
  <c r="Q31" i="3"/>
  <c r="Q32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9" i="3"/>
  <c r="K10" i="3"/>
  <c r="Q11" i="3"/>
  <c r="R10" i="39" l="1"/>
  <c r="R12" i="39"/>
  <c r="R14" i="39"/>
  <c r="R16" i="39"/>
  <c r="R18" i="39"/>
  <c r="R20" i="39"/>
  <c r="R22" i="39"/>
  <c r="R24" i="39"/>
  <c r="R26" i="39"/>
  <c r="R28" i="39"/>
  <c r="R30" i="39"/>
  <c r="R32" i="39"/>
  <c r="R34" i="39"/>
  <c r="R25" i="37"/>
  <c r="R2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6" i="39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29" i="3"/>
  <c r="R25" i="3"/>
  <c r="R31" i="3"/>
  <c r="R27" i="3"/>
  <c r="R23" i="3"/>
  <c r="R19" i="3"/>
  <c r="R17" i="3"/>
  <c r="R15" i="3"/>
  <c r="R13" i="3"/>
  <c r="R11" i="3"/>
  <c r="R21" i="3"/>
  <c r="R30" i="3"/>
  <c r="R26" i="3"/>
  <c r="R22" i="3"/>
  <c r="R18" i="3"/>
  <c r="R14" i="3"/>
  <c r="R10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<sst xmlns="http://schemas.openxmlformats.org/spreadsheetml/2006/main" count="15231" uniqueCount="2460">
  <si>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</si>
  <si>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</si>
  <si>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</si>
  <si>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</si>
  <si>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</si>
  <si>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</si>
  <si>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</si>
  <si>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</si>
  <si>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</si>
  <si>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</si>
  <si>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</si>
  <si>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</si>
  <si>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</si>
  <si>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</si>
  <si>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</si>
  <si>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</si>
  <si>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</si>
  <si>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</si>
  <si>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</si>
  <si>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</si>
  <si>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</si>
  <si>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</si>
  <si>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</si>
  <si>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</si>
  <si>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</si>
  <si>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</si>
  <si>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</si>
  <si>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</si>
  <si>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</si>
  <si>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</si>
  <si>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</si>
  <si>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</si>
  <si>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</si>
  <si>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</si>
  <si>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</si>
  <si>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</si>
  <si>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</si>
  <si>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</si>
  <si>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</si>
  <si>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</si>
  <si>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</si>
  <si>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</si>
  <si>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</si>
  <si>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</si>
  <si>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</si>
  <si>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</si>
  <si>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</si>
  <si>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</si>
  <si>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</si>
  <si>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</si>
  <si>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</si>
  <si>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</si>
  <si>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</si>
  <si>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</si>
  <si>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</si>
  <si>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</si>
  <si>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</si>
  <si>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</si>
  <si>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</si>
  <si>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</si>
  <si>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</si>
  <si>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</si>
  <si>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</si>
  <si>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</si>
  <si>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</si>
  <si>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</si>
  <si>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</si>
  <si>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</si>
  <si>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</si>
  <si>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</si>
  <si>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</si>
  <si>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</si>
  <si>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</si>
  <si>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</si>
  <si>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</si>
  <si>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</si>
  <si>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</si>
  <si>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</si>
  <si>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</si>
  <si>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</si>
  <si>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</si>
  <si>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</si>
  <si>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</si>
  <si>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</si>
  <si>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</si>
  <si>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</si>
  <si>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</si>
  <si>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</si>
  <si>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</si>
  <si>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</si>
  <si>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</si>
  <si>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</si>
  <si>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</si>
  <si>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</si>
  <si>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</si>
  <si>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</si>
  <si>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</si>
  <si>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</si>
  <si>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</si>
  <si>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</si>
  <si>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</si>
  <si>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</si>
  <si>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</si>
  <si>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</si>
  <si>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</si>
  <si>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</si>
  <si>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</si>
  <si>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</si>
  <si>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</si>
  <si>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</si>
  <si>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</si>
  <si>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</si>
  <si>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</si>
  <si>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</si>
  <si>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</si>
  <si>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</si>
  <si>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</si>
  <si>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</si>
  <si>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</si>
  <si>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</si>
  <si>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</si>
  <si>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</si>
  <si>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</si>
  <si>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</si>
  <si>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</si>
  <si>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</si>
  <si>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</si>
  <si>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</si>
  <si>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</si>
  <si>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</si>
  <si>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</si>
  <si>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</si>
  <si>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</si>
  <si>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</si>
  <si>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</si>
  <si>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</si>
  <si>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</si>
  <si>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</si>
  <si>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</si>
  <si>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</si>
  <si>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</si>
  <si>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</si>
  <si>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</si>
  <si>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</si>
  <si>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</si>
  <si>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NSAMBYA</t>
  </si>
  <si>
    <t>KAMPALA</t>
  </si>
  <si>
    <t>UG</t>
  </si>
  <si>
    <t>WAKISO</t>
  </si>
  <si>
    <t>Y</t>
  </si>
  <si>
    <t>11.10.19</t>
  </si>
  <si>
    <t>BUSABALA ROAD</t>
  </si>
  <si>
    <t>BUSABALA</t>
  </si>
  <si>
    <t>ENTEBBE</t>
  </si>
  <si>
    <t>KYLO</t>
  </si>
  <si>
    <t>EMMA</t>
  </si>
  <si>
    <t>AJOK EMILY</t>
  </si>
  <si>
    <t>UBF 609Q</t>
  </si>
  <si>
    <t>TOWN CITY</t>
  </si>
  <si>
    <t>NAJANAKOBI</t>
  </si>
  <si>
    <t>UAV 609X</t>
  </si>
  <si>
    <t>KIBIRI</t>
  </si>
  <si>
    <t>UBF 952P</t>
  </si>
  <si>
    <t>NDEJJE</t>
  </si>
  <si>
    <t>UBD 938L</t>
  </si>
  <si>
    <t>UDT 211K</t>
  </si>
  <si>
    <t xml:space="preserve">KIGO </t>
  </si>
  <si>
    <t>UEP 791H</t>
  </si>
  <si>
    <t>UDX 127U</t>
  </si>
  <si>
    <t>UAU 679S</t>
  </si>
  <si>
    <t>UDL 240B</t>
  </si>
  <si>
    <t>UAX 752U</t>
  </si>
  <si>
    <t>UBE 594W</t>
  </si>
  <si>
    <t>UES 018U</t>
  </si>
  <si>
    <t>UAR 033M</t>
  </si>
  <si>
    <t>UAN 128U</t>
  </si>
  <si>
    <t>UDU167M</t>
  </si>
  <si>
    <t>UEX 713Z</t>
  </si>
  <si>
    <t>UAJ 409F</t>
  </si>
  <si>
    <t>BUSEGA</t>
  </si>
  <si>
    <t>UAX 799A</t>
  </si>
  <si>
    <t>KIBUYE</t>
  </si>
  <si>
    <t>UBF 568K</t>
  </si>
  <si>
    <t>KAVUMA</t>
  </si>
  <si>
    <t>UAX 3541Z</t>
  </si>
  <si>
    <t>UAX 427X</t>
  </si>
  <si>
    <t>NAMASUBA</t>
  </si>
  <si>
    <t>UAW 940M</t>
  </si>
  <si>
    <t>SOLOMA</t>
  </si>
  <si>
    <t>BUSALABA</t>
  </si>
  <si>
    <t>UBB 152W</t>
  </si>
  <si>
    <t>UAT 809Q</t>
  </si>
  <si>
    <t>UBD 747T</t>
  </si>
  <si>
    <t>UAT 486V</t>
  </si>
  <si>
    <t>ZANA</t>
  </si>
  <si>
    <t>UAU 718Y</t>
  </si>
  <si>
    <t>UBA 504Q</t>
  </si>
  <si>
    <t>UAA 487F</t>
  </si>
  <si>
    <t>SALOMA</t>
  </si>
  <si>
    <t>UEF 219E</t>
  </si>
  <si>
    <t>MIREMBE</t>
  </si>
  <si>
    <t>UEA 503J</t>
  </si>
  <si>
    <t>MASAJJA</t>
  </si>
  <si>
    <t>UAS 232Z</t>
  </si>
  <si>
    <t>STATION</t>
  </si>
  <si>
    <t>STELLA</t>
  </si>
  <si>
    <t>UBD 182M</t>
  </si>
  <si>
    <t>MUNYONYO</t>
  </si>
  <si>
    <t>KIBULI</t>
  </si>
  <si>
    <t>UEV 536D</t>
  </si>
  <si>
    <t>UAV 583Y</t>
  </si>
  <si>
    <t>UAV 055D</t>
  </si>
  <si>
    <t>NAJJANANKUMBI</t>
  </si>
  <si>
    <t>UAK 017J</t>
  </si>
  <si>
    <t>MIVALO</t>
  </si>
  <si>
    <t>UAS 775J</t>
  </si>
  <si>
    <t>UAY 489S</t>
  </si>
  <si>
    <t>UAW 260G</t>
  </si>
  <si>
    <t>BUNGA</t>
  </si>
  <si>
    <t>UBA 880S</t>
  </si>
  <si>
    <t xml:space="preserve">UBB 168F </t>
  </si>
  <si>
    <t>UDZ 143D</t>
  </si>
  <si>
    <t>NDIKUTAMADDA</t>
  </si>
  <si>
    <t>UDQ 104E</t>
  </si>
  <si>
    <t>YDV 214Q</t>
  </si>
  <si>
    <t>UAD 010H</t>
  </si>
  <si>
    <t>UAS 539D</t>
  </si>
  <si>
    <t>GGABA</t>
  </si>
  <si>
    <t>UAY 245K</t>
  </si>
  <si>
    <t>UAE  490U</t>
  </si>
  <si>
    <t>UAT 642C</t>
  </si>
  <si>
    <t>OLD PARK</t>
  </si>
  <si>
    <t>UEQ 053F</t>
  </si>
  <si>
    <t>BITALA</t>
  </si>
  <si>
    <t>UEJ 057U</t>
  </si>
  <si>
    <t>GANGU</t>
  </si>
  <si>
    <t>UAY 811E</t>
  </si>
  <si>
    <t>UAR 264W</t>
  </si>
  <si>
    <t>UAV 279S</t>
  </si>
  <si>
    <t>TAXI  PARK</t>
  </si>
  <si>
    <t>11.09.19</t>
  </si>
  <si>
    <t>12.09.19</t>
  </si>
  <si>
    <t>DRAKE</t>
  </si>
  <si>
    <t>UAP 896F</t>
  </si>
  <si>
    <t>MWALO</t>
  </si>
  <si>
    <t>UAZ 713H</t>
  </si>
  <si>
    <t>NEW PARK</t>
  </si>
  <si>
    <t>UAE 495U</t>
  </si>
  <si>
    <t>MUWUSA</t>
  </si>
  <si>
    <t>UDX 264J</t>
  </si>
  <si>
    <t>MASJJA</t>
  </si>
  <si>
    <t>KIRIDA</t>
  </si>
  <si>
    <t>UAY 473Y</t>
  </si>
  <si>
    <t>UBD 434L</t>
  </si>
  <si>
    <t>UDU 313N</t>
  </si>
  <si>
    <t>KATWE</t>
  </si>
  <si>
    <t>STATION CENTRE</t>
  </si>
  <si>
    <t>UAW 453D</t>
  </si>
  <si>
    <t>UBB 159Y</t>
  </si>
  <si>
    <t>UAX 017J</t>
  </si>
  <si>
    <t>KISENYI</t>
  </si>
  <si>
    <t>UAU 705A</t>
  </si>
  <si>
    <t>MATEGURA</t>
  </si>
  <si>
    <t>KUMWALO</t>
  </si>
  <si>
    <t>UAT 800T</t>
  </si>
  <si>
    <t>UDJ 488K</t>
  </si>
  <si>
    <t>KAYEMBE</t>
  </si>
  <si>
    <t>UET 485P</t>
  </si>
  <si>
    <t xml:space="preserve">UBE 417T </t>
  </si>
  <si>
    <t>UAX 046B</t>
  </si>
  <si>
    <t>UAN 230F</t>
  </si>
  <si>
    <t>MAKINDYE</t>
  </si>
  <si>
    <t>UBB 212P</t>
  </si>
  <si>
    <t>MENGO</t>
  </si>
  <si>
    <t>UBA 489V</t>
  </si>
  <si>
    <t>NTINDA</t>
  </si>
  <si>
    <t>UBB 566R</t>
  </si>
  <si>
    <t>UEY 068W</t>
  </si>
  <si>
    <t>UAF 627X</t>
  </si>
  <si>
    <t>GANGO</t>
  </si>
  <si>
    <t>UDZ 201Z</t>
  </si>
  <si>
    <t>UBD 507K</t>
  </si>
  <si>
    <t>UAZ 333E</t>
  </si>
  <si>
    <t>UAW 844S</t>
  </si>
  <si>
    <t>NZIVANUGI</t>
  </si>
  <si>
    <t>KASANGA</t>
  </si>
  <si>
    <t>UAB 005C</t>
  </si>
  <si>
    <t>KANABA</t>
  </si>
  <si>
    <t>UDQ 1000C</t>
  </si>
  <si>
    <t>UBD 060V</t>
  </si>
  <si>
    <t>WAKISO TOWN</t>
  </si>
  <si>
    <t>UBF 039U</t>
  </si>
  <si>
    <t>KIGO</t>
  </si>
  <si>
    <t>UAS 026T</t>
  </si>
  <si>
    <t>UEP 619D</t>
  </si>
  <si>
    <t>KIBIBI</t>
  </si>
  <si>
    <t>UAX 056X</t>
  </si>
  <si>
    <t>NAKASERO</t>
  </si>
  <si>
    <t>UAU 112H</t>
  </si>
  <si>
    <t>UAD 690T</t>
  </si>
  <si>
    <t>UAZ 922C</t>
  </si>
  <si>
    <t>KABUMA</t>
  </si>
  <si>
    <t>UBA 503C</t>
  </si>
  <si>
    <t>UAU 043D</t>
  </si>
  <si>
    <t>UBF 787E</t>
  </si>
  <si>
    <t>KIBIRII</t>
  </si>
  <si>
    <t>UBE 141U</t>
  </si>
  <si>
    <t>UAJ 916A</t>
  </si>
  <si>
    <t>UAQ 370M</t>
  </si>
  <si>
    <t>UAW 480Q</t>
  </si>
  <si>
    <t>UAP 069T</t>
  </si>
  <si>
    <t>BUZINGA</t>
  </si>
  <si>
    <t>UDU 606L</t>
  </si>
  <si>
    <t>BYEYA</t>
  </si>
  <si>
    <t>UAM 778M</t>
  </si>
  <si>
    <t>NABISARU</t>
  </si>
  <si>
    <t>UAD 336B</t>
  </si>
  <si>
    <t>UAZ 103L</t>
  </si>
  <si>
    <t>GAMBA</t>
  </si>
  <si>
    <t>UAX 266T</t>
  </si>
  <si>
    <t>UEZ 302A</t>
  </si>
  <si>
    <t>KIIBI</t>
  </si>
  <si>
    <t>UAT 363B</t>
  </si>
  <si>
    <t>PRISON</t>
  </si>
  <si>
    <t>UAJ 517U</t>
  </si>
  <si>
    <t>UAR 977K</t>
  </si>
  <si>
    <t>UBE 223Q</t>
  </si>
  <si>
    <t>UAW 094U</t>
  </si>
  <si>
    <t>USATI</t>
  </si>
  <si>
    <t>UBC 603B</t>
  </si>
  <si>
    <t>KINGO</t>
  </si>
  <si>
    <t>UAK 564D</t>
  </si>
  <si>
    <t>UEW 205K</t>
  </si>
  <si>
    <t>UAJ 343U</t>
  </si>
  <si>
    <t>KAWUKU</t>
  </si>
  <si>
    <t>UAY 325W</t>
  </si>
  <si>
    <t>UEX 249Y</t>
  </si>
  <si>
    <t>MUTUNGO</t>
  </si>
  <si>
    <t>UAP 580K</t>
  </si>
  <si>
    <t>UAB 793E</t>
  </si>
  <si>
    <t>UBB 119S</t>
  </si>
  <si>
    <t>UBD 245D</t>
  </si>
  <si>
    <t>UAP 770W</t>
  </si>
  <si>
    <t>UAY 489D</t>
  </si>
  <si>
    <t>UAT 360P</t>
  </si>
  <si>
    <t>WUSAFI</t>
  </si>
  <si>
    <t>UAL 658U</t>
  </si>
  <si>
    <t>UAU 583Y</t>
  </si>
  <si>
    <t>UAU 387H</t>
  </si>
  <si>
    <t>UAJ 401F</t>
  </si>
  <si>
    <t>UAT 917Q</t>
  </si>
  <si>
    <t>UDM 295D</t>
  </si>
  <si>
    <t>UAS 268T</t>
  </si>
  <si>
    <t>UEL 269L</t>
  </si>
  <si>
    <t>UEQ 766N</t>
  </si>
  <si>
    <t>UAJ 945B</t>
  </si>
  <si>
    <t>BUNGU</t>
  </si>
  <si>
    <t>UDV 970S</t>
  </si>
  <si>
    <t>UBA 328G</t>
  </si>
  <si>
    <t>UAY 810F</t>
  </si>
  <si>
    <t>UAH 095H</t>
  </si>
  <si>
    <t>UAP 658Z</t>
  </si>
  <si>
    <t>UAY 051W</t>
  </si>
  <si>
    <t>UAX 252Y</t>
  </si>
  <si>
    <t>UAP 081T</t>
  </si>
  <si>
    <t>UAT 876U</t>
  </si>
  <si>
    <t>UBE 931E</t>
  </si>
  <si>
    <t>KAJJANSI</t>
  </si>
  <si>
    <t>UAS 662P</t>
  </si>
  <si>
    <t>UAP 995</t>
  </si>
  <si>
    <t xml:space="preserve">NSAMBYA </t>
  </si>
  <si>
    <t>UAR 689A</t>
  </si>
  <si>
    <t>UBA 887M</t>
  </si>
  <si>
    <t>UBB 836A</t>
  </si>
  <si>
    <t>KONGE</t>
  </si>
  <si>
    <t>UBA 537Q</t>
  </si>
  <si>
    <t>GABA</t>
  </si>
  <si>
    <t>UAH 226X</t>
  </si>
  <si>
    <t>BUGU</t>
  </si>
  <si>
    <t>UAN 331S</t>
  </si>
  <si>
    <t>UEP 021A</t>
  </si>
  <si>
    <t>UER 618Q</t>
  </si>
  <si>
    <t>UAP 385L</t>
  </si>
  <si>
    <t>UBA 956K</t>
  </si>
  <si>
    <t>GUNGU</t>
  </si>
  <si>
    <t>NSANGI</t>
  </si>
  <si>
    <t>UBD 466Z</t>
  </si>
  <si>
    <t>UBB 618L</t>
  </si>
  <si>
    <t>UBD 630T</t>
  </si>
  <si>
    <t>UEQ 909U</t>
  </si>
  <si>
    <t>ZILANUMBU</t>
  </si>
  <si>
    <t>SERENA</t>
  </si>
  <si>
    <t>UAT 133Q</t>
  </si>
  <si>
    <t>UAK 676B</t>
  </si>
  <si>
    <t>KIBIR</t>
  </si>
  <si>
    <t>UEV 480D</t>
  </si>
  <si>
    <t>UAJ 508E</t>
  </si>
  <si>
    <t>MUTUNDWE</t>
  </si>
  <si>
    <t>UAS 962Q</t>
  </si>
  <si>
    <t>UAM 098A</t>
  </si>
  <si>
    <t>ZILANUNGO</t>
  </si>
  <si>
    <t>UEK 975V</t>
  </si>
  <si>
    <t>UAW 952J</t>
  </si>
  <si>
    <t>UBA 295X</t>
  </si>
  <si>
    <t>SANJE</t>
  </si>
  <si>
    <t>UBD 589D</t>
  </si>
  <si>
    <t>UAG 574X</t>
  </si>
  <si>
    <t>KIBIRIR</t>
  </si>
  <si>
    <t>12.10.19</t>
  </si>
  <si>
    <t>ENTEBB</t>
  </si>
  <si>
    <t>OLUPOT JOHN</t>
  </si>
  <si>
    <t>UBF 627R</t>
  </si>
  <si>
    <t>UAT 319B</t>
  </si>
  <si>
    <t>UAS 640D</t>
  </si>
  <si>
    <t>UBE 519E</t>
  </si>
  <si>
    <t>USASI</t>
  </si>
  <si>
    <t>UAR 867J</t>
  </si>
  <si>
    <t>SSD 351AE</t>
  </si>
  <si>
    <t>SAALAMA</t>
  </si>
  <si>
    <t>UAZ 312T</t>
  </si>
  <si>
    <t>NATEETE</t>
  </si>
  <si>
    <t>UBA 874L</t>
  </si>
  <si>
    <t>UEU  519X</t>
  </si>
  <si>
    <t>KANAABA</t>
  </si>
  <si>
    <t>UEX 289B</t>
  </si>
  <si>
    <t>UAH 953S</t>
  </si>
  <si>
    <t>UAUA789Q</t>
  </si>
  <si>
    <t>NANSANA</t>
  </si>
  <si>
    <t>UAG 683S</t>
  </si>
  <si>
    <t>UAX 468W</t>
  </si>
  <si>
    <t>UBE 830L</t>
  </si>
  <si>
    <t>NAKAWUKA</t>
  </si>
  <si>
    <t>UAW 170J</t>
  </si>
  <si>
    <t>BUZIGA</t>
  </si>
  <si>
    <t>BUS</t>
  </si>
  <si>
    <t>UBF 995V</t>
  </si>
  <si>
    <t>UAR 520E</t>
  </si>
  <si>
    <t>UAZ 629B</t>
  </si>
  <si>
    <t>UBB 606Q</t>
  </si>
  <si>
    <t>KAKOLA</t>
  </si>
  <si>
    <t>KABUUMA</t>
  </si>
  <si>
    <t>UBA 626L</t>
  </si>
  <si>
    <t>MASANAFU</t>
  </si>
  <si>
    <t>UAQ 078Y</t>
  </si>
  <si>
    <t>GOMBOLOLA</t>
  </si>
  <si>
    <t>UAK 304Y</t>
  </si>
  <si>
    <t>UAM 557R</t>
  </si>
  <si>
    <t>KABALAGALA</t>
  </si>
  <si>
    <t>UDT 211X</t>
  </si>
  <si>
    <t>UAW 187J</t>
  </si>
  <si>
    <t>UEW 318D</t>
  </si>
  <si>
    <t>UAF 569C</t>
  </si>
  <si>
    <t>UBB 064W</t>
  </si>
  <si>
    <t>UAZ 364D</t>
  </si>
  <si>
    <t>KUBUYE</t>
  </si>
  <si>
    <t>UAX 990K</t>
  </si>
  <si>
    <t>UBE 347U</t>
  </si>
  <si>
    <t>UBB 125</t>
  </si>
  <si>
    <t>BUGGU</t>
  </si>
  <si>
    <t>UAX 790M</t>
  </si>
  <si>
    <t>UAJ 756L</t>
  </si>
  <si>
    <t>KAVUUMA</t>
  </si>
  <si>
    <t>UBB 039A</t>
  </si>
  <si>
    <t>UAT 670U 3</t>
  </si>
  <si>
    <t>SEETA</t>
  </si>
  <si>
    <t>UAW 770V</t>
  </si>
  <si>
    <t>SPEKE HOTEL</t>
  </si>
  <si>
    <t>UBD 116D</t>
  </si>
  <si>
    <t>UBD 157M</t>
  </si>
  <si>
    <t>UAH 671W</t>
  </si>
  <si>
    <t>UAW 319T</t>
  </si>
  <si>
    <t>UAF 928C</t>
  </si>
  <si>
    <t>UAM 943H</t>
  </si>
  <si>
    <t>NAJANAKIMBI</t>
  </si>
  <si>
    <t>UAL 653T</t>
  </si>
  <si>
    <t>UAR 885W</t>
  </si>
  <si>
    <t>UAZ652S</t>
  </si>
  <si>
    <t>UBE 846N</t>
  </si>
  <si>
    <t>UBA 331K</t>
  </si>
  <si>
    <t>UAL 982E</t>
  </si>
  <si>
    <t>UDR 989D</t>
  </si>
  <si>
    <t>UAJ 794J</t>
  </si>
  <si>
    <t>UAK 594U</t>
  </si>
  <si>
    <t>UEN 130Q</t>
  </si>
  <si>
    <t>UAU 829F</t>
  </si>
  <si>
    <t>UAM 726K</t>
  </si>
  <si>
    <t>UAV 577Q</t>
  </si>
  <si>
    <t>UAL 434C</t>
  </si>
  <si>
    <t>KITIGO</t>
  </si>
  <si>
    <t>UAT 322P</t>
  </si>
  <si>
    <t>UBA 258U</t>
  </si>
  <si>
    <t>UBE 917T</t>
  </si>
  <si>
    <t>UAW 196F</t>
  </si>
  <si>
    <t xml:space="preserve"> 10:21</t>
  </si>
  <si>
    <t xml:space="preserve"> 21:45</t>
  </si>
  <si>
    <t>Consultancy services for Preparation of Expressway Develo PMent Master Plan (EDMP) for Uganda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</si>
  <si>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</si>
  <si>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</si>
  <si>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</si>
  <si>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</si>
  <si>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</si>
  <si>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</si>
  <si>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</si>
  <si>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</si>
  <si>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</si>
  <si>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</si>
  <si>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</si>
  <si>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</si>
  <si>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</si>
  <si>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</si>
  <si>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</si>
  <si>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</si>
  <si>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</si>
  <si>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</si>
  <si>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</si>
  <si>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</si>
  <si>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</si>
  <si>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</si>
  <si>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</si>
  <si>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</si>
  <si>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</si>
  <si>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</si>
  <si>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</si>
  <si>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</si>
  <si>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</si>
  <si>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</si>
  <si>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</si>
  <si>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</si>
  <si>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</si>
  <si>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</si>
  <si>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</si>
  <si>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</si>
  <si>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</si>
  <si>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</si>
  <si>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</si>
  <si>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</si>
  <si>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</si>
  <si>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</si>
  <si>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</si>
  <si>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</si>
  <si>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</si>
  <si>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</si>
  <si>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</si>
  <si>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</si>
  <si>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</si>
  <si>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</si>
  <si>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</si>
  <si>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</si>
  <si>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</si>
  <si>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</si>
  <si>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</si>
  <si>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</si>
  <si>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</si>
  <si>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</si>
  <si>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</si>
  <si>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</si>
  <si>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</si>
  <si>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</si>
  <si>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</si>
  <si>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</si>
  <si>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</si>
  <si>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</si>
  <si>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</si>
  <si>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</si>
  <si>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</si>
  <si>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</si>
  <si>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</si>
  <si>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</si>
  <si>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</si>
  <si>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</si>
  <si>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</si>
  <si>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</si>
  <si>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</si>
  <si>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</si>
  <si>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</si>
  <si>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</si>
  <si>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</si>
  <si>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</si>
  <si>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</si>
  <si>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</si>
  <si>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</si>
  <si>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</si>
  <si>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</si>
  <si>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</si>
  <si>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</si>
  <si>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</si>
  <si>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</si>
  <si>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</si>
  <si>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</si>
  <si>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</si>
  <si>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</si>
  <si>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</si>
  <si>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</si>
  <si>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</si>
  <si>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</si>
  <si>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</si>
  <si>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</si>
  <si>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</si>
  <si>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</si>
  <si>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</si>
  <si>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</si>
  <si>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</si>
  <si>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</si>
  <si>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</si>
  <si>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</si>
  <si>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</si>
  <si>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</si>
  <si>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</si>
  <si>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</si>
  <si>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</si>
  <si>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</si>
  <si>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</si>
  <si>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</si>
  <si>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</si>
  <si>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</si>
  <si>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</si>
  <si>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</si>
  <si>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</si>
  <si>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</si>
  <si>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</si>
  <si>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</si>
  <si>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</si>
  <si>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</si>
  <si>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</si>
  <si>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</si>
  <si>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</si>
  <si>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</si>
  <si>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</si>
  <si>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</si>
  <si>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</si>
  <si>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</si>
  <si>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</si>
  <si>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</si>
  <si>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</si>
  <si>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</si>
  <si>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</si>
  <si>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</si>
  <si>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</si>
  <si>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</si>
  <si>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</si>
  <si>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</si>
  <si>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</si>
  <si>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</si>
  <si>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</si>
  <si>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</si>
  <si>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</si>
  <si>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</si>
  <si>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</si>
  <si>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</si>
  <si>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</si>
  <si>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</si>
  <si>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</si>
  <si>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</si>
  <si>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</si>
  <si>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</si>
  <si>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</si>
  <si>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</si>
  <si>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</si>
  <si>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</si>
  <si>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</si>
  <si>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</si>
  <si>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</si>
  <si>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</si>
  <si>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</si>
  <si>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</si>
  <si>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</si>
  <si>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</si>
  <si>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</si>
  <si>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</si>
  <si>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</si>
  <si>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</si>
  <si>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</si>
  <si>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</si>
  <si>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</si>
  <si>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</si>
  <si>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</si>
  <si>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</si>
  <si>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</si>
  <si>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</si>
  <si>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</si>
  <si>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</si>
  <si>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</si>
  <si>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</si>
  <si>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</si>
  <si>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</si>
  <si>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</si>
  <si>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</si>
  <si>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</si>
  <si>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</si>
  <si>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</si>
  <si>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</si>
  <si>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</si>
  <si>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</si>
  <si>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</si>
  <si>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</si>
  <si>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</si>
  <si>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</si>
  <si>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</si>
  <si>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</si>
  <si>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</si>
  <si>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</si>
  <si>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</si>
  <si>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</si>
  <si>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</si>
  <si>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</si>
  <si>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</si>
  <si>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</si>
  <si>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</si>
  <si>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</si>
  <si>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</si>
  <si>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</si>
  <si>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</si>
  <si>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</si>
  <si>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</si>
  <si>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</si>
  <si>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</si>
  <si>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</si>
  <si>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</si>
  <si>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</si>
  <si>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</si>
  <si>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</si>
  <si>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</si>
  <si>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</si>
  <si>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</si>
  <si>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</si>
  <si>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</si>
  <si>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</si>
  <si>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</si>
  <si>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</si>
  <si>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</si>
  <si>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</si>
  <si>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</si>
  <si>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</si>
  <si>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</si>
  <si>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</si>
  <si>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</si>
  <si>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</si>
  <si>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</si>
  <si>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</si>
  <si>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</si>
  <si>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</si>
  <si>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</si>
  <si>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</si>
  <si>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</si>
  <si>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</si>
  <si>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</si>
  <si>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</si>
  <si>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</si>
  <si>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</si>
  <si>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</si>
  <si>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</si>
  <si>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</si>
  <si>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</si>
  <si>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</si>
  <si>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</si>
  <si>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</si>
  <si>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</si>
  <si>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</si>
  <si>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</si>
  <si>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</si>
  <si>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</si>
  <si>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</si>
  <si>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</si>
  <si>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</si>
  <si>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</si>
  <si>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</si>
  <si>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</si>
  <si>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</si>
  <si>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</si>
  <si>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</si>
  <si>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</si>
  <si>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</si>
  <si>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</si>
  <si>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</si>
  <si>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</si>
  <si>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</si>
  <si>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</si>
  <si>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</si>
  <si>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</si>
  <si>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</si>
  <si>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</si>
  <si>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</si>
  <si>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</si>
  <si>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</si>
  <si>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</si>
  <si>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</si>
  <si>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</si>
  <si>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</si>
  <si>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</si>
  <si>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</si>
  <si>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</si>
  <si>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</si>
  <si>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</si>
  <si>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</si>
  <si>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</si>
  <si>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</si>
  <si>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</si>
  <si>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</si>
  <si>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</si>
  <si>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</si>
  <si>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</si>
  <si>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</si>
  <si>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</si>
  <si>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</si>
  <si>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</si>
  <si>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</si>
  <si>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</si>
  <si>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</si>
  <si>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</si>
  <si>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</si>
  <si>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</si>
  <si>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</si>
  <si>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</si>
  <si>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</si>
  <si>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</si>
  <si>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</si>
  <si>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</si>
  <si>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</si>
  <si>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</si>
  <si>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</si>
  <si>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</si>
  <si>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</si>
  <si>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</si>
  <si>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</si>
  <si>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</si>
  <si>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</si>
  <si>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</si>
  <si>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</si>
  <si>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</si>
  <si>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</si>
  <si>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</si>
  <si>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</si>
  <si>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</si>
  <si>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</si>
  <si>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</si>
  <si>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</si>
  <si>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</si>
  <si>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</si>
  <si>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</si>
  <si>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</si>
  <si>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</si>
  <si>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</si>
  <si>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</si>
  <si>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</si>
  <si>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</si>
  <si>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</si>
  <si>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</si>
  <si>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</si>
  <si>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</si>
  <si>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</si>
  <si>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</si>
  <si>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</si>
  <si>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</si>
  <si>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</si>
  <si>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</si>
  <si>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</si>
  <si>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</si>
  <si>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</si>
  <si>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</si>
  <si>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</si>
  <si>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</si>
  <si>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</si>
  <si>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</si>
  <si>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</si>
  <si>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</si>
  <si>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</si>
  <si>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</si>
  <si>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</si>
  <si>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</si>
  <si>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</si>
  <si>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</si>
  <si>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</si>
  <si>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</si>
  <si>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</si>
  <si>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</si>
  <si>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</si>
  <si>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</si>
  <si>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</si>
  <si>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</si>
  <si>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</si>
  <si>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</si>
  <si>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</si>
  <si>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</si>
  <si>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</si>
  <si>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</si>
  <si>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</si>
  <si>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</si>
  <si>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</si>
  <si>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</si>
  <si>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</si>
  <si>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</si>
  <si>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</si>
  <si>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</si>
  <si>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</si>
  <si>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</si>
  <si>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</si>
  <si>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</si>
  <si>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</si>
  <si>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</si>
  <si>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</si>
  <si>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</si>
  <si>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</si>
  <si>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</si>
  <si>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</si>
  <si>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</si>
  <si>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</si>
  <si>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</si>
  <si>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</si>
  <si>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</si>
  <si>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</si>
  <si>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</si>
  <si>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</si>
  <si>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</si>
  <si>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</si>
  <si>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</si>
  <si>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</si>
  <si>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</si>
  <si>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</si>
  <si>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</si>
  <si>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</si>
  <si>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</si>
  <si>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</si>
  <si>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</si>
  <si>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</si>
  <si>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</si>
  <si>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</si>
  <si>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</si>
  <si>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</si>
  <si>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</si>
  <si>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</si>
  <si>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</si>
  <si>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</si>
  <si>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</si>
  <si>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</si>
  <si>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</si>
  <si>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</si>
  <si>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</si>
  <si>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</si>
  <si>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</si>
  <si>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</si>
  <si>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</si>
  <si>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</si>
  <si>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</si>
  <si>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</si>
  <si>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</si>
  <si>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</si>
  <si>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</si>
  <si>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</si>
  <si>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</si>
  <si>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</si>
  <si>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</si>
  <si>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</si>
  <si>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</si>
  <si>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</si>
  <si>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</si>
  <si>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</si>
  <si>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</si>
  <si>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</si>
  <si>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</si>
  <si>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</si>
  <si>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</si>
  <si>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</si>
  <si>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</si>
  <si>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</si>
  <si>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</si>
  <si>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</si>
  <si>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</si>
  <si>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</si>
  <si>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</si>
  <si>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</si>
  <si>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</si>
  <si>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</si>
  <si>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</si>
  <si>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</si>
  <si>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</si>
  <si>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</si>
  <si>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</si>
  <si>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</si>
  <si>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</si>
  <si>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</si>
  <si>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</si>
  <si>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</si>
  <si>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</si>
  <si>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</si>
  <si>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</si>
  <si>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</si>
  <si>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</si>
  <si>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</si>
  <si>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</si>
  <si>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</si>
  <si>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</si>
  <si>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</si>
  <si>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</si>
  <si>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</si>
  <si>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</si>
  <si>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</si>
  <si>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</si>
  <si>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</si>
  <si>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</si>
  <si>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</si>
  <si>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</si>
  <si>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</si>
  <si>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</si>
  <si>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</si>
  <si>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</si>
  <si>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</si>
  <si>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</si>
  <si>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</si>
  <si>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</si>
  <si>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</si>
  <si>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</si>
  <si>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</si>
  <si>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</si>
  <si>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</si>
  <si>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</si>
  <si>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</si>
  <si>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</si>
  <si>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</si>
  <si>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</si>
  <si>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</si>
  <si>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</si>
  <si>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</si>
  <si>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</si>
  <si>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</si>
  <si>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</si>
  <si>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</si>
  <si>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</si>
  <si>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</si>
  <si>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</si>
  <si>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</si>
  <si>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</si>
  <si>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</si>
  <si>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</si>
  <si>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</si>
  <si>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</si>
  <si>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</si>
  <si>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</si>
  <si>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</si>
  <si>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</si>
  <si>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</si>
  <si>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</si>
  <si>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</si>
  <si>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</si>
  <si>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</si>
  <si>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</si>
  <si>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</si>
  <si>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</si>
  <si>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</si>
  <si>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</si>
  <si>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</si>
  <si>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</si>
  <si>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</si>
  <si>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</si>
  <si>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</si>
  <si>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</si>
  <si>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</si>
  <si>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</si>
  <si>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</si>
  <si>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</si>
  <si>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</si>
  <si>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</si>
  <si>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</si>
  <si>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</si>
  <si>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</si>
  <si>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</si>
  <si>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</si>
  <si>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</si>
  <si>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</si>
  <si>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</si>
  <si>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</si>
  <si>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</si>
  <si>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</si>
  <si>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</si>
  <si>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</si>
  <si>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</si>
  <si>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</si>
  <si>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</si>
  <si>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</si>
  <si>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</si>
  <si>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</si>
  <si>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</si>
  <si>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</si>
  <si>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</si>
  <si>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</si>
  <si>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</si>
  <si>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</si>
  <si>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Namuwongo</t>
  </si>
  <si>
    <t>Bukasa</t>
  </si>
  <si>
    <t>Makindye Division</t>
  </si>
  <si>
    <t>Bukesa</t>
  </si>
  <si>
    <t>Central Division</t>
  </si>
  <si>
    <t>Busega</t>
  </si>
  <si>
    <t>Rubaga Division</t>
  </si>
  <si>
    <t>Butabika</t>
  </si>
  <si>
    <t>Buziga</t>
  </si>
  <si>
    <t>Bwaise</t>
  </si>
  <si>
    <t>Kawempe Division</t>
  </si>
  <si>
    <t>Civic Centre</t>
  </si>
  <si>
    <t>NKURUMAH ROAD</t>
  </si>
  <si>
    <t>Clock tower</t>
  </si>
  <si>
    <t>CRUSADER HOUSE</t>
  </si>
  <si>
    <t>Engineering solution</t>
  </si>
  <si>
    <t>Sir Apollo</t>
  </si>
  <si>
    <t>CRESTED TOWERS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</si>
  <si>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</si>
  <si>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</si>
  <si>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</si>
  <si>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</si>
  <si>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</si>
  <si>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</si>
  <si>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</si>
  <si>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</si>
  <si>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</si>
  <si>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Lugogo</t>
  </si>
  <si>
    <t>Serena</t>
  </si>
  <si>
    <t>Taxi park</t>
  </si>
  <si>
    <t>Old park</t>
  </si>
  <si>
    <t>Old parrk</t>
  </si>
  <si>
    <t>Newtax park</t>
  </si>
  <si>
    <t>Equatorial</t>
  </si>
  <si>
    <t>Kampala town</t>
  </si>
  <si>
    <t>City center</t>
  </si>
  <si>
    <t>CITY CENTRE</t>
  </si>
  <si>
    <t>Gaba</t>
  </si>
  <si>
    <t>Soya</t>
  </si>
  <si>
    <t>Auto spa</t>
  </si>
  <si>
    <t>Munyonyo</t>
  </si>
  <si>
    <t>Mulungu</t>
  </si>
  <si>
    <t>Mawanga</t>
  </si>
  <si>
    <t>KELTRON SERVICES</t>
  </si>
  <si>
    <t>Kabuuma</t>
  </si>
  <si>
    <t>Kigo</t>
  </si>
  <si>
    <t>KIGO SERENE</t>
  </si>
  <si>
    <t>Busabala</t>
  </si>
  <si>
    <t>KIBIIRI</t>
  </si>
  <si>
    <t>KAZI</t>
  </si>
  <si>
    <t>KAAZI</t>
  </si>
  <si>
    <t>Kazii</t>
  </si>
  <si>
    <t>Kiruddu</t>
  </si>
  <si>
    <t>Kirundu</t>
  </si>
  <si>
    <t>Kirudu</t>
  </si>
  <si>
    <t xml:space="preserve">Bunga 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</si>
  <si>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</si>
  <si>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</si>
  <si>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</si>
  <si>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</si>
  <si>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</si>
  <si>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</si>
  <si>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</si>
  <si>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</si>
  <si>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</si>
  <si>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Kansanga</t>
  </si>
  <si>
    <t>Kasanga</t>
  </si>
  <si>
    <t>Kanyanya</t>
  </si>
  <si>
    <t>Kiteezi</t>
  </si>
  <si>
    <t>Kasubi</t>
  </si>
  <si>
    <t>Katwe</t>
  </si>
  <si>
    <t>Kawempe</t>
  </si>
  <si>
    <t>Agakhan</t>
  </si>
  <si>
    <t>Kazo Angola</t>
  </si>
  <si>
    <t>Kibuli</t>
  </si>
  <si>
    <t>Kibuye</t>
  </si>
  <si>
    <t>Kikaaya</t>
  </si>
  <si>
    <t xml:space="preserve">Kisenyi 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</si>
  <si>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</si>
  <si>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</si>
  <si>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</si>
  <si>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</si>
  <si>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</si>
  <si>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</si>
  <si>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</si>
  <si>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</si>
  <si>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Lubaga</t>
  </si>
  <si>
    <t>Lukuli</t>
  </si>
  <si>
    <t>Lungujja</t>
  </si>
  <si>
    <t>Luwafu</t>
  </si>
  <si>
    <t>Luzira</t>
  </si>
  <si>
    <t>Luzira Prisons</t>
  </si>
  <si>
    <t>Makerere</t>
  </si>
  <si>
    <t>Makerere University</t>
  </si>
  <si>
    <t>Makindye</t>
  </si>
  <si>
    <t>Mbuya</t>
  </si>
  <si>
    <t>Mengo</t>
  </si>
  <si>
    <t>Rubaga</t>
  </si>
  <si>
    <t>Mpererwe</t>
  </si>
  <si>
    <t>Mulago</t>
  </si>
  <si>
    <t>Mutundwe</t>
  </si>
  <si>
    <t>Mutungo</t>
  </si>
  <si>
    <t>Kitintale</t>
  </si>
  <si>
    <t>Muntungo</t>
  </si>
  <si>
    <t>Nabisunsa</t>
  </si>
  <si>
    <t>Naguru</t>
  </si>
  <si>
    <t>Najjanankumbi</t>
  </si>
  <si>
    <t>NAJJANAMKUMBI</t>
  </si>
  <si>
    <t>NAJJANAKUMBI</t>
  </si>
  <si>
    <t>Lubowa</t>
  </si>
  <si>
    <t>NAJANANKUMBI</t>
  </si>
  <si>
    <t>Nalukolongo</t>
  </si>
  <si>
    <t>Kabusu</t>
  </si>
  <si>
    <t>Zana</t>
  </si>
  <si>
    <t>Namasuba</t>
  </si>
  <si>
    <t>Nakasero</t>
  </si>
  <si>
    <t>Rwenzori courts</t>
  </si>
  <si>
    <t>Nakawa</t>
  </si>
  <si>
    <t>Nakawa Institute</t>
  </si>
  <si>
    <t>Nakivubo Shauriyaako</t>
  </si>
  <si>
    <t>Namirembe</t>
  </si>
  <si>
    <t>Bakuli</t>
  </si>
  <si>
    <t>Nankulabye</t>
  </si>
  <si>
    <t>Nateete</t>
  </si>
  <si>
    <t>Natete</t>
  </si>
  <si>
    <t>Ndeeba</t>
  </si>
  <si>
    <t>Ndeba</t>
  </si>
  <si>
    <t>Nsambya</t>
  </si>
  <si>
    <t>Nsambya Police Barracks</t>
  </si>
  <si>
    <t>Nsambya Railway</t>
  </si>
  <si>
    <t>Ntinda</t>
  </si>
  <si>
    <t>Kisasi</t>
  </si>
  <si>
    <t>Old Kampala</t>
  </si>
  <si>
    <t>Salaama</t>
  </si>
  <si>
    <t>Busiga</t>
  </si>
  <si>
    <t>Kyamula</t>
  </si>
  <si>
    <t>Salama</t>
  </si>
  <si>
    <t>Wavamuno road</t>
  </si>
  <si>
    <t>Salaama road</t>
  </si>
  <si>
    <t>Kulekaana</t>
  </si>
  <si>
    <t>Upk</t>
  </si>
  <si>
    <t>Upper Estate</t>
  </si>
  <si>
    <t>Wabigalo</t>
  </si>
  <si>
    <t>Wandegeya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</si>
  <si>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</si>
  <si>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</si>
  <si>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</si>
  <si>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</si>
  <si>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</si>
  <si>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</si>
  <si>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</si>
  <si>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</si>
  <si>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</si>
  <si>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</si>
  <si>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</si>
  <si>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</si>
  <si>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</si>
  <si>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</si>
  <si>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</si>
  <si>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</si>
  <si>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</si>
  <si>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</si>
  <si>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</si>
  <si>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</si>
  <si>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</si>
  <si>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</si>
  <si>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</si>
  <si>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</si>
  <si>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</si>
  <si>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</si>
  <si>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</si>
  <si>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</si>
  <si>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</si>
  <si>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</si>
  <si>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</si>
  <si>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</si>
  <si>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</si>
  <si>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</si>
  <si>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</si>
  <si>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</si>
  <si>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</si>
  <si>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</si>
  <si>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</si>
  <si>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</si>
  <si>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</si>
  <si>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</si>
  <si>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</si>
  <si>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</si>
  <si>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</si>
  <si>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</si>
  <si>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</si>
  <si>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</si>
  <si>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</si>
  <si>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</si>
  <si>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</si>
  <si>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</si>
  <si>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</si>
  <si>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</si>
  <si>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</si>
  <si>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</si>
  <si>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</si>
  <si>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</si>
  <si>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</si>
  <si>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</si>
  <si>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</si>
  <si>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</si>
  <si>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</si>
  <si>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</si>
  <si>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</si>
  <si>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</si>
  <si>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</si>
  <si>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</si>
  <si>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</si>
  <si>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</si>
  <si>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</si>
  <si>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</si>
  <si>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</si>
  <si>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</si>
  <si>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</si>
  <si>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</si>
  <si>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</si>
  <si>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</si>
  <si>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</si>
  <si>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</si>
  <si>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</si>
  <si>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</si>
  <si>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</si>
  <si>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</si>
  <si>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</si>
  <si>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</si>
  <si>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</si>
  <si>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</si>
  <si>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</si>
  <si>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</si>
  <si>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</si>
  <si>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</si>
  <si>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</si>
  <si>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</si>
  <si>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</si>
  <si>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</si>
  <si>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</si>
  <si>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</si>
  <si>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</si>
  <si>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</si>
  <si>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</si>
  <si>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</si>
  <si>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</si>
  <si>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</si>
  <si>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</si>
  <si>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</si>
  <si>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</si>
  <si>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</si>
  <si>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</si>
  <si>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</si>
  <si>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</si>
  <si>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</si>
  <si>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</si>
  <si>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</si>
  <si>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</si>
  <si>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</si>
  <si>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</si>
  <si>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</si>
  <si>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</si>
  <si>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</si>
  <si>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</si>
  <si>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</si>
  <si>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</si>
  <si>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</si>
  <si>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</si>
  <si>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</si>
  <si>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</si>
  <si>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</si>
  <si>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</si>
  <si>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</si>
  <si>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</si>
  <si>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</si>
  <si>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</si>
  <si>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</si>
  <si>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</si>
  <si>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</si>
  <si>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</si>
  <si>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</si>
  <si>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</si>
  <si>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</si>
  <si>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</si>
  <si>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</si>
  <si>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</si>
  <si>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</si>
  <si>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</si>
  <si>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</si>
  <si>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</si>
  <si>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</si>
  <si>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</si>
  <si>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</si>
  <si>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</si>
  <si>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</si>
  <si>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</si>
  <si>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</si>
  <si>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</si>
  <si>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</si>
  <si>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</si>
  <si>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</si>
  <si>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</si>
  <si>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</si>
  <si>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</si>
  <si>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</si>
  <si>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</si>
  <si>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</si>
  <si>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</si>
  <si>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</si>
  <si>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</si>
  <si>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</si>
  <si>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</si>
  <si>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</si>
  <si>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</si>
  <si>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</si>
  <si>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</si>
  <si>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</si>
  <si>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</si>
  <si>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</si>
  <si>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</si>
  <si>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</si>
  <si>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</si>
  <si>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</si>
  <si>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</si>
  <si>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</si>
  <si>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</si>
  <si>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</si>
  <si>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</si>
  <si>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</si>
  <si>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</si>
  <si>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</si>
  <si>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</si>
  <si>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</si>
  <si>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</si>
  <si>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</si>
  <si>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</si>
  <si>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</si>
  <si>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</si>
  <si>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</si>
  <si>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</si>
  <si>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</si>
  <si>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</si>
  <si>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</si>
  <si>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</si>
  <si>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</si>
  <si>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</si>
  <si>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</si>
  <si>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</si>
  <si>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</si>
  <si>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</si>
  <si>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</si>
  <si>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</si>
  <si>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</si>
  <si>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</si>
  <si>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</si>
  <si>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</si>
  <si>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</si>
  <si>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</si>
  <si>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</si>
  <si>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</si>
  <si>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</si>
  <si>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</si>
  <si>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</si>
  <si>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</si>
  <si>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</si>
  <si>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</si>
  <si>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</si>
  <si>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</si>
  <si>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</si>
  <si>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</si>
  <si>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</si>
  <si>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</si>
  <si>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</si>
  <si>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</si>
  <si>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</si>
  <si>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</si>
  <si>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</si>
  <si>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</si>
  <si>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</si>
  <si>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</si>
  <si>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</si>
  <si>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</si>
  <si>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</si>
  <si>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</si>
  <si>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</si>
  <si>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</si>
  <si>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</si>
  <si>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</si>
  <si>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</si>
  <si>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</si>
  <si>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</si>
  <si>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</si>
  <si>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</si>
  <si>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</si>
  <si>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</si>
  <si>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</si>
  <si>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</si>
  <si>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</si>
  <si>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</si>
  <si>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</si>
  <si>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</si>
  <si>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</si>
  <si>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</si>
  <si>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</si>
  <si>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</si>
  <si>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</si>
  <si>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</si>
  <si>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</si>
  <si>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</si>
  <si>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</si>
  <si>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</si>
  <si>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</si>
  <si>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</si>
  <si>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</si>
  <si>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</si>
  <si>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</si>
  <si>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</si>
  <si>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</si>
  <si>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</si>
  <si>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</si>
  <si>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</si>
  <si>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</si>
  <si>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</si>
  <si>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</si>
  <si>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</si>
  <si>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</si>
  <si>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</si>
  <si>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</si>
  <si>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</si>
  <si>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</si>
  <si>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</si>
  <si>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</si>
  <si>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</si>
  <si>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</si>
  <si>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</si>
  <si>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</si>
  <si>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</si>
  <si>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</si>
  <si>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</si>
  <si>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</si>
  <si>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</si>
  <si>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</si>
  <si>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</si>
  <si>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</si>
  <si>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</si>
  <si>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</si>
  <si>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</si>
  <si>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</si>
  <si>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</si>
  <si>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</si>
  <si>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</si>
  <si>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</si>
  <si>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</si>
  <si>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</si>
  <si>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</si>
  <si>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</si>
  <si>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</si>
  <si>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</si>
  <si>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</si>
  <si>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</si>
  <si>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</si>
  <si>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</si>
  <si>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</si>
  <si>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</si>
  <si>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</si>
  <si>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</si>
  <si>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</si>
  <si>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</si>
  <si>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</si>
  <si>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</si>
  <si>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</si>
  <si>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</si>
  <si>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</si>
  <si>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</si>
  <si>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</si>
  <si>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</si>
  <si>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</si>
  <si>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</si>
  <si>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</si>
  <si>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</si>
  <si>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</si>
  <si>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</si>
  <si>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</si>
  <si>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</si>
  <si>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</si>
  <si>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</si>
  <si>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</si>
  <si>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</si>
  <si>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</si>
  <si>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</si>
  <si>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</si>
  <si>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</si>
  <si>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</si>
  <si>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</si>
  <si>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</si>
  <si>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</si>
  <si>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</si>
  <si>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</si>
  <si>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</si>
  <si>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</si>
  <si>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</si>
  <si>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</si>
  <si>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</si>
  <si>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</si>
  <si>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</si>
  <si>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</si>
  <si>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</si>
  <si>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</si>
  <si>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</si>
  <si>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</si>
  <si>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</si>
  <si>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</si>
  <si>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</si>
  <si>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</si>
  <si>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</si>
  <si>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</si>
  <si>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</si>
  <si>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</si>
  <si>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</si>
  <si>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</si>
  <si>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</si>
  <si>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</si>
  <si>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</si>
  <si>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</si>
  <si>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</si>
  <si>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</si>
  <si>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</si>
  <si>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</si>
  <si>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</si>
  <si>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</si>
  <si>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</si>
  <si>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</si>
  <si>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</si>
  <si>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</si>
  <si>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</si>
  <si>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</si>
  <si>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</si>
  <si>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</si>
  <si>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</si>
  <si>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</si>
  <si>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</si>
  <si>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</si>
  <si>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</si>
  <si>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</si>
  <si>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</si>
  <si>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</si>
  <si>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</si>
  <si>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</si>
  <si>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</si>
  <si>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</si>
  <si>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</si>
  <si>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</si>
  <si>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</si>
  <si>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</si>
  <si>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</si>
  <si>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</si>
  <si>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</si>
  <si>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</si>
  <si>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</si>
  <si>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</si>
  <si>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</si>
  <si>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</si>
  <si>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</si>
  <si>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</si>
  <si>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</si>
  <si>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</si>
  <si>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</si>
  <si>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</si>
  <si>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</si>
  <si>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</si>
  <si>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</si>
  <si>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</si>
  <si>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</si>
  <si>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</si>
  <si>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</si>
  <si>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</si>
  <si>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</si>
  <si>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</si>
  <si>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</si>
  <si>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</si>
  <si>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</si>
  <si>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</si>
  <si>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</si>
  <si>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</si>
  <si>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</si>
  <si>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</si>
  <si>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</si>
  <si>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</si>
  <si>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</si>
  <si>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</si>
  <si>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</si>
  <si>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</si>
  <si>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</si>
  <si>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</si>
  <si>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</si>
  <si>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</si>
  <si>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</si>
  <si>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</si>
  <si>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</si>
  <si>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</si>
  <si>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</si>
  <si>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</si>
  <si>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</si>
  <si>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</si>
  <si>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</si>
  <si>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</si>
  <si>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</si>
  <si>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</si>
  <si>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</si>
  <si>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</si>
  <si>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</si>
  <si>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</si>
  <si>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</si>
  <si>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</si>
  <si>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</si>
  <si>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</si>
  <si>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</si>
  <si>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</si>
  <si>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</si>
  <si>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</si>
  <si>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</si>
  <si>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</si>
  <si>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</si>
  <si>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</si>
  <si>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</si>
  <si>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</si>
  <si>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</si>
  <si>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</si>
  <si>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</si>
  <si>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</si>
  <si>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</si>
  <si>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</si>
  <si>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</si>
  <si>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</si>
  <si>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</si>
  <si>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</si>
  <si>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</si>
  <si>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</si>
  <si>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</si>
  <si>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</si>
  <si>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</si>
  <si>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</si>
  <si>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</si>
  <si>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</si>
  <si>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</si>
  <si>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</si>
  <si>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</si>
  <si>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</si>
  <si>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</si>
  <si>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</si>
  <si>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</si>
  <si>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</si>
  <si>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</si>
  <si>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</si>
  <si>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</si>
  <si>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</si>
  <si>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</si>
  <si>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</si>
  <si>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</si>
  <si>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</si>
  <si>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</si>
  <si>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</si>
  <si>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</si>
  <si>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</si>
  <si>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</si>
  <si>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</si>
  <si>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</si>
  <si>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</si>
  <si>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</si>
  <si>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</si>
  <si>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</si>
  <si>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</si>
  <si>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</si>
  <si>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</si>
  <si>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</si>
  <si>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</si>
  <si>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</si>
  <si>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</si>
  <si>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</si>
  <si>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</si>
  <si>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</si>
  <si>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</si>
  <si>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Namanve</t>
  </si>
  <si>
    <t>MUKONO</t>
  </si>
  <si>
    <t>Mukono Town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</si>
  <si>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</si>
  <si>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</si>
  <si>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</si>
  <si>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</si>
  <si>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</si>
  <si>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</si>
  <si>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</si>
  <si>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</si>
  <si>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</si>
  <si>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</si>
  <si>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</si>
  <si>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</si>
  <si>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</si>
  <si>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</si>
  <si>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</si>
  <si>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</si>
  <si>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</si>
  <si>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</si>
  <si>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</si>
  <si>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</si>
  <si>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</si>
  <si>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</si>
  <si>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</si>
  <si>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</si>
  <si>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</si>
  <si>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</si>
  <si>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</si>
  <si>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</si>
  <si>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</si>
  <si>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</si>
  <si>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</si>
  <si>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</si>
  <si>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</si>
  <si>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</si>
  <si>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</si>
  <si>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</si>
  <si>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</si>
  <si>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</si>
  <si>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</si>
  <si>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</si>
  <si>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</si>
  <si>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</si>
  <si>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</si>
  <si>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</si>
  <si>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</si>
  <si>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</si>
  <si>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</si>
  <si>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</si>
  <si>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</si>
  <si>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</si>
  <si>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</si>
  <si>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</si>
  <si>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</si>
  <si>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</si>
  <si>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</si>
  <si>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</si>
  <si>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</si>
  <si>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</si>
  <si>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</si>
  <si>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</si>
  <si>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</si>
  <si>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</si>
  <si>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</si>
  <si>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</si>
  <si>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</si>
  <si>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</si>
  <si>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</si>
  <si>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</si>
  <si>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</si>
  <si>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</si>
  <si>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</si>
  <si>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</si>
  <si>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</si>
  <si>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</si>
  <si>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</si>
  <si>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</si>
  <si>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</si>
  <si>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</si>
  <si>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</si>
  <si>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</si>
  <si>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</si>
  <si>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</si>
  <si>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</si>
  <si>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</si>
  <si>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</si>
  <si>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</si>
  <si>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</si>
  <si>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</si>
  <si>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</si>
  <si>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</si>
  <si>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</si>
  <si>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</si>
  <si>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</si>
  <si>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</si>
  <si>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</si>
  <si>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</si>
  <si>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</si>
  <si>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</si>
  <si>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</si>
  <si>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</si>
  <si>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</si>
  <si>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</si>
  <si>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</si>
  <si>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</si>
  <si>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</si>
  <si>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</si>
  <si>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</si>
  <si>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</si>
  <si>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</si>
  <si>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</si>
  <si>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</si>
  <si>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</si>
  <si>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</si>
  <si>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</si>
  <si>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</si>
  <si>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</si>
  <si>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</si>
  <si>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</si>
  <si>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</si>
  <si>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</si>
  <si>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</si>
  <si>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</si>
  <si>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</si>
  <si>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</si>
  <si>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</si>
  <si>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</si>
  <si>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</si>
  <si>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</si>
  <si>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</si>
  <si>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</si>
  <si>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</si>
  <si>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</si>
  <si>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</si>
  <si>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</si>
  <si>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</si>
  <si>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</si>
  <si>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</si>
  <si>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</si>
  <si>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</si>
  <si>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</si>
  <si>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</si>
  <si>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</si>
  <si>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</si>
  <si>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</si>
  <si>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</si>
  <si>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</si>
  <si>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</si>
  <si>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</si>
  <si>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</si>
  <si>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</si>
  <si>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</si>
  <si>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</si>
  <si>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</si>
  <si>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</si>
  <si>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</si>
  <si>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</si>
  <si>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</si>
  <si>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</si>
  <si>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</si>
  <si>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</si>
  <si>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</si>
  <si>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</si>
  <si>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</si>
  <si>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</si>
  <si>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</si>
  <si>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</si>
  <si>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</si>
  <si>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</si>
  <si>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</si>
  <si>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</si>
  <si>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</si>
  <si>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</si>
  <si>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</si>
  <si>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</si>
  <si>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</si>
  <si>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</si>
  <si>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</si>
  <si>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</si>
  <si>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</si>
  <si>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</si>
  <si>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</si>
  <si>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</si>
  <si>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</si>
  <si>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</si>
  <si>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</si>
  <si>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</si>
  <si>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</si>
  <si>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</si>
  <si>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</si>
  <si>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</si>
  <si>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</si>
  <si>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</si>
  <si>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</si>
  <si>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</si>
  <si>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</si>
  <si>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</si>
  <si>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</si>
  <si>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</si>
  <si>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</si>
  <si>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</si>
  <si>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</si>
  <si>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</si>
  <si>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</si>
  <si>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</si>
  <si>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</si>
  <si>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</si>
  <si>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</si>
  <si>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</si>
  <si>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</si>
  <si>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</si>
  <si>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</si>
  <si>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</si>
  <si>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</si>
  <si>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</si>
  <si>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</si>
  <si>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</si>
  <si>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</si>
  <si>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</si>
  <si>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</si>
  <si>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</si>
  <si>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</si>
  <si>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</si>
  <si>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</si>
  <si>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</si>
  <si>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</si>
  <si>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</si>
  <si>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</si>
  <si>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</si>
  <si>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</si>
  <si>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</si>
  <si>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</si>
  <si>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</si>
  <si>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</si>
  <si>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</si>
  <si>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</si>
  <si>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</si>
  <si>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</si>
  <si>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</si>
  <si>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</si>
  <si>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</si>
  <si>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</si>
  <si>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</si>
  <si>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</si>
  <si>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</si>
  <si>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</si>
  <si>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</si>
  <si>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</si>
  <si>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</si>
  <si>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</si>
  <si>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</si>
  <si>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</si>
  <si>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</si>
  <si>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</si>
  <si>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</si>
  <si>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</si>
  <si>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</si>
  <si>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</si>
  <si>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</si>
  <si>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</si>
  <si>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</si>
  <si>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</si>
  <si>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</si>
  <si>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</si>
  <si>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</si>
  <si>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</si>
  <si>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</si>
  <si>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</si>
  <si>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</si>
  <si>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</si>
  <si>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</si>
  <si>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</si>
  <si>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</si>
  <si>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</si>
  <si>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</si>
  <si>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</si>
  <si>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</si>
  <si>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</si>
  <si>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</si>
  <si>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</si>
  <si>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</si>
  <si>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</si>
  <si>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</si>
  <si>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</si>
  <si>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</si>
  <si>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</si>
  <si>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</si>
  <si>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</si>
  <si>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</si>
  <si>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</si>
  <si>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</si>
  <si>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</si>
  <si>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</si>
  <si>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</si>
  <si>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</si>
  <si>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</si>
  <si>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</si>
  <si>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</si>
  <si>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</si>
  <si>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</si>
  <si>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</si>
  <si>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</si>
  <si>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</si>
  <si>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</si>
  <si>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</si>
  <si>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</si>
  <si>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</si>
  <si>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</si>
  <si>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</si>
  <si>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</si>
  <si>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</si>
  <si>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</si>
  <si>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</si>
  <si>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</si>
  <si>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</si>
  <si>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</si>
  <si>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</si>
  <si>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</si>
  <si>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</si>
  <si>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</si>
  <si>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</si>
  <si>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</si>
  <si>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</si>
  <si>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</si>
  <si>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</si>
  <si>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</si>
  <si>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</si>
  <si>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</si>
  <si>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</si>
  <si>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</si>
  <si>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</si>
  <si>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</si>
  <si>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</si>
  <si>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</si>
  <si>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</si>
  <si>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</si>
  <si>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</si>
  <si>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</si>
  <si>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</si>
  <si>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</si>
  <si>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</si>
  <si>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</si>
  <si>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</si>
  <si>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</si>
  <si>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</si>
  <si>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Bunamwaya</t>
  </si>
  <si>
    <t>Wakiso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</si>
  <si>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</si>
  <si>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</si>
  <si>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</si>
  <si>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</si>
  <si>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</si>
  <si>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</si>
  <si>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</si>
  <si>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</si>
  <si>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Airport</t>
  </si>
  <si>
    <t>Enttebe</t>
  </si>
  <si>
    <t>Kitoro</t>
  </si>
  <si>
    <t>Kawuku</t>
  </si>
  <si>
    <t>Namulanda</t>
  </si>
  <si>
    <t>Gombe</t>
  </si>
  <si>
    <t>Kajjansi Town Council</t>
  </si>
  <si>
    <t xml:space="preserve">Kajjansi  </t>
  </si>
  <si>
    <t>KAJANSI</t>
  </si>
  <si>
    <t>Sseguku</t>
  </si>
  <si>
    <t>Bwebajja</t>
  </si>
  <si>
    <t>BWEBAJA</t>
  </si>
  <si>
    <t>Lweza</t>
  </si>
  <si>
    <t>Kitende</t>
  </si>
  <si>
    <t xml:space="preserve">KITENDE </t>
  </si>
  <si>
    <t>Kakiri</t>
  </si>
  <si>
    <t>Kakiri Town Council</t>
  </si>
  <si>
    <t>Kasangati Town Council</t>
  </si>
  <si>
    <t>Kyadondo</t>
  </si>
  <si>
    <t>KASANGATI</t>
  </si>
  <si>
    <t>Kansangati</t>
  </si>
  <si>
    <t>Kasanje</t>
  </si>
  <si>
    <t>Katabi Town Council</t>
  </si>
  <si>
    <t>Kira</t>
  </si>
  <si>
    <t>Kireka</t>
  </si>
  <si>
    <t>Kiira</t>
  </si>
  <si>
    <t>Bulindo</t>
  </si>
  <si>
    <t>Kyengera Town Council</t>
  </si>
  <si>
    <t>KYENGERA</t>
  </si>
  <si>
    <t>NABINGO</t>
  </si>
  <si>
    <t>Nsangi</t>
  </si>
  <si>
    <t>Kasenge</t>
  </si>
  <si>
    <t>Masajja</t>
  </si>
  <si>
    <t>Massajja</t>
  </si>
  <si>
    <t>Masuliita</t>
  </si>
  <si>
    <t>Masulita Town Council</t>
  </si>
  <si>
    <t>Mende</t>
  </si>
  <si>
    <t>Nabweru</t>
  </si>
  <si>
    <t>Kawanda</t>
  </si>
  <si>
    <t>Green valley</t>
  </si>
  <si>
    <t>Namayumba</t>
  </si>
  <si>
    <t>Namayumba Town Council</t>
  </si>
  <si>
    <t>Namugongo</t>
  </si>
  <si>
    <t>Naalya</t>
  </si>
  <si>
    <t>Nalya</t>
  </si>
  <si>
    <t>Kyaliwajala</t>
  </si>
  <si>
    <t>Najera</t>
  </si>
  <si>
    <t>Nansana</t>
  </si>
  <si>
    <t>Ssemakula</t>
  </si>
  <si>
    <t>MAGERE</t>
  </si>
  <si>
    <t>Nasana</t>
  </si>
  <si>
    <t>Ndejje</t>
  </si>
  <si>
    <t>Ndejja</t>
  </si>
  <si>
    <t>Bulenga</t>
  </si>
  <si>
    <t>Buloba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</si>
  <si>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</si>
  <si>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</si>
  <si>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</si>
  <si>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</si>
  <si>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</si>
  <si>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</si>
  <si>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</si>
  <si>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</si>
  <si>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</si>
  <si>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</si>
  <si>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</si>
  <si>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</si>
  <si>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</si>
  <si>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</si>
  <si>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</si>
  <si>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</si>
  <si>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</si>
  <si>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</si>
  <si>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</si>
  <si>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</si>
  <si>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</si>
  <si>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</si>
  <si>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</si>
  <si>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</si>
  <si>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</si>
  <si>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</si>
  <si>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</si>
  <si>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</si>
  <si>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</si>
  <si>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</si>
  <si>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</si>
  <si>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</si>
  <si>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</si>
  <si>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</si>
  <si>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</si>
  <si>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</si>
  <si>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</si>
  <si>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</si>
  <si>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</si>
  <si>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</si>
  <si>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</si>
  <si>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</si>
  <si>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</si>
  <si>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</si>
  <si>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</si>
  <si>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</si>
  <si>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</si>
  <si>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</si>
  <si>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</si>
  <si>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</si>
  <si>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</si>
  <si>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</si>
  <si>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</si>
  <si>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</si>
  <si>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</si>
  <si>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</si>
  <si>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</si>
  <si>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</si>
  <si>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</si>
  <si>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</si>
  <si>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</si>
  <si>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</si>
  <si>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</si>
  <si>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</si>
  <si>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</si>
  <si>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</si>
  <si>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</si>
  <si>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</si>
  <si>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</si>
  <si>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</si>
  <si>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</si>
  <si>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</si>
  <si>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</si>
  <si>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</si>
  <si>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</si>
  <si>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</si>
  <si>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</si>
  <si>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</si>
  <si>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</si>
  <si>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</si>
  <si>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</si>
  <si>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</si>
  <si>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</si>
  <si>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</si>
  <si>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</si>
  <si>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</si>
  <si>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</si>
  <si>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</si>
  <si>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</si>
  <si>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</si>
  <si>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</si>
  <si>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</si>
  <si>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</si>
  <si>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</si>
  <si>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</si>
  <si>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</si>
  <si>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</si>
  <si>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</si>
  <si>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</si>
  <si>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</si>
  <si>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</si>
  <si>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</si>
  <si>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</si>
  <si>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</si>
  <si>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</si>
  <si>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</si>
  <si>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</si>
  <si>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</si>
  <si>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</si>
  <si>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</si>
  <si>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</si>
  <si>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</si>
  <si>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</si>
  <si>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</si>
  <si>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</si>
  <si>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</si>
  <si>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</si>
  <si>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</si>
  <si>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</si>
  <si>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</si>
  <si>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</si>
  <si>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</si>
  <si>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</si>
  <si>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</si>
  <si>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</si>
  <si>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</si>
  <si>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</si>
  <si>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</si>
  <si>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</si>
  <si>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</si>
  <si>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</si>
  <si>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</si>
  <si>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</si>
  <si>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</si>
  <si>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</si>
  <si>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</si>
  <si>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</si>
  <si>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</si>
  <si>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</si>
  <si>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</si>
  <si>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</si>
  <si>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</si>
  <si>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</si>
  <si>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</si>
  <si>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</si>
  <si>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</si>
  <si>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</si>
  <si>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</si>
  <si>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</si>
  <si>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</si>
  <si>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</si>
  <si>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</si>
  <si>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</si>
  <si>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</si>
  <si>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</si>
  <si>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</si>
  <si>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</si>
  <si>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</si>
  <si>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</si>
  <si>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</si>
  <si>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</si>
  <si>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</si>
  <si>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</si>
  <si>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</si>
  <si>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</si>
  <si>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</si>
  <si>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</si>
  <si>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</si>
  <si>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</si>
  <si>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</si>
  <si>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</si>
  <si>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</si>
  <si>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</si>
  <si>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</si>
  <si>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</si>
  <si>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</si>
  <si>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</si>
  <si>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</si>
  <si>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</si>
  <si>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</si>
  <si>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</si>
  <si>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</si>
  <si>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</si>
  <si>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</si>
  <si>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</si>
  <si>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</si>
  <si>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</si>
  <si>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</si>
  <si>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</si>
  <si>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</si>
  <si>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</si>
  <si>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</si>
  <si>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</si>
  <si>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</si>
  <si>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</si>
  <si>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</si>
  <si>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</si>
  <si>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</si>
  <si>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</si>
  <si>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</si>
  <si>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</si>
  <si>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</si>
  <si>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</si>
  <si>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Town city</t>
  </si>
  <si>
    <t>Kibiri</t>
  </si>
  <si>
    <t>Stella</t>
  </si>
  <si>
    <t>Mirembe</t>
  </si>
  <si>
    <t>Gangu</t>
  </si>
  <si>
    <t>Mwalo</t>
  </si>
  <si>
    <t>New park</t>
  </si>
  <si>
    <t>Station centre</t>
  </si>
  <si>
    <t>Kayembe</t>
  </si>
  <si>
    <t xml:space="preserve">Wakiso town  </t>
  </si>
  <si>
    <t>Gango</t>
  </si>
  <si>
    <t>Kabuma</t>
  </si>
  <si>
    <t>Kibirii</t>
  </si>
  <si>
    <t>Masjja</t>
  </si>
  <si>
    <t>Usafi</t>
  </si>
  <si>
    <t>USAFI</t>
  </si>
  <si>
    <t>Buzinga</t>
  </si>
  <si>
    <t>Bungu</t>
  </si>
  <si>
    <t>Kibir</t>
  </si>
  <si>
    <t>Saalama</t>
  </si>
  <si>
    <t>Kanaaba</t>
  </si>
  <si>
    <t>Nakawuka</t>
  </si>
  <si>
    <t>Masanafu</t>
  </si>
  <si>
    <t>Gombolola</t>
  </si>
  <si>
    <t>Buggu</t>
  </si>
  <si>
    <t>Speke hotel</t>
  </si>
  <si>
    <t>Kavuma</t>
  </si>
  <si>
    <t>SALAMA</t>
  </si>
  <si>
    <t>CITY CENTER</t>
  </si>
  <si>
    <t>KYANJA</t>
  </si>
  <si>
    <t>SALAAMA</t>
  </si>
  <si>
    <t>NDEJ</t>
  </si>
  <si>
    <t>KAWANDA</t>
  </si>
  <si>
    <t>WAKISO TOWN COUNCIL</t>
  </si>
  <si>
    <t>KIRUDU</t>
  </si>
  <si>
    <t>busabala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</si>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</sst>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6">
    <xf numFmtId="0" fontId="0" fillId="0" borderId="0"/>
    <xf numFmtId="9" fontId="5" fillId="0" borderId="0" applyFont="0" applyFill="0" applyBorder="0" applyAlignment="0" applyProtection="0"/>
    <xf numFmtId="0" fontId="9" fillId="0" borderId="0"/>
    <xf numFmtId="164" fontId="5" fillId="0" borderId="0" applyFont="0" applyFill="0" applyBorder="0" applyAlignment="0" applyProtection="0"/>
    <xf numFmtId="0" fontId="11" fillId="0" borderId="0"/>
    <xf numFmtId="0" fontId="13" fillId="0" borderId="0">
      <alignment vertical="center"/>
    </xf>
  </cellStyleXfs>
  <cellXfs count="16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8" fillId="0" borderId="2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7" fillId="2" borderId="2" xfId="0" applyNumberFormat="1" applyFont="1" applyFill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20" fontId="7" fillId="3" borderId="2" xfId="0" applyNumberFormat="1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4" borderId="0" xfId="0" applyFont="1" applyFill="1"/>
    <xf numFmtId="0" fontId="0" fillId="4" borderId="0" xfId="0" applyFill="1"/>
    <xf numFmtId="169" fontId="5" fillId="3" borderId="2" xfId="0" applyNumberFormat="1" applyFont="1" applyFill="1" applyBorder="1"/>
    <xf numFmtId="167" fontId="5" fillId="3" borderId="2" xfId="3" applyNumberFormat="1" applyFont="1" applyFill="1" applyBorder="1"/>
    <xf numFmtId="3" fontId="5" fillId="3" borderId="2" xfId="3" applyNumberFormat="1" applyFont="1" applyFill="1" applyBorder="1"/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2" fillId="5" borderId="7" xfId="4" applyFont="1" applyFill="1" applyBorder="1" applyAlignment="1">
      <alignment horizontal="center"/>
    </xf>
    <xf numFmtId="0" fontId="12" fillId="5" borderId="0" xfId="4" applyFont="1" applyFill="1" applyAlignment="1">
      <alignment horizontal="center"/>
    </xf>
    <xf numFmtId="0" fontId="13" fillId="0" borderId="0" xfId="5">
      <alignment vertical="center"/>
    </xf>
    <xf numFmtId="0" fontId="13" fillId="6" borderId="0" xfId="5" applyFill="1">
      <alignment vertical="center"/>
    </xf>
    <xf numFmtId="0" fontId="15" fillId="5" borderId="24" xfId="5" applyFont="1" applyFill="1" applyBorder="1" applyAlignment="1">
      <alignment horizontal="center" vertical="center"/>
    </xf>
    <xf numFmtId="0" fontId="12" fillId="5" borderId="24" xfId="4" applyFont="1" applyFill="1" applyBorder="1" applyAlignment="1">
      <alignment horizontal="center"/>
    </xf>
    <xf numFmtId="0" fontId="16" fillId="0" borderId="3" xfId="5" applyFont="1" applyBorder="1" applyAlignment="1">
      <alignment horizontal="center" vertical="center"/>
    </xf>
    <xf numFmtId="0" fontId="11" fillId="0" borderId="3" xfId="4" applyBorder="1" applyAlignment="1">
      <alignment wrapText="1"/>
    </xf>
    <xf numFmtId="0" fontId="16" fillId="0" borderId="2" xfId="5" applyFont="1" applyBorder="1" applyAlignment="1">
      <alignment horizontal="center" vertical="center"/>
    </xf>
    <xf numFmtId="0" fontId="11" fillId="0" borderId="2" xfId="4" applyBorder="1" applyAlignment="1">
      <alignment wrapText="1"/>
    </xf>
    <xf numFmtId="0" fontId="11" fillId="6" borderId="2" xfId="4" applyFill="1" applyBorder="1" applyAlignment="1">
      <alignment wrapText="1"/>
    </xf>
    <xf numFmtId="0" fontId="11" fillId="0" borderId="2" xfId="4" applyBorder="1" applyAlignment="1">
      <alignment vertical="center" wrapText="1"/>
    </xf>
    <xf numFmtId="0" fontId="11" fillId="6" borderId="2" xfId="4" applyFill="1" applyBorder="1" applyAlignment="1">
      <alignment vertical="center" wrapText="1"/>
    </xf>
    <xf numFmtId="0" fontId="11" fillId="2" borderId="2" xfId="4" applyFill="1" applyBorder="1" applyAlignment="1">
      <alignment wrapText="1"/>
    </xf>
    <xf numFmtId="0" fontId="13" fillId="2" borderId="0" xfId="5" applyFill="1">
      <alignment vertical="center"/>
    </xf>
    <xf numFmtId="0" fontId="11" fillId="2" borderId="2" xfId="4" applyFill="1" applyBorder="1" applyAlignment="1">
      <alignment vertical="center" wrapText="1"/>
    </xf>
    <xf numFmtId="0" fontId="16" fillId="2" borderId="2" xfId="5" applyFont="1" applyFill="1" applyBorder="1" applyAlignment="1">
      <alignment horizontal="center" vertical="center"/>
    </xf>
    <xf numFmtId="0" fontId="11" fillId="6" borderId="7" xfId="4" applyFill="1" applyBorder="1" applyAlignment="1">
      <alignment wrapText="1"/>
    </xf>
    <xf numFmtId="0" fontId="16" fillId="0" borderId="0" xfId="5" applyFont="1" applyAlignment="1">
      <alignment horizontal="center" vertical="center"/>
    </xf>
    <xf numFmtId="0" fontId="16" fillId="0" borderId="0" xfId="5" applyFont="1">
      <alignment vertical="center"/>
    </xf>
    <xf numFmtId="0" fontId="13" fillId="0" borderId="0" xfId="5" applyFill="1" applyBorder="1">
      <alignment vertical="center"/>
    </xf>
    <xf numFmtId="0" fontId="12" fillId="0" borderId="0" xfId="4" applyFont="1" applyFill="1" applyBorder="1" applyAlignment="1">
      <alignment horizontal="center"/>
    </xf>
    <xf numFmtId="0" fontId="10" fillId="0" borderId="0" xfId="5" applyFont="1" applyFill="1" applyBorder="1">
      <alignment vertical="center"/>
    </xf>
    <xf numFmtId="0" fontId="17" fillId="3" borderId="0" xfId="5" applyFont="1" applyFill="1" applyBorder="1">
      <alignment vertical="center"/>
    </xf>
    <xf numFmtId="0" fontId="5" fillId="0" borderId="0" xfId="0" applyFont="1" applyFill="1" applyBorder="1" applyAlignment="1">
      <alignment horizontal="center"/>
    </xf>
    <xf numFmtId="0" fontId="14" fillId="0" borderId="0" xfId="5" applyFont="1" applyFill="1">
      <alignment vertical="center"/>
    </xf>
    <xf numFmtId="0" fontId="13" fillId="7" borderId="0" xfId="5" applyFill="1" applyBorder="1">
      <alignment vertical="center"/>
    </xf>
    <xf numFmtId="0" fontId="14" fillId="7" borderId="0" xfId="5" applyFont="1" applyFill="1" applyBorder="1">
      <alignment vertical="center"/>
    </xf>
    <xf numFmtId="0" fontId="10" fillId="7" borderId="0" xfId="5" applyFont="1" applyFill="1" applyBorder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1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3" applyNumberFormat="1" applyFont="1" applyFill="1" applyBorder="1"/>
    <xf numFmtId="167" fontId="0" fillId="6" borderId="2" xfId="0" applyNumberFormat="1" applyFill="1" applyBorder="1"/>
    <xf numFmtId="168" fontId="0" fillId="6" borderId="2" xfId="1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3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1" applyNumberFormat="1" applyFont="1" applyFill="1" applyBorder="1"/>
    <xf numFmtId="0" fontId="1" fillId="13" borderId="2" xfId="0" applyFont="1" applyFill="1" applyBorder="1"/>
    <xf numFmtId="167" fontId="1" fillId="10" borderId="2" xfId="3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3" applyNumberFormat="1" applyFont="1" applyFill="1" applyBorder="1"/>
    <xf numFmtId="167" fontId="0" fillId="16" borderId="2" xfId="0" applyNumberFormat="1" applyFill="1" applyBorder="1"/>
    <xf numFmtId="168" fontId="0" fillId="16" borderId="2" xfId="1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1" fillId="2" borderId="8" xfId="4" applyFill="1" applyBorder="1" applyAlignment="1">
      <alignment horizontal="left" vertical="center" wrapText="1"/>
    </xf>
    <xf numFmtId="0" fontId="11" fillId="2" borderId="3" xfId="4" applyFill="1" applyBorder="1" applyAlignment="1">
      <alignment horizontal="left" vertical="center" wrapText="1"/>
    </xf>
    <xf numFmtId="0" fontId="11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1" applyNumberFormat="1" applyFont="1" applyFill="1" applyBorder="1"/>
    <xf numFmtId="0" fontId="0" fillId="0" borderId="0" xfId="0" applyAlignment="1">
      <alignment horizontal="center"/>
    </xf>
  </cellXfs>
  <cellStyles count="6">
    <cellStyle name="Comma 2" xfId="3" xr:uid="{00000000-0005-0000-0000-000001000000}"/>
    <cellStyle name="Normal" xfId="0" builtinId="0"/>
    <cellStyle name="Normal 2" xfId="2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1" xr:uid="{00000000-0005-0000-0000-000007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973-477D-83E7-8B783CBE03BC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973-477D-83E7-8B783CBE03BC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973-477D-83E7-8B783CBE03BC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973-477D-83E7-8B783CBE03BC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973-477D-83E7-8B783CBE03BC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973-477D-83E7-8B783CBE03BC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973-477D-83E7-8B783CBE03BC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973-477D-83E7-8B783CBE03BC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973-477D-83E7-8B783CBE03B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973-477D-83E7-8B783CBE03BC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973-477D-83E7-8B783CBE03BC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973-477D-83E7-8B783CBE03BC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973-477D-83E7-8B783CBE03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107</c:v>
                </c:pt>
                <c:pt idx="1">
                  <c:v>17</c:v>
                </c:pt>
                <c:pt idx="2">
                  <c:v>7</c:v>
                </c:pt>
                <c:pt idx="3">
                  <c:v>48</c:v>
                </c:pt>
                <c:pt idx="4">
                  <c:v>2</c:v>
                </c:pt>
                <c:pt idx="5">
                  <c:v>0</c:v>
                </c:pt>
                <c:pt idx="6">
                  <c:v>12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43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973-477D-83E7-8B783CBE03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8A9-497D-AB74-32385FAEB42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8A9-497D-AB74-32385FAEB425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8A9-497D-AB74-32385FAEB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8A9-497D-AB74-32385FAEB425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8A9-497D-AB74-32385FAEB425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9-497D-AB74-32385FAEB425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9-497D-AB74-32385FAEB425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A9-497D-AB74-32385FAEB425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A9-497D-AB74-32385FAEB4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31</c:v>
                </c:pt>
                <c:pt idx="1">
                  <c:v>5</c:v>
                </c:pt>
                <c:pt idx="2">
                  <c:v>27</c:v>
                </c:pt>
                <c:pt idx="3">
                  <c:v>68</c:v>
                </c:pt>
                <c:pt idx="4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8A9-497D-AB74-32385FAEB42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19-4A29-8F57-26B8D36E1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1429.2134831460673</c:v>
                </c:pt>
                <c:pt idx="1">
                  <c:v>1270</c:v>
                </c:pt>
                <c:pt idx="2">
                  <c:v>1142.8571428571429</c:v>
                </c:pt>
                <c:pt idx="3">
                  <c:v>1865.1162790697674</c:v>
                </c:pt>
                <c:pt idx="4">
                  <c:v>1000</c:v>
                </c:pt>
                <c:pt idx="5">
                  <c:v>0</c:v>
                </c:pt>
                <c:pt idx="6">
                  <c:v>2020</c:v>
                </c:pt>
                <c:pt idx="7">
                  <c:v>750</c:v>
                </c:pt>
                <c:pt idx="8">
                  <c:v>0</c:v>
                </c:pt>
                <c:pt idx="9">
                  <c:v>1500</c:v>
                </c:pt>
                <c:pt idx="10">
                  <c:v>1172.7272727272727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2-4A0F-8EEF-419539EF8C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6</c:v>
                </c:pt>
                <c:pt idx="1">
                  <c:v>19</c:v>
                </c:pt>
                <c:pt idx="2">
                  <c:v>46</c:v>
                </c:pt>
                <c:pt idx="3">
                  <c:v>34</c:v>
                </c:pt>
                <c:pt idx="4">
                  <c:v>25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6-4D2D-80C2-E20E73B45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34</c:v>
                </c:pt>
                <c:pt idx="1">
                  <c:v>83</c:v>
                </c:pt>
                <c:pt idx="2">
                  <c:v>11</c:v>
                </c:pt>
                <c:pt idx="3">
                  <c:v>47</c:v>
                </c:pt>
                <c:pt idx="4">
                  <c:v>11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E-4B10-806D-D0ED7A9C9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38-47DD-960E-62D97CC7A95E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38-47DD-960E-62D97CC7A95E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38-47DD-960E-62D97CC7A95E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38-47DD-960E-62D97CC7A9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38-47DD-960E-62D97CC7A95E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38-47DD-960E-62D97CC7A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48</c:v>
                </c:pt>
                <c:pt idx="1">
                  <c:v>138</c:v>
                </c:pt>
                <c:pt idx="2">
                  <c:v>19</c:v>
                </c:pt>
                <c:pt idx="3">
                  <c:v>11</c:v>
                </c:pt>
                <c:pt idx="4">
                  <c:v>7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838-47DD-960E-62D97CC7A9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2</xdr:row>
      <xdr:rowOff>173892</xdr:rowOff>
    </xdr:from>
    <xdr:to>
      <xdr:col>11</xdr:col>
      <xdr:colOff>1</xdr:colOff>
      <xdr:row>17</xdr:row>
      <xdr:rowOff>97692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BD0EC-BA0E-4056-97E0-9D58039AA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758578</xdr:colOff>
      <xdr:row>21</xdr:row>
      <xdr:rowOff>494324</xdr:rowOff>
    </xdr:from>
    <xdr:to>
      <xdr:col>11</xdr:col>
      <xdr:colOff>15629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BB5D5D-7FEA-49BE-A23C-E178EA94A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6838</xdr:rowOff>
    </xdr:from>
    <xdr:to>
      <xdr:col>11</xdr:col>
      <xdr:colOff>330687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D9C23D-240D-40C5-829A-F2C866F04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33701</xdr:colOff>
      <xdr:row>57</xdr:row>
      <xdr:rowOff>201246</xdr:rowOff>
    </xdr:from>
    <xdr:to>
      <xdr:col>10</xdr:col>
      <xdr:colOff>560753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FC9428-C550-42D2-98F1-E599B7D469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78</xdr:row>
      <xdr:rowOff>10746</xdr:rowOff>
    </xdr:from>
    <xdr:to>
      <xdr:col>12</xdr:col>
      <xdr:colOff>571500</xdr:colOff>
      <xdr:row>94</xdr:row>
      <xdr:rowOff>92808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CECE64-B035-4A48-B1D1-FAF33D4EA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3</xdr:row>
      <xdr:rowOff>14654</xdr:rowOff>
    </xdr:from>
    <xdr:to>
      <xdr:col>25</xdr:col>
      <xdr:colOff>217854</xdr:colOff>
      <xdr:row>18</xdr:row>
      <xdr:rowOff>158262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A6E3A83-8273-4851-935F-CF9BE60A82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159238</xdr:rowOff>
    </xdr:from>
    <xdr:to>
      <xdr:col>24</xdr:col>
      <xdr:colOff>410307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081484-7FC2-49EA-BCDD-518C2544E5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84BF-B2FA-463D-AAA5-F1C1F0A49E2E}">
  <dimension ref="A2:Y88"/>
  <sheetViews>
    <sheetView tabSelected="1" view="pageBreakPreview" topLeftCell="A37" zoomScale="60" zoomScaleNormal="65" workbookViewId="0">
      <selection activeCell="M56" sqref="M56"/>
    </sheetView>
  </sheetViews>
  <sheetFormatPr defaultRowHeight="12.75"/>
  <cols>
    <col min="1" max="1" width="3.85546875" style="5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9"/>
      <c r="B2" s="1"/>
      <c r="C2" s="19"/>
    </row>
    <row r="3" spans="1:17" ht="15">
      <c r="B3" s="88" t="s">
        <v>2420</v>
      </c>
      <c r="N3" s="1" t="s">
        <v>2421</v>
      </c>
    </row>
    <row r="4" spans="1:17" ht="38.25">
      <c r="B4" s="89" t="s">
        <v>136</v>
      </c>
      <c r="C4" s="89" t="s">
        <v>2422</v>
      </c>
      <c r="D4" s="89" t="s">
        <v>2423</v>
      </c>
      <c r="N4" s="90" t="s">
        <v>2424</v>
      </c>
      <c r="O4" s="90" t="s">
        <v>2425</v>
      </c>
      <c r="P4" s="90" t="s">
        <v>2426</v>
      </c>
      <c r="Q4" s="91" t="s">
        <v>2427</v>
      </c>
    </row>
    <row r="5" spans="1:17" ht="15" customHeight="1">
      <c r="B5" s="92" t="s">
        <v>70</v>
      </c>
      <c r="C5" s="93">
        <f>COUNTIF('ALL DATA'!$D$9:$D$5000,"1")</f>
        <v>107</v>
      </c>
      <c r="D5" s="94">
        <f t="shared" ref="D5:D16" si="0">C5/$C$17</f>
        <v>0.44583333333333336</v>
      </c>
      <c r="N5" s="95" t="s">
        <v>2428</v>
      </c>
      <c r="O5" s="96">
        <f>COUNTIF(Jtime,"&lt;=0.25")</f>
        <v>34</v>
      </c>
      <c r="P5" s="97">
        <f>O5</f>
        <v>34</v>
      </c>
      <c r="Q5" s="98">
        <f>P5/$O$15</f>
        <v>0.17346938775510204</v>
      </c>
    </row>
    <row r="6" spans="1:17" ht="15" customHeight="1">
      <c r="B6" s="92" t="s">
        <v>71</v>
      </c>
      <c r="C6" s="93">
        <f>COUNTIF('ALL DATA'!$D$9:$D$5000,"2")</f>
        <v>17</v>
      </c>
      <c r="D6" s="94">
        <f t="shared" si="0"/>
        <v>7.0833333333333331E-2</v>
      </c>
      <c r="N6" s="95" t="s">
        <v>2429</v>
      </c>
      <c r="O6" s="96">
        <f>COUNTIF(Jtime,"&lt;=0.5")</f>
        <v>117</v>
      </c>
      <c r="P6" s="97">
        <f>O6-O5</f>
        <v>83</v>
      </c>
      <c r="Q6" s="98">
        <f t="shared" ref="Q6:Q15" si="1">P6/$O$15</f>
        <v>0.42346938775510207</v>
      </c>
    </row>
    <row r="7" spans="1:17" ht="15" customHeight="1">
      <c r="B7" s="92" t="s">
        <v>72</v>
      </c>
      <c r="C7" s="93">
        <f>COUNTIF('ALL DATA'!$D$9:$D$5000,"3")</f>
        <v>7</v>
      </c>
      <c r="D7" s="94">
        <f t="shared" si="0"/>
        <v>2.9166666666666667E-2</v>
      </c>
      <c r="N7" s="95" t="s">
        <v>2430</v>
      </c>
      <c r="O7" s="96">
        <f>COUNTIF(Jtime,"&lt;=0.75")</f>
        <v>128</v>
      </c>
      <c r="P7" s="97">
        <f t="shared" ref="P7:P15" si="2">O7-O6</f>
        <v>11</v>
      </c>
      <c r="Q7" s="98">
        <f t="shared" si="1"/>
        <v>5.6122448979591837E-2</v>
      </c>
    </row>
    <row r="8" spans="1:17" ht="15" customHeight="1">
      <c r="B8" s="92" t="s">
        <v>73</v>
      </c>
      <c r="C8" s="93">
        <f>COUNTIF('ALL DATA'!$D$9:$D$5000,"4")</f>
        <v>48</v>
      </c>
      <c r="D8" s="94">
        <f t="shared" si="0"/>
        <v>0.2</v>
      </c>
      <c r="N8" s="95" t="s">
        <v>2431</v>
      </c>
      <c r="O8" s="96">
        <f>COUNTIF(Jtime,"&lt;=1.0")</f>
        <v>175</v>
      </c>
      <c r="P8" s="97">
        <f t="shared" si="2"/>
        <v>47</v>
      </c>
      <c r="Q8" s="98">
        <f t="shared" si="1"/>
        <v>0.23979591836734693</v>
      </c>
    </row>
    <row r="9" spans="1:17" ht="15" customHeight="1">
      <c r="B9" s="92" t="s">
        <v>74</v>
      </c>
      <c r="C9" s="93">
        <f>COUNTIF('ALL DATA'!$D$9:$D$5000,"5")</f>
        <v>2</v>
      </c>
      <c r="D9" s="94">
        <f t="shared" si="0"/>
        <v>8.3333333333333332E-3</v>
      </c>
      <c r="N9" s="95" t="s">
        <v>2432</v>
      </c>
      <c r="O9" s="96">
        <f>COUNTIF(Jtime,"&lt;=1.5")</f>
        <v>186</v>
      </c>
      <c r="P9" s="97">
        <f t="shared" si="2"/>
        <v>11</v>
      </c>
      <c r="Q9" s="98">
        <f t="shared" si="1"/>
        <v>5.6122448979591837E-2</v>
      </c>
    </row>
    <row r="10" spans="1:17" ht="15" customHeight="1">
      <c r="B10" s="92" t="s">
        <v>75</v>
      </c>
      <c r="C10" s="93">
        <f>COUNTIF('ALL DATA'!$D$9:$D$5000,"6")</f>
        <v>0</v>
      </c>
      <c r="D10" s="94">
        <f t="shared" si="0"/>
        <v>0</v>
      </c>
      <c r="N10" s="95" t="s">
        <v>2433</v>
      </c>
      <c r="O10" s="96">
        <f>COUNTIF(Jtime,"&lt;=2")</f>
        <v>195</v>
      </c>
      <c r="P10" s="97">
        <f t="shared" si="2"/>
        <v>9</v>
      </c>
      <c r="Q10" s="98">
        <f t="shared" si="1"/>
        <v>4.5918367346938778E-2</v>
      </c>
    </row>
    <row r="11" spans="1:17" ht="15" customHeight="1">
      <c r="B11" s="92" t="s">
        <v>76</v>
      </c>
      <c r="C11" s="93">
        <f>COUNTIF('ALL DATA'!$D$9:$D$5000,"7")</f>
        <v>12</v>
      </c>
      <c r="D11" s="94">
        <f t="shared" si="0"/>
        <v>0.05</v>
      </c>
      <c r="N11" s="95" t="s">
        <v>2434</v>
      </c>
      <c r="O11" s="96">
        <f>COUNTIF(Jtime,"&lt;=3")</f>
        <v>195</v>
      </c>
      <c r="P11" s="97">
        <f t="shared" si="2"/>
        <v>0</v>
      </c>
      <c r="Q11" s="98">
        <f t="shared" si="1"/>
        <v>0</v>
      </c>
    </row>
    <row r="12" spans="1:17" ht="15" customHeight="1">
      <c r="B12" s="92" t="s">
        <v>77</v>
      </c>
      <c r="C12" s="93">
        <f>COUNTIF('ALL DATA'!$D$9:$D$5000,"8")</f>
        <v>3</v>
      </c>
      <c r="D12" s="94">
        <f t="shared" si="0"/>
        <v>1.2500000000000001E-2</v>
      </c>
      <c r="N12" s="95" t="s">
        <v>2435</v>
      </c>
      <c r="O12" s="96">
        <f>COUNTIF(Jtime,"&lt;=5")</f>
        <v>195</v>
      </c>
      <c r="P12" s="97">
        <f t="shared" si="2"/>
        <v>0</v>
      </c>
      <c r="Q12" s="98">
        <f t="shared" si="1"/>
        <v>0</v>
      </c>
    </row>
    <row r="13" spans="1:17" ht="15" customHeight="1">
      <c r="B13" s="92" t="s">
        <v>78</v>
      </c>
      <c r="C13" s="93">
        <f>COUNTIF('ALL DATA'!$D$9:$D$5000,"9")</f>
        <v>0</v>
      </c>
      <c r="D13" s="94">
        <f t="shared" si="0"/>
        <v>0</v>
      </c>
      <c r="N13" s="95" t="s">
        <v>2436</v>
      </c>
      <c r="O13" s="96">
        <f>COUNTIF(Jtime,"&lt;=7.5")</f>
        <v>195</v>
      </c>
      <c r="P13" s="97">
        <f t="shared" si="2"/>
        <v>0</v>
      </c>
      <c r="Q13" s="98">
        <f t="shared" si="1"/>
        <v>0</v>
      </c>
    </row>
    <row r="14" spans="1:17" ht="15" customHeight="1">
      <c r="B14" s="92" t="s">
        <v>79</v>
      </c>
      <c r="C14" s="93">
        <f>COUNTIF('ALL DATA'!$D$9:$D$5000,"10")</f>
        <v>1</v>
      </c>
      <c r="D14" s="94">
        <f t="shared" si="0"/>
        <v>4.1666666666666666E-3</v>
      </c>
      <c r="N14" s="95" t="s">
        <v>2437</v>
      </c>
      <c r="O14" s="96">
        <f>COUNTIF(Jtime,"&lt;=10")</f>
        <v>196</v>
      </c>
      <c r="P14" s="97">
        <f t="shared" si="2"/>
        <v>1</v>
      </c>
      <c r="Q14" s="98">
        <f t="shared" si="1"/>
        <v>5.1020408163265302E-3</v>
      </c>
    </row>
    <row r="15" spans="1:17" ht="15" customHeight="1">
      <c r="B15" s="92" t="s">
        <v>81</v>
      </c>
      <c r="C15" s="93">
        <f>COUNTIF('ALL DATA'!$D$9:$D$5000,"11")</f>
        <v>43</v>
      </c>
      <c r="D15" s="94">
        <f t="shared" si="0"/>
        <v>0.17916666666666667</v>
      </c>
      <c r="N15" s="95" t="s">
        <v>2438</v>
      </c>
      <c r="O15" s="96">
        <f>COUNTIF(Jtime,"&lt;=15")</f>
        <v>196</v>
      </c>
      <c r="P15" s="97">
        <f t="shared" si="2"/>
        <v>0</v>
      </c>
      <c r="Q15" s="98">
        <f t="shared" si="1"/>
        <v>0</v>
      </c>
    </row>
    <row r="16" spans="1:17">
      <c r="B16" s="92" t="s">
        <v>80</v>
      </c>
      <c r="C16" s="93">
        <f>COUNTIF('ALL DATA'!$D$9:$D$5000,"12")</f>
        <v>0</v>
      </c>
      <c r="D16" s="94">
        <f t="shared" si="0"/>
        <v>0</v>
      </c>
    </row>
    <row r="17" spans="2:16">
      <c r="B17" s="93"/>
      <c r="C17" s="99">
        <f>SUM(C5:C16)</f>
        <v>240</v>
      </c>
      <c r="D17" s="93"/>
    </row>
    <row r="21" spans="2:16">
      <c r="N21" s="1" t="s">
        <v>107</v>
      </c>
    </row>
    <row r="22" spans="2:16" ht="39">
      <c r="B22" s="88" t="s">
        <v>137</v>
      </c>
      <c r="N22" s="100" t="s">
        <v>107</v>
      </c>
      <c r="O22" s="100" t="s">
        <v>2426</v>
      </c>
      <c r="P22" s="101" t="s">
        <v>2427</v>
      </c>
    </row>
    <row r="23" spans="2:16" ht="15" customHeight="1">
      <c r="B23" s="102" t="s">
        <v>2439</v>
      </c>
      <c r="C23" s="102" t="s">
        <v>2440</v>
      </c>
      <c r="D23" s="102" t="s">
        <v>2441</v>
      </c>
      <c r="N23" s="103" t="s">
        <v>2442</v>
      </c>
      <c r="O23" s="104">
        <f>COUNTIF(Tripfreq,"=1")</f>
        <v>48</v>
      </c>
      <c r="P23" s="94">
        <f>O23/$O$29</f>
        <v>0.2</v>
      </c>
    </row>
    <row r="24" spans="2:16" ht="15" customHeight="1">
      <c r="B24" s="105" t="s">
        <v>138</v>
      </c>
      <c r="C24" s="106">
        <f>COUNTIF('ALL DATA'!$R$9:$R$5000,"Home-Work")</f>
        <v>31</v>
      </c>
      <c r="D24" s="107">
        <f>C24/$C$29</f>
        <v>0.12916666666666668</v>
      </c>
      <c r="N24" s="103" t="s">
        <v>109</v>
      </c>
      <c r="O24" s="104">
        <f>COUNTIF(Tripfreq,"=2")</f>
        <v>138</v>
      </c>
      <c r="P24" s="94">
        <f t="shared" ref="P24:P28" si="3">O24/$O$29</f>
        <v>0.57499999999999996</v>
      </c>
    </row>
    <row r="25" spans="2:16" ht="15" customHeight="1">
      <c r="B25" s="105" t="s">
        <v>139</v>
      </c>
      <c r="C25" s="106">
        <f>COUNTIF('ALL DATA'!$R$9:$R$369,"Home-Study")</f>
        <v>5</v>
      </c>
      <c r="D25" s="107">
        <f>C25/$C$29</f>
        <v>2.0833333333333332E-2</v>
      </c>
      <c r="N25" s="103" t="s">
        <v>110</v>
      </c>
      <c r="O25" s="104">
        <f>COUNTIF(Tripfreq,"=3")</f>
        <v>19</v>
      </c>
      <c r="P25" s="94">
        <f t="shared" si="3"/>
        <v>7.9166666666666663E-2</v>
      </c>
    </row>
    <row r="26" spans="2:16" ht="15" customHeight="1">
      <c r="B26" s="105" t="s">
        <v>140</v>
      </c>
      <c r="C26" s="106">
        <f>COUNTIF('ALL DATA'!$R$9:$R$369,"Work-Home")</f>
        <v>27</v>
      </c>
      <c r="D26" s="107">
        <f>C26/$C$29</f>
        <v>0.1125</v>
      </c>
      <c r="N26" s="103" t="s">
        <v>111</v>
      </c>
      <c r="O26" s="104">
        <f>COUNTIF(Tripfreq,"=4")</f>
        <v>11</v>
      </c>
      <c r="P26" s="94">
        <f t="shared" si="3"/>
        <v>4.583333333333333E-2</v>
      </c>
    </row>
    <row r="27" spans="2:16" ht="15" customHeight="1">
      <c r="B27" s="105" t="s">
        <v>141</v>
      </c>
      <c r="C27" s="106">
        <f>COUNTIF('ALL DATA'!$R$9:$R$369,"Work-Work")</f>
        <v>68</v>
      </c>
      <c r="D27" s="107">
        <f>C27/$C$29</f>
        <v>0.28333333333333333</v>
      </c>
      <c r="N27" s="103" t="s">
        <v>112</v>
      </c>
      <c r="O27" s="104">
        <f>COUNTIF(Tripfreq,"=5")</f>
        <v>7</v>
      </c>
      <c r="P27" s="94">
        <f t="shared" si="3"/>
        <v>2.9166666666666667E-2</v>
      </c>
    </row>
    <row r="28" spans="2:16" ht="15" customHeight="1">
      <c r="B28" s="105" t="s">
        <v>106</v>
      </c>
      <c r="C28" s="106">
        <f>C29-SUM(C24:C27)</f>
        <v>109</v>
      </c>
      <c r="D28" s="107">
        <f>C28/$C$29</f>
        <v>0.45416666666666666</v>
      </c>
      <c r="N28" s="103" t="s">
        <v>113</v>
      </c>
      <c r="O28" s="104">
        <f>COUNTIF(Tripfreq,"=6")</f>
        <v>17</v>
      </c>
      <c r="P28" s="94">
        <f t="shared" si="3"/>
        <v>7.0833333333333331E-2</v>
      </c>
    </row>
    <row r="29" spans="2:16" ht="15" customHeight="1">
      <c r="B29" s="108" t="s">
        <v>142</v>
      </c>
      <c r="C29" s="108">
        <f>C17</f>
        <v>240</v>
      </c>
      <c r="D29" s="106"/>
      <c r="N29" s="92"/>
      <c r="O29" s="109">
        <f>SUM(O23:O28)</f>
        <v>240</v>
      </c>
      <c r="P29" s="94"/>
    </row>
    <row r="40" spans="2:25">
      <c r="B40" s="1" t="s">
        <v>143</v>
      </c>
    </row>
    <row r="41" spans="2:25">
      <c r="B41" s="110" t="s">
        <v>2443</v>
      </c>
      <c r="C41" s="110" t="s">
        <v>2444</v>
      </c>
      <c r="D41" s="110" t="s">
        <v>2441</v>
      </c>
    </row>
    <row r="42" spans="2:25">
      <c r="B42" s="111" t="s">
        <v>32</v>
      </c>
      <c r="C42" s="112">
        <f>COUNTIF('ALL DATA'!$Y$9:$Y$5000,"Y")</f>
        <v>240</v>
      </c>
      <c r="D42" s="98">
        <f>C42/$C$44</f>
        <v>1</v>
      </c>
    </row>
    <row r="43" spans="2:25">
      <c r="B43" s="111" t="s">
        <v>144</v>
      </c>
      <c r="C43" s="112">
        <f>C44-C42</f>
        <v>0</v>
      </c>
      <c r="D43" s="98">
        <f>C43/$C$44</f>
        <v>0</v>
      </c>
    </row>
    <row r="44" spans="2:25">
      <c r="B44" s="113" t="s">
        <v>142</v>
      </c>
      <c r="C44" s="113">
        <f>C29</f>
        <v>240</v>
      </c>
      <c r="D44" s="112"/>
    </row>
    <row r="47" spans="2:25">
      <c r="R47" s="156" t="s">
        <v>100</v>
      </c>
      <c r="S47" s="156" t="s">
        <v>101</v>
      </c>
      <c r="T47" s="156" t="s">
        <v>102</v>
      </c>
      <c r="U47" s="156" t="s">
        <v>103</v>
      </c>
      <c r="V47" s="156" t="s">
        <v>104</v>
      </c>
      <c r="W47" s="156" t="s">
        <v>105</v>
      </c>
      <c r="X47" s="156" t="s">
        <v>87</v>
      </c>
      <c r="Y47" s="156" t="s">
        <v>106</v>
      </c>
    </row>
    <row r="48" spans="2:25">
      <c r="P48">
        <v>1</v>
      </c>
      <c r="Q48" s="157" t="s">
        <v>100</v>
      </c>
      <c r="R48" s="158">
        <f t="shared" ref="R48:Y55" si="4">R59/SUM($R$59:$Y$66)</f>
        <v>5.8333333333333334E-2</v>
      </c>
      <c r="S48" s="158">
        <f t="shared" si="4"/>
        <v>0.12916666666666668</v>
      </c>
      <c r="T48" s="158">
        <f t="shared" si="4"/>
        <v>2.0833333333333332E-2</v>
      </c>
      <c r="U48" s="158">
        <f t="shared" si="4"/>
        <v>2.5000000000000001E-2</v>
      </c>
      <c r="V48" s="158">
        <f t="shared" si="4"/>
        <v>1.2500000000000001E-2</v>
      </c>
      <c r="W48" s="158">
        <f t="shared" si="4"/>
        <v>5.8333333333333334E-2</v>
      </c>
      <c r="X48" s="158">
        <f t="shared" si="4"/>
        <v>1.2500000000000001E-2</v>
      </c>
      <c r="Y48" s="158">
        <f t="shared" si="4"/>
        <v>5.8333333333333334E-2</v>
      </c>
    </row>
    <row r="49" spans="2:25">
      <c r="P49">
        <v>2</v>
      </c>
      <c r="Q49" s="157" t="s">
        <v>101</v>
      </c>
      <c r="R49" s="158">
        <f t="shared" si="4"/>
        <v>0.1125</v>
      </c>
      <c r="S49" s="158">
        <f t="shared" si="4"/>
        <v>0.28333333333333333</v>
      </c>
      <c r="T49" s="158">
        <f t="shared" si="4"/>
        <v>0</v>
      </c>
      <c r="U49" s="158">
        <f t="shared" si="4"/>
        <v>8.3333333333333332E-3</v>
      </c>
      <c r="V49" s="158">
        <f t="shared" si="4"/>
        <v>0</v>
      </c>
      <c r="W49" s="158">
        <f t="shared" si="4"/>
        <v>0</v>
      </c>
      <c r="X49" s="158">
        <f t="shared" si="4"/>
        <v>0</v>
      </c>
      <c r="Y49" s="158">
        <f t="shared" si="4"/>
        <v>8.3333333333333332E-3</v>
      </c>
    </row>
    <row r="50" spans="2:25">
      <c r="P50">
        <v>3</v>
      </c>
      <c r="Q50" s="157" t="s">
        <v>102</v>
      </c>
      <c r="R50" s="158">
        <f t="shared" si="4"/>
        <v>1.6666666666666666E-2</v>
      </c>
      <c r="S50" s="158">
        <f t="shared" si="4"/>
        <v>0</v>
      </c>
      <c r="T50" s="158">
        <f t="shared" si="4"/>
        <v>4.1666666666666666E-3</v>
      </c>
      <c r="U50" s="158">
        <f t="shared" si="4"/>
        <v>0</v>
      </c>
      <c r="V50" s="158">
        <f t="shared" si="4"/>
        <v>0</v>
      </c>
      <c r="W50" s="158">
        <f t="shared" si="4"/>
        <v>0</v>
      </c>
      <c r="X50" s="158">
        <f t="shared" si="4"/>
        <v>0</v>
      </c>
      <c r="Y50" s="158">
        <f t="shared" si="4"/>
        <v>0</v>
      </c>
    </row>
    <row r="51" spans="2:25">
      <c r="P51">
        <v>4</v>
      </c>
      <c r="Q51" s="157" t="s">
        <v>103</v>
      </c>
      <c r="R51" s="158">
        <f t="shared" si="4"/>
        <v>1.6666666666666666E-2</v>
      </c>
      <c r="S51" s="158">
        <f t="shared" si="4"/>
        <v>4.1666666666666666E-3</v>
      </c>
      <c r="T51" s="158">
        <f t="shared" si="4"/>
        <v>0</v>
      </c>
      <c r="U51" s="158">
        <f t="shared" si="4"/>
        <v>4.1666666666666666E-3</v>
      </c>
      <c r="V51" s="158">
        <f t="shared" si="4"/>
        <v>0</v>
      </c>
      <c r="W51" s="158">
        <f t="shared" si="4"/>
        <v>4.1666666666666666E-3</v>
      </c>
      <c r="X51" s="158">
        <f t="shared" si="4"/>
        <v>0</v>
      </c>
      <c r="Y51" s="158">
        <f t="shared" si="4"/>
        <v>4.1666666666666666E-3</v>
      </c>
    </row>
    <row r="52" spans="2:25">
      <c r="P52">
        <v>5</v>
      </c>
      <c r="Q52" s="157" t="s">
        <v>104</v>
      </c>
      <c r="R52" s="158">
        <f t="shared" si="4"/>
        <v>0</v>
      </c>
      <c r="S52" s="158">
        <f t="shared" si="4"/>
        <v>0</v>
      </c>
      <c r="T52" s="158">
        <f t="shared" si="4"/>
        <v>0</v>
      </c>
      <c r="U52" s="158">
        <f t="shared" si="4"/>
        <v>0</v>
      </c>
      <c r="V52" s="158">
        <f t="shared" si="4"/>
        <v>0</v>
      </c>
      <c r="W52" s="158">
        <f t="shared" si="4"/>
        <v>0</v>
      </c>
      <c r="X52" s="158">
        <f t="shared" si="4"/>
        <v>0</v>
      </c>
      <c r="Y52" s="158">
        <f t="shared" si="4"/>
        <v>0</v>
      </c>
    </row>
    <row r="53" spans="2:25">
      <c r="P53">
        <v>6</v>
      </c>
      <c r="Q53" s="157" t="s">
        <v>105</v>
      </c>
      <c r="R53" s="158">
        <f t="shared" si="4"/>
        <v>8.3333333333333332E-3</v>
      </c>
      <c r="S53" s="158">
        <f t="shared" si="4"/>
        <v>0</v>
      </c>
      <c r="T53" s="158">
        <f t="shared" si="4"/>
        <v>0</v>
      </c>
      <c r="U53" s="158">
        <f t="shared" si="4"/>
        <v>0</v>
      </c>
      <c r="V53" s="158">
        <f t="shared" si="4"/>
        <v>0</v>
      </c>
      <c r="W53" s="158">
        <f t="shared" si="4"/>
        <v>0</v>
      </c>
      <c r="X53" s="158">
        <f t="shared" si="4"/>
        <v>0</v>
      </c>
      <c r="Y53" s="158">
        <f t="shared" si="4"/>
        <v>0</v>
      </c>
    </row>
    <row r="54" spans="2:25">
      <c r="P54">
        <v>7</v>
      </c>
      <c r="Q54" s="157" t="s">
        <v>87</v>
      </c>
      <c r="R54" s="158">
        <f t="shared" si="4"/>
        <v>4.1666666666666666E-3</v>
      </c>
      <c r="S54" s="158">
        <f t="shared" si="4"/>
        <v>0</v>
      </c>
      <c r="T54" s="158">
        <f t="shared" si="4"/>
        <v>0</v>
      </c>
      <c r="U54" s="158">
        <f t="shared" si="4"/>
        <v>0</v>
      </c>
      <c r="V54" s="158">
        <f t="shared" si="4"/>
        <v>0</v>
      </c>
      <c r="W54" s="158">
        <f t="shared" si="4"/>
        <v>0</v>
      </c>
      <c r="X54" s="158">
        <f t="shared" si="4"/>
        <v>0</v>
      </c>
      <c r="Y54" s="158">
        <f t="shared" si="4"/>
        <v>0</v>
      </c>
    </row>
    <row r="55" spans="2:25">
      <c r="P55">
        <v>8</v>
      </c>
      <c r="Q55" s="157" t="s">
        <v>106</v>
      </c>
      <c r="R55" s="158">
        <f t="shared" si="4"/>
        <v>4.1666666666666664E-2</v>
      </c>
      <c r="S55" s="158">
        <f t="shared" si="4"/>
        <v>1.2500000000000001E-2</v>
      </c>
      <c r="T55" s="158">
        <f t="shared" si="4"/>
        <v>0</v>
      </c>
      <c r="U55" s="158">
        <f t="shared" si="4"/>
        <v>8.3333333333333332E-3</v>
      </c>
      <c r="V55" s="158">
        <f t="shared" si="4"/>
        <v>0</v>
      </c>
      <c r="W55" s="158">
        <f t="shared" si="4"/>
        <v>8.3333333333333332E-3</v>
      </c>
      <c r="X55" s="158">
        <f t="shared" si="4"/>
        <v>0</v>
      </c>
      <c r="Y55" s="158">
        <f t="shared" si="4"/>
        <v>7.4999999999999997E-2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2445</v>
      </c>
      <c r="R58" t="s">
        <v>100</v>
      </c>
      <c r="S58" t="s">
        <v>101</v>
      </c>
      <c r="T58" t="s">
        <v>102</v>
      </c>
      <c r="U58" t="s">
        <v>103</v>
      </c>
      <c r="V58" t="s">
        <v>104</v>
      </c>
      <c r="W58" t="s">
        <v>105</v>
      </c>
      <c r="X58" t="s">
        <v>87</v>
      </c>
      <c r="Y58" t="s">
        <v>106</v>
      </c>
    </row>
    <row r="59" spans="2:25">
      <c r="B59" s="114" t="s">
        <v>136</v>
      </c>
      <c r="C59" s="115" t="s">
        <v>2446</v>
      </c>
      <c r="P59">
        <v>1</v>
      </c>
      <c r="Q59" t="s">
        <v>100</v>
      </c>
      <c r="R59">
        <f>COUNTIF('ALL DATA'!$R$9:$R$5000,R69)</f>
        <v>14</v>
      </c>
      <c r="S59">
        <f>COUNTIF('ALL DATA'!$R$9:$R$5000,S69)</f>
        <v>31</v>
      </c>
      <c r="T59">
        <f>COUNTIF('ALL DATA'!$R$9:$R$5000,T69)</f>
        <v>5</v>
      </c>
      <c r="U59">
        <f>COUNTIF('ALL DATA'!$R$9:$R$5000,U69)</f>
        <v>6</v>
      </c>
      <c r="V59">
        <f>COUNTIF('ALL DATA'!$R$9:$R$5000,V69)</f>
        <v>3</v>
      </c>
      <c r="W59">
        <f>COUNTIF('ALL DATA'!$R$9:$R$5000,W69)</f>
        <v>14</v>
      </c>
      <c r="X59">
        <f>COUNTIF('ALL DATA'!$R$9:$R$5000,X69)</f>
        <v>3</v>
      </c>
      <c r="Y59">
        <f>COUNTIF('ALL DATA'!$R$9:$R$5000,Y69)</f>
        <v>14</v>
      </c>
    </row>
    <row r="60" spans="2:25" ht="15" customHeight="1">
      <c r="B60" s="95" t="s">
        <v>70</v>
      </c>
      <c r="C60" s="96">
        <f ca="1">AVERAGEIF(Veh,"=1",'ALL DATA'!$Z$9:$Z$5000)</f>
        <v>1429.2134831460673</v>
      </c>
      <c r="P60">
        <v>2</v>
      </c>
      <c r="Q60" t="s">
        <v>101</v>
      </c>
      <c r="R60">
        <f>COUNTIF('ALL DATA'!$R$9:$R$5000,R70)</f>
        <v>27</v>
      </c>
      <c r="S60">
        <f>COUNTIF('ALL DATA'!$R$9:$R$5000,S70)</f>
        <v>68</v>
      </c>
      <c r="T60">
        <f>COUNTIF('ALL DATA'!$R$9:$R$5000,T70)</f>
        <v>0</v>
      </c>
      <c r="U60">
        <f>COUNTIF('ALL DATA'!$R$9:$R$5000,U70)</f>
        <v>2</v>
      </c>
      <c r="V60">
        <f>COUNTIF('ALL DATA'!$R$9:$R$5000,V70)</f>
        <v>0</v>
      </c>
      <c r="W60">
        <f>COUNTIF('ALL DATA'!$R$9:$R$5000,W70)</f>
        <v>0</v>
      </c>
      <c r="X60">
        <f>COUNTIF('ALL DATA'!$R$9:$R$5000,X70)</f>
        <v>0</v>
      </c>
      <c r="Y60">
        <f>COUNTIF('ALL DATA'!$R$9:$R$5000,Y70)</f>
        <v>2</v>
      </c>
    </row>
    <row r="61" spans="2:25" ht="15" customHeight="1">
      <c r="B61" s="95" t="s">
        <v>71</v>
      </c>
      <c r="C61" s="96">
        <f ca="1">AVERAGEIF(Veh,"=2",'ALL DATA'!$Z$9:$Z$5000)</f>
        <v>1270</v>
      </c>
      <c r="P61">
        <v>3</v>
      </c>
      <c r="Q61" t="s">
        <v>102</v>
      </c>
      <c r="R61">
        <f>COUNTIF('ALL DATA'!$R$9:$R$5000,R71)</f>
        <v>4</v>
      </c>
      <c r="S61">
        <f>COUNTIF('ALL DATA'!$R$9:$R$5000,S71)</f>
        <v>0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5" t="s">
        <v>72</v>
      </c>
      <c r="C62" s="96">
        <f ca="1">AVERAGEIF(Veh,"=3",'ALL DATA'!$Z$9:$Z$5000)</f>
        <v>1142.8571428571429</v>
      </c>
      <c r="P62">
        <v>4</v>
      </c>
      <c r="Q62" t="s">
        <v>103</v>
      </c>
      <c r="R62">
        <f>COUNTIF('ALL DATA'!$R$9:$R$5000,R72)</f>
        <v>4</v>
      </c>
      <c r="S62">
        <f>COUNTIF('ALL DATA'!$R$9:$R$5000,S72)</f>
        <v>1</v>
      </c>
      <c r="T62">
        <f>COUNTIF('ALL DATA'!$R$9:$R$5000,T72)</f>
        <v>0</v>
      </c>
      <c r="U62">
        <f>COUNTIF('ALL DATA'!$R$9:$R$5000,U72)</f>
        <v>1</v>
      </c>
      <c r="V62">
        <f>COUNTIF('ALL DATA'!$R$9:$R$5000,V72)</f>
        <v>0</v>
      </c>
      <c r="W62">
        <f>COUNTIF('ALL DATA'!$R$9:$R$5000,W72)</f>
        <v>1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95" t="s">
        <v>73</v>
      </c>
      <c r="C63" s="96">
        <f ca="1">AVERAGEIF(Veh,"=4",'ALL DATA'!$Z$9:$Z$5000)</f>
        <v>1865.1162790697674</v>
      </c>
      <c r="P63">
        <v>5</v>
      </c>
      <c r="Q63" t="s">
        <v>104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5" t="s">
        <v>74</v>
      </c>
      <c r="C64" s="96">
        <f ca="1">AVERAGEIF(Veh,"=5",'ALL DATA'!$Z$9:$Z$5000)</f>
        <v>1000</v>
      </c>
      <c r="P64">
        <v>6</v>
      </c>
      <c r="Q64" t="s">
        <v>105</v>
      </c>
      <c r="R64">
        <f>COUNTIF('ALL DATA'!$R$9:$R$5000,R74)</f>
        <v>2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0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5" t="s">
        <v>75</v>
      </c>
      <c r="C65" s="96" t="e">
        <f ca="1">AVERAGEIF(Veh,"=6",'ALL DATA'!$Z$9:$Z$5000)</f>
        <v>#DIV/0!</v>
      </c>
      <c r="P65">
        <v>7</v>
      </c>
      <c r="Q65" t="s">
        <v>87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5" t="s">
        <v>76</v>
      </c>
      <c r="C66" s="96">
        <f ca="1">AVERAGEIF(Veh,"=7",'ALL DATA'!$Z$9:$Z$5000)</f>
        <v>2020</v>
      </c>
      <c r="P66">
        <v>8</v>
      </c>
      <c r="Q66" t="s">
        <v>106</v>
      </c>
      <c r="R66">
        <f>COUNTIF('ALL DATA'!$R$9:$R$5000,R76)</f>
        <v>10</v>
      </c>
      <c r="S66">
        <f>COUNTIF('ALL DATA'!$R$9:$R$5000,S76)</f>
        <v>3</v>
      </c>
      <c r="T66">
        <f>COUNTIF('ALL DATA'!$R$9:$R$5000,T76)</f>
        <v>0</v>
      </c>
      <c r="U66">
        <f>COUNTIF('ALL DATA'!$R$9:$R$5000,U76)</f>
        <v>2</v>
      </c>
      <c r="V66">
        <f>COUNTIF('ALL DATA'!$R$9:$R$5000,V76)</f>
        <v>0</v>
      </c>
      <c r="W66">
        <f>COUNTIF('ALL DATA'!$R$9:$R$5000,W76)</f>
        <v>2</v>
      </c>
      <c r="X66">
        <f>COUNTIF('ALL DATA'!$R$9:$R$5000,X76)</f>
        <v>0</v>
      </c>
      <c r="Y66">
        <f>COUNTIF('ALL DATA'!$R$9:$R$5000,Y76)</f>
        <v>18</v>
      </c>
    </row>
    <row r="67" spans="2:25" ht="15" customHeight="1">
      <c r="B67" s="95" t="s">
        <v>77</v>
      </c>
      <c r="C67" s="96">
        <f ca="1">AVERAGEIF(Veh,"=8",'ALL DATA'!$Z$9:$Z$5000)</f>
        <v>750</v>
      </c>
    </row>
    <row r="68" spans="2:25" ht="15" customHeight="1">
      <c r="B68" s="95" t="s">
        <v>78</v>
      </c>
      <c r="C68" s="96" t="e">
        <f ca="1">AVERAGEIF(Veh,"=9",'ALL DATA'!$Z$9:$Z$5000)</f>
        <v>#DIV/0!</v>
      </c>
      <c r="R68" t="s">
        <v>100</v>
      </c>
      <c r="S68" t="s">
        <v>101</v>
      </c>
      <c r="T68" t="s">
        <v>102</v>
      </c>
      <c r="U68" t="s">
        <v>103</v>
      </c>
      <c r="V68" t="s">
        <v>104</v>
      </c>
      <c r="W68" t="s">
        <v>105</v>
      </c>
      <c r="X68" t="s">
        <v>87</v>
      </c>
      <c r="Y68" t="s">
        <v>106</v>
      </c>
    </row>
    <row r="69" spans="2:25" ht="15" customHeight="1">
      <c r="B69" s="95" t="s">
        <v>79</v>
      </c>
      <c r="C69" s="96">
        <f ca="1">AVERAGEIF(Veh,"=10",'ALL DATA'!$Z$9:$Z$5000)</f>
        <v>1500</v>
      </c>
      <c r="P69">
        <v>1</v>
      </c>
      <c r="Q69" t="s">
        <v>100</v>
      </c>
      <c r="R69" s="15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5" t="s">
        <v>81</v>
      </c>
      <c r="C70" s="96">
        <f ca="1">AVERAGEIF(Veh,"=11",'ALL DATA'!$Z$9:$Z$5000)</f>
        <v>1172.7272727272727</v>
      </c>
      <c r="P70">
        <v>2</v>
      </c>
      <c r="Q70" t="s">
        <v>101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5" t="s">
        <v>80</v>
      </c>
      <c r="C71" s="96" t="e">
        <f ca="1">AVERAGEIF(Veh,"=12",'ALL DATA'!$Z$9:$Z$5000)</f>
        <v>#DIV/0!</v>
      </c>
      <c r="P71">
        <v>3</v>
      </c>
      <c r="Q71" t="s">
        <v>102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103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104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105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87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106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2447</v>
      </c>
    </row>
    <row r="79" spans="2:25" ht="25.5">
      <c r="B79" s="116" t="s">
        <v>2448</v>
      </c>
      <c r="C79" s="117" t="s">
        <v>2449</v>
      </c>
      <c r="D79" s="118" t="s">
        <v>2426</v>
      </c>
      <c r="E79" s="119" t="s">
        <v>2450</v>
      </c>
    </row>
    <row r="80" spans="2:25" ht="15" customHeight="1">
      <c r="B80" s="120" t="s">
        <v>2451</v>
      </c>
      <c r="C80" s="121">
        <f>COUNTIF(Dist,"&lt;=1")</f>
        <v>6</v>
      </c>
      <c r="D80" s="122">
        <f>C80</f>
        <v>6</v>
      </c>
      <c r="E80" s="123">
        <f>D80/$C$88</f>
        <v>4.5112781954887216E-2</v>
      </c>
    </row>
    <row r="81" spans="2:5" ht="15" customHeight="1">
      <c r="B81" s="120" t="s">
        <v>2452</v>
      </c>
      <c r="C81" s="121">
        <f>COUNTIF(Dist,"&lt;=2.5")</f>
        <v>25</v>
      </c>
      <c r="D81" s="122">
        <f>C81-C80</f>
        <v>19</v>
      </c>
      <c r="E81" s="123">
        <f t="shared" ref="E81:E88" si="6">D81/$C$88</f>
        <v>0.14285714285714285</v>
      </c>
    </row>
    <row r="82" spans="2:5" ht="15" customHeight="1">
      <c r="B82" s="120" t="s">
        <v>2453</v>
      </c>
      <c r="C82" s="121">
        <f>COUNTIF(Dist,"&lt;=5")</f>
        <v>71</v>
      </c>
      <c r="D82" s="122">
        <f t="shared" ref="D82:D88" si="7">C82-C81</f>
        <v>46</v>
      </c>
      <c r="E82" s="123">
        <f t="shared" si="6"/>
        <v>0.34586466165413532</v>
      </c>
    </row>
    <row r="83" spans="2:5" ht="15" customHeight="1">
      <c r="B83" s="120" t="s">
        <v>2454</v>
      </c>
      <c r="C83" s="121">
        <f>COUNTIF(Dist,"&lt;=10")</f>
        <v>105</v>
      </c>
      <c r="D83" s="122">
        <f t="shared" si="7"/>
        <v>34</v>
      </c>
      <c r="E83" s="123">
        <f t="shared" si="6"/>
        <v>0.25563909774436089</v>
      </c>
    </row>
    <row r="84" spans="2:5" ht="15" customHeight="1">
      <c r="B84" s="120" t="s">
        <v>2455</v>
      </c>
      <c r="C84" s="121">
        <f>COUNTIF(Dist,"&lt;=20")</f>
        <v>130</v>
      </c>
      <c r="D84" s="122">
        <f t="shared" si="7"/>
        <v>25</v>
      </c>
      <c r="E84" s="123">
        <f t="shared" si="6"/>
        <v>0.18796992481203006</v>
      </c>
    </row>
    <row r="85" spans="2:5" ht="15" customHeight="1">
      <c r="B85" s="120" t="s">
        <v>2456</v>
      </c>
      <c r="C85" s="121">
        <f>COUNTIF(Dist,"&lt;=50")</f>
        <v>133</v>
      </c>
      <c r="D85" s="122">
        <f t="shared" si="7"/>
        <v>3</v>
      </c>
      <c r="E85" s="123">
        <f t="shared" si="6"/>
        <v>2.2556390977443608E-2</v>
      </c>
    </row>
    <row r="86" spans="2:5" ht="15" customHeight="1">
      <c r="B86" s="120" t="s">
        <v>2457</v>
      </c>
      <c r="C86" s="121">
        <f>COUNTIF(Dist,"&lt;=100")</f>
        <v>133</v>
      </c>
      <c r="D86" s="122">
        <f t="shared" si="7"/>
        <v>0</v>
      </c>
      <c r="E86" s="123">
        <f t="shared" si="6"/>
        <v>0</v>
      </c>
    </row>
    <row r="87" spans="2:5" ht="15" customHeight="1">
      <c r="B87" s="120" t="s">
        <v>2458</v>
      </c>
      <c r="C87" s="121">
        <f>COUNTIF(Dist,"&lt;=250")</f>
        <v>133</v>
      </c>
      <c r="D87" s="122">
        <f t="shared" si="7"/>
        <v>0</v>
      </c>
      <c r="E87" s="123">
        <f t="shared" si="6"/>
        <v>0</v>
      </c>
    </row>
    <row r="88" spans="2:5" ht="15" customHeight="1">
      <c r="B88" s="120" t="s">
        <v>2459</v>
      </c>
      <c r="C88" s="121">
        <f>COUNTIF(Dist,"&lt;=700")</f>
        <v>133</v>
      </c>
      <c r="D88" s="122">
        <f t="shared" si="7"/>
        <v>0</v>
      </c>
      <c r="E88" s="123">
        <f t="shared" si="6"/>
        <v>0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0"/>
  <sheetViews>
    <sheetView zoomScale="75" zoomScaleNormal="75" zoomScaleSheetLayoutView="80" workbookViewId="0">
      <selection activeCell="Q254" sqref="Q25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3" t="s">
        <v>127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6"/>
      <c r="AD1" s="6"/>
      <c r="AE1" s="6"/>
      <c r="AF1" s="6"/>
      <c r="AG1" s="6"/>
      <c r="AH1" s="6"/>
      <c r="AI1" s="6"/>
    </row>
    <row r="2" spans="2:3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7"/>
      <c r="AD2" s="7"/>
      <c r="AE2" s="7"/>
      <c r="AF2" s="7"/>
      <c r="AG2" s="7"/>
      <c r="AH2" s="7"/>
      <c r="AI2" s="7"/>
    </row>
    <row r="3" spans="2:35" ht="15"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</row>
    <row r="4" spans="2:35" ht="15" customHeight="1">
      <c r="B4" s="26" t="s">
        <v>2</v>
      </c>
      <c r="C4" s="45" t="s">
        <v>150</v>
      </c>
      <c r="E4" s="1" t="s">
        <v>64</v>
      </c>
      <c r="F4" s="134" t="s">
        <v>151</v>
      </c>
      <c r="G4" s="135"/>
      <c r="I4" s="27" t="s">
        <v>65</v>
      </c>
      <c r="J4" s="5"/>
      <c r="K4" s="5"/>
      <c r="L4" s="46" t="s">
        <v>152</v>
      </c>
      <c r="M4" s="57"/>
      <c r="N4" s="1" t="s">
        <v>67</v>
      </c>
      <c r="O4" s="136" t="s">
        <v>154</v>
      </c>
      <c r="P4" s="137"/>
      <c r="Q4" s="137"/>
      <c r="R4" s="137"/>
      <c r="S4" s="137"/>
      <c r="T4" s="137"/>
      <c r="V4" s="1" t="s">
        <v>68</v>
      </c>
      <c r="W4" s="42" t="s">
        <v>155</v>
      </c>
      <c r="Y4" s="27" t="s">
        <v>6</v>
      </c>
      <c r="Z4" s="48" t="s">
        <v>156</v>
      </c>
      <c r="AA4" s="32" t="s">
        <v>7</v>
      </c>
      <c r="AB4" s="48" t="s">
        <v>496</v>
      </c>
      <c r="AE4" s="10"/>
      <c r="AF4" s="5"/>
    </row>
    <row r="5" spans="2:35" ht="15" customHeight="1">
      <c r="B5" s="57"/>
      <c r="C5" s="57"/>
      <c r="D5" s="57"/>
      <c r="E5" s="22"/>
      <c r="F5" s="57"/>
      <c r="G5" s="57"/>
      <c r="I5" s="28" t="s">
        <v>66</v>
      </c>
      <c r="J5" s="57"/>
      <c r="K5" s="57"/>
      <c r="L5" s="47" t="s">
        <v>153</v>
      </c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</row>
    <row r="6" spans="2:35" ht="13.5" thickBot="1"/>
    <row r="7" spans="2:35" ht="30.75" customHeight="1">
      <c r="B7" s="138" t="s">
        <v>34</v>
      </c>
      <c r="C7" s="124" t="s">
        <v>55</v>
      </c>
      <c r="D7" s="126" t="s">
        <v>9</v>
      </c>
      <c r="E7" s="124" t="s">
        <v>35</v>
      </c>
      <c r="F7" s="141" t="s">
        <v>12</v>
      </c>
      <c r="G7" s="142"/>
      <c r="H7" s="143"/>
      <c r="I7" s="126" t="s">
        <v>58</v>
      </c>
      <c r="J7" s="124" t="s">
        <v>15</v>
      </c>
      <c r="K7" s="124" t="s">
        <v>128</v>
      </c>
      <c r="L7" s="141" t="s">
        <v>17</v>
      </c>
      <c r="M7" s="142"/>
      <c r="N7" s="143"/>
      <c r="O7" s="126" t="s">
        <v>59</v>
      </c>
      <c r="P7" s="124" t="s">
        <v>18</v>
      </c>
      <c r="Q7" s="124" t="s">
        <v>129</v>
      </c>
      <c r="R7" s="124" t="s">
        <v>130</v>
      </c>
      <c r="S7" s="124" t="s">
        <v>132</v>
      </c>
      <c r="T7" s="124" t="s">
        <v>131</v>
      </c>
      <c r="U7" s="124" t="s">
        <v>60</v>
      </c>
      <c r="V7" s="130" t="s">
        <v>63</v>
      </c>
      <c r="W7" s="131"/>
      <c r="X7" s="132"/>
      <c r="Y7" s="124" t="s">
        <v>62</v>
      </c>
      <c r="Z7" s="124" t="s">
        <v>135</v>
      </c>
      <c r="AA7" s="126" t="s">
        <v>20</v>
      </c>
      <c r="AB7" s="128" t="s">
        <v>21</v>
      </c>
      <c r="AD7" s="19"/>
    </row>
    <row r="8" spans="2:35" ht="38.25" customHeight="1">
      <c r="B8" s="139"/>
      <c r="C8" s="125"/>
      <c r="D8" s="127"/>
      <c r="E8" s="140"/>
      <c r="F8" s="58" t="s">
        <v>69</v>
      </c>
      <c r="G8" s="58" t="s">
        <v>56</v>
      </c>
      <c r="H8" s="24" t="s">
        <v>57</v>
      </c>
      <c r="I8" s="127"/>
      <c r="J8" s="125"/>
      <c r="K8" s="125"/>
      <c r="L8" s="58" t="s">
        <v>69</v>
      </c>
      <c r="M8" s="58" t="s">
        <v>56</v>
      </c>
      <c r="N8" s="58" t="s">
        <v>57</v>
      </c>
      <c r="O8" s="127"/>
      <c r="P8" s="125"/>
      <c r="Q8" s="125"/>
      <c r="R8" s="125"/>
      <c r="S8" s="125"/>
      <c r="T8" s="125"/>
      <c r="U8" s="125"/>
      <c r="V8" s="29" t="s">
        <v>61</v>
      </c>
      <c r="W8" s="30" t="s">
        <v>133</v>
      </c>
      <c r="X8" s="30" t="s">
        <v>134</v>
      </c>
      <c r="Y8" s="125"/>
      <c r="Z8" s="125"/>
      <c r="AA8" s="127"/>
      <c r="AB8" s="129"/>
    </row>
    <row r="9" spans="2:35" s="19" customFormat="1">
      <c r="B9" s="39">
        <v>0.85277777777777775</v>
      </c>
      <c r="C9" s="39" t="s">
        <v>157</v>
      </c>
      <c r="D9" s="40">
        <v>1</v>
      </c>
      <c r="E9" s="40">
        <v>1</v>
      </c>
      <c r="F9" s="41" t="s">
        <v>158</v>
      </c>
      <c r="G9" s="41" t="s">
        <v>146</v>
      </c>
      <c r="H9" s="41" t="s">
        <v>147</v>
      </c>
      <c r="I9" s="41">
        <v>2</v>
      </c>
      <c r="J9" s="41">
        <v>2</v>
      </c>
      <c r="K9" s="25" t="str">
        <f>VLOOKUP(J9,Key!$E$2:$F$9,2,FALSE)</f>
        <v>Work</v>
      </c>
      <c r="L9" s="41" t="s">
        <v>1196</v>
      </c>
      <c r="M9" s="42" t="s">
        <v>146</v>
      </c>
      <c r="N9" s="42" t="s">
        <v>147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3"/>
      <c r="T9" s="43"/>
      <c r="U9" s="51">
        <v>2</v>
      </c>
      <c r="V9" s="51"/>
      <c r="W9" s="43"/>
      <c r="X9" s="43"/>
      <c r="Y9" s="44" t="s">
        <v>149</v>
      </c>
      <c r="Z9" s="52"/>
      <c r="AA9" s="25">
        <f>VLOOKUP(F9,Zones!$A$2:$F$15614,6,FALSE)</f>
        <v>521</v>
      </c>
      <c r="AB9" s="25">
        <f>VLOOKUP(L9,Zones!$A$2:$F$15614,6,FALSE)</f>
        <v>565</v>
      </c>
    </row>
    <row r="10" spans="2:35">
      <c r="B10" s="39">
        <v>0.97222222222222221</v>
      </c>
      <c r="C10" s="39" t="s">
        <v>160</v>
      </c>
      <c r="D10" s="40">
        <v>1</v>
      </c>
      <c r="E10" s="40">
        <v>1</v>
      </c>
      <c r="F10" s="41" t="s">
        <v>161</v>
      </c>
      <c r="G10" s="41" t="s">
        <v>146</v>
      </c>
      <c r="H10" s="41" t="s">
        <v>147</v>
      </c>
      <c r="I10" s="41">
        <v>2</v>
      </c>
      <c r="J10" s="41">
        <v>2</v>
      </c>
      <c r="K10" s="25" t="str">
        <f>VLOOKUP(J10,Key!$E$2:$F$9,2,FALSE)</f>
        <v>Work</v>
      </c>
      <c r="L10" s="41" t="s">
        <v>158</v>
      </c>
      <c r="M10" s="42" t="s">
        <v>146</v>
      </c>
      <c r="N10" s="42" t="s">
        <v>147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32" si="0">K10&amp;"-"&amp;Q10</f>
        <v>Work-Home</v>
      </c>
      <c r="S10" s="43"/>
      <c r="T10" s="43"/>
      <c r="U10" s="51">
        <v>2</v>
      </c>
      <c r="V10" s="51"/>
      <c r="W10" s="43"/>
      <c r="X10" s="43"/>
      <c r="Y10" s="44" t="s">
        <v>149</v>
      </c>
      <c r="Z10" s="52">
        <v>1000</v>
      </c>
      <c r="AA10" s="25">
        <f>VLOOKUP(F10,Zones!$A$2:$F$15614,6,FALSE)</f>
        <v>522</v>
      </c>
      <c r="AB10" s="25">
        <f>VLOOKUP(L10,Zones!$A$2:$F$15614,6,FALSE)</f>
        <v>521</v>
      </c>
    </row>
    <row r="11" spans="2:35">
      <c r="B11" s="39">
        <v>0.97569444444444453</v>
      </c>
      <c r="C11" s="39" t="s">
        <v>162</v>
      </c>
      <c r="D11" s="40">
        <v>1</v>
      </c>
      <c r="E11" s="40">
        <v>1</v>
      </c>
      <c r="F11" s="41" t="s">
        <v>152</v>
      </c>
      <c r="G11" s="41" t="s">
        <v>148</v>
      </c>
      <c r="H11" s="41" t="s">
        <v>147</v>
      </c>
      <c r="I11" s="41">
        <v>2</v>
      </c>
      <c r="J11" s="41">
        <v>2</v>
      </c>
      <c r="K11" s="25" t="str">
        <f>VLOOKUP(J11,Key!$E$2:$F$9,2,FALSE)</f>
        <v>Work</v>
      </c>
      <c r="L11" s="41" t="s">
        <v>163</v>
      </c>
      <c r="M11" s="42" t="s">
        <v>146</v>
      </c>
      <c r="N11" s="42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43">
        <v>4</v>
      </c>
      <c r="T11" s="43">
        <v>1</v>
      </c>
      <c r="U11" s="51">
        <v>2</v>
      </c>
      <c r="V11" s="51"/>
      <c r="W11" s="43"/>
      <c r="X11" s="43"/>
      <c r="Y11" s="44" t="s">
        <v>149</v>
      </c>
      <c r="Z11" s="52"/>
      <c r="AA11" s="25">
        <f>VLOOKUP(F11,Zones!$A$2:$F$15614,6,FALSE)</f>
        <v>522</v>
      </c>
      <c r="AB11" s="25">
        <f>VLOOKUP(L11,Zones!$A$2:$F$15614,6,FALSE)</f>
        <v>1407</v>
      </c>
    </row>
    <row r="12" spans="2:35">
      <c r="B12" s="39">
        <v>0.84722222222222221</v>
      </c>
      <c r="C12" s="39" t="s">
        <v>164</v>
      </c>
      <c r="D12" s="40">
        <v>1</v>
      </c>
      <c r="E12" s="40">
        <v>2</v>
      </c>
      <c r="F12" s="41" t="s">
        <v>158</v>
      </c>
      <c r="G12" s="41" t="s">
        <v>146</v>
      </c>
      <c r="H12" s="41" t="s">
        <v>147</v>
      </c>
      <c r="I12" s="41">
        <v>2</v>
      </c>
      <c r="J12" s="41">
        <v>2</v>
      </c>
      <c r="K12" s="25" t="str">
        <f>VLOOKUP(J12,Key!$E$2:$F$9,2,FALSE)</f>
        <v>Work</v>
      </c>
      <c r="L12" s="41" t="s">
        <v>161</v>
      </c>
      <c r="M12" s="42" t="s">
        <v>146</v>
      </c>
      <c r="N12" s="42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3"/>
      <c r="T12" s="43"/>
      <c r="U12" s="51">
        <v>2</v>
      </c>
      <c r="V12" s="51"/>
      <c r="W12" s="43"/>
      <c r="X12" s="43"/>
      <c r="Y12" s="44" t="s">
        <v>149</v>
      </c>
      <c r="Z12" s="52">
        <v>1000</v>
      </c>
      <c r="AA12" s="25">
        <f>VLOOKUP(F12,Zones!$A$2:$F$15614,6,FALSE)</f>
        <v>521</v>
      </c>
      <c r="AB12" s="25">
        <f>VLOOKUP(L12,Zones!$A$2:$F$15614,6,FALSE)</f>
        <v>522</v>
      </c>
    </row>
    <row r="13" spans="2:35">
      <c r="B13" s="39">
        <v>0.91319444444444453</v>
      </c>
      <c r="C13" s="39" t="s">
        <v>165</v>
      </c>
      <c r="D13" s="40">
        <v>11</v>
      </c>
      <c r="E13" s="40">
        <v>1</v>
      </c>
      <c r="F13" s="41" t="s">
        <v>166</v>
      </c>
      <c r="G13" s="41" t="s">
        <v>148</v>
      </c>
      <c r="H13" s="41" t="s">
        <v>147</v>
      </c>
      <c r="I13" s="41">
        <v>8</v>
      </c>
      <c r="J13" s="41">
        <v>8</v>
      </c>
      <c r="K13" s="25" t="str">
        <f>VLOOKUP(J13,Key!$E$2:$F$9,2,FALSE)</f>
        <v>Others</v>
      </c>
      <c r="L13" s="41" t="s">
        <v>161</v>
      </c>
      <c r="M13" s="42" t="s">
        <v>146</v>
      </c>
      <c r="N13" s="42" t="s">
        <v>147</v>
      </c>
      <c r="O13" s="42">
        <v>8</v>
      </c>
      <c r="P13" s="42">
        <v>2</v>
      </c>
      <c r="Q13" s="25" t="str">
        <f>VLOOKUP(P13,Key!$E$2:$F$9,2,FALSE)</f>
        <v>Work</v>
      </c>
      <c r="R13" s="25" t="str">
        <f t="shared" si="0"/>
        <v>Others-Work</v>
      </c>
      <c r="S13" s="43">
        <v>2</v>
      </c>
      <c r="T13" s="43">
        <v>0.41</v>
      </c>
      <c r="U13" s="51">
        <v>2</v>
      </c>
      <c r="V13" s="51"/>
      <c r="W13" s="43"/>
      <c r="X13" s="43"/>
      <c r="Y13" s="44" t="s">
        <v>149</v>
      </c>
      <c r="Z13" s="52">
        <v>300</v>
      </c>
      <c r="AA13" s="25">
        <f>VLOOKUP(F13,Zones!$A$2:$F$15614,6,FALSE)</f>
        <v>522</v>
      </c>
      <c r="AB13" s="25">
        <f>VLOOKUP(L13,Zones!$A$2:$F$15614,6,FALSE)</f>
        <v>522</v>
      </c>
    </row>
    <row r="14" spans="2:35">
      <c r="B14" s="39">
        <v>0.90833333333333333</v>
      </c>
      <c r="C14" s="39" t="s">
        <v>167</v>
      </c>
      <c r="D14" s="40">
        <v>11</v>
      </c>
      <c r="E14" s="40">
        <v>1</v>
      </c>
      <c r="F14" s="41" t="s">
        <v>152</v>
      </c>
      <c r="G14" s="41" t="s">
        <v>148</v>
      </c>
      <c r="H14" s="41" t="s">
        <v>147</v>
      </c>
      <c r="I14" s="41">
        <v>8</v>
      </c>
      <c r="J14" s="41">
        <v>2</v>
      </c>
      <c r="K14" s="25" t="str">
        <f>VLOOKUP(J14,Key!$E$2:$F$9,2,FALSE)</f>
        <v>Work</v>
      </c>
      <c r="L14" s="41" t="s">
        <v>163</v>
      </c>
      <c r="M14" s="42" t="s">
        <v>146</v>
      </c>
      <c r="N14" s="42" t="s">
        <v>147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/>
      <c r="T14" s="43"/>
      <c r="U14" s="51">
        <v>2</v>
      </c>
      <c r="V14" s="51"/>
      <c r="W14" s="43"/>
      <c r="X14" s="43"/>
      <c r="Y14" s="44" t="s">
        <v>149</v>
      </c>
      <c r="Z14" s="52"/>
      <c r="AA14" s="25">
        <f>VLOOKUP(F14,Zones!$A$2:$F$15614,6,FALSE)</f>
        <v>522</v>
      </c>
      <c r="AB14" s="25">
        <f>VLOOKUP(L14,Zones!$A$2:$F$15614,6,FALSE)</f>
        <v>1407</v>
      </c>
    </row>
    <row r="15" spans="2:35">
      <c r="B15" s="39">
        <v>0.91527777777777775</v>
      </c>
      <c r="C15" s="39" t="s">
        <v>168</v>
      </c>
      <c r="D15" s="40">
        <v>11</v>
      </c>
      <c r="E15" s="40">
        <v>2</v>
      </c>
      <c r="F15" s="41" t="s">
        <v>158</v>
      </c>
      <c r="G15" s="41" t="s">
        <v>146</v>
      </c>
      <c r="H15" s="41" t="s">
        <v>147</v>
      </c>
      <c r="I15" s="41">
        <v>8</v>
      </c>
      <c r="J15" s="41">
        <v>2</v>
      </c>
      <c r="K15" s="25" t="str">
        <f>VLOOKUP(J15,Key!$E$2:$F$9,2,FALSE)</f>
        <v>Work</v>
      </c>
      <c r="L15" s="41" t="s">
        <v>161</v>
      </c>
      <c r="M15" s="42" t="s">
        <v>146</v>
      </c>
      <c r="N15" s="42" t="s">
        <v>147</v>
      </c>
      <c r="O15" s="42">
        <v>8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/>
      <c r="T15" s="43"/>
      <c r="U15" s="51">
        <v>2</v>
      </c>
      <c r="V15" s="51"/>
      <c r="W15" s="43"/>
      <c r="X15" s="43"/>
      <c r="Y15" s="44" t="s">
        <v>149</v>
      </c>
      <c r="Z15" s="52">
        <v>2000</v>
      </c>
      <c r="AA15" s="25">
        <f>VLOOKUP(F15,Zones!$A$2:$F$15614,6,FALSE)</f>
        <v>521</v>
      </c>
      <c r="AB15" s="25">
        <f>VLOOKUP(L15,Zones!$A$2:$F$15614,6,FALSE)</f>
        <v>522</v>
      </c>
    </row>
    <row r="16" spans="2:35">
      <c r="B16" s="39">
        <v>0.375</v>
      </c>
      <c r="C16" s="39" t="s">
        <v>169</v>
      </c>
      <c r="D16" s="40">
        <v>4</v>
      </c>
      <c r="E16" s="40">
        <v>2</v>
      </c>
      <c r="F16" s="41" t="s">
        <v>152</v>
      </c>
      <c r="G16" s="41" t="s">
        <v>148</v>
      </c>
      <c r="H16" s="41" t="s">
        <v>147</v>
      </c>
      <c r="I16" s="41">
        <v>6</v>
      </c>
      <c r="J16" s="41">
        <v>2</v>
      </c>
      <c r="K16" s="25" t="str">
        <f>VLOOKUP(J16,Key!$E$2:$F$9,2,FALSE)</f>
        <v>Work</v>
      </c>
      <c r="L16" s="41" t="s">
        <v>158</v>
      </c>
      <c r="M16" s="42" t="s">
        <v>146</v>
      </c>
      <c r="N16" s="42" t="s">
        <v>147</v>
      </c>
      <c r="O16" s="42">
        <v>6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/>
      <c r="T16" s="43"/>
      <c r="U16" s="51">
        <v>2</v>
      </c>
      <c r="V16" s="51"/>
      <c r="W16" s="43"/>
      <c r="X16" s="43"/>
      <c r="Y16" s="44" t="s">
        <v>149</v>
      </c>
      <c r="Z16" s="52">
        <v>500</v>
      </c>
      <c r="AA16" s="25">
        <f>VLOOKUP(F16,Zones!$A$2:$F$15614,6,FALSE)</f>
        <v>522</v>
      </c>
      <c r="AB16" s="25">
        <f>VLOOKUP(L16,Zones!$A$2:$F$15614,6,FALSE)</f>
        <v>521</v>
      </c>
    </row>
    <row r="17" spans="2:28">
      <c r="B17" s="39">
        <v>0.8965277777777777</v>
      </c>
      <c r="C17" s="39" t="s">
        <v>170</v>
      </c>
      <c r="D17" s="40">
        <v>11</v>
      </c>
      <c r="E17" s="40">
        <v>2</v>
      </c>
      <c r="F17" s="41" t="s">
        <v>152</v>
      </c>
      <c r="G17" s="41" t="s">
        <v>148</v>
      </c>
      <c r="H17" s="41" t="s">
        <v>147</v>
      </c>
      <c r="I17" s="41">
        <v>8</v>
      </c>
      <c r="J17" s="41">
        <v>2</v>
      </c>
      <c r="K17" s="25" t="str">
        <f>VLOOKUP(J17,Key!$E$2:$F$9,2,FALSE)</f>
        <v>Work</v>
      </c>
      <c r="L17" s="41" t="s">
        <v>161</v>
      </c>
      <c r="M17" s="42" t="s">
        <v>146</v>
      </c>
      <c r="N17" s="42" t="s">
        <v>147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Work-Home</v>
      </c>
      <c r="S17" s="43">
        <v>2</v>
      </c>
      <c r="T17" s="43">
        <v>0.5</v>
      </c>
      <c r="U17" s="51">
        <v>2</v>
      </c>
      <c r="V17" s="51"/>
      <c r="W17" s="43"/>
      <c r="X17" s="43"/>
      <c r="Y17" s="44" t="s">
        <v>149</v>
      </c>
      <c r="Z17" s="52">
        <v>500</v>
      </c>
      <c r="AA17" s="25">
        <f>VLOOKUP(F17,Zones!$A$2:$F$15614,6,FALSE)</f>
        <v>522</v>
      </c>
      <c r="AB17" s="25">
        <f>VLOOKUP(L17,Zones!$A$2:$F$15614,6,FALSE)</f>
        <v>522</v>
      </c>
    </row>
    <row r="18" spans="2:28">
      <c r="B18" s="39">
        <v>0.90972222222222221</v>
      </c>
      <c r="C18" s="39" t="s">
        <v>171</v>
      </c>
      <c r="D18" s="40">
        <v>1</v>
      </c>
      <c r="E18" s="40">
        <v>1</v>
      </c>
      <c r="F18" s="41" t="s">
        <v>158</v>
      </c>
      <c r="G18" s="41" t="s">
        <v>146</v>
      </c>
      <c r="H18" s="41" t="s">
        <v>147</v>
      </c>
      <c r="I18" s="41">
        <v>2</v>
      </c>
      <c r="J18" s="41">
        <v>2</v>
      </c>
      <c r="K18" s="25" t="str">
        <f>VLOOKUP(J18,Key!$E$2:$F$9,2,FALSE)</f>
        <v>Work</v>
      </c>
      <c r="L18" s="41" t="s">
        <v>161</v>
      </c>
      <c r="M18" s="42" t="s">
        <v>146</v>
      </c>
      <c r="N18" s="42" t="s">
        <v>147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43"/>
      <c r="T18" s="43"/>
      <c r="U18" s="51">
        <v>2</v>
      </c>
      <c r="V18" s="51"/>
      <c r="W18" s="43"/>
      <c r="X18" s="43"/>
      <c r="Y18" s="44" t="s">
        <v>149</v>
      </c>
      <c r="Z18" s="52">
        <v>500</v>
      </c>
      <c r="AA18" s="25">
        <f>VLOOKUP(F18,Zones!$A$2:$F$15614,6,FALSE)</f>
        <v>521</v>
      </c>
      <c r="AB18" s="25">
        <f>VLOOKUP(L18,Zones!$A$2:$F$15614,6,FALSE)</f>
        <v>522</v>
      </c>
    </row>
    <row r="19" spans="2:28">
      <c r="B19" s="39" t="s">
        <v>494</v>
      </c>
      <c r="C19" s="39" t="s">
        <v>172</v>
      </c>
      <c r="D19" s="40">
        <v>4</v>
      </c>
      <c r="E19" s="40">
        <v>8</v>
      </c>
      <c r="F19" s="41" t="s">
        <v>152</v>
      </c>
      <c r="G19" s="41" t="s">
        <v>148</v>
      </c>
      <c r="H19" s="41" t="s">
        <v>147</v>
      </c>
      <c r="I19" s="41">
        <v>6</v>
      </c>
      <c r="J19" s="41">
        <v>2</v>
      </c>
      <c r="K19" s="25" t="str">
        <f>VLOOKUP(J19,Key!$E$2:$F$9,2,FALSE)</f>
        <v>Work</v>
      </c>
      <c r="L19" s="41" t="s">
        <v>158</v>
      </c>
      <c r="M19" s="42" t="s">
        <v>146</v>
      </c>
      <c r="N19" s="42" t="s">
        <v>147</v>
      </c>
      <c r="O19" s="42">
        <v>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/>
      <c r="T19" s="43"/>
      <c r="U19" s="51">
        <v>2</v>
      </c>
      <c r="V19" s="51"/>
      <c r="W19" s="43"/>
      <c r="X19" s="43"/>
      <c r="Y19" s="44" t="s">
        <v>149</v>
      </c>
      <c r="Z19" s="52">
        <v>500</v>
      </c>
      <c r="AA19" s="25">
        <f>VLOOKUP(F19,Zones!$A$2:$F$15614,6,FALSE)</f>
        <v>522</v>
      </c>
      <c r="AB19" s="25">
        <f>VLOOKUP(L19,Zones!$A$2:$F$15614,6,FALSE)</f>
        <v>521</v>
      </c>
    </row>
    <row r="20" spans="2:28">
      <c r="B20" s="39">
        <v>0.92013888888888884</v>
      </c>
      <c r="C20" s="39" t="s">
        <v>173</v>
      </c>
      <c r="D20" s="40">
        <v>11</v>
      </c>
      <c r="E20" s="40">
        <v>4</v>
      </c>
      <c r="F20" s="41" t="s">
        <v>166</v>
      </c>
      <c r="G20" s="41" t="s">
        <v>148</v>
      </c>
      <c r="H20" s="41" t="s">
        <v>147</v>
      </c>
      <c r="I20" s="41">
        <v>8</v>
      </c>
      <c r="J20" s="41">
        <v>2</v>
      </c>
      <c r="K20" s="25" t="str">
        <f>VLOOKUP(J20,Key!$E$2:$F$9,2,FALSE)</f>
        <v>Work</v>
      </c>
      <c r="L20" s="41" t="s">
        <v>161</v>
      </c>
      <c r="M20" s="42" t="s">
        <v>146</v>
      </c>
      <c r="N20" s="42" t="s">
        <v>147</v>
      </c>
      <c r="O20" s="42">
        <v>8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>
        <v>2</v>
      </c>
      <c r="T20" s="43">
        <v>0.5</v>
      </c>
      <c r="U20" s="51">
        <v>2</v>
      </c>
      <c r="V20" s="51"/>
      <c r="W20" s="43"/>
      <c r="X20" s="43"/>
      <c r="Y20" s="44" t="s">
        <v>149</v>
      </c>
      <c r="Z20" s="52">
        <v>100</v>
      </c>
      <c r="AA20" s="25">
        <f>VLOOKUP(F20,Zones!$A$2:$F$15614,6,FALSE)</f>
        <v>522</v>
      </c>
      <c r="AB20" s="25">
        <f>VLOOKUP(L20,Zones!$A$2:$F$15614,6,FALSE)</f>
        <v>522</v>
      </c>
    </row>
    <row r="21" spans="2:28">
      <c r="B21" s="39">
        <v>0.91736111111111107</v>
      </c>
      <c r="C21" s="39" t="s">
        <v>174</v>
      </c>
      <c r="D21" s="40">
        <v>4</v>
      </c>
      <c r="E21" s="40">
        <v>2</v>
      </c>
      <c r="F21" s="41" t="s">
        <v>152</v>
      </c>
      <c r="G21" s="41" t="s">
        <v>148</v>
      </c>
      <c r="H21" s="41" t="s">
        <v>147</v>
      </c>
      <c r="I21" s="41">
        <v>6</v>
      </c>
      <c r="J21" s="41">
        <v>2</v>
      </c>
      <c r="K21" s="25" t="str">
        <f>VLOOKUP(J21,Key!$E$2:$F$9,2,FALSE)</f>
        <v>Work</v>
      </c>
      <c r="L21" s="41" t="s">
        <v>158</v>
      </c>
      <c r="M21" s="42" t="s">
        <v>146</v>
      </c>
      <c r="N21" s="42" t="s">
        <v>147</v>
      </c>
      <c r="O21" s="42">
        <v>6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/>
      <c r="T21" s="43"/>
      <c r="U21" s="51">
        <v>2</v>
      </c>
      <c r="V21" s="51"/>
      <c r="W21" s="43"/>
      <c r="X21" s="43"/>
      <c r="Y21" s="44" t="s">
        <v>149</v>
      </c>
      <c r="Z21" s="52">
        <v>500</v>
      </c>
      <c r="AA21" s="25">
        <f>VLOOKUP(F21,Zones!$A$2:$F$15614,6,FALSE)</f>
        <v>522</v>
      </c>
      <c r="AB21" s="25">
        <f>VLOOKUP(L21,Zones!$A$2:$F$15614,6,FALSE)</f>
        <v>521</v>
      </c>
    </row>
    <row r="22" spans="2:28">
      <c r="B22" s="39">
        <v>0.92986111111111114</v>
      </c>
      <c r="C22" s="39" t="s">
        <v>175</v>
      </c>
      <c r="D22" s="40">
        <v>4</v>
      </c>
      <c r="E22" s="40">
        <v>4</v>
      </c>
      <c r="F22" s="41" t="s">
        <v>152</v>
      </c>
      <c r="G22" s="41" t="s">
        <v>148</v>
      </c>
      <c r="H22" s="41" t="s">
        <v>147</v>
      </c>
      <c r="I22" s="41">
        <v>6</v>
      </c>
      <c r="J22" s="41">
        <v>2</v>
      </c>
      <c r="K22" s="25" t="str">
        <f>VLOOKUP(J22,Key!$E$2:$F$9,2,FALSE)</f>
        <v>Work</v>
      </c>
      <c r="L22" s="41" t="s">
        <v>158</v>
      </c>
      <c r="M22" s="42" t="s">
        <v>146</v>
      </c>
      <c r="N22" s="42" t="s">
        <v>147</v>
      </c>
      <c r="O22" s="42">
        <v>6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4</v>
      </c>
      <c r="T22" s="43">
        <v>1.5</v>
      </c>
      <c r="U22" s="51">
        <v>2</v>
      </c>
      <c r="V22" s="51"/>
      <c r="W22" s="43"/>
      <c r="X22" s="43"/>
      <c r="Y22" s="44" t="s">
        <v>149</v>
      </c>
      <c r="Z22" s="52">
        <v>500</v>
      </c>
      <c r="AA22" s="25">
        <f>VLOOKUP(F22,Zones!$A$2:$F$15614,6,FALSE)</f>
        <v>522</v>
      </c>
      <c r="AB22" s="25">
        <f>VLOOKUP(L22,Zones!$A$2:$F$15614,6,FALSE)</f>
        <v>521</v>
      </c>
    </row>
    <row r="23" spans="2:28">
      <c r="B23" s="39">
        <v>0.92569444444444438</v>
      </c>
      <c r="C23" s="39" t="s">
        <v>176</v>
      </c>
      <c r="D23" s="40">
        <v>11</v>
      </c>
      <c r="E23" s="40">
        <v>2</v>
      </c>
      <c r="F23" s="41" t="s">
        <v>158</v>
      </c>
      <c r="G23" s="41" t="s">
        <v>146</v>
      </c>
      <c r="H23" s="41" t="s">
        <v>147</v>
      </c>
      <c r="I23" s="41">
        <v>8</v>
      </c>
      <c r="J23" s="41">
        <v>2</v>
      </c>
      <c r="K23" s="25" t="str">
        <f>VLOOKUP(J23,Key!$E$2:$F$9,2,FALSE)</f>
        <v>Work</v>
      </c>
      <c r="L23" s="41" t="s">
        <v>161</v>
      </c>
      <c r="M23" s="42" t="s">
        <v>146</v>
      </c>
      <c r="N23" s="42" t="s">
        <v>147</v>
      </c>
      <c r="O23" s="42">
        <v>8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3"/>
      <c r="T23" s="43"/>
      <c r="U23" s="51">
        <v>2</v>
      </c>
      <c r="V23" s="51"/>
      <c r="W23" s="43"/>
      <c r="X23" s="43"/>
      <c r="Y23" s="44" t="s">
        <v>149</v>
      </c>
      <c r="Z23" s="52"/>
      <c r="AA23" s="25">
        <f>VLOOKUP(F23,Zones!$A$2:$F$15614,6,FALSE)</f>
        <v>521</v>
      </c>
      <c r="AB23" s="25">
        <f>VLOOKUP(L23,Zones!$A$2:$F$15614,6,FALSE)</f>
        <v>522</v>
      </c>
    </row>
    <row r="24" spans="2:28">
      <c r="B24" s="39">
        <v>0.9375</v>
      </c>
      <c r="C24" s="39" t="s">
        <v>177</v>
      </c>
      <c r="D24" s="40">
        <v>11</v>
      </c>
      <c r="E24" s="40">
        <v>1</v>
      </c>
      <c r="F24" s="41" t="s">
        <v>158</v>
      </c>
      <c r="G24" s="41" t="s">
        <v>146</v>
      </c>
      <c r="H24" s="41" t="s">
        <v>147</v>
      </c>
      <c r="I24" s="41">
        <v>8</v>
      </c>
      <c r="J24" s="41">
        <v>2</v>
      </c>
      <c r="K24" s="25" t="str">
        <f>VLOOKUP(J24,Key!$E$2:$F$9,2,FALSE)</f>
        <v>Work</v>
      </c>
      <c r="L24" s="41" t="s">
        <v>161</v>
      </c>
      <c r="M24" s="42" t="s">
        <v>146</v>
      </c>
      <c r="N24" s="42" t="s">
        <v>147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Work-Home</v>
      </c>
      <c r="S24" s="43">
        <v>1</v>
      </c>
      <c r="T24" s="43">
        <v>0.4</v>
      </c>
      <c r="U24" s="51">
        <v>2</v>
      </c>
      <c r="V24" s="51"/>
      <c r="W24" s="43"/>
      <c r="X24" s="43"/>
      <c r="Y24" s="44" t="s">
        <v>149</v>
      </c>
      <c r="Z24" s="52">
        <v>500</v>
      </c>
      <c r="AA24" s="25">
        <f>VLOOKUP(F24,Zones!$A$2:$F$15614,6,FALSE)</f>
        <v>521</v>
      </c>
      <c r="AB24" s="25">
        <f>VLOOKUP(L24,Zones!$A$2:$F$15614,6,FALSE)</f>
        <v>522</v>
      </c>
    </row>
    <row r="25" spans="2:28">
      <c r="B25" s="39">
        <v>0.95138888888888884</v>
      </c>
      <c r="C25" s="39" t="s">
        <v>178</v>
      </c>
      <c r="D25" s="40">
        <v>4</v>
      </c>
      <c r="E25" s="40">
        <v>1</v>
      </c>
      <c r="F25" s="41" t="s">
        <v>179</v>
      </c>
      <c r="G25" s="41" t="s">
        <v>148</v>
      </c>
      <c r="H25" s="41" t="s">
        <v>147</v>
      </c>
      <c r="I25" s="41">
        <v>6</v>
      </c>
      <c r="J25" s="41">
        <v>2</v>
      </c>
      <c r="K25" s="25" t="str">
        <f>VLOOKUP(J25,Key!$E$2:$F$9,2,FALSE)</f>
        <v>Work</v>
      </c>
      <c r="L25" s="41" t="s">
        <v>161</v>
      </c>
      <c r="M25" s="42" t="s">
        <v>146</v>
      </c>
      <c r="N25" s="42" t="s">
        <v>147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3"/>
      <c r="T25" s="43"/>
      <c r="U25" s="51">
        <v>2</v>
      </c>
      <c r="V25" s="51"/>
      <c r="W25" s="43"/>
      <c r="X25" s="43"/>
      <c r="Y25" s="44" t="s">
        <v>149</v>
      </c>
      <c r="Z25" s="52">
        <v>500</v>
      </c>
      <c r="AA25" s="25">
        <f>VLOOKUP(F25,Zones!$A$2:$F$15614,6,FALSE)</f>
        <v>517</v>
      </c>
      <c r="AB25" s="25">
        <f>VLOOKUP(L25,Zones!$A$2:$F$15614,6,FALSE)</f>
        <v>522</v>
      </c>
    </row>
    <row r="26" spans="2:28">
      <c r="B26" s="39">
        <v>0.98263888888888884</v>
      </c>
      <c r="C26" s="39" t="s">
        <v>187</v>
      </c>
      <c r="D26" s="40">
        <v>4</v>
      </c>
      <c r="E26" s="40">
        <v>12</v>
      </c>
      <c r="F26" s="41" t="s">
        <v>2411</v>
      </c>
      <c r="G26" s="41" t="s">
        <v>146</v>
      </c>
      <c r="H26" s="41" t="s">
        <v>147</v>
      </c>
      <c r="I26" s="41">
        <v>6</v>
      </c>
      <c r="J26" s="41">
        <v>2</v>
      </c>
      <c r="K26" s="25" t="str">
        <f>VLOOKUP(J26,Key!$E$2:$F$9,2,FALSE)</f>
        <v>Work</v>
      </c>
      <c r="L26" s="41" t="s">
        <v>152</v>
      </c>
      <c r="M26" s="42" t="s">
        <v>148</v>
      </c>
      <c r="N26" s="42" t="s">
        <v>147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>
        <v>2</v>
      </c>
      <c r="T26" s="43">
        <v>1</v>
      </c>
      <c r="U26" s="51">
        <v>2</v>
      </c>
      <c r="V26" s="51"/>
      <c r="W26" s="43"/>
      <c r="X26" s="43"/>
      <c r="Y26" s="44" t="s">
        <v>149</v>
      </c>
      <c r="Z26" s="52">
        <v>1000</v>
      </c>
      <c r="AA26" s="25">
        <f>VLOOKUP(F26,Zones!$A$2:$F$15614,6,FALSE)</f>
        <v>579</v>
      </c>
      <c r="AB26" s="25">
        <f>VLOOKUP(L26,Zones!$A$2:$F$15614,6,FALSE)</f>
        <v>522</v>
      </c>
    </row>
    <row r="27" spans="2:28">
      <c r="B27" s="39">
        <v>0.71805555555555556</v>
      </c>
      <c r="C27" s="39" t="s">
        <v>190</v>
      </c>
      <c r="D27" s="40">
        <v>1</v>
      </c>
      <c r="E27" s="40">
        <v>4</v>
      </c>
      <c r="F27" s="41" t="s">
        <v>152</v>
      </c>
      <c r="G27" s="41" t="s">
        <v>148</v>
      </c>
      <c r="H27" s="41" t="s">
        <v>147</v>
      </c>
      <c r="I27" s="41">
        <v>1</v>
      </c>
      <c r="J27" s="41">
        <v>2</v>
      </c>
      <c r="K27" s="25" t="str">
        <f>VLOOKUP(J27,Key!$E$2:$F$9,2,FALSE)</f>
        <v>Work</v>
      </c>
      <c r="L27" s="41" t="s">
        <v>161</v>
      </c>
      <c r="M27" s="42" t="s">
        <v>146</v>
      </c>
      <c r="N27" s="42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Work-Home</v>
      </c>
      <c r="S27" s="43">
        <v>1</v>
      </c>
      <c r="T27" s="43">
        <v>0.5</v>
      </c>
      <c r="U27" s="51">
        <v>2</v>
      </c>
      <c r="V27" s="51"/>
      <c r="W27" s="43"/>
      <c r="X27" s="43"/>
      <c r="Y27" s="44" t="s">
        <v>149</v>
      </c>
      <c r="Z27" s="52">
        <v>500</v>
      </c>
      <c r="AA27" s="25">
        <f>VLOOKUP(F27,Zones!$A$2:$F$15614,6,FALSE)</f>
        <v>522</v>
      </c>
      <c r="AB27" s="25">
        <f>VLOOKUP(L27,Zones!$A$2:$F$15614,6,FALSE)</f>
        <v>522</v>
      </c>
    </row>
    <row r="28" spans="2:28">
      <c r="B28" s="39">
        <v>0.15625</v>
      </c>
      <c r="C28" s="39" t="s">
        <v>191</v>
      </c>
      <c r="D28" s="40">
        <v>1</v>
      </c>
      <c r="E28" s="40">
        <v>2</v>
      </c>
      <c r="F28" s="41" t="s">
        <v>158</v>
      </c>
      <c r="G28" s="41" t="s">
        <v>146</v>
      </c>
      <c r="H28" s="41" t="s">
        <v>147</v>
      </c>
      <c r="I28" s="41">
        <v>2</v>
      </c>
      <c r="J28" s="41">
        <v>1</v>
      </c>
      <c r="K28" s="25" t="str">
        <f>VLOOKUP(J28,Key!$E$2:$F$9,2,FALSE)</f>
        <v>Home</v>
      </c>
      <c r="L28" s="41" t="s">
        <v>163</v>
      </c>
      <c r="M28" s="42" t="s">
        <v>146</v>
      </c>
      <c r="N28" s="42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Home-Home</v>
      </c>
      <c r="S28" s="43"/>
      <c r="T28" s="43"/>
      <c r="U28" s="51">
        <v>2</v>
      </c>
      <c r="V28" s="51"/>
      <c r="W28" s="43"/>
      <c r="X28" s="43"/>
      <c r="Y28" s="44" t="s">
        <v>149</v>
      </c>
      <c r="Z28" s="52">
        <v>200</v>
      </c>
      <c r="AA28" s="25">
        <f>VLOOKUP(F28,Zones!$A$2:$F$15614,6,FALSE)</f>
        <v>521</v>
      </c>
      <c r="AB28" s="25">
        <f>VLOOKUP(L28,Zones!$A$2:$F$15614,6,FALSE)</f>
        <v>1407</v>
      </c>
    </row>
    <row r="29" spans="2:28">
      <c r="B29" s="39">
        <v>0.24305555555555555</v>
      </c>
      <c r="C29" s="39" t="s">
        <v>192</v>
      </c>
      <c r="D29" s="40">
        <v>1</v>
      </c>
      <c r="E29" s="40">
        <v>2</v>
      </c>
      <c r="F29" s="41" t="s">
        <v>152</v>
      </c>
      <c r="G29" s="41" t="s">
        <v>148</v>
      </c>
      <c r="H29" s="41" t="s">
        <v>147</v>
      </c>
      <c r="I29" s="41">
        <v>1</v>
      </c>
      <c r="J29" s="41">
        <v>1</v>
      </c>
      <c r="K29" s="25" t="str">
        <f>VLOOKUP(J29,Key!$E$2:$F$9,2,FALSE)</f>
        <v>Home</v>
      </c>
      <c r="L29" s="41" t="s">
        <v>186</v>
      </c>
      <c r="M29" s="42" t="s">
        <v>146</v>
      </c>
      <c r="N29" s="42" t="s">
        <v>147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43">
        <v>1</v>
      </c>
      <c r="T29" s="43">
        <v>0.5</v>
      </c>
      <c r="U29" s="51">
        <v>2</v>
      </c>
      <c r="V29" s="51"/>
      <c r="W29" s="43"/>
      <c r="X29" s="43"/>
      <c r="Y29" s="44" t="s">
        <v>149</v>
      </c>
      <c r="Z29" s="52"/>
      <c r="AA29" s="25">
        <f>VLOOKUP(F29,Zones!$A$2:$F$15614,6,FALSE)</f>
        <v>522</v>
      </c>
      <c r="AB29" s="25">
        <f>VLOOKUP(L29,Zones!$A$2:$F$15614,6,FALSE)</f>
        <v>565</v>
      </c>
    </row>
    <row r="30" spans="2:28">
      <c r="B30" s="39">
        <v>0.97916666666666663</v>
      </c>
      <c r="C30" s="39" t="s">
        <v>193</v>
      </c>
      <c r="D30" s="40">
        <v>1</v>
      </c>
      <c r="E30" s="40">
        <v>1</v>
      </c>
      <c r="F30" s="41" t="s">
        <v>158</v>
      </c>
      <c r="G30" s="41" t="s">
        <v>146</v>
      </c>
      <c r="H30" s="41" t="s">
        <v>147</v>
      </c>
      <c r="I30" s="41">
        <v>1</v>
      </c>
      <c r="J30" s="41">
        <v>1</v>
      </c>
      <c r="K30" s="25" t="str">
        <f>VLOOKUP(J30,Key!$E$2:$F$9,2,FALSE)</f>
        <v>Home</v>
      </c>
      <c r="L30" s="41" t="s">
        <v>194</v>
      </c>
      <c r="M30" s="42" t="s">
        <v>148</v>
      </c>
      <c r="N30" s="42" t="s">
        <v>147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/>
      <c r="T30" s="43"/>
      <c r="U30" s="51">
        <v>2</v>
      </c>
      <c r="V30" s="51"/>
      <c r="W30" s="43"/>
      <c r="X30" s="43"/>
      <c r="Y30" s="44" t="s">
        <v>149</v>
      </c>
      <c r="Z30" s="52">
        <v>1000</v>
      </c>
      <c r="AA30" s="25">
        <f>VLOOKUP(F30,Zones!$A$2:$F$15614,6,FALSE)</f>
        <v>521</v>
      </c>
      <c r="AB30" s="25">
        <f>VLOOKUP(L30,Zones!$A$2:$F$15614,6,FALSE)</f>
        <v>565</v>
      </c>
    </row>
    <row r="31" spans="2:28">
      <c r="B31" s="39">
        <v>0.84722222222222221</v>
      </c>
      <c r="C31" s="39" t="s">
        <v>195</v>
      </c>
      <c r="D31" s="40">
        <v>1</v>
      </c>
      <c r="E31" s="40">
        <v>2</v>
      </c>
      <c r="F31" s="41" t="s">
        <v>152</v>
      </c>
      <c r="G31" s="41" t="s">
        <v>148</v>
      </c>
      <c r="H31" s="41" t="s">
        <v>147</v>
      </c>
      <c r="I31" s="41">
        <v>2</v>
      </c>
      <c r="J31" s="41">
        <v>2</v>
      </c>
      <c r="K31" s="25" t="str">
        <f>VLOOKUP(J31,Key!$E$2:$F$9,2,FALSE)</f>
        <v>Work</v>
      </c>
      <c r="L31" s="41" t="s">
        <v>161</v>
      </c>
      <c r="M31" s="42" t="s">
        <v>146</v>
      </c>
      <c r="N31" s="42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Work-Home</v>
      </c>
      <c r="S31" s="43">
        <v>2</v>
      </c>
      <c r="T31" s="43">
        <v>0.5</v>
      </c>
      <c r="U31" s="51">
        <v>2</v>
      </c>
      <c r="V31" s="51"/>
      <c r="W31" s="43"/>
      <c r="X31" s="43"/>
      <c r="Y31" s="44" t="s">
        <v>149</v>
      </c>
      <c r="Z31" s="52"/>
      <c r="AA31" s="25">
        <f>VLOOKUP(F31,Zones!$A$2:$F$15614,6,FALSE)</f>
        <v>522</v>
      </c>
      <c r="AB31" s="25">
        <f>VLOOKUP(L31,Zones!$A$2:$F$15614,6,FALSE)</f>
        <v>522</v>
      </c>
    </row>
    <row r="32" spans="2:28">
      <c r="B32" s="39">
        <v>0.96875</v>
      </c>
      <c r="C32" s="39" t="s">
        <v>196</v>
      </c>
      <c r="D32" s="40">
        <v>1</v>
      </c>
      <c r="E32" s="40">
        <v>1</v>
      </c>
      <c r="F32" s="41" t="s">
        <v>163</v>
      </c>
      <c r="G32" s="41" t="s">
        <v>148</v>
      </c>
      <c r="H32" s="41" t="s">
        <v>147</v>
      </c>
      <c r="I32" s="41">
        <v>2</v>
      </c>
      <c r="J32" s="41">
        <v>2</v>
      </c>
      <c r="K32" s="25" t="str">
        <f>VLOOKUP(J32,Key!$E$2:$F$9,2,FALSE)</f>
        <v>Work</v>
      </c>
      <c r="L32" s="41" t="s">
        <v>158</v>
      </c>
      <c r="M32" s="42" t="s">
        <v>146</v>
      </c>
      <c r="N32" s="42" t="s">
        <v>147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43"/>
      <c r="T32" s="43"/>
      <c r="U32" s="51">
        <v>2</v>
      </c>
      <c r="V32" s="51"/>
      <c r="W32" s="43"/>
      <c r="X32" s="43"/>
      <c r="Y32" s="44" t="s">
        <v>149</v>
      </c>
      <c r="Z32" s="52">
        <v>1000</v>
      </c>
      <c r="AA32" s="25">
        <f>VLOOKUP(F32,Zones!$A$2:$F$15614,6,FALSE)</f>
        <v>1407</v>
      </c>
      <c r="AB32" s="25">
        <f>VLOOKUP(L32,Zones!$A$2:$F$15614,6,FALSE)</f>
        <v>521</v>
      </c>
    </row>
    <row r="33" spans="2:28">
      <c r="B33" s="39">
        <v>0.85763888888888884</v>
      </c>
      <c r="C33" s="39" t="s">
        <v>197</v>
      </c>
      <c r="D33" s="40">
        <v>3</v>
      </c>
      <c r="E33" s="40">
        <v>2</v>
      </c>
      <c r="F33" s="41" t="s">
        <v>158</v>
      </c>
      <c r="G33" s="41" t="s">
        <v>146</v>
      </c>
      <c r="H33" s="41" t="s">
        <v>147</v>
      </c>
      <c r="I33" s="41">
        <v>2</v>
      </c>
      <c r="J33" s="41">
        <v>2</v>
      </c>
      <c r="K33" s="25" t="str">
        <f>VLOOKUP(J33,Key!$E$2:$F$9,2,FALSE)</f>
        <v>Work</v>
      </c>
      <c r="L33" s="41" t="s">
        <v>2411</v>
      </c>
      <c r="M33" s="42" t="s">
        <v>146</v>
      </c>
      <c r="N33" s="42" t="s">
        <v>147</v>
      </c>
      <c r="O33" s="42">
        <v>1</v>
      </c>
      <c r="P33" s="42">
        <v>1</v>
      </c>
      <c r="Q33" s="25" t="s">
        <v>100</v>
      </c>
      <c r="R33" s="25" t="s">
        <v>140</v>
      </c>
      <c r="S33" s="43">
        <v>4</v>
      </c>
      <c r="T33" s="43">
        <v>1.5</v>
      </c>
      <c r="U33" s="51">
        <v>2</v>
      </c>
      <c r="V33" s="51"/>
      <c r="W33" s="43"/>
      <c r="X33" s="43"/>
      <c r="Y33" s="44" t="s">
        <v>149</v>
      </c>
      <c r="Z33" s="52">
        <v>1000</v>
      </c>
      <c r="AA33" s="25">
        <f>VLOOKUP(F33,Zones!$A$2:$F$15614,6,FALSE)</f>
        <v>521</v>
      </c>
      <c r="AB33" s="25">
        <f>VLOOKUP(L33,Zones!$A$2:$F$15614,6,FALSE)</f>
        <v>579</v>
      </c>
    </row>
    <row r="34" spans="2:28">
      <c r="B34" s="39">
        <v>0.80555555555555547</v>
      </c>
      <c r="C34" s="39" t="s">
        <v>199</v>
      </c>
      <c r="D34" s="40">
        <v>11</v>
      </c>
      <c r="E34" s="40">
        <v>1</v>
      </c>
      <c r="F34" s="41" t="s">
        <v>200</v>
      </c>
      <c r="G34" s="41" t="s">
        <v>148</v>
      </c>
      <c r="H34" s="41" t="s">
        <v>147</v>
      </c>
      <c r="I34" s="41">
        <v>16</v>
      </c>
      <c r="J34" s="41">
        <v>8</v>
      </c>
      <c r="K34" s="25" t="str">
        <f>VLOOKUP(J34,Key!$E$2:$F$9,2,FALSE)</f>
        <v>Others</v>
      </c>
      <c r="L34" s="41" t="s">
        <v>161</v>
      </c>
      <c r="M34" s="42" t="s">
        <v>148</v>
      </c>
      <c r="N34" s="42" t="s">
        <v>147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ref="R34:R59" si="1">K34&amp;"-"&amp;Q34</f>
        <v>Others-Others</v>
      </c>
      <c r="S34" s="43">
        <v>2</v>
      </c>
      <c r="T34" s="43">
        <v>0.2</v>
      </c>
      <c r="U34" s="51">
        <v>2</v>
      </c>
      <c r="V34" s="51"/>
      <c r="W34" s="43"/>
      <c r="X34" s="43"/>
      <c r="Y34" s="44" t="s">
        <v>149</v>
      </c>
      <c r="Z34" s="52">
        <v>1000</v>
      </c>
      <c r="AA34" s="25">
        <f>VLOOKUP(F34,Zones!$A$2:$F$15614,6,FALSE)</f>
        <v>551</v>
      </c>
      <c r="AB34" s="25">
        <f>VLOOKUP(L34,Zones!$A$2:$F$15614,6,FALSE)</f>
        <v>522</v>
      </c>
    </row>
    <row r="35" spans="2:28">
      <c r="B35" s="39">
        <v>0.9506944444444444</v>
      </c>
      <c r="C35" s="39" t="s">
        <v>201</v>
      </c>
      <c r="D35" s="40">
        <v>11</v>
      </c>
      <c r="E35" s="40">
        <v>1</v>
      </c>
      <c r="F35" s="41" t="s">
        <v>152</v>
      </c>
      <c r="G35" s="41" t="s">
        <v>148</v>
      </c>
      <c r="H35" s="41" t="s">
        <v>147</v>
      </c>
      <c r="I35" s="41">
        <v>8</v>
      </c>
      <c r="J35" s="41">
        <v>2</v>
      </c>
      <c r="K35" s="25" t="str">
        <f>VLOOKUP(J35,Key!$E$2:$F$9,2,FALSE)</f>
        <v>Work</v>
      </c>
      <c r="L35" s="41" t="s">
        <v>202</v>
      </c>
      <c r="M35" s="42" t="s">
        <v>148</v>
      </c>
      <c r="N35" s="42" t="s">
        <v>147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1"/>
        <v>Work-Home</v>
      </c>
      <c r="S35" s="43"/>
      <c r="T35" s="43">
        <v>0.5</v>
      </c>
      <c r="U35" s="51">
        <v>1</v>
      </c>
      <c r="V35" s="51"/>
      <c r="W35" s="43"/>
      <c r="X35" s="43"/>
      <c r="Y35" s="44" t="s">
        <v>149</v>
      </c>
      <c r="Z35" s="52">
        <v>1000</v>
      </c>
      <c r="AA35" s="25">
        <f>VLOOKUP(F35,Zones!$A$2:$F$15614,6,FALSE)</f>
        <v>522</v>
      </c>
      <c r="AB35" s="25">
        <f>VLOOKUP(L35,Zones!$A$2:$F$15614,6,FALSE)</f>
        <v>1398</v>
      </c>
    </row>
    <row r="36" spans="2:28">
      <c r="B36" s="39">
        <v>0.23124999999999998</v>
      </c>
      <c r="C36" s="39" t="s">
        <v>203</v>
      </c>
      <c r="D36" s="40">
        <v>1</v>
      </c>
      <c r="E36" s="40">
        <v>1</v>
      </c>
      <c r="F36" s="41" t="s">
        <v>204</v>
      </c>
      <c r="G36" s="41" t="s">
        <v>148</v>
      </c>
      <c r="H36" s="41" t="s">
        <v>147</v>
      </c>
      <c r="I36" s="41">
        <v>16</v>
      </c>
      <c r="J36" s="41">
        <v>8</v>
      </c>
      <c r="K36" s="25" t="str">
        <f>VLOOKUP(J36,Key!$E$2:$F$9,2,FALSE)</f>
        <v>Others</v>
      </c>
      <c r="L36" s="41" t="s">
        <v>205</v>
      </c>
      <c r="M36" s="42" t="s">
        <v>148</v>
      </c>
      <c r="N36" s="42" t="s">
        <v>147</v>
      </c>
      <c r="O36" s="42">
        <v>1</v>
      </c>
      <c r="P36" s="42">
        <v>8</v>
      </c>
      <c r="Q36" s="25" t="str">
        <f>VLOOKUP(P36,Key!$E$2:$F$9,2,FALSE)</f>
        <v>Others</v>
      </c>
      <c r="R36" s="25" t="str">
        <f t="shared" si="1"/>
        <v>Others-Others</v>
      </c>
      <c r="S36" s="43"/>
      <c r="T36" s="43">
        <v>0.5</v>
      </c>
      <c r="U36" s="51">
        <v>2</v>
      </c>
      <c r="V36" s="51"/>
      <c r="W36" s="43"/>
      <c r="X36" s="43"/>
      <c r="Y36" s="44" t="s">
        <v>149</v>
      </c>
      <c r="Z36" s="52">
        <v>1000</v>
      </c>
      <c r="AA36" s="25">
        <f>VLOOKUP(F36,Zones!$A$2:$F$15614,6,FALSE)</f>
        <v>521</v>
      </c>
      <c r="AB36" s="25">
        <f>VLOOKUP(L36,Zones!$A$2:$F$15614,6,FALSE)</f>
        <v>565</v>
      </c>
    </row>
    <row r="37" spans="2:28">
      <c r="B37" s="39">
        <v>0.22569444444444445</v>
      </c>
      <c r="C37" s="39" t="s">
        <v>206</v>
      </c>
      <c r="D37" s="40">
        <v>1</v>
      </c>
      <c r="E37" s="40">
        <v>1</v>
      </c>
      <c r="F37" s="41" t="s">
        <v>207</v>
      </c>
      <c r="G37" s="41" t="s">
        <v>148</v>
      </c>
      <c r="H37" s="41" t="s">
        <v>147</v>
      </c>
      <c r="I37" s="41">
        <v>16</v>
      </c>
      <c r="J37" s="41">
        <v>8</v>
      </c>
      <c r="K37" s="25" t="str">
        <f>VLOOKUP(J37,Key!$E$2:$F$9,2,FALSE)</f>
        <v>Others</v>
      </c>
      <c r="L37" s="41" t="s">
        <v>208</v>
      </c>
      <c r="M37" s="42" t="s">
        <v>146</v>
      </c>
      <c r="N37" s="42" t="s">
        <v>147</v>
      </c>
      <c r="O37" s="42">
        <v>16</v>
      </c>
      <c r="P37" s="42">
        <v>8</v>
      </c>
      <c r="Q37" s="25" t="str">
        <f>VLOOKUP(P37,Key!$E$2:$F$9,2,FALSE)</f>
        <v>Others</v>
      </c>
      <c r="R37" s="25" t="str">
        <f t="shared" si="1"/>
        <v>Others-Others</v>
      </c>
      <c r="S37" s="43">
        <v>10</v>
      </c>
      <c r="T37" s="43">
        <v>0.5</v>
      </c>
      <c r="U37" s="51">
        <v>6</v>
      </c>
      <c r="V37" s="51"/>
      <c r="W37" s="43"/>
      <c r="X37" s="43"/>
      <c r="Y37" s="44" t="s">
        <v>149</v>
      </c>
      <c r="Z37" s="52">
        <v>1000</v>
      </c>
      <c r="AA37" s="25">
        <f>VLOOKUP(F37,Zones!$A$2:$F$15614,6,FALSE)</f>
        <v>522</v>
      </c>
      <c r="AB37" s="25">
        <f>VLOOKUP(L37,Zones!$A$2:$F$15614,6,FALSE)</f>
        <v>535</v>
      </c>
    </row>
    <row r="38" spans="2:28">
      <c r="B38" s="39">
        <v>0.5</v>
      </c>
      <c r="C38" s="39" t="s">
        <v>209</v>
      </c>
      <c r="D38" s="40">
        <v>11</v>
      </c>
      <c r="E38" s="40">
        <v>2</v>
      </c>
      <c r="F38" s="41" t="s">
        <v>152</v>
      </c>
      <c r="G38" s="41" t="s">
        <v>148</v>
      </c>
      <c r="H38" s="41" t="s">
        <v>147</v>
      </c>
      <c r="I38" s="41">
        <v>16</v>
      </c>
      <c r="J38" s="41">
        <v>8</v>
      </c>
      <c r="K38" s="25" t="str">
        <f>VLOOKUP(J38,Key!$E$2:$F$9,2,FALSE)</f>
        <v>Others</v>
      </c>
      <c r="L38" s="41" t="s">
        <v>202</v>
      </c>
      <c r="M38" s="42" t="s">
        <v>148</v>
      </c>
      <c r="N38" s="42" t="s">
        <v>147</v>
      </c>
      <c r="O38" s="42">
        <v>16</v>
      </c>
      <c r="P38" s="42">
        <v>1</v>
      </c>
      <c r="Q38" s="25" t="str">
        <f>VLOOKUP(P38,Key!$E$2:$F$9,2,FALSE)</f>
        <v>Home</v>
      </c>
      <c r="R38" s="25" t="str">
        <f t="shared" si="1"/>
        <v>Others-Home</v>
      </c>
      <c r="S38" s="43"/>
      <c r="T38" s="43">
        <v>0.2</v>
      </c>
      <c r="U38" s="51">
        <v>2</v>
      </c>
      <c r="V38" s="51"/>
      <c r="W38" s="43"/>
      <c r="X38" s="43"/>
      <c r="Y38" s="44" t="s">
        <v>149</v>
      </c>
      <c r="Z38" s="52">
        <v>1000</v>
      </c>
      <c r="AA38" s="25">
        <f>VLOOKUP(F38,Zones!$A$2:$F$15614,6,FALSE)</f>
        <v>522</v>
      </c>
      <c r="AB38" s="25">
        <f>VLOOKUP(L38,Zones!$A$2:$F$15614,6,FALSE)</f>
        <v>1398</v>
      </c>
    </row>
    <row r="39" spans="2:28">
      <c r="B39" s="39">
        <v>1.0416666666666666E-2</v>
      </c>
      <c r="C39" s="39" t="s">
        <v>210</v>
      </c>
      <c r="D39" s="40">
        <v>1</v>
      </c>
      <c r="E39" s="40">
        <v>2</v>
      </c>
      <c r="F39" s="41" t="s">
        <v>152</v>
      </c>
      <c r="G39" s="41" t="s">
        <v>148</v>
      </c>
      <c r="H39" s="41" t="s">
        <v>147</v>
      </c>
      <c r="I39" s="41">
        <v>16</v>
      </c>
      <c r="J39" s="41">
        <v>8</v>
      </c>
      <c r="K39" s="25" t="str">
        <f>VLOOKUP(J39,Key!$E$2:$F$9,2,FALSE)</f>
        <v>Others</v>
      </c>
      <c r="L39" s="41" t="s">
        <v>205</v>
      </c>
      <c r="M39" s="42" t="s">
        <v>148</v>
      </c>
      <c r="N39" s="42" t="s">
        <v>147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Others-Home</v>
      </c>
      <c r="S39" s="43"/>
      <c r="T39" s="43">
        <v>0.5</v>
      </c>
      <c r="U39" s="51">
        <v>2</v>
      </c>
      <c r="V39" s="51"/>
      <c r="W39" s="43"/>
      <c r="X39" s="43"/>
      <c r="Y39" s="44" t="s">
        <v>149</v>
      </c>
      <c r="Z39" s="52">
        <v>1000</v>
      </c>
      <c r="AA39" s="25">
        <f>VLOOKUP(F39,Zones!$A$2:$F$15614,6,FALSE)</f>
        <v>522</v>
      </c>
      <c r="AB39" s="25">
        <f>VLOOKUP(L39,Zones!$A$2:$F$15614,6,FALSE)</f>
        <v>565</v>
      </c>
    </row>
    <row r="40" spans="2:28">
      <c r="B40" s="39">
        <v>0.22916666666666666</v>
      </c>
      <c r="C40" s="39" t="s">
        <v>211</v>
      </c>
      <c r="D40" s="40">
        <v>1</v>
      </c>
      <c r="E40" s="40">
        <v>1</v>
      </c>
      <c r="F40" s="41" t="s">
        <v>152</v>
      </c>
      <c r="G40" s="41" t="s">
        <v>148</v>
      </c>
      <c r="H40" s="41" t="s">
        <v>147</v>
      </c>
      <c r="I40" s="41">
        <v>16</v>
      </c>
      <c r="J40" s="41">
        <v>8</v>
      </c>
      <c r="K40" s="25" t="str">
        <f>VLOOKUP(J40,Key!$E$2:$F$9,2,FALSE)</f>
        <v>Others</v>
      </c>
      <c r="L40" s="41" t="s">
        <v>212</v>
      </c>
      <c r="M40" s="42" t="s">
        <v>148</v>
      </c>
      <c r="N40" s="42" t="s">
        <v>147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Others-Others</v>
      </c>
      <c r="S40" s="43"/>
      <c r="T40" s="43"/>
      <c r="U40" s="51">
        <v>6</v>
      </c>
      <c r="V40" s="51"/>
      <c r="W40" s="43"/>
      <c r="X40" s="43"/>
      <c r="Y40" s="44" t="s">
        <v>149</v>
      </c>
      <c r="Z40" s="52">
        <v>1000</v>
      </c>
      <c r="AA40" s="25">
        <f>VLOOKUP(F40,Zones!$A$2:$F$15614,6,FALSE)</f>
        <v>522</v>
      </c>
      <c r="AB40" s="25">
        <f>VLOOKUP(L40,Zones!$A$2:$F$15614,6,FALSE)</f>
        <v>565</v>
      </c>
    </row>
    <row r="41" spans="2:28">
      <c r="B41" s="39">
        <v>0.98541666666666661</v>
      </c>
      <c r="C41" s="39" t="s">
        <v>213</v>
      </c>
      <c r="D41" s="40">
        <v>4</v>
      </c>
      <c r="E41" s="40">
        <v>2</v>
      </c>
      <c r="F41" s="41" t="s">
        <v>152</v>
      </c>
      <c r="G41" s="41" t="s">
        <v>148</v>
      </c>
      <c r="H41" s="41" t="s">
        <v>147</v>
      </c>
      <c r="I41" s="41">
        <v>16</v>
      </c>
      <c r="J41" s="41">
        <v>8</v>
      </c>
      <c r="K41" s="25" t="str">
        <f>VLOOKUP(J41,Key!$E$2:$F$9,2,FALSE)</f>
        <v>Others</v>
      </c>
      <c r="L41" s="41" t="s">
        <v>205</v>
      </c>
      <c r="M41" s="42" t="s">
        <v>148</v>
      </c>
      <c r="N41" s="42" t="s">
        <v>147</v>
      </c>
      <c r="O41" s="42">
        <v>16</v>
      </c>
      <c r="P41" s="42">
        <v>8</v>
      </c>
      <c r="Q41" s="25" t="str">
        <f>VLOOKUP(P41,Key!$E$2:$F$9,2,FALSE)</f>
        <v>Others</v>
      </c>
      <c r="R41" s="25" t="str">
        <f t="shared" si="1"/>
        <v>Others-Others</v>
      </c>
      <c r="S41" s="43"/>
      <c r="T41" s="43">
        <v>0.3</v>
      </c>
      <c r="U41" s="51">
        <v>2</v>
      </c>
      <c r="V41" s="51"/>
      <c r="W41" s="43"/>
      <c r="X41" s="43"/>
      <c r="Y41" s="44" t="s">
        <v>149</v>
      </c>
      <c r="Z41" s="52">
        <v>1000</v>
      </c>
      <c r="AA41" s="25">
        <f>VLOOKUP(F41,Zones!$A$2:$F$15614,6,FALSE)</f>
        <v>522</v>
      </c>
      <c r="AB41" s="25">
        <f>VLOOKUP(L41,Zones!$A$2:$F$15614,6,FALSE)</f>
        <v>565</v>
      </c>
    </row>
    <row r="42" spans="2:28">
      <c r="B42" s="39">
        <v>0.25</v>
      </c>
      <c r="C42" s="39" t="s">
        <v>215</v>
      </c>
      <c r="D42" s="40">
        <v>4</v>
      </c>
      <c r="E42" s="40">
        <v>4</v>
      </c>
      <c r="F42" s="41" t="s">
        <v>161</v>
      </c>
      <c r="G42" s="41" t="s">
        <v>148</v>
      </c>
      <c r="H42" s="41" t="s">
        <v>147</v>
      </c>
      <c r="I42" s="41">
        <v>6</v>
      </c>
      <c r="J42" s="41">
        <v>2</v>
      </c>
      <c r="K42" s="25" t="str">
        <f>VLOOKUP(J42,Key!$E$2:$F$9,2,FALSE)</f>
        <v>Work</v>
      </c>
      <c r="L42" s="41" t="s">
        <v>158</v>
      </c>
      <c r="M42" s="42" t="s">
        <v>146</v>
      </c>
      <c r="N42" s="42" t="s">
        <v>147</v>
      </c>
      <c r="O42" s="42">
        <v>6</v>
      </c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43">
        <v>15</v>
      </c>
      <c r="T42" s="43">
        <v>0.5</v>
      </c>
      <c r="U42" s="51">
        <v>2</v>
      </c>
      <c r="V42" s="51"/>
      <c r="W42" s="43"/>
      <c r="X42" s="43"/>
      <c r="Y42" s="44" t="s">
        <v>149</v>
      </c>
      <c r="Z42" s="52">
        <v>1000</v>
      </c>
      <c r="AA42" s="25">
        <f>VLOOKUP(F42,Zones!$A$2:$F$15614,6,FALSE)</f>
        <v>522</v>
      </c>
      <c r="AB42" s="25">
        <f>VLOOKUP(L42,Zones!$A$2:$F$15614,6,FALSE)</f>
        <v>521</v>
      </c>
    </row>
    <row r="43" spans="2:28">
      <c r="B43" s="39">
        <v>0.23680555555555557</v>
      </c>
      <c r="C43" s="39" t="s">
        <v>216</v>
      </c>
      <c r="D43" s="40">
        <v>4</v>
      </c>
      <c r="E43" s="40">
        <v>1</v>
      </c>
      <c r="F43" s="41" t="s">
        <v>152</v>
      </c>
      <c r="G43" s="41" t="s">
        <v>148</v>
      </c>
      <c r="H43" s="41" t="s">
        <v>147</v>
      </c>
      <c r="I43" s="41">
        <v>6</v>
      </c>
      <c r="J43" s="41">
        <v>2</v>
      </c>
      <c r="K43" s="25" t="str">
        <f>VLOOKUP(J43,Key!$E$2:$F$9,2,FALSE)</f>
        <v>Work</v>
      </c>
      <c r="L43" s="41" t="s">
        <v>186</v>
      </c>
      <c r="M43" s="42" t="s">
        <v>148</v>
      </c>
      <c r="N43" s="42" t="s">
        <v>147</v>
      </c>
      <c r="O43" s="42">
        <v>6</v>
      </c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43">
        <v>8</v>
      </c>
      <c r="T43" s="43">
        <v>0.3</v>
      </c>
      <c r="U43" s="51">
        <v>2</v>
      </c>
      <c r="V43" s="51"/>
      <c r="W43" s="43"/>
      <c r="X43" s="43"/>
      <c r="Y43" s="44" t="s">
        <v>149</v>
      </c>
      <c r="Z43" s="52">
        <v>1000</v>
      </c>
      <c r="AA43" s="25">
        <f>VLOOKUP(F43,Zones!$A$2:$F$15614,6,FALSE)</f>
        <v>522</v>
      </c>
      <c r="AB43" s="25">
        <f>VLOOKUP(L43,Zones!$A$2:$F$15614,6,FALSE)</f>
        <v>565</v>
      </c>
    </row>
    <row r="44" spans="2:28">
      <c r="B44" s="39">
        <v>0.21875</v>
      </c>
      <c r="C44" s="39" t="s">
        <v>217</v>
      </c>
      <c r="D44" s="40">
        <v>2</v>
      </c>
      <c r="E44" s="40">
        <v>2</v>
      </c>
      <c r="F44" s="41" t="s">
        <v>218</v>
      </c>
      <c r="G44" s="41" t="s">
        <v>146</v>
      </c>
      <c r="H44" s="41" t="s">
        <v>147</v>
      </c>
      <c r="I44" s="41">
        <v>16</v>
      </c>
      <c r="J44" s="41">
        <v>8</v>
      </c>
      <c r="K44" s="25" t="str">
        <f>VLOOKUP(J44,Key!$E$2:$F$9,2,FALSE)</f>
        <v>Others</v>
      </c>
      <c r="L44" s="41" t="s">
        <v>202</v>
      </c>
      <c r="M44" s="42" t="s">
        <v>148</v>
      </c>
      <c r="N44" s="42" t="s">
        <v>147</v>
      </c>
      <c r="O44" s="42">
        <v>16</v>
      </c>
      <c r="P44" s="42">
        <v>8</v>
      </c>
      <c r="Q44" s="25" t="str">
        <f>VLOOKUP(P44,Key!$E$2:$F$9,2,FALSE)</f>
        <v>Others</v>
      </c>
      <c r="R44" s="25" t="str">
        <f t="shared" si="1"/>
        <v>Others-Others</v>
      </c>
      <c r="S44" s="43">
        <v>7</v>
      </c>
      <c r="T44" s="43">
        <v>0.5</v>
      </c>
      <c r="U44" s="51">
        <v>6</v>
      </c>
      <c r="V44" s="51"/>
      <c r="W44" s="43"/>
      <c r="X44" s="43"/>
      <c r="Y44" s="44" t="s">
        <v>149</v>
      </c>
      <c r="Z44" s="52">
        <v>1000</v>
      </c>
      <c r="AA44" s="25">
        <f>VLOOKUP(F44,Zones!$A$2:$F$15614,6,FALSE)</f>
        <v>522</v>
      </c>
      <c r="AB44" s="25">
        <f>VLOOKUP(L44,Zones!$A$2:$F$15614,6,FALSE)</f>
        <v>1398</v>
      </c>
    </row>
    <row r="45" spans="2:28">
      <c r="B45" s="39">
        <v>0.22222222222222221</v>
      </c>
      <c r="C45" s="39" t="s">
        <v>219</v>
      </c>
      <c r="D45" s="40">
        <v>4</v>
      </c>
      <c r="E45" s="40">
        <v>3</v>
      </c>
      <c r="F45" s="41" t="s">
        <v>152</v>
      </c>
      <c r="G45" s="41" t="s">
        <v>148</v>
      </c>
      <c r="H45" s="41" t="s">
        <v>147</v>
      </c>
      <c r="I45" s="41">
        <v>6</v>
      </c>
      <c r="J45" s="41">
        <v>2</v>
      </c>
      <c r="K45" s="25" t="str">
        <f>VLOOKUP(J45,Key!$E$2:$F$9,2,FALSE)</f>
        <v>Work</v>
      </c>
      <c r="L45" s="41" t="s">
        <v>158</v>
      </c>
      <c r="M45" s="42" t="s">
        <v>146</v>
      </c>
      <c r="N45" s="42" t="s">
        <v>147</v>
      </c>
      <c r="O45" s="42">
        <v>6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/>
      <c r="T45" s="43">
        <v>0.5</v>
      </c>
      <c r="U45" s="51">
        <v>2</v>
      </c>
      <c r="V45" s="51"/>
      <c r="W45" s="43"/>
      <c r="X45" s="43"/>
      <c r="Y45" s="44" t="s">
        <v>149</v>
      </c>
      <c r="Z45" s="52">
        <v>2000</v>
      </c>
      <c r="AA45" s="25">
        <f>VLOOKUP(F45,Zones!$A$2:$F$15614,6,FALSE)</f>
        <v>522</v>
      </c>
      <c r="AB45" s="25">
        <f>VLOOKUP(L45,Zones!$A$2:$F$15614,6,FALSE)</f>
        <v>521</v>
      </c>
    </row>
    <row r="46" spans="2:28">
      <c r="B46" s="39">
        <v>0.99097222222222225</v>
      </c>
      <c r="C46" s="39" t="s">
        <v>220</v>
      </c>
      <c r="D46" s="40">
        <v>1</v>
      </c>
      <c r="E46" s="40">
        <v>2</v>
      </c>
      <c r="F46" s="41" t="s">
        <v>152</v>
      </c>
      <c r="G46" s="41" t="s">
        <v>148</v>
      </c>
      <c r="H46" s="41" t="s">
        <v>147</v>
      </c>
      <c r="I46" s="41">
        <v>16</v>
      </c>
      <c r="J46" s="41">
        <v>8</v>
      </c>
      <c r="K46" s="25" t="str">
        <f>VLOOKUP(J46,Key!$E$2:$F$9,2,FALSE)</f>
        <v>Others</v>
      </c>
      <c r="L46" s="41" t="s">
        <v>212</v>
      </c>
      <c r="M46" s="42" t="s">
        <v>148</v>
      </c>
      <c r="N46" s="42" t="s">
        <v>147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1"/>
        <v>Others-Others</v>
      </c>
      <c r="S46" s="43"/>
      <c r="T46" s="43"/>
      <c r="U46" s="51">
        <v>6</v>
      </c>
      <c r="V46" s="51"/>
      <c r="W46" s="43"/>
      <c r="X46" s="43"/>
      <c r="Y46" s="44" t="s">
        <v>149</v>
      </c>
      <c r="Z46" s="52">
        <v>2000</v>
      </c>
      <c r="AA46" s="25">
        <f>VLOOKUP(F46,Zones!$A$2:$F$15614,6,FALSE)</f>
        <v>522</v>
      </c>
      <c r="AB46" s="25">
        <f>VLOOKUP(L46,Zones!$A$2:$F$15614,6,FALSE)</f>
        <v>565</v>
      </c>
    </row>
    <row r="47" spans="2:28">
      <c r="B47" s="39">
        <v>0.99722222222222223</v>
      </c>
      <c r="C47" s="39" t="s">
        <v>221</v>
      </c>
      <c r="D47" s="40">
        <v>11</v>
      </c>
      <c r="E47" s="40">
        <v>1</v>
      </c>
      <c r="F47" s="41" t="s">
        <v>200</v>
      </c>
      <c r="G47" s="41" t="s">
        <v>148</v>
      </c>
      <c r="H47" s="41" t="s">
        <v>147</v>
      </c>
      <c r="I47" s="41">
        <v>16</v>
      </c>
      <c r="J47" s="41">
        <v>8</v>
      </c>
      <c r="K47" s="25" t="str">
        <f>VLOOKUP(J47,Key!$E$2:$F$9,2,FALSE)</f>
        <v>Others</v>
      </c>
      <c r="L47" s="41" t="s">
        <v>2419</v>
      </c>
      <c r="M47" s="42" t="s">
        <v>148</v>
      </c>
      <c r="N47" s="42" t="s">
        <v>147</v>
      </c>
      <c r="O47" s="42">
        <v>16</v>
      </c>
      <c r="P47" s="42">
        <v>8</v>
      </c>
      <c r="Q47" s="25" t="str">
        <f>VLOOKUP(P47,Key!$E$2:$F$9,2,FALSE)</f>
        <v>Others</v>
      </c>
      <c r="R47" s="25" t="str">
        <f t="shared" si="1"/>
        <v>Others-Others</v>
      </c>
      <c r="S47" s="43">
        <v>8.0399999999999991</v>
      </c>
      <c r="T47" s="43">
        <v>0.3</v>
      </c>
      <c r="U47" s="51">
        <v>3</v>
      </c>
      <c r="V47" s="51"/>
      <c r="W47" s="43"/>
      <c r="X47" s="43"/>
      <c r="Y47" s="44" t="s">
        <v>149</v>
      </c>
      <c r="Z47" s="52"/>
      <c r="AA47" s="25">
        <f>VLOOKUP(F47,Zones!$A$2:$F$15614,6,FALSE)</f>
        <v>551</v>
      </c>
      <c r="AB47" s="25">
        <f>VLOOKUP(L47,Zones!$A$2:$F$15614,6,FALSE)</f>
        <v>522</v>
      </c>
    </row>
    <row r="48" spans="2:28">
      <c r="B48" s="39">
        <v>0.92708333333333337</v>
      </c>
      <c r="C48" s="39" t="s">
        <v>223</v>
      </c>
      <c r="D48" s="40">
        <v>11</v>
      </c>
      <c r="E48" s="40">
        <v>1</v>
      </c>
      <c r="F48" s="41" t="s">
        <v>207</v>
      </c>
      <c r="G48" s="41" t="s">
        <v>148</v>
      </c>
      <c r="H48" s="41" t="s">
        <v>147</v>
      </c>
      <c r="I48" s="41">
        <v>16</v>
      </c>
      <c r="J48" s="41">
        <v>8</v>
      </c>
      <c r="K48" s="25" t="str">
        <f>VLOOKUP(J48,Key!$E$2:$F$9,2,FALSE)</f>
        <v>Others</v>
      </c>
      <c r="L48" s="41" t="s">
        <v>161</v>
      </c>
      <c r="M48" s="42" t="s">
        <v>148</v>
      </c>
      <c r="N48" s="42" t="s">
        <v>147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1"/>
        <v>Others-Others</v>
      </c>
      <c r="S48" s="43">
        <v>4</v>
      </c>
      <c r="T48" s="43">
        <v>0.1</v>
      </c>
      <c r="U48" s="51">
        <v>5</v>
      </c>
      <c r="V48" s="51"/>
      <c r="W48" s="43"/>
      <c r="X48" s="43"/>
      <c r="Y48" s="44" t="s">
        <v>149</v>
      </c>
      <c r="Z48" s="52">
        <v>2500</v>
      </c>
      <c r="AA48" s="25">
        <f>VLOOKUP(F48,Zones!$A$2:$F$15614,6,FALSE)</f>
        <v>522</v>
      </c>
      <c r="AB48" s="25">
        <f>VLOOKUP(L48,Zones!$A$2:$F$15614,6,FALSE)</f>
        <v>522</v>
      </c>
    </row>
    <row r="49" spans="2:28">
      <c r="B49" s="39">
        <v>0.92013888888888884</v>
      </c>
      <c r="C49" s="39" t="s">
        <v>224</v>
      </c>
      <c r="D49" s="40">
        <v>11</v>
      </c>
      <c r="E49" s="40">
        <v>1</v>
      </c>
      <c r="F49" s="41" t="s">
        <v>152</v>
      </c>
      <c r="G49" s="41" t="s">
        <v>148</v>
      </c>
      <c r="H49" s="41" t="s">
        <v>147</v>
      </c>
      <c r="I49" s="41">
        <v>16</v>
      </c>
      <c r="J49" s="41">
        <v>8</v>
      </c>
      <c r="K49" s="25" t="str">
        <f>VLOOKUP(J49,Key!$E$2:$F$9,2,FALSE)</f>
        <v>Others</v>
      </c>
      <c r="L49" s="41" t="s">
        <v>161</v>
      </c>
      <c r="M49" s="42" t="s">
        <v>148</v>
      </c>
      <c r="N49" s="42" t="s">
        <v>147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1"/>
        <v>Others-Home</v>
      </c>
      <c r="S49" s="43">
        <v>4</v>
      </c>
      <c r="T49" s="43">
        <v>0</v>
      </c>
      <c r="U49" s="51">
        <v>4</v>
      </c>
      <c r="V49" s="51"/>
      <c r="W49" s="43"/>
      <c r="X49" s="43"/>
      <c r="Y49" s="44" t="s">
        <v>149</v>
      </c>
      <c r="Z49" s="52">
        <v>1000</v>
      </c>
      <c r="AA49" s="25">
        <f>VLOOKUP(F49,Zones!$A$2:$F$15614,6,FALSE)</f>
        <v>522</v>
      </c>
      <c r="AB49" s="25">
        <f>VLOOKUP(L49,Zones!$A$2:$F$15614,6,FALSE)</f>
        <v>522</v>
      </c>
    </row>
    <row r="50" spans="2:28">
      <c r="B50" s="39">
        <v>0.93333333333333324</v>
      </c>
      <c r="C50" s="39" t="s">
        <v>225</v>
      </c>
      <c r="D50" s="40">
        <v>4</v>
      </c>
      <c r="E50" s="40">
        <v>7</v>
      </c>
      <c r="F50" s="41" t="s">
        <v>152</v>
      </c>
      <c r="G50" s="41" t="s">
        <v>148</v>
      </c>
      <c r="H50" s="41" t="s">
        <v>147</v>
      </c>
      <c r="I50" s="41">
        <v>6</v>
      </c>
      <c r="J50" s="41">
        <v>2</v>
      </c>
      <c r="K50" s="25" t="str">
        <f>VLOOKUP(J50,Key!$E$2:$F$9,2,FALSE)</f>
        <v>Work</v>
      </c>
      <c r="L50" s="41" t="s">
        <v>158</v>
      </c>
      <c r="M50" s="42" t="s">
        <v>146</v>
      </c>
      <c r="N50" s="42" t="s">
        <v>147</v>
      </c>
      <c r="O50" s="42">
        <v>6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43"/>
      <c r="T50" s="43"/>
      <c r="U50" s="51">
        <v>6</v>
      </c>
      <c r="V50" s="51"/>
      <c r="W50" s="43"/>
      <c r="X50" s="43"/>
      <c r="Y50" s="44" t="s">
        <v>149</v>
      </c>
      <c r="Z50" s="52">
        <v>2000</v>
      </c>
      <c r="AA50" s="25">
        <f>VLOOKUP(F50,Zones!$A$2:$F$15614,6,FALSE)</f>
        <v>522</v>
      </c>
      <c r="AB50" s="25">
        <f>VLOOKUP(L50,Zones!$A$2:$F$15614,6,FALSE)</f>
        <v>521</v>
      </c>
    </row>
    <row r="51" spans="2:28">
      <c r="B51" s="39">
        <v>0.91666666666666663</v>
      </c>
      <c r="C51" s="39" t="s">
        <v>226</v>
      </c>
      <c r="D51" s="40">
        <v>11</v>
      </c>
      <c r="E51" s="40">
        <v>1</v>
      </c>
      <c r="F51" s="41" t="s">
        <v>227</v>
      </c>
      <c r="G51" s="41" t="s">
        <v>148</v>
      </c>
      <c r="H51" s="41" t="s">
        <v>147</v>
      </c>
      <c r="I51" s="41">
        <v>6</v>
      </c>
      <c r="J51" s="41">
        <v>2</v>
      </c>
      <c r="K51" s="25" t="str">
        <f>VLOOKUP(J51,Key!$E$2:$F$9,2,FALSE)</f>
        <v>Work</v>
      </c>
      <c r="L51" s="41" t="s">
        <v>189</v>
      </c>
      <c r="M51" s="42" t="s">
        <v>148</v>
      </c>
      <c r="N51" s="42" t="s">
        <v>147</v>
      </c>
      <c r="O51" s="42">
        <v>16</v>
      </c>
      <c r="P51" s="42">
        <v>8</v>
      </c>
      <c r="Q51" s="25" t="str">
        <f>VLOOKUP(P51,Key!$E$2:$F$9,2,FALSE)</f>
        <v>Others</v>
      </c>
      <c r="R51" s="25" t="str">
        <f t="shared" si="1"/>
        <v>Work-Others</v>
      </c>
      <c r="S51" s="43"/>
      <c r="T51" s="43">
        <v>0.3</v>
      </c>
      <c r="U51" s="51">
        <v>2</v>
      </c>
      <c r="V51" s="51"/>
      <c r="W51" s="43"/>
      <c r="X51" s="43"/>
      <c r="Y51" s="44" t="s">
        <v>149</v>
      </c>
      <c r="Z51" s="52">
        <v>2000</v>
      </c>
      <c r="AA51" s="25">
        <f>VLOOKUP(F51,Zones!$A$2:$F$15614,6,FALSE)</f>
        <v>522</v>
      </c>
      <c r="AB51" s="25">
        <f>VLOOKUP(L51,Zones!$A$2:$F$15614,6,FALSE)</f>
        <v>522</v>
      </c>
    </row>
    <row r="52" spans="2:28">
      <c r="B52" s="39">
        <v>0.93680555555555556</v>
      </c>
      <c r="C52" s="39" t="s">
        <v>228</v>
      </c>
      <c r="D52" s="40">
        <v>1</v>
      </c>
      <c r="E52" s="40">
        <v>2</v>
      </c>
      <c r="F52" s="41" t="s">
        <v>152</v>
      </c>
      <c r="G52" s="41" t="s">
        <v>148</v>
      </c>
      <c r="H52" s="41" t="s">
        <v>147</v>
      </c>
      <c r="I52" s="41">
        <v>2</v>
      </c>
      <c r="J52" s="41">
        <v>2</v>
      </c>
      <c r="K52" s="25" t="str">
        <f>VLOOKUP(J52,Key!$E$2:$F$9,2,FALSE)</f>
        <v>Work</v>
      </c>
      <c r="L52" s="41" t="s">
        <v>202</v>
      </c>
      <c r="M52" s="42" t="s">
        <v>148</v>
      </c>
      <c r="N52" s="42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1"/>
        <v>Work-Home</v>
      </c>
      <c r="S52" s="43"/>
      <c r="T52" s="43">
        <v>0.3</v>
      </c>
      <c r="U52" s="51">
        <v>2</v>
      </c>
      <c r="V52" s="51"/>
      <c r="W52" s="43"/>
      <c r="X52" s="43"/>
      <c r="Y52" s="44" t="s">
        <v>149</v>
      </c>
      <c r="Z52" s="52">
        <v>1000</v>
      </c>
      <c r="AA52" s="25">
        <f>VLOOKUP(F52,Zones!$A$2:$F$15614,6,FALSE)</f>
        <v>522</v>
      </c>
      <c r="AB52" s="25">
        <f>VLOOKUP(L52,Zones!$A$2:$F$15614,6,FALSE)</f>
        <v>1398</v>
      </c>
    </row>
    <row r="53" spans="2:28">
      <c r="B53" s="39">
        <v>0.91041666666666676</v>
      </c>
      <c r="C53" s="39" t="s">
        <v>229</v>
      </c>
      <c r="D53" s="40">
        <v>4</v>
      </c>
      <c r="E53" s="40">
        <v>2</v>
      </c>
      <c r="F53" s="41" t="s">
        <v>152</v>
      </c>
      <c r="G53" s="41" t="s">
        <v>148</v>
      </c>
      <c r="H53" s="41" t="s">
        <v>147</v>
      </c>
      <c r="I53" s="41">
        <v>6</v>
      </c>
      <c r="J53" s="41">
        <v>2</v>
      </c>
      <c r="K53" s="25" t="str">
        <f>VLOOKUP(J53,Key!$E$2:$F$9,2,FALSE)</f>
        <v>Work</v>
      </c>
      <c r="L53" s="41" t="s">
        <v>158</v>
      </c>
      <c r="M53" s="42" t="s">
        <v>146</v>
      </c>
      <c r="N53" s="42" t="s">
        <v>147</v>
      </c>
      <c r="O53" s="42">
        <v>6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>
        <v>11.26</v>
      </c>
      <c r="T53" s="43">
        <v>0.8</v>
      </c>
      <c r="U53" s="51">
        <v>2</v>
      </c>
      <c r="V53" s="51"/>
      <c r="W53" s="43"/>
      <c r="X53" s="43"/>
      <c r="Y53" s="44" t="s">
        <v>149</v>
      </c>
      <c r="Z53" s="52">
        <v>1000</v>
      </c>
      <c r="AA53" s="25">
        <f>VLOOKUP(F53,Zones!$A$2:$F$15614,6,FALSE)</f>
        <v>522</v>
      </c>
      <c r="AB53" s="25">
        <f>VLOOKUP(L53,Zones!$A$2:$F$15614,6,FALSE)</f>
        <v>521</v>
      </c>
    </row>
    <row r="54" spans="2:28">
      <c r="B54" s="39">
        <v>0.94097222222222221</v>
      </c>
      <c r="C54" s="39" t="s">
        <v>230</v>
      </c>
      <c r="D54" s="40">
        <v>4</v>
      </c>
      <c r="E54" s="40">
        <v>8</v>
      </c>
      <c r="F54" s="41" t="s">
        <v>152</v>
      </c>
      <c r="G54" s="41" t="s">
        <v>148</v>
      </c>
      <c r="H54" s="41" t="s">
        <v>147</v>
      </c>
      <c r="I54" s="41">
        <v>6</v>
      </c>
      <c r="J54" s="41">
        <v>2</v>
      </c>
      <c r="K54" s="25" t="str">
        <f>VLOOKUP(J54,Key!$E$2:$F$9,2,FALSE)</f>
        <v>Work</v>
      </c>
      <c r="L54" s="41" t="s">
        <v>231</v>
      </c>
      <c r="M54" s="42" t="s">
        <v>146</v>
      </c>
      <c r="N54" s="42" t="s">
        <v>147</v>
      </c>
      <c r="O54" s="42">
        <v>6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3"/>
      <c r="T54" s="43">
        <v>0.5</v>
      </c>
      <c r="U54" s="51">
        <v>2</v>
      </c>
      <c r="V54" s="51"/>
      <c r="W54" s="43"/>
      <c r="X54" s="43"/>
      <c r="Y54" s="44" t="s">
        <v>149</v>
      </c>
      <c r="Z54" s="52">
        <v>1000</v>
      </c>
      <c r="AA54" s="25">
        <f>VLOOKUP(F54,Zones!$A$2:$F$15614,6,FALSE)</f>
        <v>522</v>
      </c>
      <c r="AB54" s="25">
        <f>VLOOKUP(L54,Zones!$A$2:$F$15614,6,FALSE)</f>
        <v>521</v>
      </c>
    </row>
    <row r="55" spans="2:28">
      <c r="B55" s="39">
        <v>0.90833333333333333</v>
      </c>
      <c r="C55" s="39" t="s">
        <v>232</v>
      </c>
      <c r="D55" s="40">
        <v>11</v>
      </c>
      <c r="E55" s="40">
        <v>1</v>
      </c>
      <c r="F55" s="41" t="s">
        <v>158</v>
      </c>
      <c r="G55" s="41" t="s">
        <v>146</v>
      </c>
      <c r="H55" s="41" t="s">
        <v>147</v>
      </c>
      <c r="I55" s="41">
        <v>16</v>
      </c>
      <c r="J55" s="41">
        <v>8</v>
      </c>
      <c r="K55" s="25" t="str">
        <f>VLOOKUP(J55,Key!$E$2:$F$9,2,FALSE)</f>
        <v>Others</v>
      </c>
      <c r="L55" s="41" t="s">
        <v>2417</v>
      </c>
      <c r="M55" s="42" t="s">
        <v>148</v>
      </c>
      <c r="N55" s="42" t="s">
        <v>147</v>
      </c>
      <c r="O55" s="42">
        <v>16</v>
      </c>
      <c r="P55" s="42">
        <v>8</v>
      </c>
      <c r="Q55" s="25" t="str">
        <f>VLOOKUP(P55,Key!$E$2:$F$9,2,FALSE)</f>
        <v>Others</v>
      </c>
      <c r="R55" s="25" t="str">
        <f t="shared" si="1"/>
        <v>Others-Others</v>
      </c>
      <c r="S55" s="43">
        <v>4</v>
      </c>
      <c r="T55" s="43">
        <v>0.4</v>
      </c>
      <c r="U55" s="51">
        <v>1</v>
      </c>
      <c r="V55" s="51"/>
      <c r="W55" s="43"/>
      <c r="X55" s="43"/>
      <c r="Y55" s="44" t="s">
        <v>149</v>
      </c>
      <c r="Z55" s="52">
        <v>1000</v>
      </c>
      <c r="AA55" s="25">
        <f>VLOOKUP(F55,Zones!$A$2:$F$15614,6,FALSE)</f>
        <v>521</v>
      </c>
      <c r="AB55" s="25">
        <f>VLOOKUP(L55,Zones!$A$2:$F$15614,6,FALSE)</f>
        <v>1409</v>
      </c>
    </row>
    <row r="56" spans="2:28">
      <c r="B56" s="39">
        <v>0.94444444444444453</v>
      </c>
      <c r="C56" s="39" t="s">
        <v>234</v>
      </c>
      <c r="D56" s="40">
        <v>11</v>
      </c>
      <c r="E56" s="40">
        <v>1</v>
      </c>
      <c r="F56" s="41" t="s">
        <v>152</v>
      </c>
      <c r="G56" s="41" t="s">
        <v>148</v>
      </c>
      <c r="H56" s="41" t="s">
        <v>147</v>
      </c>
      <c r="I56" s="41">
        <v>8</v>
      </c>
      <c r="J56" s="41">
        <v>2</v>
      </c>
      <c r="K56" s="25" t="str">
        <f>VLOOKUP(J56,Key!$E$2:$F$9,2,FALSE)</f>
        <v>Work</v>
      </c>
      <c r="L56" s="41" t="s">
        <v>235</v>
      </c>
      <c r="M56" s="42" t="s">
        <v>148</v>
      </c>
      <c r="N56" s="42" t="s">
        <v>147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Work-Home</v>
      </c>
      <c r="S56" s="43"/>
      <c r="T56" s="43">
        <v>0.1</v>
      </c>
      <c r="U56" s="51">
        <v>2</v>
      </c>
      <c r="V56" s="51"/>
      <c r="W56" s="43"/>
      <c r="X56" s="43"/>
      <c r="Y56" s="44" t="s">
        <v>149</v>
      </c>
      <c r="Z56" s="52">
        <v>1000</v>
      </c>
      <c r="AA56" s="25">
        <f>VLOOKUP(F56,Zones!$A$2:$F$15614,6,FALSE)</f>
        <v>522</v>
      </c>
      <c r="AB56" s="25">
        <f>VLOOKUP(L56,Zones!$A$2:$F$15614,6,FALSE)</f>
        <v>556</v>
      </c>
    </row>
    <row r="57" spans="2:28">
      <c r="B57" s="39">
        <v>0.89583333333333337</v>
      </c>
      <c r="C57" s="39" t="s">
        <v>236</v>
      </c>
      <c r="D57" s="40">
        <v>2</v>
      </c>
      <c r="E57" s="40">
        <v>2</v>
      </c>
      <c r="F57" s="41" t="s">
        <v>152</v>
      </c>
      <c r="G57" s="41" t="s">
        <v>148</v>
      </c>
      <c r="H57" s="41" t="s">
        <v>147</v>
      </c>
      <c r="I57" s="41">
        <v>16</v>
      </c>
      <c r="J57" s="41">
        <v>8</v>
      </c>
      <c r="K57" s="25" t="str">
        <f>VLOOKUP(J57,Key!$E$2:$F$9,2,FALSE)</f>
        <v>Others</v>
      </c>
      <c r="L57" s="41" t="s">
        <v>158</v>
      </c>
      <c r="M57" s="42" t="s">
        <v>146</v>
      </c>
      <c r="N57" s="42" t="s">
        <v>147</v>
      </c>
      <c r="O57" s="42">
        <v>1</v>
      </c>
      <c r="P57" s="42">
        <v>1</v>
      </c>
      <c r="Q57" s="25" t="str">
        <f>VLOOKUP(P57,Key!$E$2:$F$9,2,FALSE)</f>
        <v>Home</v>
      </c>
      <c r="R57" s="25" t="str">
        <f t="shared" si="1"/>
        <v>Others-Home</v>
      </c>
      <c r="S57" s="43"/>
      <c r="T57" s="43">
        <v>0.8</v>
      </c>
      <c r="U57" s="51">
        <v>5</v>
      </c>
      <c r="V57" s="51"/>
      <c r="W57" s="43"/>
      <c r="X57" s="43"/>
      <c r="Y57" s="44" t="s">
        <v>149</v>
      </c>
      <c r="Z57" s="52">
        <v>1000</v>
      </c>
      <c r="AA57" s="25">
        <f>VLOOKUP(F57,Zones!$A$2:$F$15614,6,FALSE)</f>
        <v>522</v>
      </c>
      <c r="AB57" s="25">
        <f>VLOOKUP(L57,Zones!$A$2:$F$15614,6,FALSE)</f>
        <v>521</v>
      </c>
    </row>
    <row r="58" spans="2:28">
      <c r="B58" s="39">
        <v>0.2638888888888889</v>
      </c>
      <c r="C58" s="39" t="s">
        <v>237</v>
      </c>
      <c r="D58" s="40">
        <v>4</v>
      </c>
      <c r="E58" s="40">
        <v>4</v>
      </c>
      <c r="F58" s="41" t="s">
        <v>158</v>
      </c>
      <c r="G58" s="41" t="s">
        <v>146</v>
      </c>
      <c r="H58" s="41" t="s">
        <v>147</v>
      </c>
      <c r="I58" s="41">
        <v>6</v>
      </c>
      <c r="J58" s="41">
        <v>2</v>
      </c>
      <c r="K58" s="25" t="str">
        <f>VLOOKUP(J58,Key!$E$2:$F$9,2,FALSE)</f>
        <v>Work</v>
      </c>
      <c r="L58" s="41" t="s">
        <v>181</v>
      </c>
      <c r="M58" s="42" t="s">
        <v>146</v>
      </c>
      <c r="N58" s="42" t="s">
        <v>147</v>
      </c>
      <c r="O58" s="42">
        <v>6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3">
        <v>10</v>
      </c>
      <c r="T58" s="43">
        <v>0.5</v>
      </c>
      <c r="U58" s="51">
        <v>2</v>
      </c>
      <c r="V58" s="51"/>
      <c r="W58" s="43"/>
      <c r="X58" s="43"/>
      <c r="Y58" s="44" t="s">
        <v>149</v>
      </c>
      <c r="Z58" s="52">
        <v>2000</v>
      </c>
      <c r="AA58" s="25">
        <f>VLOOKUP(F58,Zones!$A$2:$F$15614,6,FALSE)</f>
        <v>521</v>
      </c>
      <c r="AB58" s="25">
        <f>VLOOKUP(L58,Zones!$A$2:$F$15614,6,FALSE)</f>
        <v>536</v>
      </c>
    </row>
    <row r="59" spans="2:28">
      <c r="B59" s="39">
        <v>0.27083333333333331</v>
      </c>
      <c r="C59" s="39" t="s">
        <v>238</v>
      </c>
      <c r="D59" s="40">
        <v>4</v>
      </c>
      <c r="E59" s="40">
        <v>8</v>
      </c>
      <c r="F59" s="41" t="s">
        <v>239</v>
      </c>
      <c r="G59" s="41" t="s">
        <v>146</v>
      </c>
      <c r="H59" s="41" t="s">
        <v>147</v>
      </c>
      <c r="I59" s="41">
        <v>6</v>
      </c>
      <c r="J59" s="41">
        <v>2</v>
      </c>
      <c r="K59" s="25" t="str">
        <f>VLOOKUP(J59,Key!$E$2:$F$9,2,FALSE)</f>
        <v>Work</v>
      </c>
      <c r="L59" s="41" t="s">
        <v>186</v>
      </c>
      <c r="M59" s="42" t="s">
        <v>148</v>
      </c>
      <c r="N59" s="42" t="s">
        <v>147</v>
      </c>
      <c r="O59" s="42">
        <v>6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3">
        <v>10</v>
      </c>
      <c r="T59" s="43">
        <v>0.5</v>
      </c>
      <c r="U59" s="51">
        <v>2</v>
      </c>
      <c r="V59" s="51"/>
      <c r="W59" s="43"/>
      <c r="X59" s="43"/>
      <c r="Y59" s="44" t="s">
        <v>149</v>
      </c>
      <c r="Z59" s="52">
        <v>1000</v>
      </c>
      <c r="AA59" s="25">
        <f>VLOOKUP(F59,Zones!$A$2:$F$15614,6,FALSE)</f>
        <v>521</v>
      </c>
      <c r="AB59" s="25">
        <f>VLOOKUP(L59,Zones!$A$2:$F$15614,6,FALSE)</f>
        <v>565</v>
      </c>
    </row>
    <row r="60" spans="2:28">
      <c r="B60" s="39">
        <v>0.1875</v>
      </c>
      <c r="C60" s="39" t="s">
        <v>243</v>
      </c>
      <c r="D60" s="40">
        <v>4</v>
      </c>
      <c r="E60" s="41">
        <v>14</v>
      </c>
      <c r="F60" s="41" t="s">
        <v>181</v>
      </c>
      <c r="G60" s="42" t="s">
        <v>146</v>
      </c>
      <c r="H60" s="41" t="s">
        <v>147</v>
      </c>
      <c r="I60" s="42">
        <v>6</v>
      </c>
      <c r="J60" s="42">
        <v>2</v>
      </c>
      <c r="K60" s="25" t="str">
        <f>VLOOKUP(J60,Key!$E$2:$F$9,2,FALSE)</f>
        <v>Work</v>
      </c>
      <c r="L60" s="41" t="s">
        <v>244</v>
      </c>
      <c r="M60" s="42" t="s">
        <v>146</v>
      </c>
      <c r="N60" s="41" t="s">
        <v>147</v>
      </c>
      <c r="O60" s="42">
        <v>6</v>
      </c>
      <c r="P60" s="42">
        <v>2</v>
      </c>
      <c r="Q60" s="25" t="str">
        <f>VLOOKUP(P60,Key!$E$2:$F$9,2,FALSE)</f>
        <v>Work</v>
      </c>
      <c r="R60" s="25" t="str">
        <f>K60&amp;"-"&amp;Q60</f>
        <v>Work-Work</v>
      </c>
      <c r="S60" s="43"/>
      <c r="T60" s="43">
        <v>1</v>
      </c>
      <c r="U60" s="42">
        <v>1</v>
      </c>
      <c r="V60" s="42"/>
      <c r="W60" s="43"/>
      <c r="X60" s="43"/>
      <c r="Y60" s="44" t="s">
        <v>149</v>
      </c>
      <c r="Z60" s="53">
        <v>1000</v>
      </c>
      <c r="AA60" s="25">
        <f>VLOOKUP(F60,Zones!$A$2:$F$15614,6,FALSE)</f>
        <v>536</v>
      </c>
      <c r="AB60" s="25">
        <f>VLOOKUP(L60,Zones!$A$2:$F$15614,6,FALSE)</f>
        <v>521</v>
      </c>
    </row>
    <row r="61" spans="2:28">
      <c r="B61" s="39">
        <v>0.20833333333333334</v>
      </c>
      <c r="C61" s="39" t="s">
        <v>245</v>
      </c>
      <c r="D61" s="40">
        <v>4</v>
      </c>
      <c r="E61" s="41">
        <v>6</v>
      </c>
      <c r="F61" s="41" t="s">
        <v>246</v>
      </c>
      <c r="G61" s="42" t="s">
        <v>146</v>
      </c>
      <c r="H61" s="41" t="s">
        <v>147</v>
      </c>
      <c r="I61" s="42">
        <v>6</v>
      </c>
      <c r="J61" s="42">
        <v>2</v>
      </c>
      <c r="K61" s="25" t="str">
        <f>VLOOKUP(J61,Key!$E$2:$F$9,2,FALSE)</f>
        <v>Work</v>
      </c>
      <c r="L61" s="41" t="s">
        <v>152</v>
      </c>
      <c r="M61" s="42" t="s">
        <v>148</v>
      </c>
      <c r="N61" s="41" t="s">
        <v>147</v>
      </c>
      <c r="O61" s="42">
        <v>6</v>
      </c>
      <c r="P61" s="42">
        <v>2</v>
      </c>
      <c r="Q61" s="25" t="str">
        <f>VLOOKUP(P61,Key!$E$2:$F$9,2,FALSE)</f>
        <v>Work</v>
      </c>
      <c r="R61" s="25" t="str">
        <f t="shared" ref="R61:R79" si="2">K61&amp;"-"&amp;Q61</f>
        <v>Work-Work</v>
      </c>
      <c r="S61" s="43">
        <v>13</v>
      </c>
      <c r="T61" s="43">
        <v>0.8</v>
      </c>
      <c r="U61" s="42">
        <v>1</v>
      </c>
      <c r="V61" s="42"/>
      <c r="W61" s="43"/>
      <c r="X61" s="43"/>
      <c r="Y61" s="44" t="s">
        <v>149</v>
      </c>
      <c r="Z61" s="53">
        <v>1500</v>
      </c>
      <c r="AA61" s="25">
        <f>VLOOKUP(F61,Zones!$A$2:$F$15614,6,FALSE)</f>
        <v>521</v>
      </c>
      <c r="AB61" s="25">
        <f>VLOOKUP(L61,Zones!$A$2:$F$15614,6,FALSE)</f>
        <v>522</v>
      </c>
    </row>
    <row r="62" spans="2:28">
      <c r="B62" s="39">
        <v>8.3333333333333329E-2</v>
      </c>
      <c r="C62" s="39" t="s">
        <v>247</v>
      </c>
      <c r="D62" s="40">
        <v>4</v>
      </c>
      <c r="E62" s="41">
        <v>10</v>
      </c>
      <c r="F62" s="82" t="s">
        <v>2181</v>
      </c>
      <c r="G62" s="42" t="s">
        <v>146</v>
      </c>
      <c r="H62" s="41" t="s">
        <v>147</v>
      </c>
      <c r="I62" s="42">
        <v>6</v>
      </c>
      <c r="J62" s="42">
        <v>2</v>
      </c>
      <c r="K62" s="25" t="str">
        <f>VLOOKUP(J62,Key!$E$2:$F$9,2,FALSE)</f>
        <v>Work</v>
      </c>
      <c r="L62" s="41" t="s">
        <v>152</v>
      </c>
      <c r="M62" s="42" t="s">
        <v>148</v>
      </c>
      <c r="N62" s="41" t="s">
        <v>147</v>
      </c>
      <c r="O62" s="42">
        <v>6</v>
      </c>
      <c r="P62" s="42">
        <v>2</v>
      </c>
      <c r="Q62" s="25" t="str">
        <f>VLOOKUP(P62,Key!$E$2:$F$9,2,FALSE)</f>
        <v>Work</v>
      </c>
      <c r="R62" s="25" t="str">
        <f t="shared" si="2"/>
        <v>Work-Work</v>
      </c>
      <c r="S62" s="43"/>
      <c r="T62" s="43">
        <v>1</v>
      </c>
      <c r="U62" s="42">
        <v>1</v>
      </c>
      <c r="V62" s="42"/>
      <c r="W62" s="43"/>
      <c r="X62" s="43"/>
      <c r="Y62" s="44" t="s">
        <v>149</v>
      </c>
      <c r="Z62" s="53">
        <v>500</v>
      </c>
      <c r="AA62" s="25">
        <f>VLOOKUP(F62,Zones!$A$2:$F$15614,6,FALSE)</f>
        <v>1409</v>
      </c>
      <c r="AB62" s="25">
        <f>VLOOKUP(L62,Zones!$A$2:$F$15614,6,FALSE)</f>
        <v>522</v>
      </c>
    </row>
    <row r="63" spans="2:28">
      <c r="B63" s="39">
        <v>0.59930555555555554</v>
      </c>
      <c r="C63" s="39" t="s">
        <v>249</v>
      </c>
      <c r="D63" s="40">
        <v>11</v>
      </c>
      <c r="E63" s="41">
        <v>1</v>
      </c>
      <c r="F63" s="41" t="s">
        <v>202</v>
      </c>
      <c r="G63" s="42" t="s">
        <v>148</v>
      </c>
      <c r="H63" s="41" t="s">
        <v>147</v>
      </c>
      <c r="I63" s="42">
        <v>8</v>
      </c>
      <c r="J63" s="42">
        <v>2</v>
      </c>
      <c r="K63" s="25" t="str">
        <f>VLOOKUP(J63,Key!$E$2:$F$9,2,FALSE)</f>
        <v>Work</v>
      </c>
      <c r="L63" s="41" t="s">
        <v>2418</v>
      </c>
      <c r="M63" s="42" t="s">
        <v>148</v>
      </c>
      <c r="N63" s="41" t="s">
        <v>147</v>
      </c>
      <c r="O63" s="42">
        <v>8</v>
      </c>
      <c r="P63" s="42">
        <v>2</v>
      </c>
      <c r="Q63" s="25" t="str">
        <f>VLOOKUP(P63,Key!$E$2:$F$9,2,FALSE)</f>
        <v>Work</v>
      </c>
      <c r="R63" s="25" t="str">
        <f t="shared" si="2"/>
        <v>Work-Work</v>
      </c>
      <c r="S63" s="43">
        <v>8.0399999999999991</v>
      </c>
      <c r="T63" s="43">
        <v>1</v>
      </c>
      <c r="U63" s="42">
        <v>1</v>
      </c>
      <c r="V63" s="42"/>
      <c r="W63" s="43"/>
      <c r="X63" s="43"/>
      <c r="Y63" s="44" t="s">
        <v>149</v>
      </c>
      <c r="Z63" s="53">
        <v>500</v>
      </c>
      <c r="AA63" s="25">
        <f>VLOOKUP(F63,Zones!$A$2:$F$15614,6,FALSE)</f>
        <v>1398</v>
      </c>
      <c r="AB63" s="25">
        <f>VLOOKUP(L63,Zones!$A$2:$F$15614,6,FALSE)</f>
        <v>522</v>
      </c>
    </row>
    <row r="64" spans="2:28">
      <c r="B64" s="39">
        <v>0.60902777777777783</v>
      </c>
      <c r="C64" s="39" t="s">
        <v>252</v>
      </c>
      <c r="D64" s="40">
        <v>4</v>
      </c>
      <c r="E64" s="41">
        <v>10</v>
      </c>
      <c r="F64" s="41" t="s">
        <v>181</v>
      </c>
      <c r="G64" s="42" t="s">
        <v>146</v>
      </c>
      <c r="H64" s="41" t="s">
        <v>147</v>
      </c>
      <c r="I64" s="42">
        <v>6</v>
      </c>
      <c r="J64" s="42">
        <v>2</v>
      </c>
      <c r="K64" s="25" t="s">
        <v>101</v>
      </c>
      <c r="L64" s="41" t="s">
        <v>152</v>
      </c>
      <c r="M64" s="42" t="s">
        <v>148</v>
      </c>
      <c r="N64" s="41" t="s">
        <v>147</v>
      </c>
      <c r="O64" s="42">
        <v>6</v>
      </c>
      <c r="P64" s="42">
        <v>2</v>
      </c>
      <c r="Q64" s="25" t="str">
        <f>VLOOKUP(P64,Key!$E$2:$F$9,2,FALSE)</f>
        <v>Work</v>
      </c>
      <c r="R64" s="25" t="str">
        <f t="shared" si="2"/>
        <v>Work-Work</v>
      </c>
      <c r="S64" s="43"/>
      <c r="T64" s="43">
        <v>0.5</v>
      </c>
      <c r="U64" s="42">
        <v>1</v>
      </c>
      <c r="V64" s="42"/>
      <c r="W64" s="43"/>
      <c r="X64" s="43"/>
      <c r="Y64" s="44" t="s">
        <v>149</v>
      </c>
      <c r="Z64" s="53">
        <v>500</v>
      </c>
      <c r="AA64" s="25">
        <f>VLOOKUP(F64,Zones!$A$2:$F$15614,6,FALSE)</f>
        <v>536</v>
      </c>
      <c r="AB64" s="25">
        <f>VLOOKUP(L64,Zones!$A$2:$F$15614,6,FALSE)</f>
        <v>522</v>
      </c>
    </row>
    <row r="65" spans="2:28">
      <c r="B65" s="39">
        <v>0.12013888888888889</v>
      </c>
      <c r="C65" s="39" t="s">
        <v>253</v>
      </c>
      <c r="D65" s="40">
        <v>1</v>
      </c>
      <c r="E65" s="41">
        <v>2</v>
      </c>
      <c r="F65" s="41" t="s">
        <v>202</v>
      </c>
      <c r="G65" s="42" t="s">
        <v>148</v>
      </c>
      <c r="H65" s="41" t="s">
        <v>147</v>
      </c>
      <c r="I65" s="42">
        <v>16</v>
      </c>
      <c r="J65" s="42">
        <v>2</v>
      </c>
      <c r="K65" s="25" t="str">
        <f>VLOOKUP(J65,Key!$E$2:$F$9,2,FALSE)</f>
        <v>Work</v>
      </c>
      <c r="L65" s="41" t="s">
        <v>207</v>
      </c>
      <c r="M65" s="42" t="s">
        <v>146</v>
      </c>
      <c r="N65" s="41" t="s">
        <v>147</v>
      </c>
      <c r="O65" s="42">
        <v>1</v>
      </c>
      <c r="P65" s="42">
        <v>1</v>
      </c>
      <c r="Q65" s="25" t="str">
        <f>VLOOKUP(P65,Key!$E$2:$F$9,2,FALSE)</f>
        <v>Home</v>
      </c>
      <c r="R65" s="25" t="str">
        <f t="shared" si="2"/>
        <v>Work-Home</v>
      </c>
      <c r="S65" s="43"/>
      <c r="T65" s="43">
        <v>0.2</v>
      </c>
      <c r="U65" s="42">
        <v>3</v>
      </c>
      <c r="V65" s="42"/>
      <c r="W65" s="43"/>
      <c r="X65" s="43"/>
      <c r="Y65" s="44" t="s">
        <v>149</v>
      </c>
      <c r="Z65" s="53">
        <v>1000</v>
      </c>
      <c r="AA65" s="25">
        <f>VLOOKUP(F65,Zones!$A$2:$F$15614,6,FALSE)</f>
        <v>1398</v>
      </c>
      <c r="AB65" s="25">
        <f>VLOOKUP(L65,Zones!$A$2:$F$15614,6,FALSE)</f>
        <v>522</v>
      </c>
    </row>
    <row r="66" spans="2:28">
      <c r="B66" s="39">
        <v>0.59027777777777779</v>
      </c>
      <c r="C66" s="39" t="s">
        <v>254</v>
      </c>
      <c r="D66" s="40">
        <v>11</v>
      </c>
      <c r="E66" s="41">
        <v>1</v>
      </c>
      <c r="F66" s="41" t="s">
        <v>235</v>
      </c>
      <c r="G66" s="42" t="s">
        <v>148</v>
      </c>
      <c r="H66" s="41" t="s">
        <v>147</v>
      </c>
      <c r="I66" s="42">
        <v>8</v>
      </c>
      <c r="J66" s="42">
        <v>1</v>
      </c>
      <c r="K66" s="25" t="str">
        <f>VLOOKUP(J66,Key!$E$2:$F$9,2,FALSE)</f>
        <v>Home</v>
      </c>
      <c r="L66" s="41" t="s">
        <v>152</v>
      </c>
      <c r="M66" s="42" t="s">
        <v>148</v>
      </c>
      <c r="N66" s="41" t="s">
        <v>147</v>
      </c>
      <c r="O66" s="42">
        <v>8</v>
      </c>
      <c r="P66" s="42">
        <v>1</v>
      </c>
      <c r="Q66" s="25" t="str">
        <f>VLOOKUP(P66,Key!$E$2:$F$9,2,FALSE)</f>
        <v>Home</v>
      </c>
      <c r="R66" s="25" t="str">
        <f t="shared" si="2"/>
        <v>Home-Home</v>
      </c>
      <c r="S66" s="43">
        <v>1</v>
      </c>
      <c r="T66" s="43">
        <v>0.2</v>
      </c>
      <c r="U66" s="42">
        <v>6</v>
      </c>
      <c r="V66" s="42"/>
      <c r="W66" s="43"/>
      <c r="X66" s="43"/>
      <c r="Y66" s="44" t="s">
        <v>149</v>
      </c>
      <c r="Z66" s="53">
        <v>3000</v>
      </c>
      <c r="AA66" s="25">
        <f>VLOOKUP(F66,Zones!$A$2:$F$15614,6,FALSE)</f>
        <v>556</v>
      </c>
      <c r="AB66" s="25">
        <f>VLOOKUP(L66,Zones!$A$2:$F$15614,6,FALSE)</f>
        <v>522</v>
      </c>
    </row>
    <row r="67" spans="2:28">
      <c r="B67" s="39">
        <v>0.88750000000000007</v>
      </c>
      <c r="C67" s="39" t="s">
        <v>174</v>
      </c>
      <c r="D67" s="40">
        <v>4</v>
      </c>
      <c r="E67" s="41">
        <v>7</v>
      </c>
      <c r="F67" s="41" t="s">
        <v>255</v>
      </c>
      <c r="G67" s="42" t="s">
        <v>146</v>
      </c>
      <c r="H67" s="41" t="s">
        <v>147</v>
      </c>
      <c r="I67" s="42">
        <v>6</v>
      </c>
      <c r="J67" s="42">
        <v>2</v>
      </c>
      <c r="K67" s="25" t="str">
        <f>VLOOKUP(J67,Key!$E$2:$F$9,2,FALSE)</f>
        <v>Work</v>
      </c>
      <c r="L67" s="41" t="s">
        <v>256</v>
      </c>
      <c r="M67" s="42" t="s">
        <v>148</v>
      </c>
      <c r="N67" s="41" t="s">
        <v>147</v>
      </c>
      <c r="O67" s="42">
        <v>6</v>
      </c>
      <c r="P67" s="42">
        <v>2</v>
      </c>
      <c r="Q67" s="25" t="str">
        <f>VLOOKUP(P67,Key!$E$2:$F$9,2,FALSE)</f>
        <v>Work</v>
      </c>
      <c r="R67" s="25" t="str">
        <f t="shared" si="2"/>
        <v>Work-Work</v>
      </c>
      <c r="S67" s="43"/>
      <c r="T67" s="43">
        <v>0.8</v>
      </c>
      <c r="U67" s="42">
        <v>1</v>
      </c>
      <c r="V67" s="42"/>
      <c r="W67" s="43"/>
      <c r="X67" s="43"/>
      <c r="Y67" s="44" t="s">
        <v>149</v>
      </c>
      <c r="Z67" s="53">
        <v>400</v>
      </c>
      <c r="AA67" s="25">
        <f>VLOOKUP(F67,Zones!$A$2:$F$15614,6,FALSE)</f>
        <v>532</v>
      </c>
      <c r="AB67" s="25">
        <f>VLOOKUP(L67,Zones!$A$2:$F$15614,6,FALSE)</f>
        <v>521</v>
      </c>
    </row>
    <row r="68" spans="2:28">
      <c r="B68" s="39">
        <v>0.89722222222222225</v>
      </c>
      <c r="C68" s="39" t="s">
        <v>257</v>
      </c>
      <c r="D68" s="40">
        <v>4</v>
      </c>
      <c r="E68" s="41">
        <v>11</v>
      </c>
      <c r="F68" s="41" t="s">
        <v>181</v>
      </c>
      <c r="G68" s="42" t="s">
        <v>146</v>
      </c>
      <c r="H68" s="41" t="s">
        <v>147</v>
      </c>
      <c r="I68" s="42">
        <v>6</v>
      </c>
      <c r="J68" s="42">
        <v>2</v>
      </c>
      <c r="K68" s="25" t="str">
        <f>VLOOKUP(J68,Key!$E$2:$F$9,2,FALSE)</f>
        <v>Work</v>
      </c>
      <c r="L68" s="41" t="s">
        <v>244</v>
      </c>
      <c r="M68" s="42" t="s">
        <v>148</v>
      </c>
      <c r="N68" s="41" t="s">
        <v>147</v>
      </c>
      <c r="O68" s="42">
        <v>6</v>
      </c>
      <c r="P68" s="42">
        <v>2</v>
      </c>
      <c r="Q68" s="25" t="str">
        <f>VLOOKUP(P68,Key!$E$2:$F$9,2,FALSE)</f>
        <v>Work</v>
      </c>
      <c r="R68" s="25" t="str">
        <f t="shared" si="2"/>
        <v>Work-Work</v>
      </c>
      <c r="S68" s="43"/>
      <c r="T68" s="43">
        <v>1</v>
      </c>
      <c r="U68" s="42">
        <v>2</v>
      </c>
      <c r="V68" s="42"/>
      <c r="W68" s="43"/>
      <c r="X68" s="43"/>
      <c r="Y68" s="44" t="s">
        <v>149</v>
      </c>
      <c r="Z68" s="53">
        <v>500</v>
      </c>
      <c r="AA68" s="25">
        <f>VLOOKUP(F68,Zones!$A$2:$F$15614,6,FALSE)</f>
        <v>536</v>
      </c>
      <c r="AB68" s="25">
        <f>VLOOKUP(L68,Zones!$A$2:$F$15614,6,FALSE)</f>
        <v>521</v>
      </c>
    </row>
    <row r="69" spans="2:28">
      <c r="B69" s="39">
        <v>0.90277777777777779</v>
      </c>
      <c r="C69" s="39" t="s">
        <v>258</v>
      </c>
      <c r="D69" s="40">
        <v>1</v>
      </c>
      <c r="E69" s="41">
        <v>1</v>
      </c>
      <c r="F69" s="41" t="s">
        <v>163</v>
      </c>
      <c r="G69" s="42" t="s">
        <v>148</v>
      </c>
      <c r="H69" s="41" t="s">
        <v>147</v>
      </c>
      <c r="I69" s="42">
        <v>4</v>
      </c>
      <c r="J69" s="42">
        <v>3</v>
      </c>
      <c r="K69" s="25" t="str">
        <f>VLOOKUP(J69,Key!$E$2:$F$9,2,FALSE)</f>
        <v>Study</v>
      </c>
      <c r="L69" s="41" t="s">
        <v>207</v>
      </c>
      <c r="M69" s="42" t="s">
        <v>146</v>
      </c>
      <c r="N69" s="41" t="s">
        <v>147</v>
      </c>
      <c r="O69" s="42">
        <v>1</v>
      </c>
      <c r="P69" s="42">
        <v>1</v>
      </c>
      <c r="Q69" s="25" t="str">
        <f>VLOOKUP(P69,Key!$E$2:$F$9,2,FALSE)</f>
        <v>Home</v>
      </c>
      <c r="R69" s="25" t="str">
        <f t="shared" si="2"/>
        <v>Study-Home</v>
      </c>
      <c r="S69" s="43"/>
      <c r="T69" s="43">
        <v>0.25</v>
      </c>
      <c r="U69" s="42">
        <v>2</v>
      </c>
      <c r="V69" s="42"/>
      <c r="W69" s="43"/>
      <c r="X69" s="43"/>
      <c r="Y69" s="44" t="s">
        <v>149</v>
      </c>
      <c r="Z69" s="53"/>
      <c r="AA69" s="25">
        <f>VLOOKUP(F69,Zones!$A$2:$F$15614,6,FALSE)</f>
        <v>1407</v>
      </c>
      <c r="AB69" s="25">
        <f>VLOOKUP(L69,Zones!$A$2:$F$15614,6,FALSE)</f>
        <v>522</v>
      </c>
    </row>
    <row r="70" spans="2:28">
      <c r="B70" s="39">
        <v>0.91111111111111109</v>
      </c>
      <c r="C70" s="39" t="s">
        <v>259</v>
      </c>
      <c r="D70" s="40">
        <v>1</v>
      </c>
      <c r="E70" s="41">
        <v>2</v>
      </c>
      <c r="F70" s="41" t="s">
        <v>260</v>
      </c>
      <c r="G70" s="42" t="s">
        <v>146</v>
      </c>
      <c r="H70" s="41" t="s">
        <v>147</v>
      </c>
      <c r="I70" s="42">
        <v>6</v>
      </c>
      <c r="J70" s="42">
        <v>2</v>
      </c>
      <c r="K70" s="25" t="str">
        <f>VLOOKUP(J70,Key!$E$2:$F$9,2,FALSE)</f>
        <v>Work</v>
      </c>
      <c r="L70" s="41" t="s">
        <v>207</v>
      </c>
      <c r="M70" s="42" t="s">
        <v>146</v>
      </c>
      <c r="N70" s="41" t="s">
        <v>147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2"/>
        <v>Work-Home</v>
      </c>
      <c r="S70" s="43">
        <v>7</v>
      </c>
      <c r="T70" s="43">
        <v>1.5</v>
      </c>
      <c r="U70" s="42">
        <v>4</v>
      </c>
      <c r="V70" s="42"/>
      <c r="W70" s="43"/>
      <c r="X70" s="43"/>
      <c r="Y70" s="44" t="s">
        <v>149</v>
      </c>
      <c r="Z70" s="53">
        <v>500</v>
      </c>
      <c r="AA70" s="25">
        <f>VLOOKUP(F70,Zones!$A$2:$F$15614,6,FALSE)</f>
        <v>538</v>
      </c>
      <c r="AB70" s="25">
        <f>VLOOKUP(L70,Zones!$A$2:$F$15614,6,FALSE)</f>
        <v>522</v>
      </c>
    </row>
    <row r="71" spans="2:28">
      <c r="B71" s="39">
        <v>0.91666666666666663</v>
      </c>
      <c r="C71" s="39" t="s">
        <v>261</v>
      </c>
      <c r="D71" s="40">
        <v>4</v>
      </c>
      <c r="E71" s="41">
        <v>3</v>
      </c>
      <c r="F71" s="41" t="s">
        <v>2145</v>
      </c>
      <c r="G71" s="42" t="s">
        <v>148</v>
      </c>
      <c r="H71" s="41" t="s">
        <v>147</v>
      </c>
      <c r="I71" s="42">
        <v>6</v>
      </c>
      <c r="J71" s="42">
        <v>2</v>
      </c>
      <c r="K71" s="25" t="str">
        <f>VLOOKUP(J71,Key!$E$2:$F$9,2,FALSE)</f>
        <v>Work</v>
      </c>
      <c r="L71" s="41" t="s">
        <v>152</v>
      </c>
      <c r="M71" s="42" t="s">
        <v>148</v>
      </c>
      <c r="N71" s="41" t="s">
        <v>147</v>
      </c>
      <c r="O71" s="42">
        <v>6</v>
      </c>
      <c r="P71" s="42">
        <v>2</v>
      </c>
      <c r="Q71" s="25" t="str">
        <f>VLOOKUP(P71,Key!$E$2:$F$9,2,FALSE)</f>
        <v>Work</v>
      </c>
      <c r="R71" s="25" t="str">
        <f t="shared" si="2"/>
        <v>Work-Work</v>
      </c>
      <c r="S71" s="43">
        <v>5</v>
      </c>
      <c r="T71" s="43">
        <v>1</v>
      </c>
      <c r="U71" s="42">
        <v>2</v>
      </c>
      <c r="V71" s="42"/>
      <c r="W71" s="43"/>
      <c r="X71" s="43"/>
      <c r="Y71" s="44" t="s">
        <v>149</v>
      </c>
      <c r="Z71" s="53">
        <v>500</v>
      </c>
      <c r="AA71" s="25">
        <f>VLOOKUP(F71,Zones!$A$2:$F$15614,6,FALSE)</f>
        <v>1393</v>
      </c>
      <c r="AB71" s="25">
        <f>VLOOKUP(L71,Zones!$A$2:$F$15614,6,FALSE)</f>
        <v>522</v>
      </c>
    </row>
    <row r="72" spans="2:28">
      <c r="B72" s="39">
        <v>0.92499999999999993</v>
      </c>
      <c r="C72" s="39" t="s">
        <v>264</v>
      </c>
      <c r="D72" s="40">
        <v>4</v>
      </c>
      <c r="E72" s="41">
        <v>2</v>
      </c>
      <c r="F72" s="41" t="s">
        <v>231</v>
      </c>
      <c r="G72" s="42" t="s">
        <v>146</v>
      </c>
      <c r="H72" s="41" t="s">
        <v>147</v>
      </c>
      <c r="I72" s="42">
        <v>6</v>
      </c>
      <c r="J72" s="42">
        <v>2</v>
      </c>
      <c r="K72" s="25" t="str">
        <f>VLOOKUP(J72,Key!$E$2:$F$9,2,FALSE)</f>
        <v>Work</v>
      </c>
      <c r="L72" s="41" t="s">
        <v>152</v>
      </c>
      <c r="M72" s="42" t="s">
        <v>148</v>
      </c>
      <c r="N72" s="41" t="s">
        <v>147</v>
      </c>
      <c r="O72" s="42">
        <v>6</v>
      </c>
      <c r="P72" s="42">
        <v>2</v>
      </c>
      <c r="Q72" s="25" t="str">
        <f>VLOOKUP(P72,Key!$E$2:$F$9,2,FALSE)</f>
        <v>Work</v>
      </c>
      <c r="R72" s="25" t="str">
        <f t="shared" si="2"/>
        <v>Work-Work</v>
      </c>
      <c r="S72" s="43">
        <v>10</v>
      </c>
      <c r="T72" s="43">
        <v>1.5</v>
      </c>
      <c r="U72" s="42">
        <v>1</v>
      </c>
      <c r="V72" s="42"/>
      <c r="W72" s="43"/>
      <c r="X72" s="43"/>
      <c r="Y72" s="44" t="s">
        <v>149</v>
      </c>
      <c r="Z72" s="53">
        <v>1000</v>
      </c>
      <c r="AA72" s="25">
        <f>VLOOKUP(F72,Zones!$A$2:$F$15614,6,FALSE)</f>
        <v>521</v>
      </c>
      <c r="AB72" s="25">
        <f>VLOOKUP(L72,Zones!$A$2:$F$15614,6,FALSE)</f>
        <v>522</v>
      </c>
    </row>
    <row r="73" spans="2:28">
      <c r="B73" s="39">
        <v>0.93055555555555547</v>
      </c>
      <c r="C73" s="39" t="s">
        <v>265</v>
      </c>
      <c r="D73" s="40">
        <v>11</v>
      </c>
      <c r="E73" s="41">
        <v>2</v>
      </c>
      <c r="F73" s="41" t="s">
        <v>266</v>
      </c>
      <c r="G73" s="42" t="s">
        <v>148</v>
      </c>
      <c r="H73" s="41" t="s">
        <v>147</v>
      </c>
      <c r="I73" s="42">
        <v>8</v>
      </c>
      <c r="J73" s="42">
        <v>2</v>
      </c>
      <c r="K73" s="25" t="str">
        <f>VLOOKUP(J73,Key!$E$2:$F$9,2,FALSE)</f>
        <v>Work</v>
      </c>
      <c r="L73" s="41" t="s">
        <v>256</v>
      </c>
      <c r="M73" s="42" t="s">
        <v>148</v>
      </c>
      <c r="N73" s="41" t="s">
        <v>147</v>
      </c>
      <c r="O73" s="42">
        <v>8</v>
      </c>
      <c r="P73" s="42">
        <v>2</v>
      </c>
      <c r="Q73" s="25" t="str">
        <f>VLOOKUP(P73,Key!$E$2:$F$9,2,FALSE)</f>
        <v>Work</v>
      </c>
      <c r="R73" s="25" t="str">
        <f t="shared" si="2"/>
        <v>Work-Work</v>
      </c>
      <c r="S73" s="43">
        <v>4</v>
      </c>
      <c r="T73" s="43">
        <v>0.4</v>
      </c>
      <c r="U73" s="42">
        <v>3</v>
      </c>
      <c r="V73" s="42"/>
      <c r="W73" s="43"/>
      <c r="X73" s="43"/>
      <c r="Y73" s="44" t="s">
        <v>149</v>
      </c>
      <c r="Z73" s="53"/>
      <c r="AA73" s="25">
        <f>VLOOKUP(F73,Zones!$A$2:$F$15614,6,FALSE)</f>
        <v>1397</v>
      </c>
      <c r="AB73" s="25">
        <f>VLOOKUP(L73,Zones!$A$2:$F$15614,6,FALSE)</f>
        <v>521</v>
      </c>
    </row>
    <row r="74" spans="2:28">
      <c r="B74" s="39">
        <v>0.94097222222222221</v>
      </c>
      <c r="C74" s="39" t="s">
        <v>267</v>
      </c>
      <c r="D74" s="40">
        <v>11</v>
      </c>
      <c r="E74" s="41">
        <v>2</v>
      </c>
      <c r="F74" s="41" t="s">
        <v>266</v>
      </c>
      <c r="G74" s="42" t="s">
        <v>148</v>
      </c>
      <c r="H74" s="41" t="s">
        <v>147</v>
      </c>
      <c r="I74" s="42">
        <v>8</v>
      </c>
      <c r="J74" s="42">
        <v>2</v>
      </c>
      <c r="K74" s="25" t="str">
        <f>VLOOKUP(J74,Key!$E$2:$F$9,2,FALSE)</f>
        <v>Work</v>
      </c>
      <c r="L74" s="41" t="s">
        <v>256</v>
      </c>
      <c r="M74" s="42" t="s">
        <v>148</v>
      </c>
      <c r="N74" s="41" t="s">
        <v>147</v>
      </c>
      <c r="O74" s="42">
        <v>8</v>
      </c>
      <c r="P74" s="42">
        <v>2</v>
      </c>
      <c r="Q74" s="25" t="str">
        <f>VLOOKUP(P74,Key!$E$2:$F$9,2,FALSE)</f>
        <v>Work</v>
      </c>
      <c r="R74" s="25" t="str">
        <f t="shared" si="2"/>
        <v>Work-Work</v>
      </c>
      <c r="S74" s="43"/>
      <c r="T74" s="43">
        <v>0.6</v>
      </c>
      <c r="U74" s="42">
        <v>1</v>
      </c>
      <c r="V74" s="42"/>
      <c r="W74" s="43"/>
      <c r="X74" s="43"/>
      <c r="Y74" s="44" t="s">
        <v>149</v>
      </c>
      <c r="Z74" s="53"/>
      <c r="AA74" s="25">
        <f>VLOOKUP(F74,Zones!$A$2:$F$15614,6,FALSE)</f>
        <v>1397</v>
      </c>
      <c r="AB74" s="25">
        <f>VLOOKUP(L74,Zones!$A$2:$F$15614,6,FALSE)</f>
        <v>521</v>
      </c>
    </row>
    <row r="75" spans="2:28">
      <c r="B75" s="39">
        <v>0.9458333333333333</v>
      </c>
      <c r="C75" s="39" t="s">
        <v>268</v>
      </c>
      <c r="D75" s="40">
        <v>1</v>
      </c>
      <c r="E75" s="41">
        <v>2</v>
      </c>
      <c r="F75" s="41" t="s">
        <v>202</v>
      </c>
      <c r="G75" s="42" t="s">
        <v>148</v>
      </c>
      <c r="H75" s="41" t="s">
        <v>147</v>
      </c>
      <c r="I75" s="42">
        <v>1</v>
      </c>
      <c r="J75" s="42">
        <v>1</v>
      </c>
      <c r="K75" s="25" t="str">
        <f>VLOOKUP(J75,Key!$E$2:$F$9,2,FALSE)</f>
        <v>Home</v>
      </c>
      <c r="L75" s="41" t="s">
        <v>207</v>
      </c>
      <c r="M75" s="42" t="s">
        <v>146</v>
      </c>
      <c r="N75" s="41" t="s">
        <v>147</v>
      </c>
      <c r="O75" s="42">
        <v>16</v>
      </c>
      <c r="P75" s="42">
        <v>6</v>
      </c>
      <c r="Q75" s="25" t="str">
        <f>VLOOKUP(P75,Key!$E$2:$F$9,2,FALSE)</f>
        <v>Leisure/Social</v>
      </c>
      <c r="R75" s="25" t="str">
        <f t="shared" si="2"/>
        <v>Home-Leisure/Social</v>
      </c>
      <c r="S75" s="43"/>
      <c r="T75" s="43">
        <v>0.3</v>
      </c>
      <c r="U75" s="42">
        <v>3</v>
      </c>
      <c r="V75" s="42"/>
      <c r="W75" s="43"/>
      <c r="X75" s="43"/>
      <c r="Y75" s="44" t="s">
        <v>149</v>
      </c>
      <c r="Z75" s="53">
        <v>1000</v>
      </c>
      <c r="AA75" s="25">
        <f>VLOOKUP(F75,Zones!$A$2:$F$15614,6,FALSE)</f>
        <v>1398</v>
      </c>
      <c r="AB75" s="25">
        <f>VLOOKUP(L75,Zones!$A$2:$F$15614,6,FALSE)</f>
        <v>522</v>
      </c>
    </row>
    <row r="76" spans="2:28">
      <c r="B76" s="39">
        <v>0.99305555555555547</v>
      </c>
      <c r="C76" s="39" t="s">
        <v>269</v>
      </c>
      <c r="D76" s="40">
        <v>1</v>
      </c>
      <c r="E76" s="41">
        <v>1</v>
      </c>
      <c r="F76" s="41" t="s">
        <v>163</v>
      </c>
      <c r="G76" s="42" t="s">
        <v>148</v>
      </c>
      <c r="H76" s="41" t="s">
        <v>147</v>
      </c>
      <c r="I76" s="42">
        <v>16</v>
      </c>
      <c r="J76" s="42">
        <v>8</v>
      </c>
      <c r="K76" s="25" t="str">
        <f>VLOOKUP(J76,Key!$E$2:$F$9,2,FALSE)</f>
        <v>Others</v>
      </c>
      <c r="L76" s="41" t="s">
        <v>207</v>
      </c>
      <c r="M76" s="42" t="s">
        <v>146</v>
      </c>
      <c r="N76" s="41" t="s">
        <v>147</v>
      </c>
      <c r="O76" s="42">
        <v>1</v>
      </c>
      <c r="P76" s="42">
        <v>1</v>
      </c>
      <c r="Q76" s="25" t="str">
        <f>VLOOKUP(P76,Key!$E$2:$F$9,2,FALSE)</f>
        <v>Home</v>
      </c>
      <c r="R76" s="25" t="str">
        <f t="shared" si="2"/>
        <v>Others-Home</v>
      </c>
      <c r="S76" s="43"/>
      <c r="T76" s="43">
        <v>0.4</v>
      </c>
      <c r="U76" s="42">
        <v>4</v>
      </c>
      <c r="V76" s="42"/>
      <c r="W76" s="43"/>
      <c r="X76" s="43"/>
      <c r="Y76" s="44" t="s">
        <v>149</v>
      </c>
      <c r="Z76" s="53">
        <v>3000</v>
      </c>
      <c r="AA76" s="25">
        <f>VLOOKUP(F76,Zones!$A$2:$F$15614,6,FALSE)</f>
        <v>1407</v>
      </c>
      <c r="AB76" s="25">
        <f>VLOOKUP(L76,Zones!$A$2:$F$15614,6,FALSE)</f>
        <v>522</v>
      </c>
    </row>
    <row r="77" spans="2:28">
      <c r="B77" s="39">
        <v>0.98749999999999993</v>
      </c>
      <c r="C77" s="39" t="s">
        <v>270</v>
      </c>
      <c r="D77" s="40">
        <v>1</v>
      </c>
      <c r="E77" s="41">
        <v>1</v>
      </c>
      <c r="F77" s="41" t="s">
        <v>271</v>
      </c>
      <c r="G77" s="42" t="s">
        <v>146</v>
      </c>
      <c r="H77" s="41" t="s">
        <v>147</v>
      </c>
      <c r="I77" s="42">
        <v>2</v>
      </c>
      <c r="J77" s="42">
        <v>2</v>
      </c>
      <c r="K77" s="25" t="str">
        <f>VLOOKUP(J77,Key!$E$2:$F$9,2,FALSE)</f>
        <v>Work</v>
      </c>
      <c r="L77" s="41" t="s">
        <v>207</v>
      </c>
      <c r="M77" s="42" t="s">
        <v>146</v>
      </c>
      <c r="N77" s="41" t="s">
        <v>147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2"/>
        <v>Work-Home</v>
      </c>
      <c r="S77" s="43"/>
      <c r="T77" s="43">
        <v>0.8</v>
      </c>
      <c r="U77" s="42">
        <v>2</v>
      </c>
      <c r="V77" s="42"/>
      <c r="W77" s="43"/>
      <c r="X77" s="43"/>
      <c r="Y77" s="44" t="s">
        <v>149</v>
      </c>
      <c r="Z77" s="53">
        <v>2000</v>
      </c>
      <c r="AA77" s="25">
        <f>VLOOKUP(F77,Zones!$A$2:$F$15614,6,FALSE)</f>
        <v>556</v>
      </c>
      <c r="AB77" s="25">
        <f>VLOOKUP(L77,Zones!$A$2:$F$15614,6,FALSE)</f>
        <v>522</v>
      </c>
    </row>
    <row r="78" spans="2:28">
      <c r="B78" s="39">
        <v>0.5</v>
      </c>
      <c r="C78" s="39" t="s">
        <v>272</v>
      </c>
      <c r="D78" s="40">
        <v>1</v>
      </c>
      <c r="E78" s="41">
        <v>1</v>
      </c>
      <c r="F78" s="41" t="s">
        <v>273</v>
      </c>
      <c r="G78" s="42" t="s">
        <v>146</v>
      </c>
      <c r="H78" s="41" t="s">
        <v>147</v>
      </c>
      <c r="I78" s="42">
        <v>5</v>
      </c>
      <c r="J78" s="42">
        <v>7</v>
      </c>
      <c r="K78" s="25" t="str">
        <f>VLOOKUP(J78,Key!$E$2:$F$9,2,FALSE)</f>
        <v>Hospital</v>
      </c>
      <c r="L78" s="41" t="s">
        <v>152</v>
      </c>
      <c r="M78" s="42" t="s">
        <v>148</v>
      </c>
      <c r="N78" s="41" t="s">
        <v>147</v>
      </c>
      <c r="O78" s="42">
        <v>1</v>
      </c>
      <c r="P78" s="42">
        <v>1</v>
      </c>
      <c r="Q78" s="25" t="str">
        <f>VLOOKUP(P78,Key!$E$2:$F$9,2,FALSE)</f>
        <v>Home</v>
      </c>
      <c r="R78" s="25" t="str">
        <f t="shared" si="2"/>
        <v>Hospital-Home</v>
      </c>
      <c r="S78" s="43"/>
      <c r="T78" s="43">
        <v>1</v>
      </c>
      <c r="U78" s="42">
        <v>1</v>
      </c>
      <c r="V78" s="42"/>
      <c r="W78" s="43"/>
      <c r="X78" s="43"/>
      <c r="Y78" s="44" t="s">
        <v>149</v>
      </c>
      <c r="Z78" s="53">
        <v>1000</v>
      </c>
      <c r="AA78" s="25">
        <f>VLOOKUP(F78,Zones!$A$2:$F$15614,6,FALSE)</f>
        <v>558</v>
      </c>
      <c r="AB78" s="25">
        <f>VLOOKUP(L78,Zones!$A$2:$F$15614,6,FALSE)</f>
        <v>522</v>
      </c>
    </row>
    <row r="79" spans="2:28">
      <c r="B79" s="39">
        <v>5.6944444444444443E-2</v>
      </c>
      <c r="C79" s="39" t="s">
        <v>274</v>
      </c>
      <c r="D79" s="40">
        <v>1</v>
      </c>
      <c r="E79" s="41">
        <v>1</v>
      </c>
      <c r="F79" s="41" t="s">
        <v>275</v>
      </c>
      <c r="G79" s="42" t="s">
        <v>146</v>
      </c>
      <c r="H79" s="41" t="s">
        <v>147</v>
      </c>
      <c r="I79" s="42">
        <v>16</v>
      </c>
      <c r="J79" s="42">
        <v>2</v>
      </c>
      <c r="K79" s="25" t="str">
        <f>VLOOKUP(J79,Key!$E$2:$F$9,2,FALSE)</f>
        <v>Work</v>
      </c>
      <c r="L79" s="41" t="s">
        <v>152</v>
      </c>
      <c r="M79" s="42" t="s">
        <v>148</v>
      </c>
      <c r="N79" s="41" t="s">
        <v>147</v>
      </c>
      <c r="O79" s="42">
        <v>1</v>
      </c>
      <c r="P79" s="42">
        <v>1</v>
      </c>
      <c r="Q79" s="25" t="str">
        <f>VLOOKUP(P79,Key!$E$2:$F$9,2,FALSE)</f>
        <v>Home</v>
      </c>
      <c r="R79" s="25" t="str">
        <f t="shared" si="2"/>
        <v>Work-Home</v>
      </c>
      <c r="S79" s="43"/>
      <c r="T79" s="43">
        <v>1.5</v>
      </c>
      <c r="U79" s="42">
        <v>2</v>
      </c>
      <c r="V79" s="42"/>
      <c r="W79" s="43"/>
      <c r="X79" s="43"/>
      <c r="Y79" s="44" t="s">
        <v>149</v>
      </c>
      <c r="Z79" s="53">
        <v>2000</v>
      </c>
      <c r="AA79" s="25">
        <f>VLOOKUP(F79,Zones!$A$2:$F$15614,6,FALSE)</f>
        <v>577</v>
      </c>
      <c r="AB79" s="25">
        <f>VLOOKUP(L79,Zones!$A$2:$F$15614,6,FALSE)</f>
        <v>522</v>
      </c>
    </row>
    <row r="80" spans="2:28">
      <c r="B80" s="39">
        <v>0.71527777777777779</v>
      </c>
      <c r="C80" s="39" t="s">
        <v>276</v>
      </c>
      <c r="D80" s="40">
        <v>4</v>
      </c>
      <c r="E80" s="41">
        <v>14</v>
      </c>
      <c r="F80" s="41" t="s">
        <v>181</v>
      </c>
      <c r="G80" s="42" t="s">
        <v>146</v>
      </c>
      <c r="H80" s="41" t="s">
        <v>147</v>
      </c>
      <c r="I80" s="42">
        <v>6</v>
      </c>
      <c r="J80" s="42">
        <v>2</v>
      </c>
      <c r="K80" s="25" t="str">
        <f>VLOOKUP(J80,Key!$E$2:$F$9,2,FALSE)</f>
        <v>Work</v>
      </c>
      <c r="L80" s="41" t="s">
        <v>152</v>
      </c>
      <c r="M80" s="42" t="s">
        <v>148</v>
      </c>
      <c r="N80" s="41" t="s">
        <v>147</v>
      </c>
      <c r="O80" s="42">
        <v>6</v>
      </c>
      <c r="P80" s="42">
        <v>2</v>
      </c>
      <c r="Q80" s="25" t="str">
        <f>VLOOKUP(P80,Key!$E$2:$F$9,2,FALSE)</f>
        <v>Work</v>
      </c>
      <c r="R80" s="25" t="str">
        <f>K80&amp;"-"&amp;Q80</f>
        <v>Work-Work</v>
      </c>
      <c r="S80" s="43"/>
      <c r="T80" s="43">
        <v>1.5</v>
      </c>
      <c r="U80" s="42">
        <v>1</v>
      </c>
      <c r="V80" s="42"/>
      <c r="W80" s="43"/>
      <c r="X80" s="43"/>
      <c r="Y80" s="44" t="s">
        <v>149</v>
      </c>
      <c r="Z80" s="52">
        <v>1000</v>
      </c>
      <c r="AA80" s="25">
        <f>VLOOKUP(F80,Zones!$A$2:$F$15614,6,FALSE)</f>
        <v>536</v>
      </c>
      <c r="AB80" s="25">
        <f>VLOOKUP(L80,Zones!$A$2:$F$15614,6,FALSE)</f>
        <v>522</v>
      </c>
    </row>
    <row r="81" spans="2:28">
      <c r="B81" s="39">
        <v>0.68055555555555547</v>
      </c>
      <c r="C81" s="39" t="s">
        <v>277</v>
      </c>
      <c r="D81" s="40">
        <v>11</v>
      </c>
      <c r="E81" s="41">
        <v>2</v>
      </c>
      <c r="F81" s="41" t="s">
        <v>158</v>
      </c>
      <c r="G81" s="42" t="s">
        <v>146</v>
      </c>
      <c r="H81" s="41" t="s">
        <v>147</v>
      </c>
      <c r="I81" s="42">
        <v>8</v>
      </c>
      <c r="J81" s="42">
        <v>2</v>
      </c>
      <c r="K81" s="25" t="str">
        <f>VLOOKUP(J81,Key!$E$2:$F$9,2,FALSE)</f>
        <v>Work</v>
      </c>
      <c r="L81" s="41" t="s">
        <v>152</v>
      </c>
      <c r="M81" s="42" t="s">
        <v>148</v>
      </c>
      <c r="N81" s="41" t="s">
        <v>147</v>
      </c>
      <c r="O81" s="42">
        <v>8</v>
      </c>
      <c r="P81" s="42">
        <v>2</v>
      </c>
      <c r="Q81" s="25" t="str">
        <f>VLOOKUP(P81,Key!$E$2:$F$9,2,FALSE)</f>
        <v>Work</v>
      </c>
      <c r="R81" s="25" t="str">
        <f t="shared" ref="R81:R144" si="3">K81&amp;"-"&amp;Q81</f>
        <v>Work-Work</v>
      </c>
      <c r="S81" s="43"/>
      <c r="T81" s="43">
        <v>0.8</v>
      </c>
      <c r="U81" s="42">
        <v>3</v>
      </c>
      <c r="V81" s="42"/>
      <c r="W81" s="43"/>
      <c r="X81" s="43"/>
      <c r="Y81" s="44" t="s">
        <v>149</v>
      </c>
      <c r="Z81" s="52">
        <v>1000</v>
      </c>
      <c r="AA81" s="25">
        <f>VLOOKUP(F81,Zones!$A$2:$F$15614,6,FALSE)</f>
        <v>521</v>
      </c>
      <c r="AB81" s="25">
        <f>VLOOKUP(L81,Zones!$A$2:$F$15614,6,FALSE)</f>
        <v>522</v>
      </c>
    </row>
    <row r="82" spans="2:28">
      <c r="B82" s="39">
        <v>0.66527777777777775</v>
      </c>
      <c r="C82" s="39" t="s">
        <v>278</v>
      </c>
      <c r="D82" s="40">
        <v>10</v>
      </c>
      <c r="E82" s="41">
        <v>2</v>
      </c>
      <c r="F82" s="41" t="s">
        <v>279</v>
      </c>
      <c r="G82" s="42" t="s">
        <v>148</v>
      </c>
      <c r="H82" s="41" t="s">
        <v>147</v>
      </c>
      <c r="I82" s="42">
        <v>10</v>
      </c>
      <c r="J82" s="42">
        <v>2</v>
      </c>
      <c r="K82" s="25" t="str">
        <f>VLOOKUP(J82,Key!$E$2:$F$9,2,FALSE)</f>
        <v>Work</v>
      </c>
      <c r="L82" s="41" t="s">
        <v>152</v>
      </c>
      <c r="M82" s="42" t="s">
        <v>148</v>
      </c>
      <c r="N82" s="41" t="s">
        <v>147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3"/>
        <v>Work-Home</v>
      </c>
      <c r="S82" s="43"/>
      <c r="T82" s="43">
        <v>0.8</v>
      </c>
      <c r="U82" s="42">
        <v>1</v>
      </c>
      <c r="V82" s="42"/>
      <c r="W82" s="43"/>
      <c r="X82" s="43"/>
      <c r="Y82" s="44" t="s">
        <v>149</v>
      </c>
      <c r="Z82" s="52">
        <v>500</v>
      </c>
      <c r="AA82" s="25">
        <f>VLOOKUP(F82,Zones!$A$2:$F$15614,6,FALSE)</f>
        <v>522</v>
      </c>
      <c r="AB82" s="25">
        <f>VLOOKUP(L82,Zones!$A$2:$F$15614,6,FALSE)</f>
        <v>522</v>
      </c>
    </row>
    <row r="83" spans="2:28">
      <c r="B83" s="39">
        <v>0.65763888888888888</v>
      </c>
      <c r="C83" s="39" t="s">
        <v>280</v>
      </c>
      <c r="D83" s="40">
        <v>11</v>
      </c>
      <c r="E83" s="41">
        <v>1</v>
      </c>
      <c r="F83" s="41" t="s">
        <v>255</v>
      </c>
      <c r="G83" s="42" t="s">
        <v>146</v>
      </c>
      <c r="H83" s="41" t="s">
        <v>147</v>
      </c>
      <c r="I83" s="42">
        <v>8</v>
      </c>
      <c r="J83" s="42">
        <v>2</v>
      </c>
      <c r="K83" s="25" t="str">
        <f>VLOOKUP(J83,Key!$E$2:$F$9,2,FALSE)</f>
        <v>Work</v>
      </c>
      <c r="L83" s="41" t="s">
        <v>152</v>
      </c>
      <c r="M83" s="42" t="s">
        <v>148</v>
      </c>
      <c r="N83" s="41" t="s">
        <v>147</v>
      </c>
      <c r="O83" s="42">
        <v>1</v>
      </c>
      <c r="P83" s="42">
        <v>1</v>
      </c>
      <c r="Q83" s="25" t="str">
        <f>VLOOKUP(P83,Key!$E$2:$F$9,2,FALSE)</f>
        <v>Home</v>
      </c>
      <c r="R83" s="25" t="str">
        <f t="shared" si="3"/>
        <v>Work-Home</v>
      </c>
      <c r="S83" s="43"/>
      <c r="T83" s="43">
        <v>0.8</v>
      </c>
      <c r="U83" s="42">
        <v>1</v>
      </c>
      <c r="V83" s="42"/>
      <c r="W83" s="43"/>
      <c r="X83" s="43"/>
      <c r="Y83" s="44" t="s">
        <v>149</v>
      </c>
      <c r="Z83" s="52">
        <v>1000</v>
      </c>
      <c r="AA83" s="25">
        <f>VLOOKUP(F83,Zones!$A$2:$F$15614,6,FALSE)</f>
        <v>532</v>
      </c>
      <c r="AB83" s="25">
        <f>VLOOKUP(L83,Zones!$A$2:$F$15614,6,FALSE)</f>
        <v>522</v>
      </c>
    </row>
    <row r="84" spans="2:28">
      <c r="B84" s="39">
        <v>0.64861111111111114</v>
      </c>
      <c r="C84" s="39" t="s">
        <v>281</v>
      </c>
      <c r="D84" s="40">
        <v>8</v>
      </c>
      <c r="E84" s="41">
        <v>1</v>
      </c>
      <c r="F84" s="42" t="s">
        <v>279</v>
      </c>
      <c r="G84" s="42" t="s">
        <v>148</v>
      </c>
      <c r="H84" s="41" t="s">
        <v>147</v>
      </c>
      <c r="I84" s="42">
        <v>10</v>
      </c>
      <c r="J84" s="42">
        <v>2</v>
      </c>
      <c r="K84" s="25" t="str">
        <f>VLOOKUP(J84,Key!$E$2:$F$9,2,FALSE)</f>
        <v>Work</v>
      </c>
      <c r="L84" s="41" t="s">
        <v>152</v>
      </c>
      <c r="M84" s="42" t="s">
        <v>148</v>
      </c>
      <c r="N84" s="41" t="s">
        <v>147</v>
      </c>
      <c r="O84" s="42">
        <v>15</v>
      </c>
      <c r="P84" s="42">
        <v>2</v>
      </c>
      <c r="Q84" s="25" t="str">
        <f>VLOOKUP(P84,Key!$E$2:$F$9,2,FALSE)</f>
        <v>Work</v>
      </c>
      <c r="R84" s="25" t="str">
        <f t="shared" si="3"/>
        <v>Work-Work</v>
      </c>
      <c r="S84" s="43"/>
      <c r="T84" s="43">
        <v>1</v>
      </c>
      <c r="U84" s="42">
        <v>1</v>
      </c>
      <c r="V84" s="42"/>
      <c r="W84" s="43"/>
      <c r="X84" s="43"/>
      <c r="Y84" s="44" t="s">
        <v>149</v>
      </c>
      <c r="Z84" s="52">
        <v>2000</v>
      </c>
      <c r="AA84" s="25">
        <f>VLOOKUP(F84,Zones!$A$2:$F$15614,6,FALSE)</f>
        <v>522</v>
      </c>
      <c r="AB84" s="25">
        <f>VLOOKUP(L84,Zones!$A$2:$F$15614,6,FALSE)</f>
        <v>522</v>
      </c>
    </row>
    <row r="85" spans="2:28">
      <c r="B85" s="39">
        <v>0.64027777777777783</v>
      </c>
      <c r="C85" s="39" t="s">
        <v>282</v>
      </c>
      <c r="D85" s="40">
        <v>1</v>
      </c>
      <c r="E85" s="41">
        <v>2</v>
      </c>
      <c r="F85" s="42" t="s">
        <v>279</v>
      </c>
      <c r="G85" s="42" t="s">
        <v>148</v>
      </c>
      <c r="H85" s="41" t="s">
        <v>147</v>
      </c>
      <c r="I85" s="42">
        <v>1</v>
      </c>
      <c r="J85" s="42">
        <v>1</v>
      </c>
      <c r="K85" s="25" t="str">
        <f>VLOOKUP(J85,Key!$E$2:$F$9,2,FALSE)</f>
        <v>Home</v>
      </c>
      <c r="L85" s="41" t="s">
        <v>153</v>
      </c>
      <c r="M85" s="42" t="s">
        <v>148</v>
      </c>
      <c r="N85" s="41" t="s">
        <v>147</v>
      </c>
      <c r="O85" s="42">
        <v>16</v>
      </c>
      <c r="P85" s="42">
        <v>2</v>
      </c>
      <c r="Q85" s="25" t="str">
        <f>VLOOKUP(P85,Key!$E$2:$F$9,2,FALSE)</f>
        <v>Work</v>
      </c>
      <c r="R85" s="25" t="str">
        <f t="shared" si="3"/>
        <v>Home-Work</v>
      </c>
      <c r="S85" s="43"/>
      <c r="T85" s="43">
        <v>0.6</v>
      </c>
      <c r="U85" s="42">
        <v>2</v>
      </c>
      <c r="V85" s="42"/>
      <c r="W85" s="43"/>
      <c r="X85" s="43"/>
      <c r="Y85" s="44" t="s">
        <v>149</v>
      </c>
      <c r="Z85" s="52">
        <v>1000</v>
      </c>
      <c r="AA85" s="25">
        <f>VLOOKUP(F85,Zones!$A$2:$F$15614,6,FALSE)</f>
        <v>522</v>
      </c>
      <c r="AB85" s="25">
        <f>VLOOKUP(L85,Zones!$A$2:$F$15614,6,FALSE)</f>
        <v>1387</v>
      </c>
    </row>
    <row r="86" spans="2:28">
      <c r="B86" s="39">
        <v>0.625</v>
      </c>
      <c r="C86" s="39" t="s">
        <v>283</v>
      </c>
      <c r="D86" s="40">
        <v>1</v>
      </c>
      <c r="E86" s="41">
        <v>2</v>
      </c>
      <c r="F86" s="82" t="s">
        <v>2181</v>
      </c>
      <c r="G86" s="42" t="s">
        <v>148</v>
      </c>
      <c r="H86" s="41" t="s">
        <v>147</v>
      </c>
      <c r="I86" s="42">
        <v>1</v>
      </c>
      <c r="J86" s="42">
        <v>1</v>
      </c>
      <c r="K86" s="25" t="str">
        <f>VLOOKUP(J86,Key!$E$2:$F$9,2,FALSE)</f>
        <v>Home</v>
      </c>
      <c r="L86" s="41" t="s">
        <v>285</v>
      </c>
      <c r="M86" s="42" t="s">
        <v>146</v>
      </c>
      <c r="N86" s="41" t="s">
        <v>147</v>
      </c>
      <c r="O86" s="42">
        <v>2</v>
      </c>
      <c r="P86" s="42">
        <v>2</v>
      </c>
      <c r="Q86" s="25" t="str">
        <f>VLOOKUP(P86,Key!$E$2:$F$9,2,FALSE)</f>
        <v>Work</v>
      </c>
      <c r="R86" s="25" t="str">
        <f t="shared" si="3"/>
        <v>Home-Work</v>
      </c>
      <c r="S86" s="43">
        <v>15</v>
      </c>
      <c r="T86" s="43">
        <v>0.8</v>
      </c>
      <c r="U86" s="42">
        <v>2</v>
      </c>
      <c r="V86" s="42"/>
      <c r="W86" s="43"/>
      <c r="X86" s="43"/>
      <c r="Y86" s="44" t="s">
        <v>149</v>
      </c>
      <c r="Z86" s="52">
        <v>1000</v>
      </c>
      <c r="AA86" s="25">
        <f>VLOOKUP(F86,Zones!$A$2:$F$15614,6,FALSE)</f>
        <v>1409</v>
      </c>
      <c r="AB86" s="25">
        <f>VLOOKUP(L86,Zones!$A$2:$F$15614,6,FALSE)</f>
        <v>529</v>
      </c>
    </row>
    <row r="87" spans="2:28">
      <c r="B87" s="39">
        <v>0.61944444444444446</v>
      </c>
      <c r="C87" s="39" t="s">
        <v>286</v>
      </c>
      <c r="D87" s="40">
        <v>1</v>
      </c>
      <c r="E87" s="41">
        <v>2</v>
      </c>
      <c r="F87" s="41" t="s">
        <v>287</v>
      </c>
      <c r="G87" s="42" t="s">
        <v>148</v>
      </c>
      <c r="H87" s="41" t="s">
        <v>147</v>
      </c>
      <c r="I87" s="42">
        <v>1</v>
      </c>
      <c r="J87" s="42">
        <v>1</v>
      </c>
      <c r="K87" s="25" t="str">
        <f>VLOOKUP(J87,Key!$E$2:$F$9,2,FALSE)</f>
        <v>Home</v>
      </c>
      <c r="L87" s="41" t="s">
        <v>158</v>
      </c>
      <c r="M87" s="42" t="s">
        <v>146</v>
      </c>
      <c r="N87" s="41" t="s">
        <v>147</v>
      </c>
      <c r="O87" s="42">
        <v>2</v>
      </c>
      <c r="P87" s="42">
        <v>1</v>
      </c>
      <c r="Q87" s="25" t="str">
        <f>VLOOKUP(P87,Key!$E$2:$F$9,2,FALSE)</f>
        <v>Home</v>
      </c>
      <c r="R87" s="25" t="str">
        <f t="shared" si="3"/>
        <v>Home-Home</v>
      </c>
      <c r="S87" s="43"/>
      <c r="T87" s="43">
        <v>0.8</v>
      </c>
      <c r="U87" s="42">
        <v>1</v>
      </c>
      <c r="V87" s="42"/>
      <c r="W87" s="43"/>
      <c r="X87" s="43"/>
      <c r="Y87" s="44" t="s">
        <v>149</v>
      </c>
      <c r="Z87" s="52">
        <v>1000</v>
      </c>
      <c r="AA87" s="25">
        <f>VLOOKUP(F87,Zones!$A$2:$F$15614,6,FALSE)</f>
        <v>746</v>
      </c>
      <c r="AB87" s="25">
        <f>VLOOKUP(L87,Zones!$A$2:$F$15614,6,FALSE)</f>
        <v>521</v>
      </c>
    </row>
    <row r="88" spans="2:28">
      <c r="B88" s="39">
        <v>0.61041666666666672</v>
      </c>
      <c r="C88" s="39" t="s">
        <v>288</v>
      </c>
      <c r="D88" s="40">
        <v>11</v>
      </c>
      <c r="E88" s="41">
        <v>2</v>
      </c>
      <c r="F88" s="41" t="s">
        <v>161</v>
      </c>
      <c r="G88" s="42" t="s">
        <v>148</v>
      </c>
      <c r="H88" s="41" t="s">
        <v>147</v>
      </c>
      <c r="I88" s="42">
        <v>8</v>
      </c>
      <c r="J88" s="42">
        <v>2</v>
      </c>
      <c r="K88" s="25" t="str">
        <f>VLOOKUP(J88,Key!$E$2:$F$9,2,FALSE)</f>
        <v>Work</v>
      </c>
      <c r="L88" s="41" t="s">
        <v>152</v>
      </c>
      <c r="M88" s="42" t="s">
        <v>148</v>
      </c>
      <c r="N88" s="41" t="s">
        <v>147</v>
      </c>
      <c r="O88" s="42">
        <v>8</v>
      </c>
      <c r="P88" s="42">
        <v>2</v>
      </c>
      <c r="Q88" s="25" t="str">
        <f>VLOOKUP(P88,Key!$E$2:$F$9,2,FALSE)</f>
        <v>Work</v>
      </c>
      <c r="R88" s="25" t="str">
        <f t="shared" si="3"/>
        <v>Work-Work</v>
      </c>
      <c r="S88" s="43"/>
      <c r="T88" s="43">
        <v>0.3</v>
      </c>
      <c r="U88" s="42">
        <v>1</v>
      </c>
      <c r="V88" s="42"/>
      <c r="W88" s="43"/>
      <c r="X88" s="43"/>
      <c r="Y88" s="44" t="s">
        <v>149</v>
      </c>
      <c r="Z88" s="52">
        <v>1000</v>
      </c>
      <c r="AA88" s="25">
        <f>VLOOKUP(F88,Zones!$A$2:$F$15614,6,FALSE)</f>
        <v>522</v>
      </c>
      <c r="AB88" s="25">
        <f>VLOOKUP(L88,Zones!$A$2:$F$15614,6,FALSE)</f>
        <v>522</v>
      </c>
    </row>
    <row r="89" spans="2:28">
      <c r="B89" s="39">
        <v>0.59861111111111109</v>
      </c>
      <c r="C89" s="39" t="s">
        <v>289</v>
      </c>
      <c r="D89" s="40">
        <v>5</v>
      </c>
      <c r="E89" s="41">
        <v>36</v>
      </c>
      <c r="F89" s="82" t="s">
        <v>2181</v>
      </c>
      <c r="G89" s="42" t="s">
        <v>148</v>
      </c>
      <c r="H89" s="41" t="s">
        <v>147</v>
      </c>
      <c r="I89" s="42">
        <v>16</v>
      </c>
      <c r="J89" s="42">
        <v>8</v>
      </c>
      <c r="K89" s="25" t="str">
        <f>VLOOKUP(J89,Key!$E$2:$F$9,2,FALSE)</f>
        <v>Others</v>
      </c>
      <c r="L89" s="41" t="s">
        <v>152</v>
      </c>
      <c r="M89" s="42" t="s">
        <v>148</v>
      </c>
      <c r="N89" s="41" t="s">
        <v>147</v>
      </c>
      <c r="O89" s="42">
        <v>16</v>
      </c>
      <c r="P89" s="42">
        <v>6</v>
      </c>
      <c r="Q89" s="25" t="str">
        <f>VLOOKUP(P89,Key!$E$2:$F$9,2,FALSE)</f>
        <v>Leisure/Social</v>
      </c>
      <c r="R89" s="25" t="str">
        <f t="shared" si="3"/>
        <v>Others-Leisure/Social</v>
      </c>
      <c r="S89" s="43">
        <v>30</v>
      </c>
      <c r="T89" s="43">
        <v>120</v>
      </c>
      <c r="U89" s="42">
        <v>6</v>
      </c>
      <c r="V89" s="42"/>
      <c r="W89" s="43"/>
      <c r="X89" s="43"/>
      <c r="Y89" s="44" t="s">
        <v>149</v>
      </c>
      <c r="Z89" s="52"/>
      <c r="AA89" s="25">
        <f>VLOOKUP(F89,Zones!$A$2:$F$15614,6,FALSE)</f>
        <v>1409</v>
      </c>
      <c r="AB89" s="25">
        <f>VLOOKUP(L89,Zones!$A$2:$F$15614,6,FALSE)</f>
        <v>522</v>
      </c>
    </row>
    <row r="90" spans="2:28">
      <c r="B90" s="39">
        <v>0.58958333333333335</v>
      </c>
      <c r="C90" s="39" t="s">
        <v>291</v>
      </c>
      <c r="D90" s="40">
        <v>8</v>
      </c>
      <c r="E90" s="41">
        <v>2</v>
      </c>
      <c r="F90" s="42" t="s">
        <v>279</v>
      </c>
      <c r="G90" s="42" t="s">
        <v>148</v>
      </c>
      <c r="H90" s="41" t="s">
        <v>147</v>
      </c>
      <c r="I90" s="42">
        <v>10</v>
      </c>
      <c r="J90" s="42">
        <v>1</v>
      </c>
      <c r="K90" s="25" t="str">
        <f>VLOOKUP(J90,Key!$E$2:$F$9,2,FALSE)</f>
        <v>Home</v>
      </c>
      <c r="L90" s="41" t="s">
        <v>292</v>
      </c>
      <c r="M90" s="42" t="s">
        <v>148</v>
      </c>
      <c r="N90" s="41" t="s">
        <v>147</v>
      </c>
      <c r="O90" s="42">
        <v>15</v>
      </c>
      <c r="P90" s="42">
        <v>1</v>
      </c>
      <c r="Q90" s="25" t="str">
        <f>VLOOKUP(P90,Key!$E$2:$F$9,2,FALSE)</f>
        <v>Home</v>
      </c>
      <c r="R90" s="25" t="str">
        <f t="shared" si="3"/>
        <v>Home-Home</v>
      </c>
      <c r="S90" s="43">
        <v>1</v>
      </c>
      <c r="T90" s="43">
        <v>0.2</v>
      </c>
      <c r="U90" s="42">
        <v>1</v>
      </c>
      <c r="V90" s="42"/>
      <c r="W90" s="43"/>
      <c r="X90" s="43"/>
      <c r="Y90" s="44" t="s">
        <v>149</v>
      </c>
      <c r="Z90" s="52">
        <v>1500</v>
      </c>
      <c r="AA90" s="25">
        <f>VLOOKUP(F90,Zones!$A$2:$F$15614,6,FALSE)</f>
        <v>522</v>
      </c>
      <c r="AB90" s="25">
        <f>VLOOKUP(L90,Zones!$A$2:$F$15614,6,FALSE)</f>
        <v>522</v>
      </c>
    </row>
    <row r="91" spans="2:28">
      <c r="B91" s="39">
        <v>0.59305555555555556</v>
      </c>
      <c r="C91" s="39" t="s">
        <v>293</v>
      </c>
      <c r="D91" s="40">
        <v>1</v>
      </c>
      <c r="E91" s="41">
        <v>1</v>
      </c>
      <c r="F91" s="42" t="s">
        <v>279</v>
      </c>
      <c r="G91" s="42" t="s">
        <v>148</v>
      </c>
      <c r="H91" s="41" t="s">
        <v>147</v>
      </c>
      <c r="I91" s="42">
        <v>16</v>
      </c>
      <c r="J91" s="42">
        <v>8</v>
      </c>
      <c r="K91" s="25" t="str">
        <f>VLOOKUP(J91,Key!$E$2:$F$9,2,FALSE)</f>
        <v>Others</v>
      </c>
      <c r="L91" s="41" t="s">
        <v>153</v>
      </c>
      <c r="M91" s="42" t="s">
        <v>148</v>
      </c>
      <c r="N91" s="41" t="s">
        <v>147</v>
      </c>
      <c r="O91" s="42">
        <v>16</v>
      </c>
      <c r="P91" s="42">
        <v>8</v>
      </c>
      <c r="Q91" s="25" t="str">
        <f>VLOOKUP(P91,Key!$E$2:$F$9,2,FALSE)</f>
        <v>Others</v>
      </c>
      <c r="R91" s="25" t="str">
        <f t="shared" si="3"/>
        <v>Others-Others</v>
      </c>
      <c r="S91" s="43"/>
      <c r="T91" s="43">
        <v>0.3</v>
      </c>
      <c r="U91" s="42">
        <v>1</v>
      </c>
      <c r="V91" s="42"/>
      <c r="W91" s="43"/>
      <c r="X91" s="43"/>
      <c r="Y91" s="44" t="s">
        <v>149</v>
      </c>
      <c r="Z91" s="52"/>
      <c r="AA91" s="25">
        <f>VLOOKUP(F91,Zones!$A$2:$F$15614,6,FALSE)</f>
        <v>522</v>
      </c>
      <c r="AB91" s="25">
        <f>VLOOKUP(L91,Zones!$A$2:$F$15614,6,FALSE)</f>
        <v>1387</v>
      </c>
    </row>
    <row r="92" spans="2:28">
      <c r="B92" s="39">
        <v>0.55763888888888891</v>
      </c>
      <c r="C92" s="39" t="s">
        <v>294</v>
      </c>
      <c r="D92" s="40">
        <v>11</v>
      </c>
      <c r="E92" s="41">
        <v>1</v>
      </c>
      <c r="F92" s="41" t="s">
        <v>295</v>
      </c>
      <c r="G92" s="42" t="s">
        <v>148</v>
      </c>
      <c r="H92" s="41" t="s">
        <v>147</v>
      </c>
      <c r="I92" s="42">
        <v>8</v>
      </c>
      <c r="J92" s="42">
        <v>2</v>
      </c>
      <c r="K92" s="25" t="str">
        <f>VLOOKUP(J92,Key!$E$2:$F$9,2,FALSE)</f>
        <v>Work</v>
      </c>
      <c r="L92" s="41" t="s">
        <v>152</v>
      </c>
      <c r="M92" s="42" t="s">
        <v>148</v>
      </c>
      <c r="N92" s="41" t="s">
        <v>147</v>
      </c>
      <c r="O92" s="42">
        <v>8</v>
      </c>
      <c r="P92" s="42">
        <v>2</v>
      </c>
      <c r="Q92" s="25" t="str">
        <f>VLOOKUP(P92,Key!$E$2:$F$9,2,FALSE)</f>
        <v>Work</v>
      </c>
      <c r="R92" s="25" t="str">
        <f t="shared" si="3"/>
        <v>Work-Work</v>
      </c>
      <c r="S92" s="43"/>
      <c r="T92" s="43">
        <v>0.3</v>
      </c>
      <c r="U92" s="42">
        <v>1</v>
      </c>
      <c r="V92" s="42"/>
      <c r="W92" s="43"/>
      <c r="X92" s="43"/>
      <c r="Y92" s="44" t="s">
        <v>149</v>
      </c>
      <c r="Z92" s="52"/>
      <c r="AA92" s="25">
        <f>VLOOKUP(F92,Zones!$A$2:$F$15614,6,FALSE)</f>
        <v>293</v>
      </c>
      <c r="AB92" s="25">
        <f>VLOOKUP(L92,Zones!$A$2:$F$15614,6,FALSE)</f>
        <v>522</v>
      </c>
    </row>
    <row r="93" spans="2:28">
      <c r="B93" s="39">
        <v>0.55555555555555558</v>
      </c>
      <c r="C93" s="39" t="s">
        <v>296</v>
      </c>
      <c r="D93" s="40">
        <v>1</v>
      </c>
      <c r="E93" s="41">
        <v>2</v>
      </c>
      <c r="F93" s="42" t="s">
        <v>279</v>
      </c>
      <c r="G93" s="42" t="s">
        <v>148</v>
      </c>
      <c r="H93" s="41" t="s">
        <v>147</v>
      </c>
      <c r="I93" s="42">
        <v>1</v>
      </c>
      <c r="J93" s="42">
        <v>1</v>
      </c>
      <c r="K93" s="25" t="str">
        <f>VLOOKUP(J93,Key!$E$2:$F$9,2,FALSE)</f>
        <v>Home</v>
      </c>
      <c r="L93" s="41" t="s">
        <v>297</v>
      </c>
      <c r="M93" s="42" t="s">
        <v>146</v>
      </c>
      <c r="N93" s="41" t="s">
        <v>147</v>
      </c>
      <c r="O93" s="42">
        <v>7</v>
      </c>
      <c r="P93" s="42">
        <v>8</v>
      </c>
      <c r="Q93" s="25" t="str">
        <f>VLOOKUP(P93,Key!$E$2:$F$9,2,FALSE)</f>
        <v>Others</v>
      </c>
      <c r="R93" s="25" t="str">
        <f t="shared" si="3"/>
        <v>Home-Others</v>
      </c>
      <c r="S93" s="43"/>
      <c r="T93" s="43">
        <v>1</v>
      </c>
      <c r="U93" s="42">
        <v>2</v>
      </c>
      <c r="V93" s="42"/>
      <c r="W93" s="43"/>
      <c r="X93" s="43"/>
      <c r="Y93" s="44" t="s">
        <v>149</v>
      </c>
      <c r="Z93" s="52">
        <v>1500</v>
      </c>
      <c r="AA93" s="25">
        <f>VLOOKUP(F93,Zones!$A$2:$F$15614,6,FALSE)</f>
        <v>522</v>
      </c>
      <c r="AB93" s="25">
        <f>VLOOKUP(L93,Zones!$A$2:$F$15614,6,FALSE)</f>
        <v>566</v>
      </c>
    </row>
    <row r="94" spans="2:28">
      <c r="B94" s="39">
        <v>0.5493055555555556</v>
      </c>
      <c r="C94" s="39" t="s">
        <v>298</v>
      </c>
      <c r="D94" s="40">
        <v>1</v>
      </c>
      <c r="E94" s="41">
        <v>1</v>
      </c>
      <c r="F94" s="41" t="s">
        <v>163</v>
      </c>
      <c r="G94" s="42" t="s">
        <v>148</v>
      </c>
      <c r="H94" s="41" t="s">
        <v>147</v>
      </c>
      <c r="I94" s="42">
        <v>1</v>
      </c>
      <c r="J94" s="42">
        <v>1</v>
      </c>
      <c r="K94" s="25" t="str">
        <f>VLOOKUP(J94,Key!$E$2:$F$9,2,FALSE)</f>
        <v>Home</v>
      </c>
      <c r="L94" s="41" t="s">
        <v>207</v>
      </c>
      <c r="M94" s="42" t="s">
        <v>146</v>
      </c>
      <c r="N94" s="41" t="s">
        <v>147</v>
      </c>
      <c r="O94" s="42">
        <v>16</v>
      </c>
      <c r="P94" s="42">
        <v>6</v>
      </c>
      <c r="Q94" s="25" t="str">
        <f>VLOOKUP(P94,Key!$E$2:$F$9,2,FALSE)</f>
        <v>Leisure/Social</v>
      </c>
      <c r="R94" s="25" t="str">
        <f t="shared" si="3"/>
        <v>Home-Leisure/Social</v>
      </c>
      <c r="S94" s="43"/>
      <c r="T94" s="43">
        <v>0.3</v>
      </c>
      <c r="U94" s="42">
        <v>1</v>
      </c>
      <c r="V94" s="42"/>
      <c r="W94" s="43"/>
      <c r="X94" s="43"/>
      <c r="Y94" s="44" t="s">
        <v>149</v>
      </c>
      <c r="Z94" s="52">
        <v>500</v>
      </c>
      <c r="AA94" s="25">
        <f>VLOOKUP(F94,Zones!$A$2:$F$15614,6,FALSE)</f>
        <v>1407</v>
      </c>
      <c r="AB94" s="25">
        <f>VLOOKUP(L94,Zones!$A$2:$F$15614,6,FALSE)</f>
        <v>522</v>
      </c>
    </row>
    <row r="95" spans="2:28">
      <c r="B95" s="39">
        <v>0.55208333333333337</v>
      </c>
      <c r="C95" s="39" t="s">
        <v>299</v>
      </c>
      <c r="D95" s="40">
        <v>8</v>
      </c>
      <c r="E95" s="41">
        <v>2</v>
      </c>
      <c r="F95" s="41" t="s">
        <v>279</v>
      </c>
      <c r="G95" s="42" t="s">
        <v>148</v>
      </c>
      <c r="H95" s="41" t="s">
        <v>147</v>
      </c>
      <c r="I95" s="42">
        <v>14</v>
      </c>
      <c r="J95" s="42">
        <v>2</v>
      </c>
      <c r="K95" s="25" t="str">
        <f>VLOOKUP(J95,Key!$E$2:$F$9,2,FALSE)</f>
        <v>Work</v>
      </c>
      <c r="L95" s="41" t="s">
        <v>152</v>
      </c>
      <c r="M95" s="42" t="s">
        <v>148</v>
      </c>
      <c r="N95" s="41" t="s">
        <v>147</v>
      </c>
      <c r="O95" s="42">
        <v>15</v>
      </c>
      <c r="P95" s="42">
        <v>2</v>
      </c>
      <c r="Q95" s="25" t="str">
        <f>VLOOKUP(P95,Key!$E$2:$F$9,2,FALSE)</f>
        <v>Work</v>
      </c>
      <c r="R95" s="25" t="str">
        <f t="shared" si="3"/>
        <v>Work-Work</v>
      </c>
      <c r="S95" s="43">
        <v>4.8499999999999996</v>
      </c>
      <c r="T95" s="43">
        <v>0.3</v>
      </c>
      <c r="U95" s="42">
        <v>3</v>
      </c>
      <c r="V95" s="42"/>
      <c r="W95" s="43"/>
      <c r="X95" s="43"/>
      <c r="Y95" s="44" t="s">
        <v>149</v>
      </c>
      <c r="Z95" s="52">
        <v>1000</v>
      </c>
      <c r="AA95" s="25">
        <f>VLOOKUP(F95,Zones!$A$2:$F$15614,6,FALSE)</f>
        <v>522</v>
      </c>
      <c r="AB95" s="25">
        <f>VLOOKUP(L95,Zones!$A$2:$F$15614,6,FALSE)</f>
        <v>522</v>
      </c>
    </row>
    <row r="96" spans="2:28">
      <c r="B96" s="39">
        <v>3.6805555555555557E-2</v>
      </c>
      <c r="C96" s="39" t="s">
        <v>300</v>
      </c>
      <c r="D96" s="40">
        <v>1</v>
      </c>
      <c r="E96" s="41">
        <v>2</v>
      </c>
      <c r="F96" s="41" t="s">
        <v>301</v>
      </c>
      <c r="G96" s="42" t="s">
        <v>148</v>
      </c>
      <c r="H96" s="41" t="s">
        <v>147</v>
      </c>
      <c r="I96" s="42">
        <v>1</v>
      </c>
      <c r="J96" s="42">
        <v>1</v>
      </c>
      <c r="K96" s="25" t="str">
        <f>VLOOKUP(J96,Key!$E$2:$F$9,2,FALSE)</f>
        <v>Home</v>
      </c>
      <c r="L96" s="41" t="s">
        <v>152</v>
      </c>
      <c r="M96" s="42" t="s">
        <v>148</v>
      </c>
      <c r="N96" s="41" t="s">
        <v>147</v>
      </c>
      <c r="O96" s="42">
        <v>16</v>
      </c>
      <c r="P96" s="42">
        <v>8</v>
      </c>
      <c r="Q96" s="25" t="str">
        <f>VLOOKUP(P96,Key!$E$2:$F$9,2,FALSE)</f>
        <v>Others</v>
      </c>
      <c r="R96" s="25" t="str">
        <f t="shared" si="3"/>
        <v>Home-Others</v>
      </c>
      <c r="S96" s="43">
        <v>3</v>
      </c>
      <c r="T96" s="43">
        <v>0.2</v>
      </c>
      <c r="U96" s="42">
        <v>1</v>
      </c>
      <c r="V96" s="42"/>
      <c r="W96" s="43"/>
      <c r="X96" s="43"/>
      <c r="Y96" s="44" t="s">
        <v>149</v>
      </c>
      <c r="Z96" s="52">
        <v>1000</v>
      </c>
      <c r="AA96" s="25">
        <f>VLOOKUP(F96,Zones!$A$2:$F$15614,6,FALSE)</f>
        <v>522</v>
      </c>
      <c r="AB96" s="25">
        <f>VLOOKUP(L96,Zones!$A$2:$F$15614,6,FALSE)</f>
        <v>522</v>
      </c>
    </row>
    <row r="97" spans="2:28">
      <c r="B97" s="39">
        <v>0.5395833333333333</v>
      </c>
      <c r="C97" s="39" t="s">
        <v>302</v>
      </c>
      <c r="D97" s="40">
        <v>4</v>
      </c>
      <c r="E97" s="41">
        <v>5</v>
      </c>
      <c r="F97" s="41" t="s">
        <v>260</v>
      </c>
      <c r="G97" s="42" t="s">
        <v>146</v>
      </c>
      <c r="H97" s="41" t="s">
        <v>147</v>
      </c>
      <c r="I97" s="42">
        <v>6</v>
      </c>
      <c r="J97" s="42">
        <v>2</v>
      </c>
      <c r="K97" s="25" t="str">
        <f>VLOOKUP(J97,Key!$E$2:$F$9,2,FALSE)</f>
        <v>Work</v>
      </c>
      <c r="L97" s="41" t="s">
        <v>152</v>
      </c>
      <c r="M97" s="42" t="s">
        <v>148</v>
      </c>
      <c r="N97" s="41" t="s">
        <v>147</v>
      </c>
      <c r="O97" s="42">
        <v>6</v>
      </c>
      <c r="P97" s="42">
        <v>2</v>
      </c>
      <c r="Q97" s="25" t="str">
        <f>VLOOKUP(P97,Key!$E$2:$F$9,2,FALSE)</f>
        <v>Work</v>
      </c>
      <c r="R97" s="25" t="str">
        <f t="shared" si="3"/>
        <v>Work-Work</v>
      </c>
      <c r="S97" s="43"/>
      <c r="T97" s="43">
        <v>0.5</v>
      </c>
      <c r="U97" s="42">
        <v>1</v>
      </c>
      <c r="V97" s="42"/>
      <c r="W97" s="43"/>
      <c r="X97" s="43"/>
      <c r="Y97" s="44" t="s">
        <v>149</v>
      </c>
      <c r="Z97" s="52"/>
      <c r="AA97" s="25">
        <f>VLOOKUP(F97,Zones!$A$2:$F$15614,6,FALSE)</f>
        <v>538</v>
      </c>
      <c r="AB97" s="25">
        <f>VLOOKUP(L97,Zones!$A$2:$F$15614,6,FALSE)</f>
        <v>522</v>
      </c>
    </row>
    <row r="98" spans="2:28">
      <c r="B98" s="39">
        <v>0.53055555555555556</v>
      </c>
      <c r="C98" s="39" t="s">
        <v>303</v>
      </c>
      <c r="D98" s="40">
        <v>1</v>
      </c>
      <c r="E98" s="41">
        <v>2</v>
      </c>
      <c r="F98" s="41" t="s">
        <v>161</v>
      </c>
      <c r="G98" s="42" t="s">
        <v>148</v>
      </c>
      <c r="H98" s="41" t="s">
        <v>147</v>
      </c>
      <c r="I98" s="42">
        <v>1</v>
      </c>
      <c r="J98" s="42">
        <v>1</v>
      </c>
      <c r="K98" s="25" t="str">
        <f>VLOOKUP(J98,Key!$E$2:$F$9,2,FALSE)</f>
        <v>Home</v>
      </c>
      <c r="L98" s="41" t="s">
        <v>152</v>
      </c>
      <c r="M98" s="42" t="s">
        <v>148</v>
      </c>
      <c r="N98" s="41" t="s">
        <v>147</v>
      </c>
      <c r="O98" s="42">
        <v>10</v>
      </c>
      <c r="P98" s="42">
        <v>8</v>
      </c>
      <c r="Q98" s="25" t="str">
        <f>VLOOKUP(P98,Key!$E$2:$F$9,2,FALSE)</f>
        <v>Others</v>
      </c>
      <c r="R98" s="25" t="str">
        <f t="shared" si="3"/>
        <v>Home-Others</v>
      </c>
      <c r="S98" s="43"/>
      <c r="T98" s="43">
        <v>1</v>
      </c>
      <c r="U98" s="42">
        <v>3</v>
      </c>
      <c r="V98" s="42"/>
      <c r="W98" s="43"/>
      <c r="X98" s="43"/>
      <c r="Y98" s="44" t="s">
        <v>149</v>
      </c>
      <c r="Z98" s="52">
        <v>500</v>
      </c>
      <c r="AA98" s="25">
        <f>VLOOKUP(F98,Zones!$A$2:$F$15614,6,FALSE)</f>
        <v>522</v>
      </c>
      <c r="AB98" s="25">
        <f>VLOOKUP(L98,Zones!$A$2:$F$15614,6,FALSE)</f>
        <v>522</v>
      </c>
    </row>
    <row r="99" spans="2:28">
      <c r="B99" s="39">
        <v>0.52708333333333335</v>
      </c>
      <c r="C99" s="39" t="s">
        <v>304</v>
      </c>
      <c r="D99" s="40">
        <v>1</v>
      </c>
      <c r="E99" s="41">
        <v>2</v>
      </c>
      <c r="F99" s="41" t="s">
        <v>305</v>
      </c>
      <c r="G99" s="42" t="s">
        <v>148</v>
      </c>
      <c r="H99" s="41" t="s">
        <v>147</v>
      </c>
      <c r="I99" s="42">
        <v>1</v>
      </c>
      <c r="J99" s="42">
        <v>1</v>
      </c>
      <c r="K99" s="25" t="str">
        <f>VLOOKUP(J99,Key!$E$2:$F$9,2,FALSE)</f>
        <v>Home</v>
      </c>
      <c r="L99" s="41" t="s">
        <v>158</v>
      </c>
      <c r="M99" s="42" t="s">
        <v>146</v>
      </c>
      <c r="N99" s="41" t="s">
        <v>147</v>
      </c>
      <c r="O99" s="42">
        <v>5</v>
      </c>
      <c r="P99" s="42">
        <v>7</v>
      </c>
      <c r="Q99" s="25" t="str">
        <f>VLOOKUP(P99,Key!$E$2:$F$9,2,FALSE)</f>
        <v>Hospital</v>
      </c>
      <c r="R99" s="25" t="str">
        <f t="shared" si="3"/>
        <v>Home-Hospital</v>
      </c>
      <c r="S99" s="43"/>
      <c r="T99" s="43">
        <v>1</v>
      </c>
      <c r="U99" s="42">
        <v>2</v>
      </c>
      <c r="V99" s="42"/>
      <c r="W99" s="43"/>
      <c r="X99" s="43"/>
      <c r="Y99" s="44" t="s">
        <v>149</v>
      </c>
      <c r="Z99" s="52">
        <v>500</v>
      </c>
      <c r="AA99" s="25">
        <f>VLOOKUP(F99,Zones!$A$2:$F$15614,6,FALSE)</f>
        <v>522</v>
      </c>
      <c r="AB99" s="25">
        <f>VLOOKUP(L99,Zones!$A$2:$F$15614,6,FALSE)</f>
        <v>521</v>
      </c>
    </row>
    <row r="100" spans="2:28">
      <c r="B100" s="39">
        <v>0.51458333333333328</v>
      </c>
      <c r="C100" s="39" t="s">
        <v>306</v>
      </c>
      <c r="D100" s="40">
        <v>7</v>
      </c>
      <c r="E100" s="41">
        <v>4</v>
      </c>
      <c r="F100" s="41" t="s">
        <v>250</v>
      </c>
      <c r="G100" s="42" t="s">
        <v>148</v>
      </c>
      <c r="H100" s="41" t="s">
        <v>147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152</v>
      </c>
      <c r="M100" s="42" t="s">
        <v>148</v>
      </c>
      <c r="N100" s="41" t="s">
        <v>147</v>
      </c>
      <c r="O100" s="42">
        <v>16</v>
      </c>
      <c r="P100" s="42">
        <v>2</v>
      </c>
      <c r="Q100" s="25" t="str">
        <f>VLOOKUP(P100,Key!$E$2:$F$9,2,FALSE)</f>
        <v>Work</v>
      </c>
      <c r="R100" s="25" t="str">
        <f t="shared" si="3"/>
        <v>Home-Work</v>
      </c>
      <c r="S100" s="43">
        <v>8.0399999999999991</v>
      </c>
      <c r="T100" s="43">
        <v>2</v>
      </c>
      <c r="U100" s="42">
        <v>2</v>
      </c>
      <c r="V100" s="42"/>
      <c r="W100" s="43"/>
      <c r="X100" s="43"/>
      <c r="Y100" s="44" t="s">
        <v>149</v>
      </c>
      <c r="Z100" s="52">
        <v>1000</v>
      </c>
      <c r="AA100" s="25">
        <f>VLOOKUP(F100,Zones!$A$2:$F$15614,6,FALSE)</f>
        <v>1398</v>
      </c>
      <c r="AB100" s="25">
        <f>VLOOKUP(L100,Zones!$A$2:$F$15614,6,FALSE)</f>
        <v>522</v>
      </c>
    </row>
    <row r="101" spans="2:28">
      <c r="B101" s="39">
        <v>0.50624999999999998</v>
      </c>
      <c r="C101" s="39" t="s">
        <v>307</v>
      </c>
      <c r="D101" s="40">
        <v>1</v>
      </c>
      <c r="E101" s="41">
        <v>3</v>
      </c>
      <c r="F101" s="41" t="s">
        <v>161</v>
      </c>
      <c r="G101" s="42" t="s">
        <v>148</v>
      </c>
      <c r="H101" s="41" t="s">
        <v>147</v>
      </c>
      <c r="I101" s="42">
        <v>1</v>
      </c>
      <c r="J101" s="42">
        <v>1</v>
      </c>
      <c r="K101" s="25" t="str">
        <f>VLOOKUP(J101,Key!$E$2:$F$9,2,FALSE)</f>
        <v>Home</v>
      </c>
      <c r="L101" s="41" t="s">
        <v>181</v>
      </c>
      <c r="M101" s="42" t="s">
        <v>146</v>
      </c>
      <c r="N101" s="41" t="s">
        <v>147</v>
      </c>
      <c r="O101" s="42">
        <v>7</v>
      </c>
      <c r="P101" s="42">
        <v>2</v>
      </c>
      <c r="Q101" s="25" t="str">
        <f>VLOOKUP(P101,Key!$E$2:$F$9,2,FALSE)</f>
        <v>Work</v>
      </c>
      <c r="R101" s="25" t="str">
        <f t="shared" si="3"/>
        <v>Home-Work</v>
      </c>
      <c r="S101" s="43"/>
      <c r="T101" s="43">
        <v>0.8</v>
      </c>
      <c r="U101" s="42">
        <v>2</v>
      </c>
      <c r="V101" s="42"/>
      <c r="W101" s="43"/>
      <c r="X101" s="43"/>
      <c r="Y101" s="44" t="s">
        <v>149</v>
      </c>
      <c r="Z101" s="52">
        <v>500</v>
      </c>
      <c r="AA101" s="25">
        <f>VLOOKUP(F101,Zones!$A$2:$F$15614,6,FALSE)</f>
        <v>522</v>
      </c>
      <c r="AB101" s="25">
        <f>VLOOKUP(L101,Zones!$A$2:$F$15614,6,FALSE)</f>
        <v>536</v>
      </c>
    </row>
    <row r="102" spans="2:28">
      <c r="B102" s="39">
        <v>0.5</v>
      </c>
      <c r="C102" s="39" t="s">
        <v>308</v>
      </c>
      <c r="D102" s="40">
        <v>1</v>
      </c>
      <c r="E102" s="41">
        <v>2</v>
      </c>
      <c r="F102" s="41" t="s">
        <v>250</v>
      </c>
      <c r="G102" s="42" t="s">
        <v>148</v>
      </c>
      <c r="H102" s="41" t="s">
        <v>147</v>
      </c>
      <c r="I102" s="42">
        <v>1</v>
      </c>
      <c r="J102" s="42">
        <v>1</v>
      </c>
      <c r="K102" s="25" t="str">
        <f>VLOOKUP(J102,Key!$E$2:$F$9,2,FALSE)</f>
        <v>Home</v>
      </c>
      <c r="L102" s="41" t="s">
        <v>152</v>
      </c>
      <c r="M102" s="42" t="s">
        <v>148</v>
      </c>
      <c r="N102" s="41" t="s">
        <v>147</v>
      </c>
      <c r="O102" s="42">
        <v>9</v>
      </c>
      <c r="P102" s="42">
        <v>1</v>
      </c>
      <c r="Q102" s="25" t="str">
        <f>VLOOKUP(P102,Key!$E$2:$F$9,2,FALSE)</f>
        <v>Home</v>
      </c>
      <c r="R102" s="25" t="str">
        <f t="shared" si="3"/>
        <v>Home-Home</v>
      </c>
      <c r="S102" s="43"/>
      <c r="T102" s="43"/>
      <c r="U102" s="42">
        <v>1</v>
      </c>
      <c r="V102" s="42"/>
      <c r="W102" s="43"/>
      <c r="X102" s="43"/>
      <c r="Y102" s="44" t="s">
        <v>149</v>
      </c>
      <c r="Z102" s="52"/>
      <c r="AA102" s="25">
        <f>VLOOKUP(F102,Zones!$A$2:$F$15614,6,FALSE)</f>
        <v>1398</v>
      </c>
      <c r="AB102" s="25">
        <f>VLOOKUP(L102,Zones!$A$2:$F$15614,6,FALSE)</f>
        <v>522</v>
      </c>
    </row>
    <row r="103" spans="2:28">
      <c r="B103" s="39">
        <v>0.49722222222222223</v>
      </c>
      <c r="C103" s="39" t="s">
        <v>309</v>
      </c>
      <c r="D103" s="40">
        <v>4</v>
      </c>
      <c r="E103" s="41">
        <v>12</v>
      </c>
      <c r="F103" s="41" t="s">
        <v>260</v>
      </c>
      <c r="G103" s="42" t="s">
        <v>146</v>
      </c>
      <c r="H103" s="41" t="s">
        <v>147</v>
      </c>
      <c r="I103" s="42">
        <v>6</v>
      </c>
      <c r="J103" s="42">
        <v>2</v>
      </c>
      <c r="K103" s="25" t="str">
        <f>VLOOKUP(J103,Key!$E$2:$F$9,2,FALSE)</f>
        <v>Work</v>
      </c>
      <c r="L103" s="41" t="s">
        <v>152</v>
      </c>
      <c r="M103" s="42" t="s">
        <v>148</v>
      </c>
      <c r="N103" s="41" t="s">
        <v>147</v>
      </c>
      <c r="O103" s="42">
        <v>6</v>
      </c>
      <c r="P103" s="42">
        <v>2</v>
      </c>
      <c r="Q103" s="25" t="str">
        <f>VLOOKUP(P103,Key!$E$2:$F$9,2,FALSE)</f>
        <v>Work</v>
      </c>
      <c r="R103" s="25" t="str">
        <f t="shared" si="3"/>
        <v>Work-Work</v>
      </c>
      <c r="S103" s="43">
        <v>11.26</v>
      </c>
      <c r="T103" s="43">
        <v>2</v>
      </c>
      <c r="U103" s="42">
        <v>1</v>
      </c>
      <c r="V103" s="42"/>
      <c r="W103" s="43"/>
      <c r="X103" s="43"/>
      <c r="Y103" s="44" t="s">
        <v>149</v>
      </c>
      <c r="Z103" s="52">
        <v>1000</v>
      </c>
      <c r="AA103" s="25">
        <f>VLOOKUP(F103,Zones!$A$2:$F$15614,6,FALSE)</f>
        <v>538</v>
      </c>
      <c r="AB103" s="25">
        <f>VLOOKUP(L103,Zones!$A$2:$F$15614,6,FALSE)</f>
        <v>522</v>
      </c>
    </row>
    <row r="104" spans="2:28">
      <c r="B104" s="39">
        <v>0.48680555555555555</v>
      </c>
      <c r="C104" s="39" t="s">
        <v>310</v>
      </c>
      <c r="D104" s="40">
        <v>1</v>
      </c>
      <c r="E104" s="41">
        <v>4</v>
      </c>
      <c r="F104" s="41" t="s">
        <v>163</v>
      </c>
      <c r="G104" s="42" t="s">
        <v>148</v>
      </c>
      <c r="H104" s="41" t="s">
        <v>147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311</v>
      </c>
      <c r="M104" s="42" t="s">
        <v>146</v>
      </c>
      <c r="N104" s="41" t="s">
        <v>147</v>
      </c>
      <c r="O104" s="42">
        <v>16</v>
      </c>
      <c r="P104" s="42">
        <v>8</v>
      </c>
      <c r="Q104" s="25" t="str">
        <f>VLOOKUP(P104,Key!$E$2:$F$9,2,FALSE)</f>
        <v>Others</v>
      </c>
      <c r="R104" s="25" t="str">
        <f t="shared" si="3"/>
        <v>Home-Others</v>
      </c>
      <c r="S104" s="43">
        <v>12</v>
      </c>
      <c r="T104" s="43">
        <v>0.5</v>
      </c>
      <c r="U104" s="42">
        <v>3</v>
      </c>
      <c r="V104" s="42"/>
      <c r="W104" s="43"/>
      <c r="X104" s="43"/>
      <c r="Y104" s="44" t="s">
        <v>149</v>
      </c>
      <c r="Z104" s="52">
        <v>2000</v>
      </c>
      <c r="AA104" s="25">
        <f>VLOOKUP(F104,Zones!$A$2:$F$15614,6,FALSE)</f>
        <v>1407</v>
      </c>
      <c r="AB104" s="25">
        <f>VLOOKUP(L104,Zones!$A$2:$F$15614,6,FALSE)</f>
        <v>522</v>
      </c>
    </row>
    <row r="105" spans="2:28">
      <c r="B105" s="39">
        <v>0.49027777777777781</v>
      </c>
      <c r="C105" s="39" t="s">
        <v>312</v>
      </c>
      <c r="D105" s="40">
        <v>11</v>
      </c>
      <c r="E105" s="41">
        <v>1</v>
      </c>
      <c r="F105" s="41" t="s">
        <v>161</v>
      </c>
      <c r="G105" s="42" t="s">
        <v>148</v>
      </c>
      <c r="H105" s="41" t="s">
        <v>147</v>
      </c>
      <c r="I105" s="42">
        <v>9</v>
      </c>
      <c r="J105" s="42">
        <v>2</v>
      </c>
      <c r="K105" s="25" t="str">
        <f>VLOOKUP(J105,Key!$E$2:$F$9,2,FALSE)</f>
        <v>Work</v>
      </c>
      <c r="L105" s="41" t="s">
        <v>2417</v>
      </c>
      <c r="M105" s="42" t="s">
        <v>148</v>
      </c>
      <c r="N105" s="41" t="s">
        <v>147</v>
      </c>
      <c r="O105" s="42">
        <v>9</v>
      </c>
      <c r="P105" s="42">
        <v>2</v>
      </c>
      <c r="Q105" s="25" t="str">
        <f>VLOOKUP(P105,Key!$E$2:$F$9,2,FALSE)</f>
        <v>Work</v>
      </c>
      <c r="R105" s="25" t="str">
        <f t="shared" si="3"/>
        <v>Work-Work</v>
      </c>
      <c r="S105" s="43"/>
      <c r="T105" s="43">
        <v>1</v>
      </c>
      <c r="U105" s="42">
        <v>2</v>
      </c>
      <c r="V105" s="42"/>
      <c r="W105" s="43"/>
      <c r="X105" s="43"/>
      <c r="Y105" s="44" t="s">
        <v>149</v>
      </c>
      <c r="Z105" s="52">
        <v>500</v>
      </c>
      <c r="AA105" s="25">
        <f>VLOOKUP(F105,Zones!$A$2:$F$15614,6,FALSE)</f>
        <v>522</v>
      </c>
      <c r="AB105" s="25">
        <f>VLOOKUP(L105,Zones!$A$2:$F$15614,6,FALSE)</f>
        <v>1409</v>
      </c>
    </row>
    <row r="106" spans="2:28">
      <c r="B106" s="39">
        <v>0.45277777777777778</v>
      </c>
      <c r="C106" s="39" t="s">
        <v>314</v>
      </c>
      <c r="D106" s="40">
        <v>4</v>
      </c>
      <c r="E106" s="41">
        <v>8</v>
      </c>
      <c r="F106" s="41" t="s">
        <v>145</v>
      </c>
      <c r="G106" s="42" t="s">
        <v>146</v>
      </c>
      <c r="H106" s="41" t="s">
        <v>147</v>
      </c>
      <c r="I106" s="42">
        <v>1</v>
      </c>
      <c r="J106" s="42">
        <v>1</v>
      </c>
      <c r="K106" s="25" t="str">
        <f>VLOOKUP(J106,Key!$E$2:$F$9,2,FALSE)</f>
        <v>Home</v>
      </c>
      <c r="L106" s="41" t="s">
        <v>186</v>
      </c>
      <c r="M106" s="42" t="s">
        <v>148</v>
      </c>
      <c r="N106" s="41" t="s">
        <v>147</v>
      </c>
      <c r="O106" s="42">
        <v>16</v>
      </c>
      <c r="P106" s="42">
        <v>8</v>
      </c>
      <c r="Q106" s="25" t="str">
        <f>VLOOKUP(P106,Key!$E$2:$F$9,2,FALSE)</f>
        <v>Others</v>
      </c>
      <c r="R106" s="25" t="str">
        <f t="shared" si="3"/>
        <v>Home-Others</v>
      </c>
      <c r="S106" s="43">
        <v>8</v>
      </c>
      <c r="T106" s="43">
        <v>0.5</v>
      </c>
      <c r="U106" s="42">
        <v>4</v>
      </c>
      <c r="V106" s="42"/>
      <c r="W106" s="43"/>
      <c r="X106" s="43"/>
      <c r="Y106" s="44" t="s">
        <v>149</v>
      </c>
      <c r="Z106" s="52">
        <v>1000</v>
      </c>
      <c r="AA106" s="25">
        <f>VLOOKUP(F106,Zones!$A$2:$F$15614,6,FALSE)</f>
        <v>574</v>
      </c>
      <c r="AB106" s="25">
        <f>VLOOKUP(L106,Zones!$A$2:$F$15614,6,FALSE)</f>
        <v>565</v>
      </c>
    </row>
    <row r="107" spans="2:28">
      <c r="B107" s="39">
        <v>0.45694444444444443</v>
      </c>
      <c r="C107" s="39" t="s">
        <v>316</v>
      </c>
      <c r="D107" s="40">
        <v>2</v>
      </c>
      <c r="E107" s="41">
        <v>1</v>
      </c>
      <c r="F107" s="41" t="s">
        <v>279</v>
      </c>
      <c r="G107" s="42" t="s">
        <v>148</v>
      </c>
      <c r="H107" s="41" t="s">
        <v>147</v>
      </c>
      <c r="I107" s="42">
        <v>1</v>
      </c>
      <c r="J107" s="42">
        <v>1</v>
      </c>
      <c r="K107" s="25" t="str">
        <f>VLOOKUP(J107,Key!$E$2:$F$9,2,FALSE)</f>
        <v>Home</v>
      </c>
      <c r="L107" s="41" t="s">
        <v>153</v>
      </c>
      <c r="M107" s="42" t="s">
        <v>148</v>
      </c>
      <c r="N107" s="41" t="s">
        <v>147</v>
      </c>
      <c r="O107" s="42">
        <v>16</v>
      </c>
      <c r="P107" s="42">
        <v>2</v>
      </c>
      <c r="Q107" s="25" t="str">
        <f>VLOOKUP(P107,Key!$E$2:$F$9,2,FALSE)</f>
        <v>Work</v>
      </c>
      <c r="R107" s="25" t="str">
        <f t="shared" si="3"/>
        <v>Home-Work</v>
      </c>
      <c r="S107" s="43"/>
      <c r="T107" s="43">
        <v>1.5</v>
      </c>
      <c r="U107" s="42">
        <v>3</v>
      </c>
      <c r="V107" s="42"/>
      <c r="W107" s="43"/>
      <c r="X107" s="43"/>
      <c r="Y107" s="44" t="s">
        <v>149</v>
      </c>
      <c r="Z107" s="52">
        <v>4000</v>
      </c>
      <c r="AA107" s="25">
        <f>VLOOKUP(F107,Zones!$A$2:$F$15614,6,FALSE)</f>
        <v>522</v>
      </c>
      <c r="AB107" s="25">
        <f>VLOOKUP(L107,Zones!$A$2:$F$15614,6,FALSE)</f>
        <v>1387</v>
      </c>
    </row>
    <row r="108" spans="2:28">
      <c r="B108" s="39">
        <v>0.44097222222222227</v>
      </c>
      <c r="C108" s="39" t="s">
        <v>317</v>
      </c>
      <c r="D108" s="40">
        <v>1</v>
      </c>
      <c r="E108" s="41">
        <v>2</v>
      </c>
      <c r="F108" s="41" t="s">
        <v>279</v>
      </c>
      <c r="G108" s="42" t="s">
        <v>148</v>
      </c>
      <c r="H108" s="41" t="s">
        <v>147</v>
      </c>
      <c r="I108" s="42">
        <v>1</v>
      </c>
      <c r="J108" s="42">
        <v>1</v>
      </c>
      <c r="K108" s="25" t="str">
        <f>VLOOKUP(J108,Key!$E$2:$F$9,2,FALSE)</f>
        <v>Home</v>
      </c>
      <c r="L108" s="41" t="s">
        <v>376</v>
      </c>
      <c r="M108" s="42" t="s">
        <v>146</v>
      </c>
      <c r="N108" s="41" t="s">
        <v>147</v>
      </c>
      <c r="O108" s="42">
        <v>16</v>
      </c>
      <c r="P108" s="42">
        <v>6</v>
      </c>
      <c r="Q108" s="25" t="str">
        <f>VLOOKUP(P108,Key!$E$2:$F$9,2,FALSE)</f>
        <v>Leisure/Social</v>
      </c>
      <c r="R108" s="25" t="str">
        <f t="shared" si="3"/>
        <v>Home-Leisure/Social</v>
      </c>
      <c r="S108" s="43">
        <v>10</v>
      </c>
      <c r="T108" s="43">
        <v>1</v>
      </c>
      <c r="U108" s="42">
        <v>1</v>
      </c>
      <c r="V108" s="42"/>
      <c r="W108" s="43"/>
      <c r="X108" s="43"/>
      <c r="Y108" s="44" t="s">
        <v>149</v>
      </c>
      <c r="Z108" s="52">
        <v>200</v>
      </c>
      <c r="AA108" s="25">
        <f>VLOOKUP(F108,Zones!$A$2:$F$15614,6,FALSE)</f>
        <v>522</v>
      </c>
      <c r="AB108" s="25">
        <f>VLOOKUP(L108,Zones!$A$2:$F$15614,6,FALSE)</f>
        <v>522</v>
      </c>
    </row>
    <row r="109" spans="2:28">
      <c r="B109" s="39">
        <v>0.44861111111111113</v>
      </c>
      <c r="C109" s="39" t="s">
        <v>319</v>
      </c>
      <c r="D109" s="40">
        <v>1</v>
      </c>
      <c r="E109" s="41">
        <v>4</v>
      </c>
      <c r="F109" s="41" t="s">
        <v>279</v>
      </c>
      <c r="G109" s="42" t="s">
        <v>148</v>
      </c>
      <c r="H109" s="41" t="s">
        <v>147</v>
      </c>
      <c r="I109" s="42">
        <v>1</v>
      </c>
      <c r="J109" s="42">
        <v>1</v>
      </c>
      <c r="K109" s="25" t="str">
        <f>VLOOKUP(J109,Key!$E$2:$F$9,2,FALSE)</f>
        <v>Home</v>
      </c>
      <c r="L109" s="41" t="s">
        <v>285</v>
      </c>
      <c r="M109" s="42" t="s">
        <v>146</v>
      </c>
      <c r="N109" s="41" t="s">
        <v>147</v>
      </c>
      <c r="O109" s="42">
        <v>2</v>
      </c>
      <c r="P109" s="42">
        <v>2</v>
      </c>
      <c r="Q109" s="25" t="str">
        <f>VLOOKUP(P109,Key!$E$2:$F$9,2,FALSE)</f>
        <v>Work</v>
      </c>
      <c r="R109" s="25" t="str">
        <f t="shared" si="3"/>
        <v>Home-Work</v>
      </c>
      <c r="S109" s="43"/>
      <c r="T109" s="43">
        <v>0.8</v>
      </c>
      <c r="U109" s="42">
        <v>1</v>
      </c>
      <c r="V109" s="42"/>
      <c r="W109" s="43"/>
      <c r="X109" s="43"/>
      <c r="Y109" s="44" t="s">
        <v>149</v>
      </c>
      <c r="Z109" s="52">
        <v>3000</v>
      </c>
      <c r="AA109" s="25">
        <f>VLOOKUP(F109,Zones!$A$2:$F$15614,6,FALSE)</f>
        <v>522</v>
      </c>
      <c r="AB109" s="25">
        <f>VLOOKUP(L109,Zones!$A$2:$F$15614,6,FALSE)</f>
        <v>529</v>
      </c>
    </row>
    <row r="110" spans="2:28">
      <c r="B110" s="39">
        <v>0.43263888888888885</v>
      </c>
      <c r="C110" s="39" t="s">
        <v>320</v>
      </c>
      <c r="D110" s="40">
        <v>11</v>
      </c>
      <c r="E110" s="41">
        <v>2</v>
      </c>
      <c r="F110" s="82" t="s">
        <v>2181</v>
      </c>
      <c r="G110" s="42" t="s">
        <v>148</v>
      </c>
      <c r="H110" s="41" t="s">
        <v>147</v>
      </c>
      <c r="I110" s="42">
        <v>8</v>
      </c>
      <c r="J110" s="42">
        <v>2</v>
      </c>
      <c r="K110" s="25" t="str">
        <f>VLOOKUP(J110,Key!$E$2:$F$9,2,FALSE)</f>
        <v>Work</v>
      </c>
      <c r="L110" s="41" t="s">
        <v>152</v>
      </c>
      <c r="M110" s="42" t="s">
        <v>148</v>
      </c>
      <c r="N110" s="41" t="s">
        <v>147</v>
      </c>
      <c r="O110" s="42">
        <v>8</v>
      </c>
      <c r="P110" s="42">
        <v>2</v>
      </c>
      <c r="Q110" s="25" t="str">
        <f>VLOOKUP(P110,Key!$E$2:$F$9,2,FALSE)</f>
        <v>Work</v>
      </c>
      <c r="R110" s="25" t="str">
        <f t="shared" si="3"/>
        <v>Work-Work</v>
      </c>
      <c r="S110" s="43"/>
      <c r="T110" s="43">
        <v>0.1</v>
      </c>
      <c r="U110" s="42">
        <v>2</v>
      </c>
      <c r="V110" s="42"/>
      <c r="W110" s="43"/>
      <c r="X110" s="43"/>
      <c r="Y110" s="44" t="s">
        <v>149</v>
      </c>
      <c r="Z110" s="52">
        <v>500</v>
      </c>
      <c r="AA110" s="25">
        <f>VLOOKUP(F110,Zones!$A$2:$F$15614,6,FALSE)</f>
        <v>1409</v>
      </c>
      <c r="AB110" s="25">
        <f>VLOOKUP(L110,Zones!$A$2:$F$15614,6,FALSE)</f>
        <v>522</v>
      </c>
    </row>
    <row r="111" spans="2:28">
      <c r="B111" s="39">
        <v>0.43611111111111112</v>
      </c>
      <c r="C111" s="39" t="s">
        <v>322</v>
      </c>
      <c r="D111" s="40">
        <v>4</v>
      </c>
      <c r="E111" s="41">
        <v>2</v>
      </c>
      <c r="F111" s="41" t="s">
        <v>279</v>
      </c>
      <c r="G111" s="42" t="s">
        <v>148</v>
      </c>
      <c r="H111" s="41" t="s">
        <v>147</v>
      </c>
      <c r="I111" s="42">
        <v>1</v>
      </c>
      <c r="J111" s="42">
        <v>1</v>
      </c>
      <c r="K111" s="25" t="str">
        <f>VLOOKUP(J111,Key!$E$2:$F$9,2,FALSE)</f>
        <v>Home</v>
      </c>
      <c r="L111" s="41" t="s">
        <v>207</v>
      </c>
      <c r="M111" s="42" t="s">
        <v>148</v>
      </c>
      <c r="N111" s="41" t="s">
        <v>147</v>
      </c>
      <c r="O111" s="42">
        <v>16</v>
      </c>
      <c r="P111" s="42">
        <v>8</v>
      </c>
      <c r="Q111" s="25" t="str">
        <f>VLOOKUP(P111,Key!$E$2:$F$9,2,FALSE)</f>
        <v>Others</v>
      </c>
      <c r="R111" s="25" t="str">
        <f t="shared" si="3"/>
        <v>Home-Others</v>
      </c>
      <c r="S111" s="43">
        <v>3</v>
      </c>
      <c r="T111" s="43">
        <v>0.3</v>
      </c>
      <c r="U111" s="42">
        <v>3</v>
      </c>
      <c r="V111" s="42"/>
      <c r="W111" s="43"/>
      <c r="X111" s="43"/>
      <c r="Y111" s="44" t="s">
        <v>149</v>
      </c>
      <c r="Z111" s="52"/>
      <c r="AA111" s="25">
        <f>VLOOKUP(F111,Zones!$A$2:$F$15614,6,FALSE)</f>
        <v>522</v>
      </c>
      <c r="AB111" s="25">
        <f>VLOOKUP(L111,Zones!$A$2:$F$15614,6,FALSE)</f>
        <v>522</v>
      </c>
    </row>
    <row r="112" spans="2:28">
      <c r="B112" s="39">
        <v>0.41805555555555557</v>
      </c>
      <c r="C112" s="39" t="s">
        <v>324</v>
      </c>
      <c r="D112" s="40">
        <v>4</v>
      </c>
      <c r="E112" s="41">
        <v>14</v>
      </c>
      <c r="F112" s="41" t="s">
        <v>181</v>
      </c>
      <c r="G112" s="42" t="s">
        <v>146</v>
      </c>
      <c r="H112" s="41" t="s">
        <v>147</v>
      </c>
      <c r="I112" s="42">
        <v>6</v>
      </c>
      <c r="J112" s="42">
        <v>2</v>
      </c>
      <c r="K112" s="25" t="str">
        <f>VLOOKUP(J112,Key!$E$2:$F$9,2,FALSE)</f>
        <v>Work</v>
      </c>
      <c r="L112" s="41" t="s">
        <v>152</v>
      </c>
      <c r="M112" s="42" t="s">
        <v>148</v>
      </c>
      <c r="N112" s="41" t="s">
        <v>147</v>
      </c>
      <c r="O112" s="42">
        <v>6</v>
      </c>
      <c r="P112" s="42">
        <v>2</v>
      </c>
      <c r="Q112" s="25" t="str">
        <f>VLOOKUP(P112,Key!$E$2:$F$9,2,FALSE)</f>
        <v>Work</v>
      </c>
      <c r="R112" s="25" t="str">
        <f t="shared" si="3"/>
        <v>Work-Work</v>
      </c>
      <c r="S112" s="43">
        <v>12</v>
      </c>
      <c r="T112" s="43">
        <v>2</v>
      </c>
      <c r="U112" s="42">
        <v>1</v>
      </c>
      <c r="V112" s="42"/>
      <c r="W112" s="43"/>
      <c r="X112" s="43"/>
      <c r="Y112" s="44" t="s">
        <v>149</v>
      </c>
      <c r="Z112" s="52">
        <v>500</v>
      </c>
      <c r="AA112" s="25">
        <f>VLOOKUP(F112,Zones!$A$2:$F$15614,6,FALSE)</f>
        <v>536</v>
      </c>
      <c r="AB112" s="25">
        <f>VLOOKUP(L112,Zones!$A$2:$F$15614,6,FALSE)</f>
        <v>522</v>
      </c>
    </row>
    <row r="113" spans="2:28">
      <c r="B113" s="39">
        <v>0.4236111111111111</v>
      </c>
      <c r="C113" s="39" t="s">
        <v>325</v>
      </c>
      <c r="D113" s="40">
        <v>1</v>
      </c>
      <c r="E113" s="41">
        <v>2</v>
      </c>
      <c r="F113" s="41" t="s">
        <v>161</v>
      </c>
      <c r="G113" s="42" t="s">
        <v>148</v>
      </c>
      <c r="H113" s="41" t="s">
        <v>147</v>
      </c>
      <c r="I113" s="42">
        <v>1</v>
      </c>
      <c r="J113" s="42">
        <v>1</v>
      </c>
      <c r="K113" s="25" t="str">
        <f>VLOOKUP(J113,Key!$E$2:$F$9,2,FALSE)</f>
        <v>Home</v>
      </c>
      <c r="L113" s="41" t="s">
        <v>158</v>
      </c>
      <c r="M113" s="42" t="s">
        <v>146</v>
      </c>
      <c r="N113" s="41" t="s">
        <v>147</v>
      </c>
      <c r="O113" s="42">
        <v>7</v>
      </c>
      <c r="P113" s="42">
        <v>8</v>
      </c>
      <c r="Q113" s="25" t="str">
        <f>VLOOKUP(P113,Key!$E$2:$F$9,2,FALSE)</f>
        <v>Others</v>
      </c>
      <c r="R113" s="25" t="str">
        <f t="shared" si="3"/>
        <v>Home-Others</v>
      </c>
      <c r="S113" s="43"/>
      <c r="T113" s="43">
        <v>0.8</v>
      </c>
      <c r="U113" s="42">
        <v>1</v>
      </c>
      <c r="V113" s="42"/>
      <c r="W113" s="43"/>
      <c r="X113" s="43"/>
      <c r="Y113" s="44" t="s">
        <v>149</v>
      </c>
      <c r="Z113" s="52"/>
      <c r="AA113" s="25">
        <f>VLOOKUP(F113,Zones!$A$2:$F$15614,6,FALSE)</f>
        <v>522</v>
      </c>
      <c r="AB113" s="25">
        <f>VLOOKUP(L113,Zones!$A$2:$F$15614,6,FALSE)</f>
        <v>521</v>
      </c>
    </row>
    <row r="114" spans="2:28">
      <c r="B114" s="39">
        <v>0.41180555555555554</v>
      </c>
      <c r="C114" s="39" t="s">
        <v>326</v>
      </c>
      <c r="D114" s="40">
        <v>4</v>
      </c>
      <c r="E114" s="41">
        <v>13</v>
      </c>
      <c r="F114" s="41" t="s">
        <v>181</v>
      </c>
      <c r="G114" s="42" t="s">
        <v>146</v>
      </c>
      <c r="H114" s="41" t="s">
        <v>147</v>
      </c>
      <c r="I114" s="42">
        <v>6</v>
      </c>
      <c r="J114" s="42">
        <v>2</v>
      </c>
      <c r="K114" s="25" t="str">
        <f>VLOOKUP(J114,Key!$E$2:$F$9,2,FALSE)</f>
        <v>Work</v>
      </c>
      <c r="L114" s="41" t="s">
        <v>204</v>
      </c>
      <c r="M114" s="42" t="s">
        <v>148</v>
      </c>
      <c r="N114" s="41" t="s">
        <v>147</v>
      </c>
      <c r="O114" s="42">
        <v>16</v>
      </c>
      <c r="P114" s="42">
        <v>2</v>
      </c>
      <c r="Q114" s="25" t="str">
        <f>VLOOKUP(P114,Key!$E$2:$F$9,2,FALSE)</f>
        <v>Work</v>
      </c>
      <c r="R114" s="25" t="str">
        <f t="shared" si="3"/>
        <v>Work-Work</v>
      </c>
      <c r="S114" s="43"/>
      <c r="T114" s="43"/>
      <c r="U114" s="42">
        <v>1</v>
      </c>
      <c r="V114" s="42"/>
      <c r="W114" s="43"/>
      <c r="X114" s="43"/>
      <c r="Y114" s="44" t="s">
        <v>149</v>
      </c>
      <c r="Z114" s="52">
        <v>1000</v>
      </c>
      <c r="AA114" s="25">
        <f>VLOOKUP(F114,Zones!$A$2:$F$15614,6,FALSE)</f>
        <v>536</v>
      </c>
      <c r="AB114" s="25">
        <f>VLOOKUP(L114,Zones!$A$2:$F$15614,6,FALSE)</f>
        <v>521</v>
      </c>
    </row>
    <row r="115" spans="2:28">
      <c r="B115" s="39">
        <v>0.41666666666666669</v>
      </c>
      <c r="C115" s="39" t="s">
        <v>327</v>
      </c>
      <c r="D115" s="40">
        <v>4</v>
      </c>
      <c r="E115" s="41">
        <v>10</v>
      </c>
      <c r="F115" s="41" t="s">
        <v>2399</v>
      </c>
      <c r="G115" s="42" t="s">
        <v>146</v>
      </c>
      <c r="H115" s="41" t="s">
        <v>147</v>
      </c>
      <c r="I115" s="42">
        <v>6</v>
      </c>
      <c r="J115" s="42">
        <v>2</v>
      </c>
      <c r="K115" s="25" t="str">
        <f>VLOOKUP(J115,Key!$E$2:$F$9,2,FALSE)</f>
        <v>Work</v>
      </c>
      <c r="L115" s="41" t="s">
        <v>152</v>
      </c>
      <c r="M115" s="42" t="s">
        <v>148</v>
      </c>
      <c r="N115" s="41" t="s">
        <v>147</v>
      </c>
      <c r="O115" s="42">
        <v>6</v>
      </c>
      <c r="P115" s="42">
        <v>2</v>
      </c>
      <c r="Q115" s="25" t="str">
        <f>VLOOKUP(P115,Key!$E$2:$F$9,2,FALSE)</f>
        <v>Work</v>
      </c>
      <c r="R115" s="25" t="str">
        <f t="shared" si="3"/>
        <v>Work-Work</v>
      </c>
      <c r="S115" s="43">
        <v>15</v>
      </c>
      <c r="T115" s="43">
        <v>1</v>
      </c>
      <c r="U115" s="42">
        <v>1</v>
      </c>
      <c r="V115" s="42"/>
      <c r="W115" s="43"/>
      <c r="X115" s="43"/>
      <c r="Y115" s="44" t="s">
        <v>149</v>
      </c>
      <c r="Z115" s="52">
        <v>1000</v>
      </c>
      <c r="AA115" s="25">
        <f>VLOOKUP(F115,Zones!$A$2:$F$15614,6,FALSE)</f>
        <v>566</v>
      </c>
      <c r="AB115" s="25">
        <f>VLOOKUP(L115,Zones!$A$2:$F$15614,6,FALSE)</f>
        <v>522</v>
      </c>
    </row>
    <row r="116" spans="2:28">
      <c r="B116" s="39">
        <v>0.40486111111111112</v>
      </c>
      <c r="C116" s="39" t="s">
        <v>329</v>
      </c>
      <c r="D116" s="40">
        <v>1</v>
      </c>
      <c r="E116" s="41">
        <v>1</v>
      </c>
      <c r="F116" s="41" t="s">
        <v>207</v>
      </c>
      <c r="G116" s="42" t="s">
        <v>148</v>
      </c>
      <c r="H116" s="41" t="s">
        <v>147</v>
      </c>
      <c r="I116" s="42">
        <v>1</v>
      </c>
      <c r="J116" s="42">
        <v>1</v>
      </c>
      <c r="K116" s="25" t="str">
        <f>VLOOKUP(J116,Key!$E$2:$F$9,2,FALSE)</f>
        <v>Home</v>
      </c>
      <c r="L116" s="41" t="s">
        <v>152</v>
      </c>
      <c r="M116" s="42" t="s">
        <v>148</v>
      </c>
      <c r="N116" s="41" t="s">
        <v>147</v>
      </c>
      <c r="O116" s="42">
        <v>16</v>
      </c>
      <c r="P116" s="42">
        <v>2</v>
      </c>
      <c r="Q116" s="25" t="str">
        <f>VLOOKUP(P116,Key!$E$2:$F$9,2,FALSE)</f>
        <v>Work</v>
      </c>
      <c r="R116" s="25" t="str">
        <f t="shared" si="3"/>
        <v>Home-Work</v>
      </c>
      <c r="S116" s="43"/>
      <c r="T116" s="43">
        <v>0.8</v>
      </c>
      <c r="U116" s="42">
        <v>2</v>
      </c>
      <c r="V116" s="42"/>
      <c r="W116" s="43"/>
      <c r="X116" s="43"/>
      <c r="Y116" s="44" t="s">
        <v>149</v>
      </c>
      <c r="Z116" s="52"/>
      <c r="AA116" s="25">
        <f>VLOOKUP(F116,Zones!$A$2:$F$15614,6,FALSE)</f>
        <v>522</v>
      </c>
      <c r="AB116" s="25">
        <f>VLOOKUP(L116,Zones!$A$2:$F$15614,6,FALSE)</f>
        <v>522</v>
      </c>
    </row>
    <row r="117" spans="2:28">
      <c r="B117" s="39">
        <v>0.40069444444444446</v>
      </c>
      <c r="C117" s="39" t="s">
        <v>331</v>
      </c>
      <c r="D117" s="40">
        <v>4</v>
      </c>
      <c r="E117" s="41">
        <v>1</v>
      </c>
      <c r="F117" s="41" t="s">
        <v>161</v>
      </c>
      <c r="G117" s="42" t="s">
        <v>148</v>
      </c>
      <c r="H117" s="41" t="s">
        <v>147</v>
      </c>
      <c r="I117" s="42">
        <v>1</v>
      </c>
      <c r="J117" s="42">
        <v>1</v>
      </c>
      <c r="K117" s="25" t="str">
        <f>VLOOKUP(J117,Key!$E$2:$F$9,2,FALSE)</f>
        <v>Home</v>
      </c>
      <c r="L117" s="41" t="s">
        <v>181</v>
      </c>
      <c r="M117" s="42" t="s">
        <v>146</v>
      </c>
      <c r="N117" s="41" t="s">
        <v>147</v>
      </c>
      <c r="O117" s="42">
        <v>3</v>
      </c>
      <c r="P117" s="42">
        <v>2</v>
      </c>
      <c r="Q117" s="25" t="str">
        <f>VLOOKUP(P117,Key!$E$2:$F$9,2,FALSE)</f>
        <v>Work</v>
      </c>
      <c r="R117" s="25" t="str">
        <f t="shared" si="3"/>
        <v>Home-Work</v>
      </c>
      <c r="S117" s="43"/>
      <c r="T117" s="43">
        <v>0.5</v>
      </c>
      <c r="U117" s="42">
        <v>2</v>
      </c>
      <c r="V117" s="42"/>
      <c r="W117" s="43"/>
      <c r="X117" s="43"/>
      <c r="Y117" s="44" t="s">
        <v>149</v>
      </c>
      <c r="Z117" s="52"/>
      <c r="AA117" s="25">
        <f>VLOOKUP(F117,Zones!$A$2:$F$15614,6,FALSE)</f>
        <v>522</v>
      </c>
      <c r="AB117" s="25">
        <f>VLOOKUP(L117,Zones!$A$2:$F$15614,6,FALSE)</f>
        <v>536</v>
      </c>
    </row>
    <row r="118" spans="2:28">
      <c r="B118" s="39">
        <v>0.39027777777777778</v>
      </c>
      <c r="C118" s="39" t="s">
        <v>332</v>
      </c>
      <c r="D118" s="40">
        <v>11</v>
      </c>
      <c r="E118" s="41">
        <v>1</v>
      </c>
      <c r="F118" s="41" t="s">
        <v>161</v>
      </c>
      <c r="G118" s="42" t="s">
        <v>148</v>
      </c>
      <c r="H118" s="41" t="s">
        <v>147</v>
      </c>
      <c r="I118" s="42">
        <v>8</v>
      </c>
      <c r="J118" s="42">
        <v>2</v>
      </c>
      <c r="K118" s="25" t="str">
        <f>VLOOKUP(J118,Key!$E$2:$F$9,2,FALSE)</f>
        <v>Work</v>
      </c>
      <c r="L118" s="41" t="s">
        <v>207</v>
      </c>
      <c r="M118" s="42" t="s">
        <v>146</v>
      </c>
      <c r="N118" s="41" t="s">
        <v>147</v>
      </c>
      <c r="O118" s="42">
        <v>8</v>
      </c>
      <c r="P118" s="42">
        <v>2</v>
      </c>
      <c r="Q118" s="25" t="str">
        <f>VLOOKUP(P118,Key!$E$2:$F$9,2,FALSE)</f>
        <v>Work</v>
      </c>
      <c r="R118" s="25" t="str">
        <f t="shared" si="3"/>
        <v>Work-Work</v>
      </c>
      <c r="S118" s="43">
        <v>5</v>
      </c>
      <c r="T118" s="43">
        <v>0.1</v>
      </c>
      <c r="U118" s="42">
        <v>1</v>
      </c>
      <c r="V118" s="42"/>
      <c r="W118" s="43"/>
      <c r="X118" s="43"/>
      <c r="Y118" s="44" t="s">
        <v>149</v>
      </c>
      <c r="Z118" s="52">
        <v>1000</v>
      </c>
      <c r="AA118" s="25">
        <f>VLOOKUP(F118,Zones!$A$2:$F$15614,6,FALSE)</f>
        <v>522</v>
      </c>
      <c r="AB118" s="25">
        <f>VLOOKUP(L118,Zones!$A$2:$F$15614,6,FALSE)</f>
        <v>522</v>
      </c>
    </row>
    <row r="119" spans="2:28">
      <c r="B119" s="39">
        <v>0.38055555555555554</v>
      </c>
      <c r="C119" s="39" t="s">
        <v>333</v>
      </c>
      <c r="D119" s="40">
        <v>3</v>
      </c>
      <c r="E119" s="41">
        <v>2</v>
      </c>
      <c r="F119" s="41" t="s">
        <v>279</v>
      </c>
      <c r="G119" s="42" t="s">
        <v>148</v>
      </c>
      <c r="H119" s="41" t="s">
        <v>147</v>
      </c>
      <c r="I119" s="42">
        <v>10</v>
      </c>
      <c r="J119" s="42">
        <v>2</v>
      </c>
      <c r="K119" s="25" t="str">
        <f>VLOOKUP(J119,Key!$E$2:$F$9,2,FALSE)</f>
        <v>Work</v>
      </c>
      <c r="L119" s="41" t="s">
        <v>334</v>
      </c>
      <c r="M119" s="42" t="s">
        <v>148</v>
      </c>
      <c r="N119" s="41" t="s">
        <v>147</v>
      </c>
      <c r="O119" s="42">
        <v>14</v>
      </c>
      <c r="P119" s="42">
        <v>2</v>
      </c>
      <c r="Q119" s="25" t="str">
        <f>VLOOKUP(P119,Key!$E$2:$F$9,2,FALSE)</f>
        <v>Work</v>
      </c>
      <c r="R119" s="25" t="str">
        <f t="shared" si="3"/>
        <v>Work-Work</v>
      </c>
      <c r="S119" s="43"/>
      <c r="T119" s="43">
        <v>0.5</v>
      </c>
      <c r="U119" s="42">
        <v>4</v>
      </c>
      <c r="V119" s="42"/>
      <c r="W119" s="43"/>
      <c r="X119" s="43"/>
      <c r="Y119" s="44" t="s">
        <v>149</v>
      </c>
      <c r="Z119" s="52">
        <v>1000</v>
      </c>
      <c r="AA119" s="25">
        <f>VLOOKUP(F119,Zones!$A$2:$F$15614,6,FALSE)</f>
        <v>522</v>
      </c>
      <c r="AB119" s="25">
        <f>VLOOKUP(L119,Zones!$A$2:$F$15614,6,FALSE)</f>
        <v>1387</v>
      </c>
    </row>
    <row r="120" spans="2:28">
      <c r="B120" s="39">
        <v>0.37638888888888888</v>
      </c>
      <c r="C120" s="39" t="s">
        <v>335</v>
      </c>
      <c r="D120" s="40">
        <v>1</v>
      </c>
      <c r="E120" s="41">
        <v>1</v>
      </c>
      <c r="F120" s="41" t="s">
        <v>161</v>
      </c>
      <c r="G120" s="42" t="s">
        <v>148</v>
      </c>
      <c r="H120" s="41" t="s">
        <v>147</v>
      </c>
      <c r="I120" s="42">
        <v>1</v>
      </c>
      <c r="J120" s="42">
        <v>1</v>
      </c>
      <c r="K120" s="25" t="str">
        <f>VLOOKUP(J120,Key!$E$2:$F$9,2,FALSE)</f>
        <v>Home</v>
      </c>
      <c r="L120" s="41" t="s">
        <v>153</v>
      </c>
      <c r="M120" s="42" t="s">
        <v>148</v>
      </c>
      <c r="N120" s="41" t="s">
        <v>147</v>
      </c>
      <c r="O120" s="42">
        <v>16</v>
      </c>
      <c r="P120" s="42">
        <v>2</v>
      </c>
      <c r="Q120" s="25" t="str">
        <f>VLOOKUP(P120,Key!$E$2:$F$9,2,FALSE)</f>
        <v>Work</v>
      </c>
      <c r="R120" s="25" t="str">
        <f t="shared" si="3"/>
        <v>Home-Work</v>
      </c>
      <c r="S120" s="43"/>
      <c r="T120" s="43">
        <v>1.5</v>
      </c>
      <c r="U120" s="42">
        <v>1</v>
      </c>
      <c r="V120" s="42"/>
      <c r="W120" s="43"/>
      <c r="X120" s="43"/>
      <c r="Y120" s="44" t="s">
        <v>149</v>
      </c>
      <c r="Z120" s="52">
        <v>1000</v>
      </c>
      <c r="AA120" s="25">
        <f>VLOOKUP(F120,Zones!$A$2:$F$15614,6,FALSE)</f>
        <v>522</v>
      </c>
      <c r="AB120" s="25">
        <f>VLOOKUP(L120,Zones!$A$2:$F$15614,6,FALSE)</f>
        <v>1387</v>
      </c>
    </row>
    <row r="121" spans="2:28">
      <c r="B121" s="39">
        <v>0.34722222222222227</v>
      </c>
      <c r="C121" s="39" t="s">
        <v>336</v>
      </c>
      <c r="D121" s="40">
        <v>11</v>
      </c>
      <c r="E121" s="41">
        <v>1</v>
      </c>
      <c r="F121" s="41" t="s">
        <v>161</v>
      </c>
      <c r="G121" s="42" t="s">
        <v>148</v>
      </c>
      <c r="H121" s="41" t="s">
        <v>147</v>
      </c>
      <c r="I121" s="42">
        <v>8</v>
      </c>
      <c r="J121" s="42">
        <v>2</v>
      </c>
      <c r="K121" s="25" t="str">
        <f>VLOOKUP(J121,Key!$E$2:$F$9,2,FALSE)</f>
        <v>Work</v>
      </c>
      <c r="L121" s="41" t="s">
        <v>207</v>
      </c>
      <c r="M121" s="42" t="s">
        <v>146</v>
      </c>
      <c r="N121" s="41" t="s">
        <v>147</v>
      </c>
      <c r="O121" s="42">
        <v>8</v>
      </c>
      <c r="P121" s="42">
        <v>2</v>
      </c>
      <c r="Q121" s="25" t="str">
        <f>VLOOKUP(P121,Key!$E$2:$F$9,2,FALSE)</f>
        <v>Work</v>
      </c>
      <c r="R121" s="25" t="str">
        <f t="shared" si="3"/>
        <v>Work-Work</v>
      </c>
      <c r="S121" s="43">
        <v>3</v>
      </c>
      <c r="T121" s="43">
        <v>0.1</v>
      </c>
      <c r="U121" s="42">
        <v>1</v>
      </c>
      <c r="V121" s="42"/>
      <c r="W121" s="43"/>
      <c r="X121" s="43"/>
      <c r="Y121" s="44" t="s">
        <v>149</v>
      </c>
      <c r="Z121" s="52">
        <v>1000</v>
      </c>
      <c r="AA121" s="25">
        <f>VLOOKUP(F121,Zones!$A$2:$F$15614,6,FALSE)</f>
        <v>522</v>
      </c>
      <c r="AB121" s="25">
        <f>VLOOKUP(L121,Zones!$A$2:$F$15614,6,FALSE)</f>
        <v>522</v>
      </c>
    </row>
    <row r="122" spans="2:28">
      <c r="B122" s="39">
        <v>0.34166666666666662</v>
      </c>
      <c r="C122" s="39" t="s">
        <v>339</v>
      </c>
      <c r="D122" s="40">
        <v>1</v>
      </c>
      <c r="E122" s="41">
        <v>1</v>
      </c>
      <c r="F122" s="41" t="s">
        <v>186</v>
      </c>
      <c r="G122" s="42" t="s">
        <v>148</v>
      </c>
      <c r="H122" s="41" t="s">
        <v>147</v>
      </c>
      <c r="I122" s="42">
        <v>1</v>
      </c>
      <c r="J122" s="42">
        <v>1</v>
      </c>
      <c r="K122" s="25" t="str">
        <f>VLOOKUP(J122,Key!$E$2:$F$9,2,FALSE)</f>
        <v>Home</v>
      </c>
      <c r="L122" s="41" t="s">
        <v>337</v>
      </c>
      <c r="M122" s="42" t="s">
        <v>148</v>
      </c>
      <c r="N122" s="41" t="s">
        <v>147</v>
      </c>
      <c r="O122" s="42">
        <v>10</v>
      </c>
      <c r="P122" s="42">
        <v>2</v>
      </c>
      <c r="Q122" s="25" t="str">
        <f>VLOOKUP(P122,Key!$E$2:$F$9,2,FALSE)</f>
        <v>Work</v>
      </c>
      <c r="R122" s="25" t="str">
        <f t="shared" si="3"/>
        <v>Home-Work</v>
      </c>
      <c r="S122" s="43"/>
      <c r="T122" s="43">
        <v>0.45</v>
      </c>
      <c r="U122" s="42">
        <v>3</v>
      </c>
      <c r="V122" s="42"/>
      <c r="W122" s="43"/>
      <c r="X122" s="43"/>
      <c r="Y122" s="44" t="s">
        <v>149</v>
      </c>
      <c r="Z122" s="52">
        <v>2000</v>
      </c>
      <c r="AA122" s="25">
        <f>VLOOKUP(F122,Zones!$A$2:$F$15614,6,FALSE)</f>
        <v>565</v>
      </c>
      <c r="AB122" s="25">
        <f>VLOOKUP(L122,Zones!$A$2:$F$15614,6,FALSE)</f>
        <v>562</v>
      </c>
    </row>
    <row r="123" spans="2:28">
      <c r="B123" s="39">
        <v>0.33333333333333331</v>
      </c>
      <c r="C123" s="39" t="s">
        <v>338</v>
      </c>
      <c r="D123" s="40">
        <v>1</v>
      </c>
      <c r="E123" s="41">
        <v>10</v>
      </c>
      <c r="F123" s="41" t="s">
        <v>266</v>
      </c>
      <c r="G123" s="42" t="s">
        <v>148</v>
      </c>
      <c r="H123" s="41" t="s">
        <v>147</v>
      </c>
      <c r="I123" s="42">
        <v>16</v>
      </c>
      <c r="J123" s="42">
        <v>2</v>
      </c>
      <c r="K123" s="25" t="str">
        <f>VLOOKUP(J123,Key!$E$2:$F$9,2,FALSE)</f>
        <v>Work</v>
      </c>
      <c r="L123" s="41" t="s">
        <v>152</v>
      </c>
      <c r="M123" s="42" t="s">
        <v>148</v>
      </c>
      <c r="N123" s="41" t="s">
        <v>147</v>
      </c>
      <c r="O123" s="42">
        <v>6</v>
      </c>
      <c r="P123" s="42">
        <v>2</v>
      </c>
      <c r="Q123" s="25" t="str">
        <f>VLOOKUP(P123,Key!$E$2:$F$9,2,FALSE)</f>
        <v>Work</v>
      </c>
      <c r="R123" s="25" t="str">
        <f t="shared" si="3"/>
        <v>Work-Work</v>
      </c>
      <c r="S123" s="43">
        <v>8</v>
      </c>
      <c r="T123" s="43">
        <v>0.85</v>
      </c>
      <c r="U123" s="42">
        <v>1</v>
      </c>
      <c r="V123" s="42"/>
      <c r="W123" s="43"/>
      <c r="X123" s="43"/>
      <c r="Y123" s="44" t="s">
        <v>149</v>
      </c>
      <c r="Z123" s="52">
        <v>2000</v>
      </c>
      <c r="AA123" s="25">
        <f>VLOOKUP(F123,Zones!$A$2:$F$15614,6,FALSE)</f>
        <v>1397</v>
      </c>
      <c r="AB123" s="25">
        <f>VLOOKUP(L123,Zones!$A$2:$F$15614,6,FALSE)</f>
        <v>522</v>
      </c>
    </row>
    <row r="124" spans="2:28">
      <c r="B124" s="39">
        <v>0.67152777777777783</v>
      </c>
      <c r="C124" s="39" t="s">
        <v>340</v>
      </c>
      <c r="D124" s="40">
        <v>4</v>
      </c>
      <c r="E124" s="41">
        <v>14</v>
      </c>
      <c r="F124" s="41" t="s">
        <v>158</v>
      </c>
      <c r="G124" s="42" t="s">
        <v>146</v>
      </c>
      <c r="H124" s="41" t="s">
        <v>147</v>
      </c>
      <c r="I124" s="42">
        <v>6</v>
      </c>
      <c r="J124" s="42">
        <v>2</v>
      </c>
      <c r="K124" s="25" t="str">
        <f>VLOOKUP(J124,Key!$E$2:$F$9,2,FALSE)</f>
        <v>Work</v>
      </c>
      <c r="L124" s="41" t="s">
        <v>152</v>
      </c>
      <c r="M124" s="42" t="s">
        <v>148</v>
      </c>
      <c r="N124" s="41" t="s">
        <v>147</v>
      </c>
      <c r="O124" s="42">
        <v>6</v>
      </c>
      <c r="P124" s="42">
        <v>2</v>
      </c>
      <c r="Q124" s="25" t="str">
        <f>VLOOKUP(P124,Key!$E$2:$F$9,2,FALSE)</f>
        <v>Work</v>
      </c>
      <c r="R124" s="25" t="str">
        <f t="shared" si="3"/>
        <v>Work-Work</v>
      </c>
      <c r="S124" s="43">
        <v>15</v>
      </c>
      <c r="T124" s="43">
        <v>1</v>
      </c>
      <c r="U124" s="42">
        <v>2</v>
      </c>
      <c r="V124" s="42"/>
      <c r="W124" s="43"/>
      <c r="X124" s="43"/>
      <c r="Y124" s="44" t="s">
        <v>149</v>
      </c>
      <c r="Z124" s="52">
        <v>2000</v>
      </c>
      <c r="AA124" s="25">
        <f>VLOOKUP(F124,Zones!$A$2:$F$15614,6,FALSE)</f>
        <v>521</v>
      </c>
      <c r="AB124" s="25">
        <f>VLOOKUP(L124,Zones!$A$2:$F$15614,6,FALSE)</f>
        <v>522</v>
      </c>
    </row>
    <row r="125" spans="2:28">
      <c r="B125" s="39">
        <v>0.67638888888888893</v>
      </c>
      <c r="C125" s="39" t="s">
        <v>341</v>
      </c>
      <c r="D125" s="40">
        <v>1</v>
      </c>
      <c r="E125" s="41">
        <v>1</v>
      </c>
      <c r="F125" s="41" t="s">
        <v>161</v>
      </c>
      <c r="G125" s="42" t="s">
        <v>148</v>
      </c>
      <c r="H125" s="41" t="s">
        <v>147</v>
      </c>
      <c r="I125" s="42">
        <v>16</v>
      </c>
      <c r="J125" s="42">
        <v>8</v>
      </c>
      <c r="K125" s="25" t="str">
        <f>VLOOKUP(J125,Key!$E$2:$F$9,2,FALSE)</f>
        <v>Others</v>
      </c>
      <c r="L125" s="41" t="s">
        <v>2411</v>
      </c>
      <c r="M125" s="42" t="s">
        <v>148</v>
      </c>
      <c r="N125" s="41" t="s">
        <v>147</v>
      </c>
      <c r="O125" s="42">
        <v>1</v>
      </c>
      <c r="P125" s="42">
        <v>1</v>
      </c>
      <c r="Q125" s="25" t="str">
        <f>VLOOKUP(P125,Key!$E$2:$F$9,2,FALSE)</f>
        <v>Home</v>
      </c>
      <c r="R125" s="25" t="str">
        <f t="shared" si="3"/>
        <v>Others-Home</v>
      </c>
      <c r="S125" s="43">
        <v>5</v>
      </c>
      <c r="T125" s="43">
        <v>0.2</v>
      </c>
      <c r="U125" s="42">
        <v>3</v>
      </c>
      <c r="V125" s="42"/>
      <c r="W125" s="43"/>
      <c r="X125" s="43"/>
      <c r="Y125" s="44" t="s">
        <v>149</v>
      </c>
      <c r="Z125" s="52">
        <v>10000</v>
      </c>
      <c r="AA125" s="25">
        <f>VLOOKUP(F125,Zones!$A$2:$F$15614,6,FALSE)</f>
        <v>522</v>
      </c>
      <c r="AB125" s="25">
        <f>VLOOKUP(L125,Zones!$A$2:$F$15614,6,FALSE)</f>
        <v>579</v>
      </c>
    </row>
    <row r="126" spans="2:28">
      <c r="B126" s="39">
        <v>7.2916666666666671E-2</v>
      </c>
      <c r="C126" s="39" t="s">
        <v>342</v>
      </c>
      <c r="D126" s="40">
        <v>1</v>
      </c>
      <c r="E126" s="41">
        <v>2</v>
      </c>
      <c r="F126" s="41" t="s">
        <v>266</v>
      </c>
      <c r="G126" s="42" t="s">
        <v>148</v>
      </c>
      <c r="H126" s="41" t="s">
        <v>147</v>
      </c>
      <c r="I126" s="42">
        <v>16</v>
      </c>
      <c r="J126" s="42">
        <v>6</v>
      </c>
      <c r="K126" s="25" t="str">
        <f>VLOOKUP(J126,Key!$E$2:$F$9,2,FALSE)</f>
        <v>Leisure/Social</v>
      </c>
      <c r="L126" s="41" t="s">
        <v>152</v>
      </c>
      <c r="M126" s="42" t="s">
        <v>148</v>
      </c>
      <c r="N126" s="41" t="s">
        <v>147</v>
      </c>
      <c r="O126" s="42">
        <v>1</v>
      </c>
      <c r="P126" s="42">
        <v>1</v>
      </c>
      <c r="Q126" s="25" t="str">
        <f>VLOOKUP(P126,Key!$E$2:$F$9,2,FALSE)</f>
        <v>Home</v>
      </c>
      <c r="R126" s="25" t="str">
        <f t="shared" si="3"/>
        <v>Leisure/Social-Home</v>
      </c>
      <c r="S126" s="43"/>
      <c r="T126" s="43"/>
      <c r="U126" s="42">
        <v>1</v>
      </c>
      <c r="V126" s="42"/>
      <c r="W126" s="43"/>
      <c r="X126" s="43"/>
      <c r="Y126" s="44" t="s">
        <v>149</v>
      </c>
      <c r="Z126" s="52">
        <v>500</v>
      </c>
      <c r="AA126" s="25">
        <f>VLOOKUP(F126,Zones!$A$2:$F$15614,6,FALSE)</f>
        <v>1397</v>
      </c>
      <c r="AB126" s="25">
        <f>VLOOKUP(L126,Zones!$A$2:$F$15614,6,FALSE)</f>
        <v>522</v>
      </c>
    </row>
    <row r="127" spans="2:28">
      <c r="B127" s="39">
        <v>9.375E-2</v>
      </c>
      <c r="C127" s="39" t="s">
        <v>343</v>
      </c>
      <c r="D127" s="40">
        <v>4</v>
      </c>
      <c r="E127" s="41">
        <v>2</v>
      </c>
      <c r="F127" s="41" t="s">
        <v>250</v>
      </c>
      <c r="G127" s="42" t="s">
        <v>148</v>
      </c>
      <c r="H127" s="41" t="s">
        <v>147</v>
      </c>
      <c r="I127" s="42">
        <v>6</v>
      </c>
      <c r="J127" s="42">
        <v>2</v>
      </c>
      <c r="K127" s="25" t="str">
        <f>VLOOKUP(J127,Key!$E$2:$F$9,2,FALSE)</f>
        <v>Work</v>
      </c>
      <c r="L127" s="41" t="s">
        <v>152</v>
      </c>
      <c r="M127" s="42" t="s">
        <v>148</v>
      </c>
      <c r="N127" s="41" t="s">
        <v>147</v>
      </c>
      <c r="O127" s="42">
        <v>6</v>
      </c>
      <c r="P127" s="42">
        <v>2</v>
      </c>
      <c r="Q127" s="25" t="str">
        <f>VLOOKUP(P127,Key!$E$2:$F$9,2,FALSE)</f>
        <v>Work</v>
      </c>
      <c r="R127" s="25" t="str">
        <f t="shared" si="3"/>
        <v>Work-Work</v>
      </c>
      <c r="S127" s="43"/>
      <c r="T127" s="43">
        <v>0.6</v>
      </c>
      <c r="U127" s="42">
        <v>1</v>
      </c>
      <c r="V127" s="42"/>
      <c r="W127" s="43"/>
      <c r="X127" s="43"/>
      <c r="Y127" s="44" t="s">
        <v>149</v>
      </c>
      <c r="Z127" s="52">
        <v>1000</v>
      </c>
      <c r="AA127" s="25">
        <f>VLOOKUP(F127,Zones!$A$2:$F$15614,6,FALSE)</f>
        <v>1398</v>
      </c>
      <c r="AB127" s="25">
        <f>VLOOKUP(L127,Zones!$A$2:$F$15614,6,FALSE)</f>
        <v>522</v>
      </c>
    </row>
    <row r="128" spans="2:28">
      <c r="B128" s="39">
        <v>0.1111111111111111</v>
      </c>
      <c r="C128" s="39" t="s">
        <v>344</v>
      </c>
      <c r="D128" s="40">
        <v>4</v>
      </c>
      <c r="E128" s="41">
        <v>14</v>
      </c>
      <c r="F128" s="41" t="s">
        <v>2412</v>
      </c>
      <c r="G128" s="42" t="s">
        <v>146</v>
      </c>
      <c r="H128" s="41" t="s">
        <v>147</v>
      </c>
      <c r="I128" s="42">
        <v>6</v>
      </c>
      <c r="J128" s="42">
        <v>2</v>
      </c>
      <c r="K128" s="25" t="str">
        <f>VLOOKUP(J128,Key!$E$2:$F$9,2,FALSE)</f>
        <v>Work</v>
      </c>
      <c r="L128" s="41" t="s">
        <v>152</v>
      </c>
      <c r="M128" s="42" t="s">
        <v>146</v>
      </c>
      <c r="N128" s="41" t="s">
        <v>147</v>
      </c>
      <c r="O128" s="42">
        <v>6</v>
      </c>
      <c r="P128" s="42">
        <v>2</v>
      </c>
      <c r="Q128" s="25" t="str">
        <f>VLOOKUP(P128,Key!$E$2:$F$9,2,FALSE)</f>
        <v>Work</v>
      </c>
      <c r="R128" s="25" t="str">
        <f t="shared" si="3"/>
        <v>Work-Work</v>
      </c>
      <c r="S128" s="43">
        <v>9</v>
      </c>
      <c r="T128" s="43">
        <v>0.9</v>
      </c>
      <c r="U128" s="42">
        <v>1</v>
      </c>
      <c r="V128" s="42"/>
      <c r="W128" s="43"/>
      <c r="X128" s="43"/>
      <c r="Y128" s="44" t="s">
        <v>149</v>
      </c>
      <c r="Z128" s="52">
        <v>800</v>
      </c>
      <c r="AA128" s="25">
        <f>VLOOKUP(F128,Zones!$A$2:$F$15614,6,FALSE)</f>
        <v>521</v>
      </c>
      <c r="AB128" s="25">
        <f>VLOOKUP(L128,Zones!$A$2:$F$15614,6,FALSE)</f>
        <v>522</v>
      </c>
    </row>
    <row r="129" spans="2:28">
      <c r="B129" s="39">
        <v>0.12847222222222224</v>
      </c>
      <c r="C129" s="39" t="s">
        <v>346</v>
      </c>
      <c r="D129" s="40">
        <v>4</v>
      </c>
      <c r="E129" s="41">
        <v>2</v>
      </c>
      <c r="F129" s="41" t="s">
        <v>279</v>
      </c>
      <c r="G129" s="42" t="s">
        <v>148</v>
      </c>
      <c r="H129" s="41" t="s">
        <v>147</v>
      </c>
      <c r="I129" s="42">
        <v>4</v>
      </c>
      <c r="J129" s="42">
        <v>3</v>
      </c>
      <c r="K129" s="25" t="str">
        <f>VLOOKUP(J129,Key!$E$2:$F$9,2,FALSE)</f>
        <v>Study</v>
      </c>
      <c r="L129" s="41" t="s">
        <v>204</v>
      </c>
      <c r="M129" s="42" t="s">
        <v>148</v>
      </c>
      <c r="N129" s="41" t="s">
        <v>147</v>
      </c>
      <c r="O129" s="42">
        <v>1</v>
      </c>
      <c r="P129" s="42">
        <v>1</v>
      </c>
      <c r="Q129" s="25" t="str">
        <f>VLOOKUP(P129,Key!$E$2:$F$9,2,FALSE)</f>
        <v>Home</v>
      </c>
      <c r="R129" s="25" t="str">
        <f t="shared" si="3"/>
        <v>Study-Home</v>
      </c>
      <c r="S129" s="43">
        <v>4</v>
      </c>
      <c r="T129" s="43">
        <v>0.6</v>
      </c>
      <c r="U129" s="42">
        <v>2</v>
      </c>
      <c r="V129" s="42"/>
      <c r="W129" s="43"/>
      <c r="X129" s="43"/>
      <c r="Y129" s="44" t="s">
        <v>149</v>
      </c>
      <c r="Z129" s="52">
        <v>1000</v>
      </c>
      <c r="AA129" s="25">
        <f>VLOOKUP(F129,Zones!$A$2:$F$15614,6,FALSE)</f>
        <v>522</v>
      </c>
      <c r="AB129" s="25">
        <f>VLOOKUP(L129,Zones!$A$2:$F$15614,6,FALSE)</f>
        <v>521</v>
      </c>
    </row>
    <row r="130" spans="2:28">
      <c r="B130" s="39">
        <v>0.14583333333333334</v>
      </c>
      <c r="C130" s="39" t="s">
        <v>347</v>
      </c>
      <c r="D130" s="40">
        <v>1</v>
      </c>
      <c r="E130" s="41">
        <v>1</v>
      </c>
      <c r="F130" s="41" t="s">
        <v>250</v>
      </c>
      <c r="G130" s="42" t="s">
        <v>148</v>
      </c>
      <c r="H130" s="41" t="s">
        <v>147</v>
      </c>
      <c r="I130" s="42">
        <v>16</v>
      </c>
      <c r="J130" s="42">
        <v>6</v>
      </c>
      <c r="K130" s="25" t="str">
        <f>VLOOKUP(J130,Key!$E$2:$F$9,2,FALSE)</f>
        <v>Leisure/Social</v>
      </c>
      <c r="L130" s="41" t="s">
        <v>207</v>
      </c>
      <c r="M130" s="42" t="s">
        <v>146</v>
      </c>
      <c r="N130" s="41" t="s">
        <v>147</v>
      </c>
      <c r="O130" s="42">
        <v>1</v>
      </c>
      <c r="P130" s="42">
        <v>1</v>
      </c>
      <c r="Q130" s="25" t="str">
        <f>VLOOKUP(P130,Key!$E$2:$F$9,2,FALSE)</f>
        <v>Home</v>
      </c>
      <c r="R130" s="25" t="str">
        <f t="shared" si="3"/>
        <v>Leisure/Social-Home</v>
      </c>
      <c r="S130" s="43"/>
      <c r="T130" s="43">
        <v>0.4</v>
      </c>
      <c r="U130" s="42">
        <v>3</v>
      </c>
      <c r="V130" s="42"/>
      <c r="W130" s="43"/>
      <c r="X130" s="43"/>
      <c r="Y130" s="44" t="s">
        <v>149</v>
      </c>
      <c r="Z130" s="52">
        <v>2000</v>
      </c>
      <c r="AA130" s="25">
        <f>VLOOKUP(F130,Zones!$A$2:$F$15614,6,FALSE)</f>
        <v>1398</v>
      </c>
      <c r="AB130" s="25">
        <f>VLOOKUP(L130,Zones!$A$2:$F$15614,6,FALSE)</f>
        <v>522</v>
      </c>
    </row>
    <row r="131" spans="2:28">
      <c r="B131" s="39">
        <v>0.16111111111111112</v>
      </c>
      <c r="C131" s="39" t="s">
        <v>348</v>
      </c>
      <c r="D131" s="40">
        <v>4</v>
      </c>
      <c r="E131" s="41">
        <v>4</v>
      </c>
      <c r="F131" s="41" t="s">
        <v>297</v>
      </c>
      <c r="G131" s="42" t="s">
        <v>146</v>
      </c>
      <c r="H131" s="41" t="s">
        <v>147</v>
      </c>
      <c r="I131" s="42">
        <v>6</v>
      </c>
      <c r="J131" s="42">
        <v>2</v>
      </c>
      <c r="K131" s="25" t="str">
        <f>VLOOKUP(J131,Key!$E$2:$F$9,2,FALSE)</f>
        <v>Work</v>
      </c>
      <c r="L131" s="41" t="s">
        <v>152</v>
      </c>
      <c r="M131" s="42" t="s">
        <v>148</v>
      </c>
      <c r="N131" s="41" t="s">
        <v>147</v>
      </c>
      <c r="O131" s="42">
        <v>6</v>
      </c>
      <c r="P131" s="42">
        <v>2</v>
      </c>
      <c r="Q131" s="25" t="str">
        <f>VLOOKUP(P131,Key!$E$2:$F$9,2,FALSE)</f>
        <v>Work</v>
      </c>
      <c r="R131" s="25" t="str">
        <f t="shared" si="3"/>
        <v>Work-Work</v>
      </c>
      <c r="S131" s="43"/>
      <c r="T131" s="43">
        <v>0.6</v>
      </c>
      <c r="U131" s="42">
        <v>1</v>
      </c>
      <c r="V131" s="42"/>
      <c r="W131" s="43"/>
      <c r="X131" s="43"/>
      <c r="Y131" s="44" t="s">
        <v>149</v>
      </c>
      <c r="Z131" s="52">
        <v>500</v>
      </c>
      <c r="AA131" s="25">
        <f>VLOOKUP(F131,Zones!$A$2:$F$15614,6,FALSE)</f>
        <v>566</v>
      </c>
      <c r="AB131" s="25">
        <f>VLOOKUP(L131,Zones!$A$2:$F$15614,6,FALSE)</f>
        <v>522</v>
      </c>
    </row>
    <row r="132" spans="2:28">
      <c r="B132" s="39">
        <v>0.23472222222222219</v>
      </c>
      <c r="C132" s="39" t="s">
        <v>349</v>
      </c>
      <c r="D132" s="40">
        <v>4</v>
      </c>
      <c r="E132" s="41">
        <v>2</v>
      </c>
      <c r="F132" s="41" t="s">
        <v>161</v>
      </c>
      <c r="G132" s="42" t="s">
        <v>148</v>
      </c>
      <c r="H132" s="41" t="s">
        <v>147</v>
      </c>
      <c r="I132" s="42">
        <v>1</v>
      </c>
      <c r="J132" s="42">
        <v>1</v>
      </c>
      <c r="K132" s="25" t="str">
        <f>VLOOKUP(J132,Key!$E$2:$F$9,2,FALSE)</f>
        <v>Home</v>
      </c>
      <c r="L132" s="41" t="s">
        <v>152</v>
      </c>
      <c r="M132" s="42" t="s">
        <v>148</v>
      </c>
      <c r="N132" s="41" t="s">
        <v>147</v>
      </c>
      <c r="O132" s="42">
        <v>6</v>
      </c>
      <c r="P132" s="42">
        <v>2</v>
      </c>
      <c r="Q132" s="25" t="str">
        <f>VLOOKUP(P132,Key!$E$2:$F$9,2,FALSE)</f>
        <v>Work</v>
      </c>
      <c r="R132" s="25" t="str">
        <f t="shared" si="3"/>
        <v>Home-Work</v>
      </c>
      <c r="S132" s="43"/>
      <c r="T132" s="43">
        <v>0.3</v>
      </c>
      <c r="U132" s="42">
        <v>1</v>
      </c>
      <c r="V132" s="42"/>
      <c r="W132" s="43"/>
      <c r="X132" s="43"/>
      <c r="Y132" s="44" t="s">
        <v>149</v>
      </c>
      <c r="Z132" s="52">
        <v>1000</v>
      </c>
      <c r="AA132" s="25">
        <f>VLOOKUP(F132,Zones!$A$2:$F$15614,6,FALSE)</f>
        <v>522</v>
      </c>
      <c r="AB132" s="25">
        <f>VLOOKUP(L132,Zones!$A$2:$F$15614,6,FALSE)</f>
        <v>522</v>
      </c>
    </row>
    <row r="133" spans="2:28">
      <c r="B133" s="39">
        <v>0.25</v>
      </c>
      <c r="C133" s="39" t="s">
        <v>350</v>
      </c>
      <c r="D133" s="40">
        <v>4</v>
      </c>
      <c r="E133" s="41">
        <v>2</v>
      </c>
      <c r="F133" s="41" t="s">
        <v>194</v>
      </c>
      <c r="G133" s="42" t="s">
        <v>146</v>
      </c>
      <c r="H133" s="41" t="s">
        <v>147</v>
      </c>
      <c r="I133" s="42">
        <v>1</v>
      </c>
      <c r="J133" s="42">
        <v>1</v>
      </c>
      <c r="K133" s="25" t="str">
        <f>VLOOKUP(J133,Key!$E$2:$F$9,2,FALSE)</f>
        <v>Home</v>
      </c>
      <c r="L133" s="41" t="s">
        <v>152</v>
      </c>
      <c r="M133" s="42" t="s">
        <v>148</v>
      </c>
      <c r="N133" s="41" t="s">
        <v>147</v>
      </c>
      <c r="O133" s="42">
        <v>6</v>
      </c>
      <c r="P133" s="42">
        <v>2</v>
      </c>
      <c r="Q133" s="25" t="str">
        <f>VLOOKUP(P133,Key!$E$2:$F$9,2,FALSE)</f>
        <v>Work</v>
      </c>
      <c r="R133" s="25" t="str">
        <f t="shared" si="3"/>
        <v>Home-Work</v>
      </c>
      <c r="S133" s="43"/>
      <c r="T133" s="43">
        <v>0.6</v>
      </c>
      <c r="U133" s="42">
        <v>1</v>
      </c>
      <c r="V133" s="42"/>
      <c r="W133" s="43"/>
      <c r="X133" s="43"/>
      <c r="Y133" s="44" t="s">
        <v>149</v>
      </c>
      <c r="Z133" s="52">
        <v>1000</v>
      </c>
      <c r="AA133" s="25">
        <f>VLOOKUP(F133,Zones!$A$2:$F$15614,6,FALSE)</f>
        <v>565</v>
      </c>
      <c r="AB133" s="25">
        <f>VLOOKUP(L133,Zones!$A$2:$F$15614,6,FALSE)</f>
        <v>522</v>
      </c>
    </row>
    <row r="134" spans="2:28">
      <c r="B134" s="39">
        <v>0.34722222222222227</v>
      </c>
      <c r="C134" s="39" t="s">
        <v>351</v>
      </c>
      <c r="D134" s="40">
        <v>11</v>
      </c>
      <c r="E134" s="41">
        <v>1</v>
      </c>
      <c r="F134" s="41" t="s">
        <v>279</v>
      </c>
      <c r="G134" s="42" t="s">
        <v>148</v>
      </c>
      <c r="H134" s="41" t="s">
        <v>147</v>
      </c>
      <c r="I134" s="42">
        <v>1</v>
      </c>
      <c r="J134" s="42">
        <v>1</v>
      </c>
      <c r="K134" s="25" t="str">
        <f>VLOOKUP(J134,Key!$E$2:$F$9,2,FALSE)</f>
        <v>Home</v>
      </c>
      <c r="L134" s="41" t="s">
        <v>292</v>
      </c>
      <c r="M134" s="42" t="s">
        <v>148</v>
      </c>
      <c r="N134" s="41" t="s">
        <v>147</v>
      </c>
      <c r="O134" s="42">
        <v>8</v>
      </c>
      <c r="P134" s="42">
        <v>2</v>
      </c>
      <c r="Q134" s="25" t="str">
        <f>VLOOKUP(P134,Key!$E$2:$F$9,2,FALSE)</f>
        <v>Work</v>
      </c>
      <c r="R134" s="25" t="str">
        <f t="shared" si="3"/>
        <v>Home-Work</v>
      </c>
      <c r="S134" s="43">
        <v>4</v>
      </c>
      <c r="T134" s="43">
        <v>0.2</v>
      </c>
      <c r="U134" s="42">
        <v>4</v>
      </c>
      <c r="V134" s="42"/>
      <c r="W134" s="43"/>
      <c r="X134" s="43"/>
      <c r="Y134" s="44" t="s">
        <v>149</v>
      </c>
      <c r="Z134" s="52">
        <v>500</v>
      </c>
      <c r="AA134" s="25">
        <f>VLOOKUP(F134,Zones!$A$2:$F$15614,6,FALSE)</f>
        <v>522</v>
      </c>
      <c r="AB134" s="25">
        <f>VLOOKUP(L134,Zones!$A$2:$F$15614,6,FALSE)</f>
        <v>522</v>
      </c>
    </row>
    <row r="135" spans="2:28">
      <c r="B135" s="39">
        <v>0.3666666666666667</v>
      </c>
      <c r="C135" s="39" t="s">
        <v>352</v>
      </c>
      <c r="D135" s="40">
        <v>4</v>
      </c>
      <c r="E135" s="41">
        <v>3</v>
      </c>
      <c r="F135" s="41" t="s">
        <v>161</v>
      </c>
      <c r="G135" s="42" t="s">
        <v>148</v>
      </c>
      <c r="H135" s="41" t="s">
        <v>147</v>
      </c>
      <c r="I135" s="42">
        <v>6</v>
      </c>
      <c r="J135" s="42">
        <v>2</v>
      </c>
      <c r="K135" s="25" t="s">
        <v>101</v>
      </c>
      <c r="L135" s="41" t="s">
        <v>292</v>
      </c>
      <c r="M135" s="42" t="s">
        <v>148</v>
      </c>
      <c r="N135" s="41" t="s">
        <v>147</v>
      </c>
      <c r="O135" s="42">
        <v>6</v>
      </c>
      <c r="P135" s="42">
        <v>2</v>
      </c>
      <c r="Q135" s="25" t="str">
        <f>VLOOKUP(P135,Key!$E$2:$F$9,2,FALSE)</f>
        <v>Work</v>
      </c>
      <c r="R135" s="25" t="str">
        <f t="shared" si="3"/>
        <v>Work-Work</v>
      </c>
      <c r="S135" s="43">
        <v>2</v>
      </c>
      <c r="T135" s="43">
        <v>0.1</v>
      </c>
      <c r="U135" s="42">
        <v>2</v>
      </c>
      <c r="V135" s="42"/>
      <c r="W135" s="43"/>
      <c r="X135" s="43"/>
      <c r="Y135" s="44" t="s">
        <v>149</v>
      </c>
      <c r="Z135" s="52">
        <v>10000</v>
      </c>
      <c r="AA135" s="25">
        <f>VLOOKUP(F135,Zones!$A$2:$F$15614,6,FALSE)</f>
        <v>522</v>
      </c>
      <c r="AB135" s="25">
        <f>VLOOKUP(L135,Zones!$A$2:$F$15614,6,FALSE)</f>
        <v>522</v>
      </c>
    </row>
    <row r="136" spans="2:28">
      <c r="B136" s="39">
        <v>0.375</v>
      </c>
      <c r="C136" s="39" t="s">
        <v>353</v>
      </c>
      <c r="D136" s="40">
        <v>11</v>
      </c>
      <c r="E136" s="41">
        <v>1</v>
      </c>
      <c r="F136" s="41" t="s">
        <v>279</v>
      </c>
      <c r="G136" s="42" t="s">
        <v>148</v>
      </c>
      <c r="H136" s="41" t="s">
        <v>147</v>
      </c>
      <c r="I136" s="42">
        <v>8</v>
      </c>
      <c r="J136" s="42">
        <v>2</v>
      </c>
      <c r="K136" s="25" t="str">
        <f>VLOOKUP(J136,Key!$E$2:$F$9,2,FALSE)</f>
        <v>Work</v>
      </c>
      <c r="L136" s="41" t="s">
        <v>152</v>
      </c>
      <c r="M136" s="42" t="s">
        <v>148</v>
      </c>
      <c r="N136" s="41" t="s">
        <v>147</v>
      </c>
      <c r="O136" s="42">
        <v>8</v>
      </c>
      <c r="P136" s="42">
        <v>2</v>
      </c>
      <c r="Q136" s="25" t="str">
        <f>VLOOKUP(P136,Key!$E$2:$F$9,2,FALSE)</f>
        <v>Work</v>
      </c>
      <c r="R136" s="25" t="str">
        <f t="shared" si="3"/>
        <v>Work-Work</v>
      </c>
      <c r="S136" s="43">
        <v>5</v>
      </c>
      <c r="T136" s="43">
        <v>0.2</v>
      </c>
      <c r="U136" s="42">
        <v>2</v>
      </c>
      <c r="V136" s="42"/>
      <c r="W136" s="43"/>
      <c r="X136" s="43"/>
      <c r="Y136" s="44" t="s">
        <v>149</v>
      </c>
      <c r="Z136" s="52">
        <v>300</v>
      </c>
      <c r="AA136" s="25">
        <f>VLOOKUP(F136,Zones!$A$2:$F$15614,6,FALSE)</f>
        <v>522</v>
      </c>
      <c r="AB136" s="25">
        <f>VLOOKUP(L136,Zones!$A$2:$F$15614,6,FALSE)</f>
        <v>522</v>
      </c>
    </row>
    <row r="137" spans="2:28">
      <c r="B137" s="39">
        <v>0.37847222222222227</v>
      </c>
      <c r="C137" s="39" t="s">
        <v>354</v>
      </c>
      <c r="D137" s="40">
        <v>11</v>
      </c>
      <c r="E137" s="41">
        <v>2</v>
      </c>
      <c r="F137" s="41" t="s">
        <v>161</v>
      </c>
      <c r="G137" s="42" t="s">
        <v>148</v>
      </c>
      <c r="H137" s="41" t="s">
        <v>147</v>
      </c>
      <c r="I137" s="42">
        <v>8</v>
      </c>
      <c r="J137" s="42">
        <v>2</v>
      </c>
      <c r="K137" s="25" t="str">
        <f>VLOOKUP(J137,Key!$E$2:$F$9,2,FALSE)</f>
        <v>Work</v>
      </c>
      <c r="L137" s="41" t="s">
        <v>158</v>
      </c>
      <c r="M137" s="42" t="s">
        <v>146</v>
      </c>
      <c r="N137" s="41" t="s">
        <v>147</v>
      </c>
      <c r="O137" s="42">
        <v>8</v>
      </c>
      <c r="P137" s="42">
        <v>2</v>
      </c>
      <c r="Q137" s="25" t="str">
        <f>VLOOKUP(P137,Key!$E$2:$F$9,2,FALSE)</f>
        <v>Work</v>
      </c>
      <c r="R137" s="25" t="str">
        <f t="shared" si="3"/>
        <v>Work-Work</v>
      </c>
      <c r="S137" s="43">
        <v>40</v>
      </c>
      <c r="T137" s="43">
        <v>0.5</v>
      </c>
      <c r="U137" s="42">
        <v>2</v>
      </c>
      <c r="V137" s="42"/>
      <c r="W137" s="43"/>
      <c r="X137" s="43"/>
      <c r="Y137" s="44" t="s">
        <v>149</v>
      </c>
      <c r="Z137" s="52">
        <v>5000</v>
      </c>
      <c r="AA137" s="25">
        <f>VLOOKUP(F137,Zones!$A$2:$F$15614,6,FALSE)</f>
        <v>522</v>
      </c>
      <c r="AB137" s="25">
        <f>VLOOKUP(L137,Zones!$A$2:$F$15614,6,FALSE)</f>
        <v>521</v>
      </c>
    </row>
    <row r="138" spans="2:28">
      <c r="B138" s="39">
        <v>0.38194444444444442</v>
      </c>
      <c r="C138" s="39" t="s">
        <v>355</v>
      </c>
      <c r="D138" s="40">
        <v>3</v>
      </c>
      <c r="E138" s="41">
        <v>1</v>
      </c>
      <c r="F138" s="41" t="s">
        <v>161</v>
      </c>
      <c r="G138" s="42" t="s">
        <v>148</v>
      </c>
      <c r="H138" s="41" t="s">
        <v>147</v>
      </c>
      <c r="I138" s="42">
        <v>1</v>
      </c>
      <c r="J138" s="42">
        <v>1</v>
      </c>
      <c r="K138" s="25" t="str">
        <f>VLOOKUP(J138,Key!$E$2:$F$9,2,FALSE)</f>
        <v>Home</v>
      </c>
      <c r="L138" s="41" t="s">
        <v>218</v>
      </c>
      <c r="M138" s="42" t="s">
        <v>148</v>
      </c>
      <c r="N138" s="41" t="s">
        <v>147</v>
      </c>
      <c r="O138" s="42">
        <v>2</v>
      </c>
      <c r="P138" s="42">
        <v>2</v>
      </c>
      <c r="Q138" s="25" t="str">
        <f>VLOOKUP(P138,Key!$E$2:$F$9,2,FALSE)</f>
        <v>Work</v>
      </c>
      <c r="R138" s="25" t="str">
        <f t="shared" si="3"/>
        <v>Home-Work</v>
      </c>
      <c r="S138" s="43">
        <v>2</v>
      </c>
      <c r="T138" s="43">
        <v>0.03</v>
      </c>
      <c r="U138" s="42">
        <v>2</v>
      </c>
      <c r="V138" s="42"/>
      <c r="W138" s="43"/>
      <c r="X138" s="43"/>
      <c r="Y138" s="44" t="s">
        <v>149</v>
      </c>
      <c r="Z138" s="52"/>
      <c r="AA138" s="25">
        <f>VLOOKUP(F138,Zones!$A$2:$F$15614,6,FALSE)</f>
        <v>522</v>
      </c>
      <c r="AB138" s="25">
        <f>VLOOKUP(L138,Zones!$A$2:$F$15614,6,FALSE)</f>
        <v>522</v>
      </c>
    </row>
    <row r="139" spans="2:28">
      <c r="B139" s="39">
        <v>0.3888888888888889</v>
      </c>
      <c r="C139" s="39" t="s">
        <v>357</v>
      </c>
      <c r="D139" s="40">
        <v>11</v>
      </c>
      <c r="E139" s="41">
        <v>1</v>
      </c>
      <c r="F139" s="41" t="s">
        <v>161</v>
      </c>
      <c r="G139" s="42" t="s">
        <v>148</v>
      </c>
      <c r="H139" s="41" t="s">
        <v>147</v>
      </c>
      <c r="I139" s="42">
        <v>8</v>
      </c>
      <c r="J139" s="42">
        <v>2</v>
      </c>
      <c r="K139" s="25" t="str">
        <f>VLOOKUP(J139,Key!$E$2:$F$9,2,FALSE)</f>
        <v>Work</v>
      </c>
      <c r="L139" s="41" t="s">
        <v>181</v>
      </c>
      <c r="M139" s="42" t="s">
        <v>146</v>
      </c>
      <c r="N139" s="41" t="s">
        <v>147</v>
      </c>
      <c r="O139" s="42">
        <v>8</v>
      </c>
      <c r="P139" s="42">
        <v>2</v>
      </c>
      <c r="Q139" s="25" t="str">
        <f>VLOOKUP(P139,Key!$E$2:$F$9,2,FALSE)</f>
        <v>Work</v>
      </c>
      <c r="R139" s="25" t="str">
        <f t="shared" si="3"/>
        <v>Work-Work</v>
      </c>
      <c r="S139" s="43">
        <v>10</v>
      </c>
      <c r="T139" s="43">
        <v>0.3</v>
      </c>
      <c r="U139" s="42">
        <v>2</v>
      </c>
      <c r="V139" s="42"/>
      <c r="W139" s="43"/>
      <c r="X139" s="43"/>
      <c r="Y139" s="44" t="s">
        <v>149</v>
      </c>
      <c r="Z139" s="52">
        <v>1000</v>
      </c>
      <c r="AA139" s="25">
        <f>VLOOKUP(F139,Zones!$A$2:$F$15614,6,FALSE)</f>
        <v>522</v>
      </c>
      <c r="AB139" s="25">
        <f>VLOOKUP(L139,Zones!$A$2:$F$15614,6,FALSE)</f>
        <v>536</v>
      </c>
    </row>
    <row r="140" spans="2:28">
      <c r="B140" s="39">
        <v>0.39444444444444443</v>
      </c>
      <c r="C140" s="39" t="s">
        <v>358</v>
      </c>
      <c r="D140" s="40">
        <v>7</v>
      </c>
      <c r="E140" s="41">
        <v>4</v>
      </c>
      <c r="F140" s="41" t="s">
        <v>161</v>
      </c>
      <c r="G140" s="42" t="s">
        <v>148</v>
      </c>
      <c r="H140" s="41" t="s">
        <v>147</v>
      </c>
      <c r="I140" s="42">
        <v>13</v>
      </c>
      <c r="J140" s="42">
        <v>1</v>
      </c>
      <c r="K140" s="25" t="str">
        <f>VLOOKUP(J140,Key!$E$2:$F$9,2,FALSE)</f>
        <v>Home</v>
      </c>
      <c r="L140" s="41" t="s">
        <v>152</v>
      </c>
      <c r="M140" s="42" t="s">
        <v>148</v>
      </c>
      <c r="N140" s="41" t="s">
        <v>147</v>
      </c>
      <c r="O140" s="42">
        <v>10</v>
      </c>
      <c r="P140" s="42">
        <v>1</v>
      </c>
      <c r="Q140" s="25" t="str">
        <f>VLOOKUP(P140,Key!$E$2:$F$9,2,FALSE)</f>
        <v>Home</v>
      </c>
      <c r="R140" s="25" t="str">
        <f t="shared" si="3"/>
        <v>Home-Home</v>
      </c>
      <c r="S140" s="43">
        <v>7</v>
      </c>
      <c r="T140" s="43">
        <v>0.5</v>
      </c>
      <c r="U140" s="42">
        <v>2</v>
      </c>
      <c r="V140" s="42">
        <v>6</v>
      </c>
      <c r="W140" s="43"/>
      <c r="X140" s="43"/>
      <c r="Y140" s="44" t="s">
        <v>149</v>
      </c>
      <c r="Z140" s="52">
        <v>2000</v>
      </c>
      <c r="AA140" s="25">
        <f>VLOOKUP(F140,Zones!$A$2:$F$15614,6,FALSE)</f>
        <v>522</v>
      </c>
      <c r="AB140" s="25">
        <f>VLOOKUP(L140,Zones!$A$2:$F$15614,6,FALSE)</f>
        <v>522</v>
      </c>
    </row>
    <row r="141" spans="2:28">
      <c r="B141" s="39">
        <v>0.40277777777777773</v>
      </c>
      <c r="C141" s="39" t="s">
        <v>359</v>
      </c>
      <c r="D141" s="40">
        <v>2</v>
      </c>
      <c r="E141" s="41">
        <v>1</v>
      </c>
      <c r="F141" s="41" t="s">
        <v>161</v>
      </c>
      <c r="G141" s="42" t="s">
        <v>148</v>
      </c>
      <c r="H141" s="41" t="s">
        <v>147</v>
      </c>
      <c r="I141" s="42">
        <v>1</v>
      </c>
      <c r="J141" s="42">
        <v>1</v>
      </c>
      <c r="K141" s="25" t="str">
        <f>VLOOKUP(J141,Key!$E$2:$F$9,2,FALSE)</f>
        <v>Home</v>
      </c>
      <c r="L141" s="41" t="s">
        <v>311</v>
      </c>
      <c r="M141" s="42" t="s">
        <v>148</v>
      </c>
      <c r="N141" s="41" t="s">
        <v>147</v>
      </c>
      <c r="O141" s="42">
        <v>2</v>
      </c>
      <c r="P141" s="42">
        <v>1</v>
      </c>
      <c r="Q141" s="25" t="str">
        <f>VLOOKUP(P141,Key!$E$2:$F$9,2,FALSE)</f>
        <v>Home</v>
      </c>
      <c r="R141" s="25" t="str">
        <f t="shared" si="3"/>
        <v>Home-Home</v>
      </c>
      <c r="S141" s="43">
        <v>12</v>
      </c>
      <c r="T141" s="43">
        <v>0.5</v>
      </c>
      <c r="U141" s="42">
        <v>2</v>
      </c>
      <c r="V141" s="42"/>
      <c r="W141" s="43"/>
      <c r="X141" s="43"/>
      <c r="Y141" s="44" t="s">
        <v>149</v>
      </c>
      <c r="Z141" s="52">
        <v>2000</v>
      </c>
      <c r="AA141" s="25">
        <f>VLOOKUP(F141,Zones!$A$2:$F$15614,6,FALSE)</f>
        <v>522</v>
      </c>
      <c r="AB141" s="25">
        <f>VLOOKUP(L141,Zones!$A$2:$F$15614,6,FALSE)</f>
        <v>522</v>
      </c>
    </row>
    <row r="142" spans="2:28">
      <c r="B142" s="39">
        <v>0.40486111111111112</v>
      </c>
      <c r="C142" s="39" t="s">
        <v>360</v>
      </c>
      <c r="D142" s="40">
        <v>7</v>
      </c>
      <c r="E142" s="41">
        <v>3</v>
      </c>
      <c r="F142" s="41" t="s">
        <v>161</v>
      </c>
      <c r="G142" s="42" t="s">
        <v>148</v>
      </c>
      <c r="H142" s="41" t="s">
        <v>147</v>
      </c>
      <c r="I142" s="42">
        <v>15</v>
      </c>
      <c r="J142" s="42">
        <v>4</v>
      </c>
      <c r="K142" s="25" t="str">
        <f>VLOOKUP(J142,Key!$E$2:$F$9,2,FALSE)</f>
        <v>Commercial</v>
      </c>
      <c r="L142" s="41" t="s">
        <v>152</v>
      </c>
      <c r="M142" s="42" t="s">
        <v>148</v>
      </c>
      <c r="N142" s="41" t="s">
        <v>147</v>
      </c>
      <c r="O142" s="42">
        <v>16</v>
      </c>
      <c r="P142" s="42">
        <v>8</v>
      </c>
      <c r="Q142" s="25" t="str">
        <f>VLOOKUP(P142,Key!$E$2:$F$9,2,FALSE)</f>
        <v>Others</v>
      </c>
      <c r="R142" s="25" t="str">
        <f t="shared" si="3"/>
        <v>Commercial-Others</v>
      </c>
      <c r="S142" s="43">
        <v>2</v>
      </c>
      <c r="T142" s="43">
        <v>0.2</v>
      </c>
      <c r="U142" s="42">
        <v>2</v>
      </c>
      <c r="V142" s="42">
        <v>6</v>
      </c>
      <c r="W142" s="43"/>
      <c r="X142" s="43"/>
      <c r="Y142" s="44" t="s">
        <v>149</v>
      </c>
      <c r="Z142" s="52"/>
      <c r="AA142" s="25">
        <f>VLOOKUP(F142,Zones!$A$2:$F$15614,6,FALSE)</f>
        <v>522</v>
      </c>
      <c r="AB142" s="25">
        <f>VLOOKUP(L142,Zones!$A$2:$F$15614,6,FALSE)</f>
        <v>522</v>
      </c>
    </row>
    <row r="143" spans="2:28">
      <c r="B143" s="39">
        <v>0.41666666666666669</v>
      </c>
      <c r="C143" s="39" t="s">
        <v>361</v>
      </c>
      <c r="D143" s="40">
        <v>4</v>
      </c>
      <c r="E143" s="41">
        <v>12</v>
      </c>
      <c r="F143" s="41" t="s">
        <v>158</v>
      </c>
      <c r="G143" s="42" t="s">
        <v>146</v>
      </c>
      <c r="H143" s="41" t="s">
        <v>147</v>
      </c>
      <c r="I143" s="42">
        <v>6</v>
      </c>
      <c r="J143" s="42">
        <v>2</v>
      </c>
      <c r="K143" s="25" t="str">
        <f>VLOOKUP(J143,Key!$E$2:$F$9,2,FALSE)</f>
        <v>Work</v>
      </c>
      <c r="L143" s="41" t="s">
        <v>152</v>
      </c>
      <c r="M143" s="42" t="s">
        <v>148</v>
      </c>
      <c r="N143" s="41" t="s">
        <v>147</v>
      </c>
      <c r="O143" s="42">
        <v>6</v>
      </c>
      <c r="P143" s="42">
        <v>2</v>
      </c>
      <c r="Q143" s="25" t="str">
        <f>VLOOKUP(P143,Key!$E$2:$F$9,2,FALSE)</f>
        <v>Work</v>
      </c>
      <c r="R143" s="25" t="str">
        <f t="shared" si="3"/>
        <v>Work-Work</v>
      </c>
      <c r="S143" s="43">
        <v>11</v>
      </c>
      <c r="T143" s="43">
        <v>2</v>
      </c>
      <c r="U143" s="42">
        <v>2</v>
      </c>
      <c r="V143" s="42"/>
      <c r="W143" s="43"/>
      <c r="X143" s="43"/>
      <c r="Y143" s="44" t="s">
        <v>149</v>
      </c>
      <c r="Z143" s="52">
        <v>500</v>
      </c>
      <c r="AA143" s="25">
        <f>VLOOKUP(F143,Zones!$A$2:$F$15614,6,FALSE)</f>
        <v>521</v>
      </c>
      <c r="AB143" s="25">
        <f>VLOOKUP(L143,Zones!$A$2:$F$15614,6,FALSE)</f>
        <v>522</v>
      </c>
    </row>
    <row r="144" spans="2:28">
      <c r="B144" s="39">
        <v>0.42152777777777778</v>
      </c>
      <c r="C144" s="39" t="s">
        <v>362</v>
      </c>
      <c r="D144" s="40">
        <v>4</v>
      </c>
      <c r="E144" s="41">
        <v>10</v>
      </c>
      <c r="F144" s="41" t="s">
        <v>250</v>
      </c>
      <c r="G144" s="42" t="s">
        <v>148</v>
      </c>
      <c r="H144" s="41" t="s">
        <v>147</v>
      </c>
      <c r="I144" s="42">
        <v>4</v>
      </c>
      <c r="J144" s="42">
        <v>3</v>
      </c>
      <c r="K144" s="25" t="str">
        <f>VLOOKUP(J144,Key!$E$2:$F$9,2,FALSE)</f>
        <v>Study</v>
      </c>
      <c r="L144" s="41" t="s">
        <v>152</v>
      </c>
      <c r="M144" s="42" t="s">
        <v>148</v>
      </c>
      <c r="N144" s="41" t="s">
        <v>147</v>
      </c>
      <c r="O144" s="42">
        <v>4</v>
      </c>
      <c r="P144" s="42">
        <v>3</v>
      </c>
      <c r="Q144" s="25" t="str">
        <f>VLOOKUP(P144,Key!$E$2:$F$9,2,FALSE)</f>
        <v>Study</v>
      </c>
      <c r="R144" s="25" t="str">
        <f t="shared" si="3"/>
        <v>Study-Study</v>
      </c>
      <c r="S144" s="43">
        <v>7</v>
      </c>
      <c r="T144" s="43">
        <v>0.3</v>
      </c>
      <c r="U144" s="42">
        <v>2</v>
      </c>
      <c r="V144" s="42"/>
      <c r="W144" s="43"/>
      <c r="X144" s="43"/>
      <c r="Y144" s="44" t="s">
        <v>149</v>
      </c>
      <c r="Z144" s="52">
        <v>10000</v>
      </c>
      <c r="AA144" s="25">
        <f>VLOOKUP(F144,Zones!$A$2:$F$15614,6,FALSE)</f>
        <v>1398</v>
      </c>
      <c r="AB144" s="25">
        <f>VLOOKUP(L144,Zones!$A$2:$F$15614,6,FALSE)</f>
        <v>522</v>
      </c>
    </row>
    <row r="145" spans="2:28">
      <c r="B145" s="39">
        <v>0.42638888888888887</v>
      </c>
      <c r="C145" s="39" t="s">
        <v>363</v>
      </c>
      <c r="D145" s="40">
        <v>7</v>
      </c>
      <c r="E145" s="41">
        <v>4</v>
      </c>
      <c r="F145" s="41" t="s">
        <v>161</v>
      </c>
      <c r="G145" s="42" t="s">
        <v>148</v>
      </c>
      <c r="H145" s="41" t="s">
        <v>147</v>
      </c>
      <c r="I145" s="42">
        <v>7</v>
      </c>
      <c r="J145" s="42">
        <v>4</v>
      </c>
      <c r="K145" s="25" t="str">
        <f>VLOOKUP(J145,Key!$E$2:$F$9,2,FALSE)</f>
        <v>Commercial</v>
      </c>
      <c r="L145" s="41" t="s">
        <v>292</v>
      </c>
      <c r="M145" s="42" t="s">
        <v>148</v>
      </c>
      <c r="N145" s="41" t="s">
        <v>147</v>
      </c>
      <c r="O145" s="42">
        <v>10</v>
      </c>
      <c r="P145" s="42">
        <v>2</v>
      </c>
      <c r="Q145" s="25" t="str">
        <f>VLOOKUP(P145,Key!$E$2:$F$9,2,FALSE)</f>
        <v>Work</v>
      </c>
      <c r="R145" s="25" t="str">
        <f t="shared" ref="R145:R176" si="4">K145&amp;"-"&amp;Q145</f>
        <v>Commercial-Work</v>
      </c>
      <c r="S145" s="43">
        <v>5</v>
      </c>
      <c r="T145" s="43">
        <v>0.3</v>
      </c>
      <c r="U145" s="42">
        <v>1</v>
      </c>
      <c r="V145" s="42"/>
      <c r="W145" s="43"/>
      <c r="X145" s="43"/>
      <c r="Y145" s="44" t="s">
        <v>149</v>
      </c>
      <c r="Z145" s="52"/>
      <c r="AA145" s="25">
        <f>VLOOKUP(F145,Zones!$A$2:$F$15614,6,FALSE)</f>
        <v>522</v>
      </c>
      <c r="AB145" s="25">
        <f>VLOOKUP(L145,Zones!$A$2:$F$15614,6,FALSE)</f>
        <v>522</v>
      </c>
    </row>
    <row r="146" spans="2:28">
      <c r="B146" s="39">
        <v>0.43263888888888885</v>
      </c>
      <c r="C146" s="39" t="s">
        <v>364</v>
      </c>
      <c r="D146" s="40">
        <v>1</v>
      </c>
      <c r="E146" s="41">
        <v>5</v>
      </c>
      <c r="F146" s="41" t="s">
        <v>161</v>
      </c>
      <c r="G146" s="42" t="s">
        <v>148</v>
      </c>
      <c r="H146" s="41" t="s">
        <v>147</v>
      </c>
      <c r="I146" s="42">
        <v>1</v>
      </c>
      <c r="J146" s="42">
        <v>1</v>
      </c>
      <c r="K146" s="25" t="str">
        <f>VLOOKUP(J146,Key!$E$2:$F$9,2,FALSE)</f>
        <v>Home</v>
      </c>
      <c r="L146" s="41" t="s">
        <v>207</v>
      </c>
      <c r="M146" s="42" t="s">
        <v>146</v>
      </c>
      <c r="N146" s="41" t="s">
        <v>147</v>
      </c>
      <c r="O146" s="42">
        <v>2</v>
      </c>
      <c r="P146" s="42">
        <v>2</v>
      </c>
      <c r="Q146" s="25" t="str">
        <f>VLOOKUP(P146,Key!$E$2:$F$9,2,FALSE)</f>
        <v>Work</v>
      </c>
      <c r="R146" s="25" t="str">
        <f t="shared" si="4"/>
        <v>Home-Work</v>
      </c>
      <c r="S146" s="43">
        <v>3</v>
      </c>
      <c r="T146" s="43">
        <v>0.1</v>
      </c>
      <c r="U146" s="42">
        <v>2</v>
      </c>
      <c r="V146" s="42"/>
      <c r="W146" s="43"/>
      <c r="X146" s="43"/>
      <c r="Y146" s="44" t="s">
        <v>149</v>
      </c>
      <c r="Z146" s="52">
        <v>1000</v>
      </c>
      <c r="AA146" s="25">
        <f>VLOOKUP(F146,Zones!$A$2:$F$15614,6,FALSE)</f>
        <v>522</v>
      </c>
      <c r="AB146" s="25">
        <f>VLOOKUP(L146,Zones!$A$2:$F$15614,6,FALSE)</f>
        <v>522</v>
      </c>
    </row>
    <row r="147" spans="2:28">
      <c r="B147" s="39">
        <v>0.4375</v>
      </c>
      <c r="C147" s="39" t="s">
        <v>365</v>
      </c>
      <c r="D147" s="40">
        <v>1</v>
      </c>
      <c r="E147" s="41">
        <v>1</v>
      </c>
      <c r="F147" s="41" t="s">
        <v>161</v>
      </c>
      <c r="G147" s="42" t="s">
        <v>148</v>
      </c>
      <c r="H147" s="41" t="s">
        <v>147</v>
      </c>
      <c r="I147" s="42">
        <v>1</v>
      </c>
      <c r="J147" s="42">
        <v>1</v>
      </c>
      <c r="K147" s="25" t="str">
        <f>VLOOKUP(J147,Key!$E$2:$F$9,2,FALSE)</f>
        <v>Home</v>
      </c>
      <c r="L147" s="41" t="s">
        <v>285</v>
      </c>
      <c r="M147" s="42" t="s">
        <v>146</v>
      </c>
      <c r="N147" s="41" t="s">
        <v>147</v>
      </c>
      <c r="O147" s="42">
        <v>2</v>
      </c>
      <c r="P147" s="42">
        <v>2</v>
      </c>
      <c r="Q147" s="25" t="str">
        <f>VLOOKUP(P147,Key!$E$2:$F$9,2,FALSE)</f>
        <v>Work</v>
      </c>
      <c r="R147" s="25" t="str">
        <f t="shared" si="4"/>
        <v>Home-Work</v>
      </c>
      <c r="S147" s="43">
        <v>12</v>
      </c>
      <c r="T147" s="43">
        <v>0.2</v>
      </c>
      <c r="U147" s="42">
        <v>2</v>
      </c>
      <c r="V147" s="42"/>
      <c r="W147" s="43"/>
      <c r="X147" s="43"/>
      <c r="Y147" s="44" t="s">
        <v>149</v>
      </c>
      <c r="Z147" s="52">
        <v>500</v>
      </c>
      <c r="AA147" s="25">
        <f>VLOOKUP(F147,Zones!$A$2:$F$15614,6,FALSE)</f>
        <v>522</v>
      </c>
      <c r="AB147" s="25">
        <f>VLOOKUP(L147,Zones!$A$2:$F$15614,6,FALSE)</f>
        <v>529</v>
      </c>
    </row>
    <row r="148" spans="2:28">
      <c r="B148" s="39">
        <v>0.44444444444444442</v>
      </c>
      <c r="C148" s="39" t="s">
        <v>366</v>
      </c>
      <c r="D148" s="40">
        <v>2</v>
      </c>
      <c r="E148" s="41">
        <v>1</v>
      </c>
      <c r="F148" s="41" t="s">
        <v>163</v>
      </c>
      <c r="G148" s="42" t="s">
        <v>148</v>
      </c>
      <c r="H148" s="41" t="s">
        <v>147</v>
      </c>
      <c r="I148" s="42">
        <v>1</v>
      </c>
      <c r="J148" s="42">
        <v>1</v>
      </c>
      <c r="K148" s="25" t="str">
        <f>VLOOKUP(J148,Key!$E$2:$F$9,2,FALSE)</f>
        <v>Home</v>
      </c>
      <c r="L148" s="41" t="s">
        <v>367</v>
      </c>
      <c r="M148" s="42" t="s">
        <v>148</v>
      </c>
      <c r="N148" s="41" t="s">
        <v>147</v>
      </c>
      <c r="O148" s="42">
        <v>1</v>
      </c>
      <c r="P148" s="42">
        <v>1</v>
      </c>
      <c r="Q148" s="25" t="str">
        <f>VLOOKUP(P148,Key!$E$2:$F$9,2,FALSE)</f>
        <v>Home</v>
      </c>
      <c r="R148" s="25" t="str">
        <f t="shared" si="4"/>
        <v>Home-Home</v>
      </c>
      <c r="S148" s="43">
        <v>10</v>
      </c>
      <c r="T148" s="43">
        <v>0.78</v>
      </c>
      <c r="U148" s="42">
        <v>4</v>
      </c>
      <c r="V148" s="42"/>
      <c r="W148" s="43"/>
      <c r="X148" s="43"/>
      <c r="Y148" s="44" t="s">
        <v>149</v>
      </c>
      <c r="Z148" s="52">
        <v>5000</v>
      </c>
      <c r="AA148" s="25">
        <f>VLOOKUP(F148,Zones!$A$2:$F$15614,6,FALSE)</f>
        <v>1407</v>
      </c>
      <c r="AB148" s="25">
        <f>VLOOKUP(L148,Zones!$A$2:$F$15614,6,FALSE)</f>
        <v>1390</v>
      </c>
    </row>
    <row r="149" spans="2:28">
      <c r="B149" s="39">
        <v>0.44791666666666669</v>
      </c>
      <c r="C149" s="39" t="s">
        <v>368</v>
      </c>
      <c r="D149" s="40">
        <v>1</v>
      </c>
      <c r="E149" s="41">
        <v>1</v>
      </c>
      <c r="F149" s="41" t="s">
        <v>161</v>
      </c>
      <c r="G149" s="42" t="s">
        <v>148</v>
      </c>
      <c r="H149" s="41" t="s">
        <v>147</v>
      </c>
      <c r="I149" s="42">
        <v>1</v>
      </c>
      <c r="J149" s="42">
        <v>1</v>
      </c>
      <c r="K149" s="25" t="str">
        <f>VLOOKUP(J149,Key!$E$2:$F$9,2,FALSE)</f>
        <v>Home</v>
      </c>
      <c r="L149" s="41" t="s">
        <v>158</v>
      </c>
      <c r="M149" s="42" t="s">
        <v>146</v>
      </c>
      <c r="N149" s="41" t="s">
        <v>147</v>
      </c>
      <c r="O149" s="42">
        <v>2</v>
      </c>
      <c r="P149" s="42">
        <v>2</v>
      </c>
      <c r="Q149" s="25" t="str">
        <f>VLOOKUP(P149,Key!$E$2:$F$9,2,FALSE)</f>
        <v>Work</v>
      </c>
      <c r="R149" s="25" t="str">
        <f t="shared" si="4"/>
        <v>Home-Work</v>
      </c>
      <c r="S149" s="43">
        <v>15</v>
      </c>
      <c r="T149" s="43">
        <v>0.5</v>
      </c>
      <c r="U149" s="42">
        <v>2</v>
      </c>
      <c r="V149" s="42"/>
      <c r="W149" s="43"/>
      <c r="X149" s="43"/>
      <c r="Y149" s="44" t="s">
        <v>149</v>
      </c>
      <c r="Z149" s="52">
        <v>1000</v>
      </c>
      <c r="AA149" s="25">
        <f>VLOOKUP(F149,Zones!$A$2:$F$15614,6,FALSE)</f>
        <v>522</v>
      </c>
      <c r="AB149" s="25">
        <f>VLOOKUP(L149,Zones!$A$2:$F$15614,6,FALSE)</f>
        <v>521</v>
      </c>
    </row>
    <row r="150" spans="2:28">
      <c r="B150" s="39">
        <v>0.4861111111111111</v>
      </c>
      <c r="C150" s="39" t="s">
        <v>369</v>
      </c>
      <c r="D150" s="40">
        <v>1</v>
      </c>
      <c r="E150" s="41">
        <v>2</v>
      </c>
      <c r="F150" s="41" t="s">
        <v>161</v>
      </c>
      <c r="G150" s="42" t="s">
        <v>148</v>
      </c>
      <c r="H150" s="41" t="s">
        <v>147</v>
      </c>
      <c r="I150" s="42">
        <v>1</v>
      </c>
      <c r="J150" s="42">
        <v>1</v>
      </c>
      <c r="K150" s="25" t="str">
        <f>VLOOKUP(J150,Key!$E$2:$F$9,2,FALSE)</f>
        <v>Home</v>
      </c>
      <c r="L150" s="41" t="s">
        <v>370</v>
      </c>
      <c r="M150" s="42" t="s">
        <v>146</v>
      </c>
      <c r="N150" s="41" t="s">
        <v>147</v>
      </c>
      <c r="O150" s="42">
        <v>4</v>
      </c>
      <c r="P150" s="42">
        <v>3</v>
      </c>
      <c r="Q150" s="25" t="str">
        <f>VLOOKUP(P150,Key!$E$2:$F$9,2,FALSE)</f>
        <v>Study</v>
      </c>
      <c r="R150" s="25" t="str">
        <f t="shared" si="4"/>
        <v>Home-Study</v>
      </c>
      <c r="S150" s="43">
        <v>7</v>
      </c>
      <c r="T150" s="43">
        <v>8</v>
      </c>
      <c r="U150" s="42">
        <v>2</v>
      </c>
      <c r="V150" s="42"/>
      <c r="W150" s="43"/>
      <c r="X150" s="43"/>
      <c r="Y150" s="44" t="s">
        <v>149</v>
      </c>
      <c r="Z150" s="52">
        <v>4000</v>
      </c>
      <c r="AA150" s="25">
        <f>VLOOKUP(F150,Zones!$A$2:$F$15614,6,FALSE)</f>
        <v>522</v>
      </c>
      <c r="AB150" s="25">
        <f>VLOOKUP(L150,Zones!$A$2:$F$15614,6,FALSE)</f>
        <v>574</v>
      </c>
    </row>
    <row r="151" spans="2:28">
      <c r="B151" s="39">
        <v>0.49027777777777781</v>
      </c>
      <c r="C151" s="39" t="s">
        <v>371</v>
      </c>
      <c r="D151" s="40">
        <v>7</v>
      </c>
      <c r="E151" s="41">
        <v>2</v>
      </c>
      <c r="F151" s="41" t="s">
        <v>250</v>
      </c>
      <c r="G151" s="42" t="s">
        <v>148</v>
      </c>
      <c r="H151" s="41" t="s">
        <v>147</v>
      </c>
      <c r="I151" s="42">
        <v>1</v>
      </c>
      <c r="J151" s="42">
        <v>1</v>
      </c>
      <c r="K151" s="25" t="str">
        <f>VLOOKUP(J151,Key!$E$2:$F$9,2,FALSE)</f>
        <v>Home</v>
      </c>
      <c r="L151" s="41" t="s">
        <v>152</v>
      </c>
      <c r="M151" s="42" t="s">
        <v>148</v>
      </c>
      <c r="N151" s="41" t="s">
        <v>147</v>
      </c>
      <c r="O151" s="42">
        <v>15</v>
      </c>
      <c r="P151" s="42">
        <v>2</v>
      </c>
      <c r="Q151" s="25" t="str">
        <f>VLOOKUP(P151,Key!$E$2:$F$9,2,FALSE)</f>
        <v>Work</v>
      </c>
      <c r="R151" s="25" t="str">
        <f t="shared" si="4"/>
        <v>Home-Work</v>
      </c>
      <c r="S151" s="43">
        <v>8</v>
      </c>
      <c r="T151" s="43">
        <v>0.66</v>
      </c>
      <c r="U151" s="42">
        <v>2</v>
      </c>
      <c r="V151" s="42"/>
      <c r="W151" s="43"/>
      <c r="X151" s="43"/>
      <c r="Y151" s="44" t="s">
        <v>149</v>
      </c>
      <c r="Z151" s="52">
        <v>1000</v>
      </c>
      <c r="AA151" s="25">
        <f>VLOOKUP(F151,Zones!$A$2:$F$15614,6,FALSE)</f>
        <v>1398</v>
      </c>
      <c r="AB151" s="25">
        <f>VLOOKUP(L151,Zones!$A$2:$F$15614,6,FALSE)</f>
        <v>522</v>
      </c>
    </row>
    <row r="152" spans="2:28">
      <c r="B152" s="39">
        <v>0.49305555555555558</v>
      </c>
      <c r="C152" s="39" t="s">
        <v>372</v>
      </c>
      <c r="D152" s="40">
        <v>2</v>
      </c>
      <c r="E152" s="41">
        <v>1</v>
      </c>
      <c r="F152" s="41" t="s">
        <v>161</v>
      </c>
      <c r="G152" s="42" t="s">
        <v>148</v>
      </c>
      <c r="H152" s="41" t="s">
        <v>147</v>
      </c>
      <c r="I152" s="42">
        <v>1</v>
      </c>
      <c r="J152" s="42">
        <v>1</v>
      </c>
      <c r="K152" s="25" t="str">
        <f>VLOOKUP(J152,Key!$E$2:$F$9,2,FALSE)</f>
        <v>Home</v>
      </c>
      <c r="L152" s="41" t="s">
        <v>158</v>
      </c>
      <c r="M152" s="42" t="s">
        <v>146</v>
      </c>
      <c r="N152" s="41" t="s">
        <v>147</v>
      </c>
      <c r="O152" s="42">
        <v>2</v>
      </c>
      <c r="P152" s="42">
        <v>2</v>
      </c>
      <c r="Q152" s="25" t="str">
        <f>VLOOKUP(P152,Key!$E$2:$F$9,2,FALSE)</f>
        <v>Work</v>
      </c>
      <c r="R152" s="25" t="str">
        <f t="shared" si="4"/>
        <v>Home-Work</v>
      </c>
      <c r="S152" s="43">
        <v>10</v>
      </c>
      <c r="T152" s="43">
        <v>1</v>
      </c>
      <c r="U152" s="42">
        <v>2</v>
      </c>
      <c r="V152" s="42"/>
      <c r="W152" s="43"/>
      <c r="X152" s="43"/>
      <c r="Y152" s="44" t="s">
        <v>149</v>
      </c>
      <c r="Z152" s="52">
        <v>7000</v>
      </c>
      <c r="AA152" s="25">
        <f>VLOOKUP(F152,Zones!$A$2:$F$15614,6,FALSE)</f>
        <v>522</v>
      </c>
      <c r="AB152" s="25">
        <f>VLOOKUP(L152,Zones!$A$2:$F$15614,6,FALSE)</f>
        <v>521</v>
      </c>
    </row>
    <row r="153" spans="2:28">
      <c r="B153" s="39">
        <v>0.49722222222222223</v>
      </c>
      <c r="C153" s="39" t="s">
        <v>373</v>
      </c>
      <c r="D153" s="40">
        <v>2</v>
      </c>
      <c r="E153" s="41">
        <v>1</v>
      </c>
      <c r="F153" s="41" t="s">
        <v>163</v>
      </c>
      <c r="G153" s="42" t="s">
        <v>148</v>
      </c>
      <c r="H153" s="41" t="s">
        <v>147</v>
      </c>
      <c r="I153" s="42">
        <v>4</v>
      </c>
      <c r="J153" s="42">
        <v>3</v>
      </c>
      <c r="K153" s="25" t="str">
        <f>VLOOKUP(J153,Key!$E$2:$F$9,2,FALSE)</f>
        <v>Study</v>
      </c>
      <c r="L153" s="41" t="s">
        <v>374</v>
      </c>
      <c r="M153" s="42" t="s">
        <v>148</v>
      </c>
      <c r="N153" s="41" t="s">
        <v>147</v>
      </c>
      <c r="O153" s="42">
        <v>1</v>
      </c>
      <c r="P153" s="42">
        <v>1</v>
      </c>
      <c r="Q153" s="25" t="str">
        <f>VLOOKUP(P153,Key!$E$2:$F$9,2,FALSE)</f>
        <v>Home</v>
      </c>
      <c r="R153" s="25" t="str">
        <f t="shared" si="4"/>
        <v>Study-Home</v>
      </c>
      <c r="S153" s="43">
        <v>10</v>
      </c>
      <c r="T153" s="43">
        <v>0.5</v>
      </c>
      <c r="U153" s="42">
        <v>2</v>
      </c>
      <c r="V153" s="42"/>
      <c r="W153" s="43"/>
      <c r="X153" s="43"/>
      <c r="Y153" s="44" t="s">
        <v>149</v>
      </c>
      <c r="Z153" s="52"/>
      <c r="AA153" s="25">
        <f>VLOOKUP(F153,Zones!$A$2:$F$15614,6,FALSE)</f>
        <v>1407</v>
      </c>
      <c r="AB153" s="25">
        <f>VLOOKUP(L153,Zones!$A$2:$F$15614,6,FALSE)</f>
        <v>522</v>
      </c>
    </row>
    <row r="154" spans="2:28">
      <c r="B154" s="39">
        <v>0.50347222222222221</v>
      </c>
      <c r="C154" s="39" t="s">
        <v>375</v>
      </c>
      <c r="D154" s="40">
        <v>1</v>
      </c>
      <c r="E154" s="41">
        <v>1</v>
      </c>
      <c r="F154" s="41" t="s">
        <v>161</v>
      </c>
      <c r="G154" s="42" t="s">
        <v>148</v>
      </c>
      <c r="H154" s="41" t="s">
        <v>147</v>
      </c>
      <c r="I154" s="42">
        <v>1</v>
      </c>
      <c r="J154" s="42">
        <v>1</v>
      </c>
      <c r="K154" s="25" t="str">
        <f>VLOOKUP(J154,Key!$E$2:$F$9,2,FALSE)</f>
        <v>Home</v>
      </c>
      <c r="L154" s="41" t="s">
        <v>376</v>
      </c>
      <c r="M154" s="42" t="s">
        <v>146</v>
      </c>
      <c r="N154" s="41" t="s">
        <v>147</v>
      </c>
      <c r="O154" s="42">
        <v>2</v>
      </c>
      <c r="P154" s="42">
        <v>2</v>
      </c>
      <c r="Q154" s="25" t="str">
        <f>VLOOKUP(P154,Key!$E$2:$F$9,2,FALSE)</f>
        <v>Work</v>
      </c>
      <c r="R154" s="25" t="str">
        <f t="shared" si="4"/>
        <v>Home-Work</v>
      </c>
      <c r="S154" s="43">
        <v>10</v>
      </c>
      <c r="T154" s="43">
        <v>0.83</v>
      </c>
      <c r="U154" s="42">
        <v>2</v>
      </c>
      <c r="V154" s="42"/>
      <c r="W154" s="43"/>
      <c r="X154" s="43"/>
      <c r="Y154" s="44" t="s">
        <v>149</v>
      </c>
      <c r="Z154" s="52">
        <v>10000</v>
      </c>
      <c r="AA154" s="25">
        <f>VLOOKUP(F154,Zones!$A$2:$F$15614,6,FALSE)</f>
        <v>522</v>
      </c>
      <c r="AB154" s="25">
        <f>VLOOKUP(L154,Zones!$A$2:$F$15614,6,FALSE)</f>
        <v>522</v>
      </c>
    </row>
    <row r="155" spans="2:28">
      <c r="B155" s="39">
        <v>0.92291666666666661</v>
      </c>
      <c r="C155" s="39" t="s">
        <v>377</v>
      </c>
      <c r="D155" s="40">
        <v>1</v>
      </c>
      <c r="E155" s="41">
        <v>1</v>
      </c>
      <c r="F155" s="41" t="s">
        <v>161</v>
      </c>
      <c r="G155" s="42" t="s">
        <v>148</v>
      </c>
      <c r="H155" s="41" t="s">
        <v>147</v>
      </c>
      <c r="I155" s="42">
        <v>1</v>
      </c>
      <c r="J155" s="42">
        <v>1</v>
      </c>
      <c r="K155" s="25" t="str">
        <f>VLOOKUP(J155,Key!$E$2:$F$9,2,FALSE)</f>
        <v>Home</v>
      </c>
      <c r="L155" s="41" t="s">
        <v>378</v>
      </c>
      <c r="M155" s="42" t="s">
        <v>148</v>
      </c>
      <c r="N155" s="41" t="s">
        <v>147</v>
      </c>
      <c r="O155" s="42">
        <v>1</v>
      </c>
      <c r="P155" s="42">
        <v>1</v>
      </c>
      <c r="Q155" s="25" t="str">
        <f>VLOOKUP(P155,Key!$E$2:$F$9,2,FALSE)</f>
        <v>Home</v>
      </c>
      <c r="R155" s="25" t="str">
        <f t="shared" si="4"/>
        <v>Home-Home</v>
      </c>
      <c r="S155" s="43">
        <v>3</v>
      </c>
      <c r="T155" s="43">
        <v>0.5</v>
      </c>
      <c r="U155" s="42">
        <v>3</v>
      </c>
      <c r="V155" s="42"/>
      <c r="W155" s="43"/>
      <c r="X155" s="43"/>
      <c r="Y155" s="44" t="s">
        <v>149</v>
      </c>
      <c r="Z155" s="52">
        <v>2000</v>
      </c>
      <c r="AA155" s="25">
        <f>VLOOKUP(F155,Zones!$A$2:$F$15614,6,FALSE)</f>
        <v>522</v>
      </c>
      <c r="AB155" s="25">
        <f>VLOOKUP(L155,Zones!$A$2:$F$15614,6,FALSE)</f>
        <v>522</v>
      </c>
    </row>
    <row r="156" spans="2:28">
      <c r="B156" s="39">
        <v>0.51250000000000007</v>
      </c>
      <c r="C156" s="39" t="s">
        <v>379</v>
      </c>
      <c r="D156" s="40">
        <v>2</v>
      </c>
      <c r="E156" s="41">
        <v>3</v>
      </c>
      <c r="F156" s="41" t="s">
        <v>158</v>
      </c>
      <c r="G156" s="42" t="s">
        <v>146</v>
      </c>
      <c r="H156" s="41" t="s">
        <v>147</v>
      </c>
      <c r="I156" s="42">
        <v>2</v>
      </c>
      <c r="J156" s="42">
        <v>2</v>
      </c>
      <c r="K156" s="25" t="str">
        <f>VLOOKUP(J156,Key!$E$2:$F$9,2,FALSE)</f>
        <v>Work</v>
      </c>
      <c r="L156" s="41" t="s">
        <v>152</v>
      </c>
      <c r="M156" s="42" t="s">
        <v>148</v>
      </c>
      <c r="N156" s="41" t="s">
        <v>147</v>
      </c>
      <c r="O156" s="42">
        <v>2</v>
      </c>
      <c r="P156" s="42">
        <v>2</v>
      </c>
      <c r="Q156" s="25" t="str">
        <f>VLOOKUP(P156,Key!$E$2:$F$9,2,FALSE)</f>
        <v>Work</v>
      </c>
      <c r="R156" s="25" t="str">
        <f t="shared" si="4"/>
        <v>Work-Work</v>
      </c>
      <c r="S156" s="43">
        <v>8</v>
      </c>
      <c r="T156" s="43">
        <v>1</v>
      </c>
      <c r="U156" s="42">
        <v>5</v>
      </c>
      <c r="V156" s="42"/>
      <c r="W156" s="43"/>
      <c r="X156" s="43"/>
      <c r="Y156" s="44" t="s">
        <v>149</v>
      </c>
      <c r="Z156" s="52">
        <v>200</v>
      </c>
      <c r="AA156" s="25">
        <f>VLOOKUP(F156,Zones!$A$2:$F$15614,6,FALSE)</f>
        <v>521</v>
      </c>
      <c r="AB156" s="25">
        <f>VLOOKUP(L156,Zones!$A$2:$F$15614,6,FALSE)</f>
        <v>522</v>
      </c>
    </row>
    <row r="157" spans="2:28">
      <c r="B157" s="39">
        <v>0.51736111111111105</v>
      </c>
      <c r="C157" s="39" t="s">
        <v>380</v>
      </c>
      <c r="D157" s="40">
        <v>11</v>
      </c>
      <c r="E157" s="41">
        <v>1</v>
      </c>
      <c r="F157" s="41" t="s">
        <v>161</v>
      </c>
      <c r="G157" s="42" t="s">
        <v>148</v>
      </c>
      <c r="H157" s="41" t="s">
        <v>147</v>
      </c>
      <c r="I157" s="42">
        <v>8</v>
      </c>
      <c r="J157" s="42">
        <v>2</v>
      </c>
      <c r="K157" s="25" t="str">
        <f>VLOOKUP(J157,Key!$E$2:$F$9,2,FALSE)</f>
        <v>Work</v>
      </c>
      <c r="L157" s="41" t="s">
        <v>378</v>
      </c>
      <c r="M157" s="42" t="s">
        <v>148</v>
      </c>
      <c r="N157" s="41" t="s">
        <v>147</v>
      </c>
      <c r="O157" s="42">
        <v>8</v>
      </c>
      <c r="P157" s="42">
        <v>2</v>
      </c>
      <c r="Q157" s="25" t="str">
        <f>VLOOKUP(P157,Key!$E$2:$F$9,2,FALSE)</f>
        <v>Work</v>
      </c>
      <c r="R157" s="25" t="str">
        <f t="shared" si="4"/>
        <v>Work-Work</v>
      </c>
      <c r="S157" s="43">
        <v>3</v>
      </c>
      <c r="T157" s="43">
        <v>0.2</v>
      </c>
      <c r="U157" s="42">
        <v>2</v>
      </c>
      <c r="V157" s="42"/>
      <c r="W157" s="43"/>
      <c r="X157" s="43"/>
      <c r="Y157" s="44" t="s">
        <v>149</v>
      </c>
      <c r="Z157" s="52">
        <v>1000</v>
      </c>
      <c r="AA157" s="25">
        <f>VLOOKUP(F157,Zones!$A$2:$F$15614,6,FALSE)</f>
        <v>522</v>
      </c>
      <c r="AB157" s="25">
        <f>VLOOKUP(L157,Zones!$A$2:$F$15614,6,FALSE)</f>
        <v>522</v>
      </c>
    </row>
    <row r="158" spans="2:28">
      <c r="B158" s="39">
        <v>0.52013888888888882</v>
      </c>
      <c r="C158" s="39" t="s">
        <v>381</v>
      </c>
      <c r="D158" s="40">
        <v>11</v>
      </c>
      <c r="E158" s="41">
        <v>1</v>
      </c>
      <c r="F158" s="41" t="s">
        <v>161</v>
      </c>
      <c r="G158" s="42" t="s">
        <v>148</v>
      </c>
      <c r="H158" s="41" t="s">
        <v>147</v>
      </c>
      <c r="I158" s="42">
        <v>8</v>
      </c>
      <c r="J158" s="42">
        <v>2</v>
      </c>
      <c r="K158" s="25" t="str">
        <f>VLOOKUP(J158,Key!$E$2:$F$9,2,FALSE)</f>
        <v>Work</v>
      </c>
      <c r="L158" s="41" t="s">
        <v>152</v>
      </c>
      <c r="M158" s="42" t="s">
        <v>148</v>
      </c>
      <c r="N158" s="41" t="s">
        <v>147</v>
      </c>
      <c r="O158" s="42">
        <v>8</v>
      </c>
      <c r="P158" s="42">
        <v>2</v>
      </c>
      <c r="Q158" s="25" t="str">
        <f>VLOOKUP(P158,Key!$E$2:$F$9,2,FALSE)</f>
        <v>Work</v>
      </c>
      <c r="R158" s="25" t="str">
        <f t="shared" si="4"/>
        <v>Work-Work</v>
      </c>
      <c r="S158" s="43">
        <v>4</v>
      </c>
      <c r="T158" s="43">
        <v>0.2</v>
      </c>
      <c r="U158" s="42">
        <v>2</v>
      </c>
      <c r="V158" s="42"/>
      <c r="W158" s="43"/>
      <c r="X158" s="43"/>
      <c r="Y158" s="44" t="s">
        <v>149</v>
      </c>
      <c r="Z158" s="52">
        <v>500</v>
      </c>
      <c r="AA158" s="25">
        <f>VLOOKUP(F158,Zones!$A$2:$F$15614,6,FALSE)</f>
        <v>522</v>
      </c>
      <c r="AB158" s="25">
        <f>VLOOKUP(L158,Zones!$A$2:$F$15614,6,FALSE)</f>
        <v>522</v>
      </c>
    </row>
    <row r="159" spans="2:28">
      <c r="B159" s="39">
        <v>0.52569444444444446</v>
      </c>
      <c r="C159" s="39" t="s">
        <v>382</v>
      </c>
      <c r="D159" s="40">
        <v>4</v>
      </c>
      <c r="E159" s="41">
        <v>14</v>
      </c>
      <c r="F159" s="41" t="s">
        <v>158</v>
      </c>
      <c r="G159" s="42" t="s">
        <v>146</v>
      </c>
      <c r="H159" s="41" t="s">
        <v>147</v>
      </c>
      <c r="I159" s="42">
        <v>6</v>
      </c>
      <c r="J159" s="42">
        <v>2</v>
      </c>
      <c r="K159" s="25" t="str">
        <f>VLOOKUP(J159,Key!$E$2:$F$9,2,FALSE)</f>
        <v>Work</v>
      </c>
      <c r="L159" s="41" t="s">
        <v>152</v>
      </c>
      <c r="M159" s="42" t="s">
        <v>148</v>
      </c>
      <c r="N159" s="41" t="s">
        <v>147</v>
      </c>
      <c r="O159" s="42">
        <v>6</v>
      </c>
      <c r="P159" s="42">
        <v>2</v>
      </c>
      <c r="Q159" s="25" t="str">
        <f>VLOOKUP(P159,Key!$E$2:$F$9,2,FALSE)</f>
        <v>Work</v>
      </c>
      <c r="R159" s="25" t="str">
        <f t="shared" si="4"/>
        <v>Work-Work</v>
      </c>
      <c r="S159" s="43">
        <v>12</v>
      </c>
      <c r="T159" s="43">
        <v>1</v>
      </c>
      <c r="U159" s="42">
        <v>2</v>
      </c>
      <c r="V159" s="42"/>
      <c r="W159" s="43"/>
      <c r="X159" s="43"/>
      <c r="Y159" s="44" t="s">
        <v>149</v>
      </c>
      <c r="Z159" s="52">
        <v>1000</v>
      </c>
      <c r="AA159" s="25">
        <f>VLOOKUP(F159,Zones!$A$2:$F$15614,6,FALSE)</f>
        <v>521</v>
      </c>
      <c r="AB159" s="25">
        <f>VLOOKUP(L159,Zones!$A$2:$F$15614,6,FALSE)</f>
        <v>522</v>
      </c>
    </row>
    <row r="160" spans="2:28">
      <c r="B160" s="39">
        <v>0.53263888888888888</v>
      </c>
      <c r="C160" s="39" t="s">
        <v>383</v>
      </c>
      <c r="D160" s="40">
        <v>2</v>
      </c>
      <c r="E160" s="41">
        <v>5</v>
      </c>
      <c r="F160" s="41" t="s">
        <v>2413</v>
      </c>
      <c r="G160" s="42" t="s">
        <v>148</v>
      </c>
      <c r="H160" s="41" t="s">
        <v>147</v>
      </c>
      <c r="I160" s="42">
        <v>1</v>
      </c>
      <c r="J160" s="42">
        <v>1</v>
      </c>
      <c r="K160" s="25" t="str">
        <f>VLOOKUP(J160,Key!$E$2:$F$9,2,FALSE)</f>
        <v>Home</v>
      </c>
      <c r="L160" s="41" t="s">
        <v>385</v>
      </c>
      <c r="M160" s="42" t="s">
        <v>148</v>
      </c>
      <c r="N160" s="41" t="s">
        <v>147</v>
      </c>
      <c r="O160" s="42">
        <v>4</v>
      </c>
      <c r="P160" s="42">
        <v>3</v>
      </c>
      <c r="Q160" s="25" t="str">
        <f>VLOOKUP(P160,Key!$E$2:$F$9,2,FALSE)</f>
        <v>Study</v>
      </c>
      <c r="R160" s="25" t="str">
        <f t="shared" si="4"/>
        <v>Home-Study</v>
      </c>
      <c r="S160" s="43">
        <v>5</v>
      </c>
      <c r="T160" s="43">
        <v>0.3</v>
      </c>
      <c r="U160" s="42">
        <v>3</v>
      </c>
      <c r="V160" s="42"/>
      <c r="W160" s="43"/>
      <c r="X160" s="43"/>
      <c r="Y160" s="44" t="s">
        <v>149</v>
      </c>
      <c r="Z160" s="52"/>
      <c r="AA160" s="25">
        <f>VLOOKUP(F160,Zones!$A$2:$F$15614,6,FALSE)</f>
        <v>545</v>
      </c>
      <c r="AB160" s="25">
        <f>VLOOKUP(L160,Zones!$A$2:$F$15614,6,FALSE)</f>
        <v>1397</v>
      </c>
    </row>
    <row r="161" spans="2:28">
      <c r="B161" s="39">
        <v>0.53263888888888888</v>
      </c>
      <c r="C161" s="39" t="s">
        <v>383</v>
      </c>
      <c r="D161" s="40">
        <v>2</v>
      </c>
      <c r="E161" s="41">
        <v>5</v>
      </c>
      <c r="F161" s="41" t="s">
        <v>2413</v>
      </c>
      <c r="G161" s="42" t="s">
        <v>148</v>
      </c>
      <c r="H161" s="41" t="s">
        <v>147</v>
      </c>
      <c r="I161" s="42">
        <v>1</v>
      </c>
      <c r="J161" s="42">
        <v>1</v>
      </c>
      <c r="K161" s="25" t="str">
        <f>VLOOKUP(J161,Key!$E$2:$F$9,2,FALSE)</f>
        <v>Home</v>
      </c>
      <c r="L161" s="41" t="s">
        <v>385</v>
      </c>
      <c r="M161" s="42" t="s">
        <v>148</v>
      </c>
      <c r="N161" s="41" t="s">
        <v>147</v>
      </c>
      <c r="O161" s="42">
        <v>4</v>
      </c>
      <c r="P161" s="42">
        <v>3</v>
      </c>
      <c r="Q161" s="25" t="str">
        <f>VLOOKUP(P161,Key!$E$2:$F$9,2,FALSE)</f>
        <v>Study</v>
      </c>
      <c r="R161" s="25" t="str">
        <f t="shared" si="4"/>
        <v>Home-Study</v>
      </c>
      <c r="S161" s="43">
        <v>5</v>
      </c>
      <c r="T161" s="43">
        <v>0.3</v>
      </c>
      <c r="U161" s="42">
        <v>3</v>
      </c>
      <c r="V161" s="42"/>
      <c r="W161" s="43"/>
      <c r="X161" s="43"/>
      <c r="Y161" s="44" t="s">
        <v>149</v>
      </c>
      <c r="Z161" s="52"/>
      <c r="AA161" s="25">
        <f>VLOOKUP(F161,Zones!$A$2:$F$15614,6,FALSE)</f>
        <v>545</v>
      </c>
      <c r="AB161" s="25">
        <f>VLOOKUP(L161,Zones!$A$2:$F$15614,6,FALSE)</f>
        <v>1397</v>
      </c>
    </row>
    <row r="162" spans="2:28">
      <c r="B162" s="39">
        <v>0.53819444444444442</v>
      </c>
      <c r="C162" s="39" t="s">
        <v>386</v>
      </c>
      <c r="D162" s="40">
        <v>4</v>
      </c>
      <c r="E162" s="41">
        <v>6</v>
      </c>
      <c r="F162" s="41" t="s">
        <v>181</v>
      </c>
      <c r="G162" s="42" t="s">
        <v>146</v>
      </c>
      <c r="H162" s="41" t="s">
        <v>147</v>
      </c>
      <c r="I162" s="42">
        <v>6</v>
      </c>
      <c r="J162" s="42">
        <v>2</v>
      </c>
      <c r="K162" s="25" t="str">
        <f>VLOOKUP(J162,Key!$E$2:$F$9,2,FALSE)</f>
        <v>Work</v>
      </c>
      <c r="L162" s="41" t="s">
        <v>152</v>
      </c>
      <c r="M162" s="42" t="s">
        <v>148</v>
      </c>
      <c r="N162" s="41" t="s">
        <v>147</v>
      </c>
      <c r="O162" s="42">
        <v>6</v>
      </c>
      <c r="P162" s="42">
        <v>2</v>
      </c>
      <c r="Q162" s="25" t="str">
        <f>VLOOKUP(P162,Key!$E$2:$F$9,2,FALSE)</f>
        <v>Work</v>
      </c>
      <c r="R162" s="25" t="str">
        <f t="shared" si="4"/>
        <v>Work-Work</v>
      </c>
      <c r="S162" s="43">
        <v>12</v>
      </c>
      <c r="T162" s="43">
        <v>1</v>
      </c>
      <c r="U162" s="42">
        <v>2</v>
      </c>
      <c r="V162" s="42"/>
      <c r="W162" s="43"/>
      <c r="X162" s="43"/>
      <c r="Y162" s="44" t="s">
        <v>149</v>
      </c>
      <c r="Z162" s="52"/>
      <c r="AA162" s="25">
        <f>VLOOKUP(F162,Zones!$A$2:$F$15614,6,FALSE)</f>
        <v>536</v>
      </c>
      <c r="AB162" s="25">
        <f>VLOOKUP(L162,Zones!$A$2:$F$15614,6,FALSE)</f>
        <v>522</v>
      </c>
    </row>
    <row r="163" spans="2:28">
      <c r="B163" s="39">
        <v>4.6527777777777779E-2</v>
      </c>
      <c r="C163" s="39" t="s">
        <v>387</v>
      </c>
      <c r="D163" s="40">
        <v>2</v>
      </c>
      <c r="E163" s="41">
        <v>1</v>
      </c>
      <c r="F163" s="41" t="s">
        <v>161</v>
      </c>
      <c r="G163" s="42" t="s">
        <v>148</v>
      </c>
      <c r="H163" s="41" t="s">
        <v>147</v>
      </c>
      <c r="I163" s="42">
        <v>1</v>
      </c>
      <c r="J163" s="42">
        <v>1</v>
      </c>
      <c r="K163" s="25" t="str">
        <f>VLOOKUP(J163,Key!$E$2:$F$9,2,FALSE)</f>
        <v>Home</v>
      </c>
      <c r="L163" s="41" t="s">
        <v>158</v>
      </c>
      <c r="M163" s="42" t="s">
        <v>146</v>
      </c>
      <c r="N163" s="41" t="s">
        <v>147</v>
      </c>
      <c r="O163" s="42">
        <v>2</v>
      </c>
      <c r="P163" s="42">
        <v>2</v>
      </c>
      <c r="Q163" s="25" t="str">
        <f>VLOOKUP(P163,Key!$E$2:$F$9,2,FALSE)</f>
        <v>Work</v>
      </c>
      <c r="R163" s="25" t="str">
        <f t="shared" si="4"/>
        <v>Home-Work</v>
      </c>
      <c r="S163" s="43">
        <v>8</v>
      </c>
      <c r="T163" s="43">
        <v>0.5</v>
      </c>
      <c r="U163" s="42">
        <v>2</v>
      </c>
      <c r="V163" s="42"/>
      <c r="W163" s="43"/>
      <c r="X163" s="43"/>
      <c r="Y163" s="44" t="s">
        <v>149</v>
      </c>
      <c r="Z163" s="52">
        <v>1000</v>
      </c>
      <c r="AA163" s="25">
        <f>VLOOKUP(F163,Zones!$A$2:$F$15614,6,FALSE)</f>
        <v>522</v>
      </c>
      <c r="AB163" s="25">
        <f>VLOOKUP(L163,Zones!$A$2:$F$15614,6,FALSE)</f>
        <v>521</v>
      </c>
    </row>
    <row r="164" spans="2:28">
      <c r="B164" s="39">
        <v>4.9305555555555554E-2</v>
      </c>
      <c r="C164" s="39" t="s">
        <v>388</v>
      </c>
      <c r="D164" s="40">
        <v>2</v>
      </c>
      <c r="E164" s="41">
        <v>6</v>
      </c>
      <c r="F164" s="41" t="s">
        <v>161</v>
      </c>
      <c r="G164" s="42" t="s">
        <v>148</v>
      </c>
      <c r="H164" s="41" t="s">
        <v>147</v>
      </c>
      <c r="I164" s="42">
        <v>1</v>
      </c>
      <c r="J164" s="42">
        <v>1</v>
      </c>
      <c r="K164" s="25" t="str">
        <f>VLOOKUP(J164,Key!$E$2:$F$9,2,FALSE)</f>
        <v>Home</v>
      </c>
      <c r="L164" s="41" t="s">
        <v>158</v>
      </c>
      <c r="M164" s="42" t="s">
        <v>146</v>
      </c>
      <c r="N164" s="41" t="s">
        <v>147</v>
      </c>
      <c r="O164" s="42">
        <v>4</v>
      </c>
      <c r="P164" s="42">
        <v>3</v>
      </c>
      <c r="Q164" s="25" t="str">
        <f>VLOOKUP(P164,Key!$E$2:$F$9,2,FALSE)</f>
        <v>Study</v>
      </c>
      <c r="R164" s="25" t="str">
        <f t="shared" si="4"/>
        <v>Home-Study</v>
      </c>
      <c r="S164" s="43">
        <v>10</v>
      </c>
      <c r="T164" s="43">
        <v>0.6</v>
      </c>
      <c r="U164" s="42">
        <v>2</v>
      </c>
      <c r="V164" s="42"/>
      <c r="W164" s="43"/>
      <c r="X164" s="43"/>
      <c r="Y164" s="44" t="s">
        <v>149</v>
      </c>
      <c r="Z164" s="52"/>
      <c r="AA164" s="25">
        <f>VLOOKUP(F164,Zones!$A$2:$F$15614,6,FALSE)</f>
        <v>522</v>
      </c>
      <c r="AB164" s="25">
        <f>VLOOKUP(L164,Zones!$A$2:$F$15614,6,FALSE)</f>
        <v>521</v>
      </c>
    </row>
    <row r="165" spans="2:28">
      <c r="B165" s="39">
        <v>5.347222222222222E-2</v>
      </c>
      <c r="C165" s="39" t="s">
        <v>389</v>
      </c>
      <c r="D165" s="40">
        <v>11</v>
      </c>
      <c r="E165" s="41">
        <v>1</v>
      </c>
      <c r="F165" s="41" t="s">
        <v>152</v>
      </c>
      <c r="G165" s="42" t="s">
        <v>148</v>
      </c>
      <c r="H165" s="41" t="s">
        <v>147</v>
      </c>
      <c r="I165" s="42">
        <v>8</v>
      </c>
      <c r="J165" s="42">
        <v>1</v>
      </c>
      <c r="K165" s="25" t="str">
        <f>VLOOKUP(J165,Key!$E$2:$F$9,2,FALSE)</f>
        <v>Home</v>
      </c>
      <c r="L165" s="41" t="s">
        <v>391</v>
      </c>
      <c r="M165" s="42" t="s">
        <v>146</v>
      </c>
      <c r="N165" s="41" t="s">
        <v>147</v>
      </c>
      <c r="O165" s="42">
        <v>8</v>
      </c>
      <c r="P165" s="42">
        <v>1</v>
      </c>
      <c r="Q165" s="25" t="str">
        <f>VLOOKUP(P165,Key!$E$2:$F$9,2,FALSE)</f>
        <v>Home</v>
      </c>
      <c r="R165" s="25" t="str">
        <f t="shared" si="4"/>
        <v>Home-Home</v>
      </c>
      <c r="S165" s="43">
        <v>5</v>
      </c>
      <c r="T165" s="43">
        <v>0.2</v>
      </c>
      <c r="U165" s="42">
        <v>2</v>
      </c>
      <c r="V165" s="42"/>
      <c r="W165" s="43"/>
      <c r="X165" s="43"/>
      <c r="Y165" s="44" t="s">
        <v>149</v>
      </c>
      <c r="Z165" s="52">
        <v>1000</v>
      </c>
      <c r="AA165" s="25">
        <f>VLOOKUP(F165,Zones!$A$2:$F$15614,6,FALSE)</f>
        <v>522</v>
      </c>
      <c r="AB165" s="25">
        <f>VLOOKUP(L165,Zones!$A$2:$F$15614,6,FALSE)</f>
        <v>521</v>
      </c>
    </row>
    <row r="166" spans="2:28">
      <c r="B166" s="39">
        <v>0.59930555555555554</v>
      </c>
      <c r="C166" s="39" t="s">
        <v>392</v>
      </c>
      <c r="D166" s="40">
        <v>3</v>
      </c>
      <c r="E166" s="41">
        <v>1</v>
      </c>
      <c r="F166" s="41" t="s">
        <v>161</v>
      </c>
      <c r="G166" s="42" t="s">
        <v>148</v>
      </c>
      <c r="H166" s="41" t="s">
        <v>147</v>
      </c>
      <c r="I166" s="42">
        <v>1</v>
      </c>
      <c r="J166" s="42">
        <v>1</v>
      </c>
      <c r="K166" s="25" t="str">
        <f>VLOOKUP(J166,Key!$E$2:$F$9,2,FALSE)</f>
        <v>Home</v>
      </c>
      <c r="L166" s="41" t="s">
        <v>152</v>
      </c>
      <c r="M166" s="42" t="s">
        <v>148</v>
      </c>
      <c r="N166" s="41" t="s">
        <v>147</v>
      </c>
      <c r="O166" s="42">
        <v>3</v>
      </c>
      <c r="P166" s="42">
        <v>4</v>
      </c>
      <c r="Q166" s="25" t="str">
        <f>VLOOKUP(P166,Key!$E$2:$F$9,2,FALSE)</f>
        <v>Commercial</v>
      </c>
      <c r="R166" s="25" t="str">
        <f t="shared" si="4"/>
        <v>Home-Commercial</v>
      </c>
      <c r="S166" s="43">
        <v>5</v>
      </c>
      <c r="T166" s="43">
        <v>0.2</v>
      </c>
      <c r="U166" s="42">
        <v>2</v>
      </c>
      <c r="V166" s="42"/>
      <c r="W166" s="43"/>
      <c r="X166" s="43"/>
      <c r="Y166" s="44" t="s">
        <v>149</v>
      </c>
      <c r="Z166" s="52">
        <v>2000</v>
      </c>
      <c r="AA166" s="25">
        <f>VLOOKUP(F166,Zones!$A$2:$F$15614,6,FALSE)</f>
        <v>522</v>
      </c>
      <c r="AB166" s="25">
        <f>VLOOKUP(L166,Zones!$A$2:$F$15614,6,FALSE)</f>
        <v>522</v>
      </c>
    </row>
    <row r="167" spans="2:28">
      <c r="B167" s="39">
        <v>0.60069444444444442</v>
      </c>
      <c r="C167" s="39" t="s">
        <v>393</v>
      </c>
      <c r="D167" s="40">
        <v>1</v>
      </c>
      <c r="E167" s="41">
        <v>3</v>
      </c>
      <c r="F167" s="41" t="s">
        <v>161</v>
      </c>
      <c r="G167" s="42" t="s">
        <v>148</v>
      </c>
      <c r="H167" s="41" t="s">
        <v>147</v>
      </c>
      <c r="I167" s="42">
        <v>4</v>
      </c>
      <c r="J167" s="42">
        <v>3</v>
      </c>
      <c r="K167" s="25" t="str">
        <f>VLOOKUP(J167,Key!$E$2:$F$9,2,FALSE)</f>
        <v>Study</v>
      </c>
      <c r="L167" s="41" t="s">
        <v>152</v>
      </c>
      <c r="M167" s="42" t="s">
        <v>148</v>
      </c>
      <c r="N167" s="41" t="s">
        <v>147</v>
      </c>
      <c r="O167" s="42">
        <v>1</v>
      </c>
      <c r="P167" s="42">
        <v>1</v>
      </c>
      <c r="Q167" s="25" t="str">
        <f>VLOOKUP(P167,Key!$E$2:$F$9,2,FALSE)</f>
        <v>Home</v>
      </c>
      <c r="R167" s="25" t="str">
        <f t="shared" si="4"/>
        <v>Study-Home</v>
      </c>
      <c r="S167" s="43">
        <v>7</v>
      </c>
      <c r="T167" s="43">
        <v>0.5</v>
      </c>
      <c r="U167" s="42">
        <v>2</v>
      </c>
      <c r="V167" s="42"/>
      <c r="W167" s="43"/>
      <c r="X167" s="43"/>
      <c r="Y167" s="44" t="s">
        <v>149</v>
      </c>
      <c r="Z167" s="52">
        <v>2000</v>
      </c>
      <c r="AA167" s="25">
        <f>VLOOKUP(F167,Zones!$A$2:$F$15614,6,FALSE)</f>
        <v>522</v>
      </c>
      <c r="AB167" s="25">
        <f>VLOOKUP(L167,Zones!$A$2:$F$15614,6,FALSE)</f>
        <v>522</v>
      </c>
    </row>
    <row r="168" spans="2:28">
      <c r="B168" s="39">
        <v>0.60902777777777783</v>
      </c>
      <c r="C168" s="39" t="s">
        <v>395</v>
      </c>
      <c r="D168" s="40">
        <v>11</v>
      </c>
      <c r="E168" s="41">
        <v>2</v>
      </c>
      <c r="F168" s="41" t="s">
        <v>181</v>
      </c>
      <c r="G168" s="42" t="s">
        <v>146</v>
      </c>
      <c r="H168" s="41" t="s">
        <v>147</v>
      </c>
      <c r="I168" s="42">
        <v>8</v>
      </c>
      <c r="J168" s="42">
        <v>2</v>
      </c>
      <c r="K168" s="25" t="str">
        <f>VLOOKUP(J168,Key!$E$2:$F$9,2,FALSE)</f>
        <v>Work</v>
      </c>
      <c r="L168" s="41" t="s">
        <v>152</v>
      </c>
      <c r="M168" s="42" t="s">
        <v>148</v>
      </c>
      <c r="N168" s="41" t="s">
        <v>147</v>
      </c>
      <c r="O168" s="42">
        <v>8</v>
      </c>
      <c r="P168" s="42">
        <v>2</v>
      </c>
      <c r="Q168" s="25" t="str">
        <f>VLOOKUP(P168,Key!$E$2:$F$9,2,FALSE)</f>
        <v>Work</v>
      </c>
      <c r="R168" s="25" t="str">
        <f t="shared" si="4"/>
        <v>Work-Work</v>
      </c>
      <c r="S168" s="43">
        <v>10</v>
      </c>
      <c r="T168" s="43">
        <v>0.5</v>
      </c>
      <c r="U168" s="42">
        <v>2</v>
      </c>
      <c r="V168" s="42"/>
      <c r="W168" s="43"/>
      <c r="X168" s="43"/>
      <c r="Y168" s="44" t="s">
        <v>149</v>
      </c>
      <c r="Z168" s="52">
        <v>1000</v>
      </c>
      <c r="AA168" s="25">
        <f>VLOOKUP(F168,Zones!$A$2:$F$15614,6,FALSE)</f>
        <v>536</v>
      </c>
      <c r="AB168" s="25">
        <f>VLOOKUP(L168,Zones!$A$2:$F$15614,6,FALSE)</f>
        <v>522</v>
      </c>
    </row>
    <row r="169" spans="2:28">
      <c r="B169" s="39">
        <v>0.61458333333333337</v>
      </c>
      <c r="C169" s="39" t="s">
        <v>396</v>
      </c>
      <c r="D169" s="40">
        <v>2</v>
      </c>
      <c r="E169" s="41">
        <v>3</v>
      </c>
      <c r="F169" s="41" t="s">
        <v>397</v>
      </c>
      <c r="G169" s="42" t="s">
        <v>146</v>
      </c>
      <c r="H169" s="41" t="s">
        <v>147</v>
      </c>
      <c r="I169" s="42">
        <v>1</v>
      </c>
      <c r="J169" s="42">
        <v>1</v>
      </c>
      <c r="K169" s="25" t="str">
        <f>VLOOKUP(J169,Key!$E$2:$F$9,2,FALSE)</f>
        <v>Home</v>
      </c>
      <c r="L169" s="41" t="s">
        <v>152</v>
      </c>
      <c r="M169" s="42" t="s">
        <v>148</v>
      </c>
      <c r="N169" s="41" t="s">
        <v>147</v>
      </c>
      <c r="O169" s="42">
        <v>1</v>
      </c>
      <c r="P169" s="42">
        <v>1</v>
      </c>
      <c r="Q169" s="25" t="str">
        <f>VLOOKUP(P169,Key!$E$2:$F$9,2,FALSE)</f>
        <v>Home</v>
      </c>
      <c r="R169" s="25" t="str">
        <f t="shared" si="4"/>
        <v>Home-Home</v>
      </c>
      <c r="S169" s="43">
        <v>15</v>
      </c>
      <c r="T169" s="43">
        <v>1</v>
      </c>
      <c r="U169" s="42">
        <v>5</v>
      </c>
      <c r="V169" s="42"/>
      <c r="W169" s="43"/>
      <c r="X169" s="43"/>
      <c r="Y169" s="44" t="s">
        <v>149</v>
      </c>
      <c r="Z169" s="52"/>
      <c r="AA169" s="25">
        <f>VLOOKUP(F169,Zones!$A$2:$F$15614,6,FALSE)</f>
        <v>561</v>
      </c>
      <c r="AB169" s="25">
        <f>VLOOKUP(L169,Zones!$A$2:$F$15614,6,FALSE)</f>
        <v>522</v>
      </c>
    </row>
    <row r="170" spans="2:28">
      <c r="B170" s="39">
        <v>0.61944444444444446</v>
      </c>
      <c r="C170" s="39" t="s">
        <v>398</v>
      </c>
      <c r="D170" s="40">
        <v>1</v>
      </c>
      <c r="E170" s="41">
        <v>2</v>
      </c>
      <c r="F170" s="41" t="s">
        <v>161</v>
      </c>
      <c r="G170" s="42" t="s">
        <v>148</v>
      </c>
      <c r="H170" s="41" t="s">
        <v>147</v>
      </c>
      <c r="I170" s="42">
        <v>1</v>
      </c>
      <c r="J170" s="42">
        <v>1</v>
      </c>
      <c r="K170" s="25" t="str">
        <f>VLOOKUP(J170,Key!$E$2:$F$9,2,FALSE)</f>
        <v>Home</v>
      </c>
      <c r="L170" s="41" t="s">
        <v>207</v>
      </c>
      <c r="M170" s="42" t="s">
        <v>146</v>
      </c>
      <c r="N170" s="41" t="s">
        <v>147</v>
      </c>
      <c r="O170" s="42">
        <v>16</v>
      </c>
      <c r="P170" s="42">
        <v>8</v>
      </c>
      <c r="Q170" s="25" t="str">
        <f>VLOOKUP(P170,Key!$E$2:$F$9,2,FALSE)</f>
        <v>Others</v>
      </c>
      <c r="R170" s="25" t="str">
        <f t="shared" si="4"/>
        <v>Home-Others</v>
      </c>
      <c r="S170" s="43">
        <v>4</v>
      </c>
      <c r="T170" s="43">
        <v>0.1</v>
      </c>
      <c r="U170" s="42">
        <v>6</v>
      </c>
      <c r="V170" s="42"/>
      <c r="W170" s="43"/>
      <c r="X170" s="43"/>
      <c r="Y170" s="44" t="s">
        <v>149</v>
      </c>
      <c r="Z170" s="52"/>
      <c r="AA170" s="25">
        <f>VLOOKUP(F170,Zones!$A$2:$F$15614,6,FALSE)</f>
        <v>522</v>
      </c>
      <c r="AB170" s="25">
        <f>VLOOKUP(L170,Zones!$A$2:$F$15614,6,FALSE)</f>
        <v>522</v>
      </c>
    </row>
    <row r="171" spans="2:28">
      <c r="B171" s="39">
        <v>0.63194444444444442</v>
      </c>
      <c r="C171" s="39" t="s">
        <v>399</v>
      </c>
      <c r="D171" s="40">
        <v>1</v>
      </c>
      <c r="E171" s="41">
        <v>6</v>
      </c>
      <c r="F171" s="41" t="s">
        <v>152</v>
      </c>
      <c r="G171" s="42" t="s">
        <v>148</v>
      </c>
      <c r="H171" s="41" t="s">
        <v>147</v>
      </c>
      <c r="I171" s="42">
        <v>1</v>
      </c>
      <c r="J171" s="42">
        <v>1</v>
      </c>
      <c r="K171" s="25" t="str">
        <f>VLOOKUP(J171,Key!$E$2:$F$9,2,FALSE)</f>
        <v>Home</v>
      </c>
      <c r="L171" s="41" t="s">
        <v>152</v>
      </c>
      <c r="M171" s="42" t="s">
        <v>148</v>
      </c>
      <c r="N171" s="41" t="s">
        <v>147</v>
      </c>
      <c r="O171" s="42">
        <v>16</v>
      </c>
      <c r="P171" s="42">
        <v>8</v>
      </c>
      <c r="Q171" s="25" t="str">
        <f>VLOOKUP(P171,Key!$E$2:$F$9,2,FALSE)</f>
        <v>Others</v>
      </c>
      <c r="R171" s="25" t="str">
        <f t="shared" si="4"/>
        <v>Home-Others</v>
      </c>
      <c r="S171" s="43">
        <v>4</v>
      </c>
      <c r="T171" s="43">
        <v>0.1</v>
      </c>
      <c r="U171" s="42">
        <v>2</v>
      </c>
      <c r="V171" s="42"/>
      <c r="W171" s="43"/>
      <c r="X171" s="43"/>
      <c r="Y171" s="44" t="s">
        <v>149</v>
      </c>
      <c r="Z171" s="52"/>
      <c r="AA171" s="25">
        <f>VLOOKUP(F171,Zones!$A$2:$F$15614,6,FALSE)</f>
        <v>522</v>
      </c>
      <c r="AB171" s="25">
        <f>VLOOKUP(L171,Zones!$A$2:$F$15614,6,FALSE)</f>
        <v>522</v>
      </c>
    </row>
    <row r="172" spans="2:28">
      <c r="B172" s="39">
        <v>0.63402777777777775</v>
      </c>
      <c r="C172" s="39" t="s">
        <v>401</v>
      </c>
      <c r="D172" s="40">
        <v>11</v>
      </c>
      <c r="E172" s="41">
        <v>1</v>
      </c>
      <c r="F172" s="41" t="s">
        <v>161</v>
      </c>
      <c r="G172" s="42" t="s">
        <v>148</v>
      </c>
      <c r="H172" s="41" t="s">
        <v>147</v>
      </c>
      <c r="I172" s="42">
        <v>8</v>
      </c>
      <c r="J172" s="42">
        <v>2</v>
      </c>
      <c r="K172" s="25" t="str">
        <f>VLOOKUP(J172,Key!$E$2:$F$9,2,FALSE)</f>
        <v>Work</v>
      </c>
      <c r="L172" s="41" t="s">
        <v>356</v>
      </c>
      <c r="M172" s="42" t="s">
        <v>148</v>
      </c>
      <c r="N172" s="41" t="s">
        <v>147</v>
      </c>
      <c r="O172" s="42">
        <v>8</v>
      </c>
      <c r="P172" s="42">
        <v>2</v>
      </c>
      <c r="Q172" s="25" t="str">
        <f>VLOOKUP(P172,Key!$E$2:$F$9,2,FALSE)</f>
        <v>Work</v>
      </c>
      <c r="R172" s="25" t="str">
        <f t="shared" si="4"/>
        <v>Work-Work</v>
      </c>
      <c r="S172" s="43">
        <v>3</v>
      </c>
      <c r="T172" s="43">
        <v>0.3</v>
      </c>
      <c r="U172" s="42">
        <v>2</v>
      </c>
      <c r="V172" s="42"/>
      <c r="W172" s="43"/>
      <c r="X172" s="43"/>
      <c r="Y172" s="44" t="s">
        <v>149</v>
      </c>
      <c r="Z172" s="52">
        <v>3000</v>
      </c>
      <c r="AA172" s="25">
        <f>VLOOKUP(F172,Zones!$A$2:$F$15614,6,FALSE)</f>
        <v>522</v>
      </c>
      <c r="AB172" s="25">
        <f>VLOOKUP(L172,Zones!$A$2:$F$15614,6,FALSE)</f>
        <v>522</v>
      </c>
    </row>
    <row r="173" spans="2:28">
      <c r="B173" s="39">
        <v>0.63611111111111118</v>
      </c>
      <c r="C173" s="39" t="s">
        <v>402</v>
      </c>
      <c r="D173" s="40">
        <v>7</v>
      </c>
      <c r="E173" s="41">
        <v>2</v>
      </c>
      <c r="F173" s="41" t="s">
        <v>394</v>
      </c>
      <c r="G173" s="42" t="s">
        <v>148</v>
      </c>
      <c r="H173" s="41" t="s">
        <v>147</v>
      </c>
      <c r="I173" s="42">
        <v>10</v>
      </c>
      <c r="J173" s="42">
        <v>2</v>
      </c>
      <c r="K173" s="25" t="str">
        <f>VLOOKUP(J173,Key!$E$2:$F$9,2,FALSE)</f>
        <v>Work</v>
      </c>
      <c r="L173" s="41" t="s">
        <v>152</v>
      </c>
      <c r="M173" s="42" t="s">
        <v>148</v>
      </c>
      <c r="N173" s="41" t="s">
        <v>147</v>
      </c>
      <c r="O173" s="42">
        <v>15</v>
      </c>
      <c r="P173" s="42">
        <v>4</v>
      </c>
      <c r="Q173" s="25" t="str">
        <f>VLOOKUP(P173,Key!$E$2:$F$9,2,FALSE)</f>
        <v>Commercial</v>
      </c>
      <c r="R173" s="25" t="str">
        <f t="shared" si="4"/>
        <v>Work-Commercial</v>
      </c>
      <c r="S173" s="43">
        <v>4</v>
      </c>
      <c r="T173" s="43">
        <v>0.3</v>
      </c>
      <c r="U173" s="42">
        <v>2</v>
      </c>
      <c r="V173" s="42"/>
      <c r="W173" s="43"/>
      <c r="X173" s="43"/>
      <c r="Y173" s="44" t="s">
        <v>149</v>
      </c>
      <c r="Z173" s="52"/>
      <c r="AA173" s="25">
        <f>VLOOKUP(F173,Zones!$A$2:$F$15614,6,FALSE)</f>
        <v>522</v>
      </c>
      <c r="AB173" s="25">
        <f>VLOOKUP(L173,Zones!$A$2:$F$15614,6,FALSE)</f>
        <v>522</v>
      </c>
    </row>
    <row r="174" spans="2:28">
      <c r="B174" s="39">
        <v>0.65138888888888891</v>
      </c>
      <c r="C174" s="39" t="s">
        <v>403</v>
      </c>
      <c r="D174" s="40">
        <v>1</v>
      </c>
      <c r="E174" s="41">
        <v>1</v>
      </c>
      <c r="F174" s="41" t="s">
        <v>2416</v>
      </c>
      <c r="G174" s="42" t="s">
        <v>148</v>
      </c>
      <c r="H174" s="41" t="s">
        <v>147</v>
      </c>
      <c r="I174" s="42">
        <v>1</v>
      </c>
      <c r="J174" s="42">
        <v>1</v>
      </c>
      <c r="K174" s="25" t="str">
        <f>VLOOKUP(J174,Key!$E$2:$F$9,2,FALSE)</f>
        <v>Home</v>
      </c>
      <c r="L174" s="41" t="s">
        <v>207</v>
      </c>
      <c r="M174" s="42" t="s">
        <v>146</v>
      </c>
      <c r="N174" s="41" t="s">
        <v>147</v>
      </c>
      <c r="O174" s="42">
        <v>2</v>
      </c>
      <c r="P174" s="42">
        <v>2</v>
      </c>
      <c r="Q174" s="25" t="str">
        <f>VLOOKUP(P174,Key!$E$2:$F$9,2,FALSE)</f>
        <v>Work</v>
      </c>
      <c r="R174" s="25" t="str">
        <f t="shared" si="4"/>
        <v>Home-Work</v>
      </c>
      <c r="S174" s="43">
        <v>5</v>
      </c>
      <c r="T174" s="43">
        <v>0.1</v>
      </c>
      <c r="U174" s="42">
        <v>2</v>
      </c>
      <c r="V174" s="42"/>
      <c r="W174" s="43"/>
      <c r="X174" s="43"/>
      <c r="Y174" s="44" t="s">
        <v>149</v>
      </c>
      <c r="Z174" s="52">
        <v>2000</v>
      </c>
      <c r="AA174" s="25">
        <f>VLOOKUP(F174,Zones!$A$2:$F$15614,6,FALSE)</f>
        <v>1402</v>
      </c>
      <c r="AB174" s="25">
        <f>VLOOKUP(L174,Zones!$A$2:$F$15614,6,FALSE)</f>
        <v>522</v>
      </c>
    </row>
    <row r="175" spans="2:28">
      <c r="B175" s="39">
        <v>0.66666666666666663</v>
      </c>
      <c r="C175" s="39" t="s">
        <v>405</v>
      </c>
      <c r="D175" s="40">
        <v>2</v>
      </c>
      <c r="E175" s="41">
        <v>1</v>
      </c>
      <c r="F175" s="41" t="s">
        <v>181</v>
      </c>
      <c r="G175" s="42" t="s">
        <v>146</v>
      </c>
      <c r="H175" s="41" t="s">
        <v>147</v>
      </c>
      <c r="I175" s="42">
        <v>1</v>
      </c>
      <c r="J175" s="42">
        <v>1</v>
      </c>
      <c r="K175" s="25" t="str">
        <f>VLOOKUP(J175,Key!$E$2:$F$9,2,FALSE)</f>
        <v>Home</v>
      </c>
      <c r="L175" s="41" t="s">
        <v>152</v>
      </c>
      <c r="M175" s="42" t="s">
        <v>148</v>
      </c>
      <c r="N175" s="41" t="s">
        <v>147</v>
      </c>
      <c r="O175" s="42">
        <v>1</v>
      </c>
      <c r="P175" s="42">
        <v>1</v>
      </c>
      <c r="Q175" s="25" t="str">
        <f>VLOOKUP(P175,Key!$E$2:$F$9,2,FALSE)</f>
        <v>Home</v>
      </c>
      <c r="R175" s="25" t="str">
        <f t="shared" si="4"/>
        <v>Home-Home</v>
      </c>
      <c r="S175" s="43">
        <v>10</v>
      </c>
      <c r="T175" s="43">
        <v>0.5</v>
      </c>
      <c r="U175" s="42">
        <v>3</v>
      </c>
      <c r="V175" s="42"/>
      <c r="W175" s="43"/>
      <c r="X175" s="43"/>
      <c r="Y175" s="44" t="s">
        <v>149</v>
      </c>
      <c r="Z175" s="52">
        <v>5000</v>
      </c>
      <c r="AA175" s="25">
        <f>VLOOKUP(F175,Zones!$A$2:$F$15614,6,FALSE)</f>
        <v>536</v>
      </c>
      <c r="AB175" s="25">
        <f>VLOOKUP(L175,Zones!$A$2:$F$15614,6,FALSE)</f>
        <v>522</v>
      </c>
    </row>
    <row r="176" spans="2:28">
      <c r="B176" s="39">
        <v>0.67013888888888884</v>
      </c>
      <c r="C176" s="39" t="s">
        <v>406</v>
      </c>
      <c r="D176" s="40">
        <v>3</v>
      </c>
      <c r="E176" s="41">
        <v>3</v>
      </c>
      <c r="F176" s="41" t="s">
        <v>161</v>
      </c>
      <c r="G176" s="42" t="s">
        <v>148</v>
      </c>
      <c r="H176" s="41" t="s">
        <v>147</v>
      </c>
      <c r="I176" s="42">
        <v>1</v>
      </c>
      <c r="J176" s="42">
        <v>1</v>
      </c>
      <c r="K176" s="25" t="str">
        <f>VLOOKUP(J176,Key!$E$2:$F$9,2,FALSE)</f>
        <v>Home</v>
      </c>
      <c r="L176" s="41" t="s">
        <v>152</v>
      </c>
      <c r="M176" s="42" t="s">
        <v>148</v>
      </c>
      <c r="N176" s="41" t="s">
        <v>147</v>
      </c>
      <c r="O176" s="42">
        <v>15</v>
      </c>
      <c r="P176" s="42">
        <v>2</v>
      </c>
      <c r="Q176" s="25" t="str">
        <f>VLOOKUP(P176,Key!$E$2:$F$9,2,FALSE)</f>
        <v>Work</v>
      </c>
      <c r="R176" s="25" t="str">
        <f t="shared" si="4"/>
        <v>Home-Work</v>
      </c>
      <c r="S176" s="43">
        <v>4</v>
      </c>
      <c r="T176" s="43">
        <v>0.2</v>
      </c>
      <c r="U176" s="42">
        <v>2</v>
      </c>
      <c r="V176" s="42"/>
      <c r="W176" s="43"/>
      <c r="X176" s="43"/>
      <c r="Y176" s="44" t="s">
        <v>149</v>
      </c>
      <c r="Z176" s="52">
        <v>1000</v>
      </c>
      <c r="AA176" s="25">
        <f>VLOOKUP(F176,Zones!$A$2:$F$15614,6,FALSE)</f>
        <v>522</v>
      </c>
      <c r="AB176" s="25">
        <f>VLOOKUP(L176,Zones!$A$2:$F$15614,6,FALSE)</f>
        <v>522</v>
      </c>
    </row>
    <row r="177" spans="2:28">
      <c r="B177" s="39">
        <v>0.60069444444444442</v>
      </c>
      <c r="C177" s="39" t="s">
        <v>411</v>
      </c>
      <c r="D177" s="40">
        <v>1</v>
      </c>
      <c r="E177" s="41">
        <v>3</v>
      </c>
      <c r="F177" s="41" t="s">
        <v>152</v>
      </c>
      <c r="G177" s="42" t="s">
        <v>148</v>
      </c>
      <c r="H177" s="41" t="s">
        <v>147</v>
      </c>
      <c r="I177" s="42">
        <v>1</v>
      </c>
      <c r="J177" s="42">
        <v>1</v>
      </c>
      <c r="K177" s="25" t="str">
        <f>VLOOKUP(J177,Key!$E$2:$F$9,2,FALSE)</f>
        <v>Home</v>
      </c>
      <c r="L177" s="41" t="s">
        <v>158</v>
      </c>
      <c r="M177" s="42" t="s">
        <v>146</v>
      </c>
      <c r="N177" s="41" t="s">
        <v>147</v>
      </c>
      <c r="O177" s="42">
        <v>16</v>
      </c>
      <c r="P177" s="42">
        <v>6</v>
      </c>
      <c r="Q177" s="25" t="str">
        <f>VLOOKUP(P177,Key!$E$2:$F$9,2,FALSE)</f>
        <v>Leisure/Social</v>
      </c>
      <c r="R177" s="25" t="str">
        <f>K177&amp;"-"&amp;Q177</f>
        <v>Home-Leisure/Social</v>
      </c>
      <c r="S177" s="43">
        <v>12.87</v>
      </c>
      <c r="T177" s="43">
        <v>2</v>
      </c>
      <c r="U177" s="42">
        <v>2</v>
      </c>
      <c r="V177" s="42"/>
      <c r="W177" s="43"/>
      <c r="X177" s="43"/>
      <c r="Y177" s="44" t="s">
        <v>149</v>
      </c>
      <c r="Z177" s="52">
        <v>1000</v>
      </c>
      <c r="AA177" s="25">
        <f>VLOOKUP(F177,Zones!$A$2:$F$15614,6,FALSE)</f>
        <v>522</v>
      </c>
      <c r="AB177" s="25">
        <f>VLOOKUP(L177,Zones!$A$2:$F$15614,6,FALSE)</f>
        <v>521</v>
      </c>
    </row>
    <row r="178" spans="2:28">
      <c r="B178" s="39">
        <v>0.65972222222222221</v>
      </c>
      <c r="C178" s="39" t="s">
        <v>412</v>
      </c>
      <c r="D178" s="40">
        <v>1</v>
      </c>
      <c r="E178" s="41">
        <v>3</v>
      </c>
      <c r="F178" s="41" t="s">
        <v>158</v>
      </c>
      <c r="G178" s="42" t="s">
        <v>146</v>
      </c>
      <c r="H178" s="41" t="s">
        <v>147</v>
      </c>
      <c r="I178" s="42">
        <v>1</v>
      </c>
      <c r="J178" s="42">
        <v>1</v>
      </c>
      <c r="K178" s="25" t="str">
        <f>VLOOKUP(J178,Key!$E$2:$F$9,2,FALSE)</f>
        <v>Home</v>
      </c>
      <c r="L178" s="41" t="s">
        <v>163</v>
      </c>
      <c r="M178" s="42" t="s">
        <v>148</v>
      </c>
      <c r="N178" s="41" t="s">
        <v>147</v>
      </c>
      <c r="O178" s="42">
        <v>16</v>
      </c>
      <c r="P178" s="42">
        <v>8</v>
      </c>
      <c r="Q178" s="25" t="str">
        <f>VLOOKUP(P178,Key!$E$2:$F$9,2,FALSE)</f>
        <v>Others</v>
      </c>
      <c r="R178" s="25" t="str">
        <f t="shared" ref="R178:R241" si="5">K178&amp;"-"&amp;Q178</f>
        <v>Home-Others</v>
      </c>
      <c r="S178" s="43"/>
      <c r="T178" s="43"/>
      <c r="U178" s="42">
        <v>5</v>
      </c>
      <c r="V178" s="42"/>
      <c r="W178" s="43"/>
      <c r="X178" s="43"/>
      <c r="Y178" s="44" t="s">
        <v>149</v>
      </c>
      <c r="Z178" s="52">
        <v>1000</v>
      </c>
      <c r="AA178" s="25">
        <f>VLOOKUP(F178,Zones!$A$2:$F$15614,6,FALSE)</f>
        <v>521</v>
      </c>
      <c r="AB178" s="25">
        <f>VLOOKUP(L178,Zones!$A$2:$F$15614,6,FALSE)</f>
        <v>1407</v>
      </c>
    </row>
    <row r="179" spans="2:28">
      <c r="B179" s="39">
        <v>0.60763888888888895</v>
      </c>
      <c r="C179" s="39" t="s">
        <v>413</v>
      </c>
      <c r="D179" s="40">
        <v>1</v>
      </c>
      <c r="E179" s="41">
        <v>2</v>
      </c>
      <c r="F179" s="41" t="s">
        <v>271</v>
      </c>
      <c r="G179" s="42" t="s">
        <v>146</v>
      </c>
      <c r="H179" s="41" t="s">
        <v>147</v>
      </c>
      <c r="I179" s="42">
        <v>16</v>
      </c>
      <c r="J179" s="42">
        <v>8</v>
      </c>
      <c r="K179" s="25" t="str">
        <f>VLOOKUP(J179,Key!$E$2:$F$9,2,FALSE)</f>
        <v>Others</v>
      </c>
      <c r="L179" s="41" t="s">
        <v>161</v>
      </c>
      <c r="M179" s="42" t="s">
        <v>148</v>
      </c>
      <c r="N179" s="41" t="s">
        <v>147</v>
      </c>
      <c r="O179" s="42">
        <v>1</v>
      </c>
      <c r="P179" s="42">
        <v>1</v>
      </c>
      <c r="Q179" s="25" t="str">
        <f>VLOOKUP(P179,Key!$E$2:$F$9,2,FALSE)</f>
        <v>Home</v>
      </c>
      <c r="R179" s="25" t="str">
        <f t="shared" si="5"/>
        <v>Others-Home</v>
      </c>
      <c r="S179" s="43">
        <v>12</v>
      </c>
      <c r="T179" s="43">
        <v>0.5</v>
      </c>
      <c r="U179" s="42">
        <v>2</v>
      </c>
      <c r="V179" s="42"/>
      <c r="W179" s="43"/>
      <c r="X179" s="43"/>
      <c r="Y179" s="44" t="s">
        <v>149</v>
      </c>
      <c r="Z179" s="52">
        <v>3000</v>
      </c>
      <c r="AA179" s="25">
        <f>VLOOKUP(F179,Zones!$A$2:$F$15614,6,FALSE)</f>
        <v>556</v>
      </c>
      <c r="AB179" s="25">
        <f>VLOOKUP(L179,Zones!$A$2:$F$15614,6,FALSE)</f>
        <v>522</v>
      </c>
    </row>
    <row r="180" spans="2:28">
      <c r="B180" s="39">
        <v>0.65277777777777779</v>
      </c>
      <c r="C180" s="39" t="s">
        <v>414</v>
      </c>
      <c r="D180" s="40">
        <v>1</v>
      </c>
      <c r="E180" s="41">
        <v>3</v>
      </c>
      <c r="F180" s="41" t="s">
        <v>227</v>
      </c>
      <c r="G180" s="42" t="s">
        <v>146</v>
      </c>
      <c r="H180" s="41" t="s">
        <v>147</v>
      </c>
      <c r="I180" s="42">
        <v>1</v>
      </c>
      <c r="J180" s="42">
        <v>1</v>
      </c>
      <c r="K180" s="25" t="str">
        <f>VLOOKUP(J180,Key!$E$2:$F$9,2,FALSE)</f>
        <v>Home</v>
      </c>
      <c r="L180" s="41" t="s">
        <v>235</v>
      </c>
      <c r="M180" s="42" t="s">
        <v>148</v>
      </c>
      <c r="N180" s="41" t="s">
        <v>147</v>
      </c>
      <c r="O180" s="42">
        <v>1</v>
      </c>
      <c r="P180" s="42">
        <v>1</v>
      </c>
      <c r="Q180" s="25" t="str">
        <f>VLOOKUP(P180,Key!$E$2:$F$9,2,FALSE)</f>
        <v>Home</v>
      </c>
      <c r="R180" s="25" t="str">
        <f t="shared" si="5"/>
        <v>Home-Home</v>
      </c>
      <c r="S180" s="43">
        <v>2.5</v>
      </c>
      <c r="T180" s="43">
        <v>0.3</v>
      </c>
      <c r="U180" s="42">
        <v>6</v>
      </c>
      <c r="V180" s="42"/>
      <c r="W180" s="43"/>
      <c r="X180" s="43"/>
      <c r="Y180" s="44" t="s">
        <v>149</v>
      </c>
      <c r="Z180" s="52">
        <v>1000</v>
      </c>
      <c r="AA180" s="25">
        <f>VLOOKUP(F180,Zones!$A$2:$F$15614,6,FALSE)</f>
        <v>522</v>
      </c>
      <c r="AB180" s="25">
        <f>VLOOKUP(L180,Zones!$A$2:$F$15614,6,FALSE)</f>
        <v>556</v>
      </c>
    </row>
    <row r="181" spans="2:28">
      <c r="B181" s="39">
        <v>0.61736111111111114</v>
      </c>
      <c r="C181" s="39" t="s">
        <v>238</v>
      </c>
      <c r="D181" s="40">
        <v>4</v>
      </c>
      <c r="E181" s="41">
        <v>4</v>
      </c>
      <c r="F181" s="41" t="s">
        <v>152</v>
      </c>
      <c r="G181" s="42" t="s">
        <v>148</v>
      </c>
      <c r="H181" s="41" t="s">
        <v>147</v>
      </c>
      <c r="I181" s="42">
        <v>6</v>
      </c>
      <c r="J181" s="42">
        <v>2</v>
      </c>
      <c r="K181" s="25" t="str">
        <f>VLOOKUP(J181,Key!$E$2:$F$9,2,FALSE)</f>
        <v>Work</v>
      </c>
      <c r="L181" s="41" t="s">
        <v>1122</v>
      </c>
      <c r="M181" s="42" t="s">
        <v>146</v>
      </c>
      <c r="N181" s="41" t="s">
        <v>147</v>
      </c>
      <c r="O181" s="42">
        <v>6</v>
      </c>
      <c r="P181" s="42">
        <v>2</v>
      </c>
      <c r="Q181" s="25" t="str">
        <f>VLOOKUP(P181,Key!$E$2:$F$9,2,FALSE)</f>
        <v>Work</v>
      </c>
      <c r="R181" s="25" t="str">
        <f t="shared" si="5"/>
        <v>Work-Work</v>
      </c>
      <c r="S181" s="43"/>
      <c r="T181" s="43">
        <v>0.5</v>
      </c>
      <c r="U181" s="42">
        <v>2</v>
      </c>
      <c r="V181" s="42"/>
      <c r="W181" s="43"/>
      <c r="X181" s="43"/>
      <c r="Y181" s="44" t="s">
        <v>149</v>
      </c>
      <c r="Z181" s="52">
        <v>1000</v>
      </c>
      <c r="AA181" s="25">
        <f>VLOOKUP(F181,Zones!$A$2:$F$15614,6,FALSE)</f>
        <v>522</v>
      </c>
      <c r="AB181" s="25">
        <f>VLOOKUP(L181,Zones!$A$2:$F$15614,6,FALSE)</f>
        <v>521</v>
      </c>
    </row>
    <row r="182" spans="2:28">
      <c r="B182" s="39">
        <v>0.65208333333333335</v>
      </c>
      <c r="C182" s="39" t="s">
        <v>416</v>
      </c>
      <c r="D182" s="40">
        <v>3</v>
      </c>
      <c r="E182" s="41">
        <v>2</v>
      </c>
      <c r="F182" s="41" t="s">
        <v>152</v>
      </c>
      <c r="G182" s="42" t="s">
        <v>148</v>
      </c>
      <c r="H182" s="41" t="s">
        <v>147</v>
      </c>
      <c r="I182" s="42">
        <v>16</v>
      </c>
      <c r="J182" s="42">
        <v>8</v>
      </c>
      <c r="K182" s="25" t="str">
        <f>VLOOKUP(J182,Key!$E$2:$F$9,2,FALSE)</f>
        <v>Others</v>
      </c>
      <c r="L182" s="41" t="s">
        <v>181</v>
      </c>
      <c r="M182" s="42" t="s">
        <v>146</v>
      </c>
      <c r="N182" s="41" t="s">
        <v>147</v>
      </c>
      <c r="O182" s="42">
        <v>1</v>
      </c>
      <c r="P182" s="42">
        <v>1</v>
      </c>
      <c r="Q182" s="25" t="str">
        <f>VLOOKUP(P182,Key!$E$2:$F$9,2,FALSE)</f>
        <v>Home</v>
      </c>
      <c r="R182" s="25" t="str">
        <f t="shared" si="5"/>
        <v>Others-Home</v>
      </c>
      <c r="S182" s="43"/>
      <c r="T182" s="43"/>
      <c r="U182" s="42">
        <v>6</v>
      </c>
      <c r="V182" s="42"/>
      <c r="W182" s="43"/>
      <c r="X182" s="43"/>
      <c r="Y182" s="44" t="s">
        <v>149</v>
      </c>
      <c r="Z182" s="52">
        <v>2000</v>
      </c>
      <c r="AA182" s="25">
        <f>VLOOKUP(F182,Zones!$A$2:$F$15614,6,FALSE)</f>
        <v>522</v>
      </c>
      <c r="AB182" s="25">
        <f>VLOOKUP(L182,Zones!$A$2:$F$15614,6,FALSE)</f>
        <v>536</v>
      </c>
    </row>
    <row r="183" spans="2:28">
      <c r="B183" s="39">
        <v>0.62986111111111109</v>
      </c>
      <c r="C183" s="39" t="s">
        <v>417</v>
      </c>
      <c r="D183" s="40">
        <v>1</v>
      </c>
      <c r="E183" s="41">
        <v>4</v>
      </c>
      <c r="F183" s="41" t="s">
        <v>418</v>
      </c>
      <c r="G183" s="42" t="s">
        <v>148</v>
      </c>
      <c r="H183" s="41" t="s">
        <v>147</v>
      </c>
      <c r="I183" s="42">
        <v>16</v>
      </c>
      <c r="J183" s="42">
        <v>8</v>
      </c>
      <c r="K183" s="25" t="str">
        <f>VLOOKUP(J183,Key!$E$2:$F$9,2,FALSE)</f>
        <v>Others</v>
      </c>
      <c r="L183" s="41" t="s">
        <v>235</v>
      </c>
      <c r="M183" s="42" t="s">
        <v>148</v>
      </c>
      <c r="N183" s="41" t="s">
        <v>147</v>
      </c>
      <c r="O183" s="42">
        <v>16</v>
      </c>
      <c r="P183" s="42">
        <v>8</v>
      </c>
      <c r="Q183" s="25" t="str">
        <f>VLOOKUP(P183,Key!$E$2:$F$9,2,FALSE)</f>
        <v>Others</v>
      </c>
      <c r="R183" s="25" t="str">
        <f t="shared" si="5"/>
        <v>Others-Others</v>
      </c>
      <c r="S183" s="43"/>
      <c r="T183" s="43">
        <v>0.3</v>
      </c>
      <c r="U183" s="42">
        <v>2</v>
      </c>
      <c r="V183" s="42"/>
      <c r="W183" s="43"/>
      <c r="X183" s="43"/>
      <c r="Y183" s="44" t="s">
        <v>149</v>
      </c>
      <c r="Z183" s="52">
        <v>3000</v>
      </c>
      <c r="AA183" s="25">
        <f>VLOOKUP(F183,Zones!$A$2:$F$15614,6,FALSE)</f>
        <v>579</v>
      </c>
      <c r="AB183" s="25">
        <f>VLOOKUP(L183,Zones!$A$2:$F$15614,6,FALSE)</f>
        <v>556</v>
      </c>
    </row>
    <row r="184" spans="2:28">
      <c r="B184" s="39">
        <v>0.64236111111111105</v>
      </c>
      <c r="C184" s="39" t="s">
        <v>419</v>
      </c>
      <c r="D184" s="40">
        <v>1</v>
      </c>
      <c r="E184" s="41">
        <v>2</v>
      </c>
      <c r="F184" s="41" t="s">
        <v>152</v>
      </c>
      <c r="G184" s="42" t="s">
        <v>148</v>
      </c>
      <c r="H184" s="41" t="s">
        <v>147</v>
      </c>
      <c r="I184" s="42">
        <v>16</v>
      </c>
      <c r="J184" s="42">
        <v>8</v>
      </c>
      <c r="K184" s="25" t="str">
        <f>VLOOKUP(J184,Key!$E$2:$F$9,2,FALSE)</f>
        <v>Others</v>
      </c>
      <c r="L184" s="41" t="s">
        <v>420</v>
      </c>
      <c r="M184" s="42" t="s">
        <v>146</v>
      </c>
      <c r="N184" s="41" t="s">
        <v>147</v>
      </c>
      <c r="O184" s="42">
        <v>11</v>
      </c>
      <c r="P184" s="42">
        <v>4</v>
      </c>
      <c r="Q184" s="25" t="str">
        <f>VLOOKUP(P184,Key!$E$2:$F$9,2,FALSE)</f>
        <v>Commercial</v>
      </c>
      <c r="R184" s="25" t="str">
        <f t="shared" si="5"/>
        <v>Others-Commercial</v>
      </c>
      <c r="S184" s="43"/>
      <c r="T184" s="43">
        <v>0.5</v>
      </c>
      <c r="U184" s="42">
        <v>1</v>
      </c>
      <c r="V184" s="42"/>
      <c r="W184" s="43"/>
      <c r="X184" s="43"/>
      <c r="Y184" s="44" t="s">
        <v>149</v>
      </c>
      <c r="Z184" s="52">
        <v>1000</v>
      </c>
      <c r="AA184" s="25">
        <f>VLOOKUP(F184,Zones!$A$2:$F$15614,6,FALSE)</f>
        <v>522</v>
      </c>
      <c r="AB184" s="25">
        <f>VLOOKUP(L184,Zones!$A$2:$F$15614,6,FALSE)</f>
        <v>572</v>
      </c>
    </row>
    <row r="185" spans="2:28">
      <c r="B185" s="39">
        <v>0.52083333333333337</v>
      </c>
      <c r="C185" s="39" t="s">
        <v>421</v>
      </c>
      <c r="D185" s="40">
        <v>7</v>
      </c>
      <c r="E185" s="41">
        <v>2</v>
      </c>
      <c r="F185" s="41" t="s">
        <v>152</v>
      </c>
      <c r="G185" s="42" t="s">
        <v>148</v>
      </c>
      <c r="H185" s="41" t="s">
        <v>147</v>
      </c>
      <c r="I185" s="42">
        <v>16</v>
      </c>
      <c r="J185" s="42">
        <v>8</v>
      </c>
      <c r="K185" s="25" t="str">
        <f>VLOOKUP(J185,Key!$E$2:$F$9,2,FALSE)</f>
        <v>Others</v>
      </c>
      <c r="L185" s="41" t="s">
        <v>186</v>
      </c>
      <c r="M185" s="42" t="s">
        <v>148</v>
      </c>
      <c r="N185" s="41" t="s">
        <v>147</v>
      </c>
      <c r="O185" s="42">
        <v>16</v>
      </c>
      <c r="P185" s="42">
        <v>8</v>
      </c>
      <c r="Q185" s="25" t="str">
        <f>VLOOKUP(P185,Key!$E$2:$F$9,2,FALSE)</f>
        <v>Others</v>
      </c>
      <c r="R185" s="25" t="str">
        <f t="shared" si="5"/>
        <v>Others-Others</v>
      </c>
      <c r="S185" s="43">
        <v>15</v>
      </c>
      <c r="T185" s="43">
        <v>0.3</v>
      </c>
      <c r="U185" s="42">
        <v>6</v>
      </c>
      <c r="V185" s="42"/>
      <c r="W185" s="43"/>
      <c r="X185" s="43"/>
      <c r="Y185" s="44" t="s">
        <v>149</v>
      </c>
      <c r="Z185" s="52">
        <v>2000</v>
      </c>
      <c r="AA185" s="25">
        <f>VLOOKUP(F185,Zones!$A$2:$F$15614,6,FALSE)</f>
        <v>522</v>
      </c>
      <c r="AB185" s="25">
        <f>VLOOKUP(L185,Zones!$A$2:$F$15614,6,FALSE)</f>
        <v>565</v>
      </c>
    </row>
    <row r="186" spans="2:28">
      <c r="B186" s="39">
        <v>0.55555555555555558</v>
      </c>
      <c r="C186" s="39" t="s">
        <v>422</v>
      </c>
      <c r="D186" s="40">
        <v>11</v>
      </c>
      <c r="E186" s="41">
        <v>1</v>
      </c>
      <c r="F186" s="41" t="s">
        <v>418</v>
      </c>
      <c r="G186" s="42" t="s">
        <v>146</v>
      </c>
      <c r="H186" s="41" t="s">
        <v>147</v>
      </c>
      <c r="I186" s="42">
        <v>8</v>
      </c>
      <c r="J186" s="42">
        <v>2</v>
      </c>
      <c r="K186" s="25" t="str">
        <f>VLOOKUP(J186,Key!$E$2:$F$9,2,FALSE)</f>
        <v>Work</v>
      </c>
      <c r="L186" s="41" t="s">
        <v>423</v>
      </c>
      <c r="M186" s="42" t="s">
        <v>146</v>
      </c>
      <c r="N186" s="41" t="s">
        <v>147</v>
      </c>
      <c r="O186" s="42">
        <v>8</v>
      </c>
      <c r="P186" s="42">
        <v>2</v>
      </c>
      <c r="Q186" s="25" t="str">
        <f>VLOOKUP(P186,Key!$E$2:$F$9,2,FALSE)</f>
        <v>Work</v>
      </c>
      <c r="R186" s="25" t="str">
        <f t="shared" si="5"/>
        <v>Work-Work</v>
      </c>
      <c r="S186" s="43">
        <v>12</v>
      </c>
      <c r="T186" s="43">
        <v>0.3</v>
      </c>
      <c r="U186" s="42">
        <v>1</v>
      </c>
      <c r="V186" s="42"/>
      <c r="W186" s="43"/>
      <c r="X186" s="43"/>
      <c r="Y186" s="44" t="s">
        <v>149</v>
      </c>
      <c r="Z186" s="52">
        <v>1000</v>
      </c>
      <c r="AA186" s="25">
        <f>VLOOKUP(F186,Zones!$A$2:$F$15614,6,FALSE)</f>
        <v>579</v>
      </c>
      <c r="AB186" s="25">
        <f>VLOOKUP(L186,Zones!$A$2:$F$15614,6,FALSE)</f>
        <v>522</v>
      </c>
    </row>
    <row r="187" spans="2:28">
      <c r="B187" s="39">
        <v>0.48749999999999999</v>
      </c>
      <c r="C187" s="39" t="s">
        <v>424</v>
      </c>
      <c r="D187" s="40">
        <v>11</v>
      </c>
      <c r="E187" s="41">
        <v>1</v>
      </c>
      <c r="F187" s="41" t="s">
        <v>152</v>
      </c>
      <c r="G187" s="42" t="s">
        <v>148</v>
      </c>
      <c r="H187" s="41" t="s">
        <v>147</v>
      </c>
      <c r="I187" s="42">
        <v>16</v>
      </c>
      <c r="J187" s="42">
        <v>8</v>
      </c>
      <c r="K187" s="25" t="str">
        <f>VLOOKUP(J187,Key!$E$2:$F$9,2,FALSE)</f>
        <v>Others</v>
      </c>
      <c r="L187" s="41" t="s">
        <v>161</v>
      </c>
      <c r="M187" s="42" t="s">
        <v>148</v>
      </c>
      <c r="N187" s="41" t="s">
        <v>147</v>
      </c>
      <c r="O187" s="42">
        <v>16</v>
      </c>
      <c r="P187" s="42">
        <v>8</v>
      </c>
      <c r="Q187" s="25" t="str">
        <f>VLOOKUP(P187,Key!$E$2:$F$9,2,FALSE)</f>
        <v>Others</v>
      </c>
      <c r="R187" s="25" t="str">
        <f t="shared" si="5"/>
        <v>Others-Others</v>
      </c>
      <c r="S187" s="43"/>
      <c r="T187" s="43"/>
      <c r="U187" s="42">
        <v>1</v>
      </c>
      <c r="V187" s="42"/>
      <c r="W187" s="43"/>
      <c r="X187" s="43"/>
      <c r="Y187" s="44" t="s">
        <v>149</v>
      </c>
      <c r="Z187" s="52">
        <v>1000</v>
      </c>
      <c r="AA187" s="25">
        <f>VLOOKUP(F187,Zones!$A$2:$F$15614,6,FALSE)</f>
        <v>522</v>
      </c>
      <c r="AB187" s="25">
        <f>VLOOKUP(L187,Zones!$A$2:$F$15614,6,FALSE)</f>
        <v>522</v>
      </c>
    </row>
    <row r="188" spans="2:28">
      <c r="B188" s="39">
        <v>0.54861111111111105</v>
      </c>
      <c r="C188" s="39" t="s">
        <v>425</v>
      </c>
      <c r="D188" s="40">
        <v>1</v>
      </c>
      <c r="E188" s="41">
        <v>1</v>
      </c>
      <c r="F188" s="41" t="s">
        <v>152</v>
      </c>
      <c r="G188" s="42" t="s">
        <v>148</v>
      </c>
      <c r="H188" s="41" t="s">
        <v>147</v>
      </c>
      <c r="I188" s="42">
        <v>16</v>
      </c>
      <c r="J188" s="42">
        <v>8</v>
      </c>
      <c r="K188" s="25" t="str">
        <f>VLOOKUP(J188,Key!$E$2:$F$9,2,FALSE)</f>
        <v>Others</v>
      </c>
      <c r="L188" s="41" t="s">
        <v>161</v>
      </c>
      <c r="M188" s="42" t="s">
        <v>148</v>
      </c>
      <c r="N188" s="41" t="s">
        <v>147</v>
      </c>
      <c r="O188" s="42">
        <v>1</v>
      </c>
      <c r="P188" s="42">
        <v>1</v>
      </c>
      <c r="Q188" s="25" t="str">
        <f>VLOOKUP(P188,Key!$E$2:$F$9,2,FALSE)</f>
        <v>Home</v>
      </c>
      <c r="R188" s="25" t="str">
        <f t="shared" si="5"/>
        <v>Others-Home</v>
      </c>
      <c r="S188" s="43">
        <v>2</v>
      </c>
      <c r="T188" s="43">
        <v>0.3</v>
      </c>
      <c r="U188" s="42">
        <v>2</v>
      </c>
      <c r="V188" s="42"/>
      <c r="W188" s="43"/>
      <c r="X188" s="43"/>
      <c r="Y188" s="44" t="s">
        <v>149</v>
      </c>
      <c r="Z188" s="52">
        <v>1000</v>
      </c>
      <c r="AA188" s="25">
        <f>VLOOKUP(F188,Zones!$A$2:$F$15614,6,FALSE)</f>
        <v>522</v>
      </c>
      <c r="AB188" s="25">
        <f>VLOOKUP(L188,Zones!$A$2:$F$15614,6,FALSE)</f>
        <v>522</v>
      </c>
    </row>
    <row r="189" spans="2:28">
      <c r="B189" s="39">
        <v>0.4861111111111111</v>
      </c>
      <c r="C189" s="39" t="s">
        <v>426</v>
      </c>
      <c r="D189" s="40">
        <v>1</v>
      </c>
      <c r="E189" s="41">
        <v>4</v>
      </c>
      <c r="F189" s="41" t="s">
        <v>427</v>
      </c>
      <c r="G189" s="42" t="s">
        <v>148</v>
      </c>
      <c r="H189" s="41" t="s">
        <v>147</v>
      </c>
      <c r="I189" s="42">
        <v>1</v>
      </c>
      <c r="J189" s="42">
        <v>4</v>
      </c>
      <c r="K189" s="25" t="str">
        <f>VLOOKUP(J189,Key!$E$2:$F$9,2,FALSE)</f>
        <v>Commercial</v>
      </c>
      <c r="L189" s="41" t="s">
        <v>161</v>
      </c>
      <c r="M189" s="42" t="s">
        <v>148</v>
      </c>
      <c r="N189" s="41" t="s">
        <v>147</v>
      </c>
      <c r="O189" s="42">
        <v>16</v>
      </c>
      <c r="P189" s="42">
        <v>6</v>
      </c>
      <c r="Q189" s="25" t="str">
        <f>VLOOKUP(P189,Key!$E$2:$F$9,2,FALSE)</f>
        <v>Leisure/Social</v>
      </c>
      <c r="R189" s="25" t="str">
        <f t="shared" si="5"/>
        <v>Commercial-Leisure/Social</v>
      </c>
      <c r="S189" s="43"/>
      <c r="T189" s="43"/>
      <c r="U189" s="42">
        <v>3</v>
      </c>
      <c r="V189" s="42"/>
      <c r="W189" s="43"/>
      <c r="X189" s="43"/>
      <c r="Y189" s="44" t="s">
        <v>149</v>
      </c>
      <c r="Z189" s="52">
        <v>1000</v>
      </c>
      <c r="AA189" s="25">
        <f>VLOOKUP(F189,Zones!$A$2:$F$15614,6,FALSE)</f>
        <v>1406</v>
      </c>
      <c r="AB189" s="25">
        <f>VLOOKUP(L189,Zones!$A$2:$F$15614,6,FALSE)</f>
        <v>522</v>
      </c>
    </row>
    <row r="190" spans="2:28">
      <c r="B190" s="39">
        <v>0.53472222222222221</v>
      </c>
      <c r="C190" s="39" t="s">
        <v>428</v>
      </c>
      <c r="D190" s="40">
        <v>1</v>
      </c>
      <c r="E190" s="41">
        <v>2</v>
      </c>
      <c r="F190" s="41" t="s">
        <v>158</v>
      </c>
      <c r="G190" s="42" t="s">
        <v>146</v>
      </c>
      <c r="H190" s="41" t="s">
        <v>147</v>
      </c>
      <c r="I190" s="42">
        <v>16</v>
      </c>
      <c r="J190" s="42">
        <v>8</v>
      </c>
      <c r="K190" s="25" t="str">
        <f>VLOOKUP(J190,Key!$E$2:$F$9,2,FALSE)</f>
        <v>Others</v>
      </c>
      <c r="L190" s="41" t="s">
        <v>161</v>
      </c>
      <c r="M190" s="42" t="s">
        <v>148</v>
      </c>
      <c r="N190" s="41" t="s">
        <v>147</v>
      </c>
      <c r="O190" s="42">
        <v>16</v>
      </c>
      <c r="P190" s="42">
        <v>8</v>
      </c>
      <c r="Q190" s="25" t="str">
        <f>VLOOKUP(P190,Key!$E$2:$F$9,2,FALSE)</f>
        <v>Others</v>
      </c>
      <c r="R190" s="25" t="str">
        <f t="shared" si="5"/>
        <v>Others-Others</v>
      </c>
      <c r="S190" s="43"/>
      <c r="T190" s="43">
        <v>0.8</v>
      </c>
      <c r="U190" s="42">
        <v>6</v>
      </c>
      <c r="V190" s="42"/>
      <c r="W190" s="43"/>
      <c r="X190" s="43"/>
      <c r="Y190" s="44" t="s">
        <v>149</v>
      </c>
      <c r="Z190" s="52">
        <v>1000</v>
      </c>
      <c r="AA190" s="25">
        <f>VLOOKUP(F190,Zones!$A$2:$F$15614,6,FALSE)</f>
        <v>521</v>
      </c>
      <c r="AB190" s="25">
        <f>VLOOKUP(L190,Zones!$A$2:$F$15614,6,FALSE)</f>
        <v>522</v>
      </c>
    </row>
    <row r="191" spans="2:28">
      <c r="B191" s="39">
        <v>0.51527777777777783</v>
      </c>
      <c r="C191" s="39" t="s">
        <v>429</v>
      </c>
      <c r="D191" s="40">
        <v>1</v>
      </c>
      <c r="E191" s="41">
        <v>2</v>
      </c>
      <c r="F191" s="41" t="s">
        <v>153</v>
      </c>
      <c r="G191" s="42" t="s">
        <v>148</v>
      </c>
      <c r="H191" s="41" t="s">
        <v>147</v>
      </c>
      <c r="I191" s="42">
        <v>16</v>
      </c>
      <c r="J191" s="42">
        <v>8</v>
      </c>
      <c r="K191" s="25" t="str">
        <f>VLOOKUP(J191,Key!$E$2:$F$9,2,FALSE)</f>
        <v>Others</v>
      </c>
      <c r="L191" s="41" t="s">
        <v>161</v>
      </c>
      <c r="M191" s="42" t="s">
        <v>148</v>
      </c>
      <c r="N191" s="41" t="s">
        <v>147</v>
      </c>
      <c r="O191" s="42">
        <v>1</v>
      </c>
      <c r="P191" s="42">
        <v>1</v>
      </c>
      <c r="Q191" s="25" t="str">
        <f>VLOOKUP(P191,Key!$E$2:$F$9,2,FALSE)</f>
        <v>Home</v>
      </c>
      <c r="R191" s="25" t="str">
        <f t="shared" si="5"/>
        <v>Others-Home</v>
      </c>
      <c r="S191" s="43"/>
      <c r="T191" s="43">
        <v>0.8</v>
      </c>
      <c r="U191" s="42">
        <v>2</v>
      </c>
      <c r="V191" s="42"/>
      <c r="W191" s="43"/>
      <c r="X191" s="43"/>
      <c r="Y191" s="44" t="s">
        <v>149</v>
      </c>
      <c r="Z191" s="52">
        <v>1000</v>
      </c>
      <c r="AA191" s="25">
        <f>VLOOKUP(F191,Zones!$A$2:$F$15614,6,FALSE)</f>
        <v>1387</v>
      </c>
      <c r="AB191" s="25">
        <f>VLOOKUP(L191,Zones!$A$2:$F$15614,6,FALSE)</f>
        <v>522</v>
      </c>
    </row>
    <row r="192" spans="2:28">
      <c r="B192" s="39">
        <v>0.42708333333333331</v>
      </c>
      <c r="C192" s="39" t="s">
        <v>430</v>
      </c>
      <c r="D192" s="40">
        <v>1</v>
      </c>
      <c r="E192" s="41">
        <v>4</v>
      </c>
      <c r="F192" s="41" t="s">
        <v>431</v>
      </c>
      <c r="G192" s="42" t="s">
        <v>148</v>
      </c>
      <c r="H192" s="41" t="s">
        <v>147</v>
      </c>
      <c r="I192" s="42">
        <v>1</v>
      </c>
      <c r="J192" s="42">
        <v>1</v>
      </c>
      <c r="K192" s="25" t="str">
        <f>VLOOKUP(J192,Key!$E$2:$F$9,2,FALSE)</f>
        <v>Home</v>
      </c>
      <c r="L192" s="41" t="s">
        <v>202</v>
      </c>
      <c r="M192" s="42" t="s">
        <v>148</v>
      </c>
      <c r="N192" s="41" t="s">
        <v>147</v>
      </c>
      <c r="O192" s="42">
        <v>16</v>
      </c>
      <c r="P192" s="42">
        <v>6</v>
      </c>
      <c r="Q192" s="25" t="str">
        <f>VLOOKUP(P192,Key!$E$2:$F$9,2,FALSE)</f>
        <v>Leisure/Social</v>
      </c>
      <c r="R192" s="25" t="str">
        <f t="shared" si="5"/>
        <v>Home-Leisure/Social</v>
      </c>
      <c r="S192" s="43">
        <v>3.2</v>
      </c>
      <c r="T192" s="43">
        <v>0.5</v>
      </c>
      <c r="U192" s="42">
        <v>5</v>
      </c>
      <c r="V192" s="42"/>
      <c r="W192" s="43"/>
      <c r="X192" s="43"/>
      <c r="Y192" s="44" t="s">
        <v>149</v>
      </c>
      <c r="Z192" s="52">
        <v>1000</v>
      </c>
      <c r="AA192" s="25">
        <f>VLOOKUP(F192,Zones!$A$2:$F$15614,6,FALSE)</f>
        <v>906</v>
      </c>
      <c r="AB192" s="25">
        <f>VLOOKUP(L192,Zones!$A$2:$F$15614,6,FALSE)</f>
        <v>1398</v>
      </c>
    </row>
    <row r="193" spans="1:28">
      <c r="B193" s="39">
        <v>0.42986111111111108</v>
      </c>
      <c r="C193" s="39" t="s">
        <v>432</v>
      </c>
      <c r="D193" s="40">
        <v>1</v>
      </c>
      <c r="E193" s="41">
        <v>2</v>
      </c>
      <c r="F193" s="41" t="s">
        <v>433</v>
      </c>
      <c r="G193" s="42" t="s">
        <v>146</v>
      </c>
      <c r="H193" s="41" t="s">
        <v>147</v>
      </c>
      <c r="I193" s="42">
        <v>1</v>
      </c>
      <c r="J193" s="42">
        <v>1</v>
      </c>
      <c r="K193" s="25" t="str">
        <f>VLOOKUP(J193,Key!$E$2:$F$9,2,FALSE)</f>
        <v>Home</v>
      </c>
      <c r="L193" s="41" t="s">
        <v>152</v>
      </c>
      <c r="M193" s="42" t="s">
        <v>148</v>
      </c>
      <c r="N193" s="41" t="s">
        <v>147</v>
      </c>
      <c r="O193" s="42">
        <v>10</v>
      </c>
      <c r="P193" s="42">
        <v>4</v>
      </c>
      <c r="Q193" s="25" t="str">
        <f>VLOOKUP(P193,Key!$E$2:$F$9,2,FALSE)</f>
        <v>Commercial</v>
      </c>
      <c r="R193" s="25" t="str">
        <f t="shared" si="5"/>
        <v>Home-Commercial</v>
      </c>
      <c r="S193" s="43"/>
      <c r="T193" s="43">
        <v>0.1</v>
      </c>
      <c r="U193" s="42">
        <v>2</v>
      </c>
      <c r="V193" s="42"/>
      <c r="W193" s="43"/>
      <c r="X193" s="43"/>
      <c r="Y193" s="44" t="s">
        <v>149</v>
      </c>
      <c r="Z193" s="52">
        <v>5000</v>
      </c>
      <c r="AA193" s="25">
        <f>VLOOKUP(F193,Zones!$A$2:$F$15614,6,FALSE)</f>
        <v>519</v>
      </c>
      <c r="AB193" s="25">
        <f>VLOOKUP(L193,Zones!$A$2:$F$15614,6,FALSE)</f>
        <v>522</v>
      </c>
    </row>
    <row r="194" spans="1:28">
      <c r="B194" s="39">
        <v>0.4201388888888889</v>
      </c>
      <c r="C194" s="39" t="s">
        <v>435</v>
      </c>
      <c r="D194" s="40">
        <v>1</v>
      </c>
      <c r="E194" s="41">
        <v>2</v>
      </c>
      <c r="F194" s="41" t="s">
        <v>207</v>
      </c>
      <c r="G194" s="42" t="s">
        <v>146</v>
      </c>
      <c r="H194" s="41" t="s">
        <v>147</v>
      </c>
      <c r="I194" s="42">
        <v>16</v>
      </c>
      <c r="J194" s="42">
        <v>8</v>
      </c>
      <c r="K194" s="25" t="str">
        <f>VLOOKUP(J194,Key!$E$2:$F$9,2,FALSE)</f>
        <v>Others</v>
      </c>
      <c r="L194" s="41" t="s">
        <v>153</v>
      </c>
      <c r="M194" s="42" t="s">
        <v>148</v>
      </c>
      <c r="N194" s="41" t="s">
        <v>147</v>
      </c>
      <c r="O194" s="42">
        <v>16</v>
      </c>
      <c r="P194" s="42">
        <v>6</v>
      </c>
      <c r="Q194" s="25" t="str">
        <f>VLOOKUP(P194,Key!$E$2:$F$9,2,FALSE)</f>
        <v>Leisure/Social</v>
      </c>
      <c r="R194" s="25" t="str">
        <f t="shared" si="5"/>
        <v>Others-Leisure/Social</v>
      </c>
      <c r="S194" s="43">
        <v>20</v>
      </c>
      <c r="T194" s="43">
        <v>0.6</v>
      </c>
      <c r="U194" s="42">
        <v>2</v>
      </c>
      <c r="V194" s="42"/>
      <c r="W194" s="43"/>
      <c r="X194" s="43"/>
      <c r="Y194" s="44" t="s">
        <v>149</v>
      </c>
      <c r="Z194" s="52">
        <v>1000</v>
      </c>
      <c r="AA194" s="25">
        <f>VLOOKUP(F194,Zones!$A$2:$F$15614,6,FALSE)</f>
        <v>522</v>
      </c>
      <c r="AB194" s="25">
        <f>VLOOKUP(L194,Zones!$A$2:$F$15614,6,FALSE)</f>
        <v>1387</v>
      </c>
    </row>
    <row r="195" spans="1:28">
      <c r="B195" s="39">
        <v>0.40138888888888885</v>
      </c>
      <c r="C195" s="39" t="s">
        <v>436</v>
      </c>
      <c r="D195" s="40">
        <v>5</v>
      </c>
      <c r="E195" s="41">
        <v>10</v>
      </c>
      <c r="F195" s="41" t="s">
        <v>152</v>
      </c>
      <c r="G195" s="42" t="s">
        <v>148</v>
      </c>
      <c r="H195" s="41" t="s">
        <v>147</v>
      </c>
      <c r="I195" s="42">
        <v>6</v>
      </c>
      <c r="J195" s="42">
        <v>2</v>
      </c>
      <c r="K195" s="25" t="str">
        <f>VLOOKUP(J195,Key!$E$2:$F$9,2,FALSE)</f>
        <v>Work</v>
      </c>
      <c r="L195" s="41" t="s">
        <v>158</v>
      </c>
      <c r="M195" s="42" t="s">
        <v>146</v>
      </c>
      <c r="N195" s="41" t="s">
        <v>147</v>
      </c>
      <c r="O195" s="42">
        <v>6</v>
      </c>
      <c r="P195" s="42">
        <v>2</v>
      </c>
      <c r="Q195" s="25" t="str">
        <f>VLOOKUP(P195,Key!$E$2:$F$9,2,FALSE)</f>
        <v>Work</v>
      </c>
      <c r="R195" s="25" t="str">
        <f t="shared" si="5"/>
        <v>Work-Work</v>
      </c>
      <c r="S195" s="43">
        <v>11.26</v>
      </c>
      <c r="T195" s="43">
        <v>2</v>
      </c>
      <c r="U195" s="42">
        <v>2</v>
      </c>
      <c r="V195" s="42"/>
      <c r="W195" s="43"/>
      <c r="X195" s="43"/>
      <c r="Y195" s="44" t="s">
        <v>149</v>
      </c>
      <c r="Z195" s="52">
        <v>1000</v>
      </c>
      <c r="AA195" s="25">
        <f>VLOOKUP(F195,Zones!$A$2:$F$15614,6,FALSE)</f>
        <v>522</v>
      </c>
      <c r="AB195" s="25">
        <f>VLOOKUP(L195,Zones!$A$2:$F$15614,6,FALSE)</f>
        <v>521</v>
      </c>
    </row>
    <row r="196" spans="1:28">
      <c r="B196" s="39" t="s">
        <v>493</v>
      </c>
      <c r="C196" s="39" t="s">
        <v>437</v>
      </c>
      <c r="D196" s="40">
        <v>4</v>
      </c>
      <c r="E196" s="41">
        <v>10</v>
      </c>
      <c r="F196" s="41" t="s">
        <v>152</v>
      </c>
      <c r="G196" s="42" t="s">
        <v>148</v>
      </c>
      <c r="H196" s="41" t="s">
        <v>147</v>
      </c>
      <c r="I196" s="42">
        <v>6</v>
      </c>
      <c r="J196" s="42">
        <v>2</v>
      </c>
      <c r="K196" s="25" t="str">
        <f>VLOOKUP(J196,Key!$E$2:$F$9,2,FALSE)</f>
        <v>Work</v>
      </c>
      <c r="L196" s="41" t="s">
        <v>208</v>
      </c>
      <c r="M196" s="42" t="s">
        <v>146</v>
      </c>
      <c r="N196" s="41" t="s">
        <v>147</v>
      </c>
      <c r="O196" s="42">
        <v>6</v>
      </c>
      <c r="P196" s="42">
        <v>2</v>
      </c>
      <c r="Q196" s="25" t="str">
        <f>VLOOKUP(P196,Key!$E$2:$F$9,2,FALSE)</f>
        <v>Work</v>
      </c>
      <c r="R196" s="25" t="str">
        <f t="shared" si="5"/>
        <v>Work-Work</v>
      </c>
      <c r="S196" s="43">
        <v>10</v>
      </c>
      <c r="T196" s="43">
        <v>0.5</v>
      </c>
      <c r="U196" s="42">
        <v>2</v>
      </c>
      <c r="V196" s="42"/>
      <c r="W196" s="43"/>
      <c r="X196" s="43"/>
      <c r="Y196" s="44" t="s">
        <v>149</v>
      </c>
      <c r="Z196" s="52">
        <v>2000</v>
      </c>
      <c r="AA196" s="25">
        <f>VLOOKUP(F196,Zones!$A$2:$F$15614,6,FALSE)</f>
        <v>522</v>
      </c>
      <c r="AB196" s="25">
        <f>VLOOKUP(L196,Zones!$A$2:$F$15614,6,FALSE)</f>
        <v>535</v>
      </c>
    </row>
    <row r="197" spans="1:28">
      <c r="A197" t="s">
        <v>2415</v>
      </c>
      <c r="B197" s="39">
        <v>0.39513888888888887</v>
      </c>
      <c r="C197" s="39" t="s">
        <v>438</v>
      </c>
      <c r="D197" s="40">
        <v>1</v>
      </c>
      <c r="E197" s="41">
        <v>2</v>
      </c>
      <c r="F197" s="41" t="s">
        <v>163</v>
      </c>
      <c r="G197" s="42" t="s">
        <v>148</v>
      </c>
      <c r="H197" s="41" t="s">
        <v>147</v>
      </c>
      <c r="I197" s="42">
        <v>1</v>
      </c>
      <c r="J197" s="42">
        <v>1</v>
      </c>
      <c r="K197" s="25" t="str">
        <f>VLOOKUP(J197,Key!$E$2:$F$9,2,FALSE)</f>
        <v>Home</v>
      </c>
      <c r="L197" s="41" t="s">
        <v>440</v>
      </c>
      <c r="M197" s="42" t="s">
        <v>148</v>
      </c>
      <c r="N197" s="41" t="s">
        <v>147</v>
      </c>
      <c r="O197" s="42">
        <v>2</v>
      </c>
      <c r="P197" s="42">
        <v>2</v>
      </c>
      <c r="Q197" s="25" t="str">
        <f>VLOOKUP(P197,Key!$E$2:$F$9,2,FALSE)</f>
        <v>Work</v>
      </c>
      <c r="R197" s="25" t="str">
        <f t="shared" si="5"/>
        <v>Home-Work</v>
      </c>
      <c r="S197" s="43">
        <v>10</v>
      </c>
      <c r="T197" s="43">
        <v>0.3</v>
      </c>
      <c r="U197" s="42">
        <v>6</v>
      </c>
      <c r="V197" s="42"/>
      <c r="W197" s="43"/>
      <c r="X197" s="43"/>
      <c r="Y197" s="44" t="s">
        <v>149</v>
      </c>
      <c r="Z197" s="52">
        <v>1000</v>
      </c>
      <c r="AA197" s="25">
        <f>VLOOKUP(F197,Zones!$A$2:$F$15614,6,FALSE)</f>
        <v>1407</v>
      </c>
      <c r="AB197" s="25">
        <f>VLOOKUP(L197,Zones!$A$2:$F$15614,6,FALSE)</f>
        <v>522</v>
      </c>
    </row>
    <row r="198" spans="1:28">
      <c r="B198" s="39">
        <v>0.4375</v>
      </c>
      <c r="C198" s="39" t="s">
        <v>441</v>
      </c>
      <c r="D198" s="40">
        <v>1</v>
      </c>
      <c r="E198" s="41">
        <v>1</v>
      </c>
      <c r="F198" s="41" t="s">
        <v>442</v>
      </c>
      <c r="G198" s="42" t="s">
        <v>146</v>
      </c>
      <c r="H198" s="41" t="s">
        <v>147</v>
      </c>
      <c r="I198" s="42">
        <v>1</v>
      </c>
      <c r="J198" s="42">
        <v>1</v>
      </c>
      <c r="K198" s="25" t="str">
        <f>VLOOKUP(J198,Key!$E$2:$F$9,2,FALSE)</f>
        <v>Home</v>
      </c>
      <c r="L198" s="41" t="s">
        <v>161</v>
      </c>
      <c r="M198" s="42" t="s">
        <v>148</v>
      </c>
      <c r="N198" s="41" t="s">
        <v>147</v>
      </c>
      <c r="O198" s="42">
        <v>16</v>
      </c>
      <c r="P198" s="42">
        <v>8</v>
      </c>
      <c r="Q198" s="25" t="str">
        <f>VLOOKUP(P198,Key!$E$2:$F$9,2,FALSE)</f>
        <v>Others</v>
      </c>
      <c r="R198" s="25" t="str">
        <f t="shared" si="5"/>
        <v>Home-Others</v>
      </c>
      <c r="S198" s="43">
        <v>26</v>
      </c>
      <c r="T198" s="43">
        <v>0.6</v>
      </c>
      <c r="U198" s="42">
        <v>1</v>
      </c>
      <c r="V198" s="42"/>
      <c r="W198" s="43"/>
      <c r="X198" s="43"/>
      <c r="Y198" s="44" t="s">
        <v>149</v>
      </c>
      <c r="Z198" s="52">
        <v>2000</v>
      </c>
      <c r="AA198" s="25">
        <f>VLOOKUP(F198,Zones!$A$2:$F$15614,6,FALSE)</f>
        <v>517</v>
      </c>
      <c r="AB198" s="25">
        <f>VLOOKUP(L198,Zones!$A$2:$F$15614,6,FALSE)</f>
        <v>522</v>
      </c>
    </row>
    <row r="199" spans="1:28">
      <c r="B199" s="39">
        <v>0.39027777777777778</v>
      </c>
      <c r="C199" s="39" t="s">
        <v>443</v>
      </c>
      <c r="D199" s="40">
        <v>1</v>
      </c>
      <c r="E199" s="41">
        <v>1</v>
      </c>
      <c r="F199" s="41" t="s">
        <v>207</v>
      </c>
      <c r="G199" s="42" t="s">
        <v>146</v>
      </c>
      <c r="H199" s="41" t="s">
        <v>147</v>
      </c>
      <c r="I199" s="42">
        <v>1</v>
      </c>
      <c r="J199" s="42">
        <v>1</v>
      </c>
      <c r="K199" s="25" t="str">
        <f>VLOOKUP(J199,Key!$E$2:$F$9,2,FALSE)</f>
        <v>Home</v>
      </c>
      <c r="L199" s="41" t="s">
        <v>444</v>
      </c>
      <c r="M199" s="42" t="s">
        <v>148</v>
      </c>
      <c r="N199" s="41" t="s">
        <v>147</v>
      </c>
      <c r="O199" s="42">
        <v>16</v>
      </c>
      <c r="P199" s="42">
        <v>6</v>
      </c>
      <c r="Q199" s="25" t="str">
        <f>VLOOKUP(P199,Key!$E$2:$F$9,2,FALSE)</f>
        <v>Leisure/Social</v>
      </c>
      <c r="R199" s="25" t="str">
        <f t="shared" si="5"/>
        <v>Home-Leisure/Social</v>
      </c>
      <c r="S199" s="43">
        <v>4</v>
      </c>
      <c r="T199" s="43">
        <v>0.3</v>
      </c>
      <c r="U199" s="42">
        <v>6</v>
      </c>
      <c r="V199" s="42"/>
      <c r="W199" s="43"/>
      <c r="X199" s="43"/>
      <c r="Y199" s="44" t="s">
        <v>149</v>
      </c>
      <c r="Z199" s="52">
        <v>1000</v>
      </c>
      <c r="AA199" s="25">
        <f>VLOOKUP(F199,Zones!$A$2:$F$15614,6,FALSE)</f>
        <v>522</v>
      </c>
      <c r="AB199" s="25">
        <f>VLOOKUP(L199,Zones!$A$2:$F$15614,6,FALSE)</f>
        <v>1395</v>
      </c>
    </row>
    <row r="200" spans="1:28">
      <c r="B200" s="39">
        <v>0.44305555555555554</v>
      </c>
      <c r="C200" s="39" t="s">
        <v>445</v>
      </c>
      <c r="D200" s="40">
        <v>7</v>
      </c>
      <c r="E200" s="41">
        <v>2</v>
      </c>
      <c r="F200" s="41" t="s">
        <v>179</v>
      </c>
      <c r="G200" s="42" t="s">
        <v>148</v>
      </c>
      <c r="H200" s="41" t="s">
        <v>147</v>
      </c>
      <c r="I200" s="42">
        <v>16</v>
      </c>
      <c r="J200" s="42">
        <v>8</v>
      </c>
      <c r="K200" s="25" t="str">
        <f>VLOOKUP(J200,Key!$E$2:$F$9,2,FALSE)</f>
        <v>Others</v>
      </c>
      <c r="L200" s="41" t="s">
        <v>158</v>
      </c>
      <c r="M200" s="42" t="s">
        <v>146</v>
      </c>
      <c r="N200" s="41" t="s">
        <v>147</v>
      </c>
      <c r="O200" s="42">
        <v>11</v>
      </c>
      <c r="P200" s="42">
        <v>4</v>
      </c>
      <c r="Q200" s="25" t="str">
        <f>VLOOKUP(P200,Key!$E$2:$F$9,2,FALSE)</f>
        <v>Commercial</v>
      </c>
      <c r="R200" s="25" t="str">
        <f t="shared" si="5"/>
        <v>Others-Commercial</v>
      </c>
      <c r="S200" s="43"/>
      <c r="T200" s="43">
        <v>0.6</v>
      </c>
      <c r="U200" s="42">
        <v>6</v>
      </c>
      <c r="V200" s="42"/>
      <c r="W200" s="43"/>
      <c r="X200" s="43"/>
      <c r="Y200" s="44" t="s">
        <v>149</v>
      </c>
      <c r="Z200" s="52">
        <v>1000</v>
      </c>
      <c r="AA200" s="25">
        <f>VLOOKUP(F200,Zones!$A$2:$F$15614,6,FALSE)</f>
        <v>517</v>
      </c>
      <c r="AB200" s="25">
        <f>VLOOKUP(L200,Zones!$A$2:$F$15614,6,FALSE)</f>
        <v>521</v>
      </c>
    </row>
    <row r="201" spans="1:28">
      <c r="B201" s="39">
        <v>0.37986111111111115</v>
      </c>
      <c r="C201" s="39" t="s">
        <v>446</v>
      </c>
      <c r="D201" s="40">
        <v>1</v>
      </c>
      <c r="E201" s="41">
        <v>1</v>
      </c>
      <c r="F201" s="41" t="s">
        <v>447</v>
      </c>
      <c r="G201" s="42" t="s">
        <v>146</v>
      </c>
      <c r="H201" s="41" t="s">
        <v>147</v>
      </c>
      <c r="I201" s="42">
        <v>16</v>
      </c>
      <c r="J201" s="42">
        <v>8</v>
      </c>
      <c r="K201" s="25" t="str">
        <f>VLOOKUP(J201,Key!$E$2:$F$9,2,FALSE)</f>
        <v>Others</v>
      </c>
      <c r="L201" s="41" t="s">
        <v>287</v>
      </c>
      <c r="M201" s="42" t="s">
        <v>148</v>
      </c>
      <c r="N201" s="41" t="s">
        <v>147</v>
      </c>
      <c r="O201" s="42">
        <v>2</v>
      </c>
      <c r="P201" s="42">
        <v>2</v>
      </c>
      <c r="Q201" s="25" t="str">
        <f>VLOOKUP(P201,Key!$E$2:$F$9,2,FALSE)</f>
        <v>Work</v>
      </c>
      <c r="R201" s="25" t="str">
        <f t="shared" si="5"/>
        <v>Others-Work</v>
      </c>
      <c r="S201" s="43">
        <v>15</v>
      </c>
      <c r="T201" s="43">
        <v>0.3</v>
      </c>
      <c r="U201" s="42">
        <v>6</v>
      </c>
      <c r="V201" s="42"/>
      <c r="W201" s="43"/>
      <c r="X201" s="43"/>
      <c r="Y201" s="44" t="s">
        <v>149</v>
      </c>
      <c r="Z201" s="52">
        <v>2000</v>
      </c>
      <c r="AA201" s="25">
        <f>VLOOKUP(F201,Zones!$A$2:$F$15614,6,FALSE)</f>
        <v>525</v>
      </c>
      <c r="AB201" s="25">
        <f>VLOOKUP(L201,Zones!$A$2:$F$15614,6,FALSE)</f>
        <v>746</v>
      </c>
    </row>
    <row r="202" spans="1:28">
      <c r="B202" s="39">
        <v>0.37291666666666662</v>
      </c>
      <c r="C202" s="39" t="s">
        <v>448</v>
      </c>
      <c r="D202" s="40">
        <v>11</v>
      </c>
      <c r="E202" s="41">
        <v>1</v>
      </c>
      <c r="F202" s="41" t="s">
        <v>152</v>
      </c>
      <c r="G202" s="42" t="s">
        <v>148</v>
      </c>
      <c r="H202" s="41" t="s">
        <v>147</v>
      </c>
      <c r="I202" s="42">
        <v>16</v>
      </c>
      <c r="J202" s="42">
        <v>8</v>
      </c>
      <c r="K202" s="25" t="str">
        <f>VLOOKUP(J202,Key!$E$2:$F$9,2,FALSE)</f>
        <v>Others</v>
      </c>
      <c r="L202" s="41" t="s">
        <v>161</v>
      </c>
      <c r="M202" s="42" t="s">
        <v>148</v>
      </c>
      <c r="N202" s="41" t="s">
        <v>147</v>
      </c>
      <c r="O202" s="42">
        <v>16</v>
      </c>
      <c r="P202" s="42">
        <v>8</v>
      </c>
      <c r="Q202" s="25" t="str">
        <f>VLOOKUP(P202,Key!$E$2:$F$9,2,FALSE)</f>
        <v>Others</v>
      </c>
      <c r="R202" s="25" t="str">
        <f t="shared" si="5"/>
        <v>Others-Others</v>
      </c>
      <c r="S202" s="43">
        <v>1.6</v>
      </c>
      <c r="T202" s="43">
        <v>0.3</v>
      </c>
      <c r="U202" s="42">
        <v>2</v>
      </c>
      <c r="V202" s="42"/>
      <c r="W202" s="43"/>
      <c r="X202" s="43"/>
      <c r="Y202" s="44" t="s">
        <v>149</v>
      </c>
      <c r="Z202" s="52">
        <v>1000</v>
      </c>
      <c r="AA202" s="25">
        <f>VLOOKUP(F202,Zones!$A$2:$F$15614,6,FALSE)</f>
        <v>522</v>
      </c>
      <c r="AB202" s="25">
        <f>VLOOKUP(L202,Zones!$A$2:$F$15614,6,FALSE)</f>
        <v>522</v>
      </c>
    </row>
    <row r="203" spans="1:28">
      <c r="B203" s="39">
        <v>0.49722222222222223</v>
      </c>
      <c r="C203" s="39" t="s">
        <v>449</v>
      </c>
      <c r="D203" s="40">
        <v>1</v>
      </c>
      <c r="E203" s="41">
        <v>2</v>
      </c>
      <c r="F203" s="41" t="s">
        <v>152</v>
      </c>
      <c r="G203" s="42" t="s">
        <v>148</v>
      </c>
      <c r="H203" s="41" t="s">
        <v>147</v>
      </c>
      <c r="I203" s="42">
        <v>16</v>
      </c>
      <c r="J203" s="42">
        <v>8</v>
      </c>
      <c r="K203" s="25" t="str">
        <f>VLOOKUP(J203,Key!$E$2:$F$9,2,FALSE)</f>
        <v>Others</v>
      </c>
      <c r="L203" s="41" t="s">
        <v>161</v>
      </c>
      <c r="M203" s="42" t="s">
        <v>148</v>
      </c>
      <c r="N203" s="41" t="s">
        <v>147</v>
      </c>
      <c r="O203" s="42">
        <v>16</v>
      </c>
      <c r="P203" s="42">
        <v>8</v>
      </c>
      <c r="Q203" s="25" t="str">
        <f>VLOOKUP(P203,Key!$E$2:$F$9,2,FALSE)</f>
        <v>Others</v>
      </c>
      <c r="R203" s="25" t="str">
        <f t="shared" si="5"/>
        <v>Others-Others</v>
      </c>
      <c r="S203" s="43">
        <v>5</v>
      </c>
      <c r="T203" s="43">
        <v>0.3</v>
      </c>
      <c r="U203" s="42">
        <v>2</v>
      </c>
      <c r="V203" s="42"/>
      <c r="W203" s="43"/>
      <c r="X203" s="43"/>
      <c r="Y203" s="44" t="s">
        <v>149</v>
      </c>
      <c r="Z203" s="52">
        <v>1000</v>
      </c>
      <c r="AA203" s="25">
        <f>VLOOKUP(F203,Zones!$A$2:$F$15614,6,FALSE)</f>
        <v>522</v>
      </c>
      <c r="AB203" s="25">
        <f>VLOOKUP(L203,Zones!$A$2:$F$15614,6,FALSE)</f>
        <v>522</v>
      </c>
    </row>
    <row r="204" spans="1:28">
      <c r="B204" s="39">
        <v>0.3444444444444445</v>
      </c>
      <c r="C204" s="39" t="s">
        <v>450</v>
      </c>
      <c r="D204" s="40">
        <v>11</v>
      </c>
      <c r="E204" s="41">
        <v>1</v>
      </c>
      <c r="F204" s="41" t="s">
        <v>152</v>
      </c>
      <c r="G204" s="42" t="s">
        <v>148</v>
      </c>
      <c r="H204" s="41" t="s">
        <v>147</v>
      </c>
      <c r="I204" s="42">
        <v>8</v>
      </c>
      <c r="J204" s="42">
        <v>2</v>
      </c>
      <c r="K204" s="25" t="str">
        <f>VLOOKUP(J204,Key!$E$2:$F$9,2,FALSE)</f>
        <v>Work</v>
      </c>
      <c r="L204" s="41" t="s">
        <v>161</v>
      </c>
      <c r="M204" s="42" t="s">
        <v>148</v>
      </c>
      <c r="N204" s="41" t="s">
        <v>147</v>
      </c>
      <c r="O204" s="42">
        <v>8</v>
      </c>
      <c r="P204" s="42">
        <v>2</v>
      </c>
      <c r="Q204" s="25" t="str">
        <f>VLOOKUP(P204,Key!$E$2:$F$9,2,FALSE)</f>
        <v>Work</v>
      </c>
      <c r="R204" s="25" t="str">
        <f t="shared" si="5"/>
        <v>Work-Work</v>
      </c>
      <c r="S204" s="43">
        <v>3</v>
      </c>
      <c r="T204" s="43">
        <v>0.1</v>
      </c>
      <c r="U204" s="42">
        <v>1</v>
      </c>
      <c r="V204" s="42"/>
      <c r="W204" s="43"/>
      <c r="X204" s="43"/>
      <c r="Y204" s="44" t="s">
        <v>149</v>
      </c>
      <c r="Z204" s="52">
        <v>2000</v>
      </c>
      <c r="AA204" s="25">
        <f>VLOOKUP(F204,Zones!$A$2:$F$15614,6,FALSE)</f>
        <v>522</v>
      </c>
      <c r="AB204" s="25">
        <f>VLOOKUP(L204,Zones!$A$2:$F$15614,6,FALSE)</f>
        <v>522</v>
      </c>
    </row>
    <row r="205" spans="1:28">
      <c r="B205" s="39">
        <v>0.50069444444444444</v>
      </c>
      <c r="C205" s="39" t="s">
        <v>451</v>
      </c>
      <c r="D205" s="40">
        <v>1</v>
      </c>
      <c r="E205" s="41">
        <v>1</v>
      </c>
      <c r="F205" s="41" t="s">
        <v>2417</v>
      </c>
      <c r="G205" s="42" t="s">
        <v>148</v>
      </c>
      <c r="H205" s="41" t="s">
        <v>147</v>
      </c>
      <c r="I205" s="42">
        <v>1</v>
      </c>
      <c r="J205" s="42">
        <v>1</v>
      </c>
      <c r="K205" s="25" t="str">
        <f>VLOOKUP(J205,Key!$E$2:$F$9,2,FALSE)</f>
        <v>Home</v>
      </c>
      <c r="L205" s="41" t="s">
        <v>161</v>
      </c>
      <c r="M205" s="42" t="s">
        <v>148</v>
      </c>
      <c r="N205" s="41" t="s">
        <v>147</v>
      </c>
      <c r="O205" s="42">
        <v>16</v>
      </c>
      <c r="P205" s="42">
        <v>8</v>
      </c>
      <c r="Q205" s="25" t="str">
        <f>VLOOKUP(P205,Key!$E$2:$F$9,2,FALSE)</f>
        <v>Others</v>
      </c>
      <c r="R205" s="25" t="str">
        <f t="shared" si="5"/>
        <v>Home-Others</v>
      </c>
      <c r="S205" s="43">
        <v>1.6</v>
      </c>
      <c r="T205" s="43">
        <v>1</v>
      </c>
      <c r="U205" s="42">
        <v>2</v>
      </c>
      <c r="V205" s="42"/>
      <c r="W205" s="43"/>
      <c r="X205" s="43"/>
      <c r="Y205" s="44" t="s">
        <v>149</v>
      </c>
      <c r="Z205" s="52">
        <v>1000</v>
      </c>
      <c r="AA205" s="25">
        <f>VLOOKUP(F205,Zones!$A$2:$F$15614,6,FALSE)</f>
        <v>1409</v>
      </c>
      <c r="AB205" s="25">
        <f>VLOOKUP(L205,Zones!$A$2:$F$15614,6,FALSE)</f>
        <v>522</v>
      </c>
    </row>
    <row r="206" spans="1:28">
      <c r="B206" s="39">
        <v>0.34375</v>
      </c>
      <c r="C206" s="39" t="s">
        <v>452</v>
      </c>
      <c r="D206" s="40">
        <v>7</v>
      </c>
      <c r="E206" s="41">
        <v>1</v>
      </c>
      <c r="F206" s="41" t="s">
        <v>152</v>
      </c>
      <c r="G206" s="42" t="s">
        <v>148</v>
      </c>
      <c r="H206" s="41" t="s">
        <v>147</v>
      </c>
      <c r="I206" s="42">
        <v>16</v>
      </c>
      <c r="J206" s="42">
        <v>8</v>
      </c>
      <c r="K206" s="25" t="str">
        <f>VLOOKUP(J206,Key!$E$2:$F$9,2,FALSE)</f>
        <v>Others</v>
      </c>
      <c r="L206" s="41" t="s">
        <v>202</v>
      </c>
      <c r="M206" s="42" t="s">
        <v>148</v>
      </c>
      <c r="N206" s="41" t="s">
        <v>147</v>
      </c>
      <c r="O206" s="42">
        <v>16</v>
      </c>
      <c r="P206" s="42">
        <v>8</v>
      </c>
      <c r="Q206" s="25" t="str">
        <f>VLOOKUP(P206,Key!$E$2:$F$9,2,FALSE)</f>
        <v>Others</v>
      </c>
      <c r="R206" s="25" t="str">
        <f t="shared" si="5"/>
        <v>Others-Others</v>
      </c>
      <c r="S206" s="43">
        <v>7</v>
      </c>
      <c r="T206" s="43">
        <v>0.3</v>
      </c>
      <c r="U206" s="42">
        <v>6</v>
      </c>
      <c r="V206" s="42"/>
      <c r="W206" s="43"/>
      <c r="X206" s="43"/>
      <c r="Y206" s="44" t="s">
        <v>149</v>
      </c>
      <c r="Z206" s="52">
        <v>1000</v>
      </c>
      <c r="AA206" s="25">
        <f>VLOOKUP(F206,Zones!$A$2:$F$15614,6,FALSE)</f>
        <v>522</v>
      </c>
      <c r="AB206" s="25">
        <f>VLOOKUP(L206,Zones!$A$2:$F$15614,6,FALSE)</f>
        <v>1398</v>
      </c>
    </row>
    <row r="207" spans="1:28">
      <c r="B207" s="39">
        <v>0.50694444444444442</v>
      </c>
      <c r="C207" s="39" t="s">
        <v>453</v>
      </c>
      <c r="D207" s="40">
        <v>7</v>
      </c>
      <c r="E207" s="41">
        <v>1</v>
      </c>
      <c r="F207" s="41" t="s">
        <v>367</v>
      </c>
      <c r="G207" s="42" t="s">
        <v>148</v>
      </c>
      <c r="H207" s="41" t="s">
        <v>147</v>
      </c>
      <c r="I207" s="42">
        <v>10</v>
      </c>
      <c r="J207" s="42">
        <v>4</v>
      </c>
      <c r="K207" s="25" t="str">
        <f>VLOOKUP(J207,Key!$E$2:$F$9,2,FALSE)</f>
        <v>Commercial</v>
      </c>
      <c r="L207" s="41" t="s">
        <v>181</v>
      </c>
      <c r="M207" s="42" t="s">
        <v>146</v>
      </c>
      <c r="N207" s="41" t="s">
        <v>147</v>
      </c>
      <c r="O207" s="42">
        <v>10</v>
      </c>
      <c r="P207" s="42">
        <v>4</v>
      </c>
      <c r="Q207" s="25" t="str">
        <f>VLOOKUP(P207,Key!$E$2:$F$9,2,FALSE)</f>
        <v>Commercial</v>
      </c>
      <c r="R207" s="25" t="str">
        <f t="shared" si="5"/>
        <v>Commercial-Commercial</v>
      </c>
      <c r="S207" s="43">
        <v>16.100000000000001</v>
      </c>
      <c r="T207" s="43">
        <v>1</v>
      </c>
      <c r="U207" s="42">
        <v>3</v>
      </c>
      <c r="V207" s="42"/>
      <c r="W207" s="43"/>
      <c r="X207" s="43"/>
      <c r="Y207" s="44" t="s">
        <v>149</v>
      </c>
      <c r="Z207" s="52">
        <v>1000</v>
      </c>
      <c r="AA207" s="25">
        <f>VLOOKUP(F207,Zones!$A$2:$F$15614,6,FALSE)</f>
        <v>1390</v>
      </c>
      <c r="AB207" s="25">
        <f>VLOOKUP(L207,Zones!$A$2:$F$15614,6,FALSE)</f>
        <v>536</v>
      </c>
    </row>
    <row r="208" spans="1:28">
      <c r="B208" s="39">
        <v>0.34027777777777773</v>
      </c>
      <c r="C208" s="39" t="s">
        <v>226</v>
      </c>
      <c r="D208" s="40">
        <v>7</v>
      </c>
      <c r="E208" s="41">
        <v>10</v>
      </c>
      <c r="F208" s="41" t="s">
        <v>152</v>
      </c>
      <c r="G208" s="42" t="s">
        <v>148</v>
      </c>
      <c r="H208" s="41" t="s">
        <v>147</v>
      </c>
      <c r="I208" s="42">
        <v>6</v>
      </c>
      <c r="J208" s="42">
        <v>2</v>
      </c>
      <c r="K208" s="25" t="str">
        <f>VLOOKUP(J208,Key!$E$2:$F$9,2,FALSE)</f>
        <v>Work</v>
      </c>
      <c r="L208" s="41" t="s">
        <v>158</v>
      </c>
      <c r="M208" s="42" t="s">
        <v>146</v>
      </c>
      <c r="N208" s="41" t="s">
        <v>147</v>
      </c>
      <c r="O208" s="42">
        <v>6</v>
      </c>
      <c r="P208" s="42">
        <v>2</v>
      </c>
      <c r="Q208" s="25" t="str">
        <f>VLOOKUP(P208,Key!$E$2:$F$9,2,FALSE)</f>
        <v>Work</v>
      </c>
      <c r="R208" s="25" t="str">
        <f t="shared" si="5"/>
        <v>Work-Work</v>
      </c>
      <c r="S208" s="43">
        <v>10</v>
      </c>
      <c r="T208" s="43">
        <v>0.5</v>
      </c>
      <c r="U208" s="42">
        <v>2</v>
      </c>
      <c r="V208" s="42"/>
      <c r="W208" s="43"/>
      <c r="X208" s="43"/>
      <c r="Y208" s="44" t="s">
        <v>149</v>
      </c>
      <c r="Z208" s="52">
        <v>1000</v>
      </c>
      <c r="AA208" s="25">
        <f>VLOOKUP(F208,Zones!$A$2:$F$15614,6,FALSE)</f>
        <v>522</v>
      </c>
      <c r="AB208" s="25">
        <f>VLOOKUP(L208,Zones!$A$2:$F$15614,6,FALSE)</f>
        <v>521</v>
      </c>
    </row>
    <row r="209" spans="2:28">
      <c r="B209" s="39">
        <v>0.50902777777777775</v>
      </c>
      <c r="C209" s="39" t="s">
        <v>455</v>
      </c>
      <c r="D209" s="40">
        <v>4</v>
      </c>
      <c r="E209" s="41">
        <v>11</v>
      </c>
      <c r="F209" s="41" t="s">
        <v>152</v>
      </c>
      <c r="G209" s="42" t="s">
        <v>148</v>
      </c>
      <c r="H209" s="41" t="s">
        <v>147</v>
      </c>
      <c r="I209" s="42">
        <v>6</v>
      </c>
      <c r="J209" s="42">
        <v>2</v>
      </c>
      <c r="K209" s="25" t="str">
        <f>VLOOKUP(J209,Key!$E$2:$F$9,2,FALSE)</f>
        <v>Work</v>
      </c>
      <c r="L209" s="41" t="s">
        <v>158</v>
      </c>
      <c r="M209" s="42" t="s">
        <v>146</v>
      </c>
      <c r="N209" s="41" t="s">
        <v>147</v>
      </c>
      <c r="O209" s="42">
        <v>6</v>
      </c>
      <c r="P209" s="42">
        <v>2</v>
      </c>
      <c r="Q209" s="25" t="str">
        <f>VLOOKUP(P209,Key!$E$2:$F$9,2,FALSE)</f>
        <v>Work</v>
      </c>
      <c r="R209" s="25" t="str">
        <f t="shared" si="5"/>
        <v>Work-Work</v>
      </c>
      <c r="S209" s="43"/>
      <c r="T209" s="43">
        <v>0.5</v>
      </c>
      <c r="U209" s="42">
        <v>2</v>
      </c>
      <c r="V209" s="42"/>
      <c r="W209" s="43"/>
      <c r="X209" s="43"/>
      <c r="Y209" s="44" t="s">
        <v>149</v>
      </c>
      <c r="Z209" s="52">
        <v>1000</v>
      </c>
      <c r="AA209" s="25">
        <f>VLOOKUP(F209,Zones!$A$2:$F$15614,6,FALSE)</f>
        <v>522</v>
      </c>
      <c r="AB209" s="25">
        <f>VLOOKUP(L209,Zones!$A$2:$F$15614,6,FALSE)</f>
        <v>521</v>
      </c>
    </row>
    <row r="210" spans="2:28">
      <c r="B210" s="39">
        <v>0.33333333333333331</v>
      </c>
      <c r="C210" s="39" t="s">
        <v>456</v>
      </c>
      <c r="D210" s="40">
        <v>1</v>
      </c>
      <c r="E210" s="41">
        <v>1</v>
      </c>
      <c r="F210" s="41" t="s">
        <v>152</v>
      </c>
      <c r="G210" s="42" t="s">
        <v>148</v>
      </c>
      <c r="H210" s="41" t="s">
        <v>147</v>
      </c>
      <c r="I210" s="42">
        <v>1</v>
      </c>
      <c r="J210" s="42">
        <v>1</v>
      </c>
      <c r="K210" s="25" t="str">
        <f>VLOOKUP(J210,Key!$E$2:$F$9,2,FALSE)</f>
        <v>Home</v>
      </c>
      <c r="L210" s="41" t="s">
        <v>181</v>
      </c>
      <c r="M210" s="42" t="s">
        <v>146</v>
      </c>
      <c r="N210" s="41" t="s">
        <v>147</v>
      </c>
      <c r="O210" s="42">
        <v>1</v>
      </c>
      <c r="P210" s="42">
        <v>2</v>
      </c>
      <c r="Q210" s="25" t="str">
        <f>VLOOKUP(P210,Key!$E$2:$F$9,2,FALSE)</f>
        <v>Work</v>
      </c>
      <c r="R210" s="25" t="str">
        <f t="shared" si="5"/>
        <v>Home-Work</v>
      </c>
      <c r="S210" s="43"/>
      <c r="T210" s="43">
        <v>0.3</v>
      </c>
      <c r="U210" s="42">
        <v>2</v>
      </c>
      <c r="V210" s="42"/>
      <c r="W210" s="43"/>
      <c r="X210" s="43"/>
      <c r="Y210" s="44" t="s">
        <v>149</v>
      </c>
      <c r="Z210" s="52">
        <v>1000</v>
      </c>
      <c r="AA210" s="25">
        <f>VLOOKUP(F210,Zones!$A$2:$F$15614,6,FALSE)</f>
        <v>522</v>
      </c>
      <c r="AB210" s="25">
        <f>VLOOKUP(L210,Zones!$A$2:$F$15614,6,FALSE)</f>
        <v>536</v>
      </c>
    </row>
    <row r="211" spans="2:28">
      <c r="B211" s="39">
        <v>0.25</v>
      </c>
      <c r="C211" s="39" t="s">
        <v>457</v>
      </c>
      <c r="D211" s="40">
        <v>1</v>
      </c>
      <c r="E211" s="41">
        <v>2</v>
      </c>
      <c r="F211" s="41" t="s">
        <v>152</v>
      </c>
      <c r="G211" s="42" t="s">
        <v>148</v>
      </c>
      <c r="H211" s="41" t="s">
        <v>147</v>
      </c>
      <c r="I211" s="42">
        <v>1</v>
      </c>
      <c r="J211" s="42">
        <v>1</v>
      </c>
      <c r="K211" s="25" t="str">
        <f>VLOOKUP(J211,Key!$E$2:$F$9,2,FALSE)</f>
        <v>Home</v>
      </c>
      <c r="L211" s="41" t="s">
        <v>458</v>
      </c>
      <c r="M211" s="42" t="s">
        <v>148</v>
      </c>
      <c r="N211" s="41" t="s">
        <v>147</v>
      </c>
      <c r="O211" s="42">
        <v>7</v>
      </c>
      <c r="P211" s="42">
        <v>4</v>
      </c>
      <c r="Q211" s="25" t="str">
        <f>VLOOKUP(P211,Key!$E$2:$F$9,2,FALSE)</f>
        <v>Commercial</v>
      </c>
      <c r="R211" s="25" t="str">
        <f t="shared" si="5"/>
        <v>Home-Commercial</v>
      </c>
      <c r="S211" s="43"/>
      <c r="T211" s="43"/>
      <c r="U211" s="42">
        <v>2</v>
      </c>
      <c r="V211" s="42"/>
      <c r="W211" s="43"/>
      <c r="X211" s="43"/>
      <c r="Y211" s="44" t="s">
        <v>149</v>
      </c>
      <c r="Z211" s="52">
        <v>1000</v>
      </c>
      <c r="AA211" s="25">
        <f>VLOOKUP(F211,Zones!$A$2:$F$15614,6,FALSE)</f>
        <v>522</v>
      </c>
      <c r="AB211" s="25">
        <f>VLOOKUP(L211,Zones!$A$2:$F$15614,6,FALSE)</f>
        <v>522</v>
      </c>
    </row>
    <row r="212" spans="2:28">
      <c r="B212" s="39">
        <v>0.16666666666666666</v>
      </c>
      <c r="C212" s="39" t="s">
        <v>459</v>
      </c>
      <c r="D212" s="40">
        <v>7</v>
      </c>
      <c r="E212" s="41">
        <v>2</v>
      </c>
      <c r="F212" s="41" t="s">
        <v>2414</v>
      </c>
      <c r="G212" s="42" t="s">
        <v>148</v>
      </c>
      <c r="H212" s="41" t="s">
        <v>147</v>
      </c>
      <c r="I212" s="42">
        <v>12</v>
      </c>
      <c r="J212" s="42">
        <v>2</v>
      </c>
      <c r="K212" s="25" t="str">
        <f>VLOOKUP(J212,Key!$E$2:$F$9,2,FALSE)</f>
        <v>Work</v>
      </c>
      <c r="L212" s="41" t="s">
        <v>161</v>
      </c>
      <c r="M212" s="42" t="s">
        <v>148</v>
      </c>
      <c r="N212" s="41" t="s">
        <v>147</v>
      </c>
      <c r="O212" s="42">
        <v>10</v>
      </c>
      <c r="P212" s="42">
        <v>8</v>
      </c>
      <c r="Q212" s="25" t="str">
        <f>VLOOKUP(P212,Key!$E$2:$F$9,2,FALSE)</f>
        <v>Others</v>
      </c>
      <c r="R212" s="25" t="str">
        <f t="shared" si="5"/>
        <v>Work-Others</v>
      </c>
      <c r="S212" s="43"/>
      <c r="T212" s="43"/>
      <c r="U212" s="42">
        <v>2</v>
      </c>
      <c r="V212" s="42"/>
      <c r="W212" s="43"/>
      <c r="X212" s="43"/>
      <c r="Y212" s="44" t="s">
        <v>149</v>
      </c>
      <c r="Z212" s="52">
        <v>1000</v>
      </c>
      <c r="AA212" s="25">
        <f>VLOOKUP(F212,Zones!$A$2:$F$15614,6,FALSE)</f>
        <v>579</v>
      </c>
      <c r="AB212" s="25">
        <f>VLOOKUP(L212,Zones!$A$2:$F$15614,6,FALSE)</f>
        <v>522</v>
      </c>
    </row>
    <row r="213" spans="2:28">
      <c r="B213" s="39">
        <v>0.13194444444444445</v>
      </c>
      <c r="C213" s="39" t="s">
        <v>460</v>
      </c>
      <c r="D213" s="40">
        <v>1</v>
      </c>
      <c r="E213" s="41">
        <v>2</v>
      </c>
      <c r="F213" s="41" t="s">
        <v>152</v>
      </c>
      <c r="G213" s="42" t="s">
        <v>148</v>
      </c>
      <c r="H213" s="41" t="s">
        <v>147</v>
      </c>
      <c r="I213" s="42">
        <v>1</v>
      </c>
      <c r="J213" s="42">
        <v>1</v>
      </c>
      <c r="K213" s="25" t="str">
        <f>VLOOKUP(J213,Key!$E$2:$F$9,2,FALSE)</f>
        <v>Home</v>
      </c>
      <c r="L213" s="41" t="s">
        <v>461</v>
      </c>
      <c r="M213" s="42" t="s">
        <v>148</v>
      </c>
      <c r="N213" s="41" t="s">
        <v>147</v>
      </c>
      <c r="O213" s="42">
        <v>16</v>
      </c>
      <c r="P213" s="42">
        <v>6</v>
      </c>
      <c r="Q213" s="25" t="s">
        <v>105</v>
      </c>
      <c r="R213" s="25" t="str">
        <f t="shared" si="5"/>
        <v>Home-Leisure/Social</v>
      </c>
      <c r="S213" s="43">
        <v>2</v>
      </c>
      <c r="T213" s="43">
        <v>0.5</v>
      </c>
      <c r="U213" s="42">
        <v>4</v>
      </c>
      <c r="V213" s="42"/>
      <c r="W213" s="43"/>
      <c r="X213" s="43"/>
      <c r="Y213" s="44" t="s">
        <v>149</v>
      </c>
      <c r="Z213" s="52">
        <v>5000</v>
      </c>
      <c r="AA213" s="25">
        <f>VLOOKUP(F213,Zones!$A$2:$F$15614,6,FALSE)</f>
        <v>522</v>
      </c>
      <c r="AB213" s="25">
        <f>VLOOKUP(L213,Zones!$A$2:$F$15614,6,FALSE)</f>
        <v>521</v>
      </c>
    </row>
    <row r="214" spans="2:28">
      <c r="B214" s="39">
        <v>0.14583333333333334</v>
      </c>
      <c r="C214" s="39" t="s">
        <v>462</v>
      </c>
      <c r="D214" s="40">
        <v>1</v>
      </c>
      <c r="E214" s="41">
        <v>1</v>
      </c>
      <c r="F214" s="41" t="s">
        <v>158</v>
      </c>
      <c r="G214" s="42" t="s">
        <v>146</v>
      </c>
      <c r="H214" s="41" t="s">
        <v>147</v>
      </c>
      <c r="I214" s="42">
        <v>11</v>
      </c>
      <c r="J214" s="42">
        <v>4</v>
      </c>
      <c r="K214" s="25" t="str">
        <f>VLOOKUP(J214,Key!$E$2:$F$9,2,FALSE)</f>
        <v>Commercial</v>
      </c>
      <c r="L214" s="41" t="s">
        <v>161</v>
      </c>
      <c r="M214" s="42" t="s">
        <v>148</v>
      </c>
      <c r="N214" s="41" t="s">
        <v>147</v>
      </c>
      <c r="O214" s="42">
        <v>1</v>
      </c>
      <c r="P214" s="42">
        <v>1</v>
      </c>
      <c r="Q214" s="25" t="str">
        <f>VLOOKUP(P214,Key!$E$2:$F$9,2,FALSE)</f>
        <v>Home</v>
      </c>
      <c r="R214" s="25" t="str">
        <f t="shared" si="5"/>
        <v>Commercial-Home</v>
      </c>
      <c r="S214" s="43">
        <v>4</v>
      </c>
      <c r="T214" s="43">
        <v>1</v>
      </c>
      <c r="U214" s="42">
        <v>2</v>
      </c>
      <c r="V214" s="42"/>
      <c r="W214" s="43"/>
      <c r="X214" s="43"/>
      <c r="Y214" s="44" t="s">
        <v>149</v>
      </c>
      <c r="Z214" s="52">
        <v>1000</v>
      </c>
      <c r="AA214" s="25">
        <f>VLOOKUP(F214,Zones!$A$2:$F$15614,6,FALSE)</f>
        <v>521</v>
      </c>
      <c r="AB214" s="25">
        <f>VLOOKUP(L214,Zones!$A$2:$F$15614,6,FALSE)</f>
        <v>522</v>
      </c>
    </row>
    <row r="215" spans="2:28">
      <c r="B215" s="39">
        <v>0.63194444444444442</v>
      </c>
      <c r="C215" s="39" t="s">
        <v>463</v>
      </c>
      <c r="D215" s="40">
        <v>3</v>
      </c>
      <c r="E215" s="41">
        <v>3</v>
      </c>
      <c r="F215" s="41" t="s">
        <v>464</v>
      </c>
      <c r="G215" s="42" t="s">
        <v>148</v>
      </c>
      <c r="H215" s="41" t="s">
        <v>147</v>
      </c>
      <c r="I215" s="42">
        <v>1</v>
      </c>
      <c r="J215" s="42">
        <v>1</v>
      </c>
      <c r="K215" s="25" t="str">
        <f>VLOOKUP(J215,Key!$E$2:$F$9,2,FALSE)</f>
        <v>Home</v>
      </c>
      <c r="L215" s="41" t="s">
        <v>161</v>
      </c>
      <c r="M215" s="42" t="s">
        <v>148</v>
      </c>
      <c r="N215" s="41" t="s">
        <v>147</v>
      </c>
      <c r="O215" s="42">
        <v>11</v>
      </c>
      <c r="P215" s="42">
        <v>4</v>
      </c>
      <c r="Q215" s="25" t="str">
        <f>VLOOKUP(P215,Key!$E$2:$F$9,2,FALSE)</f>
        <v>Commercial</v>
      </c>
      <c r="R215" s="25" t="str">
        <f t="shared" si="5"/>
        <v>Home-Commercial</v>
      </c>
      <c r="S215" s="43"/>
      <c r="T215" s="43"/>
      <c r="U215" s="42">
        <v>4</v>
      </c>
      <c r="V215" s="42"/>
      <c r="W215" s="43"/>
      <c r="X215" s="43"/>
      <c r="Y215" s="44" t="s">
        <v>149</v>
      </c>
      <c r="Z215" s="52">
        <v>1000</v>
      </c>
      <c r="AA215" s="25">
        <f>VLOOKUP(F215,Zones!$A$2:$F$15614,6,FALSE)</f>
        <v>1071</v>
      </c>
      <c r="AB215" s="25">
        <f>VLOOKUP(L215,Zones!$A$2:$F$15614,6,FALSE)</f>
        <v>522</v>
      </c>
    </row>
    <row r="216" spans="2:28">
      <c r="B216" s="39">
        <v>0.625</v>
      </c>
      <c r="C216" s="39" t="s">
        <v>465</v>
      </c>
      <c r="D216" s="40">
        <v>1</v>
      </c>
      <c r="E216" s="41">
        <v>1</v>
      </c>
      <c r="F216" s="41" t="s">
        <v>152</v>
      </c>
      <c r="G216" s="42" t="s">
        <v>148</v>
      </c>
      <c r="H216" s="41" t="s">
        <v>147</v>
      </c>
      <c r="I216" s="42">
        <v>1</v>
      </c>
      <c r="J216" s="42">
        <v>1</v>
      </c>
      <c r="K216" s="25" t="str">
        <f>VLOOKUP(J216,Key!$E$2:$F$9,2,FALSE)</f>
        <v>Home</v>
      </c>
      <c r="L216" s="41" t="s">
        <v>466</v>
      </c>
      <c r="M216" s="42" t="s">
        <v>146</v>
      </c>
      <c r="N216" s="41" t="s">
        <v>147</v>
      </c>
      <c r="O216" s="42">
        <v>16</v>
      </c>
      <c r="P216" s="42">
        <v>8</v>
      </c>
      <c r="Q216" s="25" t="s">
        <v>106</v>
      </c>
      <c r="R216" s="25" t="str">
        <f t="shared" si="5"/>
        <v>Home-Others</v>
      </c>
      <c r="S216" s="43">
        <v>14.5</v>
      </c>
      <c r="T216" s="43">
        <v>0.5</v>
      </c>
      <c r="U216" s="42">
        <v>2</v>
      </c>
      <c r="V216" s="42"/>
      <c r="W216" s="43"/>
      <c r="X216" s="43"/>
      <c r="Y216" s="44" t="s">
        <v>149</v>
      </c>
      <c r="Z216" s="52">
        <v>1000</v>
      </c>
      <c r="AA216" s="25">
        <f>VLOOKUP(F216,Zones!$A$2:$F$15614,6,FALSE)</f>
        <v>522</v>
      </c>
      <c r="AB216" s="25">
        <f>VLOOKUP(L216,Zones!$A$2:$F$15614,6,FALSE)</f>
        <v>521</v>
      </c>
    </row>
    <row r="217" spans="2:28">
      <c r="B217" s="39">
        <v>0.45833333333333331</v>
      </c>
      <c r="C217" s="39" t="s">
        <v>467</v>
      </c>
      <c r="D217" s="40">
        <v>2</v>
      </c>
      <c r="E217" s="41">
        <v>1</v>
      </c>
      <c r="F217" s="41" t="s">
        <v>161</v>
      </c>
      <c r="G217" s="42" t="s">
        <v>148</v>
      </c>
      <c r="H217" s="41" t="s">
        <v>147</v>
      </c>
      <c r="I217" s="42">
        <v>1</v>
      </c>
      <c r="J217" s="42">
        <v>1</v>
      </c>
      <c r="K217" s="25" t="str">
        <f>VLOOKUP(J217,Key!$E$2:$F$9,2,FALSE)</f>
        <v>Home</v>
      </c>
      <c r="L217" s="41" t="s">
        <v>158</v>
      </c>
      <c r="M217" s="42" t="s">
        <v>146</v>
      </c>
      <c r="N217" s="41" t="s">
        <v>147</v>
      </c>
      <c r="O217" s="42">
        <v>12</v>
      </c>
      <c r="P217" s="42">
        <v>2</v>
      </c>
      <c r="Q217" s="25" t="str">
        <f>VLOOKUP(P217,Key!$E$2:$F$9,2,FALSE)</f>
        <v>Work</v>
      </c>
      <c r="R217" s="25" t="str">
        <f t="shared" si="5"/>
        <v>Home-Work</v>
      </c>
      <c r="S217" s="43">
        <v>5</v>
      </c>
      <c r="T217" s="43">
        <v>1.5</v>
      </c>
      <c r="U217" s="42">
        <v>2</v>
      </c>
      <c r="V217" s="42"/>
      <c r="W217" s="43"/>
      <c r="X217" s="43"/>
      <c r="Y217" s="44" t="s">
        <v>149</v>
      </c>
      <c r="Z217" s="52">
        <v>500</v>
      </c>
      <c r="AA217" s="25">
        <f>VLOOKUP(F217,Zones!$A$2:$F$15614,6,FALSE)</f>
        <v>522</v>
      </c>
      <c r="AB217" s="25">
        <f>VLOOKUP(L217,Zones!$A$2:$F$15614,6,FALSE)</f>
        <v>521</v>
      </c>
    </row>
    <row r="218" spans="2:28">
      <c r="B218" s="39">
        <v>0.61111111111111105</v>
      </c>
      <c r="C218" s="39" t="s">
        <v>468</v>
      </c>
      <c r="D218" s="40">
        <v>1</v>
      </c>
      <c r="E218" s="41">
        <v>5</v>
      </c>
      <c r="F218" s="41" t="s">
        <v>207</v>
      </c>
      <c r="G218" s="42" t="s">
        <v>146</v>
      </c>
      <c r="H218" s="41" t="s">
        <v>147</v>
      </c>
      <c r="I218" s="42">
        <v>2</v>
      </c>
      <c r="J218" s="42">
        <v>2</v>
      </c>
      <c r="K218" s="25" t="str">
        <f>VLOOKUP(J218,Key!$E$2:$F$9,2,FALSE)</f>
        <v>Work</v>
      </c>
      <c r="L218" s="41" t="s">
        <v>161</v>
      </c>
      <c r="M218" s="42" t="s">
        <v>148</v>
      </c>
      <c r="N218" s="41" t="s">
        <v>147</v>
      </c>
      <c r="O218" s="42">
        <v>1</v>
      </c>
      <c r="P218" s="42">
        <v>1</v>
      </c>
      <c r="Q218" s="25" t="str">
        <f>VLOOKUP(P218,Key!$E$2:$F$9,2,FALSE)</f>
        <v>Home</v>
      </c>
      <c r="R218" s="25" t="str">
        <f t="shared" si="5"/>
        <v>Work-Home</v>
      </c>
      <c r="S218" s="43">
        <v>2</v>
      </c>
      <c r="T218" s="43">
        <v>0.2</v>
      </c>
      <c r="U218" s="42">
        <v>2</v>
      </c>
      <c r="V218" s="42"/>
      <c r="W218" s="43"/>
      <c r="X218" s="43"/>
      <c r="Y218" s="44" t="s">
        <v>149</v>
      </c>
      <c r="Z218" s="52">
        <v>200</v>
      </c>
      <c r="AA218" s="25">
        <f>VLOOKUP(F218,Zones!$A$2:$F$15614,6,FALSE)</f>
        <v>522</v>
      </c>
      <c r="AB218" s="25">
        <f>VLOOKUP(L218,Zones!$A$2:$F$15614,6,FALSE)</f>
        <v>522</v>
      </c>
    </row>
    <row r="219" spans="2:28">
      <c r="B219" s="39">
        <v>0.60416666666666663</v>
      </c>
      <c r="C219" s="39" t="s">
        <v>469</v>
      </c>
      <c r="D219" s="40">
        <v>1</v>
      </c>
      <c r="E219" s="41">
        <v>4</v>
      </c>
      <c r="F219" s="41" t="s">
        <v>227</v>
      </c>
      <c r="G219" s="42" t="s">
        <v>146</v>
      </c>
      <c r="H219" s="41" t="s">
        <v>147</v>
      </c>
      <c r="I219" s="42">
        <v>11</v>
      </c>
      <c r="J219" s="42">
        <v>4</v>
      </c>
      <c r="K219" s="25" t="str">
        <f>VLOOKUP(J219,Key!$E$2:$F$9,2,FALSE)</f>
        <v>Commercial</v>
      </c>
      <c r="L219" s="41" t="s">
        <v>163</v>
      </c>
      <c r="M219" s="42" t="s">
        <v>148</v>
      </c>
      <c r="N219" s="41" t="s">
        <v>147</v>
      </c>
      <c r="O219" s="42">
        <v>1</v>
      </c>
      <c r="P219" s="42">
        <v>1</v>
      </c>
      <c r="Q219" s="25" t="str">
        <f>VLOOKUP(P219,Key!$E$2:$F$9,2,FALSE)</f>
        <v>Home</v>
      </c>
      <c r="R219" s="25" t="str">
        <f t="shared" si="5"/>
        <v>Commercial-Home</v>
      </c>
      <c r="S219" s="43">
        <v>3</v>
      </c>
      <c r="T219" s="43">
        <v>0.3</v>
      </c>
      <c r="U219" s="42">
        <v>2</v>
      </c>
      <c r="V219" s="42"/>
      <c r="W219" s="43"/>
      <c r="X219" s="43"/>
      <c r="Y219" s="44" t="s">
        <v>149</v>
      </c>
      <c r="Z219" s="52">
        <v>3000</v>
      </c>
      <c r="AA219" s="25">
        <f>VLOOKUP(F219,Zones!$A$2:$F$15614,6,FALSE)</f>
        <v>522</v>
      </c>
      <c r="AB219" s="25">
        <f>VLOOKUP(L219,Zones!$A$2:$F$15614,6,FALSE)</f>
        <v>1407</v>
      </c>
    </row>
    <row r="220" spans="2:28">
      <c r="B220" s="39">
        <v>0.59722222222222221</v>
      </c>
      <c r="C220" s="39" t="s">
        <v>470</v>
      </c>
      <c r="D220" s="40">
        <v>1</v>
      </c>
      <c r="E220" s="41">
        <v>1</v>
      </c>
      <c r="F220" s="41" t="s">
        <v>227</v>
      </c>
      <c r="G220" s="42" t="s">
        <v>146</v>
      </c>
      <c r="H220" s="41" t="s">
        <v>147</v>
      </c>
      <c r="I220" s="42">
        <v>11</v>
      </c>
      <c r="J220" s="42">
        <v>4</v>
      </c>
      <c r="K220" s="25" t="str">
        <f>VLOOKUP(J220,Key!$E$2:$F$9,2,FALSE)</f>
        <v>Commercial</v>
      </c>
      <c r="L220" s="41" t="s">
        <v>161</v>
      </c>
      <c r="M220" s="42" t="s">
        <v>148</v>
      </c>
      <c r="N220" s="41" t="s">
        <v>147</v>
      </c>
      <c r="O220" s="42">
        <v>1</v>
      </c>
      <c r="P220" s="42">
        <v>1</v>
      </c>
      <c r="Q220" s="25" t="str">
        <f>VLOOKUP(P220,Key!$E$2:$F$9,2,FALSE)</f>
        <v>Home</v>
      </c>
      <c r="R220" s="25" t="str">
        <f t="shared" si="5"/>
        <v>Commercial-Home</v>
      </c>
      <c r="S220" s="43">
        <v>3</v>
      </c>
      <c r="T220" s="43">
        <v>0.1</v>
      </c>
      <c r="U220" s="42">
        <v>2</v>
      </c>
      <c r="V220" s="42"/>
      <c r="W220" s="43"/>
      <c r="X220" s="43"/>
      <c r="Y220" s="44" t="s">
        <v>149</v>
      </c>
      <c r="Z220" s="52"/>
      <c r="AA220" s="25">
        <f>VLOOKUP(F220,Zones!$A$2:$F$15614,6,FALSE)</f>
        <v>522</v>
      </c>
      <c r="AB220" s="25">
        <f>VLOOKUP(L220,Zones!$A$2:$F$15614,6,FALSE)</f>
        <v>522</v>
      </c>
    </row>
    <row r="221" spans="2:28">
      <c r="B221" s="39">
        <v>0.58958333333333335</v>
      </c>
      <c r="C221" s="39" t="s">
        <v>471</v>
      </c>
      <c r="D221" s="40">
        <v>2</v>
      </c>
      <c r="E221" s="41">
        <v>2</v>
      </c>
      <c r="F221" s="41" t="s">
        <v>207</v>
      </c>
      <c r="G221" s="42" t="s">
        <v>146</v>
      </c>
      <c r="H221" s="41" t="s">
        <v>147</v>
      </c>
      <c r="I221" s="42">
        <v>1</v>
      </c>
      <c r="J221" s="42">
        <v>1</v>
      </c>
      <c r="K221" s="25" t="str">
        <f>VLOOKUP(J221,Key!$E$2:$F$9,2,FALSE)</f>
        <v>Home</v>
      </c>
      <c r="L221" s="41" t="s">
        <v>161</v>
      </c>
      <c r="M221" s="42" t="s">
        <v>148</v>
      </c>
      <c r="N221" s="41" t="s">
        <v>147</v>
      </c>
      <c r="O221" s="42">
        <v>2</v>
      </c>
      <c r="P221" s="42">
        <v>2</v>
      </c>
      <c r="Q221" s="25" t="str">
        <f>VLOOKUP(P221,Key!$E$2:$F$9,2,FALSE)</f>
        <v>Work</v>
      </c>
      <c r="R221" s="25" t="str">
        <f t="shared" si="5"/>
        <v>Home-Work</v>
      </c>
      <c r="S221" s="43">
        <v>3</v>
      </c>
      <c r="T221" s="43">
        <v>0.1</v>
      </c>
      <c r="U221" s="42">
        <v>2</v>
      </c>
      <c r="V221" s="42"/>
      <c r="W221" s="43"/>
      <c r="X221" s="43"/>
      <c r="Y221" s="44" t="s">
        <v>149</v>
      </c>
      <c r="Z221" s="52">
        <v>5000</v>
      </c>
      <c r="AA221" s="25">
        <f>VLOOKUP(F221,Zones!$A$2:$F$15614,6,FALSE)</f>
        <v>522</v>
      </c>
      <c r="AB221" s="25">
        <f>VLOOKUP(L221,Zones!$A$2:$F$15614,6,FALSE)</f>
        <v>522</v>
      </c>
    </row>
    <row r="222" spans="2:28">
      <c r="B222" s="39">
        <v>0.59375</v>
      </c>
      <c r="C222" s="39" t="s">
        <v>472</v>
      </c>
      <c r="D222" s="40">
        <v>1</v>
      </c>
      <c r="E222" s="41">
        <v>2</v>
      </c>
      <c r="F222" s="41" t="s">
        <v>212</v>
      </c>
      <c r="G222" s="42" t="s">
        <v>146</v>
      </c>
      <c r="H222" s="41" t="s">
        <v>147</v>
      </c>
      <c r="I222" s="42">
        <v>1</v>
      </c>
      <c r="J222" s="42">
        <v>1</v>
      </c>
      <c r="K222" s="25" t="str">
        <f>VLOOKUP(J222,Key!$E$2:$F$9,2,FALSE)</f>
        <v>Home</v>
      </c>
      <c r="L222" s="41" t="s">
        <v>161</v>
      </c>
      <c r="M222" s="42" t="s">
        <v>148</v>
      </c>
      <c r="N222" s="41" t="s">
        <v>147</v>
      </c>
      <c r="O222" s="42">
        <v>16</v>
      </c>
      <c r="P222" s="42">
        <v>6</v>
      </c>
      <c r="Q222" s="25" t="str">
        <f>VLOOKUP(P222,Key!$E$2:$F$9,2,FALSE)</f>
        <v>Leisure/Social</v>
      </c>
      <c r="R222" s="25" t="str">
        <f t="shared" si="5"/>
        <v>Home-Leisure/Social</v>
      </c>
      <c r="S222" s="43">
        <v>2</v>
      </c>
      <c r="T222" s="43">
        <v>1.5</v>
      </c>
      <c r="U222" s="42">
        <v>2</v>
      </c>
      <c r="V222" s="42"/>
      <c r="W222" s="43"/>
      <c r="X222" s="43"/>
      <c r="Y222" s="44" t="s">
        <v>149</v>
      </c>
      <c r="Z222" s="52">
        <v>100</v>
      </c>
      <c r="AA222" s="25">
        <f>VLOOKUP(F222,Zones!$A$2:$F$15614,6,FALSE)</f>
        <v>565</v>
      </c>
      <c r="AB222" s="25">
        <f>VLOOKUP(L222,Zones!$A$2:$F$15614,6,FALSE)</f>
        <v>522</v>
      </c>
    </row>
    <row r="223" spans="2:28">
      <c r="B223" s="39">
        <v>0.49513888888888885</v>
      </c>
      <c r="C223" s="39" t="s">
        <v>474</v>
      </c>
      <c r="D223" s="40">
        <v>1</v>
      </c>
      <c r="E223" s="41">
        <v>1</v>
      </c>
      <c r="F223" s="41" t="s">
        <v>1122</v>
      </c>
      <c r="G223" s="42" t="s">
        <v>148</v>
      </c>
      <c r="H223" s="41" t="s">
        <v>147</v>
      </c>
      <c r="I223" s="42">
        <v>1</v>
      </c>
      <c r="J223" s="42">
        <v>1</v>
      </c>
      <c r="K223" s="25" t="str">
        <f>VLOOKUP(J223,Key!$E$2:$F$9,2,FALSE)</f>
        <v>Home</v>
      </c>
      <c r="L223" s="41" t="s">
        <v>158</v>
      </c>
      <c r="M223" s="42" t="s">
        <v>146</v>
      </c>
      <c r="N223" s="41" t="s">
        <v>147</v>
      </c>
      <c r="O223" s="42">
        <v>16</v>
      </c>
      <c r="P223" s="42">
        <v>6</v>
      </c>
      <c r="Q223" s="25" t="str">
        <f>VLOOKUP(P223,Key!$E$2:$F$9,2,FALSE)</f>
        <v>Leisure/Social</v>
      </c>
      <c r="R223" s="25" t="str">
        <f t="shared" si="5"/>
        <v>Home-Leisure/Social</v>
      </c>
      <c r="S223" s="43"/>
      <c r="T223" s="43"/>
      <c r="U223" s="42">
        <v>2</v>
      </c>
      <c r="V223" s="42"/>
      <c r="W223" s="43"/>
      <c r="X223" s="43"/>
      <c r="Y223" s="44" t="s">
        <v>149</v>
      </c>
      <c r="Z223" s="52">
        <v>1000</v>
      </c>
      <c r="AA223" s="25">
        <f>VLOOKUP(F223,Zones!$A$2:$F$15614,6,FALSE)</f>
        <v>521</v>
      </c>
      <c r="AB223" s="25">
        <f>VLOOKUP(L223,Zones!$A$2:$F$15614,6,FALSE)</f>
        <v>521</v>
      </c>
    </row>
    <row r="224" spans="2:28">
      <c r="B224" s="39">
        <v>0.44305555555555554</v>
      </c>
      <c r="C224" s="39" t="s">
        <v>475</v>
      </c>
      <c r="D224" s="40">
        <v>1</v>
      </c>
      <c r="E224" s="41">
        <v>3</v>
      </c>
      <c r="F224" s="41" t="s">
        <v>183</v>
      </c>
      <c r="G224" s="42" t="s">
        <v>146</v>
      </c>
      <c r="H224" s="41" t="s">
        <v>147</v>
      </c>
      <c r="I224" s="42">
        <v>1</v>
      </c>
      <c r="J224" s="42">
        <v>1</v>
      </c>
      <c r="K224" s="25" t="str">
        <f>VLOOKUP(J224,Key!$E$2:$F$9,2,FALSE)</f>
        <v>Home</v>
      </c>
      <c r="L224" s="41" t="s">
        <v>158</v>
      </c>
      <c r="M224" s="42" t="s">
        <v>146</v>
      </c>
      <c r="N224" s="41" t="s">
        <v>147</v>
      </c>
      <c r="O224" s="42">
        <v>5</v>
      </c>
      <c r="P224" s="42">
        <v>7</v>
      </c>
      <c r="Q224" s="25" t="str">
        <f>VLOOKUP(P224,Key!$E$2:$F$9,2,FALSE)</f>
        <v>Hospital</v>
      </c>
      <c r="R224" s="25" t="str">
        <f t="shared" si="5"/>
        <v>Home-Hospital</v>
      </c>
      <c r="S224" s="43">
        <v>6</v>
      </c>
      <c r="T224" s="43">
        <v>2</v>
      </c>
      <c r="U224" s="42">
        <v>2</v>
      </c>
      <c r="V224" s="42"/>
      <c r="W224" s="43"/>
      <c r="X224" s="43"/>
      <c r="Y224" s="44" t="s">
        <v>149</v>
      </c>
      <c r="Z224" s="52">
        <v>1000</v>
      </c>
      <c r="AA224" s="25">
        <f>VLOOKUP(F224,Zones!$A$2:$F$15614,6,FALSE)</f>
        <v>521</v>
      </c>
      <c r="AB224" s="25">
        <f>VLOOKUP(L224,Zones!$A$2:$F$15614,6,FALSE)</f>
        <v>521</v>
      </c>
    </row>
    <row r="225" spans="2:28">
      <c r="B225" s="39">
        <v>0.4375</v>
      </c>
      <c r="C225" s="39" t="s">
        <v>476</v>
      </c>
      <c r="D225" s="40">
        <v>1</v>
      </c>
      <c r="E225" s="41">
        <v>2</v>
      </c>
      <c r="F225" s="41" t="s">
        <v>161</v>
      </c>
      <c r="G225" s="42" t="s">
        <v>148</v>
      </c>
      <c r="H225" s="41" t="s">
        <v>147</v>
      </c>
      <c r="I225" s="42">
        <v>1</v>
      </c>
      <c r="J225" s="42">
        <v>1</v>
      </c>
      <c r="K225" s="25" t="str">
        <f>VLOOKUP(J225,Key!$E$2:$F$9,2,FALSE)</f>
        <v>Home</v>
      </c>
      <c r="L225" s="41" t="s">
        <v>207</v>
      </c>
      <c r="M225" s="42" t="s">
        <v>146</v>
      </c>
      <c r="N225" s="41" t="s">
        <v>147</v>
      </c>
      <c r="O225" s="42">
        <v>9</v>
      </c>
      <c r="P225" s="42">
        <v>5</v>
      </c>
      <c r="Q225" s="25" t="str">
        <f>VLOOKUP(P225,Key!$E$2:$F$9,2,FALSE)</f>
        <v>Tourism</v>
      </c>
      <c r="R225" s="25" t="str">
        <f t="shared" si="5"/>
        <v>Home-Tourism</v>
      </c>
      <c r="S225" s="43"/>
      <c r="T225" s="43"/>
      <c r="U225" s="42">
        <v>2</v>
      </c>
      <c r="V225" s="42"/>
      <c r="W225" s="43"/>
      <c r="X225" s="43"/>
      <c r="Y225" s="44" t="s">
        <v>149</v>
      </c>
      <c r="Z225" s="52"/>
      <c r="AA225" s="25">
        <f>VLOOKUP(F225,Zones!$A$2:$F$15614,6,FALSE)</f>
        <v>522</v>
      </c>
      <c r="AB225" s="25">
        <f>VLOOKUP(L225,Zones!$A$2:$F$15614,6,FALSE)</f>
        <v>522</v>
      </c>
    </row>
    <row r="226" spans="2:28">
      <c r="B226" s="39">
        <v>0.35416666666666669</v>
      </c>
      <c r="C226" s="39" t="s">
        <v>477</v>
      </c>
      <c r="D226" s="40">
        <v>1</v>
      </c>
      <c r="E226" s="41">
        <v>1</v>
      </c>
      <c r="F226" s="41" t="s">
        <v>161</v>
      </c>
      <c r="G226" s="42" t="s">
        <v>148</v>
      </c>
      <c r="H226" s="41" t="s">
        <v>147</v>
      </c>
      <c r="I226" s="42">
        <v>1</v>
      </c>
      <c r="J226" s="42">
        <v>1</v>
      </c>
      <c r="K226" s="25" t="str">
        <f>VLOOKUP(J226,Key!$E$2:$F$9,2,FALSE)</f>
        <v>Home</v>
      </c>
      <c r="L226" s="41" t="s">
        <v>158</v>
      </c>
      <c r="M226" s="42" t="s">
        <v>146</v>
      </c>
      <c r="N226" s="41" t="s">
        <v>147</v>
      </c>
      <c r="O226" s="42">
        <v>7</v>
      </c>
      <c r="P226" s="42">
        <v>8</v>
      </c>
      <c r="Q226" s="25" t="str">
        <f>VLOOKUP(P226,Key!$E$2:$F$9,2,FALSE)</f>
        <v>Others</v>
      </c>
      <c r="R226" s="25" t="str">
        <f t="shared" si="5"/>
        <v>Home-Others</v>
      </c>
      <c r="S226" s="43">
        <v>5</v>
      </c>
      <c r="T226" s="43">
        <v>1</v>
      </c>
      <c r="U226" s="42">
        <v>2</v>
      </c>
      <c r="V226" s="42"/>
      <c r="W226" s="43"/>
      <c r="X226" s="43"/>
      <c r="Y226" s="44" t="s">
        <v>149</v>
      </c>
      <c r="Z226" s="52"/>
      <c r="AA226" s="25">
        <f>VLOOKUP(F226,Zones!$A$2:$F$15614,6,FALSE)</f>
        <v>522</v>
      </c>
      <c r="AB226" s="25">
        <f>VLOOKUP(L226,Zones!$A$2:$F$15614,6,FALSE)</f>
        <v>521</v>
      </c>
    </row>
    <row r="227" spans="2:28">
      <c r="B227" s="39">
        <v>0.5229166666666667</v>
      </c>
      <c r="C227" s="39" t="s">
        <v>478</v>
      </c>
      <c r="D227" s="40">
        <v>4</v>
      </c>
      <c r="E227" s="41">
        <v>2</v>
      </c>
      <c r="F227" s="41" t="s">
        <v>158</v>
      </c>
      <c r="G227" s="42" t="s">
        <v>146</v>
      </c>
      <c r="H227" s="41" t="s">
        <v>147</v>
      </c>
      <c r="I227" s="42">
        <v>7</v>
      </c>
      <c r="J227" s="42">
        <v>1</v>
      </c>
      <c r="K227" s="25" t="str">
        <f>VLOOKUP(J227,Key!$E$2:$F$9,2,FALSE)</f>
        <v>Home</v>
      </c>
      <c r="L227" s="41" t="s">
        <v>161</v>
      </c>
      <c r="M227" s="42" t="s">
        <v>148</v>
      </c>
      <c r="N227" s="41" t="s">
        <v>147</v>
      </c>
      <c r="O227" s="42">
        <v>1</v>
      </c>
      <c r="P227" s="42">
        <v>6</v>
      </c>
      <c r="Q227" s="25" t="str">
        <f>VLOOKUP(P227,Key!$E$2:$F$9,2,FALSE)</f>
        <v>Leisure/Social</v>
      </c>
      <c r="R227" s="25" t="str">
        <f t="shared" si="5"/>
        <v>Home-Leisure/Social</v>
      </c>
      <c r="S227" s="43">
        <v>4</v>
      </c>
      <c r="T227" s="43">
        <v>1</v>
      </c>
      <c r="U227" s="42">
        <v>4</v>
      </c>
      <c r="V227" s="42"/>
      <c r="W227" s="43"/>
      <c r="X227" s="43"/>
      <c r="Y227" s="44" t="s">
        <v>149</v>
      </c>
      <c r="Z227" s="52">
        <v>500</v>
      </c>
      <c r="AA227" s="25">
        <f>VLOOKUP(F227,Zones!$A$2:$F$15614,6,FALSE)</f>
        <v>521</v>
      </c>
      <c r="AB227" s="25">
        <f>VLOOKUP(L227,Zones!$A$2:$F$15614,6,FALSE)</f>
        <v>522</v>
      </c>
    </row>
    <row r="228" spans="2:28">
      <c r="B228" s="39">
        <v>0.36458333333333331</v>
      </c>
      <c r="C228" s="39" t="s">
        <v>199</v>
      </c>
      <c r="D228" s="40">
        <v>11</v>
      </c>
      <c r="E228" s="41">
        <v>1</v>
      </c>
      <c r="F228" s="41" t="s">
        <v>200</v>
      </c>
      <c r="G228" s="42" t="s">
        <v>146</v>
      </c>
      <c r="H228" s="41" t="s">
        <v>147</v>
      </c>
      <c r="I228" s="42">
        <v>8</v>
      </c>
      <c r="J228" s="42">
        <v>2</v>
      </c>
      <c r="K228" s="25" t="str">
        <f>VLOOKUP(J228,Key!$E$2:$F$9,2,FALSE)</f>
        <v>Work</v>
      </c>
      <c r="L228" s="41" t="s">
        <v>161</v>
      </c>
      <c r="M228" s="42" t="s">
        <v>148</v>
      </c>
      <c r="N228" s="41" t="s">
        <v>147</v>
      </c>
      <c r="O228" s="42">
        <v>8</v>
      </c>
      <c r="P228" s="42">
        <v>2</v>
      </c>
      <c r="Q228" s="25" t="str">
        <f>VLOOKUP(P228,Key!$E$2:$F$9,2,FALSE)</f>
        <v>Work</v>
      </c>
      <c r="R228" s="25" t="str">
        <f t="shared" si="5"/>
        <v>Work-Work</v>
      </c>
      <c r="S228" s="43"/>
      <c r="T228" s="43"/>
      <c r="U228" s="42">
        <v>2</v>
      </c>
      <c r="V228" s="42"/>
      <c r="W228" s="43"/>
      <c r="X228" s="43"/>
      <c r="Y228" s="44" t="s">
        <v>149</v>
      </c>
      <c r="Z228" s="52">
        <v>2000</v>
      </c>
      <c r="AA228" s="25">
        <f>VLOOKUP(F228,Zones!$A$2:$F$15614,6,FALSE)</f>
        <v>551</v>
      </c>
      <c r="AB228" s="25">
        <f>VLOOKUP(L228,Zones!$A$2:$F$15614,6,FALSE)</f>
        <v>522</v>
      </c>
    </row>
    <row r="229" spans="2:28">
      <c r="B229" s="39">
        <v>0.36805555555555558</v>
      </c>
      <c r="C229" s="39" t="s">
        <v>479</v>
      </c>
      <c r="D229" s="40">
        <v>1</v>
      </c>
      <c r="E229" s="41">
        <v>2</v>
      </c>
      <c r="F229" s="41" t="s">
        <v>292</v>
      </c>
      <c r="G229" s="42" t="s">
        <v>148</v>
      </c>
      <c r="H229" s="41" t="s">
        <v>147</v>
      </c>
      <c r="I229" s="42">
        <v>1</v>
      </c>
      <c r="J229" s="42">
        <v>2</v>
      </c>
      <c r="K229" s="25" t="str">
        <f>VLOOKUP(J229,Key!$E$2:$F$9,2,FALSE)</f>
        <v>Work</v>
      </c>
      <c r="L229" s="41" t="s">
        <v>158</v>
      </c>
      <c r="M229" s="42" t="s">
        <v>148</v>
      </c>
      <c r="N229" s="41" t="s">
        <v>147</v>
      </c>
      <c r="O229" s="42">
        <v>1</v>
      </c>
      <c r="P229" s="42">
        <v>1</v>
      </c>
      <c r="Q229" s="25" t="str">
        <f>VLOOKUP(P229,Key!$E$2:$F$9,2,FALSE)</f>
        <v>Home</v>
      </c>
      <c r="R229" s="25" t="str">
        <f t="shared" si="5"/>
        <v>Work-Home</v>
      </c>
      <c r="S229" s="43"/>
      <c r="T229" s="43"/>
      <c r="U229" s="42">
        <v>2</v>
      </c>
      <c r="V229" s="42"/>
      <c r="W229" s="43"/>
      <c r="X229" s="43"/>
      <c r="Y229" s="44" t="s">
        <v>149</v>
      </c>
      <c r="Z229" s="52">
        <v>500</v>
      </c>
      <c r="AA229" s="25">
        <f>VLOOKUP(F229,Zones!$A$2:$F$15614,6,FALSE)</f>
        <v>522</v>
      </c>
      <c r="AB229" s="25">
        <f>VLOOKUP(L229,Zones!$A$2:$F$15614,6,FALSE)</f>
        <v>521</v>
      </c>
    </row>
    <row r="230" spans="2:28">
      <c r="B230" s="39">
        <v>0.375</v>
      </c>
      <c r="C230" s="39" t="s">
        <v>480</v>
      </c>
      <c r="D230" s="40">
        <v>1</v>
      </c>
      <c r="E230" s="41">
        <v>1</v>
      </c>
      <c r="F230" s="41" t="s">
        <v>152</v>
      </c>
      <c r="G230" s="42" t="s">
        <v>148</v>
      </c>
      <c r="H230" s="41" t="s">
        <v>147</v>
      </c>
      <c r="I230" s="42"/>
      <c r="J230" s="42">
        <v>8</v>
      </c>
      <c r="K230" s="25" t="str">
        <f>VLOOKUP(J230,Key!$E$2:$F$9,2,FALSE)</f>
        <v>Others</v>
      </c>
      <c r="L230" s="41" t="s">
        <v>292</v>
      </c>
      <c r="M230" s="42" t="s">
        <v>148</v>
      </c>
      <c r="N230" s="41" t="s">
        <v>147</v>
      </c>
      <c r="O230" s="42">
        <v>8</v>
      </c>
      <c r="P230" s="42">
        <v>2</v>
      </c>
      <c r="Q230" s="25" t="str">
        <f>VLOOKUP(P230,Key!$E$2:$F$9,2,FALSE)</f>
        <v>Work</v>
      </c>
      <c r="R230" s="25" t="str">
        <f t="shared" si="5"/>
        <v>Others-Work</v>
      </c>
      <c r="S230" s="43"/>
      <c r="T230" s="43"/>
      <c r="U230" s="42">
        <v>2</v>
      </c>
      <c r="V230" s="42"/>
      <c r="W230" s="43"/>
      <c r="X230" s="43"/>
      <c r="Y230" s="44" t="s">
        <v>149</v>
      </c>
      <c r="Z230" s="52">
        <v>3000</v>
      </c>
      <c r="AA230" s="25">
        <f>VLOOKUP(F230,Zones!$A$2:$F$15614,6,FALSE)</f>
        <v>522</v>
      </c>
      <c r="AB230" s="25">
        <f>VLOOKUP(L230,Zones!$A$2:$F$15614,6,FALSE)</f>
        <v>522</v>
      </c>
    </row>
    <row r="231" spans="2:28">
      <c r="B231" s="39">
        <v>0.33333333333333331</v>
      </c>
      <c r="C231" s="39" t="s">
        <v>481</v>
      </c>
      <c r="D231" s="40">
        <v>1</v>
      </c>
      <c r="E231" s="41">
        <v>2</v>
      </c>
      <c r="F231" s="41" t="s">
        <v>183</v>
      </c>
      <c r="G231" s="42" t="s">
        <v>148</v>
      </c>
      <c r="H231" s="41" t="s">
        <v>147</v>
      </c>
      <c r="I231" s="42">
        <v>1</v>
      </c>
      <c r="J231" s="42">
        <v>1</v>
      </c>
      <c r="K231" s="25" t="str">
        <f>VLOOKUP(J231,Key!$E$2:$F$9,2,FALSE)</f>
        <v>Home</v>
      </c>
      <c r="L231" s="41" t="s">
        <v>158</v>
      </c>
      <c r="M231" s="42" t="s">
        <v>146</v>
      </c>
      <c r="N231" s="41" t="s">
        <v>147</v>
      </c>
      <c r="O231" s="42">
        <v>1</v>
      </c>
      <c r="P231" s="42">
        <v>6</v>
      </c>
      <c r="Q231" s="25" t="str">
        <f>VLOOKUP(P231,Key!$E$2:$F$9,2,FALSE)</f>
        <v>Leisure/Social</v>
      </c>
      <c r="R231" s="25" t="str">
        <f t="shared" si="5"/>
        <v>Home-Leisure/Social</v>
      </c>
      <c r="S231" s="43"/>
      <c r="T231" s="43"/>
      <c r="U231" s="42">
        <v>2</v>
      </c>
      <c r="V231" s="42"/>
      <c r="W231" s="43"/>
      <c r="X231" s="43"/>
      <c r="Y231" s="44" t="s">
        <v>149</v>
      </c>
      <c r="Z231" s="52"/>
      <c r="AA231" s="25">
        <f>VLOOKUP(F231,Zones!$A$2:$F$15614,6,FALSE)</f>
        <v>521</v>
      </c>
      <c r="AB231" s="25">
        <f>VLOOKUP(L231,Zones!$A$2:$F$15614,6,FALSE)</f>
        <v>521</v>
      </c>
    </row>
    <row r="232" spans="2:28">
      <c r="B232" s="39">
        <v>0.375</v>
      </c>
      <c r="C232" s="39" t="s">
        <v>482</v>
      </c>
      <c r="D232" s="40">
        <v>1</v>
      </c>
      <c r="E232" s="41">
        <v>2</v>
      </c>
      <c r="F232" s="41" t="s">
        <v>152</v>
      </c>
      <c r="G232" s="42" t="s">
        <v>148</v>
      </c>
      <c r="H232" s="41" t="s">
        <v>147</v>
      </c>
      <c r="I232" s="42">
        <v>1</v>
      </c>
      <c r="J232" s="42">
        <v>1</v>
      </c>
      <c r="K232" s="25" t="str">
        <f>VLOOKUP(J232,Key!$E$2:$F$9,2,FALSE)</f>
        <v>Home</v>
      </c>
      <c r="L232" s="41" t="s">
        <v>202</v>
      </c>
      <c r="M232" s="42" t="s">
        <v>148</v>
      </c>
      <c r="N232" s="41" t="s">
        <v>147</v>
      </c>
      <c r="O232" s="42">
        <v>16</v>
      </c>
      <c r="P232" s="42">
        <v>6</v>
      </c>
      <c r="Q232" s="25" t="str">
        <f>VLOOKUP(P232,Key!$E$2:$F$9,2,FALSE)</f>
        <v>Leisure/Social</v>
      </c>
      <c r="R232" s="25" t="str">
        <f t="shared" si="5"/>
        <v>Home-Leisure/Social</v>
      </c>
      <c r="S232" s="43"/>
      <c r="T232" s="43"/>
      <c r="U232" s="42">
        <v>5</v>
      </c>
      <c r="V232" s="42"/>
      <c r="W232" s="43"/>
      <c r="X232" s="43"/>
      <c r="Y232" s="44" t="s">
        <v>149</v>
      </c>
      <c r="Z232" s="52">
        <v>1000</v>
      </c>
      <c r="AA232" s="25">
        <f>VLOOKUP(F232,Zones!$A$2:$F$15614,6,FALSE)</f>
        <v>522</v>
      </c>
      <c r="AB232" s="25">
        <f>VLOOKUP(L232,Zones!$A$2:$F$15614,6,FALSE)</f>
        <v>1398</v>
      </c>
    </row>
    <row r="233" spans="2:28">
      <c r="B233" s="39">
        <v>0.53472222222222221</v>
      </c>
      <c r="C233" s="39" t="s">
        <v>483</v>
      </c>
      <c r="D233" s="40">
        <v>11</v>
      </c>
      <c r="E233" s="41">
        <v>1</v>
      </c>
      <c r="F233" s="41" t="s">
        <v>152</v>
      </c>
      <c r="G233" s="42" t="s">
        <v>148</v>
      </c>
      <c r="H233" s="41" t="s">
        <v>147</v>
      </c>
      <c r="I233" s="42">
        <v>8</v>
      </c>
      <c r="J233" s="42">
        <v>1</v>
      </c>
      <c r="K233" s="25" t="str">
        <f>VLOOKUP(J233,Key!$E$2:$F$9,2,FALSE)</f>
        <v>Home</v>
      </c>
      <c r="L233" s="41" t="s">
        <v>161</v>
      </c>
      <c r="M233" s="42" t="s">
        <v>148</v>
      </c>
      <c r="N233" s="41" t="s">
        <v>147</v>
      </c>
      <c r="O233" s="42">
        <v>8</v>
      </c>
      <c r="P233" s="42">
        <v>1</v>
      </c>
      <c r="Q233" s="25" t="str">
        <f>VLOOKUP(P233,Key!$E$2:$F$9,2,FALSE)</f>
        <v>Home</v>
      </c>
      <c r="R233" s="25" t="str">
        <f t="shared" si="5"/>
        <v>Home-Home</v>
      </c>
      <c r="S233" s="43"/>
      <c r="T233" s="43"/>
      <c r="U233" s="42">
        <v>2</v>
      </c>
      <c r="V233" s="42"/>
      <c r="W233" s="43"/>
      <c r="X233" s="43"/>
      <c r="Y233" s="44" t="s">
        <v>149</v>
      </c>
      <c r="Z233" s="52">
        <v>500</v>
      </c>
      <c r="AA233" s="25">
        <f>VLOOKUP(F233,Zones!$A$2:$F$15614,6,FALSE)</f>
        <v>522</v>
      </c>
      <c r="AB233" s="25">
        <f>VLOOKUP(L233,Zones!$A$2:$F$15614,6,FALSE)</f>
        <v>522</v>
      </c>
    </row>
    <row r="234" spans="2:28">
      <c r="B234" s="39">
        <v>0.39930555555555558</v>
      </c>
      <c r="C234" s="39" t="s">
        <v>484</v>
      </c>
      <c r="D234" s="40">
        <v>1</v>
      </c>
      <c r="E234" s="41">
        <v>2</v>
      </c>
      <c r="F234" s="41" t="s">
        <v>152</v>
      </c>
      <c r="G234" s="42" t="s">
        <v>148</v>
      </c>
      <c r="H234" s="41" t="s">
        <v>147</v>
      </c>
      <c r="I234" s="42">
        <v>1</v>
      </c>
      <c r="J234" s="42">
        <v>1</v>
      </c>
      <c r="K234" s="25" t="str">
        <f>VLOOKUP(J234,Key!$E$2:$F$9,2,FALSE)</f>
        <v>Home</v>
      </c>
      <c r="L234" s="41" t="s">
        <v>202</v>
      </c>
      <c r="M234" s="42" t="s">
        <v>148</v>
      </c>
      <c r="N234" s="41" t="s">
        <v>147</v>
      </c>
      <c r="O234" s="42">
        <v>11</v>
      </c>
      <c r="P234" s="42">
        <v>4</v>
      </c>
      <c r="Q234" s="25" t="str">
        <f>VLOOKUP(P234,Key!$E$2:$F$9,2,FALSE)</f>
        <v>Commercial</v>
      </c>
      <c r="R234" s="25" t="str">
        <f t="shared" si="5"/>
        <v>Home-Commercial</v>
      </c>
      <c r="S234" s="43"/>
      <c r="T234" s="43"/>
      <c r="U234" s="42">
        <v>2</v>
      </c>
      <c r="V234" s="42"/>
      <c r="W234" s="43"/>
      <c r="X234" s="43"/>
      <c r="Y234" s="44" t="s">
        <v>149</v>
      </c>
      <c r="Z234" s="52">
        <v>2000</v>
      </c>
      <c r="AA234" s="25">
        <f>VLOOKUP(F234,Zones!$A$2:$F$15614,6,FALSE)</f>
        <v>522</v>
      </c>
      <c r="AB234" s="25">
        <f>VLOOKUP(L234,Zones!$A$2:$F$15614,6,FALSE)</f>
        <v>1398</v>
      </c>
    </row>
    <row r="235" spans="2:28">
      <c r="B235" s="39">
        <v>0.40347222222222223</v>
      </c>
      <c r="C235" s="39" t="s">
        <v>485</v>
      </c>
      <c r="D235" s="40">
        <v>1</v>
      </c>
      <c r="E235" s="41">
        <v>1</v>
      </c>
      <c r="F235" s="41" t="s">
        <v>152</v>
      </c>
      <c r="G235" s="42" t="s">
        <v>148</v>
      </c>
      <c r="H235" s="41" t="s">
        <v>147</v>
      </c>
      <c r="I235" s="42">
        <v>1</v>
      </c>
      <c r="J235" s="42">
        <v>1</v>
      </c>
      <c r="K235" s="25" t="str">
        <f>VLOOKUP(J235,Key!$E$2:$F$9,2,FALSE)</f>
        <v>Home</v>
      </c>
      <c r="L235" s="41" t="s">
        <v>202</v>
      </c>
      <c r="M235" s="42" t="s">
        <v>148</v>
      </c>
      <c r="N235" s="41" t="s">
        <v>147</v>
      </c>
      <c r="O235" s="42">
        <v>10</v>
      </c>
      <c r="P235" s="42">
        <v>2</v>
      </c>
      <c r="Q235" s="25" t="str">
        <f>VLOOKUP(P235,Key!$E$2:$F$9,2,FALSE)</f>
        <v>Work</v>
      </c>
      <c r="R235" s="25" t="str">
        <f t="shared" si="5"/>
        <v>Home-Work</v>
      </c>
      <c r="S235" s="43"/>
      <c r="T235" s="43"/>
      <c r="U235" s="42">
        <v>2</v>
      </c>
      <c r="V235" s="42"/>
      <c r="W235" s="43"/>
      <c r="X235" s="43"/>
      <c r="Y235" s="44" t="s">
        <v>149</v>
      </c>
      <c r="Z235" s="52"/>
      <c r="AA235" s="25">
        <f>VLOOKUP(F235,Zones!$A$2:$F$15614,6,FALSE)</f>
        <v>522</v>
      </c>
      <c r="AB235" s="25">
        <f>VLOOKUP(L235,Zones!$A$2:$F$15614,6,FALSE)</f>
        <v>1398</v>
      </c>
    </row>
    <row r="236" spans="2:28">
      <c r="B236" s="39">
        <v>0.39305555555555555</v>
      </c>
      <c r="C236" s="39" t="s">
        <v>486</v>
      </c>
      <c r="D236" s="40">
        <v>1</v>
      </c>
      <c r="E236" s="41">
        <v>1</v>
      </c>
      <c r="F236" s="41" t="s">
        <v>292</v>
      </c>
      <c r="G236" s="42" t="s">
        <v>148</v>
      </c>
      <c r="H236" s="41" t="s">
        <v>147</v>
      </c>
      <c r="I236" s="42">
        <v>1</v>
      </c>
      <c r="J236" s="42">
        <v>1</v>
      </c>
      <c r="K236" s="25" t="str">
        <f>VLOOKUP(J236,Key!$E$2:$F$9,2,FALSE)</f>
        <v>Home</v>
      </c>
      <c r="L236" s="41" t="s">
        <v>461</v>
      </c>
      <c r="M236" s="42" t="s">
        <v>148</v>
      </c>
      <c r="N236" s="41" t="s">
        <v>147</v>
      </c>
      <c r="O236" s="42">
        <v>1</v>
      </c>
      <c r="P236" s="42">
        <v>6</v>
      </c>
      <c r="Q236" s="25" t="str">
        <f>VLOOKUP(P236,Key!$E$2:$F$9,2,FALSE)</f>
        <v>Leisure/Social</v>
      </c>
      <c r="R236" s="25" t="str">
        <f t="shared" si="5"/>
        <v>Home-Leisure/Social</v>
      </c>
      <c r="S236" s="43">
        <v>2</v>
      </c>
      <c r="T236" s="43">
        <v>0.3</v>
      </c>
      <c r="U236" s="42">
        <v>2</v>
      </c>
      <c r="V236" s="42"/>
      <c r="W236" s="43"/>
      <c r="X236" s="43"/>
      <c r="Y236" s="44" t="s">
        <v>149</v>
      </c>
      <c r="Z236" s="52">
        <v>1000</v>
      </c>
      <c r="AA236" s="25">
        <f>VLOOKUP(F236,Zones!$A$2:$F$15614,6,FALSE)</f>
        <v>522</v>
      </c>
      <c r="AB236" s="25">
        <f>VLOOKUP(L236,Zones!$A$2:$F$15614,6,FALSE)</f>
        <v>521</v>
      </c>
    </row>
    <row r="237" spans="2:28">
      <c r="B237" s="39">
        <v>0.4236111111111111</v>
      </c>
      <c r="C237" s="39" t="s">
        <v>487</v>
      </c>
      <c r="D237" s="40">
        <v>1</v>
      </c>
      <c r="E237" s="41">
        <v>3</v>
      </c>
      <c r="F237" s="41" t="s">
        <v>2417</v>
      </c>
      <c r="G237" s="42" t="s">
        <v>148</v>
      </c>
      <c r="H237" s="41" t="s">
        <v>147</v>
      </c>
      <c r="I237" s="42">
        <v>1</v>
      </c>
      <c r="J237" s="42">
        <v>1</v>
      </c>
      <c r="K237" s="25" t="str">
        <f>VLOOKUP(J237,Key!$E$2:$F$9,2,FALSE)</f>
        <v>Home</v>
      </c>
      <c r="L237" s="41" t="s">
        <v>158</v>
      </c>
      <c r="M237" s="42" t="s">
        <v>146</v>
      </c>
      <c r="N237" s="41" t="s">
        <v>147</v>
      </c>
      <c r="O237" s="42">
        <v>5</v>
      </c>
      <c r="P237" s="42">
        <v>7</v>
      </c>
      <c r="Q237" s="25" t="str">
        <f>VLOOKUP(P237,Key!$E$2:$F$9,2,FALSE)</f>
        <v>Hospital</v>
      </c>
      <c r="R237" s="25" t="str">
        <f t="shared" si="5"/>
        <v>Home-Hospital</v>
      </c>
      <c r="S237" s="43"/>
      <c r="T237" s="43"/>
      <c r="U237" s="42">
        <v>2</v>
      </c>
      <c r="V237" s="42"/>
      <c r="W237" s="43"/>
      <c r="X237" s="43"/>
      <c r="Y237" s="44" t="s">
        <v>149</v>
      </c>
      <c r="Z237" s="52">
        <v>2000</v>
      </c>
      <c r="AA237" s="25">
        <f>VLOOKUP(F237,Zones!$A$2:$F$15614,6,FALSE)</f>
        <v>1409</v>
      </c>
      <c r="AB237" s="25">
        <f>VLOOKUP(L237,Zones!$A$2:$F$15614,6,FALSE)</f>
        <v>521</v>
      </c>
    </row>
    <row r="238" spans="2:28">
      <c r="B238" s="39">
        <v>0.41666666666666669</v>
      </c>
      <c r="C238" s="39" t="s">
        <v>489</v>
      </c>
      <c r="D238" s="40">
        <v>1</v>
      </c>
      <c r="E238" s="41">
        <v>2</v>
      </c>
      <c r="F238" s="41" t="s">
        <v>158</v>
      </c>
      <c r="G238" s="42" t="s">
        <v>146</v>
      </c>
      <c r="H238" s="41" t="s">
        <v>147</v>
      </c>
      <c r="I238" s="42">
        <v>7</v>
      </c>
      <c r="J238" s="42">
        <v>4</v>
      </c>
      <c r="K238" s="25" t="str">
        <f>VLOOKUP(J238,Key!$E$2:$F$9,2,FALSE)</f>
        <v>Commercial</v>
      </c>
      <c r="L238" s="41" t="s">
        <v>292</v>
      </c>
      <c r="M238" s="42" t="s">
        <v>148</v>
      </c>
      <c r="N238" s="41" t="s">
        <v>147</v>
      </c>
      <c r="O238" s="42">
        <v>1</v>
      </c>
      <c r="P238" s="42">
        <v>1</v>
      </c>
      <c r="Q238" s="25" t="str">
        <f>VLOOKUP(P238,Key!$E$2:$F$9,2,FALSE)</f>
        <v>Home</v>
      </c>
      <c r="R238" s="25" t="str">
        <f t="shared" si="5"/>
        <v>Commercial-Home</v>
      </c>
      <c r="S238" s="43"/>
      <c r="T238" s="43"/>
      <c r="U238" s="42">
        <v>2</v>
      </c>
      <c r="V238" s="42"/>
      <c r="W238" s="43"/>
      <c r="X238" s="43"/>
      <c r="Y238" s="44" t="s">
        <v>149</v>
      </c>
      <c r="Z238" s="52">
        <v>1000</v>
      </c>
      <c r="AA238" s="25">
        <f>VLOOKUP(F238,Zones!$A$2:$F$15614,6,FALSE)</f>
        <v>521</v>
      </c>
      <c r="AB238" s="25">
        <f>VLOOKUP(L238,Zones!$A$2:$F$15614,6,FALSE)</f>
        <v>522</v>
      </c>
    </row>
    <row r="239" spans="2:28">
      <c r="B239" s="39">
        <v>0.44791666666666669</v>
      </c>
      <c r="C239" s="39" t="s">
        <v>490</v>
      </c>
      <c r="D239" s="40">
        <v>1</v>
      </c>
      <c r="E239" s="41">
        <v>1</v>
      </c>
      <c r="F239" s="41" t="s">
        <v>158</v>
      </c>
      <c r="G239" s="42" t="s">
        <v>146</v>
      </c>
      <c r="H239" s="41" t="s">
        <v>147</v>
      </c>
      <c r="I239" s="42">
        <v>3</v>
      </c>
      <c r="J239" s="42">
        <v>2</v>
      </c>
      <c r="K239" s="25" t="str">
        <f>VLOOKUP(J239,Key!$E$2:$F$9,2,FALSE)</f>
        <v>Work</v>
      </c>
      <c r="L239" s="41" t="s">
        <v>2177</v>
      </c>
      <c r="M239" s="42" t="s">
        <v>148</v>
      </c>
      <c r="N239" s="41" t="s">
        <v>147</v>
      </c>
      <c r="O239" s="42">
        <v>7</v>
      </c>
      <c r="P239" s="42">
        <v>4</v>
      </c>
      <c r="Q239" s="25" t="str">
        <f>VLOOKUP(P239,Key!$E$2:$F$9,2,FALSE)</f>
        <v>Commercial</v>
      </c>
      <c r="R239" s="25" t="str">
        <f t="shared" si="5"/>
        <v>Work-Commercial</v>
      </c>
      <c r="S239" s="43">
        <v>4</v>
      </c>
      <c r="T239" s="43">
        <v>1.5</v>
      </c>
      <c r="U239" s="42">
        <v>2</v>
      </c>
      <c r="V239" s="42"/>
      <c r="W239" s="43"/>
      <c r="X239" s="43"/>
      <c r="Y239" s="44" t="s">
        <v>149</v>
      </c>
      <c r="Z239" s="52">
        <v>2000</v>
      </c>
      <c r="AA239" s="25">
        <f>VLOOKUP(F239,Zones!$A$2:$F$15614,6,FALSE)</f>
        <v>521</v>
      </c>
      <c r="AB239" s="25">
        <f>VLOOKUP(L239,Zones!$A$2:$F$15614,6,FALSE)</f>
        <v>1407</v>
      </c>
    </row>
    <row r="240" spans="2:28">
      <c r="B240" s="39">
        <v>0.42708333333333331</v>
      </c>
      <c r="C240" s="39" t="s">
        <v>491</v>
      </c>
      <c r="D240" s="40">
        <v>1</v>
      </c>
      <c r="E240" s="41">
        <v>2</v>
      </c>
      <c r="F240" s="41" t="s">
        <v>2414</v>
      </c>
      <c r="G240" s="42" t="s">
        <v>148</v>
      </c>
      <c r="H240" s="41" t="s">
        <v>147</v>
      </c>
      <c r="I240" s="42">
        <v>1</v>
      </c>
      <c r="J240" s="42">
        <v>1</v>
      </c>
      <c r="K240" s="25" t="str">
        <f>VLOOKUP(J240,Key!$E$2:$F$9,2,FALSE)</f>
        <v>Home</v>
      </c>
      <c r="L240" s="41" t="s">
        <v>161</v>
      </c>
      <c r="M240" s="42" t="s">
        <v>148</v>
      </c>
      <c r="N240" s="41" t="s">
        <v>147</v>
      </c>
      <c r="O240" s="42">
        <v>9</v>
      </c>
      <c r="P240" s="42">
        <v>3</v>
      </c>
      <c r="Q240" s="25" t="str">
        <f>VLOOKUP(P240,Key!$E$2:$F$9,2,FALSE)</f>
        <v>Study</v>
      </c>
      <c r="R240" s="25" t="str">
        <f t="shared" si="5"/>
        <v>Home-Study</v>
      </c>
      <c r="S240" s="43">
        <v>3</v>
      </c>
      <c r="T240" s="43">
        <v>0.5</v>
      </c>
      <c r="U240" s="42">
        <v>2</v>
      </c>
      <c r="V240" s="42"/>
      <c r="W240" s="43"/>
      <c r="X240" s="43"/>
      <c r="Y240" s="44" t="s">
        <v>149</v>
      </c>
      <c r="Z240" s="52">
        <v>200</v>
      </c>
      <c r="AA240" s="25">
        <f>VLOOKUP(F240,Zones!$A$2:$F$15614,6,FALSE)</f>
        <v>579</v>
      </c>
      <c r="AB240" s="25">
        <f>VLOOKUP(L240,Zones!$A$2:$F$15614,6,FALSE)</f>
        <v>522</v>
      </c>
    </row>
    <row r="241" spans="2:28">
      <c r="B241" s="39">
        <v>0.45277777777777778</v>
      </c>
      <c r="C241" s="39" t="s">
        <v>441</v>
      </c>
      <c r="D241" s="40">
        <v>1</v>
      </c>
      <c r="E241" s="41">
        <v>2</v>
      </c>
      <c r="F241" s="41" t="s">
        <v>183</v>
      </c>
      <c r="G241" s="42" t="s">
        <v>148</v>
      </c>
      <c r="H241" s="41" t="s">
        <v>147</v>
      </c>
      <c r="I241" s="42">
        <v>1</v>
      </c>
      <c r="J241" s="42">
        <v>1</v>
      </c>
      <c r="K241" s="25" t="str">
        <f>VLOOKUP(J241,Key!$E$2:$F$9,2,FALSE)</f>
        <v>Home</v>
      </c>
      <c r="L241" s="41" t="s">
        <v>158</v>
      </c>
      <c r="M241" s="42" t="s">
        <v>148</v>
      </c>
      <c r="N241" s="41" t="s">
        <v>147</v>
      </c>
      <c r="O241" s="42">
        <v>12</v>
      </c>
      <c r="P241" s="42">
        <v>5</v>
      </c>
      <c r="Q241" s="25" t="str">
        <f>VLOOKUP(P241,Key!$E$2:$F$9,2,FALSE)</f>
        <v>Tourism</v>
      </c>
      <c r="R241" s="25" t="str">
        <f t="shared" si="5"/>
        <v>Home-Tourism</v>
      </c>
      <c r="S241" s="43"/>
      <c r="T241" s="43"/>
      <c r="U241" s="42">
        <v>2</v>
      </c>
      <c r="V241" s="42"/>
      <c r="W241" s="43"/>
      <c r="X241" s="43"/>
      <c r="Y241" s="44" t="s">
        <v>149</v>
      </c>
      <c r="Z241" s="52"/>
      <c r="AA241" s="25">
        <f>VLOOKUP(F241,Zones!$A$2:$F$15614,6,FALSE)</f>
        <v>521</v>
      </c>
      <c r="AB241" s="25">
        <f>VLOOKUP(L241,Zones!$A$2:$F$15614,6,FALSE)</f>
        <v>521</v>
      </c>
    </row>
    <row r="242" spans="2:28">
      <c r="B242" s="39">
        <v>0.4513888888888889</v>
      </c>
      <c r="C242" s="39" t="s">
        <v>441</v>
      </c>
      <c r="D242" s="40">
        <v>1</v>
      </c>
      <c r="E242" s="41">
        <v>1</v>
      </c>
      <c r="F242" s="41" t="s">
        <v>158</v>
      </c>
      <c r="G242" s="42" t="s">
        <v>146</v>
      </c>
      <c r="H242" s="41" t="s">
        <v>147</v>
      </c>
      <c r="I242" s="42">
        <v>1</v>
      </c>
      <c r="J242" s="42">
        <v>1</v>
      </c>
      <c r="K242" s="25" t="str">
        <f>VLOOKUP(J242,Key!$E$2:$F$9,2,FALSE)</f>
        <v>Home</v>
      </c>
      <c r="L242" s="41" t="s">
        <v>161</v>
      </c>
      <c r="M242" s="42" t="s">
        <v>148</v>
      </c>
      <c r="N242" s="41" t="s">
        <v>147</v>
      </c>
      <c r="O242" s="42">
        <v>12</v>
      </c>
      <c r="P242" s="42">
        <v>5</v>
      </c>
      <c r="Q242" s="25" t="str">
        <f>VLOOKUP(P242,Key!$E$2:$F$9,2,FALSE)</f>
        <v>Tourism</v>
      </c>
      <c r="R242" s="25" t="str">
        <f t="shared" ref="R242:R244" si="6">K242&amp;"-"&amp;Q242</f>
        <v>Home-Tourism</v>
      </c>
      <c r="S242" s="43"/>
      <c r="T242" s="43"/>
      <c r="U242" s="42">
        <v>2</v>
      </c>
      <c r="V242" s="42"/>
      <c r="W242" s="43"/>
      <c r="X242" s="43"/>
      <c r="Y242" s="44" t="s">
        <v>149</v>
      </c>
      <c r="Z242" s="52"/>
      <c r="AA242" s="25">
        <f>VLOOKUP(F242,Zones!$A$2:$F$15614,6,FALSE)</f>
        <v>521</v>
      </c>
      <c r="AB242" s="25">
        <f>VLOOKUP(L242,Zones!$A$2:$F$15614,6,FALSE)</f>
        <v>522</v>
      </c>
    </row>
    <row r="243" spans="2:28">
      <c r="B243" s="39">
        <v>0.44097222222222227</v>
      </c>
      <c r="C243" s="39" t="s">
        <v>492</v>
      </c>
      <c r="D243" s="40">
        <v>1</v>
      </c>
      <c r="E243" s="41">
        <v>2</v>
      </c>
      <c r="F243" s="41" t="s">
        <v>158</v>
      </c>
      <c r="G243" s="42" t="s">
        <v>148</v>
      </c>
      <c r="H243" s="41" t="s">
        <v>147</v>
      </c>
      <c r="I243" s="42">
        <v>1</v>
      </c>
      <c r="J243" s="42">
        <v>1</v>
      </c>
      <c r="K243" s="25" t="str">
        <f>VLOOKUP(J243,Key!$E$2:$F$9,2,FALSE)</f>
        <v>Home</v>
      </c>
      <c r="L243" s="41" t="s">
        <v>461</v>
      </c>
      <c r="M243" s="42" t="s">
        <v>148</v>
      </c>
      <c r="N243" s="41" t="s">
        <v>147</v>
      </c>
      <c r="O243" s="42">
        <v>12</v>
      </c>
      <c r="P243" s="42">
        <v>6</v>
      </c>
      <c r="Q243" s="25" t="str">
        <f>VLOOKUP(P243,Key!$E$2:$F$9,2,FALSE)</f>
        <v>Leisure/Social</v>
      </c>
      <c r="R243" s="25" t="str">
        <f t="shared" si="6"/>
        <v>Home-Leisure/Social</v>
      </c>
      <c r="S243" s="43"/>
      <c r="T243" s="43"/>
      <c r="U243" s="42">
        <v>4</v>
      </c>
      <c r="V243" s="42"/>
      <c r="W243" s="43"/>
      <c r="X243" s="43"/>
      <c r="Y243" s="44" t="s">
        <v>149</v>
      </c>
      <c r="Z243" s="52">
        <v>300</v>
      </c>
      <c r="AA243" s="25">
        <f>VLOOKUP(F243,Zones!$A$2:$F$15614,6,FALSE)</f>
        <v>521</v>
      </c>
      <c r="AB243" s="25">
        <f>VLOOKUP(L243,Zones!$A$2:$F$15614,6,FALSE)</f>
        <v>521</v>
      </c>
    </row>
    <row r="244" spans="2:28">
      <c r="B244" s="39">
        <v>0.4548611111111111</v>
      </c>
      <c r="C244" s="39" t="s">
        <v>467</v>
      </c>
      <c r="D244" s="40">
        <v>1</v>
      </c>
      <c r="E244" s="41">
        <v>3</v>
      </c>
      <c r="F244" s="41" t="s">
        <v>163</v>
      </c>
      <c r="G244" s="42" t="s">
        <v>148</v>
      </c>
      <c r="H244" s="41" t="s">
        <v>147</v>
      </c>
      <c r="I244" s="42">
        <v>1</v>
      </c>
      <c r="J244" s="42">
        <v>1</v>
      </c>
      <c r="K244" s="25" t="str">
        <f>VLOOKUP(J244,Key!$E$2:$F$9,2,FALSE)</f>
        <v>Home</v>
      </c>
      <c r="L244" s="41" t="s">
        <v>158</v>
      </c>
      <c r="M244" s="42" t="s">
        <v>146</v>
      </c>
      <c r="N244" s="41" t="s">
        <v>147</v>
      </c>
      <c r="O244" s="42">
        <v>11</v>
      </c>
      <c r="P244" s="42">
        <v>4</v>
      </c>
      <c r="Q244" s="25" t="str">
        <f>VLOOKUP(P244,Key!$E$2:$F$9,2,FALSE)</f>
        <v>Commercial</v>
      </c>
      <c r="R244" s="25" t="str">
        <f t="shared" si="6"/>
        <v>Home-Commercial</v>
      </c>
      <c r="S244" s="43"/>
      <c r="T244" s="43"/>
      <c r="U244" s="42">
        <v>1</v>
      </c>
      <c r="V244" s="42"/>
      <c r="W244" s="43"/>
      <c r="X244" s="43"/>
      <c r="Y244" s="44" t="s">
        <v>149</v>
      </c>
      <c r="Z244" s="52">
        <v>1000</v>
      </c>
      <c r="AA244" s="25">
        <f>VLOOKUP(F244,Zones!$A$2:$F$15614,6,FALSE)</f>
        <v>1407</v>
      </c>
      <c r="AB244" s="25">
        <f>VLOOKUP(L244,Zones!$A$2:$F$15614,6,FALSE)</f>
        <v>521</v>
      </c>
    </row>
    <row r="245" spans="2:28">
      <c r="B245" s="39">
        <v>0.27083333333333331</v>
      </c>
      <c r="C245" s="39" t="s">
        <v>180</v>
      </c>
      <c r="D245" s="40">
        <v>2</v>
      </c>
      <c r="E245" s="40">
        <v>1</v>
      </c>
      <c r="F245" s="41" t="s">
        <v>158</v>
      </c>
      <c r="G245" s="41" t="s">
        <v>146</v>
      </c>
      <c r="H245" s="41" t="s">
        <v>147</v>
      </c>
      <c r="I245" s="56">
        <v>2</v>
      </c>
      <c r="J245" s="56">
        <v>2</v>
      </c>
      <c r="K245" s="25" t="str">
        <f>VLOOKUP(J245,Key!$E$2:$F$9,2,FALSE)</f>
        <v>Work</v>
      </c>
      <c r="L245" s="41" t="s">
        <v>181</v>
      </c>
      <c r="M245" s="42" t="s">
        <v>146</v>
      </c>
      <c r="N245" s="44" t="s">
        <v>147</v>
      </c>
      <c r="O245" s="42">
        <v>1</v>
      </c>
      <c r="P245" s="42">
        <v>1</v>
      </c>
      <c r="Q245" s="25" t="str">
        <f>VLOOKUP(P245,Key!$E$2:$F$9,2,FALSE)</f>
        <v>Home</v>
      </c>
      <c r="R245" s="25" t="str">
        <f>K245&amp;"-"&amp;Q245</f>
        <v>Work-Home</v>
      </c>
      <c r="S245" s="43">
        <v>2</v>
      </c>
      <c r="T245" s="43">
        <v>2</v>
      </c>
      <c r="U245" s="51">
        <v>2</v>
      </c>
      <c r="V245" s="51"/>
      <c r="W245" s="43"/>
      <c r="X245" s="43"/>
      <c r="Y245" s="44" t="s">
        <v>149</v>
      </c>
      <c r="Z245" s="52"/>
      <c r="AA245" s="25">
        <f>VLOOKUP(F245,Zones!$A$2:$F$15614,6,FALSE)</f>
        <v>521</v>
      </c>
      <c r="AB245" s="25">
        <f>VLOOKUP(L245,Zones!$A$2:$F$15614,6,FALSE)</f>
        <v>536</v>
      </c>
    </row>
    <row r="246" spans="2:28">
      <c r="B246" s="39">
        <v>0.27777777777777779</v>
      </c>
      <c r="C246" s="39" t="s">
        <v>182</v>
      </c>
      <c r="D246" s="40">
        <v>1</v>
      </c>
      <c r="E246" s="40">
        <v>2</v>
      </c>
      <c r="F246" s="41" t="s">
        <v>158</v>
      </c>
      <c r="G246" s="41" t="s">
        <v>146</v>
      </c>
      <c r="H246" s="41" t="s">
        <v>147</v>
      </c>
      <c r="I246" s="56">
        <v>2</v>
      </c>
      <c r="J246" s="56">
        <v>2</v>
      </c>
      <c r="K246" s="25" t="str">
        <f>VLOOKUP(J246,Key!$E$2:$F$9,2,FALSE)</f>
        <v>Work</v>
      </c>
      <c r="L246" s="41" t="s">
        <v>183</v>
      </c>
      <c r="M246" s="42" t="s">
        <v>146</v>
      </c>
      <c r="N246" s="44" t="s">
        <v>147</v>
      </c>
      <c r="O246" s="42">
        <v>1</v>
      </c>
      <c r="P246" s="42">
        <v>1</v>
      </c>
      <c r="Q246" s="25" t="str">
        <f>VLOOKUP(P246,Key!$E$2:$F$9,2,FALSE)</f>
        <v>Home</v>
      </c>
      <c r="R246" s="25" t="str">
        <f>K246&amp;"-"&amp;Q246</f>
        <v>Work-Home</v>
      </c>
      <c r="S246" s="43">
        <v>4</v>
      </c>
      <c r="T246" s="43">
        <v>2</v>
      </c>
      <c r="U246" s="51">
        <v>2</v>
      </c>
      <c r="V246" s="51"/>
      <c r="W246" s="43"/>
      <c r="X246" s="43"/>
      <c r="Y246" s="44" t="s">
        <v>149</v>
      </c>
      <c r="Z246" s="52">
        <v>1000</v>
      </c>
      <c r="AA246" s="25">
        <f>VLOOKUP(F246,Zones!$A$2:$F$15614,6,FALSE)</f>
        <v>521</v>
      </c>
      <c r="AB246" s="25">
        <f>VLOOKUP(L246,Zones!$A$2:$F$15614,6,FALSE)</f>
        <v>521</v>
      </c>
    </row>
    <row r="247" spans="2:28">
      <c r="B247" s="39">
        <v>0.16666666666666666</v>
      </c>
      <c r="C247" s="39" t="s">
        <v>184</v>
      </c>
      <c r="D247" s="40">
        <v>1</v>
      </c>
      <c r="E247" s="40">
        <v>2</v>
      </c>
      <c r="F247" s="41" t="s">
        <v>158</v>
      </c>
      <c r="G247" s="41" t="s">
        <v>146</v>
      </c>
      <c r="H247" s="41" t="s">
        <v>147</v>
      </c>
      <c r="I247" s="56">
        <v>1</v>
      </c>
      <c r="J247" s="56">
        <v>1</v>
      </c>
      <c r="K247" s="25" t="str">
        <f>VLOOKUP(J247,Key!$E$2:$F$9,2,FALSE)</f>
        <v>Home</v>
      </c>
      <c r="L247" s="41" t="s">
        <v>376</v>
      </c>
      <c r="M247" s="42" t="s">
        <v>146</v>
      </c>
      <c r="N247" s="44" t="s">
        <v>147</v>
      </c>
      <c r="O247" s="42">
        <v>2</v>
      </c>
      <c r="P247" s="42">
        <v>2</v>
      </c>
      <c r="Q247" s="25" t="str">
        <f>VLOOKUP(P247,Key!$E$2:$F$9,2,FALSE)</f>
        <v>Work</v>
      </c>
      <c r="R247" s="25" t="str">
        <f>K247&amp;"-"&amp;Q247</f>
        <v>Home-Work</v>
      </c>
      <c r="S247" s="43">
        <v>1</v>
      </c>
      <c r="T247" s="43">
        <v>0.4</v>
      </c>
      <c r="U247" s="51">
        <v>2</v>
      </c>
      <c r="V247" s="51"/>
      <c r="W247" s="43"/>
      <c r="X247" s="43"/>
      <c r="Y247" s="44" t="s">
        <v>149</v>
      </c>
      <c r="Z247" s="52">
        <v>500</v>
      </c>
      <c r="AA247" s="25">
        <f>VLOOKUP(F247,Zones!$A$2:$F$15614,6,FALSE)</f>
        <v>521</v>
      </c>
      <c r="AB247" s="25">
        <f>VLOOKUP(L247,Zones!$A$2:$F$15614,6,FALSE)</f>
        <v>522</v>
      </c>
    </row>
    <row r="248" spans="2:28">
      <c r="B248" s="39">
        <v>0.25</v>
      </c>
      <c r="C248" s="39" t="s">
        <v>185</v>
      </c>
      <c r="D248" s="40">
        <v>1</v>
      </c>
      <c r="E248" s="40">
        <v>2</v>
      </c>
      <c r="F248" s="41" t="s">
        <v>158</v>
      </c>
      <c r="G248" s="41" t="s">
        <v>146</v>
      </c>
      <c r="H248" s="41" t="s">
        <v>147</v>
      </c>
      <c r="I248" s="56">
        <v>2</v>
      </c>
      <c r="J248" s="56">
        <v>2</v>
      </c>
      <c r="K248" s="25" t="str">
        <f>VLOOKUP(J248,Key!$E$2:$F$9,2,FALSE)</f>
        <v>Work</v>
      </c>
      <c r="L248" s="41" t="s">
        <v>186</v>
      </c>
      <c r="M248" s="42" t="s">
        <v>146</v>
      </c>
      <c r="N248" s="44" t="s">
        <v>147</v>
      </c>
      <c r="O248" s="42">
        <v>1</v>
      </c>
      <c r="P248" s="42">
        <v>1</v>
      </c>
      <c r="Q248" s="25" t="str">
        <f>VLOOKUP(P248,Key!$E$2:$F$9,2,FALSE)</f>
        <v>Home</v>
      </c>
      <c r="R248" s="25" t="str">
        <f>K248&amp;"-"&amp;Q248</f>
        <v>Work-Home</v>
      </c>
      <c r="S248" s="43">
        <v>2</v>
      </c>
      <c r="T248" s="43">
        <v>1</v>
      </c>
      <c r="U248" s="51">
        <v>2</v>
      </c>
      <c r="V248" s="51"/>
      <c r="W248" s="43"/>
      <c r="X248" s="43"/>
      <c r="Y248" s="44" t="s">
        <v>149</v>
      </c>
      <c r="Z248" s="52">
        <v>500</v>
      </c>
      <c r="AA248" s="25">
        <f>VLOOKUP(F248,Zones!$A$2:$F$15614,6,FALSE)</f>
        <v>521</v>
      </c>
      <c r="AB248" s="25">
        <f>VLOOKUP(L248,Zones!$A$2:$F$15614,6,FALSE)</f>
        <v>565</v>
      </c>
    </row>
    <row r="250" spans="2:28">
      <c r="N250" s="83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4"/>
  <sheetViews>
    <sheetView topLeftCell="A1588" workbookViewId="0">
      <selection activeCell="A1597" sqref="A1597"/>
    </sheetView>
  </sheetViews>
  <sheetFormatPr defaultRowHeight="15"/>
  <cols>
    <col min="1" max="1" width="23.28515625" style="61" customWidth="1"/>
    <col min="2" max="2" width="17.85546875" style="61" customWidth="1"/>
    <col min="3" max="3" width="15" style="61" customWidth="1"/>
    <col min="4" max="4" width="23.5703125" style="61" customWidth="1"/>
    <col min="5" max="5" width="17.7109375" style="61" customWidth="1"/>
    <col min="6" max="6" width="9.140625" style="61"/>
    <col min="7" max="7" width="35.42578125" style="61" customWidth="1"/>
    <col min="8" max="16384" width="9.140625" style="61"/>
  </cols>
  <sheetData>
    <row r="1" spans="1:6">
      <c r="A1" s="80" t="s">
        <v>497</v>
      </c>
      <c r="B1" s="80" t="s">
        <v>498</v>
      </c>
      <c r="C1" s="80" t="s">
        <v>499</v>
      </c>
      <c r="D1" s="80" t="s">
        <v>500</v>
      </c>
      <c r="E1" s="80" t="s">
        <v>501</v>
      </c>
      <c r="F1" s="81" t="s">
        <v>502</v>
      </c>
    </row>
    <row r="2" spans="1:6">
      <c r="A2" s="79" t="s">
        <v>503</v>
      </c>
      <c r="B2" s="79" t="s">
        <v>503</v>
      </c>
      <c r="C2" s="79" t="s">
        <v>504</v>
      </c>
      <c r="D2" s="79" t="str">
        <f>A2</f>
        <v>Abim</v>
      </c>
      <c r="E2" s="79"/>
      <c r="F2" s="79">
        <v>1</v>
      </c>
    </row>
    <row r="3" spans="1:6">
      <c r="A3" s="79" t="s">
        <v>505</v>
      </c>
      <c r="B3" s="79" t="s">
        <v>503</v>
      </c>
      <c r="C3" s="79" t="s">
        <v>504</v>
      </c>
      <c r="D3" s="79" t="str">
        <f t="shared" ref="D3:D66" si="0">A3</f>
        <v>Abim Town Council</v>
      </c>
      <c r="E3" s="79"/>
      <c r="F3" s="79">
        <v>2</v>
      </c>
    </row>
    <row r="4" spans="1:6">
      <c r="A4" s="79" t="s">
        <v>506</v>
      </c>
      <c r="B4" s="79" t="s">
        <v>503</v>
      </c>
      <c r="C4" s="79" t="s">
        <v>504</v>
      </c>
      <c r="D4" s="79" t="str">
        <f t="shared" si="0"/>
        <v>Alerek</v>
      </c>
      <c r="E4" s="79"/>
      <c r="F4" s="79">
        <v>3</v>
      </c>
    </row>
    <row r="5" spans="1:6">
      <c r="A5" s="79" t="s">
        <v>507</v>
      </c>
      <c r="B5" s="79" t="s">
        <v>503</v>
      </c>
      <c r="C5" s="79" t="s">
        <v>504</v>
      </c>
      <c r="D5" s="79" t="str">
        <f t="shared" si="0"/>
        <v>Lotukei</v>
      </c>
      <c r="E5" s="79"/>
      <c r="F5" s="79">
        <v>4</v>
      </c>
    </row>
    <row r="6" spans="1:6">
      <c r="A6" s="79" t="s">
        <v>508</v>
      </c>
      <c r="B6" s="79" t="s">
        <v>503</v>
      </c>
      <c r="C6" s="79" t="s">
        <v>504</v>
      </c>
      <c r="D6" s="79" t="str">
        <f t="shared" si="0"/>
        <v>Morulem</v>
      </c>
      <c r="E6" s="79"/>
      <c r="F6" s="79">
        <v>5</v>
      </c>
    </row>
    <row r="7" spans="1:6">
      <c r="A7" s="79" t="s">
        <v>509</v>
      </c>
      <c r="B7" s="79" t="s">
        <v>503</v>
      </c>
      <c r="C7" s="79" t="s">
        <v>504</v>
      </c>
      <c r="D7" s="79" t="str">
        <f t="shared" si="0"/>
        <v>Nyakwae</v>
      </c>
      <c r="E7" s="79"/>
      <c r="F7" s="79">
        <v>6</v>
      </c>
    </row>
    <row r="8" spans="1:6">
      <c r="A8" s="79" t="s">
        <v>510</v>
      </c>
      <c r="B8" s="79" t="s">
        <v>511</v>
      </c>
      <c r="C8" s="79" t="s">
        <v>512</v>
      </c>
      <c r="D8" s="79" t="str">
        <f t="shared" si="0"/>
        <v>Adjumani Town Council</v>
      </c>
      <c r="E8" s="79"/>
      <c r="F8" s="79">
        <v>7</v>
      </c>
    </row>
    <row r="9" spans="1:6">
      <c r="A9" s="79" t="s">
        <v>513</v>
      </c>
      <c r="B9" s="79" t="s">
        <v>511</v>
      </c>
      <c r="C9" s="79" t="s">
        <v>512</v>
      </c>
      <c r="D9" s="79" t="str">
        <f t="shared" si="0"/>
        <v>Adropi</v>
      </c>
      <c r="E9" s="79"/>
      <c r="F9" s="79">
        <v>8</v>
      </c>
    </row>
    <row r="10" spans="1:6">
      <c r="A10" s="79" t="s">
        <v>514</v>
      </c>
      <c r="B10" s="79" t="s">
        <v>511</v>
      </c>
      <c r="C10" s="79" t="s">
        <v>512</v>
      </c>
      <c r="D10" s="79" t="str">
        <f t="shared" si="0"/>
        <v>Arinyapi</v>
      </c>
      <c r="E10" s="79"/>
      <c r="F10" s="79">
        <v>9</v>
      </c>
    </row>
    <row r="11" spans="1:6">
      <c r="A11" s="79" t="s">
        <v>515</v>
      </c>
      <c r="B11" s="79" t="s">
        <v>511</v>
      </c>
      <c r="C11" s="79" t="s">
        <v>512</v>
      </c>
      <c r="D11" s="79" t="str">
        <f t="shared" si="0"/>
        <v>Ciforo</v>
      </c>
      <c r="E11" s="79"/>
      <c r="F11" s="79">
        <v>10</v>
      </c>
    </row>
    <row r="12" spans="1:6">
      <c r="A12" s="79" t="s">
        <v>516</v>
      </c>
      <c r="B12" s="79" t="s">
        <v>511</v>
      </c>
      <c r="C12" s="79" t="s">
        <v>512</v>
      </c>
      <c r="D12" s="79" t="str">
        <f t="shared" si="0"/>
        <v>Dzaipi</v>
      </c>
      <c r="E12" s="79"/>
      <c r="F12" s="79">
        <v>11</v>
      </c>
    </row>
    <row r="13" spans="1:6">
      <c r="A13" s="79" t="s">
        <v>517</v>
      </c>
      <c r="B13" s="79" t="s">
        <v>511</v>
      </c>
      <c r="C13" s="79" t="s">
        <v>512</v>
      </c>
      <c r="D13" s="79" t="str">
        <f t="shared" si="0"/>
        <v>Itirikwa</v>
      </c>
      <c r="E13" s="79"/>
      <c r="F13" s="79">
        <v>12</v>
      </c>
    </row>
    <row r="14" spans="1:6">
      <c r="A14" s="79" t="s">
        <v>518</v>
      </c>
      <c r="B14" s="79" t="s">
        <v>511</v>
      </c>
      <c r="C14" s="79" t="s">
        <v>512</v>
      </c>
      <c r="D14" s="79" t="str">
        <f t="shared" si="0"/>
        <v>Ofua</v>
      </c>
      <c r="E14" s="79"/>
      <c r="F14" s="79">
        <v>13</v>
      </c>
    </row>
    <row r="15" spans="1:6">
      <c r="A15" s="79" t="s">
        <v>519</v>
      </c>
      <c r="B15" s="79" t="s">
        <v>511</v>
      </c>
      <c r="C15" s="79" t="s">
        <v>512</v>
      </c>
      <c r="D15" s="79" t="str">
        <f t="shared" si="0"/>
        <v>Pacara</v>
      </c>
      <c r="E15" s="79"/>
      <c r="F15" s="79">
        <v>14</v>
      </c>
    </row>
    <row r="16" spans="1:6">
      <c r="A16" s="79" t="s">
        <v>520</v>
      </c>
      <c r="B16" s="79" t="s">
        <v>511</v>
      </c>
      <c r="C16" s="79" t="s">
        <v>512</v>
      </c>
      <c r="D16" s="79" t="str">
        <f t="shared" si="0"/>
        <v>Pakele</v>
      </c>
      <c r="E16" s="79"/>
      <c r="F16" s="79">
        <v>15</v>
      </c>
    </row>
    <row r="17" spans="1:6">
      <c r="A17" s="79" t="s">
        <v>521</v>
      </c>
      <c r="B17" s="79" t="s">
        <v>511</v>
      </c>
      <c r="C17" s="79" t="s">
        <v>512</v>
      </c>
      <c r="D17" s="79" t="str">
        <f t="shared" si="0"/>
        <v>Ukusijoni</v>
      </c>
      <c r="E17" s="79"/>
      <c r="F17" s="79">
        <v>16</v>
      </c>
    </row>
    <row r="18" spans="1:6">
      <c r="A18" s="79" t="s">
        <v>522</v>
      </c>
      <c r="B18" s="79" t="s">
        <v>523</v>
      </c>
      <c r="C18" s="79" t="s">
        <v>523</v>
      </c>
      <c r="D18" s="79" t="str">
        <f t="shared" si="0"/>
        <v>Adilang</v>
      </c>
      <c r="E18" s="79"/>
      <c r="F18" s="79">
        <v>17</v>
      </c>
    </row>
    <row r="19" spans="1:6">
      <c r="A19" s="79" t="s">
        <v>524</v>
      </c>
      <c r="B19" s="79" t="s">
        <v>523</v>
      </c>
      <c r="C19" s="79" t="s">
        <v>523</v>
      </c>
      <c r="D19" s="79" t="str">
        <f t="shared" si="0"/>
        <v>Agago Town Council</v>
      </c>
      <c r="E19" s="79"/>
      <c r="F19" s="79">
        <v>18</v>
      </c>
    </row>
    <row r="20" spans="1:6">
      <c r="A20" s="79" t="s">
        <v>525</v>
      </c>
      <c r="B20" s="79" t="s">
        <v>523</v>
      </c>
      <c r="C20" s="79" t="s">
        <v>523</v>
      </c>
      <c r="D20" s="79" t="str">
        <f t="shared" si="0"/>
        <v>Arum</v>
      </c>
      <c r="E20" s="79"/>
      <c r="F20" s="79">
        <v>19</v>
      </c>
    </row>
    <row r="21" spans="1:6">
      <c r="A21" s="79" t="s">
        <v>526</v>
      </c>
      <c r="B21" s="79" t="s">
        <v>523</v>
      </c>
      <c r="C21" s="79" t="s">
        <v>523</v>
      </c>
      <c r="D21" s="79" t="str">
        <f t="shared" si="0"/>
        <v>Kalongo Town Council</v>
      </c>
      <c r="E21" s="79"/>
      <c r="F21" s="79">
        <v>20</v>
      </c>
    </row>
    <row r="22" spans="1:6">
      <c r="A22" s="79" t="s">
        <v>527</v>
      </c>
      <c r="B22" s="79" t="s">
        <v>523</v>
      </c>
      <c r="C22" s="79" t="s">
        <v>523</v>
      </c>
      <c r="D22" s="79" t="str">
        <f t="shared" si="0"/>
        <v>Kotomol</v>
      </c>
      <c r="E22" s="79"/>
      <c r="F22" s="79">
        <v>21</v>
      </c>
    </row>
    <row r="23" spans="1:6">
      <c r="A23" s="79" t="s">
        <v>528</v>
      </c>
      <c r="B23" s="79" t="s">
        <v>523</v>
      </c>
      <c r="C23" s="79" t="s">
        <v>523</v>
      </c>
      <c r="D23" s="79" t="str">
        <f t="shared" si="0"/>
        <v>Lamiyo</v>
      </c>
      <c r="E23" s="79"/>
      <c r="F23" s="79">
        <v>22</v>
      </c>
    </row>
    <row r="24" spans="1:6">
      <c r="A24" s="79" t="s">
        <v>529</v>
      </c>
      <c r="B24" s="79" t="s">
        <v>523</v>
      </c>
      <c r="C24" s="79" t="s">
        <v>523</v>
      </c>
      <c r="D24" s="79" t="str">
        <f t="shared" si="0"/>
        <v>Lapono</v>
      </c>
      <c r="E24" s="79"/>
      <c r="F24" s="79">
        <v>23</v>
      </c>
    </row>
    <row r="25" spans="1:6">
      <c r="A25" s="79" t="s">
        <v>530</v>
      </c>
      <c r="B25" s="79" t="s">
        <v>523</v>
      </c>
      <c r="C25" s="79" t="s">
        <v>523</v>
      </c>
      <c r="D25" s="79" t="str">
        <f t="shared" si="0"/>
        <v>Lira Palwo</v>
      </c>
      <c r="E25" s="79"/>
      <c r="F25" s="79">
        <v>24</v>
      </c>
    </row>
    <row r="26" spans="1:6">
      <c r="A26" s="79" t="s">
        <v>531</v>
      </c>
      <c r="B26" s="79" t="s">
        <v>523</v>
      </c>
      <c r="C26" s="79" t="s">
        <v>523</v>
      </c>
      <c r="D26" s="79" t="str">
        <f t="shared" si="0"/>
        <v>Lokole</v>
      </c>
      <c r="E26" s="79"/>
      <c r="F26" s="79">
        <v>25</v>
      </c>
    </row>
    <row r="27" spans="1:6">
      <c r="A27" s="79" t="s">
        <v>532</v>
      </c>
      <c r="B27" s="79" t="s">
        <v>523</v>
      </c>
      <c r="C27" s="79" t="s">
        <v>523</v>
      </c>
      <c r="D27" s="79" t="str">
        <f t="shared" si="0"/>
        <v>Omiya Pacwa</v>
      </c>
      <c r="E27" s="79"/>
      <c r="F27" s="79">
        <v>26</v>
      </c>
    </row>
    <row r="28" spans="1:6">
      <c r="A28" s="79" t="s">
        <v>533</v>
      </c>
      <c r="B28" s="79" t="s">
        <v>523</v>
      </c>
      <c r="C28" s="79" t="s">
        <v>523</v>
      </c>
      <c r="D28" s="79" t="str">
        <f t="shared" si="0"/>
        <v>Omot</v>
      </c>
      <c r="E28" s="79"/>
      <c r="F28" s="79">
        <v>27</v>
      </c>
    </row>
    <row r="29" spans="1:6">
      <c r="A29" s="79" t="s">
        <v>534</v>
      </c>
      <c r="B29" s="79" t="s">
        <v>523</v>
      </c>
      <c r="C29" s="79" t="s">
        <v>523</v>
      </c>
      <c r="D29" s="79" t="str">
        <f t="shared" si="0"/>
        <v>Paimol</v>
      </c>
      <c r="E29" s="79"/>
      <c r="F29" s="79">
        <v>28</v>
      </c>
    </row>
    <row r="30" spans="1:6">
      <c r="A30" s="79" t="s">
        <v>535</v>
      </c>
      <c r="B30" s="79" t="s">
        <v>523</v>
      </c>
      <c r="C30" s="79" t="s">
        <v>523</v>
      </c>
      <c r="D30" s="79" t="str">
        <f t="shared" si="0"/>
        <v>Parabongo</v>
      </c>
      <c r="E30" s="79"/>
      <c r="F30" s="79">
        <v>29</v>
      </c>
    </row>
    <row r="31" spans="1:6">
      <c r="A31" s="79" t="s">
        <v>536</v>
      </c>
      <c r="B31" s="79" t="s">
        <v>523</v>
      </c>
      <c r="C31" s="79" t="s">
        <v>523</v>
      </c>
      <c r="D31" s="79" t="str">
        <f t="shared" si="0"/>
        <v>Patongo</v>
      </c>
      <c r="E31" s="79"/>
      <c r="F31" s="79">
        <v>30</v>
      </c>
    </row>
    <row r="32" spans="1:6">
      <c r="A32" s="79" t="s">
        <v>537</v>
      </c>
      <c r="B32" s="79" t="s">
        <v>523</v>
      </c>
      <c r="C32" s="79" t="s">
        <v>523</v>
      </c>
      <c r="D32" s="79" t="str">
        <f t="shared" si="0"/>
        <v>Patongo Town Council</v>
      </c>
      <c r="E32" s="79"/>
      <c r="F32" s="79">
        <v>31</v>
      </c>
    </row>
    <row r="33" spans="1:6">
      <c r="A33" s="79" t="s">
        <v>538</v>
      </c>
      <c r="B33" s="79" t="s">
        <v>523</v>
      </c>
      <c r="C33" s="79" t="s">
        <v>523</v>
      </c>
      <c r="D33" s="79" t="str">
        <f t="shared" si="0"/>
        <v>Wol</v>
      </c>
      <c r="E33" s="79"/>
      <c r="F33" s="79">
        <v>32</v>
      </c>
    </row>
    <row r="34" spans="1:6">
      <c r="A34" s="79" t="s">
        <v>539</v>
      </c>
      <c r="B34" s="79" t="s">
        <v>540</v>
      </c>
      <c r="C34" s="79" t="s">
        <v>541</v>
      </c>
      <c r="D34" s="79" t="str">
        <f t="shared" si="0"/>
        <v>Abako</v>
      </c>
      <c r="E34" s="79"/>
      <c r="F34" s="79">
        <v>33</v>
      </c>
    </row>
    <row r="35" spans="1:6">
      <c r="A35" s="79" t="s">
        <v>542</v>
      </c>
      <c r="B35" s="79" t="s">
        <v>540</v>
      </c>
      <c r="C35" s="79" t="s">
        <v>541</v>
      </c>
      <c r="D35" s="79" t="str">
        <f t="shared" si="0"/>
        <v>Abia</v>
      </c>
      <c r="E35" s="79"/>
      <c r="F35" s="79">
        <v>34</v>
      </c>
    </row>
    <row r="36" spans="1:6">
      <c r="A36" s="79" t="s">
        <v>543</v>
      </c>
      <c r="B36" s="79" t="s">
        <v>540</v>
      </c>
      <c r="C36" s="79" t="s">
        <v>541</v>
      </c>
      <c r="D36" s="79" t="str">
        <f t="shared" si="0"/>
        <v>Akura</v>
      </c>
      <c r="E36" s="79"/>
      <c r="F36" s="79">
        <v>35</v>
      </c>
    </row>
    <row r="37" spans="1:6">
      <c r="A37" s="79" t="s">
        <v>544</v>
      </c>
      <c r="B37" s="79" t="s">
        <v>540</v>
      </c>
      <c r="C37" s="79" t="s">
        <v>541</v>
      </c>
      <c r="D37" s="79" t="str">
        <f t="shared" si="0"/>
        <v>Alebtong Town Council</v>
      </c>
      <c r="E37" s="79"/>
      <c r="F37" s="79">
        <v>36</v>
      </c>
    </row>
    <row r="38" spans="1:6">
      <c r="A38" s="79" t="s">
        <v>545</v>
      </c>
      <c r="B38" s="79" t="s">
        <v>540</v>
      </c>
      <c r="C38" s="79" t="s">
        <v>541</v>
      </c>
      <c r="D38" s="79" t="str">
        <f t="shared" si="0"/>
        <v>Aloi</v>
      </c>
      <c r="E38" s="79"/>
      <c r="F38" s="79">
        <v>37</v>
      </c>
    </row>
    <row r="39" spans="1:6">
      <c r="A39" s="79" t="s">
        <v>546</v>
      </c>
      <c r="B39" s="79" t="s">
        <v>540</v>
      </c>
      <c r="C39" s="79" t="s">
        <v>541</v>
      </c>
      <c r="D39" s="79" t="str">
        <f t="shared" si="0"/>
        <v>Amugu</v>
      </c>
      <c r="E39" s="79"/>
      <c r="F39" s="79">
        <v>38</v>
      </c>
    </row>
    <row r="40" spans="1:6">
      <c r="A40" s="79" t="s">
        <v>547</v>
      </c>
      <c r="B40" s="79" t="s">
        <v>540</v>
      </c>
      <c r="C40" s="79" t="s">
        <v>541</v>
      </c>
      <c r="D40" s="79" t="str">
        <f t="shared" si="0"/>
        <v>Apala</v>
      </c>
      <c r="E40" s="79"/>
      <c r="F40" s="79">
        <v>39</v>
      </c>
    </row>
    <row r="41" spans="1:6">
      <c r="A41" s="79" t="s">
        <v>548</v>
      </c>
      <c r="B41" s="79" t="s">
        <v>540</v>
      </c>
      <c r="C41" s="79" t="s">
        <v>541</v>
      </c>
      <c r="D41" s="79" t="str">
        <f t="shared" si="0"/>
        <v>Awei</v>
      </c>
      <c r="E41" s="79"/>
      <c r="F41" s="79">
        <v>40</v>
      </c>
    </row>
    <row r="42" spans="1:6">
      <c r="A42" s="79" t="s">
        <v>549</v>
      </c>
      <c r="B42" s="79" t="s">
        <v>540</v>
      </c>
      <c r="C42" s="79" t="s">
        <v>541</v>
      </c>
      <c r="D42" s="79" t="str">
        <f t="shared" si="0"/>
        <v>Omoro</v>
      </c>
      <c r="E42" s="79"/>
      <c r="F42" s="79">
        <v>41</v>
      </c>
    </row>
    <row r="43" spans="1:6">
      <c r="A43" s="79" t="s">
        <v>550</v>
      </c>
      <c r="B43" s="79" t="s">
        <v>551</v>
      </c>
      <c r="C43" s="79" t="s">
        <v>552</v>
      </c>
      <c r="D43" s="79" t="str">
        <f t="shared" si="0"/>
        <v>Agikdak</v>
      </c>
      <c r="E43" s="79"/>
      <c r="F43" s="79">
        <v>42</v>
      </c>
    </row>
    <row r="44" spans="1:6">
      <c r="A44" s="79" t="s">
        <v>553</v>
      </c>
      <c r="B44" s="79" t="s">
        <v>551</v>
      </c>
      <c r="C44" s="79" t="s">
        <v>552</v>
      </c>
      <c r="D44" s="79" t="str">
        <f t="shared" si="0"/>
        <v>Agwingiri</v>
      </c>
      <c r="E44" s="79"/>
      <c r="F44" s="79">
        <v>43</v>
      </c>
    </row>
    <row r="45" spans="1:6">
      <c r="A45" s="79" t="s">
        <v>554</v>
      </c>
      <c r="B45" s="79" t="s">
        <v>551</v>
      </c>
      <c r="C45" s="79" t="s">
        <v>552</v>
      </c>
      <c r="D45" s="79" t="str">
        <f t="shared" si="0"/>
        <v>Akwon</v>
      </c>
      <c r="E45" s="79"/>
      <c r="F45" s="79">
        <v>44</v>
      </c>
    </row>
    <row r="46" spans="1:6">
      <c r="A46" s="79" t="s">
        <v>555</v>
      </c>
      <c r="B46" s="79" t="s">
        <v>551</v>
      </c>
      <c r="C46" s="79" t="s">
        <v>552</v>
      </c>
      <c r="D46" s="79" t="str">
        <f t="shared" si="0"/>
        <v>Amolatar Town Council</v>
      </c>
      <c r="E46" s="79"/>
      <c r="F46" s="79">
        <v>45</v>
      </c>
    </row>
    <row r="47" spans="1:6">
      <c r="A47" s="79" t="s">
        <v>556</v>
      </c>
      <c r="B47" s="79" t="s">
        <v>551</v>
      </c>
      <c r="C47" s="79" t="s">
        <v>552</v>
      </c>
      <c r="D47" s="79" t="str">
        <f t="shared" si="0"/>
        <v>Aputi</v>
      </c>
      <c r="E47" s="79"/>
      <c r="F47" s="79">
        <v>46</v>
      </c>
    </row>
    <row r="48" spans="1:6">
      <c r="A48" s="79" t="s">
        <v>557</v>
      </c>
      <c r="B48" s="79" t="s">
        <v>551</v>
      </c>
      <c r="C48" s="79" t="s">
        <v>552</v>
      </c>
      <c r="D48" s="79" t="str">
        <f t="shared" si="0"/>
        <v>Arwotcek</v>
      </c>
      <c r="E48" s="79"/>
      <c r="F48" s="79">
        <v>47</v>
      </c>
    </row>
    <row r="49" spans="1:6">
      <c r="A49" s="79" t="s">
        <v>558</v>
      </c>
      <c r="B49" s="79" t="s">
        <v>551</v>
      </c>
      <c r="C49" s="79" t="s">
        <v>552</v>
      </c>
      <c r="D49" s="79" t="str">
        <f t="shared" si="0"/>
        <v>Awelo</v>
      </c>
      <c r="E49" s="79"/>
      <c r="F49" s="79">
        <v>48</v>
      </c>
    </row>
    <row r="50" spans="1:6">
      <c r="A50" s="79" t="s">
        <v>559</v>
      </c>
      <c r="B50" s="79" t="s">
        <v>551</v>
      </c>
      <c r="C50" s="79" t="s">
        <v>552</v>
      </c>
      <c r="D50" s="79" t="str">
        <f t="shared" si="0"/>
        <v>Etam</v>
      </c>
      <c r="E50" s="79"/>
      <c r="F50" s="79">
        <v>49</v>
      </c>
    </row>
    <row r="51" spans="1:6">
      <c r="A51" s="79" t="s">
        <v>560</v>
      </c>
      <c r="B51" s="79" t="s">
        <v>551</v>
      </c>
      <c r="C51" s="79" t="s">
        <v>552</v>
      </c>
      <c r="D51" s="79" t="str">
        <f t="shared" si="0"/>
        <v>Muntu</v>
      </c>
      <c r="E51" s="79"/>
      <c r="F51" s="79">
        <v>50</v>
      </c>
    </row>
    <row r="52" spans="1:6">
      <c r="A52" s="79" t="s">
        <v>561</v>
      </c>
      <c r="B52" s="79" t="s">
        <v>551</v>
      </c>
      <c r="C52" s="79" t="s">
        <v>552</v>
      </c>
      <c r="D52" s="79" t="str">
        <f t="shared" si="0"/>
        <v>Namasale</v>
      </c>
      <c r="E52" s="79"/>
      <c r="F52" s="79">
        <v>51</v>
      </c>
    </row>
    <row r="53" spans="1:6">
      <c r="A53" s="79" t="s">
        <v>562</v>
      </c>
      <c r="B53" s="79" t="s">
        <v>551</v>
      </c>
      <c r="C53" s="79" t="s">
        <v>552</v>
      </c>
      <c r="D53" s="79" t="str">
        <f t="shared" si="0"/>
        <v>Namasale Town Council</v>
      </c>
      <c r="E53" s="79"/>
      <c r="F53" s="79">
        <v>52</v>
      </c>
    </row>
    <row r="54" spans="1:6">
      <c r="A54" s="79" t="s">
        <v>563</v>
      </c>
      <c r="B54" s="79" t="s">
        <v>563</v>
      </c>
      <c r="C54" s="79" t="s">
        <v>564</v>
      </c>
      <c r="D54" s="79" t="str">
        <f t="shared" si="0"/>
        <v>Amudat</v>
      </c>
      <c r="E54" s="79"/>
      <c r="F54" s="79">
        <v>53</v>
      </c>
    </row>
    <row r="55" spans="1:6">
      <c r="A55" s="79" t="s">
        <v>565</v>
      </c>
      <c r="B55" s="79" t="s">
        <v>563</v>
      </c>
      <c r="C55" s="79" t="s">
        <v>564</v>
      </c>
      <c r="D55" s="79" t="str">
        <f t="shared" si="0"/>
        <v>Amudat Town Council</v>
      </c>
      <c r="E55" s="79"/>
      <c r="F55" s="79">
        <v>54</v>
      </c>
    </row>
    <row r="56" spans="1:6">
      <c r="A56" s="79" t="s">
        <v>566</v>
      </c>
      <c r="B56" s="79" t="s">
        <v>563</v>
      </c>
      <c r="C56" s="79" t="s">
        <v>564</v>
      </c>
      <c r="D56" s="79" t="str">
        <f t="shared" si="0"/>
        <v>Karita</v>
      </c>
      <c r="E56" s="79"/>
      <c r="F56" s="79">
        <v>55</v>
      </c>
    </row>
    <row r="57" spans="1:6">
      <c r="A57" s="79" t="s">
        <v>567</v>
      </c>
      <c r="B57" s="79" t="s">
        <v>563</v>
      </c>
      <c r="C57" s="79" t="s">
        <v>564</v>
      </c>
      <c r="D57" s="79" t="str">
        <f t="shared" si="0"/>
        <v>Loroo</v>
      </c>
      <c r="E57" s="79"/>
      <c r="F57" s="79">
        <v>56</v>
      </c>
    </row>
    <row r="58" spans="1:6">
      <c r="A58" s="79" t="s">
        <v>568</v>
      </c>
      <c r="B58" s="79" t="s">
        <v>569</v>
      </c>
      <c r="C58" s="79" t="s">
        <v>569</v>
      </c>
      <c r="D58" s="79" t="str">
        <f t="shared" si="0"/>
        <v>Abarilela</v>
      </c>
      <c r="E58" s="79"/>
      <c r="F58" s="79">
        <v>57</v>
      </c>
    </row>
    <row r="59" spans="1:6">
      <c r="A59" s="79" t="s">
        <v>570</v>
      </c>
      <c r="B59" s="79" t="s">
        <v>569</v>
      </c>
      <c r="C59" s="79" t="s">
        <v>571</v>
      </c>
      <c r="D59" s="79" t="str">
        <f t="shared" si="0"/>
        <v>Acowa</v>
      </c>
      <c r="E59" s="79"/>
      <c r="F59" s="79">
        <v>58</v>
      </c>
    </row>
    <row r="60" spans="1:6">
      <c r="A60" s="79" t="s">
        <v>572</v>
      </c>
      <c r="B60" s="79" t="s">
        <v>569</v>
      </c>
      <c r="C60" s="79" t="s">
        <v>569</v>
      </c>
      <c r="D60" s="79" t="str">
        <f t="shared" si="0"/>
        <v>Akeriau</v>
      </c>
      <c r="E60" s="79"/>
      <c r="F60" s="79">
        <v>59</v>
      </c>
    </row>
    <row r="61" spans="1:6">
      <c r="A61" s="79" t="s">
        <v>573</v>
      </c>
      <c r="B61" s="79" t="s">
        <v>569</v>
      </c>
      <c r="C61" s="79" t="s">
        <v>571</v>
      </c>
      <c r="D61" s="79" t="str">
        <f t="shared" si="0"/>
        <v>Akoromit</v>
      </c>
      <c r="E61" s="79"/>
      <c r="F61" s="79">
        <v>60</v>
      </c>
    </row>
    <row r="62" spans="1:6">
      <c r="A62" s="79" t="s">
        <v>574</v>
      </c>
      <c r="B62" s="79" t="s">
        <v>569</v>
      </c>
      <c r="C62" s="79" t="s">
        <v>569</v>
      </c>
      <c r="D62" s="79" t="str">
        <f t="shared" si="0"/>
        <v>Amuria Town Council</v>
      </c>
      <c r="E62" s="79"/>
      <c r="F62" s="79">
        <v>61</v>
      </c>
    </row>
    <row r="63" spans="1:6">
      <c r="A63" s="79" t="s">
        <v>575</v>
      </c>
      <c r="B63" s="79" t="s">
        <v>569</v>
      </c>
      <c r="C63" s="79" t="s">
        <v>569</v>
      </c>
      <c r="D63" s="79" t="str">
        <f t="shared" si="0"/>
        <v>Apeduru</v>
      </c>
      <c r="E63" s="79"/>
      <c r="F63" s="79">
        <v>62</v>
      </c>
    </row>
    <row r="64" spans="1:6">
      <c r="A64" s="79" t="s">
        <v>576</v>
      </c>
      <c r="B64" s="79" t="s">
        <v>569</v>
      </c>
      <c r="C64" s="79" t="s">
        <v>569</v>
      </c>
      <c r="D64" s="79" t="str">
        <f t="shared" si="0"/>
        <v>Asamuk</v>
      </c>
      <c r="E64" s="79"/>
      <c r="F64" s="79">
        <v>63</v>
      </c>
    </row>
    <row r="65" spans="1:6">
      <c r="A65" s="79" t="s">
        <v>571</v>
      </c>
      <c r="B65" s="79" t="s">
        <v>569</v>
      </c>
      <c r="C65" s="79" t="s">
        <v>571</v>
      </c>
      <c r="D65" s="79" t="str">
        <f t="shared" si="0"/>
        <v>Kapelebyong</v>
      </c>
      <c r="E65" s="79"/>
      <c r="F65" s="79">
        <v>64</v>
      </c>
    </row>
    <row r="66" spans="1:6">
      <c r="A66" s="79" t="s">
        <v>577</v>
      </c>
      <c r="B66" s="79" t="s">
        <v>569</v>
      </c>
      <c r="C66" s="79" t="s">
        <v>569</v>
      </c>
      <c r="D66" s="79" t="str">
        <f t="shared" si="0"/>
        <v>Kuju</v>
      </c>
      <c r="E66" s="79"/>
      <c r="F66" s="79">
        <v>65</v>
      </c>
    </row>
    <row r="67" spans="1:6">
      <c r="A67" s="79" t="s">
        <v>578</v>
      </c>
      <c r="B67" s="79" t="s">
        <v>569</v>
      </c>
      <c r="C67" s="79" t="s">
        <v>569</v>
      </c>
      <c r="D67" s="79" t="str">
        <f t="shared" ref="D67:D130" si="1">A67</f>
        <v>Morungatuny</v>
      </c>
      <c r="E67" s="79"/>
      <c r="F67" s="79">
        <v>66</v>
      </c>
    </row>
    <row r="68" spans="1:6">
      <c r="A68" s="79" t="s">
        <v>579</v>
      </c>
      <c r="B68" s="79" t="s">
        <v>569</v>
      </c>
      <c r="C68" s="79" t="s">
        <v>571</v>
      </c>
      <c r="D68" s="79" t="str">
        <f t="shared" si="1"/>
        <v>Obalanga</v>
      </c>
      <c r="E68" s="79"/>
      <c r="F68" s="79">
        <v>67</v>
      </c>
    </row>
    <row r="69" spans="1:6">
      <c r="A69" s="79" t="s">
        <v>580</v>
      </c>
      <c r="B69" s="79" t="s">
        <v>569</v>
      </c>
      <c r="C69" s="79" t="s">
        <v>569</v>
      </c>
      <c r="D69" s="79" t="str">
        <f t="shared" si="1"/>
        <v>Ogolai</v>
      </c>
      <c r="E69" s="79"/>
      <c r="F69" s="79">
        <v>68</v>
      </c>
    </row>
    <row r="70" spans="1:6">
      <c r="A70" s="79" t="s">
        <v>581</v>
      </c>
      <c r="B70" s="79" t="s">
        <v>569</v>
      </c>
      <c r="C70" s="79" t="s">
        <v>571</v>
      </c>
      <c r="D70" s="79" t="str">
        <f t="shared" si="1"/>
        <v>Okungur</v>
      </c>
      <c r="E70" s="79"/>
      <c r="F70" s="79">
        <v>69</v>
      </c>
    </row>
    <row r="71" spans="1:6">
      <c r="A71" s="79" t="s">
        <v>582</v>
      </c>
      <c r="B71" s="79" t="s">
        <v>569</v>
      </c>
      <c r="C71" s="79" t="s">
        <v>569</v>
      </c>
      <c r="D71" s="79" t="str">
        <f t="shared" si="1"/>
        <v>Orungo</v>
      </c>
      <c r="E71" s="79"/>
      <c r="F71" s="79">
        <v>70</v>
      </c>
    </row>
    <row r="72" spans="1:6">
      <c r="A72" s="79" t="s">
        <v>583</v>
      </c>
      <c r="B72" s="79" t="s">
        <v>569</v>
      </c>
      <c r="C72" s="79" t="s">
        <v>569</v>
      </c>
      <c r="D72" s="79" t="str">
        <f t="shared" si="1"/>
        <v>Wera</v>
      </c>
      <c r="E72" s="79"/>
      <c r="F72" s="79">
        <v>71</v>
      </c>
    </row>
    <row r="73" spans="1:6">
      <c r="A73" s="79" t="s">
        <v>584</v>
      </c>
      <c r="B73" s="79" t="s">
        <v>569</v>
      </c>
      <c r="C73" s="79" t="s">
        <v>569</v>
      </c>
      <c r="D73" s="79" t="str">
        <f t="shared" si="1"/>
        <v>Willa</v>
      </c>
      <c r="E73" s="79"/>
      <c r="F73" s="79">
        <v>72</v>
      </c>
    </row>
    <row r="74" spans="1:6">
      <c r="A74" s="79" t="s">
        <v>585</v>
      </c>
      <c r="B74" s="79" t="s">
        <v>585</v>
      </c>
      <c r="C74" s="79" t="s">
        <v>586</v>
      </c>
      <c r="D74" s="79" t="str">
        <f t="shared" si="1"/>
        <v>Amuru</v>
      </c>
      <c r="E74" s="79"/>
      <c r="F74" s="79">
        <v>73</v>
      </c>
    </row>
    <row r="75" spans="1:6">
      <c r="A75" s="79" t="s">
        <v>587</v>
      </c>
      <c r="B75" s="79" t="s">
        <v>585</v>
      </c>
      <c r="C75" s="79" t="s">
        <v>586</v>
      </c>
      <c r="D75" s="79" t="str">
        <f t="shared" si="1"/>
        <v>Amuru Town Council</v>
      </c>
      <c r="E75" s="79"/>
      <c r="F75" s="79">
        <v>74</v>
      </c>
    </row>
    <row r="76" spans="1:6">
      <c r="A76" s="79" t="s">
        <v>588</v>
      </c>
      <c r="B76" s="79" t="s">
        <v>585</v>
      </c>
      <c r="C76" s="79" t="s">
        <v>586</v>
      </c>
      <c r="D76" s="79" t="str">
        <f t="shared" si="1"/>
        <v>Attiak</v>
      </c>
      <c r="E76" s="79"/>
      <c r="F76" s="79">
        <v>75</v>
      </c>
    </row>
    <row r="77" spans="1:6">
      <c r="A77" s="79" t="s">
        <v>589</v>
      </c>
      <c r="B77" s="79" t="s">
        <v>585</v>
      </c>
      <c r="C77" s="79" t="s">
        <v>586</v>
      </c>
      <c r="D77" s="79" t="str">
        <f t="shared" si="1"/>
        <v>Lamogi</v>
      </c>
      <c r="E77" s="79"/>
      <c r="F77" s="79">
        <v>76</v>
      </c>
    </row>
    <row r="78" spans="1:6">
      <c r="A78" s="79" t="s">
        <v>590</v>
      </c>
      <c r="B78" s="79" t="s">
        <v>585</v>
      </c>
      <c r="C78" s="79" t="s">
        <v>586</v>
      </c>
      <c r="D78" s="79" t="str">
        <f t="shared" si="1"/>
        <v>Pabo</v>
      </c>
      <c r="E78" s="79"/>
      <c r="F78" s="79">
        <v>77</v>
      </c>
    </row>
    <row r="79" spans="1:6">
      <c r="A79" s="79" t="s">
        <v>591</v>
      </c>
      <c r="B79" s="79" t="s">
        <v>592</v>
      </c>
      <c r="C79" s="79" t="s">
        <v>593</v>
      </c>
      <c r="D79" s="79" t="str">
        <f t="shared" si="1"/>
        <v>Abongomola</v>
      </c>
      <c r="E79" s="79"/>
      <c r="F79" s="79">
        <v>78</v>
      </c>
    </row>
    <row r="80" spans="1:6">
      <c r="A80" s="79" t="s">
        <v>594</v>
      </c>
      <c r="B80" s="79" t="s">
        <v>592</v>
      </c>
      <c r="C80" s="79" t="s">
        <v>593</v>
      </c>
      <c r="D80" s="79" t="str">
        <f t="shared" si="1"/>
        <v>Aduku</v>
      </c>
      <c r="E80" s="79"/>
      <c r="F80" s="79">
        <v>79</v>
      </c>
    </row>
    <row r="81" spans="1:6">
      <c r="A81" s="79" t="s">
        <v>595</v>
      </c>
      <c r="B81" s="79" t="s">
        <v>592</v>
      </c>
      <c r="C81" s="79" t="s">
        <v>593</v>
      </c>
      <c r="D81" s="79" t="str">
        <f t="shared" si="1"/>
        <v>Aduku Town Council</v>
      </c>
      <c r="E81" s="79"/>
      <c r="F81" s="79">
        <v>80</v>
      </c>
    </row>
    <row r="82" spans="1:6">
      <c r="A82" s="79" t="s">
        <v>596</v>
      </c>
      <c r="B82" s="79" t="s">
        <v>592</v>
      </c>
      <c r="C82" s="79" t="s">
        <v>597</v>
      </c>
      <c r="D82" s="79" t="str">
        <f t="shared" si="1"/>
        <v>Akokoro</v>
      </c>
      <c r="E82" s="79"/>
      <c r="F82" s="79">
        <v>81</v>
      </c>
    </row>
    <row r="83" spans="1:6">
      <c r="A83" s="79" t="s">
        <v>598</v>
      </c>
      <c r="B83" s="79" t="s">
        <v>592</v>
      </c>
      <c r="C83" s="79" t="s">
        <v>599</v>
      </c>
      <c r="D83" s="79" t="str">
        <f t="shared" si="1"/>
        <v>Apac Muicipality</v>
      </c>
      <c r="E83" s="79"/>
      <c r="F83" s="79">
        <v>82</v>
      </c>
    </row>
    <row r="84" spans="1:6">
      <c r="A84" s="79" t="s">
        <v>600</v>
      </c>
      <c r="B84" s="79" t="s">
        <v>592</v>
      </c>
      <c r="C84" s="79" t="s">
        <v>593</v>
      </c>
      <c r="D84" s="79" t="str">
        <f t="shared" si="1"/>
        <v>Chawente</v>
      </c>
      <c r="E84" s="79"/>
      <c r="F84" s="79">
        <v>83</v>
      </c>
    </row>
    <row r="85" spans="1:6">
      <c r="A85" s="79" t="s">
        <v>601</v>
      </c>
      <c r="B85" s="79" t="s">
        <v>592</v>
      </c>
      <c r="C85" s="79" t="s">
        <v>597</v>
      </c>
      <c r="D85" s="79" t="str">
        <f t="shared" si="1"/>
        <v>Chegere</v>
      </c>
      <c r="E85" s="79"/>
      <c r="F85" s="79">
        <v>84</v>
      </c>
    </row>
    <row r="86" spans="1:6">
      <c r="A86" s="79" t="s">
        <v>602</v>
      </c>
      <c r="B86" s="79" t="s">
        <v>592</v>
      </c>
      <c r="C86" s="79" t="s">
        <v>597</v>
      </c>
      <c r="D86" s="79" t="str">
        <f t="shared" si="1"/>
        <v>Ibuje</v>
      </c>
      <c r="E86" s="79"/>
      <c r="F86" s="79">
        <v>85</v>
      </c>
    </row>
    <row r="87" spans="1:6">
      <c r="A87" s="79" t="s">
        <v>603</v>
      </c>
      <c r="B87" s="79" t="s">
        <v>592</v>
      </c>
      <c r="C87" s="79" t="s">
        <v>593</v>
      </c>
      <c r="D87" s="79" t="str">
        <f t="shared" si="1"/>
        <v>Inomo</v>
      </c>
      <c r="E87" s="79"/>
      <c r="F87" s="79">
        <v>86</v>
      </c>
    </row>
    <row r="88" spans="1:6">
      <c r="A88" s="79" t="s">
        <v>604</v>
      </c>
      <c r="B88" s="79" t="s">
        <v>592</v>
      </c>
      <c r="C88" s="79" t="s">
        <v>593</v>
      </c>
      <c r="D88" s="79" t="str">
        <f t="shared" si="1"/>
        <v>Nambieso</v>
      </c>
      <c r="E88" s="79"/>
      <c r="F88" s="79">
        <v>87</v>
      </c>
    </row>
    <row r="89" spans="1:6">
      <c r="A89" s="79" t="s">
        <v>605</v>
      </c>
      <c r="B89" s="79" t="s">
        <v>606</v>
      </c>
      <c r="C89" s="79" t="s">
        <v>607</v>
      </c>
      <c r="D89" s="79" t="str">
        <f t="shared" si="1"/>
        <v>Adumi</v>
      </c>
      <c r="E89" s="79"/>
      <c r="F89" s="79">
        <v>88</v>
      </c>
    </row>
    <row r="90" spans="1:6">
      <c r="A90" s="79" t="s">
        <v>608</v>
      </c>
      <c r="B90" s="79" t="s">
        <v>606</v>
      </c>
      <c r="C90" s="79" t="s">
        <v>609</v>
      </c>
      <c r="D90" s="79" t="str">
        <f t="shared" si="1"/>
        <v>Aii-Vu</v>
      </c>
      <c r="E90" s="79"/>
      <c r="F90" s="79">
        <v>89</v>
      </c>
    </row>
    <row r="91" spans="1:6">
      <c r="A91" s="79" t="s">
        <v>610</v>
      </c>
      <c r="B91" s="79" t="s">
        <v>606</v>
      </c>
      <c r="C91" s="79" t="s">
        <v>611</v>
      </c>
      <c r="D91" s="79" t="str">
        <f t="shared" si="1"/>
        <v>Ajia</v>
      </c>
      <c r="E91" s="79"/>
      <c r="F91" s="79">
        <v>90</v>
      </c>
    </row>
    <row r="92" spans="1:6">
      <c r="A92" s="79" t="s">
        <v>612</v>
      </c>
      <c r="B92" s="79" t="s">
        <v>606</v>
      </c>
      <c r="C92" s="79" t="s">
        <v>613</v>
      </c>
      <c r="D92" s="79" t="str">
        <f t="shared" si="1"/>
        <v>Anyiribu</v>
      </c>
      <c r="E92" s="79"/>
      <c r="F92" s="79">
        <v>91</v>
      </c>
    </row>
    <row r="93" spans="1:6">
      <c r="A93" s="79" t="s">
        <v>614</v>
      </c>
      <c r="B93" s="79" t="s">
        <v>606</v>
      </c>
      <c r="C93" s="79" t="s">
        <v>611</v>
      </c>
      <c r="D93" s="79" t="str">
        <f t="shared" si="1"/>
        <v>Arivu</v>
      </c>
      <c r="E93" s="79"/>
      <c r="F93" s="79">
        <v>92</v>
      </c>
    </row>
    <row r="94" spans="1:6">
      <c r="A94" s="79" t="s">
        <v>615</v>
      </c>
      <c r="B94" s="79" t="s">
        <v>606</v>
      </c>
      <c r="C94" s="79" t="s">
        <v>607</v>
      </c>
      <c r="D94" s="79" t="str">
        <f t="shared" si="1"/>
        <v>Aroi</v>
      </c>
      <c r="E94" s="79"/>
      <c r="F94" s="79">
        <v>93</v>
      </c>
    </row>
    <row r="95" spans="1:6">
      <c r="A95" s="79" t="s">
        <v>616</v>
      </c>
      <c r="B95" s="79" t="s">
        <v>606</v>
      </c>
      <c r="C95" s="79" t="s">
        <v>616</v>
      </c>
      <c r="D95" s="79" t="str">
        <f t="shared" si="1"/>
        <v>Arua Municipality</v>
      </c>
      <c r="E95" s="79"/>
      <c r="F95" s="79">
        <v>94</v>
      </c>
    </row>
    <row r="96" spans="1:6">
      <c r="A96" s="79" t="s">
        <v>617</v>
      </c>
      <c r="B96" s="79" t="s">
        <v>606</v>
      </c>
      <c r="C96" s="79" t="s">
        <v>607</v>
      </c>
      <c r="D96" s="79" t="str">
        <f t="shared" si="1"/>
        <v>Ayivuni</v>
      </c>
      <c r="E96" s="79"/>
      <c r="F96" s="79">
        <v>95</v>
      </c>
    </row>
    <row r="97" spans="1:6">
      <c r="A97" s="79" t="s">
        <v>618</v>
      </c>
      <c r="B97" s="79" t="s">
        <v>606</v>
      </c>
      <c r="C97" s="79" t="s">
        <v>609</v>
      </c>
      <c r="D97" s="79" t="str">
        <f t="shared" si="1"/>
        <v>Bileafe</v>
      </c>
      <c r="E97" s="79"/>
      <c r="F97" s="79">
        <v>96</v>
      </c>
    </row>
    <row r="98" spans="1:6">
      <c r="A98" s="79" t="s">
        <v>619</v>
      </c>
      <c r="B98" s="79" t="s">
        <v>606</v>
      </c>
      <c r="C98" s="79" t="s">
        <v>607</v>
      </c>
      <c r="D98" s="79" t="str">
        <f t="shared" si="1"/>
        <v>Dadamu</v>
      </c>
      <c r="E98" s="79"/>
      <c r="F98" s="79">
        <v>97</v>
      </c>
    </row>
    <row r="99" spans="1:6">
      <c r="A99" s="79" t="s">
        <v>620</v>
      </c>
      <c r="B99" s="79" t="s">
        <v>606</v>
      </c>
      <c r="C99" s="79" t="s">
        <v>613</v>
      </c>
      <c r="D99" s="79" t="str">
        <f t="shared" si="1"/>
        <v>Ewanga</v>
      </c>
      <c r="E99" s="79"/>
      <c r="F99" s="79">
        <v>98</v>
      </c>
    </row>
    <row r="100" spans="1:6">
      <c r="A100" s="79" t="s">
        <v>621</v>
      </c>
      <c r="B100" s="79" t="s">
        <v>606</v>
      </c>
      <c r="C100" s="79" t="s">
        <v>609</v>
      </c>
      <c r="D100" s="79" t="str">
        <f t="shared" si="1"/>
        <v>Katrini</v>
      </c>
      <c r="E100" s="79"/>
      <c r="F100" s="79">
        <v>99</v>
      </c>
    </row>
    <row r="101" spans="1:6">
      <c r="A101" s="79" t="s">
        <v>622</v>
      </c>
      <c r="B101" s="79" t="s">
        <v>606</v>
      </c>
      <c r="C101" s="79" t="s">
        <v>611</v>
      </c>
      <c r="D101" s="79" t="str">
        <f t="shared" si="1"/>
        <v>Logiri</v>
      </c>
      <c r="E101" s="79"/>
      <c r="F101" s="79">
        <v>100</v>
      </c>
    </row>
    <row r="102" spans="1:6">
      <c r="A102" s="79" t="s">
        <v>623</v>
      </c>
      <c r="B102" s="79" t="s">
        <v>606</v>
      </c>
      <c r="C102" s="79" t="s">
        <v>607</v>
      </c>
      <c r="D102" s="79" t="str">
        <f t="shared" si="1"/>
        <v>Manibe</v>
      </c>
      <c r="E102" s="79"/>
      <c r="F102" s="79">
        <v>101</v>
      </c>
    </row>
    <row r="103" spans="1:6">
      <c r="A103" s="79" t="s">
        <v>624</v>
      </c>
      <c r="B103" s="79" t="s">
        <v>606</v>
      </c>
      <c r="C103" s="79" t="s">
        <v>609</v>
      </c>
      <c r="D103" s="79" t="str">
        <f t="shared" si="1"/>
        <v>Odupi</v>
      </c>
      <c r="E103" s="79"/>
      <c r="F103" s="79">
        <v>102</v>
      </c>
    </row>
    <row r="104" spans="1:6">
      <c r="A104" s="79" t="s">
        <v>625</v>
      </c>
      <c r="B104" s="79" t="s">
        <v>606</v>
      </c>
      <c r="C104" s="79" t="s">
        <v>613</v>
      </c>
      <c r="D104" s="79" t="str">
        <f t="shared" si="1"/>
        <v>Offaka</v>
      </c>
      <c r="E104" s="79"/>
      <c r="F104" s="79">
        <v>103</v>
      </c>
    </row>
    <row r="105" spans="1:6">
      <c r="A105" s="79" t="s">
        <v>626</v>
      </c>
      <c r="B105" s="79" t="s">
        <v>606</v>
      </c>
      <c r="C105" s="79" t="s">
        <v>613</v>
      </c>
      <c r="D105" s="79" t="str">
        <f t="shared" si="1"/>
        <v>Ogoko</v>
      </c>
      <c r="E105" s="79"/>
      <c r="F105" s="79">
        <v>104</v>
      </c>
    </row>
    <row r="106" spans="1:6">
      <c r="A106" s="79" t="s">
        <v>627</v>
      </c>
      <c r="B106" s="79" t="s">
        <v>606</v>
      </c>
      <c r="C106" s="79" t="s">
        <v>613</v>
      </c>
      <c r="D106" s="79" t="str">
        <f t="shared" si="1"/>
        <v>Okollo</v>
      </c>
      <c r="E106" s="79"/>
      <c r="F106" s="79">
        <v>105</v>
      </c>
    </row>
    <row r="107" spans="1:6">
      <c r="A107" s="79" t="s">
        <v>628</v>
      </c>
      <c r="B107" s="79" t="s">
        <v>606</v>
      </c>
      <c r="C107" s="79" t="s">
        <v>607</v>
      </c>
      <c r="D107" s="79" t="str">
        <f t="shared" si="1"/>
        <v>Oluko</v>
      </c>
      <c r="E107" s="79"/>
      <c r="F107" s="79">
        <v>106</v>
      </c>
    </row>
    <row r="108" spans="1:6">
      <c r="A108" s="79" t="s">
        <v>629</v>
      </c>
      <c r="B108" s="79" t="s">
        <v>606</v>
      </c>
      <c r="C108" s="79" t="s">
        <v>609</v>
      </c>
      <c r="D108" s="79" t="str">
        <f t="shared" si="1"/>
        <v>Omugo</v>
      </c>
      <c r="E108" s="79"/>
      <c r="F108" s="79">
        <v>107</v>
      </c>
    </row>
    <row r="109" spans="1:6">
      <c r="A109" s="79" t="s">
        <v>630</v>
      </c>
      <c r="B109" s="79" t="s">
        <v>606</v>
      </c>
      <c r="C109" s="79" t="s">
        <v>607</v>
      </c>
      <c r="D109" s="79" t="str">
        <f t="shared" si="1"/>
        <v>Pajulu</v>
      </c>
      <c r="E109" s="79"/>
      <c r="F109" s="79">
        <v>108</v>
      </c>
    </row>
    <row r="110" spans="1:6">
      <c r="A110" s="79" t="s">
        <v>631</v>
      </c>
      <c r="B110" s="79" t="s">
        <v>606</v>
      </c>
      <c r="C110" s="79" t="s">
        <v>613</v>
      </c>
      <c r="D110" s="79" t="str">
        <f t="shared" si="1"/>
        <v>Pawor</v>
      </c>
      <c r="E110" s="79"/>
      <c r="F110" s="79">
        <v>109</v>
      </c>
    </row>
    <row r="111" spans="1:6">
      <c r="A111" s="79" t="s">
        <v>632</v>
      </c>
      <c r="B111" s="79" t="s">
        <v>606</v>
      </c>
      <c r="C111" s="79" t="s">
        <v>613</v>
      </c>
      <c r="D111" s="79" t="str">
        <f t="shared" si="1"/>
        <v>Rhino Camp</v>
      </c>
      <c r="E111" s="79"/>
      <c r="F111" s="79">
        <v>110</v>
      </c>
    </row>
    <row r="112" spans="1:6">
      <c r="A112" s="79" t="s">
        <v>633</v>
      </c>
      <c r="B112" s="79" t="s">
        <v>606</v>
      </c>
      <c r="C112" s="79" t="s">
        <v>613</v>
      </c>
      <c r="D112" s="79" t="str">
        <f t="shared" si="1"/>
        <v>Rigbo</v>
      </c>
      <c r="E112" s="79"/>
      <c r="F112" s="79">
        <v>111</v>
      </c>
    </row>
    <row r="113" spans="1:6">
      <c r="A113" s="79" t="s">
        <v>634</v>
      </c>
      <c r="B113" s="79" t="s">
        <v>606</v>
      </c>
      <c r="C113" s="79" t="s">
        <v>613</v>
      </c>
      <c r="D113" s="79" t="str">
        <f t="shared" si="1"/>
        <v>Uleppi</v>
      </c>
      <c r="E113" s="79"/>
      <c r="F113" s="79">
        <v>112</v>
      </c>
    </row>
    <row r="114" spans="1:6">
      <c r="A114" s="79" t="s">
        <v>635</v>
      </c>
      <c r="B114" s="79" t="s">
        <v>606</v>
      </c>
      <c r="C114" s="79" t="s">
        <v>609</v>
      </c>
      <c r="D114" s="79" t="str">
        <f t="shared" si="1"/>
        <v>Uriama</v>
      </c>
      <c r="E114" s="79"/>
      <c r="F114" s="79">
        <v>113</v>
      </c>
    </row>
    <row r="115" spans="1:6">
      <c r="A115" s="79" t="s">
        <v>611</v>
      </c>
      <c r="B115" s="79" t="s">
        <v>606</v>
      </c>
      <c r="C115" s="79" t="s">
        <v>611</v>
      </c>
      <c r="D115" s="79" t="str">
        <f t="shared" si="1"/>
        <v>Vurra</v>
      </c>
      <c r="E115" s="79"/>
      <c r="F115" s="79">
        <v>114</v>
      </c>
    </row>
    <row r="116" spans="1:6">
      <c r="A116" s="79" t="s">
        <v>636</v>
      </c>
      <c r="B116" s="79" t="s">
        <v>636</v>
      </c>
      <c r="C116" s="79" t="s">
        <v>636</v>
      </c>
      <c r="D116" s="79" t="str">
        <f t="shared" si="1"/>
        <v>Budaka</v>
      </c>
      <c r="E116" s="79"/>
      <c r="F116" s="79">
        <v>115</v>
      </c>
    </row>
    <row r="117" spans="1:6">
      <c r="A117" s="79" t="s">
        <v>637</v>
      </c>
      <c r="B117" s="79" t="s">
        <v>636</v>
      </c>
      <c r="C117" s="79" t="s">
        <v>636</v>
      </c>
      <c r="D117" s="79" t="str">
        <f t="shared" si="1"/>
        <v>Budaka Town Council</v>
      </c>
      <c r="E117" s="79"/>
      <c r="F117" s="79">
        <v>116</v>
      </c>
    </row>
    <row r="118" spans="1:6">
      <c r="A118" s="79" t="s">
        <v>638</v>
      </c>
      <c r="B118" s="79" t="s">
        <v>636</v>
      </c>
      <c r="C118" s="79" t="s">
        <v>638</v>
      </c>
      <c r="D118" s="79" t="str">
        <f t="shared" si="1"/>
        <v>Iki-Iki</v>
      </c>
      <c r="E118" s="79"/>
      <c r="F118" s="79">
        <v>117</v>
      </c>
    </row>
    <row r="119" spans="1:6">
      <c r="A119" s="79" t="s">
        <v>639</v>
      </c>
      <c r="B119" s="79" t="s">
        <v>636</v>
      </c>
      <c r="C119" s="79" t="s">
        <v>636</v>
      </c>
      <c r="D119" s="79" t="str">
        <f t="shared" si="1"/>
        <v>Kachomo</v>
      </c>
      <c r="E119" s="79"/>
      <c r="F119" s="79">
        <v>118</v>
      </c>
    </row>
    <row r="120" spans="1:6">
      <c r="A120" s="79" t="s">
        <v>640</v>
      </c>
      <c r="B120" s="79" t="s">
        <v>636</v>
      </c>
      <c r="C120" s="79" t="s">
        <v>636</v>
      </c>
      <c r="D120" s="79" t="str">
        <f t="shared" si="1"/>
        <v>Kaderuna</v>
      </c>
      <c r="E120" s="79"/>
      <c r="F120" s="79">
        <v>119</v>
      </c>
    </row>
    <row r="121" spans="1:6">
      <c r="A121" s="79" t="s">
        <v>641</v>
      </c>
      <c r="B121" s="79" t="s">
        <v>636</v>
      </c>
      <c r="C121" s="79" t="s">
        <v>636</v>
      </c>
      <c r="D121" s="79" t="str">
        <f t="shared" si="1"/>
        <v>Kakule</v>
      </c>
      <c r="E121" s="79"/>
      <c r="F121" s="79">
        <v>120</v>
      </c>
    </row>
    <row r="122" spans="1:6">
      <c r="A122" s="79" t="s">
        <v>642</v>
      </c>
      <c r="B122" s="79" t="s">
        <v>636</v>
      </c>
      <c r="C122" s="79" t="s">
        <v>638</v>
      </c>
      <c r="D122" s="79" t="str">
        <f t="shared" si="1"/>
        <v>Kameruka</v>
      </c>
      <c r="E122" s="79"/>
      <c r="F122" s="79">
        <v>121</v>
      </c>
    </row>
    <row r="123" spans="1:6">
      <c r="A123" s="79" t="s">
        <v>643</v>
      </c>
      <c r="B123" s="79" t="s">
        <v>636</v>
      </c>
      <c r="C123" s="79" t="s">
        <v>638</v>
      </c>
      <c r="D123" s="79" t="str">
        <f t="shared" si="1"/>
        <v>Kamonkoli</v>
      </c>
      <c r="E123" s="79"/>
      <c r="F123" s="79">
        <v>122</v>
      </c>
    </row>
    <row r="124" spans="1:6">
      <c r="A124" s="79" t="s">
        <v>644</v>
      </c>
      <c r="B124" s="79" t="s">
        <v>636</v>
      </c>
      <c r="C124" s="79" t="s">
        <v>638</v>
      </c>
      <c r="D124" s="79" t="str">
        <f t="shared" si="1"/>
        <v>Katiira</v>
      </c>
      <c r="E124" s="79"/>
      <c r="F124" s="79">
        <v>123</v>
      </c>
    </row>
    <row r="125" spans="1:6">
      <c r="A125" s="79" t="s">
        <v>645</v>
      </c>
      <c r="B125" s="79" t="s">
        <v>636</v>
      </c>
      <c r="C125" s="79" t="s">
        <v>636</v>
      </c>
      <c r="D125" s="79" t="str">
        <f t="shared" si="1"/>
        <v>Lyama</v>
      </c>
      <c r="E125" s="79"/>
      <c r="F125" s="79">
        <v>124</v>
      </c>
    </row>
    <row r="126" spans="1:6">
      <c r="A126" s="79" t="s">
        <v>646</v>
      </c>
      <c r="B126" s="79" t="s">
        <v>636</v>
      </c>
      <c r="C126" s="79" t="s">
        <v>638</v>
      </c>
      <c r="D126" s="79" t="str">
        <f t="shared" si="1"/>
        <v>Mugiti</v>
      </c>
      <c r="E126" s="79"/>
      <c r="F126" s="79">
        <v>125</v>
      </c>
    </row>
    <row r="127" spans="1:6">
      <c r="A127" s="79" t="s">
        <v>647</v>
      </c>
      <c r="B127" s="79" t="s">
        <v>636</v>
      </c>
      <c r="C127" s="79" t="s">
        <v>636</v>
      </c>
      <c r="D127" s="79" t="str">
        <f t="shared" si="1"/>
        <v>Naboa</v>
      </c>
      <c r="E127" s="79"/>
      <c r="F127" s="79">
        <v>126</v>
      </c>
    </row>
    <row r="128" spans="1:6">
      <c r="A128" s="79" t="s">
        <v>648</v>
      </c>
      <c r="B128" s="79" t="s">
        <v>636</v>
      </c>
      <c r="C128" s="79" t="s">
        <v>636</v>
      </c>
      <c r="D128" s="79" t="str">
        <f t="shared" si="1"/>
        <v>Nansanga</v>
      </c>
      <c r="E128" s="79"/>
      <c r="F128" s="79">
        <v>127</v>
      </c>
    </row>
    <row r="129" spans="1:6">
      <c r="A129" s="79" t="s">
        <v>649</v>
      </c>
      <c r="B129" s="79" t="s">
        <v>650</v>
      </c>
      <c r="C129" s="79" t="s">
        <v>651</v>
      </c>
      <c r="D129" s="79" t="str">
        <f t="shared" si="1"/>
        <v>Bubiita</v>
      </c>
      <c r="E129" s="79"/>
      <c r="F129" s="79">
        <v>128</v>
      </c>
    </row>
    <row r="130" spans="1:6">
      <c r="A130" s="79" t="s">
        <v>650</v>
      </c>
      <c r="B130" s="79" t="s">
        <v>650</v>
      </c>
      <c r="C130" s="79" t="s">
        <v>651</v>
      </c>
      <c r="D130" s="79" t="str">
        <f t="shared" si="1"/>
        <v>Bududa</v>
      </c>
      <c r="E130" s="79"/>
      <c r="F130" s="79">
        <v>129</v>
      </c>
    </row>
    <row r="131" spans="1:6">
      <c r="A131" s="79" t="s">
        <v>652</v>
      </c>
      <c r="B131" s="79" t="s">
        <v>650</v>
      </c>
      <c r="C131" s="79" t="s">
        <v>651</v>
      </c>
      <c r="D131" s="79" t="str">
        <f t="shared" ref="D131:D194" si="2">A131</f>
        <v>Bududa Town Council</v>
      </c>
      <c r="E131" s="79"/>
      <c r="F131" s="79">
        <v>130</v>
      </c>
    </row>
    <row r="132" spans="1:6">
      <c r="A132" s="79" t="s">
        <v>653</v>
      </c>
      <c r="B132" s="79" t="s">
        <v>650</v>
      </c>
      <c r="C132" s="79" t="s">
        <v>651</v>
      </c>
      <c r="D132" s="79" t="str">
        <f t="shared" si="2"/>
        <v>Bukalasi</v>
      </c>
      <c r="E132" s="79"/>
      <c r="F132" s="79">
        <v>131</v>
      </c>
    </row>
    <row r="133" spans="1:6">
      <c r="A133" s="79" t="s">
        <v>654</v>
      </c>
      <c r="B133" s="79" t="s">
        <v>650</v>
      </c>
      <c r="C133" s="79" t="s">
        <v>651</v>
      </c>
      <c r="D133" s="79" t="str">
        <f t="shared" si="2"/>
        <v>Bukibokolo</v>
      </c>
      <c r="E133" s="79"/>
      <c r="F133" s="79">
        <v>132</v>
      </c>
    </row>
    <row r="134" spans="1:6">
      <c r="A134" s="79" t="s">
        <v>655</v>
      </c>
      <c r="B134" s="79" t="s">
        <v>650</v>
      </c>
      <c r="C134" s="79" t="s">
        <v>651</v>
      </c>
      <c r="D134" s="79" t="str">
        <f t="shared" si="2"/>
        <v>Bukigai</v>
      </c>
      <c r="E134" s="79"/>
      <c r="F134" s="79">
        <v>133</v>
      </c>
    </row>
    <row r="135" spans="1:6">
      <c r="A135" s="79" t="s">
        <v>656</v>
      </c>
      <c r="B135" s="79" t="s">
        <v>650</v>
      </c>
      <c r="C135" s="79" t="s">
        <v>651</v>
      </c>
      <c r="D135" s="79" t="str">
        <f t="shared" si="2"/>
        <v>Bulucheke</v>
      </c>
      <c r="E135" s="79"/>
      <c r="F135" s="79">
        <v>134</v>
      </c>
    </row>
    <row r="136" spans="1:6">
      <c r="A136" s="79" t="s">
        <v>657</v>
      </c>
      <c r="B136" s="79" t="s">
        <v>650</v>
      </c>
      <c r="C136" s="79" t="s">
        <v>651</v>
      </c>
      <c r="D136" s="79" t="str">
        <f t="shared" si="2"/>
        <v>Bumasheti</v>
      </c>
      <c r="E136" s="79"/>
      <c r="F136" s="79">
        <v>135</v>
      </c>
    </row>
    <row r="137" spans="1:6">
      <c r="A137" s="79" t="s">
        <v>658</v>
      </c>
      <c r="B137" s="79" t="s">
        <v>650</v>
      </c>
      <c r="C137" s="79" t="s">
        <v>651</v>
      </c>
      <c r="D137" s="79" t="str">
        <f t="shared" si="2"/>
        <v>Bumayoka</v>
      </c>
      <c r="E137" s="79"/>
      <c r="F137" s="79">
        <v>136</v>
      </c>
    </row>
    <row r="138" spans="1:6">
      <c r="A138" s="79" t="s">
        <v>659</v>
      </c>
      <c r="B138" s="79" t="s">
        <v>650</v>
      </c>
      <c r="C138" s="79" t="s">
        <v>651</v>
      </c>
      <c r="D138" s="79" t="str">
        <f t="shared" si="2"/>
        <v>Bushika</v>
      </c>
      <c r="E138" s="79"/>
      <c r="F138" s="79">
        <v>137</v>
      </c>
    </row>
    <row r="139" spans="1:6">
      <c r="A139" s="79" t="s">
        <v>660</v>
      </c>
      <c r="B139" s="79" t="s">
        <v>650</v>
      </c>
      <c r="C139" s="79" t="s">
        <v>651</v>
      </c>
      <c r="D139" s="79" t="str">
        <f t="shared" si="2"/>
        <v>Bushiribo</v>
      </c>
      <c r="E139" s="79"/>
      <c r="F139" s="79">
        <v>138</v>
      </c>
    </row>
    <row r="140" spans="1:6">
      <c r="A140" s="79" t="s">
        <v>661</v>
      </c>
      <c r="B140" s="79" t="s">
        <v>650</v>
      </c>
      <c r="C140" s="79" t="s">
        <v>651</v>
      </c>
      <c r="D140" s="79" t="str">
        <f t="shared" si="2"/>
        <v>Bushiyi</v>
      </c>
      <c r="E140" s="79"/>
      <c r="F140" s="79">
        <v>139</v>
      </c>
    </row>
    <row r="141" spans="1:6">
      <c r="A141" s="79" t="s">
        <v>662</v>
      </c>
      <c r="B141" s="79" t="s">
        <v>650</v>
      </c>
      <c r="C141" s="79" t="s">
        <v>651</v>
      </c>
      <c r="D141" s="79" t="str">
        <f t="shared" si="2"/>
        <v>Buwali</v>
      </c>
      <c r="E141" s="79"/>
      <c r="F141" s="79">
        <v>140</v>
      </c>
    </row>
    <row r="142" spans="1:6">
      <c r="A142" s="79" t="s">
        <v>663</v>
      </c>
      <c r="B142" s="79" t="s">
        <v>650</v>
      </c>
      <c r="C142" s="79" t="s">
        <v>651</v>
      </c>
      <c r="D142" s="79" t="str">
        <f t="shared" si="2"/>
        <v>Nabweya</v>
      </c>
      <c r="E142" s="79"/>
      <c r="F142" s="79">
        <v>141</v>
      </c>
    </row>
    <row r="143" spans="1:6">
      <c r="A143" s="79" t="s">
        <v>664</v>
      </c>
      <c r="B143" s="79" t="s">
        <v>650</v>
      </c>
      <c r="C143" s="79" t="s">
        <v>651</v>
      </c>
      <c r="D143" s="79" t="str">
        <f t="shared" si="2"/>
        <v>Nakatsi</v>
      </c>
      <c r="E143" s="79"/>
      <c r="F143" s="79">
        <v>142</v>
      </c>
    </row>
    <row r="144" spans="1:6">
      <c r="A144" s="79" t="s">
        <v>665</v>
      </c>
      <c r="B144" s="79" t="s">
        <v>650</v>
      </c>
      <c r="C144" s="79" t="s">
        <v>651</v>
      </c>
      <c r="D144" s="79" t="str">
        <f t="shared" si="2"/>
        <v>Nalwanza</v>
      </c>
      <c r="E144" s="79"/>
      <c r="F144" s="79">
        <v>143</v>
      </c>
    </row>
    <row r="145" spans="1:6">
      <c r="A145" s="79" t="s">
        <v>666</v>
      </c>
      <c r="B145" s="79" t="s">
        <v>667</v>
      </c>
      <c r="C145" s="79" t="s">
        <v>668</v>
      </c>
      <c r="D145" s="79" t="str">
        <f t="shared" si="2"/>
        <v>Budhaya</v>
      </c>
      <c r="E145" s="79"/>
      <c r="F145" s="79">
        <v>144</v>
      </c>
    </row>
    <row r="146" spans="1:6">
      <c r="A146" s="79" t="s">
        <v>669</v>
      </c>
      <c r="B146" s="79" t="s">
        <v>667</v>
      </c>
      <c r="C146" s="79" t="s">
        <v>669</v>
      </c>
      <c r="D146" s="79" t="str">
        <f t="shared" si="2"/>
        <v>Bugiri Municipality</v>
      </c>
      <c r="E146" s="79"/>
      <c r="F146" s="79">
        <v>145</v>
      </c>
    </row>
    <row r="147" spans="1:6">
      <c r="A147" s="79" t="s">
        <v>670</v>
      </c>
      <c r="B147" s="79" t="s">
        <v>667</v>
      </c>
      <c r="C147" s="79" t="s">
        <v>668</v>
      </c>
      <c r="D147" s="79" t="str">
        <f t="shared" si="2"/>
        <v>Bulesa</v>
      </c>
      <c r="E147" s="79"/>
      <c r="F147" s="79">
        <v>146</v>
      </c>
    </row>
    <row r="148" spans="1:6">
      <c r="A148" s="79" t="s">
        <v>671</v>
      </c>
      <c r="B148" s="79" t="s">
        <v>667</v>
      </c>
      <c r="C148" s="79" t="s">
        <v>668</v>
      </c>
      <c r="D148" s="79" t="str">
        <f t="shared" si="2"/>
        <v>Bulidha</v>
      </c>
      <c r="E148" s="79"/>
      <c r="F148" s="79">
        <v>147</v>
      </c>
    </row>
    <row r="149" spans="1:6">
      <c r="A149" s="79" t="s">
        <v>672</v>
      </c>
      <c r="B149" s="79" t="s">
        <v>667</v>
      </c>
      <c r="C149" s="79" t="s">
        <v>668</v>
      </c>
      <c r="D149" s="79" t="str">
        <f t="shared" si="2"/>
        <v>Buluguyi</v>
      </c>
      <c r="E149" s="79"/>
      <c r="F149" s="79">
        <v>148</v>
      </c>
    </row>
    <row r="150" spans="1:6">
      <c r="A150" s="79" t="s">
        <v>673</v>
      </c>
      <c r="B150" s="79" t="s">
        <v>667</v>
      </c>
      <c r="C150" s="79" t="s">
        <v>668</v>
      </c>
      <c r="D150" s="79" t="str">
        <f t="shared" si="2"/>
        <v>Buwunga-Bugiri</v>
      </c>
      <c r="E150" s="79"/>
      <c r="F150" s="79">
        <v>149</v>
      </c>
    </row>
    <row r="151" spans="1:6">
      <c r="A151" s="79" t="s">
        <v>674</v>
      </c>
      <c r="B151" s="79" t="s">
        <v>667</v>
      </c>
      <c r="C151" s="79" t="s">
        <v>668</v>
      </c>
      <c r="D151" s="79" t="str">
        <f t="shared" si="2"/>
        <v>Iwemba</v>
      </c>
      <c r="E151" s="79"/>
      <c r="F151" s="79">
        <v>150</v>
      </c>
    </row>
    <row r="152" spans="1:6">
      <c r="A152" s="79" t="s">
        <v>675</v>
      </c>
      <c r="B152" s="79" t="s">
        <v>667</v>
      </c>
      <c r="C152" s="79" t="s">
        <v>668</v>
      </c>
      <c r="D152" s="79" t="str">
        <f t="shared" si="2"/>
        <v>Kapyanga</v>
      </c>
      <c r="E152" s="79"/>
      <c r="F152" s="79">
        <v>151</v>
      </c>
    </row>
    <row r="153" spans="1:6">
      <c r="A153" s="79" t="s">
        <v>676</v>
      </c>
      <c r="B153" s="79" t="s">
        <v>667</v>
      </c>
      <c r="C153" s="79" t="s">
        <v>668</v>
      </c>
      <c r="D153" s="79" t="str">
        <f t="shared" si="2"/>
        <v>Muterere</v>
      </c>
      <c r="E153" s="79"/>
      <c r="F153" s="79">
        <v>152</v>
      </c>
    </row>
    <row r="154" spans="1:6">
      <c r="A154" s="79" t="s">
        <v>677</v>
      </c>
      <c r="B154" s="79" t="s">
        <v>667</v>
      </c>
      <c r="C154" s="79" t="s">
        <v>668</v>
      </c>
      <c r="D154" s="79" t="str">
        <f t="shared" si="2"/>
        <v>Nabukalu</v>
      </c>
      <c r="E154" s="79"/>
      <c r="F154" s="79">
        <v>153</v>
      </c>
    </row>
    <row r="155" spans="1:6">
      <c r="A155" s="79" t="s">
        <v>678</v>
      </c>
      <c r="B155" s="79" t="s">
        <v>667</v>
      </c>
      <c r="C155" s="79" t="s">
        <v>668</v>
      </c>
      <c r="D155" s="79" t="str">
        <f t="shared" si="2"/>
        <v>Nankoma</v>
      </c>
      <c r="E155" s="79"/>
      <c r="F155" s="79">
        <v>154</v>
      </c>
    </row>
    <row r="156" spans="1:6">
      <c r="A156" s="79" t="s">
        <v>679</v>
      </c>
      <c r="B156" s="79" t="s">
        <v>680</v>
      </c>
      <c r="C156" s="79" t="s">
        <v>680</v>
      </c>
      <c r="D156" s="79" t="str">
        <f t="shared" si="2"/>
        <v>Bihanga-Buhweju</v>
      </c>
      <c r="E156" s="79"/>
      <c r="F156" s="79">
        <v>155</v>
      </c>
    </row>
    <row r="157" spans="1:6">
      <c r="A157" s="79" t="s">
        <v>681</v>
      </c>
      <c r="B157" s="79" t="s">
        <v>680</v>
      </c>
      <c r="C157" s="79" t="s">
        <v>680</v>
      </c>
      <c r="D157" s="79" t="str">
        <f t="shared" si="2"/>
        <v>Bitsya</v>
      </c>
      <c r="E157" s="79"/>
      <c r="F157" s="79">
        <v>156</v>
      </c>
    </row>
    <row r="158" spans="1:6">
      <c r="A158" s="79" t="s">
        <v>682</v>
      </c>
      <c r="B158" s="79" t="s">
        <v>680</v>
      </c>
      <c r="C158" s="79" t="s">
        <v>680</v>
      </c>
      <c r="D158" s="79" t="str">
        <f t="shared" si="2"/>
        <v>Burere</v>
      </c>
      <c r="E158" s="79"/>
      <c r="F158" s="79">
        <v>157</v>
      </c>
    </row>
    <row r="159" spans="1:6">
      <c r="A159" s="79" t="s">
        <v>683</v>
      </c>
      <c r="B159" s="79" t="s">
        <v>680</v>
      </c>
      <c r="C159" s="79" t="s">
        <v>680</v>
      </c>
      <c r="D159" s="79" t="str">
        <f t="shared" si="2"/>
        <v>Engaju</v>
      </c>
      <c r="E159" s="79"/>
      <c r="F159" s="79">
        <v>158</v>
      </c>
    </row>
    <row r="160" spans="1:6">
      <c r="A160" s="79" t="s">
        <v>684</v>
      </c>
      <c r="B160" s="79" t="s">
        <v>680</v>
      </c>
      <c r="C160" s="79" t="s">
        <v>680</v>
      </c>
      <c r="D160" s="79" t="str">
        <f t="shared" si="2"/>
        <v>Karungu</v>
      </c>
      <c r="E160" s="79"/>
      <c r="F160" s="79">
        <v>159</v>
      </c>
    </row>
    <row r="161" spans="1:6">
      <c r="A161" s="79" t="s">
        <v>685</v>
      </c>
      <c r="B161" s="79" t="s">
        <v>680</v>
      </c>
      <c r="C161" s="79" t="s">
        <v>680</v>
      </c>
      <c r="D161" s="79" t="str">
        <f t="shared" si="2"/>
        <v>Nsiika Town Council</v>
      </c>
      <c r="E161" s="79"/>
      <c r="F161" s="79">
        <v>160</v>
      </c>
    </row>
    <row r="162" spans="1:6">
      <c r="A162" s="79" t="s">
        <v>686</v>
      </c>
      <c r="B162" s="79" t="s">
        <v>680</v>
      </c>
      <c r="C162" s="79" t="s">
        <v>680</v>
      </c>
      <c r="D162" s="79" t="str">
        <f t="shared" si="2"/>
        <v>Nyakishana</v>
      </c>
      <c r="E162" s="79"/>
      <c r="F162" s="79">
        <v>161</v>
      </c>
    </row>
    <row r="163" spans="1:6">
      <c r="A163" s="79" t="s">
        <v>687</v>
      </c>
      <c r="B163" s="79" t="s">
        <v>680</v>
      </c>
      <c r="C163" s="79" t="s">
        <v>680</v>
      </c>
      <c r="D163" s="79" t="str">
        <f t="shared" si="2"/>
        <v>Rwengwe</v>
      </c>
      <c r="E163" s="79"/>
      <c r="F163" s="79">
        <v>162</v>
      </c>
    </row>
    <row r="164" spans="1:6">
      <c r="A164" s="79" t="s">
        <v>688</v>
      </c>
      <c r="B164" s="79" t="s">
        <v>688</v>
      </c>
      <c r="C164" s="79" t="s">
        <v>688</v>
      </c>
      <c r="D164" s="79" t="str">
        <f t="shared" si="2"/>
        <v>Buikwe</v>
      </c>
      <c r="E164" s="79"/>
      <c r="F164" s="79">
        <v>163</v>
      </c>
    </row>
    <row r="165" spans="1:6">
      <c r="A165" s="79" t="s">
        <v>689</v>
      </c>
      <c r="B165" s="79" t="s">
        <v>688</v>
      </c>
      <c r="C165" s="79" t="s">
        <v>688</v>
      </c>
      <c r="D165" s="79" t="str">
        <f t="shared" si="2"/>
        <v>Buikwe Town Council</v>
      </c>
      <c r="E165" s="79"/>
      <c r="F165" s="79">
        <v>164</v>
      </c>
    </row>
    <row r="166" spans="1:6">
      <c r="A166" s="79" t="s">
        <v>690</v>
      </c>
      <c r="B166" s="79" t="s">
        <v>688</v>
      </c>
      <c r="C166" s="79" t="s">
        <v>690</v>
      </c>
      <c r="D166" s="79" t="str">
        <f t="shared" si="2"/>
        <v>Lugazi Municipality</v>
      </c>
      <c r="E166" s="79"/>
      <c r="F166" s="79">
        <v>165</v>
      </c>
    </row>
    <row r="167" spans="1:6">
      <c r="A167" s="79" t="s">
        <v>691</v>
      </c>
      <c r="B167" s="79"/>
      <c r="C167" s="79"/>
      <c r="D167" s="79" t="str">
        <f t="shared" si="2"/>
        <v>LUGAZI</v>
      </c>
      <c r="E167" s="79"/>
      <c r="F167" s="79">
        <v>165</v>
      </c>
    </row>
    <row r="168" spans="1:6">
      <c r="A168" s="79" t="s">
        <v>692</v>
      </c>
      <c r="B168" s="79" t="s">
        <v>688</v>
      </c>
      <c r="C168" s="79" t="s">
        <v>688</v>
      </c>
      <c r="D168" s="79" t="str">
        <f t="shared" si="2"/>
        <v>Najja</v>
      </c>
      <c r="E168" s="79"/>
      <c r="F168" s="79">
        <v>166</v>
      </c>
    </row>
    <row r="169" spans="1:6">
      <c r="A169" s="79" t="s">
        <v>693</v>
      </c>
      <c r="B169" s="79" t="s">
        <v>688</v>
      </c>
      <c r="C169" s="79" t="s">
        <v>688</v>
      </c>
      <c r="D169" s="79" t="str">
        <f t="shared" si="2"/>
        <v>Ngogwe</v>
      </c>
      <c r="E169" s="79"/>
      <c r="F169" s="79">
        <v>167</v>
      </c>
    </row>
    <row r="170" spans="1:6">
      <c r="A170" s="79" t="s">
        <v>694</v>
      </c>
      <c r="B170" s="79" t="s">
        <v>688</v>
      </c>
      <c r="C170" s="79" t="s">
        <v>694</v>
      </c>
      <c r="D170" s="79" t="str">
        <f t="shared" si="2"/>
        <v>Njeru Municipality</v>
      </c>
      <c r="E170" s="79"/>
      <c r="F170" s="79">
        <v>168</v>
      </c>
    </row>
    <row r="171" spans="1:6">
      <c r="A171" s="79" t="s">
        <v>695</v>
      </c>
      <c r="B171" s="79" t="s">
        <v>688</v>
      </c>
      <c r="C171" s="79" t="s">
        <v>688</v>
      </c>
      <c r="D171" s="79" t="str">
        <f t="shared" si="2"/>
        <v>Nkokonjeru Town Council</v>
      </c>
      <c r="E171" s="79"/>
      <c r="F171" s="79">
        <v>169</v>
      </c>
    </row>
    <row r="172" spans="1:6">
      <c r="A172" s="79" t="s">
        <v>696</v>
      </c>
      <c r="B172" s="79" t="s">
        <v>688</v>
      </c>
      <c r="C172" s="79" t="s">
        <v>688</v>
      </c>
      <c r="D172" s="79" t="str">
        <f t="shared" si="2"/>
        <v>Ssi-Bukunja</v>
      </c>
      <c r="E172" s="79"/>
      <c r="F172" s="79">
        <v>170</v>
      </c>
    </row>
    <row r="173" spans="1:6">
      <c r="A173" s="79" t="s">
        <v>697</v>
      </c>
      <c r="B173" s="79" t="s">
        <v>697</v>
      </c>
      <c r="C173" s="79" t="s">
        <v>697</v>
      </c>
      <c r="D173" s="79" t="str">
        <f t="shared" si="2"/>
        <v>Bukedea</v>
      </c>
      <c r="E173" s="79"/>
      <c r="F173" s="79">
        <v>171</v>
      </c>
    </row>
    <row r="174" spans="1:6">
      <c r="A174" s="79" t="s">
        <v>698</v>
      </c>
      <c r="B174" s="79" t="s">
        <v>697</v>
      </c>
      <c r="C174" s="79" t="s">
        <v>697</v>
      </c>
      <c r="D174" s="79" t="str">
        <f t="shared" si="2"/>
        <v>Bukedea Town Council</v>
      </c>
      <c r="E174" s="79"/>
      <c r="F174" s="79">
        <v>172</v>
      </c>
    </row>
    <row r="175" spans="1:6">
      <c r="A175" s="79" t="s">
        <v>699</v>
      </c>
      <c r="B175" s="79" t="s">
        <v>697</v>
      </c>
      <c r="C175" s="79" t="s">
        <v>697</v>
      </c>
      <c r="D175" s="79" t="str">
        <f t="shared" si="2"/>
        <v>Kachumbala</v>
      </c>
      <c r="E175" s="79"/>
      <c r="F175" s="79">
        <v>173</v>
      </c>
    </row>
    <row r="176" spans="1:6">
      <c r="A176" s="79" t="s">
        <v>700</v>
      </c>
      <c r="B176" s="79" t="s">
        <v>697</v>
      </c>
      <c r="C176" s="79" t="s">
        <v>697</v>
      </c>
      <c r="D176" s="79" t="str">
        <f t="shared" si="2"/>
        <v>Kidongole</v>
      </c>
      <c r="E176" s="79"/>
      <c r="F176" s="79">
        <v>174</v>
      </c>
    </row>
    <row r="177" spans="1:6">
      <c r="A177" s="79" t="s">
        <v>701</v>
      </c>
      <c r="B177" s="79" t="s">
        <v>697</v>
      </c>
      <c r="C177" s="79" t="s">
        <v>697</v>
      </c>
      <c r="D177" s="79" t="str">
        <f t="shared" si="2"/>
        <v>Kolir</v>
      </c>
      <c r="E177" s="79"/>
      <c r="F177" s="79">
        <v>175</v>
      </c>
    </row>
    <row r="178" spans="1:6">
      <c r="A178" s="79" t="s">
        <v>702</v>
      </c>
      <c r="B178" s="79" t="s">
        <v>697</v>
      </c>
      <c r="C178" s="79" t="s">
        <v>697</v>
      </c>
      <c r="D178" s="79" t="str">
        <f t="shared" si="2"/>
        <v>Malera</v>
      </c>
      <c r="E178" s="79"/>
      <c r="F178" s="79">
        <v>176</v>
      </c>
    </row>
    <row r="179" spans="1:6">
      <c r="A179" s="79" t="s">
        <v>703</v>
      </c>
      <c r="B179" s="79" t="s">
        <v>704</v>
      </c>
      <c r="C179" s="79" t="s">
        <v>704</v>
      </c>
      <c r="D179" s="79" t="str">
        <f t="shared" si="2"/>
        <v>Bigasa</v>
      </c>
      <c r="E179" s="79"/>
      <c r="F179" s="79">
        <v>177</v>
      </c>
    </row>
    <row r="180" spans="1:6">
      <c r="A180" s="79" t="s">
        <v>705</v>
      </c>
      <c r="B180" s="79" t="s">
        <v>704</v>
      </c>
      <c r="C180" s="79" t="s">
        <v>704</v>
      </c>
      <c r="D180" s="79" t="str">
        <f t="shared" si="2"/>
        <v>Bukomansimbi Town Council</v>
      </c>
      <c r="E180" s="79"/>
      <c r="F180" s="79">
        <v>178</v>
      </c>
    </row>
    <row r="181" spans="1:6">
      <c r="A181" s="79" t="s">
        <v>706</v>
      </c>
      <c r="B181" s="79" t="s">
        <v>704</v>
      </c>
      <c r="C181" s="79" t="s">
        <v>704</v>
      </c>
      <c r="D181" s="79" t="str">
        <f t="shared" si="2"/>
        <v>Butenga</v>
      </c>
      <c r="E181" s="79"/>
      <c r="F181" s="79">
        <v>179</v>
      </c>
    </row>
    <row r="182" spans="1:6">
      <c r="A182" s="79" t="s">
        <v>707</v>
      </c>
      <c r="B182" s="79" t="s">
        <v>704</v>
      </c>
      <c r="C182" s="79" t="s">
        <v>704</v>
      </c>
      <c r="D182" s="79" t="str">
        <f t="shared" si="2"/>
        <v>Kibinge</v>
      </c>
      <c r="E182" s="79"/>
      <c r="F182" s="79">
        <v>180</v>
      </c>
    </row>
    <row r="183" spans="1:6">
      <c r="A183" s="79" t="s">
        <v>708</v>
      </c>
      <c r="B183" s="79" t="s">
        <v>704</v>
      </c>
      <c r="C183" s="79" t="s">
        <v>704</v>
      </c>
      <c r="D183" s="79" t="str">
        <f t="shared" si="2"/>
        <v>Kitanda</v>
      </c>
      <c r="E183" s="79"/>
      <c r="F183" s="79">
        <v>181</v>
      </c>
    </row>
    <row r="184" spans="1:6">
      <c r="A184" s="79" t="s">
        <v>709</v>
      </c>
      <c r="B184" s="79" t="s">
        <v>709</v>
      </c>
      <c r="C184" s="79" t="s">
        <v>710</v>
      </c>
      <c r="D184" s="79" t="str">
        <f t="shared" si="2"/>
        <v>Bukwo</v>
      </c>
      <c r="E184" s="79"/>
      <c r="F184" s="79">
        <v>182</v>
      </c>
    </row>
    <row r="185" spans="1:6" ht="16.5" customHeight="1">
      <c r="A185" s="79" t="s">
        <v>711</v>
      </c>
      <c r="B185" s="79" t="s">
        <v>709</v>
      </c>
      <c r="C185" s="79" t="s">
        <v>710</v>
      </c>
      <c r="D185" s="79" t="str">
        <f t="shared" si="2"/>
        <v>Bukwo Town Council</v>
      </c>
      <c r="E185" s="79"/>
      <c r="F185" s="79">
        <v>183</v>
      </c>
    </row>
    <row r="186" spans="1:6">
      <c r="A186" s="79" t="s">
        <v>712</v>
      </c>
      <c r="B186" s="79" t="s">
        <v>709</v>
      </c>
      <c r="C186" s="79" t="s">
        <v>710</v>
      </c>
      <c r="D186" s="79" t="str">
        <f t="shared" si="2"/>
        <v>Chepkwasta</v>
      </c>
      <c r="E186" s="79"/>
      <c r="F186" s="79">
        <v>184</v>
      </c>
    </row>
    <row r="187" spans="1:6">
      <c r="A187" s="79" t="s">
        <v>713</v>
      </c>
      <c r="B187" s="79" t="s">
        <v>709</v>
      </c>
      <c r="C187" s="79" t="s">
        <v>710</v>
      </c>
      <c r="D187" s="79" t="str">
        <f t="shared" si="2"/>
        <v>Chesower</v>
      </c>
      <c r="E187" s="79"/>
      <c r="F187" s="79">
        <v>185</v>
      </c>
    </row>
    <row r="188" spans="1:6">
      <c r="A188" s="79" t="s">
        <v>714</v>
      </c>
      <c r="B188" s="79" t="s">
        <v>709</v>
      </c>
      <c r="C188" s="79" t="s">
        <v>710</v>
      </c>
      <c r="D188" s="79" t="str">
        <f t="shared" si="2"/>
        <v>Kabei</v>
      </c>
      <c r="E188" s="79"/>
      <c r="F188" s="79">
        <v>186</v>
      </c>
    </row>
    <row r="189" spans="1:6">
      <c r="A189" s="79" t="s">
        <v>715</v>
      </c>
      <c r="B189" s="79" t="s">
        <v>709</v>
      </c>
      <c r="C189" s="79" t="s">
        <v>710</v>
      </c>
      <c r="D189" s="79" t="str">
        <f t="shared" si="2"/>
        <v>Kamet</v>
      </c>
      <c r="E189" s="79"/>
      <c r="F189" s="79">
        <v>187</v>
      </c>
    </row>
    <row r="190" spans="1:6">
      <c r="A190" s="79" t="s">
        <v>716</v>
      </c>
      <c r="B190" s="79" t="s">
        <v>709</v>
      </c>
      <c r="C190" s="79" t="s">
        <v>710</v>
      </c>
      <c r="D190" s="79" t="str">
        <f t="shared" si="2"/>
        <v>Kaptererwo</v>
      </c>
      <c r="E190" s="79"/>
      <c r="F190" s="79">
        <v>188</v>
      </c>
    </row>
    <row r="191" spans="1:6">
      <c r="A191" s="79" t="s">
        <v>717</v>
      </c>
      <c r="B191" s="79" t="s">
        <v>709</v>
      </c>
      <c r="C191" s="79" t="s">
        <v>710</v>
      </c>
      <c r="D191" s="79" t="str">
        <f t="shared" si="2"/>
        <v>Kortek</v>
      </c>
      <c r="E191" s="79"/>
      <c r="F191" s="79">
        <v>189</v>
      </c>
    </row>
    <row r="192" spans="1:6">
      <c r="A192" s="79" t="s">
        <v>718</v>
      </c>
      <c r="B192" s="79" t="s">
        <v>709</v>
      </c>
      <c r="C192" s="79" t="s">
        <v>710</v>
      </c>
      <c r="D192" s="79" t="str">
        <f t="shared" si="2"/>
        <v>Riwo</v>
      </c>
      <c r="E192" s="79"/>
      <c r="F192" s="79">
        <v>190</v>
      </c>
    </row>
    <row r="193" spans="1:6">
      <c r="A193" s="79" t="s">
        <v>719</v>
      </c>
      <c r="B193" s="79" t="s">
        <v>709</v>
      </c>
      <c r="C193" s="79" t="s">
        <v>710</v>
      </c>
      <c r="D193" s="79" t="str">
        <f t="shared" si="2"/>
        <v>Senendet</v>
      </c>
      <c r="E193" s="79"/>
      <c r="F193" s="79">
        <v>191</v>
      </c>
    </row>
    <row r="194" spans="1:6">
      <c r="A194" s="79" t="s">
        <v>720</v>
      </c>
      <c r="B194" s="79" t="s">
        <v>709</v>
      </c>
      <c r="C194" s="79" t="s">
        <v>710</v>
      </c>
      <c r="D194" s="79" t="str">
        <f t="shared" si="2"/>
        <v>Suam</v>
      </c>
      <c r="E194" s="79"/>
      <c r="F194" s="79">
        <v>192</v>
      </c>
    </row>
    <row r="195" spans="1:6">
      <c r="A195" s="79" t="s">
        <v>721</v>
      </c>
      <c r="B195" s="79" t="s">
        <v>709</v>
      </c>
      <c r="C195" s="79" t="s">
        <v>710</v>
      </c>
      <c r="D195" s="79" t="str">
        <f t="shared" ref="D195:D258" si="3">A195</f>
        <v>Tulel</v>
      </c>
      <c r="E195" s="79"/>
      <c r="F195" s="79">
        <v>193</v>
      </c>
    </row>
    <row r="196" spans="1:6">
      <c r="A196" s="79" t="s">
        <v>722</v>
      </c>
      <c r="B196" s="79" t="s">
        <v>723</v>
      </c>
      <c r="C196" s="79" t="s">
        <v>723</v>
      </c>
      <c r="D196" s="79" t="str">
        <f t="shared" si="3"/>
        <v>Buginyanya</v>
      </c>
      <c r="E196" s="79"/>
      <c r="F196" s="79">
        <v>194</v>
      </c>
    </row>
    <row r="197" spans="1:6">
      <c r="A197" s="79" t="s">
        <v>724</v>
      </c>
      <c r="B197" s="79" t="s">
        <v>723</v>
      </c>
      <c r="C197" s="79" t="s">
        <v>723</v>
      </c>
      <c r="D197" s="79" t="str">
        <f t="shared" si="3"/>
        <v>Bukhalu</v>
      </c>
      <c r="E197" s="79"/>
      <c r="F197" s="79">
        <v>195</v>
      </c>
    </row>
    <row r="198" spans="1:6">
      <c r="A198" s="79" t="s">
        <v>725</v>
      </c>
      <c r="B198" s="79" t="s">
        <v>723</v>
      </c>
      <c r="C198" s="79" t="s">
        <v>723</v>
      </c>
      <c r="D198" s="79" t="str">
        <f t="shared" si="3"/>
        <v>Bulaago</v>
      </c>
      <c r="E198" s="79"/>
      <c r="F198" s="79">
        <v>196</v>
      </c>
    </row>
    <row r="199" spans="1:6">
      <c r="A199" s="79" t="s">
        <v>726</v>
      </c>
      <c r="B199" s="79" t="s">
        <v>723</v>
      </c>
      <c r="C199" s="79" t="s">
        <v>723</v>
      </c>
      <c r="D199" s="79" t="str">
        <f t="shared" si="3"/>
        <v>Bulambuli Town Council</v>
      </c>
      <c r="E199" s="79"/>
      <c r="F199" s="79">
        <v>197</v>
      </c>
    </row>
    <row r="200" spans="1:6">
      <c r="A200" s="79" t="s">
        <v>727</v>
      </c>
      <c r="B200" s="79" t="s">
        <v>723</v>
      </c>
      <c r="C200" s="79" t="s">
        <v>723</v>
      </c>
      <c r="D200" s="79" t="str">
        <f t="shared" si="3"/>
        <v>Bulegeni</v>
      </c>
      <c r="E200" s="79"/>
      <c r="F200" s="79">
        <v>198</v>
      </c>
    </row>
    <row r="201" spans="1:6">
      <c r="A201" s="79" t="s">
        <v>728</v>
      </c>
      <c r="B201" s="79" t="s">
        <v>723</v>
      </c>
      <c r="C201" s="79" t="s">
        <v>723</v>
      </c>
      <c r="D201" s="79" t="str">
        <f t="shared" si="3"/>
        <v>Bulegeni Town Council</v>
      </c>
      <c r="E201" s="79"/>
      <c r="F201" s="79">
        <v>199</v>
      </c>
    </row>
    <row r="202" spans="1:6">
      <c r="A202" s="79" t="s">
        <v>729</v>
      </c>
      <c r="B202" s="79" t="s">
        <v>723</v>
      </c>
      <c r="C202" s="79" t="s">
        <v>723</v>
      </c>
      <c r="D202" s="79" t="str">
        <f t="shared" si="3"/>
        <v>Buluganya</v>
      </c>
      <c r="E202" s="79"/>
      <c r="F202" s="79">
        <v>200</v>
      </c>
    </row>
    <row r="203" spans="1:6">
      <c r="A203" s="79" t="s">
        <v>730</v>
      </c>
      <c r="B203" s="79" t="s">
        <v>723</v>
      </c>
      <c r="C203" s="79" t="s">
        <v>723</v>
      </c>
      <c r="D203" s="79" t="str">
        <f t="shared" si="3"/>
        <v>Bumasobo</v>
      </c>
      <c r="E203" s="79"/>
      <c r="F203" s="79">
        <v>201</v>
      </c>
    </row>
    <row r="204" spans="1:6">
      <c r="A204" s="79" t="s">
        <v>731</v>
      </c>
      <c r="B204" s="79" t="s">
        <v>723</v>
      </c>
      <c r="C204" s="79" t="s">
        <v>723</v>
      </c>
      <c r="D204" s="79" t="str">
        <f t="shared" si="3"/>
        <v>Bumugibole</v>
      </c>
      <c r="E204" s="79"/>
      <c r="F204" s="79">
        <v>202</v>
      </c>
    </row>
    <row r="205" spans="1:6">
      <c r="A205" s="79" t="s">
        <v>732</v>
      </c>
      <c r="B205" s="79" t="s">
        <v>723</v>
      </c>
      <c r="C205" s="79" t="s">
        <v>723</v>
      </c>
      <c r="D205" s="79" t="str">
        <f t="shared" si="3"/>
        <v>Bunambutye</v>
      </c>
      <c r="E205" s="79"/>
      <c r="F205" s="79">
        <v>203</v>
      </c>
    </row>
    <row r="206" spans="1:6">
      <c r="A206" s="79" t="s">
        <v>733</v>
      </c>
      <c r="B206" s="79" t="s">
        <v>723</v>
      </c>
      <c r="C206" s="79" t="s">
        <v>723</v>
      </c>
      <c r="D206" s="79" t="str">
        <f t="shared" si="3"/>
        <v>Bwikhonge</v>
      </c>
      <c r="E206" s="79"/>
      <c r="F206" s="79">
        <v>204</v>
      </c>
    </row>
    <row r="207" spans="1:6">
      <c r="A207" s="79" t="s">
        <v>734</v>
      </c>
      <c r="B207" s="79" t="s">
        <v>723</v>
      </c>
      <c r="C207" s="79" t="s">
        <v>723</v>
      </c>
      <c r="D207" s="79" t="str">
        <f t="shared" si="3"/>
        <v>Kamu</v>
      </c>
      <c r="E207" s="79"/>
      <c r="F207" s="79">
        <v>205</v>
      </c>
    </row>
    <row r="208" spans="1:6">
      <c r="A208" s="79" t="s">
        <v>735</v>
      </c>
      <c r="B208" s="79" t="s">
        <v>723</v>
      </c>
      <c r="C208" s="79" t="s">
        <v>723</v>
      </c>
      <c r="D208" s="79" t="str">
        <f t="shared" si="3"/>
        <v>Lusha</v>
      </c>
      <c r="E208" s="79"/>
      <c r="F208" s="79">
        <v>206</v>
      </c>
    </row>
    <row r="209" spans="1:6">
      <c r="A209" s="79" t="s">
        <v>736</v>
      </c>
      <c r="B209" s="79" t="s">
        <v>723</v>
      </c>
      <c r="C209" s="79" t="s">
        <v>723</v>
      </c>
      <c r="D209" s="79" t="str">
        <f t="shared" si="3"/>
        <v>Masiira</v>
      </c>
      <c r="E209" s="79"/>
      <c r="F209" s="79">
        <v>207</v>
      </c>
    </row>
    <row r="210" spans="1:6">
      <c r="A210" s="79" t="s">
        <v>737</v>
      </c>
      <c r="B210" s="79" t="s">
        <v>723</v>
      </c>
      <c r="C210" s="79" t="s">
        <v>723</v>
      </c>
      <c r="D210" s="79" t="str">
        <f t="shared" si="3"/>
        <v>Muyembe</v>
      </c>
      <c r="E210" s="79"/>
      <c r="F210" s="79">
        <v>208</v>
      </c>
    </row>
    <row r="211" spans="1:6" ht="15" customHeight="1">
      <c r="A211" s="79" t="s">
        <v>738</v>
      </c>
      <c r="B211" s="79" t="s">
        <v>723</v>
      </c>
      <c r="C211" s="79" t="s">
        <v>723</v>
      </c>
      <c r="D211" s="79" t="str">
        <f t="shared" si="3"/>
        <v>Nabbongo</v>
      </c>
      <c r="E211" s="79"/>
      <c r="F211" s="79">
        <v>209</v>
      </c>
    </row>
    <row r="212" spans="1:6">
      <c r="A212" s="79" t="s">
        <v>739</v>
      </c>
      <c r="B212" s="79" t="s">
        <v>723</v>
      </c>
      <c r="C212" s="79" t="s">
        <v>723</v>
      </c>
      <c r="D212" s="79" t="str">
        <f t="shared" si="3"/>
        <v>Namisuni</v>
      </c>
      <c r="E212" s="79"/>
      <c r="F212" s="79">
        <v>210</v>
      </c>
    </row>
    <row r="213" spans="1:6">
      <c r="A213" s="79" t="s">
        <v>740</v>
      </c>
      <c r="B213" s="79" t="s">
        <v>723</v>
      </c>
      <c r="C213" s="79" t="s">
        <v>723</v>
      </c>
      <c r="D213" s="79" t="str">
        <f t="shared" si="3"/>
        <v>Simu</v>
      </c>
      <c r="E213" s="79"/>
      <c r="F213" s="79">
        <v>211</v>
      </c>
    </row>
    <row r="214" spans="1:6">
      <c r="A214" s="79" t="s">
        <v>741</v>
      </c>
      <c r="B214" s="79" t="s">
        <v>723</v>
      </c>
      <c r="C214" s="79" t="s">
        <v>723</v>
      </c>
      <c r="D214" s="79" t="str">
        <f t="shared" si="3"/>
        <v>Sisiyi</v>
      </c>
      <c r="E214" s="79"/>
      <c r="F214" s="79">
        <v>212</v>
      </c>
    </row>
    <row r="215" spans="1:6">
      <c r="A215" s="79" t="s">
        <v>742</v>
      </c>
      <c r="B215" s="79" t="s">
        <v>743</v>
      </c>
      <c r="C215" s="79" t="s">
        <v>743</v>
      </c>
      <c r="D215" s="79" t="str">
        <f t="shared" si="3"/>
        <v>Biiso</v>
      </c>
      <c r="E215" s="79"/>
      <c r="F215" s="79">
        <v>213</v>
      </c>
    </row>
    <row r="216" spans="1:6">
      <c r="A216" s="79" t="s">
        <v>743</v>
      </c>
      <c r="B216" s="79" t="s">
        <v>743</v>
      </c>
      <c r="C216" s="79" t="s">
        <v>743</v>
      </c>
      <c r="D216" s="79" t="str">
        <f t="shared" si="3"/>
        <v>Buliisa</v>
      </c>
      <c r="E216" s="79"/>
      <c r="F216" s="79">
        <v>214</v>
      </c>
    </row>
    <row r="217" spans="1:6">
      <c r="A217" s="79" t="s">
        <v>744</v>
      </c>
      <c r="B217" s="79" t="s">
        <v>743</v>
      </c>
      <c r="C217" s="79" t="s">
        <v>743</v>
      </c>
      <c r="D217" s="79" t="str">
        <f t="shared" si="3"/>
        <v>Buliisa Town Council</v>
      </c>
      <c r="E217" s="79"/>
      <c r="F217" s="79">
        <v>215</v>
      </c>
    </row>
    <row r="218" spans="1:6">
      <c r="A218" s="79" t="s">
        <v>745</v>
      </c>
      <c r="B218" s="79" t="s">
        <v>743</v>
      </c>
      <c r="C218" s="79" t="s">
        <v>743</v>
      </c>
      <c r="D218" s="79" t="str">
        <f t="shared" si="3"/>
        <v>Butiaba</v>
      </c>
      <c r="E218" s="79"/>
      <c r="F218" s="79">
        <v>216</v>
      </c>
    </row>
    <row r="219" spans="1:6">
      <c r="A219" s="79" t="s">
        <v>746</v>
      </c>
      <c r="B219" s="79" t="s">
        <v>743</v>
      </c>
      <c r="C219" s="79" t="s">
        <v>743</v>
      </c>
      <c r="D219" s="79" t="str">
        <f t="shared" si="3"/>
        <v>Kigwera</v>
      </c>
      <c r="E219" s="79"/>
      <c r="F219" s="79">
        <v>217</v>
      </c>
    </row>
    <row r="220" spans="1:6">
      <c r="A220" s="79" t="s">
        <v>747</v>
      </c>
      <c r="B220" s="79" t="s">
        <v>743</v>
      </c>
      <c r="C220" s="79" t="s">
        <v>743</v>
      </c>
      <c r="D220" s="79" t="str">
        <f t="shared" si="3"/>
        <v>Kihungya</v>
      </c>
      <c r="E220" s="79"/>
      <c r="F220" s="79">
        <v>218</v>
      </c>
    </row>
    <row r="221" spans="1:6">
      <c r="A221" s="79" t="s">
        <v>748</v>
      </c>
      <c r="B221" s="79" t="s">
        <v>743</v>
      </c>
      <c r="C221" s="79" t="s">
        <v>743</v>
      </c>
      <c r="D221" s="79" t="str">
        <f t="shared" si="3"/>
        <v>Ngwedo</v>
      </c>
      <c r="E221" s="79"/>
      <c r="F221" s="79">
        <v>219</v>
      </c>
    </row>
    <row r="222" spans="1:6">
      <c r="A222" s="79" t="s">
        <v>749</v>
      </c>
      <c r="B222" s="79" t="s">
        <v>750</v>
      </c>
      <c r="C222" s="79" t="s">
        <v>751</v>
      </c>
      <c r="D222" s="79" t="str">
        <f t="shared" si="3"/>
        <v>Bubandi</v>
      </c>
      <c r="E222" s="79"/>
      <c r="F222" s="79">
        <v>220</v>
      </c>
    </row>
    <row r="223" spans="1:6">
      <c r="A223" s="79" t="s">
        <v>752</v>
      </c>
      <c r="B223" s="79" t="s">
        <v>750</v>
      </c>
      <c r="C223" s="79" t="s">
        <v>751</v>
      </c>
      <c r="D223" s="79" t="str">
        <f t="shared" si="3"/>
        <v>Bubukwanga</v>
      </c>
      <c r="E223" s="79"/>
      <c r="F223" s="79">
        <v>221</v>
      </c>
    </row>
    <row r="224" spans="1:6">
      <c r="A224" s="79" t="s">
        <v>753</v>
      </c>
      <c r="B224" s="79" t="s">
        <v>750</v>
      </c>
      <c r="C224" s="79" t="s">
        <v>754</v>
      </c>
      <c r="D224" s="79" t="str">
        <f t="shared" si="3"/>
        <v>Bukonzo</v>
      </c>
      <c r="E224" s="79"/>
      <c r="F224" s="79">
        <v>222</v>
      </c>
    </row>
    <row r="225" spans="1:6">
      <c r="A225" s="79" t="s">
        <v>755</v>
      </c>
      <c r="B225" s="79" t="s">
        <v>750</v>
      </c>
      <c r="C225" s="79" t="s">
        <v>751</v>
      </c>
      <c r="D225" s="79" t="str">
        <f t="shared" si="3"/>
        <v>Bundibugyo Town Council</v>
      </c>
      <c r="E225" s="79"/>
      <c r="F225" s="79">
        <v>223</v>
      </c>
    </row>
    <row r="226" spans="1:6">
      <c r="A226" s="79" t="s">
        <v>756</v>
      </c>
      <c r="B226" s="79" t="s">
        <v>750</v>
      </c>
      <c r="C226" s="79" t="s">
        <v>751</v>
      </c>
      <c r="D226" s="79" t="str">
        <f t="shared" si="3"/>
        <v>Bundingoma</v>
      </c>
      <c r="E226" s="79"/>
      <c r="F226" s="79">
        <v>224</v>
      </c>
    </row>
    <row r="227" spans="1:6">
      <c r="A227" s="79" t="s">
        <v>757</v>
      </c>
      <c r="B227" s="79" t="s">
        <v>750</v>
      </c>
      <c r="C227" s="79" t="s">
        <v>754</v>
      </c>
      <c r="D227" s="79" t="str">
        <f t="shared" si="3"/>
        <v>Burondo</v>
      </c>
      <c r="E227" s="79"/>
      <c r="F227" s="79">
        <v>225</v>
      </c>
    </row>
    <row r="228" spans="1:6">
      <c r="A228" s="79" t="s">
        <v>758</v>
      </c>
      <c r="B228" s="79" t="s">
        <v>750</v>
      </c>
      <c r="C228" s="79" t="s">
        <v>751</v>
      </c>
      <c r="D228" s="79" t="str">
        <f t="shared" si="3"/>
        <v>Busaru</v>
      </c>
      <c r="E228" s="79"/>
      <c r="F228" s="79">
        <v>226</v>
      </c>
    </row>
    <row r="229" spans="1:6">
      <c r="A229" s="79" t="s">
        <v>759</v>
      </c>
      <c r="B229" s="79" t="s">
        <v>750</v>
      </c>
      <c r="C229" s="79" t="s">
        <v>754</v>
      </c>
      <c r="D229" s="79" t="str">
        <f t="shared" si="3"/>
        <v>Harugale</v>
      </c>
      <c r="E229" s="79"/>
      <c r="F229" s="79">
        <v>227</v>
      </c>
    </row>
    <row r="230" spans="1:6">
      <c r="A230" s="79" t="s">
        <v>760</v>
      </c>
      <c r="B230" s="79" t="s">
        <v>750</v>
      </c>
      <c r="C230" s="79" t="s">
        <v>754</v>
      </c>
      <c r="D230" s="79" t="str">
        <f t="shared" si="3"/>
        <v>Kagugu</v>
      </c>
      <c r="E230" s="79"/>
      <c r="F230" s="79">
        <v>228</v>
      </c>
    </row>
    <row r="231" spans="1:6">
      <c r="A231" s="79" t="s">
        <v>761</v>
      </c>
      <c r="B231" s="79" t="s">
        <v>750</v>
      </c>
      <c r="C231" s="79" t="s">
        <v>754</v>
      </c>
      <c r="D231" s="79" t="str">
        <f t="shared" si="3"/>
        <v>Kasitu</v>
      </c>
      <c r="E231" s="79"/>
      <c r="F231" s="79">
        <v>229</v>
      </c>
    </row>
    <row r="232" spans="1:6">
      <c r="A232" s="79" t="s">
        <v>762</v>
      </c>
      <c r="B232" s="79" t="s">
        <v>750</v>
      </c>
      <c r="C232" s="79" t="s">
        <v>751</v>
      </c>
      <c r="D232" s="79" t="str">
        <f t="shared" si="3"/>
        <v>Kirumya</v>
      </c>
      <c r="E232" s="79"/>
      <c r="F232" s="79">
        <v>230</v>
      </c>
    </row>
    <row r="233" spans="1:6">
      <c r="A233" s="79" t="s">
        <v>763</v>
      </c>
      <c r="B233" s="79" t="s">
        <v>750</v>
      </c>
      <c r="C233" s="79" t="s">
        <v>751</v>
      </c>
      <c r="D233" s="79" t="str">
        <f t="shared" si="3"/>
        <v>Kisubba</v>
      </c>
      <c r="E233" s="79"/>
      <c r="F233" s="79">
        <v>231</v>
      </c>
    </row>
    <row r="234" spans="1:6">
      <c r="A234" s="79" t="s">
        <v>764</v>
      </c>
      <c r="B234" s="79" t="s">
        <v>750</v>
      </c>
      <c r="C234" s="79" t="s">
        <v>751</v>
      </c>
      <c r="D234" s="79" t="str">
        <f t="shared" si="3"/>
        <v>Mirambi</v>
      </c>
      <c r="E234" s="79"/>
      <c r="F234" s="79">
        <v>232</v>
      </c>
    </row>
    <row r="235" spans="1:6">
      <c r="A235" s="79" t="s">
        <v>765</v>
      </c>
      <c r="B235" s="79" t="s">
        <v>750</v>
      </c>
      <c r="C235" s="79" t="s">
        <v>754</v>
      </c>
      <c r="D235" s="79" t="str">
        <f t="shared" si="3"/>
        <v>Nduguto</v>
      </c>
      <c r="E235" s="79"/>
      <c r="F235" s="79">
        <v>233</v>
      </c>
    </row>
    <row r="236" spans="1:6">
      <c r="A236" s="79" t="s">
        <v>766</v>
      </c>
      <c r="B236" s="79" t="s">
        <v>750</v>
      </c>
      <c r="C236" s="79" t="s">
        <v>754</v>
      </c>
      <c r="D236" s="79" t="str">
        <f t="shared" si="3"/>
        <v>Ngamba</v>
      </c>
      <c r="E236" s="79"/>
      <c r="F236" s="79">
        <v>234</v>
      </c>
    </row>
    <row r="237" spans="1:6">
      <c r="A237" s="79" t="s">
        <v>767</v>
      </c>
      <c r="B237" s="79" t="s">
        <v>750</v>
      </c>
      <c r="C237" s="79" t="s">
        <v>754</v>
      </c>
      <c r="D237" s="79" t="str">
        <f t="shared" si="3"/>
        <v>Ntandi Town Council</v>
      </c>
      <c r="E237" s="79"/>
      <c r="F237" s="79">
        <v>235</v>
      </c>
    </row>
    <row r="238" spans="1:6">
      <c r="A238" s="79" t="s">
        <v>768</v>
      </c>
      <c r="B238" s="79" t="s">
        <v>750</v>
      </c>
      <c r="C238" s="79" t="s">
        <v>754</v>
      </c>
      <c r="D238" s="79" t="str">
        <f t="shared" si="3"/>
        <v>Ntotoro</v>
      </c>
      <c r="E238" s="79"/>
      <c r="F238" s="79">
        <v>236</v>
      </c>
    </row>
    <row r="239" spans="1:6">
      <c r="A239" s="79" t="s">
        <v>769</v>
      </c>
      <c r="B239" s="79" t="s">
        <v>750</v>
      </c>
      <c r="C239" s="79" t="s">
        <v>751</v>
      </c>
      <c r="D239" s="79" t="str">
        <f t="shared" si="3"/>
        <v>Nyahuka Town Council</v>
      </c>
      <c r="E239" s="79"/>
      <c r="F239" s="79">
        <v>237</v>
      </c>
    </row>
    <row r="240" spans="1:6">
      <c r="A240" s="79" t="s">
        <v>770</v>
      </c>
      <c r="B240" s="79" t="s">
        <v>750</v>
      </c>
      <c r="C240" s="79" t="s">
        <v>754</v>
      </c>
      <c r="D240" s="79" t="str">
        <f t="shared" si="3"/>
        <v>Sindila</v>
      </c>
      <c r="E240" s="79"/>
      <c r="F240" s="79">
        <v>238</v>
      </c>
    </row>
    <row r="241" spans="1:6">
      <c r="A241" s="79" t="s">
        <v>771</v>
      </c>
      <c r="B241" s="79" t="s">
        <v>750</v>
      </c>
      <c r="C241" s="79" t="s">
        <v>751</v>
      </c>
      <c r="D241" s="79" t="str">
        <f t="shared" si="3"/>
        <v>Tokwe</v>
      </c>
      <c r="E241" s="79"/>
      <c r="F241" s="79">
        <v>239</v>
      </c>
    </row>
    <row r="242" spans="1:6">
      <c r="A242" s="79" t="s">
        <v>772</v>
      </c>
      <c r="B242" s="79" t="s">
        <v>773</v>
      </c>
      <c r="C242" s="79" t="s">
        <v>773</v>
      </c>
      <c r="D242" s="79" t="str">
        <f t="shared" si="3"/>
        <v>Buheesi</v>
      </c>
      <c r="E242" s="79"/>
      <c r="F242" s="79">
        <v>240</v>
      </c>
    </row>
    <row r="243" spans="1:6">
      <c r="A243" s="79" t="s">
        <v>774</v>
      </c>
      <c r="B243" s="79" t="s">
        <v>773</v>
      </c>
      <c r="C243" s="79" t="s">
        <v>773</v>
      </c>
      <c r="D243" s="79" t="str">
        <f t="shared" si="3"/>
        <v>Buheesi Town Council</v>
      </c>
      <c r="E243" s="79"/>
      <c r="F243" s="79">
        <v>241</v>
      </c>
    </row>
    <row r="244" spans="1:6">
      <c r="A244" s="79" t="s">
        <v>775</v>
      </c>
      <c r="B244" s="79" t="s">
        <v>773</v>
      </c>
      <c r="C244" s="79" t="s">
        <v>773</v>
      </c>
      <c r="D244" s="79" t="str">
        <f t="shared" si="3"/>
        <v>Kabonero</v>
      </c>
      <c r="E244" s="79"/>
      <c r="F244" s="79">
        <v>242</v>
      </c>
    </row>
    <row r="245" spans="1:6">
      <c r="A245" s="79" t="s">
        <v>776</v>
      </c>
      <c r="B245" s="79" t="s">
        <v>773</v>
      </c>
      <c r="C245" s="79" t="s">
        <v>773</v>
      </c>
      <c r="D245" s="79" t="str">
        <f t="shared" si="3"/>
        <v>Katebwa</v>
      </c>
      <c r="E245" s="79"/>
      <c r="F245" s="79">
        <v>243</v>
      </c>
    </row>
    <row r="246" spans="1:6">
      <c r="A246" s="79" t="s">
        <v>777</v>
      </c>
      <c r="B246" s="79" t="s">
        <v>773</v>
      </c>
      <c r="C246" s="79" t="s">
        <v>773</v>
      </c>
      <c r="D246" s="79" t="str">
        <f t="shared" si="3"/>
        <v>Kibiito</v>
      </c>
      <c r="E246" s="79"/>
      <c r="F246" s="79">
        <v>244</v>
      </c>
    </row>
    <row r="247" spans="1:6">
      <c r="A247" s="79" t="s">
        <v>778</v>
      </c>
      <c r="B247" s="79" t="s">
        <v>773</v>
      </c>
      <c r="C247" s="79" t="s">
        <v>773</v>
      </c>
      <c r="D247" s="79" t="str">
        <f t="shared" si="3"/>
        <v>Kibiito Town Council</v>
      </c>
      <c r="E247" s="79"/>
      <c r="F247" s="79">
        <v>245</v>
      </c>
    </row>
    <row r="248" spans="1:6">
      <c r="A248" s="79" t="s">
        <v>779</v>
      </c>
      <c r="B248" s="79" t="s">
        <v>773</v>
      </c>
      <c r="C248" s="79" t="s">
        <v>773</v>
      </c>
      <c r="D248" s="79" t="str">
        <f t="shared" si="3"/>
        <v>Kisomoro</v>
      </c>
      <c r="E248" s="79"/>
      <c r="F248" s="79">
        <v>246</v>
      </c>
    </row>
    <row r="249" spans="1:6">
      <c r="A249" s="79" t="s">
        <v>780</v>
      </c>
      <c r="B249" s="79" t="s">
        <v>773</v>
      </c>
      <c r="C249" s="79" t="s">
        <v>773</v>
      </c>
      <c r="D249" s="79" t="str">
        <f t="shared" si="3"/>
        <v>Kyamukube Town Council</v>
      </c>
      <c r="E249" s="79"/>
      <c r="F249" s="79">
        <v>247</v>
      </c>
    </row>
    <row r="250" spans="1:6">
      <c r="A250" s="79" t="s">
        <v>781</v>
      </c>
      <c r="B250" s="79" t="s">
        <v>773</v>
      </c>
      <c r="C250" s="79" t="s">
        <v>773</v>
      </c>
      <c r="D250" s="79" t="str">
        <f t="shared" si="3"/>
        <v>Rubona Town Council</v>
      </c>
      <c r="E250" s="79"/>
      <c r="F250" s="79">
        <v>248</v>
      </c>
    </row>
    <row r="251" spans="1:6">
      <c r="A251" s="79" t="s">
        <v>782</v>
      </c>
      <c r="B251" s="79" t="s">
        <v>773</v>
      </c>
      <c r="C251" s="79" t="s">
        <v>773</v>
      </c>
      <c r="D251" s="79" t="str">
        <f t="shared" si="3"/>
        <v>Rwimi</v>
      </c>
      <c r="E251" s="79"/>
      <c r="F251" s="79">
        <v>249</v>
      </c>
    </row>
    <row r="252" spans="1:6">
      <c r="A252" s="79" t="s">
        <v>783</v>
      </c>
      <c r="B252" s="79" t="s">
        <v>773</v>
      </c>
      <c r="C252" s="79" t="s">
        <v>773</v>
      </c>
      <c r="D252" s="79" t="str">
        <f t="shared" si="3"/>
        <v>Rwimi Town Council</v>
      </c>
      <c r="E252" s="79"/>
      <c r="F252" s="79">
        <v>250</v>
      </c>
    </row>
    <row r="253" spans="1:6">
      <c r="A253" s="79" t="s">
        <v>784</v>
      </c>
      <c r="B253" s="79" t="s">
        <v>38</v>
      </c>
      <c r="C253" s="79" t="s">
        <v>785</v>
      </c>
      <c r="D253" s="79" t="str">
        <f t="shared" si="3"/>
        <v>Bitooma</v>
      </c>
      <c r="E253" s="79"/>
      <c r="F253" s="79">
        <v>251</v>
      </c>
    </row>
    <row r="254" spans="1:6">
      <c r="A254" s="79" t="s">
        <v>786</v>
      </c>
      <c r="B254" s="79" t="s">
        <v>38</v>
      </c>
      <c r="C254" s="79" t="s">
        <v>785</v>
      </c>
      <c r="D254" s="79" t="str">
        <f t="shared" si="3"/>
        <v>Bumbaire</v>
      </c>
      <c r="E254" s="79"/>
      <c r="F254" s="79">
        <v>252</v>
      </c>
    </row>
    <row r="255" spans="1:6">
      <c r="A255" s="79" t="s">
        <v>787</v>
      </c>
      <c r="B255" s="79" t="s">
        <v>38</v>
      </c>
      <c r="C255" s="79" t="s">
        <v>787</v>
      </c>
      <c r="D255" s="79" t="str">
        <f t="shared" si="3"/>
        <v>Bushenyi-Ishaka Municipality</v>
      </c>
      <c r="E255" s="79"/>
      <c r="F255" s="79">
        <v>253</v>
      </c>
    </row>
    <row r="256" spans="1:6">
      <c r="A256" s="79" t="s">
        <v>788</v>
      </c>
      <c r="B256" s="79" t="s">
        <v>38</v>
      </c>
      <c r="C256" s="79" t="s">
        <v>785</v>
      </c>
      <c r="D256" s="79" t="str">
        <f t="shared" si="3"/>
        <v>Ibaare</v>
      </c>
      <c r="E256" s="79"/>
      <c r="F256" s="79">
        <v>254</v>
      </c>
    </row>
    <row r="257" spans="1:6">
      <c r="A257" s="79" t="s">
        <v>789</v>
      </c>
      <c r="B257" s="79" t="s">
        <v>38</v>
      </c>
      <c r="C257" s="79" t="s">
        <v>785</v>
      </c>
      <c r="D257" s="79" t="str">
        <f t="shared" si="3"/>
        <v>Kakanju</v>
      </c>
      <c r="E257" s="79"/>
      <c r="F257" s="79">
        <v>255</v>
      </c>
    </row>
    <row r="258" spans="1:6">
      <c r="A258" s="79" t="s">
        <v>790</v>
      </c>
      <c r="B258" s="79" t="s">
        <v>38</v>
      </c>
      <c r="C258" s="79" t="s">
        <v>785</v>
      </c>
      <c r="D258" s="79" t="str">
        <f t="shared" si="3"/>
        <v>Kyabugimbi</v>
      </c>
      <c r="E258" s="79"/>
      <c r="F258" s="79">
        <v>256</v>
      </c>
    </row>
    <row r="259" spans="1:6">
      <c r="A259" s="79" t="s">
        <v>50</v>
      </c>
      <c r="B259" s="79" t="s">
        <v>38</v>
      </c>
      <c r="C259" s="79" t="s">
        <v>785</v>
      </c>
      <c r="D259" s="79" t="str">
        <f t="shared" ref="D259:D322" si="4">A259</f>
        <v>Kyamuhunga</v>
      </c>
      <c r="E259" s="79"/>
      <c r="F259" s="79">
        <v>257</v>
      </c>
    </row>
    <row r="260" spans="1:6">
      <c r="A260" s="79" t="s">
        <v>791</v>
      </c>
      <c r="B260" s="79" t="s">
        <v>38</v>
      </c>
      <c r="C260" s="79" t="s">
        <v>785</v>
      </c>
      <c r="D260" s="79" t="str">
        <f t="shared" si="4"/>
        <v>Kyamuhunga Town Council</v>
      </c>
      <c r="E260" s="79"/>
      <c r="F260" s="79">
        <v>258</v>
      </c>
    </row>
    <row r="261" spans="1:6">
      <c r="A261" s="79" t="s">
        <v>792</v>
      </c>
      <c r="B261" s="79" t="s">
        <v>38</v>
      </c>
      <c r="C261" s="79" t="s">
        <v>785</v>
      </c>
      <c r="D261" s="79" t="str">
        <f t="shared" si="4"/>
        <v>Kyeizooba</v>
      </c>
      <c r="E261" s="79"/>
      <c r="F261" s="79">
        <v>259</v>
      </c>
    </row>
    <row r="262" spans="1:6">
      <c r="A262" s="79" t="s">
        <v>793</v>
      </c>
      <c r="B262" s="79" t="s">
        <v>38</v>
      </c>
      <c r="C262" s="79" t="s">
        <v>785</v>
      </c>
      <c r="D262" s="79" t="str">
        <f t="shared" si="4"/>
        <v>Nyabubare</v>
      </c>
      <c r="E262" s="79"/>
      <c r="F262" s="79">
        <v>260</v>
      </c>
    </row>
    <row r="263" spans="1:6">
      <c r="A263" s="79" t="s">
        <v>794</v>
      </c>
      <c r="B263" s="79" t="s">
        <v>38</v>
      </c>
      <c r="C263" s="79" t="s">
        <v>785</v>
      </c>
      <c r="D263" s="79" t="str">
        <f t="shared" si="4"/>
        <v>Ruhumuro</v>
      </c>
      <c r="E263" s="79"/>
      <c r="F263" s="79">
        <v>261</v>
      </c>
    </row>
    <row r="264" spans="1:6">
      <c r="A264" s="79" t="s">
        <v>795</v>
      </c>
      <c r="B264" s="79" t="s">
        <v>796</v>
      </c>
      <c r="C264" s="79" t="s">
        <v>797</v>
      </c>
      <c r="D264" s="79" t="str">
        <f t="shared" si="4"/>
        <v>Buhehe</v>
      </c>
      <c r="E264" s="79"/>
      <c r="F264" s="79">
        <v>262</v>
      </c>
    </row>
    <row r="265" spans="1:6">
      <c r="A265" s="79" t="s">
        <v>798</v>
      </c>
      <c r="B265" s="79" t="s">
        <v>796</v>
      </c>
      <c r="C265" s="79" t="s">
        <v>797</v>
      </c>
      <c r="D265" s="79" t="str">
        <f t="shared" si="4"/>
        <v>Bulumbi</v>
      </c>
      <c r="E265" s="79"/>
      <c r="F265" s="79">
        <v>263</v>
      </c>
    </row>
    <row r="266" spans="1:6">
      <c r="A266" s="79" t="s">
        <v>799</v>
      </c>
      <c r="B266" s="79" t="s">
        <v>796</v>
      </c>
      <c r="C266" s="79" t="s">
        <v>799</v>
      </c>
      <c r="D266" s="79" t="str">
        <f t="shared" si="4"/>
        <v>Busia Municipality</v>
      </c>
      <c r="E266" s="79"/>
      <c r="F266" s="79">
        <v>264</v>
      </c>
    </row>
    <row r="267" spans="1:6">
      <c r="A267" s="79" t="s">
        <v>800</v>
      </c>
      <c r="B267" s="79" t="s">
        <v>796</v>
      </c>
      <c r="C267" s="79" t="s">
        <v>797</v>
      </c>
      <c r="D267" s="79" t="str">
        <f t="shared" si="4"/>
        <v>Busime</v>
      </c>
      <c r="E267" s="79"/>
      <c r="F267" s="79">
        <v>265</v>
      </c>
    </row>
    <row r="268" spans="1:6">
      <c r="A268" s="79" t="s">
        <v>801</v>
      </c>
      <c r="B268" s="79" t="s">
        <v>796</v>
      </c>
      <c r="C268" s="79" t="s">
        <v>797</v>
      </c>
      <c r="D268" s="79" t="str">
        <f t="shared" si="4"/>
        <v>Busitema</v>
      </c>
      <c r="E268" s="79"/>
      <c r="F268" s="79">
        <v>266</v>
      </c>
    </row>
    <row r="269" spans="1:6">
      <c r="A269" s="79" t="s">
        <v>802</v>
      </c>
      <c r="B269" s="79" t="s">
        <v>796</v>
      </c>
      <c r="C269" s="79" t="s">
        <v>797</v>
      </c>
      <c r="D269" s="79" t="str">
        <f t="shared" si="4"/>
        <v>Buteba</v>
      </c>
      <c r="E269" s="79"/>
      <c r="F269" s="79">
        <v>267</v>
      </c>
    </row>
    <row r="270" spans="1:6">
      <c r="A270" s="79" t="s">
        <v>803</v>
      </c>
      <c r="B270" s="79" t="s">
        <v>796</v>
      </c>
      <c r="C270" s="79" t="s">
        <v>797</v>
      </c>
      <c r="D270" s="79" t="str">
        <f t="shared" si="4"/>
        <v>Buyanga-Busia</v>
      </c>
      <c r="E270" s="79"/>
      <c r="F270" s="79">
        <v>268</v>
      </c>
    </row>
    <row r="271" spans="1:6">
      <c r="A271" s="79" t="s">
        <v>804</v>
      </c>
      <c r="B271" s="79" t="s">
        <v>796</v>
      </c>
      <c r="C271" s="79" t="s">
        <v>797</v>
      </c>
      <c r="D271" s="79" t="str">
        <f t="shared" si="4"/>
        <v>Dabani</v>
      </c>
      <c r="E271" s="79"/>
      <c r="F271" s="79">
        <v>269</v>
      </c>
    </row>
    <row r="272" spans="1:6">
      <c r="A272" s="79" t="s">
        <v>805</v>
      </c>
      <c r="B272" s="79" t="s">
        <v>796</v>
      </c>
      <c r="C272" s="79" t="s">
        <v>797</v>
      </c>
      <c r="D272" s="79" t="str">
        <f t="shared" si="4"/>
        <v>Lumino</v>
      </c>
      <c r="E272" s="79"/>
      <c r="F272" s="79">
        <v>270</v>
      </c>
    </row>
    <row r="273" spans="1:6">
      <c r="A273" s="79" t="s">
        <v>806</v>
      </c>
      <c r="B273" s="79" t="s">
        <v>796</v>
      </c>
      <c r="C273" s="79" t="s">
        <v>797</v>
      </c>
      <c r="D273" s="79" t="str">
        <f t="shared" si="4"/>
        <v>Lunyo</v>
      </c>
      <c r="E273" s="79"/>
      <c r="F273" s="79">
        <v>271</v>
      </c>
    </row>
    <row r="274" spans="1:6">
      <c r="A274" s="79" t="s">
        <v>807</v>
      </c>
      <c r="B274" s="79" t="s">
        <v>796</v>
      </c>
      <c r="C274" s="79" t="s">
        <v>797</v>
      </c>
      <c r="D274" s="79" t="str">
        <f t="shared" si="4"/>
        <v>Majanji</v>
      </c>
      <c r="E274" s="79"/>
      <c r="F274" s="79">
        <v>272</v>
      </c>
    </row>
    <row r="275" spans="1:6">
      <c r="A275" s="79" t="s">
        <v>808</v>
      </c>
      <c r="B275" s="79" t="s">
        <v>796</v>
      </c>
      <c r="C275" s="79" t="s">
        <v>797</v>
      </c>
      <c r="D275" s="79" t="str">
        <f t="shared" si="4"/>
        <v>Masaba-Busia</v>
      </c>
      <c r="E275" s="79"/>
      <c r="F275" s="79">
        <v>273</v>
      </c>
    </row>
    <row r="276" spans="1:6">
      <c r="A276" s="79" t="s">
        <v>809</v>
      </c>
      <c r="B276" s="79" t="s">
        <v>796</v>
      </c>
      <c r="C276" s="79" t="s">
        <v>797</v>
      </c>
      <c r="D276" s="79" t="str">
        <f t="shared" si="4"/>
        <v>Masafu</v>
      </c>
      <c r="E276" s="79"/>
      <c r="F276" s="79">
        <v>274</v>
      </c>
    </row>
    <row r="277" spans="1:6">
      <c r="A277" s="79" t="s">
        <v>810</v>
      </c>
      <c r="B277" s="79" t="s">
        <v>796</v>
      </c>
      <c r="C277" s="79" t="s">
        <v>797</v>
      </c>
      <c r="D277" s="79" t="str">
        <f t="shared" si="4"/>
        <v>Masinya</v>
      </c>
      <c r="E277" s="79"/>
      <c r="F277" s="79">
        <v>275</v>
      </c>
    </row>
    <row r="278" spans="1:6">
      <c r="A278" s="79" t="s">
        <v>811</v>
      </c>
      <c r="B278" s="79" t="s">
        <v>796</v>
      </c>
      <c r="C278" s="79" t="s">
        <v>797</v>
      </c>
      <c r="D278" s="79" t="str">
        <f t="shared" si="4"/>
        <v>Sikuda</v>
      </c>
      <c r="E278" s="79"/>
      <c r="F278" s="79">
        <v>276</v>
      </c>
    </row>
    <row r="279" spans="1:6">
      <c r="A279" s="79" t="s">
        <v>812</v>
      </c>
      <c r="B279" s="79" t="s">
        <v>813</v>
      </c>
      <c r="C279" s="79" t="s">
        <v>814</v>
      </c>
      <c r="D279" s="79" t="str">
        <f t="shared" si="4"/>
        <v>Budumba</v>
      </c>
      <c r="E279" s="79"/>
      <c r="F279" s="79">
        <v>277</v>
      </c>
    </row>
    <row r="280" spans="1:6">
      <c r="A280" s="79" t="s">
        <v>815</v>
      </c>
      <c r="B280" s="79" t="s">
        <v>813</v>
      </c>
      <c r="C280" s="79" t="s">
        <v>814</v>
      </c>
      <c r="D280" s="79" t="str">
        <f t="shared" si="4"/>
        <v>Busaba</v>
      </c>
      <c r="E280" s="79"/>
      <c r="F280" s="79">
        <v>278</v>
      </c>
    </row>
    <row r="281" spans="1:6">
      <c r="A281" s="79" t="s">
        <v>816</v>
      </c>
      <c r="B281" s="79" t="s">
        <v>813</v>
      </c>
      <c r="C281" s="79" t="s">
        <v>814</v>
      </c>
      <c r="D281" s="79" t="str">
        <f t="shared" si="4"/>
        <v>Busabi</v>
      </c>
      <c r="E281" s="79"/>
      <c r="F281" s="79">
        <v>279</v>
      </c>
    </row>
    <row r="282" spans="1:6">
      <c r="A282" s="79" t="s">
        <v>817</v>
      </c>
      <c r="B282" s="79" t="s">
        <v>813</v>
      </c>
      <c r="C282" s="79" t="s">
        <v>814</v>
      </c>
      <c r="D282" s="79" t="str">
        <f t="shared" si="4"/>
        <v>Busolwe</v>
      </c>
      <c r="E282" s="79"/>
      <c r="F282" s="79">
        <v>280</v>
      </c>
    </row>
    <row r="283" spans="1:6">
      <c r="A283" s="79" t="s">
        <v>818</v>
      </c>
      <c r="B283" s="79" t="s">
        <v>813</v>
      </c>
      <c r="C283" s="79" t="s">
        <v>814</v>
      </c>
      <c r="D283" s="79" t="str">
        <f t="shared" si="4"/>
        <v>Busolwe Town Council</v>
      </c>
      <c r="E283" s="79"/>
      <c r="F283" s="79">
        <v>281</v>
      </c>
    </row>
    <row r="284" spans="1:6">
      <c r="A284" s="79" t="s">
        <v>813</v>
      </c>
      <c r="B284" s="79" t="s">
        <v>813</v>
      </c>
      <c r="C284" s="79" t="s">
        <v>814</v>
      </c>
      <c r="D284" s="79" t="str">
        <f t="shared" si="4"/>
        <v>Butaleja</v>
      </c>
      <c r="E284" s="79"/>
      <c r="F284" s="79">
        <v>282</v>
      </c>
    </row>
    <row r="285" spans="1:6">
      <c r="A285" s="79" t="s">
        <v>819</v>
      </c>
      <c r="B285" s="79" t="s">
        <v>813</v>
      </c>
      <c r="C285" s="79" t="s">
        <v>814</v>
      </c>
      <c r="D285" s="79" t="str">
        <f t="shared" si="4"/>
        <v>Butaleja Town Council</v>
      </c>
      <c r="E285" s="79"/>
      <c r="F285" s="79">
        <v>283</v>
      </c>
    </row>
    <row r="286" spans="1:6">
      <c r="A286" s="79" t="s">
        <v>820</v>
      </c>
      <c r="B286" s="79" t="s">
        <v>813</v>
      </c>
      <c r="C286" s="79" t="s">
        <v>814</v>
      </c>
      <c r="D286" s="79" t="str">
        <f t="shared" si="4"/>
        <v>Himutu</v>
      </c>
      <c r="E286" s="79"/>
      <c r="F286" s="79">
        <v>284</v>
      </c>
    </row>
    <row r="287" spans="1:6">
      <c r="A287" s="79" t="s">
        <v>821</v>
      </c>
      <c r="B287" s="79" t="s">
        <v>813</v>
      </c>
      <c r="C287" s="79" t="s">
        <v>814</v>
      </c>
      <c r="D287" s="79" t="str">
        <f t="shared" si="4"/>
        <v>Kachonga</v>
      </c>
      <c r="E287" s="79"/>
      <c r="F287" s="79">
        <v>285</v>
      </c>
    </row>
    <row r="288" spans="1:6">
      <c r="A288" s="79" t="s">
        <v>822</v>
      </c>
      <c r="B288" s="79" t="s">
        <v>813</v>
      </c>
      <c r="C288" s="79" t="s">
        <v>814</v>
      </c>
      <c r="D288" s="79" t="str">
        <f t="shared" si="4"/>
        <v>Mazimasa</v>
      </c>
      <c r="E288" s="79"/>
      <c r="F288" s="79">
        <v>286</v>
      </c>
    </row>
    <row r="289" spans="1:6">
      <c r="A289" s="79" t="s">
        <v>823</v>
      </c>
      <c r="B289" s="79" t="s">
        <v>813</v>
      </c>
      <c r="C289" s="79" t="s">
        <v>814</v>
      </c>
      <c r="D289" s="79" t="str">
        <f t="shared" si="4"/>
        <v>Nawanjofu</v>
      </c>
      <c r="E289" s="79"/>
      <c r="F289" s="79">
        <v>287</v>
      </c>
    </row>
    <row r="290" spans="1:6">
      <c r="A290" s="79" t="s">
        <v>824</v>
      </c>
      <c r="B290" s="79" t="s">
        <v>813</v>
      </c>
      <c r="C290" s="79" t="s">
        <v>814</v>
      </c>
      <c r="D290" s="79" t="str">
        <f t="shared" si="4"/>
        <v>Naweyo</v>
      </c>
      <c r="E290" s="79"/>
      <c r="F290" s="79">
        <v>288</v>
      </c>
    </row>
    <row r="291" spans="1:6">
      <c r="A291" s="79" t="s">
        <v>825</v>
      </c>
      <c r="B291" s="79" t="s">
        <v>826</v>
      </c>
      <c r="C291" s="79" t="s">
        <v>826</v>
      </c>
      <c r="D291" s="79" t="str">
        <f t="shared" si="4"/>
        <v>Budde</v>
      </c>
      <c r="E291" s="79"/>
      <c r="F291" s="79">
        <v>289</v>
      </c>
    </row>
    <row r="292" spans="1:6">
      <c r="A292" s="79" t="s">
        <v>827</v>
      </c>
      <c r="B292" s="79" t="s">
        <v>826</v>
      </c>
      <c r="C292" s="79" t="s">
        <v>826</v>
      </c>
      <c r="D292" s="79" t="str">
        <f t="shared" si="4"/>
        <v>Bulo</v>
      </c>
      <c r="E292" s="79"/>
      <c r="F292" s="79">
        <v>290</v>
      </c>
    </row>
    <row r="293" spans="1:6">
      <c r="A293" s="79" t="s">
        <v>828</v>
      </c>
      <c r="B293" s="79" t="s">
        <v>826</v>
      </c>
      <c r="C293" s="79" t="s">
        <v>826</v>
      </c>
      <c r="D293" s="79" t="str">
        <f t="shared" si="4"/>
        <v>Gombe Town Council</v>
      </c>
      <c r="E293" s="79"/>
      <c r="F293" s="79">
        <v>291</v>
      </c>
    </row>
    <row r="294" spans="1:6">
      <c r="A294" s="79" t="s">
        <v>829</v>
      </c>
      <c r="B294" s="79" t="s">
        <v>826</v>
      </c>
      <c r="C294" s="79" t="s">
        <v>826</v>
      </c>
      <c r="D294" s="79" t="str">
        <f t="shared" si="4"/>
        <v>Kalamba</v>
      </c>
      <c r="E294" s="79"/>
      <c r="F294" s="79">
        <v>292</v>
      </c>
    </row>
    <row r="295" spans="1:6">
      <c r="A295" s="79" t="s">
        <v>830</v>
      </c>
      <c r="B295" s="79" t="s">
        <v>826</v>
      </c>
      <c r="C295" s="79" t="s">
        <v>826</v>
      </c>
      <c r="D295" s="79" t="str">
        <f t="shared" si="4"/>
        <v>Kibibi</v>
      </c>
      <c r="E295" s="79"/>
      <c r="F295" s="79">
        <v>293</v>
      </c>
    </row>
    <row r="296" spans="1:6">
      <c r="A296" s="79" t="s">
        <v>831</v>
      </c>
      <c r="B296" s="79" t="s">
        <v>826</v>
      </c>
      <c r="C296" s="79" t="s">
        <v>826</v>
      </c>
      <c r="D296" s="79" t="str">
        <f t="shared" si="4"/>
        <v>Ngando</v>
      </c>
      <c r="E296" s="79"/>
      <c r="F296" s="79">
        <v>294</v>
      </c>
    </row>
    <row r="297" spans="1:6">
      <c r="A297" s="79" t="s">
        <v>832</v>
      </c>
      <c r="B297" s="79" t="s">
        <v>832</v>
      </c>
      <c r="C297" s="79" t="s">
        <v>833</v>
      </c>
      <c r="D297" s="79" t="str">
        <f t="shared" si="4"/>
        <v>Butebo</v>
      </c>
      <c r="E297" s="79"/>
      <c r="F297" s="79">
        <v>295</v>
      </c>
    </row>
    <row r="298" spans="1:6">
      <c r="A298" s="79" t="s">
        <v>834</v>
      </c>
      <c r="B298" s="79" t="s">
        <v>832</v>
      </c>
      <c r="C298" s="79" t="s">
        <v>833</v>
      </c>
      <c r="D298" s="79" t="str">
        <f t="shared" si="4"/>
        <v>Kabwangasi</v>
      </c>
      <c r="E298" s="79"/>
      <c r="F298" s="79">
        <v>296</v>
      </c>
    </row>
    <row r="299" spans="1:6">
      <c r="A299" s="79" t="s">
        <v>835</v>
      </c>
      <c r="B299" s="79" t="s">
        <v>832</v>
      </c>
      <c r="C299" s="79" t="s">
        <v>833</v>
      </c>
      <c r="D299" s="79" t="str">
        <f t="shared" si="4"/>
        <v>Kakoro</v>
      </c>
      <c r="E299" s="79"/>
      <c r="F299" s="79">
        <v>297</v>
      </c>
    </row>
    <row r="300" spans="1:6">
      <c r="A300" s="79" t="s">
        <v>836</v>
      </c>
      <c r="B300" s="79" t="s">
        <v>832</v>
      </c>
      <c r="C300" s="79" t="s">
        <v>833</v>
      </c>
      <c r="D300" s="79" t="str">
        <f t="shared" si="4"/>
        <v>Kanginima</v>
      </c>
      <c r="E300" s="79"/>
      <c r="F300" s="79">
        <v>298</v>
      </c>
    </row>
    <row r="301" spans="1:6">
      <c r="A301" s="79" t="s">
        <v>837</v>
      </c>
      <c r="B301" s="79" t="s">
        <v>832</v>
      </c>
      <c r="C301" s="79" t="s">
        <v>833</v>
      </c>
      <c r="D301" s="79" t="str">
        <f t="shared" si="4"/>
        <v>Kibale</v>
      </c>
      <c r="E301" s="79"/>
      <c r="F301" s="79">
        <v>299</v>
      </c>
    </row>
    <row r="302" spans="1:6">
      <c r="A302" s="79" t="s">
        <v>838</v>
      </c>
      <c r="B302" s="79" t="s">
        <v>832</v>
      </c>
      <c r="C302" s="79" t="s">
        <v>833</v>
      </c>
      <c r="D302" s="79" t="str">
        <f t="shared" si="4"/>
        <v>Opwateta</v>
      </c>
      <c r="E302" s="79"/>
      <c r="F302" s="79">
        <v>300</v>
      </c>
    </row>
    <row r="303" spans="1:6">
      <c r="A303" s="79" t="s">
        <v>839</v>
      </c>
      <c r="B303" s="79" t="s">
        <v>832</v>
      </c>
      <c r="C303" s="79" t="s">
        <v>833</v>
      </c>
      <c r="D303" s="79" t="str">
        <f t="shared" si="4"/>
        <v>Petete</v>
      </c>
      <c r="E303" s="79"/>
      <c r="F303" s="79">
        <v>301</v>
      </c>
    </row>
    <row r="304" spans="1:6">
      <c r="A304" s="79" t="s">
        <v>840</v>
      </c>
      <c r="B304" s="79" t="s">
        <v>841</v>
      </c>
      <c r="C304" s="79" t="s">
        <v>842</v>
      </c>
      <c r="D304" s="79" t="str">
        <f t="shared" si="4"/>
        <v>Bugaya-Buvuma</v>
      </c>
      <c r="E304" s="79"/>
      <c r="F304" s="79">
        <v>302</v>
      </c>
    </row>
    <row r="305" spans="1:6">
      <c r="A305" s="79" t="s">
        <v>843</v>
      </c>
      <c r="B305" s="79" t="s">
        <v>841</v>
      </c>
      <c r="C305" s="79" t="s">
        <v>842</v>
      </c>
      <c r="D305" s="79" t="str">
        <f t="shared" si="4"/>
        <v>Busamuzi</v>
      </c>
      <c r="E305" s="79"/>
      <c r="F305" s="79">
        <v>303</v>
      </c>
    </row>
    <row r="306" spans="1:6">
      <c r="A306" s="79" t="s">
        <v>844</v>
      </c>
      <c r="B306" s="79" t="s">
        <v>841</v>
      </c>
      <c r="C306" s="79" t="s">
        <v>842</v>
      </c>
      <c r="D306" s="79" t="str">
        <f t="shared" si="4"/>
        <v>Buvuma Town Council</v>
      </c>
      <c r="E306" s="79"/>
      <c r="F306" s="79">
        <v>304</v>
      </c>
    </row>
    <row r="307" spans="1:6">
      <c r="A307" s="79" t="s">
        <v>845</v>
      </c>
      <c r="B307" s="79" t="s">
        <v>841</v>
      </c>
      <c r="C307" s="79" t="s">
        <v>842</v>
      </c>
      <c r="D307" s="79" t="str">
        <f t="shared" si="4"/>
        <v>Buwooya</v>
      </c>
      <c r="E307" s="79"/>
      <c r="F307" s="79">
        <v>305</v>
      </c>
    </row>
    <row r="308" spans="1:6">
      <c r="A308" s="79" t="s">
        <v>846</v>
      </c>
      <c r="B308" s="79" t="s">
        <v>841</v>
      </c>
      <c r="C308" s="79" t="s">
        <v>842</v>
      </c>
      <c r="D308" s="79" t="str">
        <f t="shared" si="4"/>
        <v>Bweema</v>
      </c>
      <c r="E308" s="79"/>
      <c r="F308" s="79">
        <v>306</v>
      </c>
    </row>
    <row r="309" spans="1:6">
      <c r="A309" s="79" t="s">
        <v>847</v>
      </c>
      <c r="B309" s="79" t="s">
        <v>841</v>
      </c>
      <c r="C309" s="79" t="s">
        <v>842</v>
      </c>
      <c r="D309" s="79" t="str">
        <f t="shared" si="4"/>
        <v>Lubya</v>
      </c>
      <c r="E309" s="79"/>
      <c r="F309" s="79">
        <v>307</v>
      </c>
    </row>
    <row r="310" spans="1:6">
      <c r="A310" s="79" t="s">
        <v>848</v>
      </c>
      <c r="B310" s="79" t="s">
        <v>841</v>
      </c>
      <c r="C310" s="79" t="s">
        <v>842</v>
      </c>
      <c r="D310" s="79" t="str">
        <f t="shared" si="4"/>
        <v>Lwajje</v>
      </c>
      <c r="E310" s="79"/>
      <c r="F310" s="79">
        <v>308</v>
      </c>
    </row>
    <row r="311" spans="1:6">
      <c r="A311" s="79" t="s">
        <v>849</v>
      </c>
      <c r="B311" s="79" t="s">
        <v>841</v>
      </c>
      <c r="C311" s="79" t="s">
        <v>842</v>
      </c>
      <c r="D311" s="79" t="str">
        <f t="shared" si="4"/>
        <v>Lyabaana</v>
      </c>
      <c r="E311" s="79"/>
      <c r="F311" s="79">
        <v>309</v>
      </c>
    </row>
    <row r="312" spans="1:6">
      <c r="A312" s="79" t="s">
        <v>850</v>
      </c>
      <c r="B312" s="79" t="s">
        <v>841</v>
      </c>
      <c r="C312" s="79" t="s">
        <v>842</v>
      </c>
      <c r="D312" s="79" t="str">
        <f t="shared" si="4"/>
        <v>Nairambi</v>
      </c>
      <c r="E312" s="79"/>
      <c r="F312" s="79">
        <v>310</v>
      </c>
    </row>
    <row r="313" spans="1:6">
      <c r="A313" s="79" t="s">
        <v>851</v>
      </c>
      <c r="B313" s="79" t="s">
        <v>852</v>
      </c>
      <c r="C313" s="79" t="s">
        <v>853</v>
      </c>
      <c r="D313" s="79" t="str">
        <f t="shared" si="4"/>
        <v>Bugaya-Buyende</v>
      </c>
      <c r="E313" s="79"/>
      <c r="F313" s="79">
        <v>311</v>
      </c>
    </row>
    <row r="314" spans="1:6">
      <c r="A314" s="79" t="s">
        <v>852</v>
      </c>
      <c r="B314" s="79" t="s">
        <v>852</v>
      </c>
      <c r="C314" s="79" t="s">
        <v>853</v>
      </c>
      <c r="D314" s="79" t="str">
        <f t="shared" si="4"/>
        <v>Buyende</v>
      </c>
      <c r="E314" s="79"/>
      <c r="F314" s="79">
        <v>312</v>
      </c>
    </row>
    <row r="315" spans="1:6">
      <c r="A315" s="79" t="s">
        <v>854</v>
      </c>
      <c r="B315" s="79" t="s">
        <v>852</v>
      </c>
      <c r="C315" s="79" t="s">
        <v>853</v>
      </c>
      <c r="D315" s="79" t="str">
        <f t="shared" si="4"/>
        <v>Buyende Town Council</v>
      </c>
      <c r="E315" s="79"/>
      <c r="F315" s="79">
        <v>313</v>
      </c>
    </row>
    <row r="316" spans="1:6">
      <c r="A316" s="79" t="s">
        <v>855</v>
      </c>
      <c r="B316" s="79" t="s">
        <v>852</v>
      </c>
      <c r="C316" s="79" t="s">
        <v>853</v>
      </c>
      <c r="D316" s="79" t="str">
        <f t="shared" si="4"/>
        <v>Kagulu</v>
      </c>
      <c r="E316" s="79"/>
      <c r="F316" s="79">
        <v>314</v>
      </c>
    </row>
    <row r="317" spans="1:6">
      <c r="A317" s="79" t="s">
        <v>856</v>
      </c>
      <c r="B317" s="79" t="s">
        <v>852</v>
      </c>
      <c r="C317" s="79" t="s">
        <v>853</v>
      </c>
      <c r="D317" s="79" t="str">
        <f t="shared" si="4"/>
        <v>Kidera</v>
      </c>
      <c r="E317" s="79"/>
      <c r="F317" s="79">
        <v>315</v>
      </c>
    </row>
    <row r="318" spans="1:6">
      <c r="A318" s="79" t="s">
        <v>857</v>
      </c>
      <c r="B318" s="79" t="s">
        <v>852</v>
      </c>
      <c r="C318" s="79" t="s">
        <v>853</v>
      </c>
      <c r="D318" s="79" t="str">
        <f t="shared" si="4"/>
        <v>Nkondo</v>
      </c>
      <c r="E318" s="79"/>
      <c r="F318" s="79">
        <v>316</v>
      </c>
    </row>
    <row r="319" spans="1:6">
      <c r="A319" s="79" t="s">
        <v>858</v>
      </c>
      <c r="B319" s="79" t="s">
        <v>859</v>
      </c>
      <c r="C319" s="79" t="s">
        <v>859</v>
      </c>
      <c r="D319" s="79" t="str">
        <f t="shared" si="4"/>
        <v>Adeknino</v>
      </c>
      <c r="E319" s="79"/>
      <c r="F319" s="79">
        <v>317</v>
      </c>
    </row>
    <row r="320" spans="1:6">
      <c r="A320" s="79" t="s">
        <v>860</v>
      </c>
      <c r="B320" s="79" t="s">
        <v>859</v>
      </c>
      <c r="C320" s="79" t="s">
        <v>859</v>
      </c>
      <c r="D320" s="79" t="str">
        <f t="shared" si="4"/>
        <v>Adok</v>
      </c>
      <c r="E320" s="79"/>
      <c r="F320" s="79">
        <v>318</v>
      </c>
    </row>
    <row r="321" spans="1:6">
      <c r="A321" s="79" t="s">
        <v>861</v>
      </c>
      <c r="B321" s="79" t="s">
        <v>859</v>
      </c>
      <c r="C321" s="79" t="s">
        <v>859</v>
      </c>
      <c r="D321" s="79" t="str">
        <f t="shared" si="4"/>
        <v>Agwata</v>
      </c>
      <c r="E321" s="79"/>
      <c r="F321" s="79">
        <v>319</v>
      </c>
    </row>
    <row r="322" spans="1:6">
      <c r="A322" s="79" t="s">
        <v>862</v>
      </c>
      <c r="B322" s="79" t="s">
        <v>859</v>
      </c>
      <c r="C322" s="79" t="s">
        <v>859</v>
      </c>
      <c r="D322" s="79" t="str">
        <f t="shared" si="4"/>
        <v>Amwoma</v>
      </c>
      <c r="E322" s="79"/>
      <c r="F322" s="79">
        <v>320</v>
      </c>
    </row>
    <row r="323" spans="1:6">
      <c r="A323" s="79" t="s">
        <v>863</v>
      </c>
      <c r="B323" s="79" t="s">
        <v>859</v>
      </c>
      <c r="C323" s="79" t="s">
        <v>859</v>
      </c>
      <c r="D323" s="79" t="str">
        <f t="shared" ref="D323:D386" si="5">A323</f>
        <v>Batta</v>
      </c>
      <c r="E323" s="79"/>
      <c r="F323" s="79">
        <v>321</v>
      </c>
    </row>
    <row r="324" spans="1:6">
      <c r="A324" s="79" t="s">
        <v>859</v>
      </c>
      <c r="B324" s="79" t="s">
        <v>859</v>
      </c>
      <c r="C324" s="79" t="s">
        <v>859</v>
      </c>
      <c r="D324" s="79" t="str">
        <f t="shared" si="5"/>
        <v>Dokolo</v>
      </c>
      <c r="E324" s="79"/>
      <c r="F324" s="79">
        <v>322</v>
      </c>
    </row>
    <row r="325" spans="1:6">
      <c r="A325" s="79" t="s">
        <v>864</v>
      </c>
      <c r="B325" s="79" t="s">
        <v>859</v>
      </c>
      <c r="C325" s="79" t="s">
        <v>859</v>
      </c>
      <c r="D325" s="79" t="str">
        <f t="shared" si="5"/>
        <v>Dokolo Tc</v>
      </c>
      <c r="E325" s="79"/>
      <c r="F325" s="79">
        <v>323</v>
      </c>
    </row>
    <row r="326" spans="1:6">
      <c r="A326" s="79" t="s">
        <v>865</v>
      </c>
      <c r="B326" s="79" t="s">
        <v>859</v>
      </c>
      <c r="C326" s="79" t="s">
        <v>859</v>
      </c>
      <c r="D326" s="79" t="str">
        <f t="shared" si="5"/>
        <v>Kangai</v>
      </c>
      <c r="E326" s="79"/>
      <c r="F326" s="79">
        <v>324</v>
      </c>
    </row>
    <row r="327" spans="1:6">
      <c r="A327" s="79" t="s">
        <v>866</v>
      </c>
      <c r="B327" s="79" t="s">
        <v>859</v>
      </c>
      <c r="C327" s="79" t="s">
        <v>859</v>
      </c>
      <c r="D327" s="79" t="str">
        <f t="shared" si="5"/>
        <v>Kwera</v>
      </c>
      <c r="E327" s="79"/>
      <c r="F327" s="79">
        <v>325</v>
      </c>
    </row>
    <row r="328" spans="1:6">
      <c r="A328" s="79" t="s">
        <v>867</v>
      </c>
      <c r="B328" s="79" t="s">
        <v>859</v>
      </c>
      <c r="C328" s="79" t="s">
        <v>859</v>
      </c>
      <c r="D328" s="79" t="str">
        <f t="shared" si="5"/>
        <v>Okwalongwen</v>
      </c>
      <c r="E328" s="79"/>
      <c r="F328" s="79">
        <v>326</v>
      </c>
    </row>
    <row r="329" spans="1:6">
      <c r="A329" s="79" t="s">
        <v>868</v>
      </c>
      <c r="B329" s="79" t="s">
        <v>859</v>
      </c>
      <c r="C329" s="79" t="s">
        <v>859</v>
      </c>
      <c r="D329" s="79" t="str">
        <f t="shared" si="5"/>
        <v>Okwongodul</v>
      </c>
      <c r="E329" s="79"/>
      <c r="F329" s="79">
        <v>327</v>
      </c>
    </row>
    <row r="330" spans="1:6">
      <c r="A330" s="79" t="s">
        <v>869</v>
      </c>
      <c r="B330" s="79" t="s">
        <v>870</v>
      </c>
      <c r="C330" s="79" t="s">
        <v>870</v>
      </c>
      <c r="D330" s="79" t="str">
        <f t="shared" si="5"/>
        <v>Kabulasoke</v>
      </c>
      <c r="E330" s="79"/>
      <c r="F330" s="79">
        <v>328</v>
      </c>
    </row>
    <row r="331" spans="1:6">
      <c r="A331" s="79" t="s">
        <v>871</v>
      </c>
      <c r="B331" s="79" t="s">
        <v>870</v>
      </c>
      <c r="C331" s="79" t="s">
        <v>870</v>
      </c>
      <c r="D331" s="79" t="str">
        <f t="shared" si="5"/>
        <v>Kanoni Town Council</v>
      </c>
      <c r="E331" s="79"/>
      <c r="F331" s="79">
        <v>329</v>
      </c>
    </row>
    <row r="332" spans="1:6">
      <c r="A332" s="79" t="s">
        <v>872</v>
      </c>
      <c r="B332" s="79" t="s">
        <v>870</v>
      </c>
      <c r="C332" s="79" t="s">
        <v>870</v>
      </c>
      <c r="D332" s="79" t="str">
        <f t="shared" si="5"/>
        <v>Kyegonza</v>
      </c>
      <c r="E332" s="79"/>
      <c r="F332" s="79">
        <v>330</v>
      </c>
    </row>
    <row r="333" spans="1:6">
      <c r="A333" s="79" t="s">
        <v>873</v>
      </c>
      <c r="B333" s="79" t="s">
        <v>870</v>
      </c>
      <c r="C333" s="79" t="s">
        <v>870</v>
      </c>
      <c r="D333" s="79" t="str">
        <f t="shared" si="5"/>
        <v>Maddu</v>
      </c>
      <c r="E333" s="79"/>
      <c r="F333" s="79">
        <v>331</v>
      </c>
    </row>
    <row r="334" spans="1:6">
      <c r="A334" s="79" t="s">
        <v>874</v>
      </c>
      <c r="B334" s="79" t="s">
        <v>870</v>
      </c>
      <c r="C334" s="79" t="s">
        <v>870</v>
      </c>
      <c r="D334" s="79" t="str">
        <f t="shared" si="5"/>
        <v>Mpenja</v>
      </c>
      <c r="E334" s="79"/>
      <c r="F334" s="79">
        <v>332</v>
      </c>
    </row>
    <row r="335" spans="1:6">
      <c r="A335" s="79" t="s">
        <v>875</v>
      </c>
      <c r="B335" s="79" t="s">
        <v>876</v>
      </c>
      <c r="C335" s="79" t="s">
        <v>877</v>
      </c>
      <c r="D335" s="79" t="str">
        <f t="shared" si="5"/>
        <v>Awach</v>
      </c>
      <c r="E335" s="79"/>
      <c r="F335" s="79">
        <v>333</v>
      </c>
    </row>
    <row r="336" spans="1:6">
      <c r="A336" s="79" t="s">
        <v>878</v>
      </c>
      <c r="B336" s="79" t="s">
        <v>876</v>
      </c>
      <c r="C336" s="79" t="s">
        <v>877</v>
      </c>
      <c r="D336" s="79" t="str">
        <f t="shared" si="5"/>
        <v>Bungatira</v>
      </c>
      <c r="E336" s="79"/>
      <c r="F336" s="79">
        <v>334</v>
      </c>
    </row>
    <row r="337" spans="1:6">
      <c r="A337" s="79" t="s">
        <v>879</v>
      </c>
      <c r="B337" s="79" t="s">
        <v>876</v>
      </c>
      <c r="C337" s="79" t="s">
        <v>879</v>
      </c>
      <c r="D337" s="79" t="str">
        <f t="shared" si="5"/>
        <v>Gulu Municipality</v>
      </c>
      <c r="E337" s="79"/>
      <c r="F337" s="79">
        <v>335</v>
      </c>
    </row>
    <row r="338" spans="1:6">
      <c r="A338" s="79" t="s">
        <v>880</v>
      </c>
      <c r="B338" s="79"/>
      <c r="C338" s="79"/>
      <c r="D338" s="79" t="str">
        <f t="shared" si="5"/>
        <v>GULU</v>
      </c>
      <c r="E338" s="79"/>
      <c r="F338" s="79">
        <v>335</v>
      </c>
    </row>
    <row r="339" spans="1:6">
      <c r="A339" s="79" t="s">
        <v>881</v>
      </c>
      <c r="B339" s="79" t="s">
        <v>876</v>
      </c>
      <c r="C339" s="79" t="s">
        <v>877</v>
      </c>
      <c r="D339" s="79" t="str">
        <f t="shared" si="5"/>
        <v>Paicho</v>
      </c>
      <c r="E339" s="79"/>
      <c r="F339" s="79">
        <v>336</v>
      </c>
    </row>
    <row r="340" spans="1:6">
      <c r="A340" s="79" t="s">
        <v>882</v>
      </c>
      <c r="B340" s="79" t="s">
        <v>876</v>
      </c>
      <c r="C340" s="79" t="s">
        <v>877</v>
      </c>
      <c r="D340" s="79" t="str">
        <f t="shared" si="5"/>
        <v>Unyama</v>
      </c>
      <c r="E340" s="79"/>
      <c r="F340" s="79">
        <v>337</v>
      </c>
    </row>
    <row r="341" spans="1:6">
      <c r="A341" s="79" t="s">
        <v>883</v>
      </c>
      <c r="B341" s="79" t="s">
        <v>884</v>
      </c>
      <c r="C341" s="79" t="s">
        <v>885</v>
      </c>
      <c r="D341" s="79" t="str">
        <f t="shared" si="5"/>
        <v>Bugambe</v>
      </c>
      <c r="E341" s="79"/>
      <c r="F341" s="79">
        <v>338</v>
      </c>
    </row>
    <row r="342" spans="1:6">
      <c r="A342" s="79" t="s">
        <v>886</v>
      </c>
      <c r="B342" s="79" t="s">
        <v>884</v>
      </c>
      <c r="C342" s="79" t="s">
        <v>887</v>
      </c>
      <c r="D342" s="79" t="str">
        <f t="shared" si="5"/>
        <v>Buhanika</v>
      </c>
      <c r="E342" s="79"/>
      <c r="F342" s="79">
        <v>339</v>
      </c>
    </row>
    <row r="343" spans="1:6">
      <c r="A343" s="79" t="s">
        <v>888</v>
      </c>
      <c r="B343" s="79" t="s">
        <v>884</v>
      </c>
      <c r="C343" s="79" t="s">
        <v>885</v>
      </c>
      <c r="D343" s="79" t="str">
        <f t="shared" si="5"/>
        <v>Buhimba</v>
      </c>
      <c r="E343" s="79"/>
      <c r="F343" s="79">
        <v>340</v>
      </c>
    </row>
    <row r="344" spans="1:6">
      <c r="A344" s="79" t="s">
        <v>889</v>
      </c>
      <c r="B344" s="79" t="s">
        <v>884</v>
      </c>
      <c r="C344" s="79" t="s">
        <v>889</v>
      </c>
      <c r="D344" s="79" t="str">
        <f t="shared" si="5"/>
        <v>Hoima Municipality</v>
      </c>
      <c r="E344" s="79"/>
      <c r="F344" s="79">
        <v>341</v>
      </c>
    </row>
    <row r="345" spans="1:6">
      <c r="A345" s="79" t="s">
        <v>890</v>
      </c>
      <c r="B345" s="79"/>
      <c r="C345" s="79"/>
      <c r="D345" s="79" t="str">
        <f t="shared" si="5"/>
        <v>HOIMA</v>
      </c>
      <c r="E345" s="79"/>
      <c r="F345" s="79">
        <v>341</v>
      </c>
    </row>
    <row r="346" spans="1:6">
      <c r="A346" s="79" t="s">
        <v>891</v>
      </c>
      <c r="B346" s="79"/>
      <c r="C346" s="79"/>
      <c r="D346" s="79" t="str">
        <f t="shared" si="5"/>
        <v>Hima cement</v>
      </c>
      <c r="E346" s="79"/>
      <c r="F346" s="79">
        <v>341</v>
      </c>
    </row>
    <row r="347" spans="1:6">
      <c r="A347" s="79" t="s">
        <v>892</v>
      </c>
      <c r="B347" s="79" t="s">
        <v>884</v>
      </c>
      <c r="C347" s="79" t="s">
        <v>885</v>
      </c>
      <c r="D347" s="79" t="str">
        <f t="shared" si="5"/>
        <v>Kabwoya</v>
      </c>
      <c r="E347" s="79"/>
      <c r="F347" s="79">
        <v>342</v>
      </c>
    </row>
    <row r="348" spans="1:6">
      <c r="A348" s="79" t="s">
        <v>893</v>
      </c>
      <c r="B348" s="79" t="s">
        <v>884</v>
      </c>
      <c r="C348" s="79" t="s">
        <v>887</v>
      </c>
      <c r="D348" s="79" t="str">
        <f t="shared" si="5"/>
        <v>Kigorobya</v>
      </c>
      <c r="E348" s="79"/>
      <c r="F348" s="79">
        <v>343</v>
      </c>
    </row>
    <row r="349" spans="1:6">
      <c r="A349" s="79" t="s">
        <v>894</v>
      </c>
      <c r="B349" s="79" t="s">
        <v>884</v>
      </c>
      <c r="C349" s="79" t="s">
        <v>887</v>
      </c>
      <c r="D349" s="79" t="str">
        <f t="shared" si="5"/>
        <v>Kigorobya Town Council</v>
      </c>
      <c r="E349" s="79"/>
      <c r="F349" s="79">
        <v>344</v>
      </c>
    </row>
    <row r="350" spans="1:6">
      <c r="A350" s="79" t="s">
        <v>895</v>
      </c>
      <c r="B350" s="79" t="s">
        <v>884</v>
      </c>
      <c r="C350" s="79" t="s">
        <v>887</v>
      </c>
      <c r="D350" s="79" t="str">
        <f t="shared" si="5"/>
        <v>Kitoba</v>
      </c>
      <c r="E350" s="79"/>
      <c r="F350" s="79">
        <v>345</v>
      </c>
    </row>
    <row r="351" spans="1:6">
      <c r="A351" s="79" t="s">
        <v>896</v>
      </c>
      <c r="B351" s="79" t="s">
        <v>884</v>
      </c>
      <c r="C351" s="79" t="s">
        <v>885</v>
      </c>
      <c r="D351" s="79" t="str">
        <f t="shared" si="5"/>
        <v>Kiziranfumbi</v>
      </c>
      <c r="E351" s="79"/>
      <c r="F351" s="79">
        <v>346</v>
      </c>
    </row>
    <row r="352" spans="1:6">
      <c r="A352" s="79" t="s">
        <v>897</v>
      </c>
      <c r="B352" s="79" t="s">
        <v>884</v>
      </c>
      <c r="C352" s="79" t="s">
        <v>887</v>
      </c>
      <c r="D352" s="79" t="str">
        <f t="shared" si="5"/>
        <v>Kyabigambire</v>
      </c>
      <c r="E352" s="79"/>
      <c r="F352" s="79">
        <v>347</v>
      </c>
    </row>
    <row r="353" spans="1:6">
      <c r="A353" s="79" t="s">
        <v>898</v>
      </c>
      <c r="B353" s="79" t="s">
        <v>884</v>
      </c>
      <c r="C353" s="79" t="s">
        <v>885</v>
      </c>
      <c r="D353" s="79" t="str">
        <f t="shared" si="5"/>
        <v>Kyangwali</v>
      </c>
      <c r="E353" s="79"/>
      <c r="F353" s="79">
        <v>348</v>
      </c>
    </row>
    <row r="354" spans="1:6">
      <c r="A354" s="79" t="s">
        <v>899</v>
      </c>
      <c r="B354" s="79" t="s">
        <v>43</v>
      </c>
      <c r="C354" s="79" t="s">
        <v>899</v>
      </c>
      <c r="D354" s="79" t="str">
        <f t="shared" si="5"/>
        <v>Ibanda Municipality</v>
      </c>
      <c r="E354" s="79"/>
      <c r="F354" s="79">
        <v>349</v>
      </c>
    </row>
    <row r="355" spans="1:6">
      <c r="A355" s="79" t="s">
        <v>900</v>
      </c>
      <c r="B355" s="79" t="s">
        <v>43</v>
      </c>
      <c r="C355" s="79" t="s">
        <v>43</v>
      </c>
      <c r="D355" s="79" t="str">
        <f t="shared" si="5"/>
        <v>Igorora Town Council</v>
      </c>
      <c r="E355" s="79"/>
      <c r="F355" s="79">
        <v>350</v>
      </c>
    </row>
    <row r="356" spans="1:6">
      <c r="A356" s="79" t="s">
        <v>901</v>
      </c>
      <c r="B356" s="79" t="s">
        <v>43</v>
      </c>
      <c r="C356" s="79" t="s">
        <v>43</v>
      </c>
      <c r="D356" s="79" t="str">
        <f t="shared" si="5"/>
        <v>Ishongororo</v>
      </c>
      <c r="E356" s="79"/>
      <c r="F356" s="79">
        <v>351</v>
      </c>
    </row>
    <row r="357" spans="1:6">
      <c r="A357" s="79" t="s">
        <v>902</v>
      </c>
      <c r="B357" s="79" t="s">
        <v>43</v>
      </c>
      <c r="C357" s="79" t="s">
        <v>43</v>
      </c>
      <c r="D357" s="79" t="str">
        <f t="shared" si="5"/>
        <v>Ishongororo Town Council</v>
      </c>
      <c r="E357" s="79"/>
      <c r="F357" s="79">
        <v>352</v>
      </c>
    </row>
    <row r="358" spans="1:6">
      <c r="A358" s="79" t="s">
        <v>903</v>
      </c>
      <c r="B358" s="79" t="s">
        <v>43</v>
      </c>
      <c r="C358" s="79" t="s">
        <v>899</v>
      </c>
      <c r="D358" s="79" t="str">
        <f t="shared" si="5"/>
        <v>Kagango Division-Ibanda</v>
      </c>
      <c r="E358" s="79"/>
      <c r="F358" s="79">
        <v>353</v>
      </c>
    </row>
    <row r="359" spans="1:6">
      <c r="A359" s="79" t="s">
        <v>904</v>
      </c>
      <c r="B359" s="79" t="s">
        <v>43</v>
      </c>
      <c r="C359" s="79" t="s">
        <v>43</v>
      </c>
      <c r="D359" s="79" t="str">
        <f t="shared" si="5"/>
        <v>Keihangara</v>
      </c>
      <c r="E359" s="79"/>
      <c r="F359" s="79">
        <v>354</v>
      </c>
    </row>
    <row r="360" spans="1:6">
      <c r="A360" s="79" t="s">
        <v>905</v>
      </c>
      <c r="B360" s="79" t="s">
        <v>43</v>
      </c>
      <c r="C360" s="79" t="s">
        <v>43</v>
      </c>
      <c r="D360" s="79" t="str">
        <f t="shared" si="5"/>
        <v>Kicuzi</v>
      </c>
      <c r="E360" s="79"/>
      <c r="F360" s="79">
        <v>355</v>
      </c>
    </row>
    <row r="361" spans="1:6">
      <c r="A361" s="79" t="s">
        <v>906</v>
      </c>
      <c r="B361" s="79" t="s">
        <v>43</v>
      </c>
      <c r="C361" s="79" t="s">
        <v>43</v>
      </c>
      <c r="D361" s="79" t="str">
        <f t="shared" si="5"/>
        <v>Kijongo</v>
      </c>
      <c r="E361" s="79"/>
      <c r="F361" s="79">
        <v>356</v>
      </c>
    </row>
    <row r="362" spans="1:6">
      <c r="A362" s="79" t="s">
        <v>907</v>
      </c>
      <c r="B362" s="79" t="s">
        <v>43</v>
      </c>
      <c r="C362" s="79" t="s">
        <v>43</v>
      </c>
      <c r="D362" s="79" t="str">
        <f t="shared" si="5"/>
        <v>Kikyenkye</v>
      </c>
      <c r="E362" s="79"/>
      <c r="F362" s="79">
        <v>357</v>
      </c>
    </row>
    <row r="363" spans="1:6">
      <c r="A363" s="79" t="s">
        <v>908</v>
      </c>
      <c r="B363" s="79" t="s">
        <v>43</v>
      </c>
      <c r="C363" s="79" t="s">
        <v>43</v>
      </c>
      <c r="D363" s="79" t="str">
        <f t="shared" si="5"/>
        <v>Nyamarebe</v>
      </c>
      <c r="E363" s="79"/>
      <c r="F363" s="79">
        <v>358</v>
      </c>
    </row>
    <row r="364" spans="1:6">
      <c r="A364" s="79" t="s">
        <v>909</v>
      </c>
      <c r="B364" s="79" t="s">
        <v>43</v>
      </c>
      <c r="C364" s="79" t="s">
        <v>43</v>
      </c>
      <c r="D364" s="79" t="str">
        <f t="shared" si="5"/>
        <v>Rukiri</v>
      </c>
      <c r="E364" s="79"/>
      <c r="F364" s="79">
        <v>359</v>
      </c>
    </row>
    <row r="365" spans="1:6">
      <c r="A365" s="79" t="s">
        <v>910</v>
      </c>
      <c r="B365" s="79" t="s">
        <v>43</v>
      </c>
      <c r="C365" s="79" t="s">
        <v>43</v>
      </c>
      <c r="D365" s="79" t="str">
        <f t="shared" si="5"/>
        <v>Rushango Town Council</v>
      </c>
      <c r="E365" s="79"/>
      <c r="F365" s="79">
        <v>360</v>
      </c>
    </row>
    <row r="366" spans="1:6">
      <c r="A366" s="79" t="s">
        <v>911</v>
      </c>
      <c r="B366" s="79" t="s">
        <v>912</v>
      </c>
      <c r="C366" s="79" t="s">
        <v>913</v>
      </c>
      <c r="D366" s="79" t="str">
        <f t="shared" si="5"/>
        <v>Bulamogi</v>
      </c>
      <c r="E366" s="79"/>
      <c r="F366" s="79">
        <v>361</v>
      </c>
    </row>
    <row r="367" spans="1:6">
      <c r="A367" s="79" t="s">
        <v>914</v>
      </c>
      <c r="B367" s="79" t="s">
        <v>912</v>
      </c>
      <c r="C367" s="79" t="s">
        <v>915</v>
      </c>
      <c r="D367" s="79" t="str">
        <f t="shared" si="5"/>
        <v>Busembatia Town Council</v>
      </c>
      <c r="E367" s="79"/>
      <c r="F367" s="79">
        <v>362</v>
      </c>
    </row>
    <row r="368" spans="1:6">
      <c r="A368" s="79" t="s">
        <v>916</v>
      </c>
      <c r="B368" s="79" t="s">
        <v>912</v>
      </c>
      <c r="C368" s="79" t="s">
        <v>915</v>
      </c>
      <c r="D368" s="79" t="str">
        <f t="shared" si="5"/>
        <v>Buyanga-Iganga</v>
      </c>
      <c r="E368" s="79"/>
      <c r="F368" s="79">
        <v>363</v>
      </c>
    </row>
    <row r="369" spans="1:6">
      <c r="A369" s="79" t="s">
        <v>917</v>
      </c>
      <c r="B369" s="79" t="s">
        <v>912</v>
      </c>
      <c r="C369" s="79" t="s">
        <v>915</v>
      </c>
      <c r="D369" s="79" t="str">
        <f t="shared" si="5"/>
        <v>Ibulanku</v>
      </c>
      <c r="E369" s="79"/>
      <c r="F369" s="79">
        <v>364</v>
      </c>
    </row>
    <row r="370" spans="1:6">
      <c r="A370" s="79" t="s">
        <v>918</v>
      </c>
      <c r="B370" s="79" t="s">
        <v>912</v>
      </c>
      <c r="C370" s="79" t="s">
        <v>918</v>
      </c>
      <c r="D370" s="79" t="str">
        <f t="shared" si="5"/>
        <v>Iganga Municipality</v>
      </c>
      <c r="E370" s="79"/>
      <c r="F370" s="79">
        <v>365</v>
      </c>
    </row>
    <row r="371" spans="1:6">
      <c r="A371" s="79" t="s">
        <v>919</v>
      </c>
      <c r="B371" s="79"/>
      <c r="C371" s="79"/>
      <c r="D371" s="79" t="str">
        <f t="shared" si="5"/>
        <v>IGANGA</v>
      </c>
      <c r="E371" s="79"/>
      <c r="F371" s="79">
        <v>365</v>
      </c>
    </row>
    <row r="372" spans="1:6" ht="16.5" customHeight="1">
      <c r="A372" s="79" t="s">
        <v>920</v>
      </c>
      <c r="B372" s="79" t="s">
        <v>912</v>
      </c>
      <c r="C372" s="79" t="s">
        <v>915</v>
      </c>
      <c r="D372" s="79" t="str">
        <f t="shared" si="5"/>
        <v>Igombe</v>
      </c>
      <c r="E372" s="79"/>
      <c r="F372" s="79">
        <v>366</v>
      </c>
    </row>
    <row r="373" spans="1:6">
      <c r="A373" s="79" t="s">
        <v>921</v>
      </c>
      <c r="B373" s="79" t="s">
        <v>912</v>
      </c>
      <c r="C373" s="79" t="s">
        <v>915</v>
      </c>
      <c r="D373" s="79" t="str">
        <f t="shared" si="5"/>
        <v>Makuutu</v>
      </c>
      <c r="E373" s="79"/>
      <c r="F373" s="79">
        <v>367</v>
      </c>
    </row>
    <row r="374" spans="1:6">
      <c r="A374" s="79" t="s">
        <v>922</v>
      </c>
      <c r="B374" s="79" t="s">
        <v>912</v>
      </c>
      <c r="C374" s="79" t="s">
        <v>913</v>
      </c>
      <c r="D374" s="79" t="str">
        <f t="shared" si="5"/>
        <v>Nabitende</v>
      </c>
      <c r="E374" s="79"/>
      <c r="F374" s="79">
        <v>368</v>
      </c>
    </row>
    <row r="375" spans="1:6">
      <c r="A375" s="79" t="s">
        <v>923</v>
      </c>
      <c r="B375" s="79" t="s">
        <v>912</v>
      </c>
      <c r="C375" s="79" t="s">
        <v>913</v>
      </c>
      <c r="D375" s="79" t="str">
        <f t="shared" si="5"/>
        <v>Nakalama</v>
      </c>
      <c r="E375" s="79"/>
      <c r="F375" s="79">
        <v>369</v>
      </c>
    </row>
    <row r="376" spans="1:6">
      <c r="A376" s="79" t="s">
        <v>924</v>
      </c>
      <c r="B376" s="79" t="s">
        <v>912</v>
      </c>
      <c r="C376" s="79" t="s">
        <v>913</v>
      </c>
      <c r="D376" s="79" t="str">
        <f t="shared" si="5"/>
        <v>Nakigo</v>
      </c>
      <c r="E376" s="79"/>
      <c r="F376" s="79">
        <v>370</v>
      </c>
    </row>
    <row r="377" spans="1:6">
      <c r="A377" s="79" t="s">
        <v>925</v>
      </c>
      <c r="B377" s="79" t="s">
        <v>912</v>
      </c>
      <c r="C377" s="79" t="s">
        <v>915</v>
      </c>
      <c r="D377" s="79" t="str">
        <f t="shared" si="5"/>
        <v>Namalemba</v>
      </c>
      <c r="E377" s="79"/>
      <c r="F377" s="79">
        <v>371</v>
      </c>
    </row>
    <row r="378" spans="1:6">
      <c r="A378" s="79" t="s">
        <v>926</v>
      </c>
      <c r="B378" s="79" t="s">
        <v>912</v>
      </c>
      <c r="C378" s="79" t="s">
        <v>913</v>
      </c>
      <c r="D378" s="79" t="str">
        <f t="shared" si="5"/>
        <v>Nambale</v>
      </c>
      <c r="E378" s="79"/>
      <c r="F378" s="79">
        <v>372</v>
      </c>
    </row>
    <row r="379" spans="1:6">
      <c r="A379" s="79" t="s">
        <v>927</v>
      </c>
      <c r="B379" s="79" t="s">
        <v>912</v>
      </c>
      <c r="C379" s="79" t="s">
        <v>913</v>
      </c>
      <c r="D379" s="79" t="str">
        <f t="shared" si="5"/>
        <v>Namungalwe</v>
      </c>
      <c r="E379" s="79"/>
      <c r="F379" s="79">
        <v>373</v>
      </c>
    </row>
    <row r="380" spans="1:6">
      <c r="A380" s="79" t="s">
        <v>928</v>
      </c>
      <c r="B380" s="79" t="s">
        <v>912</v>
      </c>
      <c r="C380" s="79" t="s">
        <v>913</v>
      </c>
      <c r="D380" s="79" t="str">
        <f t="shared" si="5"/>
        <v>Nawandala</v>
      </c>
      <c r="E380" s="79"/>
      <c r="F380" s="79">
        <v>374</v>
      </c>
    </row>
    <row r="381" spans="1:6">
      <c r="A381" s="79" t="s">
        <v>929</v>
      </c>
      <c r="B381" s="79" t="s">
        <v>912</v>
      </c>
      <c r="C381" s="79" t="s">
        <v>913</v>
      </c>
      <c r="D381" s="79" t="str">
        <f t="shared" si="5"/>
        <v>Nawanyingi</v>
      </c>
      <c r="E381" s="79"/>
      <c r="F381" s="79">
        <v>375</v>
      </c>
    </row>
    <row r="382" spans="1:6">
      <c r="A382" s="79" t="s">
        <v>930</v>
      </c>
      <c r="B382" s="79" t="s">
        <v>47</v>
      </c>
      <c r="C382" s="79" t="s">
        <v>47</v>
      </c>
      <c r="D382" s="79" t="str">
        <f t="shared" si="5"/>
        <v>Birere</v>
      </c>
      <c r="E382" s="79"/>
      <c r="F382" s="79">
        <v>376</v>
      </c>
    </row>
    <row r="383" spans="1:6">
      <c r="A383" s="79" t="s">
        <v>931</v>
      </c>
      <c r="B383" s="79" t="s">
        <v>47</v>
      </c>
      <c r="C383" s="79" t="s">
        <v>932</v>
      </c>
      <c r="D383" s="79" t="str">
        <f t="shared" si="5"/>
        <v>Endiinzi</v>
      </c>
      <c r="E383" s="79"/>
      <c r="F383" s="79">
        <v>377</v>
      </c>
    </row>
    <row r="384" spans="1:6">
      <c r="A384" s="79" t="s">
        <v>933</v>
      </c>
      <c r="B384" s="79" t="s">
        <v>47</v>
      </c>
      <c r="C384" s="79" t="s">
        <v>932</v>
      </c>
      <c r="D384" s="79" t="str">
        <f t="shared" si="5"/>
        <v>Endiinzi Town Council</v>
      </c>
      <c r="E384" s="79"/>
      <c r="F384" s="79">
        <v>378</v>
      </c>
    </row>
    <row r="385" spans="1:6">
      <c r="A385" s="79" t="s">
        <v>934</v>
      </c>
      <c r="B385" s="79" t="s">
        <v>47</v>
      </c>
      <c r="C385" s="79" t="s">
        <v>47</v>
      </c>
      <c r="D385" s="79" t="str">
        <f t="shared" si="5"/>
        <v>Isingiro Town Council</v>
      </c>
      <c r="E385" s="79"/>
      <c r="F385" s="79">
        <v>379</v>
      </c>
    </row>
    <row r="386" spans="1:6">
      <c r="A386" s="79" t="s">
        <v>935</v>
      </c>
      <c r="B386" s="79" t="s">
        <v>47</v>
      </c>
      <c r="C386" s="79" t="s">
        <v>47</v>
      </c>
      <c r="D386" s="79" t="str">
        <f t="shared" si="5"/>
        <v>Kaberebere Town Council</v>
      </c>
      <c r="E386" s="79"/>
      <c r="F386" s="79">
        <v>380</v>
      </c>
    </row>
    <row r="387" spans="1:6">
      <c r="A387" s="79" t="s">
        <v>936</v>
      </c>
      <c r="B387" s="79" t="s">
        <v>47</v>
      </c>
      <c r="C387" s="79" t="s">
        <v>47</v>
      </c>
      <c r="D387" s="79" t="str">
        <f t="shared" ref="D387:D450" si="6">A387</f>
        <v>Kabingo</v>
      </c>
      <c r="E387" s="79"/>
      <c r="F387" s="79">
        <v>381</v>
      </c>
    </row>
    <row r="388" spans="1:6">
      <c r="A388" s="79" t="s">
        <v>937</v>
      </c>
      <c r="B388" s="79" t="s">
        <v>47</v>
      </c>
      <c r="C388" s="79" t="s">
        <v>47</v>
      </c>
      <c r="D388" s="79" t="str">
        <f t="shared" si="6"/>
        <v>Kabuyanda</v>
      </c>
      <c r="E388" s="79"/>
      <c r="F388" s="79">
        <v>382</v>
      </c>
    </row>
    <row r="389" spans="1:6">
      <c r="A389" s="79" t="s">
        <v>938</v>
      </c>
      <c r="B389" s="79" t="s">
        <v>47</v>
      </c>
      <c r="C389" s="79" t="s">
        <v>47</v>
      </c>
      <c r="D389" s="79" t="str">
        <f t="shared" si="6"/>
        <v>Kabuyanda Town Council</v>
      </c>
      <c r="E389" s="79"/>
      <c r="F389" s="79">
        <v>383</v>
      </c>
    </row>
    <row r="390" spans="1:6">
      <c r="A390" s="79" t="s">
        <v>939</v>
      </c>
      <c r="B390" s="79" t="s">
        <v>47</v>
      </c>
      <c r="C390" s="79" t="s">
        <v>932</v>
      </c>
      <c r="D390" s="79" t="str">
        <f t="shared" si="6"/>
        <v>Kakamba-Isingiro</v>
      </c>
      <c r="E390" s="79"/>
      <c r="F390" s="79">
        <v>384</v>
      </c>
    </row>
    <row r="391" spans="1:6">
      <c r="A391" s="79" t="s">
        <v>940</v>
      </c>
      <c r="B391" s="79" t="s">
        <v>47</v>
      </c>
      <c r="C391" s="79" t="s">
        <v>47</v>
      </c>
      <c r="D391" s="79" t="str">
        <f t="shared" si="6"/>
        <v>Kikagate</v>
      </c>
      <c r="E391" s="79"/>
      <c r="F391" s="79">
        <v>385</v>
      </c>
    </row>
    <row r="392" spans="1:6">
      <c r="A392" s="79" t="s">
        <v>941</v>
      </c>
      <c r="B392" s="79" t="s">
        <v>47</v>
      </c>
      <c r="C392" s="79" t="s">
        <v>47</v>
      </c>
      <c r="D392" s="79" t="str">
        <f t="shared" si="6"/>
        <v>Masha</v>
      </c>
      <c r="E392" s="79"/>
      <c r="F392" s="79">
        <v>386</v>
      </c>
    </row>
    <row r="393" spans="1:6">
      <c r="A393" s="79" t="s">
        <v>942</v>
      </c>
      <c r="B393" s="79" t="s">
        <v>47</v>
      </c>
      <c r="C393" s="79" t="s">
        <v>932</v>
      </c>
      <c r="D393" s="79" t="str">
        <f t="shared" si="6"/>
        <v>Mbaare</v>
      </c>
      <c r="E393" s="79"/>
      <c r="F393" s="79">
        <v>387</v>
      </c>
    </row>
    <row r="394" spans="1:6">
      <c r="A394" s="79" t="s">
        <v>943</v>
      </c>
      <c r="B394" s="79" t="s">
        <v>47</v>
      </c>
      <c r="C394" s="79" t="s">
        <v>932</v>
      </c>
      <c r="D394" s="79" t="str">
        <f t="shared" si="6"/>
        <v>Nakivale Refugee Camp</v>
      </c>
      <c r="E394" s="79"/>
      <c r="F394" s="79">
        <v>388</v>
      </c>
    </row>
    <row r="395" spans="1:6">
      <c r="A395" s="79" t="s">
        <v>944</v>
      </c>
      <c r="B395" s="79" t="s">
        <v>47</v>
      </c>
      <c r="C395" s="79" t="s">
        <v>932</v>
      </c>
      <c r="D395" s="79" t="str">
        <f t="shared" si="6"/>
        <v>Ngarama</v>
      </c>
      <c r="E395" s="79"/>
      <c r="F395" s="79">
        <v>389</v>
      </c>
    </row>
    <row r="396" spans="1:6">
      <c r="A396" s="79" t="s">
        <v>945</v>
      </c>
      <c r="B396" s="79" t="s">
        <v>47</v>
      </c>
      <c r="C396" s="79" t="s">
        <v>47</v>
      </c>
      <c r="D396" s="79" t="str">
        <f t="shared" si="6"/>
        <v>Nyakitunda</v>
      </c>
      <c r="E396" s="79"/>
      <c r="F396" s="79">
        <v>390</v>
      </c>
    </row>
    <row r="397" spans="1:6">
      <c r="A397" s="79" t="s">
        <v>946</v>
      </c>
      <c r="B397" s="79" t="s">
        <v>47</v>
      </c>
      <c r="C397" s="79" t="s">
        <v>47</v>
      </c>
      <c r="D397" s="79" t="str">
        <f t="shared" si="6"/>
        <v>Nyamuyanja</v>
      </c>
      <c r="E397" s="79"/>
      <c r="F397" s="79">
        <v>391</v>
      </c>
    </row>
    <row r="398" spans="1:6">
      <c r="A398" s="79" t="s">
        <v>947</v>
      </c>
      <c r="B398" s="79" t="s">
        <v>47</v>
      </c>
      <c r="C398" s="79" t="s">
        <v>47</v>
      </c>
      <c r="D398" s="79" t="str">
        <f t="shared" si="6"/>
        <v>Oruchinga Refugee Camp</v>
      </c>
      <c r="E398" s="79"/>
      <c r="F398" s="79">
        <v>392</v>
      </c>
    </row>
    <row r="399" spans="1:6">
      <c r="A399" s="79" t="s">
        <v>948</v>
      </c>
      <c r="B399" s="79" t="s">
        <v>47</v>
      </c>
      <c r="C399" s="79" t="s">
        <v>47</v>
      </c>
      <c r="D399" s="79" t="str">
        <f t="shared" si="6"/>
        <v>Ruborogota</v>
      </c>
      <c r="E399" s="79"/>
      <c r="F399" s="79">
        <v>393</v>
      </c>
    </row>
    <row r="400" spans="1:6">
      <c r="A400" s="79" t="s">
        <v>949</v>
      </c>
      <c r="B400" s="79" t="s">
        <v>47</v>
      </c>
      <c r="C400" s="79" t="s">
        <v>932</v>
      </c>
      <c r="D400" s="79" t="str">
        <f t="shared" si="6"/>
        <v>Rugaaga</v>
      </c>
      <c r="E400" s="79"/>
      <c r="F400" s="79">
        <v>394</v>
      </c>
    </row>
    <row r="401" spans="1:6">
      <c r="A401" s="79" t="s">
        <v>950</v>
      </c>
      <c r="B401" s="79" t="s">
        <v>47</v>
      </c>
      <c r="C401" s="79" t="s">
        <v>932</v>
      </c>
      <c r="D401" s="79" t="str">
        <f t="shared" si="6"/>
        <v>Rushasha</v>
      </c>
      <c r="E401" s="79"/>
      <c r="F401" s="79">
        <v>395</v>
      </c>
    </row>
    <row r="402" spans="1:6">
      <c r="A402" s="79" t="s">
        <v>951</v>
      </c>
      <c r="B402" s="79" t="s">
        <v>952</v>
      </c>
      <c r="C402" s="79" t="s">
        <v>953</v>
      </c>
      <c r="D402" s="79" t="str">
        <f t="shared" si="6"/>
        <v>Budondo</v>
      </c>
      <c r="E402" s="79"/>
      <c r="F402" s="79">
        <v>396</v>
      </c>
    </row>
    <row r="403" spans="1:6">
      <c r="A403" s="79" t="s">
        <v>954</v>
      </c>
      <c r="B403" s="79" t="s">
        <v>952</v>
      </c>
      <c r="C403" s="79" t="s">
        <v>955</v>
      </c>
      <c r="D403" s="79" t="str">
        <f t="shared" si="6"/>
        <v>Bugembe Town Council</v>
      </c>
      <c r="E403" s="79"/>
      <c r="F403" s="79">
        <v>397</v>
      </c>
    </row>
    <row r="404" spans="1:6">
      <c r="A404" s="79" t="s">
        <v>956</v>
      </c>
      <c r="B404" s="79" t="s">
        <v>952</v>
      </c>
      <c r="C404" s="79" t="s">
        <v>955</v>
      </c>
      <c r="D404" s="79" t="str">
        <f t="shared" si="6"/>
        <v>Busedde</v>
      </c>
      <c r="E404" s="79"/>
      <c r="F404" s="79">
        <v>398</v>
      </c>
    </row>
    <row r="405" spans="1:6">
      <c r="A405" s="79" t="s">
        <v>957</v>
      </c>
      <c r="B405" s="79" t="s">
        <v>952</v>
      </c>
      <c r="C405" s="79" t="s">
        <v>953</v>
      </c>
      <c r="D405" s="79" t="str">
        <f t="shared" si="6"/>
        <v>Butagaya</v>
      </c>
      <c r="E405" s="79"/>
      <c r="F405" s="79">
        <v>399</v>
      </c>
    </row>
    <row r="406" spans="1:6">
      <c r="A406" s="79" t="s">
        <v>958</v>
      </c>
      <c r="B406" s="79" t="s">
        <v>952</v>
      </c>
      <c r="C406" s="79" t="s">
        <v>953</v>
      </c>
      <c r="D406" s="79" t="str">
        <f t="shared" si="6"/>
        <v>Buwenge</v>
      </c>
      <c r="E406" s="79"/>
      <c r="F406" s="79">
        <v>400</v>
      </c>
    </row>
    <row r="407" spans="1:6">
      <c r="A407" s="79" t="s">
        <v>959</v>
      </c>
      <c r="B407" s="79" t="s">
        <v>952</v>
      </c>
      <c r="C407" s="79" t="s">
        <v>953</v>
      </c>
      <c r="D407" s="79" t="str">
        <f t="shared" si="6"/>
        <v>Buwenge Town Council</v>
      </c>
      <c r="E407" s="79"/>
      <c r="F407" s="79">
        <v>401</v>
      </c>
    </row>
    <row r="408" spans="1:6">
      <c r="A408" s="79" t="s">
        <v>960</v>
      </c>
      <c r="B408" s="79" t="s">
        <v>952</v>
      </c>
      <c r="C408" s="79" t="s">
        <v>953</v>
      </c>
      <c r="D408" s="79" t="str">
        <f t="shared" si="6"/>
        <v>Buyengo</v>
      </c>
      <c r="E408" s="79"/>
      <c r="F408" s="79">
        <v>402</v>
      </c>
    </row>
    <row r="409" spans="1:6">
      <c r="A409" s="79" t="s">
        <v>961</v>
      </c>
      <c r="B409" s="79" t="s">
        <v>952</v>
      </c>
      <c r="C409" s="79" t="s">
        <v>961</v>
      </c>
      <c r="D409" s="79" t="str">
        <f t="shared" si="6"/>
        <v>Jinja Municipality</v>
      </c>
      <c r="E409" s="79"/>
      <c r="F409" s="79">
        <v>403</v>
      </c>
    </row>
    <row r="410" spans="1:6">
      <c r="A410" s="79" t="s">
        <v>962</v>
      </c>
      <c r="B410" s="79" t="s">
        <v>952</v>
      </c>
      <c r="C410" s="79" t="s">
        <v>955</v>
      </c>
      <c r="D410" s="79" t="str">
        <f t="shared" si="6"/>
        <v>Kakira Town Council</v>
      </c>
      <c r="E410" s="79"/>
      <c r="F410" s="79">
        <v>404</v>
      </c>
    </row>
    <row r="411" spans="1:6">
      <c r="A411" s="79" t="s">
        <v>963</v>
      </c>
      <c r="B411" s="79" t="s">
        <v>952</v>
      </c>
      <c r="C411" s="79" t="s">
        <v>955</v>
      </c>
      <c r="D411" s="79" t="str">
        <f t="shared" si="6"/>
        <v>Mafubira</v>
      </c>
      <c r="E411" s="79"/>
      <c r="F411" s="79">
        <v>405</v>
      </c>
    </row>
    <row r="412" spans="1:6">
      <c r="A412" s="79" t="s">
        <v>964</v>
      </c>
      <c r="B412" s="79" t="s">
        <v>965</v>
      </c>
      <c r="C412" s="79" t="s">
        <v>966</v>
      </c>
      <c r="D412" s="79" t="str">
        <f t="shared" si="6"/>
        <v>Kaabong East</v>
      </c>
      <c r="E412" s="79"/>
      <c r="F412" s="79">
        <v>406</v>
      </c>
    </row>
    <row r="413" spans="1:6">
      <c r="A413" s="79" t="s">
        <v>967</v>
      </c>
      <c r="B413" s="79" t="s">
        <v>965</v>
      </c>
      <c r="C413" s="79" t="s">
        <v>966</v>
      </c>
      <c r="D413" s="79" t="str">
        <f t="shared" si="6"/>
        <v>Kaabong Town Council</v>
      </c>
      <c r="E413" s="79"/>
      <c r="F413" s="79">
        <v>407</v>
      </c>
    </row>
    <row r="414" spans="1:6">
      <c r="A414" s="79" t="s">
        <v>968</v>
      </c>
      <c r="B414" s="79" t="s">
        <v>965</v>
      </c>
      <c r="C414" s="79" t="s">
        <v>966</v>
      </c>
      <c r="D414" s="79" t="str">
        <f t="shared" si="6"/>
        <v>Kaabong West</v>
      </c>
      <c r="E414" s="79"/>
      <c r="F414" s="79">
        <v>408</v>
      </c>
    </row>
    <row r="415" spans="1:6">
      <c r="A415" s="79" t="s">
        <v>969</v>
      </c>
      <c r="B415" s="79" t="s">
        <v>965</v>
      </c>
      <c r="C415" s="79" t="s">
        <v>966</v>
      </c>
      <c r="D415" s="79" t="str">
        <f t="shared" si="6"/>
        <v>Kalapata</v>
      </c>
      <c r="E415" s="79"/>
      <c r="F415" s="79">
        <v>409</v>
      </c>
    </row>
    <row r="416" spans="1:6">
      <c r="A416" s="79" t="s">
        <v>970</v>
      </c>
      <c r="B416" s="79" t="s">
        <v>965</v>
      </c>
      <c r="C416" s="79" t="s">
        <v>966</v>
      </c>
      <c r="D416" s="79" t="str">
        <f t="shared" si="6"/>
        <v>Kamion</v>
      </c>
      <c r="E416" s="79"/>
      <c r="F416" s="79">
        <v>410</v>
      </c>
    </row>
    <row r="417" spans="1:6">
      <c r="A417" s="79" t="s">
        <v>971</v>
      </c>
      <c r="B417" s="79" t="s">
        <v>965</v>
      </c>
      <c r="C417" s="79" t="s">
        <v>966</v>
      </c>
      <c r="D417" s="79" t="str">
        <f t="shared" si="6"/>
        <v>Kapedo</v>
      </c>
      <c r="E417" s="79"/>
      <c r="F417" s="79">
        <v>411</v>
      </c>
    </row>
    <row r="418" spans="1:6">
      <c r="A418" s="79" t="s">
        <v>972</v>
      </c>
      <c r="B418" s="79" t="s">
        <v>965</v>
      </c>
      <c r="C418" s="79" t="s">
        <v>966</v>
      </c>
      <c r="D418" s="79" t="str">
        <f t="shared" si="6"/>
        <v>Kathile</v>
      </c>
      <c r="E418" s="79"/>
      <c r="F418" s="79">
        <v>412</v>
      </c>
    </row>
    <row r="419" spans="1:6">
      <c r="A419" s="79" t="s">
        <v>973</v>
      </c>
      <c r="B419" s="79" t="s">
        <v>965</v>
      </c>
      <c r="C419" s="79" t="s">
        <v>966</v>
      </c>
      <c r="D419" s="79" t="str">
        <f t="shared" si="6"/>
        <v>Kawalakol</v>
      </c>
      <c r="E419" s="79"/>
      <c r="F419" s="79">
        <v>413</v>
      </c>
    </row>
    <row r="420" spans="1:6">
      <c r="A420" s="79" t="s">
        <v>974</v>
      </c>
      <c r="B420" s="79" t="s">
        <v>965</v>
      </c>
      <c r="C420" s="79" t="s">
        <v>966</v>
      </c>
      <c r="D420" s="79" t="str">
        <f t="shared" si="6"/>
        <v>Lobalangit</v>
      </c>
      <c r="E420" s="79"/>
      <c r="F420" s="79">
        <v>414</v>
      </c>
    </row>
    <row r="421" spans="1:6">
      <c r="A421" s="79" t="s">
        <v>975</v>
      </c>
      <c r="B421" s="79" t="s">
        <v>965</v>
      </c>
      <c r="C421" s="79" t="s">
        <v>966</v>
      </c>
      <c r="D421" s="79" t="str">
        <f t="shared" si="6"/>
        <v>Lodiko</v>
      </c>
      <c r="E421" s="79"/>
      <c r="F421" s="79">
        <v>415</v>
      </c>
    </row>
    <row r="422" spans="1:6">
      <c r="A422" s="79" t="s">
        <v>976</v>
      </c>
      <c r="B422" s="79" t="s">
        <v>965</v>
      </c>
      <c r="C422" s="79" t="s">
        <v>966</v>
      </c>
      <c r="D422" s="79" t="str">
        <f t="shared" si="6"/>
        <v>Lolelia</v>
      </c>
      <c r="E422" s="79"/>
      <c r="F422" s="79">
        <v>416</v>
      </c>
    </row>
    <row r="423" spans="1:6">
      <c r="A423" s="79" t="s">
        <v>977</v>
      </c>
      <c r="B423" s="79" t="s">
        <v>965</v>
      </c>
      <c r="C423" s="79" t="s">
        <v>966</v>
      </c>
      <c r="D423" s="79" t="str">
        <f t="shared" si="6"/>
        <v>Loyoro</v>
      </c>
      <c r="E423" s="79"/>
      <c r="F423" s="79">
        <v>417</v>
      </c>
    </row>
    <row r="424" spans="1:6">
      <c r="A424" s="79" t="s">
        <v>978</v>
      </c>
      <c r="B424" s="79" t="s">
        <v>965</v>
      </c>
      <c r="C424" s="79" t="s">
        <v>966</v>
      </c>
      <c r="D424" s="79" t="str">
        <f t="shared" si="6"/>
        <v>Napore Karenga</v>
      </c>
      <c r="E424" s="79"/>
      <c r="F424" s="79">
        <v>418</v>
      </c>
    </row>
    <row r="425" spans="1:6">
      <c r="A425" s="79" t="s">
        <v>979</v>
      </c>
      <c r="B425" s="79" t="s">
        <v>965</v>
      </c>
      <c r="C425" s="79" t="s">
        <v>966</v>
      </c>
      <c r="D425" s="79" t="str">
        <f t="shared" si="6"/>
        <v>Sidok</v>
      </c>
      <c r="E425" s="79"/>
      <c r="F425" s="79">
        <v>419</v>
      </c>
    </row>
    <row r="426" spans="1:6">
      <c r="A426" s="79" t="s">
        <v>980</v>
      </c>
      <c r="B426" s="79" t="s">
        <v>981</v>
      </c>
      <c r="C426" s="79" t="s">
        <v>982</v>
      </c>
      <c r="D426" s="79" t="str">
        <f t="shared" si="6"/>
        <v>Buhara</v>
      </c>
      <c r="E426" s="79"/>
      <c r="F426" s="79">
        <v>420</v>
      </c>
    </row>
    <row r="427" spans="1:6">
      <c r="A427" s="79" t="s">
        <v>983</v>
      </c>
      <c r="B427" s="79" t="s">
        <v>981</v>
      </c>
      <c r="C427" s="79" t="s">
        <v>982</v>
      </c>
      <c r="D427" s="79" t="str">
        <f t="shared" si="6"/>
        <v>Butanda</v>
      </c>
      <c r="E427" s="79"/>
      <c r="F427" s="79">
        <v>421</v>
      </c>
    </row>
    <row r="428" spans="1:6">
      <c r="A428" s="79" t="s">
        <v>984</v>
      </c>
      <c r="B428" s="79" t="s">
        <v>981</v>
      </c>
      <c r="C428" s="79" t="s">
        <v>984</v>
      </c>
      <c r="D428" s="79" t="str">
        <f t="shared" si="6"/>
        <v>Kabale Municipality</v>
      </c>
      <c r="E428" s="79"/>
      <c r="F428" s="79">
        <v>422</v>
      </c>
    </row>
    <row r="429" spans="1:6">
      <c r="A429" s="79" t="s">
        <v>985</v>
      </c>
      <c r="B429" s="79" t="s">
        <v>981</v>
      </c>
      <c r="C429" s="79" t="s">
        <v>982</v>
      </c>
      <c r="D429" s="79" t="str">
        <f t="shared" si="6"/>
        <v>Kaharo</v>
      </c>
      <c r="E429" s="79"/>
      <c r="F429" s="79">
        <v>423</v>
      </c>
    </row>
    <row r="430" spans="1:6">
      <c r="A430" s="79" t="s">
        <v>986</v>
      </c>
      <c r="B430" s="79" t="s">
        <v>981</v>
      </c>
      <c r="C430" s="79" t="s">
        <v>982</v>
      </c>
      <c r="D430" s="79" t="str">
        <f t="shared" si="6"/>
        <v>Kamuganguzi</v>
      </c>
      <c r="E430" s="79"/>
      <c r="F430" s="79">
        <v>424</v>
      </c>
    </row>
    <row r="431" spans="1:6">
      <c r="A431" s="79" t="s">
        <v>987</v>
      </c>
      <c r="B431" s="79" t="s">
        <v>981</v>
      </c>
      <c r="C431" s="79" t="s">
        <v>982</v>
      </c>
      <c r="D431" s="79" t="str">
        <f t="shared" si="6"/>
        <v>Katuna Town Council</v>
      </c>
      <c r="E431" s="79"/>
      <c r="F431" s="79">
        <v>425</v>
      </c>
    </row>
    <row r="432" spans="1:6">
      <c r="A432" s="79" t="s">
        <v>988</v>
      </c>
      <c r="B432" s="79" t="s">
        <v>981</v>
      </c>
      <c r="C432" s="79" t="s">
        <v>982</v>
      </c>
      <c r="D432" s="79" t="str">
        <f t="shared" si="6"/>
        <v>Kitumba</v>
      </c>
      <c r="E432" s="79"/>
      <c r="F432" s="79">
        <v>426</v>
      </c>
    </row>
    <row r="433" spans="1:6">
      <c r="A433" s="79" t="s">
        <v>989</v>
      </c>
      <c r="B433" s="79" t="s">
        <v>981</v>
      </c>
      <c r="C433" s="79" t="s">
        <v>982</v>
      </c>
      <c r="D433" s="79" t="str">
        <f t="shared" si="6"/>
        <v>Kyanamira</v>
      </c>
      <c r="E433" s="79"/>
      <c r="F433" s="79">
        <v>427</v>
      </c>
    </row>
    <row r="434" spans="1:6">
      <c r="A434" s="79" t="s">
        <v>990</v>
      </c>
      <c r="B434" s="79" t="s">
        <v>981</v>
      </c>
      <c r="C434" s="79" t="s">
        <v>982</v>
      </c>
      <c r="D434" s="79" t="str">
        <f t="shared" si="6"/>
        <v>Maziba</v>
      </c>
      <c r="E434" s="79"/>
      <c r="F434" s="79">
        <v>428</v>
      </c>
    </row>
    <row r="435" spans="1:6">
      <c r="A435" s="79" t="s">
        <v>991</v>
      </c>
      <c r="B435" s="79" t="s">
        <v>981</v>
      </c>
      <c r="C435" s="79" t="s">
        <v>982</v>
      </c>
      <c r="D435" s="79" t="str">
        <f t="shared" si="6"/>
        <v>Rubaya-Kabale</v>
      </c>
      <c r="E435" s="79"/>
      <c r="F435" s="79">
        <v>429</v>
      </c>
    </row>
    <row r="436" spans="1:6">
      <c r="A436" s="79" t="s">
        <v>992</v>
      </c>
      <c r="B436" s="79" t="s">
        <v>981</v>
      </c>
      <c r="C436" s="79" t="s">
        <v>982</v>
      </c>
      <c r="D436" s="79" t="str">
        <f t="shared" si="6"/>
        <v>Ryakirimira Town Council</v>
      </c>
      <c r="E436" s="79"/>
      <c r="F436" s="79">
        <v>430</v>
      </c>
    </row>
    <row r="437" spans="1:6">
      <c r="A437" s="79" t="s">
        <v>993</v>
      </c>
      <c r="B437" s="79" t="s">
        <v>994</v>
      </c>
      <c r="C437" s="79" t="s">
        <v>995</v>
      </c>
      <c r="D437" s="79" t="str">
        <f t="shared" si="6"/>
        <v>Bukuuku</v>
      </c>
      <c r="E437" s="79"/>
      <c r="F437" s="79">
        <v>431</v>
      </c>
    </row>
    <row r="438" spans="1:6">
      <c r="A438" s="79" t="s">
        <v>996</v>
      </c>
      <c r="B438" s="79" t="s">
        <v>994</v>
      </c>
      <c r="C438" s="79" t="s">
        <v>995</v>
      </c>
      <c r="D438" s="79" t="str">
        <f t="shared" si="6"/>
        <v>Busoro</v>
      </c>
      <c r="E438" s="79"/>
      <c r="F438" s="79">
        <v>432</v>
      </c>
    </row>
    <row r="439" spans="1:6">
      <c r="A439" s="79" t="s">
        <v>997</v>
      </c>
      <c r="B439" s="79" t="s">
        <v>994</v>
      </c>
      <c r="C439" s="79" t="s">
        <v>997</v>
      </c>
      <c r="D439" s="79" t="str">
        <f t="shared" si="6"/>
        <v>Fort Portal Municipality</v>
      </c>
      <c r="E439" s="79"/>
      <c r="F439" s="79">
        <v>433</v>
      </c>
    </row>
    <row r="440" spans="1:6">
      <c r="A440" s="79" t="s">
        <v>998</v>
      </c>
      <c r="B440" s="79" t="s">
        <v>994</v>
      </c>
      <c r="C440" s="79" t="s">
        <v>995</v>
      </c>
      <c r="D440" s="79" t="str">
        <f t="shared" si="6"/>
        <v>Hakibaale</v>
      </c>
      <c r="E440" s="79"/>
      <c r="F440" s="79">
        <v>434</v>
      </c>
    </row>
    <row r="441" spans="1:6">
      <c r="A441" s="79" t="s">
        <v>999</v>
      </c>
      <c r="B441" s="79" t="s">
        <v>994</v>
      </c>
      <c r="C441" s="79" t="s">
        <v>995</v>
      </c>
      <c r="D441" s="79" t="str">
        <f t="shared" si="6"/>
        <v>Karago Town Council</v>
      </c>
      <c r="E441" s="79"/>
      <c r="F441" s="79">
        <v>435</v>
      </c>
    </row>
    <row r="442" spans="1:6">
      <c r="A442" s="79" t="s">
        <v>1000</v>
      </c>
      <c r="B442" s="79" t="s">
        <v>994</v>
      </c>
      <c r="C442" s="79" t="s">
        <v>995</v>
      </c>
      <c r="D442" s="79" t="str">
        <f t="shared" si="6"/>
        <v>Karambi-Kabarole</v>
      </c>
      <c r="E442" s="79"/>
      <c r="F442" s="79">
        <v>436</v>
      </c>
    </row>
    <row r="443" spans="1:6">
      <c r="A443" s="79" t="s">
        <v>1001</v>
      </c>
      <c r="B443" s="79" t="s">
        <v>994</v>
      </c>
      <c r="C443" s="79" t="s">
        <v>995</v>
      </c>
      <c r="D443" s="79" t="str">
        <f t="shared" si="6"/>
        <v>Karangura</v>
      </c>
      <c r="E443" s="79"/>
      <c r="F443" s="79">
        <v>437</v>
      </c>
    </row>
    <row r="444" spans="1:6">
      <c r="A444" s="79" t="s">
        <v>1002</v>
      </c>
      <c r="B444" s="79" t="s">
        <v>994</v>
      </c>
      <c r="C444" s="79" t="s">
        <v>995</v>
      </c>
      <c r="D444" s="79" t="str">
        <f t="shared" si="6"/>
        <v>Kasenda</v>
      </c>
      <c r="E444" s="79"/>
      <c r="F444" s="79">
        <v>438</v>
      </c>
    </row>
    <row r="445" spans="1:6">
      <c r="A445" s="79" t="s">
        <v>1003</v>
      </c>
      <c r="B445" s="79" t="s">
        <v>994</v>
      </c>
      <c r="C445" s="79" t="s">
        <v>995</v>
      </c>
      <c r="D445" s="79" t="str">
        <f t="shared" si="6"/>
        <v>Kicwamba</v>
      </c>
      <c r="E445" s="79"/>
      <c r="F445" s="79">
        <v>439</v>
      </c>
    </row>
    <row r="446" spans="1:6">
      <c r="A446" s="79" t="s">
        <v>1004</v>
      </c>
      <c r="B446" s="79" t="s">
        <v>994</v>
      </c>
      <c r="C446" s="79" t="s">
        <v>995</v>
      </c>
      <c r="D446" s="79" t="str">
        <f t="shared" si="6"/>
        <v>Kijura Town Council</v>
      </c>
      <c r="E446" s="79"/>
      <c r="F446" s="79">
        <v>440</v>
      </c>
    </row>
    <row r="447" spans="1:6">
      <c r="A447" s="79" t="s">
        <v>1005</v>
      </c>
      <c r="B447" s="79" t="s">
        <v>994</v>
      </c>
      <c r="C447" s="79" t="s">
        <v>995</v>
      </c>
      <c r="D447" s="79" t="str">
        <f t="shared" si="6"/>
        <v>Kiko Town Council</v>
      </c>
      <c r="E447" s="79"/>
      <c r="F447" s="79">
        <v>441</v>
      </c>
    </row>
    <row r="448" spans="1:6">
      <c r="A448" s="79" t="s">
        <v>1006</v>
      </c>
      <c r="B448" s="79" t="s">
        <v>994</v>
      </c>
      <c r="C448" s="79" t="s">
        <v>995</v>
      </c>
      <c r="D448" s="79" t="str">
        <f t="shared" si="6"/>
        <v>Mugusu</v>
      </c>
      <c r="E448" s="79"/>
      <c r="F448" s="79">
        <v>442</v>
      </c>
    </row>
    <row r="449" spans="1:6">
      <c r="A449" s="79" t="s">
        <v>1007</v>
      </c>
      <c r="B449" s="79" t="s">
        <v>994</v>
      </c>
      <c r="C449" s="79" t="s">
        <v>995</v>
      </c>
      <c r="D449" s="79" t="str">
        <f t="shared" si="6"/>
        <v>Mugusu Town Council</v>
      </c>
      <c r="E449" s="79"/>
      <c r="F449" s="79">
        <v>443</v>
      </c>
    </row>
    <row r="450" spans="1:6">
      <c r="A450" s="79" t="s">
        <v>1008</v>
      </c>
      <c r="B450" s="79" t="s">
        <v>994</v>
      </c>
      <c r="C450" s="79" t="s">
        <v>995</v>
      </c>
      <c r="D450" s="79" t="str">
        <f t="shared" si="6"/>
        <v>Ruteete-Kabarole</v>
      </c>
      <c r="E450" s="79"/>
      <c r="F450" s="79">
        <v>444</v>
      </c>
    </row>
    <row r="451" spans="1:6">
      <c r="A451" s="79" t="s">
        <v>1009</v>
      </c>
      <c r="B451" s="79" t="s">
        <v>1010</v>
      </c>
      <c r="C451" s="79" t="s">
        <v>1010</v>
      </c>
      <c r="D451" s="79" t="str">
        <f t="shared" ref="D451:D514" si="7">A451</f>
        <v>Alwa</v>
      </c>
      <c r="E451" s="79"/>
      <c r="F451" s="79">
        <v>445</v>
      </c>
    </row>
    <row r="452" spans="1:6">
      <c r="A452" s="79" t="s">
        <v>1011</v>
      </c>
      <c r="B452" s="79" t="s">
        <v>1010</v>
      </c>
      <c r="C452" s="79" t="s">
        <v>1012</v>
      </c>
      <c r="D452" s="79" t="str">
        <f t="shared" si="7"/>
        <v>Anyara</v>
      </c>
      <c r="E452" s="79"/>
      <c r="F452" s="79">
        <v>446</v>
      </c>
    </row>
    <row r="453" spans="1:6">
      <c r="A453" s="79" t="s">
        <v>1013</v>
      </c>
      <c r="B453" s="79" t="s">
        <v>1010</v>
      </c>
      <c r="C453" s="79" t="s">
        <v>1012</v>
      </c>
      <c r="D453" s="79" t="str">
        <f t="shared" si="7"/>
        <v>Apapai</v>
      </c>
      <c r="E453" s="79"/>
      <c r="F453" s="79">
        <v>447</v>
      </c>
    </row>
    <row r="454" spans="1:6">
      <c r="A454" s="79" t="s">
        <v>1014</v>
      </c>
      <c r="B454" s="79" t="s">
        <v>1010</v>
      </c>
      <c r="C454" s="79" t="s">
        <v>1010</v>
      </c>
      <c r="D454" s="79" t="str">
        <f t="shared" si="7"/>
        <v>Aperkira</v>
      </c>
      <c r="E454" s="79"/>
      <c r="F454" s="79">
        <v>448</v>
      </c>
    </row>
    <row r="455" spans="1:6">
      <c r="A455" s="79" t="s">
        <v>1015</v>
      </c>
      <c r="B455" s="79" t="s">
        <v>1010</v>
      </c>
      <c r="C455" s="79" t="s">
        <v>1012</v>
      </c>
      <c r="D455" s="79" t="str">
        <f t="shared" si="7"/>
        <v>Bululu</v>
      </c>
      <c r="E455" s="79"/>
      <c r="F455" s="79">
        <v>449</v>
      </c>
    </row>
    <row r="456" spans="1:6">
      <c r="A456" s="79" t="s">
        <v>1010</v>
      </c>
      <c r="B456" s="79" t="s">
        <v>1010</v>
      </c>
      <c r="C456" s="79" t="s">
        <v>1010</v>
      </c>
      <c r="D456" s="79" t="str">
        <f t="shared" si="7"/>
        <v>Kaberamaido</v>
      </c>
      <c r="E456" s="79"/>
      <c r="F456" s="79">
        <v>450</v>
      </c>
    </row>
    <row r="457" spans="1:6">
      <c r="A457" s="79" t="s">
        <v>1016</v>
      </c>
      <c r="B457" s="79" t="s">
        <v>1010</v>
      </c>
      <c r="C457" s="79" t="s">
        <v>1010</v>
      </c>
      <c r="D457" s="79" t="str">
        <f t="shared" si="7"/>
        <v>Kaberamaido Town Council</v>
      </c>
      <c r="E457" s="79"/>
      <c r="F457" s="79">
        <v>451</v>
      </c>
    </row>
    <row r="458" spans="1:6">
      <c r="A458" s="79" t="s">
        <v>1017</v>
      </c>
      <c r="B458" s="79" t="s">
        <v>1010</v>
      </c>
      <c r="C458" s="79" t="s">
        <v>1012</v>
      </c>
      <c r="D458" s="79" t="str">
        <f t="shared" si="7"/>
        <v>Kakure</v>
      </c>
      <c r="E458" s="79"/>
      <c r="F458" s="79">
        <v>452</v>
      </c>
    </row>
    <row r="459" spans="1:6">
      <c r="A459" s="79" t="s">
        <v>1012</v>
      </c>
      <c r="B459" s="79" t="s">
        <v>1010</v>
      </c>
      <c r="C459" s="79" t="s">
        <v>1012</v>
      </c>
      <c r="D459" s="79" t="str">
        <f t="shared" si="7"/>
        <v>Kalaki</v>
      </c>
      <c r="E459" s="79"/>
      <c r="F459" s="79">
        <v>453</v>
      </c>
    </row>
    <row r="460" spans="1:6">
      <c r="A460" s="79" t="s">
        <v>1018</v>
      </c>
      <c r="B460" s="79" t="s">
        <v>1010</v>
      </c>
      <c r="C460" s="79" t="s">
        <v>1010</v>
      </c>
      <c r="D460" s="79" t="str">
        <f t="shared" si="7"/>
        <v>Kobulubulu</v>
      </c>
      <c r="E460" s="79"/>
      <c r="F460" s="79">
        <v>454</v>
      </c>
    </row>
    <row r="461" spans="1:6">
      <c r="A461" s="79" t="s">
        <v>1019</v>
      </c>
      <c r="B461" s="79" t="s">
        <v>1010</v>
      </c>
      <c r="C461" s="79" t="s">
        <v>1010</v>
      </c>
      <c r="D461" s="79" t="str">
        <f t="shared" si="7"/>
        <v>Ochero</v>
      </c>
      <c r="E461" s="79"/>
      <c r="F461" s="79">
        <v>455</v>
      </c>
    </row>
    <row r="462" spans="1:6">
      <c r="A462" s="79" t="s">
        <v>1020</v>
      </c>
      <c r="B462" s="79" t="s">
        <v>1010</v>
      </c>
      <c r="C462" s="79" t="s">
        <v>1012</v>
      </c>
      <c r="D462" s="79" t="str">
        <f t="shared" si="7"/>
        <v>Otuboi</v>
      </c>
      <c r="E462" s="79"/>
      <c r="F462" s="79">
        <v>456</v>
      </c>
    </row>
    <row r="463" spans="1:6">
      <c r="A463" s="79" t="s">
        <v>1021</v>
      </c>
      <c r="B463" s="79" t="s">
        <v>1022</v>
      </c>
      <c r="C463" s="79" t="s">
        <v>1023</v>
      </c>
      <c r="D463" s="79" t="str">
        <f t="shared" si="7"/>
        <v>Burora</v>
      </c>
      <c r="E463" s="79"/>
      <c r="F463" s="79">
        <v>457</v>
      </c>
    </row>
    <row r="464" spans="1:6">
      <c r="A464" s="79" t="s">
        <v>1024</v>
      </c>
      <c r="B464" s="79" t="s">
        <v>1022</v>
      </c>
      <c r="C464" s="79" t="s">
        <v>1023</v>
      </c>
      <c r="D464" s="79" t="str">
        <f t="shared" si="7"/>
        <v>Bwikara</v>
      </c>
      <c r="E464" s="79"/>
      <c r="F464" s="79">
        <v>458</v>
      </c>
    </row>
    <row r="465" spans="1:6">
      <c r="A465" s="79" t="s">
        <v>1025</v>
      </c>
      <c r="B465" s="79" t="s">
        <v>1022</v>
      </c>
      <c r="C465" s="79" t="s">
        <v>1023</v>
      </c>
      <c r="D465" s="79" t="str">
        <f t="shared" si="7"/>
        <v>Kabamba</v>
      </c>
      <c r="E465" s="79"/>
      <c r="F465" s="79">
        <v>459</v>
      </c>
    </row>
    <row r="466" spans="1:6">
      <c r="A466" s="79" t="s">
        <v>1022</v>
      </c>
      <c r="B466" s="79" t="s">
        <v>1022</v>
      </c>
      <c r="C466" s="79" t="s">
        <v>1023</v>
      </c>
      <c r="D466" s="79" t="str">
        <f t="shared" si="7"/>
        <v>Kagadi</v>
      </c>
      <c r="E466" s="79"/>
      <c r="F466" s="79">
        <v>460</v>
      </c>
    </row>
    <row r="467" spans="1:6">
      <c r="A467" s="79" t="s">
        <v>1026</v>
      </c>
      <c r="B467" s="79" t="s">
        <v>1022</v>
      </c>
      <c r="C467" s="79" t="s">
        <v>1023</v>
      </c>
      <c r="D467" s="79" t="str">
        <f t="shared" si="7"/>
        <v>Kagadi Town Council</v>
      </c>
      <c r="E467" s="79"/>
      <c r="F467" s="79">
        <v>461</v>
      </c>
    </row>
    <row r="468" spans="1:6">
      <c r="A468" s="79" t="s">
        <v>1027</v>
      </c>
      <c r="B468" s="79" t="s">
        <v>1022</v>
      </c>
      <c r="C468" s="79" t="s">
        <v>1023</v>
      </c>
      <c r="D468" s="79" t="str">
        <f t="shared" si="7"/>
        <v>Kiryanga</v>
      </c>
      <c r="E468" s="79"/>
      <c r="F468" s="79">
        <v>462</v>
      </c>
    </row>
    <row r="469" spans="1:6">
      <c r="A469" s="79" t="s">
        <v>1028</v>
      </c>
      <c r="B469" s="79" t="s">
        <v>1022</v>
      </c>
      <c r="C469" s="79" t="s">
        <v>1023</v>
      </c>
      <c r="D469" s="79" t="str">
        <f t="shared" si="7"/>
        <v>Kyakabadiima</v>
      </c>
      <c r="E469" s="79"/>
      <c r="F469" s="79">
        <v>463</v>
      </c>
    </row>
    <row r="470" spans="1:6">
      <c r="A470" s="79" t="s">
        <v>1029</v>
      </c>
      <c r="B470" s="79" t="s">
        <v>1022</v>
      </c>
      <c r="C470" s="79" t="s">
        <v>1023</v>
      </c>
      <c r="D470" s="79" t="str">
        <f t="shared" si="7"/>
        <v>Kyanaisoke</v>
      </c>
      <c r="E470" s="79"/>
      <c r="F470" s="79">
        <v>464</v>
      </c>
    </row>
    <row r="471" spans="1:6">
      <c r="A471" s="79" t="s">
        <v>1030</v>
      </c>
      <c r="B471" s="79" t="s">
        <v>1022</v>
      </c>
      <c r="C471" s="79" t="s">
        <v>1023</v>
      </c>
      <c r="D471" s="79" t="str">
        <f t="shared" si="7"/>
        <v>Kyaterekera</v>
      </c>
      <c r="E471" s="79"/>
      <c r="F471" s="79">
        <v>465</v>
      </c>
    </row>
    <row r="472" spans="1:6">
      <c r="A472" s="79" t="s">
        <v>1031</v>
      </c>
      <c r="B472" s="79" t="s">
        <v>1022</v>
      </c>
      <c r="C472" s="79" t="s">
        <v>1023</v>
      </c>
      <c r="D472" s="79" t="str">
        <f t="shared" si="7"/>
        <v>Kyenzige</v>
      </c>
      <c r="E472" s="79"/>
      <c r="F472" s="79">
        <v>466</v>
      </c>
    </row>
    <row r="473" spans="1:6">
      <c r="A473" s="79" t="s">
        <v>1032</v>
      </c>
      <c r="B473" s="79" t="s">
        <v>1022</v>
      </c>
      <c r="C473" s="79" t="s">
        <v>1023</v>
      </c>
      <c r="D473" s="79" t="str">
        <f t="shared" si="7"/>
        <v>Mabaale</v>
      </c>
      <c r="E473" s="79"/>
      <c r="F473" s="79">
        <v>467</v>
      </c>
    </row>
    <row r="474" spans="1:6">
      <c r="A474" s="79" t="s">
        <v>1033</v>
      </c>
      <c r="B474" s="79" t="s">
        <v>1022</v>
      </c>
      <c r="C474" s="79" t="s">
        <v>1023</v>
      </c>
      <c r="D474" s="79" t="str">
        <f t="shared" si="7"/>
        <v>Mpeefu</v>
      </c>
      <c r="E474" s="79"/>
      <c r="F474" s="79">
        <v>468</v>
      </c>
    </row>
    <row r="475" spans="1:6">
      <c r="A475" s="79" t="s">
        <v>1034</v>
      </c>
      <c r="B475" s="79" t="s">
        <v>1022</v>
      </c>
      <c r="C475" s="79" t="s">
        <v>1023</v>
      </c>
      <c r="D475" s="79" t="str">
        <f t="shared" si="7"/>
        <v>Muhorro</v>
      </c>
      <c r="E475" s="79"/>
      <c r="F475" s="79">
        <v>469</v>
      </c>
    </row>
    <row r="476" spans="1:6">
      <c r="A476" s="79" t="s">
        <v>1035</v>
      </c>
      <c r="B476" s="79" t="s">
        <v>1022</v>
      </c>
      <c r="C476" s="79" t="s">
        <v>1023</v>
      </c>
      <c r="D476" s="79" t="str">
        <f t="shared" si="7"/>
        <v>Muhorro Town Council</v>
      </c>
      <c r="E476" s="79"/>
      <c r="F476" s="79">
        <v>470</v>
      </c>
    </row>
    <row r="477" spans="1:6">
      <c r="A477" s="79" t="s">
        <v>1036</v>
      </c>
      <c r="B477" s="79" t="s">
        <v>1022</v>
      </c>
      <c r="C477" s="79" t="s">
        <v>1023</v>
      </c>
      <c r="D477" s="79" t="str">
        <f t="shared" si="7"/>
        <v>Ndaiga</v>
      </c>
      <c r="E477" s="79"/>
      <c r="F477" s="79">
        <v>471</v>
      </c>
    </row>
    <row r="478" spans="1:6">
      <c r="A478" s="79" t="s">
        <v>1037</v>
      </c>
      <c r="B478" s="79" t="s">
        <v>1022</v>
      </c>
      <c r="C478" s="79" t="s">
        <v>1023</v>
      </c>
      <c r="D478" s="79" t="str">
        <f t="shared" si="7"/>
        <v>Paacwa</v>
      </c>
      <c r="E478" s="79"/>
      <c r="F478" s="79">
        <v>472</v>
      </c>
    </row>
    <row r="479" spans="1:6">
      <c r="A479" s="79" t="s">
        <v>1038</v>
      </c>
      <c r="B479" s="79" t="s">
        <v>1022</v>
      </c>
      <c r="C479" s="79" t="s">
        <v>1023</v>
      </c>
      <c r="D479" s="79" t="str">
        <f t="shared" si="7"/>
        <v>Rugashari</v>
      </c>
      <c r="E479" s="79"/>
      <c r="F479" s="79">
        <v>473</v>
      </c>
    </row>
    <row r="480" spans="1:6">
      <c r="A480" s="79" t="s">
        <v>1039</v>
      </c>
      <c r="B480" s="79" t="s">
        <v>1022</v>
      </c>
      <c r="C480" s="79" t="s">
        <v>1023</v>
      </c>
      <c r="D480" s="79" t="str">
        <f t="shared" si="7"/>
        <v>Ruteete-Kagadi</v>
      </c>
      <c r="E480" s="79"/>
      <c r="F480" s="79">
        <v>474</v>
      </c>
    </row>
    <row r="481" spans="1:6">
      <c r="A481" s="79" t="s">
        <v>1040</v>
      </c>
      <c r="B481" s="79" t="s">
        <v>1041</v>
      </c>
      <c r="C481" s="79" t="s">
        <v>1042</v>
      </c>
      <c r="D481" s="79" t="str">
        <f t="shared" si="7"/>
        <v>Birembo</v>
      </c>
      <c r="E481" s="79"/>
      <c r="F481" s="79">
        <v>475</v>
      </c>
    </row>
    <row r="482" spans="1:6">
      <c r="A482" s="79" t="s">
        <v>1043</v>
      </c>
      <c r="B482" s="79" t="s">
        <v>1041</v>
      </c>
      <c r="C482" s="79" t="s">
        <v>1042</v>
      </c>
      <c r="D482" s="79" t="str">
        <f t="shared" si="7"/>
        <v>Bwanswa</v>
      </c>
      <c r="E482" s="79"/>
      <c r="F482" s="79">
        <v>476</v>
      </c>
    </row>
    <row r="483" spans="1:6">
      <c r="A483" s="79" t="s">
        <v>1044</v>
      </c>
      <c r="B483" s="79" t="s">
        <v>1041</v>
      </c>
      <c r="C483" s="79" t="s">
        <v>1042</v>
      </c>
      <c r="D483" s="79" t="str">
        <f t="shared" si="7"/>
        <v>Kakindo</v>
      </c>
      <c r="E483" s="79"/>
      <c r="F483" s="79">
        <v>477</v>
      </c>
    </row>
    <row r="484" spans="1:6">
      <c r="A484" s="79" t="s">
        <v>1045</v>
      </c>
      <c r="B484" s="79" t="s">
        <v>1041</v>
      </c>
      <c r="C484" s="79" t="s">
        <v>1042</v>
      </c>
      <c r="D484" s="79" t="str">
        <f t="shared" si="7"/>
        <v>Kakumiro Town Council</v>
      </c>
      <c r="E484" s="79"/>
      <c r="F484" s="79">
        <v>478</v>
      </c>
    </row>
    <row r="485" spans="1:6">
      <c r="A485" s="79" t="s">
        <v>1046</v>
      </c>
      <c r="B485" s="79" t="s">
        <v>1041</v>
      </c>
      <c r="C485" s="79" t="s">
        <v>1042</v>
      </c>
      <c r="D485" s="79" t="str">
        <f t="shared" si="7"/>
        <v>Kasambya-Kakumiro</v>
      </c>
      <c r="E485" s="79"/>
      <c r="F485" s="79">
        <v>479</v>
      </c>
    </row>
    <row r="486" spans="1:6">
      <c r="A486" s="79" t="s">
        <v>1047</v>
      </c>
      <c r="B486" s="79" t="s">
        <v>1041</v>
      </c>
      <c r="C486" s="79" t="s">
        <v>1042</v>
      </c>
      <c r="D486" s="79" t="str">
        <f t="shared" si="7"/>
        <v>Kikwaya</v>
      </c>
      <c r="E486" s="79"/>
      <c r="F486" s="79">
        <v>480</v>
      </c>
    </row>
    <row r="487" spans="1:6">
      <c r="A487" s="79" t="s">
        <v>1048</v>
      </c>
      <c r="B487" s="79" t="s">
        <v>1041</v>
      </c>
      <c r="C487" s="79" t="s">
        <v>1042</v>
      </c>
      <c r="D487" s="79" t="str">
        <f t="shared" si="7"/>
        <v>Kisiita</v>
      </c>
      <c r="E487" s="79"/>
      <c r="F487" s="79">
        <v>481</v>
      </c>
    </row>
    <row r="488" spans="1:6">
      <c r="A488" s="79" t="s">
        <v>1049</v>
      </c>
      <c r="B488" s="79" t="s">
        <v>1041</v>
      </c>
      <c r="C488" s="79" t="s">
        <v>1042</v>
      </c>
      <c r="D488" s="79" t="str">
        <f t="shared" si="7"/>
        <v>Kitaihuka</v>
      </c>
      <c r="E488" s="79"/>
      <c r="F488" s="79">
        <v>482</v>
      </c>
    </row>
    <row r="489" spans="1:6">
      <c r="A489" s="79" t="s">
        <v>1050</v>
      </c>
      <c r="B489" s="79" t="s">
        <v>1041</v>
      </c>
      <c r="C489" s="79" t="s">
        <v>1042</v>
      </c>
      <c r="D489" s="79" t="str">
        <f t="shared" si="7"/>
        <v>Mpasaana</v>
      </c>
      <c r="E489" s="79"/>
      <c r="F489" s="79">
        <v>483</v>
      </c>
    </row>
    <row r="490" spans="1:6">
      <c r="A490" s="79" t="s">
        <v>1051</v>
      </c>
      <c r="B490" s="79" t="s">
        <v>1041</v>
      </c>
      <c r="C490" s="79" t="s">
        <v>1042</v>
      </c>
      <c r="D490" s="79" t="str">
        <f t="shared" si="7"/>
        <v>Nalweyo</v>
      </c>
      <c r="E490" s="79"/>
      <c r="F490" s="79">
        <v>484</v>
      </c>
    </row>
    <row r="491" spans="1:6">
      <c r="A491" s="79" t="s">
        <v>1052</v>
      </c>
      <c r="B491" s="79" t="s">
        <v>1041</v>
      </c>
      <c r="C491" s="79" t="s">
        <v>1042</v>
      </c>
      <c r="D491" s="79" t="str">
        <f t="shared" si="7"/>
        <v>Nkooko</v>
      </c>
      <c r="E491" s="79"/>
      <c r="F491" s="79">
        <v>485</v>
      </c>
    </row>
    <row r="492" spans="1:6">
      <c r="A492" s="79" t="s">
        <v>1053</v>
      </c>
      <c r="B492" s="79" t="s">
        <v>1054</v>
      </c>
      <c r="C492" s="79" t="s">
        <v>1055</v>
      </c>
      <c r="D492" s="79" t="str">
        <f t="shared" si="7"/>
        <v>Bubeke</v>
      </c>
      <c r="E492" s="79"/>
      <c r="F492" s="79">
        <v>486</v>
      </c>
    </row>
    <row r="493" spans="1:6">
      <c r="A493" s="79" t="s">
        <v>1056</v>
      </c>
      <c r="B493" s="79" t="s">
        <v>1054</v>
      </c>
      <c r="C493" s="79" t="s">
        <v>1055</v>
      </c>
      <c r="D493" s="79" t="str">
        <f t="shared" si="7"/>
        <v>Bufumira</v>
      </c>
      <c r="E493" s="79"/>
      <c r="F493" s="79">
        <v>487</v>
      </c>
    </row>
    <row r="494" spans="1:6">
      <c r="A494" s="79" t="s">
        <v>1057</v>
      </c>
      <c r="B494" s="79" t="s">
        <v>1054</v>
      </c>
      <c r="C494" s="79" t="s">
        <v>1057</v>
      </c>
      <c r="D494" s="79" t="str">
        <f t="shared" si="7"/>
        <v>Bujumba</v>
      </c>
      <c r="E494" s="79"/>
      <c r="F494" s="79">
        <v>488</v>
      </c>
    </row>
    <row r="495" spans="1:6">
      <c r="A495" s="79" t="s">
        <v>1058</v>
      </c>
      <c r="B495" s="79" t="s">
        <v>1054</v>
      </c>
      <c r="C495" s="79" t="s">
        <v>1057</v>
      </c>
      <c r="D495" s="79" t="str">
        <f t="shared" si="7"/>
        <v>Kalangala Town Council</v>
      </c>
      <c r="E495" s="79"/>
      <c r="F495" s="79">
        <v>489</v>
      </c>
    </row>
    <row r="496" spans="1:6">
      <c r="A496" s="79" t="s">
        <v>1055</v>
      </c>
      <c r="B496" s="79" t="s">
        <v>1054</v>
      </c>
      <c r="C496" s="79" t="s">
        <v>1055</v>
      </c>
      <c r="D496" s="79" t="str">
        <f t="shared" si="7"/>
        <v>Kyamuswa</v>
      </c>
      <c r="E496" s="79"/>
      <c r="F496" s="79">
        <v>490</v>
      </c>
    </row>
    <row r="497" spans="1:6">
      <c r="A497" s="79" t="s">
        <v>1059</v>
      </c>
      <c r="B497" s="79" t="s">
        <v>1054</v>
      </c>
      <c r="C497" s="79" t="s">
        <v>1055</v>
      </c>
      <c r="D497" s="79" t="str">
        <f t="shared" si="7"/>
        <v>Mazinga</v>
      </c>
      <c r="E497" s="79"/>
      <c r="F497" s="79">
        <v>491</v>
      </c>
    </row>
    <row r="498" spans="1:6">
      <c r="A498" s="79" t="s">
        <v>1060</v>
      </c>
      <c r="B498" s="79" t="s">
        <v>1054</v>
      </c>
      <c r="C498" s="79" t="s">
        <v>1057</v>
      </c>
      <c r="D498" s="79" t="str">
        <f t="shared" si="7"/>
        <v>Mugoye</v>
      </c>
      <c r="E498" s="79"/>
      <c r="F498" s="79">
        <v>492</v>
      </c>
    </row>
    <row r="499" spans="1:6">
      <c r="A499" s="79" t="s">
        <v>1061</v>
      </c>
      <c r="B499" s="79" t="s">
        <v>1062</v>
      </c>
      <c r="C499" s="79" t="s">
        <v>911</v>
      </c>
      <c r="D499" s="79" t="str">
        <f t="shared" si="7"/>
        <v>Budomero</v>
      </c>
      <c r="E499" s="79"/>
      <c r="F499" s="79">
        <v>493</v>
      </c>
    </row>
    <row r="500" spans="1:6">
      <c r="A500" s="79" t="s">
        <v>1063</v>
      </c>
      <c r="B500" s="79" t="s">
        <v>1062</v>
      </c>
      <c r="C500" s="79" t="s">
        <v>911</v>
      </c>
      <c r="D500" s="79" t="str">
        <f t="shared" si="7"/>
        <v>Bukamba</v>
      </c>
      <c r="E500" s="79"/>
      <c r="F500" s="79">
        <v>494</v>
      </c>
    </row>
    <row r="501" spans="1:6">
      <c r="A501" s="79" t="s">
        <v>1064</v>
      </c>
      <c r="B501" s="79" t="s">
        <v>1062</v>
      </c>
      <c r="C501" s="79" t="s">
        <v>911</v>
      </c>
      <c r="D501" s="79" t="str">
        <f t="shared" si="7"/>
        <v>Bumanya</v>
      </c>
      <c r="E501" s="79"/>
      <c r="F501" s="79">
        <v>495</v>
      </c>
    </row>
    <row r="502" spans="1:6">
      <c r="A502" s="79" t="s">
        <v>1065</v>
      </c>
      <c r="B502" s="79" t="s">
        <v>1062</v>
      </c>
      <c r="C502" s="79" t="s">
        <v>911</v>
      </c>
      <c r="D502" s="79" t="str">
        <f t="shared" si="7"/>
        <v>Buyinda</v>
      </c>
      <c r="E502" s="79"/>
      <c r="F502" s="79">
        <v>496</v>
      </c>
    </row>
    <row r="503" spans="1:6">
      <c r="A503" s="79" t="s">
        <v>1066</v>
      </c>
      <c r="B503" s="79" t="s">
        <v>1062</v>
      </c>
      <c r="C503" s="79" t="s">
        <v>911</v>
      </c>
      <c r="D503" s="79" t="str">
        <f t="shared" si="7"/>
        <v>Gadumire</v>
      </c>
      <c r="E503" s="79"/>
      <c r="F503" s="79">
        <v>497</v>
      </c>
    </row>
    <row r="504" spans="1:6">
      <c r="A504" s="79" t="s">
        <v>1067</v>
      </c>
      <c r="B504" s="79" t="s">
        <v>1062</v>
      </c>
      <c r="C504" s="79" t="s">
        <v>911</v>
      </c>
      <c r="D504" s="79" t="str">
        <f t="shared" si="7"/>
        <v>Kaliro Town Council</v>
      </c>
      <c r="E504" s="79"/>
      <c r="F504" s="79">
        <v>498</v>
      </c>
    </row>
    <row r="505" spans="1:6">
      <c r="A505" s="79" t="s">
        <v>1068</v>
      </c>
      <c r="B505" s="79" t="s">
        <v>1062</v>
      </c>
      <c r="C505" s="79" t="s">
        <v>911</v>
      </c>
      <c r="D505" s="79" t="str">
        <f t="shared" si="7"/>
        <v>Kasokwe</v>
      </c>
      <c r="E505" s="79"/>
      <c r="F505" s="79">
        <v>499</v>
      </c>
    </row>
    <row r="506" spans="1:6">
      <c r="A506" s="79" t="s">
        <v>1069</v>
      </c>
      <c r="B506" s="79" t="s">
        <v>1062</v>
      </c>
      <c r="C506" s="79" t="s">
        <v>911</v>
      </c>
      <c r="D506" s="79" t="str">
        <f t="shared" si="7"/>
        <v>Kisinda</v>
      </c>
      <c r="E506" s="79"/>
      <c r="F506" s="79">
        <v>500</v>
      </c>
    </row>
    <row r="507" spans="1:6">
      <c r="A507" s="79" t="s">
        <v>1070</v>
      </c>
      <c r="B507" s="79" t="s">
        <v>1062</v>
      </c>
      <c r="C507" s="79" t="s">
        <v>911</v>
      </c>
      <c r="D507" s="79" t="str">
        <f t="shared" si="7"/>
        <v>Namugongo-Kaliro</v>
      </c>
      <c r="E507" s="79"/>
      <c r="F507" s="79">
        <v>501</v>
      </c>
    </row>
    <row r="508" spans="1:6">
      <c r="A508" s="79" t="s">
        <v>1071</v>
      </c>
      <c r="B508" s="79" t="s">
        <v>1062</v>
      </c>
      <c r="C508" s="79" t="s">
        <v>911</v>
      </c>
      <c r="D508" s="79" t="str">
        <f t="shared" si="7"/>
        <v>Namwiwa</v>
      </c>
      <c r="E508" s="79"/>
      <c r="F508" s="79">
        <v>502</v>
      </c>
    </row>
    <row r="509" spans="1:6">
      <c r="A509" s="79" t="s">
        <v>1072</v>
      </c>
      <c r="B509" s="79" t="s">
        <v>1062</v>
      </c>
      <c r="C509" s="79" t="s">
        <v>911</v>
      </c>
      <c r="D509" s="79" t="str">
        <f t="shared" si="7"/>
        <v>Nansololo</v>
      </c>
      <c r="E509" s="79"/>
      <c r="F509" s="79">
        <v>503</v>
      </c>
    </row>
    <row r="510" spans="1:6">
      <c r="A510" s="79" t="s">
        <v>1073</v>
      </c>
      <c r="B510" s="79" t="s">
        <v>1062</v>
      </c>
      <c r="C510" s="79" t="s">
        <v>911</v>
      </c>
      <c r="D510" s="79" t="str">
        <f t="shared" si="7"/>
        <v>Nawaikoke</v>
      </c>
      <c r="E510" s="79"/>
      <c r="F510" s="79">
        <v>504</v>
      </c>
    </row>
    <row r="511" spans="1:6">
      <c r="A511" s="79" t="s">
        <v>1074</v>
      </c>
      <c r="B511" s="79" t="s">
        <v>1075</v>
      </c>
      <c r="C511" s="79" t="s">
        <v>1075</v>
      </c>
      <c r="D511" s="79" t="str">
        <f t="shared" si="7"/>
        <v>Bukulula</v>
      </c>
      <c r="E511" s="79"/>
      <c r="F511" s="79">
        <v>505</v>
      </c>
    </row>
    <row r="512" spans="1:6">
      <c r="A512" s="79" t="s">
        <v>1075</v>
      </c>
      <c r="B512" s="79" t="s">
        <v>1075</v>
      </c>
      <c r="C512" s="79" t="s">
        <v>1075</v>
      </c>
      <c r="D512" s="79" t="str">
        <f t="shared" si="7"/>
        <v>Kalungu</v>
      </c>
      <c r="E512" s="79"/>
      <c r="F512" s="79">
        <v>506</v>
      </c>
    </row>
    <row r="513" spans="1:6">
      <c r="A513" s="79" t="s">
        <v>1076</v>
      </c>
      <c r="B513" s="79" t="s">
        <v>1075</v>
      </c>
      <c r="C513" s="79" t="s">
        <v>1075</v>
      </c>
      <c r="D513" s="79" t="str">
        <f t="shared" si="7"/>
        <v>Kalungu Town Council</v>
      </c>
      <c r="E513" s="79"/>
      <c r="F513" s="79">
        <v>507</v>
      </c>
    </row>
    <row r="514" spans="1:6">
      <c r="A514" s="79" t="s">
        <v>1077</v>
      </c>
      <c r="B514" s="79" t="s">
        <v>1075</v>
      </c>
      <c r="C514" s="79" t="s">
        <v>1075</v>
      </c>
      <c r="D514" s="79" t="str">
        <f t="shared" si="7"/>
        <v>Kyamulibwa</v>
      </c>
      <c r="E514" s="79"/>
      <c r="F514" s="79">
        <v>508</v>
      </c>
    </row>
    <row r="515" spans="1:6">
      <c r="A515" s="79" t="s">
        <v>1078</v>
      </c>
      <c r="B515" s="79" t="s">
        <v>1075</v>
      </c>
      <c r="C515" s="79" t="s">
        <v>1075</v>
      </c>
      <c r="D515" s="79" t="str">
        <f t="shared" ref="D515:D578" si="8">A515</f>
        <v>Kyamulibwa Town Council</v>
      </c>
      <c r="E515" s="79"/>
      <c r="F515" s="79">
        <v>509</v>
      </c>
    </row>
    <row r="516" spans="1:6">
      <c r="A516" s="79" t="s">
        <v>1079</v>
      </c>
      <c r="B516" s="79" t="s">
        <v>1075</v>
      </c>
      <c r="C516" s="79" t="s">
        <v>1075</v>
      </c>
      <c r="D516" s="79" t="str">
        <f t="shared" si="8"/>
        <v>Lukaya Town Council</v>
      </c>
      <c r="E516" s="79"/>
      <c r="F516" s="79">
        <v>510</v>
      </c>
    </row>
    <row r="517" spans="1:6">
      <c r="A517" s="79" t="s">
        <v>1080</v>
      </c>
      <c r="B517" s="79" t="s">
        <v>1075</v>
      </c>
      <c r="C517" s="79" t="s">
        <v>1075</v>
      </c>
      <c r="D517" s="79" t="str">
        <f t="shared" si="8"/>
        <v>Lwabenge</v>
      </c>
      <c r="E517" s="79"/>
      <c r="F517" s="79">
        <v>511</v>
      </c>
    </row>
    <row r="518" spans="1:6">
      <c r="A518" s="79" t="s">
        <v>1081</v>
      </c>
      <c r="B518" s="79" t="s">
        <v>1082</v>
      </c>
      <c r="C518" s="79" t="s">
        <v>1083</v>
      </c>
      <c r="D518" s="79" t="str">
        <f t="shared" si="8"/>
        <v>Banda</v>
      </c>
      <c r="E518" s="79" t="str">
        <f t="shared" ref="E518:E671" si="9">A518</f>
        <v>Banda</v>
      </c>
      <c r="F518" s="79">
        <v>512</v>
      </c>
    </row>
    <row r="519" spans="1:6">
      <c r="A519" s="79" t="s">
        <v>1085</v>
      </c>
      <c r="B519" s="79" t="s">
        <v>1082</v>
      </c>
      <c r="C519" s="79" t="s">
        <v>1083</v>
      </c>
      <c r="D519" s="79" t="str">
        <f t="shared" si="8"/>
        <v>Bugolobi</v>
      </c>
      <c r="E519" s="79" t="str">
        <f t="shared" si="9"/>
        <v>Bugolobi</v>
      </c>
      <c r="F519" s="79">
        <v>513</v>
      </c>
    </row>
    <row r="520" spans="1:6">
      <c r="A520" s="79" t="s">
        <v>1086</v>
      </c>
      <c r="B520" s="79"/>
      <c r="C520" s="79"/>
      <c r="D520" s="79" t="str">
        <f t="shared" si="8"/>
        <v>Namuwongo</v>
      </c>
      <c r="E520" s="79"/>
      <c r="F520" s="79">
        <v>513</v>
      </c>
    </row>
    <row r="521" spans="1:6">
      <c r="A521" s="79" t="s">
        <v>1087</v>
      </c>
      <c r="B521" s="79" t="s">
        <v>1082</v>
      </c>
      <c r="C521" s="79" t="s">
        <v>1083</v>
      </c>
      <c r="D521" s="79" t="str">
        <f t="shared" si="8"/>
        <v>Bukasa</v>
      </c>
      <c r="E521" s="79" t="str">
        <f t="shared" si="9"/>
        <v>Bukasa</v>
      </c>
      <c r="F521" s="79">
        <v>514</v>
      </c>
    </row>
    <row r="522" spans="1:6">
      <c r="A522" s="79" t="s">
        <v>1089</v>
      </c>
      <c r="B522" s="79" t="s">
        <v>1082</v>
      </c>
      <c r="C522" s="79" t="s">
        <v>1083</v>
      </c>
      <c r="D522" s="79" t="str">
        <f t="shared" si="8"/>
        <v>Bukesa</v>
      </c>
      <c r="E522" s="79" t="str">
        <f t="shared" si="9"/>
        <v>Bukesa</v>
      </c>
      <c r="F522" s="79">
        <v>515</v>
      </c>
    </row>
    <row r="523" spans="1:6">
      <c r="A523" s="79" t="s">
        <v>23</v>
      </c>
      <c r="B523" s="79" t="s">
        <v>1082</v>
      </c>
      <c r="C523" s="79" t="s">
        <v>1083</v>
      </c>
      <c r="D523" s="79" t="str">
        <f t="shared" si="8"/>
        <v>Bukoto</v>
      </c>
      <c r="E523" s="79" t="str">
        <f t="shared" si="9"/>
        <v>Bukoto</v>
      </c>
      <c r="F523" s="79">
        <v>516</v>
      </c>
    </row>
    <row r="524" spans="1:6">
      <c r="A524" s="79" t="s">
        <v>1091</v>
      </c>
      <c r="B524" s="79" t="s">
        <v>1082</v>
      </c>
      <c r="C524" s="79" t="s">
        <v>1083</v>
      </c>
      <c r="D524" s="79" t="str">
        <f t="shared" si="8"/>
        <v>Busega</v>
      </c>
      <c r="E524" s="79" t="str">
        <f t="shared" si="9"/>
        <v>Busega</v>
      </c>
      <c r="F524" s="79">
        <v>517</v>
      </c>
    </row>
    <row r="525" spans="1:6">
      <c r="A525" s="79" t="s">
        <v>2406</v>
      </c>
      <c r="B525" s="79"/>
      <c r="C525" s="79"/>
      <c r="D525" s="79" t="str">
        <f t="shared" si="8"/>
        <v>Masanafu</v>
      </c>
      <c r="E525" s="79" t="str">
        <f t="shared" si="9"/>
        <v>Masanafu</v>
      </c>
      <c r="F525" s="79">
        <v>517</v>
      </c>
    </row>
    <row r="526" spans="1:6">
      <c r="A526" s="79" t="s">
        <v>1093</v>
      </c>
      <c r="B526" s="79" t="s">
        <v>1082</v>
      </c>
      <c r="C526" s="79" t="s">
        <v>1083</v>
      </c>
      <c r="D526" s="79" t="str">
        <f t="shared" si="8"/>
        <v>Butabika</v>
      </c>
      <c r="E526" s="79" t="str">
        <f t="shared" si="9"/>
        <v>Butabika</v>
      </c>
      <c r="F526" s="79">
        <v>518</v>
      </c>
    </row>
    <row r="527" spans="1:6">
      <c r="A527" s="79" t="s">
        <v>1094</v>
      </c>
      <c r="B527" s="79" t="s">
        <v>1082</v>
      </c>
      <c r="C527" s="79" t="s">
        <v>1083</v>
      </c>
      <c r="D527" s="79" t="str">
        <f t="shared" si="8"/>
        <v>Buziga</v>
      </c>
      <c r="E527" s="79" t="str">
        <f t="shared" si="9"/>
        <v>Buziga</v>
      </c>
      <c r="F527" s="79">
        <v>519</v>
      </c>
    </row>
    <row r="528" spans="1:6">
      <c r="A528" s="79" t="s">
        <v>1095</v>
      </c>
      <c r="B528" s="79" t="s">
        <v>1082</v>
      </c>
      <c r="C528" s="79" t="s">
        <v>1083</v>
      </c>
      <c r="D528" s="79" t="str">
        <f t="shared" si="8"/>
        <v>Bwaise</v>
      </c>
      <c r="E528" s="79" t="str">
        <f t="shared" si="9"/>
        <v>Bwaise</v>
      </c>
      <c r="F528" s="79">
        <v>520</v>
      </c>
    </row>
    <row r="529" spans="1:6">
      <c r="A529" s="79" t="s">
        <v>1097</v>
      </c>
      <c r="B529" s="79" t="s">
        <v>1082</v>
      </c>
      <c r="C529" s="79" t="s">
        <v>1083</v>
      </c>
      <c r="D529" s="79" t="str">
        <f t="shared" si="8"/>
        <v>Civic Centre</v>
      </c>
      <c r="E529" s="79" t="str">
        <f t="shared" si="9"/>
        <v>Civic Centre</v>
      </c>
      <c r="F529" s="79">
        <v>521</v>
      </c>
    </row>
    <row r="530" spans="1:6">
      <c r="A530" s="79" t="s">
        <v>1082</v>
      </c>
      <c r="B530" s="79"/>
      <c r="C530" s="79"/>
      <c r="D530" s="79" t="str">
        <f t="shared" si="8"/>
        <v>Kampala</v>
      </c>
      <c r="E530" s="79" t="str">
        <f t="shared" si="9"/>
        <v>Kampala</v>
      </c>
      <c r="F530" s="79">
        <v>521</v>
      </c>
    </row>
    <row r="531" spans="1:6">
      <c r="A531" s="79" t="s">
        <v>2409</v>
      </c>
      <c r="B531" s="79"/>
      <c r="C531" s="79"/>
      <c r="D531" s="79" t="str">
        <f t="shared" si="8"/>
        <v>Speke hotel</v>
      </c>
      <c r="E531" s="79" t="str">
        <f t="shared" si="9"/>
        <v>Speke hotel</v>
      </c>
      <c r="F531" s="79">
        <v>521</v>
      </c>
    </row>
    <row r="532" spans="1:6">
      <c r="A532" s="79" t="s">
        <v>1098</v>
      </c>
      <c r="B532" s="79"/>
      <c r="C532" s="79"/>
      <c r="D532" s="79" t="str">
        <f t="shared" si="8"/>
        <v>NKURUMAH ROAD</v>
      </c>
      <c r="E532" s="79" t="str">
        <f t="shared" si="9"/>
        <v>NKURUMAH ROAD</v>
      </c>
      <c r="F532" s="79">
        <v>521</v>
      </c>
    </row>
    <row r="533" spans="1:6">
      <c r="A533" s="79" t="s">
        <v>204</v>
      </c>
      <c r="B533" s="79"/>
      <c r="C533" s="79"/>
      <c r="D533" s="79" t="str">
        <f t="shared" si="8"/>
        <v>STATION</v>
      </c>
      <c r="E533" s="79" t="str">
        <f t="shared" si="9"/>
        <v>STATION</v>
      </c>
      <c r="F533" s="79">
        <v>521</v>
      </c>
    </row>
    <row r="534" spans="1:6">
      <c r="A534" s="79" t="s">
        <v>1099</v>
      </c>
      <c r="B534" s="79"/>
      <c r="C534" s="79"/>
      <c r="D534" s="79" t="str">
        <f t="shared" si="8"/>
        <v>Clock tower</v>
      </c>
      <c r="E534" s="79" t="str">
        <f t="shared" si="9"/>
        <v>Clock tower</v>
      </c>
      <c r="F534" s="79">
        <v>521</v>
      </c>
    </row>
    <row r="535" spans="1:6">
      <c r="A535" s="79" t="s">
        <v>1100</v>
      </c>
      <c r="B535" s="79"/>
      <c r="C535" s="79"/>
      <c r="D535" s="79" t="str">
        <f t="shared" si="8"/>
        <v>CRUSADER HOUSE</v>
      </c>
      <c r="E535" s="79"/>
      <c r="F535" s="79">
        <v>521</v>
      </c>
    </row>
    <row r="536" spans="1:6">
      <c r="A536" s="79" t="s">
        <v>1101</v>
      </c>
      <c r="B536" s="79"/>
      <c r="C536" s="79"/>
      <c r="D536" s="79" t="str">
        <f t="shared" si="8"/>
        <v>Engineering solution</v>
      </c>
      <c r="E536" s="79"/>
      <c r="F536" s="79">
        <v>521</v>
      </c>
    </row>
    <row r="537" spans="1:6">
      <c r="A537" s="79" t="s">
        <v>1102</v>
      </c>
      <c r="B537" s="79"/>
      <c r="C537" s="79"/>
      <c r="D537" s="79" t="str">
        <f t="shared" si="8"/>
        <v>Sir Apollo</v>
      </c>
      <c r="E537" s="79" t="str">
        <f t="shared" si="9"/>
        <v>Sir Apollo</v>
      </c>
      <c r="F537" s="79">
        <v>521</v>
      </c>
    </row>
    <row r="538" spans="1:6">
      <c r="A538" s="79" t="s">
        <v>2410</v>
      </c>
      <c r="B538" s="79"/>
      <c r="C538" s="79"/>
      <c r="D538" s="79" t="str">
        <f t="shared" si="8"/>
        <v>Kavuma</v>
      </c>
      <c r="E538" s="79"/>
      <c r="F538" s="79">
        <v>521</v>
      </c>
    </row>
    <row r="539" spans="1:6">
      <c r="A539" s="79" t="s">
        <v>461</v>
      </c>
      <c r="B539" s="79"/>
      <c r="C539" s="79"/>
      <c r="D539" s="79" t="str">
        <f t="shared" si="8"/>
        <v>KAVUUMA</v>
      </c>
      <c r="E539" s="79"/>
      <c r="F539" s="79">
        <v>521</v>
      </c>
    </row>
    <row r="540" spans="1:6">
      <c r="A540" s="79" t="s">
        <v>1103</v>
      </c>
      <c r="B540" s="79"/>
      <c r="C540" s="79"/>
      <c r="D540" s="79" t="str">
        <f t="shared" si="8"/>
        <v>CRESTED TOWERS</v>
      </c>
      <c r="E540" s="79"/>
      <c r="F540" s="79">
        <v>521</v>
      </c>
    </row>
    <row r="541" spans="1:6">
      <c r="A541" s="79" t="s">
        <v>2384</v>
      </c>
      <c r="B541" s="79"/>
      <c r="C541" s="79"/>
      <c r="D541" s="79" t="str">
        <f t="shared" si="8"/>
        <v>Town city</v>
      </c>
      <c r="E541" s="79"/>
      <c r="F541" s="79">
        <v>521</v>
      </c>
    </row>
    <row r="542" spans="1:6">
      <c r="A542" s="79" t="s">
        <v>1104</v>
      </c>
      <c r="B542" s="79"/>
      <c r="C542" s="79"/>
      <c r="D542" s="79" t="str">
        <f t="shared" si="8"/>
        <v>INDUSTRIAL</v>
      </c>
      <c r="E542" s="79" t="str">
        <f t="shared" si="9"/>
        <v>INDUSTRIAL</v>
      </c>
      <c r="F542" s="79">
        <v>521</v>
      </c>
    </row>
    <row r="543" spans="1:6">
      <c r="A543" s="79" t="s">
        <v>1105</v>
      </c>
      <c r="B543" s="79"/>
      <c r="C543" s="79"/>
      <c r="D543" s="79" t="str">
        <f t="shared" si="8"/>
        <v>Kikubo</v>
      </c>
      <c r="E543" s="79" t="str">
        <f t="shared" si="9"/>
        <v>Kikubo</v>
      </c>
      <c r="F543" s="79">
        <v>521</v>
      </c>
    </row>
    <row r="544" spans="1:6">
      <c r="A544" s="79" t="s">
        <v>1106</v>
      </c>
      <c r="B544" s="79"/>
      <c r="C544" s="79"/>
      <c r="D544" s="79" t="str">
        <f t="shared" si="8"/>
        <v>Arua park</v>
      </c>
      <c r="E544" s="79" t="str">
        <f t="shared" si="9"/>
        <v>Arua park</v>
      </c>
      <c r="F544" s="79">
        <v>521</v>
      </c>
    </row>
    <row r="545" spans="1:6">
      <c r="A545" s="79" t="s">
        <v>1107</v>
      </c>
      <c r="B545" s="79"/>
      <c r="C545" s="79"/>
      <c r="D545" s="79" t="str">
        <f t="shared" si="8"/>
        <v>NAMAYUBA PART</v>
      </c>
      <c r="E545" s="79"/>
      <c r="F545" s="79">
        <v>521</v>
      </c>
    </row>
    <row r="546" spans="1:6">
      <c r="A546" s="79" t="s">
        <v>1108</v>
      </c>
      <c r="B546" s="79"/>
      <c r="C546" s="79"/>
      <c r="D546" s="79" t="str">
        <f t="shared" si="8"/>
        <v>Speke resort</v>
      </c>
      <c r="E546" s="79" t="str">
        <f t="shared" si="9"/>
        <v>Speke resort</v>
      </c>
      <c r="F546" s="79">
        <v>521</v>
      </c>
    </row>
    <row r="547" spans="1:6">
      <c r="A547" s="79" t="s">
        <v>1109</v>
      </c>
      <c r="B547" s="79"/>
      <c r="C547" s="79"/>
      <c r="D547" s="79" t="str">
        <f t="shared" si="8"/>
        <v>Clemet hill</v>
      </c>
      <c r="E547" s="79" t="str">
        <f t="shared" si="9"/>
        <v>Clemet hill</v>
      </c>
      <c r="F547" s="79">
        <v>521</v>
      </c>
    </row>
    <row r="548" spans="1:6">
      <c r="A548" s="79" t="s">
        <v>1110</v>
      </c>
      <c r="B548" s="79"/>
      <c r="C548" s="79"/>
      <c r="D548" s="79" t="str">
        <f t="shared" si="8"/>
        <v>CLEMENT</v>
      </c>
      <c r="E548" s="79" t="str">
        <f t="shared" si="9"/>
        <v>CLEMENT</v>
      </c>
      <c r="F548" s="79">
        <v>521</v>
      </c>
    </row>
    <row r="549" spans="1:6">
      <c r="A549" s="79" t="s">
        <v>1111</v>
      </c>
      <c r="B549" s="79"/>
      <c r="C549" s="79"/>
      <c r="D549" s="79" t="str">
        <f t="shared" si="8"/>
        <v>Town</v>
      </c>
      <c r="E549" s="79" t="str">
        <f t="shared" si="9"/>
        <v>Town</v>
      </c>
      <c r="F549" s="79">
        <v>521</v>
      </c>
    </row>
    <row r="550" spans="1:6">
      <c r="A550" s="79" t="s">
        <v>1112</v>
      </c>
      <c r="B550" s="79"/>
      <c r="C550" s="79"/>
      <c r="D550" s="79" t="str">
        <f t="shared" si="8"/>
        <v>Victoria Serena</v>
      </c>
      <c r="E550" s="79" t="str">
        <f t="shared" si="9"/>
        <v>Victoria Serena</v>
      </c>
      <c r="F550" s="79">
        <v>521</v>
      </c>
    </row>
    <row r="551" spans="1:6">
      <c r="A551" s="79" t="s">
        <v>1113</v>
      </c>
      <c r="B551" s="79"/>
      <c r="C551" s="79"/>
      <c r="D551" s="79" t="str">
        <f t="shared" si="8"/>
        <v>Lugogo</v>
      </c>
      <c r="E551" s="79" t="str">
        <f t="shared" si="9"/>
        <v>Lugogo</v>
      </c>
      <c r="F551" s="79">
        <v>521</v>
      </c>
    </row>
    <row r="552" spans="1:6">
      <c r="A552" s="79" t="s">
        <v>1114</v>
      </c>
      <c r="B552" s="79"/>
      <c r="C552" s="79"/>
      <c r="D552" s="79" t="str">
        <f t="shared" si="8"/>
        <v>Serena</v>
      </c>
      <c r="E552" s="79" t="str">
        <f t="shared" si="9"/>
        <v>Serena</v>
      </c>
      <c r="F552" s="79">
        <v>521</v>
      </c>
    </row>
    <row r="553" spans="1:6">
      <c r="A553" s="79" t="s">
        <v>1115</v>
      </c>
      <c r="B553" s="79"/>
      <c r="C553" s="79"/>
      <c r="D553" s="79" t="str">
        <f t="shared" si="8"/>
        <v>Taxi park</v>
      </c>
      <c r="E553" s="79" t="str">
        <f t="shared" si="9"/>
        <v>Taxi park</v>
      </c>
      <c r="F553" s="79">
        <v>521</v>
      </c>
    </row>
    <row r="554" spans="1:6">
      <c r="A554" s="79" t="s">
        <v>239</v>
      </c>
      <c r="B554" s="79"/>
      <c r="C554" s="79"/>
      <c r="D554" s="79" t="str">
        <f t="shared" si="8"/>
        <v>TAXI  PARK</v>
      </c>
      <c r="E554" s="79"/>
      <c r="F554" s="79">
        <v>521</v>
      </c>
    </row>
    <row r="555" spans="1:6">
      <c r="A555" s="79" t="s">
        <v>2391</v>
      </c>
      <c r="B555" s="79"/>
      <c r="C555" s="79"/>
      <c r="D555" s="79" t="str">
        <f t="shared" si="8"/>
        <v>Station centre</v>
      </c>
      <c r="E555" s="79"/>
      <c r="F555" s="79">
        <v>521</v>
      </c>
    </row>
    <row r="556" spans="1:6">
      <c r="A556" s="79" t="s">
        <v>1116</v>
      </c>
      <c r="B556" s="79"/>
      <c r="C556" s="79"/>
      <c r="D556" s="79" t="str">
        <f t="shared" si="8"/>
        <v>Old park</v>
      </c>
      <c r="E556" s="79" t="str">
        <f t="shared" si="9"/>
        <v>Old park</v>
      </c>
      <c r="F556" s="79">
        <v>521</v>
      </c>
    </row>
    <row r="557" spans="1:6">
      <c r="A557" s="79" t="s">
        <v>1117</v>
      </c>
      <c r="B557" s="79"/>
      <c r="C557" s="79"/>
      <c r="D557" s="79" t="str">
        <f t="shared" si="8"/>
        <v>Old parrk</v>
      </c>
      <c r="E557" s="79" t="str">
        <f t="shared" si="9"/>
        <v>Old parrk</v>
      </c>
      <c r="F557" s="79">
        <v>521</v>
      </c>
    </row>
    <row r="558" spans="1:6">
      <c r="A558" s="79" t="s">
        <v>1118</v>
      </c>
      <c r="B558" s="79"/>
      <c r="C558" s="79"/>
      <c r="D558" s="79" t="str">
        <f t="shared" si="8"/>
        <v>Newtax park</v>
      </c>
      <c r="E558" s="79" t="str">
        <f t="shared" si="9"/>
        <v>Newtax park</v>
      </c>
      <c r="F558" s="79">
        <v>521</v>
      </c>
    </row>
    <row r="559" spans="1:6">
      <c r="A559" s="79" t="s">
        <v>2390</v>
      </c>
      <c r="B559" s="79"/>
      <c r="C559" s="79"/>
      <c r="D559" s="79" t="str">
        <f t="shared" si="8"/>
        <v>New park</v>
      </c>
      <c r="E559" s="79" t="str">
        <f t="shared" si="9"/>
        <v>New park</v>
      </c>
      <c r="F559" s="79">
        <v>521</v>
      </c>
    </row>
    <row r="560" spans="1:6">
      <c r="A560" s="79" t="s">
        <v>2389</v>
      </c>
      <c r="B560" s="79"/>
      <c r="C560" s="79"/>
      <c r="D560" s="79" t="str">
        <f t="shared" si="8"/>
        <v>Mwalo</v>
      </c>
      <c r="E560" s="79" t="str">
        <f t="shared" si="9"/>
        <v>Mwalo</v>
      </c>
      <c r="F560" s="79">
        <v>521</v>
      </c>
    </row>
    <row r="561" spans="1:6">
      <c r="A561" s="79" t="s">
        <v>1119</v>
      </c>
      <c r="B561" s="79"/>
      <c r="C561" s="79"/>
      <c r="D561" s="79" t="str">
        <f t="shared" si="8"/>
        <v>Equatorial</v>
      </c>
      <c r="E561" s="79" t="str">
        <f t="shared" si="9"/>
        <v>Equatorial</v>
      </c>
      <c r="F561" s="79">
        <v>521</v>
      </c>
    </row>
    <row r="562" spans="1:6">
      <c r="A562" s="79" t="s">
        <v>1120</v>
      </c>
      <c r="B562" s="79"/>
      <c r="C562" s="79"/>
      <c r="D562" s="79" t="str">
        <f t="shared" si="8"/>
        <v>Kampala town</v>
      </c>
      <c r="E562" s="79" t="str">
        <f t="shared" si="9"/>
        <v>Kampala town</v>
      </c>
      <c r="F562" s="79">
        <v>521</v>
      </c>
    </row>
    <row r="563" spans="1:6">
      <c r="A563" s="79" t="s">
        <v>1121</v>
      </c>
      <c r="B563" s="79"/>
      <c r="C563" s="79"/>
      <c r="D563" s="79" t="str">
        <f t="shared" si="8"/>
        <v>City center</v>
      </c>
      <c r="E563" s="79" t="str">
        <f t="shared" si="9"/>
        <v>City center</v>
      </c>
      <c r="F563" s="79">
        <v>521</v>
      </c>
    </row>
    <row r="564" spans="1:6">
      <c r="A564" s="79" t="s">
        <v>1122</v>
      </c>
      <c r="B564" s="79"/>
      <c r="C564" s="79"/>
      <c r="D564" s="79" t="str">
        <f t="shared" si="8"/>
        <v>CITY CENTRE</v>
      </c>
      <c r="E564" s="79"/>
      <c r="F564" s="79">
        <v>521</v>
      </c>
    </row>
    <row r="565" spans="1:6">
      <c r="A565" s="79" t="s">
        <v>1123</v>
      </c>
      <c r="B565" s="79"/>
      <c r="C565" s="79"/>
      <c r="D565" s="79" t="str">
        <f t="shared" si="8"/>
        <v>Gaba</v>
      </c>
      <c r="E565" s="79" t="str">
        <f t="shared" si="9"/>
        <v>Gaba</v>
      </c>
      <c r="F565" s="79">
        <v>522</v>
      </c>
    </row>
    <row r="566" spans="1:6">
      <c r="A566" s="79" t="s">
        <v>1124</v>
      </c>
      <c r="B566" s="79"/>
      <c r="C566" s="79"/>
      <c r="D566" s="79" t="str">
        <f t="shared" si="8"/>
        <v>Soya</v>
      </c>
      <c r="E566" s="79" t="str">
        <f t="shared" si="9"/>
        <v>Soya</v>
      </c>
      <c r="F566" s="79">
        <v>522</v>
      </c>
    </row>
    <row r="567" spans="1:6">
      <c r="A567" s="79" t="s">
        <v>1125</v>
      </c>
      <c r="B567" s="79"/>
      <c r="C567" s="79"/>
      <c r="D567" s="79" t="str">
        <f t="shared" si="8"/>
        <v>Auto spa</v>
      </c>
      <c r="E567" s="79" t="str">
        <f t="shared" si="9"/>
        <v>Auto spa</v>
      </c>
      <c r="F567" s="79">
        <v>522</v>
      </c>
    </row>
    <row r="568" spans="1:6">
      <c r="A568" s="79" t="s">
        <v>1126</v>
      </c>
      <c r="B568" s="79"/>
      <c r="C568" s="79"/>
      <c r="D568" s="79" t="str">
        <f t="shared" si="8"/>
        <v>Munyonyo</v>
      </c>
      <c r="E568" s="79" t="str">
        <f t="shared" si="9"/>
        <v>Munyonyo</v>
      </c>
      <c r="F568" s="79">
        <v>522</v>
      </c>
    </row>
    <row r="569" spans="1:6">
      <c r="A569" s="79" t="s">
        <v>378</v>
      </c>
      <c r="B569" s="79"/>
      <c r="C569" s="79"/>
      <c r="D569" s="79" t="str">
        <f t="shared" si="8"/>
        <v>BUGU</v>
      </c>
      <c r="E569" s="79"/>
      <c r="F569" s="79">
        <v>522</v>
      </c>
    </row>
    <row r="570" spans="1:6">
      <c r="A570" s="79" t="s">
        <v>2385</v>
      </c>
      <c r="B570" s="79"/>
      <c r="C570" s="79"/>
      <c r="D570" s="79" t="str">
        <f t="shared" si="8"/>
        <v>Kibiri</v>
      </c>
      <c r="E570" s="79"/>
      <c r="F570" s="79">
        <v>522</v>
      </c>
    </row>
    <row r="571" spans="1:6">
      <c r="A571" s="79" t="s">
        <v>2408</v>
      </c>
      <c r="B571" s="79"/>
      <c r="C571" s="79"/>
      <c r="D571" s="79" t="str">
        <f t="shared" si="8"/>
        <v>Buggu</v>
      </c>
      <c r="E571" s="79"/>
      <c r="F571" s="79">
        <v>522</v>
      </c>
    </row>
    <row r="572" spans="1:6">
      <c r="A572" s="79" t="s">
        <v>2396</v>
      </c>
      <c r="B572" s="79"/>
      <c r="C572" s="79"/>
      <c r="D572" s="79" t="str">
        <f t="shared" si="8"/>
        <v>Kibirii</v>
      </c>
      <c r="E572" s="79"/>
      <c r="F572" s="79">
        <v>522</v>
      </c>
    </row>
    <row r="573" spans="1:6">
      <c r="A573" s="79" t="s">
        <v>2394</v>
      </c>
      <c r="B573" s="79"/>
      <c r="C573" s="79"/>
      <c r="D573" s="79" t="str">
        <f t="shared" si="8"/>
        <v>Gango</v>
      </c>
      <c r="E573" s="79"/>
      <c r="F573" s="79">
        <v>522</v>
      </c>
    </row>
    <row r="574" spans="1:6">
      <c r="A574" s="79" t="s">
        <v>1127</v>
      </c>
      <c r="B574" s="79"/>
      <c r="C574" s="79"/>
      <c r="D574" s="79" t="str">
        <f t="shared" si="8"/>
        <v>Mulungu</v>
      </c>
      <c r="E574" s="79"/>
      <c r="F574" s="79">
        <v>522</v>
      </c>
    </row>
    <row r="575" spans="1:6">
      <c r="A575" s="79" t="s">
        <v>1128</v>
      </c>
      <c r="B575" s="79"/>
      <c r="C575" s="79"/>
      <c r="D575" s="79" t="str">
        <f t="shared" si="8"/>
        <v>Mawanga</v>
      </c>
      <c r="E575" s="79"/>
      <c r="F575" s="79">
        <v>522</v>
      </c>
    </row>
    <row r="576" spans="1:6">
      <c r="A576" s="79" t="s">
        <v>1129</v>
      </c>
      <c r="B576" s="79"/>
      <c r="C576" s="79"/>
      <c r="D576" s="79" t="str">
        <f t="shared" si="8"/>
        <v>KELTRON SERVICES</v>
      </c>
      <c r="E576" s="79"/>
      <c r="F576" s="79">
        <v>522</v>
      </c>
    </row>
    <row r="577" spans="1:6">
      <c r="A577" s="79" t="s">
        <v>1130</v>
      </c>
      <c r="B577" s="79"/>
      <c r="C577" s="79"/>
      <c r="D577" s="79" t="str">
        <f t="shared" si="8"/>
        <v>Kabuuma</v>
      </c>
      <c r="E577" s="79" t="str">
        <f t="shared" si="9"/>
        <v>Kabuuma</v>
      </c>
      <c r="F577" s="79">
        <v>522</v>
      </c>
    </row>
    <row r="578" spans="1:6">
      <c r="A578" s="79" t="s">
        <v>2395</v>
      </c>
      <c r="B578" s="79"/>
      <c r="C578" s="79"/>
      <c r="D578" s="79" t="str">
        <f t="shared" si="8"/>
        <v>Kabuma</v>
      </c>
      <c r="E578" s="79"/>
      <c r="F578" s="79">
        <v>522</v>
      </c>
    </row>
    <row r="579" spans="1:6">
      <c r="A579" s="79" t="s">
        <v>166</v>
      </c>
      <c r="B579" s="79"/>
      <c r="C579" s="79"/>
      <c r="D579" s="79" t="str">
        <f t="shared" ref="D579:D642" si="10">A579</f>
        <v xml:space="preserve">KIGO </v>
      </c>
      <c r="E579" s="79"/>
      <c r="F579" s="79">
        <v>522</v>
      </c>
    </row>
    <row r="580" spans="1:6">
      <c r="A580" s="79" t="s">
        <v>1131</v>
      </c>
      <c r="B580" s="79"/>
      <c r="C580" s="79"/>
      <c r="D580" s="79" t="str">
        <f t="shared" si="10"/>
        <v>Kigo</v>
      </c>
      <c r="E580" s="79" t="str">
        <f t="shared" si="9"/>
        <v>Kigo</v>
      </c>
      <c r="F580" s="79">
        <v>522</v>
      </c>
    </row>
    <row r="581" spans="1:6">
      <c r="A581" s="79" t="s">
        <v>1132</v>
      </c>
      <c r="B581" s="79"/>
      <c r="C581" s="79"/>
      <c r="D581" s="79" t="str">
        <f t="shared" si="10"/>
        <v>KIGO SERENE</v>
      </c>
      <c r="E581" s="79"/>
      <c r="F581" s="79">
        <v>522</v>
      </c>
    </row>
    <row r="582" spans="1:6">
      <c r="A582" s="79" t="s">
        <v>1133</v>
      </c>
      <c r="B582" s="79"/>
      <c r="C582" s="79"/>
      <c r="D582" s="79" t="str">
        <f t="shared" si="10"/>
        <v>Busabala</v>
      </c>
      <c r="E582" s="79" t="str">
        <f t="shared" si="9"/>
        <v>Busabala</v>
      </c>
      <c r="F582" s="79">
        <v>522</v>
      </c>
    </row>
    <row r="583" spans="1:6">
      <c r="A583" s="79" t="s">
        <v>189</v>
      </c>
      <c r="B583" s="79"/>
      <c r="C583" s="79"/>
      <c r="D583" s="79" t="str">
        <f t="shared" si="10"/>
        <v>BUSALABA</v>
      </c>
      <c r="E583" s="79"/>
      <c r="F583" s="79">
        <v>522</v>
      </c>
    </row>
    <row r="584" spans="1:6">
      <c r="A584" s="79" t="s">
        <v>2404</v>
      </c>
      <c r="B584" s="79"/>
      <c r="C584" s="79"/>
      <c r="D584" s="79" t="str">
        <f t="shared" si="10"/>
        <v>Kanaaba</v>
      </c>
      <c r="E584" s="79"/>
      <c r="F584" s="79">
        <v>522</v>
      </c>
    </row>
    <row r="585" spans="1:6">
      <c r="A585" s="79" t="s">
        <v>2402</v>
      </c>
      <c r="B585" s="79"/>
      <c r="C585" s="79"/>
      <c r="D585" s="79" t="str">
        <f t="shared" si="10"/>
        <v>Kibir</v>
      </c>
      <c r="E585" s="79"/>
      <c r="F585" s="79">
        <v>522</v>
      </c>
    </row>
    <row r="586" spans="1:6">
      <c r="A586" s="79" t="s">
        <v>1134</v>
      </c>
      <c r="B586" s="79"/>
      <c r="C586" s="79"/>
      <c r="D586" s="79" t="str">
        <f t="shared" si="10"/>
        <v>KIBIIRI</v>
      </c>
      <c r="E586" s="79" t="str">
        <f t="shared" si="9"/>
        <v>KIBIIRI</v>
      </c>
      <c r="F586" s="79">
        <v>522</v>
      </c>
    </row>
    <row r="587" spans="1:6">
      <c r="A587" s="79" t="s">
        <v>1135</v>
      </c>
      <c r="B587" s="79"/>
      <c r="C587" s="79"/>
      <c r="D587" s="79" t="str">
        <f t="shared" si="10"/>
        <v>KAZI</v>
      </c>
      <c r="E587" s="79" t="str">
        <f t="shared" si="9"/>
        <v>KAZI</v>
      </c>
      <c r="F587" s="79">
        <v>522</v>
      </c>
    </row>
    <row r="588" spans="1:6">
      <c r="A588" s="79" t="s">
        <v>1136</v>
      </c>
      <c r="B588" s="79"/>
      <c r="C588" s="79"/>
      <c r="D588" s="79" t="str">
        <f t="shared" si="10"/>
        <v>KAAZI</v>
      </c>
      <c r="E588" s="79"/>
      <c r="F588" s="79">
        <v>522</v>
      </c>
    </row>
    <row r="589" spans="1:6">
      <c r="A589" s="79" t="s">
        <v>1137</v>
      </c>
      <c r="B589" s="79"/>
      <c r="C589" s="79"/>
      <c r="D589" s="79" t="str">
        <f t="shared" si="10"/>
        <v>Kazii</v>
      </c>
      <c r="E589" s="79" t="str">
        <f t="shared" si="9"/>
        <v>Kazii</v>
      </c>
      <c r="F589" s="79">
        <v>522</v>
      </c>
    </row>
    <row r="590" spans="1:6">
      <c r="A590" s="79" t="s">
        <v>2400</v>
      </c>
      <c r="B590" s="79"/>
      <c r="C590" s="79"/>
      <c r="D590" s="79" t="str">
        <f t="shared" si="10"/>
        <v>Buzinga</v>
      </c>
      <c r="E590" s="79"/>
      <c r="F590" s="79">
        <v>522</v>
      </c>
    </row>
    <row r="591" spans="1:6">
      <c r="A591" s="79" t="s">
        <v>1138</v>
      </c>
      <c r="B591" s="79"/>
      <c r="C591" s="79"/>
      <c r="D591" s="79" t="str">
        <f t="shared" si="10"/>
        <v>Kiruddu</v>
      </c>
      <c r="E591" s="79" t="str">
        <f t="shared" si="9"/>
        <v>Kiruddu</v>
      </c>
      <c r="F591" s="79">
        <v>522</v>
      </c>
    </row>
    <row r="592" spans="1:6">
      <c r="A592" s="79" t="s">
        <v>1139</v>
      </c>
      <c r="B592" s="79"/>
      <c r="C592" s="79"/>
      <c r="D592" s="79" t="str">
        <f t="shared" si="10"/>
        <v>Kirundu</v>
      </c>
      <c r="E592" s="79" t="str">
        <f t="shared" si="9"/>
        <v>Kirundu</v>
      </c>
      <c r="F592" s="79">
        <v>522</v>
      </c>
    </row>
    <row r="593" spans="1:6">
      <c r="A593" s="79" t="s">
        <v>1140</v>
      </c>
      <c r="B593" s="79"/>
      <c r="C593" s="79"/>
      <c r="D593" s="79" t="str">
        <f t="shared" si="10"/>
        <v>Kirudu</v>
      </c>
      <c r="E593" s="79" t="str">
        <f t="shared" si="9"/>
        <v>Kirudu</v>
      </c>
      <c r="F593" s="79">
        <v>522</v>
      </c>
    </row>
    <row r="594" spans="1:6">
      <c r="A594" s="79" t="s">
        <v>1141</v>
      </c>
      <c r="B594" s="79"/>
      <c r="C594" s="79"/>
      <c r="D594" s="79" t="str">
        <f t="shared" si="10"/>
        <v xml:space="preserve">Bunga </v>
      </c>
      <c r="E594" s="79" t="str">
        <f t="shared" si="9"/>
        <v xml:space="preserve">Bunga </v>
      </c>
      <c r="F594" s="79">
        <v>522</v>
      </c>
    </row>
    <row r="595" spans="1:6">
      <c r="A595" s="79" t="s">
        <v>2401</v>
      </c>
      <c r="B595" s="79"/>
      <c r="C595" s="79"/>
      <c r="D595" s="79" t="str">
        <f t="shared" si="10"/>
        <v>Bungu</v>
      </c>
      <c r="E595" s="79" t="str">
        <f t="shared" si="9"/>
        <v>Bungu</v>
      </c>
      <c r="F595" s="79">
        <v>522</v>
      </c>
    </row>
    <row r="596" spans="1:6">
      <c r="A596" s="79" t="s">
        <v>218</v>
      </c>
      <c r="B596" s="79"/>
      <c r="C596" s="79"/>
      <c r="D596" s="79" t="str">
        <f t="shared" si="10"/>
        <v>BUNGA</v>
      </c>
      <c r="E596" s="79"/>
      <c r="F596" s="79">
        <v>522</v>
      </c>
    </row>
    <row r="597" spans="1:6">
      <c r="A597" s="79" t="s">
        <v>1142</v>
      </c>
      <c r="B597" s="79" t="s">
        <v>1082</v>
      </c>
      <c r="C597" s="79" t="s">
        <v>1083</v>
      </c>
      <c r="D597" s="79" t="str">
        <f t="shared" si="10"/>
        <v>Ggaba</v>
      </c>
      <c r="E597" s="79" t="str">
        <f t="shared" si="9"/>
        <v>Ggaba</v>
      </c>
      <c r="F597" s="79">
        <v>522</v>
      </c>
    </row>
    <row r="598" spans="1:6">
      <c r="A598" s="79" t="s">
        <v>1143</v>
      </c>
      <c r="B598" s="79"/>
      <c r="C598" s="79"/>
      <c r="D598" s="79" t="str">
        <f t="shared" si="10"/>
        <v>Konge</v>
      </c>
      <c r="E598" s="79" t="str">
        <f t="shared" si="9"/>
        <v>Konge</v>
      </c>
      <c r="F598" s="79">
        <v>522</v>
      </c>
    </row>
    <row r="599" spans="1:6">
      <c r="A599" s="79" t="s">
        <v>1144</v>
      </c>
      <c r="B599" s="79" t="s">
        <v>1082</v>
      </c>
      <c r="C599" s="79" t="s">
        <v>1083</v>
      </c>
      <c r="D599" s="79" t="str">
        <f t="shared" si="10"/>
        <v>Industrial Area</v>
      </c>
      <c r="E599" s="79" t="str">
        <f t="shared" si="9"/>
        <v>Industrial Area</v>
      </c>
      <c r="F599" s="79">
        <v>523</v>
      </c>
    </row>
    <row r="600" spans="1:6">
      <c r="A600" s="79" t="s">
        <v>1145</v>
      </c>
      <c r="B600" s="79" t="s">
        <v>1082</v>
      </c>
      <c r="C600" s="79" t="s">
        <v>1083</v>
      </c>
      <c r="D600" s="79" t="str">
        <f t="shared" si="10"/>
        <v>Itek</v>
      </c>
      <c r="E600" s="79" t="str">
        <f t="shared" si="9"/>
        <v>Itek</v>
      </c>
      <c r="F600" s="79">
        <v>524</v>
      </c>
    </row>
    <row r="601" spans="1:6">
      <c r="A601" s="79" t="s">
        <v>1146</v>
      </c>
      <c r="B601" s="79" t="s">
        <v>1082</v>
      </c>
      <c r="C601" s="79" t="s">
        <v>1083</v>
      </c>
      <c r="D601" s="79" t="str">
        <f t="shared" si="10"/>
        <v>Kabalagala</v>
      </c>
      <c r="E601" s="79" t="str">
        <f t="shared" si="9"/>
        <v>Kabalagala</v>
      </c>
      <c r="F601" s="79">
        <v>525</v>
      </c>
    </row>
    <row r="602" spans="1:6">
      <c r="A602" s="79" t="s">
        <v>1147</v>
      </c>
      <c r="B602" s="79"/>
      <c r="C602" s="79"/>
      <c r="D602" s="79" t="str">
        <f t="shared" si="10"/>
        <v>Muyenga</v>
      </c>
      <c r="E602" s="79" t="str">
        <f t="shared" si="9"/>
        <v>Muyenga</v>
      </c>
      <c r="F602" s="79">
        <v>525</v>
      </c>
    </row>
    <row r="603" spans="1:6">
      <c r="A603" s="79" t="s">
        <v>1148</v>
      </c>
      <c r="B603" s="79" t="s">
        <v>1082</v>
      </c>
      <c r="C603" s="79" t="s">
        <v>1083</v>
      </c>
      <c r="D603" s="79" t="str">
        <f t="shared" si="10"/>
        <v>Kabowa</v>
      </c>
      <c r="E603" s="79" t="str">
        <f t="shared" si="9"/>
        <v>Kabowa</v>
      </c>
      <c r="F603" s="79">
        <v>526</v>
      </c>
    </row>
    <row r="604" spans="1:6">
      <c r="A604" s="79" t="s">
        <v>1149</v>
      </c>
      <c r="B604" s="79" t="s">
        <v>1082</v>
      </c>
      <c r="C604" s="79" t="s">
        <v>1083</v>
      </c>
      <c r="D604" s="79" t="str">
        <f t="shared" si="10"/>
        <v>Kagugube</v>
      </c>
      <c r="E604" s="79" t="str">
        <f t="shared" si="9"/>
        <v>Kagugube</v>
      </c>
      <c r="F604" s="79">
        <v>527</v>
      </c>
    </row>
    <row r="605" spans="1:6">
      <c r="A605" s="79" t="s">
        <v>1150</v>
      </c>
      <c r="B605" s="79" t="s">
        <v>1082</v>
      </c>
      <c r="C605" s="79" t="s">
        <v>1083</v>
      </c>
      <c r="D605" s="79" t="str">
        <f t="shared" si="10"/>
        <v>Kamwokya</v>
      </c>
      <c r="E605" s="79" t="str">
        <f t="shared" si="9"/>
        <v>Kamwokya</v>
      </c>
      <c r="F605" s="79">
        <v>528</v>
      </c>
    </row>
    <row r="606" spans="1:6">
      <c r="A606" s="79" t="s">
        <v>1151</v>
      </c>
      <c r="B606" s="79" t="s">
        <v>1082</v>
      </c>
      <c r="C606" s="79" t="s">
        <v>1083</v>
      </c>
      <c r="D606" s="79" t="str">
        <f t="shared" si="10"/>
        <v>Kansanga</v>
      </c>
      <c r="E606" s="79" t="str">
        <f t="shared" si="9"/>
        <v>Kansanga</v>
      </c>
      <c r="F606" s="79">
        <v>529</v>
      </c>
    </row>
    <row r="607" spans="1:6">
      <c r="A607" s="79" t="s">
        <v>1152</v>
      </c>
      <c r="B607" s="79"/>
      <c r="C607" s="79"/>
      <c r="D607" s="79" t="str">
        <f t="shared" si="10"/>
        <v>Kasanga</v>
      </c>
      <c r="E607" s="79" t="str">
        <f t="shared" si="9"/>
        <v>Kasanga</v>
      </c>
      <c r="F607" s="79">
        <v>529</v>
      </c>
    </row>
    <row r="608" spans="1:6">
      <c r="A608" s="79" t="s">
        <v>1153</v>
      </c>
      <c r="B608" s="79" t="s">
        <v>1082</v>
      </c>
      <c r="C608" s="79" t="s">
        <v>1083</v>
      </c>
      <c r="D608" s="79" t="str">
        <f t="shared" si="10"/>
        <v>Kanyanya</v>
      </c>
      <c r="E608" s="79" t="str">
        <f t="shared" si="9"/>
        <v>Kanyanya</v>
      </c>
      <c r="F608" s="79">
        <v>530</v>
      </c>
    </row>
    <row r="609" spans="1:6">
      <c r="A609" s="79" t="s">
        <v>1154</v>
      </c>
      <c r="B609" s="79"/>
      <c r="C609" s="79"/>
      <c r="D609" s="79" t="str">
        <f t="shared" si="10"/>
        <v>Kiteezi</v>
      </c>
      <c r="E609" s="79"/>
      <c r="F609" s="79">
        <v>530</v>
      </c>
    </row>
    <row r="610" spans="1:6">
      <c r="A610" s="79" t="s">
        <v>1155</v>
      </c>
      <c r="B610" s="79" t="s">
        <v>1082</v>
      </c>
      <c r="C610" s="79" t="s">
        <v>1083</v>
      </c>
      <c r="D610" s="79" t="str">
        <f t="shared" si="10"/>
        <v>Kasubi</v>
      </c>
      <c r="E610" s="79" t="str">
        <f t="shared" si="9"/>
        <v>Kasubi</v>
      </c>
      <c r="F610" s="79">
        <v>531</v>
      </c>
    </row>
    <row r="611" spans="1:6">
      <c r="A611" s="79" t="s">
        <v>1156</v>
      </c>
      <c r="B611" s="79" t="s">
        <v>1082</v>
      </c>
      <c r="C611" s="79" t="s">
        <v>1083</v>
      </c>
      <c r="D611" s="79" t="str">
        <f t="shared" si="10"/>
        <v>Katwe</v>
      </c>
      <c r="E611" s="79" t="str">
        <f t="shared" si="9"/>
        <v>Katwe</v>
      </c>
      <c r="F611" s="79">
        <v>532</v>
      </c>
    </row>
    <row r="612" spans="1:6">
      <c r="A612" s="79" t="s">
        <v>1157</v>
      </c>
      <c r="B612" s="79" t="s">
        <v>1082</v>
      </c>
      <c r="C612" s="79" t="s">
        <v>1083</v>
      </c>
      <c r="D612" s="79" t="str">
        <f t="shared" si="10"/>
        <v>Kawempe</v>
      </c>
      <c r="E612" s="79" t="str">
        <f t="shared" si="9"/>
        <v>Kawempe</v>
      </c>
      <c r="F612" s="79">
        <v>533</v>
      </c>
    </row>
    <row r="613" spans="1:6">
      <c r="A613" s="79" t="s">
        <v>1158</v>
      </c>
      <c r="B613" s="79"/>
      <c r="C613" s="79"/>
      <c r="D613" s="79" t="str">
        <f t="shared" si="10"/>
        <v>Agakhan</v>
      </c>
      <c r="E613" s="79" t="str">
        <f t="shared" si="9"/>
        <v>Agakhan</v>
      </c>
      <c r="F613" s="79">
        <v>533</v>
      </c>
    </row>
    <row r="614" spans="1:6">
      <c r="A614" s="79" t="s">
        <v>1159</v>
      </c>
      <c r="B614" s="79" t="s">
        <v>1082</v>
      </c>
      <c r="C614" s="79" t="s">
        <v>1083</v>
      </c>
      <c r="D614" s="79" t="str">
        <f t="shared" si="10"/>
        <v>Kazo Angola</v>
      </c>
      <c r="E614" s="79" t="str">
        <f t="shared" si="9"/>
        <v>Kazo Angola</v>
      </c>
      <c r="F614" s="79">
        <v>534</v>
      </c>
    </row>
    <row r="615" spans="1:6">
      <c r="A615" s="79" t="s">
        <v>1160</v>
      </c>
      <c r="B615" s="79" t="s">
        <v>1082</v>
      </c>
      <c r="C615" s="79" t="s">
        <v>1083</v>
      </c>
      <c r="D615" s="79" t="str">
        <f t="shared" si="10"/>
        <v>Kibuli</v>
      </c>
      <c r="E615" s="79" t="str">
        <f t="shared" si="9"/>
        <v>Kibuli</v>
      </c>
      <c r="F615" s="79">
        <v>535</v>
      </c>
    </row>
    <row r="616" spans="1:6">
      <c r="A616" s="79" t="s">
        <v>1161</v>
      </c>
      <c r="B616" s="79" t="s">
        <v>1082</v>
      </c>
      <c r="C616" s="79" t="s">
        <v>1083</v>
      </c>
      <c r="D616" s="79" t="str">
        <f t="shared" si="10"/>
        <v>Kibuye</v>
      </c>
      <c r="E616" s="79" t="str">
        <f t="shared" si="9"/>
        <v>Kibuye</v>
      </c>
      <c r="F616" s="79">
        <v>536</v>
      </c>
    </row>
    <row r="617" spans="1:6">
      <c r="A617" s="79" t="s">
        <v>1162</v>
      </c>
      <c r="B617" s="79" t="s">
        <v>1082</v>
      </c>
      <c r="C617" s="79" t="s">
        <v>1083</v>
      </c>
      <c r="D617" s="79" t="str">
        <f t="shared" si="10"/>
        <v>Kikaaya</v>
      </c>
      <c r="E617" s="79" t="str">
        <f t="shared" si="9"/>
        <v>Kikaaya</v>
      </c>
      <c r="F617" s="79">
        <v>537</v>
      </c>
    </row>
    <row r="618" spans="1:6">
      <c r="A618" s="79" t="s">
        <v>1163</v>
      </c>
      <c r="B618" s="79" t="s">
        <v>1082</v>
      </c>
      <c r="C618" s="79" t="s">
        <v>1083</v>
      </c>
      <c r="D618" s="79" t="str">
        <f t="shared" si="10"/>
        <v xml:space="preserve">Kisenyi </v>
      </c>
      <c r="E618" s="79" t="str">
        <f t="shared" si="9"/>
        <v xml:space="preserve">Kisenyi </v>
      </c>
      <c r="F618" s="79">
        <v>538</v>
      </c>
    </row>
    <row r="619" spans="1:6">
      <c r="A619" s="79" t="s">
        <v>260</v>
      </c>
      <c r="B619" s="79"/>
      <c r="C619" s="79"/>
      <c r="D619" s="79" t="str">
        <f t="shared" si="10"/>
        <v>KISENYI</v>
      </c>
      <c r="E619" s="79"/>
      <c r="F619" s="79">
        <v>538</v>
      </c>
    </row>
    <row r="620" spans="1:6">
      <c r="A620" s="79" t="s">
        <v>1164</v>
      </c>
      <c r="B620" s="79" t="s">
        <v>1082</v>
      </c>
      <c r="C620" s="79" t="s">
        <v>1083</v>
      </c>
      <c r="D620" s="79" t="str">
        <f t="shared" si="10"/>
        <v>Kisugu</v>
      </c>
      <c r="E620" s="79" t="str">
        <f t="shared" si="9"/>
        <v>Kisugu</v>
      </c>
      <c r="F620" s="79">
        <v>539</v>
      </c>
    </row>
    <row r="621" spans="1:6">
      <c r="A621" s="79" t="s">
        <v>1165</v>
      </c>
      <c r="B621" s="79" t="s">
        <v>1082</v>
      </c>
      <c r="C621" s="79" t="s">
        <v>1083</v>
      </c>
      <c r="D621" s="79" t="str">
        <f t="shared" si="10"/>
        <v>Kiswa</v>
      </c>
      <c r="E621" s="79" t="str">
        <f t="shared" si="9"/>
        <v>Kiswa</v>
      </c>
      <c r="F621" s="79">
        <v>540</v>
      </c>
    </row>
    <row r="622" spans="1:6">
      <c r="A622" s="79" t="s">
        <v>1166</v>
      </c>
      <c r="B622" s="79" t="s">
        <v>1082</v>
      </c>
      <c r="C622" s="79" t="s">
        <v>1083</v>
      </c>
      <c r="D622" s="79" t="str">
        <f t="shared" si="10"/>
        <v>Kiwatule</v>
      </c>
      <c r="E622" s="79" t="str">
        <f t="shared" si="9"/>
        <v>Kiwatule</v>
      </c>
      <c r="F622" s="79">
        <v>541</v>
      </c>
    </row>
    <row r="623" spans="1:6">
      <c r="A623" s="79" t="s">
        <v>1167</v>
      </c>
      <c r="B623" s="79" t="s">
        <v>1082</v>
      </c>
      <c r="C623" s="79" t="s">
        <v>1083</v>
      </c>
      <c r="D623" s="79" t="str">
        <f t="shared" si="10"/>
        <v>Kololo</v>
      </c>
      <c r="E623" s="79" t="str">
        <f t="shared" si="9"/>
        <v>Kololo</v>
      </c>
      <c r="F623" s="79">
        <v>542</v>
      </c>
    </row>
    <row r="624" spans="1:6">
      <c r="A624" s="79" t="s">
        <v>1168</v>
      </c>
      <c r="B624" s="79" t="s">
        <v>1082</v>
      </c>
      <c r="C624" s="79" t="s">
        <v>1083</v>
      </c>
      <c r="D624" s="79" t="str">
        <f t="shared" si="10"/>
        <v>Komamboga</v>
      </c>
      <c r="E624" s="79" t="str">
        <f t="shared" si="9"/>
        <v>Komamboga</v>
      </c>
      <c r="F624" s="79">
        <v>543</v>
      </c>
    </row>
    <row r="625" spans="1:6">
      <c r="A625" s="79" t="s">
        <v>1169</v>
      </c>
      <c r="B625" s="79" t="s">
        <v>1082</v>
      </c>
      <c r="C625" s="79" t="s">
        <v>1083</v>
      </c>
      <c r="D625" s="79" t="str">
        <f t="shared" si="10"/>
        <v>Kyambogo</v>
      </c>
      <c r="E625" s="79" t="str">
        <f t="shared" si="9"/>
        <v>Kyambogo</v>
      </c>
      <c r="F625" s="79">
        <v>544</v>
      </c>
    </row>
    <row r="626" spans="1:6">
      <c r="A626" s="79" t="s">
        <v>1170</v>
      </c>
      <c r="B626" s="79" t="s">
        <v>1082</v>
      </c>
      <c r="C626" s="79" t="s">
        <v>1083</v>
      </c>
      <c r="D626" s="79" t="str">
        <f t="shared" si="10"/>
        <v>Kyanja</v>
      </c>
      <c r="E626" s="79" t="str">
        <f t="shared" si="9"/>
        <v>Kyanja</v>
      </c>
      <c r="F626" s="79">
        <v>545</v>
      </c>
    </row>
    <row r="627" spans="1:6">
      <c r="A627" s="79" t="s">
        <v>1171</v>
      </c>
      <c r="B627" s="79" t="s">
        <v>1082</v>
      </c>
      <c r="C627" s="79" t="s">
        <v>1083</v>
      </c>
      <c r="D627" s="79" t="str">
        <f t="shared" si="10"/>
        <v>Kyebando</v>
      </c>
      <c r="E627" s="79" t="str">
        <f t="shared" si="9"/>
        <v>Kyebando</v>
      </c>
      <c r="F627" s="79">
        <v>546</v>
      </c>
    </row>
    <row r="628" spans="1:6">
      <c r="A628" s="79" t="s">
        <v>1172</v>
      </c>
      <c r="B628" s="79" t="s">
        <v>1082</v>
      </c>
      <c r="C628" s="79" t="s">
        <v>1083</v>
      </c>
      <c r="D628" s="79" t="str">
        <f t="shared" si="10"/>
        <v>Lubaga</v>
      </c>
      <c r="E628" s="79" t="str">
        <f t="shared" si="9"/>
        <v>Lubaga</v>
      </c>
      <c r="F628" s="79">
        <v>547</v>
      </c>
    </row>
    <row r="629" spans="1:6">
      <c r="A629" s="79" t="s">
        <v>847</v>
      </c>
      <c r="B629" s="79" t="s">
        <v>1082</v>
      </c>
      <c r="C629" s="79" t="s">
        <v>1083</v>
      </c>
      <c r="D629" s="79" t="str">
        <f t="shared" si="10"/>
        <v>Lubya</v>
      </c>
      <c r="E629" s="79" t="str">
        <f t="shared" si="9"/>
        <v>Lubya</v>
      </c>
      <c r="F629" s="79">
        <v>548</v>
      </c>
    </row>
    <row r="630" spans="1:6">
      <c r="A630" s="79" t="s">
        <v>1173</v>
      </c>
      <c r="B630" s="79" t="s">
        <v>1082</v>
      </c>
      <c r="C630" s="79" t="s">
        <v>1083</v>
      </c>
      <c r="D630" s="79" t="str">
        <f t="shared" si="10"/>
        <v>Lukuli</v>
      </c>
      <c r="E630" s="79" t="str">
        <f t="shared" si="9"/>
        <v>Lukuli</v>
      </c>
      <c r="F630" s="79">
        <v>549</v>
      </c>
    </row>
    <row r="631" spans="1:6">
      <c r="A631" s="79" t="s">
        <v>1174</v>
      </c>
      <c r="B631" s="79" t="s">
        <v>1082</v>
      </c>
      <c r="C631" s="79" t="s">
        <v>1083</v>
      </c>
      <c r="D631" s="79" t="str">
        <f t="shared" si="10"/>
        <v>Lungujja</v>
      </c>
      <c r="E631" s="79" t="str">
        <f t="shared" si="9"/>
        <v>Lungujja</v>
      </c>
      <c r="F631" s="79">
        <v>550</v>
      </c>
    </row>
    <row r="632" spans="1:6">
      <c r="A632" s="79" t="s">
        <v>1175</v>
      </c>
      <c r="B632" s="79" t="s">
        <v>1082</v>
      </c>
      <c r="C632" s="79" t="s">
        <v>1083</v>
      </c>
      <c r="D632" s="79" t="str">
        <f t="shared" si="10"/>
        <v>Luwafu</v>
      </c>
      <c r="E632" s="79" t="str">
        <f t="shared" si="9"/>
        <v>Luwafu</v>
      </c>
      <c r="F632" s="79">
        <v>551</v>
      </c>
    </row>
    <row r="633" spans="1:6">
      <c r="A633" s="79" t="s">
        <v>2387</v>
      </c>
      <c r="B633" s="79"/>
      <c r="C633" s="79"/>
      <c r="D633" s="79" t="str">
        <f t="shared" si="10"/>
        <v>Mirembe</v>
      </c>
      <c r="E633" s="79" t="str">
        <f t="shared" si="9"/>
        <v>Mirembe</v>
      </c>
      <c r="F633" s="79">
        <v>551</v>
      </c>
    </row>
    <row r="634" spans="1:6">
      <c r="A634" s="79" t="s">
        <v>1176</v>
      </c>
      <c r="B634" s="79" t="s">
        <v>1082</v>
      </c>
      <c r="C634" s="79" t="s">
        <v>1083</v>
      </c>
      <c r="D634" s="79" t="str">
        <f t="shared" si="10"/>
        <v>Luzira</v>
      </c>
      <c r="E634" s="79" t="str">
        <f t="shared" si="9"/>
        <v>Luzira</v>
      </c>
      <c r="F634" s="79">
        <v>552</v>
      </c>
    </row>
    <row r="635" spans="1:6">
      <c r="A635" s="79" t="s">
        <v>1177</v>
      </c>
      <c r="B635" s="79" t="s">
        <v>1082</v>
      </c>
      <c r="C635" s="79" t="s">
        <v>1083</v>
      </c>
      <c r="D635" s="79" t="str">
        <f t="shared" si="10"/>
        <v>Luzira Prisons</v>
      </c>
      <c r="E635" s="79" t="str">
        <f t="shared" si="9"/>
        <v>Luzira Prisons</v>
      </c>
      <c r="F635" s="79">
        <v>553</v>
      </c>
    </row>
    <row r="636" spans="1:6">
      <c r="A636" s="79" t="s">
        <v>1178</v>
      </c>
      <c r="B636" s="79" t="s">
        <v>1082</v>
      </c>
      <c r="C636" s="79" t="s">
        <v>1083</v>
      </c>
      <c r="D636" s="79" t="str">
        <f t="shared" si="10"/>
        <v>Makerere</v>
      </c>
      <c r="E636" s="79" t="str">
        <f t="shared" si="9"/>
        <v>Makerere</v>
      </c>
      <c r="F636" s="79">
        <v>554</v>
      </c>
    </row>
    <row r="637" spans="1:6">
      <c r="A637" s="79" t="s">
        <v>1179</v>
      </c>
      <c r="B637" s="79" t="s">
        <v>1082</v>
      </c>
      <c r="C637" s="79" t="s">
        <v>1083</v>
      </c>
      <c r="D637" s="79" t="str">
        <f t="shared" si="10"/>
        <v>Makerere University</v>
      </c>
      <c r="E637" s="79" t="str">
        <f t="shared" si="9"/>
        <v>Makerere University</v>
      </c>
      <c r="F637" s="79">
        <v>555</v>
      </c>
    </row>
    <row r="638" spans="1:6">
      <c r="A638" s="79" t="s">
        <v>1180</v>
      </c>
      <c r="B638" s="79" t="s">
        <v>1082</v>
      </c>
      <c r="C638" s="79" t="s">
        <v>1083</v>
      </c>
      <c r="D638" s="79" t="str">
        <f t="shared" si="10"/>
        <v>Makindye</v>
      </c>
      <c r="E638" s="79" t="str">
        <f t="shared" si="9"/>
        <v>Makindye</v>
      </c>
      <c r="F638" s="79">
        <v>556</v>
      </c>
    </row>
    <row r="639" spans="1:6">
      <c r="A639" s="79" t="s">
        <v>2388</v>
      </c>
      <c r="B639" s="79"/>
      <c r="C639" s="79"/>
      <c r="D639" s="79" t="str">
        <f t="shared" si="10"/>
        <v>Gangu</v>
      </c>
      <c r="E639" s="79"/>
      <c r="F639" s="79">
        <v>556</v>
      </c>
    </row>
    <row r="640" spans="1:6">
      <c r="A640" s="79" t="s">
        <v>1181</v>
      </c>
      <c r="B640" s="79" t="s">
        <v>1082</v>
      </c>
      <c r="C640" s="79" t="s">
        <v>1083</v>
      </c>
      <c r="D640" s="79" t="str">
        <f t="shared" si="10"/>
        <v>Mbuya</v>
      </c>
      <c r="E640" s="79" t="str">
        <f t="shared" si="9"/>
        <v>Mbuya</v>
      </c>
      <c r="F640" s="79">
        <v>557</v>
      </c>
    </row>
    <row r="641" spans="1:6">
      <c r="A641" s="79" t="s">
        <v>1182</v>
      </c>
      <c r="B641" s="79" t="s">
        <v>1082</v>
      </c>
      <c r="C641" s="79" t="s">
        <v>1083</v>
      </c>
      <c r="D641" s="79" t="str">
        <f t="shared" si="10"/>
        <v>Mengo</v>
      </c>
      <c r="E641" s="79" t="str">
        <f t="shared" si="9"/>
        <v>Mengo</v>
      </c>
      <c r="F641" s="79">
        <v>558</v>
      </c>
    </row>
    <row r="642" spans="1:6">
      <c r="A642" s="79" t="s">
        <v>1183</v>
      </c>
      <c r="B642" s="79"/>
      <c r="C642" s="79"/>
      <c r="D642" s="79" t="str">
        <f t="shared" si="10"/>
        <v>Rubaga</v>
      </c>
      <c r="E642" s="79" t="str">
        <f t="shared" si="9"/>
        <v>Rubaga</v>
      </c>
      <c r="F642" s="79">
        <v>558</v>
      </c>
    </row>
    <row r="643" spans="1:6">
      <c r="A643" s="79" t="s">
        <v>1184</v>
      </c>
      <c r="B643" s="79" t="s">
        <v>1082</v>
      </c>
      <c r="C643" s="79" t="s">
        <v>1083</v>
      </c>
      <c r="D643" s="79" t="str">
        <f t="shared" ref="D643:D706" si="11">A643</f>
        <v>Mpererwe</v>
      </c>
      <c r="E643" s="79" t="str">
        <f t="shared" si="9"/>
        <v>Mpererwe</v>
      </c>
      <c r="F643" s="79">
        <v>559</v>
      </c>
    </row>
    <row r="644" spans="1:6">
      <c r="A644" s="79" t="s">
        <v>1185</v>
      </c>
      <c r="B644" s="79" t="s">
        <v>1082</v>
      </c>
      <c r="C644" s="79" t="s">
        <v>1083</v>
      </c>
      <c r="D644" s="79" t="str">
        <f t="shared" si="11"/>
        <v>Mulago</v>
      </c>
      <c r="E644" s="79" t="str">
        <f t="shared" si="9"/>
        <v>Mulago</v>
      </c>
      <c r="F644" s="79">
        <v>560</v>
      </c>
    </row>
    <row r="645" spans="1:6">
      <c r="A645" s="79" t="s">
        <v>1186</v>
      </c>
      <c r="B645" s="79" t="s">
        <v>1082</v>
      </c>
      <c r="C645" s="79" t="s">
        <v>1083</v>
      </c>
      <c r="D645" s="79" t="str">
        <f t="shared" si="11"/>
        <v>Mutundwe</v>
      </c>
      <c r="E645" s="79" t="str">
        <f t="shared" si="9"/>
        <v>Mutundwe</v>
      </c>
      <c r="F645" s="79">
        <v>561</v>
      </c>
    </row>
    <row r="646" spans="1:6">
      <c r="A646" s="79" t="s">
        <v>1187</v>
      </c>
      <c r="B646" s="79" t="s">
        <v>1082</v>
      </c>
      <c r="C646" s="79" t="s">
        <v>1083</v>
      </c>
      <c r="D646" s="79" t="str">
        <f t="shared" si="11"/>
        <v>Mutungo</v>
      </c>
      <c r="E646" s="79" t="str">
        <f t="shared" si="9"/>
        <v>Mutungo</v>
      </c>
      <c r="F646" s="79">
        <v>562</v>
      </c>
    </row>
    <row r="647" spans="1:6">
      <c r="A647" s="79" t="s">
        <v>1188</v>
      </c>
      <c r="B647" s="79"/>
      <c r="C647" s="79"/>
      <c r="D647" s="79" t="str">
        <f t="shared" si="11"/>
        <v>Kitintale</v>
      </c>
      <c r="E647" s="79" t="str">
        <f t="shared" si="9"/>
        <v>Kitintale</v>
      </c>
      <c r="F647" s="79">
        <v>562</v>
      </c>
    </row>
    <row r="648" spans="1:6">
      <c r="A648" s="79" t="s">
        <v>1189</v>
      </c>
      <c r="B648" s="79"/>
      <c r="C648" s="79"/>
      <c r="D648" s="79" t="str">
        <f t="shared" si="11"/>
        <v>Muntungo</v>
      </c>
      <c r="E648" s="79" t="str">
        <f t="shared" si="9"/>
        <v>Muntungo</v>
      </c>
      <c r="F648" s="79">
        <v>562</v>
      </c>
    </row>
    <row r="649" spans="1:6">
      <c r="A649" s="79" t="s">
        <v>1190</v>
      </c>
      <c r="B649" s="79" t="s">
        <v>1082</v>
      </c>
      <c r="C649" s="79" t="s">
        <v>1083</v>
      </c>
      <c r="D649" s="79" t="str">
        <f t="shared" si="11"/>
        <v>Nabisunsa</v>
      </c>
      <c r="E649" s="79" t="str">
        <f t="shared" si="9"/>
        <v>Nabisunsa</v>
      </c>
      <c r="F649" s="79">
        <v>563</v>
      </c>
    </row>
    <row r="650" spans="1:6">
      <c r="A650" s="79" t="s">
        <v>1191</v>
      </c>
      <c r="B650" s="79" t="s">
        <v>1082</v>
      </c>
      <c r="C650" s="79" t="s">
        <v>1083</v>
      </c>
      <c r="D650" s="79" t="str">
        <f t="shared" si="11"/>
        <v>Naguru</v>
      </c>
      <c r="E650" s="79" t="str">
        <f t="shared" si="9"/>
        <v>Naguru</v>
      </c>
      <c r="F650" s="79">
        <v>564</v>
      </c>
    </row>
    <row r="651" spans="1:6">
      <c r="A651" s="79" t="s">
        <v>1192</v>
      </c>
      <c r="B651" s="79" t="s">
        <v>1082</v>
      </c>
      <c r="C651" s="79" t="s">
        <v>1083</v>
      </c>
      <c r="D651" s="79" t="str">
        <f t="shared" si="11"/>
        <v>Najjanankumbi</v>
      </c>
      <c r="E651" s="79" t="str">
        <f t="shared" si="9"/>
        <v>Najjanankumbi</v>
      </c>
      <c r="F651" s="79">
        <v>565</v>
      </c>
    </row>
    <row r="652" spans="1:6">
      <c r="A652" s="79" t="s">
        <v>2386</v>
      </c>
      <c r="B652" s="79"/>
      <c r="C652" s="79"/>
      <c r="D652" s="79" t="str">
        <f t="shared" si="11"/>
        <v>Stella</v>
      </c>
      <c r="E652" s="79" t="str">
        <f t="shared" si="9"/>
        <v>Stella</v>
      </c>
      <c r="F652" s="79">
        <v>565</v>
      </c>
    </row>
    <row r="653" spans="1:6">
      <c r="A653" s="79" t="s">
        <v>1193</v>
      </c>
      <c r="B653" s="79"/>
      <c r="C653" s="79"/>
      <c r="D653" s="79" t="str">
        <f t="shared" si="11"/>
        <v>NAJJANAMKUMBI</v>
      </c>
      <c r="E653" s="79"/>
      <c r="F653" s="79">
        <v>565</v>
      </c>
    </row>
    <row r="654" spans="1:6">
      <c r="A654" s="79" t="s">
        <v>1194</v>
      </c>
      <c r="B654" s="79"/>
      <c r="C654" s="79"/>
      <c r="D654" s="79" t="str">
        <f t="shared" si="11"/>
        <v>NAJJANAKUMBI</v>
      </c>
      <c r="E654" s="79"/>
      <c r="F654" s="79">
        <v>565</v>
      </c>
    </row>
    <row r="655" spans="1:6">
      <c r="A655" s="79" t="s">
        <v>1195</v>
      </c>
      <c r="B655" s="79"/>
      <c r="C655" s="79"/>
      <c r="D655" s="79" t="str">
        <f t="shared" si="11"/>
        <v>Lubowa</v>
      </c>
      <c r="E655" s="79"/>
      <c r="F655" s="79">
        <v>565</v>
      </c>
    </row>
    <row r="656" spans="1:6">
      <c r="A656" s="79" t="s">
        <v>1196</v>
      </c>
      <c r="B656" s="79"/>
      <c r="C656" s="79"/>
      <c r="D656" s="79" t="str">
        <f t="shared" si="11"/>
        <v>NAJANANKUMBI</v>
      </c>
      <c r="E656" s="79"/>
      <c r="F656" s="79">
        <v>565</v>
      </c>
    </row>
    <row r="657" spans="1:6">
      <c r="A657" s="79" t="s">
        <v>1197</v>
      </c>
      <c r="B657" s="79"/>
      <c r="C657" s="79"/>
      <c r="D657" s="79" t="str">
        <f t="shared" si="11"/>
        <v>Nalukolongo</v>
      </c>
      <c r="E657" s="79" t="str">
        <f t="shared" si="9"/>
        <v>Nalukolongo</v>
      </c>
      <c r="F657" s="79">
        <v>565</v>
      </c>
    </row>
    <row r="658" spans="1:6">
      <c r="A658" s="79" t="s">
        <v>1198</v>
      </c>
      <c r="B658" s="79"/>
      <c r="C658" s="79"/>
      <c r="D658" s="79" t="str">
        <f t="shared" si="11"/>
        <v>Kabusu</v>
      </c>
      <c r="E658" s="79"/>
      <c r="F658" s="79">
        <v>565</v>
      </c>
    </row>
    <row r="659" spans="1:6">
      <c r="A659" s="79" t="s">
        <v>1199</v>
      </c>
      <c r="B659" s="79"/>
      <c r="C659" s="79"/>
      <c r="D659" s="79" t="str">
        <f t="shared" si="11"/>
        <v>Zana</v>
      </c>
      <c r="E659" s="79" t="str">
        <f t="shared" si="9"/>
        <v>Zana</v>
      </c>
      <c r="F659" s="79">
        <v>565</v>
      </c>
    </row>
    <row r="660" spans="1:6">
      <c r="A660" s="79" t="s">
        <v>1200</v>
      </c>
      <c r="B660" s="79"/>
      <c r="C660" s="79"/>
      <c r="D660" s="79" t="str">
        <f t="shared" si="11"/>
        <v>Namasuba</v>
      </c>
      <c r="E660" s="79" t="str">
        <f t="shared" si="9"/>
        <v>Namasuba</v>
      </c>
      <c r="F660" s="79">
        <v>565</v>
      </c>
    </row>
    <row r="661" spans="1:6">
      <c r="A661" s="79" t="s">
        <v>1201</v>
      </c>
      <c r="B661" s="79" t="s">
        <v>1082</v>
      </c>
      <c r="C661" s="79" t="s">
        <v>1083</v>
      </c>
      <c r="D661" s="79" t="str">
        <f t="shared" si="11"/>
        <v>Nakasero</v>
      </c>
      <c r="E661" s="79" t="str">
        <f t="shared" si="9"/>
        <v>Nakasero</v>
      </c>
      <c r="F661" s="79">
        <v>566</v>
      </c>
    </row>
    <row r="662" spans="1:6">
      <c r="A662" s="79" t="s">
        <v>2398</v>
      </c>
      <c r="B662" s="79"/>
      <c r="C662" s="79"/>
      <c r="D662" s="79" t="str">
        <f t="shared" si="11"/>
        <v>Usafi</v>
      </c>
      <c r="E662" s="79" t="str">
        <f t="shared" si="9"/>
        <v>Usafi</v>
      </c>
      <c r="F662" s="79">
        <v>566</v>
      </c>
    </row>
    <row r="663" spans="1:6">
      <c r="A663" s="79" t="s">
        <v>1202</v>
      </c>
      <c r="B663" s="79"/>
      <c r="C663" s="79"/>
      <c r="D663" s="79" t="str">
        <f t="shared" si="11"/>
        <v>Rwenzori courts</v>
      </c>
      <c r="E663" s="79" t="str">
        <f t="shared" si="9"/>
        <v>Rwenzori courts</v>
      </c>
      <c r="F663" s="79">
        <v>566</v>
      </c>
    </row>
    <row r="664" spans="1:6">
      <c r="A664" s="79" t="s">
        <v>1203</v>
      </c>
      <c r="B664" s="79" t="s">
        <v>1082</v>
      </c>
      <c r="C664" s="79" t="s">
        <v>1083</v>
      </c>
      <c r="D664" s="79" t="str">
        <f t="shared" si="11"/>
        <v>Nakawa</v>
      </c>
      <c r="E664" s="79" t="str">
        <f t="shared" si="9"/>
        <v>Nakawa</v>
      </c>
      <c r="F664" s="79">
        <v>567</v>
      </c>
    </row>
    <row r="665" spans="1:6">
      <c r="A665" s="79" t="s">
        <v>1204</v>
      </c>
      <c r="B665" s="79" t="s">
        <v>1082</v>
      </c>
      <c r="C665" s="79" t="s">
        <v>1083</v>
      </c>
      <c r="D665" s="79" t="str">
        <f t="shared" si="11"/>
        <v>Nakawa Institute</v>
      </c>
      <c r="E665" s="79" t="str">
        <f t="shared" si="9"/>
        <v>Nakawa Institute</v>
      </c>
      <c r="F665" s="79">
        <v>568</v>
      </c>
    </row>
    <row r="666" spans="1:6">
      <c r="A666" s="79" t="s">
        <v>1205</v>
      </c>
      <c r="B666" s="79" t="s">
        <v>1082</v>
      </c>
      <c r="C666" s="79" t="s">
        <v>1083</v>
      </c>
      <c r="D666" s="79" t="str">
        <f t="shared" si="11"/>
        <v>Nakivubo Shauriyaako</v>
      </c>
      <c r="E666" s="79" t="str">
        <f t="shared" si="9"/>
        <v>Nakivubo Shauriyaako</v>
      </c>
      <c r="F666" s="79">
        <v>569</v>
      </c>
    </row>
    <row r="667" spans="1:6">
      <c r="A667" s="79" t="s">
        <v>1206</v>
      </c>
      <c r="B667" s="79" t="s">
        <v>1082</v>
      </c>
      <c r="C667" s="79" t="s">
        <v>1083</v>
      </c>
      <c r="D667" s="79" t="str">
        <f t="shared" si="11"/>
        <v>Namirembe</v>
      </c>
      <c r="E667" s="79" t="str">
        <f t="shared" si="9"/>
        <v>Namirembe</v>
      </c>
      <c r="F667" s="79">
        <v>570</v>
      </c>
    </row>
    <row r="668" spans="1:6">
      <c r="A668" s="79" t="s">
        <v>1207</v>
      </c>
      <c r="B668" s="79"/>
      <c r="C668" s="79"/>
      <c r="D668" s="79" t="str">
        <f t="shared" si="11"/>
        <v>Bakuli</v>
      </c>
      <c r="E668" s="79" t="str">
        <f t="shared" si="9"/>
        <v>Bakuli</v>
      </c>
      <c r="F668" s="79">
        <v>570</v>
      </c>
    </row>
    <row r="669" spans="1:6">
      <c r="A669" s="79" t="s">
        <v>1208</v>
      </c>
      <c r="B669" s="79" t="s">
        <v>1082</v>
      </c>
      <c r="C669" s="79" t="s">
        <v>1083</v>
      </c>
      <c r="D669" s="79" t="str">
        <f t="shared" si="11"/>
        <v>Nankulabye</v>
      </c>
      <c r="E669" s="79" t="str">
        <f t="shared" si="9"/>
        <v>Nankulabye</v>
      </c>
      <c r="F669" s="79">
        <v>571</v>
      </c>
    </row>
    <row r="670" spans="1:6">
      <c r="A670" s="79" t="s">
        <v>1209</v>
      </c>
      <c r="B670" s="79" t="s">
        <v>1082</v>
      </c>
      <c r="C670" s="79" t="s">
        <v>1083</v>
      </c>
      <c r="D670" s="79" t="str">
        <f t="shared" si="11"/>
        <v>Nateete</v>
      </c>
      <c r="E670" s="79" t="str">
        <f t="shared" si="9"/>
        <v>Nateete</v>
      </c>
      <c r="F670" s="79">
        <v>572</v>
      </c>
    </row>
    <row r="671" spans="1:6">
      <c r="A671" s="79" t="s">
        <v>1210</v>
      </c>
      <c r="B671" s="79"/>
      <c r="C671" s="79"/>
      <c r="D671" s="79" t="str">
        <f t="shared" si="11"/>
        <v>Natete</v>
      </c>
      <c r="E671" s="79" t="str">
        <f t="shared" si="9"/>
        <v>Natete</v>
      </c>
      <c r="F671" s="79">
        <v>572</v>
      </c>
    </row>
    <row r="672" spans="1:6">
      <c r="A672" s="79" t="s">
        <v>1211</v>
      </c>
      <c r="B672" s="79" t="s">
        <v>1082</v>
      </c>
      <c r="C672" s="79" t="s">
        <v>1083</v>
      </c>
      <c r="D672" s="79" t="str">
        <f t="shared" si="11"/>
        <v>Ndeeba</v>
      </c>
      <c r="E672" s="79" t="str">
        <f t="shared" ref="E672:E693" si="12">A672</f>
        <v>Ndeeba</v>
      </c>
      <c r="F672" s="79">
        <v>573</v>
      </c>
    </row>
    <row r="673" spans="1:6">
      <c r="A673" s="79" t="s">
        <v>1212</v>
      </c>
      <c r="B673" s="79"/>
      <c r="C673" s="79"/>
      <c r="D673" s="79" t="str">
        <f t="shared" si="11"/>
        <v>Ndeba</v>
      </c>
      <c r="E673" s="79" t="str">
        <f t="shared" si="12"/>
        <v>Ndeba</v>
      </c>
      <c r="F673" s="79">
        <v>573</v>
      </c>
    </row>
    <row r="674" spans="1:6">
      <c r="A674" s="79" t="s">
        <v>1213</v>
      </c>
      <c r="B674" s="79" t="s">
        <v>1082</v>
      </c>
      <c r="C674" s="79" t="s">
        <v>1083</v>
      </c>
      <c r="D674" s="79" t="str">
        <f t="shared" si="11"/>
        <v>Nsambya</v>
      </c>
      <c r="E674" s="79" t="str">
        <f t="shared" si="12"/>
        <v>Nsambya</v>
      </c>
      <c r="F674" s="79">
        <v>574</v>
      </c>
    </row>
    <row r="675" spans="1:6">
      <c r="A675" s="79" t="s">
        <v>370</v>
      </c>
      <c r="B675" s="79"/>
      <c r="C675" s="79"/>
      <c r="D675" s="79" t="str">
        <f t="shared" si="11"/>
        <v xml:space="preserve">NSAMBYA </v>
      </c>
      <c r="E675" s="79"/>
      <c r="F675" s="79">
        <v>574</v>
      </c>
    </row>
    <row r="676" spans="1:6">
      <c r="A676" s="79" t="s">
        <v>1214</v>
      </c>
      <c r="B676" s="79" t="s">
        <v>1082</v>
      </c>
      <c r="C676" s="79" t="s">
        <v>1083</v>
      </c>
      <c r="D676" s="79" t="str">
        <f t="shared" si="11"/>
        <v>Nsambya Police Barracks</v>
      </c>
      <c r="E676" s="79" t="str">
        <f t="shared" si="12"/>
        <v>Nsambya Police Barracks</v>
      </c>
      <c r="F676" s="79">
        <v>575</v>
      </c>
    </row>
    <row r="677" spans="1:6">
      <c r="A677" s="79" t="s">
        <v>1215</v>
      </c>
      <c r="B677" s="79" t="s">
        <v>1082</v>
      </c>
      <c r="C677" s="79" t="s">
        <v>1083</v>
      </c>
      <c r="D677" s="79" t="str">
        <f t="shared" si="11"/>
        <v>Nsambya Railway</v>
      </c>
      <c r="E677" s="79" t="str">
        <f t="shared" si="12"/>
        <v>Nsambya Railway</v>
      </c>
      <c r="F677" s="79">
        <v>576</v>
      </c>
    </row>
    <row r="678" spans="1:6">
      <c r="A678" s="79" t="s">
        <v>1216</v>
      </c>
      <c r="B678" s="79" t="s">
        <v>1082</v>
      </c>
      <c r="C678" s="79" t="s">
        <v>1083</v>
      </c>
      <c r="D678" s="79" t="str">
        <f t="shared" si="11"/>
        <v>Ntinda</v>
      </c>
      <c r="E678" s="79" t="str">
        <f t="shared" si="12"/>
        <v>Ntinda</v>
      </c>
      <c r="F678" s="79">
        <v>577</v>
      </c>
    </row>
    <row r="679" spans="1:6">
      <c r="A679" s="79" t="s">
        <v>1217</v>
      </c>
      <c r="B679" s="79"/>
      <c r="C679" s="79"/>
      <c r="D679" s="79" t="str">
        <f t="shared" si="11"/>
        <v>Kisasi</v>
      </c>
      <c r="E679" s="79" t="str">
        <f t="shared" si="12"/>
        <v>Kisasi</v>
      </c>
      <c r="F679" s="79">
        <v>577</v>
      </c>
    </row>
    <row r="680" spans="1:6">
      <c r="A680" s="79" t="s">
        <v>1218</v>
      </c>
      <c r="B680" s="79" t="s">
        <v>1082</v>
      </c>
      <c r="C680" s="79" t="s">
        <v>1083</v>
      </c>
      <c r="D680" s="79" t="str">
        <f t="shared" si="11"/>
        <v>Old Kampala</v>
      </c>
      <c r="E680" s="79" t="str">
        <f t="shared" si="12"/>
        <v>Old Kampala</v>
      </c>
      <c r="F680" s="79">
        <v>578</v>
      </c>
    </row>
    <row r="681" spans="1:6">
      <c r="A681" s="79" t="s">
        <v>1219</v>
      </c>
      <c r="B681" s="79" t="s">
        <v>1082</v>
      </c>
      <c r="C681" s="79" t="s">
        <v>1083</v>
      </c>
      <c r="D681" s="79" t="str">
        <f t="shared" si="11"/>
        <v>Salaama</v>
      </c>
      <c r="E681" s="79" t="str">
        <f t="shared" si="12"/>
        <v>Salaama</v>
      </c>
      <c r="F681" s="79">
        <v>579</v>
      </c>
    </row>
    <row r="682" spans="1:6">
      <c r="A682" s="79" t="s">
        <v>2403</v>
      </c>
      <c r="B682" s="79"/>
      <c r="C682" s="79"/>
      <c r="D682" s="79" t="str">
        <f t="shared" si="11"/>
        <v>Saalama</v>
      </c>
      <c r="E682" s="79" t="str">
        <f t="shared" si="12"/>
        <v>Saalama</v>
      </c>
      <c r="F682" s="79">
        <v>579</v>
      </c>
    </row>
    <row r="683" spans="1:6">
      <c r="A683" s="79" t="s">
        <v>1220</v>
      </c>
      <c r="B683" s="79"/>
      <c r="C683" s="79"/>
      <c r="D683" s="79" t="str">
        <f t="shared" si="11"/>
        <v>Busiga</v>
      </c>
      <c r="E683" s="79" t="str">
        <f t="shared" si="12"/>
        <v>Busiga</v>
      </c>
      <c r="F683" s="79">
        <v>579</v>
      </c>
    </row>
    <row r="684" spans="1:6">
      <c r="A684" s="79" t="s">
        <v>1221</v>
      </c>
      <c r="B684" s="79"/>
      <c r="C684" s="79"/>
      <c r="D684" s="79" t="str">
        <f t="shared" si="11"/>
        <v>Kyamula</v>
      </c>
      <c r="E684" s="79" t="str">
        <f t="shared" si="12"/>
        <v>Kyamula</v>
      </c>
      <c r="F684" s="79">
        <v>579</v>
      </c>
    </row>
    <row r="685" spans="1:6">
      <c r="A685" s="79" t="s">
        <v>1222</v>
      </c>
      <c r="B685" s="79"/>
      <c r="C685" s="79"/>
      <c r="D685" s="79" t="str">
        <f t="shared" si="11"/>
        <v>Salama</v>
      </c>
      <c r="E685" s="79" t="str">
        <f t="shared" si="12"/>
        <v>Salama</v>
      </c>
      <c r="F685" s="79">
        <v>579</v>
      </c>
    </row>
    <row r="686" spans="1:6">
      <c r="A686" s="79" t="s">
        <v>1223</v>
      </c>
      <c r="B686" s="79"/>
      <c r="C686" s="79"/>
      <c r="D686" s="79" t="str">
        <f t="shared" si="11"/>
        <v>Wavamuno road</v>
      </c>
      <c r="E686" s="79" t="str">
        <f t="shared" si="12"/>
        <v>Wavamuno road</v>
      </c>
      <c r="F686" s="79">
        <v>579</v>
      </c>
    </row>
    <row r="687" spans="1:6">
      <c r="A687" s="79" t="s">
        <v>1224</v>
      </c>
      <c r="B687" s="79"/>
      <c r="C687" s="79"/>
      <c r="D687" s="79" t="str">
        <f t="shared" si="11"/>
        <v>Salaama road</v>
      </c>
      <c r="E687" s="79" t="str">
        <f t="shared" si="12"/>
        <v>Salaama road</v>
      </c>
      <c r="F687" s="79">
        <v>579</v>
      </c>
    </row>
    <row r="688" spans="1:6">
      <c r="A688" s="79" t="s">
        <v>1225</v>
      </c>
      <c r="B688" s="79"/>
      <c r="C688" s="79"/>
      <c r="D688" s="79" t="str">
        <f t="shared" si="11"/>
        <v>Kulekaana</v>
      </c>
      <c r="E688" s="79" t="str">
        <f t="shared" si="12"/>
        <v>Kulekaana</v>
      </c>
      <c r="F688" s="79">
        <v>579</v>
      </c>
    </row>
    <row r="689" spans="1:6">
      <c r="A689" s="79" t="s">
        <v>1226</v>
      </c>
      <c r="B689" s="79" t="s">
        <v>1082</v>
      </c>
      <c r="C689" s="79" t="s">
        <v>1083</v>
      </c>
      <c r="D689" s="79" t="str">
        <f t="shared" si="11"/>
        <v>Upk</v>
      </c>
      <c r="E689" s="79" t="str">
        <f t="shared" si="12"/>
        <v>Upk</v>
      </c>
      <c r="F689" s="79">
        <v>580</v>
      </c>
    </row>
    <row r="690" spans="1:6">
      <c r="A690" s="79" t="s">
        <v>1227</v>
      </c>
      <c r="B690" s="79" t="s">
        <v>1082</v>
      </c>
      <c r="C690" s="79" t="s">
        <v>1083</v>
      </c>
      <c r="D690" s="79" t="str">
        <f t="shared" si="11"/>
        <v>Upper Estate</v>
      </c>
      <c r="E690" s="79" t="str">
        <f t="shared" si="12"/>
        <v>Upper Estate</v>
      </c>
      <c r="F690" s="79">
        <v>581</v>
      </c>
    </row>
    <row r="691" spans="1:6">
      <c r="A691" s="79" t="s">
        <v>1228</v>
      </c>
      <c r="B691" s="79" t="s">
        <v>1082</v>
      </c>
      <c r="C691" s="79" t="s">
        <v>1083</v>
      </c>
      <c r="D691" s="79" t="str">
        <f t="shared" si="11"/>
        <v>Wabigalo</v>
      </c>
      <c r="E691" s="79" t="str">
        <f t="shared" si="12"/>
        <v>Wabigalo</v>
      </c>
      <c r="F691" s="79">
        <v>582</v>
      </c>
    </row>
    <row r="692" spans="1:6">
      <c r="A692" s="79" t="s">
        <v>1229</v>
      </c>
      <c r="B692" s="79" t="s">
        <v>1082</v>
      </c>
      <c r="C692" s="79" t="s">
        <v>1083</v>
      </c>
      <c r="D692" s="79" t="str">
        <f t="shared" si="11"/>
        <v>Wandegeya</v>
      </c>
      <c r="E692" s="79" t="str">
        <f t="shared" si="12"/>
        <v>Wandegeya</v>
      </c>
      <c r="F692" s="79">
        <v>583</v>
      </c>
    </row>
    <row r="693" spans="1:6">
      <c r="A693" s="79" t="s">
        <v>1230</v>
      </c>
      <c r="B693" s="79"/>
      <c r="C693" s="79"/>
      <c r="D693" s="79" t="str">
        <f t="shared" si="11"/>
        <v>Case Hospital</v>
      </c>
      <c r="E693" s="79" t="str">
        <f t="shared" si="12"/>
        <v>Case Hospital</v>
      </c>
      <c r="F693" s="79">
        <v>583</v>
      </c>
    </row>
    <row r="694" spans="1:6">
      <c r="A694" s="79" t="s">
        <v>1231</v>
      </c>
      <c r="B694" s="79" t="s">
        <v>1232</v>
      </c>
      <c r="C694" s="79" t="s">
        <v>1233</v>
      </c>
      <c r="D694" s="79" t="str">
        <f t="shared" si="11"/>
        <v>Balawoli</v>
      </c>
      <c r="E694" s="79"/>
      <c r="F694" s="79">
        <v>584</v>
      </c>
    </row>
    <row r="695" spans="1:6">
      <c r="A695" s="79" t="s">
        <v>1234</v>
      </c>
      <c r="B695" s="79" t="s">
        <v>1232</v>
      </c>
      <c r="C695" s="79" t="s">
        <v>1235</v>
      </c>
      <c r="D695" s="79" t="str">
        <f t="shared" si="11"/>
        <v>Bugulumbya</v>
      </c>
      <c r="E695" s="79"/>
      <c r="F695" s="79">
        <v>585</v>
      </c>
    </row>
    <row r="696" spans="1:6">
      <c r="A696" s="79" t="s">
        <v>1236</v>
      </c>
      <c r="B696" s="79" t="s">
        <v>1232</v>
      </c>
      <c r="C696" s="79" t="s">
        <v>1233</v>
      </c>
      <c r="D696" s="79" t="str">
        <f t="shared" si="11"/>
        <v>Bulopa</v>
      </c>
      <c r="E696" s="79"/>
      <c r="F696" s="79">
        <v>586</v>
      </c>
    </row>
    <row r="697" spans="1:6">
      <c r="A697" s="79" t="s">
        <v>1237</v>
      </c>
      <c r="B697" s="79" t="s">
        <v>1232</v>
      </c>
      <c r="C697" s="79" t="s">
        <v>1233</v>
      </c>
      <c r="D697" s="79" t="str">
        <f t="shared" si="11"/>
        <v>Butansi</v>
      </c>
      <c r="E697" s="79"/>
      <c r="F697" s="79">
        <v>587</v>
      </c>
    </row>
    <row r="698" spans="1:6">
      <c r="A698" s="79" t="s">
        <v>1238</v>
      </c>
      <c r="B698" s="79" t="s">
        <v>1232</v>
      </c>
      <c r="C698" s="79" t="s">
        <v>1238</v>
      </c>
      <c r="D698" s="79" t="str">
        <f t="shared" si="11"/>
        <v>Kamuli Municipality</v>
      </c>
      <c r="E698" s="79"/>
      <c r="F698" s="79">
        <v>588</v>
      </c>
    </row>
    <row r="699" spans="1:6">
      <c r="A699" s="79" t="s">
        <v>1239</v>
      </c>
      <c r="B699" s="79" t="s">
        <v>1232</v>
      </c>
      <c r="C699" s="79" t="s">
        <v>1235</v>
      </c>
      <c r="D699" s="79" t="str">
        <f t="shared" si="11"/>
        <v>Kisozi</v>
      </c>
      <c r="E699" s="79"/>
      <c r="F699" s="79">
        <v>589</v>
      </c>
    </row>
    <row r="700" spans="1:6">
      <c r="A700" s="79" t="s">
        <v>1240</v>
      </c>
      <c r="B700" s="79" t="s">
        <v>1232</v>
      </c>
      <c r="C700" s="79" t="s">
        <v>1233</v>
      </c>
      <c r="D700" s="79" t="str">
        <f t="shared" si="11"/>
        <v>Kitayunjwa</v>
      </c>
      <c r="E700" s="79"/>
      <c r="F700" s="79">
        <v>590</v>
      </c>
    </row>
    <row r="701" spans="1:6">
      <c r="A701" s="79" t="s">
        <v>1241</v>
      </c>
      <c r="B701" s="79" t="s">
        <v>1232</v>
      </c>
      <c r="C701" s="79" t="s">
        <v>1235</v>
      </c>
      <c r="D701" s="79" t="str">
        <f t="shared" si="11"/>
        <v>Mbulamuti</v>
      </c>
      <c r="E701" s="79"/>
      <c r="F701" s="79">
        <v>591</v>
      </c>
    </row>
    <row r="702" spans="1:6">
      <c r="A702" s="79" t="s">
        <v>1242</v>
      </c>
      <c r="B702" s="79" t="s">
        <v>1232</v>
      </c>
      <c r="C702" s="79" t="s">
        <v>1233</v>
      </c>
      <c r="D702" s="79" t="str">
        <f t="shared" si="11"/>
        <v>Nabwigulu</v>
      </c>
      <c r="E702" s="79"/>
      <c r="F702" s="79">
        <v>592</v>
      </c>
    </row>
    <row r="703" spans="1:6">
      <c r="A703" s="79" t="s">
        <v>1243</v>
      </c>
      <c r="B703" s="79" t="s">
        <v>1232</v>
      </c>
      <c r="C703" s="79" t="s">
        <v>1233</v>
      </c>
      <c r="D703" s="79" t="str">
        <f t="shared" si="11"/>
        <v>Namasagali</v>
      </c>
      <c r="E703" s="79"/>
      <c r="F703" s="79">
        <v>593</v>
      </c>
    </row>
    <row r="704" spans="1:6">
      <c r="A704" s="79" t="s">
        <v>1244</v>
      </c>
      <c r="B704" s="79" t="s">
        <v>1232</v>
      </c>
      <c r="C704" s="79" t="s">
        <v>1233</v>
      </c>
      <c r="D704" s="79" t="str">
        <f t="shared" si="11"/>
        <v>Namwendwa</v>
      </c>
      <c r="E704" s="79"/>
      <c r="F704" s="79">
        <v>594</v>
      </c>
    </row>
    <row r="705" spans="1:6">
      <c r="A705" s="79" t="s">
        <v>1245</v>
      </c>
      <c r="B705" s="79" t="s">
        <v>1232</v>
      </c>
      <c r="C705" s="79" t="s">
        <v>1235</v>
      </c>
      <c r="D705" s="79" t="str">
        <f t="shared" si="11"/>
        <v>Nawanyago</v>
      </c>
      <c r="E705" s="79"/>
      <c r="F705" s="79">
        <v>595</v>
      </c>
    </row>
    <row r="706" spans="1:6">
      <c r="A706" s="79" t="s">
        <v>1246</v>
      </c>
      <c r="B706" s="79" t="s">
        <v>1232</v>
      </c>
      <c r="C706" s="79" t="s">
        <v>1235</v>
      </c>
      <c r="D706" s="79" t="str">
        <f t="shared" si="11"/>
        <v>Wankole</v>
      </c>
      <c r="E706" s="79"/>
      <c r="F706" s="79">
        <v>596</v>
      </c>
    </row>
    <row r="707" spans="1:6">
      <c r="A707" s="79" t="s">
        <v>1247</v>
      </c>
      <c r="B707" s="79" t="s">
        <v>44</v>
      </c>
      <c r="C707" s="79" t="s">
        <v>837</v>
      </c>
      <c r="D707" s="79" t="str">
        <f t="shared" ref="D707:D770" si="13">A707</f>
        <v>Biguli</v>
      </c>
      <c r="E707" s="79"/>
      <c r="F707" s="79">
        <v>597</v>
      </c>
    </row>
    <row r="708" spans="1:6">
      <c r="A708" s="79" t="s">
        <v>1248</v>
      </c>
      <c r="B708" s="79" t="s">
        <v>44</v>
      </c>
      <c r="C708" s="79" t="s">
        <v>837</v>
      </c>
      <c r="D708" s="79" t="str">
        <f t="shared" si="13"/>
        <v>Bihanga-Kamwenge</v>
      </c>
      <c r="E708" s="79"/>
      <c r="F708" s="79">
        <v>598</v>
      </c>
    </row>
    <row r="709" spans="1:6">
      <c r="A709" s="79" t="s">
        <v>1249</v>
      </c>
      <c r="B709" s="79" t="s">
        <v>44</v>
      </c>
      <c r="C709" s="79" t="s">
        <v>1250</v>
      </c>
      <c r="D709" s="79" t="str">
        <f t="shared" si="13"/>
        <v>Buhanda</v>
      </c>
      <c r="E709" s="79"/>
      <c r="F709" s="79">
        <v>599</v>
      </c>
    </row>
    <row r="710" spans="1:6">
      <c r="A710" s="79" t="s">
        <v>1251</v>
      </c>
      <c r="B710" s="79" t="s">
        <v>44</v>
      </c>
      <c r="C710" s="79" t="s">
        <v>837</v>
      </c>
      <c r="D710" s="79" t="str">
        <f t="shared" si="13"/>
        <v>Busiriba</v>
      </c>
      <c r="E710" s="79"/>
      <c r="F710" s="79">
        <v>600</v>
      </c>
    </row>
    <row r="711" spans="1:6">
      <c r="A711" s="79" t="s">
        <v>1252</v>
      </c>
      <c r="B711" s="79" t="s">
        <v>44</v>
      </c>
      <c r="C711" s="79" t="s">
        <v>837</v>
      </c>
      <c r="D711" s="79" t="str">
        <f t="shared" si="13"/>
        <v>Bwizi</v>
      </c>
      <c r="E711" s="79"/>
      <c r="F711" s="79">
        <v>601</v>
      </c>
    </row>
    <row r="712" spans="1:6">
      <c r="A712" s="79" t="s">
        <v>1253</v>
      </c>
      <c r="B712" s="79" t="s">
        <v>44</v>
      </c>
      <c r="C712" s="79" t="s">
        <v>837</v>
      </c>
      <c r="D712" s="79" t="str">
        <f t="shared" si="13"/>
        <v>Kabambiro</v>
      </c>
      <c r="E712" s="79"/>
      <c r="F712" s="79">
        <v>602</v>
      </c>
    </row>
    <row r="713" spans="1:6">
      <c r="A713" s="79" t="s">
        <v>1254</v>
      </c>
      <c r="B713" s="79" t="s">
        <v>44</v>
      </c>
      <c r="C713" s="79" t="s">
        <v>837</v>
      </c>
      <c r="D713" s="79" t="str">
        <f t="shared" si="13"/>
        <v>Kahunge</v>
      </c>
      <c r="E713" s="79"/>
      <c r="F713" s="79">
        <v>603</v>
      </c>
    </row>
    <row r="714" spans="1:6">
      <c r="A714" s="79" t="s">
        <v>44</v>
      </c>
      <c r="B714" s="79" t="s">
        <v>44</v>
      </c>
      <c r="C714" s="79" t="s">
        <v>837</v>
      </c>
      <c r="D714" s="79" t="str">
        <f t="shared" si="13"/>
        <v>Kamwenge</v>
      </c>
      <c r="E714" s="79"/>
      <c r="F714" s="79">
        <v>604</v>
      </c>
    </row>
    <row r="715" spans="1:6">
      <c r="A715" s="79" t="s">
        <v>1255</v>
      </c>
      <c r="B715" s="79" t="s">
        <v>44</v>
      </c>
      <c r="C715" s="79" t="s">
        <v>837</v>
      </c>
      <c r="D715" s="79" t="str">
        <f t="shared" si="13"/>
        <v>Kamwenge Town Council</v>
      </c>
      <c r="E715" s="79"/>
      <c r="F715" s="79">
        <v>605</v>
      </c>
    </row>
    <row r="716" spans="1:6">
      <c r="A716" s="79" t="s">
        <v>1256</v>
      </c>
      <c r="B716" s="79" t="s">
        <v>44</v>
      </c>
      <c r="C716" s="79" t="s">
        <v>1250</v>
      </c>
      <c r="D716" s="79" t="str">
        <f t="shared" si="13"/>
        <v>Kanara-Kamwenge</v>
      </c>
      <c r="E716" s="79"/>
      <c r="F716" s="79">
        <v>606</v>
      </c>
    </row>
    <row r="717" spans="1:6">
      <c r="A717" s="79" t="s">
        <v>1257</v>
      </c>
      <c r="B717" s="79" t="s">
        <v>44</v>
      </c>
      <c r="C717" s="79" t="s">
        <v>1250</v>
      </c>
      <c r="D717" s="79" t="str">
        <f t="shared" si="13"/>
        <v>Kicheche</v>
      </c>
      <c r="E717" s="79"/>
      <c r="F717" s="79">
        <v>607</v>
      </c>
    </row>
    <row r="718" spans="1:6">
      <c r="A718" s="79" t="s">
        <v>1258</v>
      </c>
      <c r="B718" s="79" t="s">
        <v>44</v>
      </c>
      <c r="C718" s="79" t="s">
        <v>1250</v>
      </c>
      <c r="D718" s="79" t="str">
        <f t="shared" si="13"/>
        <v>Mahyoro</v>
      </c>
      <c r="E718" s="79"/>
      <c r="F718" s="79">
        <v>608</v>
      </c>
    </row>
    <row r="719" spans="1:6">
      <c r="A719" s="79" t="s">
        <v>1259</v>
      </c>
      <c r="B719" s="79" t="s">
        <v>44</v>
      </c>
      <c r="C719" s="79" t="s">
        <v>837</v>
      </c>
      <c r="D719" s="79" t="str">
        <f t="shared" si="13"/>
        <v>Nkoma</v>
      </c>
      <c r="E719" s="79"/>
      <c r="F719" s="79">
        <v>609</v>
      </c>
    </row>
    <row r="720" spans="1:6">
      <c r="A720" s="79" t="s">
        <v>1260</v>
      </c>
      <c r="B720" s="79" t="s">
        <v>44</v>
      </c>
      <c r="C720" s="79" t="s">
        <v>1250</v>
      </c>
      <c r="D720" s="79" t="str">
        <f t="shared" si="13"/>
        <v>Ntara</v>
      </c>
      <c r="E720" s="79"/>
      <c r="F720" s="79">
        <v>610</v>
      </c>
    </row>
    <row r="721" spans="1:6">
      <c r="A721" s="79" t="s">
        <v>1261</v>
      </c>
      <c r="B721" s="79" t="s">
        <v>44</v>
      </c>
      <c r="C721" s="79" t="s">
        <v>1250</v>
      </c>
      <c r="D721" s="79" t="str">
        <f t="shared" si="13"/>
        <v>Nyabbani</v>
      </c>
      <c r="E721" s="79"/>
      <c r="F721" s="79">
        <v>611</v>
      </c>
    </row>
    <row r="722" spans="1:6">
      <c r="A722" s="79" t="s">
        <v>1262</v>
      </c>
      <c r="B722" s="79" t="s">
        <v>44</v>
      </c>
      <c r="C722" s="79" t="s">
        <v>837</v>
      </c>
      <c r="D722" s="79" t="str">
        <f t="shared" si="13"/>
        <v>Rwamwanja Refugee Camp</v>
      </c>
      <c r="E722" s="79"/>
      <c r="F722" s="79">
        <v>612</v>
      </c>
    </row>
    <row r="723" spans="1:6">
      <c r="A723" s="79" t="s">
        <v>1263</v>
      </c>
      <c r="B723" s="79" t="s">
        <v>1264</v>
      </c>
      <c r="C723" s="79" t="s">
        <v>1265</v>
      </c>
      <c r="D723" s="79" t="str">
        <f t="shared" si="13"/>
        <v>Butogota Town Council</v>
      </c>
      <c r="E723" s="79"/>
      <c r="F723" s="79">
        <v>613</v>
      </c>
    </row>
    <row r="724" spans="1:6">
      <c r="A724" s="79" t="s">
        <v>1266</v>
      </c>
      <c r="B724" s="79" t="s">
        <v>1264</v>
      </c>
      <c r="C724" s="79" t="s">
        <v>1265</v>
      </c>
      <c r="D724" s="79" t="str">
        <f t="shared" si="13"/>
        <v>Kambuga</v>
      </c>
      <c r="E724" s="79"/>
      <c r="F724" s="79">
        <v>614</v>
      </c>
    </row>
    <row r="725" spans="1:6">
      <c r="A725" s="79" t="s">
        <v>1267</v>
      </c>
      <c r="B725" s="79" t="s">
        <v>1264</v>
      </c>
      <c r="C725" s="79" t="s">
        <v>1265</v>
      </c>
      <c r="D725" s="79" t="str">
        <f t="shared" si="13"/>
        <v>Kambuga Town Council</v>
      </c>
      <c r="E725" s="79"/>
      <c r="F725" s="79">
        <v>615</v>
      </c>
    </row>
    <row r="726" spans="1:6">
      <c r="A726" s="79" t="s">
        <v>1268</v>
      </c>
      <c r="B726" s="79" t="s">
        <v>1264</v>
      </c>
      <c r="C726" s="79" t="s">
        <v>1265</v>
      </c>
      <c r="D726" s="79" t="str">
        <f t="shared" si="13"/>
        <v>Kanungu Town Council</v>
      </c>
      <c r="E726" s="79"/>
      <c r="F726" s="79">
        <v>616</v>
      </c>
    </row>
    <row r="727" spans="1:6">
      <c r="A727" s="79" t="s">
        <v>1269</v>
      </c>
      <c r="B727" s="79" t="s">
        <v>1264</v>
      </c>
      <c r="C727" s="79" t="s">
        <v>1265</v>
      </c>
      <c r="D727" s="79" t="str">
        <f t="shared" si="13"/>
        <v>Kanyantorogo</v>
      </c>
      <c r="E727" s="79"/>
      <c r="F727" s="79">
        <v>617</v>
      </c>
    </row>
    <row r="728" spans="1:6">
      <c r="A728" s="79" t="s">
        <v>1270</v>
      </c>
      <c r="B728" s="79" t="s">
        <v>1264</v>
      </c>
      <c r="C728" s="79" t="s">
        <v>1265</v>
      </c>
      <c r="D728" s="79" t="str">
        <f t="shared" si="13"/>
        <v>Katete</v>
      </c>
      <c r="E728" s="79"/>
      <c r="F728" s="79">
        <v>618</v>
      </c>
    </row>
    <row r="729" spans="1:6">
      <c r="A729" s="79" t="s">
        <v>1271</v>
      </c>
      <c r="B729" s="79" t="s">
        <v>1264</v>
      </c>
      <c r="C729" s="79" t="s">
        <v>1265</v>
      </c>
      <c r="D729" s="79" t="str">
        <f t="shared" si="13"/>
        <v>Kayonza-Kanungu</v>
      </c>
      <c r="E729" s="79"/>
      <c r="F729" s="79">
        <v>619</v>
      </c>
    </row>
    <row r="730" spans="1:6">
      <c r="A730" s="79" t="s">
        <v>1272</v>
      </c>
      <c r="B730" s="79" t="s">
        <v>1264</v>
      </c>
      <c r="C730" s="79" t="s">
        <v>1265</v>
      </c>
      <c r="D730" s="79" t="str">
        <f t="shared" si="13"/>
        <v>Kihihi</v>
      </c>
      <c r="E730" s="79"/>
      <c r="F730" s="79">
        <v>620</v>
      </c>
    </row>
    <row r="731" spans="1:6">
      <c r="A731" s="79" t="s">
        <v>1273</v>
      </c>
      <c r="B731" s="79" t="s">
        <v>1264</v>
      </c>
      <c r="C731" s="79" t="s">
        <v>1265</v>
      </c>
      <c r="D731" s="79" t="str">
        <f t="shared" si="13"/>
        <v>Kihiihi Town Council</v>
      </c>
      <c r="E731" s="79"/>
      <c r="F731" s="79">
        <v>621</v>
      </c>
    </row>
    <row r="732" spans="1:6">
      <c r="A732" s="79" t="s">
        <v>1274</v>
      </c>
      <c r="B732" s="79" t="s">
        <v>1264</v>
      </c>
      <c r="C732" s="79" t="s">
        <v>1265</v>
      </c>
      <c r="D732" s="79" t="str">
        <f t="shared" si="13"/>
        <v>Kinaaba</v>
      </c>
      <c r="E732" s="79"/>
      <c r="F732" s="79">
        <v>622</v>
      </c>
    </row>
    <row r="733" spans="1:6">
      <c r="A733" s="79" t="s">
        <v>1275</v>
      </c>
      <c r="B733" s="79" t="s">
        <v>1264</v>
      </c>
      <c r="C733" s="79" t="s">
        <v>1265</v>
      </c>
      <c r="D733" s="79" t="str">
        <f t="shared" si="13"/>
        <v>Kirima</v>
      </c>
      <c r="E733" s="79"/>
      <c r="F733" s="79">
        <v>623</v>
      </c>
    </row>
    <row r="734" spans="1:6">
      <c r="A734" s="79" t="s">
        <v>1276</v>
      </c>
      <c r="B734" s="79" t="s">
        <v>1264</v>
      </c>
      <c r="C734" s="79" t="s">
        <v>1265</v>
      </c>
      <c r="D734" s="79" t="str">
        <f t="shared" si="13"/>
        <v>Mpungu</v>
      </c>
      <c r="E734" s="79"/>
      <c r="F734" s="79">
        <v>624</v>
      </c>
    </row>
    <row r="735" spans="1:6">
      <c r="A735" s="79" t="s">
        <v>1277</v>
      </c>
      <c r="B735" s="79" t="s">
        <v>1264</v>
      </c>
      <c r="C735" s="79" t="s">
        <v>1265</v>
      </c>
      <c r="D735" s="79" t="str">
        <f t="shared" si="13"/>
        <v>Nyakinoni</v>
      </c>
      <c r="E735" s="79"/>
      <c r="F735" s="79">
        <v>625</v>
      </c>
    </row>
    <row r="736" spans="1:6">
      <c r="A736" s="79" t="s">
        <v>1278</v>
      </c>
      <c r="B736" s="79" t="s">
        <v>1264</v>
      </c>
      <c r="C736" s="79" t="s">
        <v>1265</v>
      </c>
      <c r="D736" s="79" t="str">
        <f t="shared" si="13"/>
        <v>Nyamirama</v>
      </c>
      <c r="E736" s="79"/>
      <c r="F736" s="79">
        <v>626</v>
      </c>
    </row>
    <row r="737" spans="1:6">
      <c r="A737" s="79" t="s">
        <v>1279</v>
      </c>
      <c r="B737" s="79" t="s">
        <v>1264</v>
      </c>
      <c r="C737" s="79" t="s">
        <v>1265</v>
      </c>
      <c r="D737" s="79" t="str">
        <f t="shared" si="13"/>
        <v>Nyanga</v>
      </c>
      <c r="E737" s="79"/>
      <c r="F737" s="79">
        <v>627</v>
      </c>
    </row>
    <row r="738" spans="1:6">
      <c r="A738" s="79" t="s">
        <v>1280</v>
      </c>
      <c r="B738" s="79" t="s">
        <v>1264</v>
      </c>
      <c r="C738" s="79" t="s">
        <v>1265</v>
      </c>
      <c r="D738" s="79" t="str">
        <f t="shared" si="13"/>
        <v>Rugyeyo</v>
      </c>
      <c r="E738" s="79"/>
      <c r="F738" s="79">
        <v>628</v>
      </c>
    </row>
    <row r="739" spans="1:6">
      <c r="A739" s="79" t="s">
        <v>1281</v>
      </c>
      <c r="B739" s="79" t="s">
        <v>1264</v>
      </c>
      <c r="C739" s="79" t="s">
        <v>1265</v>
      </c>
      <c r="D739" s="79" t="str">
        <f t="shared" si="13"/>
        <v>Rutenga</v>
      </c>
      <c r="E739" s="79"/>
      <c r="F739" s="79">
        <v>629</v>
      </c>
    </row>
    <row r="740" spans="1:6">
      <c r="A740" s="79" t="s">
        <v>1282</v>
      </c>
      <c r="B740" s="79" t="s">
        <v>1283</v>
      </c>
      <c r="C740" s="79" t="s">
        <v>1284</v>
      </c>
      <c r="D740" s="79" t="str">
        <f t="shared" si="13"/>
        <v>Amukol</v>
      </c>
      <c r="E740" s="79"/>
      <c r="F740" s="79">
        <v>630</v>
      </c>
    </row>
    <row r="741" spans="1:6">
      <c r="A741" s="79" t="s">
        <v>1285</v>
      </c>
      <c r="B741" s="79" t="s">
        <v>1283</v>
      </c>
      <c r="C741" s="79" t="s">
        <v>1284</v>
      </c>
      <c r="D741" s="79" t="str">
        <f t="shared" si="13"/>
        <v>Chema</v>
      </c>
      <c r="E741" s="79"/>
      <c r="F741" s="79">
        <v>631</v>
      </c>
    </row>
    <row r="742" spans="1:6">
      <c r="A742" s="79" t="s">
        <v>1286</v>
      </c>
      <c r="B742" s="79" t="s">
        <v>1283</v>
      </c>
      <c r="C742" s="79" t="s">
        <v>1284</v>
      </c>
      <c r="D742" s="79" t="str">
        <f t="shared" si="13"/>
        <v>Chepterech</v>
      </c>
      <c r="E742" s="79"/>
      <c r="F742" s="79">
        <v>632</v>
      </c>
    </row>
    <row r="743" spans="1:6">
      <c r="A743" s="79" t="s">
        <v>1287</v>
      </c>
      <c r="B743" s="79" t="s">
        <v>1283</v>
      </c>
      <c r="C743" s="79" t="s">
        <v>1284</v>
      </c>
      <c r="D743" s="79" t="str">
        <f t="shared" si="13"/>
        <v>Gamogo</v>
      </c>
      <c r="E743" s="79"/>
      <c r="F743" s="79">
        <v>633</v>
      </c>
    </row>
    <row r="744" spans="1:6">
      <c r="A744" s="79" t="s">
        <v>1288</v>
      </c>
      <c r="B744" s="79" t="s">
        <v>1283</v>
      </c>
      <c r="C744" s="79" t="s">
        <v>1284</v>
      </c>
      <c r="D744" s="79" t="str">
        <f t="shared" si="13"/>
        <v>Kabeywa</v>
      </c>
      <c r="E744" s="79"/>
      <c r="F744" s="79">
        <v>634</v>
      </c>
    </row>
    <row r="745" spans="1:6">
      <c r="A745" s="79" t="s">
        <v>1289</v>
      </c>
      <c r="B745" s="79" t="s">
        <v>1283</v>
      </c>
      <c r="C745" s="79" t="s">
        <v>1289</v>
      </c>
      <c r="D745" s="79" t="str">
        <f t="shared" si="13"/>
        <v>Kapchorwa Municipality</v>
      </c>
      <c r="E745" s="79"/>
      <c r="F745" s="79">
        <v>635</v>
      </c>
    </row>
    <row r="746" spans="1:6">
      <c r="A746" s="79" t="s">
        <v>1290</v>
      </c>
      <c r="B746" s="79" t="s">
        <v>1283</v>
      </c>
      <c r="C746" s="79" t="s">
        <v>1284</v>
      </c>
      <c r="D746" s="79" t="str">
        <f t="shared" si="13"/>
        <v>Kapsinda</v>
      </c>
      <c r="E746" s="79"/>
      <c r="F746" s="79">
        <v>636</v>
      </c>
    </row>
    <row r="747" spans="1:6">
      <c r="A747" s="79" t="s">
        <v>1291</v>
      </c>
      <c r="B747" s="79" t="s">
        <v>1283</v>
      </c>
      <c r="C747" s="79" t="s">
        <v>1284</v>
      </c>
      <c r="D747" s="79" t="str">
        <f t="shared" si="13"/>
        <v>Kaptanya</v>
      </c>
      <c r="E747" s="79"/>
      <c r="F747" s="79">
        <v>637</v>
      </c>
    </row>
    <row r="748" spans="1:6">
      <c r="A748" s="79" t="s">
        <v>1292</v>
      </c>
      <c r="B748" s="79" t="s">
        <v>1283</v>
      </c>
      <c r="C748" s="79" t="s">
        <v>1284</v>
      </c>
      <c r="D748" s="79" t="str">
        <f t="shared" si="13"/>
        <v>Kaserem</v>
      </c>
      <c r="E748" s="79"/>
      <c r="F748" s="79">
        <v>638</v>
      </c>
    </row>
    <row r="749" spans="1:6">
      <c r="A749" s="79" t="s">
        <v>1293</v>
      </c>
      <c r="B749" s="79" t="s">
        <v>1283</v>
      </c>
      <c r="C749" s="79" t="s">
        <v>1284</v>
      </c>
      <c r="D749" s="79" t="str">
        <f t="shared" si="13"/>
        <v>Kawowo</v>
      </c>
      <c r="E749" s="79"/>
      <c r="F749" s="79">
        <v>639</v>
      </c>
    </row>
    <row r="750" spans="1:6">
      <c r="A750" s="79" t="s">
        <v>1294</v>
      </c>
      <c r="B750" s="79" t="s">
        <v>1283</v>
      </c>
      <c r="C750" s="79" t="s">
        <v>1284</v>
      </c>
      <c r="D750" s="79" t="str">
        <f t="shared" si="13"/>
        <v>Munarya</v>
      </c>
      <c r="E750" s="79"/>
      <c r="F750" s="79">
        <v>640</v>
      </c>
    </row>
    <row r="751" spans="1:6">
      <c r="A751" s="79" t="s">
        <v>1295</v>
      </c>
      <c r="B751" s="79" t="s">
        <v>1283</v>
      </c>
      <c r="C751" s="79" t="s">
        <v>1284</v>
      </c>
      <c r="D751" s="79" t="str">
        <f t="shared" si="13"/>
        <v>Sipi</v>
      </c>
      <c r="E751" s="79"/>
      <c r="F751" s="79">
        <v>641</v>
      </c>
    </row>
    <row r="752" spans="1:6">
      <c r="A752" s="79" t="s">
        <v>1296</v>
      </c>
      <c r="B752" s="79" t="s">
        <v>36</v>
      </c>
      <c r="C752" s="79" t="s">
        <v>1297</v>
      </c>
      <c r="D752" s="79" t="str">
        <f t="shared" si="13"/>
        <v>Bugoye</v>
      </c>
      <c r="E752" s="79"/>
      <c r="F752" s="79">
        <v>642</v>
      </c>
    </row>
    <row r="753" spans="1:6">
      <c r="A753" s="79" t="s">
        <v>1298</v>
      </c>
      <c r="B753" s="79" t="s">
        <v>36</v>
      </c>
      <c r="C753" s="79" t="s">
        <v>1297</v>
      </c>
      <c r="D753" s="79" t="str">
        <f t="shared" si="13"/>
        <v>Buhuhira</v>
      </c>
      <c r="E753" s="79"/>
      <c r="F753" s="79">
        <v>643</v>
      </c>
    </row>
    <row r="754" spans="1:6">
      <c r="A754" s="79" t="s">
        <v>37</v>
      </c>
      <c r="B754" s="79" t="s">
        <v>36</v>
      </c>
      <c r="C754" s="79" t="s">
        <v>753</v>
      </c>
      <c r="D754" s="79" t="str">
        <f t="shared" si="13"/>
        <v>Bwera</v>
      </c>
      <c r="E754" s="79"/>
      <c r="F754" s="79">
        <v>644</v>
      </c>
    </row>
    <row r="755" spans="1:6">
      <c r="A755" s="79" t="s">
        <v>1299</v>
      </c>
      <c r="B755" s="79" t="s">
        <v>36</v>
      </c>
      <c r="C755" s="79" t="s">
        <v>1297</v>
      </c>
      <c r="D755" s="79" t="str">
        <f t="shared" si="13"/>
        <v>Bwesumbu</v>
      </c>
      <c r="E755" s="79"/>
      <c r="F755" s="79">
        <v>645</v>
      </c>
    </row>
    <row r="756" spans="1:6">
      <c r="A756" s="79" t="s">
        <v>1300</v>
      </c>
      <c r="B756" s="79" t="s">
        <v>36</v>
      </c>
      <c r="C756" s="79" t="s">
        <v>1297</v>
      </c>
      <c r="D756" s="79" t="str">
        <f t="shared" si="13"/>
        <v>Hima Town Council</v>
      </c>
      <c r="E756" s="79"/>
      <c r="F756" s="79">
        <v>646</v>
      </c>
    </row>
    <row r="757" spans="1:6">
      <c r="A757" s="79" t="s">
        <v>1301</v>
      </c>
      <c r="B757" s="79" t="s">
        <v>36</v>
      </c>
      <c r="C757" s="79" t="s">
        <v>753</v>
      </c>
      <c r="D757" s="79" t="str">
        <f t="shared" si="13"/>
        <v>Ihandiro</v>
      </c>
      <c r="E757" s="79"/>
      <c r="F757" s="79">
        <v>647</v>
      </c>
    </row>
    <row r="758" spans="1:6">
      <c r="A758" s="79" t="s">
        <v>1302</v>
      </c>
      <c r="B758" s="79" t="s">
        <v>36</v>
      </c>
      <c r="C758" s="79" t="s">
        <v>753</v>
      </c>
      <c r="D758" s="79" t="str">
        <f t="shared" si="13"/>
        <v>Isango</v>
      </c>
      <c r="E758" s="79"/>
      <c r="F758" s="79">
        <v>648</v>
      </c>
    </row>
    <row r="759" spans="1:6">
      <c r="A759" s="79" t="s">
        <v>1303</v>
      </c>
      <c r="B759" s="79" t="s">
        <v>36</v>
      </c>
      <c r="C759" s="79" t="s">
        <v>753</v>
      </c>
      <c r="D759" s="79" t="str">
        <f t="shared" si="13"/>
        <v>Karambi-Kasese</v>
      </c>
      <c r="E759" s="79"/>
      <c r="F759" s="79">
        <v>649</v>
      </c>
    </row>
    <row r="760" spans="1:6">
      <c r="A760" s="79" t="s">
        <v>1304</v>
      </c>
      <c r="B760" s="79" t="s">
        <v>36</v>
      </c>
      <c r="C760" s="79" t="s">
        <v>1297</v>
      </c>
      <c r="D760" s="79" t="str">
        <f t="shared" si="13"/>
        <v>Karusandara</v>
      </c>
      <c r="E760" s="79"/>
      <c r="F760" s="79">
        <v>650</v>
      </c>
    </row>
    <row r="761" spans="1:6">
      <c r="A761" s="79" t="s">
        <v>1305</v>
      </c>
      <c r="B761" s="79" t="s">
        <v>36</v>
      </c>
      <c r="C761" s="79" t="s">
        <v>1305</v>
      </c>
      <c r="D761" s="79" t="str">
        <f t="shared" si="13"/>
        <v>Kasese Municipality</v>
      </c>
      <c r="E761" s="79"/>
      <c r="F761" s="79">
        <v>651</v>
      </c>
    </row>
    <row r="762" spans="1:6">
      <c r="A762" s="79" t="s">
        <v>1306</v>
      </c>
      <c r="B762" s="79" t="s">
        <v>36</v>
      </c>
      <c r="C762" s="79" t="s">
        <v>1297</v>
      </c>
      <c r="D762" s="79" t="str">
        <f t="shared" si="13"/>
        <v>Katwe Kabatoro Town Council</v>
      </c>
      <c r="E762" s="79"/>
      <c r="F762" s="79">
        <v>652</v>
      </c>
    </row>
    <row r="763" spans="1:6">
      <c r="A763" s="79" t="s">
        <v>1307</v>
      </c>
      <c r="B763" s="79" t="s">
        <v>36</v>
      </c>
      <c r="C763" s="79" t="s">
        <v>1297</v>
      </c>
      <c r="D763" s="79" t="str">
        <f t="shared" si="13"/>
        <v>Kilembe</v>
      </c>
      <c r="E763" s="79"/>
      <c r="F763" s="79">
        <v>653</v>
      </c>
    </row>
    <row r="764" spans="1:6">
      <c r="A764" s="79" t="s">
        <v>1308</v>
      </c>
      <c r="B764" s="79" t="s">
        <v>36</v>
      </c>
      <c r="C764" s="79" t="s">
        <v>753</v>
      </c>
      <c r="D764" s="79" t="str">
        <f t="shared" si="13"/>
        <v>Kisinga</v>
      </c>
      <c r="E764" s="79"/>
      <c r="F764" s="79">
        <v>654</v>
      </c>
    </row>
    <row r="765" spans="1:6">
      <c r="A765" s="79" t="s">
        <v>1309</v>
      </c>
      <c r="B765" s="79" t="s">
        <v>36</v>
      </c>
      <c r="C765" s="79" t="s">
        <v>753</v>
      </c>
      <c r="D765" s="79" t="str">
        <f t="shared" si="13"/>
        <v>Kisinga Town Council</v>
      </c>
      <c r="E765" s="79"/>
      <c r="F765" s="79">
        <v>655</v>
      </c>
    </row>
    <row r="766" spans="1:6">
      <c r="A766" s="79" t="s">
        <v>1310</v>
      </c>
      <c r="B766" s="79" t="s">
        <v>36</v>
      </c>
      <c r="C766" s="79" t="s">
        <v>753</v>
      </c>
      <c r="D766" s="79" t="str">
        <f t="shared" si="13"/>
        <v>Kitholhu</v>
      </c>
      <c r="E766" s="79"/>
      <c r="F766" s="79">
        <v>656</v>
      </c>
    </row>
    <row r="767" spans="1:6">
      <c r="A767" s="79" t="s">
        <v>1311</v>
      </c>
      <c r="B767" s="79" t="s">
        <v>36</v>
      </c>
      <c r="C767" s="79" t="s">
        <v>1297</v>
      </c>
      <c r="D767" s="79" t="str">
        <f t="shared" si="13"/>
        <v>Kitswamba</v>
      </c>
      <c r="E767" s="79"/>
      <c r="F767" s="79">
        <v>657</v>
      </c>
    </row>
    <row r="768" spans="1:6">
      <c r="A768" s="79" t="s">
        <v>1312</v>
      </c>
      <c r="B768" s="79" t="s">
        <v>36</v>
      </c>
      <c r="C768" s="79" t="s">
        <v>1297</v>
      </c>
      <c r="D768" s="79" t="str">
        <f t="shared" si="13"/>
        <v>Kyabarungira</v>
      </c>
      <c r="E768" s="79"/>
      <c r="F768" s="79">
        <v>658</v>
      </c>
    </row>
    <row r="769" spans="1:6">
      <c r="A769" s="79" t="s">
        <v>1313</v>
      </c>
      <c r="B769" s="79" t="s">
        <v>36</v>
      </c>
      <c r="C769" s="79" t="s">
        <v>753</v>
      </c>
      <c r="D769" s="79" t="str">
        <f t="shared" si="13"/>
        <v>Kyarumba</v>
      </c>
      <c r="E769" s="79"/>
      <c r="F769" s="79">
        <v>659</v>
      </c>
    </row>
    <row r="770" spans="1:6">
      <c r="A770" s="79" t="s">
        <v>1314</v>
      </c>
      <c r="B770" s="79" t="s">
        <v>36</v>
      </c>
      <c r="C770" s="79" t="s">
        <v>753</v>
      </c>
      <c r="D770" s="79" t="str">
        <f t="shared" si="13"/>
        <v>Kyondo</v>
      </c>
      <c r="E770" s="79"/>
      <c r="F770" s="79">
        <v>660</v>
      </c>
    </row>
    <row r="771" spans="1:6">
      <c r="A771" s="79" t="s">
        <v>1315</v>
      </c>
      <c r="B771" s="79" t="s">
        <v>36</v>
      </c>
      <c r="C771" s="79" t="s">
        <v>1297</v>
      </c>
      <c r="D771" s="79" t="str">
        <f t="shared" ref="D771:D834" si="14">A771</f>
        <v>Lake Katwe</v>
      </c>
      <c r="E771" s="79"/>
      <c r="F771" s="79">
        <v>661</v>
      </c>
    </row>
    <row r="772" spans="1:6">
      <c r="A772" s="79" t="s">
        <v>1316</v>
      </c>
      <c r="B772" s="79" t="s">
        <v>36</v>
      </c>
      <c r="C772" s="79" t="s">
        <v>753</v>
      </c>
      <c r="D772" s="79" t="str">
        <f t="shared" si="14"/>
        <v>Mahango</v>
      </c>
      <c r="E772" s="79"/>
      <c r="F772" s="79">
        <v>662</v>
      </c>
    </row>
    <row r="773" spans="1:6">
      <c r="A773" s="79" t="s">
        <v>1317</v>
      </c>
      <c r="B773" s="79" t="s">
        <v>36</v>
      </c>
      <c r="C773" s="79" t="s">
        <v>1297</v>
      </c>
      <c r="D773" s="79" t="str">
        <f t="shared" si="14"/>
        <v>Maliba</v>
      </c>
      <c r="E773" s="79"/>
      <c r="F773" s="79">
        <v>663</v>
      </c>
    </row>
    <row r="774" spans="1:6">
      <c r="A774" s="79" t="s">
        <v>1318</v>
      </c>
      <c r="B774" s="79" t="s">
        <v>36</v>
      </c>
      <c r="C774" s="79" t="s">
        <v>753</v>
      </c>
      <c r="D774" s="79" t="str">
        <f t="shared" si="14"/>
        <v>Mpondwe-Lhubiriha</v>
      </c>
      <c r="E774" s="79"/>
      <c r="F774" s="79">
        <v>664</v>
      </c>
    </row>
    <row r="775" spans="1:6">
      <c r="A775" s="79" t="s">
        <v>1319</v>
      </c>
      <c r="B775" s="79" t="s">
        <v>36</v>
      </c>
      <c r="C775" s="79" t="s">
        <v>1297</v>
      </c>
      <c r="D775" s="79" t="str">
        <f t="shared" si="14"/>
        <v>Muhokya</v>
      </c>
      <c r="E775" s="79"/>
      <c r="F775" s="79">
        <v>665</v>
      </c>
    </row>
    <row r="776" spans="1:6">
      <c r="A776" s="79" t="s">
        <v>1320</v>
      </c>
      <c r="B776" s="79" t="s">
        <v>36</v>
      </c>
      <c r="C776" s="79" t="s">
        <v>753</v>
      </c>
      <c r="D776" s="79" t="str">
        <f t="shared" si="14"/>
        <v>Munkunyu</v>
      </c>
      <c r="E776" s="79"/>
      <c r="F776" s="79">
        <v>666</v>
      </c>
    </row>
    <row r="777" spans="1:6">
      <c r="A777" s="79" t="s">
        <v>1321</v>
      </c>
      <c r="B777" s="79" t="s">
        <v>36</v>
      </c>
      <c r="C777" s="79" t="s">
        <v>753</v>
      </c>
      <c r="D777" s="79" t="str">
        <f t="shared" si="14"/>
        <v>Nyakatonzi</v>
      </c>
      <c r="E777" s="79"/>
      <c r="F777" s="79">
        <v>667</v>
      </c>
    </row>
    <row r="778" spans="1:6">
      <c r="A778" s="79" t="s">
        <v>1322</v>
      </c>
      <c r="B778" s="79" t="s">
        <v>36</v>
      </c>
      <c r="C778" s="79" t="s">
        <v>753</v>
      </c>
      <c r="D778" s="79" t="str">
        <f t="shared" si="14"/>
        <v>Nyakiyumbu</v>
      </c>
      <c r="E778" s="79"/>
      <c r="F778" s="79">
        <v>668</v>
      </c>
    </row>
    <row r="779" spans="1:6">
      <c r="A779" s="79" t="s">
        <v>1323</v>
      </c>
      <c r="B779" s="79" t="s">
        <v>36</v>
      </c>
      <c r="C779" s="79" t="s">
        <v>1297</v>
      </c>
      <c r="D779" s="79" t="str">
        <f t="shared" si="14"/>
        <v>Rukoki</v>
      </c>
      <c r="E779" s="79"/>
      <c r="F779" s="79">
        <v>669</v>
      </c>
    </row>
    <row r="780" spans="1:6">
      <c r="A780" s="79" t="s">
        <v>1324</v>
      </c>
      <c r="B780" s="79" t="s">
        <v>1325</v>
      </c>
      <c r="C780" s="79" t="s">
        <v>1326</v>
      </c>
      <c r="D780" s="79" t="str">
        <f t="shared" si="14"/>
        <v>Kapujan</v>
      </c>
      <c r="E780" s="79"/>
      <c r="F780" s="79">
        <v>670</v>
      </c>
    </row>
    <row r="781" spans="1:6">
      <c r="A781" s="79" t="s">
        <v>1325</v>
      </c>
      <c r="B781" s="79" t="s">
        <v>1325</v>
      </c>
      <c r="C781" s="79" t="s">
        <v>1327</v>
      </c>
      <c r="D781" s="79" t="str">
        <f t="shared" si="14"/>
        <v>Katakwi</v>
      </c>
      <c r="E781" s="79"/>
      <c r="F781" s="79">
        <v>671</v>
      </c>
    </row>
    <row r="782" spans="1:6">
      <c r="A782" s="79" t="s">
        <v>1328</v>
      </c>
      <c r="B782" s="79" t="s">
        <v>1325</v>
      </c>
      <c r="C782" s="79" t="s">
        <v>1327</v>
      </c>
      <c r="D782" s="79" t="str">
        <f t="shared" si="14"/>
        <v>Katakwi Town Council</v>
      </c>
      <c r="E782" s="79"/>
      <c r="F782" s="79">
        <v>672</v>
      </c>
    </row>
    <row r="783" spans="1:6">
      <c r="A783" s="79" t="s">
        <v>1329</v>
      </c>
      <c r="B783" s="79" t="s">
        <v>1325</v>
      </c>
      <c r="C783" s="79" t="s">
        <v>1326</v>
      </c>
      <c r="D783" s="79" t="str">
        <f t="shared" si="14"/>
        <v>Magoro</v>
      </c>
      <c r="E783" s="79"/>
      <c r="F783" s="79">
        <v>673</v>
      </c>
    </row>
    <row r="784" spans="1:6">
      <c r="A784" s="79" t="s">
        <v>1330</v>
      </c>
      <c r="B784" s="79" t="s">
        <v>1325</v>
      </c>
      <c r="C784" s="79" t="s">
        <v>1327</v>
      </c>
      <c r="D784" s="79" t="str">
        <f t="shared" si="14"/>
        <v>Ngariam</v>
      </c>
      <c r="E784" s="79"/>
      <c r="F784" s="79">
        <v>674</v>
      </c>
    </row>
    <row r="785" spans="1:6">
      <c r="A785" s="79" t="s">
        <v>1331</v>
      </c>
      <c r="B785" s="79" t="s">
        <v>1325</v>
      </c>
      <c r="C785" s="79" t="s">
        <v>1326</v>
      </c>
      <c r="D785" s="79" t="str">
        <f t="shared" si="14"/>
        <v>Omodoi</v>
      </c>
      <c r="E785" s="79"/>
      <c r="F785" s="79">
        <v>675</v>
      </c>
    </row>
    <row r="786" spans="1:6">
      <c r="A786" s="79" t="s">
        <v>1332</v>
      </c>
      <c r="B786" s="79" t="s">
        <v>1325</v>
      </c>
      <c r="C786" s="79" t="s">
        <v>1327</v>
      </c>
      <c r="D786" s="79" t="str">
        <f t="shared" si="14"/>
        <v>Ongongoja</v>
      </c>
      <c r="E786" s="79"/>
      <c r="F786" s="79">
        <v>676</v>
      </c>
    </row>
    <row r="787" spans="1:6">
      <c r="A787" s="79" t="s">
        <v>1333</v>
      </c>
      <c r="B787" s="79" t="s">
        <v>1325</v>
      </c>
      <c r="C787" s="79" t="s">
        <v>1327</v>
      </c>
      <c r="D787" s="79" t="str">
        <f t="shared" si="14"/>
        <v>Palam</v>
      </c>
      <c r="E787" s="79"/>
      <c r="F787" s="79">
        <v>677</v>
      </c>
    </row>
    <row r="788" spans="1:6">
      <c r="A788" s="79" t="s">
        <v>1326</v>
      </c>
      <c r="B788" s="79" t="s">
        <v>1325</v>
      </c>
      <c r="C788" s="79" t="s">
        <v>1326</v>
      </c>
      <c r="D788" s="79" t="str">
        <f t="shared" si="14"/>
        <v>Toroma</v>
      </c>
      <c r="E788" s="79"/>
      <c r="F788" s="79">
        <v>678</v>
      </c>
    </row>
    <row r="789" spans="1:6">
      <c r="A789" s="79" t="s">
        <v>1327</v>
      </c>
      <c r="B789" s="79" t="s">
        <v>1325</v>
      </c>
      <c r="C789" s="79" t="s">
        <v>1327</v>
      </c>
      <c r="D789" s="79" t="str">
        <f t="shared" si="14"/>
        <v>Usuk</v>
      </c>
      <c r="E789" s="79"/>
      <c r="F789" s="79">
        <v>679</v>
      </c>
    </row>
    <row r="790" spans="1:6">
      <c r="A790" s="79" t="s">
        <v>1334</v>
      </c>
      <c r="B790" s="79" t="s">
        <v>1335</v>
      </c>
      <c r="C790" s="79" t="s">
        <v>1334</v>
      </c>
      <c r="D790" s="79" t="str">
        <f t="shared" si="14"/>
        <v>Bbaale</v>
      </c>
      <c r="E790" s="79"/>
      <c r="F790" s="79">
        <v>680</v>
      </c>
    </row>
    <row r="791" spans="1:6">
      <c r="A791" s="79" t="s">
        <v>1336</v>
      </c>
      <c r="B791" s="79" t="s">
        <v>1335</v>
      </c>
      <c r="C791" s="79" t="s">
        <v>1337</v>
      </c>
      <c r="D791" s="79" t="str">
        <f t="shared" si="14"/>
        <v>Busaana</v>
      </c>
      <c r="E791" s="79"/>
      <c r="F791" s="79">
        <v>681</v>
      </c>
    </row>
    <row r="792" spans="1:6">
      <c r="A792" s="79" t="s">
        <v>1338</v>
      </c>
      <c r="B792" s="79" t="s">
        <v>1335</v>
      </c>
      <c r="C792" s="79" t="s">
        <v>1334</v>
      </c>
      <c r="D792" s="79" t="str">
        <f t="shared" si="14"/>
        <v>Galiraya</v>
      </c>
      <c r="E792" s="79"/>
      <c r="F792" s="79">
        <v>682</v>
      </c>
    </row>
    <row r="793" spans="1:6">
      <c r="A793" s="79" t="s">
        <v>1339</v>
      </c>
      <c r="B793" s="79" t="s">
        <v>1335</v>
      </c>
      <c r="C793" s="79" t="s">
        <v>1337</v>
      </c>
      <c r="D793" s="79" t="str">
        <f t="shared" si="14"/>
        <v>Kangulumira</v>
      </c>
      <c r="E793" s="79"/>
      <c r="F793" s="79">
        <v>683</v>
      </c>
    </row>
    <row r="794" spans="1:6">
      <c r="A794" s="79" t="s">
        <v>1340</v>
      </c>
      <c r="B794" s="79" t="s">
        <v>1335</v>
      </c>
      <c r="C794" s="79" t="s">
        <v>1334</v>
      </c>
      <c r="D794" s="79" t="str">
        <f t="shared" si="14"/>
        <v>Kayonza-Kayunga</v>
      </c>
      <c r="E794" s="79"/>
      <c r="F794" s="79">
        <v>684</v>
      </c>
    </row>
    <row r="795" spans="1:6">
      <c r="A795" s="79" t="s">
        <v>1335</v>
      </c>
      <c r="B795" s="79" t="s">
        <v>1335</v>
      </c>
      <c r="C795" s="79" t="s">
        <v>1337</v>
      </c>
      <c r="D795" s="79" t="str">
        <f t="shared" si="14"/>
        <v>Kayunga</v>
      </c>
      <c r="E795" s="79"/>
      <c r="F795" s="79">
        <v>685</v>
      </c>
    </row>
    <row r="796" spans="1:6">
      <c r="A796" s="79" t="s">
        <v>1341</v>
      </c>
      <c r="B796" s="79" t="s">
        <v>1335</v>
      </c>
      <c r="C796" s="79" t="s">
        <v>1337</v>
      </c>
      <c r="D796" s="79" t="str">
        <f t="shared" si="14"/>
        <v>Kayunga Town Council</v>
      </c>
      <c r="E796" s="79"/>
      <c r="F796" s="79">
        <v>686</v>
      </c>
    </row>
    <row r="797" spans="1:6">
      <c r="A797" s="79" t="s">
        <v>1342</v>
      </c>
      <c r="B797" s="79" t="s">
        <v>1335</v>
      </c>
      <c r="C797" s="79" t="s">
        <v>1334</v>
      </c>
      <c r="D797" s="79" t="str">
        <f t="shared" si="14"/>
        <v>Kitimbwa</v>
      </c>
      <c r="E797" s="79"/>
      <c r="F797" s="79">
        <v>687</v>
      </c>
    </row>
    <row r="798" spans="1:6">
      <c r="A798" s="79" t="s">
        <v>1343</v>
      </c>
      <c r="B798" s="79" t="s">
        <v>1335</v>
      </c>
      <c r="C798" s="79" t="s">
        <v>1337</v>
      </c>
      <c r="D798" s="79" t="str">
        <f t="shared" si="14"/>
        <v>Nazigo</v>
      </c>
      <c r="E798" s="79"/>
      <c r="F798" s="79">
        <v>688</v>
      </c>
    </row>
    <row r="799" spans="1:6">
      <c r="A799" s="79" t="s">
        <v>1344</v>
      </c>
      <c r="B799" s="79" t="s">
        <v>1345</v>
      </c>
      <c r="C799" s="79" t="s">
        <v>1346</v>
      </c>
      <c r="D799" s="79" t="str">
        <f t="shared" si="14"/>
        <v>Bubango</v>
      </c>
      <c r="E799" s="79"/>
      <c r="F799" s="79">
        <v>689</v>
      </c>
    </row>
    <row r="800" spans="1:6">
      <c r="A800" s="79" t="s">
        <v>1347</v>
      </c>
      <c r="B800" s="79" t="s">
        <v>1345</v>
      </c>
      <c r="C800" s="79" t="s">
        <v>1346</v>
      </c>
      <c r="D800" s="79" t="str">
        <f t="shared" si="14"/>
        <v>Bwamiramira</v>
      </c>
      <c r="E800" s="79"/>
      <c r="F800" s="79">
        <v>690</v>
      </c>
    </row>
    <row r="801" spans="1:6">
      <c r="A801" s="79" t="s">
        <v>1348</v>
      </c>
      <c r="B801" s="79" t="s">
        <v>1345</v>
      </c>
      <c r="C801" s="79" t="s">
        <v>1346</v>
      </c>
      <c r="D801" s="79" t="str">
        <f t="shared" si="14"/>
        <v>Kabasekende</v>
      </c>
      <c r="E801" s="79"/>
      <c r="F801" s="79">
        <v>691</v>
      </c>
    </row>
    <row r="802" spans="1:6">
      <c r="A802" s="79" t="s">
        <v>1349</v>
      </c>
      <c r="B802" s="79" t="s">
        <v>1345</v>
      </c>
      <c r="C802" s="79" t="s">
        <v>1346</v>
      </c>
      <c r="D802" s="79" t="str">
        <f t="shared" si="14"/>
        <v>Kasimbi</v>
      </c>
      <c r="E802" s="79"/>
      <c r="F802" s="79">
        <v>692</v>
      </c>
    </row>
    <row r="803" spans="1:6">
      <c r="A803" s="79" t="s">
        <v>1350</v>
      </c>
      <c r="B803" s="79" t="s">
        <v>1345</v>
      </c>
      <c r="C803" s="79" t="s">
        <v>1346</v>
      </c>
      <c r="D803" s="79" t="str">
        <f t="shared" si="14"/>
        <v>Kibaale Town Council</v>
      </c>
      <c r="E803" s="79"/>
      <c r="F803" s="79">
        <v>693</v>
      </c>
    </row>
    <row r="804" spans="1:6">
      <c r="A804" s="79" t="s">
        <v>1171</v>
      </c>
      <c r="B804" s="79" t="s">
        <v>1345</v>
      </c>
      <c r="C804" s="79" t="s">
        <v>1346</v>
      </c>
      <c r="D804" s="79" t="str">
        <f t="shared" si="14"/>
        <v>Kyebando</v>
      </c>
      <c r="E804" s="79"/>
      <c r="F804" s="79">
        <v>694</v>
      </c>
    </row>
    <row r="805" spans="1:6">
      <c r="A805" s="79" t="s">
        <v>1351</v>
      </c>
      <c r="B805" s="79" t="s">
        <v>1345</v>
      </c>
      <c r="C805" s="79" t="s">
        <v>1346</v>
      </c>
      <c r="D805" s="79" t="str">
        <f t="shared" si="14"/>
        <v>Matale</v>
      </c>
      <c r="E805" s="79"/>
      <c r="F805" s="79">
        <v>695</v>
      </c>
    </row>
    <row r="806" spans="1:6">
      <c r="A806" s="79" t="s">
        <v>1352</v>
      </c>
      <c r="B806" s="79" t="s">
        <v>1345</v>
      </c>
      <c r="C806" s="79" t="s">
        <v>1346</v>
      </c>
      <c r="D806" s="79" t="str">
        <f t="shared" si="14"/>
        <v>Mugarama</v>
      </c>
      <c r="E806" s="79"/>
      <c r="F806" s="79">
        <v>696</v>
      </c>
    </row>
    <row r="807" spans="1:6">
      <c r="A807" s="79" t="s">
        <v>1353</v>
      </c>
      <c r="B807" s="79" t="s">
        <v>1345</v>
      </c>
      <c r="C807" s="79" t="s">
        <v>1346</v>
      </c>
      <c r="D807" s="79" t="str">
        <f t="shared" si="14"/>
        <v>Nyamarunda</v>
      </c>
      <c r="E807" s="79"/>
      <c r="F807" s="79">
        <v>697</v>
      </c>
    </row>
    <row r="808" spans="1:6">
      <c r="A808" s="79" t="s">
        <v>1354</v>
      </c>
      <c r="B808" s="79" t="s">
        <v>1345</v>
      </c>
      <c r="C808" s="79" t="s">
        <v>1346</v>
      </c>
      <c r="D808" s="79" t="str">
        <f t="shared" si="14"/>
        <v>Nyamarwa</v>
      </c>
      <c r="E808" s="79"/>
      <c r="F808" s="79">
        <v>698</v>
      </c>
    </row>
    <row r="809" spans="1:6">
      <c r="A809" s="79" t="s">
        <v>1355</v>
      </c>
      <c r="B809" s="79" t="s">
        <v>1356</v>
      </c>
      <c r="C809" s="79" t="s">
        <v>1356</v>
      </c>
      <c r="D809" s="79" t="str">
        <f t="shared" si="14"/>
        <v>Bukomero</v>
      </c>
      <c r="E809" s="79"/>
      <c r="F809" s="79">
        <v>699</v>
      </c>
    </row>
    <row r="810" spans="1:6">
      <c r="A810" s="79" t="s">
        <v>1357</v>
      </c>
      <c r="B810" s="79" t="s">
        <v>1356</v>
      </c>
      <c r="C810" s="79" t="s">
        <v>1356</v>
      </c>
      <c r="D810" s="79" t="str">
        <f t="shared" si="14"/>
        <v>Bukomero Town Council</v>
      </c>
      <c r="E810" s="79"/>
      <c r="F810" s="79">
        <v>700</v>
      </c>
    </row>
    <row r="811" spans="1:6">
      <c r="A811" s="79" t="s">
        <v>1358</v>
      </c>
      <c r="B811" s="79" t="s">
        <v>1356</v>
      </c>
      <c r="C811" s="79" t="s">
        <v>1356</v>
      </c>
      <c r="D811" s="79" t="str">
        <f t="shared" si="14"/>
        <v>Ddwaniro-Kiboga</v>
      </c>
      <c r="E811" s="79"/>
      <c r="F811" s="79">
        <v>701</v>
      </c>
    </row>
    <row r="812" spans="1:6">
      <c r="A812" s="79" t="s">
        <v>1359</v>
      </c>
      <c r="B812" s="79" t="s">
        <v>1356</v>
      </c>
      <c r="C812" s="79" t="s">
        <v>1356</v>
      </c>
      <c r="D812" s="79" t="str">
        <f t="shared" si="14"/>
        <v>Kapeke</v>
      </c>
      <c r="E812" s="79"/>
      <c r="F812" s="79">
        <v>702</v>
      </c>
    </row>
    <row r="813" spans="1:6">
      <c r="A813" s="79" t="s">
        <v>1360</v>
      </c>
      <c r="B813" s="79" t="s">
        <v>1356</v>
      </c>
      <c r="C813" s="79" t="s">
        <v>1356</v>
      </c>
      <c r="D813" s="79" t="str">
        <f t="shared" si="14"/>
        <v>Kibiga</v>
      </c>
      <c r="E813" s="79"/>
      <c r="F813" s="79">
        <v>703</v>
      </c>
    </row>
    <row r="814" spans="1:6">
      <c r="A814" s="79" t="s">
        <v>1361</v>
      </c>
      <c r="B814" s="79" t="s">
        <v>1356</v>
      </c>
      <c r="C814" s="79" t="s">
        <v>1356</v>
      </c>
      <c r="D814" s="79" t="str">
        <f t="shared" si="14"/>
        <v>Kiboga Town Council</v>
      </c>
      <c r="E814" s="79"/>
      <c r="F814" s="79">
        <v>704</v>
      </c>
    </row>
    <row r="815" spans="1:6">
      <c r="A815" s="79" t="s">
        <v>1362</v>
      </c>
      <c r="B815" s="79" t="s">
        <v>1356</v>
      </c>
      <c r="C815" s="79" t="s">
        <v>1356</v>
      </c>
      <c r="D815" s="79" t="str">
        <f t="shared" si="14"/>
        <v>Lwamata</v>
      </c>
      <c r="E815" s="79"/>
      <c r="F815" s="79">
        <v>705</v>
      </c>
    </row>
    <row r="816" spans="1:6">
      <c r="A816" s="79" t="s">
        <v>1363</v>
      </c>
      <c r="B816" s="79" t="s">
        <v>1356</v>
      </c>
      <c r="C816" s="79" t="s">
        <v>1356</v>
      </c>
      <c r="D816" s="79" t="str">
        <f t="shared" si="14"/>
        <v>Muwanga</v>
      </c>
      <c r="E816" s="79"/>
      <c r="F816" s="79">
        <v>706</v>
      </c>
    </row>
    <row r="817" spans="1:6">
      <c r="A817" s="79" t="s">
        <v>1364</v>
      </c>
      <c r="B817" s="79" t="s">
        <v>1365</v>
      </c>
      <c r="C817" s="79" t="s">
        <v>1365</v>
      </c>
      <c r="D817" s="79" t="str">
        <f t="shared" si="14"/>
        <v>Bulangira</v>
      </c>
      <c r="E817" s="79"/>
      <c r="F817" s="79">
        <v>707</v>
      </c>
    </row>
    <row r="818" spans="1:6">
      <c r="A818" s="79" t="s">
        <v>1366</v>
      </c>
      <c r="B818" s="79" t="s">
        <v>1365</v>
      </c>
      <c r="C818" s="79" t="s">
        <v>1365</v>
      </c>
      <c r="D818" s="79" t="str">
        <f t="shared" si="14"/>
        <v>Buseta</v>
      </c>
      <c r="E818" s="79"/>
      <c r="F818" s="79">
        <v>708</v>
      </c>
    </row>
    <row r="819" spans="1:6">
      <c r="A819" s="79" t="s">
        <v>1367</v>
      </c>
      <c r="B819" s="79" t="s">
        <v>1365</v>
      </c>
      <c r="C819" s="79" t="s">
        <v>1365</v>
      </c>
      <c r="D819" s="79" t="str">
        <f t="shared" si="14"/>
        <v>Kabweri</v>
      </c>
      <c r="E819" s="79"/>
      <c r="F819" s="79">
        <v>709</v>
      </c>
    </row>
    <row r="820" spans="1:6">
      <c r="A820" s="79" t="s">
        <v>1368</v>
      </c>
      <c r="B820" s="79" t="s">
        <v>1365</v>
      </c>
      <c r="C820" s="79" t="s">
        <v>1365</v>
      </c>
      <c r="D820" s="79" t="str">
        <f t="shared" si="14"/>
        <v>Kadama</v>
      </c>
      <c r="E820" s="79"/>
      <c r="F820" s="79">
        <v>710</v>
      </c>
    </row>
    <row r="821" spans="1:6">
      <c r="A821" s="79" t="s">
        <v>1369</v>
      </c>
      <c r="B821" s="79" t="s">
        <v>1365</v>
      </c>
      <c r="C821" s="79" t="s">
        <v>1365</v>
      </c>
      <c r="D821" s="79" t="str">
        <f t="shared" si="14"/>
        <v>Kagumu</v>
      </c>
      <c r="E821" s="79"/>
      <c r="F821" s="79">
        <v>711</v>
      </c>
    </row>
    <row r="822" spans="1:6">
      <c r="A822" s="79" t="s">
        <v>1370</v>
      </c>
      <c r="B822" s="79" t="s">
        <v>1365</v>
      </c>
      <c r="C822" s="79" t="s">
        <v>1365</v>
      </c>
      <c r="D822" s="79" t="str">
        <f t="shared" si="14"/>
        <v>Kasasira</v>
      </c>
      <c r="E822" s="79"/>
      <c r="F822" s="79">
        <v>712</v>
      </c>
    </row>
    <row r="823" spans="1:6">
      <c r="A823" s="79" t="s">
        <v>1365</v>
      </c>
      <c r="B823" s="79" t="s">
        <v>1365</v>
      </c>
      <c r="C823" s="79" t="s">
        <v>1365</v>
      </c>
      <c r="D823" s="79" t="str">
        <f t="shared" si="14"/>
        <v>Kibuku</v>
      </c>
      <c r="E823" s="79"/>
      <c r="F823" s="79">
        <v>713</v>
      </c>
    </row>
    <row r="824" spans="1:6">
      <c r="A824" s="79" t="s">
        <v>1371</v>
      </c>
      <c r="B824" s="79" t="s">
        <v>1365</v>
      </c>
      <c r="C824" s="79" t="s">
        <v>1365</v>
      </c>
      <c r="D824" s="79" t="str">
        <f t="shared" si="14"/>
        <v>Kibuku Town Council</v>
      </c>
      <c r="E824" s="79"/>
      <c r="F824" s="79">
        <v>714</v>
      </c>
    </row>
    <row r="825" spans="1:6">
      <c r="A825" s="79" t="s">
        <v>1372</v>
      </c>
      <c r="B825" s="79" t="s">
        <v>1365</v>
      </c>
      <c r="C825" s="79" t="s">
        <v>1365</v>
      </c>
      <c r="D825" s="79" t="str">
        <f t="shared" si="14"/>
        <v>Kirika</v>
      </c>
      <c r="E825" s="79"/>
      <c r="F825" s="79">
        <v>715</v>
      </c>
    </row>
    <row r="826" spans="1:6">
      <c r="A826" s="79" t="s">
        <v>1373</v>
      </c>
      <c r="B826" s="79" t="s">
        <v>1365</v>
      </c>
      <c r="C826" s="79" t="s">
        <v>1365</v>
      </c>
      <c r="D826" s="79" t="str">
        <f t="shared" si="14"/>
        <v>Tirinyi</v>
      </c>
      <c r="E826" s="79"/>
      <c r="F826" s="79">
        <v>716</v>
      </c>
    </row>
    <row r="827" spans="1:6">
      <c r="A827" s="79" t="s">
        <v>1374</v>
      </c>
      <c r="B827" s="79" t="s">
        <v>1375</v>
      </c>
      <c r="C827" s="79" t="s">
        <v>1376</v>
      </c>
      <c r="D827" s="79" t="str">
        <f t="shared" si="14"/>
        <v>Buremba</v>
      </c>
      <c r="E827" s="79"/>
      <c r="F827" s="79">
        <v>717</v>
      </c>
    </row>
    <row r="828" spans="1:6">
      <c r="A828" s="79" t="s">
        <v>1377</v>
      </c>
      <c r="B828" s="79" t="s">
        <v>1375</v>
      </c>
      <c r="C828" s="79" t="s">
        <v>1376</v>
      </c>
      <c r="D828" s="79" t="str">
        <f t="shared" si="14"/>
        <v>Burunga</v>
      </c>
      <c r="E828" s="79"/>
      <c r="F828" s="79">
        <v>718</v>
      </c>
    </row>
    <row r="829" spans="1:6">
      <c r="A829" s="79" t="s">
        <v>1378</v>
      </c>
      <c r="B829" s="79" t="s">
        <v>1375</v>
      </c>
      <c r="C829" s="79" t="s">
        <v>1376</v>
      </c>
      <c r="D829" s="79" t="str">
        <f t="shared" si="14"/>
        <v>Engari</v>
      </c>
      <c r="E829" s="79"/>
      <c r="F829" s="79">
        <v>719</v>
      </c>
    </row>
    <row r="830" spans="1:6">
      <c r="A830" s="79" t="s">
        <v>1379</v>
      </c>
      <c r="B830" s="79" t="s">
        <v>1375</v>
      </c>
      <c r="C830" s="79" t="s">
        <v>1376</v>
      </c>
      <c r="D830" s="79" t="str">
        <f t="shared" si="14"/>
        <v>Kanoni</v>
      </c>
      <c r="E830" s="79"/>
      <c r="F830" s="79">
        <v>720</v>
      </c>
    </row>
    <row r="831" spans="1:6">
      <c r="A831" s="79" t="s">
        <v>1380</v>
      </c>
      <c r="B831" s="79" t="s">
        <v>1375</v>
      </c>
      <c r="C831" s="79" t="s">
        <v>1381</v>
      </c>
      <c r="D831" s="79" t="str">
        <f t="shared" si="14"/>
        <v>Kanyaryeru</v>
      </c>
      <c r="E831" s="79"/>
      <c r="F831" s="79">
        <v>721</v>
      </c>
    </row>
    <row r="832" spans="1:6">
      <c r="A832" s="79" t="s">
        <v>1382</v>
      </c>
      <c r="B832" s="79" t="s">
        <v>1375</v>
      </c>
      <c r="C832" s="79" t="s">
        <v>1381</v>
      </c>
      <c r="D832" s="79" t="str">
        <f t="shared" si="14"/>
        <v>Kashongi</v>
      </c>
      <c r="E832" s="79"/>
      <c r="F832" s="79">
        <v>722</v>
      </c>
    </row>
    <row r="833" spans="1:6">
      <c r="A833" s="79" t="s">
        <v>1376</v>
      </c>
      <c r="B833" s="79" t="s">
        <v>1375</v>
      </c>
      <c r="C833" s="79" t="s">
        <v>1376</v>
      </c>
      <c r="D833" s="79" t="str">
        <f t="shared" si="14"/>
        <v>Kazo</v>
      </c>
      <c r="E833" s="79"/>
      <c r="F833" s="79">
        <v>723</v>
      </c>
    </row>
    <row r="834" spans="1:6">
      <c r="A834" s="79" t="s">
        <v>1383</v>
      </c>
      <c r="B834" s="79" t="s">
        <v>1375</v>
      </c>
      <c r="C834" s="79" t="s">
        <v>1376</v>
      </c>
      <c r="D834" s="79" t="str">
        <f t="shared" si="14"/>
        <v>Kazo Town Council</v>
      </c>
      <c r="E834" s="79"/>
      <c r="F834" s="79">
        <v>724</v>
      </c>
    </row>
    <row r="835" spans="1:6">
      <c r="A835" s="79" t="s">
        <v>1384</v>
      </c>
      <c r="B835" s="79" t="s">
        <v>1375</v>
      </c>
      <c r="C835" s="79" t="s">
        <v>1381</v>
      </c>
      <c r="D835" s="79" t="str">
        <f t="shared" ref="D835:D898" si="15">A835</f>
        <v>Kenshunga</v>
      </c>
      <c r="E835" s="79"/>
      <c r="F835" s="79">
        <v>725</v>
      </c>
    </row>
    <row r="836" spans="1:6">
      <c r="A836" s="79" t="s">
        <v>1385</v>
      </c>
      <c r="B836" s="79" t="s">
        <v>1375</v>
      </c>
      <c r="C836" s="79" t="s">
        <v>1381</v>
      </c>
      <c r="D836" s="79" t="str">
        <f t="shared" si="15"/>
        <v>Kikaatsi</v>
      </c>
      <c r="E836" s="79"/>
      <c r="F836" s="79">
        <v>726</v>
      </c>
    </row>
    <row r="837" spans="1:6">
      <c r="A837" s="79" t="s">
        <v>1386</v>
      </c>
      <c r="B837" s="79" t="s">
        <v>1375</v>
      </c>
      <c r="C837" s="79" t="s">
        <v>1381</v>
      </c>
      <c r="D837" s="79" t="str">
        <f t="shared" si="15"/>
        <v>Kinoni-Kiruhura</v>
      </c>
      <c r="E837" s="79"/>
      <c r="F837" s="79">
        <v>727</v>
      </c>
    </row>
    <row r="838" spans="1:6">
      <c r="A838" s="79" t="s">
        <v>1387</v>
      </c>
      <c r="B838" s="79" t="s">
        <v>1375</v>
      </c>
      <c r="C838" s="79" t="s">
        <v>1381</v>
      </c>
      <c r="D838" s="79" t="str">
        <f t="shared" si="15"/>
        <v>Kiruhura Town Council</v>
      </c>
      <c r="E838" s="79"/>
      <c r="F838" s="79">
        <v>728</v>
      </c>
    </row>
    <row r="839" spans="1:6">
      <c r="A839" s="79" t="s">
        <v>1388</v>
      </c>
      <c r="B839" s="79" t="s">
        <v>1375</v>
      </c>
      <c r="C839" s="79" t="s">
        <v>1381</v>
      </c>
      <c r="D839" s="79" t="str">
        <f t="shared" si="15"/>
        <v>Kitura</v>
      </c>
      <c r="E839" s="79"/>
      <c r="F839" s="79">
        <v>729</v>
      </c>
    </row>
    <row r="840" spans="1:6">
      <c r="A840" s="79" t="s">
        <v>1389</v>
      </c>
      <c r="B840" s="79" t="s">
        <v>1375</v>
      </c>
      <c r="C840" s="79" t="s">
        <v>1376</v>
      </c>
      <c r="D840" s="79" t="str">
        <f t="shared" si="15"/>
        <v>Nkungu</v>
      </c>
      <c r="E840" s="79"/>
      <c r="F840" s="79">
        <v>730</v>
      </c>
    </row>
    <row r="841" spans="1:6">
      <c r="A841" s="79" t="s">
        <v>1390</v>
      </c>
      <c r="B841" s="79" t="s">
        <v>1375</v>
      </c>
      <c r="C841" s="79" t="s">
        <v>1381</v>
      </c>
      <c r="D841" s="79" t="str">
        <f t="shared" si="15"/>
        <v>Nyakashashara</v>
      </c>
      <c r="E841" s="79"/>
      <c r="F841" s="79">
        <v>731</v>
      </c>
    </row>
    <row r="842" spans="1:6">
      <c r="A842" s="79" t="s">
        <v>1391</v>
      </c>
      <c r="B842" s="79" t="s">
        <v>1375</v>
      </c>
      <c r="C842" s="79" t="s">
        <v>1376</v>
      </c>
      <c r="D842" s="79" t="str">
        <f t="shared" si="15"/>
        <v>Rwemikoma</v>
      </c>
      <c r="E842" s="79"/>
      <c r="F842" s="79">
        <v>732</v>
      </c>
    </row>
    <row r="843" spans="1:6">
      <c r="A843" s="79" t="s">
        <v>1392</v>
      </c>
      <c r="B843" s="79" t="s">
        <v>1375</v>
      </c>
      <c r="C843" s="79" t="s">
        <v>1381</v>
      </c>
      <c r="D843" s="79" t="str">
        <f t="shared" si="15"/>
        <v>Sanga</v>
      </c>
      <c r="E843" s="79"/>
      <c r="F843" s="79">
        <v>733</v>
      </c>
    </row>
    <row r="844" spans="1:6">
      <c r="A844" s="79" t="s">
        <v>1393</v>
      </c>
      <c r="B844" s="79" t="s">
        <v>1375</v>
      </c>
      <c r="C844" s="79" t="s">
        <v>1381</v>
      </c>
      <c r="D844" s="79" t="str">
        <f t="shared" si="15"/>
        <v>Sanga Town Council</v>
      </c>
      <c r="E844" s="79"/>
      <c r="F844" s="79">
        <v>734</v>
      </c>
    </row>
    <row r="845" spans="1:6">
      <c r="A845" s="79" t="s">
        <v>1394</v>
      </c>
      <c r="B845" s="79" t="s">
        <v>1395</v>
      </c>
      <c r="C845" s="79" t="s">
        <v>1396</v>
      </c>
      <c r="D845" s="79" t="str">
        <f t="shared" si="15"/>
        <v>Bweyale Town Council</v>
      </c>
      <c r="E845" s="79"/>
      <c r="F845" s="79">
        <v>735</v>
      </c>
    </row>
    <row r="846" spans="1:6">
      <c r="A846" s="79" t="s">
        <v>1397</v>
      </c>
      <c r="B846" s="79" t="s">
        <v>1395</v>
      </c>
      <c r="C846" s="79" t="s">
        <v>1396</v>
      </c>
      <c r="D846" s="79" t="str">
        <f t="shared" si="15"/>
        <v>Kigumba</v>
      </c>
      <c r="E846" s="79"/>
      <c r="F846" s="79">
        <v>736</v>
      </c>
    </row>
    <row r="847" spans="1:6">
      <c r="A847" s="79" t="s">
        <v>1398</v>
      </c>
      <c r="B847" s="79" t="s">
        <v>1395</v>
      </c>
      <c r="C847" s="79" t="s">
        <v>1396</v>
      </c>
      <c r="D847" s="79" t="str">
        <f t="shared" si="15"/>
        <v>Kigumba Town Council</v>
      </c>
      <c r="E847" s="79"/>
      <c r="F847" s="79">
        <v>737</v>
      </c>
    </row>
    <row r="848" spans="1:6">
      <c r="A848" s="79" t="s">
        <v>1395</v>
      </c>
      <c r="B848" s="79" t="s">
        <v>1395</v>
      </c>
      <c r="C848" s="79" t="s">
        <v>1396</v>
      </c>
      <c r="D848" s="79" t="str">
        <f t="shared" si="15"/>
        <v>Kiryandongo</v>
      </c>
      <c r="E848" s="79"/>
      <c r="F848" s="79">
        <v>738</v>
      </c>
    </row>
    <row r="849" spans="1:6">
      <c r="A849" s="79" t="s">
        <v>1399</v>
      </c>
      <c r="B849" s="79" t="s">
        <v>1395</v>
      </c>
      <c r="C849" s="79" t="s">
        <v>1396</v>
      </c>
      <c r="D849" s="79" t="str">
        <f t="shared" si="15"/>
        <v>Kiryandongo Refugee Camp</v>
      </c>
      <c r="E849" s="79"/>
      <c r="F849" s="79">
        <v>739</v>
      </c>
    </row>
    <row r="850" spans="1:6">
      <c r="A850" s="79" t="s">
        <v>1400</v>
      </c>
      <c r="B850" s="79" t="s">
        <v>1395</v>
      </c>
      <c r="C850" s="79" t="s">
        <v>1396</v>
      </c>
      <c r="D850" s="79" t="str">
        <f t="shared" si="15"/>
        <v>Kiryandongo Town Council</v>
      </c>
      <c r="E850" s="79"/>
      <c r="F850" s="79">
        <v>740</v>
      </c>
    </row>
    <row r="851" spans="1:6">
      <c r="A851" s="79" t="s">
        <v>1401</v>
      </c>
      <c r="B851" s="79" t="s">
        <v>1395</v>
      </c>
      <c r="C851" s="79" t="s">
        <v>1396</v>
      </c>
      <c r="D851" s="79" t="str">
        <f t="shared" si="15"/>
        <v>Masindi Port</v>
      </c>
      <c r="E851" s="79"/>
      <c r="F851" s="79">
        <v>741</v>
      </c>
    </row>
    <row r="852" spans="1:6">
      <c r="A852" s="79" t="s">
        <v>1402</v>
      </c>
      <c r="B852" s="79" t="s">
        <v>1395</v>
      </c>
      <c r="C852" s="79" t="s">
        <v>1396</v>
      </c>
      <c r="D852" s="79" t="str">
        <f t="shared" si="15"/>
        <v>Mutunda</v>
      </c>
      <c r="E852" s="79"/>
      <c r="F852" s="79">
        <v>742</v>
      </c>
    </row>
    <row r="853" spans="1:6">
      <c r="A853" s="79" t="s">
        <v>1403</v>
      </c>
      <c r="B853" s="79" t="s">
        <v>1404</v>
      </c>
      <c r="C853" s="79" t="s">
        <v>1405</v>
      </c>
      <c r="D853" s="79" t="str">
        <f t="shared" si="15"/>
        <v>Bukimbiri</v>
      </c>
      <c r="E853" s="79"/>
      <c r="F853" s="79">
        <v>743</v>
      </c>
    </row>
    <row r="854" spans="1:6">
      <c r="A854" s="79" t="s">
        <v>1406</v>
      </c>
      <c r="B854" s="79" t="s">
        <v>1404</v>
      </c>
      <c r="C854" s="79" t="s">
        <v>1405</v>
      </c>
      <c r="D854" s="79" t="str">
        <f t="shared" si="15"/>
        <v>Busanza</v>
      </c>
      <c r="E854" s="79"/>
      <c r="F854" s="79">
        <v>744</v>
      </c>
    </row>
    <row r="855" spans="1:6">
      <c r="A855" s="79" t="s">
        <v>1407</v>
      </c>
      <c r="B855" s="79" t="s">
        <v>1404</v>
      </c>
      <c r="C855" s="79" t="s">
        <v>1405</v>
      </c>
      <c r="D855" s="79" t="str">
        <f t="shared" si="15"/>
        <v>Chahi</v>
      </c>
      <c r="E855" s="79"/>
      <c r="F855" s="79">
        <v>745</v>
      </c>
    </row>
    <row r="856" spans="1:6">
      <c r="A856" s="79" t="s">
        <v>1408</v>
      </c>
      <c r="B856" s="79" t="s">
        <v>1404</v>
      </c>
      <c r="C856" s="79" t="s">
        <v>1405</v>
      </c>
      <c r="D856" s="79" t="str">
        <f t="shared" si="15"/>
        <v>Kanaba</v>
      </c>
      <c r="E856" s="79"/>
      <c r="F856" s="79">
        <v>746</v>
      </c>
    </row>
    <row r="857" spans="1:6">
      <c r="A857" s="79" t="s">
        <v>1409</v>
      </c>
      <c r="B857" s="79" t="s">
        <v>1404</v>
      </c>
      <c r="C857" s="79" t="s">
        <v>1405</v>
      </c>
      <c r="D857" s="79" t="str">
        <f t="shared" si="15"/>
        <v>Kirundo</v>
      </c>
      <c r="E857" s="79"/>
      <c r="F857" s="79">
        <v>747</v>
      </c>
    </row>
    <row r="858" spans="1:6">
      <c r="A858" s="79" t="s">
        <v>1410</v>
      </c>
      <c r="B858" s="79" t="s">
        <v>1404</v>
      </c>
      <c r="C858" s="79" t="s">
        <v>1410</v>
      </c>
      <c r="D858" s="79" t="str">
        <f t="shared" si="15"/>
        <v>Kisoro Municipality</v>
      </c>
      <c r="E858" s="79"/>
      <c r="F858" s="79">
        <v>748</v>
      </c>
    </row>
    <row r="859" spans="1:6">
      <c r="A859" s="79" t="s">
        <v>1411</v>
      </c>
      <c r="B859" s="79" t="s">
        <v>1404</v>
      </c>
      <c r="C859" s="79" t="s">
        <v>1405</v>
      </c>
      <c r="D859" s="79" t="str">
        <f t="shared" si="15"/>
        <v>Muramba</v>
      </c>
      <c r="E859" s="79"/>
      <c r="F859" s="79">
        <v>749</v>
      </c>
    </row>
    <row r="860" spans="1:6">
      <c r="A860" s="79" t="s">
        <v>1412</v>
      </c>
      <c r="B860" s="79" t="s">
        <v>1404</v>
      </c>
      <c r="C860" s="79" t="s">
        <v>1405</v>
      </c>
      <c r="D860" s="79" t="str">
        <f t="shared" si="15"/>
        <v>Murora</v>
      </c>
      <c r="E860" s="79"/>
      <c r="F860" s="79">
        <v>750</v>
      </c>
    </row>
    <row r="861" spans="1:6">
      <c r="A861" s="79" t="s">
        <v>1413</v>
      </c>
      <c r="B861" s="79" t="s">
        <v>1404</v>
      </c>
      <c r="C861" s="79" t="s">
        <v>1405</v>
      </c>
      <c r="D861" s="79" t="str">
        <f t="shared" si="15"/>
        <v>Nyabwishenya</v>
      </c>
      <c r="E861" s="79"/>
      <c r="F861" s="79">
        <v>751</v>
      </c>
    </row>
    <row r="862" spans="1:6">
      <c r="A862" s="79" t="s">
        <v>1414</v>
      </c>
      <c r="B862" s="79" t="s">
        <v>1404</v>
      </c>
      <c r="C862" s="79" t="s">
        <v>1405</v>
      </c>
      <c r="D862" s="79" t="str">
        <f t="shared" si="15"/>
        <v>Nyakabande</v>
      </c>
      <c r="E862" s="79"/>
      <c r="F862" s="79">
        <v>752</v>
      </c>
    </row>
    <row r="863" spans="1:6">
      <c r="A863" s="79" t="s">
        <v>1415</v>
      </c>
      <c r="B863" s="79" t="s">
        <v>1404</v>
      </c>
      <c r="C863" s="79" t="s">
        <v>1405</v>
      </c>
      <c r="D863" s="79" t="str">
        <f t="shared" si="15"/>
        <v>Nyakinama</v>
      </c>
      <c r="E863" s="79"/>
      <c r="F863" s="79">
        <v>753</v>
      </c>
    </row>
    <row r="864" spans="1:6">
      <c r="A864" s="79" t="s">
        <v>1416</v>
      </c>
      <c r="B864" s="79" t="s">
        <v>1404</v>
      </c>
      <c r="C864" s="79" t="s">
        <v>1405</v>
      </c>
      <c r="D864" s="79" t="str">
        <f t="shared" si="15"/>
        <v>Nyarubuye</v>
      </c>
      <c r="E864" s="79"/>
      <c r="F864" s="79">
        <v>754</v>
      </c>
    </row>
    <row r="865" spans="1:6">
      <c r="A865" s="79" t="s">
        <v>1417</v>
      </c>
      <c r="B865" s="79" t="s">
        <v>1404</v>
      </c>
      <c r="C865" s="79" t="s">
        <v>1405</v>
      </c>
      <c r="D865" s="79" t="str">
        <f t="shared" si="15"/>
        <v>Nyarusiza</v>
      </c>
      <c r="E865" s="79"/>
      <c r="F865" s="79">
        <v>755</v>
      </c>
    </row>
    <row r="866" spans="1:6">
      <c r="A866" s="79" t="s">
        <v>1418</v>
      </c>
      <c r="B866" s="79" t="s">
        <v>1404</v>
      </c>
      <c r="C866" s="79" t="s">
        <v>1405</v>
      </c>
      <c r="D866" s="79" t="str">
        <f t="shared" si="15"/>
        <v>Nyundo</v>
      </c>
      <c r="E866" s="79"/>
      <c r="F866" s="79">
        <v>756</v>
      </c>
    </row>
    <row r="867" spans="1:6">
      <c r="A867" s="79" t="s">
        <v>1419</v>
      </c>
      <c r="B867" s="79" t="s">
        <v>1404</v>
      </c>
      <c r="C867" s="79" t="s">
        <v>1405</v>
      </c>
      <c r="D867" s="79" t="str">
        <f t="shared" si="15"/>
        <v>Rubuguri Town Council</v>
      </c>
      <c r="E867" s="79"/>
      <c r="F867" s="79">
        <v>757</v>
      </c>
    </row>
    <row r="868" spans="1:6">
      <c r="A868" s="79" t="s">
        <v>1420</v>
      </c>
      <c r="B868" s="79" t="s">
        <v>1421</v>
      </c>
      <c r="C868" s="79" t="s">
        <v>1422</v>
      </c>
      <c r="D868" s="79" t="str">
        <f t="shared" si="15"/>
        <v>Kitgum Matidi</v>
      </c>
      <c r="E868" s="79"/>
      <c r="F868" s="79">
        <v>758</v>
      </c>
    </row>
    <row r="869" spans="1:6">
      <c r="A869" s="79" t="s">
        <v>1423</v>
      </c>
      <c r="B869" s="79" t="s">
        <v>1421</v>
      </c>
      <c r="C869" s="79" t="s">
        <v>1423</v>
      </c>
      <c r="D869" s="79" t="str">
        <f t="shared" si="15"/>
        <v>Kitgum Municipality</v>
      </c>
      <c r="E869" s="79"/>
      <c r="F869" s="79">
        <v>759</v>
      </c>
    </row>
    <row r="870" spans="1:6">
      <c r="A870" s="79" t="s">
        <v>1424</v>
      </c>
      <c r="B870" s="79" t="s">
        <v>1421</v>
      </c>
      <c r="C870" s="79" t="s">
        <v>1422</v>
      </c>
      <c r="D870" s="79" t="str">
        <f t="shared" si="15"/>
        <v>Labongo Akwang</v>
      </c>
      <c r="E870" s="79"/>
      <c r="F870" s="79">
        <v>760</v>
      </c>
    </row>
    <row r="871" spans="1:6">
      <c r="A871" s="79" t="s">
        <v>1425</v>
      </c>
      <c r="B871" s="79" t="s">
        <v>1421</v>
      </c>
      <c r="C871" s="79" t="s">
        <v>1422</v>
      </c>
      <c r="D871" s="79" t="str">
        <f t="shared" si="15"/>
        <v>Labongo Amida</v>
      </c>
      <c r="E871" s="79"/>
      <c r="F871" s="79">
        <v>761</v>
      </c>
    </row>
    <row r="872" spans="1:6">
      <c r="A872" s="79" t="s">
        <v>1426</v>
      </c>
      <c r="B872" s="79" t="s">
        <v>1421</v>
      </c>
      <c r="C872" s="79" t="s">
        <v>1422</v>
      </c>
      <c r="D872" s="79" t="str">
        <f t="shared" si="15"/>
        <v>Labongo Layamo</v>
      </c>
      <c r="E872" s="79"/>
      <c r="F872" s="79">
        <v>762</v>
      </c>
    </row>
    <row r="873" spans="1:6">
      <c r="A873" s="79" t="s">
        <v>1427</v>
      </c>
      <c r="B873" s="79" t="s">
        <v>1421</v>
      </c>
      <c r="C873" s="79" t="s">
        <v>1422</v>
      </c>
      <c r="D873" s="79" t="str">
        <f t="shared" si="15"/>
        <v>Lagoro</v>
      </c>
      <c r="E873" s="79"/>
      <c r="F873" s="79">
        <v>763</v>
      </c>
    </row>
    <row r="874" spans="1:6">
      <c r="A874" s="79" t="s">
        <v>1428</v>
      </c>
      <c r="B874" s="79" t="s">
        <v>1421</v>
      </c>
      <c r="C874" s="79" t="s">
        <v>1422</v>
      </c>
      <c r="D874" s="79" t="str">
        <f t="shared" si="15"/>
        <v>Mucwini</v>
      </c>
      <c r="E874" s="79"/>
      <c r="F874" s="79">
        <v>764</v>
      </c>
    </row>
    <row r="875" spans="1:6">
      <c r="A875" s="79" t="s">
        <v>1429</v>
      </c>
      <c r="B875" s="79" t="s">
        <v>1421</v>
      </c>
      <c r="C875" s="79" t="s">
        <v>1422</v>
      </c>
      <c r="D875" s="79" t="str">
        <f t="shared" si="15"/>
        <v>Namokora</v>
      </c>
      <c r="E875" s="79"/>
      <c r="F875" s="79">
        <v>765</v>
      </c>
    </row>
    <row r="876" spans="1:6">
      <c r="A876" s="79" t="s">
        <v>1430</v>
      </c>
      <c r="B876" s="79" t="s">
        <v>1421</v>
      </c>
      <c r="C876" s="79" t="s">
        <v>1422</v>
      </c>
      <c r="D876" s="79" t="str">
        <f t="shared" si="15"/>
        <v>Omiya Anyima</v>
      </c>
      <c r="E876" s="79"/>
      <c r="F876" s="79">
        <v>766</v>
      </c>
    </row>
    <row r="877" spans="1:6">
      <c r="A877" s="79" t="s">
        <v>1431</v>
      </c>
      <c r="B877" s="79" t="s">
        <v>1421</v>
      </c>
      <c r="C877" s="79" t="s">
        <v>1422</v>
      </c>
      <c r="D877" s="79" t="str">
        <f t="shared" si="15"/>
        <v>Orom</v>
      </c>
      <c r="E877" s="79"/>
      <c r="F877" s="79">
        <v>767</v>
      </c>
    </row>
    <row r="878" spans="1:6">
      <c r="A878" s="79" t="s">
        <v>1432</v>
      </c>
      <c r="B878" s="79" t="s">
        <v>1433</v>
      </c>
      <c r="C878" s="79" t="s">
        <v>1433</v>
      </c>
      <c r="D878" s="79" t="str">
        <f t="shared" si="15"/>
        <v>Abuku</v>
      </c>
      <c r="E878" s="79"/>
      <c r="F878" s="79">
        <v>768</v>
      </c>
    </row>
    <row r="879" spans="1:6">
      <c r="A879" s="79" t="s">
        <v>1434</v>
      </c>
      <c r="B879" s="79" t="s">
        <v>1433</v>
      </c>
      <c r="C879" s="79" t="s">
        <v>1433</v>
      </c>
      <c r="D879" s="79" t="str">
        <f t="shared" si="15"/>
        <v>Dranya</v>
      </c>
      <c r="E879" s="79"/>
      <c r="F879" s="79">
        <v>769</v>
      </c>
    </row>
    <row r="880" spans="1:6">
      <c r="A880" s="79" t="s">
        <v>1435</v>
      </c>
      <c r="B880" s="79" t="s">
        <v>1433</v>
      </c>
      <c r="C880" s="79" t="s">
        <v>1435</v>
      </c>
      <c r="D880" s="79" t="str">
        <f t="shared" si="15"/>
        <v>Koboko Municipality</v>
      </c>
      <c r="E880" s="79"/>
      <c r="F880" s="79">
        <v>770</v>
      </c>
    </row>
    <row r="881" spans="1:6">
      <c r="A881" s="79" t="s">
        <v>1436</v>
      </c>
      <c r="B881" s="79" t="s">
        <v>1433</v>
      </c>
      <c r="C881" s="79" t="s">
        <v>1433</v>
      </c>
      <c r="D881" s="79" t="str">
        <f t="shared" si="15"/>
        <v>Kuluba</v>
      </c>
      <c r="E881" s="79"/>
      <c r="F881" s="79">
        <v>771</v>
      </c>
    </row>
    <row r="882" spans="1:6">
      <c r="A882" s="79" t="s">
        <v>1437</v>
      </c>
      <c r="B882" s="79" t="s">
        <v>1433</v>
      </c>
      <c r="C882" s="79" t="s">
        <v>1433</v>
      </c>
      <c r="D882" s="79" t="str">
        <f t="shared" si="15"/>
        <v>Lobule</v>
      </c>
      <c r="E882" s="79"/>
      <c r="F882" s="79">
        <v>772</v>
      </c>
    </row>
    <row r="883" spans="1:6">
      <c r="A883" s="79" t="s">
        <v>1438</v>
      </c>
      <c r="B883" s="79" t="s">
        <v>1433</v>
      </c>
      <c r="C883" s="79" t="s">
        <v>1433</v>
      </c>
      <c r="D883" s="79" t="str">
        <f t="shared" si="15"/>
        <v>Ludara</v>
      </c>
      <c r="E883" s="79"/>
      <c r="F883" s="79">
        <v>773</v>
      </c>
    </row>
    <row r="884" spans="1:6">
      <c r="A884" s="79" t="s">
        <v>1439</v>
      </c>
      <c r="B884" s="79" t="s">
        <v>1433</v>
      </c>
      <c r="C884" s="79" t="s">
        <v>1433</v>
      </c>
      <c r="D884" s="79" t="str">
        <f t="shared" si="15"/>
        <v>Midia</v>
      </c>
      <c r="E884" s="79"/>
      <c r="F884" s="79">
        <v>774</v>
      </c>
    </row>
    <row r="885" spans="1:6">
      <c r="A885" s="79" t="s">
        <v>1440</v>
      </c>
      <c r="B885" s="79" t="s">
        <v>1441</v>
      </c>
      <c r="C885" s="79" t="s">
        <v>1441</v>
      </c>
      <c r="D885" s="79" t="str">
        <f t="shared" si="15"/>
        <v>Aboke</v>
      </c>
      <c r="E885" s="79"/>
      <c r="F885" s="79">
        <v>775</v>
      </c>
    </row>
    <row r="886" spans="1:6">
      <c r="A886" s="79" t="s">
        <v>1442</v>
      </c>
      <c r="B886" s="79" t="s">
        <v>1441</v>
      </c>
      <c r="C886" s="79" t="s">
        <v>1441</v>
      </c>
      <c r="D886" s="79" t="str">
        <f t="shared" si="15"/>
        <v>Akalo</v>
      </c>
      <c r="E886" s="79"/>
      <c r="F886" s="79">
        <v>776</v>
      </c>
    </row>
    <row r="887" spans="1:6">
      <c r="A887" s="79" t="s">
        <v>1443</v>
      </c>
      <c r="B887" s="79" t="s">
        <v>1441</v>
      </c>
      <c r="C887" s="79" t="s">
        <v>1441</v>
      </c>
      <c r="D887" s="79" t="str">
        <f t="shared" si="15"/>
        <v>Alito</v>
      </c>
      <c r="E887" s="79"/>
      <c r="F887" s="79">
        <v>777</v>
      </c>
    </row>
    <row r="888" spans="1:6">
      <c r="A888" s="79" t="s">
        <v>1444</v>
      </c>
      <c r="B888" s="79" t="s">
        <v>1441</v>
      </c>
      <c r="C888" s="79" t="s">
        <v>1441</v>
      </c>
      <c r="D888" s="79" t="str">
        <f t="shared" si="15"/>
        <v>Ayer</v>
      </c>
      <c r="E888" s="79"/>
      <c r="F888" s="79">
        <v>778</v>
      </c>
    </row>
    <row r="889" spans="1:6">
      <c r="A889" s="79" t="s">
        <v>1445</v>
      </c>
      <c r="B889" s="79" t="s">
        <v>1441</v>
      </c>
      <c r="C889" s="79" t="s">
        <v>1441</v>
      </c>
      <c r="D889" s="79" t="str">
        <f t="shared" si="15"/>
        <v>Bala</v>
      </c>
      <c r="E889" s="79"/>
      <c r="F889" s="79">
        <v>779</v>
      </c>
    </row>
    <row r="890" spans="1:6">
      <c r="A890" s="79" t="s">
        <v>1446</v>
      </c>
      <c r="B890" s="79" t="s">
        <v>1441</v>
      </c>
      <c r="C890" s="79" t="s">
        <v>1441</v>
      </c>
      <c r="D890" s="79" t="str">
        <f t="shared" si="15"/>
        <v>Kole Town Council</v>
      </c>
      <c r="E890" s="79"/>
      <c r="F890" s="79">
        <v>780</v>
      </c>
    </row>
    <row r="891" spans="1:6">
      <c r="A891" s="79" t="s">
        <v>1447</v>
      </c>
      <c r="B891" s="79" t="s">
        <v>1441</v>
      </c>
      <c r="C891" s="79" t="s">
        <v>1441</v>
      </c>
      <c r="D891" s="79" t="str">
        <f t="shared" si="15"/>
        <v>Okwerodot</v>
      </c>
      <c r="E891" s="79"/>
      <c r="F891" s="79">
        <v>781</v>
      </c>
    </row>
    <row r="892" spans="1:6">
      <c r="A892" s="79" t="s">
        <v>1448</v>
      </c>
      <c r="B892" s="79" t="s">
        <v>1449</v>
      </c>
      <c r="C892" s="79" t="s">
        <v>1450</v>
      </c>
      <c r="D892" s="79" t="str">
        <f t="shared" si="15"/>
        <v>Kacheri</v>
      </c>
      <c r="E892" s="79"/>
      <c r="F892" s="79">
        <v>782</v>
      </c>
    </row>
    <row r="893" spans="1:6">
      <c r="A893" s="79" t="s">
        <v>1449</v>
      </c>
      <c r="B893" s="79" t="s">
        <v>1449</v>
      </c>
      <c r="C893" s="79" t="s">
        <v>1450</v>
      </c>
      <c r="D893" s="79" t="str">
        <f t="shared" si="15"/>
        <v>Kotido</v>
      </c>
      <c r="E893" s="79"/>
      <c r="F893" s="79">
        <v>783</v>
      </c>
    </row>
    <row r="894" spans="1:6">
      <c r="A894" s="79" t="s">
        <v>1451</v>
      </c>
      <c r="B894" s="79" t="s">
        <v>1449</v>
      </c>
      <c r="C894" s="79" t="s">
        <v>1451</v>
      </c>
      <c r="D894" s="79" t="str">
        <f t="shared" si="15"/>
        <v>Kotido Municipality</v>
      </c>
      <c r="E894" s="79"/>
      <c r="F894" s="79">
        <v>784</v>
      </c>
    </row>
    <row r="895" spans="1:6">
      <c r="A895" s="79" t="s">
        <v>1452</v>
      </c>
      <c r="B895" s="79" t="s">
        <v>1449</v>
      </c>
      <c r="C895" s="79" t="s">
        <v>1450</v>
      </c>
      <c r="D895" s="79" t="str">
        <f t="shared" si="15"/>
        <v>Nakapelimoru</v>
      </c>
      <c r="E895" s="79"/>
      <c r="F895" s="79">
        <v>785</v>
      </c>
    </row>
    <row r="896" spans="1:6">
      <c r="A896" s="79" t="s">
        <v>1453</v>
      </c>
      <c r="B896" s="79" t="s">
        <v>1449</v>
      </c>
      <c r="C896" s="79" t="s">
        <v>1450</v>
      </c>
      <c r="D896" s="79" t="str">
        <f t="shared" si="15"/>
        <v>Panyangara</v>
      </c>
      <c r="E896" s="79"/>
      <c r="F896" s="79">
        <v>786</v>
      </c>
    </row>
    <row r="897" spans="1:6">
      <c r="A897" s="79" t="s">
        <v>1454</v>
      </c>
      <c r="B897" s="79" t="s">
        <v>1449</v>
      </c>
      <c r="C897" s="79" t="s">
        <v>1450</v>
      </c>
      <c r="D897" s="79" t="str">
        <f t="shared" si="15"/>
        <v>Rengen</v>
      </c>
      <c r="E897" s="79"/>
      <c r="F897" s="79">
        <v>787</v>
      </c>
    </row>
    <row r="898" spans="1:6">
      <c r="A898" s="79" t="s">
        <v>1455</v>
      </c>
      <c r="B898" s="79" t="s">
        <v>1456</v>
      </c>
      <c r="C898" s="79" t="s">
        <v>1456</v>
      </c>
      <c r="D898" s="79" t="str">
        <f t="shared" si="15"/>
        <v>Atutur</v>
      </c>
      <c r="E898" s="79"/>
      <c r="F898" s="79">
        <v>788</v>
      </c>
    </row>
    <row r="899" spans="1:6">
      <c r="A899" s="79" t="s">
        <v>1457</v>
      </c>
      <c r="B899" s="79" t="s">
        <v>1456</v>
      </c>
      <c r="C899" s="79" t="s">
        <v>1456</v>
      </c>
      <c r="D899" s="79" t="str">
        <f t="shared" ref="D899:D962" si="16">A899</f>
        <v>Kanyum</v>
      </c>
      <c r="E899" s="79"/>
      <c r="F899" s="79">
        <v>789</v>
      </c>
    </row>
    <row r="900" spans="1:6">
      <c r="A900" s="79" t="s">
        <v>1456</v>
      </c>
      <c r="B900" s="79" t="s">
        <v>1456</v>
      </c>
      <c r="C900" s="79" t="s">
        <v>1456</v>
      </c>
      <c r="D900" s="79" t="str">
        <f t="shared" si="16"/>
        <v>Kumi</v>
      </c>
      <c r="E900" s="79"/>
      <c r="F900" s="79">
        <v>790</v>
      </c>
    </row>
    <row r="901" spans="1:6">
      <c r="A901" s="79" t="s">
        <v>1458</v>
      </c>
      <c r="B901" s="79" t="s">
        <v>1456</v>
      </c>
      <c r="C901" s="79" t="s">
        <v>1458</v>
      </c>
      <c r="D901" s="79" t="str">
        <f t="shared" si="16"/>
        <v>Kumi Municipality</v>
      </c>
      <c r="E901" s="79"/>
      <c r="F901" s="79">
        <v>791</v>
      </c>
    </row>
    <row r="902" spans="1:6">
      <c r="A902" s="79" t="s">
        <v>1459</v>
      </c>
      <c r="B902" s="79" t="s">
        <v>1456</v>
      </c>
      <c r="C902" s="79" t="s">
        <v>1456</v>
      </c>
      <c r="D902" s="79" t="str">
        <f t="shared" si="16"/>
        <v>Mukongoro</v>
      </c>
      <c r="E902" s="79"/>
      <c r="F902" s="79">
        <v>792</v>
      </c>
    </row>
    <row r="903" spans="1:6">
      <c r="A903" s="79" t="s">
        <v>1460</v>
      </c>
      <c r="B903" s="79" t="s">
        <v>1456</v>
      </c>
      <c r="C903" s="79" t="s">
        <v>1456</v>
      </c>
      <c r="D903" s="79" t="str">
        <f t="shared" si="16"/>
        <v>Nyero</v>
      </c>
      <c r="E903" s="79"/>
      <c r="F903" s="79">
        <v>793</v>
      </c>
    </row>
    <row r="904" spans="1:6">
      <c r="A904" s="79" t="s">
        <v>1461</v>
      </c>
      <c r="B904" s="79" t="s">
        <v>1456</v>
      </c>
      <c r="C904" s="79" t="s">
        <v>1456</v>
      </c>
      <c r="D904" s="79" t="str">
        <f t="shared" si="16"/>
        <v>Ongino</v>
      </c>
      <c r="E904" s="79"/>
      <c r="F904" s="79">
        <v>794</v>
      </c>
    </row>
    <row r="905" spans="1:6">
      <c r="A905" s="79" t="s">
        <v>1462</v>
      </c>
      <c r="B905" s="79" t="s">
        <v>1463</v>
      </c>
      <c r="C905" s="79" t="s">
        <v>1463</v>
      </c>
      <c r="D905" s="79" t="str">
        <f t="shared" si="16"/>
        <v>Benet</v>
      </c>
      <c r="E905" s="79"/>
      <c r="F905" s="79">
        <v>795</v>
      </c>
    </row>
    <row r="906" spans="1:6">
      <c r="A906" s="79" t="s">
        <v>1464</v>
      </c>
      <c r="B906" s="79" t="s">
        <v>1463</v>
      </c>
      <c r="C906" s="79" t="s">
        <v>1463</v>
      </c>
      <c r="D906" s="79" t="str">
        <f t="shared" si="16"/>
        <v>Binyiny</v>
      </c>
      <c r="E906" s="79"/>
      <c r="F906" s="79">
        <v>796</v>
      </c>
    </row>
    <row r="907" spans="1:6">
      <c r="A907" s="79" t="s">
        <v>1465</v>
      </c>
      <c r="B907" s="79" t="s">
        <v>1463</v>
      </c>
      <c r="C907" s="79" t="s">
        <v>1463</v>
      </c>
      <c r="D907" s="79" t="str">
        <f t="shared" si="16"/>
        <v>Binyiny Town Council</v>
      </c>
      <c r="E907" s="79"/>
      <c r="F907" s="79">
        <v>797</v>
      </c>
    </row>
    <row r="908" spans="1:6">
      <c r="A908" s="79" t="s">
        <v>1466</v>
      </c>
      <c r="B908" s="79" t="s">
        <v>1463</v>
      </c>
      <c r="C908" s="79" t="s">
        <v>1463</v>
      </c>
      <c r="D908" s="79" t="str">
        <f t="shared" si="16"/>
        <v>Kaproron</v>
      </c>
      <c r="E908" s="79"/>
      <c r="F908" s="79">
        <v>798</v>
      </c>
    </row>
    <row r="909" spans="1:6">
      <c r="A909" s="79" t="s">
        <v>1467</v>
      </c>
      <c r="B909" s="79" t="s">
        <v>1463</v>
      </c>
      <c r="C909" s="79" t="s">
        <v>1463</v>
      </c>
      <c r="D909" s="79" t="str">
        <f t="shared" si="16"/>
        <v>Kaptoyoy</v>
      </c>
      <c r="E909" s="79"/>
      <c r="F909" s="79">
        <v>799</v>
      </c>
    </row>
    <row r="910" spans="1:6">
      <c r="A910" s="79" t="s">
        <v>1468</v>
      </c>
      <c r="B910" s="79" t="s">
        <v>1463</v>
      </c>
      <c r="C910" s="79" t="s">
        <v>1463</v>
      </c>
      <c r="D910" s="79" t="str">
        <f t="shared" si="16"/>
        <v>Kaptum</v>
      </c>
      <c r="E910" s="79"/>
      <c r="F910" s="79">
        <v>800</v>
      </c>
    </row>
    <row r="911" spans="1:6">
      <c r="A911" s="79" t="s">
        <v>1469</v>
      </c>
      <c r="B911" s="79" t="s">
        <v>1463</v>
      </c>
      <c r="C911" s="79" t="s">
        <v>1463</v>
      </c>
      <c r="D911" s="79" t="str">
        <f t="shared" si="16"/>
        <v>Kiriki</v>
      </c>
      <c r="E911" s="79"/>
      <c r="F911" s="79">
        <v>801</v>
      </c>
    </row>
    <row r="912" spans="1:6">
      <c r="A912" s="79" t="s">
        <v>1470</v>
      </c>
      <c r="B912" s="79" t="s">
        <v>1463</v>
      </c>
      <c r="C912" s="79" t="s">
        <v>1463</v>
      </c>
      <c r="D912" s="79" t="str">
        <f t="shared" si="16"/>
        <v>Kitawoi</v>
      </c>
      <c r="E912" s="79"/>
      <c r="F912" s="79">
        <v>802</v>
      </c>
    </row>
    <row r="913" spans="1:6">
      <c r="A913" s="79" t="s">
        <v>1471</v>
      </c>
      <c r="B913" s="79" t="s">
        <v>1463</v>
      </c>
      <c r="C913" s="79" t="s">
        <v>1463</v>
      </c>
      <c r="D913" s="79" t="str">
        <f t="shared" si="16"/>
        <v>Kwanyiy</v>
      </c>
      <c r="E913" s="79"/>
      <c r="F913" s="79">
        <v>803</v>
      </c>
    </row>
    <row r="914" spans="1:6">
      <c r="A914" s="79" t="s">
        <v>1472</v>
      </c>
      <c r="B914" s="79" t="s">
        <v>1463</v>
      </c>
      <c r="C914" s="79" t="s">
        <v>1463</v>
      </c>
      <c r="D914" s="79" t="str">
        <f t="shared" si="16"/>
        <v>Kwosir</v>
      </c>
      <c r="E914" s="79"/>
      <c r="F914" s="79">
        <v>804</v>
      </c>
    </row>
    <row r="915" spans="1:6">
      <c r="A915" s="79" t="s">
        <v>1473</v>
      </c>
      <c r="B915" s="79" t="s">
        <v>1463</v>
      </c>
      <c r="C915" s="79" t="s">
        <v>1463</v>
      </c>
      <c r="D915" s="79" t="str">
        <f t="shared" si="16"/>
        <v>Moyok</v>
      </c>
      <c r="E915" s="79"/>
      <c r="F915" s="79">
        <v>805</v>
      </c>
    </row>
    <row r="916" spans="1:6">
      <c r="A916" s="79" t="s">
        <v>1474</v>
      </c>
      <c r="B916" s="79" t="s">
        <v>1463</v>
      </c>
      <c r="C916" s="79" t="s">
        <v>1463</v>
      </c>
      <c r="D916" s="79" t="str">
        <f t="shared" si="16"/>
        <v>Ngenge</v>
      </c>
      <c r="E916" s="79"/>
      <c r="F916" s="79">
        <v>806</v>
      </c>
    </row>
    <row r="917" spans="1:6">
      <c r="A917" s="79" t="s">
        <v>1475</v>
      </c>
      <c r="B917" s="79" t="s">
        <v>1476</v>
      </c>
      <c r="C917" s="79" t="s">
        <v>1356</v>
      </c>
      <c r="D917" s="79" t="str">
        <f t="shared" si="16"/>
        <v>Bananywa</v>
      </c>
      <c r="E917" s="79"/>
      <c r="F917" s="79">
        <v>807</v>
      </c>
    </row>
    <row r="918" spans="1:6">
      <c r="A918" s="79" t="s">
        <v>1477</v>
      </c>
      <c r="B918" s="79" t="s">
        <v>1476</v>
      </c>
      <c r="C918" s="79" t="s">
        <v>1356</v>
      </c>
      <c r="D918" s="79" t="str">
        <f t="shared" si="16"/>
        <v>Butemba</v>
      </c>
      <c r="E918" s="79"/>
      <c r="F918" s="79">
        <v>808</v>
      </c>
    </row>
    <row r="919" spans="1:6">
      <c r="A919" s="79" t="s">
        <v>1478</v>
      </c>
      <c r="B919" s="79" t="s">
        <v>1476</v>
      </c>
      <c r="C919" s="79" t="s">
        <v>1356</v>
      </c>
      <c r="D919" s="79" t="str">
        <f t="shared" si="16"/>
        <v>Butemba Town Council</v>
      </c>
      <c r="E919" s="79"/>
      <c r="F919" s="79">
        <v>809</v>
      </c>
    </row>
    <row r="920" spans="1:6">
      <c r="A920" s="79" t="s">
        <v>1479</v>
      </c>
      <c r="B920" s="79" t="s">
        <v>1476</v>
      </c>
      <c r="C920" s="79" t="s">
        <v>1356</v>
      </c>
      <c r="D920" s="79" t="str">
        <f t="shared" si="16"/>
        <v>Byerima</v>
      </c>
      <c r="E920" s="79"/>
      <c r="F920" s="79">
        <v>810</v>
      </c>
    </row>
    <row r="921" spans="1:6">
      <c r="A921" s="79" t="s">
        <v>1480</v>
      </c>
      <c r="B921" s="79" t="s">
        <v>1476</v>
      </c>
      <c r="C921" s="79" t="s">
        <v>1356</v>
      </c>
      <c r="D921" s="79" t="str">
        <f t="shared" si="16"/>
        <v>Gayaza</v>
      </c>
      <c r="E921" s="79"/>
      <c r="F921" s="79">
        <v>811</v>
      </c>
    </row>
    <row r="922" spans="1:6">
      <c r="A922" s="79" t="s">
        <v>1476</v>
      </c>
      <c r="B922" s="79" t="s">
        <v>1476</v>
      </c>
      <c r="C922" s="79" t="s">
        <v>1356</v>
      </c>
      <c r="D922" s="79" t="str">
        <f t="shared" si="16"/>
        <v>Kyankwanzi</v>
      </c>
      <c r="E922" s="79"/>
      <c r="F922" s="79">
        <v>812</v>
      </c>
    </row>
    <row r="923" spans="1:6">
      <c r="A923" s="79" t="s">
        <v>1481</v>
      </c>
      <c r="B923" s="79" t="s">
        <v>1476</v>
      </c>
      <c r="C923" s="79" t="s">
        <v>1356</v>
      </c>
      <c r="D923" s="79" t="str">
        <f t="shared" si="16"/>
        <v>Kyankwanzi Town Council</v>
      </c>
      <c r="E923" s="79"/>
      <c r="F923" s="79">
        <v>813</v>
      </c>
    </row>
    <row r="924" spans="1:6">
      <c r="A924" s="79" t="s">
        <v>1482</v>
      </c>
      <c r="B924" s="79" t="s">
        <v>1476</v>
      </c>
      <c r="C924" s="79" t="s">
        <v>1356</v>
      </c>
      <c r="D924" s="79" t="str">
        <f t="shared" si="16"/>
        <v>Mulagi</v>
      </c>
      <c r="E924" s="79"/>
      <c r="F924" s="79">
        <v>814</v>
      </c>
    </row>
    <row r="925" spans="1:6">
      <c r="A925" s="79" t="s">
        <v>1483</v>
      </c>
      <c r="B925" s="79" t="s">
        <v>1476</v>
      </c>
      <c r="C925" s="79" t="s">
        <v>1356</v>
      </c>
      <c r="D925" s="79" t="str">
        <f t="shared" si="16"/>
        <v>Nkandwa</v>
      </c>
      <c r="E925" s="79"/>
      <c r="F925" s="79">
        <v>815</v>
      </c>
    </row>
    <row r="926" spans="1:6">
      <c r="A926" s="79" t="s">
        <v>1213</v>
      </c>
      <c r="B926" s="79" t="s">
        <v>1476</v>
      </c>
      <c r="C926" s="79" t="s">
        <v>1356</v>
      </c>
      <c r="D926" s="79" t="str">
        <f t="shared" si="16"/>
        <v>Nsambya</v>
      </c>
      <c r="E926" s="79"/>
      <c r="F926" s="79">
        <v>816</v>
      </c>
    </row>
    <row r="927" spans="1:6">
      <c r="A927" s="79" t="s">
        <v>1484</v>
      </c>
      <c r="B927" s="79" t="s">
        <v>1476</v>
      </c>
      <c r="C927" s="79" t="s">
        <v>1356</v>
      </c>
      <c r="D927" s="79" t="str">
        <f t="shared" si="16"/>
        <v>Ntwetwe</v>
      </c>
      <c r="E927" s="79"/>
      <c r="F927" s="79">
        <v>817</v>
      </c>
    </row>
    <row r="928" spans="1:6">
      <c r="A928" s="79" t="s">
        <v>1485</v>
      </c>
      <c r="B928" s="79" t="s">
        <v>1476</v>
      </c>
      <c r="C928" s="79" t="s">
        <v>1356</v>
      </c>
      <c r="D928" s="79" t="str">
        <f t="shared" si="16"/>
        <v>Ntwetwe Town Council</v>
      </c>
      <c r="E928" s="79"/>
      <c r="F928" s="79">
        <v>818</v>
      </c>
    </row>
    <row r="929" spans="1:6">
      <c r="A929" s="79" t="s">
        <v>1486</v>
      </c>
      <c r="B929" s="79" t="s">
        <v>1476</v>
      </c>
      <c r="C929" s="79" t="s">
        <v>1356</v>
      </c>
      <c r="D929" s="79" t="str">
        <f t="shared" si="16"/>
        <v>Wattuba</v>
      </c>
      <c r="E929" s="79"/>
      <c r="F929" s="79">
        <v>819</v>
      </c>
    </row>
    <row r="930" spans="1:6">
      <c r="A930" s="79" t="s">
        <v>1487</v>
      </c>
      <c r="B930" s="79" t="s">
        <v>1488</v>
      </c>
      <c r="C930" s="79" t="s">
        <v>1489</v>
      </c>
      <c r="D930" s="79" t="str">
        <f t="shared" si="16"/>
        <v>Hapuuyo</v>
      </c>
      <c r="E930" s="79"/>
      <c r="F930" s="79">
        <v>820</v>
      </c>
    </row>
    <row r="931" spans="1:6">
      <c r="A931" s="79" t="s">
        <v>1490</v>
      </c>
      <c r="B931" s="79" t="s">
        <v>1488</v>
      </c>
      <c r="C931" s="79" t="s">
        <v>1489</v>
      </c>
      <c r="D931" s="79" t="str">
        <f t="shared" si="16"/>
        <v>Kabweza Kyegegwa</v>
      </c>
      <c r="E931" s="79"/>
      <c r="F931" s="79">
        <v>821</v>
      </c>
    </row>
    <row r="932" spans="1:6">
      <c r="A932" s="79" t="s">
        <v>1491</v>
      </c>
      <c r="B932" s="79" t="s">
        <v>1488</v>
      </c>
      <c r="C932" s="79" t="s">
        <v>1489</v>
      </c>
      <c r="D932" s="79" t="str">
        <f t="shared" si="16"/>
        <v>Kakabara</v>
      </c>
      <c r="E932" s="79"/>
      <c r="F932" s="79">
        <v>822</v>
      </c>
    </row>
    <row r="933" spans="1:6">
      <c r="A933" s="79" t="s">
        <v>1492</v>
      </c>
      <c r="B933" s="79" t="s">
        <v>1488</v>
      </c>
      <c r="C933" s="79" t="s">
        <v>1489</v>
      </c>
      <c r="D933" s="79" t="str">
        <f t="shared" si="16"/>
        <v>Kasule</v>
      </c>
      <c r="E933" s="79"/>
      <c r="F933" s="79">
        <v>823</v>
      </c>
    </row>
    <row r="934" spans="1:6">
      <c r="A934" s="79" t="s">
        <v>1493</v>
      </c>
      <c r="B934" s="79" t="s">
        <v>1488</v>
      </c>
      <c r="C934" s="79" t="s">
        <v>1489</v>
      </c>
      <c r="D934" s="79" t="str">
        <f t="shared" si="16"/>
        <v>Kyaka Ii Refugee Camp</v>
      </c>
      <c r="E934" s="79"/>
      <c r="F934" s="79">
        <v>824</v>
      </c>
    </row>
    <row r="935" spans="1:6">
      <c r="A935" s="79" t="s">
        <v>1494</v>
      </c>
      <c r="B935" s="79" t="s">
        <v>1488</v>
      </c>
      <c r="C935" s="79" t="s">
        <v>1489</v>
      </c>
      <c r="D935" s="79" t="str">
        <f t="shared" si="16"/>
        <v>Kyegegwa Town Council</v>
      </c>
      <c r="E935" s="79"/>
      <c r="F935" s="79">
        <v>825</v>
      </c>
    </row>
    <row r="936" spans="1:6">
      <c r="A936" s="79" t="s">
        <v>1495</v>
      </c>
      <c r="B936" s="79" t="s">
        <v>1488</v>
      </c>
      <c r="C936" s="79" t="s">
        <v>1489</v>
      </c>
      <c r="D936" s="79" t="str">
        <f t="shared" si="16"/>
        <v>Mpara</v>
      </c>
      <c r="E936" s="79"/>
      <c r="F936" s="79">
        <v>826</v>
      </c>
    </row>
    <row r="937" spans="1:6">
      <c r="A937" s="79" t="s">
        <v>1496</v>
      </c>
      <c r="B937" s="79" t="s">
        <v>1488</v>
      </c>
      <c r="C937" s="79" t="s">
        <v>1489</v>
      </c>
      <c r="D937" s="79" t="str">
        <f t="shared" si="16"/>
        <v>Ruyonza</v>
      </c>
      <c r="E937" s="79"/>
      <c r="F937" s="79">
        <v>827</v>
      </c>
    </row>
    <row r="938" spans="1:6">
      <c r="A938" s="79" t="s">
        <v>1497</v>
      </c>
      <c r="B938" s="79" t="s">
        <v>1488</v>
      </c>
      <c r="C938" s="79" t="s">
        <v>1489</v>
      </c>
      <c r="D938" s="79" t="str">
        <f t="shared" si="16"/>
        <v>Rwentuha</v>
      </c>
      <c r="E938" s="79"/>
      <c r="F938" s="79">
        <v>828</v>
      </c>
    </row>
    <row r="939" spans="1:6">
      <c r="A939" s="79" t="s">
        <v>1498</v>
      </c>
      <c r="B939" s="79" t="s">
        <v>1499</v>
      </c>
      <c r="C939" s="79" t="s">
        <v>1500</v>
      </c>
      <c r="D939" s="79" t="str">
        <f t="shared" si="16"/>
        <v>Bufunjo</v>
      </c>
      <c r="E939" s="79"/>
      <c r="F939" s="79">
        <v>829</v>
      </c>
    </row>
    <row r="940" spans="1:6">
      <c r="A940" s="79" t="s">
        <v>1501</v>
      </c>
      <c r="B940" s="79" t="s">
        <v>1499</v>
      </c>
      <c r="C940" s="79" t="s">
        <v>1500</v>
      </c>
      <c r="D940" s="79" t="str">
        <f t="shared" si="16"/>
        <v>Bugaaki</v>
      </c>
      <c r="E940" s="79"/>
      <c r="F940" s="79">
        <v>830</v>
      </c>
    </row>
    <row r="941" spans="1:6">
      <c r="A941" s="79" t="s">
        <v>1502</v>
      </c>
      <c r="B941" s="79" t="s">
        <v>1499</v>
      </c>
      <c r="C941" s="79" t="s">
        <v>1500</v>
      </c>
      <c r="D941" s="79" t="str">
        <f t="shared" si="16"/>
        <v>Butiiti</v>
      </c>
      <c r="E941" s="79"/>
      <c r="F941" s="79">
        <v>831</v>
      </c>
    </row>
    <row r="942" spans="1:6">
      <c r="A942" s="79" t="s">
        <v>1503</v>
      </c>
      <c r="B942" s="79" t="s">
        <v>1499</v>
      </c>
      <c r="C942" s="79" t="s">
        <v>1500</v>
      </c>
      <c r="D942" s="79" t="str">
        <f t="shared" si="16"/>
        <v>Butunduzi</v>
      </c>
      <c r="E942" s="79"/>
      <c r="F942" s="79">
        <v>832</v>
      </c>
    </row>
    <row r="943" spans="1:6">
      <c r="A943" s="79" t="s">
        <v>1504</v>
      </c>
      <c r="B943" s="79" t="s">
        <v>1499</v>
      </c>
      <c r="C943" s="79" t="s">
        <v>1500</v>
      </c>
      <c r="D943" s="79" t="str">
        <f t="shared" si="16"/>
        <v>Butunduzi Town Council</v>
      </c>
      <c r="E943" s="79"/>
      <c r="F943" s="79">
        <v>833</v>
      </c>
    </row>
    <row r="944" spans="1:6">
      <c r="A944" s="79" t="s">
        <v>1505</v>
      </c>
      <c r="B944" s="79" t="s">
        <v>1499</v>
      </c>
      <c r="C944" s="79" t="s">
        <v>1500</v>
      </c>
      <c r="D944" s="79" t="str">
        <f t="shared" si="16"/>
        <v>Katooke</v>
      </c>
      <c r="E944" s="79"/>
      <c r="F944" s="79">
        <v>834</v>
      </c>
    </row>
    <row r="945" spans="1:6">
      <c r="A945" s="79" t="s">
        <v>1506</v>
      </c>
      <c r="B945" s="79" t="s">
        <v>1499</v>
      </c>
      <c r="C945" s="79" t="s">
        <v>1500</v>
      </c>
      <c r="D945" s="79" t="str">
        <f t="shared" si="16"/>
        <v>Katooke Town Council</v>
      </c>
      <c r="E945" s="79"/>
      <c r="F945" s="79">
        <v>835</v>
      </c>
    </row>
    <row r="946" spans="1:6">
      <c r="A946" s="79" t="s">
        <v>1507</v>
      </c>
      <c r="B946" s="79" t="s">
        <v>1499</v>
      </c>
      <c r="C946" s="79" t="s">
        <v>1500</v>
      </c>
      <c r="D946" s="79" t="str">
        <f t="shared" si="16"/>
        <v>Kigaraale</v>
      </c>
      <c r="E946" s="79"/>
      <c r="F946" s="79">
        <v>836</v>
      </c>
    </row>
    <row r="947" spans="1:6">
      <c r="A947" s="79" t="s">
        <v>1508</v>
      </c>
      <c r="B947" s="79" t="s">
        <v>1499</v>
      </c>
      <c r="C947" s="79" t="s">
        <v>1500</v>
      </c>
      <c r="D947" s="79" t="str">
        <f t="shared" si="16"/>
        <v>Kihuura</v>
      </c>
      <c r="E947" s="79"/>
      <c r="F947" s="79">
        <v>837</v>
      </c>
    </row>
    <row r="948" spans="1:6">
      <c r="A948" s="79" t="s">
        <v>1509</v>
      </c>
      <c r="B948" s="79" t="s">
        <v>1499</v>
      </c>
      <c r="C948" s="79" t="s">
        <v>1500</v>
      </c>
      <c r="D948" s="79" t="str">
        <f t="shared" si="16"/>
        <v>Kisojo</v>
      </c>
      <c r="E948" s="79"/>
      <c r="F948" s="79">
        <v>838</v>
      </c>
    </row>
    <row r="949" spans="1:6">
      <c r="A949" s="79" t="s">
        <v>1510</v>
      </c>
      <c r="B949" s="79" t="s">
        <v>1499</v>
      </c>
      <c r="C949" s="79" t="s">
        <v>1500</v>
      </c>
      <c r="D949" s="79" t="str">
        <f t="shared" si="16"/>
        <v>Kyarusozi</v>
      </c>
      <c r="E949" s="79"/>
      <c r="F949" s="79">
        <v>839</v>
      </c>
    </row>
    <row r="950" spans="1:6">
      <c r="A950" s="79" t="s">
        <v>1511</v>
      </c>
      <c r="B950" s="79" t="s">
        <v>1499</v>
      </c>
      <c r="C950" s="79" t="s">
        <v>1500</v>
      </c>
      <c r="D950" s="79" t="str">
        <f t="shared" si="16"/>
        <v>Kyarusozi Town Council</v>
      </c>
      <c r="E950" s="79"/>
      <c r="F950" s="79">
        <v>840</v>
      </c>
    </row>
    <row r="951" spans="1:6">
      <c r="A951" s="79" t="s">
        <v>1512</v>
      </c>
      <c r="B951" s="79" t="s">
        <v>1499</v>
      </c>
      <c r="C951" s="79" t="s">
        <v>1500</v>
      </c>
      <c r="D951" s="79" t="str">
        <f t="shared" si="16"/>
        <v>Kyenjojo Town Council</v>
      </c>
      <c r="E951" s="79"/>
      <c r="F951" s="79">
        <v>841</v>
      </c>
    </row>
    <row r="952" spans="1:6">
      <c r="A952" s="79" t="s">
        <v>1513</v>
      </c>
      <c r="B952" s="79" t="s">
        <v>1499</v>
      </c>
      <c r="C952" s="79" t="s">
        <v>1500</v>
      </c>
      <c r="D952" s="79" t="str">
        <f t="shared" si="16"/>
        <v>Nyabuharwa</v>
      </c>
      <c r="E952" s="79"/>
      <c r="F952" s="79">
        <v>842</v>
      </c>
    </row>
    <row r="953" spans="1:6">
      <c r="A953" s="79" t="s">
        <v>1514</v>
      </c>
      <c r="B953" s="79" t="s">
        <v>1499</v>
      </c>
      <c r="C953" s="79" t="s">
        <v>1500</v>
      </c>
      <c r="D953" s="79" t="str">
        <f t="shared" si="16"/>
        <v>Nyankwanzi</v>
      </c>
      <c r="E953" s="79"/>
      <c r="F953" s="79">
        <v>843</v>
      </c>
    </row>
    <row r="954" spans="1:6">
      <c r="A954" s="79" t="s">
        <v>1515</v>
      </c>
      <c r="B954" s="79" t="s">
        <v>1499</v>
      </c>
      <c r="C954" s="79" t="s">
        <v>1500</v>
      </c>
      <c r="D954" s="79" t="str">
        <f t="shared" si="16"/>
        <v>Nyantungo</v>
      </c>
      <c r="E954" s="79"/>
      <c r="F954" s="79">
        <v>844</v>
      </c>
    </row>
    <row r="955" spans="1:6">
      <c r="A955" s="79" t="s">
        <v>1516</v>
      </c>
      <c r="B955" s="79" t="s">
        <v>1517</v>
      </c>
      <c r="C955" s="79" t="s">
        <v>1517</v>
      </c>
      <c r="D955" s="79" t="str">
        <f t="shared" si="16"/>
        <v>Kabira</v>
      </c>
      <c r="E955" s="79"/>
      <c r="F955" s="79">
        <v>845</v>
      </c>
    </row>
    <row r="956" spans="1:6">
      <c r="A956" s="79" t="s">
        <v>1518</v>
      </c>
      <c r="B956" s="79" t="s">
        <v>1517</v>
      </c>
      <c r="C956" s="79" t="s">
        <v>1517</v>
      </c>
      <c r="D956" s="79" t="str">
        <f t="shared" si="16"/>
        <v>Kalisizo</v>
      </c>
      <c r="E956" s="79"/>
      <c r="F956" s="79">
        <v>846</v>
      </c>
    </row>
    <row r="957" spans="1:6">
      <c r="A957" s="79" t="s">
        <v>1519</v>
      </c>
      <c r="B957" s="79" t="s">
        <v>1517</v>
      </c>
      <c r="C957" s="79" t="s">
        <v>1517</v>
      </c>
      <c r="D957" s="79" t="str">
        <f t="shared" si="16"/>
        <v>Kalisizo Town Council</v>
      </c>
      <c r="E957" s="79"/>
      <c r="F957" s="79">
        <v>847</v>
      </c>
    </row>
    <row r="958" spans="1:6">
      <c r="A958" s="79" t="s">
        <v>1520</v>
      </c>
      <c r="B958" s="79" t="s">
        <v>1517</v>
      </c>
      <c r="C958" s="79" t="s">
        <v>1521</v>
      </c>
      <c r="D958" s="79" t="str">
        <f t="shared" si="16"/>
        <v>Kasasa</v>
      </c>
      <c r="E958" s="79"/>
      <c r="F958" s="79">
        <v>848</v>
      </c>
    </row>
    <row r="959" spans="1:6">
      <c r="A959" s="79" t="s">
        <v>1396</v>
      </c>
      <c r="B959" s="79" t="s">
        <v>1517</v>
      </c>
      <c r="C959" s="79" t="s">
        <v>1521</v>
      </c>
      <c r="D959" s="79" t="str">
        <f t="shared" si="16"/>
        <v>Kibanda</v>
      </c>
      <c r="E959" s="79"/>
      <c r="F959" s="79">
        <v>849</v>
      </c>
    </row>
    <row r="960" spans="1:6">
      <c r="A960" s="79" t="s">
        <v>1522</v>
      </c>
      <c r="B960" s="79" t="s">
        <v>1517</v>
      </c>
      <c r="C960" s="79" t="s">
        <v>1517</v>
      </c>
      <c r="D960" s="79" t="str">
        <f t="shared" si="16"/>
        <v>Kirumba</v>
      </c>
      <c r="E960" s="79"/>
      <c r="F960" s="79">
        <v>850</v>
      </c>
    </row>
    <row r="961" spans="1:6">
      <c r="A961" s="79" t="s">
        <v>1523</v>
      </c>
      <c r="B961" s="79" t="s">
        <v>1517</v>
      </c>
      <c r="C961" s="79" t="s">
        <v>1521</v>
      </c>
      <c r="D961" s="79" t="str">
        <f t="shared" si="16"/>
        <v>Kyebe</v>
      </c>
      <c r="E961" s="79"/>
      <c r="F961" s="79">
        <v>851</v>
      </c>
    </row>
    <row r="962" spans="1:6">
      <c r="A962" s="79" t="s">
        <v>1524</v>
      </c>
      <c r="B962" s="79" t="s">
        <v>1517</v>
      </c>
      <c r="C962" s="79" t="s">
        <v>1517</v>
      </c>
      <c r="D962" s="79" t="str">
        <f t="shared" si="16"/>
        <v>Kyotera Town Council</v>
      </c>
      <c r="E962" s="79"/>
      <c r="F962" s="79">
        <v>852</v>
      </c>
    </row>
    <row r="963" spans="1:6">
      <c r="A963" s="79" t="s">
        <v>1525</v>
      </c>
      <c r="B963" s="79" t="s">
        <v>1517</v>
      </c>
      <c r="C963" s="79" t="s">
        <v>1517</v>
      </c>
      <c r="D963" s="79" t="str">
        <f t="shared" ref="D963:D1026" si="17">A963</f>
        <v>Lwankoni</v>
      </c>
      <c r="E963" s="79"/>
      <c r="F963" s="79">
        <v>853</v>
      </c>
    </row>
    <row r="964" spans="1:6">
      <c r="A964" s="79" t="s">
        <v>1526</v>
      </c>
      <c r="B964" s="79" t="s">
        <v>1517</v>
      </c>
      <c r="C964" s="79" t="s">
        <v>1517</v>
      </c>
      <c r="D964" s="79" t="str">
        <f t="shared" si="17"/>
        <v>Nabigasa</v>
      </c>
      <c r="E964" s="79"/>
      <c r="F964" s="79">
        <v>854</v>
      </c>
    </row>
    <row r="965" spans="1:6">
      <c r="A965" s="79" t="s">
        <v>1527</v>
      </c>
      <c r="B965" s="79" t="s">
        <v>1528</v>
      </c>
      <c r="C965" s="79" t="s">
        <v>1528</v>
      </c>
      <c r="D965" s="79" t="str">
        <f t="shared" si="17"/>
        <v>Agoro</v>
      </c>
      <c r="E965" s="79"/>
      <c r="F965" s="79">
        <v>855</v>
      </c>
    </row>
    <row r="966" spans="1:6">
      <c r="A966" s="79" t="s">
        <v>1529</v>
      </c>
      <c r="B966" s="79" t="s">
        <v>1528</v>
      </c>
      <c r="C966" s="79" t="s">
        <v>1528</v>
      </c>
      <c r="D966" s="79" t="str">
        <f t="shared" si="17"/>
        <v>Lamwo Town Council</v>
      </c>
      <c r="E966" s="79"/>
      <c r="F966" s="79">
        <v>856</v>
      </c>
    </row>
    <row r="967" spans="1:6">
      <c r="A967" s="79" t="s">
        <v>1530</v>
      </c>
      <c r="B967" s="79" t="s">
        <v>1528</v>
      </c>
      <c r="C967" s="79" t="s">
        <v>1528</v>
      </c>
      <c r="D967" s="79" t="str">
        <f t="shared" si="17"/>
        <v>Lokung</v>
      </c>
      <c r="E967" s="79"/>
      <c r="F967" s="79">
        <v>857</v>
      </c>
    </row>
    <row r="968" spans="1:6">
      <c r="A968" s="79" t="s">
        <v>1531</v>
      </c>
      <c r="B968" s="79" t="s">
        <v>1528</v>
      </c>
      <c r="C968" s="79" t="s">
        <v>1528</v>
      </c>
      <c r="D968" s="79" t="str">
        <f t="shared" si="17"/>
        <v>Madi Opei</v>
      </c>
      <c r="E968" s="79"/>
      <c r="F968" s="79">
        <v>858</v>
      </c>
    </row>
    <row r="969" spans="1:6">
      <c r="A969" s="79" t="s">
        <v>1532</v>
      </c>
      <c r="B969" s="79" t="s">
        <v>1528</v>
      </c>
      <c r="C969" s="79" t="s">
        <v>1528</v>
      </c>
      <c r="D969" s="79" t="str">
        <f t="shared" si="17"/>
        <v>Padibe</v>
      </c>
      <c r="E969" s="79"/>
      <c r="F969" s="79">
        <v>859</v>
      </c>
    </row>
    <row r="970" spans="1:6">
      <c r="A970" s="79" t="s">
        <v>1533</v>
      </c>
      <c r="B970" s="79" t="s">
        <v>1528</v>
      </c>
      <c r="C970" s="79" t="s">
        <v>1528</v>
      </c>
      <c r="D970" s="79" t="str">
        <f t="shared" si="17"/>
        <v>Palabek</v>
      </c>
      <c r="E970" s="79"/>
      <c r="F970" s="79">
        <v>860</v>
      </c>
    </row>
    <row r="971" spans="1:6">
      <c r="A971" s="79" t="s">
        <v>1534</v>
      </c>
      <c r="B971" s="79" t="s">
        <v>1528</v>
      </c>
      <c r="C971" s="79" t="s">
        <v>1528</v>
      </c>
      <c r="D971" s="79" t="str">
        <f t="shared" si="17"/>
        <v>Paloga</v>
      </c>
      <c r="E971" s="79"/>
      <c r="F971" s="79">
        <v>861</v>
      </c>
    </row>
    <row r="972" spans="1:6">
      <c r="A972" s="79" t="s">
        <v>1535</v>
      </c>
      <c r="B972" s="79" t="s">
        <v>1536</v>
      </c>
      <c r="C972" s="79" t="s">
        <v>1537</v>
      </c>
      <c r="D972" s="79" t="str">
        <f t="shared" si="17"/>
        <v>Adekokwok</v>
      </c>
      <c r="E972" s="79"/>
      <c r="F972" s="79">
        <v>862</v>
      </c>
    </row>
    <row r="973" spans="1:6">
      <c r="A973" s="79" t="s">
        <v>1538</v>
      </c>
      <c r="B973" s="79" t="s">
        <v>1536</v>
      </c>
      <c r="C973" s="79" t="s">
        <v>1537</v>
      </c>
      <c r="D973" s="79" t="str">
        <f t="shared" si="17"/>
        <v>Agali</v>
      </c>
      <c r="E973" s="79"/>
      <c r="F973" s="79">
        <v>863</v>
      </c>
    </row>
    <row r="974" spans="1:6">
      <c r="A974" s="79" t="s">
        <v>1539</v>
      </c>
      <c r="B974" s="79" t="s">
        <v>1536</v>
      </c>
      <c r="C974" s="79" t="s">
        <v>1537</v>
      </c>
      <c r="D974" s="79" t="str">
        <f t="shared" si="17"/>
        <v>Agweng</v>
      </c>
      <c r="E974" s="79"/>
      <c r="F974" s="79">
        <v>864</v>
      </c>
    </row>
    <row r="975" spans="1:6">
      <c r="A975" s="79" t="s">
        <v>1540</v>
      </c>
      <c r="B975" s="79" t="s">
        <v>1536</v>
      </c>
      <c r="C975" s="79" t="s">
        <v>1537</v>
      </c>
      <c r="D975" s="79" t="str">
        <f t="shared" si="17"/>
        <v>Amach</v>
      </c>
      <c r="E975" s="79"/>
      <c r="F975" s="79">
        <v>865</v>
      </c>
    </row>
    <row r="976" spans="1:6">
      <c r="A976" s="79" t="s">
        <v>1541</v>
      </c>
      <c r="B976" s="79" t="s">
        <v>1536</v>
      </c>
      <c r="C976" s="79" t="s">
        <v>1537</v>
      </c>
      <c r="D976" s="79" t="str">
        <f t="shared" si="17"/>
        <v>Aromo</v>
      </c>
      <c r="E976" s="79"/>
      <c r="F976" s="79">
        <v>866</v>
      </c>
    </row>
    <row r="977" spans="1:6">
      <c r="A977" s="79" t="s">
        <v>1542</v>
      </c>
      <c r="B977" s="79" t="s">
        <v>1536</v>
      </c>
      <c r="C977" s="79" t="s">
        <v>1537</v>
      </c>
      <c r="D977" s="79" t="str">
        <f t="shared" si="17"/>
        <v>Barr</v>
      </c>
      <c r="E977" s="79"/>
      <c r="F977" s="79">
        <v>867</v>
      </c>
    </row>
    <row r="978" spans="1:6">
      <c r="A978" s="79" t="s">
        <v>1536</v>
      </c>
      <c r="B978" s="79" t="s">
        <v>1536</v>
      </c>
      <c r="C978" s="79" t="s">
        <v>1537</v>
      </c>
      <c r="D978" s="79" t="str">
        <f t="shared" si="17"/>
        <v>Lira</v>
      </c>
      <c r="E978" s="79"/>
      <c r="F978" s="79">
        <v>868</v>
      </c>
    </row>
    <row r="979" spans="1:6">
      <c r="A979" s="79" t="s">
        <v>1543</v>
      </c>
      <c r="B979" s="79" t="s">
        <v>1536</v>
      </c>
      <c r="C979" s="79" t="s">
        <v>1543</v>
      </c>
      <c r="D979" s="79" t="str">
        <f t="shared" si="17"/>
        <v>Lira Municipality</v>
      </c>
      <c r="E979" s="79"/>
      <c r="F979" s="79">
        <v>869</v>
      </c>
    </row>
    <row r="980" spans="1:6">
      <c r="A980" s="79" t="s">
        <v>1544</v>
      </c>
      <c r="B980" s="79" t="s">
        <v>1536</v>
      </c>
      <c r="C980" s="79" t="s">
        <v>1537</v>
      </c>
      <c r="D980" s="79" t="str">
        <f t="shared" si="17"/>
        <v>Ngetta</v>
      </c>
      <c r="E980" s="79"/>
      <c r="F980" s="79">
        <v>870</v>
      </c>
    </row>
    <row r="981" spans="1:6">
      <c r="A981" s="79" t="s">
        <v>1545</v>
      </c>
      <c r="B981" s="79" t="s">
        <v>1536</v>
      </c>
      <c r="C981" s="79" t="s">
        <v>1537</v>
      </c>
      <c r="D981" s="79" t="str">
        <f t="shared" si="17"/>
        <v>Ogur</v>
      </c>
      <c r="E981" s="79"/>
      <c r="F981" s="79">
        <v>871</v>
      </c>
    </row>
    <row r="982" spans="1:6">
      <c r="A982" s="79" t="s">
        <v>932</v>
      </c>
      <c r="B982" s="79" t="s">
        <v>1546</v>
      </c>
      <c r="C982" s="79" t="s">
        <v>1546</v>
      </c>
      <c r="D982" s="79" t="str">
        <f t="shared" si="17"/>
        <v>Bukanga</v>
      </c>
      <c r="E982" s="79"/>
      <c r="F982" s="79">
        <v>872</v>
      </c>
    </row>
    <row r="983" spans="1:6">
      <c r="A983" s="79" t="s">
        <v>1547</v>
      </c>
      <c r="B983" s="79" t="s">
        <v>1546</v>
      </c>
      <c r="C983" s="79" t="s">
        <v>1546</v>
      </c>
      <c r="D983" s="79" t="str">
        <f t="shared" si="17"/>
        <v>Bukooma</v>
      </c>
      <c r="E983" s="79"/>
      <c r="F983" s="79">
        <v>873</v>
      </c>
    </row>
    <row r="984" spans="1:6">
      <c r="A984" s="79" t="s">
        <v>1548</v>
      </c>
      <c r="B984" s="79" t="s">
        <v>1546</v>
      </c>
      <c r="C984" s="79" t="s">
        <v>1546</v>
      </c>
      <c r="D984" s="79" t="str">
        <f t="shared" si="17"/>
        <v>Bulongo</v>
      </c>
      <c r="E984" s="79"/>
      <c r="F984" s="79">
        <v>874</v>
      </c>
    </row>
    <row r="985" spans="1:6">
      <c r="A985" s="79" t="s">
        <v>1549</v>
      </c>
      <c r="B985" s="79" t="s">
        <v>1546</v>
      </c>
      <c r="C985" s="79" t="s">
        <v>1546</v>
      </c>
      <c r="D985" s="79" t="str">
        <f t="shared" si="17"/>
        <v>Ikumbya</v>
      </c>
      <c r="E985" s="79"/>
      <c r="F985" s="79">
        <v>875</v>
      </c>
    </row>
    <row r="986" spans="1:6">
      <c r="A986" s="79" t="s">
        <v>1550</v>
      </c>
      <c r="B986" s="79" t="s">
        <v>1546</v>
      </c>
      <c r="C986" s="79" t="s">
        <v>1546</v>
      </c>
      <c r="D986" s="79" t="str">
        <f t="shared" si="17"/>
        <v>Irongo</v>
      </c>
      <c r="E986" s="79"/>
      <c r="F986" s="79">
        <v>876</v>
      </c>
    </row>
    <row r="987" spans="1:6">
      <c r="A987" s="79" t="s">
        <v>1551</v>
      </c>
      <c r="B987" s="79" t="s">
        <v>1546</v>
      </c>
      <c r="C987" s="79" t="s">
        <v>1546</v>
      </c>
      <c r="D987" s="79" t="str">
        <f t="shared" si="17"/>
        <v>Luuka Town Council</v>
      </c>
      <c r="E987" s="79"/>
      <c r="F987" s="79">
        <v>877</v>
      </c>
    </row>
    <row r="988" spans="1:6">
      <c r="A988" s="79" t="s">
        <v>1552</v>
      </c>
      <c r="B988" s="79" t="s">
        <v>1546</v>
      </c>
      <c r="C988" s="79" t="s">
        <v>1546</v>
      </c>
      <c r="D988" s="79" t="str">
        <f t="shared" si="17"/>
        <v>Nawampiti</v>
      </c>
      <c r="E988" s="79"/>
      <c r="F988" s="79">
        <v>878</v>
      </c>
    </row>
    <row r="989" spans="1:6">
      <c r="A989" s="79" t="s">
        <v>1553</v>
      </c>
      <c r="B989" s="79" t="s">
        <v>1546</v>
      </c>
      <c r="C989" s="79" t="s">
        <v>1546</v>
      </c>
      <c r="D989" s="79" t="str">
        <f t="shared" si="17"/>
        <v>Waibuga</v>
      </c>
      <c r="E989" s="79"/>
      <c r="F989" s="79">
        <v>879</v>
      </c>
    </row>
    <row r="990" spans="1:6">
      <c r="A990" s="79" t="s">
        <v>1554</v>
      </c>
      <c r="B990" s="79" t="s">
        <v>1555</v>
      </c>
      <c r="C990" s="79" t="s">
        <v>1554</v>
      </c>
      <c r="D990" s="79" t="str">
        <f t="shared" si="17"/>
        <v>Bamunanika</v>
      </c>
      <c r="E990" s="79"/>
      <c r="F990" s="79">
        <v>880</v>
      </c>
    </row>
    <row r="991" spans="1:6">
      <c r="A991" s="79" t="s">
        <v>1556</v>
      </c>
      <c r="B991" s="79" t="s">
        <v>1555</v>
      </c>
      <c r="C991" s="79" t="s">
        <v>1557</v>
      </c>
      <c r="D991" s="79" t="str">
        <f t="shared" si="17"/>
        <v>Bombo Town Council</v>
      </c>
      <c r="E991" s="79"/>
      <c r="F991" s="79">
        <v>881</v>
      </c>
    </row>
    <row r="992" spans="1:6">
      <c r="A992" s="79" t="s">
        <v>1558</v>
      </c>
      <c r="B992" s="79" t="s">
        <v>1555</v>
      </c>
      <c r="C992" s="79" t="s">
        <v>1557</v>
      </c>
      <c r="D992" s="79" t="str">
        <f t="shared" si="17"/>
        <v>Butuntumula</v>
      </c>
      <c r="E992" s="79"/>
      <c r="F992" s="79">
        <v>882</v>
      </c>
    </row>
    <row r="993" spans="1:6">
      <c r="A993" s="79" t="s">
        <v>1559</v>
      </c>
      <c r="B993" s="79" t="s">
        <v>1555</v>
      </c>
      <c r="C993" s="79" t="s">
        <v>1554</v>
      </c>
      <c r="D993" s="79" t="str">
        <f t="shared" si="17"/>
        <v>Kalagala</v>
      </c>
      <c r="E993" s="79"/>
      <c r="F993" s="79">
        <v>883</v>
      </c>
    </row>
    <row r="994" spans="1:6">
      <c r="A994" s="79" t="s">
        <v>1560</v>
      </c>
      <c r="B994" s="79" t="s">
        <v>1555</v>
      </c>
      <c r="C994" s="79" t="s">
        <v>1554</v>
      </c>
      <c r="D994" s="79" t="str">
        <f t="shared" si="17"/>
        <v>Kamira</v>
      </c>
      <c r="E994" s="79"/>
      <c r="F994" s="79">
        <v>884</v>
      </c>
    </row>
    <row r="995" spans="1:6">
      <c r="A995" s="79" t="s">
        <v>1557</v>
      </c>
      <c r="B995" s="79" t="s">
        <v>1555</v>
      </c>
      <c r="C995" s="79" t="s">
        <v>1557</v>
      </c>
      <c r="D995" s="79" t="str">
        <f t="shared" si="17"/>
        <v>Katikamu</v>
      </c>
      <c r="E995" s="79"/>
      <c r="F995" s="79">
        <v>885</v>
      </c>
    </row>
    <row r="996" spans="1:6">
      <c r="A996" s="79" t="s">
        <v>1561</v>
      </c>
      <c r="B996" s="79" t="s">
        <v>1555</v>
      </c>
      <c r="C996" s="79" t="s">
        <v>1554</v>
      </c>
      <c r="D996" s="79" t="str">
        <f t="shared" si="17"/>
        <v>Kikyusa</v>
      </c>
      <c r="E996" s="79"/>
      <c r="F996" s="79">
        <v>886</v>
      </c>
    </row>
    <row r="997" spans="1:6">
      <c r="A997" s="79" t="s">
        <v>1555</v>
      </c>
      <c r="B997" s="79" t="s">
        <v>1555</v>
      </c>
      <c r="C997" s="79" t="s">
        <v>1557</v>
      </c>
      <c r="D997" s="79" t="str">
        <f t="shared" si="17"/>
        <v>Luwero</v>
      </c>
      <c r="E997" s="79"/>
      <c r="F997" s="79">
        <v>887</v>
      </c>
    </row>
    <row r="998" spans="1:6">
      <c r="A998" s="79" t="s">
        <v>1562</v>
      </c>
      <c r="B998" s="79" t="s">
        <v>1555</v>
      </c>
      <c r="C998" s="79" t="s">
        <v>1557</v>
      </c>
      <c r="D998" s="79" t="str">
        <f t="shared" si="17"/>
        <v>Luwero Town Council</v>
      </c>
      <c r="E998" s="79"/>
      <c r="F998" s="79">
        <v>888</v>
      </c>
    </row>
    <row r="999" spans="1:6">
      <c r="A999" s="79" t="s">
        <v>1563</v>
      </c>
      <c r="B999" s="79" t="s">
        <v>1555</v>
      </c>
      <c r="C999" s="79" t="s">
        <v>1557</v>
      </c>
      <c r="D999" s="79" t="str">
        <f t="shared" si="17"/>
        <v>Makulubita</v>
      </c>
      <c r="E999" s="79"/>
      <c r="F999" s="79">
        <v>889</v>
      </c>
    </row>
    <row r="1000" spans="1:6">
      <c r="A1000" s="79" t="s">
        <v>1564</v>
      </c>
      <c r="B1000" s="79" t="s">
        <v>1555</v>
      </c>
      <c r="C1000" s="79" t="s">
        <v>1557</v>
      </c>
      <c r="D1000" s="79" t="str">
        <f t="shared" si="17"/>
        <v>Nyimbwa</v>
      </c>
      <c r="E1000" s="79"/>
      <c r="F1000" s="79">
        <v>890</v>
      </c>
    </row>
    <row r="1001" spans="1:6">
      <c r="A1001" s="79" t="s">
        <v>1565</v>
      </c>
      <c r="B1001" s="79" t="s">
        <v>1555</v>
      </c>
      <c r="C1001" s="79" t="s">
        <v>1557</v>
      </c>
      <c r="D1001" s="79" t="str">
        <f t="shared" si="17"/>
        <v>Wobulenzi Town Council</v>
      </c>
      <c r="E1001" s="79"/>
      <c r="F1001" s="79">
        <v>891</v>
      </c>
    </row>
    <row r="1002" spans="1:6">
      <c r="A1002" s="79" t="s">
        <v>1566</v>
      </c>
      <c r="B1002" s="79" t="s">
        <v>1555</v>
      </c>
      <c r="C1002" s="79" t="s">
        <v>1554</v>
      </c>
      <c r="D1002" s="79" t="str">
        <f t="shared" si="17"/>
        <v>Zirobwe</v>
      </c>
      <c r="E1002" s="79"/>
      <c r="F1002" s="79">
        <v>892</v>
      </c>
    </row>
    <row r="1003" spans="1:6">
      <c r="A1003" s="79" t="s">
        <v>1567</v>
      </c>
      <c r="B1003" s="79" t="s">
        <v>1568</v>
      </c>
      <c r="C1003" s="79" t="s">
        <v>23</v>
      </c>
      <c r="D1003" s="79" t="str">
        <f t="shared" si="17"/>
        <v>Kisekka</v>
      </c>
      <c r="E1003" s="79"/>
      <c r="F1003" s="79">
        <v>893</v>
      </c>
    </row>
    <row r="1004" spans="1:6">
      <c r="A1004" s="79" t="s">
        <v>1569</v>
      </c>
      <c r="B1004" s="79" t="s">
        <v>1568</v>
      </c>
      <c r="C1004" s="79" t="s">
        <v>23</v>
      </c>
      <c r="D1004" s="79" t="str">
        <f t="shared" si="17"/>
        <v>Kkingo</v>
      </c>
      <c r="E1004" s="79"/>
      <c r="F1004" s="79">
        <v>894</v>
      </c>
    </row>
    <row r="1005" spans="1:6">
      <c r="A1005" s="79" t="s">
        <v>1570</v>
      </c>
      <c r="B1005" s="79" t="s">
        <v>1568</v>
      </c>
      <c r="C1005" s="79" t="s">
        <v>23</v>
      </c>
      <c r="D1005" s="79" t="str">
        <f t="shared" si="17"/>
        <v>Kyazanga</v>
      </c>
      <c r="E1005" s="79"/>
      <c r="F1005" s="79">
        <v>895</v>
      </c>
    </row>
    <row r="1006" spans="1:6">
      <c r="A1006" s="79" t="s">
        <v>1571</v>
      </c>
      <c r="B1006" s="79" t="s">
        <v>1568</v>
      </c>
      <c r="C1006" s="79" t="s">
        <v>23</v>
      </c>
      <c r="D1006" s="79" t="str">
        <f t="shared" si="17"/>
        <v>Kyazanga Town Council</v>
      </c>
      <c r="E1006" s="79"/>
      <c r="F1006" s="79">
        <v>896</v>
      </c>
    </row>
    <row r="1007" spans="1:6">
      <c r="A1007" s="79" t="s">
        <v>1568</v>
      </c>
      <c r="B1007" s="79" t="s">
        <v>1568</v>
      </c>
      <c r="C1007" s="79" t="s">
        <v>23</v>
      </c>
      <c r="D1007" s="79" t="str">
        <f t="shared" si="17"/>
        <v>Lwengo</v>
      </c>
      <c r="E1007" s="79"/>
      <c r="F1007" s="79">
        <v>897</v>
      </c>
    </row>
    <row r="1008" spans="1:6">
      <c r="A1008" s="79" t="s">
        <v>1572</v>
      </c>
      <c r="B1008" s="79" t="s">
        <v>1568</v>
      </c>
      <c r="C1008" s="79" t="s">
        <v>23</v>
      </c>
      <c r="D1008" s="79" t="str">
        <f t="shared" si="17"/>
        <v>Lwengo Town Council</v>
      </c>
      <c r="E1008" s="79"/>
      <c r="F1008" s="79">
        <v>898</v>
      </c>
    </row>
    <row r="1009" spans="1:6">
      <c r="A1009" s="79" t="s">
        <v>1573</v>
      </c>
      <c r="B1009" s="79" t="s">
        <v>1568</v>
      </c>
      <c r="C1009" s="79" t="s">
        <v>23</v>
      </c>
      <c r="D1009" s="79" t="str">
        <f t="shared" si="17"/>
        <v>Malongo-Lwengo</v>
      </c>
      <c r="E1009" s="79"/>
      <c r="F1009" s="79">
        <v>899</v>
      </c>
    </row>
    <row r="1010" spans="1:6">
      <c r="A1010" s="79" t="s">
        <v>1574</v>
      </c>
      <c r="B1010" s="79" t="s">
        <v>1568</v>
      </c>
      <c r="C1010" s="79" t="s">
        <v>23</v>
      </c>
      <c r="D1010" s="79" t="str">
        <f t="shared" si="17"/>
        <v>Ndagwe</v>
      </c>
      <c r="E1010" s="79"/>
      <c r="F1010" s="79">
        <v>900</v>
      </c>
    </row>
    <row r="1011" spans="1:6">
      <c r="A1011" s="79" t="s">
        <v>1575</v>
      </c>
      <c r="B1011" s="79" t="s">
        <v>1576</v>
      </c>
      <c r="C1011" s="79" t="s">
        <v>1577</v>
      </c>
      <c r="D1011" s="79" t="str">
        <f t="shared" si="17"/>
        <v>Kaliiro</v>
      </c>
      <c r="E1011" s="79"/>
      <c r="F1011" s="79">
        <v>901</v>
      </c>
    </row>
    <row r="1012" spans="1:6">
      <c r="A1012" s="79" t="s">
        <v>1578</v>
      </c>
      <c r="B1012" s="79" t="s">
        <v>1576</v>
      </c>
      <c r="C1012" s="79" t="s">
        <v>1577</v>
      </c>
      <c r="D1012" s="79" t="str">
        <f t="shared" si="17"/>
        <v>Kasagama</v>
      </c>
      <c r="E1012" s="79"/>
      <c r="F1012" s="79">
        <v>902</v>
      </c>
    </row>
    <row r="1013" spans="1:6">
      <c r="A1013" s="79" t="s">
        <v>1579</v>
      </c>
      <c r="B1013" s="79" t="s">
        <v>1576</v>
      </c>
      <c r="C1013" s="79" t="s">
        <v>1577</v>
      </c>
      <c r="D1013" s="79" t="str">
        <f t="shared" si="17"/>
        <v>Kinuuka</v>
      </c>
      <c r="E1013" s="79"/>
      <c r="F1013" s="79">
        <v>903</v>
      </c>
    </row>
    <row r="1014" spans="1:6">
      <c r="A1014" s="79" t="s">
        <v>1576</v>
      </c>
      <c r="B1014" s="79" t="s">
        <v>1576</v>
      </c>
      <c r="C1014" s="79" t="s">
        <v>1577</v>
      </c>
      <c r="D1014" s="79" t="str">
        <f t="shared" si="17"/>
        <v>Lyantonde</v>
      </c>
      <c r="E1014" s="79"/>
      <c r="F1014" s="79">
        <v>904</v>
      </c>
    </row>
    <row r="1015" spans="1:6">
      <c r="A1015" s="79" t="s">
        <v>1580</v>
      </c>
      <c r="B1015" s="79" t="s">
        <v>1576</v>
      </c>
      <c r="C1015" s="79" t="s">
        <v>1577</v>
      </c>
      <c r="D1015" s="79" t="str">
        <f t="shared" si="17"/>
        <v>Lyantonde Town Council</v>
      </c>
      <c r="E1015" s="79"/>
      <c r="F1015" s="79">
        <v>905</v>
      </c>
    </row>
    <row r="1016" spans="1:6">
      <c r="A1016" s="79" t="s">
        <v>1581</v>
      </c>
      <c r="B1016" s="79" t="s">
        <v>1576</v>
      </c>
      <c r="C1016" s="79" t="s">
        <v>1577</v>
      </c>
      <c r="D1016" s="79" t="str">
        <f t="shared" si="17"/>
        <v>Mpumudde-Lyantonde</v>
      </c>
      <c r="E1016" s="79"/>
      <c r="F1016" s="79">
        <v>906</v>
      </c>
    </row>
    <row r="1017" spans="1:6">
      <c r="A1017" s="79" t="s">
        <v>2405</v>
      </c>
      <c r="B1017" s="79"/>
      <c r="C1017" s="79"/>
      <c r="D1017" s="79" t="str">
        <f t="shared" si="17"/>
        <v>Nakawuka</v>
      </c>
      <c r="E1017" s="79"/>
      <c r="F1017" s="79">
        <v>906</v>
      </c>
    </row>
    <row r="1018" spans="1:6">
      <c r="A1018" s="79" t="s">
        <v>1582</v>
      </c>
      <c r="B1018" s="79" t="s">
        <v>1583</v>
      </c>
      <c r="C1018" s="79" t="s">
        <v>1584</v>
      </c>
      <c r="D1018" s="79" t="str">
        <f t="shared" si="17"/>
        <v>Bugobero</v>
      </c>
      <c r="E1018" s="79"/>
      <c r="F1018" s="79">
        <v>907</v>
      </c>
    </row>
    <row r="1019" spans="1:6">
      <c r="A1019" s="79" t="s">
        <v>1585</v>
      </c>
      <c r="B1019" s="79" t="s">
        <v>1583</v>
      </c>
      <c r="C1019" s="79" t="s">
        <v>1584</v>
      </c>
      <c r="D1019" s="79" t="str">
        <f t="shared" si="17"/>
        <v>Bukhofu</v>
      </c>
      <c r="E1019" s="79"/>
      <c r="F1019" s="79">
        <v>908</v>
      </c>
    </row>
    <row r="1020" spans="1:6">
      <c r="A1020" s="79" t="s">
        <v>1586</v>
      </c>
      <c r="B1020" s="79" t="s">
        <v>1583</v>
      </c>
      <c r="C1020" s="79" t="s">
        <v>1584</v>
      </c>
      <c r="D1020" s="79" t="str">
        <f t="shared" si="17"/>
        <v>Bukusu</v>
      </c>
      <c r="E1020" s="79"/>
      <c r="F1020" s="79">
        <v>909</v>
      </c>
    </row>
    <row r="1021" spans="1:6">
      <c r="A1021" s="79" t="s">
        <v>1587</v>
      </c>
      <c r="B1021" s="79" t="s">
        <v>1583</v>
      </c>
      <c r="C1021" s="79" t="s">
        <v>1584</v>
      </c>
      <c r="D1021" s="79" t="str">
        <f t="shared" si="17"/>
        <v>Bunabwana</v>
      </c>
      <c r="E1021" s="79"/>
      <c r="F1021" s="79">
        <v>910</v>
      </c>
    </row>
    <row r="1022" spans="1:6">
      <c r="A1022" s="79" t="s">
        <v>1588</v>
      </c>
      <c r="B1022" s="79" t="s">
        <v>1583</v>
      </c>
      <c r="C1022" s="79" t="s">
        <v>1584</v>
      </c>
      <c r="D1022" s="79" t="str">
        <f t="shared" si="17"/>
        <v>Bunyinza Town Council</v>
      </c>
      <c r="E1022" s="79"/>
      <c r="F1022" s="79">
        <v>911</v>
      </c>
    </row>
    <row r="1023" spans="1:6">
      <c r="A1023" s="79" t="s">
        <v>1589</v>
      </c>
      <c r="B1023" s="79" t="s">
        <v>1583</v>
      </c>
      <c r="C1023" s="79" t="s">
        <v>1584</v>
      </c>
      <c r="D1023" s="79" t="str">
        <f t="shared" si="17"/>
        <v>Busukuya</v>
      </c>
      <c r="E1023" s="79"/>
      <c r="F1023" s="79">
        <v>912</v>
      </c>
    </row>
    <row r="1024" spans="1:6">
      <c r="A1024" s="79" t="s">
        <v>1590</v>
      </c>
      <c r="B1024" s="79" t="s">
        <v>1583</v>
      </c>
      <c r="C1024" s="79" t="s">
        <v>1584</v>
      </c>
      <c r="D1024" s="79" t="str">
        <f t="shared" si="17"/>
        <v>Butiru</v>
      </c>
      <c r="E1024" s="79"/>
      <c r="F1024" s="79">
        <v>913</v>
      </c>
    </row>
    <row r="1025" spans="1:6">
      <c r="A1025" s="79" t="s">
        <v>1591</v>
      </c>
      <c r="B1025" s="79" t="s">
        <v>1583</v>
      </c>
      <c r="C1025" s="79" t="s">
        <v>1584</v>
      </c>
      <c r="D1025" s="79" t="str">
        <f t="shared" si="17"/>
        <v>Butta</v>
      </c>
      <c r="E1025" s="79"/>
      <c r="F1025" s="79">
        <v>914</v>
      </c>
    </row>
    <row r="1026" spans="1:6">
      <c r="A1026" s="79" t="s">
        <v>1592</v>
      </c>
      <c r="B1026" s="79" t="s">
        <v>1583</v>
      </c>
      <c r="C1026" s="79" t="s">
        <v>1584</v>
      </c>
      <c r="D1026" s="79" t="str">
        <f t="shared" si="17"/>
        <v>Buwagogo</v>
      </c>
      <c r="E1026" s="79"/>
      <c r="F1026" s="79">
        <v>915</v>
      </c>
    </row>
    <row r="1027" spans="1:6">
      <c r="A1027" s="79" t="s">
        <v>1593</v>
      </c>
      <c r="B1027" s="79" t="s">
        <v>1583</v>
      </c>
      <c r="C1027" s="79" t="s">
        <v>1584</v>
      </c>
      <c r="D1027" s="79" t="str">
        <f t="shared" ref="D1027:D1090" si="18">A1027</f>
        <v>Buwangani Town Council</v>
      </c>
      <c r="E1027" s="79"/>
      <c r="F1027" s="79">
        <v>916</v>
      </c>
    </row>
    <row r="1028" spans="1:6">
      <c r="A1028" s="79" t="s">
        <v>1594</v>
      </c>
      <c r="B1028" s="79" t="s">
        <v>1583</v>
      </c>
      <c r="C1028" s="79" t="s">
        <v>1584</v>
      </c>
      <c r="D1028" s="79" t="str">
        <f t="shared" si="18"/>
        <v>Kaato</v>
      </c>
      <c r="E1028" s="79"/>
      <c r="F1028" s="79">
        <v>917</v>
      </c>
    </row>
    <row r="1029" spans="1:6">
      <c r="A1029" s="79" t="s">
        <v>1595</v>
      </c>
      <c r="B1029" s="79" t="s">
        <v>1583</v>
      </c>
      <c r="C1029" s="79" t="s">
        <v>1584</v>
      </c>
      <c r="D1029" s="79" t="str">
        <f t="shared" si="18"/>
        <v>Khabutoola</v>
      </c>
      <c r="E1029" s="79"/>
      <c r="F1029" s="79">
        <v>918</v>
      </c>
    </row>
    <row r="1030" spans="1:6">
      <c r="A1030" s="79" t="s">
        <v>1596</v>
      </c>
      <c r="B1030" s="79" t="s">
        <v>1583</v>
      </c>
      <c r="C1030" s="79" t="s">
        <v>1584</v>
      </c>
      <c r="D1030" s="79" t="str">
        <f t="shared" si="18"/>
        <v>Manafwa Town Council</v>
      </c>
      <c r="E1030" s="79"/>
      <c r="F1030" s="79">
        <v>919</v>
      </c>
    </row>
    <row r="1031" spans="1:6">
      <c r="A1031" s="79" t="s">
        <v>1597</v>
      </c>
      <c r="B1031" s="79" t="s">
        <v>1583</v>
      </c>
      <c r="C1031" s="79" t="s">
        <v>1584</v>
      </c>
      <c r="D1031" s="79" t="str">
        <f t="shared" si="18"/>
        <v>Nalondo</v>
      </c>
      <c r="E1031" s="79"/>
      <c r="F1031" s="79">
        <v>920</v>
      </c>
    </row>
    <row r="1032" spans="1:6">
      <c r="A1032" s="79" t="s">
        <v>1598</v>
      </c>
      <c r="B1032" s="79" t="s">
        <v>1583</v>
      </c>
      <c r="C1032" s="79" t="s">
        <v>1584</v>
      </c>
      <c r="D1032" s="79" t="str">
        <f t="shared" si="18"/>
        <v>Sibanga</v>
      </c>
      <c r="E1032" s="79"/>
      <c r="F1032" s="79">
        <v>921</v>
      </c>
    </row>
    <row r="1033" spans="1:6">
      <c r="A1033" s="79" t="s">
        <v>1599</v>
      </c>
      <c r="B1033" s="79" t="s">
        <v>1583</v>
      </c>
      <c r="C1033" s="79" t="s">
        <v>1584</v>
      </c>
      <c r="D1033" s="79" t="str">
        <f t="shared" si="18"/>
        <v>Sisuni</v>
      </c>
      <c r="E1033" s="79"/>
      <c r="F1033" s="79">
        <v>922</v>
      </c>
    </row>
    <row r="1034" spans="1:6">
      <c r="A1034" s="79" t="s">
        <v>1600</v>
      </c>
      <c r="B1034" s="79" t="s">
        <v>1583</v>
      </c>
      <c r="C1034" s="79" t="s">
        <v>1584</v>
      </c>
      <c r="D1034" s="79" t="str">
        <f t="shared" si="18"/>
        <v>Weswa</v>
      </c>
      <c r="E1034" s="79"/>
      <c r="F1034" s="79">
        <v>923</v>
      </c>
    </row>
    <row r="1035" spans="1:6">
      <c r="A1035" s="79" t="s">
        <v>1601</v>
      </c>
      <c r="B1035" s="79" t="s">
        <v>1602</v>
      </c>
      <c r="C1035" s="79" t="s">
        <v>1602</v>
      </c>
      <c r="D1035" s="79" t="str">
        <f t="shared" si="18"/>
        <v>Kijomoro</v>
      </c>
      <c r="E1035" s="79"/>
      <c r="F1035" s="79">
        <v>924</v>
      </c>
    </row>
    <row r="1036" spans="1:6">
      <c r="A1036" s="79" t="s">
        <v>1603</v>
      </c>
      <c r="B1036" s="79" t="s">
        <v>1602</v>
      </c>
      <c r="C1036" s="79" t="s">
        <v>1602</v>
      </c>
      <c r="D1036" s="79" t="str">
        <f t="shared" si="18"/>
        <v>Maracha Town Council</v>
      </c>
      <c r="E1036" s="79"/>
      <c r="F1036" s="79">
        <v>925</v>
      </c>
    </row>
    <row r="1037" spans="1:6">
      <c r="A1037" s="79" t="s">
        <v>1604</v>
      </c>
      <c r="B1037" s="79" t="s">
        <v>1602</v>
      </c>
      <c r="C1037" s="79" t="s">
        <v>1602</v>
      </c>
      <c r="D1037" s="79" t="str">
        <f t="shared" si="18"/>
        <v>Nyadri</v>
      </c>
      <c r="E1037" s="79"/>
      <c r="F1037" s="79">
        <v>926</v>
      </c>
    </row>
    <row r="1038" spans="1:6">
      <c r="A1038" s="79" t="s">
        <v>1605</v>
      </c>
      <c r="B1038" s="79" t="s">
        <v>1602</v>
      </c>
      <c r="C1038" s="79" t="s">
        <v>1602</v>
      </c>
      <c r="D1038" s="79" t="str">
        <f t="shared" si="18"/>
        <v>Oleba</v>
      </c>
      <c r="E1038" s="79"/>
      <c r="F1038" s="79">
        <v>927</v>
      </c>
    </row>
    <row r="1039" spans="1:6">
      <c r="A1039" s="79" t="s">
        <v>1606</v>
      </c>
      <c r="B1039" s="79" t="s">
        <v>1602</v>
      </c>
      <c r="C1039" s="79" t="s">
        <v>1602</v>
      </c>
      <c r="D1039" s="79" t="str">
        <f t="shared" si="18"/>
        <v>Oluffe</v>
      </c>
      <c r="E1039" s="79"/>
      <c r="F1039" s="79">
        <v>928</v>
      </c>
    </row>
    <row r="1040" spans="1:6">
      <c r="A1040" s="79" t="s">
        <v>1607</v>
      </c>
      <c r="B1040" s="79" t="s">
        <v>1602</v>
      </c>
      <c r="C1040" s="79" t="s">
        <v>1602</v>
      </c>
      <c r="D1040" s="79" t="str">
        <f t="shared" si="18"/>
        <v>Oluvu</v>
      </c>
      <c r="E1040" s="79"/>
      <c r="F1040" s="79">
        <v>929</v>
      </c>
    </row>
    <row r="1041" spans="1:6">
      <c r="A1041" s="79" t="s">
        <v>1608</v>
      </c>
      <c r="B1041" s="79" t="s">
        <v>1602</v>
      </c>
      <c r="C1041" s="79" t="s">
        <v>1602</v>
      </c>
      <c r="D1041" s="79" t="str">
        <f t="shared" si="18"/>
        <v>Tara</v>
      </c>
      <c r="E1041" s="79"/>
      <c r="F1041" s="79">
        <v>930</v>
      </c>
    </row>
    <row r="1042" spans="1:6">
      <c r="A1042" s="79" t="s">
        <v>1609</v>
      </c>
      <c r="B1042" s="79" t="s">
        <v>1602</v>
      </c>
      <c r="C1042" s="79" t="s">
        <v>1602</v>
      </c>
      <c r="D1042" s="79" t="str">
        <f t="shared" si="18"/>
        <v>Yivu</v>
      </c>
      <c r="E1042" s="79"/>
      <c r="F1042" s="79">
        <v>931</v>
      </c>
    </row>
    <row r="1043" spans="1:6">
      <c r="A1043" s="79" t="s">
        <v>1610</v>
      </c>
      <c r="B1043" s="79" t="s">
        <v>39</v>
      </c>
      <c r="C1043" s="79" t="s">
        <v>23</v>
      </c>
      <c r="D1043" s="79" t="str">
        <f t="shared" si="18"/>
        <v>Bukakata</v>
      </c>
      <c r="E1043" s="79"/>
      <c r="F1043" s="79">
        <v>932</v>
      </c>
    </row>
    <row r="1044" spans="1:6">
      <c r="A1044" s="79" t="s">
        <v>1611</v>
      </c>
      <c r="B1044" s="79" t="s">
        <v>39</v>
      </c>
      <c r="C1044" s="79" t="s">
        <v>23</v>
      </c>
      <c r="D1044" s="79" t="str">
        <f t="shared" si="18"/>
        <v>Buwunga-Masaka</v>
      </c>
      <c r="E1044" s="79"/>
      <c r="F1044" s="79">
        <v>933</v>
      </c>
    </row>
    <row r="1045" spans="1:6">
      <c r="A1045" s="79" t="s">
        <v>1612</v>
      </c>
      <c r="B1045" s="79" t="s">
        <v>39</v>
      </c>
      <c r="C1045" s="79" t="s">
        <v>23</v>
      </c>
      <c r="D1045" s="79" t="str">
        <f t="shared" si="18"/>
        <v>Kabonera</v>
      </c>
      <c r="E1045" s="79"/>
      <c r="F1045" s="79">
        <v>934</v>
      </c>
    </row>
    <row r="1046" spans="1:6">
      <c r="A1046" s="79" t="s">
        <v>1613</v>
      </c>
      <c r="B1046" s="79" t="s">
        <v>39</v>
      </c>
      <c r="C1046" s="79" t="s">
        <v>23</v>
      </c>
      <c r="D1046" s="79" t="str">
        <f t="shared" si="18"/>
        <v>Kyanamukaaka</v>
      </c>
      <c r="E1046" s="79"/>
      <c r="F1046" s="79">
        <v>935</v>
      </c>
    </row>
    <row r="1047" spans="1:6">
      <c r="A1047" s="79" t="s">
        <v>1614</v>
      </c>
      <c r="B1047" s="79" t="s">
        <v>39</v>
      </c>
      <c r="C1047" s="79" t="s">
        <v>23</v>
      </c>
      <c r="D1047" s="79" t="str">
        <f t="shared" si="18"/>
        <v>Kyesiiga</v>
      </c>
      <c r="E1047" s="79"/>
      <c r="F1047" s="79">
        <v>936</v>
      </c>
    </row>
    <row r="1048" spans="1:6">
      <c r="A1048" s="79" t="s">
        <v>1615</v>
      </c>
      <c r="B1048" s="79" t="s">
        <v>39</v>
      </c>
      <c r="C1048" s="79" t="s">
        <v>1615</v>
      </c>
      <c r="D1048" s="79" t="str">
        <f t="shared" si="18"/>
        <v>Masaka Municipality</v>
      </c>
      <c r="E1048" s="79"/>
      <c r="F1048" s="79">
        <v>937</v>
      </c>
    </row>
    <row r="1049" spans="1:6">
      <c r="A1049" s="79" t="s">
        <v>1616</v>
      </c>
      <c r="B1049" s="79"/>
      <c r="C1049" s="79"/>
      <c r="D1049" s="79" t="str">
        <f t="shared" si="18"/>
        <v>MAYA</v>
      </c>
      <c r="E1049" s="79"/>
      <c r="F1049" s="79">
        <v>937</v>
      </c>
    </row>
    <row r="1050" spans="1:6">
      <c r="A1050" s="79" t="s">
        <v>1617</v>
      </c>
      <c r="B1050" s="79"/>
      <c r="C1050" s="79"/>
      <c r="D1050" s="79" t="str">
        <f t="shared" si="18"/>
        <v xml:space="preserve">Masaka  </v>
      </c>
      <c r="E1050" s="79"/>
      <c r="F1050" s="79">
        <v>937</v>
      </c>
    </row>
    <row r="1051" spans="1:6">
      <c r="A1051" s="79" t="s">
        <v>1618</v>
      </c>
      <c r="B1051" s="79"/>
      <c r="C1051" s="79"/>
      <c r="D1051" s="79" t="str">
        <f t="shared" si="18"/>
        <v>MASAKA</v>
      </c>
      <c r="E1051" s="79"/>
      <c r="F1051" s="79">
        <v>937</v>
      </c>
    </row>
    <row r="1052" spans="1:6">
      <c r="A1052" s="79" t="s">
        <v>1619</v>
      </c>
      <c r="B1052" s="79" t="s">
        <v>39</v>
      </c>
      <c r="C1052" s="79" t="s">
        <v>23</v>
      </c>
      <c r="D1052" s="79" t="str">
        <f t="shared" si="18"/>
        <v>Mukungwe</v>
      </c>
      <c r="E1052" s="79"/>
      <c r="F1052" s="79">
        <v>938</v>
      </c>
    </row>
    <row r="1053" spans="1:6">
      <c r="A1053" s="79" t="s">
        <v>1620</v>
      </c>
      <c r="B1053" s="79" t="s">
        <v>1621</v>
      </c>
      <c r="C1053" s="79" t="s">
        <v>1622</v>
      </c>
      <c r="D1053" s="79" t="str">
        <f t="shared" si="18"/>
        <v>Budongo</v>
      </c>
      <c r="E1053" s="79"/>
      <c r="F1053" s="79">
        <v>939</v>
      </c>
    </row>
    <row r="1054" spans="1:6">
      <c r="A1054" s="79" t="s">
        <v>1623</v>
      </c>
      <c r="B1054" s="79" t="s">
        <v>1621</v>
      </c>
      <c r="C1054" s="79" t="s">
        <v>1622</v>
      </c>
      <c r="D1054" s="79" t="str">
        <f t="shared" si="18"/>
        <v>Bwijanga</v>
      </c>
      <c r="E1054" s="79"/>
      <c r="F1054" s="79">
        <v>940</v>
      </c>
    </row>
    <row r="1055" spans="1:6">
      <c r="A1055" s="79" t="s">
        <v>1624</v>
      </c>
      <c r="B1055" s="79" t="s">
        <v>1621</v>
      </c>
      <c r="C1055" s="79" t="s">
        <v>1625</v>
      </c>
      <c r="D1055" s="79" t="str">
        <f t="shared" si="18"/>
        <v>Kimengo</v>
      </c>
      <c r="E1055" s="79"/>
      <c r="F1055" s="79">
        <v>941</v>
      </c>
    </row>
    <row r="1056" spans="1:6">
      <c r="A1056" s="79" t="s">
        <v>1626</v>
      </c>
      <c r="B1056" s="79" t="s">
        <v>1621</v>
      </c>
      <c r="C1056" s="79" t="s">
        <v>1626</v>
      </c>
      <c r="D1056" s="79" t="str">
        <f t="shared" si="18"/>
        <v>Masindi Municipality</v>
      </c>
      <c r="E1056" s="79"/>
      <c r="F1056" s="79">
        <v>942</v>
      </c>
    </row>
    <row r="1057" spans="1:6">
      <c r="A1057" s="79" t="s">
        <v>1627</v>
      </c>
      <c r="B1057" s="79" t="s">
        <v>1621</v>
      </c>
      <c r="C1057" s="79" t="s">
        <v>1625</v>
      </c>
      <c r="D1057" s="79" t="str">
        <f t="shared" si="18"/>
        <v>Miirya</v>
      </c>
      <c r="E1057" s="79"/>
      <c r="F1057" s="79">
        <v>943</v>
      </c>
    </row>
    <row r="1058" spans="1:6">
      <c r="A1058" s="79" t="s">
        <v>1628</v>
      </c>
      <c r="B1058" s="79" t="s">
        <v>1621</v>
      </c>
      <c r="C1058" s="79" t="s">
        <v>1625</v>
      </c>
      <c r="D1058" s="79" t="str">
        <f t="shared" si="18"/>
        <v>Pakanyi</v>
      </c>
      <c r="E1058" s="79"/>
      <c r="F1058" s="79">
        <v>944</v>
      </c>
    </row>
    <row r="1059" spans="1:6">
      <c r="A1059" s="79" t="s">
        <v>1629</v>
      </c>
      <c r="B1059" s="79" t="s">
        <v>1630</v>
      </c>
      <c r="C1059" s="79" t="s">
        <v>1631</v>
      </c>
      <c r="D1059" s="79" t="str">
        <f t="shared" si="18"/>
        <v>Baitambogwe</v>
      </c>
      <c r="E1059" s="79"/>
      <c r="F1059" s="79">
        <v>945</v>
      </c>
    </row>
    <row r="1060" spans="1:6">
      <c r="A1060" s="79" t="s">
        <v>1632</v>
      </c>
      <c r="B1060" s="79" t="s">
        <v>1630</v>
      </c>
      <c r="C1060" s="79" t="s">
        <v>1631</v>
      </c>
      <c r="D1060" s="79" t="str">
        <f t="shared" si="18"/>
        <v>Bukabooli</v>
      </c>
      <c r="E1060" s="79"/>
      <c r="F1060" s="79">
        <v>946</v>
      </c>
    </row>
    <row r="1061" spans="1:6">
      <c r="A1061" s="79" t="s">
        <v>1633</v>
      </c>
      <c r="B1061" s="79" t="s">
        <v>1630</v>
      </c>
      <c r="C1061" s="79" t="s">
        <v>1631</v>
      </c>
      <c r="D1061" s="79" t="str">
        <f t="shared" si="18"/>
        <v>Bukatube</v>
      </c>
      <c r="E1061" s="79"/>
      <c r="F1061" s="79">
        <v>947</v>
      </c>
    </row>
    <row r="1062" spans="1:6">
      <c r="A1062" s="79" t="s">
        <v>1634</v>
      </c>
      <c r="B1062" s="79" t="s">
        <v>1630</v>
      </c>
      <c r="C1062" s="79" t="s">
        <v>1631</v>
      </c>
      <c r="D1062" s="79" t="str">
        <f t="shared" si="18"/>
        <v>Busakira</v>
      </c>
      <c r="E1062" s="79"/>
      <c r="F1062" s="79">
        <v>948</v>
      </c>
    </row>
    <row r="1063" spans="1:6">
      <c r="A1063" s="79" t="s">
        <v>1635</v>
      </c>
      <c r="B1063" s="79" t="s">
        <v>1630</v>
      </c>
      <c r="C1063" s="79" t="s">
        <v>1631</v>
      </c>
      <c r="D1063" s="79" t="str">
        <f t="shared" si="18"/>
        <v>Buwaaya</v>
      </c>
      <c r="E1063" s="79"/>
      <c r="F1063" s="79">
        <v>949</v>
      </c>
    </row>
    <row r="1064" spans="1:6">
      <c r="A1064" s="79" t="s">
        <v>1636</v>
      </c>
      <c r="B1064" s="79" t="s">
        <v>1630</v>
      </c>
      <c r="C1064" s="79" t="s">
        <v>1631</v>
      </c>
      <c r="D1064" s="79" t="str">
        <f t="shared" si="18"/>
        <v>Imanyiro</v>
      </c>
      <c r="E1064" s="79"/>
      <c r="F1064" s="79">
        <v>950</v>
      </c>
    </row>
    <row r="1065" spans="1:6">
      <c r="A1065" s="79" t="s">
        <v>1637</v>
      </c>
      <c r="B1065" s="79" t="s">
        <v>1630</v>
      </c>
      <c r="C1065" s="79" t="s">
        <v>1631</v>
      </c>
      <c r="D1065" s="79" t="str">
        <f t="shared" si="18"/>
        <v>Jaguzi</v>
      </c>
      <c r="E1065" s="79"/>
      <c r="F1065" s="79">
        <v>951</v>
      </c>
    </row>
    <row r="1066" spans="1:6">
      <c r="A1066" s="79" t="s">
        <v>1638</v>
      </c>
      <c r="B1066" s="79" t="s">
        <v>1630</v>
      </c>
      <c r="C1066" s="79" t="s">
        <v>1631</v>
      </c>
      <c r="D1066" s="79" t="str">
        <f t="shared" si="18"/>
        <v>Kigandalo</v>
      </c>
      <c r="E1066" s="79"/>
      <c r="F1066" s="79">
        <v>952</v>
      </c>
    </row>
    <row r="1067" spans="1:6">
      <c r="A1067" s="79" t="s">
        <v>1639</v>
      </c>
      <c r="B1067" s="79" t="s">
        <v>1630</v>
      </c>
      <c r="C1067" s="79" t="s">
        <v>1631</v>
      </c>
      <c r="D1067" s="79" t="str">
        <f t="shared" si="18"/>
        <v>Kityerera</v>
      </c>
      <c r="E1067" s="79"/>
      <c r="F1067" s="79">
        <v>953</v>
      </c>
    </row>
    <row r="1068" spans="1:6">
      <c r="A1068" s="79" t="s">
        <v>1640</v>
      </c>
      <c r="B1068" s="79" t="s">
        <v>1630</v>
      </c>
      <c r="C1068" s="79" t="s">
        <v>1631</v>
      </c>
      <c r="D1068" s="79" t="str">
        <f t="shared" si="18"/>
        <v>Magamaga Town Council</v>
      </c>
      <c r="E1068" s="79"/>
      <c r="F1068" s="79">
        <v>954</v>
      </c>
    </row>
    <row r="1069" spans="1:6">
      <c r="A1069" s="79" t="s">
        <v>1641</v>
      </c>
      <c r="B1069" s="79" t="s">
        <v>1630</v>
      </c>
      <c r="C1069" s="79" t="s">
        <v>1631</v>
      </c>
      <c r="D1069" s="79" t="str">
        <f t="shared" si="18"/>
        <v>Malongo-Mayuge</v>
      </c>
      <c r="E1069" s="79"/>
      <c r="F1069" s="79">
        <v>955</v>
      </c>
    </row>
    <row r="1070" spans="1:6">
      <c r="A1070" s="79" t="s">
        <v>1642</v>
      </c>
      <c r="B1070" s="79" t="s">
        <v>1630</v>
      </c>
      <c r="C1070" s="79" t="s">
        <v>1631</v>
      </c>
      <c r="D1070" s="79" t="str">
        <f t="shared" si="18"/>
        <v>Mayuge Town Council</v>
      </c>
      <c r="E1070" s="79"/>
      <c r="F1070" s="79">
        <v>956</v>
      </c>
    </row>
    <row r="1071" spans="1:6">
      <c r="A1071" s="79" t="s">
        <v>1643</v>
      </c>
      <c r="B1071" s="79" t="s">
        <v>1630</v>
      </c>
      <c r="C1071" s="79" t="s">
        <v>1631</v>
      </c>
      <c r="D1071" s="79" t="str">
        <f t="shared" si="18"/>
        <v>Mpungwe</v>
      </c>
      <c r="E1071" s="79"/>
      <c r="F1071" s="79">
        <v>957</v>
      </c>
    </row>
    <row r="1072" spans="1:6">
      <c r="A1072" s="79" t="s">
        <v>1644</v>
      </c>
      <c r="B1072" s="79" t="s">
        <v>1630</v>
      </c>
      <c r="C1072" s="79" t="s">
        <v>1631</v>
      </c>
      <c r="D1072" s="79" t="str">
        <f t="shared" si="18"/>
        <v>Wairasa</v>
      </c>
      <c r="E1072" s="79"/>
      <c r="F1072" s="79">
        <v>958</v>
      </c>
    </row>
    <row r="1073" spans="1:6">
      <c r="A1073" s="79" t="s">
        <v>1645</v>
      </c>
      <c r="B1073" s="79" t="s">
        <v>1646</v>
      </c>
      <c r="C1073" s="79" t="s">
        <v>1647</v>
      </c>
      <c r="D1073" s="79" t="str">
        <f t="shared" si="18"/>
        <v>Bubyangu</v>
      </c>
      <c r="E1073" s="79"/>
      <c r="F1073" s="79">
        <v>959</v>
      </c>
    </row>
    <row r="1074" spans="1:6">
      <c r="A1074" s="79" t="s">
        <v>1648</v>
      </c>
      <c r="B1074" s="79" t="s">
        <v>1646</v>
      </c>
      <c r="C1074" s="79" t="s">
        <v>1647</v>
      </c>
      <c r="D1074" s="79" t="str">
        <f t="shared" si="18"/>
        <v>Budwale</v>
      </c>
      <c r="E1074" s="79"/>
      <c r="F1074" s="79">
        <v>960</v>
      </c>
    </row>
    <row r="1075" spans="1:6">
      <c r="A1075" s="79" t="s">
        <v>1649</v>
      </c>
      <c r="B1075" s="79" t="s">
        <v>1646</v>
      </c>
      <c r="C1075" s="79" t="s">
        <v>1647</v>
      </c>
      <c r="D1075" s="79" t="str">
        <f t="shared" si="18"/>
        <v>Bufumbo</v>
      </c>
      <c r="E1075" s="79"/>
      <c r="F1075" s="79">
        <v>961</v>
      </c>
    </row>
    <row r="1076" spans="1:6">
      <c r="A1076" s="79" t="s">
        <v>1650</v>
      </c>
      <c r="B1076" s="79" t="s">
        <v>1646</v>
      </c>
      <c r="C1076" s="79" t="s">
        <v>1647</v>
      </c>
      <c r="D1076" s="79" t="str">
        <f t="shared" si="18"/>
        <v>Bukasakya</v>
      </c>
      <c r="E1076" s="79"/>
      <c r="F1076" s="79">
        <v>962</v>
      </c>
    </row>
    <row r="1077" spans="1:6">
      <c r="A1077" s="79" t="s">
        <v>1651</v>
      </c>
      <c r="B1077" s="79" t="s">
        <v>1646</v>
      </c>
      <c r="C1077" s="79" t="s">
        <v>1647</v>
      </c>
      <c r="D1077" s="79" t="str">
        <f t="shared" si="18"/>
        <v>Bukiende</v>
      </c>
      <c r="E1077" s="79"/>
      <c r="F1077" s="79">
        <v>963</v>
      </c>
    </row>
    <row r="1078" spans="1:6">
      <c r="A1078" s="79" t="s">
        <v>1652</v>
      </c>
      <c r="B1078" s="79" t="s">
        <v>1646</v>
      </c>
      <c r="C1078" s="79" t="s">
        <v>1647</v>
      </c>
      <c r="D1078" s="79" t="str">
        <f t="shared" si="18"/>
        <v>Bukonde</v>
      </c>
      <c r="E1078" s="79"/>
      <c r="F1078" s="79">
        <v>964</v>
      </c>
    </row>
    <row r="1079" spans="1:6">
      <c r="A1079" s="79" t="s">
        <v>1653</v>
      </c>
      <c r="B1079" s="79" t="s">
        <v>1646</v>
      </c>
      <c r="C1079" s="79" t="s">
        <v>1647</v>
      </c>
      <c r="D1079" s="79" t="str">
        <f t="shared" si="18"/>
        <v>Bumasikye</v>
      </c>
      <c r="E1079" s="79"/>
      <c r="F1079" s="79">
        <v>965</v>
      </c>
    </row>
    <row r="1080" spans="1:6">
      <c r="A1080" s="79" t="s">
        <v>1654</v>
      </c>
      <c r="B1080" s="79" t="s">
        <v>1646</v>
      </c>
      <c r="C1080" s="79" t="s">
        <v>1647</v>
      </c>
      <c r="D1080" s="79" t="str">
        <f t="shared" si="18"/>
        <v>Bumbobi</v>
      </c>
      <c r="E1080" s="79"/>
      <c r="F1080" s="79">
        <v>966</v>
      </c>
    </row>
    <row r="1081" spans="1:6">
      <c r="A1081" s="79" t="s">
        <v>1647</v>
      </c>
      <c r="B1081" s="79" t="s">
        <v>1646</v>
      </c>
      <c r="C1081" s="79" t="s">
        <v>1647</v>
      </c>
      <c r="D1081" s="79" t="str">
        <f t="shared" si="18"/>
        <v>Bungokho</v>
      </c>
      <c r="E1081" s="79"/>
      <c r="F1081" s="79">
        <v>967</v>
      </c>
    </row>
    <row r="1082" spans="1:6">
      <c r="A1082" s="79" t="s">
        <v>1655</v>
      </c>
      <c r="B1082" s="79" t="s">
        <v>1646</v>
      </c>
      <c r="C1082" s="79" t="s">
        <v>1647</v>
      </c>
      <c r="D1082" s="79" t="str">
        <f t="shared" si="18"/>
        <v>Bungokho Mutoto</v>
      </c>
      <c r="E1082" s="79"/>
      <c r="F1082" s="79">
        <v>968</v>
      </c>
    </row>
    <row r="1083" spans="1:6">
      <c r="A1083" s="79" t="s">
        <v>1656</v>
      </c>
      <c r="B1083" s="79" t="s">
        <v>1646</v>
      </c>
      <c r="C1083" s="79" t="s">
        <v>1647</v>
      </c>
      <c r="D1083" s="79" t="str">
        <f t="shared" si="18"/>
        <v>Busano</v>
      </c>
      <c r="E1083" s="79"/>
      <c r="F1083" s="79">
        <v>969</v>
      </c>
    </row>
    <row r="1084" spans="1:6">
      <c r="A1084" s="79" t="s">
        <v>1657</v>
      </c>
      <c r="B1084" s="79" t="s">
        <v>1646</v>
      </c>
      <c r="C1084" s="79" t="s">
        <v>1647</v>
      </c>
      <c r="D1084" s="79" t="str">
        <f t="shared" si="18"/>
        <v>Busiu</v>
      </c>
      <c r="E1084" s="79"/>
      <c r="F1084" s="79">
        <v>970</v>
      </c>
    </row>
    <row r="1085" spans="1:6">
      <c r="A1085" s="79" t="s">
        <v>1658</v>
      </c>
      <c r="B1085" s="79" t="s">
        <v>1646</v>
      </c>
      <c r="C1085" s="79" t="s">
        <v>1647</v>
      </c>
      <c r="D1085" s="79" t="str">
        <f t="shared" si="18"/>
        <v>Busiu Town Council</v>
      </c>
      <c r="E1085" s="79"/>
      <c r="F1085" s="79">
        <v>971</v>
      </c>
    </row>
    <row r="1086" spans="1:6">
      <c r="A1086" s="79" t="s">
        <v>1659</v>
      </c>
      <c r="B1086" s="79" t="s">
        <v>1646</v>
      </c>
      <c r="C1086" s="79" t="s">
        <v>1647</v>
      </c>
      <c r="D1086" s="79" t="str">
        <f t="shared" si="18"/>
        <v>Busoba</v>
      </c>
      <c r="E1086" s="79"/>
      <c r="F1086" s="79">
        <v>972</v>
      </c>
    </row>
    <row r="1087" spans="1:6">
      <c r="A1087" s="79" t="s">
        <v>1660</v>
      </c>
      <c r="B1087" s="79" t="s">
        <v>1646</v>
      </c>
      <c r="C1087" s="79" t="s">
        <v>1647</v>
      </c>
      <c r="D1087" s="79" t="str">
        <f t="shared" si="18"/>
        <v>Lukhonge</v>
      </c>
      <c r="E1087" s="79"/>
      <c r="F1087" s="79">
        <v>973</v>
      </c>
    </row>
    <row r="1088" spans="1:6">
      <c r="A1088" s="79" t="s">
        <v>1661</v>
      </c>
      <c r="B1088" s="79" t="s">
        <v>1646</v>
      </c>
      <c r="C1088" s="79" t="s">
        <v>1647</v>
      </c>
      <c r="D1088" s="79" t="str">
        <f t="shared" si="18"/>
        <v>Lwasso</v>
      </c>
      <c r="E1088" s="79"/>
      <c r="F1088" s="79">
        <v>974</v>
      </c>
    </row>
    <row r="1089" spans="1:6">
      <c r="A1089" s="79" t="s">
        <v>1662</v>
      </c>
      <c r="B1089" s="79" t="s">
        <v>1646</v>
      </c>
      <c r="C1089" s="79" t="s">
        <v>1662</v>
      </c>
      <c r="D1089" s="79" t="str">
        <f t="shared" si="18"/>
        <v>Mbale Municipality</v>
      </c>
      <c r="E1089" s="79"/>
      <c r="F1089" s="79">
        <v>975</v>
      </c>
    </row>
    <row r="1090" spans="1:6">
      <c r="A1090" s="79" t="s">
        <v>1663</v>
      </c>
      <c r="B1090" s="79" t="s">
        <v>1646</v>
      </c>
      <c r="C1090" s="79" t="s">
        <v>1647</v>
      </c>
      <c r="D1090" s="79" t="str">
        <f t="shared" si="18"/>
        <v>Nabumali Town Council</v>
      </c>
      <c r="E1090" s="79"/>
      <c r="F1090" s="79">
        <v>976</v>
      </c>
    </row>
    <row r="1091" spans="1:6">
      <c r="A1091" s="79" t="s">
        <v>1664</v>
      </c>
      <c r="B1091" s="79" t="s">
        <v>1646</v>
      </c>
      <c r="C1091" s="79" t="s">
        <v>1647</v>
      </c>
      <c r="D1091" s="79" t="str">
        <f t="shared" ref="D1091:D1154" si="19">A1091</f>
        <v>Nakaloke</v>
      </c>
      <c r="E1091" s="79"/>
      <c r="F1091" s="79">
        <v>977</v>
      </c>
    </row>
    <row r="1092" spans="1:6">
      <c r="A1092" s="79" t="s">
        <v>1665</v>
      </c>
      <c r="B1092" s="79" t="s">
        <v>1646</v>
      </c>
      <c r="C1092" s="79" t="s">
        <v>1647</v>
      </c>
      <c r="D1092" s="79" t="str">
        <f t="shared" si="19"/>
        <v>Nakaloke Town Council</v>
      </c>
      <c r="E1092" s="79"/>
      <c r="F1092" s="79">
        <v>978</v>
      </c>
    </row>
    <row r="1093" spans="1:6">
      <c r="A1093" s="79" t="s">
        <v>1666</v>
      </c>
      <c r="B1093" s="79" t="s">
        <v>1646</v>
      </c>
      <c r="C1093" s="79" t="s">
        <v>1647</v>
      </c>
      <c r="D1093" s="79" t="str">
        <f t="shared" si="19"/>
        <v>Namanyonyi</v>
      </c>
      <c r="E1093" s="79"/>
      <c r="F1093" s="79">
        <v>979</v>
      </c>
    </row>
    <row r="1094" spans="1:6">
      <c r="A1094" s="79" t="s">
        <v>1667</v>
      </c>
      <c r="B1094" s="79" t="s">
        <v>1646</v>
      </c>
      <c r="C1094" s="79" t="s">
        <v>1647</v>
      </c>
      <c r="D1094" s="79" t="str">
        <f t="shared" si="19"/>
        <v>Nyondo</v>
      </c>
      <c r="E1094" s="79"/>
      <c r="F1094" s="79">
        <v>980</v>
      </c>
    </row>
    <row r="1095" spans="1:6">
      <c r="A1095" s="79" t="s">
        <v>1668</v>
      </c>
      <c r="B1095" s="79" t="s">
        <v>1646</v>
      </c>
      <c r="C1095" s="79" t="s">
        <v>1647</v>
      </c>
      <c r="D1095" s="79" t="str">
        <f t="shared" si="19"/>
        <v>Wanale</v>
      </c>
      <c r="E1095" s="79"/>
      <c r="F1095" s="79">
        <v>981</v>
      </c>
    </row>
    <row r="1096" spans="1:6">
      <c r="A1096" s="79" t="s">
        <v>1669</v>
      </c>
      <c r="B1096" s="79" t="s">
        <v>1670</v>
      </c>
      <c r="C1096" s="79" t="s">
        <v>1671</v>
      </c>
      <c r="D1096" s="79" t="str">
        <f t="shared" si="19"/>
        <v>Bubaare-Mbarara</v>
      </c>
      <c r="E1096" s="79"/>
      <c r="F1096" s="79">
        <v>982</v>
      </c>
    </row>
    <row r="1097" spans="1:6">
      <c r="A1097" s="79" t="s">
        <v>1672</v>
      </c>
      <c r="B1097" s="79" t="s">
        <v>1670</v>
      </c>
      <c r="C1097" s="79" t="s">
        <v>1673</v>
      </c>
      <c r="D1097" s="79" t="str">
        <f t="shared" si="19"/>
        <v>Bugamba</v>
      </c>
      <c r="E1097" s="79"/>
      <c r="F1097" s="79">
        <v>983</v>
      </c>
    </row>
    <row r="1098" spans="1:6">
      <c r="A1098" s="79" t="s">
        <v>1674</v>
      </c>
      <c r="B1098" s="79" t="s">
        <v>1670</v>
      </c>
      <c r="C1098" s="79" t="s">
        <v>1671</v>
      </c>
      <c r="D1098" s="79" t="str">
        <f t="shared" si="19"/>
        <v>Bukiro</v>
      </c>
      <c r="E1098" s="79"/>
      <c r="F1098" s="79">
        <v>984</v>
      </c>
    </row>
    <row r="1099" spans="1:6">
      <c r="A1099" s="79" t="s">
        <v>1675</v>
      </c>
      <c r="B1099" s="79" t="s">
        <v>1670</v>
      </c>
      <c r="C1099" s="79" t="s">
        <v>1671</v>
      </c>
      <c r="D1099" s="79" t="str">
        <f t="shared" si="19"/>
        <v>Kagongi</v>
      </c>
      <c r="E1099" s="79"/>
      <c r="F1099" s="79">
        <v>985</v>
      </c>
    </row>
    <row r="1100" spans="1:6">
      <c r="A1100" s="79" t="s">
        <v>1676</v>
      </c>
      <c r="B1100" s="79" t="s">
        <v>1670</v>
      </c>
      <c r="C1100" s="79" t="s">
        <v>1671</v>
      </c>
      <c r="D1100" s="79" t="str">
        <f t="shared" si="19"/>
        <v>Kashare</v>
      </c>
      <c r="E1100" s="79"/>
      <c r="F1100" s="79">
        <v>986</v>
      </c>
    </row>
    <row r="1101" spans="1:6">
      <c r="A1101" s="79" t="s">
        <v>1677</v>
      </c>
      <c r="B1101" s="79" t="s">
        <v>1670</v>
      </c>
      <c r="C1101" s="79" t="s">
        <v>1677</v>
      </c>
      <c r="D1101" s="79" t="str">
        <f t="shared" si="19"/>
        <v>Mbarara Municipality</v>
      </c>
      <c r="E1101" s="79"/>
      <c r="F1101" s="79">
        <v>987</v>
      </c>
    </row>
    <row r="1102" spans="1:6">
      <c r="A1102" s="79" t="s">
        <v>1678</v>
      </c>
      <c r="B1102" s="79"/>
      <c r="C1102" s="79"/>
      <c r="D1102" s="79" t="str">
        <f t="shared" si="19"/>
        <v>MBARARA</v>
      </c>
      <c r="E1102" s="79"/>
      <c r="F1102" s="79">
        <v>987</v>
      </c>
    </row>
    <row r="1103" spans="1:6">
      <c r="A1103" s="79" t="s">
        <v>1679</v>
      </c>
      <c r="B1103" s="79" t="s">
        <v>1670</v>
      </c>
      <c r="C1103" s="79" t="s">
        <v>1673</v>
      </c>
      <c r="D1103" s="79" t="str">
        <f t="shared" si="19"/>
        <v>Mwizi</v>
      </c>
      <c r="E1103" s="79"/>
      <c r="F1103" s="79">
        <v>988</v>
      </c>
    </row>
    <row r="1104" spans="1:6">
      <c r="A1104" s="79" t="s">
        <v>1680</v>
      </c>
      <c r="B1104" s="79" t="s">
        <v>1670</v>
      </c>
      <c r="C1104" s="79" t="s">
        <v>1673</v>
      </c>
      <c r="D1104" s="79" t="str">
        <f t="shared" si="19"/>
        <v>Ndeija</v>
      </c>
      <c r="E1104" s="79"/>
      <c r="F1104" s="79">
        <v>989</v>
      </c>
    </row>
    <row r="1105" spans="1:6">
      <c r="A1105" s="79" t="s">
        <v>1681</v>
      </c>
      <c r="B1105" s="79" t="s">
        <v>1670</v>
      </c>
      <c r="C1105" s="79" t="s">
        <v>1671</v>
      </c>
      <c r="D1105" s="79" t="str">
        <f t="shared" si="19"/>
        <v>Rubaya-Mbarara</v>
      </c>
      <c r="E1105" s="79"/>
      <c r="F1105" s="79">
        <v>990</v>
      </c>
    </row>
    <row r="1106" spans="1:6">
      <c r="A1106" s="79" t="s">
        <v>1682</v>
      </c>
      <c r="B1106" s="79" t="s">
        <v>1670</v>
      </c>
      <c r="C1106" s="79" t="s">
        <v>1671</v>
      </c>
      <c r="D1106" s="79" t="str">
        <f t="shared" si="19"/>
        <v>Rubindi</v>
      </c>
      <c r="E1106" s="79"/>
      <c r="F1106" s="79">
        <v>991</v>
      </c>
    </row>
    <row r="1107" spans="1:6">
      <c r="A1107" s="79" t="s">
        <v>1683</v>
      </c>
      <c r="B1107" s="79" t="s">
        <v>1670</v>
      </c>
      <c r="C1107" s="79" t="s">
        <v>1673</v>
      </c>
      <c r="D1107" s="79" t="str">
        <f t="shared" si="19"/>
        <v>Rugando</v>
      </c>
      <c r="E1107" s="79"/>
      <c r="F1107" s="79">
        <v>992</v>
      </c>
    </row>
    <row r="1108" spans="1:6">
      <c r="A1108" s="79" t="s">
        <v>1684</v>
      </c>
      <c r="B1108" s="79" t="s">
        <v>1670</v>
      </c>
      <c r="C1108" s="79" t="s">
        <v>1671</v>
      </c>
      <c r="D1108" s="79" t="str">
        <f t="shared" si="19"/>
        <v>Rwanyamahembe</v>
      </c>
      <c r="E1108" s="79"/>
      <c r="F1108" s="79">
        <v>993</v>
      </c>
    </row>
    <row r="1109" spans="1:6">
      <c r="A1109" s="79" t="s">
        <v>1685</v>
      </c>
      <c r="B1109" s="79" t="s">
        <v>45</v>
      </c>
      <c r="C1109" s="79" t="s">
        <v>1686</v>
      </c>
      <c r="D1109" s="79" t="str">
        <f t="shared" si="19"/>
        <v>Bitereko</v>
      </c>
      <c r="E1109" s="79"/>
      <c r="F1109" s="79">
        <v>994</v>
      </c>
    </row>
    <row r="1110" spans="1:6">
      <c r="A1110" s="79" t="s">
        <v>1516</v>
      </c>
      <c r="B1110" s="79" t="s">
        <v>45</v>
      </c>
      <c r="C1110" s="79" t="s">
        <v>1686</v>
      </c>
      <c r="D1110" s="79" t="str">
        <f t="shared" si="19"/>
        <v>Kabira</v>
      </c>
      <c r="E1110" s="79"/>
      <c r="F1110" s="79">
        <v>995</v>
      </c>
    </row>
    <row r="1111" spans="1:6">
      <c r="A1111" s="79" t="s">
        <v>1687</v>
      </c>
      <c r="B1111" s="79" t="s">
        <v>45</v>
      </c>
      <c r="C1111" s="79" t="s">
        <v>1686</v>
      </c>
      <c r="D1111" s="79" t="str">
        <f t="shared" si="19"/>
        <v>Kanyabwanga</v>
      </c>
      <c r="E1111" s="79"/>
      <c r="F1111" s="79">
        <v>996</v>
      </c>
    </row>
    <row r="1112" spans="1:6">
      <c r="A1112" s="79" t="s">
        <v>1688</v>
      </c>
      <c r="B1112" s="79" t="s">
        <v>45</v>
      </c>
      <c r="C1112" s="79" t="s">
        <v>1686</v>
      </c>
      <c r="D1112" s="79" t="str">
        <f t="shared" si="19"/>
        <v>Kashenshero</v>
      </c>
      <c r="E1112" s="79"/>
      <c r="F1112" s="79">
        <v>997</v>
      </c>
    </row>
    <row r="1113" spans="1:6">
      <c r="A1113" s="79" t="s">
        <v>1689</v>
      </c>
      <c r="B1113" s="79" t="s">
        <v>45</v>
      </c>
      <c r="C1113" s="79" t="s">
        <v>1686</v>
      </c>
      <c r="D1113" s="79" t="str">
        <f t="shared" si="19"/>
        <v>Kashenshero Town Council</v>
      </c>
      <c r="E1113" s="79"/>
      <c r="F1113" s="79">
        <v>998</v>
      </c>
    </row>
    <row r="1114" spans="1:6">
      <c r="A1114" s="79" t="s">
        <v>1690</v>
      </c>
      <c r="B1114" s="79" t="s">
        <v>45</v>
      </c>
      <c r="C1114" s="79" t="s">
        <v>1686</v>
      </c>
      <c r="D1114" s="79" t="str">
        <f t="shared" si="19"/>
        <v>Katenga</v>
      </c>
      <c r="E1114" s="79"/>
      <c r="F1114" s="79">
        <v>999</v>
      </c>
    </row>
    <row r="1115" spans="1:6">
      <c r="A1115" s="79" t="s">
        <v>1691</v>
      </c>
      <c r="B1115" s="79" t="s">
        <v>45</v>
      </c>
      <c r="C1115" s="79" t="s">
        <v>1686</v>
      </c>
      <c r="D1115" s="79" t="str">
        <f t="shared" si="19"/>
        <v>Kiyanga</v>
      </c>
      <c r="E1115" s="79"/>
      <c r="F1115" s="79">
        <v>1000</v>
      </c>
    </row>
    <row r="1116" spans="1:6">
      <c r="A1116" s="79" t="s">
        <v>1692</v>
      </c>
      <c r="B1116" s="79" t="s">
        <v>45</v>
      </c>
      <c r="C1116" s="79" t="s">
        <v>1686</v>
      </c>
      <c r="D1116" s="79" t="str">
        <f t="shared" si="19"/>
        <v>Mayanga</v>
      </c>
      <c r="E1116" s="79"/>
      <c r="F1116" s="79">
        <v>1001</v>
      </c>
    </row>
    <row r="1117" spans="1:6">
      <c r="A1117" s="79" t="s">
        <v>45</v>
      </c>
      <c r="B1117" s="79" t="s">
        <v>45</v>
      </c>
      <c r="C1117" s="79" t="s">
        <v>1686</v>
      </c>
      <c r="D1117" s="79" t="str">
        <f t="shared" si="19"/>
        <v>Mitooma</v>
      </c>
      <c r="E1117" s="79"/>
      <c r="F1117" s="79">
        <v>1002</v>
      </c>
    </row>
    <row r="1118" spans="1:6">
      <c r="A1118" s="79" t="s">
        <v>1693</v>
      </c>
      <c r="B1118" s="79" t="s">
        <v>45</v>
      </c>
      <c r="C1118" s="79" t="s">
        <v>1686</v>
      </c>
      <c r="D1118" s="79" t="str">
        <f t="shared" si="19"/>
        <v>Mitooma Town Council</v>
      </c>
      <c r="E1118" s="79"/>
      <c r="F1118" s="79">
        <v>1003</v>
      </c>
    </row>
    <row r="1119" spans="1:6">
      <c r="A1119" s="79" t="s">
        <v>1694</v>
      </c>
      <c r="B1119" s="79" t="s">
        <v>45</v>
      </c>
      <c r="C1119" s="79" t="s">
        <v>1686</v>
      </c>
      <c r="D1119" s="79" t="str">
        <f t="shared" si="19"/>
        <v>Mutara</v>
      </c>
      <c r="E1119" s="79"/>
      <c r="F1119" s="79">
        <v>1004</v>
      </c>
    </row>
    <row r="1120" spans="1:6">
      <c r="A1120" s="79" t="s">
        <v>1695</v>
      </c>
      <c r="B1120" s="79" t="s">
        <v>45</v>
      </c>
      <c r="C1120" s="79" t="s">
        <v>1686</v>
      </c>
      <c r="D1120" s="79" t="str">
        <f t="shared" si="19"/>
        <v>Rurehe</v>
      </c>
      <c r="E1120" s="79"/>
      <c r="F1120" s="79">
        <v>1005</v>
      </c>
    </row>
    <row r="1121" spans="1:6">
      <c r="A1121" s="79" t="s">
        <v>1696</v>
      </c>
      <c r="B1121" s="79" t="s">
        <v>1697</v>
      </c>
      <c r="C1121" s="79" t="s">
        <v>1698</v>
      </c>
      <c r="D1121" s="79" t="str">
        <f t="shared" si="19"/>
        <v>Bbanda</v>
      </c>
      <c r="E1121" s="79"/>
      <c r="F1121" s="79">
        <v>1006</v>
      </c>
    </row>
    <row r="1122" spans="1:6">
      <c r="A1122" s="79" t="s">
        <v>1699</v>
      </c>
      <c r="B1122" s="79" t="s">
        <v>1697</v>
      </c>
      <c r="C1122" s="79" t="s">
        <v>1697</v>
      </c>
      <c r="D1122" s="79" t="str">
        <f t="shared" si="19"/>
        <v>Bulera</v>
      </c>
      <c r="E1122" s="79"/>
      <c r="F1122" s="79">
        <v>1007</v>
      </c>
    </row>
    <row r="1123" spans="1:6">
      <c r="A1123" s="79" t="s">
        <v>1700</v>
      </c>
      <c r="B1123" s="79" t="s">
        <v>1697</v>
      </c>
      <c r="C1123" s="79" t="s">
        <v>1701</v>
      </c>
      <c r="D1123" s="79" t="str">
        <f t="shared" si="19"/>
        <v>Busimbi Division</v>
      </c>
      <c r="E1123" s="79"/>
      <c r="F1123" s="79">
        <v>1008</v>
      </c>
    </row>
    <row r="1124" spans="1:6">
      <c r="A1124" s="79" t="s">
        <v>1702</v>
      </c>
      <c r="B1124" s="79" t="s">
        <v>1697</v>
      </c>
      <c r="C1124" s="79" t="s">
        <v>1697</v>
      </c>
      <c r="D1124" s="79" t="str">
        <f t="shared" si="19"/>
        <v>Busunju Town Council</v>
      </c>
      <c r="E1124" s="79"/>
      <c r="F1124" s="79">
        <v>1009</v>
      </c>
    </row>
    <row r="1125" spans="1:6">
      <c r="A1125" s="79" t="s">
        <v>1703</v>
      </c>
      <c r="B1125" s="79" t="s">
        <v>1697</v>
      </c>
      <c r="C1125" s="79" t="s">
        <v>1698</v>
      </c>
      <c r="D1125" s="79" t="str">
        <f t="shared" si="19"/>
        <v>Butayunja</v>
      </c>
      <c r="E1125" s="79"/>
      <c r="F1125" s="79">
        <v>1010</v>
      </c>
    </row>
    <row r="1126" spans="1:6">
      <c r="A1126" s="79" t="s">
        <v>1704</v>
      </c>
      <c r="B1126" s="79" t="s">
        <v>1697</v>
      </c>
      <c r="C1126" s="79" t="s">
        <v>1698</v>
      </c>
      <c r="D1126" s="79" t="str">
        <f t="shared" si="19"/>
        <v>Kakindu</v>
      </c>
      <c r="E1126" s="79"/>
      <c r="F1126" s="79">
        <v>1011</v>
      </c>
    </row>
    <row r="1127" spans="1:6">
      <c r="A1127" s="79" t="s">
        <v>1705</v>
      </c>
      <c r="B1127" s="79" t="s">
        <v>1697</v>
      </c>
      <c r="C1127" s="79" t="s">
        <v>1697</v>
      </c>
      <c r="D1127" s="79" t="str">
        <f t="shared" si="19"/>
        <v>Kalangaalo</v>
      </c>
      <c r="E1127" s="79"/>
      <c r="F1127" s="79">
        <v>1012</v>
      </c>
    </row>
    <row r="1128" spans="1:6">
      <c r="A1128" s="79" t="s">
        <v>1706</v>
      </c>
      <c r="B1128" s="79" t="s">
        <v>1697</v>
      </c>
      <c r="C1128" s="79" t="s">
        <v>1697</v>
      </c>
      <c r="D1128" s="79" t="str">
        <f t="shared" si="19"/>
        <v>Kikandwa</v>
      </c>
      <c r="E1128" s="79"/>
      <c r="F1128" s="79">
        <v>1013</v>
      </c>
    </row>
    <row r="1129" spans="1:6">
      <c r="A1129" s="79" t="s">
        <v>1707</v>
      </c>
      <c r="B1129" s="79" t="s">
        <v>1697</v>
      </c>
      <c r="C1129" s="79" t="s">
        <v>1698</v>
      </c>
      <c r="D1129" s="79" t="str">
        <f t="shared" si="19"/>
        <v>Maanyi</v>
      </c>
      <c r="E1129" s="79"/>
      <c r="F1129" s="79">
        <v>1014</v>
      </c>
    </row>
    <row r="1130" spans="1:6">
      <c r="A1130" s="79" t="s">
        <v>1708</v>
      </c>
      <c r="B1130" s="79" t="s">
        <v>1697</v>
      </c>
      <c r="C1130" s="79" t="s">
        <v>1698</v>
      </c>
      <c r="D1130" s="79" t="str">
        <f t="shared" si="19"/>
        <v>Malangala</v>
      </c>
      <c r="E1130" s="79"/>
      <c r="F1130" s="79">
        <v>1015</v>
      </c>
    </row>
    <row r="1131" spans="1:6">
      <c r="A1131" s="79" t="s">
        <v>1701</v>
      </c>
      <c r="B1131" s="79" t="s">
        <v>1697</v>
      </c>
      <c r="C1131" s="79" t="s">
        <v>1701</v>
      </c>
      <c r="D1131" s="79" t="str">
        <f t="shared" si="19"/>
        <v>Mityana Municipality</v>
      </c>
      <c r="E1131" s="79"/>
      <c r="F1131" s="79">
        <v>1016</v>
      </c>
    </row>
    <row r="1132" spans="1:6">
      <c r="A1132" s="79" t="s">
        <v>1709</v>
      </c>
      <c r="B1132" s="79" t="s">
        <v>1697</v>
      </c>
      <c r="C1132" s="79" t="s">
        <v>1697</v>
      </c>
      <c r="D1132" s="79" t="str">
        <f t="shared" si="19"/>
        <v>Namungo</v>
      </c>
      <c r="E1132" s="79"/>
      <c r="F1132" s="79">
        <v>1017</v>
      </c>
    </row>
    <row r="1133" spans="1:6">
      <c r="A1133" s="79" t="s">
        <v>1710</v>
      </c>
      <c r="B1133" s="79" t="s">
        <v>1697</v>
      </c>
      <c r="C1133" s="79" t="s">
        <v>1697</v>
      </c>
      <c r="D1133" s="79" t="str">
        <f t="shared" si="19"/>
        <v>Ssekanyonyi</v>
      </c>
      <c r="E1133" s="79"/>
      <c r="F1133" s="79">
        <v>1018</v>
      </c>
    </row>
    <row r="1134" spans="1:6">
      <c r="A1134" s="79" t="s">
        <v>1711</v>
      </c>
      <c r="B1134" s="79" t="s">
        <v>541</v>
      </c>
      <c r="C1134" s="79" t="s">
        <v>1712</v>
      </c>
      <c r="D1134" s="79" t="str">
        <f t="shared" si="19"/>
        <v>Katikekile</v>
      </c>
      <c r="E1134" s="79"/>
      <c r="F1134" s="79">
        <v>1019</v>
      </c>
    </row>
    <row r="1135" spans="1:6">
      <c r="A1135" s="79" t="s">
        <v>1713</v>
      </c>
      <c r="B1135" s="79" t="s">
        <v>541</v>
      </c>
      <c r="C1135" s="79" t="s">
        <v>1713</v>
      </c>
      <c r="D1135" s="79" t="str">
        <f t="shared" si="19"/>
        <v>Moroto Municipality</v>
      </c>
      <c r="E1135" s="79"/>
      <c r="F1135" s="79">
        <v>1020</v>
      </c>
    </row>
    <row r="1136" spans="1:6">
      <c r="A1136" s="79" t="s">
        <v>1714</v>
      </c>
      <c r="B1136" s="79" t="s">
        <v>541</v>
      </c>
      <c r="C1136" s="79" t="s">
        <v>1712</v>
      </c>
      <c r="D1136" s="79" t="str">
        <f t="shared" si="19"/>
        <v>Nadunget</v>
      </c>
      <c r="E1136" s="79"/>
      <c r="F1136" s="79">
        <v>1021</v>
      </c>
    </row>
    <row r="1137" spans="1:6">
      <c r="A1137" s="79" t="s">
        <v>1715</v>
      </c>
      <c r="B1137" s="79" t="s">
        <v>541</v>
      </c>
      <c r="C1137" s="79" t="s">
        <v>1712</v>
      </c>
      <c r="D1137" s="79" t="str">
        <f t="shared" si="19"/>
        <v>Rupa</v>
      </c>
      <c r="E1137" s="79"/>
      <c r="F1137" s="79">
        <v>1022</v>
      </c>
    </row>
    <row r="1138" spans="1:6">
      <c r="A1138" s="79" t="s">
        <v>1716</v>
      </c>
      <c r="B1138" s="79" t="s">
        <v>541</v>
      </c>
      <c r="C1138" s="79" t="s">
        <v>1712</v>
      </c>
      <c r="D1138" s="79" t="str">
        <f t="shared" si="19"/>
        <v>Tapac</v>
      </c>
      <c r="E1138" s="79"/>
      <c r="F1138" s="79">
        <v>1023</v>
      </c>
    </row>
    <row r="1139" spans="1:6">
      <c r="A1139" s="79" t="s">
        <v>1717</v>
      </c>
      <c r="B1139" s="79" t="s">
        <v>1718</v>
      </c>
      <c r="C1139" s="79" t="s">
        <v>1719</v>
      </c>
      <c r="D1139" s="79" t="str">
        <f t="shared" si="19"/>
        <v>Aliba</v>
      </c>
      <c r="E1139" s="79"/>
      <c r="F1139" s="79">
        <v>1024</v>
      </c>
    </row>
    <row r="1140" spans="1:6">
      <c r="A1140" s="79" t="s">
        <v>1720</v>
      </c>
      <c r="B1140" s="79" t="s">
        <v>1718</v>
      </c>
      <c r="C1140" s="79" t="s">
        <v>1721</v>
      </c>
      <c r="D1140" s="79" t="str">
        <f t="shared" si="19"/>
        <v>Difule</v>
      </c>
      <c r="E1140" s="79"/>
      <c r="F1140" s="79">
        <v>1025</v>
      </c>
    </row>
    <row r="1141" spans="1:6">
      <c r="A1141" s="79" t="s">
        <v>1722</v>
      </c>
      <c r="B1141" s="79" t="s">
        <v>1718</v>
      </c>
      <c r="C1141" s="79" t="s">
        <v>1719</v>
      </c>
      <c r="D1141" s="79" t="str">
        <f t="shared" si="19"/>
        <v>Gimara</v>
      </c>
      <c r="E1141" s="79"/>
      <c r="F1141" s="79">
        <v>1026</v>
      </c>
    </row>
    <row r="1142" spans="1:6">
      <c r="A1142" s="79" t="s">
        <v>1723</v>
      </c>
      <c r="B1142" s="79" t="s">
        <v>1718</v>
      </c>
      <c r="C1142" s="79" t="s">
        <v>1719</v>
      </c>
      <c r="D1142" s="79" t="str">
        <f t="shared" si="19"/>
        <v>Itula</v>
      </c>
      <c r="E1142" s="79"/>
      <c r="F1142" s="79">
        <v>1027</v>
      </c>
    </row>
    <row r="1143" spans="1:6">
      <c r="A1143" s="79" t="s">
        <v>1724</v>
      </c>
      <c r="B1143" s="79" t="s">
        <v>1718</v>
      </c>
      <c r="C1143" s="79" t="s">
        <v>1721</v>
      </c>
      <c r="D1143" s="79" t="str">
        <f t="shared" si="19"/>
        <v>Laropi</v>
      </c>
      <c r="E1143" s="79"/>
      <c r="F1143" s="79">
        <v>1028</v>
      </c>
    </row>
    <row r="1144" spans="1:6">
      <c r="A1144" s="79" t="s">
        <v>1725</v>
      </c>
      <c r="B1144" s="79" t="s">
        <v>1718</v>
      </c>
      <c r="C1144" s="79" t="s">
        <v>1721</v>
      </c>
      <c r="D1144" s="79" t="str">
        <f t="shared" si="19"/>
        <v>Lefori</v>
      </c>
      <c r="E1144" s="79"/>
      <c r="F1144" s="79">
        <v>1029</v>
      </c>
    </row>
    <row r="1145" spans="1:6">
      <c r="A1145" s="79" t="s">
        <v>1726</v>
      </c>
      <c r="B1145" s="79" t="s">
        <v>1718</v>
      </c>
      <c r="C1145" s="79" t="s">
        <v>1721</v>
      </c>
      <c r="D1145" s="79" t="str">
        <f t="shared" si="19"/>
        <v>Metu</v>
      </c>
      <c r="E1145" s="79"/>
      <c r="F1145" s="79">
        <v>1030</v>
      </c>
    </row>
    <row r="1146" spans="1:6">
      <c r="A1146" s="79" t="s">
        <v>1718</v>
      </c>
      <c r="B1146" s="79" t="s">
        <v>1718</v>
      </c>
      <c r="C1146" s="79" t="s">
        <v>1721</v>
      </c>
      <c r="D1146" s="79" t="str">
        <f t="shared" si="19"/>
        <v>Moyo</v>
      </c>
      <c r="E1146" s="79"/>
      <c r="F1146" s="79">
        <v>1031</v>
      </c>
    </row>
    <row r="1147" spans="1:6">
      <c r="A1147" s="79" t="s">
        <v>1727</v>
      </c>
      <c r="B1147" s="79" t="s">
        <v>1718</v>
      </c>
      <c r="C1147" s="79" t="s">
        <v>1721</v>
      </c>
      <c r="D1147" s="79" t="str">
        <f t="shared" si="19"/>
        <v>Moyo Town Council</v>
      </c>
      <c r="E1147" s="79"/>
      <c r="F1147" s="79">
        <v>1032</v>
      </c>
    </row>
    <row r="1148" spans="1:6">
      <c r="A1148" s="79" t="s">
        <v>1728</v>
      </c>
      <c r="B1148" s="79" t="s">
        <v>1729</v>
      </c>
      <c r="C1148" s="79" t="s">
        <v>1730</v>
      </c>
      <c r="D1148" s="79" t="str">
        <f t="shared" si="19"/>
        <v>Buwama</v>
      </c>
      <c r="E1148" s="79"/>
      <c r="F1148" s="79">
        <v>1033</v>
      </c>
    </row>
    <row r="1149" spans="1:6">
      <c r="A1149" s="79" t="s">
        <v>1731</v>
      </c>
      <c r="B1149" s="79" t="s">
        <v>1729</v>
      </c>
      <c r="C1149" s="79" t="s">
        <v>1730</v>
      </c>
      <c r="D1149" s="79" t="str">
        <f t="shared" si="19"/>
        <v>Kammengo</v>
      </c>
      <c r="E1149" s="79"/>
      <c r="F1149" s="79">
        <v>1034</v>
      </c>
    </row>
    <row r="1150" spans="1:6">
      <c r="A1150" s="79" t="s">
        <v>1732</v>
      </c>
      <c r="B1150" s="79" t="s">
        <v>1729</v>
      </c>
      <c r="C1150" s="79" t="s">
        <v>1730</v>
      </c>
      <c r="D1150" s="79" t="str">
        <f t="shared" si="19"/>
        <v>Kiringente</v>
      </c>
      <c r="E1150" s="79"/>
      <c r="F1150" s="79">
        <v>1035</v>
      </c>
    </row>
    <row r="1151" spans="1:6">
      <c r="A1151" s="79" t="s">
        <v>1733</v>
      </c>
      <c r="B1151" s="79" t="s">
        <v>1729</v>
      </c>
      <c r="C1151" s="79" t="s">
        <v>1730</v>
      </c>
      <c r="D1151" s="79" t="str">
        <f t="shared" si="19"/>
        <v>Kituntu</v>
      </c>
      <c r="E1151" s="79"/>
      <c r="F1151" s="79">
        <v>1036</v>
      </c>
    </row>
    <row r="1152" spans="1:6">
      <c r="A1152" s="79" t="s">
        <v>1734</v>
      </c>
      <c r="B1152" s="79" t="s">
        <v>1729</v>
      </c>
      <c r="C1152" s="79" t="s">
        <v>1730</v>
      </c>
      <c r="D1152" s="79" t="str">
        <f t="shared" si="19"/>
        <v>Mpigi Town Council</v>
      </c>
      <c r="E1152" s="79"/>
      <c r="F1152" s="79">
        <v>1037</v>
      </c>
    </row>
    <row r="1153" spans="1:6">
      <c r="A1153" s="79" t="s">
        <v>1735</v>
      </c>
      <c r="B1153" s="79"/>
      <c r="C1153" s="79"/>
      <c r="D1153" s="79" t="str">
        <f t="shared" si="19"/>
        <v>MPIGI</v>
      </c>
      <c r="E1153" s="79"/>
      <c r="F1153" s="79">
        <v>1037</v>
      </c>
    </row>
    <row r="1154" spans="1:6">
      <c r="A1154" s="79" t="s">
        <v>1736</v>
      </c>
      <c r="B1154" s="79" t="s">
        <v>1729</v>
      </c>
      <c r="C1154" s="79" t="s">
        <v>1730</v>
      </c>
      <c r="D1154" s="79" t="str">
        <f t="shared" si="19"/>
        <v>Muduuma</v>
      </c>
      <c r="E1154" s="79"/>
      <c r="F1154" s="79">
        <v>1038</v>
      </c>
    </row>
    <row r="1155" spans="1:6">
      <c r="A1155" s="79" t="s">
        <v>1737</v>
      </c>
      <c r="B1155" s="79" t="s">
        <v>1729</v>
      </c>
      <c r="C1155" s="79" t="s">
        <v>1730</v>
      </c>
      <c r="D1155" s="79" t="str">
        <f t="shared" ref="D1155:D1218" si="20">A1155</f>
        <v>Nkozi</v>
      </c>
      <c r="E1155" s="79"/>
      <c r="F1155" s="79">
        <v>1039</v>
      </c>
    </row>
    <row r="1156" spans="1:6">
      <c r="A1156" s="79" t="s">
        <v>1738</v>
      </c>
      <c r="B1156" s="79" t="s">
        <v>1739</v>
      </c>
      <c r="C1156" s="79" t="s">
        <v>1740</v>
      </c>
      <c r="D1156" s="79" t="str">
        <f t="shared" si="20"/>
        <v>Bagezza</v>
      </c>
      <c r="E1156" s="79"/>
      <c r="F1156" s="79">
        <v>1040</v>
      </c>
    </row>
    <row r="1157" spans="1:6">
      <c r="A1157" s="79" t="s">
        <v>1741</v>
      </c>
      <c r="B1157" s="79" t="s">
        <v>1739</v>
      </c>
      <c r="C1157" s="79" t="s">
        <v>1742</v>
      </c>
      <c r="D1157" s="79" t="str">
        <f t="shared" si="20"/>
        <v>Bukuya</v>
      </c>
      <c r="E1157" s="79"/>
      <c r="F1157" s="79">
        <v>1041</v>
      </c>
    </row>
    <row r="1158" spans="1:6">
      <c r="A1158" s="79" t="s">
        <v>1743</v>
      </c>
      <c r="B1158" s="79" t="s">
        <v>1739</v>
      </c>
      <c r="C1158" s="79" t="s">
        <v>1744</v>
      </c>
      <c r="D1158" s="79" t="str">
        <f t="shared" si="20"/>
        <v>Butoloogo</v>
      </c>
      <c r="E1158" s="79"/>
      <c r="F1158" s="79">
        <v>1042</v>
      </c>
    </row>
    <row r="1159" spans="1:6">
      <c r="A1159" s="79" t="s">
        <v>1745</v>
      </c>
      <c r="B1159" s="79" t="s">
        <v>1739</v>
      </c>
      <c r="C1159" s="79" t="s">
        <v>1742</v>
      </c>
      <c r="D1159" s="79" t="str">
        <f t="shared" si="20"/>
        <v>Kalwana</v>
      </c>
      <c r="E1159" s="79"/>
      <c r="F1159" s="79">
        <v>1043</v>
      </c>
    </row>
    <row r="1160" spans="1:6">
      <c r="A1160" s="79" t="s">
        <v>1746</v>
      </c>
      <c r="B1160" s="79" t="s">
        <v>1739</v>
      </c>
      <c r="C1160" s="79" t="s">
        <v>1740</v>
      </c>
      <c r="D1160" s="79" t="str">
        <f t="shared" si="20"/>
        <v>Kasambya-Mubende</v>
      </c>
      <c r="E1160" s="79"/>
      <c r="F1160" s="79">
        <v>1044</v>
      </c>
    </row>
    <row r="1161" spans="1:6">
      <c r="A1161" s="79" t="s">
        <v>1742</v>
      </c>
      <c r="B1161" s="79" t="s">
        <v>1739</v>
      </c>
      <c r="C1161" s="79" t="s">
        <v>1742</v>
      </c>
      <c r="D1161" s="79" t="str">
        <f t="shared" si="20"/>
        <v>Kassanda</v>
      </c>
      <c r="E1161" s="79"/>
      <c r="F1161" s="79">
        <v>1045</v>
      </c>
    </row>
    <row r="1162" spans="1:6">
      <c r="A1162" s="79" t="s">
        <v>1747</v>
      </c>
      <c r="B1162" s="79" t="s">
        <v>1739</v>
      </c>
      <c r="C1162" s="79" t="s">
        <v>1740</v>
      </c>
      <c r="D1162" s="79" t="str">
        <f t="shared" si="20"/>
        <v>Kibalinga</v>
      </c>
      <c r="E1162" s="79"/>
      <c r="F1162" s="79">
        <v>1046</v>
      </c>
    </row>
    <row r="1163" spans="1:6">
      <c r="A1163" s="79" t="s">
        <v>1748</v>
      </c>
      <c r="B1163" s="79" t="s">
        <v>1739</v>
      </c>
      <c r="C1163" s="79" t="s">
        <v>1742</v>
      </c>
      <c r="D1163" s="79" t="str">
        <f t="shared" si="20"/>
        <v>Kiganda</v>
      </c>
      <c r="E1163" s="79"/>
      <c r="F1163" s="79">
        <v>1047</v>
      </c>
    </row>
    <row r="1164" spans="1:6">
      <c r="A1164" s="79" t="s">
        <v>1749</v>
      </c>
      <c r="B1164" s="79" t="s">
        <v>1739</v>
      </c>
      <c r="C1164" s="79" t="s">
        <v>1740</v>
      </c>
      <c r="D1164" s="79" t="str">
        <f t="shared" si="20"/>
        <v>Kigando</v>
      </c>
      <c r="E1164" s="79"/>
      <c r="F1164" s="79">
        <v>1048</v>
      </c>
    </row>
    <row r="1165" spans="1:6">
      <c r="A1165" s="79" t="s">
        <v>1750</v>
      </c>
      <c r="B1165" s="79" t="s">
        <v>1739</v>
      </c>
      <c r="C1165" s="79" t="s">
        <v>1744</v>
      </c>
      <c r="D1165" s="79" t="str">
        <f t="shared" si="20"/>
        <v>Kitenga</v>
      </c>
      <c r="E1165" s="79"/>
      <c r="F1165" s="79">
        <v>1049</v>
      </c>
    </row>
    <row r="1166" spans="1:6">
      <c r="A1166" s="79" t="s">
        <v>1751</v>
      </c>
      <c r="B1166" s="79" t="s">
        <v>1739</v>
      </c>
      <c r="C1166" s="79" t="s">
        <v>1742</v>
      </c>
      <c r="D1166" s="79" t="str">
        <f t="shared" si="20"/>
        <v>Kitumbi</v>
      </c>
      <c r="E1166" s="79"/>
      <c r="F1166" s="79">
        <v>1050</v>
      </c>
    </row>
    <row r="1167" spans="1:6">
      <c r="A1167" s="79" t="s">
        <v>1752</v>
      </c>
      <c r="B1167" s="79" t="s">
        <v>1739</v>
      </c>
      <c r="C1167" s="79" t="s">
        <v>1744</v>
      </c>
      <c r="D1167" s="79" t="str">
        <f t="shared" si="20"/>
        <v>Kiyuni</v>
      </c>
      <c r="E1167" s="79"/>
      <c r="F1167" s="79">
        <v>1051</v>
      </c>
    </row>
    <row r="1168" spans="1:6">
      <c r="A1168" s="79" t="s">
        <v>1753</v>
      </c>
      <c r="B1168" s="79" t="s">
        <v>1739</v>
      </c>
      <c r="C1168" s="79" t="s">
        <v>1744</v>
      </c>
      <c r="D1168" s="79" t="str">
        <f t="shared" si="20"/>
        <v>Madudu</v>
      </c>
      <c r="E1168" s="79"/>
      <c r="F1168" s="79">
        <v>1052</v>
      </c>
    </row>
    <row r="1169" spans="1:6">
      <c r="A1169" s="79" t="s">
        <v>1754</v>
      </c>
      <c r="B1169" s="79" t="s">
        <v>1739</v>
      </c>
      <c r="C1169" s="79" t="s">
        <v>1742</v>
      </c>
      <c r="D1169" s="79" t="str">
        <f t="shared" si="20"/>
        <v>Makokoto</v>
      </c>
      <c r="E1169" s="79"/>
      <c r="F1169" s="79">
        <v>1053</v>
      </c>
    </row>
    <row r="1170" spans="1:6">
      <c r="A1170" s="79" t="s">
        <v>1755</v>
      </c>
      <c r="B1170" s="79" t="s">
        <v>1739</v>
      </c>
      <c r="C1170" s="79" t="s">
        <v>1742</v>
      </c>
      <c r="D1170" s="79" t="str">
        <f t="shared" si="20"/>
        <v>Manyogaseka</v>
      </c>
      <c r="E1170" s="79"/>
      <c r="F1170" s="79">
        <v>1054</v>
      </c>
    </row>
    <row r="1171" spans="1:6">
      <c r="A1171" s="79" t="s">
        <v>1756</v>
      </c>
      <c r="B1171" s="79" t="s">
        <v>1739</v>
      </c>
      <c r="C1171" s="79" t="s">
        <v>1756</v>
      </c>
      <c r="D1171" s="79" t="str">
        <f t="shared" si="20"/>
        <v>Mubende Municipality</v>
      </c>
      <c r="E1171" s="79"/>
      <c r="F1171" s="79">
        <v>1055</v>
      </c>
    </row>
    <row r="1172" spans="1:6">
      <c r="A1172" s="79" t="s">
        <v>870</v>
      </c>
      <c r="B1172" s="79"/>
      <c r="C1172" s="79"/>
      <c r="D1172" s="79" t="str">
        <f t="shared" si="20"/>
        <v>Gomba</v>
      </c>
      <c r="E1172" s="79"/>
      <c r="F1172" s="79">
        <v>1055</v>
      </c>
    </row>
    <row r="1173" spans="1:6">
      <c r="A1173" s="79" t="s">
        <v>1757</v>
      </c>
      <c r="B1173" s="79"/>
      <c r="C1173" s="79"/>
      <c r="D1173" s="79" t="str">
        <f t="shared" si="20"/>
        <v>MUBENDE</v>
      </c>
      <c r="E1173" s="79"/>
      <c r="F1173" s="79">
        <v>1055</v>
      </c>
    </row>
    <row r="1174" spans="1:6">
      <c r="A1174" s="79" t="s">
        <v>1758</v>
      </c>
      <c r="B1174" s="79" t="s">
        <v>1739</v>
      </c>
      <c r="C1174" s="79" t="s">
        <v>1742</v>
      </c>
      <c r="D1174" s="79" t="str">
        <f t="shared" si="20"/>
        <v>Myanzi</v>
      </c>
      <c r="E1174" s="79"/>
      <c r="F1174" s="79">
        <v>1056</v>
      </c>
    </row>
    <row r="1175" spans="1:6">
      <c r="A1175" s="79" t="s">
        <v>1759</v>
      </c>
      <c r="B1175" s="79" t="s">
        <v>1739</v>
      </c>
      <c r="C1175" s="79" t="s">
        <v>1740</v>
      </c>
      <c r="D1175" s="79" t="str">
        <f t="shared" si="20"/>
        <v>Nabingoola</v>
      </c>
      <c r="E1175" s="79"/>
      <c r="F1175" s="79">
        <v>1057</v>
      </c>
    </row>
    <row r="1176" spans="1:6">
      <c r="A1176" s="79" t="s">
        <v>1760</v>
      </c>
      <c r="B1176" s="79" t="s">
        <v>1761</v>
      </c>
      <c r="C1176" s="79" t="s">
        <v>1762</v>
      </c>
      <c r="D1176" s="79" t="str">
        <f t="shared" si="20"/>
        <v>Kasawo</v>
      </c>
      <c r="E1176" s="79"/>
      <c r="F1176" s="79">
        <v>1058</v>
      </c>
    </row>
    <row r="1177" spans="1:6">
      <c r="A1177" s="79" t="s">
        <v>1763</v>
      </c>
      <c r="B1177" s="79" t="s">
        <v>1761</v>
      </c>
      <c r="C1177" s="79" t="s">
        <v>1762</v>
      </c>
      <c r="D1177" s="79" t="str">
        <f t="shared" si="20"/>
        <v>Kimenyedde</v>
      </c>
      <c r="E1177" s="79"/>
      <c r="F1177" s="79">
        <v>1059</v>
      </c>
    </row>
    <row r="1178" spans="1:6">
      <c r="A1178" s="79" t="s">
        <v>1764</v>
      </c>
      <c r="B1178" s="79" t="s">
        <v>1761</v>
      </c>
      <c r="C1178" s="79" t="s">
        <v>1761</v>
      </c>
      <c r="D1178" s="79" t="str">
        <f t="shared" si="20"/>
        <v>Koome Island</v>
      </c>
      <c r="E1178" s="79"/>
      <c r="F1178" s="79">
        <v>1060</v>
      </c>
    </row>
    <row r="1179" spans="1:6">
      <c r="A1179" s="79" t="s">
        <v>1765</v>
      </c>
      <c r="B1179" s="79" t="s">
        <v>1761</v>
      </c>
      <c r="C1179" s="79" t="s">
        <v>1761</v>
      </c>
      <c r="D1179" s="79" t="str">
        <f t="shared" si="20"/>
        <v>Kyampisi</v>
      </c>
      <c r="E1179" s="79"/>
      <c r="F1179" s="79">
        <v>1061</v>
      </c>
    </row>
    <row r="1180" spans="1:6">
      <c r="A1180" s="79" t="s">
        <v>1766</v>
      </c>
      <c r="B1180" s="79" t="s">
        <v>1761</v>
      </c>
      <c r="C1180" s="79" t="s">
        <v>1761</v>
      </c>
      <c r="D1180" s="79" t="str">
        <f t="shared" si="20"/>
        <v>Mpatta</v>
      </c>
      <c r="E1180" s="79"/>
      <c r="F1180" s="79">
        <v>1062</v>
      </c>
    </row>
    <row r="1181" spans="1:6">
      <c r="A1181" s="79" t="s">
        <v>1767</v>
      </c>
      <c r="B1181" s="79" t="s">
        <v>1761</v>
      </c>
      <c r="C1181" s="79" t="s">
        <v>1761</v>
      </c>
      <c r="D1181" s="79" t="str">
        <f t="shared" si="20"/>
        <v>Mpunge</v>
      </c>
      <c r="E1181" s="79"/>
      <c r="F1181" s="79">
        <v>1063</v>
      </c>
    </row>
    <row r="1182" spans="1:6">
      <c r="A1182" s="79" t="s">
        <v>1768</v>
      </c>
      <c r="B1182" s="79" t="s">
        <v>1761</v>
      </c>
      <c r="C1182" s="79" t="s">
        <v>1768</v>
      </c>
      <c r="D1182" s="79" t="str">
        <f t="shared" si="20"/>
        <v>Mukono Municipality</v>
      </c>
      <c r="E1182" s="79"/>
      <c r="F1182" s="79">
        <v>1064</v>
      </c>
    </row>
    <row r="1183" spans="1:6">
      <c r="A1183" s="79" t="s">
        <v>1769</v>
      </c>
      <c r="B1183" s="79"/>
      <c r="C1183" s="79"/>
      <c r="D1183" s="79" t="str">
        <f t="shared" si="20"/>
        <v>Namanve</v>
      </c>
      <c r="E1183" s="79"/>
      <c r="F1183" s="79">
        <v>1064</v>
      </c>
    </row>
    <row r="1184" spans="1:6">
      <c r="A1184" s="79" t="s">
        <v>1770</v>
      </c>
      <c r="B1184" s="79"/>
      <c r="C1184" s="79"/>
      <c r="D1184" s="79" t="str">
        <f t="shared" si="20"/>
        <v>MUKONO</v>
      </c>
      <c r="E1184" s="79"/>
      <c r="F1184" s="79">
        <v>1064</v>
      </c>
    </row>
    <row r="1185" spans="1:6">
      <c r="A1185" s="79" t="s">
        <v>1771</v>
      </c>
      <c r="B1185" s="79"/>
      <c r="C1185" s="79"/>
      <c r="D1185" s="79" t="str">
        <f t="shared" si="20"/>
        <v>Mukono Town</v>
      </c>
      <c r="E1185" s="79"/>
      <c r="F1185" s="79">
        <v>1064</v>
      </c>
    </row>
    <row r="1186" spans="1:6">
      <c r="A1186" s="79" t="s">
        <v>1772</v>
      </c>
      <c r="B1186" s="79" t="s">
        <v>1761</v>
      </c>
      <c r="C1186" s="79" t="s">
        <v>1762</v>
      </c>
      <c r="D1186" s="79" t="str">
        <f t="shared" si="20"/>
        <v>Nabbaale</v>
      </c>
      <c r="E1186" s="79"/>
      <c r="F1186" s="79">
        <v>1065</v>
      </c>
    </row>
    <row r="1187" spans="1:6">
      <c r="A1187" s="79" t="s">
        <v>1773</v>
      </c>
      <c r="B1187" s="79" t="s">
        <v>1761</v>
      </c>
      <c r="C1187" s="79" t="s">
        <v>1762</v>
      </c>
      <c r="D1187" s="79" t="str">
        <f t="shared" si="20"/>
        <v>Nagojje</v>
      </c>
      <c r="E1187" s="79"/>
      <c r="F1187" s="79">
        <v>1066</v>
      </c>
    </row>
    <row r="1188" spans="1:6">
      <c r="A1188" s="79" t="s">
        <v>1774</v>
      </c>
      <c r="B1188" s="79" t="s">
        <v>1761</v>
      </c>
      <c r="C1188" s="79" t="s">
        <v>1761</v>
      </c>
      <c r="D1188" s="79" t="str">
        <f t="shared" si="20"/>
        <v>Nakisunga</v>
      </c>
      <c r="E1188" s="79"/>
      <c r="F1188" s="79">
        <v>1067</v>
      </c>
    </row>
    <row r="1189" spans="1:6">
      <c r="A1189" s="79" t="s">
        <v>1775</v>
      </c>
      <c r="B1189" s="79" t="s">
        <v>1761</v>
      </c>
      <c r="C1189" s="79" t="s">
        <v>1761</v>
      </c>
      <c r="D1189" s="79" t="str">
        <f t="shared" si="20"/>
        <v>Nama</v>
      </c>
      <c r="E1189" s="79"/>
      <c r="F1189" s="79">
        <v>1068</v>
      </c>
    </row>
    <row r="1190" spans="1:6">
      <c r="A1190" s="79" t="s">
        <v>1337</v>
      </c>
      <c r="B1190" s="79" t="s">
        <v>1761</v>
      </c>
      <c r="C1190" s="79" t="s">
        <v>1761</v>
      </c>
      <c r="D1190" s="79" t="str">
        <f t="shared" si="20"/>
        <v>Ntenjeru</v>
      </c>
      <c r="E1190" s="79"/>
      <c r="F1190" s="79">
        <v>1069</v>
      </c>
    </row>
    <row r="1191" spans="1:6">
      <c r="A1191" s="79" t="s">
        <v>1776</v>
      </c>
      <c r="B1191" s="79" t="s">
        <v>1761</v>
      </c>
      <c r="C1191" s="79" t="s">
        <v>1762</v>
      </c>
      <c r="D1191" s="79" t="str">
        <f t="shared" si="20"/>
        <v>Ntunda</v>
      </c>
      <c r="E1191" s="79"/>
      <c r="F1191" s="79">
        <v>1070</v>
      </c>
    </row>
    <row r="1192" spans="1:6">
      <c r="A1192" s="79" t="s">
        <v>464</v>
      </c>
      <c r="B1192" s="79"/>
      <c r="C1192" s="79"/>
      <c r="D1192" s="79" t="str">
        <f t="shared" si="20"/>
        <v>SEETA</v>
      </c>
      <c r="E1192" s="79"/>
      <c r="F1192" s="79">
        <v>1071</v>
      </c>
    </row>
    <row r="1193" spans="1:6">
      <c r="A1193" s="79" t="s">
        <v>1777</v>
      </c>
      <c r="B1193" s="79" t="s">
        <v>1761</v>
      </c>
      <c r="C1193" s="79" t="s">
        <v>1762</v>
      </c>
      <c r="D1193" s="79" t="str">
        <f t="shared" si="20"/>
        <v>Seeta Namuganga</v>
      </c>
      <c r="E1193" s="79"/>
      <c r="F1193" s="79">
        <v>1071</v>
      </c>
    </row>
    <row r="1194" spans="1:6">
      <c r="A1194" s="79" t="s">
        <v>1778</v>
      </c>
      <c r="B1194" s="79" t="s">
        <v>1779</v>
      </c>
      <c r="C1194" s="79" t="s">
        <v>1780</v>
      </c>
      <c r="D1194" s="79" t="str">
        <f t="shared" si="20"/>
        <v>Kakomongole</v>
      </c>
      <c r="E1194" s="79"/>
      <c r="F1194" s="79">
        <v>1072</v>
      </c>
    </row>
    <row r="1195" spans="1:6">
      <c r="A1195" s="79" t="s">
        <v>1781</v>
      </c>
      <c r="B1195" s="79" t="s">
        <v>1779</v>
      </c>
      <c r="C1195" s="79" t="s">
        <v>1782</v>
      </c>
      <c r="D1195" s="79" t="str">
        <f t="shared" si="20"/>
        <v>Lolachat</v>
      </c>
      <c r="E1195" s="79"/>
      <c r="F1195" s="79">
        <v>1073</v>
      </c>
    </row>
    <row r="1196" spans="1:6">
      <c r="A1196" s="79" t="s">
        <v>1783</v>
      </c>
      <c r="B1196" s="79" t="s">
        <v>1779</v>
      </c>
      <c r="C1196" s="79" t="s">
        <v>1780</v>
      </c>
      <c r="D1196" s="79" t="str">
        <f t="shared" si="20"/>
        <v>Loregae</v>
      </c>
      <c r="E1196" s="79"/>
      <c r="F1196" s="79">
        <v>1074</v>
      </c>
    </row>
    <row r="1197" spans="1:6">
      <c r="A1197" s="79" t="s">
        <v>1784</v>
      </c>
      <c r="B1197" s="79" t="s">
        <v>1779</v>
      </c>
      <c r="C1197" s="79" t="s">
        <v>1782</v>
      </c>
      <c r="D1197" s="79" t="str">
        <f t="shared" si="20"/>
        <v>Lorengedwat</v>
      </c>
      <c r="E1197" s="79"/>
      <c r="F1197" s="79">
        <v>1075</v>
      </c>
    </row>
    <row r="1198" spans="1:6">
      <c r="A1198" s="79" t="s">
        <v>1785</v>
      </c>
      <c r="B1198" s="79" t="s">
        <v>1779</v>
      </c>
      <c r="C1198" s="79" t="s">
        <v>1780</v>
      </c>
      <c r="D1198" s="79" t="str">
        <f t="shared" si="20"/>
        <v>Moruita</v>
      </c>
      <c r="E1198" s="79"/>
      <c r="F1198" s="79">
        <v>1076</v>
      </c>
    </row>
    <row r="1199" spans="1:6">
      <c r="A1199" s="79" t="s">
        <v>1786</v>
      </c>
      <c r="B1199" s="79" t="s">
        <v>1779</v>
      </c>
      <c r="C1199" s="79" t="s">
        <v>1782</v>
      </c>
      <c r="D1199" s="79" t="str">
        <f t="shared" si="20"/>
        <v>Nabilatuk</v>
      </c>
      <c r="E1199" s="79"/>
      <c r="F1199" s="79">
        <v>1077</v>
      </c>
    </row>
    <row r="1200" spans="1:6">
      <c r="A1200" s="79" t="s">
        <v>1787</v>
      </c>
      <c r="B1200" s="79" t="s">
        <v>1779</v>
      </c>
      <c r="C1200" s="79" t="s">
        <v>1780</v>
      </c>
      <c r="D1200" s="79" t="str">
        <f t="shared" si="20"/>
        <v>Nakapiripirit Town Council</v>
      </c>
      <c r="E1200" s="79"/>
      <c r="F1200" s="79">
        <v>1078</v>
      </c>
    </row>
    <row r="1201" spans="1:6">
      <c r="A1201" s="79" t="s">
        <v>1788</v>
      </c>
      <c r="B1201" s="79" t="s">
        <v>1779</v>
      </c>
      <c r="C1201" s="79" t="s">
        <v>1780</v>
      </c>
      <c r="D1201" s="79" t="str">
        <f t="shared" si="20"/>
        <v>Namalu</v>
      </c>
      <c r="E1201" s="79"/>
      <c r="F1201" s="79">
        <v>1079</v>
      </c>
    </row>
    <row r="1202" spans="1:6">
      <c r="A1202" s="79" t="s">
        <v>1789</v>
      </c>
      <c r="B1202" s="79" t="s">
        <v>1790</v>
      </c>
      <c r="C1202" s="79" t="s">
        <v>1790</v>
      </c>
      <c r="D1202" s="79" t="str">
        <f t="shared" si="20"/>
        <v>Butalangu Town Council</v>
      </c>
      <c r="E1202" s="79"/>
      <c r="F1202" s="79">
        <v>1080</v>
      </c>
    </row>
    <row r="1203" spans="1:6">
      <c r="A1203" s="79" t="s">
        <v>1791</v>
      </c>
      <c r="B1203" s="79" t="s">
        <v>1790</v>
      </c>
      <c r="C1203" s="79" t="s">
        <v>1790</v>
      </c>
      <c r="D1203" s="79" t="str">
        <f t="shared" si="20"/>
        <v>Kapeeka</v>
      </c>
      <c r="E1203" s="79"/>
      <c r="F1203" s="79">
        <v>1081</v>
      </c>
    </row>
    <row r="1204" spans="1:6">
      <c r="A1204" s="79" t="s">
        <v>1792</v>
      </c>
      <c r="B1204" s="79" t="s">
        <v>1790</v>
      </c>
      <c r="C1204" s="79" t="s">
        <v>1790</v>
      </c>
      <c r="D1204" s="79" t="str">
        <f t="shared" si="20"/>
        <v>Kasangombe</v>
      </c>
      <c r="E1204" s="79"/>
      <c r="F1204" s="79">
        <v>1082</v>
      </c>
    </row>
    <row r="1205" spans="1:6">
      <c r="A1205" s="79" t="s">
        <v>1793</v>
      </c>
      <c r="B1205" s="79" t="s">
        <v>1790</v>
      </c>
      <c r="C1205" s="79" t="s">
        <v>1790</v>
      </c>
      <c r="D1205" s="79" t="str">
        <f t="shared" si="20"/>
        <v>Kikamulo</v>
      </c>
      <c r="E1205" s="79"/>
      <c r="F1205" s="79">
        <v>1083</v>
      </c>
    </row>
    <row r="1206" spans="1:6">
      <c r="A1206" s="79" t="s">
        <v>1794</v>
      </c>
      <c r="B1206" s="79" t="s">
        <v>1790</v>
      </c>
      <c r="C1206" s="79" t="s">
        <v>1790</v>
      </c>
      <c r="D1206" s="79" t="str">
        <f t="shared" si="20"/>
        <v>Kinoni-Nakaseke</v>
      </c>
      <c r="E1206" s="79"/>
      <c r="F1206" s="79">
        <v>1084</v>
      </c>
    </row>
    <row r="1207" spans="1:6">
      <c r="A1207" s="79" t="s">
        <v>1795</v>
      </c>
      <c r="B1207" s="79" t="s">
        <v>1790</v>
      </c>
      <c r="C1207" s="79" t="s">
        <v>1790</v>
      </c>
      <c r="D1207" s="79" t="str">
        <f t="shared" si="20"/>
        <v>Kinyogoga</v>
      </c>
      <c r="E1207" s="79"/>
      <c r="F1207" s="79">
        <v>1085</v>
      </c>
    </row>
    <row r="1208" spans="1:6">
      <c r="A1208" s="79" t="s">
        <v>1796</v>
      </c>
      <c r="B1208" s="79" t="s">
        <v>1790</v>
      </c>
      <c r="C1208" s="79" t="s">
        <v>1790</v>
      </c>
      <c r="D1208" s="79" t="str">
        <f t="shared" si="20"/>
        <v>Kito</v>
      </c>
      <c r="E1208" s="79"/>
      <c r="F1208" s="79">
        <v>1086</v>
      </c>
    </row>
    <row r="1209" spans="1:6">
      <c r="A1209" s="79" t="s">
        <v>1797</v>
      </c>
      <c r="B1209" s="79" t="s">
        <v>1790</v>
      </c>
      <c r="C1209" s="79" t="s">
        <v>1790</v>
      </c>
      <c r="D1209" s="79" t="str">
        <f t="shared" si="20"/>
        <v>Kiwoko Town Council</v>
      </c>
      <c r="E1209" s="79"/>
      <c r="F1209" s="79">
        <v>1087</v>
      </c>
    </row>
    <row r="1210" spans="1:6">
      <c r="A1210" s="79" t="s">
        <v>1790</v>
      </c>
      <c r="B1210" s="79" t="s">
        <v>1790</v>
      </c>
      <c r="C1210" s="79" t="s">
        <v>1790</v>
      </c>
      <c r="D1210" s="79" t="str">
        <f t="shared" si="20"/>
        <v>Nakaseke</v>
      </c>
      <c r="E1210" s="79"/>
      <c r="F1210" s="79">
        <v>1088</v>
      </c>
    </row>
    <row r="1211" spans="1:6">
      <c r="A1211" s="79" t="s">
        <v>1798</v>
      </c>
      <c r="B1211" s="79" t="s">
        <v>1790</v>
      </c>
      <c r="C1211" s="79" t="s">
        <v>1790</v>
      </c>
      <c r="D1211" s="79" t="str">
        <f t="shared" si="20"/>
        <v>Nakaseke Town Council</v>
      </c>
      <c r="E1211" s="79"/>
      <c r="F1211" s="79">
        <v>1089</v>
      </c>
    </row>
    <row r="1212" spans="1:6">
      <c r="A1212" s="79" t="s">
        <v>1799</v>
      </c>
      <c r="B1212" s="79" t="s">
        <v>1790</v>
      </c>
      <c r="C1212" s="79" t="s">
        <v>1790</v>
      </c>
      <c r="D1212" s="79" t="str">
        <f t="shared" si="20"/>
        <v>Ngoma Town Council</v>
      </c>
      <c r="E1212" s="79"/>
      <c r="F1212" s="79">
        <v>1090</v>
      </c>
    </row>
    <row r="1213" spans="1:6">
      <c r="A1213" s="79" t="s">
        <v>1800</v>
      </c>
      <c r="B1213" s="79" t="s">
        <v>1790</v>
      </c>
      <c r="C1213" s="79" t="s">
        <v>1790</v>
      </c>
      <c r="D1213" s="79" t="str">
        <f t="shared" si="20"/>
        <v>Ngoma-Nakaseke</v>
      </c>
      <c r="E1213" s="79"/>
      <c r="F1213" s="79">
        <v>1091</v>
      </c>
    </row>
    <row r="1214" spans="1:6">
      <c r="A1214" s="79" t="s">
        <v>1801</v>
      </c>
      <c r="B1214" s="79" t="s">
        <v>1790</v>
      </c>
      <c r="C1214" s="79" t="s">
        <v>1790</v>
      </c>
      <c r="D1214" s="79" t="str">
        <f t="shared" si="20"/>
        <v>Semuto</v>
      </c>
      <c r="E1214" s="79"/>
      <c r="F1214" s="79">
        <v>1092</v>
      </c>
    </row>
    <row r="1215" spans="1:6">
      <c r="A1215" s="79" t="s">
        <v>1802</v>
      </c>
      <c r="B1215" s="79" t="s">
        <v>1790</v>
      </c>
      <c r="C1215" s="79" t="s">
        <v>1790</v>
      </c>
      <c r="D1215" s="79" t="str">
        <f t="shared" si="20"/>
        <v>Semuto Town Council</v>
      </c>
      <c r="E1215" s="79"/>
      <c r="F1215" s="79">
        <v>1093</v>
      </c>
    </row>
    <row r="1216" spans="1:6">
      <c r="A1216" s="79" t="s">
        <v>1803</v>
      </c>
      <c r="B1216" s="79" t="s">
        <v>1790</v>
      </c>
      <c r="C1216" s="79" t="s">
        <v>1790</v>
      </c>
      <c r="D1216" s="79" t="str">
        <f t="shared" si="20"/>
        <v>Wakyato</v>
      </c>
      <c r="E1216" s="79"/>
      <c r="F1216" s="79">
        <v>1094</v>
      </c>
    </row>
    <row r="1217" spans="1:6">
      <c r="A1217" s="79" t="s">
        <v>1804</v>
      </c>
      <c r="B1217" s="79" t="s">
        <v>1805</v>
      </c>
      <c r="C1217" s="79" t="s">
        <v>1625</v>
      </c>
      <c r="D1217" s="79" t="str">
        <f t="shared" si="20"/>
        <v>Kakooge</v>
      </c>
      <c r="E1217" s="79"/>
      <c r="F1217" s="79">
        <v>1095</v>
      </c>
    </row>
    <row r="1218" spans="1:6">
      <c r="A1218" s="79" t="s">
        <v>1806</v>
      </c>
      <c r="B1218" s="79" t="s">
        <v>1805</v>
      </c>
      <c r="C1218" s="79" t="s">
        <v>1625</v>
      </c>
      <c r="D1218" s="79" t="str">
        <f t="shared" si="20"/>
        <v>Kakooge Town Council</v>
      </c>
      <c r="E1218" s="79"/>
      <c r="F1218" s="79">
        <v>1096</v>
      </c>
    </row>
    <row r="1219" spans="1:6">
      <c r="A1219" s="79" t="s">
        <v>1807</v>
      </c>
      <c r="B1219" s="79" t="s">
        <v>1805</v>
      </c>
      <c r="C1219" s="79" t="s">
        <v>1625</v>
      </c>
      <c r="D1219" s="79" t="str">
        <f t="shared" ref="D1219:D1282" si="21">A1219</f>
        <v>Kalongo</v>
      </c>
      <c r="E1219" s="79"/>
      <c r="F1219" s="79">
        <v>1097</v>
      </c>
    </row>
    <row r="1220" spans="1:6">
      <c r="A1220" s="79" t="s">
        <v>1808</v>
      </c>
      <c r="B1220" s="79" t="s">
        <v>1805</v>
      </c>
      <c r="C1220" s="79" t="s">
        <v>1625</v>
      </c>
      <c r="D1220" s="79" t="str">
        <f t="shared" si="21"/>
        <v>Kalungi</v>
      </c>
      <c r="E1220" s="79"/>
      <c r="F1220" s="79">
        <v>1098</v>
      </c>
    </row>
    <row r="1221" spans="1:6">
      <c r="A1221" s="79" t="s">
        <v>1809</v>
      </c>
      <c r="B1221" s="79" t="s">
        <v>1805</v>
      </c>
      <c r="C1221" s="79" t="s">
        <v>1625</v>
      </c>
      <c r="D1221" s="79" t="str">
        <f t="shared" si="21"/>
        <v>Lwabiyata</v>
      </c>
      <c r="E1221" s="79"/>
      <c r="F1221" s="79">
        <v>1099</v>
      </c>
    </row>
    <row r="1222" spans="1:6">
      <c r="A1222" s="79" t="s">
        <v>1810</v>
      </c>
      <c r="B1222" s="79" t="s">
        <v>1805</v>
      </c>
      <c r="C1222" s="79" t="s">
        <v>1625</v>
      </c>
      <c r="D1222" s="79" t="str">
        <f t="shared" si="21"/>
        <v>Lwampanga</v>
      </c>
      <c r="E1222" s="79"/>
      <c r="F1222" s="79">
        <v>1100</v>
      </c>
    </row>
    <row r="1223" spans="1:6">
      <c r="A1223" s="79" t="s">
        <v>1811</v>
      </c>
      <c r="B1223" s="79" t="s">
        <v>1805</v>
      </c>
      <c r="C1223" s="79" t="s">
        <v>1625</v>
      </c>
      <c r="D1223" s="79" t="str">
        <f t="shared" si="21"/>
        <v>Migeera Town Council</v>
      </c>
      <c r="E1223" s="79"/>
      <c r="F1223" s="79">
        <v>1101</v>
      </c>
    </row>
    <row r="1224" spans="1:6">
      <c r="A1224" s="79" t="s">
        <v>1812</v>
      </c>
      <c r="B1224" s="79" t="s">
        <v>1805</v>
      </c>
      <c r="C1224" s="79" t="s">
        <v>1625</v>
      </c>
      <c r="D1224" s="79" t="str">
        <f t="shared" si="21"/>
        <v>Nabisweera</v>
      </c>
      <c r="E1224" s="79"/>
      <c r="F1224" s="79">
        <v>1102</v>
      </c>
    </row>
    <row r="1225" spans="1:6">
      <c r="A1225" s="79" t="s">
        <v>1813</v>
      </c>
      <c r="B1225" s="79" t="s">
        <v>1805</v>
      </c>
      <c r="C1225" s="79" t="s">
        <v>1625</v>
      </c>
      <c r="D1225" s="79" t="str">
        <f t="shared" si="21"/>
        <v>Nakasongola Town Council</v>
      </c>
      <c r="E1225" s="79"/>
      <c r="F1225" s="79">
        <v>1103</v>
      </c>
    </row>
    <row r="1226" spans="1:6">
      <c r="A1226" s="79" t="s">
        <v>1814</v>
      </c>
      <c r="B1226" s="79"/>
      <c r="C1226" s="79"/>
      <c r="D1226" s="79" t="str">
        <f t="shared" si="21"/>
        <v>NAKASONGOLA</v>
      </c>
      <c r="E1226" s="79"/>
      <c r="F1226" s="79">
        <v>1103</v>
      </c>
    </row>
    <row r="1227" spans="1:6">
      <c r="A1227" s="79" t="s">
        <v>1815</v>
      </c>
      <c r="B1227" s="79" t="s">
        <v>1805</v>
      </c>
      <c r="C1227" s="79" t="s">
        <v>1625</v>
      </c>
      <c r="D1227" s="79" t="str">
        <f t="shared" si="21"/>
        <v>Nakitoma</v>
      </c>
      <c r="E1227" s="79"/>
      <c r="F1227" s="79">
        <v>1104</v>
      </c>
    </row>
    <row r="1228" spans="1:6">
      <c r="A1228" s="79" t="s">
        <v>1816</v>
      </c>
      <c r="B1228" s="79" t="s">
        <v>1805</v>
      </c>
      <c r="C1228" s="79" t="s">
        <v>1625</v>
      </c>
      <c r="D1228" s="79" t="str">
        <f t="shared" si="21"/>
        <v>Wabinyonyi</v>
      </c>
      <c r="E1228" s="79"/>
      <c r="F1228" s="79">
        <v>1105</v>
      </c>
    </row>
    <row r="1229" spans="1:6">
      <c r="A1229" s="79" t="s">
        <v>1081</v>
      </c>
      <c r="B1229" s="79" t="s">
        <v>1817</v>
      </c>
      <c r="C1229" s="79" t="s">
        <v>1818</v>
      </c>
      <c r="D1229" s="79" t="str">
        <f t="shared" si="21"/>
        <v>Banda</v>
      </c>
      <c r="E1229" s="79"/>
      <c r="F1229" s="79">
        <v>1106</v>
      </c>
    </row>
    <row r="1230" spans="1:6">
      <c r="A1230" s="79" t="s">
        <v>1819</v>
      </c>
      <c r="B1230" s="79" t="s">
        <v>1817</v>
      </c>
      <c r="C1230" s="79" t="s">
        <v>1818</v>
      </c>
      <c r="D1230" s="79" t="str">
        <f t="shared" si="21"/>
        <v>Buhemba</v>
      </c>
      <c r="E1230" s="79"/>
      <c r="F1230" s="79">
        <v>1107</v>
      </c>
    </row>
    <row r="1231" spans="1:6">
      <c r="A1231" s="79" t="s">
        <v>1820</v>
      </c>
      <c r="B1231" s="79" t="s">
        <v>1817</v>
      </c>
      <c r="C1231" s="79" t="s">
        <v>1818</v>
      </c>
      <c r="D1231" s="79" t="str">
        <f t="shared" si="21"/>
        <v>Bukana</v>
      </c>
      <c r="E1231" s="79"/>
      <c r="F1231" s="79">
        <v>1108</v>
      </c>
    </row>
    <row r="1232" spans="1:6">
      <c r="A1232" s="79" t="s">
        <v>1821</v>
      </c>
      <c r="B1232" s="79" t="s">
        <v>1817</v>
      </c>
      <c r="C1232" s="79" t="s">
        <v>1818</v>
      </c>
      <c r="D1232" s="79" t="str">
        <f t="shared" si="21"/>
        <v>Buswale</v>
      </c>
      <c r="E1232" s="79"/>
      <c r="F1232" s="79">
        <v>1109</v>
      </c>
    </row>
    <row r="1233" spans="1:6">
      <c r="A1233" s="79" t="s">
        <v>1822</v>
      </c>
      <c r="B1233" s="79" t="s">
        <v>1817</v>
      </c>
      <c r="C1233" s="79" t="s">
        <v>1818</v>
      </c>
      <c r="D1233" s="79" t="str">
        <f t="shared" si="21"/>
        <v>Buyinja</v>
      </c>
      <c r="E1233" s="79"/>
      <c r="F1233" s="79">
        <v>1110</v>
      </c>
    </row>
    <row r="1234" spans="1:6">
      <c r="A1234" s="79" t="s">
        <v>1823</v>
      </c>
      <c r="B1234" s="79" t="s">
        <v>1817</v>
      </c>
      <c r="C1234" s="79" t="s">
        <v>1818</v>
      </c>
      <c r="D1234" s="79" t="str">
        <f t="shared" si="21"/>
        <v>Lolwe</v>
      </c>
      <c r="E1234" s="79"/>
      <c r="F1234" s="79">
        <v>1111</v>
      </c>
    </row>
    <row r="1235" spans="1:6">
      <c r="A1235" s="79" t="s">
        <v>1824</v>
      </c>
      <c r="B1235" s="79" t="s">
        <v>1817</v>
      </c>
      <c r="C1235" s="79" t="s">
        <v>1818</v>
      </c>
      <c r="D1235" s="79" t="str">
        <f t="shared" si="21"/>
        <v>Mutumba</v>
      </c>
      <c r="E1235" s="79"/>
      <c r="F1235" s="79">
        <v>1112</v>
      </c>
    </row>
    <row r="1236" spans="1:6">
      <c r="A1236" s="79" t="s">
        <v>1825</v>
      </c>
      <c r="B1236" s="79" t="s">
        <v>1817</v>
      </c>
      <c r="C1236" s="79" t="s">
        <v>1818</v>
      </c>
      <c r="D1236" s="79" t="str">
        <f t="shared" si="21"/>
        <v>Namayingo Town Council</v>
      </c>
      <c r="E1236" s="79"/>
      <c r="F1236" s="79">
        <v>1113</v>
      </c>
    </row>
    <row r="1237" spans="1:6">
      <c r="A1237" s="79" t="s">
        <v>1826</v>
      </c>
      <c r="B1237" s="79" t="s">
        <v>1817</v>
      </c>
      <c r="C1237" s="79" t="s">
        <v>1818</v>
      </c>
      <c r="D1237" s="79" t="str">
        <f t="shared" si="21"/>
        <v>Sigulu Island</v>
      </c>
      <c r="E1237" s="79"/>
      <c r="F1237" s="79">
        <v>1114</v>
      </c>
    </row>
    <row r="1238" spans="1:6">
      <c r="A1238" s="79" t="s">
        <v>1827</v>
      </c>
      <c r="B1238" s="79" t="s">
        <v>1828</v>
      </c>
      <c r="C1238" s="79" t="s">
        <v>1828</v>
      </c>
      <c r="D1238" s="79" t="str">
        <f t="shared" si="21"/>
        <v>Bubutu</v>
      </c>
      <c r="E1238" s="79"/>
      <c r="F1238" s="79">
        <v>1115</v>
      </c>
    </row>
    <row r="1239" spans="1:6">
      <c r="A1239" s="79" t="s">
        <v>1829</v>
      </c>
      <c r="B1239" s="79" t="s">
        <v>1828</v>
      </c>
      <c r="C1239" s="79" t="s">
        <v>1828</v>
      </c>
      <c r="D1239" s="79" t="str">
        <f t="shared" si="21"/>
        <v>Bukhabusi</v>
      </c>
      <c r="E1239" s="79"/>
      <c r="F1239" s="79">
        <v>1116</v>
      </c>
    </row>
    <row r="1240" spans="1:6">
      <c r="A1240" s="79" t="s">
        <v>1830</v>
      </c>
      <c r="B1240" s="79" t="s">
        <v>1828</v>
      </c>
      <c r="C1240" s="79" t="s">
        <v>1828</v>
      </c>
      <c r="D1240" s="79" t="str">
        <f t="shared" si="21"/>
        <v>Bukhaweka</v>
      </c>
      <c r="E1240" s="79"/>
      <c r="F1240" s="79">
        <v>1117</v>
      </c>
    </row>
    <row r="1241" spans="1:6">
      <c r="A1241" s="79" t="s">
        <v>1831</v>
      </c>
      <c r="B1241" s="79" t="s">
        <v>1828</v>
      </c>
      <c r="C1241" s="79" t="s">
        <v>1828</v>
      </c>
      <c r="D1241" s="79" t="str">
        <f t="shared" si="21"/>
        <v>Bukiabi</v>
      </c>
      <c r="E1241" s="79"/>
      <c r="F1241" s="79">
        <v>1118</v>
      </c>
    </row>
    <row r="1242" spans="1:6">
      <c r="A1242" s="79" t="s">
        <v>1832</v>
      </c>
      <c r="B1242" s="79" t="s">
        <v>1828</v>
      </c>
      <c r="C1242" s="79" t="s">
        <v>1828</v>
      </c>
      <c r="D1242" s="79" t="str">
        <f t="shared" si="21"/>
        <v>Bukokho</v>
      </c>
      <c r="E1242" s="79"/>
      <c r="F1242" s="79">
        <v>1119</v>
      </c>
    </row>
    <row r="1243" spans="1:6">
      <c r="A1243" s="79" t="s">
        <v>1833</v>
      </c>
      <c r="B1243" s="79" t="s">
        <v>1828</v>
      </c>
      <c r="C1243" s="79" t="s">
        <v>1828</v>
      </c>
      <c r="D1243" s="79" t="str">
        <f t="shared" si="21"/>
        <v>Bumbo</v>
      </c>
      <c r="E1243" s="79"/>
      <c r="F1243" s="79">
        <v>1120</v>
      </c>
    </row>
    <row r="1244" spans="1:6">
      <c r="A1244" s="79" t="s">
        <v>1834</v>
      </c>
      <c r="B1244" s="79" t="s">
        <v>1828</v>
      </c>
      <c r="C1244" s="79" t="s">
        <v>1828</v>
      </c>
      <c r="D1244" s="79" t="str">
        <f t="shared" si="21"/>
        <v>Bumwoni</v>
      </c>
      <c r="E1244" s="79"/>
      <c r="F1244" s="79">
        <v>1121</v>
      </c>
    </row>
    <row r="1245" spans="1:6">
      <c r="A1245" s="79" t="s">
        <v>1835</v>
      </c>
      <c r="B1245" s="79" t="s">
        <v>1828</v>
      </c>
      <c r="C1245" s="79" t="s">
        <v>1828</v>
      </c>
      <c r="D1245" s="79" t="str">
        <f t="shared" si="21"/>
        <v>Bupoto</v>
      </c>
      <c r="E1245" s="79"/>
      <c r="F1245" s="79">
        <v>1122</v>
      </c>
    </row>
    <row r="1246" spans="1:6">
      <c r="A1246" s="79" t="s">
        <v>1836</v>
      </c>
      <c r="B1246" s="79" t="s">
        <v>1828</v>
      </c>
      <c r="C1246" s="79" t="s">
        <v>1828</v>
      </c>
      <c r="D1246" s="79" t="str">
        <f t="shared" si="21"/>
        <v>Buwabwala</v>
      </c>
      <c r="E1246" s="79"/>
      <c r="F1246" s="79">
        <v>1123</v>
      </c>
    </row>
    <row r="1247" spans="1:6">
      <c r="A1247" s="79" t="s">
        <v>1837</v>
      </c>
      <c r="B1247" s="79" t="s">
        <v>1828</v>
      </c>
      <c r="C1247" s="79" t="s">
        <v>1828</v>
      </c>
      <c r="D1247" s="79" t="str">
        <f t="shared" si="21"/>
        <v>Lwakhakha Town Council</v>
      </c>
      <c r="E1247" s="79"/>
      <c r="F1247" s="79">
        <v>1124</v>
      </c>
    </row>
    <row r="1248" spans="1:6">
      <c r="A1248" s="79" t="s">
        <v>1838</v>
      </c>
      <c r="B1248" s="79" t="s">
        <v>1828</v>
      </c>
      <c r="C1248" s="79" t="s">
        <v>1828</v>
      </c>
      <c r="D1248" s="79" t="str">
        <f t="shared" si="21"/>
        <v>Magale</v>
      </c>
      <c r="E1248" s="79"/>
      <c r="F1248" s="79">
        <v>1125</v>
      </c>
    </row>
    <row r="1249" spans="1:6">
      <c r="A1249" s="79" t="s">
        <v>1839</v>
      </c>
      <c r="B1249" s="79" t="s">
        <v>1828</v>
      </c>
      <c r="C1249" s="79" t="s">
        <v>1828</v>
      </c>
      <c r="D1249" s="79" t="str">
        <f t="shared" si="21"/>
        <v>Magale Town Council</v>
      </c>
      <c r="E1249" s="79"/>
      <c r="F1249" s="79">
        <v>1126</v>
      </c>
    </row>
    <row r="1250" spans="1:6">
      <c r="A1250" s="79" t="s">
        <v>1840</v>
      </c>
      <c r="B1250" s="79" t="s">
        <v>1828</v>
      </c>
      <c r="C1250" s="79" t="s">
        <v>1828</v>
      </c>
      <c r="D1250" s="79" t="str">
        <f t="shared" si="21"/>
        <v>Mukoto</v>
      </c>
      <c r="E1250" s="79"/>
      <c r="F1250" s="79">
        <v>1127</v>
      </c>
    </row>
    <row r="1251" spans="1:6">
      <c r="A1251" s="79" t="s">
        <v>1841</v>
      </c>
      <c r="B1251" s="79" t="s">
        <v>1828</v>
      </c>
      <c r="C1251" s="79" t="s">
        <v>1828</v>
      </c>
      <c r="D1251" s="79" t="str">
        <f t="shared" si="21"/>
        <v>Namabya</v>
      </c>
      <c r="E1251" s="79"/>
      <c r="F1251" s="79">
        <v>1128</v>
      </c>
    </row>
    <row r="1252" spans="1:6">
      <c r="A1252" s="79" t="s">
        <v>1842</v>
      </c>
      <c r="B1252" s="79" t="s">
        <v>1828</v>
      </c>
      <c r="C1252" s="79" t="s">
        <v>1828</v>
      </c>
      <c r="D1252" s="79" t="str">
        <f t="shared" si="21"/>
        <v>Namboko</v>
      </c>
      <c r="E1252" s="79"/>
      <c r="F1252" s="79">
        <v>1129</v>
      </c>
    </row>
    <row r="1253" spans="1:6">
      <c r="A1253" s="79" t="s">
        <v>1843</v>
      </c>
      <c r="B1253" s="79" t="s">
        <v>1828</v>
      </c>
      <c r="C1253" s="79" t="s">
        <v>1828</v>
      </c>
      <c r="D1253" s="79" t="str">
        <f t="shared" si="21"/>
        <v>Namisindwa Town Council</v>
      </c>
      <c r="E1253" s="79"/>
      <c r="F1253" s="79">
        <v>1130</v>
      </c>
    </row>
    <row r="1254" spans="1:6">
      <c r="A1254" s="79" t="s">
        <v>1844</v>
      </c>
      <c r="B1254" s="79" t="s">
        <v>1828</v>
      </c>
      <c r="C1254" s="79" t="s">
        <v>1828</v>
      </c>
      <c r="D1254" s="79" t="str">
        <f t="shared" si="21"/>
        <v>Tsekululu</v>
      </c>
      <c r="E1254" s="79"/>
      <c r="F1254" s="79">
        <v>1131</v>
      </c>
    </row>
    <row r="1255" spans="1:6">
      <c r="A1255" s="79" t="s">
        <v>1845</v>
      </c>
      <c r="B1255" s="79" t="s">
        <v>1846</v>
      </c>
      <c r="C1255" s="79" t="s">
        <v>1847</v>
      </c>
      <c r="D1255" s="79" t="str">
        <f t="shared" si="21"/>
        <v>Bulange</v>
      </c>
      <c r="E1255" s="79"/>
      <c r="F1255" s="79">
        <v>1132</v>
      </c>
    </row>
    <row r="1256" spans="1:6">
      <c r="A1256" s="79" t="s">
        <v>1848</v>
      </c>
      <c r="B1256" s="79" t="s">
        <v>1846</v>
      </c>
      <c r="C1256" s="79" t="s">
        <v>1847</v>
      </c>
      <c r="D1256" s="79" t="str">
        <f t="shared" si="21"/>
        <v>Ivukula</v>
      </c>
      <c r="E1256" s="79"/>
      <c r="F1256" s="79">
        <v>1133</v>
      </c>
    </row>
    <row r="1257" spans="1:6">
      <c r="A1257" s="79" t="s">
        <v>1345</v>
      </c>
      <c r="B1257" s="79" t="s">
        <v>1846</v>
      </c>
      <c r="C1257" s="79" t="s">
        <v>1847</v>
      </c>
      <c r="D1257" s="79" t="str">
        <f t="shared" si="21"/>
        <v>Kibaale</v>
      </c>
      <c r="E1257" s="79"/>
      <c r="F1257" s="79">
        <v>1134</v>
      </c>
    </row>
    <row r="1258" spans="1:6">
      <c r="A1258" s="79" t="s">
        <v>1849</v>
      </c>
      <c r="B1258" s="79" t="s">
        <v>1846</v>
      </c>
      <c r="C1258" s="79" t="s">
        <v>1847</v>
      </c>
      <c r="D1258" s="79" t="str">
        <f t="shared" si="21"/>
        <v>Magada</v>
      </c>
      <c r="E1258" s="79"/>
      <c r="F1258" s="79">
        <v>1135</v>
      </c>
    </row>
    <row r="1259" spans="1:6">
      <c r="A1259" s="79" t="s">
        <v>1850</v>
      </c>
      <c r="B1259" s="79" t="s">
        <v>1846</v>
      </c>
      <c r="C1259" s="79" t="s">
        <v>1847</v>
      </c>
      <c r="D1259" s="79" t="str">
        <f t="shared" si="21"/>
        <v>Nabweyo</v>
      </c>
      <c r="E1259" s="79"/>
      <c r="F1259" s="79">
        <v>1136</v>
      </c>
    </row>
    <row r="1260" spans="1:6">
      <c r="A1260" s="79" t="s">
        <v>1846</v>
      </c>
      <c r="B1260" s="79" t="s">
        <v>1846</v>
      </c>
      <c r="C1260" s="79" t="s">
        <v>1847</v>
      </c>
      <c r="D1260" s="79" t="str">
        <f t="shared" si="21"/>
        <v>Namutumba</v>
      </c>
      <c r="E1260" s="79"/>
      <c r="F1260" s="79">
        <v>1137</v>
      </c>
    </row>
    <row r="1261" spans="1:6">
      <c r="A1261" s="79" t="s">
        <v>1851</v>
      </c>
      <c r="B1261" s="79" t="s">
        <v>1846</v>
      </c>
      <c r="C1261" s="79" t="s">
        <v>1847</v>
      </c>
      <c r="D1261" s="79" t="str">
        <f t="shared" si="21"/>
        <v>Namutumba Town Council</v>
      </c>
      <c r="E1261" s="79"/>
      <c r="F1261" s="79">
        <v>1138</v>
      </c>
    </row>
    <row r="1262" spans="1:6">
      <c r="A1262" s="79" t="s">
        <v>1852</v>
      </c>
      <c r="B1262" s="79" t="s">
        <v>1846</v>
      </c>
      <c r="C1262" s="79" t="s">
        <v>1847</v>
      </c>
      <c r="D1262" s="79" t="str">
        <f t="shared" si="21"/>
        <v>Nangonde</v>
      </c>
      <c r="E1262" s="79"/>
      <c r="F1262" s="79">
        <v>1139</v>
      </c>
    </row>
    <row r="1263" spans="1:6">
      <c r="A1263" s="79" t="s">
        <v>1853</v>
      </c>
      <c r="B1263" s="79" t="s">
        <v>1846</v>
      </c>
      <c r="C1263" s="79" t="s">
        <v>1847</v>
      </c>
      <c r="D1263" s="79" t="str">
        <f t="shared" si="21"/>
        <v>Nsinze</v>
      </c>
      <c r="E1263" s="79"/>
      <c r="F1263" s="79">
        <v>1140</v>
      </c>
    </row>
    <row r="1264" spans="1:6">
      <c r="A1264" s="79" t="s">
        <v>1854</v>
      </c>
      <c r="B1264" s="79" t="s">
        <v>1855</v>
      </c>
      <c r="C1264" s="79" t="s">
        <v>1856</v>
      </c>
      <c r="D1264" s="79" t="str">
        <f t="shared" si="21"/>
        <v>Iriiri</v>
      </c>
      <c r="E1264" s="79"/>
      <c r="F1264" s="79">
        <v>1141</v>
      </c>
    </row>
    <row r="1265" spans="1:6">
      <c r="A1265" s="79" t="s">
        <v>1857</v>
      </c>
      <c r="B1265" s="79" t="s">
        <v>1855</v>
      </c>
      <c r="C1265" s="79" t="s">
        <v>1856</v>
      </c>
      <c r="D1265" s="79" t="str">
        <f t="shared" si="21"/>
        <v>Lokopo</v>
      </c>
      <c r="E1265" s="79"/>
      <c r="F1265" s="79">
        <v>1142</v>
      </c>
    </row>
    <row r="1266" spans="1:6">
      <c r="A1266" s="79" t="s">
        <v>1858</v>
      </c>
      <c r="B1266" s="79" t="s">
        <v>1855</v>
      </c>
      <c r="C1266" s="79" t="s">
        <v>1856</v>
      </c>
      <c r="D1266" s="79" t="str">
        <f t="shared" si="21"/>
        <v>Lopeei</v>
      </c>
      <c r="E1266" s="79"/>
      <c r="F1266" s="79">
        <v>1143</v>
      </c>
    </row>
    <row r="1267" spans="1:6">
      <c r="A1267" s="79" t="s">
        <v>1859</v>
      </c>
      <c r="B1267" s="79" t="s">
        <v>1855</v>
      </c>
      <c r="C1267" s="79" t="s">
        <v>1856</v>
      </c>
      <c r="D1267" s="79" t="str">
        <f t="shared" si="21"/>
        <v>Lorengecora</v>
      </c>
      <c r="E1267" s="79"/>
      <c r="F1267" s="79">
        <v>1144</v>
      </c>
    </row>
    <row r="1268" spans="1:6">
      <c r="A1268" s="79" t="s">
        <v>1860</v>
      </c>
      <c r="B1268" s="79" t="s">
        <v>1855</v>
      </c>
      <c r="C1268" s="79" t="s">
        <v>1856</v>
      </c>
      <c r="D1268" s="79" t="str">
        <f t="shared" si="21"/>
        <v>Lotome</v>
      </c>
      <c r="E1268" s="79"/>
      <c r="F1268" s="79">
        <v>1145</v>
      </c>
    </row>
    <row r="1269" spans="1:6">
      <c r="A1269" s="79" t="s">
        <v>1861</v>
      </c>
      <c r="B1269" s="79" t="s">
        <v>1855</v>
      </c>
      <c r="C1269" s="79" t="s">
        <v>1856</v>
      </c>
      <c r="D1269" s="79" t="str">
        <f t="shared" si="21"/>
        <v>Matany</v>
      </c>
      <c r="E1269" s="79"/>
      <c r="F1269" s="79">
        <v>1146</v>
      </c>
    </row>
    <row r="1270" spans="1:6">
      <c r="A1270" s="79" t="s">
        <v>1862</v>
      </c>
      <c r="B1270" s="79" t="s">
        <v>1855</v>
      </c>
      <c r="C1270" s="79" t="s">
        <v>1856</v>
      </c>
      <c r="D1270" s="79" t="str">
        <f t="shared" si="21"/>
        <v>Napak Town Council</v>
      </c>
      <c r="E1270" s="79"/>
      <c r="F1270" s="79">
        <v>1147</v>
      </c>
    </row>
    <row r="1271" spans="1:6">
      <c r="A1271" s="79" t="s">
        <v>1863</v>
      </c>
      <c r="B1271" s="79" t="s">
        <v>1855</v>
      </c>
      <c r="C1271" s="79" t="s">
        <v>1856</v>
      </c>
      <c r="D1271" s="79" t="str">
        <f t="shared" si="21"/>
        <v>Ngoleriet</v>
      </c>
      <c r="E1271" s="79"/>
      <c r="F1271" s="79">
        <v>1148</v>
      </c>
    </row>
    <row r="1272" spans="1:6">
      <c r="A1272" s="79" t="s">
        <v>1864</v>
      </c>
      <c r="B1272" s="79" t="s">
        <v>1865</v>
      </c>
      <c r="C1272" s="79" t="s">
        <v>1866</v>
      </c>
      <c r="D1272" s="79" t="str">
        <f t="shared" si="21"/>
        <v>Akworo</v>
      </c>
      <c r="E1272" s="79"/>
      <c r="F1272" s="79">
        <v>1149</v>
      </c>
    </row>
    <row r="1273" spans="1:6">
      <c r="A1273" s="79" t="s">
        <v>1867</v>
      </c>
      <c r="B1273" s="79" t="s">
        <v>1865</v>
      </c>
      <c r="C1273" s="79" t="s">
        <v>1866</v>
      </c>
      <c r="D1273" s="79" t="str">
        <f t="shared" si="21"/>
        <v>Atego</v>
      </c>
      <c r="E1273" s="79"/>
      <c r="F1273" s="79">
        <v>1150</v>
      </c>
    </row>
    <row r="1274" spans="1:6">
      <c r="A1274" s="79" t="s">
        <v>1868</v>
      </c>
      <c r="B1274" s="79" t="s">
        <v>1865</v>
      </c>
      <c r="C1274" s="79" t="s">
        <v>1866</v>
      </c>
      <c r="D1274" s="79" t="str">
        <f t="shared" si="21"/>
        <v>Erussi</v>
      </c>
      <c r="E1274" s="79"/>
      <c r="F1274" s="79">
        <v>1151</v>
      </c>
    </row>
    <row r="1275" spans="1:6">
      <c r="A1275" s="79" t="s">
        <v>1869</v>
      </c>
      <c r="B1275" s="79" t="s">
        <v>1865</v>
      </c>
      <c r="C1275" s="79" t="s">
        <v>1866</v>
      </c>
      <c r="D1275" s="79" t="str">
        <f t="shared" si="21"/>
        <v>Kucwiny</v>
      </c>
      <c r="E1275" s="79"/>
      <c r="F1275" s="79">
        <v>1152</v>
      </c>
    </row>
    <row r="1276" spans="1:6">
      <c r="A1276" s="79" t="s">
        <v>1870</v>
      </c>
      <c r="B1276" s="79" t="s">
        <v>1865</v>
      </c>
      <c r="C1276" s="79" t="s">
        <v>1866</v>
      </c>
      <c r="D1276" s="79" t="str">
        <f t="shared" si="21"/>
        <v>Ndhew</v>
      </c>
      <c r="E1276" s="79"/>
      <c r="F1276" s="79">
        <v>1153</v>
      </c>
    </row>
    <row r="1277" spans="1:6">
      <c r="A1277" s="79" t="s">
        <v>1865</v>
      </c>
      <c r="B1277" s="79" t="s">
        <v>1865</v>
      </c>
      <c r="C1277" s="79" t="s">
        <v>1866</v>
      </c>
      <c r="D1277" s="79" t="str">
        <f t="shared" si="21"/>
        <v>Nebbi</v>
      </c>
      <c r="E1277" s="79"/>
      <c r="F1277" s="79">
        <v>1154</v>
      </c>
    </row>
    <row r="1278" spans="1:6">
      <c r="A1278" s="79" t="s">
        <v>1871</v>
      </c>
      <c r="B1278" s="79" t="s">
        <v>1865</v>
      </c>
      <c r="C1278" s="79" t="s">
        <v>1871</v>
      </c>
      <c r="D1278" s="79" t="str">
        <f t="shared" si="21"/>
        <v>Nebbi Municipality</v>
      </c>
      <c r="E1278" s="79"/>
      <c r="F1278" s="79">
        <v>1155</v>
      </c>
    </row>
    <row r="1279" spans="1:6">
      <c r="A1279" s="79" t="s">
        <v>1872</v>
      </c>
      <c r="B1279" s="79" t="s">
        <v>1865</v>
      </c>
      <c r="C1279" s="79" t="s">
        <v>1866</v>
      </c>
      <c r="D1279" s="79" t="str">
        <f t="shared" si="21"/>
        <v>Nyaravur</v>
      </c>
      <c r="E1279" s="79"/>
      <c r="F1279" s="79">
        <v>1156</v>
      </c>
    </row>
    <row r="1280" spans="1:6">
      <c r="A1280" s="79" t="s">
        <v>1873</v>
      </c>
      <c r="B1280" s="79" t="s">
        <v>1865</v>
      </c>
      <c r="C1280" s="79" t="s">
        <v>1866</v>
      </c>
      <c r="D1280" s="79" t="str">
        <f t="shared" si="21"/>
        <v>Parombo</v>
      </c>
      <c r="E1280" s="79"/>
      <c r="F1280" s="79">
        <v>1157</v>
      </c>
    </row>
    <row r="1281" spans="1:6">
      <c r="A1281" s="79" t="s">
        <v>1874</v>
      </c>
      <c r="B1281" s="79" t="s">
        <v>1875</v>
      </c>
      <c r="C1281" s="79" t="s">
        <v>1875</v>
      </c>
      <c r="D1281" s="79" t="str">
        <f t="shared" si="21"/>
        <v>Kapir</v>
      </c>
      <c r="E1281" s="79"/>
      <c r="F1281" s="79">
        <v>1158</v>
      </c>
    </row>
    <row r="1282" spans="1:6">
      <c r="A1282" s="79" t="s">
        <v>1876</v>
      </c>
      <c r="B1282" s="79" t="s">
        <v>1875</v>
      </c>
      <c r="C1282" s="79" t="s">
        <v>1875</v>
      </c>
      <c r="D1282" s="79" t="str">
        <f t="shared" si="21"/>
        <v>Kobwin</v>
      </c>
      <c r="E1282" s="79"/>
      <c r="F1282" s="79">
        <v>1159</v>
      </c>
    </row>
    <row r="1283" spans="1:6">
      <c r="A1283" s="79" t="s">
        <v>1877</v>
      </c>
      <c r="B1283" s="79" t="s">
        <v>1875</v>
      </c>
      <c r="C1283" s="79" t="s">
        <v>1875</v>
      </c>
      <c r="D1283" s="79" t="str">
        <f t="shared" ref="D1283:D1346" si="22">A1283</f>
        <v>Mukura</v>
      </c>
      <c r="E1283" s="79"/>
      <c r="F1283" s="79">
        <v>1160</v>
      </c>
    </row>
    <row r="1284" spans="1:6">
      <c r="A1284" s="79" t="s">
        <v>1875</v>
      </c>
      <c r="B1284" s="79" t="s">
        <v>1875</v>
      </c>
      <c r="C1284" s="79" t="s">
        <v>1875</v>
      </c>
      <c r="D1284" s="79" t="str">
        <f t="shared" si="22"/>
        <v>Ngora</v>
      </c>
      <c r="E1284" s="79"/>
      <c r="F1284" s="79">
        <v>1161</v>
      </c>
    </row>
    <row r="1285" spans="1:6">
      <c r="A1285" s="79" t="s">
        <v>1878</v>
      </c>
      <c r="B1285" s="79" t="s">
        <v>1875</v>
      </c>
      <c r="C1285" s="79" t="s">
        <v>1875</v>
      </c>
      <c r="D1285" s="79" t="str">
        <f t="shared" si="22"/>
        <v>Ngora Town Council</v>
      </c>
      <c r="E1285" s="79"/>
      <c r="F1285" s="79">
        <v>1162</v>
      </c>
    </row>
    <row r="1286" spans="1:6">
      <c r="A1286" s="79" t="s">
        <v>1879</v>
      </c>
      <c r="B1286" s="79" t="s">
        <v>1880</v>
      </c>
      <c r="C1286" s="79" t="s">
        <v>1880</v>
      </c>
      <c r="D1286" s="79" t="str">
        <f t="shared" si="22"/>
        <v>Butungama</v>
      </c>
      <c r="E1286" s="79"/>
      <c r="F1286" s="79">
        <v>1163</v>
      </c>
    </row>
    <row r="1287" spans="1:6">
      <c r="A1287" s="79" t="s">
        <v>1881</v>
      </c>
      <c r="B1287" s="79" t="s">
        <v>1880</v>
      </c>
      <c r="C1287" s="79" t="s">
        <v>1880</v>
      </c>
      <c r="D1287" s="79" t="str">
        <f t="shared" si="22"/>
        <v>Bweramule</v>
      </c>
      <c r="E1287" s="79"/>
      <c r="F1287" s="79">
        <v>1164</v>
      </c>
    </row>
    <row r="1288" spans="1:6">
      <c r="A1288" s="79" t="s">
        <v>1882</v>
      </c>
      <c r="B1288" s="79" t="s">
        <v>1880</v>
      </c>
      <c r="C1288" s="79" t="s">
        <v>1880</v>
      </c>
      <c r="D1288" s="79" t="str">
        <f t="shared" si="22"/>
        <v>Kanara Town Council</v>
      </c>
      <c r="E1288" s="79"/>
      <c r="F1288" s="79">
        <v>1165</v>
      </c>
    </row>
    <row r="1289" spans="1:6">
      <c r="A1289" s="79" t="s">
        <v>1883</v>
      </c>
      <c r="B1289" s="79" t="s">
        <v>1880</v>
      </c>
      <c r="C1289" s="79" t="s">
        <v>1880</v>
      </c>
      <c r="D1289" s="79" t="str">
        <f t="shared" si="22"/>
        <v>Kanara-Ntoroko</v>
      </c>
      <c r="E1289" s="79"/>
      <c r="F1289" s="79">
        <v>1166</v>
      </c>
    </row>
    <row r="1290" spans="1:6">
      <c r="A1290" s="79" t="s">
        <v>1884</v>
      </c>
      <c r="B1290" s="79" t="s">
        <v>1880</v>
      </c>
      <c r="C1290" s="79" t="s">
        <v>1880</v>
      </c>
      <c r="D1290" s="79" t="str">
        <f t="shared" si="22"/>
        <v>Karugutu</v>
      </c>
      <c r="E1290" s="79"/>
      <c r="F1290" s="79">
        <v>1167</v>
      </c>
    </row>
    <row r="1291" spans="1:6">
      <c r="A1291" s="79" t="s">
        <v>1885</v>
      </c>
      <c r="B1291" s="79" t="s">
        <v>1880</v>
      </c>
      <c r="C1291" s="79" t="s">
        <v>1880</v>
      </c>
      <c r="D1291" s="79" t="str">
        <f t="shared" si="22"/>
        <v>Karugutu Town Council</v>
      </c>
      <c r="E1291" s="79"/>
      <c r="F1291" s="79">
        <v>1168</v>
      </c>
    </row>
    <row r="1292" spans="1:6">
      <c r="A1292" s="79" t="s">
        <v>1886</v>
      </c>
      <c r="B1292" s="79" t="s">
        <v>1880</v>
      </c>
      <c r="C1292" s="79" t="s">
        <v>1880</v>
      </c>
      <c r="D1292" s="79" t="str">
        <f t="shared" si="22"/>
        <v>Kibuuku Town Council</v>
      </c>
      <c r="E1292" s="79"/>
      <c r="F1292" s="79">
        <v>1169</v>
      </c>
    </row>
    <row r="1293" spans="1:6">
      <c r="A1293" s="79" t="s">
        <v>1887</v>
      </c>
      <c r="B1293" s="79" t="s">
        <v>1880</v>
      </c>
      <c r="C1293" s="79" t="s">
        <v>1880</v>
      </c>
      <c r="D1293" s="79" t="str">
        <f t="shared" si="22"/>
        <v>Nombe</v>
      </c>
      <c r="E1293" s="79"/>
      <c r="F1293" s="79">
        <v>1170</v>
      </c>
    </row>
    <row r="1294" spans="1:6">
      <c r="A1294" s="79" t="s">
        <v>1888</v>
      </c>
      <c r="B1294" s="79" t="s">
        <v>1880</v>
      </c>
      <c r="C1294" s="79" t="s">
        <v>1880</v>
      </c>
      <c r="D1294" s="79" t="str">
        <f t="shared" si="22"/>
        <v>Rwebisengo</v>
      </c>
      <c r="E1294" s="79"/>
      <c r="F1294" s="79">
        <v>1171</v>
      </c>
    </row>
    <row r="1295" spans="1:6">
      <c r="A1295" s="79" t="s">
        <v>1889</v>
      </c>
      <c r="B1295" s="79" t="s">
        <v>1880</v>
      </c>
      <c r="C1295" s="79" t="s">
        <v>1880</v>
      </c>
      <c r="D1295" s="79" t="str">
        <f t="shared" si="22"/>
        <v>Rwebisengo Town Council</v>
      </c>
      <c r="E1295" s="79"/>
      <c r="F1295" s="79">
        <v>1172</v>
      </c>
    </row>
    <row r="1296" spans="1:6">
      <c r="A1296" s="79" t="s">
        <v>1890</v>
      </c>
      <c r="B1296" s="79" t="s">
        <v>46</v>
      </c>
      <c r="C1296" s="79" t="s">
        <v>1891</v>
      </c>
      <c r="D1296" s="79" t="str">
        <f t="shared" si="22"/>
        <v>Bwongyera</v>
      </c>
      <c r="E1296" s="79"/>
      <c r="F1296" s="79">
        <v>1173</v>
      </c>
    </row>
    <row r="1297" spans="1:6">
      <c r="A1297" s="79" t="s">
        <v>1892</v>
      </c>
      <c r="B1297" s="79" t="s">
        <v>46</v>
      </c>
      <c r="C1297" s="79" t="s">
        <v>1891</v>
      </c>
      <c r="D1297" s="79" t="str">
        <f t="shared" si="22"/>
        <v>Ihunga</v>
      </c>
      <c r="E1297" s="79"/>
      <c r="F1297" s="79">
        <v>1174</v>
      </c>
    </row>
    <row r="1298" spans="1:6">
      <c r="A1298" s="79" t="s">
        <v>1893</v>
      </c>
      <c r="B1298" s="79" t="s">
        <v>46</v>
      </c>
      <c r="C1298" s="79" t="s">
        <v>1894</v>
      </c>
      <c r="D1298" s="79" t="str">
        <f t="shared" si="22"/>
        <v>Itojo</v>
      </c>
      <c r="E1298" s="79"/>
      <c r="F1298" s="79">
        <v>1175</v>
      </c>
    </row>
    <row r="1299" spans="1:6">
      <c r="A1299" s="79" t="s">
        <v>1895</v>
      </c>
      <c r="B1299" s="79" t="s">
        <v>46</v>
      </c>
      <c r="C1299" s="79" t="s">
        <v>1891</v>
      </c>
      <c r="D1299" s="79" t="str">
        <f t="shared" si="22"/>
        <v>Kagarama Town Council</v>
      </c>
      <c r="E1299" s="79"/>
      <c r="F1299" s="79">
        <v>1176</v>
      </c>
    </row>
    <row r="1300" spans="1:6">
      <c r="A1300" s="79" t="s">
        <v>1896</v>
      </c>
      <c r="B1300" s="79" t="s">
        <v>46</v>
      </c>
      <c r="C1300" s="79" t="s">
        <v>1897</v>
      </c>
      <c r="D1300" s="79" t="str">
        <f t="shared" si="22"/>
        <v>Kayonza-Ntungamo</v>
      </c>
      <c r="E1300" s="79"/>
      <c r="F1300" s="79">
        <v>1177</v>
      </c>
    </row>
    <row r="1301" spans="1:6">
      <c r="A1301" s="79" t="s">
        <v>1898</v>
      </c>
      <c r="B1301" s="79" t="s">
        <v>46</v>
      </c>
      <c r="C1301" s="79" t="s">
        <v>1891</v>
      </c>
      <c r="D1301" s="79" t="str">
        <f t="shared" si="22"/>
        <v>Kibatsi</v>
      </c>
      <c r="E1301" s="79"/>
      <c r="F1301" s="79">
        <v>1178</v>
      </c>
    </row>
    <row r="1302" spans="1:6">
      <c r="A1302" s="79" t="s">
        <v>1899</v>
      </c>
      <c r="B1302" s="79" t="s">
        <v>46</v>
      </c>
      <c r="C1302" s="79" t="s">
        <v>1894</v>
      </c>
      <c r="D1302" s="79" t="str">
        <f t="shared" si="22"/>
        <v>Kitwe Town Council</v>
      </c>
      <c r="E1302" s="79"/>
      <c r="F1302" s="79">
        <v>1179</v>
      </c>
    </row>
    <row r="1303" spans="1:6">
      <c r="A1303" s="79" t="s">
        <v>1900</v>
      </c>
      <c r="B1303" s="79" t="s">
        <v>46</v>
      </c>
      <c r="C1303" s="79" t="s">
        <v>1897</v>
      </c>
      <c r="D1303" s="79" t="str">
        <f t="shared" si="22"/>
        <v>Ngoma-Ntungamo</v>
      </c>
      <c r="E1303" s="79"/>
      <c r="F1303" s="79">
        <v>1180</v>
      </c>
    </row>
    <row r="1304" spans="1:6">
      <c r="A1304" s="79" t="s">
        <v>46</v>
      </c>
      <c r="B1304" s="79" t="s">
        <v>46</v>
      </c>
      <c r="C1304" s="79" t="s">
        <v>1894</v>
      </c>
      <c r="D1304" s="79" t="str">
        <f t="shared" si="22"/>
        <v>Ntungamo</v>
      </c>
      <c r="E1304" s="79"/>
      <c r="F1304" s="79">
        <v>1181</v>
      </c>
    </row>
    <row r="1305" spans="1:6">
      <c r="A1305" s="79" t="s">
        <v>1901</v>
      </c>
      <c r="B1305" s="79" t="s">
        <v>46</v>
      </c>
      <c r="C1305" s="79" t="s">
        <v>1901</v>
      </c>
      <c r="D1305" s="79" t="str">
        <f t="shared" si="22"/>
        <v>Ntungamo Municipality</v>
      </c>
      <c r="E1305" s="79"/>
      <c r="F1305" s="79">
        <v>1182</v>
      </c>
    </row>
    <row r="1306" spans="1:6">
      <c r="A1306" s="79" t="s">
        <v>1902</v>
      </c>
      <c r="B1306" s="79" t="s">
        <v>46</v>
      </c>
      <c r="C1306" s="79" t="s">
        <v>1891</v>
      </c>
      <c r="D1306" s="79" t="str">
        <f t="shared" si="22"/>
        <v>Nyabihoko</v>
      </c>
      <c r="E1306" s="79"/>
      <c r="F1306" s="79">
        <v>1183</v>
      </c>
    </row>
    <row r="1307" spans="1:6">
      <c r="A1307" s="79" t="s">
        <v>1903</v>
      </c>
      <c r="B1307" s="79" t="s">
        <v>46</v>
      </c>
      <c r="C1307" s="79" t="s">
        <v>1894</v>
      </c>
      <c r="D1307" s="79" t="str">
        <f t="shared" si="22"/>
        <v>Nyakyera</v>
      </c>
      <c r="E1307" s="79"/>
      <c r="F1307" s="79">
        <v>1184</v>
      </c>
    </row>
    <row r="1308" spans="1:6">
      <c r="A1308" s="79" t="s">
        <v>54</v>
      </c>
      <c r="B1308" s="79" t="s">
        <v>46</v>
      </c>
      <c r="C1308" s="79" t="s">
        <v>1897</v>
      </c>
      <c r="D1308" s="79" t="str">
        <f t="shared" si="22"/>
        <v>Rubaare</v>
      </c>
      <c r="E1308" s="79"/>
      <c r="F1308" s="79">
        <v>1185</v>
      </c>
    </row>
    <row r="1309" spans="1:6">
      <c r="A1309" s="79" t="s">
        <v>1904</v>
      </c>
      <c r="B1309" s="79" t="s">
        <v>46</v>
      </c>
      <c r="C1309" s="79" t="s">
        <v>1897</v>
      </c>
      <c r="D1309" s="79" t="str">
        <f t="shared" si="22"/>
        <v>Rubaare Town Council</v>
      </c>
      <c r="E1309" s="79"/>
      <c r="F1309" s="79">
        <v>1186</v>
      </c>
    </row>
    <row r="1310" spans="1:6">
      <c r="A1310" s="79" t="s">
        <v>1905</v>
      </c>
      <c r="B1310" s="79" t="s">
        <v>46</v>
      </c>
      <c r="C1310" s="79" t="s">
        <v>1897</v>
      </c>
      <c r="D1310" s="79" t="str">
        <f t="shared" si="22"/>
        <v>Rugarama-Ntungamo</v>
      </c>
      <c r="E1310" s="79"/>
      <c r="F1310" s="79">
        <v>1187</v>
      </c>
    </row>
    <row r="1311" spans="1:6">
      <c r="A1311" s="79" t="s">
        <v>1894</v>
      </c>
      <c r="B1311" s="79" t="s">
        <v>46</v>
      </c>
      <c r="C1311" s="79" t="s">
        <v>1894</v>
      </c>
      <c r="D1311" s="79" t="str">
        <f t="shared" si="22"/>
        <v>Ruhaama</v>
      </c>
      <c r="E1311" s="79"/>
      <c r="F1311" s="79">
        <v>1188</v>
      </c>
    </row>
    <row r="1312" spans="1:6">
      <c r="A1312" s="79" t="s">
        <v>1906</v>
      </c>
      <c r="B1312" s="79" t="s">
        <v>46</v>
      </c>
      <c r="C1312" s="79" t="s">
        <v>1894</v>
      </c>
      <c r="D1312" s="79" t="str">
        <f t="shared" si="22"/>
        <v>Rukoni East</v>
      </c>
      <c r="E1312" s="79"/>
      <c r="F1312" s="79">
        <v>1189</v>
      </c>
    </row>
    <row r="1313" spans="1:6">
      <c r="A1313" s="79" t="s">
        <v>1907</v>
      </c>
      <c r="B1313" s="79" t="s">
        <v>46</v>
      </c>
      <c r="C1313" s="79" t="s">
        <v>1894</v>
      </c>
      <c r="D1313" s="79" t="str">
        <f t="shared" si="22"/>
        <v>Rukoni West</v>
      </c>
      <c r="E1313" s="79"/>
      <c r="F1313" s="79">
        <v>1190</v>
      </c>
    </row>
    <row r="1314" spans="1:6">
      <c r="A1314" s="79" t="s">
        <v>1908</v>
      </c>
      <c r="B1314" s="79" t="s">
        <v>46</v>
      </c>
      <c r="C1314" s="79" t="s">
        <v>1891</v>
      </c>
      <c r="D1314" s="79" t="str">
        <f t="shared" si="22"/>
        <v>Rwashamaire Town Council</v>
      </c>
      <c r="E1314" s="79"/>
      <c r="F1314" s="79">
        <v>1191</v>
      </c>
    </row>
    <row r="1315" spans="1:6">
      <c r="A1315" s="79" t="s">
        <v>1909</v>
      </c>
      <c r="B1315" s="79" t="s">
        <v>46</v>
      </c>
      <c r="C1315" s="79" t="s">
        <v>1894</v>
      </c>
      <c r="D1315" s="79" t="str">
        <f t="shared" si="22"/>
        <v>Rweikiniro</v>
      </c>
      <c r="E1315" s="79"/>
      <c r="F1315" s="79">
        <v>1192</v>
      </c>
    </row>
    <row r="1316" spans="1:6">
      <c r="A1316" s="79" t="s">
        <v>1910</v>
      </c>
      <c r="B1316" s="79" t="s">
        <v>1911</v>
      </c>
      <c r="C1316" s="79" t="s">
        <v>1911</v>
      </c>
      <c r="D1316" s="79" t="str">
        <f t="shared" si="22"/>
        <v>Alero</v>
      </c>
      <c r="E1316" s="79"/>
      <c r="F1316" s="79">
        <v>1193</v>
      </c>
    </row>
    <row r="1317" spans="1:6">
      <c r="A1317" s="79" t="s">
        <v>1912</v>
      </c>
      <c r="B1317" s="79" t="s">
        <v>1911</v>
      </c>
      <c r="C1317" s="79" t="s">
        <v>1911</v>
      </c>
      <c r="D1317" s="79" t="str">
        <f t="shared" si="22"/>
        <v>Anaka Payira</v>
      </c>
      <c r="E1317" s="79"/>
      <c r="F1317" s="79">
        <v>1194</v>
      </c>
    </row>
    <row r="1318" spans="1:6">
      <c r="A1318" s="79" t="s">
        <v>1913</v>
      </c>
      <c r="B1318" s="79" t="s">
        <v>1911</v>
      </c>
      <c r="C1318" s="79" t="s">
        <v>1911</v>
      </c>
      <c r="D1318" s="79" t="str">
        <f t="shared" si="22"/>
        <v>Anaka Town Council</v>
      </c>
      <c r="E1318" s="79"/>
      <c r="F1318" s="79">
        <v>1195</v>
      </c>
    </row>
    <row r="1319" spans="1:6">
      <c r="A1319" s="79" t="s">
        <v>1914</v>
      </c>
      <c r="B1319" s="79" t="s">
        <v>1911</v>
      </c>
      <c r="C1319" s="79" t="s">
        <v>1911</v>
      </c>
      <c r="D1319" s="79" t="str">
        <f t="shared" si="22"/>
        <v>Koch-Goma</v>
      </c>
      <c r="E1319" s="79"/>
      <c r="F1319" s="79">
        <v>1196</v>
      </c>
    </row>
    <row r="1320" spans="1:6">
      <c r="A1320" s="79" t="s">
        <v>1915</v>
      </c>
      <c r="B1320" s="79" t="s">
        <v>1911</v>
      </c>
      <c r="C1320" s="79" t="s">
        <v>1911</v>
      </c>
      <c r="D1320" s="79" t="str">
        <f t="shared" si="22"/>
        <v>Purongo</v>
      </c>
      <c r="E1320" s="79"/>
      <c r="F1320" s="79">
        <v>1197</v>
      </c>
    </row>
    <row r="1321" spans="1:6">
      <c r="A1321" s="79" t="s">
        <v>1916</v>
      </c>
      <c r="B1321" s="79" t="s">
        <v>549</v>
      </c>
      <c r="C1321" s="79" t="s">
        <v>549</v>
      </c>
      <c r="D1321" s="79" t="str">
        <f t="shared" si="22"/>
        <v>Bobi</v>
      </c>
      <c r="E1321" s="79"/>
      <c r="F1321" s="79">
        <v>1198</v>
      </c>
    </row>
    <row r="1322" spans="1:6">
      <c r="A1322" s="79" t="s">
        <v>1917</v>
      </c>
      <c r="B1322" s="79" t="s">
        <v>549</v>
      </c>
      <c r="C1322" s="79" t="s">
        <v>549</v>
      </c>
      <c r="D1322" s="79" t="str">
        <f t="shared" si="22"/>
        <v>Koro</v>
      </c>
      <c r="E1322" s="79"/>
      <c r="F1322" s="79">
        <v>1199</v>
      </c>
    </row>
    <row r="1323" spans="1:6">
      <c r="A1323" s="79" t="s">
        <v>1918</v>
      </c>
      <c r="B1323" s="79" t="s">
        <v>549</v>
      </c>
      <c r="C1323" s="79" t="s">
        <v>549</v>
      </c>
      <c r="D1323" s="79" t="str">
        <f t="shared" si="22"/>
        <v>Lakwana</v>
      </c>
      <c r="E1323" s="79"/>
      <c r="F1323" s="79">
        <v>1200</v>
      </c>
    </row>
    <row r="1324" spans="1:6">
      <c r="A1324" s="79" t="s">
        <v>1919</v>
      </c>
      <c r="B1324" s="79" t="s">
        <v>549</v>
      </c>
      <c r="C1324" s="79" t="s">
        <v>549</v>
      </c>
      <c r="D1324" s="79" t="str">
        <f t="shared" si="22"/>
        <v>Lalogi</v>
      </c>
      <c r="E1324" s="79"/>
      <c r="F1324" s="79">
        <v>1201</v>
      </c>
    </row>
    <row r="1325" spans="1:6">
      <c r="A1325" s="79" t="s">
        <v>1920</v>
      </c>
      <c r="B1325" s="79" t="s">
        <v>549</v>
      </c>
      <c r="C1325" s="79" t="s">
        <v>549</v>
      </c>
      <c r="D1325" s="79" t="str">
        <f t="shared" si="22"/>
        <v>Odek</v>
      </c>
      <c r="E1325" s="79"/>
      <c r="F1325" s="79">
        <v>1202</v>
      </c>
    </row>
    <row r="1326" spans="1:6">
      <c r="A1326" s="79" t="s">
        <v>1921</v>
      </c>
      <c r="B1326" s="79" t="s">
        <v>549</v>
      </c>
      <c r="C1326" s="79" t="s">
        <v>549</v>
      </c>
      <c r="D1326" s="79" t="str">
        <f t="shared" si="22"/>
        <v>Omoro Town Council</v>
      </c>
      <c r="E1326" s="79"/>
      <c r="F1326" s="79">
        <v>1203</v>
      </c>
    </row>
    <row r="1327" spans="1:6">
      <c r="A1327" s="79" t="s">
        <v>1922</v>
      </c>
      <c r="B1327" s="79" t="s">
        <v>549</v>
      </c>
      <c r="C1327" s="79" t="s">
        <v>549</v>
      </c>
      <c r="D1327" s="79" t="str">
        <f t="shared" si="22"/>
        <v>Ongako</v>
      </c>
      <c r="E1327" s="79"/>
      <c r="F1327" s="79">
        <v>1204</v>
      </c>
    </row>
    <row r="1328" spans="1:6">
      <c r="A1328" s="79" t="s">
        <v>1923</v>
      </c>
      <c r="B1328" s="79" t="s">
        <v>1924</v>
      </c>
      <c r="C1328" s="79" t="s">
        <v>1924</v>
      </c>
      <c r="D1328" s="79" t="str">
        <f t="shared" si="22"/>
        <v>Adwari</v>
      </c>
      <c r="E1328" s="79"/>
      <c r="F1328" s="79">
        <v>1205</v>
      </c>
    </row>
    <row r="1329" spans="1:6">
      <c r="A1329" s="79" t="s">
        <v>1925</v>
      </c>
      <c r="B1329" s="79" t="s">
        <v>1924</v>
      </c>
      <c r="C1329" s="79" t="s">
        <v>1924</v>
      </c>
      <c r="D1329" s="79" t="str">
        <f t="shared" si="22"/>
        <v>Alango</v>
      </c>
      <c r="E1329" s="79"/>
      <c r="F1329" s="79">
        <v>1206</v>
      </c>
    </row>
    <row r="1330" spans="1:6">
      <c r="A1330" s="79" t="s">
        <v>1926</v>
      </c>
      <c r="B1330" s="79" t="s">
        <v>1924</v>
      </c>
      <c r="C1330" s="79" t="s">
        <v>1924</v>
      </c>
      <c r="D1330" s="79" t="str">
        <f t="shared" si="22"/>
        <v>Ogor</v>
      </c>
      <c r="E1330" s="79"/>
      <c r="F1330" s="79">
        <v>1207</v>
      </c>
    </row>
    <row r="1331" spans="1:6">
      <c r="A1331" s="79" t="s">
        <v>1927</v>
      </c>
      <c r="B1331" s="79" t="s">
        <v>1924</v>
      </c>
      <c r="C1331" s="79" t="s">
        <v>1924</v>
      </c>
      <c r="D1331" s="79" t="str">
        <f t="shared" si="22"/>
        <v>Ogwette</v>
      </c>
      <c r="E1331" s="79"/>
      <c r="F1331" s="79">
        <v>1208</v>
      </c>
    </row>
    <row r="1332" spans="1:6">
      <c r="A1332" s="79" t="s">
        <v>1928</v>
      </c>
      <c r="B1332" s="79" t="s">
        <v>1924</v>
      </c>
      <c r="C1332" s="79" t="s">
        <v>1924</v>
      </c>
      <c r="D1332" s="79" t="str">
        <f t="shared" si="22"/>
        <v>Okwang</v>
      </c>
      <c r="E1332" s="79"/>
      <c r="F1332" s="79">
        <v>1209</v>
      </c>
    </row>
    <row r="1333" spans="1:6">
      <c r="A1333" s="79" t="s">
        <v>1929</v>
      </c>
      <c r="B1333" s="79" t="s">
        <v>1924</v>
      </c>
      <c r="C1333" s="79" t="s">
        <v>1924</v>
      </c>
      <c r="D1333" s="79" t="str">
        <f t="shared" si="22"/>
        <v>Olilim</v>
      </c>
      <c r="E1333" s="79"/>
      <c r="F1333" s="79">
        <v>1210</v>
      </c>
    </row>
    <row r="1334" spans="1:6">
      <c r="A1334" s="79" t="s">
        <v>1930</v>
      </c>
      <c r="B1334" s="79" t="s">
        <v>1924</v>
      </c>
      <c r="C1334" s="79" t="s">
        <v>1924</v>
      </c>
      <c r="D1334" s="79" t="str">
        <f t="shared" si="22"/>
        <v>Orum</v>
      </c>
      <c r="E1334" s="79"/>
      <c r="F1334" s="79">
        <v>1211</v>
      </c>
    </row>
    <row r="1335" spans="1:6">
      <c r="A1335" s="79" t="s">
        <v>1931</v>
      </c>
      <c r="B1335" s="79" t="s">
        <v>1924</v>
      </c>
      <c r="C1335" s="79" t="s">
        <v>1924</v>
      </c>
      <c r="D1335" s="79" t="str">
        <f t="shared" si="22"/>
        <v>Otuke Town Council</v>
      </c>
      <c r="E1335" s="79"/>
      <c r="F1335" s="79">
        <v>1212</v>
      </c>
    </row>
    <row r="1336" spans="1:6">
      <c r="A1336" s="79" t="s">
        <v>1932</v>
      </c>
      <c r="B1336" s="79" t="s">
        <v>1933</v>
      </c>
      <c r="C1336" s="79" t="s">
        <v>1933</v>
      </c>
      <c r="D1336" s="79" t="str">
        <f t="shared" si="22"/>
        <v>Aber</v>
      </c>
      <c r="E1336" s="79"/>
      <c r="F1336" s="79">
        <v>1213</v>
      </c>
    </row>
    <row r="1337" spans="1:6">
      <c r="A1337" s="79" t="s">
        <v>1934</v>
      </c>
      <c r="B1337" s="79" t="s">
        <v>1933</v>
      </c>
      <c r="C1337" s="79" t="s">
        <v>1933</v>
      </c>
      <c r="D1337" s="79" t="str">
        <f t="shared" si="22"/>
        <v>Abok</v>
      </c>
      <c r="E1337" s="79"/>
      <c r="F1337" s="79">
        <v>1214</v>
      </c>
    </row>
    <row r="1338" spans="1:6">
      <c r="A1338" s="79" t="s">
        <v>1935</v>
      </c>
      <c r="B1338" s="79" t="s">
        <v>1933</v>
      </c>
      <c r="C1338" s="79" t="s">
        <v>1933</v>
      </c>
      <c r="D1338" s="79" t="str">
        <f t="shared" si="22"/>
        <v>Acaba</v>
      </c>
      <c r="E1338" s="79"/>
      <c r="F1338" s="79">
        <v>1215</v>
      </c>
    </row>
    <row r="1339" spans="1:6">
      <c r="A1339" s="79" t="s">
        <v>1936</v>
      </c>
      <c r="B1339" s="79" t="s">
        <v>1933</v>
      </c>
      <c r="C1339" s="79" t="s">
        <v>1933</v>
      </c>
      <c r="D1339" s="79" t="str">
        <f t="shared" si="22"/>
        <v>Aleka</v>
      </c>
      <c r="E1339" s="79"/>
      <c r="F1339" s="79">
        <v>1216</v>
      </c>
    </row>
    <row r="1340" spans="1:6">
      <c r="A1340" s="79" t="s">
        <v>1937</v>
      </c>
      <c r="B1340" s="79" t="s">
        <v>1933</v>
      </c>
      <c r="C1340" s="79" t="s">
        <v>1933</v>
      </c>
      <c r="D1340" s="79" t="str">
        <f t="shared" si="22"/>
        <v>Iceme</v>
      </c>
      <c r="E1340" s="79"/>
      <c r="F1340" s="79">
        <v>1217</v>
      </c>
    </row>
    <row r="1341" spans="1:6">
      <c r="A1341" s="79" t="s">
        <v>1938</v>
      </c>
      <c r="B1341" s="79" t="s">
        <v>1933</v>
      </c>
      <c r="C1341" s="79" t="s">
        <v>1933</v>
      </c>
      <c r="D1341" s="79" t="str">
        <f t="shared" si="22"/>
        <v>Kamdini</v>
      </c>
      <c r="E1341" s="79"/>
      <c r="F1341" s="79">
        <v>1218</v>
      </c>
    </row>
    <row r="1342" spans="1:6">
      <c r="A1342" s="79" t="s">
        <v>1939</v>
      </c>
      <c r="B1342" s="79" t="s">
        <v>1933</v>
      </c>
      <c r="C1342" s="79" t="s">
        <v>1933</v>
      </c>
      <c r="D1342" s="79" t="str">
        <f t="shared" si="22"/>
        <v>Loro</v>
      </c>
      <c r="E1342" s="79"/>
      <c r="F1342" s="79">
        <v>1219</v>
      </c>
    </row>
    <row r="1343" spans="1:6">
      <c r="A1343" s="79" t="s">
        <v>1940</v>
      </c>
      <c r="B1343" s="79" t="s">
        <v>1933</v>
      </c>
      <c r="C1343" s="79" t="s">
        <v>1933</v>
      </c>
      <c r="D1343" s="79" t="str">
        <f t="shared" si="22"/>
        <v>Minakulu</v>
      </c>
      <c r="E1343" s="79"/>
      <c r="F1343" s="79">
        <v>1220</v>
      </c>
    </row>
    <row r="1344" spans="1:6">
      <c r="A1344" s="79" t="s">
        <v>1941</v>
      </c>
      <c r="B1344" s="79" t="s">
        <v>1933</v>
      </c>
      <c r="C1344" s="79" t="s">
        <v>1933</v>
      </c>
      <c r="D1344" s="79" t="str">
        <f t="shared" si="22"/>
        <v>Myene</v>
      </c>
      <c r="E1344" s="79"/>
      <c r="F1344" s="79">
        <v>1221</v>
      </c>
    </row>
    <row r="1345" spans="1:6">
      <c r="A1345" s="79" t="s">
        <v>1942</v>
      </c>
      <c r="B1345" s="79" t="s">
        <v>1933</v>
      </c>
      <c r="C1345" s="79" t="s">
        <v>1933</v>
      </c>
      <c r="D1345" s="79" t="str">
        <f t="shared" si="22"/>
        <v>Ngai</v>
      </c>
      <c r="E1345" s="79"/>
      <c r="F1345" s="79">
        <v>1222</v>
      </c>
    </row>
    <row r="1346" spans="1:6">
      <c r="A1346" s="79" t="s">
        <v>1943</v>
      </c>
      <c r="B1346" s="79" t="s">
        <v>1933</v>
      </c>
      <c r="C1346" s="79" t="s">
        <v>1933</v>
      </c>
      <c r="D1346" s="79" t="str">
        <f t="shared" si="22"/>
        <v>Otwal</v>
      </c>
      <c r="E1346" s="79"/>
      <c r="F1346" s="79">
        <v>1223</v>
      </c>
    </row>
    <row r="1347" spans="1:6">
      <c r="A1347" s="79" t="s">
        <v>1944</v>
      </c>
      <c r="B1347" s="79" t="s">
        <v>1933</v>
      </c>
      <c r="C1347" s="79" t="s">
        <v>1933</v>
      </c>
      <c r="D1347" s="79" t="str">
        <f t="shared" ref="D1347:D1410" si="23">A1347</f>
        <v>Oyam Town Council</v>
      </c>
      <c r="E1347" s="79"/>
      <c r="F1347" s="79">
        <v>1224</v>
      </c>
    </row>
    <row r="1348" spans="1:6">
      <c r="A1348" s="79" t="s">
        <v>1945</v>
      </c>
      <c r="B1348" s="79" t="s">
        <v>1946</v>
      </c>
      <c r="C1348" s="79" t="s">
        <v>1947</v>
      </c>
      <c r="D1348" s="79" t="str">
        <f t="shared" si="23"/>
        <v>Acholibur</v>
      </c>
      <c r="E1348" s="79"/>
      <c r="F1348" s="79">
        <v>1225</v>
      </c>
    </row>
    <row r="1349" spans="1:6">
      <c r="A1349" s="79" t="s">
        <v>1948</v>
      </c>
      <c r="B1349" s="79" t="s">
        <v>1946</v>
      </c>
      <c r="C1349" s="79" t="s">
        <v>1947</v>
      </c>
      <c r="D1349" s="79" t="str">
        <f t="shared" si="23"/>
        <v>Angagura</v>
      </c>
      <c r="E1349" s="79"/>
      <c r="F1349" s="79">
        <v>1226</v>
      </c>
    </row>
    <row r="1350" spans="1:6">
      <c r="A1350" s="79" t="s">
        <v>1949</v>
      </c>
      <c r="B1350" s="79" t="s">
        <v>1946</v>
      </c>
      <c r="C1350" s="79" t="s">
        <v>1947</v>
      </c>
      <c r="D1350" s="79" t="str">
        <f t="shared" si="23"/>
        <v>Atanga</v>
      </c>
      <c r="E1350" s="79"/>
      <c r="F1350" s="79">
        <v>1227</v>
      </c>
    </row>
    <row r="1351" spans="1:6">
      <c r="A1351" s="79" t="s">
        <v>1950</v>
      </c>
      <c r="B1351" s="79" t="s">
        <v>1946</v>
      </c>
      <c r="C1351" s="79" t="s">
        <v>1947</v>
      </c>
      <c r="D1351" s="79" t="str">
        <f t="shared" si="23"/>
        <v>Awere</v>
      </c>
      <c r="E1351" s="79"/>
      <c r="F1351" s="79">
        <v>1228</v>
      </c>
    </row>
    <row r="1352" spans="1:6">
      <c r="A1352" s="79" t="s">
        <v>1951</v>
      </c>
      <c r="B1352" s="79" t="s">
        <v>1946</v>
      </c>
      <c r="C1352" s="79" t="s">
        <v>1947</v>
      </c>
      <c r="D1352" s="79" t="str">
        <f t="shared" si="23"/>
        <v>Laguti</v>
      </c>
      <c r="E1352" s="79"/>
      <c r="F1352" s="79">
        <v>1229</v>
      </c>
    </row>
    <row r="1353" spans="1:6">
      <c r="A1353" s="79" t="s">
        <v>1952</v>
      </c>
      <c r="B1353" s="79" t="s">
        <v>1946</v>
      </c>
      <c r="C1353" s="79" t="s">
        <v>1947</v>
      </c>
      <c r="D1353" s="79" t="str">
        <f t="shared" si="23"/>
        <v>Lapul</v>
      </c>
      <c r="E1353" s="79"/>
      <c r="F1353" s="79">
        <v>1230</v>
      </c>
    </row>
    <row r="1354" spans="1:6">
      <c r="A1354" s="79" t="s">
        <v>1953</v>
      </c>
      <c r="B1354" s="79" t="s">
        <v>1946</v>
      </c>
      <c r="C1354" s="79" t="s">
        <v>1947</v>
      </c>
      <c r="D1354" s="79" t="str">
        <f t="shared" si="23"/>
        <v>Latanya</v>
      </c>
      <c r="E1354" s="79"/>
      <c r="F1354" s="79">
        <v>1231</v>
      </c>
    </row>
    <row r="1355" spans="1:6">
      <c r="A1355" s="79" t="s">
        <v>1954</v>
      </c>
      <c r="B1355" s="79" t="s">
        <v>1946</v>
      </c>
      <c r="C1355" s="79" t="s">
        <v>1947</v>
      </c>
      <c r="D1355" s="79" t="str">
        <f t="shared" si="23"/>
        <v>Ogom</v>
      </c>
      <c r="E1355" s="79"/>
      <c r="F1355" s="79">
        <v>1232</v>
      </c>
    </row>
    <row r="1356" spans="1:6">
      <c r="A1356" s="79" t="s">
        <v>1946</v>
      </c>
      <c r="B1356" s="79" t="s">
        <v>1946</v>
      </c>
      <c r="C1356" s="79" t="s">
        <v>1947</v>
      </c>
      <c r="D1356" s="79" t="str">
        <f t="shared" si="23"/>
        <v>Pader</v>
      </c>
      <c r="E1356" s="79"/>
      <c r="F1356" s="79">
        <v>1233</v>
      </c>
    </row>
    <row r="1357" spans="1:6">
      <c r="A1357" s="79" t="s">
        <v>1955</v>
      </c>
      <c r="B1357" s="79" t="s">
        <v>1946</v>
      </c>
      <c r="C1357" s="79" t="s">
        <v>1947</v>
      </c>
      <c r="D1357" s="79" t="str">
        <f t="shared" si="23"/>
        <v>Pader Town Council</v>
      </c>
      <c r="E1357" s="79"/>
      <c r="F1357" s="79">
        <v>1234</v>
      </c>
    </row>
    <row r="1358" spans="1:6">
      <c r="A1358" s="79" t="s">
        <v>1956</v>
      </c>
      <c r="B1358" s="79" t="s">
        <v>1946</v>
      </c>
      <c r="C1358" s="79" t="s">
        <v>1947</v>
      </c>
      <c r="D1358" s="79" t="str">
        <f t="shared" si="23"/>
        <v>Pajule</v>
      </c>
      <c r="E1358" s="79"/>
      <c r="F1358" s="79">
        <v>1235</v>
      </c>
    </row>
    <row r="1359" spans="1:6">
      <c r="A1359" s="79" t="s">
        <v>1957</v>
      </c>
      <c r="B1359" s="79" t="s">
        <v>1946</v>
      </c>
      <c r="C1359" s="79" t="s">
        <v>1947</v>
      </c>
      <c r="D1359" s="79" t="str">
        <f t="shared" si="23"/>
        <v>Puranga</v>
      </c>
      <c r="E1359" s="79"/>
      <c r="F1359" s="79">
        <v>1236</v>
      </c>
    </row>
    <row r="1360" spans="1:6">
      <c r="A1360" s="79" t="s">
        <v>1958</v>
      </c>
      <c r="B1360" s="79" t="s">
        <v>1959</v>
      </c>
      <c r="C1360" s="79" t="s">
        <v>1960</v>
      </c>
      <c r="D1360" s="79" t="str">
        <f t="shared" si="23"/>
        <v>Alwi</v>
      </c>
      <c r="E1360" s="79"/>
      <c r="F1360" s="79">
        <v>1237</v>
      </c>
    </row>
    <row r="1361" spans="1:6">
      <c r="A1361" s="79" t="s">
        <v>1959</v>
      </c>
      <c r="B1361" s="79" t="s">
        <v>1959</v>
      </c>
      <c r="C1361" s="79" t="s">
        <v>1960</v>
      </c>
      <c r="D1361" s="79" t="str">
        <f t="shared" si="23"/>
        <v>Pakwach</v>
      </c>
      <c r="E1361" s="79"/>
      <c r="F1361" s="79">
        <v>1238</v>
      </c>
    </row>
    <row r="1362" spans="1:6">
      <c r="A1362" s="79" t="s">
        <v>1961</v>
      </c>
      <c r="B1362" s="79" t="s">
        <v>1959</v>
      </c>
      <c r="C1362" s="79" t="s">
        <v>1960</v>
      </c>
      <c r="D1362" s="79" t="str">
        <f t="shared" si="23"/>
        <v>Pakwach Town Council</v>
      </c>
      <c r="E1362" s="79"/>
      <c r="F1362" s="79">
        <v>1239</v>
      </c>
    </row>
    <row r="1363" spans="1:6">
      <c r="A1363" s="79" t="s">
        <v>1962</v>
      </c>
      <c r="B1363" s="79" t="s">
        <v>1959</v>
      </c>
      <c r="C1363" s="79" t="s">
        <v>1960</v>
      </c>
      <c r="D1363" s="79" t="str">
        <f t="shared" si="23"/>
        <v>Panyango</v>
      </c>
      <c r="E1363" s="79"/>
      <c r="F1363" s="79">
        <v>1240</v>
      </c>
    </row>
    <row r="1364" spans="1:6">
      <c r="A1364" s="79" t="s">
        <v>1963</v>
      </c>
      <c r="B1364" s="79" t="s">
        <v>1959</v>
      </c>
      <c r="C1364" s="79" t="s">
        <v>1960</v>
      </c>
      <c r="D1364" s="79" t="str">
        <f t="shared" si="23"/>
        <v>Panyimur</v>
      </c>
      <c r="E1364" s="79"/>
      <c r="F1364" s="79">
        <v>1241</v>
      </c>
    </row>
    <row r="1365" spans="1:6">
      <c r="A1365" s="79" t="s">
        <v>1964</v>
      </c>
      <c r="B1365" s="79" t="s">
        <v>1959</v>
      </c>
      <c r="C1365" s="79" t="s">
        <v>1960</v>
      </c>
      <c r="D1365" s="79" t="str">
        <f t="shared" si="23"/>
        <v>Wadelai</v>
      </c>
      <c r="E1365" s="79"/>
      <c r="F1365" s="79">
        <v>1242</v>
      </c>
    </row>
    <row r="1366" spans="1:6">
      <c r="A1366" s="79" t="s">
        <v>1965</v>
      </c>
      <c r="B1366" s="79" t="s">
        <v>1966</v>
      </c>
      <c r="C1366" s="79" t="s">
        <v>1965</v>
      </c>
      <c r="D1366" s="79" t="str">
        <f t="shared" si="23"/>
        <v>Agule</v>
      </c>
      <c r="E1366" s="79"/>
      <c r="F1366" s="79">
        <v>1243</v>
      </c>
    </row>
    <row r="1367" spans="1:6">
      <c r="A1367" s="79" t="s">
        <v>1967</v>
      </c>
      <c r="B1367" s="79" t="s">
        <v>1966</v>
      </c>
      <c r="C1367" s="79" t="s">
        <v>1965</v>
      </c>
      <c r="D1367" s="79" t="str">
        <f t="shared" si="23"/>
        <v>Akisim</v>
      </c>
      <c r="E1367" s="79"/>
      <c r="F1367" s="79">
        <v>1244</v>
      </c>
    </row>
    <row r="1368" spans="1:6">
      <c r="A1368" s="79" t="s">
        <v>1968</v>
      </c>
      <c r="B1368" s="79" t="s">
        <v>1966</v>
      </c>
      <c r="C1368" s="79" t="s">
        <v>1965</v>
      </c>
      <c r="D1368" s="79" t="str">
        <f t="shared" si="23"/>
        <v>Apopong</v>
      </c>
      <c r="E1368" s="79"/>
      <c r="F1368" s="79">
        <v>1245</v>
      </c>
    </row>
    <row r="1369" spans="1:6">
      <c r="A1369" s="79" t="s">
        <v>1969</v>
      </c>
      <c r="B1369" s="79" t="s">
        <v>1966</v>
      </c>
      <c r="C1369" s="79" t="s">
        <v>1965</v>
      </c>
      <c r="D1369" s="79" t="str">
        <f t="shared" si="23"/>
        <v>Chelekura</v>
      </c>
      <c r="E1369" s="79"/>
      <c r="F1369" s="79">
        <v>1246</v>
      </c>
    </row>
    <row r="1370" spans="1:6">
      <c r="A1370" s="79" t="s">
        <v>1970</v>
      </c>
      <c r="B1370" s="79" t="s">
        <v>1966</v>
      </c>
      <c r="C1370" s="79" t="s">
        <v>1965</v>
      </c>
      <c r="D1370" s="79" t="str">
        <f t="shared" si="23"/>
        <v>Gogonyo</v>
      </c>
      <c r="E1370" s="79"/>
      <c r="F1370" s="79">
        <v>1247</v>
      </c>
    </row>
    <row r="1371" spans="1:6">
      <c r="A1371" s="79" t="s">
        <v>1971</v>
      </c>
      <c r="B1371" s="79" t="s">
        <v>1966</v>
      </c>
      <c r="C1371" s="79" t="s">
        <v>1965</v>
      </c>
      <c r="D1371" s="79" t="str">
        <f t="shared" si="23"/>
        <v>Kameke</v>
      </c>
      <c r="E1371" s="79"/>
      <c r="F1371" s="79">
        <v>1248</v>
      </c>
    </row>
    <row r="1372" spans="1:6">
      <c r="A1372" s="79" t="s">
        <v>1972</v>
      </c>
      <c r="B1372" s="79" t="s">
        <v>1966</v>
      </c>
      <c r="C1372" s="79" t="s">
        <v>1966</v>
      </c>
      <c r="D1372" s="79" t="str">
        <f t="shared" si="23"/>
        <v>Kamuge</v>
      </c>
      <c r="E1372" s="79"/>
      <c r="F1372" s="79">
        <v>1249</v>
      </c>
    </row>
    <row r="1373" spans="1:6">
      <c r="A1373" s="79" t="s">
        <v>1973</v>
      </c>
      <c r="B1373" s="79" t="s">
        <v>1966</v>
      </c>
      <c r="C1373" s="79" t="s">
        <v>1966</v>
      </c>
      <c r="D1373" s="79" t="str">
        <f t="shared" si="23"/>
        <v>Kasodo</v>
      </c>
      <c r="E1373" s="79"/>
      <c r="F1373" s="79">
        <v>1250</v>
      </c>
    </row>
    <row r="1374" spans="1:6">
      <c r="A1374" s="79" t="s">
        <v>1974</v>
      </c>
      <c r="B1374" s="79" t="s">
        <v>1966</v>
      </c>
      <c r="C1374" s="79" t="s">
        <v>1966</v>
      </c>
      <c r="D1374" s="79" t="str">
        <f t="shared" si="23"/>
        <v>Olok</v>
      </c>
      <c r="E1374" s="79"/>
      <c r="F1374" s="79">
        <v>1251</v>
      </c>
    </row>
    <row r="1375" spans="1:6">
      <c r="A1375" s="79" t="s">
        <v>1966</v>
      </c>
      <c r="B1375" s="79" t="s">
        <v>1966</v>
      </c>
      <c r="C1375" s="79" t="s">
        <v>1966</v>
      </c>
      <c r="D1375" s="79" t="str">
        <f t="shared" si="23"/>
        <v>Pallisa</v>
      </c>
      <c r="E1375" s="79"/>
      <c r="F1375" s="79">
        <v>1252</v>
      </c>
    </row>
    <row r="1376" spans="1:6">
      <c r="A1376" s="79" t="s">
        <v>1975</v>
      </c>
      <c r="B1376" s="79" t="s">
        <v>1966</v>
      </c>
      <c r="C1376" s="79" t="s">
        <v>1966</v>
      </c>
      <c r="D1376" s="79" t="str">
        <f t="shared" si="23"/>
        <v>Pallisa Town Council</v>
      </c>
      <c r="E1376" s="79"/>
      <c r="F1376" s="79">
        <v>1253</v>
      </c>
    </row>
    <row r="1377" spans="1:6">
      <c r="A1377" s="79" t="s">
        <v>1976</v>
      </c>
      <c r="B1377" s="79" t="s">
        <v>1966</v>
      </c>
      <c r="C1377" s="79" t="s">
        <v>1966</v>
      </c>
      <c r="D1377" s="79" t="str">
        <f t="shared" si="23"/>
        <v>Puti-Puti</v>
      </c>
      <c r="E1377" s="79"/>
      <c r="F1377" s="79">
        <v>1254</v>
      </c>
    </row>
    <row r="1378" spans="1:6">
      <c r="A1378" s="79" t="s">
        <v>1977</v>
      </c>
      <c r="B1378" s="79" t="s">
        <v>1978</v>
      </c>
      <c r="C1378" s="79" t="s">
        <v>1521</v>
      </c>
      <c r="D1378" s="79" t="str">
        <f t="shared" si="23"/>
        <v>Byakabanda</v>
      </c>
      <c r="E1378" s="79"/>
      <c r="F1378" s="79">
        <v>1255</v>
      </c>
    </row>
    <row r="1379" spans="1:6">
      <c r="A1379" s="79" t="s">
        <v>1979</v>
      </c>
      <c r="B1379" s="79" t="s">
        <v>1978</v>
      </c>
      <c r="C1379" s="79" t="s">
        <v>1521</v>
      </c>
      <c r="D1379" s="79" t="str">
        <f t="shared" si="23"/>
        <v>Ddwaniro-Rakai</v>
      </c>
      <c r="E1379" s="79"/>
      <c r="F1379" s="79">
        <v>1256</v>
      </c>
    </row>
    <row r="1380" spans="1:6">
      <c r="A1380" s="79" t="s">
        <v>1980</v>
      </c>
      <c r="B1380" s="79" t="s">
        <v>1978</v>
      </c>
      <c r="C1380" s="79" t="s">
        <v>1521</v>
      </c>
      <c r="D1380" s="79" t="str">
        <f t="shared" si="23"/>
        <v>Kacheera</v>
      </c>
      <c r="E1380" s="79"/>
      <c r="F1380" s="79">
        <v>1257</v>
      </c>
    </row>
    <row r="1381" spans="1:6">
      <c r="A1381" s="79" t="s">
        <v>1981</v>
      </c>
      <c r="B1381" s="79" t="s">
        <v>1978</v>
      </c>
      <c r="C1381" s="79" t="s">
        <v>1521</v>
      </c>
      <c r="D1381" s="79" t="str">
        <f t="shared" si="23"/>
        <v>Kagamba</v>
      </c>
      <c r="E1381" s="79"/>
      <c r="F1381" s="79">
        <v>1258</v>
      </c>
    </row>
    <row r="1382" spans="1:6">
      <c r="A1382" s="79" t="s">
        <v>1982</v>
      </c>
      <c r="B1382" s="79" t="s">
        <v>1978</v>
      </c>
      <c r="C1382" s="79" t="s">
        <v>1982</v>
      </c>
      <c r="D1382" s="79" t="str">
        <f t="shared" si="23"/>
        <v>Kakuuto</v>
      </c>
      <c r="E1382" s="79"/>
      <c r="F1382" s="79">
        <v>1259</v>
      </c>
    </row>
    <row r="1383" spans="1:6">
      <c r="A1383" s="79" t="s">
        <v>1983</v>
      </c>
      <c r="B1383" s="79" t="s">
        <v>1978</v>
      </c>
      <c r="C1383" s="79" t="s">
        <v>1982</v>
      </c>
      <c r="D1383" s="79" t="str">
        <f t="shared" si="23"/>
        <v>Kifamba</v>
      </c>
      <c r="E1383" s="79"/>
      <c r="F1383" s="79">
        <v>1260</v>
      </c>
    </row>
    <row r="1384" spans="1:6">
      <c r="A1384" s="79" t="s">
        <v>1984</v>
      </c>
      <c r="B1384" s="79" t="s">
        <v>1978</v>
      </c>
      <c r="C1384" s="79" t="s">
        <v>1521</v>
      </c>
      <c r="D1384" s="79" t="str">
        <f t="shared" si="23"/>
        <v>Kiziba</v>
      </c>
      <c r="E1384" s="79"/>
      <c r="F1384" s="79">
        <v>1261</v>
      </c>
    </row>
    <row r="1385" spans="1:6">
      <c r="A1385" s="79" t="s">
        <v>1985</v>
      </c>
      <c r="B1385" s="79" t="s">
        <v>1978</v>
      </c>
      <c r="C1385" s="79" t="s">
        <v>1521</v>
      </c>
      <c r="D1385" s="79" t="str">
        <f t="shared" si="23"/>
        <v>Kyalulangira</v>
      </c>
      <c r="E1385" s="79"/>
      <c r="F1385" s="79">
        <v>1262</v>
      </c>
    </row>
    <row r="1386" spans="1:6">
      <c r="A1386" s="79" t="s">
        <v>1986</v>
      </c>
      <c r="B1386" s="79" t="s">
        <v>1978</v>
      </c>
      <c r="C1386" s="79" t="s">
        <v>1521</v>
      </c>
      <c r="D1386" s="79" t="str">
        <f t="shared" si="23"/>
        <v>Lwamaggwa</v>
      </c>
      <c r="E1386" s="79"/>
      <c r="F1386" s="79">
        <v>1263</v>
      </c>
    </row>
    <row r="1387" spans="1:6">
      <c r="A1387" s="79" t="s">
        <v>1987</v>
      </c>
      <c r="B1387" s="79" t="s">
        <v>1978</v>
      </c>
      <c r="C1387" s="79" t="s">
        <v>1521</v>
      </c>
      <c r="D1387" s="79" t="str">
        <f t="shared" si="23"/>
        <v>Lwanda</v>
      </c>
      <c r="E1387" s="79"/>
      <c r="F1387" s="79">
        <v>1264</v>
      </c>
    </row>
    <row r="1388" spans="1:6">
      <c r="A1388" s="79" t="s">
        <v>1988</v>
      </c>
      <c r="B1388" s="79" t="s">
        <v>1978</v>
      </c>
      <c r="C1388" s="79" t="s">
        <v>1521</v>
      </c>
      <c r="D1388" s="79" t="str">
        <f t="shared" si="23"/>
        <v>Rakai Town Council</v>
      </c>
      <c r="E1388" s="79"/>
      <c r="F1388" s="79">
        <v>1265</v>
      </c>
    </row>
    <row r="1389" spans="1:6">
      <c r="A1389" s="79" t="s">
        <v>1989</v>
      </c>
      <c r="B1389" s="79" t="s">
        <v>1990</v>
      </c>
      <c r="C1389" s="79" t="s">
        <v>1990</v>
      </c>
      <c r="D1389" s="79" t="str">
        <f t="shared" si="23"/>
        <v>Bubaare-Rubanda</v>
      </c>
      <c r="E1389" s="79"/>
      <c r="F1389" s="79">
        <v>1266</v>
      </c>
    </row>
    <row r="1390" spans="1:6">
      <c r="A1390" s="79" t="s">
        <v>1991</v>
      </c>
      <c r="B1390" s="79" t="s">
        <v>1990</v>
      </c>
      <c r="C1390" s="79" t="s">
        <v>1990</v>
      </c>
      <c r="D1390" s="79" t="str">
        <f t="shared" si="23"/>
        <v>Bufundi</v>
      </c>
      <c r="E1390" s="79"/>
      <c r="F1390" s="79">
        <v>1267</v>
      </c>
    </row>
    <row r="1391" spans="1:6">
      <c r="A1391" s="79" t="s">
        <v>1992</v>
      </c>
      <c r="B1391" s="79" t="s">
        <v>1990</v>
      </c>
      <c r="C1391" s="79" t="s">
        <v>1990</v>
      </c>
      <c r="D1391" s="79" t="str">
        <f t="shared" si="23"/>
        <v>Hamurwa</v>
      </c>
      <c r="E1391" s="79"/>
      <c r="F1391" s="79">
        <v>1268</v>
      </c>
    </row>
    <row r="1392" spans="1:6">
      <c r="A1392" s="79" t="s">
        <v>1993</v>
      </c>
      <c r="B1392" s="79" t="s">
        <v>1990</v>
      </c>
      <c r="C1392" s="79" t="s">
        <v>1990</v>
      </c>
      <c r="D1392" s="79" t="str">
        <f t="shared" si="23"/>
        <v>Hamurwa Town Council</v>
      </c>
      <c r="E1392" s="79"/>
      <c r="F1392" s="79">
        <v>1269</v>
      </c>
    </row>
    <row r="1393" spans="1:6">
      <c r="A1393" s="79" t="s">
        <v>1994</v>
      </c>
      <c r="B1393" s="79" t="s">
        <v>1990</v>
      </c>
      <c r="C1393" s="79" t="s">
        <v>1990</v>
      </c>
      <c r="D1393" s="79" t="str">
        <f t="shared" si="23"/>
        <v>Ikumba</v>
      </c>
      <c r="E1393" s="79"/>
      <c r="F1393" s="79">
        <v>1270</v>
      </c>
    </row>
    <row r="1394" spans="1:6">
      <c r="A1394" s="79" t="s">
        <v>1995</v>
      </c>
      <c r="B1394" s="79" t="s">
        <v>1990</v>
      </c>
      <c r="C1394" s="79" t="s">
        <v>1990</v>
      </c>
      <c r="D1394" s="79" t="str">
        <f t="shared" si="23"/>
        <v>Muko</v>
      </c>
      <c r="E1394" s="79"/>
      <c r="F1394" s="79">
        <v>1271</v>
      </c>
    </row>
    <row r="1395" spans="1:6">
      <c r="A1395" s="79" t="s">
        <v>1996</v>
      </c>
      <c r="B1395" s="79" t="s">
        <v>1990</v>
      </c>
      <c r="C1395" s="79" t="s">
        <v>1990</v>
      </c>
      <c r="D1395" s="79" t="str">
        <f t="shared" si="23"/>
        <v>Nyamweru</v>
      </c>
      <c r="E1395" s="79"/>
      <c r="F1395" s="79">
        <v>1272</v>
      </c>
    </row>
    <row r="1396" spans="1:6">
      <c r="A1396" s="79" t="s">
        <v>1997</v>
      </c>
      <c r="B1396" s="79" t="s">
        <v>1990</v>
      </c>
      <c r="C1396" s="79" t="s">
        <v>1990</v>
      </c>
      <c r="D1396" s="79" t="str">
        <f t="shared" si="23"/>
        <v>Rubanda Town Council</v>
      </c>
      <c r="E1396" s="79"/>
      <c r="F1396" s="79">
        <v>1273</v>
      </c>
    </row>
    <row r="1397" spans="1:6">
      <c r="A1397" s="79" t="s">
        <v>1998</v>
      </c>
      <c r="B1397" s="79" t="s">
        <v>1990</v>
      </c>
      <c r="C1397" s="79" t="s">
        <v>1990</v>
      </c>
      <c r="D1397" s="79" t="str">
        <f t="shared" si="23"/>
        <v>Ruhija</v>
      </c>
      <c r="E1397" s="79"/>
      <c r="F1397" s="79">
        <v>1274</v>
      </c>
    </row>
    <row r="1398" spans="1:6">
      <c r="A1398" s="79" t="s">
        <v>1999</v>
      </c>
      <c r="B1398" s="79" t="s">
        <v>2000</v>
      </c>
      <c r="C1398" s="79" t="s">
        <v>2001</v>
      </c>
      <c r="D1398" s="79" t="str">
        <f t="shared" si="23"/>
        <v>Katanda</v>
      </c>
      <c r="E1398" s="79"/>
      <c r="F1398" s="79">
        <v>1275</v>
      </c>
    </row>
    <row r="1399" spans="1:6">
      <c r="A1399" s="79" t="s">
        <v>2001</v>
      </c>
      <c r="B1399" s="79" t="s">
        <v>2000</v>
      </c>
      <c r="C1399" s="79" t="s">
        <v>2001</v>
      </c>
      <c r="D1399" s="79" t="str">
        <f t="shared" si="23"/>
        <v>Katerera</v>
      </c>
      <c r="E1399" s="79"/>
      <c r="F1399" s="79">
        <v>1276</v>
      </c>
    </row>
    <row r="1400" spans="1:6">
      <c r="A1400" s="79" t="s">
        <v>2002</v>
      </c>
      <c r="B1400" s="79" t="s">
        <v>2000</v>
      </c>
      <c r="C1400" s="79" t="s">
        <v>2001</v>
      </c>
      <c r="D1400" s="79" t="str">
        <f t="shared" si="23"/>
        <v>Katerera Town Council</v>
      </c>
      <c r="E1400" s="79"/>
      <c r="F1400" s="79">
        <v>1277</v>
      </c>
    </row>
    <row r="1401" spans="1:6">
      <c r="A1401" s="79" t="s">
        <v>2003</v>
      </c>
      <c r="B1401" s="79" t="s">
        <v>2000</v>
      </c>
      <c r="C1401" s="79" t="s">
        <v>48</v>
      </c>
      <c r="D1401" s="79" t="str">
        <f t="shared" si="23"/>
        <v>Katunguru</v>
      </c>
      <c r="E1401" s="79"/>
      <c r="F1401" s="79">
        <v>1278</v>
      </c>
    </row>
    <row r="1402" spans="1:6">
      <c r="A1402" s="79" t="s">
        <v>51</v>
      </c>
      <c r="B1402" s="79" t="s">
        <v>2000</v>
      </c>
      <c r="C1402" s="79" t="s">
        <v>48</v>
      </c>
      <c r="D1402" s="79" t="str">
        <f t="shared" si="23"/>
        <v>Kichwamba</v>
      </c>
      <c r="E1402" s="79"/>
      <c r="F1402" s="79">
        <v>1279</v>
      </c>
    </row>
    <row r="1403" spans="1:6">
      <c r="A1403" s="79" t="s">
        <v>2004</v>
      </c>
      <c r="B1403" s="79" t="s">
        <v>2000</v>
      </c>
      <c r="C1403" s="79" t="s">
        <v>2001</v>
      </c>
      <c r="D1403" s="79" t="str">
        <f t="shared" si="23"/>
        <v>Kirugu</v>
      </c>
      <c r="E1403" s="79"/>
      <c r="F1403" s="79">
        <v>1280</v>
      </c>
    </row>
    <row r="1404" spans="1:6">
      <c r="A1404" s="79" t="s">
        <v>2005</v>
      </c>
      <c r="B1404" s="79" t="s">
        <v>2000</v>
      </c>
      <c r="C1404" s="79" t="s">
        <v>2001</v>
      </c>
      <c r="D1404" s="79" t="str">
        <f t="shared" si="23"/>
        <v>Kyabakara</v>
      </c>
      <c r="E1404" s="79"/>
      <c r="F1404" s="79">
        <v>1281</v>
      </c>
    </row>
    <row r="1405" spans="1:6">
      <c r="A1405" s="79" t="s">
        <v>2006</v>
      </c>
      <c r="B1405" s="79" t="s">
        <v>2000</v>
      </c>
      <c r="C1405" s="79" t="s">
        <v>48</v>
      </c>
      <c r="D1405" s="79" t="str">
        <f t="shared" si="23"/>
        <v>Magambo</v>
      </c>
      <c r="E1405" s="79"/>
      <c r="F1405" s="79">
        <v>1282</v>
      </c>
    </row>
    <row r="1406" spans="1:6">
      <c r="A1406" s="79" t="s">
        <v>2007</v>
      </c>
      <c r="B1406" s="79" t="s">
        <v>2000</v>
      </c>
      <c r="C1406" s="79" t="s">
        <v>48</v>
      </c>
      <c r="D1406" s="79" t="str">
        <f t="shared" si="23"/>
        <v>Rubiriziri Town Council</v>
      </c>
      <c r="E1406" s="79"/>
      <c r="F1406" s="79">
        <v>1283</v>
      </c>
    </row>
    <row r="1407" spans="1:6">
      <c r="A1407" s="79" t="s">
        <v>2008</v>
      </c>
      <c r="B1407" s="79" t="s">
        <v>2000</v>
      </c>
      <c r="C1407" s="79" t="s">
        <v>48</v>
      </c>
      <c r="D1407" s="79" t="str">
        <f t="shared" si="23"/>
        <v>Rutoto</v>
      </c>
      <c r="E1407" s="79"/>
      <c r="F1407" s="79">
        <v>1284</v>
      </c>
    </row>
    <row r="1408" spans="1:6">
      <c r="A1408" s="79" t="s">
        <v>2009</v>
      </c>
      <c r="B1408" s="79" t="s">
        <v>2000</v>
      </c>
      <c r="C1408" s="79" t="s">
        <v>48</v>
      </c>
      <c r="D1408" s="79" t="str">
        <f t="shared" si="23"/>
        <v>Ryeru</v>
      </c>
      <c r="E1408" s="79"/>
      <c r="F1408" s="79">
        <v>1285</v>
      </c>
    </row>
    <row r="1409" spans="1:6">
      <c r="A1409" s="79" t="s">
        <v>2010</v>
      </c>
      <c r="B1409" s="79" t="s">
        <v>2011</v>
      </c>
      <c r="C1409" s="79" t="s">
        <v>2011</v>
      </c>
      <c r="D1409" s="79" t="str">
        <f t="shared" si="23"/>
        <v>Bukinda</v>
      </c>
      <c r="E1409" s="79"/>
      <c r="F1409" s="79">
        <v>1286</v>
      </c>
    </row>
    <row r="1410" spans="1:6">
      <c r="A1410" s="79" t="s">
        <v>2012</v>
      </c>
      <c r="B1410" s="79" t="s">
        <v>2011</v>
      </c>
      <c r="C1410" s="79" t="s">
        <v>2011</v>
      </c>
      <c r="D1410" s="79" t="str">
        <f t="shared" si="23"/>
        <v>Kamwezi</v>
      </c>
      <c r="E1410" s="79"/>
      <c r="F1410" s="79">
        <v>1287</v>
      </c>
    </row>
    <row r="1411" spans="1:6">
      <c r="A1411" s="79" t="s">
        <v>2013</v>
      </c>
      <c r="B1411" s="79" t="s">
        <v>2011</v>
      </c>
      <c r="C1411" s="79" t="s">
        <v>2011</v>
      </c>
      <c r="D1411" s="79" t="str">
        <f t="shared" ref="D1411:D1474" si="24">A1411</f>
        <v>Kashambya</v>
      </c>
      <c r="E1411" s="79"/>
      <c r="F1411" s="79">
        <v>1288</v>
      </c>
    </row>
    <row r="1412" spans="1:6">
      <c r="A1412" s="79" t="s">
        <v>2014</v>
      </c>
      <c r="B1412" s="79" t="s">
        <v>2011</v>
      </c>
      <c r="C1412" s="79" t="s">
        <v>2011</v>
      </c>
      <c r="D1412" s="79" t="str">
        <f t="shared" si="24"/>
        <v>Mparo Town Council</v>
      </c>
      <c r="E1412" s="79"/>
      <c r="F1412" s="79">
        <v>1289</v>
      </c>
    </row>
    <row r="1413" spans="1:6">
      <c r="A1413" s="79" t="s">
        <v>2015</v>
      </c>
      <c r="B1413" s="79" t="s">
        <v>2011</v>
      </c>
      <c r="C1413" s="79" t="s">
        <v>2011</v>
      </c>
      <c r="D1413" s="79" t="str">
        <f t="shared" si="24"/>
        <v>Muhanga Town Council</v>
      </c>
      <c r="E1413" s="79"/>
      <c r="F1413" s="79">
        <v>1290</v>
      </c>
    </row>
    <row r="1414" spans="1:6">
      <c r="A1414" s="79" t="s">
        <v>2016</v>
      </c>
      <c r="B1414" s="79" t="s">
        <v>2011</v>
      </c>
      <c r="C1414" s="79" t="s">
        <v>2011</v>
      </c>
      <c r="D1414" s="79" t="str">
        <f t="shared" si="24"/>
        <v>Rwamucucu</v>
      </c>
      <c r="E1414" s="79"/>
      <c r="F1414" s="79">
        <v>1291</v>
      </c>
    </row>
    <row r="1415" spans="1:6">
      <c r="A1415" s="79" t="s">
        <v>2017</v>
      </c>
      <c r="B1415" s="79" t="s">
        <v>40</v>
      </c>
      <c r="C1415" s="79" t="s">
        <v>2018</v>
      </c>
      <c r="D1415" s="79" t="str">
        <f t="shared" si="24"/>
        <v>Bugangari</v>
      </c>
      <c r="E1415" s="79"/>
      <c r="F1415" s="79">
        <v>1292</v>
      </c>
    </row>
    <row r="1416" spans="1:6">
      <c r="A1416" s="79" t="s">
        <v>2019</v>
      </c>
      <c r="B1416" s="79" t="s">
        <v>40</v>
      </c>
      <c r="C1416" s="79" t="s">
        <v>2018</v>
      </c>
      <c r="D1416" s="79" t="str">
        <f t="shared" si="24"/>
        <v>Buhunga</v>
      </c>
      <c r="E1416" s="79"/>
      <c r="F1416" s="79">
        <v>1293</v>
      </c>
    </row>
    <row r="1417" spans="1:6">
      <c r="A1417" s="79" t="s">
        <v>1346</v>
      </c>
      <c r="B1417" s="79" t="s">
        <v>40</v>
      </c>
      <c r="C1417" s="79" t="s">
        <v>2020</v>
      </c>
      <c r="D1417" s="79" t="str">
        <f t="shared" si="24"/>
        <v>Buyanja</v>
      </c>
      <c r="E1417" s="79"/>
      <c r="F1417" s="79">
        <v>1294</v>
      </c>
    </row>
    <row r="1418" spans="1:6">
      <c r="A1418" s="79" t="s">
        <v>2021</v>
      </c>
      <c r="B1418" s="79" t="s">
        <v>40</v>
      </c>
      <c r="C1418" s="79" t="s">
        <v>2020</v>
      </c>
      <c r="D1418" s="79" t="str">
        <f t="shared" si="24"/>
        <v>Buyanja Town Council</v>
      </c>
      <c r="E1418" s="79"/>
      <c r="F1418" s="79">
        <v>1295</v>
      </c>
    </row>
    <row r="1419" spans="1:6">
      <c r="A1419" s="79" t="s">
        <v>2022</v>
      </c>
      <c r="B1419" s="79" t="s">
        <v>40</v>
      </c>
      <c r="C1419" s="79" t="s">
        <v>2018</v>
      </c>
      <c r="D1419" s="79" t="str">
        <f t="shared" si="24"/>
        <v>Bwambara</v>
      </c>
      <c r="E1419" s="79"/>
      <c r="F1419" s="79">
        <v>1296</v>
      </c>
    </row>
    <row r="1420" spans="1:6">
      <c r="A1420" s="79" t="s">
        <v>2023</v>
      </c>
      <c r="B1420" s="79" t="s">
        <v>40</v>
      </c>
      <c r="C1420" s="79" t="s">
        <v>2020</v>
      </c>
      <c r="D1420" s="79" t="str">
        <f t="shared" si="24"/>
        <v>Kebisoni</v>
      </c>
      <c r="E1420" s="79"/>
      <c r="F1420" s="79">
        <v>1297</v>
      </c>
    </row>
    <row r="1421" spans="1:6">
      <c r="A1421" s="79" t="s">
        <v>2024</v>
      </c>
      <c r="B1421" s="79" t="s">
        <v>40</v>
      </c>
      <c r="C1421" s="79" t="s">
        <v>2020</v>
      </c>
      <c r="D1421" s="79" t="str">
        <f t="shared" si="24"/>
        <v>Kebisoni Town Council</v>
      </c>
      <c r="E1421" s="79"/>
      <c r="F1421" s="79">
        <v>1298</v>
      </c>
    </row>
    <row r="1422" spans="1:6">
      <c r="A1422" s="79" t="s">
        <v>2025</v>
      </c>
      <c r="B1422" s="79" t="s">
        <v>40</v>
      </c>
      <c r="C1422" s="79" t="s">
        <v>2018</v>
      </c>
      <c r="D1422" s="79" t="str">
        <f t="shared" si="24"/>
        <v>Nyakagyeme</v>
      </c>
      <c r="E1422" s="79"/>
      <c r="F1422" s="79">
        <v>1299</v>
      </c>
    </row>
    <row r="1423" spans="1:6">
      <c r="A1423" s="79" t="s">
        <v>2026</v>
      </c>
      <c r="B1423" s="79" t="s">
        <v>40</v>
      </c>
      <c r="C1423" s="79" t="s">
        <v>2020</v>
      </c>
      <c r="D1423" s="79" t="str">
        <f t="shared" si="24"/>
        <v>Nyakishenyi</v>
      </c>
      <c r="E1423" s="79"/>
      <c r="F1423" s="79">
        <v>1300</v>
      </c>
    </row>
    <row r="1424" spans="1:6">
      <c r="A1424" s="79" t="s">
        <v>2027</v>
      </c>
      <c r="B1424" s="79" t="s">
        <v>40</v>
      </c>
      <c r="C1424" s="79" t="s">
        <v>2020</v>
      </c>
      <c r="D1424" s="79" t="str">
        <f t="shared" si="24"/>
        <v>Nyarushanje</v>
      </c>
      <c r="E1424" s="79"/>
      <c r="F1424" s="79">
        <v>1301</v>
      </c>
    </row>
    <row r="1425" spans="1:6">
      <c r="A1425" s="79" t="s">
        <v>1686</v>
      </c>
      <c r="B1425" s="79" t="s">
        <v>40</v>
      </c>
      <c r="C1425" s="79" t="s">
        <v>2018</v>
      </c>
      <c r="D1425" s="79" t="str">
        <f t="shared" si="24"/>
        <v>Ruhinda</v>
      </c>
      <c r="E1425" s="79"/>
      <c r="F1425" s="79">
        <v>1302</v>
      </c>
    </row>
    <row r="1426" spans="1:6">
      <c r="A1426" s="79" t="s">
        <v>2028</v>
      </c>
      <c r="B1426" s="79" t="s">
        <v>40</v>
      </c>
      <c r="C1426" s="79" t="s">
        <v>2028</v>
      </c>
      <c r="D1426" s="79" t="str">
        <f t="shared" si="24"/>
        <v>Rukungiri Municipality</v>
      </c>
      <c r="E1426" s="79"/>
      <c r="F1426" s="79">
        <v>1303</v>
      </c>
    </row>
    <row r="1427" spans="1:6">
      <c r="A1427" s="79" t="s">
        <v>2029</v>
      </c>
      <c r="B1427" s="79" t="s">
        <v>2030</v>
      </c>
      <c r="C1427" s="79" t="s">
        <v>2030</v>
      </c>
      <c r="D1427" s="79" t="str">
        <f t="shared" si="24"/>
        <v>Atiira</v>
      </c>
      <c r="E1427" s="79"/>
      <c r="F1427" s="79">
        <v>1304</v>
      </c>
    </row>
    <row r="1428" spans="1:6">
      <c r="A1428" s="79" t="s">
        <v>2031</v>
      </c>
      <c r="B1428" s="79" t="s">
        <v>2030</v>
      </c>
      <c r="C1428" s="79" t="s">
        <v>2032</v>
      </c>
      <c r="D1428" s="79" t="str">
        <f t="shared" si="24"/>
        <v>Bugondo</v>
      </c>
      <c r="E1428" s="79"/>
      <c r="F1428" s="79">
        <v>1305</v>
      </c>
    </row>
    <row r="1429" spans="1:6">
      <c r="A1429" s="79" t="s">
        <v>2033</v>
      </c>
      <c r="B1429" s="79" t="s">
        <v>2030</v>
      </c>
      <c r="C1429" s="79" t="s">
        <v>2032</v>
      </c>
      <c r="D1429" s="79" t="str">
        <f t="shared" si="24"/>
        <v>Kadungulu</v>
      </c>
      <c r="E1429" s="79"/>
      <c r="F1429" s="79">
        <v>1306</v>
      </c>
    </row>
    <row r="1430" spans="1:6">
      <c r="A1430" s="79" t="s">
        <v>2034</v>
      </c>
      <c r="B1430" s="79" t="s">
        <v>2030</v>
      </c>
      <c r="C1430" s="79" t="s">
        <v>2032</v>
      </c>
      <c r="D1430" s="79" t="str">
        <f t="shared" si="24"/>
        <v>Kasilo Town Council</v>
      </c>
      <c r="E1430" s="79"/>
      <c r="F1430" s="79">
        <v>1307</v>
      </c>
    </row>
    <row r="1431" spans="1:6">
      <c r="A1431" s="79" t="s">
        <v>2035</v>
      </c>
      <c r="B1431" s="79" t="s">
        <v>2030</v>
      </c>
      <c r="C1431" s="79" t="s">
        <v>2030</v>
      </c>
      <c r="D1431" s="79" t="str">
        <f t="shared" si="24"/>
        <v>Kateta</v>
      </c>
      <c r="E1431" s="79"/>
      <c r="F1431" s="79">
        <v>1308</v>
      </c>
    </row>
    <row r="1432" spans="1:6">
      <c r="A1432" s="79" t="s">
        <v>2036</v>
      </c>
      <c r="B1432" s="79" t="s">
        <v>2030</v>
      </c>
      <c r="C1432" s="79" t="s">
        <v>2030</v>
      </c>
      <c r="D1432" s="79" t="str">
        <f t="shared" si="24"/>
        <v>Kyere</v>
      </c>
      <c r="E1432" s="79"/>
      <c r="F1432" s="79">
        <v>1309</v>
      </c>
    </row>
    <row r="1433" spans="1:6">
      <c r="A1433" s="79" t="s">
        <v>2037</v>
      </c>
      <c r="B1433" s="79" t="s">
        <v>2030</v>
      </c>
      <c r="C1433" s="79" t="s">
        <v>2032</v>
      </c>
      <c r="D1433" s="79" t="str">
        <f t="shared" si="24"/>
        <v>Labori</v>
      </c>
      <c r="E1433" s="79"/>
      <c r="F1433" s="79">
        <v>1310</v>
      </c>
    </row>
    <row r="1434" spans="1:6">
      <c r="A1434" s="79" t="s">
        <v>2038</v>
      </c>
      <c r="B1434" s="79" t="s">
        <v>2030</v>
      </c>
      <c r="C1434" s="79" t="s">
        <v>2030</v>
      </c>
      <c r="D1434" s="79" t="str">
        <f t="shared" si="24"/>
        <v>Olio</v>
      </c>
      <c r="E1434" s="79"/>
      <c r="F1434" s="79">
        <v>1311</v>
      </c>
    </row>
    <row r="1435" spans="1:6">
      <c r="A1435" s="79" t="s">
        <v>2039</v>
      </c>
      <c r="B1435" s="79" t="s">
        <v>2030</v>
      </c>
      <c r="C1435" s="79" t="s">
        <v>2032</v>
      </c>
      <c r="D1435" s="79" t="str">
        <f t="shared" si="24"/>
        <v>Pingire</v>
      </c>
      <c r="E1435" s="79"/>
      <c r="F1435" s="79">
        <v>1312</v>
      </c>
    </row>
    <row r="1436" spans="1:6">
      <c r="A1436" s="79" t="s">
        <v>2040</v>
      </c>
      <c r="B1436" s="79" t="s">
        <v>2030</v>
      </c>
      <c r="C1436" s="79" t="s">
        <v>2030</v>
      </c>
      <c r="D1436" s="79" t="str">
        <f t="shared" si="24"/>
        <v>Serere Town Council</v>
      </c>
      <c r="E1436" s="79"/>
      <c r="F1436" s="79">
        <v>1313</v>
      </c>
    </row>
    <row r="1437" spans="1:6">
      <c r="A1437" s="79" t="s">
        <v>2041</v>
      </c>
      <c r="B1437" s="79" t="s">
        <v>41</v>
      </c>
      <c r="C1437" s="79" t="s">
        <v>41</v>
      </c>
      <c r="D1437" s="79" t="str">
        <f t="shared" si="24"/>
        <v>Bugongi Town Council</v>
      </c>
      <c r="E1437" s="79"/>
      <c r="F1437" s="79">
        <v>1314</v>
      </c>
    </row>
    <row r="1438" spans="1:6">
      <c r="A1438" s="79" t="s">
        <v>2042</v>
      </c>
      <c r="B1438" s="79" t="s">
        <v>41</v>
      </c>
      <c r="C1438" s="79" t="s">
        <v>2043</v>
      </c>
      <c r="D1438" s="79" t="str">
        <f t="shared" si="24"/>
        <v>Kagango Division-Sheema</v>
      </c>
      <c r="E1438" s="79"/>
      <c r="F1438" s="79">
        <v>1315</v>
      </c>
    </row>
    <row r="1439" spans="1:6">
      <c r="A1439" s="79" t="s">
        <v>2044</v>
      </c>
      <c r="B1439" s="79" t="s">
        <v>41</v>
      </c>
      <c r="C1439" s="79" t="s">
        <v>41</v>
      </c>
      <c r="D1439" s="79" t="str">
        <f t="shared" si="24"/>
        <v>Kakindo Town Council</v>
      </c>
      <c r="E1439" s="79"/>
      <c r="F1439" s="79">
        <v>1316</v>
      </c>
    </row>
    <row r="1440" spans="1:6">
      <c r="A1440" s="79" t="s">
        <v>2045</v>
      </c>
      <c r="B1440" s="79" t="s">
        <v>41</v>
      </c>
      <c r="C1440" s="79" t="s">
        <v>41</v>
      </c>
      <c r="D1440" s="79" t="str">
        <f t="shared" si="24"/>
        <v>Kasaana</v>
      </c>
      <c r="E1440" s="79"/>
      <c r="F1440" s="79">
        <v>1317</v>
      </c>
    </row>
    <row r="1441" spans="1:6">
      <c r="A1441" s="79" t="s">
        <v>2046</v>
      </c>
      <c r="B1441" s="79" t="s">
        <v>41</v>
      </c>
      <c r="C1441" s="79" t="s">
        <v>41</v>
      </c>
      <c r="D1441" s="79" t="str">
        <f t="shared" si="24"/>
        <v>Kigarama</v>
      </c>
      <c r="E1441" s="79"/>
      <c r="F1441" s="79">
        <v>1318</v>
      </c>
    </row>
    <row r="1442" spans="1:6">
      <c r="A1442" s="79" t="s">
        <v>2047</v>
      </c>
      <c r="B1442" s="79" t="s">
        <v>41</v>
      </c>
      <c r="C1442" s="79" t="s">
        <v>41</v>
      </c>
      <c r="D1442" s="79" t="str">
        <f t="shared" si="24"/>
        <v>Kitagata</v>
      </c>
      <c r="E1442" s="79"/>
      <c r="F1442" s="79">
        <v>1319</v>
      </c>
    </row>
    <row r="1443" spans="1:6">
      <c r="A1443" s="79" t="s">
        <v>2048</v>
      </c>
      <c r="B1443" s="79" t="s">
        <v>41</v>
      </c>
      <c r="C1443" s="79" t="s">
        <v>41</v>
      </c>
      <c r="D1443" s="79" t="str">
        <f t="shared" si="24"/>
        <v>Kyangyenyi</v>
      </c>
      <c r="E1443" s="79"/>
      <c r="F1443" s="79">
        <v>1320</v>
      </c>
    </row>
    <row r="1444" spans="1:6">
      <c r="A1444" s="79" t="s">
        <v>2049</v>
      </c>
      <c r="B1444" s="79" t="s">
        <v>41</v>
      </c>
      <c r="C1444" s="79" t="s">
        <v>41</v>
      </c>
      <c r="D1444" s="79" t="str">
        <f t="shared" si="24"/>
        <v>Masheruka</v>
      </c>
      <c r="E1444" s="79"/>
      <c r="F1444" s="79">
        <v>1321</v>
      </c>
    </row>
    <row r="1445" spans="1:6">
      <c r="A1445" s="79" t="s">
        <v>2050</v>
      </c>
      <c r="B1445" s="79" t="s">
        <v>41</v>
      </c>
      <c r="C1445" s="79" t="s">
        <v>41</v>
      </c>
      <c r="D1445" s="79" t="str">
        <f t="shared" si="24"/>
        <v>Rugarama-Sheema</v>
      </c>
      <c r="E1445" s="79"/>
      <c r="F1445" s="79">
        <v>1322</v>
      </c>
    </row>
    <row r="1446" spans="1:6">
      <c r="A1446" s="79" t="s">
        <v>2043</v>
      </c>
      <c r="B1446" s="79" t="s">
        <v>41</v>
      </c>
      <c r="C1446" s="79" t="s">
        <v>2043</v>
      </c>
      <c r="D1446" s="79" t="str">
        <f t="shared" si="24"/>
        <v>Sheema Municipality</v>
      </c>
      <c r="E1446" s="79"/>
      <c r="F1446" s="79">
        <v>1323</v>
      </c>
    </row>
    <row r="1447" spans="1:6">
      <c r="A1447" s="79" t="s">
        <v>2051</v>
      </c>
      <c r="B1447" s="79" t="s">
        <v>41</v>
      </c>
      <c r="C1447" s="79" t="s">
        <v>41</v>
      </c>
      <c r="D1447" s="79" t="str">
        <f t="shared" si="24"/>
        <v>Shuuku</v>
      </c>
      <c r="E1447" s="79"/>
      <c r="F1447" s="79">
        <v>1324</v>
      </c>
    </row>
    <row r="1448" spans="1:6">
      <c r="A1448" s="79" t="s">
        <v>2052</v>
      </c>
      <c r="B1448" s="79" t="s">
        <v>41</v>
      </c>
      <c r="C1448" s="79" t="s">
        <v>41</v>
      </c>
      <c r="D1448" s="79" t="str">
        <f t="shared" si="24"/>
        <v>Shuuku Town Council</v>
      </c>
      <c r="E1448" s="79"/>
      <c r="F1448" s="79">
        <v>1325</v>
      </c>
    </row>
    <row r="1449" spans="1:6">
      <c r="A1449" s="79" t="s">
        <v>2053</v>
      </c>
      <c r="B1449" s="79" t="s">
        <v>2054</v>
      </c>
      <c r="C1449" s="79" t="s">
        <v>2055</v>
      </c>
      <c r="D1449" s="79" t="str">
        <f t="shared" si="24"/>
        <v>Budadiri Town Council</v>
      </c>
      <c r="E1449" s="79"/>
      <c r="F1449" s="79">
        <v>1326</v>
      </c>
    </row>
    <row r="1450" spans="1:6">
      <c r="A1450" s="79" t="s">
        <v>2056</v>
      </c>
      <c r="B1450" s="79" t="s">
        <v>2054</v>
      </c>
      <c r="C1450" s="79" t="s">
        <v>2055</v>
      </c>
      <c r="D1450" s="79" t="str">
        <f t="shared" si="24"/>
        <v>Bugitimwa</v>
      </c>
      <c r="E1450" s="79"/>
      <c r="F1450" s="79">
        <v>1327</v>
      </c>
    </row>
    <row r="1451" spans="1:6">
      <c r="A1451" s="79" t="s">
        <v>2057</v>
      </c>
      <c r="B1451" s="79" t="s">
        <v>2054</v>
      </c>
      <c r="C1451" s="79" t="s">
        <v>2055</v>
      </c>
      <c r="D1451" s="79" t="str">
        <f t="shared" si="24"/>
        <v>Buhugu</v>
      </c>
      <c r="E1451" s="79"/>
      <c r="F1451" s="79">
        <v>1328</v>
      </c>
    </row>
    <row r="1452" spans="1:6">
      <c r="A1452" s="79" t="s">
        <v>2058</v>
      </c>
      <c r="B1452" s="79" t="s">
        <v>2054</v>
      </c>
      <c r="C1452" s="79" t="s">
        <v>2055</v>
      </c>
      <c r="D1452" s="79" t="str">
        <f t="shared" si="24"/>
        <v>Bukhulo</v>
      </c>
      <c r="E1452" s="79"/>
      <c r="F1452" s="79">
        <v>1329</v>
      </c>
    </row>
    <row r="1453" spans="1:6">
      <c r="A1453" s="79" t="s">
        <v>2059</v>
      </c>
      <c r="B1453" s="79" t="s">
        <v>2054</v>
      </c>
      <c r="C1453" s="79" t="s">
        <v>2055</v>
      </c>
      <c r="D1453" s="79" t="str">
        <f t="shared" si="24"/>
        <v>Bukiise</v>
      </c>
      <c r="E1453" s="79"/>
      <c r="F1453" s="79">
        <v>1330</v>
      </c>
    </row>
    <row r="1454" spans="1:6">
      <c r="A1454" s="79" t="s">
        <v>2060</v>
      </c>
      <c r="B1454" s="79" t="s">
        <v>2054</v>
      </c>
      <c r="C1454" s="79" t="s">
        <v>2055</v>
      </c>
      <c r="D1454" s="79" t="str">
        <f t="shared" si="24"/>
        <v>Bukiyi</v>
      </c>
      <c r="E1454" s="79"/>
      <c r="F1454" s="79">
        <v>1331</v>
      </c>
    </row>
    <row r="1455" spans="1:6">
      <c r="A1455" s="79" t="s">
        <v>2061</v>
      </c>
      <c r="B1455" s="79" t="s">
        <v>2054</v>
      </c>
      <c r="C1455" s="79" t="s">
        <v>2055</v>
      </c>
      <c r="D1455" s="79" t="str">
        <f t="shared" si="24"/>
        <v>Bukyabo</v>
      </c>
      <c r="E1455" s="79"/>
      <c r="F1455" s="79">
        <v>1332</v>
      </c>
    </row>
    <row r="1456" spans="1:6">
      <c r="A1456" s="79" t="s">
        <v>2062</v>
      </c>
      <c r="B1456" s="79" t="s">
        <v>2054</v>
      </c>
      <c r="C1456" s="79" t="s">
        <v>2055</v>
      </c>
      <c r="D1456" s="79" t="str">
        <f t="shared" si="24"/>
        <v>Bukyambi</v>
      </c>
      <c r="E1456" s="79"/>
      <c r="F1456" s="79">
        <v>1333</v>
      </c>
    </row>
    <row r="1457" spans="1:6">
      <c r="A1457" s="79" t="s">
        <v>2063</v>
      </c>
      <c r="B1457" s="79" t="s">
        <v>2054</v>
      </c>
      <c r="C1457" s="79" t="s">
        <v>2055</v>
      </c>
      <c r="D1457" s="79" t="str">
        <f t="shared" si="24"/>
        <v>Bumalimba</v>
      </c>
      <c r="E1457" s="79"/>
      <c r="F1457" s="79">
        <v>1334</v>
      </c>
    </row>
    <row r="1458" spans="1:6">
      <c r="A1458" s="79" t="s">
        <v>2064</v>
      </c>
      <c r="B1458" s="79" t="s">
        <v>2054</v>
      </c>
      <c r="C1458" s="79" t="s">
        <v>2055</v>
      </c>
      <c r="D1458" s="79" t="str">
        <f t="shared" si="24"/>
        <v>Bumasifwa</v>
      </c>
      <c r="E1458" s="79"/>
      <c r="F1458" s="79">
        <v>1335</v>
      </c>
    </row>
    <row r="1459" spans="1:6">
      <c r="A1459" s="79" t="s">
        <v>2065</v>
      </c>
      <c r="B1459" s="79" t="s">
        <v>2054</v>
      </c>
      <c r="C1459" s="79" t="s">
        <v>2055</v>
      </c>
      <c r="D1459" s="79" t="str">
        <f t="shared" si="24"/>
        <v>Bunyafa</v>
      </c>
      <c r="E1459" s="79"/>
      <c r="F1459" s="79">
        <v>1336</v>
      </c>
    </row>
    <row r="1460" spans="1:6">
      <c r="A1460" s="79" t="s">
        <v>2066</v>
      </c>
      <c r="B1460" s="79" t="s">
        <v>2054</v>
      </c>
      <c r="C1460" s="79" t="s">
        <v>2055</v>
      </c>
      <c r="D1460" s="79" t="str">
        <f t="shared" si="24"/>
        <v>Busulani</v>
      </c>
      <c r="E1460" s="79"/>
      <c r="F1460" s="79">
        <v>1337</v>
      </c>
    </row>
    <row r="1461" spans="1:6">
      <c r="A1461" s="79" t="s">
        <v>2067</v>
      </c>
      <c r="B1461" s="79" t="s">
        <v>2054</v>
      </c>
      <c r="C1461" s="79" t="s">
        <v>2055</v>
      </c>
      <c r="D1461" s="79" t="str">
        <f t="shared" si="24"/>
        <v>Butandiga</v>
      </c>
      <c r="E1461" s="79"/>
      <c r="F1461" s="79">
        <v>1338</v>
      </c>
    </row>
    <row r="1462" spans="1:6">
      <c r="A1462" s="79" t="s">
        <v>2068</v>
      </c>
      <c r="B1462" s="79" t="s">
        <v>2054</v>
      </c>
      <c r="C1462" s="79" t="s">
        <v>2055</v>
      </c>
      <c r="D1462" s="79" t="str">
        <f t="shared" si="24"/>
        <v>Buteza</v>
      </c>
      <c r="E1462" s="79"/>
      <c r="F1462" s="79">
        <v>1339</v>
      </c>
    </row>
    <row r="1463" spans="1:6">
      <c r="A1463" s="79" t="s">
        <v>2069</v>
      </c>
      <c r="B1463" s="79" t="s">
        <v>2054</v>
      </c>
      <c r="C1463" s="79" t="s">
        <v>2055</v>
      </c>
      <c r="D1463" s="79" t="str">
        <f t="shared" si="24"/>
        <v>Buwalasi</v>
      </c>
      <c r="E1463" s="79"/>
      <c r="F1463" s="79">
        <v>1340</v>
      </c>
    </row>
    <row r="1464" spans="1:6">
      <c r="A1464" s="79" t="s">
        <v>2070</v>
      </c>
      <c r="B1464" s="79" t="s">
        <v>2054</v>
      </c>
      <c r="C1464" s="79" t="s">
        <v>2055</v>
      </c>
      <c r="D1464" s="79" t="str">
        <f t="shared" si="24"/>
        <v>Buwasa</v>
      </c>
      <c r="E1464" s="79"/>
      <c r="F1464" s="79">
        <v>1341</v>
      </c>
    </row>
    <row r="1465" spans="1:6">
      <c r="A1465" s="79" t="s">
        <v>2071</v>
      </c>
      <c r="B1465" s="79" t="s">
        <v>2054</v>
      </c>
      <c r="C1465" s="79" t="s">
        <v>2055</v>
      </c>
      <c r="D1465" s="79" t="str">
        <f t="shared" si="24"/>
        <v>Buyobo</v>
      </c>
      <c r="E1465" s="79"/>
      <c r="F1465" s="79">
        <v>1342</v>
      </c>
    </row>
    <row r="1466" spans="1:6">
      <c r="A1466" s="79" t="s">
        <v>2072</v>
      </c>
      <c r="B1466" s="79" t="s">
        <v>2054</v>
      </c>
      <c r="C1466" s="79" t="s">
        <v>2055</v>
      </c>
      <c r="D1466" s="79" t="str">
        <f t="shared" si="24"/>
        <v>Masaba-Sironko</v>
      </c>
      <c r="E1466" s="79"/>
      <c r="F1466" s="79">
        <v>1343</v>
      </c>
    </row>
    <row r="1467" spans="1:6">
      <c r="A1467" s="79" t="s">
        <v>2073</v>
      </c>
      <c r="B1467" s="79" t="s">
        <v>2054</v>
      </c>
      <c r="C1467" s="79" t="s">
        <v>2055</v>
      </c>
      <c r="D1467" s="79" t="str">
        <f t="shared" si="24"/>
        <v>Nalusala</v>
      </c>
      <c r="E1467" s="79"/>
      <c r="F1467" s="79">
        <v>1344</v>
      </c>
    </row>
    <row r="1468" spans="1:6">
      <c r="A1468" s="79" t="s">
        <v>2074</v>
      </c>
      <c r="B1468" s="79" t="s">
        <v>2054</v>
      </c>
      <c r="C1468" s="79" t="s">
        <v>2055</v>
      </c>
      <c r="D1468" s="79" t="str">
        <f t="shared" si="24"/>
        <v>Sironko Town Council</v>
      </c>
      <c r="E1468" s="79"/>
      <c r="F1468" s="79">
        <v>1345</v>
      </c>
    </row>
    <row r="1469" spans="1:6">
      <c r="A1469" s="79" t="s">
        <v>2075</v>
      </c>
      <c r="B1469" s="79" t="s">
        <v>2054</v>
      </c>
      <c r="C1469" s="79" t="s">
        <v>2055</v>
      </c>
      <c r="D1469" s="79" t="str">
        <f t="shared" si="24"/>
        <v>Zesui</v>
      </c>
      <c r="E1469" s="79"/>
      <c r="F1469" s="79">
        <v>1346</v>
      </c>
    </row>
    <row r="1470" spans="1:6">
      <c r="A1470" s="79" t="s">
        <v>2076</v>
      </c>
      <c r="B1470" s="79" t="s">
        <v>2077</v>
      </c>
      <c r="C1470" s="79" t="s">
        <v>2077</v>
      </c>
      <c r="D1470" s="79" t="str">
        <f t="shared" si="24"/>
        <v>Arapai</v>
      </c>
      <c r="E1470" s="79"/>
      <c r="F1470" s="79">
        <v>1347</v>
      </c>
    </row>
    <row r="1471" spans="1:6">
      <c r="A1471" s="79" t="s">
        <v>2078</v>
      </c>
      <c r="B1471" s="79" t="s">
        <v>2077</v>
      </c>
      <c r="C1471" s="79" t="s">
        <v>2077</v>
      </c>
      <c r="D1471" s="79" t="str">
        <f t="shared" si="24"/>
        <v>Asuret</v>
      </c>
      <c r="E1471" s="79"/>
      <c r="F1471" s="79">
        <v>1348</v>
      </c>
    </row>
    <row r="1472" spans="1:6">
      <c r="A1472" s="79" t="s">
        <v>2079</v>
      </c>
      <c r="B1472" s="79" t="s">
        <v>2077</v>
      </c>
      <c r="C1472" s="79" t="s">
        <v>2077</v>
      </c>
      <c r="D1472" s="79" t="str">
        <f t="shared" si="24"/>
        <v>Gweri</v>
      </c>
      <c r="E1472" s="79"/>
      <c r="F1472" s="79">
        <v>1349</v>
      </c>
    </row>
    <row r="1473" spans="1:6">
      <c r="A1473" s="79" t="s">
        <v>2080</v>
      </c>
      <c r="B1473" s="79" t="s">
        <v>2077</v>
      </c>
      <c r="C1473" s="79" t="s">
        <v>2077</v>
      </c>
      <c r="D1473" s="79" t="str">
        <f t="shared" si="24"/>
        <v>Kamuda</v>
      </c>
      <c r="E1473" s="79"/>
      <c r="F1473" s="79">
        <v>1350</v>
      </c>
    </row>
    <row r="1474" spans="1:6">
      <c r="A1474" s="79" t="s">
        <v>2081</v>
      </c>
      <c r="B1474" s="79" t="s">
        <v>2077</v>
      </c>
      <c r="C1474" s="79" t="s">
        <v>2077</v>
      </c>
      <c r="D1474" s="79" t="str">
        <f t="shared" si="24"/>
        <v>Katine</v>
      </c>
      <c r="E1474" s="79"/>
      <c r="F1474" s="79">
        <v>1351</v>
      </c>
    </row>
    <row r="1475" spans="1:6">
      <c r="A1475" s="79" t="s">
        <v>2077</v>
      </c>
      <c r="B1475" s="79" t="s">
        <v>2077</v>
      </c>
      <c r="C1475" s="79" t="s">
        <v>2077</v>
      </c>
      <c r="D1475" s="79" t="str">
        <f t="shared" ref="D1475:D1538" si="25">A1475</f>
        <v>Soroti</v>
      </c>
      <c r="E1475" s="79"/>
      <c r="F1475" s="79">
        <v>1352</v>
      </c>
    </row>
    <row r="1476" spans="1:6">
      <c r="A1476" s="79" t="s">
        <v>2082</v>
      </c>
      <c r="B1476" s="79" t="s">
        <v>2077</v>
      </c>
      <c r="C1476" s="79" t="s">
        <v>2082</v>
      </c>
      <c r="D1476" s="79" t="str">
        <f t="shared" si="25"/>
        <v>Soroti Municipality</v>
      </c>
      <c r="E1476" s="79"/>
      <c r="F1476" s="79">
        <v>1353</v>
      </c>
    </row>
    <row r="1477" spans="1:6">
      <c r="A1477" s="79" t="s">
        <v>2083</v>
      </c>
      <c r="B1477" s="79" t="s">
        <v>2077</v>
      </c>
      <c r="C1477" s="79" t="s">
        <v>2077</v>
      </c>
      <c r="D1477" s="79" t="str">
        <f t="shared" si="25"/>
        <v>Tubur</v>
      </c>
      <c r="E1477" s="79"/>
      <c r="F1477" s="79">
        <v>1354</v>
      </c>
    </row>
    <row r="1478" spans="1:6">
      <c r="A1478" s="79" t="s">
        <v>2084</v>
      </c>
      <c r="B1478" s="79" t="s">
        <v>2085</v>
      </c>
      <c r="C1478" s="79" t="s">
        <v>2086</v>
      </c>
      <c r="D1478" s="79" t="str">
        <f t="shared" si="25"/>
        <v>Lugusulu</v>
      </c>
      <c r="E1478" s="79"/>
      <c r="F1478" s="79">
        <v>1355</v>
      </c>
    </row>
    <row r="1479" spans="1:6">
      <c r="A1479" s="79" t="s">
        <v>2087</v>
      </c>
      <c r="B1479" s="79" t="s">
        <v>2085</v>
      </c>
      <c r="C1479" s="79" t="s">
        <v>2086</v>
      </c>
      <c r="D1479" s="79" t="str">
        <f t="shared" si="25"/>
        <v>Lwebitakuli</v>
      </c>
      <c r="E1479" s="79"/>
      <c r="F1479" s="79">
        <v>1356</v>
      </c>
    </row>
    <row r="1480" spans="1:6">
      <c r="A1480" s="79" t="s">
        <v>2088</v>
      </c>
      <c r="B1480" s="79" t="s">
        <v>2085</v>
      </c>
      <c r="C1480" s="79" t="s">
        <v>2088</v>
      </c>
      <c r="D1480" s="79" t="str">
        <f t="shared" si="25"/>
        <v>Lwemiyaga</v>
      </c>
      <c r="E1480" s="79"/>
      <c r="F1480" s="79">
        <v>1357</v>
      </c>
    </row>
    <row r="1481" spans="1:6">
      <c r="A1481" s="79" t="s">
        <v>2089</v>
      </c>
      <c r="B1481" s="79" t="s">
        <v>2085</v>
      </c>
      <c r="C1481" s="79" t="s">
        <v>2086</v>
      </c>
      <c r="D1481" s="79" t="str">
        <f t="shared" si="25"/>
        <v>Mateete</v>
      </c>
      <c r="E1481" s="79"/>
      <c r="F1481" s="79">
        <v>1358</v>
      </c>
    </row>
    <row r="1482" spans="1:6">
      <c r="A1482" s="79" t="s">
        <v>2090</v>
      </c>
      <c r="B1482" s="79" t="s">
        <v>2085</v>
      </c>
      <c r="C1482" s="79" t="s">
        <v>2086</v>
      </c>
      <c r="D1482" s="79" t="str">
        <f t="shared" si="25"/>
        <v>Mateete Town Council</v>
      </c>
      <c r="E1482" s="79"/>
      <c r="F1482" s="79">
        <v>1359</v>
      </c>
    </row>
    <row r="1483" spans="1:6">
      <c r="A1483" s="79" t="s">
        <v>2091</v>
      </c>
      <c r="B1483" s="79" t="s">
        <v>2085</v>
      </c>
      <c r="C1483" s="79" t="s">
        <v>2086</v>
      </c>
      <c r="D1483" s="79" t="str">
        <f t="shared" si="25"/>
        <v>Mijwala</v>
      </c>
      <c r="E1483" s="79"/>
      <c r="F1483" s="79">
        <v>1360</v>
      </c>
    </row>
    <row r="1484" spans="1:6">
      <c r="A1484" s="79" t="s">
        <v>2092</v>
      </c>
      <c r="B1484" s="79" t="s">
        <v>2085</v>
      </c>
      <c r="C1484" s="79" t="s">
        <v>2088</v>
      </c>
      <c r="D1484" s="79" t="str">
        <f t="shared" si="25"/>
        <v>Ntuusi</v>
      </c>
      <c r="E1484" s="79"/>
      <c r="F1484" s="79">
        <v>1361</v>
      </c>
    </row>
    <row r="1485" spans="1:6">
      <c r="A1485" s="79" t="s">
        <v>2093</v>
      </c>
      <c r="B1485" s="79" t="s">
        <v>2085</v>
      </c>
      <c r="C1485" s="79" t="s">
        <v>2086</v>
      </c>
      <c r="D1485" s="79" t="str">
        <f t="shared" si="25"/>
        <v>Sembabule Town Council</v>
      </c>
      <c r="E1485" s="79"/>
      <c r="F1485" s="79">
        <v>1362</v>
      </c>
    </row>
    <row r="1486" spans="1:6">
      <c r="A1486" s="79" t="s">
        <v>2094</v>
      </c>
      <c r="B1486" s="79" t="s">
        <v>2095</v>
      </c>
      <c r="C1486" s="79" t="s">
        <v>2096</v>
      </c>
      <c r="D1486" s="79" t="str">
        <f t="shared" si="25"/>
        <v>Iyolwa</v>
      </c>
      <c r="E1486" s="79"/>
      <c r="F1486" s="79">
        <v>1363</v>
      </c>
    </row>
    <row r="1487" spans="1:6">
      <c r="A1487" s="79" t="s">
        <v>2097</v>
      </c>
      <c r="B1487" s="79" t="s">
        <v>2095</v>
      </c>
      <c r="C1487" s="79" t="s">
        <v>2096</v>
      </c>
      <c r="D1487" s="79" t="str">
        <f t="shared" si="25"/>
        <v>Kirewa</v>
      </c>
      <c r="E1487" s="79"/>
      <c r="F1487" s="79">
        <v>1364</v>
      </c>
    </row>
    <row r="1488" spans="1:6">
      <c r="A1488" s="79" t="s">
        <v>2098</v>
      </c>
      <c r="B1488" s="79" t="s">
        <v>2095</v>
      </c>
      <c r="C1488" s="79" t="s">
        <v>2096</v>
      </c>
      <c r="D1488" s="79" t="str">
        <f t="shared" si="25"/>
        <v>Kisoko</v>
      </c>
      <c r="E1488" s="79"/>
      <c r="F1488" s="79">
        <v>1365</v>
      </c>
    </row>
    <row r="1489" spans="1:6">
      <c r="A1489" s="79" t="s">
        <v>2099</v>
      </c>
      <c r="B1489" s="79" t="s">
        <v>2095</v>
      </c>
      <c r="C1489" s="79" t="s">
        <v>2095</v>
      </c>
      <c r="D1489" s="79" t="str">
        <f t="shared" si="25"/>
        <v>Kwapa</v>
      </c>
      <c r="E1489" s="79"/>
      <c r="F1489" s="79">
        <v>1366</v>
      </c>
    </row>
    <row r="1490" spans="1:6">
      <c r="A1490" s="79" t="s">
        <v>2100</v>
      </c>
      <c r="B1490" s="79" t="s">
        <v>2095</v>
      </c>
      <c r="C1490" s="79" t="s">
        <v>2096</v>
      </c>
      <c r="D1490" s="79" t="str">
        <f t="shared" si="25"/>
        <v>Magola</v>
      </c>
      <c r="E1490" s="79"/>
      <c r="F1490" s="79">
        <v>1367</v>
      </c>
    </row>
    <row r="1491" spans="1:6">
      <c r="A1491" s="79" t="s">
        <v>2101</v>
      </c>
      <c r="B1491" s="79" t="s">
        <v>2095</v>
      </c>
      <c r="C1491" s="79" t="s">
        <v>2095</v>
      </c>
      <c r="D1491" s="79" t="str">
        <f t="shared" si="25"/>
        <v>Malaba Town Council</v>
      </c>
      <c r="E1491" s="79"/>
      <c r="F1491" s="79">
        <v>1368</v>
      </c>
    </row>
    <row r="1492" spans="1:6">
      <c r="A1492" s="79" t="s">
        <v>2102</v>
      </c>
      <c r="B1492" s="79" t="s">
        <v>2095</v>
      </c>
      <c r="C1492" s="79" t="s">
        <v>2095</v>
      </c>
      <c r="D1492" s="79" t="str">
        <f t="shared" si="25"/>
        <v>Mella</v>
      </c>
      <c r="E1492" s="79"/>
      <c r="F1492" s="79">
        <v>1369</v>
      </c>
    </row>
    <row r="1493" spans="1:6">
      <c r="A1493" s="79" t="s">
        <v>2103</v>
      </c>
      <c r="B1493" s="79" t="s">
        <v>2095</v>
      </c>
      <c r="C1493" s="79" t="s">
        <v>2095</v>
      </c>
      <c r="D1493" s="79" t="str">
        <f t="shared" si="25"/>
        <v>Merikit</v>
      </c>
      <c r="E1493" s="79"/>
      <c r="F1493" s="79">
        <v>1370</v>
      </c>
    </row>
    <row r="1494" spans="1:6">
      <c r="A1494" s="79" t="s">
        <v>2104</v>
      </c>
      <c r="B1494" s="79" t="s">
        <v>2095</v>
      </c>
      <c r="C1494" s="79" t="s">
        <v>2095</v>
      </c>
      <c r="D1494" s="79" t="str">
        <f t="shared" si="25"/>
        <v>Molo</v>
      </c>
      <c r="E1494" s="79"/>
      <c r="F1494" s="79">
        <v>1371</v>
      </c>
    </row>
    <row r="1495" spans="1:6">
      <c r="A1495" s="79" t="s">
        <v>2105</v>
      </c>
      <c r="B1495" s="79" t="s">
        <v>2095</v>
      </c>
      <c r="C1495" s="79" t="s">
        <v>2095</v>
      </c>
      <c r="D1495" s="79" t="str">
        <f t="shared" si="25"/>
        <v>Mukuju</v>
      </c>
      <c r="E1495" s="79"/>
      <c r="F1495" s="79">
        <v>1372</v>
      </c>
    </row>
    <row r="1496" spans="1:6">
      <c r="A1496" s="79" t="s">
        <v>2106</v>
      </c>
      <c r="B1496" s="79" t="s">
        <v>2095</v>
      </c>
      <c r="C1496" s="79" t="s">
        <v>2096</v>
      </c>
      <c r="D1496" s="79" t="str">
        <f t="shared" si="25"/>
        <v>Mulanda</v>
      </c>
      <c r="E1496" s="79"/>
      <c r="F1496" s="79">
        <v>1373</v>
      </c>
    </row>
    <row r="1497" spans="1:6">
      <c r="A1497" s="79" t="s">
        <v>2107</v>
      </c>
      <c r="B1497" s="79" t="s">
        <v>2095</v>
      </c>
      <c r="C1497" s="79" t="s">
        <v>2096</v>
      </c>
      <c r="D1497" s="79" t="str">
        <f t="shared" si="25"/>
        <v>Nabuyoga</v>
      </c>
      <c r="E1497" s="79"/>
      <c r="F1497" s="79">
        <v>1374</v>
      </c>
    </row>
    <row r="1498" spans="1:6">
      <c r="A1498" s="79" t="s">
        <v>2108</v>
      </c>
      <c r="B1498" s="79" t="s">
        <v>2095</v>
      </c>
      <c r="C1498" s="79" t="s">
        <v>2096</v>
      </c>
      <c r="D1498" s="79" t="str">
        <f t="shared" si="25"/>
        <v>Nagongera</v>
      </c>
      <c r="E1498" s="79"/>
      <c r="F1498" s="79">
        <v>1375</v>
      </c>
    </row>
    <row r="1499" spans="1:6">
      <c r="A1499" s="79" t="s">
        <v>2109</v>
      </c>
      <c r="B1499" s="79" t="s">
        <v>2095</v>
      </c>
      <c r="C1499" s="79" t="s">
        <v>2096</v>
      </c>
      <c r="D1499" s="79" t="str">
        <f t="shared" si="25"/>
        <v>Nagongera Town Council</v>
      </c>
      <c r="E1499" s="79"/>
      <c r="F1499" s="79">
        <v>1376</v>
      </c>
    </row>
    <row r="1500" spans="1:6">
      <c r="A1500" s="79" t="s">
        <v>2110</v>
      </c>
      <c r="B1500" s="79" t="s">
        <v>2095</v>
      </c>
      <c r="C1500" s="79" t="s">
        <v>2095</v>
      </c>
      <c r="D1500" s="79" t="str">
        <f t="shared" si="25"/>
        <v>Osukuru</v>
      </c>
      <c r="E1500" s="79"/>
      <c r="F1500" s="79">
        <v>1377</v>
      </c>
    </row>
    <row r="1501" spans="1:6">
      <c r="A1501" s="79" t="s">
        <v>2111</v>
      </c>
      <c r="B1501" s="79" t="s">
        <v>2095</v>
      </c>
      <c r="C1501" s="79" t="s">
        <v>2096</v>
      </c>
      <c r="D1501" s="79" t="str">
        <f t="shared" si="25"/>
        <v>Paya</v>
      </c>
      <c r="E1501" s="79"/>
      <c r="F1501" s="79">
        <v>1378</v>
      </c>
    </row>
    <row r="1502" spans="1:6">
      <c r="A1502" s="79" t="s">
        <v>2112</v>
      </c>
      <c r="B1502" s="79" t="s">
        <v>2095</v>
      </c>
      <c r="C1502" s="79" t="s">
        <v>2096</v>
      </c>
      <c r="D1502" s="79" t="str">
        <f t="shared" si="25"/>
        <v>Petta</v>
      </c>
      <c r="E1502" s="79"/>
      <c r="F1502" s="79">
        <v>1379</v>
      </c>
    </row>
    <row r="1503" spans="1:6">
      <c r="A1503" s="79" t="s">
        <v>2113</v>
      </c>
      <c r="B1503" s="79" t="s">
        <v>2095</v>
      </c>
      <c r="C1503" s="79" t="s">
        <v>2096</v>
      </c>
      <c r="D1503" s="79" t="str">
        <f t="shared" si="25"/>
        <v>Rubongi</v>
      </c>
      <c r="E1503" s="79"/>
      <c r="F1503" s="79">
        <v>1380</v>
      </c>
    </row>
    <row r="1504" spans="1:6">
      <c r="A1504" s="79" t="s">
        <v>2114</v>
      </c>
      <c r="B1504" s="79" t="s">
        <v>2095</v>
      </c>
      <c r="C1504" s="79" t="s">
        <v>2096</v>
      </c>
      <c r="D1504" s="79" t="str">
        <f t="shared" si="25"/>
        <v>Sop-Sop</v>
      </c>
      <c r="E1504" s="79"/>
      <c r="F1504" s="79">
        <v>1381</v>
      </c>
    </row>
    <row r="1505" spans="1:6">
      <c r="A1505" s="79" t="s">
        <v>2115</v>
      </c>
      <c r="B1505" s="79" t="s">
        <v>2095</v>
      </c>
      <c r="C1505" s="79" t="s">
        <v>2115</v>
      </c>
      <c r="D1505" s="79" t="str">
        <f t="shared" si="25"/>
        <v>Tororo Municipality</v>
      </c>
      <c r="E1505" s="79"/>
      <c r="F1505" s="79">
        <v>1382</v>
      </c>
    </row>
    <row r="1506" spans="1:6">
      <c r="A1506" s="79" t="s">
        <v>2116</v>
      </c>
      <c r="B1506" s="79" t="s">
        <v>2117</v>
      </c>
      <c r="C1506" s="79" t="s">
        <v>2118</v>
      </c>
      <c r="D1506" s="79" t="str">
        <f t="shared" si="25"/>
        <v>Bunamwaya</v>
      </c>
      <c r="E1506" s="79"/>
      <c r="F1506" s="79">
        <v>1383</v>
      </c>
    </row>
    <row r="1507" spans="1:6">
      <c r="A1507" s="79" t="s">
        <v>2119</v>
      </c>
      <c r="B1507" s="79" t="s">
        <v>2117</v>
      </c>
      <c r="C1507" s="79" t="s">
        <v>2120</v>
      </c>
      <c r="D1507" s="79" t="str">
        <f t="shared" si="25"/>
        <v>Bussi</v>
      </c>
      <c r="E1507" s="79"/>
      <c r="F1507" s="79">
        <v>1384</v>
      </c>
    </row>
    <row r="1508" spans="1:6">
      <c r="A1508" s="79" t="s">
        <v>2121</v>
      </c>
      <c r="B1508" s="79" t="s">
        <v>2117</v>
      </c>
      <c r="C1508" s="79" t="s">
        <v>2122</v>
      </c>
      <c r="D1508" s="79" t="str">
        <f t="shared" si="25"/>
        <v>Busukuma</v>
      </c>
      <c r="E1508" s="79"/>
      <c r="F1508" s="79">
        <v>1385</v>
      </c>
    </row>
    <row r="1509" spans="1:6">
      <c r="A1509" s="79" t="s">
        <v>28</v>
      </c>
      <c r="B1509" s="79" t="s">
        <v>2117</v>
      </c>
      <c r="C1509" s="79" t="s">
        <v>2123</v>
      </c>
      <c r="D1509" s="79" t="str">
        <f t="shared" si="25"/>
        <v>Bweyogerere</v>
      </c>
      <c r="E1509" s="79"/>
      <c r="F1509" s="79">
        <v>1386</v>
      </c>
    </row>
    <row r="1510" spans="1:6">
      <c r="A1510" s="79" t="s">
        <v>2124</v>
      </c>
      <c r="B1510" s="79" t="s">
        <v>2117</v>
      </c>
      <c r="C1510" s="79" t="s">
        <v>2125</v>
      </c>
      <c r="D1510" s="79" t="str">
        <f t="shared" si="25"/>
        <v>Entebbe Airport</v>
      </c>
      <c r="E1510" s="79"/>
      <c r="F1510" s="79">
        <v>1387</v>
      </c>
    </row>
    <row r="1511" spans="1:6">
      <c r="A1511" s="79" t="s">
        <v>2126</v>
      </c>
      <c r="B1511" s="79"/>
      <c r="C1511" s="79"/>
      <c r="D1511" s="79" t="str">
        <f t="shared" si="25"/>
        <v>Airport</v>
      </c>
      <c r="E1511" s="79"/>
      <c r="F1511" s="79">
        <v>1387</v>
      </c>
    </row>
    <row r="1512" spans="1:6">
      <c r="A1512" s="79" t="s">
        <v>2127</v>
      </c>
      <c r="B1512" s="79"/>
      <c r="C1512" s="79"/>
      <c r="D1512" s="79" t="str">
        <f t="shared" si="25"/>
        <v>Enttebe</v>
      </c>
      <c r="E1512" s="79"/>
      <c r="F1512" s="79">
        <v>1387</v>
      </c>
    </row>
    <row r="1513" spans="1:6">
      <c r="A1513" s="79" t="s">
        <v>2128</v>
      </c>
      <c r="B1513" s="79"/>
      <c r="C1513" s="79"/>
      <c r="D1513" s="79" t="str">
        <f t="shared" si="25"/>
        <v>Kitoro</v>
      </c>
      <c r="E1513" s="79"/>
      <c r="F1513" s="79">
        <v>1387</v>
      </c>
    </row>
    <row r="1514" spans="1:6">
      <c r="A1514" s="79" t="s">
        <v>2129</v>
      </c>
      <c r="B1514" s="79"/>
      <c r="C1514" s="79"/>
      <c r="D1514" s="79" t="str">
        <f t="shared" si="25"/>
        <v>Kawuku</v>
      </c>
      <c r="E1514" s="79"/>
      <c r="F1514" s="79">
        <v>1387</v>
      </c>
    </row>
    <row r="1515" spans="1:6">
      <c r="A1515" s="79" t="s">
        <v>2130</v>
      </c>
      <c r="B1515" s="79"/>
      <c r="C1515" s="79"/>
      <c r="D1515" s="79" t="str">
        <f t="shared" si="25"/>
        <v>Namulanda</v>
      </c>
      <c r="E1515" s="79"/>
      <c r="F1515" s="79">
        <v>1387</v>
      </c>
    </row>
    <row r="1516" spans="1:6">
      <c r="A1516" s="79" t="s">
        <v>30</v>
      </c>
      <c r="B1516" s="79"/>
      <c r="C1516" s="79"/>
      <c r="D1516" s="79" t="str">
        <f t="shared" si="25"/>
        <v>Entebbe</v>
      </c>
      <c r="E1516" s="79"/>
      <c r="F1516" s="79">
        <v>1387</v>
      </c>
    </row>
    <row r="1517" spans="1:6">
      <c r="A1517" s="79" t="s">
        <v>2125</v>
      </c>
      <c r="B1517" s="79" t="s">
        <v>2117</v>
      </c>
      <c r="C1517" s="79" t="s">
        <v>2125</v>
      </c>
      <c r="D1517" s="79" t="str">
        <f t="shared" si="25"/>
        <v>Entebbe Municipality</v>
      </c>
      <c r="E1517" s="79"/>
      <c r="F1517" s="79">
        <v>1388</v>
      </c>
    </row>
    <row r="1518" spans="1:6">
      <c r="A1518" s="79" t="s">
        <v>2131</v>
      </c>
      <c r="B1518" s="79" t="s">
        <v>2117</v>
      </c>
      <c r="C1518" s="79" t="s">
        <v>2122</v>
      </c>
      <c r="D1518" s="79" t="str">
        <f t="shared" si="25"/>
        <v>Gombe</v>
      </c>
      <c r="E1518" s="79"/>
      <c r="F1518" s="79">
        <v>1389</v>
      </c>
    </row>
    <row r="1519" spans="1:6">
      <c r="A1519" s="79" t="s">
        <v>2132</v>
      </c>
      <c r="B1519" s="79" t="s">
        <v>2117</v>
      </c>
      <c r="C1519" s="79" t="s">
        <v>2120</v>
      </c>
      <c r="D1519" s="79" t="str">
        <f t="shared" si="25"/>
        <v>Kajjansi Town Council</v>
      </c>
      <c r="E1519" s="79"/>
      <c r="F1519" s="79">
        <v>1390</v>
      </c>
    </row>
    <row r="1520" spans="1:6">
      <c r="A1520" s="79" t="s">
        <v>2133</v>
      </c>
      <c r="B1520" s="79"/>
      <c r="C1520" s="79"/>
      <c r="D1520" s="79" t="str">
        <f t="shared" si="25"/>
        <v xml:space="preserve">Kajjansi  </v>
      </c>
      <c r="E1520" s="79"/>
      <c r="F1520" s="79">
        <v>1390</v>
      </c>
    </row>
    <row r="1521" spans="1:6">
      <c r="A1521" s="79" t="s">
        <v>2134</v>
      </c>
      <c r="B1521" s="79"/>
      <c r="C1521" s="79"/>
      <c r="D1521" s="79" t="str">
        <f t="shared" si="25"/>
        <v>KAJANSI</v>
      </c>
      <c r="E1521" s="79"/>
      <c r="F1521" s="79">
        <v>1390</v>
      </c>
    </row>
    <row r="1522" spans="1:6">
      <c r="A1522" s="79" t="s">
        <v>2135</v>
      </c>
      <c r="B1522" s="79"/>
      <c r="C1522" s="79"/>
      <c r="D1522" s="79" t="str">
        <f t="shared" si="25"/>
        <v>Sseguku</v>
      </c>
      <c r="E1522" s="79"/>
      <c r="F1522" s="79">
        <v>1390</v>
      </c>
    </row>
    <row r="1523" spans="1:6">
      <c r="A1523" s="79" t="s">
        <v>2136</v>
      </c>
      <c r="B1523" s="79"/>
      <c r="C1523" s="79"/>
      <c r="D1523" s="79" t="str">
        <f t="shared" si="25"/>
        <v>Bwebajja</v>
      </c>
      <c r="E1523" s="79"/>
      <c r="F1523" s="79">
        <v>1390</v>
      </c>
    </row>
    <row r="1524" spans="1:6">
      <c r="A1524" s="79" t="s">
        <v>2137</v>
      </c>
      <c r="B1524" s="79"/>
      <c r="C1524" s="79"/>
      <c r="D1524" s="79" t="str">
        <f t="shared" si="25"/>
        <v>BWEBAJA</v>
      </c>
      <c r="E1524" s="79"/>
      <c r="F1524" s="79">
        <v>1390</v>
      </c>
    </row>
    <row r="1525" spans="1:6">
      <c r="A1525" s="79" t="s">
        <v>2138</v>
      </c>
      <c r="B1525" s="79"/>
      <c r="C1525" s="79"/>
      <c r="D1525" s="79" t="str">
        <f t="shared" si="25"/>
        <v>Lweza</v>
      </c>
      <c r="E1525" s="79"/>
      <c r="F1525" s="79">
        <v>1390</v>
      </c>
    </row>
    <row r="1526" spans="1:6">
      <c r="A1526" s="79" t="s">
        <v>367</v>
      </c>
      <c r="B1526" s="79"/>
      <c r="C1526" s="79"/>
      <c r="D1526" s="79" t="str">
        <f t="shared" si="25"/>
        <v>KAJJANSI</v>
      </c>
      <c r="E1526" s="79"/>
      <c r="F1526" s="79">
        <v>1390</v>
      </c>
    </row>
    <row r="1527" spans="1:6">
      <c r="A1527" s="79" t="s">
        <v>2139</v>
      </c>
      <c r="B1527" s="79"/>
      <c r="C1527" s="79"/>
      <c r="D1527" s="79" t="str">
        <f t="shared" si="25"/>
        <v>Kitende</v>
      </c>
      <c r="E1527" s="79"/>
      <c r="F1527" s="79">
        <v>1390</v>
      </c>
    </row>
    <row r="1528" spans="1:6">
      <c r="A1528" s="79" t="s">
        <v>2140</v>
      </c>
      <c r="B1528" s="79"/>
      <c r="C1528" s="79"/>
      <c r="D1528" s="79" t="str">
        <f t="shared" si="25"/>
        <v xml:space="preserve">KITENDE </v>
      </c>
      <c r="E1528" s="79"/>
      <c r="F1528" s="79">
        <v>1390</v>
      </c>
    </row>
    <row r="1529" spans="1:6">
      <c r="A1529" s="79" t="s">
        <v>2141</v>
      </c>
      <c r="B1529" s="79" t="s">
        <v>2117</v>
      </c>
      <c r="C1529" s="79" t="s">
        <v>2120</v>
      </c>
      <c r="D1529" s="79" t="str">
        <f t="shared" si="25"/>
        <v>Kakiri</v>
      </c>
      <c r="E1529" s="79"/>
      <c r="F1529" s="79">
        <v>1391</v>
      </c>
    </row>
    <row r="1530" spans="1:6">
      <c r="A1530" s="79" t="s">
        <v>2142</v>
      </c>
      <c r="B1530" s="79" t="s">
        <v>2117</v>
      </c>
      <c r="C1530" s="79" t="s">
        <v>2120</v>
      </c>
      <c r="D1530" s="79" t="str">
        <f t="shared" si="25"/>
        <v>Kakiri Town Council</v>
      </c>
      <c r="E1530" s="79"/>
      <c r="F1530" s="79">
        <v>1392</v>
      </c>
    </row>
    <row r="1531" spans="1:6">
      <c r="A1531" s="79" t="s">
        <v>2143</v>
      </c>
      <c r="B1531" s="79" t="s">
        <v>2117</v>
      </c>
      <c r="C1531" s="79" t="s">
        <v>2144</v>
      </c>
      <c r="D1531" s="79" t="str">
        <f t="shared" si="25"/>
        <v>Kasangati Town Council</v>
      </c>
      <c r="E1531" s="79"/>
      <c r="F1531" s="79">
        <v>1393</v>
      </c>
    </row>
    <row r="1532" spans="1:6">
      <c r="A1532" s="79" t="s">
        <v>2145</v>
      </c>
      <c r="B1532" s="79"/>
      <c r="C1532" s="79"/>
      <c r="D1532" s="79" t="str">
        <f t="shared" si="25"/>
        <v>KASANGATI</v>
      </c>
      <c r="E1532" s="79"/>
      <c r="F1532" s="79">
        <v>1393</v>
      </c>
    </row>
    <row r="1533" spans="1:6">
      <c r="A1533" s="79" t="s">
        <v>2146</v>
      </c>
      <c r="B1533" s="79"/>
      <c r="C1533" s="79"/>
      <c r="D1533" s="79" t="str">
        <f t="shared" si="25"/>
        <v>Kansangati</v>
      </c>
      <c r="E1533" s="79"/>
      <c r="F1533" s="79">
        <v>1393</v>
      </c>
    </row>
    <row r="1534" spans="1:6">
      <c r="A1534" s="79" t="s">
        <v>2147</v>
      </c>
      <c r="B1534" s="79" t="s">
        <v>2117</v>
      </c>
      <c r="C1534" s="79" t="s">
        <v>2120</v>
      </c>
      <c r="D1534" s="79" t="str">
        <f t="shared" si="25"/>
        <v>Kasanje</v>
      </c>
      <c r="E1534" s="79"/>
      <c r="F1534" s="79">
        <v>1394</v>
      </c>
    </row>
    <row r="1535" spans="1:6">
      <c r="A1535" s="79" t="s">
        <v>2148</v>
      </c>
      <c r="B1535" s="79" t="s">
        <v>2117</v>
      </c>
      <c r="C1535" s="79" t="s">
        <v>2120</v>
      </c>
      <c r="D1535" s="79" t="str">
        <f t="shared" si="25"/>
        <v>Katabi Town Council</v>
      </c>
      <c r="E1535" s="79"/>
      <c r="F1535" s="79">
        <v>1395</v>
      </c>
    </row>
    <row r="1536" spans="1:6">
      <c r="A1536" s="79" t="s">
        <v>2407</v>
      </c>
      <c r="B1536" s="79"/>
      <c r="C1536" s="79"/>
      <c r="D1536" s="79" t="str">
        <f t="shared" si="25"/>
        <v>Gombolola</v>
      </c>
      <c r="E1536" s="79"/>
      <c r="F1536" s="79">
        <v>1395</v>
      </c>
    </row>
    <row r="1537" spans="1:6">
      <c r="A1537" s="79" t="s">
        <v>2149</v>
      </c>
      <c r="B1537" s="79" t="s">
        <v>2117</v>
      </c>
      <c r="C1537" s="79" t="s">
        <v>2123</v>
      </c>
      <c r="D1537" s="79" t="str">
        <f t="shared" si="25"/>
        <v>Kira</v>
      </c>
      <c r="E1537" s="79"/>
      <c r="F1537" s="79">
        <v>1396</v>
      </c>
    </row>
    <row r="1538" spans="1:6">
      <c r="A1538" s="79" t="s">
        <v>2150</v>
      </c>
      <c r="B1538" s="79"/>
      <c r="C1538" s="79"/>
      <c r="D1538" s="79" t="str">
        <f t="shared" si="25"/>
        <v>Kireka</v>
      </c>
      <c r="E1538" s="79"/>
      <c r="F1538" s="79">
        <v>1396</v>
      </c>
    </row>
    <row r="1539" spans="1:6">
      <c r="A1539" s="79" t="s">
        <v>2151</v>
      </c>
      <c r="B1539" s="79"/>
      <c r="C1539" s="79"/>
      <c r="D1539" s="79" t="str">
        <f t="shared" ref="D1539:D1602" si="26">A1539</f>
        <v>Kiira</v>
      </c>
      <c r="E1539" s="79"/>
      <c r="F1539" s="79">
        <v>1396</v>
      </c>
    </row>
    <row r="1540" spans="1:6">
      <c r="A1540" s="79" t="s">
        <v>2152</v>
      </c>
      <c r="B1540" s="79"/>
      <c r="C1540" s="79"/>
      <c r="D1540" s="79" t="str">
        <f t="shared" si="26"/>
        <v>Bulindo</v>
      </c>
      <c r="E1540" s="79"/>
      <c r="F1540" s="79">
        <v>1396</v>
      </c>
    </row>
    <row r="1541" spans="1:6">
      <c r="A1541" s="79" t="s">
        <v>2153</v>
      </c>
      <c r="B1541" s="79" t="s">
        <v>2117</v>
      </c>
      <c r="C1541" s="79" t="s">
        <v>2120</v>
      </c>
      <c r="D1541" s="79" t="str">
        <f t="shared" si="26"/>
        <v>Kyengera Town Council</v>
      </c>
      <c r="E1541" s="79"/>
      <c r="F1541" s="79">
        <v>1397</v>
      </c>
    </row>
    <row r="1542" spans="1:6">
      <c r="A1542" s="79" t="s">
        <v>2154</v>
      </c>
      <c r="B1542" s="79" t="s">
        <v>2117</v>
      </c>
      <c r="C1542" s="79"/>
      <c r="D1542" s="79" t="str">
        <f t="shared" si="26"/>
        <v>KYENGERA</v>
      </c>
      <c r="E1542" s="79"/>
      <c r="F1542" s="79">
        <v>1397</v>
      </c>
    </row>
    <row r="1543" spans="1:6">
      <c r="A1543" s="79" t="s">
        <v>2155</v>
      </c>
      <c r="B1543" s="79" t="s">
        <v>2117</v>
      </c>
      <c r="C1543" s="79"/>
      <c r="D1543" s="79" t="str">
        <f t="shared" si="26"/>
        <v>NABINGO</v>
      </c>
      <c r="E1543" s="79"/>
      <c r="F1543" s="79">
        <v>1397</v>
      </c>
    </row>
    <row r="1544" spans="1:6">
      <c r="A1544" s="79" t="s">
        <v>2156</v>
      </c>
      <c r="B1544" s="79"/>
      <c r="C1544" s="79"/>
      <c r="D1544" s="79" t="str">
        <f t="shared" si="26"/>
        <v>Nsangi</v>
      </c>
      <c r="E1544" s="79"/>
      <c r="F1544" s="79">
        <v>1397</v>
      </c>
    </row>
    <row r="1545" spans="1:6">
      <c r="A1545" s="79" t="s">
        <v>2157</v>
      </c>
      <c r="B1545" s="79"/>
      <c r="C1545" s="79"/>
      <c r="D1545" s="79" t="str">
        <f t="shared" si="26"/>
        <v>Kasenge</v>
      </c>
      <c r="E1545" s="79"/>
      <c r="F1545" s="79">
        <v>1397</v>
      </c>
    </row>
    <row r="1546" spans="1:6">
      <c r="A1546" s="79" t="s">
        <v>2392</v>
      </c>
      <c r="B1546" s="79"/>
      <c r="C1546" s="79"/>
      <c r="D1546" s="79" t="str">
        <f t="shared" si="26"/>
        <v>Kayembe</v>
      </c>
      <c r="E1546" s="79"/>
      <c r="F1546" s="79">
        <v>1397</v>
      </c>
    </row>
    <row r="1547" spans="1:6">
      <c r="A1547" s="79" t="s">
        <v>2158</v>
      </c>
      <c r="B1547" s="79" t="s">
        <v>2117</v>
      </c>
      <c r="C1547" s="79" t="s">
        <v>2118</v>
      </c>
      <c r="D1547" s="79" t="str">
        <f t="shared" si="26"/>
        <v>Masajja</v>
      </c>
      <c r="E1547" s="79"/>
      <c r="F1547" s="79">
        <v>1398</v>
      </c>
    </row>
    <row r="1548" spans="1:6">
      <c r="A1548" s="79" t="s">
        <v>2397</v>
      </c>
      <c r="B1548" s="79"/>
      <c r="C1548" s="79"/>
      <c r="D1548" s="79" t="str">
        <f t="shared" si="26"/>
        <v>Masjja</v>
      </c>
      <c r="E1548" s="79"/>
      <c r="F1548" s="79">
        <v>1398</v>
      </c>
    </row>
    <row r="1549" spans="1:6">
      <c r="A1549" s="79" t="s">
        <v>2159</v>
      </c>
      <c r="B1549" s="79"/>
      <c r="C1549" s="79"/>
      <c r="D1549" s="79" t="str">
        <f t="shared" si="26"/>
        <v>Massajja</v>
      </c>
      <c r="E1549" s="79"/>
      <c r="F1549" s="79">
        <v>1398</v>
      </c>
    </row>
    <row r="1550" spans="1:6">
      <c r="A1550" s="79" t="s">
        <v>2160</v>
      </c>
      <c r="B1550" s="79" t="s">
        <v>2117</v>
      </c>
      <c r="C1550" s="79" t="s">
        <v>2120</v>
      </c>
      <c r="D1550" s="79" t="str">
        <f t="shared" si="26"/>
        <v>Masuliita</v>
      </c>
      <c r="E1550" s="79"/>
      <c r="F1550" s="79">
        <v>1399</v>
      </c>
    </row>
    <row r="1551" spans="1:6">
      <c r="A1551" s="79" t="s">
        <v>2161</v>
      </c>
      <c r="B1551" s="79" t="s">
        <v>2117</v>
      </c>
      <c r="C1551" s="79" t="s">
        <v>2120</v>
      </c>
      <c r="D1551" s="79" t="str">
        <f t="shared" si="26"/>
        <v>Masulita Town Council</v>
      </c>
      <c r="E1551" s="79"/>
      <c r="F1551" s="79">
        <v>1400</v>
      </c>
    </row>
    <row r="1552" spans="1:6">
      <c r="A1552" s="79" t="s">
        <v>2162</v>
      </c>
      <c r="B1552" s="79" t="s">
        <v>2117</v>
      </c>
      <c r="C1552" s="79" t="s">
        <v>2120</v>
      </c>
      <c r="D1552" s="79" t="str">
        <f t="shared" si="26"/>
        <v>Mende</v>
      </c>
      <c r="E1552" s="79"/>
      <c r="F1552" s="79">
        <v>1401</v>
      </c>
    </row>
    <row r="1553" spans="1:6">
      <c r="A1553" s="79" t="s">
        <v>2163</v>
      </c>
      <c r="B1553" s="79" t="s">
        <v>2117</v>
      </c>
      <c r="C1553" s="79" t="s">
        <v>2122</v>
      </c>
      <c r="D1553" s="79" t="str">
        <f t="shared" si="26"/>
        <v>Nabweru</v>
      </c>
      <c r="E1553" s="79"/>
      <c r="F1553" s="79">
        <v>1402</v>
      </c>
    </row>
    <row r="1554" spans="1:6">
      <c r="A1554" s="79" t="s">
        <v>2164</v>
      </c>
      <c r="B1554" s="79"/>
      <c r="C1554" s="79"/>
      <c r="D1554" s="79" t="str">
        <f t="shared" si="26"/>
        <v>Kawanda</v>
      </c>
      <c r="E1554" s="79"/>
      <c r="F1554" s="79">
        <v>1402</v>
      </c>
    </row>
    <row r="1555" spans="1:6">
      <c r="A1555" s="79" t="s">
        <v>2165</v>
      </c>
      <c r="B1555" s="79"/>
      <c r="C1555" s="79"/>
      <c r="D1555" s="79" t="str">
        <f t="shared" si="26"/>
        <v>Green valley</v>
      </c>
      <c r="E1555" s="79"/>
      <c r="F1555" s="79">
        <v>1402</v>
      </c>
    </row>
    <row r="1556" spans="1:6">
      <c r="A1556" s="79" t="s">
        <v>2166</v>
      </c>
      <c r="B1556" s="79" t="s">
        <v>2117</v>
      </c>
      <c r="C1556" s="79" t="s">
        <v>2120</v>
      </c>
      <c r="D1556" s="79" t="str">
        <f t="shared" si="26"/>
        <v>Namayumba</v>
      </c>
      <c r="E1556" s="79"/>
      <c r="F1556" s="79">
        <v>1403</v>
      </c>
    </row>
    <row r="1557" spans="1:6">
      <c r="A1557" s="79" t="s">
        <v>2167</v>
      </c>
      <c r="B1557" s="79" t="s">
        <v>2117</v>
      </c>
      <c r="C1557" s="79" t="s">
        <v>2120</v>
      </c>
      <c r="D1557" s="79" t="str">
        <f t="shared" si="26"/>
        <v>Namayumba Town Council</v>
      </c>
      <c r="E1557" s="79"/>
      <c r="F1557" s="79">
        <v>1404</v>
      </c>
    </row>
    <row r="1558" spans="1:6">
      <c r="A1558" s="79" t="s">
        <v>2168</v>
      </c>
      <c r="B1558" s="79" t="s">
        <v>2117</v>
      </c>
      <c r="C1558" s="79" t="s">
        <v>2123</v>
      </c>
      <c r="D1558" s="79" t="str">
        <f t="shared" si="26"/>
        <v>Namugongo</v>
      </c>
      <c r="E1558" s="79"/>
      <c r="F1558" s="79">
        <v>1405</v>
      </c>
    </row>
    <row r="1559" spans="1:6">
      <c r="A1559" s="79" t="s">
        <v>2169</v>
      </c>
      <c r="B1559" s="79"/>
      <c r="C1559" s="79"/>
      <c r="D1559" s="79" t="str">
        <f t="shared" si="26"/>
        <v>Naalya</v>
      </c>
      <c r="E1559" s="79"/>
      <c r="F1559" s="79">
        <v>1405</v>
      </c>
    </row>
    <row r="1560" spans="1:6">
      <c r="A1560" s="79" t="s">
        <v>2170</v>
      </c>
      <c r="B1560" s="79"/>
      <c r="C1560" s="79"/>
      <c r="D1560" s="79" t="str">
        <f t="shared" si="26"/>
        <v>Nalya</v>
      </c>
      <c r="E1560" s="79"/>
      <c r="F1560" s="79">
        <v>1405</v>
      </c>
    </row>
    <row r="1561" spans="1:6">
      <c r="A1561" s="79" t="s">
        <v>2171</v>
      </c>
      <c r="B1561" s="79"/>
      <c r="C1561" s="79"/>
      <c r="D1561" s="79" t="str">
        <f t="shared" si="26"/>
        <v>Kyaliwajala</v>
      </c>
      <c r="E1561" s="79"/>
      <c r="F1561" s="79">
        <v>1405</v>
      </c>
    </row>
    <row r="1562" spans="1:6">
      <c r="A1562" s="79" t="s">
        <v>2172</v>
      </c>
      <c r="B1562" s="79"/>
      <c r="C1562" s="79"/>
      <c r="D1562" s="79" t="str">
        <f t="shared" si="26"/>
        <v>Najera</v>
      </c>
      <c r="E1562" s="79"/>
      <c r="F1562" s="79">
        <v>1405</v>
      </c>
    </row>
    <row r="1563" spans="1:6">
      <c r="A1563" s="79" t="s">
        <v>2173</v>
      </c>
      <c r="B1563" s="79" t="s">
        <v>2117</v>
      </c>
      <c r="C1563" s="79" t="s">
        <v>2122</v>
      </c>
      <c r="D1563" s="79" t="str">
        <f t="shared" si="26"/>
        <v>Nansana</v>
      </c>
      <c r="E1563" s="79"/>
      <c r="F1563" s="79">
        <v>1406</v>
      </c>
    </row>
    <row r="1564" spans="1:6">
      <c r="A1564" s="79" t="s">
        <v>2174</v>
      </c>
      <c r="B1564" s="79"/>
      <c r="C1564" s="79"/>
      <c r="D1564" s="79" t="str">
        <f t="shared" si="26"/>
        <v>Ssemakula</v>
      </c>
      <c r="E1564" s="79"/>
      <c r="F1564" s="79">
        <v>1406</v>
      </c>
    </row>
    <row r="1565" spans="1:6">
      <c r="A1565" s="79" t="s">
        <v>2175</v>
      </c>
      <c r="B1565" s="79"/>
      <c r="C1565" s="79"/>
      <c r="D1565" s="79" t="str">
        <f t="shared" si="26"/>
        <v>MAGERE</v>
      </c>
      <c r="E1565" s="79"/>
      <c r="F1565" s="79">
        <v>1406</v>
      </c>
    </row>
    <row r="1566" spans="1:6">
      <c r="A1566" s="79" t="s">
        <v>2176</v>
      </c>
      <c r="B1566" s="79"/>
      <c r="C1566" s="79"/>
      <c r="D1566" s="79" t="str">
        <f t="shared" si="26"/>
        <v>Nasana</v>
      </c>
      <c r="E1566" s="79"/>
      <c r="F1566" s="79">
        <v>1406</v>
      </c>
    </row>
    <row r="1567" spans="1:6">
      <c r="A1567" s="79" t="s">
        <v>2177</v>
      </c>
      <c r="B1567" s="79" t="s">
        <v>2117</v>
      </c>
      <c r="C1567" s="79" t="s">
        <v>2118</v>
      </c>
      <c r="D1567" s="79" t="str">
        <f t="shared" si="26"/>
        <v>Ndejje</v>
      </c>
      <c r="E1567" s="79"/>
      <c r="F1567" s="79">
        <v>1407</v>
      </c>
    </row>
    <row r="1568" spans="1:6">
      <c r="A1568" s="79" t="s">
        <v>2178</v>
      </c>
      <c r="B1568" s="79"/>
      <c r="C1568" s="79"/>
      <c r="D1568" s="79" t="str">
        <f t="shared" si="26"/>
        <v>Ndejja</v>
      </c>
      <c r="E1568" s="79"/>
      <c r="F1568" s="79">
        <v>1407</v>
      </c>
    </row>
    <row r="1569" spans="1:6">
      <c r="A1569" s="79" t="s">
        <v>2117</v>
      </c>
      <c r="B1569" s="79" t="s">
        <v>2117</v>
      </c>
      <c r="C1569" s="79" t="s">
        <v>2120</v>
      </c>
      <c r="D1569" s="79" t="str">
        <f t="shared" si="26"/>
        <v>Wakiso</v>
      </c>
      <c r="E1569" s="79"/>
      <c r="F1569" s="79">
        <v>1408</v>
      </c>
    </row>
    <row r="1570" spans="1:6">
      <c r="A1570" s="79" t="s">
        <v>2179</v>
      </c>
      <c r="B1570" s="79" t="s">
        <v>2117</v>
      </c>
      <c r="C1570" s="79" t="s">
        <v>2120</v>
      </c>
      <c r="D1570" s="79" t="str">
        <f t="shared" si="26"/>
        <v>Bulenga</v>
      </c>
      <c r="E1570" s="79"/>
      <c r="F1570" s="79">
        <v>1408</v>
      </c>
    </row>
    <row r="1571" spans="1:6">
      <c r="A1571" s="79" t="s">
        <v>2180</v>
      </c>
      <c r="B1571" s="79" t="s">
        <v>2117</v>
      </c>
      <c r="C1571" s="79" t="s">
        <v>2120</v>
      </c>
      <c r="D1571" s="79" t="str">
        <f t="shared" si="26"/>
        <v>Buloba</v>
      </c>
      <c r="E1571" s="79"/>
      <c r="F1571" s="79">
        <v>1408</v>
      </c>
    </row>
    <row r="1572" spans="1:6">
      <c r="A1572" s="79" t="s">
        <v>2181</v>
      </c>
      <c r="B1572" s="79" t="s">
        <v>2117</v>
      </c>
      <c r="C1572" s="79" t="s">
        <v>2120</v>
      </c>
      <c r="D1572" s="79" t="str">
        <f t="shared" si="26"/>
        <v>Wakiso Town Council</v>
      </c>
      <c r="E1572" s="79"/>
      <c r="F1572" s="79">
        <v>1409</v>
      </c>
    </row>
    <row r="1573" spans="1:6">
      <c r="A1573" s="79" t="s">
        <v>2393</v>
      </c>
      <c r="B1573" s="79"/>
      <c r="C1573" s="79"/>
      <c r="D1573" s="79" t="str">
        <f t="shared" si="26"/>
        <v xml:space="preserve">Wakiso town  </v>
      </c>
      <c r="E1573" s="79"/>
      <c r="F1573" s="79">
        <v>1409</v>
      </c>
    </row>
    <row r="1574" spans="1:6">
      <c r="A1574" s="79" t="s">
        <v>2182</v>
      </c>
      <c r="B1574" s="79" t="s">
        <v>2183</v>
      </c>
      <c r="C1574" s="79" t="s">
        <v>2184</v>
      </c>
      <c r="D1574" s="79" t="str">
        <f t="shared" si="26"/>
        <v>Apo</v>
      </c>
      <c r="E1574" s="79"/>
      <c r="F1574" s="79">
        <v>1410</v>
      </c>
    </row>
    <row r="1575" spans="1:6">
      <c r="A1575" s="79" t="s">
        <v>2185</v>
      </c>
      <c r="B1575" s="79" t="s">
        <v>2183</v>
      </c>
      <c r="C1575" s="79" t="s">
        <v>2184</v>
      </c>
      <c r="D1575" s="79" t="str">
        <f t="shared" si="26"/>
        <v>Ariwa</v>
      </c>
      <c r="E1575" s="79"/>
      <c r="F1575" s="79">
        <v>1411</v>
      </c>
    </row>
    <row r="1576" spans="1:6">
      <c r="A1576" s="79" t="s">
        <v>2186</v>
      </c>
      <c r="B1576" s="79" t="s">
        <v>2183</v>
      </c>
      <c r="C1576" s="79" t="s">
        <v>2184</v>
      </c>
      <c r="D1576" s="79" t="str">
        <f t="shared" si="26"/>
        <v>Drajini</v>
      </c>
      <c r="E1576" s="79"/>
      <c r="F1576" s="79">
        <v>1412</v>
      </c>
    </row>
    <row r="1577" spans="1:6">
      <c r="A1577" s="79" t="s">
        <v>2187</v>
      </c>
      <c r="B1577" s="79" t="s">
        <v>2183</v>
      </c>
      <c r="C1577" s="79" t="s">
        <v>2184</v>
      </c>
      <c r="D1577" s="79" t="str">
        <f t="shared" si="26"/>
        <v>Kei</v>
      </c>
      <c r="E1577" s="79"/>
      <c r="F1577" s="79">
        <v>1413</v>
      </c>
    </row>
    <row r="1578" spans="1:6">
      <c r="A1578" s="79" t="s">
        <v>2188</v>
      </c>
      <c r="B1578" s="79" t="s">
        <v>2183</v>
      </c>
      <c r="C1578" s="79" t="s">
        <v>2184</v>
      </c>
      <c r="D1578" s="79" t="str">
        <f t="shared" si="26"/>
        <v>Kerwa</v>
      </c>
      <c r="E1578" s="79"/>
      <c r="F1578" s="79">
        <v>1414</v>
      </c>
    </row>
    <row r="1579" spans="1:6">
      <c r="A1579" s="79" t="s">
        <v>2189</v>
      </c>
      <c r="B1579" s="79" t="s">
        <v>2183</v>
      </c>
      <c r="C1579" s="79" t="s">
        <v>2184</v>
      </c>
      <c r="D1579" s="79" t="str">
        <f t="shared" si="26"/>
        <v>Kochi</v>
      </c>
      <c r="E1579" s="79"/>
      <c r="F1579" s="79">
        <v>1415</v>
      </c>
    </row>
    <row r="1580" spans="1:6">
      <c r="A1580" s="79" t="s">
        <v>2190</v>
      </c>
      <c r="B1580" s="79" t="s">
        <v>2183</v>
      </c>
      <c r="C1580" s="79" t="s">
        <v>2184</v>
      </c>
      <c r="D1580" s="79" t="str">
        <f t="shared" si="26"/>
        <v>Kululu</v>
      </c>
      <c r="E1580" s="79"/>
      <c r="F1580" s="79">
        <v>1416</v>
      </c>
    </row>
    <row r="1581" spans="1:6">
      <c r="A1581" s="79" t="s">
        <v>2191</v>
      </c>
      <c r="B1581" s="79" t="s">
        <v>2183</v>
      </c>
      <c r="C1581" s="79" t="s">
        <v>2184</v>
      </c>
      <c r="D1581" s="79" t="str">
        <f t="shared" si="26"/>
        <v>Kuru</v>
      </c>
      <c r="E1581" s="79"/>
      <c r="F1581" s="79">
        <v>1417</v>
      </c>
    </row>
    <row r="1582" spans="1:6">
      <c r="A1582" s="79" t="s">
        <v>2192</v>
      </c>
      <c r="B1582" s="79" t="s">
        <v>2183</v>
      </c>
      <c r="C1582" s="79" t="s">
        <v>2184</v>
      </c>
      <c r="D1582" s="79" t="str">
        <f t="shared" si="26"/>
        <v>Lodonga</v>
      </c>
      <c r="E1582" s="79"/>
      <c r="F1582" s="79">
        <v>1418</v>
      </c>
    </row>
    <row r="1583" spans="1:6">
      <c r="A1583" s="79" t="s">
        <v>2193</v>
      </c>
      <c r="B1583" s="79" t="s">
        <v>2183</v>
      </c>
      <c r="C1583" s="79" t="s">
        <v>2184</v>
      </c>
      <c r="D1583" s="79" t="str">
        <f t="shared" si="26"/>
        <v>Midigo</v>
      </c>
      <c r="E1583" s="79"/>
      <c r="F1583" s="79">
        <v>1419</v>
      </c>
    </row>
    <row r="1584" spans="1:6">
      <c r="A1584" s="79" t="s">
        <v>2194</v>
      </c>
      <c r="B1584" s="79" t="s">
        <v>2183</v>
      </c>
      <c r="C1584" s="79" t="s">
        <v>2184</v>
      </c>
      <c r="D1584" s="79" t="str">
        <f t="shared" si="26"/>
        <v>Odravu</v>
      </c>
      <c r="E1584" s="79"/>
      <c r="F1584" s="79">
        <v>1420</v>
      </c>
    </row>
    <row r="1585" spans="1:6">
      <c r="A1585" s="79" t="s">
        <v>2195</v>
      </c>
      <c r="B1585" s="79" t="s">
        <v>2183</v>
      </c>
      <c r="C1585" s="79" t="s">
        <v>2184</v>
      </c>
      <c r="D1585" s="79" t="str">
        <f t="shared" si="26"/>
        <v>Romogi</v>
      </c>
      <c r="E1585" s="79"/>
      <c r="F1585" s="79">
        <v>1421</v>
      </c>
    </row>
    <row r="1586" spans="1:6">
      <c r="A1586" s="79" t="s">
        <v>2196</v>
      </c>
      <c r="B1586" s="79" t="s">
        <v>2183</v>
      </c>
      <c r="C1586" s="79" t="s">
        <v>2184</v>
      </c>
      <c r="D1586" s="79" t="str">
        <f t="shared" si="26"/>
        <v>Yumbe Town Council</v>
      </c>
      <c r="E1586" s="79"/>
      <c r="F1586" s="79">
        <v>1422</v>
      </c>
    </row>
    <row r="1587" spans="1:6">
      <c r="A1587" s="79" t="s">
        <v>2197</v>
      </c>
      <c r="B1587" s="79" t="s">
        <v>2198</v>
      </c>
      <c r="C1587" s="79" t="s">
        <v>2199</v>
      </c>
      <c r="D1587" s="79" t="str">
        <f t="shared" si="26"/>
        <v>Abanga</v>
      </c>
      <c r="E1587" s="79"/>
      <c r="F1587" s="79">
        <v>1423</v>
      </c>
    </row>
    <row r="1588" spans="1:6">
      <c r="A1588" s="79" t="s">
        <v>2200</v>
      </c>
      <c r="B1588" s="79" t="s">
        <v>2198</v>
      </c>
      <c r="C1588" s="79" t="s">
        <v>2199</v>
      </c>
      <c r="D1588" s="79" t="str">
        <f t="shared" si="26"/>
        <v>Atyak</v>
      </c>
      <c r="E1588" s="79"/>
      <c r="F1588" s="79">
        <v>1424</v>
      </c>
    </row>
    <row r="1589" spans="1:6">
      <c r="A1589" s="79" t="s">
        <v>2201</v>
      </c>
      <c r="B1589" s="79" t="s">
        <v>2198</v>
      </c>
      <c r="C1589" s="79" t="s">
        <v>2199</v>
      </c>
      <c r="D1589" s="79" t="str">
        <f t="shared" si="26"/>
        <v>Jangokoro</v>
      </c>
      <c r="E1589" s="79"/>
      <c r="F1589" s="79">
        <v>1425</v>
      </c>
    </row>
    <row r="1590" spans="1:6">
      <c r="A1590" s="79" t="s">
        <v>2202</v>
      </c>
      <c r="B1590" s="79" t="s">
        <v>2198</v>
      </c>
      <c r="C1590" s="79" t="s">
        <v>2199</v>
      </c>
      <c r="D1590" s="79" t="str">
        <f t="shared" si="26"/>
        <v>Kango</v>
      </c>
      <c r="E1590" s="79"/>
      <c r="F1590" s="79">
        <v>1426</v>
      </c>
    </row>
    <row r="1591" spans="1:6">
      <c r="A1591" s="79" t="s">
        <v>2203</v>
      </c>
      <c r="B1591" s="79" t="s">
        <v>2198</v>
      </c>
      <c r="C1591" s="79" t="s">
        <v>2199</v>
      </c>
      <c r="D1591" s="79" t="str">
        <f t="shared" si="26"/>
        <v>Nyapea</v>
      </c>
      <c r="E1591" s="79"/>
      <c r="F1591" s="79">
        <v>1427</v>
      </c>
    </row>
    <row r="1592" spans="1:6">
      <c r="A1592" s="79" t="s">
        <v>2204</v>
      </c>
      <c r="B1592" s="79" t="s">
        <v>2198</v>
      </c>
      <c r="C1592" s="79" t="s">
        <v>2199</v>
      </c>
      <c r="D1592" s="79" t="str">
        <f t="shared" si="26"/>
        <v>Paidha</v>
      </c>
      <c r="E1592" s="79"/>
      <c r="F1592" s="79">
        <v>1428</v>
      </c>
    </row>
    <row r="1593" spans="1:6">
      <c r="A1593" s="79" t="s">
        <v>2205</v>
      </c>
      <c r="B1593" s="79" t="s">
        <v>2198</v>
      </c>
      <c r="C1593" s="79" t="s">
        <v>2199</v>
      </c>
      <c r="D1593" s="79" t="str">
        <f t="shared" si="26"/>
        <v>Paidha Town Council</v>
      </c>
      <c r="E1593" s="79"/>
      <c r="F1593" s="79">
        <v>1429</v>
      </c>
    </row>
    <row r="1594" spans="1:6">
      <c r="A1594" s="79" t="s">
        <v>2206</v>
      </c>
      <c r="B1594" s="79" t="s">
        <v>2198</v>
      </c>
      <c r="C1594" s="79" t="s">
        <v>2199</v>
      </c>
      <c r="D1594" s="79" t="str">
        <f t="shared" si="26"/>
        <v>Warr</v>
      </c>
      <c r="E1594" s="79"/>
      <c r="F1594" s="79">
        <v>1430</v>
      </c>
    </row>
    <row r="1595" spans="1:6">
      <c r="A1595" s="79" t="s">
        <v>2207</v>
      </c>
      <c r="B1595" s="79" t="s">
        <v>2198</v>
      </c>
      <c r="C1595" s="79" t="s">
        <v>2199</v>
      </c>
      <c r="D1595" s="79" t="str">
        <f t="shared" si="26"/>
        <v>Zeu</v>
      </c>
      <c r="E1595" s="79"/>
      <c r="F1595" s="79">
        <v>1431</v>
      </c>
    </row>
    <row r="1596" spans="1:6">
      <c r="A1596" s="79" t="s">
        <v>2208</v>
      </c>
      <c r="B1596" s="79" t="s">
        <v>2198</v>
      </c>
      <c r="C1596" s="79" t="s">
        <v>2199</v>
      </c>
      <c r="D1596" s="79" t="str">
        <f t="shared" si="26"/>
        <v>Zombo Town Council</v>
      </c>
      <c r="E1596" s="79"/>
      <c r="F1596" s="79">
        <v>1432</v>
      </c>
    </row>
    <row r="1597" spans="1:6" s="84" customFormat="1">
      <c r="A1597" s="87" t="s">
        <v>2209</v>
      </c>
      <c r="B1597" s="86"/>
      <c r="C1597" s="86"/>
      <c r="D1597" s="85"/>
      <c r="E1597" s="86"/>
      <c r="F1597" s="86"/>
    </row>
    <row r="1598" spans="1:6">
      <c r="A1598" s="79" t="s">
        <v>2210</v>
      </c>
      <c r="B1598" s="79" t="s">
        <v>49</v>
      </c>
      <c r="C1598" s="79" t="s">
        <v>2095</v>
      </c>
      <c r="D1598" s="79" t="str">
        <f t="shared" si="26"/>
        <v xml:space="preserve">Malaba </v>
      </c>
      <c r="E1598" s="79"/>
      <c r="F1598" s="79">
        <v>1433</v>
      </c>
    </row>
    <row r="1599" spans="1:6">
      <c r="A1599" s="79" t="s">
        <v>796</v>
      </c>
      <c r="B1599" s="79" t="s">
        <v>49</v>
      </c>
      <c r="C1599" s="79" t="s">
        <v>796</v>
      </c>
      <c r="D1599" s="79" t="str">
        <f t="shared" si="26"/>
        <v>Busia</v>
      </c>
      <c r="E1599" s="79"/>
      <c r="F1599" s="79">
        <v>1434</v>
      </c>
    </row>
    <row r="1600" spans="1:6">
      <c r="A1600" s="79" t="s">
        <v>2211</v>
      </c>
      <c r="B1600" s="79"/>
      <c r="C1600" s="79"/>
      <c r="D1600" s="79" t="str">
        <f t="shared" si="26"/>
        <v>Mombasa</v>
      </c>
      <c r="E1600" s="79"/>
      <c r="F1600" s="79">
        <v>1434</v>
      </c>
    </row>
    <row r="1601" spans="1:6">
      <c r="A1601" s="79" t="s">
        <v>2212</v>
      </c>
      <c r="B1601" s="79" t="s">
        <v>52</v>
      </c>
      <c r="C1601" s="79" t="s">
        <v>1517</v>
      </c>
      <c r="D1601" s="79" t="str">
        <f t="shared" si="26"/>
        <v>Mutukula</v>
      </c>
      <c r="E1601" s="79"/>
      <c r="F1601" s="79">
        <v>1435</v>
      </c>
    </row>
    <row r="1602" spans="1:6">
      <c r="A1602" s="79" t="s">
        <v>2213</v>
      </c>
      <c r="B1602" s="79" t="s">
        <v>42</v>
      </c>
      <c r="C1602" s="79" t="s">
        <v>981</v>
      </c>
      <c r="D1602" s="79" t="str">
        <f t="shared" si="26"/>
        <v>Katuna</v>
      </c>
      <c r="E1602" s="79"/>
      <c r="F1602" s="79">
        <v>1436</v>
      </c>
    </row>
    <row r="1603" spans="1:6">
      <c r="A1603" s="79" t="s">
        <v>2214</v>
      </c>
      <c r="B1603" s="79" t="s">
        <v>42</v>
      </c>
      <c r="C1603" s="79" t="s">
        <v>1404</v>
      </c>
      <c r="D1603" s="79" t="str">
        <f t="shared" ref="D1603:D1614" si="27">A1603</f>
        <v>Cyanika</v>
      </c>
      <c r="E1603" s="79"/>
      <c r="F1603" s="79">
        <v>1437</v>
      </c>
    </row>
    <row r="1604" spans="1:6">
      <c r="A1604" s="79" t="s">
        <v>2215</v>
      </c>
      <c r="B1604" s="79" t="s">
        <v>2216</v>
      </c>
      <c r="C1604" s="79" t="s">
        <v>1404</v>
      </c>
      <c r="D1604" s="79" t="str">
        <f t="shared" si="27"/>
        <v>Bunagana</v>
      </c>
      <c r="E1604" s="79"/>
      <c r="F1604" s="79">
        <v>1438</v>
      </c>
    </row>
    <row r="1605" spans="1:6">
      <c r="A1605" s="79" t="s">
        <v>53</v>
      </c>
      <c r="B1605" s="79" t="s">
        <v>2216</v>
      </c>
      <c r="C1605" s="79" t="s">
        <v>1264</v>
      </c>
      <c r="D1605" s="79" t="str">
        <f t="shared" si="27"/>
        <v>Ishasha</v>
      </c>
      <c r="E1605" s="79"/>
      <c r="F1605" s="79">
        <v>1439</v>
      </c>
    </row>
    <row r="1606" spans="1:6">
      <c r="A1606" s="79" t="s">
        <v>2217</v>
      </c>
      <c r="B1606" s="79" t="s">
        <v>2216</v>
      </c>
      <c r="C1606" s="79" t="s">
        <v>2218</v>
      </c>
      <c r="D1606" s="79" t="str">
        <f t="shared" si="27"/>
        <v>Mpondwe</v>
      </c>
      <c r="E1606" s="79"/>
      <c r="F1606" s="79">
        <v>1440</v>
      </c>
    </row>
    <row r="1607" spans="1:6">
      <c r="A1607" s="79" t="s">
        <v>2219</v>
      </c>
      <c r="B1607" s="79" t="s">
        <v>2216</v>
      </c>
      <c r="C1607" s="79" t="s">
        <v>2220</v>
      </c>
      <c r="D1607" s="79" t="str">
        <f t="shared" si="27"/>
        <v>Goli</v>
      </c>
      <c r="E1607" s="79"/>
      <c r="F1607" s="79">
        <v>1441</v>
      </c>
    </row>
    <row r="1608" spans="1:6">
      <c r="A1608" s="79" t="s">
        <v>720</v>
      </c>
      <c r="B1608" s="79" t="s">
        <v>49</v>
      </c>
      <c r="C1608" s="79" t="s">
        <v>709</v>
      </c>
      <c r="D1608" s="79" t="str">
        <f t="shared" si="27"/>
        <v>Suam</v>
      </c>
      <c r="E1608" s="79"/>
      <c r="F1608" s="79">
        <v>1442</v>
      </c>
    </row>
    <row r="1609" spans="1:6">
      <c r="A1609" s="79" t="s">
        <v>2221</v>
      </c>
      <c r="B1609" s="79" t="s">
        <v>2222</v>
      </c>
      <c r="C1609" s="79" t="s">
        <v>585</v>
      </c>
      <c r="D1609" s="79" t="str">
        <f t="shared" si="27"/>
        <v>Elegu</v>
      </c>
      <c r="E1609" s="79"/>
      <c r="F1609" s="79">
        <v>1443</v>
      </c>
    </row>
    <row r="1610" spans="1:6">
      <c r="A1610" s="79" t="s">
        <v>2223</v>
      </c>
      <c r="B1610" s="79" t="s">
        <v>2222</v>
      </c>
      <c r="C1610" s="79" t="s">
        <v>585</v>
      </c>
      <c r="D1610" s="79" t="str">
        <f t="shared" si="27"/>
        <v>Nimule</v>
      </c>
      <c r="E1610" s="79"/>
      <c r="F1610" s="79">
        <v>1443</v>
      </c>
    </row>
    <row r="1611" spans="1:6">
      <c r="A1611" s="79" t="s">
        <v>2224</v>
      </c>
      <c r="B1611" s="79" t="s">
        <v>42</v>
      </c>
      <c r="C1611" s="79" t="s">
        <v>2225</v>
      </c>
      <c r="D1611" s="79" t="str">
        <f t="shared" si="27"/>
        <v>Mirama Hills</v>
      </c>
      <c r="E1611" s="79"/>
      <c r="F1611" s="79">
        <v>1444</v>
      </c>
    </row>
    <row r="1612" spans="1:6">
      <c r="A1612" s="79" t="s">
        <v>2226</v>
      </c>
      <c r="B1612" s="79" t="s">
        <v>2222</v>
      </c>
      <c r="C1612" s="79" t="s">
        <v>1433</v>
      </c>
      <c r="D1612" s="79" t="str">
        <f t="shared" si="27"/>
        <v>Oraba</v>
      </c>
      <c r="E1612" s="79"/>
      <c r="F1612" s="79">
        <v>1445</v>
      </c>
    </row>
    <row r="1613" spans="1:6">
      <c r="A1613" s="79" t="s">
        <v>2227</v>
      </c>
      <c r="B1613" s="79" t="s">
        <v>2216</v>
      </c>
      <c r="C1613" s="79" t="s">
        <v>2198</v>
      </c>
      <c r="D1613" s="79" t="str">
        <f t="shared" si="27"/>
        <v>Padea</v>
      </c>
      <c r="E1613" s="79"/>
      <c r="F1613" s="79">
        <v>1446</v>
      </c>
    </row>
    <row r="1614" spans="1:6">
      <c r="A1614" s="79" t="s">
        <v>611</v>
      </c>
      <c r="B1614" s="79" t="s">
        <v>2216</v>
      </c>
      <c r="C1614" s="79" t="s">
        <v>606</v>
      </c>
      <c r="D1614" s="79" t="str">
        <f t="shared" si="27"/>
        <v>Vurra</v>
      </c>
      <c r="E1614" s="79"/>
      <c r="F1614" s="79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77" customWidth="1"/>
    <col min="2" max="2" width="17.42578125" style="78" customWidth="1"/>
    <col min="3" max="3" width="16.42578125" style="78" customWidth="1"/>
    <col min="4" max="4" width="25.140625" style="78" customWidth="1"/>
    <col min="5" max="5" width="17" style="78" customWidth="1"/>
    <col min="6" max="7" width="23.28515625" style="61" customWidth="1"/>
    <col min="8" max="8" width="25.140625" style="78" customWidth="1"/>
    <col min="9" max="16384" width="9.140625" style="61"/>
  </cols>
  <sheetData>
    <row r="1" spans="1:8" ht="16.5" thickTop="1" thickBot="1">
      <c r="A1" s="63" t="s">
        <v>2228</v>
      </c>
      <c r="B1" s="64" t="s">
        <v>56</v>
      </c>
      <c r="C1" s="64" t="s">
        <v>2229</v>
      </c>
      <c r="D1" s="64" t="s">
        <v>2230</v>
      </c>
      <c r="E1" s="64" t="s">
        <v>501</v>
      </c>
      <c r="F1" s="59" t="s">
        <v>2231</v>
      </c>
      <c r="G1" s="60" t="s">
        <v>498</v>
      </c>
      <c r="H1" s="64" t="s">
        <v>2230</v>
      </c>
    </row>
    <row r="2" spans="1:8" ht="15.75" thickTop="1">
      <c r="A2" s="65">
        <v>243</v>
      </c>
      <c r="B2" s="66" t="s">
        <v>540</v>
      </c>
      <c r="C2" s="66" t="s">
        <v>541</v>
      </c>
      <c r="D2" s="66" t="s">
        <v>539</v>
      </c>
      <c r="E2" s="66"/>
      <c r="F2" s="61" t="str">
        <f>D2</f>
        <v>Abako</v>
      </c>
      <c r="G2" s="61" t="str">
        <f>B2</f>
        <v>Alebtong</v>
      </c>
      <c r="H2" s="66" t="s">
        <v>539</v>
      </c>
    </row>
    <row r="3" spans="1:8">
      <c r="A3" s="67">
        <v>295</v>
      </c>
      <c r="B3" s="68" t="s">
        <v>2198</v>
      </c>
      <c r="C3" s="68" t="s">
        <v>2199</v>
      </c>
      <c r="D3" s="68" t="s">
        <v>2197</v>
      </c>
      <c r="E3" s="68"/>
      <c r="F3" s="61" t="str">
        <f t="shared" ref="F3:F66" si="0">D3</f>
        <v>Abanga</v>
      </c>
      <c r="G3" s="61" t="str">
        <f t="shared" ref="G3:G66" si="1">B3</f>
        <v>Zombo</v>
      </c>
      <c r="H3" s="68" t="s">
        <v>2197</v>
      </c>
    </row>
    <row r="4" spans="1:8">
      <c r="A4" s="67">
        <v>886</v>
      </c>
      <c r="B4" s="68" t="s">
        <v>569</v>
      </c>
      <c r="C4" s="68" t="s">
        <v>569</v>
      </c>
      <c r="D4" s="68" t="s">
        <v>568</v>
      </c>
      <c r="E4" s="68"/>
      <c r="F4" s="61" t="str">
        <f t="shared" si="0"/>
        <v>Abarilela</v>
      </c>
      <c r="G4" s="61" t="str">
        <f t="shared" si="1"/>
        <v>Amuria</v>
      </c>
      <c r="H4" s="68" t="s">
        <v>568</v>
      </c>
    </row>
    <row r="5" spans="1:8">
      <c r="A5" s="67">
        <v>215</v>
      </c>
      <c r="B5" s="68" t="s">
        <v>1933</v>
      </c>
      <c r="C5" s="68" t="s">
        <v>1933</v>
      </c>
      <c r="D5" s="68" t="s">
        <v>1932</v>
      </c>
      <c r="E5" s="68"/>
      <c r="F5" s="61" t="str">
        <f t="shared" si="0"/>
        <v>Aber</v>
      </c>
      <c r="G5" s="61" t="str">
        <f t="shared" si="1"/>
        <v>Oyam</v>
      </c>
      <c r="H5" s="68" t="s">
        <v>1932</v>
      </c>
    </row>
    <row r="6" spans="1:8">
      <c r="A6" s="67">
        <v>244</v>
      </c>
      <c r="B6" s="68" t="s">
        <v>540</v>
      </c>
      <c r="C6" s="68" t="s">
        <v>541</v>
      </c>
      <c r="D6" s="68" t="s">
        <v>542</v>
      </c>
      <c r="E6" s="68"/>
      <c r="F6" s="61" t="str">
        <f t="shared" si="0"/>
        <v>Abia</v>
      </c>
      <c r="G6" s="61" t="str">
        <f t="shared" si="1"/>
        <v>Alebtong</v>
      </c>
      <c r="H6" s="68" t="s">
        <v>542</v>
      </c>
    </row>
    <row r="7" spans="1:8">
      <c r="A7" s="67">
        <v>151</v>
      </c>
      <c r="B7" s="68" t="s">
        <v>503</v>
      </c>
      <c r="C7" s="68" t="s">
        <v>504</v>
      </c>
      <c r="D7" s="68" t="s">
        <v>503</v>
      </c>
      <c r="E7" s="68"/>
      <c r="F7" s="61" t="str">
        <f t="shared" si="0"/>
        <v>Abim</v>
      </c>
      <c r="G7" s="61" t="str">
        <f t="shared" si="1"/>
        <v>Abim</v>
      </c>
      <c r="H7" s="68" t="s">
        <v>503</v>
      </c>
    </row>
    <row r="8" spans="1:8">
      <c r="A8" s="67">
        <v>152</v>
      </c>
      <c r="B8" s="68" t="s">
        <v>503</v>
      </c>
      <c r="C8" s="68" t="s">
        <v>504</v>
      </c>
      <c r="D8" s="68" t="s">
        <v>505</v>
      </c>
      <c r="E8" s="68"/>
      <c r="F8" s="61" t="str">
        <f t="shared" si="0"/>
        <v>Abim Town Council</v>
      </c>
      <c r="G8" s="61" t="str">
        <f t="shared" si="1"/>
        <v>Abim</v>
      </c>
      <c r="H8" s="68" t="s">
        <v>505</v>
      </c>
    </row>
    <row r="9" spans="1:8">
      <c r="A9" s="67">
        <v>107</v>
      </c>
      <c r="B9" s="68" t="s">
        <v>1865</v>
      </c>
      <c r="C9" s="69" t="s">
        <v>1871</v>
      </c>
      <c r="D9" s="68" t="s">
        <v>2232</v>
      </c>
      <c r="E9" s="68"/>
      <c r="F9" s="62" t="str">
        <f>VLOOKUP(C9,[2]Municipalities!$C$9:$F$1522,4,FALSE)</f>
        <v>Nebbi Municipality</v>
      </c>
      <c r="G9" s="61" t="str">
        <f t="shared" si="1"/>
        <v>Nebbi</v>
      </c>
      <c r="H9" s="68" t="s">
        <v>2232</v>
      </c>
    </row>
    <row r="10" spans="1:8">
      <c r="A10" s="67">
        <v>216</v>
      </c>
      <c r="B10" s="68" t="s">
        <v>1933</v>
      </c>
      <c r="C10" s="68" t="s">
        <v>1933</v>
      </c>
      <c r="D10" s="68" t="s">
        <v>1934</v>
      </c>
      <c r="E10" s="68"/>
      <c r="F10" s="61" t="str">
        <f t="shared" si="0"/>
        <v>Abok</v>
      </c>
      <c r="G10" s="61" t="str">
        <f t="shared" si="1"/>
        <v>Oyam</v>
      </c>
      <c r="H10" s="68" t="s">
        <v>1934</v>
      </c>
    </row>
    <row r="11" spans="1:8">
      <c r="A11" s="67">
        <v>256</v>
      </c>
      <c r="B11" s="68" t="s">
        <v>1441</v>
      </c>
      <c r="C11" s="68" t="s">
        <v>1441</v>
      </c>
      <c r="D11" s="68" t="s">
        <v>1440</v>
      </c>
      <c r="E11" s="68"/>
      <c r="F11" s="61" t="str">
        <f t="shared" si="0"/>
        <v>Aboke</v>
      </c>
      <c r="G11" s="61" t="str">
        <f t="shared" si="1"/>
        <v>Kole</v>
      </c>
      <c r="H11" s="68" t="s">
        <v>1440</v>
      </c>
    </row>
    <row r="12" spans="1:8">
      <c r="A12" s="67">
        <v>11</v>
      </c>
      <c r="B12" s="68" t="s">
        <v>592</v>
      </c>
      <c r="C12" s="68" t="s">
        <v>593</v>
      </c>
      <c r="D12" s="68" t="s">
        <v>2233</v>
      </c>
      <c r="E12" s="68"/>
      <c r="F12" s="61" t="str">
        <f t="shared" si="0"/>
        <v>Abongomola</v>
      </c>
      <c r="G12" s="61" t="str">
        <f t="shared" si="1"/>
        <v>Apac</v>
      </c>
      <c r="H12" s="68" t="s">
        <v>2233</v>
      </c>
    </row>
    <row r="13" spans="1:8">
      <c r="A13" s="67">
        <v>198</v>
      </c>
      <c r="B13" s="68" t="s">
        <v>1433</v>
      </c>
      <c r="C13" s="68" t="s">
        <v>1433</v>
      </c>
      <c r="D13" s="68" t="s">
        <v>1432</v>
      </c>
      <c r="E13" s="68"/>
      <c r="F13" s="61" t="str">
        <f t="shared" si="0"/>
        <v>Abuku</v>
      </c>
      <c r="G13" s="61" t="str">
        <f t="shared" si="1"/>
        <v>Koboko</v>
      </c>
      <c r="H13" s="68" t="s">
        <v>1432</v>
      </c>
    </row>
    <row r="14" spans="1:8">
      <c r="A14" s="67">
        <v>217</v>
      </c>
      <c r="B14" s="68" t="s">
        <v>1933</v>
      </c>
      <c r="C14" s="68" t="s">
        <v>1933</v>
      </c>
      <c r="D14" s="68" t="s">
        <v>1935</v>
      </c>
      <c r="E14" s="68"/>
      <c r="F14" s="61" t="str">
        <f t="shared" si="0"/>
        <v>Acaba</v>
      </c>
      <c r="G14" s="61" t="str">
        <f t="shared" si="1"/>
        <v>Oyam</v>
      </c>
      <c r="H14" s="68" t="s">
        <v>1935</v>
      </c>
    </row>
    <row r="15" spans="1:8">
      <c r="A15" s="67">
        <v>126</v>
      </c>
      <c r="B15" s="68" t="s">
        <v>1946</v>
      </c>
      <c r="C15" s="68" t="s">
        <v>1947</v>
      </c>
      <c r="D15" s="68" t="s">
        <v>1945</v>
      </c>
      <c r="E15" s="68"/>
      <c r="F15" s="61" t="str">
        <f t="shared" si="0"/>
        <v>Acholibur</v>
      </c>
      <c r="G15" s="61" t="str">
        <f t="shared" si="1"/>
        <v>Pader</v>
      </c>
      <c r="H15" s="68" t="s">
        <v>1945</v>
      </c>
    </row>
    <row r="16" spans="1:8">
      <c r="A16" s="67">
        <v>897</v>
      </c>
      <c r="B16" s="68" t="s">
        <v>569</v>
      </c>
      <c r="C16" s="68" t="s">
        <v>571</v>
      </c>
      <c r="D16" s="68" t="s">
        <v>570</v>
      </c>
      <c r="E16" s="68"/>
      <c r="F16" s="61" t="str">
        <f t="shared" si="0"/>
        <v>Acowa</v>
      </c>
      <c r="G16" s="61" t="str">
        <f t="shared" si="1"/>
        <v>Amuria</v>
      </c>
      <c r="H16" s="68" t="s">
        <v>570</v>
      </c>
    </row>
    <row r="17" spans="1:8">
      <c r="A17" s="67">
        <v>173</v>
      </c>
      <c r="B17" s="68" t="s">
        <v>859</v>
      </c>
      <c r="C17" s="68" t="s">
        <v>859</v>
      </c>
      <c r="D17" s="68" t="s">
        <v>858</v>
      </c>
      <c r="E17" s="68"/>
      <c r="F17" s="61" t="str">
        <f t="shared" si="0"/>
        <v>Adeknino</v>
      </c>
      <c r="G17" s="61" t="str">
        <f t="shared" si="1"/>
        <v>Dokolo</v>
      </c>
      <c r="H17" s="68" t="s">
        <v>858</v>
      </c>
    </row>
    <row r="18" spans="1:8">
      <c r="A18" s="67">
        <v>79</v>
      </c>
      <c r="B18" s="68" t="s">
        <v>1536</v>
      </c>
      <c r="C18" s="68" t="s">
        <v>1537</v>
      </c>
      <c r="D18" s="68" t="s">
        <v>1535</v>
      </c>
      <c r="E18" s="68"/>
      <c r="F18" s="61" t="str">
        <f t="shared" si="0"/>
        <v>Adekokwok</v>
      </c>
      <c r="G18" s="61" t="str">
        <f t="shared" si="1"/>
        <v>Lira</v>
      </c>
      <c r="H18" s="68" t="s">
        <v>1535</v>
      </c>
    </row>
    <row r="19" spans="1:8">
      <c r="A19" s="67">
        <v>227</v>
      </c>
      <c r="B19" s="68" t="s">
        <v>523</v>
      </c>
      <c r="C19" s="68" t="s">
        <v>523</v>
      </c>
      <c r="D19" s="68" t="s">
        <v>522</v>
      </c>
      <c r="E19" s="68"/>
      <c r="F19" s="61" t="str">
        <f t="shared" si="0"/>
        <v>Adilang</v>
      </c>
      <c r="G19" s="61" t="str">
        <f t="shared" si="1"/>
        <v>Agago</v>
      </c>
      <c r="H19" s="68" t="s">
        <v>522</v>
      </c>
    </row>
    <row r="20" spans="1:8">
      <c r="A20" s="67">
        <v>1</v>
      </c>
      <c r="B20" s="68" t="s">
        <v>511</v>
      </c>
      <c r="C20" s="68" t="s">
        <v>512</v>
      </c>
      <c r="D20" s="68" t="s">
        <v>510</v>
      </c>
      <c r="E20" s="68"/>
      <c r="F20" s="61" t="str">
        <f t="shared" si="0"/>
        <v>Adjumani Town Council</v>
      </c>
      <c r="G20" s="61" t="str">
        <f t="shared" si="1"/>
        <v>Adjumani</v>
      </c>
      <c r="H20" s="68" t="s">
        <v>510</v>
      </c>
    </row>
    <row r="21" spans="1:8">
      <c r="A21" s="67">
        <v>174</v>
      </c>
      <c r="B21" s="68" t="s">
        <v>859</v>
      </c>
      <c r="C21" s="68" t="s">
        <v>859</v>
      </c>
      <c r="D21" s="68" t="s">
        <v>860</v>
      </c>
      <c r="E21" s="68"/>
      <c r="F21" s="61" t="str">
        <f t="shared" si="0"/>
        <v>Adok</v>
      </c>
      <c r="G21" s="61" t="str">
        <f t="shared" si="1"/>
        <v>Dokolo</v>
      </c>
      <c r="H21" s="68" t="s">
        <v>860</v>
      </c>
    </row>
    <row r="22" spans="1:8">
      <c r="A22" s="67">
        <v>2</v>
      </c>
      <c r="B22" s="68" t="s">
        <v>511</v>
      </c>
      <c r="C22" s="68" t="s">
        <v>512</v>
      </c>
      <c r="D22" s="68" t="s">
        <v>513</v>
      </c>
      <c r="E22" s="68"/>
      <c r="F22" s="61" t="str">
        <f t="shared" si="0"/>
        <v>Adropi</v>
      </c>
      <c r="G22" s="61" t="str">
        <f t="shared" si="1"/>
        <v>Adjumani</v>
      </c>
      <c r="H22" s="68" t="s">
        <v>513</v>
      </c>
    </row>
    <row r="23" spans="1:8">
      <c r="A23" s="67">
        <v>12</v>
      </c>
      <c r="B23" s="68" t="s">
        <v>592</v>
      </c>
      <c r="C23" s="68" t="s">
        <v>593</v>
      </c>
      <c r="D23" s="68" t="s">
        <v>594</v>
      </c>
      <c r="E23" s="68"/>
      <c r="F23" s="61" t="str">
        <f t="shared" si="0"/>
        <v>Aduku</v>
      </c>
      <c r="G23" s="61" t="str">
        <f t="shared" si="1"/>
        <v>Apac</v>
      </c>
      <c r="H23" s="68" t="s">
        <v>594</v>
      </c>
    </row>
    <row r="24" spans="1:8">
      <c r="A24" s="67">
        <v>13</v>
      </c>
      <c r="B24" s="68" t="s">
        <v>592</v>
      </c>
      <c r="C24" s="68" t="s">
        <v>593</v>
      </c>
      <c r="D24" s="68" t="s">
        <v>595</v>
      </c>
      <c r="E24" s="68"/>
      <c r="F24" s="61" t="str">
        <f t="shared" si="0"/>
        <v>Aduku Town Council</v>
      </c>
      <c r="G24" s="61" t="str">
        <f t="shared" si="1"/>
        <v>Apac</v>
      </c>
      <c r="H24" s="68" t="s">
        <v>595</v>
      </c>
    </row>
    <row r="25" spans="1:8">
      <c r="A25" s="67">
        <v>24</v>
      </c>
      <c r="B25" s="68" t="s">
        <v>606</v>
      </c>
      <c r="C25" s="68" t="s">
        <v>607</v>
      </c>
      <c r="D25" s="68" t="s">
        <v>605</v>
      </c>
      <c r="E25" s="68"/>
      <c r="F25" s="61" t="str">
        <f t="shared" si="0"/>
        <v>Adumi</v>
      </c>
      <c r="G25" s="61" t="str">
        <f t="shared" si="1"/>
        <v>Arua</v>
      </c>
      <c r="H25" s="68" t="s">
        <v>605</v>
      </c>
    </row>
    <row r="26" spans="1:8">
      <c r="A26" s="67">
        <v>287</v>
      </c>
      <c r="B26" s="68" t="s">
        <v>1924</v>
      </c>
      <c r="C26" s="68" t="s">
        <v>1924</v>
      </c>
      <c r="D26" s="68" t="s">
        <v>1923</v>
      </c>
      <c r="E26" s="68"/>
      <c r="F26" s="61" t="str">
        <f t="shared" si="0"/>
        <v>Adwari</v>
      </c>
      <c r="G26" s="61" t="str">
        <f t="shared" si="1"/>
        <v>Otuke</v>
      </c>
      <c r="H26" s="68" t="s">
        <v>1923</v>
      </c>
    </row>
    <row r="27" spans="1:8">
      <c r="A27" s="67">
        <v>88</v>
      </c>
      <c r="B27" s="68" t="s">
        <v>1536</v>
      </c>
      <c r="C27" s="69" t="s">
        <v>1543</v>
      </c>
      <c r="D27" s="68" t="s">
        <v>2234</v>
      </c>
      <c r="E27" s="68"/>
      <c r="F27" s="62" t="str">
        <f>VLOOKUP(C27,[2]Municipalities!$C$9:$F$1522,4,FALSE)</f>
        <v>Lira Municipality</v>
      </c>
      <c r="G27" s="61" t="str">
        <f t="shared" si="1"/>
        <v>Lira</v>
      </c>
      <c r="H27" s="68" t="s">
        <v>2234</v>
      </c>
    </row>
    <row r="28" spans="1:8">
      <c r="A28" s="67">
        <v>228</v>
      </c>
      <c r="B28" s="68" t="s">
        <v>523</v>
      </c>
      <c r="C28" s="68" t="s">
        <v>523</v>
      </c>
      <c r="D28" s="68" t="s">
        <v>524</v>
      </c>
      <c r="E28" s="68"/>
      <c r="F28" s="61" t="str">
        <f t="shared" si="0"/>
        <v>Agago Town Council</v>
      </c>
      <c r="G28" s="61" t="str">
        <f t="shared" si="1"/>
        <v>Agago</v>
      </c>
      <c r="H28" s="68" t="s">
        <v>524</v>
      </c>
    </row>
    <row r="29" spans="1:8">
      <c r="A29" s="67">
        <v>80</v>
      </c>
      <c r="B29" s="68" t="s">
        <v>1536</v>
      </c>
      <c r="C29" s="68" t="s">
        <v>1537</v>
      </c>
      <c r="D29" s="68" t="s">
        <v>1538</v>
      </c>
      <c r="E29" s="68"/>
      <c r="F29" s="61" t="str">
        <f t="shared" si="0"/>
        <v>Agali</v>
      </c>
      <c r="G29" s="61" t="str">
        <f t="shared" si="1"/>
        <v>Lira</v>
      </c>
      <c r="H29" s="68" t="s">
        <v>1538</v>
      </c>
    </row>
    <row r="30" spans="1:8">
      <c r="A30" s="67">
        <v>157</v>
      </c>
      <c r="B30" s="68" t="s">
        <v>551</v>
      </c>
      <c r="C30" s="68" t="s">
        <v>552</v>
      </c>
      <c r="D30" s="68" t="s">
        <v>550</v>
      </c>
      <c r="E30" s="68"/>
      <c r="F30" s="61" t="str">
        <f t="shared" si="0"/>
        <v>Agikdak</v>
      </c>
      <c r="G30" s="61" t="str">
        <f t="shared" si="1"/>
        <v>Amolatar</v>
      </c>
      <c r="H30" s="68" t="s">
        <v>550</v>
      </c>
    </row>
    <row r="31" spans="1:8">
      <c r="A31" s="67">
        <v>263</v>
      </c>
      <c r="B31" s="68" t="s">
        <v>1528</v>
      </c>
      <c r="C31" s="68" t="s">
        <v>1528</v>
      </c>
      <c r="D31" s="68" t="s">
        <v>1527</v>
      </c>
      <c r="E31" s="68"/>
      <c r="F31" s="61" t="str">
        <f t="shared" si="0"/>
        <v>Agoro</v>
      </c>
      <c r="G31" s="61" t="str">
        <f t="shared" si="1"/>
        <v>Lamwo</v>
      </c>
      <c r="H31" s="68" t="s">
        <v>1527</v>
      </c>
    </row>
    <row r="32" spans="1:8">
      <c r="A32" s="67">
        <v>802</v>
      </c>
      <c r="B32" s="68" t="s">
        <v>1966</v>
      </c>
      <c r="C32" s="68" t="s">
        <v>1965</v>
      </c>
      <c r="D32" s="68" t="s">
        <v>1965</v>
      </c>
      <c r="E32" s="68"/>
      <c r="F32" s="61" t="str">
        <f t="shared" si="0"/>
        <v>Agule</v>
      </c>
      <c r="G32" s="61" t="str">
        <f t="shared" si="1"/>
        <v>Pallisa</v>
      </c>
      <c r="H32" s="68" t="s">
        <v>1965</v>
      </c>
    </row>
    <row r="33" spans="1:8">
      <c r="A33" s="67">
        <v>175</v>
      </c>
      <c r="B33" s="68" t="s">
        <v>859</v>
      </c>
      <c r="C33" s="68" t="s">
        <v>859</v>
      </c>
      <c r="D33" s="68" t="s">
        <v>861</v>
      </c>
      <c r="E33" s="68"/>
      <c r="F33" s="61" t="str">
        <f t="shared" si="0"/>
        <v>Agwata</v>
      </c>
      <c r="G33" s="61" t="str">
        <f t="shared" si="1"/>
        <v>Dokolo</v>
      </c>
      <c r="H33" s="68" t="s">
        <v>861</v>
      </c>
    </row>
    <row r="34" spans="1:8">
      <c r="A34" s="67">
        <v>81</v>
      </c>
      <c r="B34" s="68" t="s">
        <v>1536</v>
      </c>
      <c r="C34" s="68" t="s">
        <v>1537</v>
      </c>
      <c r="D34" s="68" t="s">
        <v>1539</v>
      </c>
      <c r="E34" s="68"/>
      <c r="F34" s="61" t="str">
        <f t="shared" si="0"/>
        <v>Agweng</v>
      </c>
      <c r="G34" s="61" t="str">
        <f t="shared" si="1"/>
        <v>Lira</v>
      </c>
      <c r="H34" s="68" t="s">
        <v>1539</v>
      </c>
    </row>
    <row r="35" spans="1:8">
      <c r="A35" s="67">
        <v>158</v>
      </c>
      <c r="B35" s="68" t="s">
        <v>551</v>
      </c>
      <c r="C35" s="68" t="s">
        <v>552</v>
      </c>
      <c r="D35" s="68" t="s">
        <v>553</v>
      </c>
      <c r="E35" s="68"/>
      <c r="F35" s="61" t="str">
        <f t="shared" si="0"/>
        <v>Agwingiri</v>
      </c>
      <c r="G35" s="61" t="str">
        <f t="shared" si="1"/>
        <v>Amolatar</v>
      </c>
      <c r="H35" s="68" t="s">
        <v>553</v>
      </c>
    </row>
    <row r="36" spans="1:8">
      <c r="A36" s="67">
        <v>40</v>
      </c>
      <c r="B36" s="68" t="s">
        <v>606</v>
      </c>
      <c r="C36" s="68" t="s">
        <v>609</v>
      </c>
      <c r="D36" s="68" t="s">
        <v>608</v>
      </c>
      <c r="E36" s="68"/>
      <c r="F36" s="61" t="str">
        <f t="shared" si="0"/>
        <v>Aii-Vu</v>
      </c>
      <c r="G36" s="61" t="str">
        <f t="shared" si="1"/>
        <v>Arua</v>
      </c>
      <c r="H36" s="68" t="s">
        <v>608</v>
      </c>
    </row>
    <row r="37" spans="1:8">
      <c r="A37" s="67">
        <v>46</v>
      </c>
      <c r="B37" s="68" t="s">
        <v>606</v>
      </c>
      <c r="C37" s="68" t="s">
        <v>611</v>
      </c>
      <c r="D37" s="68" t="s">
        <v>610</v>
      </c>
      <c r="E37" s="68"/>
      <c r="F37" s="61" t="str">
        <f t="shared" si="0"/>
        <v>Ajia</v>
      </c>
      <c r="G37" s="61" t="str">
        <f t="shared" si="1"/>
        <v>Arua</v>
      </c>
      <c r="H37" s="68" t="s">
        <v>610</v>
      </c>
    </row>
    <row r="38" spans="1:8">
      <c r="A38" s="67">
        <v>257</v>
      </c>
      <c r="B38" s="68" t="s">
        <v>1441</v>
      </c>
      <c r="C38" s="68" t="s">
        <v>1441</v>
      </c>
      <c r="D38" s="68" t="s">
        <v>1442</v>
      </c>
      <c r="E38" s="68"/>
      <c r="F38" s="61" t="str">
        <f t="shared" si="0"/>
        <v>Akalo</v>
      </c>
      <c r="G38" s="61" t="str">
        <f t="shared" si="1"/>
        <v>Kole</v>
      </c>
      <c r="H38" s="68" t="s">
        <v>1442</v>
      </c>
    </row>
    <row r="39" spans="1:8">
      <c r="A39" s="67">
        <v>887</v>
      </c>
      <c r="B39" s="68" t="s">
        <v>569</v>
      </c>
      <c r="C39" s="68" t="s">
        <v>569</v>
      </c>
      <c r="D39" s="68" t="s">
        <v>572</v>
      </c>
      <c r="E39" s="68"/>
      <c r="F39" s="61" t="str">
        <f t="shared" si="0"/>
        <v>Akeriau</v>
      </c>
      <c r="G39" s="61" t="str">
        <f t="shared" si="1"/>
        <v>Amuria</v>
      </c>
      <c r="H39" s="68" t="s">
        <v>572</v>
      </c>
    </row>
    <row r="40" spans="1:8">
      <c r="A40" s="67">
        <v>803</v>
      </c>
      <c r="B40" s="68" t="s">
        <v>1966</v>
      </c>
      <c r="C40" s="68" t="s">
        <v>1965</v>
      </c>
      <c r="D40" s="68" t="s">
        <v>1967</v>
      </c>
      <c r="E40" s="68"/>
      <c r="F40" s="61" t="str">
        <f t="shared" si="0"/>
        <v>Akisim</v>
      </c>
      <c r="G40" s="61" t="str">
        <f t="shared" si="1"/>
        <v>Pallisa</v>
      </c>
      <c r="H40" s="68" t="s">
        <v>1967</v>
      </c>
    </row>
    <row r="41" spans="1:8">
      <c r="A41" s="67">
        <v>17</v>
      </c>
      <c r="B41" s="68" t="s">
        <v>592</v>
      </c>
      <c r="C41" s="68" t="s">
        <v>597</v>
      </c>
      <c r="D41" s="68" t="s">
        <v>596</v>
      </c>
      <c r="E41" s="68"/>
      <c r="F41" s="61" t="str">
        <f t="shared" si="0"/>
        <v>Akokoro</v>
      </c>
      <c r="G41" s="61" t="str">
        <f t="shared" si="1"/>
        <v>Apac</v>
      </c>
      <c r="H41" s="68" t="s">
        <v>596</v>
      </c>
    </row>
    <row r="42" spans="1:8">
      <c r="A42" s="67">
        <v>898</v>
      </c>
      <c r="B42" s="68" t="s">
        <v>569</v>
      </c>
      <c r="C42" s="68" t="s">
        <v>571</v>
      </c>
      <c r="D42" s="68" t="s">
        <v>573</v>
      </c>
      <c r="E42" s="68"/>
      <c r="F42" s="61" t="str">
        <f t="shared" si="0"/>
        <v>Akoromit</v>
      </c>
      <c r="G42" s="61" t="str">
        <f t="shared" si="1"/>
        <v>Amuria</v>
      </c>
      <c r="H42" s="68" t="s">
        <v>573</v>
      </c>
    </row>
    <row r="43" spans="1:8">
      <c r="A43" s="67">
        <v>245</v>
      </c>
      <c r="B43" s="68" t="s">
        <v>540</v>
      </c>
      <c r="C43" s="68" t="s">
        <v>541</v>
      </c>
      <c r="D43" s="68" t="s">
        <v>543</v>
      </c>
      <c r="E43" s="68"/>
      <c r="F43" s="61" t="str">
        <f t="shared" si="0"/>
        <v>Akura</v>
      </c>
      <c r="G43" s="61" t="str">
        <f t="shared" si="1"/>
        <v>Alebtong</v>
      </c>
      <c r="H43" s="68" t="s">
        <v>543</v>
      </c>
    </row>
    <row r="44" spans="1:8">
      <c r="A44" s="67">
        <v>159</v>
      </c>
      <c r="B44" s="68" t="s">
        <v>551</v>
      </c>
      <c r="C44" s="68" t="s">
        <v>552</v>
      </c>
      <c r="D44" s="68" t="s">
        <v>554</v>
      </c>
      <c r="E44" s="68"/>
      <c r="F44" s="61" t="str">
        <f t="shared" si="0"/>
        <v>Akwon</v>
      </c>
      <c r="G44" s="61" t="str">
        <f t="shared" si="1"/>
        <v>Amolatar</v>
      </c>
      <c r="H44" s="68" t="s">
        <v>554</v>
      </c>
    </row>
    <row r="45" spans="1:8">
      <c r="A45" s="67">
        <v>110</v>
      </c>
      <c r="B45" s="68" t="s">
        <v>1865</v>
      </c>
      <c r="C45" s="68" t="s">
        <v>1866</v>
      </c>
      <c r="D45" s="68" t="s">
        <v>1864</v>
      </c>
      <c r="E45" s="68"/>
      <c r="F45" s="61" t="str">
        <f t="shared" si="0"/>
        <v>Akworo</v>
      </c>
      <c r="G45" s="61" t="str">
        <f t="shared" si="1"/>
        <v>Nebbi</v>
      </c>
      <c r="H45" s="68" t="s">
        <v>1864</v>
      </c>
    </row>
    <row r="46" spans="1:8">
      <c r="A46" s="67">
        <v>288</v>
      </c>
      <c r="B46" s="68" t="s">
        <v>1924</v>
      </c>
      <c r="C46" s="68" t="s">
        <v>1924</v>
      </c>
      <c r="D46" s="68" t="s">
        <v>1925</v>
      </c>
      <c r="E46" s="68"/>
      <c r="F46" s="61" t="str">
        <f t="shared" si="0"/>
        <v>Alango</v>
      </c>
      <c r="G46" s="61" t="str">
        <f t="shared" si="1"/>
        <v>Otuke</v>
      </c>
      <c r="H46" s="68" t="s">
        <v>1925</v>
      </c>
    </row>
    <row r="47" spans="1:8">
      <c r="A47" s="67">
        <v>246</v>
      </c>
      <c r="B47" s="68" t="s">
        <v>540</v>
      </c>
      <c r="C47" s="68" t="s">
        <v>541</v>
      </c>
      <c r="D47" s="68" t="s">
        <v>544</v>
      </c>
      <c r="E47" s="68"/>
      <c r="F47" s="61" t="str">
        <f t="shared" si="0"/>
        <v>Alebtong Town Council</v>
      </c>
      <c r="G47" s="61" t="str">
        <f t="shared" si="1"/>
        <v>Alebtong</v>
      </c>
      <c r="H47" s="68" t="s">
        <v>544</v>
      </c>
    </row>
    <row r="48" spans="1:8">
      <c r="A48" s="67">
        <v>218</v>
      </c>
      <c r="B48" s="68" t="s">
        <v>1933</v>
      </c>
      <c r="C48" s="68" t="s">
        <v>1933</v>
      </c>
      <c r="D48" s="68" t="s">
        <v>1936</v>
      </c>
      <c r="E48" s="68"/>
      <c r="F48" s="61" t="str">
        <f t="shared" si="0"/>
        <v>Aleka</v>
      </c>
      <c r="G48" s="61" t="str">
        <f t="shared" si="1"/>
        <v>Oyam</v>
      </c>
      <c r="H48" s="68" t="s">
        <v>1936</v>
      </c>
    </row>
    <row r="49" spans="1:8">
      <c r="A49" s="67">
        <v>153</v>
      </c>
      <c r="B49" s="68" t="s">
        <v>503</v>
      </c>
      <c r="C49" s="68" t="s">
        <v>504</v>
      </c>
      <c r="D49" s="68" t="s">
        <v>506</v>
      </c>
      <c r="E49" s="68"/>
      <c r="F49" s="61" t="str">
        <f t="shared" si="0"/>
        <v>Alerek</v>
      </c>
      <c r="G49" s="61" t="str">
        <f t="shared" si="1"/>
        <v>Abim</v>
      </c>
      <c r="H49" s="68" t="s">
        <v>506</v>
      </c>
    </row>
    <row r="50" spans="1:8">
      <c r="A50" s="67">
        <v>282</v>
      </c>
      <c r="B50" s="68" t="s">
        <v>1911</v>
      </c>
      <c r="C50" s="68" t="s">
        <v>1911</v>
      </c>
      <c r="D50" s="68" t="s">
        <v>1910</v>
      </c>
      <c r="E50" s="68"/>
      <c r="F50" s="61" t="str">
        <f t="shared" si="0"/>
        <v>Alero</v>
      </c>
      <c r="G50" s="61" t="str">
        <f t="shared" si="1"/>
        <v>Nwoya</v>
      </c>
      <c r="H50" s="68" t="s">
        <v>1910</v>
      </c>
    </row>
    <row r="51" spans="1:8">
      <c r="A51" s="67">
        <v>98</v>
      </c>
      <c r="B51" s="68" t="s">
        <v>1718</v>
      </c>
      <c r="C51" s="68" t="s">
        <v>1719</v>
      </c>
      <c r="D51" s="68" t="s">
        <v>1717</v>
      </c>
      <c r="E51" s="68"/>
      <c r="F51" s="61" t="str">
        <f t="shared" si="0"/>
        <v>Aliba</v>
      </c>
      <c r="G51" s="61" t="str">
        <f t="shared" si="1"/>
        <v>Moyo</v>
      </c>
      <c r="H51" s="68" t="s">
        <v>1717</v>
      </c>
    </row>
    <row r="52" spans="1:8">
      <c r="A52" s="67">
        <v>258</v>
      </c>
      <c r="B52" s="68" t="s">
        <v>1441</v>
      </c>
      <c r="C52" s="68" t="s">
        <v>1441</v>
      </c>
      <c r="D52" s="68" t="s">
        <v>1443</v>
      </c>
      <c r="E52" s="68"/>
      <c r="F52" s="61" t="str">
        <f t="shared" si="0"/>
        <v>Alito</v>
      </c>
      <c r="G52" s="61" t="str">
        <f t="shared" si="1"/>
        <v>Kole</v>
      </c>
      <c r="H52" s="68" t="s">
        <v>1443</v>
      </c>
    </row>
    <row r="53" spans="1:8">
      <c r="A53" s="67">
        <v>247</v>
      </c>
      <c r="B53" s="68" t="s">
        <v>540</v>
      </c>
      <c r="C53" s="68" t="s">
        <v>541</v>
      </c>
      <c r="D53" s="68" t="s">
        <v>545</v>
      </c>
      <c r="E53" s="68"/>
      <c r="F53" s="61" t="str">
        <f t="shared" si="0"/>
        <v>Aloi</v>
      </c>
      <c r="G53" s="61" t="str">
        <f t="shared" si="1"/>
        <v>Alebtong</v>
      </c>
      <c r="H53" s="68" t="s">
        <v>545</v>
      </c>
    </row>
    <row r="54" spans="1:8">
      <c r="A54" s="67">
        <v>839</v>
      </c>
      <c r="B54" s="68" t="s">
        <v>1010</v>
      </c>
      <c r="C54" s="68" t="s">
        <v>1010</v>
      </c>
      <c r="D54" s="68" t="s">
        <v>1009</v>
      </c>
      <c r="E54" s="68"/>
      <c r="F54" s="61" t="str">
        <f t="shared" si="0"/>
        <v>Alwa</v>
      </c>
      <c r="G54" s="61" t="str">
        <f t="shared" si="1"/>
        <v>Kaberamaido</v>
      </c>
      <c r="H54" s="68" t="s">
        <v>1009</v>
      </c>
    </row>
    <row r="55" spans="1:8">
      <c r="A55" s="67">
        <v>312</v>
      </c>
      <c r="B55" s="68" t="s">
        <v>1959</v>
      </c>
      <c r="C55" s="68" t="s">
        <v>1960</v>
      </c>
      <c r="D55" s="68" t="s">
        <v>1958</v>
      </c>
      <c r="E55" s="68"/>
      <c r="F55" s="61" t="str">
        <f t="shared" si="0"/>
        <v>Alwi</v>
      </c>
      <c r="G55" s="61" t="str">
        <f t="shared" si="1"/>
        <v>Pakwach</v>
      </c>
      <c r="H55" s="68" t="s">
        <v>1958</v>
      </c>
    </row>
    <row r="56" spans="1:8">
      <c r="A56" s="67">
        <v>82</v>
      </c>
      <c r="B56" s="68" t="s">
        <v>1536</v>
      </c>
      <c r="C56" s="68" t="s">
        <v>1537</v>
      </c>
      <c r="D56" s="68" t="s">
        <v>1540</v>
      </c>
      <c r="E56" s="68"/>
      <c r="F56" s="61" t="str">
        <f t="shared" si="0"/>
        <v>Amach</v>
      </c>
      <c r="G56" s="61" t="str">
        <f t="shared" si="1"/>
        <v>Lira</v>
      </c>
      <c r="H56" s="68" t="s">
        <v>1540</v>
      </c>
    </row>
    <row r="57" spans="1:8">
      <c r="A57" s="67">
        <v>160</v>
      </c>
      <c r="B57" s="68" t="s">
        <v>551</v>
      </c>
      <c r="C57" s="68" t="s">
        <v>552</v>
      </c>
      <c r="D57" s="68" t="s">
        <v>555</v>
      </c>
      <c r="E57" s="68"/>
      <c r="F57" s="61" t="str">
        <f t="shared" si="0"/>
        <v>Amolatar Town Council</v>
      </c>
      <c r="G57" s="61" t="str">
        <f t="shared" si="1"/>
        <v>Amolatar</v>
      </c>
      <c r="H57" s="68" t="s">
        <v>555</v>
      </c>
    </row>
    <row r="58" spans="1:8">
      <c r="A58" s="67">
        <v>252</v>
      </c>
      <c r="B58" s="68" t="s">
        <v>563</v>
      </c>
      <c r="C58" s="68" t="s">
        <v>564</v>
      </c>
      <c r="D58" s="68" t="s">
        <v>563</v>
      </c>
      <c r="E58" s="68"/>
      <c r="F58" s="61" t="str">
        <f t="shared" si="0"/>
        <v>Amudat</v>
      </c>
      <c r="G58" s="61" t="str">
        <f t="shared" si="1"/>
        <v>Amudat</v>
      </c>
      <c r="H58" s="68" t="s">
        <v>563</v>
      </c>
    </row>
    <row r="59" spans="1:8">
      <c r="A59" s="67">
        <v>253</v>
      </c>
      <c r="B59" s="68" t="s">
        <v>563</v>
      </c>
      <c r="C59" s="68" t="s">
        <v>564</v>
      </c>
      <c r="D59" s="68" t="s">
        <v>565</v>
      </c>
      <c r="E59" s="68"/>
      <c r="F59" s="61" t="str">
        <f t="shared" si="0"/>
        <v>Amudat Town Council</v>
      </c>
      <c r="G59" s="61" t="str">
        <f t="shared" si="1"/>
        <v>Amudat</v>
      </c>
      <c r="H59" s="68" t="s">
        <v>565</v>
      </c>
    </row>
    <row r="60" spans="1:8">
      <c r="A60" s="67">
        <v>248</v>
      </c>
      <c r="B60" s="68" t="s">
        <v>540</v>
      </c>
      <c r="C60" s="68" t="s">
        <v>541</v>
      </c>
      <c r="D60" s="68" t="s">
        <v>546</v>
      </c>
      <c r="E60" s="68"/>
      <c r="F60" s="61" t="str">
        <f t="shared" si="0"/>
        <v>Amugu</v>
      </c>
      <c r="G60" s="61" t="str">
        <f t="shared" si="1"/>
        <v>Alebtong</v>
      </c>
      <c r="H60" s="68" t="s">
        <v>546</v>
      </c>
    </row>
    <row r="61" spans="1:8">
      <c r="A61" s="67">
        <v>739</v>
      </c>
      <c r="B61" s="68" t="s">
        <v>1283</v>
      </c>
      <c r="C61" s="68" t="s">
        <v>1284</v>
      </c>
      <c r="D61" s="68" t="s">
        <v>1282</v>
      </c>
      <c r="E61" s="68"/>
      <c r="F61" s="61" t="str">
        <f t="shared" si="0"/>
        <v>Amukol</v>
      </c>
      <c r="G61" s="61" t="str">
        <f t="shared" si="1"/>
        <v>Kapchorwa</v>
      </c>
      <c r="H61" s="68" t="s">
        <v>1282</v>
      </c>
    </row>
    <row r="62" spans="1:8">
      <c r="A62" s="67">
        <v>888</v>
      </c>
      <c r="B62" s="68" t="s">
        <v>569</v>
      </c>
      <c r="C62" s="68" t="s">
        <v>569</v>
      </c>
      <c r="D62" s="68" t="s">
        <v>574</v>
      </c>
      <c r="E62" s="68"/>
      <c r="F62" s="61" t="str">
        <f t="shared" si="0"/>
        <v>Amuria Town Council</v>
      </c>
      <c r="G62" s="61" t="str">
        <f t="shared" si="1"/>
        <v>Amuria</v>
      </c>
      <c r="H62" s="68" t="s">
        <v>574</v>
      </c>
    </row>
    <row r="63" spans="1:8">
      <c r="A63" s="67">
        <v>168</v>
      </c>
      <c r="B63" s="68" t="s">
        <v>585</v>
      </c>
      <c r="C63" s="68" t="s">
        <v>586</v>
      </c>
      <c r="D63" s="68" t="s">
        <v>585</v>
      </c>
      <c r="E63" s="68"/>
      <c r="F63" s="61" t="str">
        <f t="shared" si="0"/>
        <v>Amuru</v>
      </c>
      <c r="G63" s="61" t="str">
        <f t="shared" si="1"/>
        <v>Amuru</v>
      </c>
      <c r="H63" s="68" t="s">
        <v>585</v>
      </c>
    </row>
    <row r="64" spans="1:8">
      <c r="A64" s="67">
        <v>169</v>
      </c>
      <c r="B64" s="68" t="s">
        <v>585</v>
      </c>
      <c r="C64" s="68" t="s">
        <v>586</v>
      </c>
      <c r="D64" s="68" t="s">
        <v>587</v>
      </c>
      <c r="E64" s="68"/>
      <c r="F64" s="61" t="str">
        <f t="shared" si="0"/>
        <v>Amuru Town Council</v>
      </c>
      <c r="G64" s="61" t="str">
        <f t="shared" si="1"/>
        <v>Amuru</v>
      </c>
      <c r="H64" s="68" t="s">
        <v>587</v>
      </c>
    </row>
    <row r="65" spans="1:8">
      <c r="A65" s="67">
        <v>176</v>
      </c>
      <c r="B65" s="68" t="s">
        <v>859</v>
      </c>
      <c r="C65" s="68" t="s">
        <v>859</v>
      </c>
      <c r="D65" s="68" t="s">
        <v>862</v>
      </c>
      <c r="E65" s="68"/>
      <c r="F65" s="61" t="str">
        <f t="shared" si="0"/>
        <v>Amwoma</v>
      </c>
      <c r="G65" s="61" t="str">
        <f t="shared" si="1"/>
        <v>Dokolo</v>
      </c>
      <c r="H65" s="68" t="s">
        <v>862</v>
      </c>
    </row>
    <row r="66" spans="1:8">
      <c r="A66" s="67">
        <v>283</v>
      </c>
      <c r="B66" s="68" t="s">
        <v>1911</v>
      </c>
      <c r="C66" s="68" t="s">
        <v>1911</v>
      </c>
      <c r="D66" s="68" t="s">
        <v>1912</v>
      </c>
      <c r="E66" s="68"/>
      <c r="F66" s="61" t="str">
        <f t="shared" si="0"/>
        <v>Anaka Payira</v>
      </c>
      <c r="G66" s="61" t="str">
        <f t="shared" si="1"/>
        <v>Nwoya</v>
      </c>
      <c r="H66" s="68" t="s">
        <v>1912</v>
      </c>
    </row>
    <row r="67" spans="1:8">
      <c r="A67" s="67">
        <v>285</v>
      </c>
      <c r="B67" s="68" t="s">
        <v>1911</v>
      </c>
      <c r="C67" s="68" t="s">
        <v>1911</v>
      </c>
      <c r="D67" s="68" t="s">
        <v>1913</v>
      </c>
      <c r="E67" s="68"/>
      <c r="F67" s="61" t="str">
        <f t="shared" ref="F67:F117" si="2">D67</f>
        <v>Anaka Town Council</v>
      </c>
      <c r="G67" s="61" t="str">
        <f t="shared" ref="G67:G72" si="3">B67</f>
        <v>Nwoya</v>
      </c>
      <c r="H67" s="68" t="s">
        <v>1913</v>
      </c>
    </row>
    <row r="68" spans="1:8">
      <c r="A68" s="67">
        <v>127</v>
      </c>
      <c r="B68" s="68" t="s">
        <v>1946</v>
      </c>
      <c r="C68" s="68" t="s">
        <v>1947</v>
      </c>
      <c r="D68" s="68" t="s">
        <v>1948</v>
      </c>
      <c r="E68" s="68"/>
      <c r="F68" s="61" t="str">
        <f t="shared" si="2"/>
        <v>Angagura</v>
      </c>
      <c r="G68" s="61" t="str">
        <f t="shared" si="3"/>
        <v>Pader</v>
      </c>
      <c r="H68" s="68" t="s">
        <v>1948</v>
      </c>
    </row>
    <row r="69" spans="1:8">
      <c r="A69" s="67">
        <v>845</v>
      </c>
      <c r="B69" s="68" t="s">
        <v>1010</v>
      </c>
      <c r="C69" s="68" t="s">
        <v>1012</v>
      </c>
      <c r="D69" s="68" t="s">
        <v>1011</v>
      </c>
      <c r="E69" s="68"/>
      <c r="F69" s="61" t="str">
        <f t="shared" si="2"/>
        <v>Anyara</v>
      </c>
      <c r="G69" s="61" t="str">
        <f t="shared" si="3"/>
        <v>Kaberamaido</v>
      </c>
      <c r="H69" s="68" t="s">
        <v>1011</v>
      </c>
    </row>
    <row r="70" spans="1:8">
      <c r="A70" s="67">
        <v>31</v>
      </c>
      <c r="B70" s="68" t="s">
        <v>606</v>
      </c>
      <c r="C70" s="68" t="s">
        <v>613</v>
      </c>
      <c r="D70" s="68" t="s">
        <v>612</v>
      </c>
      <c r="E70" s="68"/>
      <c r="F70" s="61" t="str">
        <f t="shared" si="2"/>
        <v>Anyiribu</v>
      </c>
      <c r="G70" s="61" t="str">
        <f t="shared" si="3"/>
        <v>Arua</v>
      </c>
      <c r="H70" s="68" t="s">
        <v>612</v>
      </c>
    </row>
    <row r="71" spans="1:8">
      <c r="A71" s="67">
        <v>20</v>
      </c>
      <c r="B71" s="70" t="s">
        <v>592</v>
      </c>
      <c r="C71" s="71" t="s">
        <v>599</v>
      </c>
      <c r="D71" s="70" t="s">
        <v>592</v>
      </c>
      <c r="E71" s="70"/>
      <c r="F71" s="62" t="str">
        <f>VLOOKUP(C71,[2]Municipalities!$C$9:$F$1522,4,FALSE)</f>
        <v>Apac Muicipality</v>
      </c>
      <c r="G71" s="61" t="str">
        <f t="shared" si="3"/>
        <v>Apac</v>
      </c>
      <c r="H71" s="70" t="s">
        <v>592</v>
      </c>
    </row>
    <row r="72" spans="1:8">
      <c r="A72" s="67">
        <v>21</v>
      </c>
      <c r="B72" s="70" t="s">
        <v>592</v>
      </c>
      <c r="C72" s="71" t="s">
        <v>599</v>
      </c>
      <c r="D72" s="70" t="s">
        <v>2235</v>
      </c>
      <c r="E72" s="70"/>
      <c r="F72" s="62" t="str">
        <f>VLOOKUP(C72,[2]Municipalities!$C$9:$F$1522,4,FALSE)</f>
        <v>Apac Muicipality</v>
      </c>
      <c r="G72" s="61" t="str">
        <f t="shared" si="3"/>
        <v>Apac</v>
      </c>
      <c r="H72" s="70" t="s">
        <v>2235</v>
      </c>
    </row>
    <row r="73" spans="1:8">
      <c r="A73" s="67">
        <v>249</v>
      </c>
      <c r="B73" s="68" t="s">
        <v>540</v>
      </c>
      <c r="C73" s="68" t="s">
        <v>541</v>
      </c>
      <c r="D73" s="68" t="s">
        <v>547</v>
      </c>
      <c r="E73" s="68"/>
      <c r="F73" s="61" t="str">
        <f t="shared" si="2"/>
        <v>Apala</v>
      </c>
      <c r="G73" s="61" t="str">
        <f>B73</f>
        <v>Alebtong</v>
      </c>
      <c r="H73" s="68" t="s">
        <v>547</v>
      </c>
    </row>
    <row r="74" spans="1:8">
      <c r="A74" s="67">
        <v>846</v>
      </c>
      <c r="B74" s="68" t="s">
        <v>1010</v>
      </c>
      <c r="C74" s="68" t="s">
        <v>1012</v>
      </c>
      <c r="D74" s="68" t="s">
        <v>1013</v>
      </c>
      <c r="E74" s="68"/>
      <c r="F74" s="61" t="str">
        <f t="shared" si="2"/>
        <v>Apapai</v>
      </c>
      <c r="G74" s="61" t="str">
        <f t="shared" ref="G74:G137" si="4">B74</f>
        <v>Kaberamaido</v>
      </c>
      <c r="H74" s="68" t="s">
        <v>1013</v>
      </c>
    </row>
    <row r="75" spans="1:8">
      <c r="A75" s="67">
        <v>889</v>
      </c>
      <c r="B75" s="68" t="s">
        <v>569</v>
      </c>
      <c r="C75" s="68" t="s">
        <v>569</v>
      </c>
      <c r="D75" s="68" t="s">
        <v>575</v>
      </c>
      <c r="E75" s="68"/>
      <c r="F75" s="61" t="str">
        <f t="shared" si="2"/>
        <v>Apeduru</v>
      </c>
      <c r="G75" s="61" t="str">
        <f t="shared" si="4"/>
        <v>Amuria</v>
      </c>
      <c r="H75" s="68" t="s">
        <v>575</v>
      </c>
    </row>
    <row r="76" spans="1:8">
      <c r="A76" s="67">
        <v>840</v>
      </c>
      <c r="B76" s="68" t="s">
        <v>1010</v>
      </c>
      <c r="C76" s="68" t="s">
        <v>1010</v>
      </c>
      <c r="D76" s="68" t="s">
        <v>1014</v>
      </c>
      <c r="E76" s="68"/>
      <c r="F76" s="61" t="str">
        <f t="shared" si="2"/>
        <v>Aperkira</v>
      </c>
      <c r="G76" s="61" t="str">
        <f t="shared" si="4"/>
        <v>Kaberamaido</v>
      </c>
      <c r="H76" s="68" t="s">
        <v>1014</v>
      </c>
    </row>
    <row r="77" spans="1:8">
      <c r="A77" s="67">
        <v>138</v>
      </c>
      <c r="B77" s="68" t="s">
        <v>2183</v>
      </c>
      <c r="C77" s="68" t="s">
        <v>2184</v>
      </c>
      <c r="D77" s="68" t="s">
        <v>2182</v>
      </c>
      <c r="E77" s="68"/>
      <c r="F77" s="61" t="str">
        <f t="shared" si="2"/>
        <v>Apo</v>
      </c>
      <c r="G77" s="61" t="str">
        <f t="shared" si="4"/>
        <v>Yumbe</v>
      </c>
      <c r="H77" s="68" t="s">
        <v>2182</v>
      </c>
    </row>
    <row r="78" spans="1:8">
      <c r="A78" s="67">
        <v>804</v>
      </c>
      <c r="B78" s="68" t="s">
        <v>1966</v>
      </c>
      <c r="C78" s="68" t="s">
        <v>1965</v>
      </c>
      <c r="D78" s="68" t="s">
        <v>1968</v>
      </c>
      <c r="E78" s="68"/>
      <c r="F78" s="61" t="str">
        <f t="shared" si="2"/>
        <v>Apopong</v>
      </c>
      <c r="G78" s="61" t="str">
        <f t="shared" si="4"/>
        <v>Pallisa</v>
      </c>
      <c r="H78" s="68" t="s">
        <v>1968</v>
      </c>
    </row>
    <row r="79" spans="1:8">
      <c r="A79" s="67">
        <v>161</v>
      </c>
      <c r="B79" s="68" t="s">
        <v>551</v>
      </c>
      <c r="C79" s="68" t="s">
        <v>552</v>
      </c>
      <c r="D79" s="68" t="s">
        <v>556</v>
      </c>
      <c r="E79" s="68"/>
      <c r="F79" s="61" t="str">
        <f t="shared" si="2"/>
        <v>Aputi</v>
      </c>
      <c r="G79" s="61" t="str">
        <f t="shared" si="4"/>
        <v>Amolatar</v>
      </c>
      <c r="H79" s="68" t="s">
        <v>556</v>
      </c>
    </row>
    <row r="80" spans="1:8">
      <c r="A80" s="67">
        <v>813</v>
      </c>
      <c r="B80" s="68" t="s">
        <v>2077</v>
      </c>
      <c r="C80" s="68" t="s">
        <v>2077</v>
      </c>
      <c r="D80" s="68" t="s">
        <v>2076</v>
      </c>
      <c r="E80" s="68"/>
      <c r="F80" s="61" t="str">
        <f t="shared" si="2"/>
        <v>Arapai</v>
      </c>
      <c r="G80" s="61" t="str">
        <f t="shared" si="4"/>
        <v>Soroti</v>
      </c>
      <c r="H80" s="68" t="s">
        <v>2076</v>
      </c>
    </row>
    <row r="81" spans="1:8">
      <c r="A81" s="67">
        <v>3</v>
      </c>
      <c r="B81" s="68" t="s">
        <v>511</v>
      </c>
      <c r="C81" s="68" t="s">
        <v>512</v>
      </c>
      <c r="D81" s="68" t="s">
        <v>514</v>
      </c>
      <c r="E81" s="68"/>
      <c r="F81" s="61" t="str">
        <f t="shared" si="2"/>
        <v>Arinyapi</v>
      </c>
      <c r="G81" s="61" t="str">
        <f t="shared" si="4"/>
        <v>Adjumani</v>
      </c>
      <c r="H81" s="68" t="s">
        <v>514</v>
      </c>
    </row>
    <row r="82" spans="1:8">
      <c r="A82" s="67">
        <v>47</v>
      </c>
      <c r="B82" s="68" t="s">
        <v>606</v>
      </c>
      <c r="C82" s="68" t="s">
        <v>611</v>
      </c>
      <c r="D82" s="68" t="s">
        <v>614</v>
      </c>
      <c r="E82" s="68"/>
      <c r="F82" s="61" t="str">
        <f t="shared" si="2"/>
        <v>Arivu</v>
      </c>
      <c r="G82" s="61" t="str">
        <f t="shared" si="4"/>
        <v>Arua</v>
      </c>
      <c r="H82" s="68" t="s">
        <v>614</v>
      </c>
    </row>
    <row r="83" spans="1:8">
      <c r="A83" s="67">
        <v>139</v>
      </c>
      <c r="B83" s="68" t="s">
        <v>2183</v>
      </c>
      <c r="C83" s="68" t="s">
        <v>2184</v>
      </c>
      <c r="D83" s="68" t="s">
        <v>2185</v>
      </c>
      <c r="E83" s="68"/>
      <c r="F83" s="61" t="str">
        <f t="shared" si="2"/>
        <v>Ariwa</v>
      </c>
      <c r="G83" s="61" t="str">
        <f t="shared" si="4"/>
        <v>Yumbe</v>
      </c>
      <c r="H83" s="68" t="s">
        <v>2185</v>
      </c>
    </row>
    <row r="84" spans="1:8">
      <c r="A84" s="67">
        <v>25</v>
      </c>
      <c r="B84" s="68" t="s">
        <v>606</v>
      </c>
      <c r="C84" s="68" t="s">
        <v>607</v>
      </c>
      <c r="D84" s="68" t="s">
        <v>615</v>
      </c>
      <c r="E84" s="68"/>
      <c r="F84" s="61" t="str">
        <f t="shared" si="2"/>
        <v>Aroi</v>
      </c>
      <c r="G84" s="61" t="str">
        <f t="shared" si="4"/>
        <v>Arua</v>
      </c>
      <c r="H84" s="68" t="s">
        <v>615</v>
      </c>
    </row>
    <row r="85" spans="1:8">
      <c r="A85" s="67">
        <v>83</v>
      </c>
      <c r="B85" s="68" t="s">
        <v>1536</v>
      </c>
      <c r="C85" s="68" t="s">
        <v>1537</v>
      </c>
      <c r="D85" s="68" t="s">
        <v>1541</v>
      </c>
      <c r="E85" s="68"/>
      <c r="F85" s="61" t="str">
        <f t="shared" si="2"/>
        <v>Aromo</v>
      </c>
      <c r="G85" s="61" t="str">
        <f t="shared" si="4"/>
        <v>Lira</v>
      </c>
      <c r="H85" s="68" t="s">
        <v>1541</v>
      </c>
    </row>
    <row r="86" spans="1:8">
      <c r="A86" s="67">
        <v>22</v>
      </c>
      <c r="B86" s="70" t="s">
        <v>606</v>
      </c>
      <c r="C86" s="71" t="s">
        <v>616</v>
      </c>
      <c r="D86" s="70" t="s">
        <v>2236</v>
      </c>
      <c r="E86" s="70"/>
      <c r="F86" s="62" t="str">
        <f>VLOOKUP(C86,[2]Municipalities!$C$9:$F$1522,4,FALSE)</f>
        <v>Arua Municipality</v>
      </c>
      <c r="G86" s="61" t="str">
        <f t="shared" si="4"/>
        <v>Arua</v>
      </c>
      <c r="H86" s="70" t="s">
        <v>2236</v>
      </c>
    </row>
    <row r="87" spans="1:8">
      <c r="A87" s="67">
        <v>229</v>
      </c>
      <c r="B87" s="68" t="s">
        <v>523</v>
      </c>
      <c r="C87" s="68" t="s">
        <v>523</v>
      </c>
      <c r="D87" s="68" t="s">
        <v>525</v>
      </c>
      <c r="E87" s="68"/>
      <c r="F87" s="61" t="str">
        <f t="shared" si="2"/>
        <v>Arum</v>
      </c>
      <c r="G87" s="61" t="str">
        <f t="shared" si="4"/>
        <v>Agago</v>
      </c>
      <c r="H87" s="68" t="s">
        <v>525</v>
      </c>
    </row>
    <row r="88" spans="1:8">
      <c r="A88" s="67">
        <v>162</v>
      </c>
      <c r="B88" s="68" t="s">
        <v>551</v>
      </c>
      <c r="C88" s="68" t="s">
        <v>552</v>
      </c>
      <c r="D88" s="68" t="s">
        <v>557</v>
      </c>
      <c r="E88" s="68"/>
      <c r="F88" s="61" t="str">
        <f t="shared" si="2"/>
        <v>Arwotcek</v>
      </c>
      <c r="G88" s="61" t="str">
        <f t="shared" si="4"/>
        <v>Amolatar</v>
      </c>
      <c r="H88" s="68" t="s">
        <v>557</v>
      </c>
    </row>
    <row r="89" spans="1:8">
      <c r="A89" s="67">
        <v>890</v>
      </c>
      <c r="B89" s="68" t="s">
        <v>569</v>
      </c>
      <c r="C89" s="68" t="s">
        <v>569</v>
      </c>
      <c r="D89" s="68" t="s">
        <v>576</v>
      </c>
      <c r="E89" s="68"/>
      <c r="F89" s="61" t="str">
        <f t="shared" si="2"/>
        <v>Asamuk</v>
      </c>
      <c r="G89" s="61" t="str">
        <f t="shared" si="4"/>
        <v>Amuria</v>
      </c>
      <c r="H89" s="68" t="s">
        <v>576</v>
      </c>
    </row>
    <row r="90" spans="1:8">
      <c r="A90" s="67">
        <v>810</v>
      </c>
      <c r="B90" s="68" t="s">
        <v>2077</v>
      </c>
      <c r="C90" s="68" t="s">
        <v>2077</v>
      </c>
      <c r="D90" s="68" t="s">
        <v>2078</v>
      </c>
      <c r="E90" s="68"/>
      <c r="F90" s="61" t="str">
        <f t="shared" si="2"/>
        <v>Asuret</v>
      </c>
      <c r="G90" s="61" t="str">
        <f t="shared" si="4"/>
        <v>Soroti</v>
      </c>
      <c r="H90" s="68" t="s">
        <v>2078</v>
      </c>
    </row>
    <row r="91" spans="1:8">
      <c r="A91" s="67">
        <v>128</v>
      </c>
      <c r="B91" s="68" t="s">
        <v>1946</v>
      </c>
      <c r="C91" s="68" t="s">
        <v>1947</v>
      </c>
      <c r="D91" s="68" t="s">
        <v>1949</v>
      </c>
      <c r="E91" s="68"/>
      <c r="F91" s="61" t="str">
        <f t="shared" si="2"/>
        <v>Atanga</v>
      </c>
      <c r="G91" s="61" t="str">
        <f t="shared" si="4"/>
        <v>Pader</v>
      </c>
      <c r="H91" s="68" t="s">
        <v>1949</v>
      </c>
    </row>
    <row r="92" spans="1:8">
      <c r="A92" s="67">
        <v>111</v>
      </c>
      <c r="B92" s="68" t="s">
        <v>1865</v>
      </c>
      <c r="C92" s="68" t="s">
        <v>1866</v>
      </c>
      <c r="D92" s="68" t="s">
        <v>1867</v>
      </c>
      <c r="E92" s="68"/>
      <c r="F92" s="61" t="str">
        <f t="shared" si="2"/>
        <v>Atego</v>
      </c>
      <c r="G92" s="61" t="str">
        <f t="shared" si="4"/>
        <v>Nebbi</v>
      </c>
      <c r="H92" s="68" t="s">
        <v>1867</v>
      </c>
    </row>
    <row r="93" spans="1:8">
      <c r="A93" s="67">
        <v>1073</v>
      </c>
      <c r="B93" s="68" t="s">
        <v>2030</v>
      </c>
      <c r="C93" s="68" t="s">
        <v>2030</v>
      </c>
      <c r="D93" s="68" t="s">
        <v>2029</v>
      </c>
      <c r="E93" s="68"/>
      <c r="F93" s="61" t="str">
        <f t="shared" si="2"/>
        <v>Atiira</v>
      </c>
      <c r="G93" s="61" t="str">
        <f t="shared" si="4"/>
        <v>Serere</v>
      </c>
      <c r="H93" s="68" t="s">
        <v>2029</v>
      </c>
    </row>
    <row r="94" spans="1:8">
      <c r="A94" s="67">
        <v>170</v>
      </c>
      <c r="B94" s="68" t="s">
        <v>585</v>
      </c>
      <c r="C94" s="68" t="s">
        <v>586</v>
      </c>
      <c r="D94" s="68" t="s">
        <v>588</v>
      </c>
      <c r="E94" s="68"/>
      <c r="F94" s="61" t="str">
        <f t="shared" si="2"/>
        <v>Attiak</v>
      </c>
      <c r="G94" s="61" t="str">
        <f t="shared" si="4"/>
        <v>Amuru</v>
      </c>
      <c r="H94" s="68" t="s">
        <v>588</v>
      </c>
    </row>
    <row r="95" spans="1:8">
      <c r="A95" s="67">
        <v>763</v>
      </c>
      <c r="B95" s="68" t="s">
        <v>1456</v>
      </c>
      <c r="C95" s="68" t="s">
        <v>1456</v>
      </c>
      <c r="D95" s="68" t="s">
        <v>1455</v>
      </c>
      <c r="E95" s="68"/>
      <c r="F95" s="61" t="str">
        <f t="shared" si="2"/>
        <v>Atutur</v>
      </c>
      <c r="G95" s="61" t="str">
        <f t="shared" si="4"/>
        <v>Kumi</v>
      </c>
      <c r="H95" s="68" t="s">
        <v>1455</v>
      </c>
    </row>
    <row r="96" spans="1:8">
      <c r="A96" s="67">
        <v>296</v>
      </c>
      <c r="B96" s="68" t="s">
        <v>2198</v>
      </c>
      <c r="C96" s="68" t="s">
        <v>2199</v>
      </c>
      <c r="D96" s="68" t="s">
        <v>2200</v>
      </c>
      <c r="E96" s="68"/>
      <c r="F96" s="61" t="str">
        <f t="shared" si="2"/>
        <v>Atyak</v>
      </c>
      <c r="G96" s="61" t="str">
        <f t="shared" si="4"/>
        <v>Zombo</v>
      </c>
      <c r="H96" s="68" t="s">
        <v>2200</v>
      </c>
    </row>
    <row r="97" spans="1:8">
      <c r="A97" s="67">
        <v>50</v>
      </c>
      <c r="B97" s="68" t="s">
        <v>876</v>
      </c>
      <c r="C97" s="68" t="s">
        <v>877</v>
      </c>
      <c r="D97" s="68" t="s">
        <v>875</v>
      </c>
      <c r="E97" s="68"/>
      <c r="F97" s="61" t="str">
        <f t="shared" si="2"/>
        <v>Awach</v>
      </c>
      <c r="G97" s="61" t="str">
        <f t="shared" si="4"/>
        <v>Gulu</v>
      </c>
      <c r="H97" s="68" t="s">
        <v>875</v>
      </c>
    </row>
    <row r="98" spans="1:8">
      <c r="A98" s="67">
        <v>250</v>
      </c>
      <c r="B98" s="68" t="s">
        <v>540</v>
      </c>
      <c r="C98" s="68" t="s">
        <v>541</v>
      </c>
      <c r="D98" s="68" t="s">
        <v>548</v>
      </c>
      <c r="E98" s="68"/>
      <c r="F98" s="61" t="str">
        <f t="shared" si="2"/>
        <v>Awei</v>
      </c>
      <c r="G98" s="61" t="str">
        <f t="shared" si="4"/>
        <v>Alebtong</v>
      </c>
      <c r="H98" s="68" t="s">
        <v>548</v>
      </c>
    </row>
    <row r="99" spans="1:8">
      <c r="A99" s="67">
        <v>163</v>
      </c>
      <c r="B99" s="68" t="s">
        <v>551</v>
      </c>
      <c r="C99" s="68" t="s">
        <v>552</v>
      </c>
      <c r="D99" s="68" t="s">
        <v>558</v>
      </c>
      <c r="E99" s="68"/>
      <c r="F99" s="61" t="str">
        <f t="shared" si="2"/>
        <v>Awelo</v>
      </c>
      <c r="G99" s="61" t="str">
        <f t="shared" si="4"/>
        <v>Amolatar</v>
      </c>
      <c r="H99" s="68" t="s">
        <v>558</v>
      </c>
    </row>
    <row r="100" spans="1:8">
      <c r="A100" s="67">
        <v>129</v>
      </c>
      <c r="B100" s="68" t="s">
        <v>1946</v>
      </c>
      <c r="C100" s="68" t="s">
        <v>1947</v>
      </c>
      <c r="D100" s="68" t="s">
        <v>1950</v>
      </c>
      <c r="E100" s="68"/>
      <c r="F100" s="61" t="str">
        <f t="shared" si="2"/>
        <v>Awere</v>
      </c>
      <c r="G100" s="61" t="str">
        <f t="shared" si="4"/>
        <v>Pader</v>
      </c>
      <c r="H100" s="68" t="s">
        <v>1950</v>
      </c>
    </row>
    <row r="101" spans="1:8">
      <c r="A101" s="67">
        <v>259</v>
      </c>
      <c r="B101" s="68" t="s">
        <v>1441</v>
      </c>
      <c r="C101" s="68" t="s">
        <v>1441</v>
      </c>
      <c r="D101" s="68" t="s">
        <v>1444</v>
      </c>
      <c r="E101" s="68"/>
      <c r="F101" s="61" t="str">
        <f t="shared" si="2"/>
        <v>Ayer</v>
      </c>
      <c r="G101" s="61" t="str">
        <f t="shared" si="4"/>
        <v>Kole</v>
      </c>
      <c r="H101" s="68" t="s">
        <v>1444</v>
      </c>
    </row>
    <row r="102" spans="1:8">
      <c r="A102" s="67">
        <v>26</v>
      </c>
      <c r="B102" s="68" t="s">
        <v>606</v>
      </c>
      <c r="C102" s="68" t="s">
        <v>607</v>
      </c>
      <c r="D102" s="68" t="s">
        <v>617</v>
      </c>
      <c r="E102" s="68"/>
      <c r="F102" s="61" t="str">
        <f t="shared" si="2"/>
        <v>Ayivuni</v>
      </c>
      <c r="G102" s="61" t="str">
        <f t="shared" si="4"/>
        <v>Arua</v>
      </c>
      <c r="H102" s="68" t="s">
        <v>617</v>
      </c>
    </row>
    <row r="103" spans="1:8">
      <c r="A103" s="67">
        <v>462</v>
      </c>
      <c r="B103" s="68" t="s">
        <v>1739</v>
      </c>
      <c r="C103" s="68" t="s">
        <v>1740</v>
      </c>
      <c r="D103" s="68" t="s">
        <v>1738</v>
      </c>
      <c r="E103" s="68"/>
      <c r="F103" s="61" t="str">
        <f t="shared" si="2"/>
        <v>Bagezza</v>
      </c>
      <c r="G103" s="61" t="str">
        <f t="shared" si="4"/>
        <v>Mubende</v>
      </c>
      <c r="H103" s="68" t="s">
        <v>1738</v>
      </c>
    </row>
    <row r="104" spans="1:8">
      <c r="A104" s="67">
        <v>851</v>
      </c>
      <c r="B104" s="68" t="s">
        <v>1630</v>
      </c>
      <c r="C104" s="68" t="s">
        <v>1631</v>
      </c>
      <c r="D104" s="68" t="s">
        <v>1629</v>
      </c>
      <c r="E104" s="68"/>
      <c r="F104" s="61" t="str">
        <f t="shared" si="2"/>
        <v>Baitambogwe</v>
      </c>
      <c r="G104" s="61" t="str">
        <f t="shared" si="4"/>
        <v>Mayuge</v>
      </c>
      <c r="H104" s="68" t="s">
        <v>1629</v>
      </c>
    </row>
    <row r="105" spans="1:8">
      <c r="A105" s="67">
        <v>260</v>
      </c>
      <c r="B105" s="68" t="s">
        <v>1441</v>
      </c>
      <c r="C105" s="68" t="s">
        <v>1441</v>
      </c>
      <c r="D105" s="68" t="s">
        <v>1445</v>
      </c>
      <c r="E105" s="68"/>
      <c r="F105" s="61" t="str">
        <f t="shared" si="2"/>
        <v>Bala</v>
      </c>
      <c r="G105" s="61" t="str">
        <f t="shared" si="4"/>
        <v>Kole</v>
      </c>
      <c r="H105" s="68" t="s">
        <v>1445</v>
      </c>
    </row>
    <row r="106" spans="1:8">
      <c r="A106" s="67">
        <v>725</v>
      </c>
      <c r="B106" s="68" t="s">
        <v>1232</v>
      </c>
      <c r="C106" s="68" t="s">
        <v>1233</v>
      </c>
      <c r="D106" s="68" t="s">
        <v>1231</v>
      </c>
      <c r="E106" s="68"/>
      <c r="F106" s="61" t="str">
        <f t="shared" si="2"/>
        <v>Balawoli</v>
      </c>
      <c r="G106" s="61" t="str">
        <f t="shared" si="4"/>
        <v>Kamuli</v>
      </c>
      <c r="H106" s="68" t="s">
        <v>1231</v>
      </c>
    </row>
    <row r="107" spans="1:8">
      <c r="A107" s="67">
        <v>429</v>
      </c>
      <c r="B107" s="68" t="s">
        <v>1555</v>
      </c>
      <c r="C107" s="68" t="s">
        <v>1554</v>
      </c>
      <c r="D107" s="68" t="s">
        <v>1554</v>
      </c>
      <c r="E107" s="68"/>
      <c r="F107" s="61" t="str">
        <f t="shared" si="2"/>
        <v>Bamunanika</v>
      </c>
      <c r="G107" s="61" t="str">
        <f t="shared" si="4"/>
        <v>Luwero</v>
      </c>
      <c r="H107" s="68" t="s">
        <v>1554</v>
      </c>
    </row>
    <row r="108" spans="1:8">
      <c r="A108" s="67">
        <v>638</v>
      </c>
      <c r="B108" s="68" t="s">
        <v>1476</v>
      </c>
      <c r="C108" s="68" t="s">
        <v>1356</v>
      </c>
      <c r="D108" s="68" t="s">
        <v>1475</v>
      </c>
      <c r="E108" s="68"/>
      <c r="F108" s="61" t="str">
        <f t="shared" si="2"/>
        <v>Bananywa</v>
      </c>
      <c r="G108" s="61" t="str">
        <f t="shared" si="4"/>
        <v>Kyankwanzi</v>
      </c>
      <c r="H108" s="68" t="s">
        <v>1475</v>
      </c>
    </row>
    <row r="109" spans="1:8">
      <c r="A109" s="67">
        <v>1054</v>
      </c>
      <c r="B109" s="68" t="s">
        <v>1817</v>
      </c>
      <c r="C109" s="68" t="s">
        <v>1818</v>
      </c>
      <c r="D109" s="68" t="s">
        <v>1081</v>
      </c>
      <c r="E109" s="68"/>
      <c r="F109" s="61" t="str">
        <f t="shared" si="2"/>
        <v>Banda</v>
      </c>
      <c r="G109" s="61" t="str">
        <f t="shared" si="4"/>
        <v>Namayingo</v>
      </c>
      <c r="H109" s="68" t="s">
        <v>1081</v>
      </c>
    </row>
    <row r="110" spans="1:8">
      <c r="A110" s="67">
        <v>54</v>
      </c>
      <c r="B110" s="68" t="s">
        <v>876</v>
      </c>
      <c r="C110" s="69" t="s">
        <v>879</v>
      </c>
      <c r="D110" s="68" t="s">
        <v>2237</v>
      </c>
      <c r="E110" s="68"/>
      <c r="F110" s="62" t="str">
        <f>VLOOKUP(C110,[2]Municipalities!$C$9:$F$1522,4,FALSE)</f>
        <v>Gulu Municipality</v>
      </c>
      <c r="G110" s="61" t="str">
        <f t="shared" si="4"/>
        <v>Gulu</v>
      </c>
      <c r="H110" s="68" t="s">
        <v>2237</v>
      </c>
    </row>
    <row r="111" spans="1:8">
      <c r="A111" s="67">
        <v>84</v>
      </c>
      <c r="B111" s="68" t="s">
        <v>1536</v>
      </c>
      <c r="C111" s="68" t="s">
        <v>1537</v>
      </c>
      <c r="D111" s="68" t="s">
        <v>1542</v>
      </c>
      <c r="E111" s="68"/>
      <c r="F111" s="61" t="str">
        <f t="shared" si="2"/>
        <v>Barr</v>
      </c>
      <c r="G111" s="61" t="str">
        <f t="shared" si="4"/>
        <v>Lira</v>
      </c>
      <c r="H111" s="68" t="s">
        <v>1542</v>
      </c>
    </row>
    <row r="112" spans="1:8">
      <c r="A112" s="67">
        <v>177</v>
      </c>
      <c r="B112" s="68" t="s">
        <v>859</v>
      </c>
      <c r="C112" s="68" t="s">
        <v>859</v>
      </c>
      <c r="D112" s="68" t="s">
        <v>863</v>
      </c>
      <c r="E112" s="68"/>
      <c r="F112" s="61" t="str">
        <f t="shared" si="2"/>
        <v>Batta</v>
      </c>
      <c r="G112" s="61" t="str">
        <f t="shared" si="4"/>
        <v>Dokolo</v>
      </c>
      <c r="H112" s="68" t="s">
        <v>863</v>
      </c>
    </row>
    <row r="113" spans="1:8">
      <c r="A113" s="67">
        <v>523</v>
      </c>
      <c r="B113" s="68" t="s">
        <v>1335</v>
      </c>
      <c r="C113" s="68" t="s">
        <v>1334</v>
      </c>
      <c r="D113" s="68" t="s">
        <v>1334</v>
      </c>
      <c r="E113" s="68"/>
      <c r="F113" s="61" t="str">
        <f t="shared" si="2"/>
        <v>Bbaale</v>
      </c>
      <c r="G113" s="61" t="str">
        <f t="shared" si="4"/>
        <v>Kayunga</v>
      </c>
      <c r="H113" s="68" t="s">
        <v>1334</v>
      </c>
    </row>
    <row r="114" spans="1:8">
      <c r="A114" s="67">
        <v>565</v>
      </c>
      <c r="B114" s="68" t="s">
        <v>1697</v>
      </c>
      <c r="C114" s="68" t="s">
        <v>1698</v>
      </c>
      <c r="D114" s="68" t="s">
        <v>1696</v>
      </c>
      <c r="E114" s="68"/>
      <c r="F114" s="61" t="str">
        <f t="shared" si="2"/>
        <v>Bbanda</v>
      </c>
      <c r="G114" s="61" t="str">
        <f t="shared" si="4"/>
        <v>Mityana</v>
      </c>
      <c r="H114" s="68" t="s">
        <v>1696</v>
      </c>
    </row>
    <row r="115" spans="1:8">
      <c r="A115" s="67">
        <v>1034</v>
      </c>
      <c r="B115" s="68" t="s">
        <v>1463</v>
      </c>
      <c r="C115" s="68" t="s">
        <v>1463</v>
      </c>
      <c r="D115" s="68" t="s">
        <v>1462</v>
      </c>
      <c r="E115" s="68"/>
      <c r="F115" s="61" t="str">
        <f t="shared" si="2"/>
        <v>Benet</v>
      </c>
      <c r="G115" s="61" t="str">
        <f t="shared" si="4"/>
        <v>Kween</v>
      </c>
      <c r="H115" s="68" t="s">
        <v>1462</v>
      </c>
    </row>
    <row r="116" spans="1:8">
      <c r="A116" s="67">
        <v>606</v>
      </c>
      <c r="B116" s="68" t="s">
        <v>704</v>
      </c>
      <c r="C116" s="68" t="s">
        <v>704</v>
      </c>
      <c r="D116" s="68" t="s">
        <v>703</v>
      </c>
      <c r="E116" s="68"/>
      <c r="F116" s="61" t="str">
        <f t="shared" si="2"/>
        <v>Bigasa</v>
      </c>
      <c r="G116" s="61" t="str">
        <f t="shared" si="4"/>
        <v>Bukomansimbi</v>
      </c>
      <c r="H116" s="68" t="s">
        <v>703</v>
      </c>
    </row>
    <row r="117" spans="1:8">
      <c r="A117" s="67">
        <v>1297</v>
      </c>
      <c r="B117" s="68" t="s">
        <v>44</v>
      </c>
      <c r="C117" s="68" t="s">
        <v>837</v>
      </c>
      <c r="D117" s="68" t="s">
        <v>1247</v>
      </c>
      <c r="E117" s="68"/>
      <c r="F117" s="61" t="str">
        <f t="shared" si="2"/>
        <v>Biguli</v>
      </c>
      <c r="G117" s="61" t="str">
        <f t="shared" si="4"/>
        <v>Kamwenge</v>
      </c>
      <c r="H117" s="68" t="s">
        <v>1247</v>
      </c>
    </row>
    <row r="118" spans="1:8">
      <c r="A118" s="67">
        <v>1304</v>
      </c>
      <c r="B118" s="68" t="s">
        <v>44</v>
      </c>
      <c r="C118" s="68" t="s">
        <v>837</v>
      </c>
      <c r="D118" s="72" t="s">
        <v>2238</v>
      </c>
      <c r="E118" s="68"/>
      <c r="F118" s="61" t="str">
        <f>D118&amp;"-"&amp;B118</f>
        <v>Bihanga-Kamwenge</v>
      </c>
      <c r="G118" s="61" t="str">
        <f t="shared" si="4"/>
        <v>Kamwenge</v>
      </c>
      <c r="H118" s="72" t="s">
        <v>2238</v>
      </c>
    </row>
    <row r="119" spans="1:8">
      <c r="A119" s="67">
        <v>1405</v>
      </c>
      <c r="B119" s="68" t="s">
        <v>680</v>
      </c>
      <c r="C119" s="68" t="s">
        <v>680</v>
      </c>
      <c r="D119" s="72" t="s">
        <v>2238</v>
      </c>
      <c r="E119" s="68"/>
      <c r="F119" s="61" t="str">
        <f>D119&amp;"-"&amp;B119</f>
        <v>Bihanga-Buhweju</v>
      </c>
      <c r="G119" s="61" t="str">
        <f t="shared" si="4"/>
        <v>Buhweju</v>
      </c>
      <c r="H119" s="72" t="s">
        <v>2238</v>
      </c>
    </row>
    <row r="120" spans="1:8" ht="25.5">
      <c r="A120" s="67">
        <v>1254</v>
      </c>
      <c r="B120" s="68" t="s">
        <v>1670</v>
      </c>
      <c r="C120" s="69" t="s">
        <v>1677</v>
      </c>
      <c r="D120" s="68" t="s">
        <v>2239</v>
      </c>
      <c r="E120" s="68"/>
      <c r="F120" s="62" t="str">
        <f>VLOOKUP(C120,[2]Municipalities!$C$9:$F$1522,4,FALSE)</f>
        <v>Mbarara Municipality</v>
      </c>
      <c r="G120" s="61" t="str">
        <f t="shared" si="4"/>
        <v>Mbarara</v>
      </c>
      <c r="H120" s="68" t="s">
        <v>2239</v>
      </c>
    </row>
    <row r="121" spans="1:8">
      <c r="A121" s="67">
        <v>1346</v>
      </c>
      <c r="B121" s="68" t="s">
        <v>743</v>
      </c>
      <c r="C121" s="68" t="s">
        <v>743</v>
      </c>
      <c r="D121" s="68" t="s">
        <v>742</v>
      </c>
      <c r="E121" s="68"/>
      <c r="F121" s="61" t="str">
        <f t="shared" ref="F121:F132" si="5">D121</f>
        <v>Biiso</v>
      </c>
      <c r="G121" s="61" t="str">
        <f t="shared" si="4"/>
        <v>Buliisa</v>
      </c>
      <c r="H121" s="68" t="s">
        <v>742</v>
      </c>
    </row>
    <row r="122" spans="1:8">
      <c r="A122" s="67">
        <v>41</v>
      </c>
      <c r="B122" s="68" t="s">
        <v>606</v>
      </c>
      <c r="C122" s="68" t="s">
        <v>609</v>
      </c>
      <c r="D122" s="68" t="s">
        <v>618</v>
      </c>
      <c r="E122" s="68"/>
      <c r="F122" s="61" t="str">
        <f t="shared" si="5"/>
        <v>Bileafe</v>
      </c>
      <c r="G122" s="61" t="str">
        <f t="shared" si="4"/>
        <v>Arua</v>
      </c>
      <c r="H122" s="68" t="s">
        <v>618</v>
      </c>
    </row>
    <row r="123" spans="1:8">
      <c r="A123" s="67">
        <v>1035</v>
      </c>
      <c r="B123" s="68" t="s">
        <v>1463</v>
      </c>
      <c r="C123" s="68" t="s">
        <v>1463</v>
      </c>
      <c r="D123" s="68" t="s">
        <v>1464</v>
      </c>
      <c r="E123" s="68"/>
      <c r="F123" s="61" t="str">
        <f t="shared" si="5"/>
        <v>Binyiny</v>
      </c>
      <c r="G123" s="61" t="str">
        <f t="shared" si="4"/>
        <v>Kween</v>
      </c>
      <c r="H123" s="68" t="s">
        <v>1464</v>
      </c>
    </row>
    <row r="124" spans="1:8">
      <c r="A124" s="67">
        <v>1036</v>
      </c>
      <c r="B124" s="68" t="s">
        <v>1463</v>
      </c>
      <c r="C124" s="68" t="s">
        <v>1463</v>
      </c>
      <c r="D124" s="68" t="s">
        <v>1465</v>
      </c>
      <c r="E124" s="68"/>
      <c r="F124" s="61" t="str">
        <f t="shared" si="5"/>
        <v>Binyiny Town Council</v>
      </c>
      <c r="G124" s="61" t="str">
        <f t="shared" si="4"/>
        <v>Kween</v>
      </c>
      <c r="H124" s="68" t="s">
        <v>1465</v>
      </c>
    </row>
    <row r="125" spans="1:8">
      <c r="A125" s="67">
        <v>1495</v>
      </c>
      <c r="B125" s="68" t="s">
        <v>1041</v>
      </c>
      <c r="C125" s="68" t="s">
        <v>1042</v>
      </c>
      <c r="D125" s="68" t="s">
        <v>1040</v>
      </c>
      <c r="E125" s="68"/>
      <c r="F125" s="61" t="str">
        <f t="shared" si="5"/>
        <v>Birembo</v>
      </c>
      <c r="G125" s="61" t="str">
        <f t="shared" si="4"/>
        <v>Kakumiro</v>
      </c>
      <c r="H125" s="68" t="s">
        <v>1040</v>
      </c>
    </row>
    <row r="126" spans="1:8">
      <c r="A126" s="67">
        <v>1375</v>
      </c>
      <c r="B126" s="68" t="s">
        <v>47</v>
      </c>
      <c r="C126" s="68" t="s">
        <v>47</v>
      </c>
      <c r="D126" s="68" t="s">
        <v>930</v>
      </c>
      <c r="E126" s="68"/>
      <c r="F126" s="61" t="str">
        <f t="shared" si="5"/>
        <v>Birere</v>
      </c>
      <c r="G126" s="61" t="str">
        <f t="shared" si="4"/>
        <v>Isingiro</v>
      </c>
      <c r="H126" s="68" t="s">
        <v>930</v>
      </c>
    </row>
    <row r="127" spans="1:8" ht="25.5">
      <c r="A127" s="67">
        <v>1363</v>
      </c>
      <c r="B127" s="68" t="s">
        <v>43</v>
      </c>
      <c r="C127" s="69" t="s">
        <v>899</v>
      </c>
      <c r="D127" s="68" t="s">
        <v>2240</v>
      </c>
      <c r="E127" s="68"/>
      <c r="F127" s="62" t="str">
        <f>VLOOKUP(C127,[2]Municipalities!$C$9:$F$1522,4,FALSE)</f>
        <v>Ibanda Municipality</v>
      </c>
      <c r="G127" s="61" t="str">
        <f t="shared" si="4"/>
        <v>Ibanda</v>
      </c>
      <c r="H127" s="68" t="s">
        <v>2240</v>
      </c>
    </row>
    <row r="128" spans="1:8">
      <c r="A128" s="67">
        <v>1430</v>
      </c>
      <c r="B128" s="68" t="s">
        <v>45</v>
      </c>
      <c r="C128" s="68" t="s">
        <v>1686</v>
      </c>
      <c r="D128" s="68" t="s">
        <v>1685</v>
      </c>
      <c r="E128" s="68"/>
      <c r="F128" s="61" t="str">
        <f t="shared" si="5"/>
        <v>Bitereko</v>
      </c>
      <c r="G128" s="61" t="str">
        <f t="shared" si="4"/>
        <v>Mitooma</v>
      </c>
      <c r="H128" s="68" t="s">
        <v>1685</v>
      </c>
    </row>
    <row r="129" spans="1:8">
      <c r="A129" s="67">
        <v>1125</v>
      </c>
      <c r="B129" s="68" t="s">
        <v>38</v>
      </c>
      <c r="C129" s="68" t="s">
        <v>785</v>
      </c>
      <c r="D129" s="68" t="s">
        <v>784</v>
      </c>
      <c r="E129" s="68"/>
      <c r="F129" s="61" t="str">
        <f t="shared" si="5"/>
        <v>Bitooma</v>
      </c>
      <c r="G129" s="61" t="str">
        <f t="shared" si="4"/>
        <v>Bushenyi</v>
      </c>
      <c r="H129" s="68" t="s">
        <v>784</v>
      </c>
    </row>
    <row r="130" spans="1:8">
      <c r="A130" s="67">
        <v>1406</v>
      </c>
      <c r="B130" s="68" t="s">
        <v>680</v>
      </c>
      <c r="C130" s="68" t="s">
        <v>680</v>
      </c>
      <c r="D130" s="68" t="s">
        <v>681</v>
      </c>
      <c r="E130" s="68"/>
      <c r="F130" s="61" t="str">
        <f t="shared" si="5"/>
        <v>Bitsya</v>
      </c>
      <c r="G130" s="61" t="str">
        <f t="shared" si="4"/>
        <v>Buhweju</v>
      </c>
      <c r="H130" s="68" t="s">
        <v>681</v>
      </c>
    </row>
    <row r="131" spans="1:8">
      <c r="A131" s="67">
        <v>305</v>
      </c>
      <c r="B131" s="68" t="s">
        <v>549</v>
      </c>
      <c r="C131" s="68" t="s">
        <v>549</v>
      </c>
      <c r="D131" s="68" t="s">
        <v>1916</v>
      </c>
      <c r="E131" s="68"/>
      <c r="F131" s="61" t="str">
        <f t="shared" si="5"/>
        <v>Bobi</v>
      </c>
      <c r="G131" s="61" t="str">
        <f t="shared" si="4"/>
        <v>Omoro</v>
      </c>
      <c r="H131" s="68" t="s">
        <v>1916</v>
      </c>
    </row>
    <row r="132" spans="1:8">
      <c r="A132" s="67">
        <v>434</v>
      </c>
      <c r="B132" s="68" t="s">
        <v>1555</v>
      </c>
      <c r="C132" s="68" t="s">
        <v>1557</v>
      </c>
      <c r="D132" s="68" t="s">
        <v>1556</v>
      </c>
      <c r="E132" s="68"/>
      <c r="F132" s="61" t="str">
        <f t="shared" si="5"/>
        <v>Bombo Town Council</v>
      </c>
      <c r="G132" s="61" t="str">
        <f t="shared" si="4"/>
        <v>Luwero</v>
      </c>
      <c r="H132" s="68" t="s">
        <v>1556</v>
      </c>
    </row>
    <row r="133" spans="1:8">
      <c r="A133" s="67">
        <v>1244</v>
      </c>
      <c r="B133" s="68" t="s">
        <v>1670</v>
      </c>
      <c r="C133" s="68" t="s">
        <v>1671</v>
      </c>
      <c r="D133" s="72" t="s">
        <v>2241</v>
      </c>
      <c r="E133" s="68"/>
      <c r="F133" s="61" t="str">
        <f t="shared" ref="F133:F134" si="6">D133&amp;"-"&amp;B133</f>
        <v>Bubaare-Mbarara</v>
      </c>
      <c r="G133" s="61" t="str">
        <f t="shared" si="4"/>
        <v>Mbarara</v>
      </c>
      <c r="H133" s="72" t="s">
        <v>2241</v>
      </c>
    </row>
    <row r="134" spans="1:8">
      <c r="A134" s="67">
        <v>1506</v>
      </c>
      <c r="B134" s="68" t="s">
        <v>1990</v>
      </c>
      <c r="C134" s="68" t="s">
        <v>1990</v>
      </c>
      <c r="D134" s="72" t="s">
        <v>2241</v>
      </c>
      <c r="E134" s="68"/>
      <c r="F134" s="61" t="str">
        <f t="shared" si="6"/>
        <v>Bubaare-Rubanda</v>
      </c>
      <c r="G134" s="61" t="str">
        <f t="shared" si="4"/>
        <v>Rubanda</v>
      </c>
      <c r="H134" s="72" t="s">
        <v>2241</v>
      </c>
    </row>
    <row r="135" spans="1:8">
      <c r="A135" s="67">
        <v>1112</v>
      </c>
      <c r="B135" s="68" t="s">
        <v>750</v>
      </c>
      <c r="C135" s="68" t="s">
        <v>751</v>
      </c>
      <c r="D135" s="68" t="s">
        <v>749</v>
      </c>
      <c r="E135" s="68"/>
      <c r="F135" s="61" t="str">
        <f t="shared" ref="F135:F162" si="7">D135</f>
        <v>Bubandi</v>
      </c>
      <c r="G135" s="61" t="str">
        <f t="shared" si="4"/>
        <v>Bundibugyo</v>
      </c>
      <c r="H135" s="68" t="s">
        <v>749</v>
      </c>
    </row>
    <row r="136" spans="1:8">
      <c r="A136" s="67">
        <v>1208</v>
      </c>
      <c r="B136" s="68" t="s">
        <v>1345</v>
      </c>
      <c r="C136" s="68" t="s">
        <v>1346</v>
      </c>
      <c r="D136" s="68" t="s">
        <v>1344</v>
      </c>
      <c r="E136" s="68"/>
      <c r="F136" s="61" t="str">
        <f t="shared" si="7"/>
        <v>Bubango</v>
      </c>
      <c r="G136" s="61" t="str">
        <f t="shared" si="4"/>
        <v>Kibaale</v>
      </c>
      <c r="H136" s="68" t="s">
        <v>1344</v>
      </c>
    </row>
    <row r="137" spans="1:8">
      <c r="A137" s="67">
        <v>321</v>
      </c>
      <c r="B137" s="68" t="s">
        <v>1054</v>
      </c>
      <c r="C137" s="68" t="s">
        <v>1055</v>
      </c>
      <c r="D137" s="68" t="s">
        <v>1053</v>
      </c>
      <c r="E137" s="68"/>
      <c r="F137" s="61" t="str">
        <f t="shared" si="7"/>
        <v>Bubeke</v>
      </c>
      <c r="G137" s="61" t="str">
        <f t="shared" si="4"/>
        <v>Kalangala</v>
      </c>
      <c r="H137" s="68" t="s">
        <v>1053</v>
      </c>
    </row>
    <row r="138" spans="1:8">
      <c r="A138" s="67">
        <v>915</v>
      </c>
      <c r="B138" s="68" t="s">
        <v>650</v>
      </c>
      <c r="C138" s="68" t="s">
        <v>651</v>
      </c>
      <c r="D138" s="68" t="s">
        <v>649</v>
      </c>
      <c r="E138" s="68"/>
      <c r="F138" s="61" t="str">
        <f t="shared" si="7"/>
        <v>Bubiita</v>
      </c>
      <c r="G138" s="61" t="str">
        <f t="shared" ref="G138:G201" si="8">B138</f>
        <v>Bududa</v>
      </c>
      <c r="H138" s="68" t="s">
        <v>649</v>
      </c>
    </row>
    <row r="139" spans="1:8">
      <c r="A139" s="67">
        <v>1113</v>
      </c>
      <c r="B139" s="68" t="s">
        <v>750</v>
      </c>
      <c r="C139" s="68" t="s">
        <v>751</v>
      </c>
      <c r="D139" s="68" t="s">
        <v>752</v>
      </c>
      <c r="E139" s="68"/>
      <c r="F139" s="61" t="str">
        <f t="shared" si="7"/>
        <v>Bubukwanga</v>
      </c>
      <c r="G139" s="61" t="str">
        <f t="shared" si="8"/>
        <v>Bundibugyo</v>
      </c>
      <c r="H139" s="68" t="s">
        <v>752</v>
      </c>
    </row>
    <row r="140" spans="1:8">
      <c r="A140" s="67">
        <v>1085</v>
      </c>
      <c r="B140" s="68" t="s">
        <v>1828</v>
      </c>
      <c r="C140" s="68" t="s">
        <v>1828</v>
      </c>
      <c r="D140" s="68" t="s">
        <v>1827</v>
      </c>
      <c r="E140" s="68"/>
      <c r="F140" s="61" t="str">
        <f t="shared" si="7"/>
        <v>Bubutu</v>
      </c>
      <c r="G140" s="61" t="str">
        <f t="shared" si="8"/>
        <v>Namisindwa</v>
      </c>
      <c r="H140" s="68" t="s">
        <v>1827</v>
      </c>
    </row>
    <row r="141" spans="1:8">
      <c r="A141" s="67">
        <v>771</v>
      </c>
      <c r="B141" s="68" t="s">
        <v>1646</v>
      </c>
      <c r="C141" s="68" t="s">
        <v>1647</v>
      </c>
      <c r="D141" s="68" t="s">
        <v>1645</v>
      </c>
      <c r="E141" s="68"/>
      <c r="F141" s="61" t="str">
        <f t="shared" si="7"/>
        <v>Bubyangu</v>
      </c>
      <c r="G141" s="61" t="str">
        <f t="shared" si="8"/>
        <v>Mbale</v>
      </c>
      <c r="H141" s="68" t="s">
        <v>1645</v>
      </c>
    </row>
    <row r="142" spans="1:8">
      <c r="A142" s="67">
        <v>865</v>
      </c>
      <c r="B142" s="68" t="s">
        <v>2054</v>
      </c>
      <c r="C142" s="68" t="s">
        <v>2055</v>
      </c>
      <c r="D142" s="68" t="s">
        <v>2053</v>
      </c>
      <c r="E142" s="68"/>
      <c r="F142" s="61" t="str">
        <f t="shared" si="7"/>
        <v>Budadiri Town Council</v>
      </c>
      <c r="G142" s="61" t="str">
        <f t="shared" si="8"/>
        <v>Sironko</v>
      </c>
      <c r="H142" s="68" t="s">
        <v>2053</v>
      </c>
    </row>
    <row r="143" spans="1:8">
      <c r="A143" s="67">
        <v>902</v>
      </c>
      <c r="B143" s="68" t="s">
        <v>636</v>
      </c>
      <c r="C143" s="68" t="s">
        <v>636</v>
      </c>
      <c r="D143" s="68" t="s">
        <v>636</v>
      </c>
      <c r="E143" s="68"/>
      <c r="F143" s="61" t="str">
        <f t="shared" si="7"/>
        <v>Budaka</v>
      </c>
      <c r="G143" s="61" t="str">
        <f t="shared" si="8"/>
        <v>Budaka</v>
      </c>
      <c r="H143" s="68" t="s">
        <v>636</v>
      </c>
    </row>
    <row r="144" spans="1:8">
      <c r="A144" s="67">
        <v>903</v>
      </c>
      <c r="B144" s="68" t="s">
        <v>636</v>
      </c>
      <c r="C144" s="68" t="s">
        <v>636</v>
      </c>
      <c r="D144" s="68" t="s">
        <v>637</v>
      </c>
      <c r="E144" s="68"/>
      <c r="F144" s="61" t="str">
        <f t="shared" si="7"/>
        <v>Budaka Town Council</v>
      </c>
      <c r="G144" s="61" t="str">
        <f t="shared" si="8"/>
        <v>Budaka</v>
      </c>
      <c r="H144" s="68" t="s">
        <v>637</v>
      </c>
    </row>
    <row r="145" spans="1:8">
      <c r="A145" s="67">
        <v>611</v>
      </c>
      <c r="B145" s="68" t="s">
        <v>826</v>
      </c>
      <c r="C145" s="68" t="s">
        <v>826</v>
      </c>
      <c r="D145" s="68" t="s">
        <v>825</v>
      </c>
      <c r="E145" s="68"/>
      <c r="F145" s="61" t="str">
        <f t="shared" si="7"/>
        <v>Budde</v>
      </c>
      <c r="G145" s="61" t="str">
        <f t="shared" si="8"/>
        <v>Butambala</v>
      </c>
      <c r="H145" s="68" t="s">
        <v>825</v>
      </c>
    </row>
    <row r="146" spans="1:8">
      <c r="A146" s="67">
        <v>671</v>
      </c>
      <c r="B146" s="68" t="s">
        <v>667</v>
      </c>
      <c r="C146" s="68" t="s">
        <v>668</v>
      </c>
      <c r="D146" s="68" t="s">
        <v>666</v>
      </c>
      <c r="E146" s="68"/>
      <c r="F146" s="61" t="str">
        <f t="shared" si="7"/>
        <v>Budhaya</v>
      </c>
      <c r="G146" s="61" t="str">
        <f t="shared" si="8"/>
        <v>Bugiri</v>
      </c>
      <c r="H146" s="68" t="s">
        <v>666</v>
      </c>
    </row>
    <row r="147" spans="1:8">
      <c r="A147" s="67">
        <v>961</v>
      </c>
      <c r="B147" s="68" t="s">
        <v>1062</v>
      </c>
      <c r="C147" s="68" t="s">
        <v>911</v>
      </c>
      <c r="D147" s="68" t="s">
        <v>1061</v>
      </c>
      <c r="E147" s="68"/>
      <c r="F147" s="61" t="str">
        <f t="shared" si="7"/>
        <v>Budomero</v>
      </c>
      <c r="G147" s="61" t="str">
        <f t="shared" si="8"/>
        <v>Kaliro</v>
      </c>
      <c r="H147" s="68" t="s">
        <v>1061</v>
      </c>
    </row>
    <row r="148" spans="1:8">
      <c r="A148" s="67">
        <v>720</v>
      </c>
      <c r="B148" s="68" t="s">
        <v>952</v>
      </c>
      <c r="C148" s="68" t="s">
        <v>953</v>
      </c>
      <c r="D148" s="68" t="s">
        <v>951</v>
      </c>
      <c r="E148" s="68"/>
      <c r="F148" s="61" t="str">
        <f t="shared" si="7"/>
        <v>Budondo</v>
      </c>
      <c r="G148" s="61" t="str">
        <f t="shared" si="8"/>
        <v>Jinja</v>
      </c>
      <c r="H148" s="68" t="s">
        <v>951</v>
      </c>
    </row>
    <row r="149" spans="1:8">
      <c r="A149" s="67">
        <v>1235</v>
      </c>
      <c r="B149" s="68" t="s">
        <v>1621</v>
      </c>
      <c r="C149" s="68" t="s">
        <v>1622</v>
      </c>
      <c r="D149" s="68" t="s">
        <v>1620</v>
      </c>
      <c r="E149" s="68"/>
      <c r="F149" s="61" t="str">
        <f t="shared" si="7"/>
        <v>Budongo</v>
      </c>
      <c r="G149" s="61" t="str">
        <f t="shared" si="8"/>
        <v>Masindi</v>
      </c>
      <c r="H149" s="68" t="s">
        <v>1620</v>
      </c>
    </row>
    <row r="150" spans="1:8">
      <c r="A150" s="67">
        <v>917</v>
      </c>
      <c r="B150" s="68" t="s">
        <v>650</v>
      </c>
      <c r="C150" s="68" t="s">
        <v>651</v>
      </c>
      <c r="D150" s="68" t="s">
        <v>650</v>
      </c>
      <c r="E150" s="68"/>
      <c r="F150" s="61" t="str">
        <f t="shared" si="7"/>
        <v>Bududa</v>
      </c>
      <c r="G150" s="61" t="str">
        <f t="shared" si="8"/>
        <v>Bududa</v>
      </c>
      <c r="H150" s="68" t="s">
        <v>650</v>
      </c>
    </row>
    <row r="151" spans="1:8">
      <c r="A151" s="67">
        <v>916</v>
      </c>
      <c r="B151" s="68" t="s">
        <v>650</v>
      </c>
      <c r="C151" s="68" t="s">
        <v>651</v>
      </c>
      <c r="D151" s="68" t="s">
        <v>652</v>
      </c>
      <c r="E151" s="68"/>
      <c r="F151" s="61" t="str">
        <f t="shared" si="7"/>
        <v>Bududa Town Council</v>
      </c>
      <c r="G151" s="61" t="str">
        <f t="shared" si="8"/>
        <v>Bududa</v>
      </c>
      <c r="H151" s="68" t="s">
        <v>652</v>
      </c>
    </row>
    <row r="152" spans="1:8">
      <c r="A152" s="67">
        <v>949</v>
      </c>
      <c r="B152" s="68" t="s">
        <v>813</v>
      </c>
      <c r="C152" s="68" t="s">
        <v>814</v>
      </c>
      <c r="D152" s="68" t="s">
        <v>812</v>
      </c>
      <c r="E152" s="68"/>
      <c r="F152" s="61" t="str">
        <f t="shared" si="7"/>
        <v>Budumba</v>
      </c>
      <c r="G152" s="61" t="str">
        <f t="shared" si="8"/>
        <v>Butaleja</v>
      </c>
      <c r="H152" s="68" t="s">
        <v>812</v>
      </c>
    </row>
    <row r="153" spans="1:8">
      <c r="A153" s="67">
        <v>772</v>
      </c>
      <c r="B153" s="68" t="s">
        <v>1646</v>
      </c>
      <c r="C153" s="68" t="s">
        <v>1647</v>
      </c>
      <c r="D153" s="68" t="s">
        <v>1648</v>
      </c>
      <c r="E153" s="68"/>
      <c r="F153" s="61" t="str">
        <f t="shared" si="7"/>
        <v>Budwale</v>
      </c>
      <c r="G153" s="61" t="str">
        <f t="shared" si="8"/>
        <v>Mbale</v>
      </c>
      <c r="H153" s="68" t="s">
        <v>1648</v>
      </c>
    </row>
    <row r="154" spans="1:8">
      <c r="A154" s="67">
        <v>773</v>
      </c>
      <c r="B154" s="68" t="s">
        <v>1646</v>
      </c>
      <c r="C154" s="68" t="s">
        <v>1647</v>
      </c>
      <c r="D154" s="68" t="s">
        <v>1649</v>
      </c>
      <c r="E154" s="68"/>
      <c r="F154" s="61" t="str">
        <f t="shared" si="7"/>
        <v>Bufumbo</v>
      </c>
      <c r="G154" s="61" t="str">
        <f t="shared" si="8"/>
        <v>Mbale</v>
      </c>
      <c r="H154" s="68" t="s">
        <v>1649</v>
      </c>
    </row>
    <row r="155" spans="1:8">
      <c r="A155" s="67">
        <v>322</v>
      </c>
      <c r="B155" s="68" t="s">
        <v>1054</v>
      </c>
      <c r="C155" s="68" t="s">
        <v>1055</v>
      </c>
      <c r="D155" s="68" t="s">
        <v>1056</v>
      </c>
      <c r="E155" s="68"/>
      <c r="F155" s="61" t="str">
        <f t="shared" si="7"/>
        <v>Bufumira</v>
      </c>
      <c r="G155" s="61" t="str">
        <f t="shared" si="8"/>
        <v>Kalangala</v>
      </c>
      <c r="H155" s="68" t="s">
        <v>1056</v>
      </c>
    </row>
    <row r="156" spans="1:8" ht="25.5">
      <c r="A156" s="67">
        <v>1364</v>
      </c>
      <c r="B156" s="68" t="s">
        <v>43</v>
      </c>
      <c r="C156" s="69" t="s">
        <v>899</v>
      </c>
      <c r="D156" s="68" t="s">
        <v>2242</v>
      </c>
      <c r="E156" s="68"/>
      <c r="F156" s="62" t="str">
        <f>VLOOKUP(C156,[2]Municipalities!$C$9:$F$1522,4,FALSE)</f>
        <v>Ibanda Municipality</v>
      </c>
      <c r="G156" s="61" t="str">
        <f t="shared" si="8"/>
        <v>Ibanda</v>
      </c>
      <c r="H156" s="68" t="s">
        <v>2242</v>
      </c>
    </row>
    <row r="157" spans="1:8">
      <c r="A157" s="67">
        <v>1507</v>
      </c>
      <c r="B157" s="68" t="s">
        <v>1990</v>
      </c>
      <c r="C157" s="68" t="s">
        <v>1990</v>
      </c>
      <c r="D157" s="68" t="s">
        <v>1991</v>
      </c>
      <c r="E157" s="68"/>
      <c r="F157" s="61" t="str">
        <f t="shared" si="7"/>
        <v>Bufundi</v>
      </c>
      <c r="G157" s="61" t="str">
        <f t="shared" si="8"/>
        <v>Rubanda</v>
      </c>
      <c r="H157" s="68" t="s">
        <v>1991</v>
      </c>
    </row>
    <row r="158" spans="1:8">
      <c r="A158" s="67">
        <v>1330</v>
      </c>
      <c r="B158" s="68" t="s">
        <v>1499</v>
      </c>
      <c r="C158" s="68" t="s">
        <v>1500</v>
      </c>
      <c r="D158" s="68" t="s">
        <v>1498</v>
      </c>
      <c r="E158" s="68"/>
      <c r="F158" s="61" t="str">
        <f t="shared" si="7"/>
        <v>Bufunjo</v>
      </c>
      <c r="G158" s="61" t="str">
        <f t="shared" si="8"/>
        <v>Kyenjojo</v>
      </c>
      <c r="H158" s="68" t="s">
        <v>1498</v>
      </c>
    </row>
    <row r="159" spans="1:8">
      <c r="A159" s="67">
        <v>1331</v>
      </c>
      <c r="B159" s="68" t="s">
        <v>1499</v>
      </c>
      <c r="C159" s="68" t="s">
        <v>1500</v>
      </c>
      <c r="D159" s="68" t="s">
        <v>1501</v>
      </c>
      <c r="E159" s="68"/>
      <c r="F159" s="61" t="str">
        <f t="shared" si="7"/>
        <v>Bugaaki</v>
      </c>
      <c r="G159" s="61" t="str">
        <f t="shared" si="8"/>
        <v>Kyenjojo</v>
      </c>
      <c r="H159" s="68" t="s">
        <v>1501</v>
      </c>
    </row>
    <row r="160" spans="1:8">
      <c r="A160" s="67">
        <v>1257</v>
      </c>
      <c r="B160" s="68" t="s">
        <v>1670</v>
      </c>
      <c r="C160" s="68" t="s">
        <v>1673</v>
      </c>
      <c r="D160" s="68" t="s">
        <v>1672</v>
      </c>
      <c r="E160" s="68"/>
      <c r="F160" s="61" t="str">
        <f t="shared" si="7"/>
        <v>Bugamba</v>
      </c>
      <c r="G160" s="61" t="str">
        <f t="shared" si="8"/>
        <v>Mbarara</v>
      </c>
      <c r="H160" s="68" t="s">
        <v>1672</v>
      </c>
    </row>
    <row r="161" spans="1:8">
      <c r="A161" s="67">
        <v>1140</v>
      </c>
      <c r="B161" s="68" t="s">
        <v>884</v>
      </c>
      <c r="C161" s="68" t="s">
        <v>885</v>
      </c>
      <c r="D161" s="68" t="s">
        <v>883</v>
      </c>
      <c r="E161" s="68"/>
      <c r="F161" s="61" t="str">
        <f t="shared" si="7"/>
        <v>Bugambe</v>
      </c>
      <c r="G161" s="61" t="str">
        <f t="shared" si="8"/>
        <v>Hoima</v>
      </c>
      <c r="H161" s="68" t="s">
        <v>883</v>
      </c>
    </row>
    <row r="162" spans="1:8">
      <c r="A162" s="67">
        <v>1289</v>
      </c>
      <c r="B162" s="68" t="s">
        <v>40</v>
      </c>
      <c r="C162" s="68" t="s">
        <v>2018</v>
      </c>
      <c r="D162" s="68" t="s">
        <v>2017</v>
      </c>
      <c r="E162" s="68"/>
      <c r="F162" s="61" t="str">
        <f t="shared" si="7"/>
        <v>Bugangari</v>
      </c>
      <c r="G162" s="61" t="str">
        <f t="shared" si="8"/>
        <v>Rukungiri</v>
      </c>
      <c r="H162" s="68" t="s">
        <v>2017</v>
      </c>
    </row>
    <row r="163" spans="1:8">
      <c r="A163" s="67">
        <v>617</v>
      </c>
      <c r="B163" s="68" t="s">
        <v>841</v>
      </c>
      <c r="C163" s="68" t="s">
        <v>842</v>
      </c>
      <c r="D163" s="72" t="s">
        <v>2243</v>
      </c>
      <c r="E163" s="68"/>
      <c r="F163" s="61" t="str">
        <f t="shared" ref="F163:F164" si="9">D163&amp;"-"&amp;B163</f>
        <v>Bugaya-Buvuma</v>
      </c>
      <c r="G163" s="61" t="str">
        <f t="shared" si="8"/>
        <v>Buvuma</v>
      </c>
      <c r="H163" s="72" t="s">
        <v>2243</v>
      </c>
    </row>
    <row r="164" spans="1:8">
      <c r="A164" s="67">
        <v>1018</v>
      </c>
      <c r="B164" s="68" t="s">
        <v>852</v>
      </c>
      <c r="C164" s="68" t="s">
        <v>853</v>
      </c>
      <c r="D164" s="72" t="s">
        <v>2243</v>
      </c>
      <c r="E164" s="68"/>
      <c r="F164" s="61" t="str">
        <f t="shared" si="9"/>
        <v>Bugaya-Buyende</v>
      </c>
      <c r="G164" s="61" t="str">
        <f t="shared" si="8"/>
        <v>Buyende</v>
      </c>
      <c r="H164" s="72" t="s">
        <v>2243</v>
      </c>
    </row>
    <row r="165" spans="1:8">
      <c r="A165" s="67">
        <v>713</v>
      </c>
      <c r="B165" s="68" t="s">
        <v>952</v>
      </c>
      <c r="C165" s="68" t="s">
        <v>955</v>
      </c>
      <c r="D165" s="68" t="s">
        <v>954</v>
      </c>
      <c r="E165" s="68"/>
      <c r="F165" s="61" t="str">
        <f t="shared" ref="F165:F228" si="10">D165</f>
        <v>Bugembe Town Council</v>
      </c>
      <c r="G165" s="61" t="str">
        <f t="shared" si="8"/>
        <v>Jinja</v>
      </c>
      <c r="H165" s="68" t="s">
        <v>954</v>
      </c>
    </row>
    <row r="166" spans="1:8">
      <c r="A166" s="67">
        <v>999</v>
      </c>
      <c r="B166" s="68" t="s">
        <v>723</v>
      </c>
      <c r="C166" s="68" t="s">
        <v>723</v>
      </c>
      <c r="D166" s="68" t="s">
        <v>722</v>
      </c>
      <c r="E166" s="68"/>
      <c r="F166" s="61" t="str">
        <f t="shared" si="10"/>
        <v>Buginyanya</v>
      </c>
      <c r="G166" s="61" t="str">
        <f t="shared" si="8"/>
        <v>Bulambuli</v>
      </c>
      <c r="H166" s="68" t="s">
        <v>722</v>
      </c>
    </row>
    <row r="167" spans="1:8">
      <c r="A167" s="67">
        <v>866</v>
      </c>
      <c r="B167" s="68" t="s">
        <v>2054</v>
      </c>
      <c r="C167" s="68" t="s">
        <v>2055</v>
      </c>
      <c r="D167" s="68" t="s">
        <v>2056</v>
      </c>
      <c r="E167" s="68"/>
      <c r="F167" s="61" t="str">
        <f t="shared" si="10"/>
        <v>Bugitimwa</v>
      </c>
      <c r="G167" s="61" t="str">
        <f t="shared" si="8"/>
        <v>Sironko</v>
      </c>
      <c r="H167" s="68" t="s">
        <v>2056</v>
      </c>
    </row>
    <row r="168" spans="1:8">
      <c r="A168" s="67">
        <v>973</v>
      </c>
      <c r="B168" s="68" t="s">
        <v>1583</v>
      </c>
      <c r="C168" s="68" t="s">
        <v>1584</v>
      </c>
      <c r="D168" s="68" t="s">
        <v>1582</v>
      </c>
      <c r="E168" s="68"/>
      <c r="F168" s="61" t="str">
        <f t="shared" si="10"/>
        <v>Bugobero</v>
      </c>
      <c r="G168" s="61" t="str">
        <f t="shared" si="8"/>
        <v>Manafwa</v>
      </c>
      <c r="H168" s="68" t="s">
        <v>1582</v>
      </c>
    </row>
    <row r="169" spans="1:8">
      <c r="A169" s="67">
        <v>1068</v>
      </c>
      <c r="B169" s="68" t="s">
        <v>2030</v>
      </c>
      <c r="C169" s="68" t="s">
        <v>2032</v>
      </c>
      <c r="D169" s="68" t="s">
        <v>2031</v>
      </c>
      <c r="E169" s="68"/>
      <c r="F169" s="61" t="str">
        <f t="shared" si="10"/>
        <v>Bugondo</v>
      </c>
      <c r="G169" s="61" t="str">
        <f t="shared" si="8"/>
        <v>Serere</v>
      </c>
      <c r="H169" s="68" t="s">
        <v>2031</v>
      </c>
    </row>
    <row r="170" spans="1:8">
      <c r="A170" s="67">
        <v>1463</v>
      </c>
      <c r="B170" s="68" t="s">
        <v>41</v>
      </c>
      <c r="C170" s="68" t="s">
        <v>41</v>
      </c>
      <c r="D170" s="68" t="s">
        <v>2041</v>
      </c>
      <c r="E170" s="68"/>
      <c r="F170" s="61" t="str">
        <f t="shared" si="10"/>
        <v>Bugongi Town Council</v>
      </c>
      <c r="G170" s="61" t="str">
        <f t="shared" si="8"/>
        <v>Sheema</v>
      </c>
      <c r="H170" s="68" t="s">
        <v>2041</v>
      </c>
    </row>
    <row r="171" spans="1:8">
      <c r="A171" s="67">
        <v>1192</v>
      </c>
      <c r="B171" s="68" t="s">
        <v>36</v>
      </c>
      <c r="C171" s="68" t="s">
        <v>1297</v>
      </c>
      <c r="D171" s="68" t="s">
        <v>1296</v>
      </c>
      <c r="E171" s="68"/>
      <c r="F171" s="61" t="str">
        <f t="shared" si="10"/>
        <v>Bugoye</v>
      </c>
      <c r="G171" s="61" t="str">
        <f t="shared" si="8"/>
        <v>Kasese</v>
      </c>
      <c r="H171" s="68" t="s">
        <v>1296</v>
      </c>
    </row>
    <row r="172" spans="1:8">
      <c r="A172" s="67">
        <v>732</v>
      </c>
      <c r="B172" s="68" t="s">
        <v>1232</v>
      </c>
      <c r="C172" s="68" t="s">
        <v>1235</v>
      </c>
      <c r="D172" s="68" t="s">
        <v>1234</v>
      </c>
      <c r="E172" s="68"/>
      <c r="F172" s="61" t="str">
        <f t="shared" si="10"/>
        <v>Bugulumbya</v>
      </c>
      <c r="G172" s="61" t="str">
        <f t="shared" si="8"/>
        <v>Kamuli</v>
      </c>
      <c r="H172" s="68" t="s">
        <v>1234</v>
      </c>
    </row>
    <row r="173" spans="1:8">
      <c r="A173" s="67">
        <v>1307</v>
      </c>
      <c r="B173" s="68" t="s">
        <v>44</v>
      </c>
      <c r="C173" s="68" t="s">
        <v>1250</v>
      </c>
      <c r="D173" s="68" t="s">
        <v>1249</v>
      </c>
      <c r="E173" s="68"/>
      <c r="F173" s="61" t="str">
        <f t="shared" si="10"/>
        <v>Buhanda</v>
      </c>
      <c r="G173" s="61" t="str">
        <f t="shared" si="8"/>
        <v>Kamwenge</v>
      </c>
      <c r="H173" s="68" t="s">
        <v>1249</v>
      </c>
    </row>
    <row r="174" spans="1:8">
      <c r="A174" s="67">
        <v>1135</v>
      </c>
      <c r="B174" s="68" t="s">
        <v>884</v>
      </c>
      <c r="C174" s="68" t="s">
        <v>887</v>
      </c>
      <c r="D174" s="68" t="s">
        <v>886</v>
      </c>
      <c r="E174" s="68"/>
      <c r="F174" s="61" t="str">
        <f t="shared" si="10"/>
        <v>Buhanika</v>
      </c>
      <c r="G174" s="61" t="str">
        <f t="shared" si="8"/>
        <v>Hoima</v>
      </c>
      <c r="H174" s="68" t="s">
        <v>886</v>
      </c>
    </row>
    <row r="175" spans="1:8">
      <c r="A175" s="67">
        <v>1152</v>
      </c>
      <c r="B175" s="68" t="s">
        <v>981</v>
      </c>
      <c r="C175" s="68" t="s">
        <v>982</v>
      </c>
      <c r="D175" s="68" t="s">
        <v>980</v>
      </c>
      <c r="E175" s="68"/>
      <c r="F175" s="61" t="str">
        <f t="shared" si="10"/>
        <v>Buhara</v>
      </c>
      <c r="G175" s="61" t="str">
        <f t="shared" si="8"/>
        <v>Kabale</v>
      </c>
      <c r="H175" s="68" t="s">
        <v>980</v>
      </c>
    </row>
    <row r="176" spans="1:8">
      <c r="A176" s="67">
        <v>1515</v>
      </c>
      <c r="B176" s="68" t="s">
        <v>773</v>
      </c>
      <c r="C176" s="68" t="s">
        <v>773</v>
      </c>
      <c r="D176" s="68" t="s">
        <v>772</v>
      </c>
      <c r="E176" s="68"/>
      <c r="F176" s="61" t="str">
        <f t="shared" si="10"/>
        <v>Buheesi</v>
      </c>
      <c r="G176" s="61" t="str">
        <f t="shared" si="8"/>
        <v>Bunyangabu</v>
      </c>
      <c r="H176" s="68" t="s">
        <v>772</v>
      </c>
    </row>
    <row r="177" spans="1:8">
      <c r="A177" s="67">
        <v>1524</v>
      </c>
      <c r="B177" s="68" t="s">
        <v>773</v>
      </c>
      <c r="C177" s="68" t="s">
        <v>773</v>
      </c>
      <c r="D177" s="68" t="s">
        <v>774</v>
      </c>
      <c r="E177" s="68"/>
      <c r="F177" s="61" t="str">
        <f t="shared" si="10"/>
        <v>Buheesi Town Council</v>
      </c>
      <c r="G177" s="61" t="str">
        <f t="shared" si="8"/>
        <v>Bunyangabu</v>
      </c>
      <c r="H177" s="68" t="s">
        <v>774</v>
      </c>
    </row>
    <row r="178" spans="1:8">
      <c r="A178" s="67">
        <v>683</v>
      </c>
      <c r="B178" s="68" t="s">
        <v>796</v>
      </c>
      <c r="C178" s="68" t="s">
        <v>797</v>
      </c>
      <c r="D178" s="68" t="s">
        <v>795</v>
      </c>
      <c r="E178" s="68"/>
      <c r="F178" s="61" t="str">
        <f t="shared" si="10"/>
        <v>Buhehe</v>
      </c>
      <c r="G178" s="61" t="str">
        <f t="shared" si="8"/>
        <v>Busia</v>
      </c>
      <c r="H178" s="68" t="s">
        <v>795</v>
      </c>
    </row>
    <row r="179" spans="1:8">
      <c r="A179" s="67">
        <v>1056</v>
      </c>
      <c r="B179" s="68" t="s">
        <v>1817</v>
      </c>
      <c r="C179" s="68" t="s">
        <v>1818</v>
      </c>
      <c r="D179" s="68" t="s">
        <v>1819</v>
      </c>
      <c r="E179" s="68"/>
      <c r="F179" s="61" t="str">
        <f t="shared" si="10"/>
        <v>Buhemba</v>
      </c>
      <c r="G179" s="61" t="str">
        <f t="shared" si="8"/>
        <v>Namayingo</v>
      </c>
      <c r="H179" s="68" t="s">
        <v>1819</v>
      </c>
    </row>
    <row r="180" spans="1:8">
      <c r="A180" s="67">
        <v>1141</v>
      </c>
      <c r="B180" s="68" t="s">
        <v>884</v>
      </c>
      <c r="C180" s="68" t="s">
        <v>885</v>
      </c>
      <c r="D180" s="68" t="s">
        <v>888</v>
      </c>
      <c r="E180" s="68"/>
      <c r="F180" s="61" t="str">
        <f t="shared" si="10"/>
        <v>Buhimba</v>
      </c>
      <c r="G180" s="61" t="str">
        <f t="shared" si="8"/>
        <v>Hoima</v>
      </c>
      <c r="H180" s="68" t="s">
        <v>888</v>
      </c>
    </row>
    <row r="181" spans="1:8">
      <c r="A181" s="67">
        <v>867</v>
      </c>
      <c r="B181" s="68" t="s">
        <v>2054</v>
      </c>
      <c r="C181" s="68" t="s">
        <v>2055</v>
      </c>
      <c r="D181" s="68" t="s">
        <v>2057</v>
      </c>
      <c r="E181" s="68"/>
      <c r="F181" s="61" t="str">
        <f t="shared" si="10"/>
        <v>Buhugu</v>
      </c>
      <c r="G181" s="61" t="str">
        <f t="shared" si="8"/>
        <v>Sironko</v>
      </c>
      <c r="H181" s="68" t="s">
        <v>2057</v>
      </c>
    </row>
    <row r="182" spans="1:8">
      <c r="A182" s="67">
        <v>1193</v>
      </c>
      <c r="B182" s="68" t="s">
        <v>36</v>
      </c>
      <c r="C182" s="68" t="s">
        <v>1297</v>
      </c>
      <c r="D182" s="68" t="s">
        <v>1298</v>
      </c>
      <c r="E182" s="68"/>
      <c r="F182" s="61" t="str">
        <f t="shared" si="10"/>
        <v>Buhuhira</v>
      </c>
      <c r="G182" s="61" t="str">
        <f t="shared" si="8"/>
        <v>Kasese</v>
      </c>
      <c r="H182" s="68" t="s">
        <v>1298</v>
      </c>
    </row>
    <row r="183" spans="1:8">
      <c r="A183" s="67">
        <v>1290</v>
      </c>
      <c r="B183" s="68" t="s">
        <v>40</v>
      </c>
      <c r="C183" s="68" t="s">
        <v>2018</v>
      </c>
      <c r="D183" s="68" t="s">
        <v>2019</v>
      </c>
      <c r="E183" s="68"/>
      <c r="F183" s="61" t="str">
        <f t="shared" si="10"/>
        <v>Buhunga</v>
      </c>
      <c r="G183" s="61" t="str">
        <f t="shared" si="8"/>
        <v>Rukungiri</v>
      </c>
      <c r="H183" s="68" t="s">
        <v>2019</v>
      </c>
    </row>
    <row r="184" spans="1:8">
      <c r="A184" s="67">
        <v>594</v>
      </c>
      <c r="B184" s="68" t="s">
        <v>688</v>
      </c>
      <c r="C184" s="68" t="s">
        <v>688</v>
      </c>
      <c r="D184" s="68" t="s">
        <v>688</v>
      </c>
      <c r="E184" s="68"/>
      <c r="F184" s="61" t="str">
        <f t="shared" si="10"/>
        <v>Buikwe</v>
      </c>
      <c r="G184" s="61" t="str">
        <f t="shared" si="8"/>
        <v>Buikwe</v>
      </c>
      <c r="H184" s="68" t="s">
        <v>688</v>
      </c>
    </row>
    <row r="185" spans="1:8">
      <c r="A185" s="67">
        <v>595</v>
      </c>
      <c r="B185" s="68" t="s">
        <v>688</v>
      </c>
      <c r="C185" s="68" t="s">
        <v>688</v>
      </c>
      <c r="D185" s="68" t="s">
        <v>689</v>
      </c>
      <c r="E185" s="68"/>
      <c r="F185" s="61" t="str">
        <f t="shared" si="10"/>
        <v>Buikwe Town Council</v>
      </c>
      <c r="G185" s="61" t="str">
        <f t="shared" si="8"/>
        <v>Buikwe</v>
      </c>
      <c r="H185" s="68" t="s">
        <v>689</v>
      </c>
    </row>
    <row r="186" spans="1:8">
      <c r="A186" s="67">
        <v>318</v>
      </c>
      <c r="B186" s="68" t="s">
        <v>1054</v>
      </c>
      <c r="C186" s="68" t="s">
        <v>1057</v>
      </c>
      <c r="D186" s="68" t="s">
        <v>1057</v>
      </c>
      <c r="E186" s="68"/>
      <c r="F186" s="61" t="str">
        <f t="shared" si="10"/>
        <v>Bujumba</v>
      </c>
      <c r="G186" s="61" t="str">
        <f t="shared" si="8"/>
        <v>Kalangala</v>
      </c>
      <c r="H186" s="68" t="s">
        <v>1057</v>
      </c>
    </row>
    <row r="187" spans="1:8" ht="16.5" customHeight="1">
      <c r="A187" s="67">
        <v>1145</v>
      </c>
      <c r="B187" s="70" t="s">
        <v>884</v>
      </c>
      <c r="C187" s="71" t="s">
        <v>889</v>
      </c>
      <c r="D187" s="70" t="s">
        <v>2244</v>
      </c>
      <c r="E187" s="70"/>
      <c r="F187" s="62" t="str">
        <f>VLOOKUP(C187,[2]Municipalities!$C$9:$F$1522,4,FALSE)</f>
        <v>Hoima Municipality</v>
      </c>
      <c r="G187" s="61" t="str">
        <f t="shared" si="8"/>
        <v>Hoima</v>
      </c>
      <c r="H187" s="70" t="s">
        <v>2244</v>
      </c>
    </row>
    <row r="188" spans="1:8">
      <c r="A188" s="67">
        <v>852</v>
      </c>
      <c r="B188" s="68" t="s">
        <v>1630</v>
      </c>
      <c r="C188" s="68" t="s">
        <v>1631</v>
      </c>
      <c r="D188" s="68" t="s">
        <v>1632</v>
      </c>
      <c r="E188" s="68"/>
      <c r="F188" s="61" t="str">
        <f t="shared" si="10"/>
        <v>Bukabooli</v>
      </c>
      <c r="G188" s="61" t="str">
        <f t="shared" si="8"/>
        <v>Mayuge</v>
      </c>
      <c r="H188" s="68" t="s">
        <v>1632</v>
      </c>
    </row>
    <row r="189" spans="1:8">
      <c r="A189" s="67">
        <v>442</v>
      </c>
      <c r="B189" s="68" t="s">
        <v>39</v>
      </c>
      <c r="C189" s="68" t="s">
        <v>23</v>
      </c>
      <c r="D189" s="68" t="s">
        <v>1610</v>
      </c>
      <c r="E189" s="68"/>
      <c r="F189" s="61" t="str">
        <f t="shared" si="10"/>
        <v>Bukakata</v>
      </c>
      <c r="G189" s="61" t="str">
        <f t="shared" si="8"/>
        <v>Masaka</v>
      </c>
      <c r="H189" s="68" t="s">
        <v>1610</v>
      </c>
    </row>
    <row r="190" spans="1:8">
      <c r="A190" s="67">
        <v>918</v>
      </c>
      <c r="B190" s="68" t="s">
        <v>650</v>
      </c>
      <c r="C190" s="68" t="s">
        <v>651</v>
      </c>
      <c r="D190" s="68" t="s">
        <v>653</v>
      </c>
      <c r="E190" s="68"/>
      <c r="F190" s="61" t="str">
        <f t="shared" si="10"/>
        <v>Bukalasi</v>
      </c>
      <c r="G190" s="61" t="str">
        <f t="shared" si="8"/>
        <v>Bududa</v>
      </c>
      <c r="H190" s="68" t="s">
        <v>653</v>
      </c>
    </row>
    <row r="191" spans="1:8">
      <c r="A191" s="67">
        <v>962</v>
      </c>
      <c r="B191" s="68" t="s">
        <v>1062</v>
      </c>
      <c r="C191" s="68" t="s">
        <v>911</v>
      </c>
      <c r="D191" s="68" t="s">
        <v>1063</v>
      </c>
      <c r="E191" s="68"/>
      <c r="F191" s="61" t="str">
        <f t="shared" si="10"/>
        <v>Bukamba</v>
      </c>
      <c r="G191" s="61" t="str">
        <f t="shared" si="8"/>
        <v>Kaliro</v>
      </c>
      <c r="H191" s="68" t="s">
        <v>1063</v>
      </c>
    </row>
    <row r="192" spans="1:8">
      <c r="A192" s="67">
        <v>1055</v>
      </c>
      <c r="B192" s="68" t="s">
        <v>1817</v>
      </c>
      <c r="C192" s="68" t="s">
        <v>1818</v>
      </c>
      <c r="D192" s="68" t="s">
        <v>1820</v>
      </c>
      <c r="E192" s="68"/>
      <c r="F192" s="61" t="str">
        <f t="shared" si="10"/>
        <v>Bukana</v>
      </c>
      <c r="G192" s="61" t="str">
        <f t="shared" si="8"/>
        <v>Namayingo</v>
      </c>
      <c r="H192" s="68" t="s">
        <v>1820</v>
      </c>
    </row>
    <row r="193" spans="1:8">
      <c r="A193" s="67">
        <v>1046</v>
      </c>
      <c r="B193" s="68" t="s">
        <v>1546</v>
      </c>
      <c r="C193" s="68" t="s">
        <v>1546</v>
      </c>
      <c r="D193" s="68" t="s">
        <v>932</v>
      </c>
      <c r="E193" s="68"/>
      <c r="F193" s="61" t="str">
        <f t="shared" si="10"/>
        <v>Bukanga</v>
      </c>
      <c r="G193" s="61" t="str">
        <f t="shared" si="8"/>
        <v>Luuka</v>
      </c>
      <c r="H193" s="68" t="s">
        <v>932</v>
      </c>
    </row>
    <row r="194" spans="1:8">
      <c r="A194" s="67">
        <v>774</v>
      </c>
      <c r="B194" s="68" t="s">
        <v>1646</v>
      </c>
      <c r="C194" s="68" t="s">
        <v>1647</v>
      </c>
      <c r="D194" s="68" t="s">
        <v>1650</v>
      </c>
      <c r="E194" s="68"/>
      <c r="F194" s="61" t="str">
        <f t="shared" si="10"/>
        <v>Bukasakya</v>
      </c>
      <c r="G194" s="61" t="str">
        <f t="shared" si="8"/>
        <v>Mbale</v>
      </c>
      <c r="H194" s="68" t="s">
        <v>1650</v>
      </c>
    </row>
    <row r="195" spans="1:8">
      <c r="A195" s="67">
        <v>853</v>
      </c>
      <c r="B195" s="68" t="s">
        <v>1630</v>
      </c>
      <c r="C195" s="68" t="s">
        <v>1631</v>
      </c>
      <c r="D195" s="68" t="s">
        <v>1633</v>
      </c>
      <c r="E195" s="68"/>
      <c r="F195" s="61" t="str">
        <f t="shared" si="10"/>
        <v>Bukatube</v>
      </c>
      <c r="G195" s="61" t="str">
        <f t="shared" si="8"/>
        <v>Mayuge</v>
      </c>
      <c r="H195" s="68" t="s">
        <v>1633</v>
      </c>
    </row>
    <row r="196" spans="1:8">
      <c r="A196" s="67">
        <v>931</v>
      </c>
      <c r="B196" s="68" t="s">
        <v>697</v>
      </c>
      <c r="C196" s="68" t="s">
        <v>697</v>
      </c>
      <c r="D196" s="68" t="s">
        <v>697</v>
      </c>
      <c r="E196" s="68"/>
      <c r="F196" s="61" t="str">
        <f t="shared" si="10"/>
        <v>Bukedea</v>
      </c>
      <c r="G196" s="61" t="str">
        <f t="shared" si="8"/>
        <v>Bukedea</v>
      </c>
      <c r="H196" s="68" t="s">
        <v>697</v>
      </c>
    </row>
    <row r="197" spans="1:8">
      <c r="A197" s="67">
        <v>932</v>
      </c>
      <c r="B197" s="68" t="s">
        <v>697</v>
      </c>
      <c r="C197" s="68" t="s">
        <v>697</v>
      </c>
      <c r="D197" s="68" t="s">
        <v>698</v>
      </c>
      <c r="E197" s="68"/>
      <c r="F197" s="61" t="str">
        <f t="shared" si="10"/>
        <v>Bukedea Town Council</v>
      </c>
      <c r="G197" s="61" t="str">
        <f t="shared" si="8"/>
        <v>Bukedea</v>
      </c>
      <c r="H197" s="68" t="s">
        <v>698</v>
      </c>
    </row>
    <row r="198" spans="1:8">
      <c r="A198" s="67">
        <v>1086</v>
      </c>
      <c r="B198" s="68" t="s">
        <v>1828</v>
      </c>
      <c r="C198" s="68" t="s">
        <v>1828</v>
      </c>
      <c r="D198" s="68" t="s">
        <v>1829</v>
      </c>
      <c r="E198" s="68"/>
      <c r="F198" s="61" t="str">
        <f t="shared" si="10"/>
        <v>Bukhabusi</v>
      </c>
      <c r="G198" s="61" t="str">
        <f t="shared" si="8"/>
        <v>Namisindwa</v>
      </c>
      <c r="H198" s="68" t="s">
        <v>1829</v>
      </c>
    </row>
    <row r="199" spans="1:8">
      <c r="A199" s="67">
        <v>1000</v>
      </c>
      <c r="B199" s="68" t="s">
        <v>723</v>
      </c>
      <c r="C199" s="68" t="s">
        <v>723</v>
      </c>
      <c r="D199" s="68" t="s">
        <v>724</v>
      </c>
      <c r="E199" s="68"/>
      <c r="F199" s="61" t="str">
        <f t="shared" si="10"/>
        <v>Bukhalu</v>
      </c>
      <c r="G199" s="61" t="str">
        <f t="shared" si="8"/>
        <v>Bulambuli</v>
      </c>
      <c r="H199" s="68" t="s">
        <v>724</v>
      </c>
    </row>
    <row r="200" spans="1:8">
      <c r="A200" s="67">
        <v>1087</v>
      </c>
      <c r="B200" s="68" t="s">
        <v>1828</v>
      </c>
      <c r="C200" s="68" t="s">
        <v>1828</v>
      </c>
      <c r="D200" s="68" t="s">
        <v>1830</v>
      </c>
      <c r="E200" s="68"/>
      <c r="F200" s="61" t="str">
        <f t="shared" si="10"/>
        <v>Bukhaweka</v>
      </c>
      <c r="G200" s="61" t="str">
        <f t="shared" si="8"/>
        <v>Namisindwa</v>
      </c>
      <c r="H200" s="68" t="s">
        <v>1830</v>
      </c>
    </row>
    <row r="201" spans="1:8">
      <c r="A201" s="67">
        <v>974</v>
      </c>
      <c r="B201" s="68" t="s">
        <v>1583</v>
      </c>
      <c r="C201" s="68" t="s">
        <v>1584</v>
      </c>
      <c r="D201" s="68" t="s">
        <v>1585</v>
      </c>
      <c r="E201" s="68"/>
      <c r="F201" s="61" t="str">
        <f t="shared" si="10"/>
        <v>Bukhofu</v>
      </c>
      <c r="G201" s="61" t="str">
        <f t="shared" si="8"/>
        <v>Manafwa</v>
      </c>
      <c r="H201" s="68" t="s">
        <v>1585</v>
      </c>
    </row>
    <row r="202" spans="1:8">
      <c r="A202" s="67">
        <v>868</v>
      </c>
      <c r="B202" s="68" t="s">
        <v>2054</v>
      </c>
      <c r="C202" s="68" t="s">
        <v>2055</v>
      </c>
      <c r="D202" s="68" t="s">
        <v>2058</v>
      </c>
      <c r="E202" s="68"/>
      <c r="F202" s="61" t="str">
        <f t="shared" si="10"/>
        <v>Bukhulo</v>
      </c>
      <c r="G202" s="61" t="str">
        <f t="shared" ref="G202:G265" si="11">B202</f>
        <v>Sironko</v>
      </c>
      <c r="H202" s="68" t="s">
        <v>2058</v>
      </c>
    </row>
    <row r="203" spans="1:8">
      <c r="A203" s="67">
        <v>1088</v>
      </c>
      <c r="B203" s="68" t="s">
        <v>1828</v>
      </c>
      <c r="C203" s="68" t="s">
        <v>1828</v>
      </c>
      <c r="D203" s="68" t="s">
        <v>1831</v>
      </c>
      <c r="E203" s="68"/>
      <c r="F203" s="61" t="str">
        <f t="shared" si="10"/>
        <v>Bukiabi</v>
      </c>
      <c r="G203" s="61" t="str">
        <f t="shared" si="11"/>
        <v>Namisindwa</v>
      </c>
      <c r="H203" s="68" t="s">
        <v>1831</v>
      </c>
    </row>
    <row r="204" spans="1:8">
      <c r="A204" s="67">
        <v>919</v>
      </c>
      <c r="B204" s="68" t="s">
        <v>650</v>
      </c>
      <c r="C204" s="68" t="s">
        <v>651</v>
      </c>
      <c r="D204" s="68" t="s">
        <v>654</v>
      </c>
      <c r="E204" s="68"/>
      <c r="F204" s="61" t="str">
        <f t="shared" si="10"/>
        <v>Bukibokolo</v>
      </c>
      <c r="G204" s="61" t="str">
        <f t="shared" si="11"/>
        <v>Bududa</v>
      </c>
      <c r="H204" s="68" t="s">
        <v>654</v>
      </c>
    </row>
    <row r="205" spans="1:8">
      <c r="A205" s="67">
        <v>775</v>
      </c>
      <c r="B205" s="68" t="s">
        <v>1646</v>
      </c>
      <c r="C205" s="68" t="s">
        <v>1647</v>
      </c>
      <c r="D205" s="68" t="s">
        <v>1651</v>
      </c>
      <c r="E205" s="68"/>
      <c r="F205" s="61" t="str">
        <f t="shared" si="10"/>
        <v>Bukiende</v>
      </c>
      <c r="G205" s="61" t="str">
        <f t="shared" si="11"/>
        <v>Mbale</v>
      </c>
      <c r="H205" s="68" t="s">
        <v>1651</v>
      </c>
    </row>
    <row r="206" spans="1:8">
      <c r="A206" s="67">
        <v>920</v>
      </c>
      <c r="B206" s="68" t="s">
        <v>650</v>
      </c>
      <c r="C206" s="68" t="s">
        <v>651</v>
      </c>
      <c r="D206" s="68" t="s">
        <v>655</v>
      </c>
      <c r="E206" s="68"/>
      <c r="F206" s="61" t="str">
        <f t="shared" si="10"/>
        <v>Bukigai</v>
      </c>
      <c r="G206" s="61" t="str">
        <f t="shared" si="11"/>
        <v>Bududa</v>
      </c>
      <c r="H206" s="68" t="s">
        <v>655</v>
      </c>
    </row>
    <row r="207" spans="1:8">
      <c r="A207" s="67">
        <v>869</v>
      </c>
      <c r="B207" s="68" t="s">
        <v>2054</v>
      </c>
      <c r="C207" s="68" t="s">
        <v>2055</v>
      </c>
      <c r="D207" s="68" t="s">
        <v>2059</v>
      </c>
      <c r="E207" s="68"/>
      <c r="F207" s="61" t="str">
        <f t="shared" si="10"/>
        <v>Bukiise</v>
      </c>
      <c r="G207" s="61" t="str">
        <f t="shared" si="11"/>
        <v>Sironko</v>
      </c>
      <c r="H207" s="68" t="s">
        <v>2059</v>
      </c>
    </row>
    <row r="208" spans="1:8">
      <c r="A208" s="67">
        <v>1218</v>
      </c>
      <c r="B208" s="68" t="s">
        <v>1404</v>
      </c>
      <c r="C208" s="68" t="s">
        <v>1405</v>
      </c>
      <c r="D208" s="68" t="s">
        <v>1403</v>
      </c>
      <c r="E208" s="68"/>
      <c r="F208" s="61" t="str">
        <f t="shared" si="10"/>
        <v>Bukimbiri</v>
      </c>
      <c r="G208" s="61" t="str">
        <f t="shared" si="11"/>
        <v>Kisoro</v>
      </c>
      <c r="H208" s="68" t="s">
        <v>1403</v>
      </c>
    </row>
    <row r="209" spans="1:8">
      <c r="A209" s="67">
        <v>1526</v>
      </c>
      <c r="B209" s="68" t="s">
        <v>2011</v>
      </c>
      <c r="C209" s="68" t="s">
        <v>2011</v>
      </c>
      <c r="D209" s="68" t="s">
        <v>2245</v>
      </c>
      <c r="E209" s="68"/>
      <c r="F209" s="61" t="str">
        <f t="shared" si="10"/>
        <v>Bukinda</v>
      </c>
      <c r="G209" s="61" t="str">
        <f t="shared" si="11"/>
        <v>Rukiga</v>
      </c>
      <c r="H209" s="68" t="s">
        <v>2245</v>
      </c>
    </row>
    <row r="210" spans="1:8">
      <c r="A210" s="67">
        <v>1245</v>
      </c>
      <c r="B210" s="68" t="s">
        <v>1670</v>
      </c>
      <c r="C210" s="68" t="s">
        <v>1671</v>
      </c>
      <c r="D210" s="68" t="s">
        <v>1674</v>
      </c>
      <c r="E210" s="68"/>
      <c r="F210" s="61" t="str">
        <f t="shared" si="10"/>
        <v>Bukiro</v>
      </c>
      <c r="G210" s="61" t="str">
        <f t="shared" si="11"/>
        <v>Mbarara</v>
      </c>
      <c r="H210" s="68" t="s">
        <v>1674</v>
      </c>
    </row>
    <row r="211" spans="1:8">
      <c r="A211" s="67">
        <v>870</v>
      </c>
      <c r="B211" s="68" t="s">
        <v>2054</v>
      </c>
      <c r="C211" s="68" t="s">
        <v>2055</v>
      </c>
      <c r="D211" s="68" t="s">
        <v>2060</v>
      </c>
      <c r="E211" s="68"/>
      <c r="F211" s="61" t="str">
        <f t="shared" si="10"/>
        <v>Bukiyi</v>
      </c>
      <c r="G211" s="61" t="str">
        <f t="shared" si="11"/>
        <v>Sironko</v>
      </c>
      <c r="H211" s="68" t="s">
        <v>2060</v>
      </c>
    </row>
    <row r="212" spans="1:8">
      <c r="A212" s="67">
        <v>1089</v>
      </c>
      <c r="B212" s="68" t="s">
        <v>1828</v>
      </c>
      <c r="C212" s="68" t="s">
        <v>1828</v>
      </c>
      <c r="D212" s="68" t="s">
        <v>1832</v>
      </c>
      <c r="E212" s="68"/>
      <c r="F212" s="61" t="str">
        <f t="shared" si="10"/>
        <v>Bukokho</v>
      </c>
      <c r="G212" s="61" t="str">
        <f t="shared" si="11"/>
        <v>Namisindwa</v>
      </c>
      <c r="H212" s="68" t="s">
        <v>1832</v>
      </c>
    </row>
    <row r="213" spans="1:8" ht="15" customHeight="1">
      <c r="A213" s="67">
        <v>607</v>
      </c>
      <c r="B213" s="70" t="s">
        <v>704</v>
      </c>
      <c r="C213" s="70" t="s">
        <v>704</v>
      </c>
      <c r="D213" s="70" t="s">
        <v>705</v>
      </c>
      <c r="E213" s="68"/>
      <c r="F213" s="61" t="str">
        <f t="shared" si="10"/>
        <v>Bukomansimbi Town Council</v>
      </c>
      <c r="G213" s="61" t="str">
        <f t="shared" si="11"/>
        <v>Bukomansimbi</v>
      </c>
      <c r="H213" s="70" t="s">
        <v>705</v>
      </c>
    </row>
    <row r="214" spans="1:8">
      <c r="A214" s="67">
        <v>421</v>
      </c>
      <c r="B214" s="68" t="s">
        <v>1356</v>
      </c>
      <c r="C214" s="68" t="s">
        <v>1356</v>
      </c>
      <c r="D214" s="68" t="s">
        <v>1355</v>
      </c>
      <c r="E214" s="68"/>
      <c r="F214" s="61" t="str">
        <f t="shared" si="10"/>
        <v>Bukomero</v>
      </c>
      <c r="G214" s="61" t="str">
        <f t="shared" si="11"/>
        <v>Kiboga</v>
      </c>
      <c r="H214" s="68" t="s">
        <v>1355</v>
      </c>
    </row>
    <row r="215" spans="1:8">
      <c r="A215" s="67">
        <v>422</v>
      </c>
      <c r="B215" s="68" t="s">
        <v>1356</v>
      </c>
      <c r="C215" s="68" t="s">
        <v>1356</v>
      </c>
      <c r="D215" s="68" t="s">
        <v>1357</v>
      </c>
      <c r="E215" s="68"/>
      <c r="F215" s="61" t="str">
        <f t="shared" si="10"/>
        <v>Bukomero Town Council</v>
      </c>
      <c r="G215" s="61" t="str">
        <f t="shared" si="11"/>
        <v>Kiboga</v>
      </c>
      <c r="H215" s="68" t="s">
        <v>1357</v>
      </c>
    </row>
    <row r="216" spans="1:8">
      <c r="A216" s="67">
        <v>776</v>
      </c>
      <c r="B216" s="68" t="s">
        <v>1646</v>
      </c>
      <c r="C216" s="68" t="s">
        <v>1647</v>
      </c>
      <c r="D216" s="68" t="s">
        <v>1652</v>
      </c>
      <c r="E216" s="68"/>
      <c r="F216" s="61" t="str">
        <f t="shared" si="10"/>
        <v>Bukonde</v>
      </c>
      <c r="G216" s="61" t="str">
        <f t="shared" si="11"/>
        <v>Mbale</v>
      </c>
      <c r="H216" s="68" t="s">
        <v>1652</v>
      </c>
    </row>
    <row r="217" spans="1:8">
      <c r="A217" s="67">
        <v>1102</v>
      </c>
      <c r="B217" s="68" t="s">
        <v>750</v>
      </c>
      <c r="C217" s="68" t="s">
        <v>754</v>
      </c>
      <c r="D217" s="68" t="s">
        <v>753</v>
      </c>
      <c r="E217" s="68"/>
      <c r="F217" s="61" t="str">
        <f t="shared" si="10"/>
        <v>Bukonzo</v>
      </c>
      <c r="G217" s="61" t="str">
        <f t="shared" si="11"/>
        <v>Bundibugyo</v>
      </c>
      <c r="H217" s="68" t="s">
        <v>753</v>
      </c>
    </row>
    <row r="218" spans="1:8">
      <c r="A218" s="67">
        <v>1047</v>
      </c>
      <c r="B218" s="68" t="s">
        <v>1546</v>
      </c>
      <c r="C218" s="68" t="s">
        <v>1546</v>
      </c>
      <c r="D218" s="68" t="s">
        <v>1547</v>
      </c>
      <c r="E218" s="68"/>
      <c r="F218" s="61" t="str">
        <f t="shared" si="10"/>
        <v>Bukooma</v>
      </c>
      <c r="G218" s="61" t="str">
        <f t="shared" si="11"/>
        <v>Luuka</v>
      </c>
      <c r="H218" s="68" t="s">
        <v>1547</v>
      </c>
    </row>
    <row r="219" spans="1:8">
      <c r="A219" s="67">
        <v>631</v>
      </c>
      <c r="B219" s="68" t="s">
        <v>1075</v>
      </c>
      <c r="C219" s="68" t="s">
        <v>1075</v>
      </c>
      <c r="D219" s="68" t="s">
        <v>1074</v>
      </c>
      <c r="E219" s="68"/>
      <c r="F219" s="61" t="str">
        <f t="shared" si="10"/>
        <v>Bukulula</v>
      </c>
      <c r="G219" s="61" t="str">
        <f t="shared" si="11"/>
        <v>Kalungu</v>
      </c>
      <c r="H219" s="68" t="s">
        <v>1074</v>
      </c>
    </row>
    <row r="220" spans="1:8">
      <c r="A220" s="67">
        <v>975</v>
      </c>
      <c r="B220" s="68" t="s">
        <v>1583</v>
      </c>
      <c r="C220" s="68" t="s">
        <v>1584</v>
      </c>
      <c r="D220" s="68" t="s">
        <v>1586</v>
      </c>
      <c r="E220" s="68"/>
      <c r="F220" s="61" t="str">
        <f t="shared" si="10"/>
        <v>Bukusu</v>
      </c>
      <c r="G220" s="61" t="str">
        <f t="shared" si="11"/>
        <v>Manafwa</v>
      </c>
      <c r="H220" s="68" t="s">
        <v>1586</v>
      </c>
    </row>
    <row r="221" spans="1:8">
      <c r="A221" s="67">
        <v>1162</v>
      </c>
      <c r="B221" s="68" t="s">
        <v>994</v>
      </c>
      <c r="C221" s="68" t="s">
        <v>995</v>
      </c>
      <c r="D221" s="68" t="s">
        <v>993</v>
      </c>
      <c r="E221" s="68"/>
      <c r="F221" s="61" t="str">
        <f t="shared" si="10"/>
        <v>Bukuuku</v>
      </c>
      <c r="G221" s="61" t="str">
        <f t="shared" si="11"/>
        <v>Kabarole</v>
      </c>
      <c r="H221" s="68" t="s">
        <v>993</v>
      </c>
    </row>
    <row r="222" spans="1:8">
      <c r="A222" s="67">
        <v>467</v>
      </c>
      <c r="B222" s="68" t="s">
        <v>1739</v>
      </c>
      <c r="C222" s="68" t="s">
        <v>1742</v>
      </c>
      <c r="D222" s="68" t="s">
        <v>1741</v>
      </c>
      <c r="E222" s="68"/>
      <c r="F222" s="61" t="str">
        <f t="shared" si="10"/>
        <v>Bukuya</v>
      </c>
      <c r="G222" s="61" t="str">
        <f t="shared" si="11"/>
        <v>Mubende</v>
      </c>
      <c r="H222" s="68" t="s">
        <v>1741</v>
      </c>
    </row>
    <row r="223" spans="1:8">
      <c r="A223" s="67">
        <v>937</v>
      </c>
      <c r="B223" s="68" t="s">
        <v>709</v>
      </c>
      <c r="C223" s="68" t="s">
        <v>710</v>
      </c>
      <c r="D223" s="68" t="s">
        <v>709</v>
      </c>
      <c r="E223" s="68"/>
      <c r="F223" s="61" t="str">
        <f t="shared" si="10"/>
        <v>Bukwo</v>
      </c>
      <c r="G223" s="61" t="str">
        <f t="shared" si="11"/>
        <v>Bukwo</v>
      </c>
      <c r="H223" s="68" t="s">
        <v>709</v>
      </c>
    </row>
    <row r="224" spans="1:8">
      <c r="A224" s="67">
        <v>938</v>
      </c>
      <c r="B224" s="68" t="s">
        <v>709</v>
      </c>
      <c r="C224" s="68" t="s">
        <v>710</v>
      </c>
      <c r="D224" s="68" t="s">
        <v>711</v>
      </c>
      <c r="E224" s="68"/>
      <c r="F224" s="61" t="str">
        <f t="shared" si="10"/>
        <v>Bukwo Town Council</v>
      </c>
      <c r="G224" s="61" t="str">
        <f t="shared" si="11"/>
        <v>Bukwo</v>
      </c>
      <c r="H224" s="68" t="s">
        <v>711</v>
      </c>
    </row>
    <row r="225" spans="1:8">
      <c r="A225" s="67">
        <v>871</v>
      </c>
      <c r="B225" s="68" t="s">
        <v>2054</v>
      </c>
      <c r="C225" s="68" t="s">
        <v>2055</v>
      </c>
      <c r="D225" s="68" t="s">
        <v>2061</v>
      </c>
      <c r="E225" s="68"/>
      <c r="F225" s="61" t="str">
        <f t="shared" si="10"/>
        <v>Bukyabo</v>
      </c>
      <c r="G225" s="61" t="str">
        <f t="shared" si="11"/>
        <v>Sironko</v>
      </c>
      <c r="H225" s="68" t="s">
        <v>2061</v>
      </c>
    </row>
    <row r="226" spans="1:8">
      <c r="A226" s="67">
        <v>872</v>
      </c>
      <c r="B226" s="68" t="s">
        <v>2054</v>
      </c>
      <c r="C226" s="68" t="s">
        <v>2055</v>
      </c>
      <c r="D226" s="68" t="s">
        <v>2062</v>
      </c>
      <c r="E226" s="68"/>
      <c r="F226" s="61" t="str">
        <f t="shared" si="10"/>
        <v>Bukyambi</v>
      </c>
      <c r="G226" s="61" t="str">
        <f t="shared" si="11"/>
        <v>Sironko</v>
      </c>
      <c r="H226" s="68" t="s">
        <v>2062</v>
      </c>
    </row>
    <row r="227" spans="1:8">
      <c r="A227" s="67">
        <v>1001</v>
      </c>
      <c r="B227" s="68" t="s">
        <v>723</v>
      </c>
      <c r="C227" s="68" t="s">
        <v>723</v>
      </c>
      <c r="D227" s="68" t="s">
        <v>725</v>
      </c>
      <c r="E227" s="68"/>
      <c r="F227" s="61" t="str">
        <f t="shared" si="10"/>
        <v>Bulaago</v>
      </c>
      <c r="G227" s="61" t="str">
        <f t="shared" si="11"/>
        <v>Bulambuli</v>
      </c>
      <c r="H227" s="68" t="s">
        <v>725</v>
      </c>
    </row>
    <row r="228" spans="1:8">
      <c r="A228" s="67">
        <v>1002</v>
      </c>
      <c r="B228" s="68" t="s">
        <v>723</v>
      </c>
      <c r="C228" s="68" t="s">
        <v>723</v>
      </c>
      <c r="D228" s="68" t="s">
        <v>726</v>
      </c>
      <c r="E228" s="68"/>
      <c r="F228" s="61" t="str">
        <f t="shared" si="10"/>
        <v>Bulambuli Town Council</v>
      </c>
      <c r="G228" s="61" t="str">
        <f t="shared" si="11"/>
        <v>Bulambuli</v>
      </c>
      <c r="H228" s="68" t="s">
        <v>726</v>
      </c>
    </row>
    <row r="229" spans="1:8">
      <c r="A229" s="67">
        <v>705</v>
      </c>
      <c r="B229" s="68" t="s">
        <v>912</v>
      </c>
      <c r="C229" s="68" t="s">
        <v>913</v>
      </c>
      <c r="D229" s="68" t="s">
        <v>911</v>
      </c>
      <c r="E229" s="68"/>
      <c r="F229" s="61" t="str">
        <f t="shared" ref="F229:F292" si="12">D229</f>
        <v>Bulamogi</v>
      </c>
      <c r="G229" s="61" t="str">
        <f t="shared" si="11"/>
        <v>Iganga</v>
      </c>
      <c r="H229" s="68" t="s">
        <v>911</v>
      </c>
    </row>
    <row r="230" spans="1:8">
      <c r="A230" s="67">
        <v>990</v>
      </c>
      <c r="B230" s="68" t="s">
        <v>1846</v>
      </c>
      <c r="C230" s="68" t="s">
        <v>1847</v>
      </c>
      <c r="D230" s="68" t="s">
        <v>1845</v>
      </c>
      <c r="E230" s="68"/>
      <c r="F230" s="61" t="str">
        <f t="shared" si="12"/>
        <v>Bulange</v>
      </c>
      <c r="G230" s="61" t="str">
        <f t="shared" si="11"/>
        <v>Namutumba</v>
      </c>
      <c r="H230" s="68" t="s">
        <v>1845</v>
      </c>
    </row>
    <row r="231" spans="1:8">
      <c r="A231" s="67">
        <v>1024</v>
      </c>
      <c r="B231" s="68" t="s">
        <v>1365</v>
      </c>
      <c r="C231" s="68" t="s">
        <v>1365</v>
      </c>
      <c r="D231" s="68" t="s">
        <v>1364</v>
      </c>
      <c r="E231" s="68"/>
      <c r="F231" s="61" t="str">
        <f t="shared" si="12"/>
        <v>Bulangira</v>
      </c>
      <c r="G231" s="61" t="str">
        <f t="shared" si="11"/>
        <v>Kibuku</v>
      </c>
      <c r="H231" s="68" t="s">
        <v>1364</v>
      </c>
    </row>
    <row r="232" spans="1:8">
      <c r="A232" s="67">
        <v>1003</v>
      </c>
      <c r="B232" s="68" t="s">
        <v>723</v>
      </c>
      <c r="C232" s="68" t="s">
        <v>723</v>
      </c>
      <c r="D232" s="68" t="s">
        <v>727</v>
      </c>
      <c r="E232" s="68"/>
      <c r="F232" s="61" t="str">
        <f t="shared" si="12"/>
        <v>Bulegeni</v>
      </c>
      <c r="G232" s="61" t="str">
        <f t="shared" si="11"/>
        <v>Bulambuli</v>
      </c>
      <c r="H232" s="68" t="s">
        <v>727</v>
      </c>
    </row>
    <row r="233" spans="1:8">
      <c r="A233" s="67">
        <v>1017</v>
      </c>
      <c r="B233" s="68" t="s">
        <v>723</v>
      </c>
      <c r="C233" s="68" t="s">
        <v>723</v>
      </c>
      <c r="D233" s="68" t="s">
        <v>728</v>
      </c>
      <c r="E233" s="68"/>
      <c r="F233" s="61" t="str">
        <f t="shared" si="12"/>
        <v>Bulegeni Town Council</v>
      </c>
      <c r="G233" s="61" t="str">
        <f t="shared" si="11"/>
        <v>Bulambuli</v>
      </c>
      <c r="H233" s="68" t="s">
        <v>728</v>
      </c>
    </row>
    <row r="234" spans="1:8" ht="25.5">
      <c r="A234" s="67">
        <v>1205</v>
      </c>
      <c r="B234" s="70" t="s">
        <v>36</v>
      </c>
      <c r="C234" s="71" t="s">
        <v>1305</v>
      </c>
      <c r="D234" s="70" t="s">
        <v>2246</v>
      </c>
      <c r="E234" s="70"/>
      <c r="F234" s="62" t="str">
        <f>VLOOKUP(C234,[2]Municipalities!$C$9:$F$1522,4,FALSE)</f>
        <v>Kasese Municipality</v>
      </c>
      <c r="G234" s="61" t="str">
        <f t="shared" si="11"/>
        <v>Kasese</v>
      </c>
      <c r="H234" s="70" t="s">
        <v>2246</v>
      </c>
    </row>
    <row r="235" spans="1:8">
      <c r="A235" s="67">
        <v>570</v>
      </c>
      <c r="B235" s="68" t="s">
        <v>1697</v>
      </c>
      <c r="C235" s="68" t="s">
        <v>1697</v>
      </c>
      <c r="D235" s="68" t="s">
        <v>1699</v>
      </c>
      <c r="E235" s="68"/>
      <c r="F235" s="61" t="str">
        <f t="shared" si="12"/>
        <v>Bulera</v>
      </c>
      <c r="G235" s="61" t="str">
        <f t="shared" si="11"/>
        <v>Mityana</v>
      </c>
      <c r="H235" s="68" t="s">
        <v>1699</v>
      </c>
    </row>
    <row r="236" spans="1:8">
      <c r="A236" s="67">
        <v>672</v>
      </c>
      <c r="B236" s="68" t="s">
        <v>667</v>
      </c>
      <c r="C236" s="68" t="s">
        <v>668</v>
      </c>
      <c r="D236" s="68" t="s">
        <v>670</v>
      </c>
      <c r="E236" s="68"/>
      <c r="F236" s="61" t="str">
        <f t="shared" si="12"/>
        <v>Bulesa</v>
      </c>
      <c r="G236" s="61" t="str">
        <f t="shared" si="11"/>
        <v>Bugiri</v>
      </c>
      <c r="H236" s="68" t="s">
        <v>670</v>
      </c>
    </row>
    <row r="237" spans="1:8">
      <c r="A237" s="67">
        <v>673</v>
      </c>
      <c r="B237" s="68" t="s">
        <v>667</v>
      </c>
      <c r="C237" s="68" t="s">
        <v>668</v>
      </c>
      <c r="D237" s="68" t="s">
        <v>671</v>
      </c>
      <c r="E237" s="68"/>
      <c r="F237" s="61" t="str">
        <f t="shared" si="12"/>
        <v>Bulidha</v>
      </c>
      <c r="G237" s="61" t="str">
        <f t="shared" si="11"/>
        <v>Bugiri</v>
      </c>
      <c r="H237" s="68" t="s">
        <v>671</v>
      </c>
    </row>
    <row r="238" spans="1:8">
      <c r="A238" s="67">
        <v>1347</v>
      </c>
      <c r="B238" s="68" t="s">
        <v>743</v>
      </c>
      <c r="C238" s="68" t="s">
        <v>743</v>
      </c>
      <c r="D238" s="68" t="s">
        <v>743</v>
      </c>
      <c r="E238" s="68"/>
      <c r="F238" s="61" t="str">
        <f t="shared" si="12"/>
        <v>Buliisa</v>
      </c>
      <c r="G238" s="61" t="str">
        <f t="shared" si="11"/>
        <v>Buliisa</v>
      </c>
      <c r="H238" s="68" t="s">
        <v>743</v>
      </c>
    </row>
    <row r="239" spans="1:8">
      <c r="A239" s="67">
        <v>1348</v>
      </c>
      <c r="B239" s="68" t="s">
        <v>743</v>
      </c>
      <c r="C239" s="68" t="s">
        <v>743</v>
      </c>
      <c r="D239" s="68" t="s">
        <v>744</v>
      </c>
      <c r="E239" s="68"/>
      <c r="F239" s="61" t="str">
        <f t="shared" si="12"/>
        <v>Buliisa Town Council</v>
      </c>
      <c r="G239" s="61" t="str">
        <f t="shared" si="11"/>
        <v>Buliisa</v>
      </c>
      <c r="H239" s="68" t="s">
        <v>744</v>
      </c>
    </row>
    <row r="240" spans="1:8">
      <c r="A240" s="67">
        <v>612</v>
      </c>
      <c r="B240" s="68" t="s">
        <v>826</v>
      </c>
      <c r="C240" s="68" t="s">
        <v>826</v>
      </c>
      <c r="D240" s="68" t="s">
        <v>827</v>
      </c>
      <c r="E240" s="68"/>
      <c r="F240" s="61" t="str">
        <f t="shared" si="12"/>
        <v>Bulo</v>
      </c>
      <c r="G240" s="61" t="str">
        <f t="shared" si="11"/>
        <v>Butambala</v>
      </c>
      <c r="H240" s="68" t="s">
        <v>827</v>
      </c>
    </row>
    <row r="241" spans="1:8">
      <c r="A241" s="67">
        <v>1048</v>
      </c>
      <c r="B241" s="68" t="s">
        <v>1546</v>
      </c>
      <c r="C241" s="68" t="s">
        <v>1546</v>
      </c>
      <c r="D241" s="68" t="s">
        <v>1548</v>
      </c>
      <c r="E241" s="68"/>
      <c r="F241" s="61" t="str">
        <f t="shared" si="12"/>
        <v>Bulongo</v>
      </c>
      <c r="G241" s="61" t="str">
        <f t="shared" si="11"/>
        <v>Luuka</v>
      </c>
      <c r="H241" s="68" t="s">
        <v>1548</v>
      </c>
    </row>
    <row r="242" spans="1:8">
      <c r="A242" s="67">
        <v>726</v>
      </c>
      <c r="B242" s="68" t="s">
        <v>1232</v>
      </c>
      <c r="C242" s="68" t="s">
        <v>1233</v>
      </c>
      <c r="D242" s="68" t="s">
        <v>1236</v>
      </c>
      <c r="E242" s="68"/>
      <c r="F242" s="61" t="str">
        <f t="shared" si="12"/>
        <v>Bulopa</v>
      </c>
      <c r="G242" s="61" t="str">
        <f t="shared" si="11"/>
        <v>Kamuli</v>
      </c>
      <c r="H242" s="68" t="s">
        <v>1236</v>
      </c>
    </row>
    <row r="243" spans="1:8">
      <c r="A243" s="67">
        <v>921</v>
      </c>
      <c r="B243" s="68" t="s">
        <v>650</v>
      </c>
      <c r="C243" s="68" t="s">
        <v>651</v>
      </c>
      <c r="D243" s="68" t="s">
        <v>656</v>
      </c>
      <c r="E243" s="68"/>
      <c r="F243" s="61" t="str">
        <f t="shared" si="12"/>
        <v>Bulucheke</v>
      </c>
      <c r="G243" s="61" t="str">
        <f t="shared" si="11"/>
        <v>Bududa</v>
      </c>
      <c r="H243" s="68" t="s">
        <v>656</v>
      </c>
    </row>
    <row r="244" spans="1:8">
      <c r="A244" s="67">
        <v>1005</v>
      </c>
      <c r="B244" s="68" t="s">
        <v>723</v>
      </c>
      <c r="C244" s="68" t="s">
        <v>723</v>
      </c>
      <c r="D244" s="68" t="s">
        <v>729</v>
      </c>
      <c r="E244" s="68"/>
      <c r="F244" s="61" t="str">
        <f t="shared" si="12"/>
        <v>Buluganya</v>
      </c>
      <c r="G244" s="61" t="str">
        <f t="shared" si="11"/>
        <v>Bulambuli</v>
      </c>
      <c r="H244" s="68" t="s">
        <v>729</v>
      </c>
    </row>
    <row r="245" spans="1:8">
      <c r="A245" s="67">
        <v>674</v>
      </c>
      <c r="B245" s="68" t="s">
        <v>667</v>
      </c>
      <c r="C245" s="68" t="s">
        <v>668</v>
      </c>
      <c r="D245" s="68" t="s">
        <v>672</v>
      </c>
      <c r="E245" s="68"/>
      <c r="F245" s="61" t="str">
        <f t="shared" si="12"/>
        <v>Buluguyi</v>
      </c>
      <c r="G245" s="61" t="str">
        <f t="shared" si="11"/>
        <v>Bugiri</v>
      </c>
      <c r="H245" s="68" t="s">
        <v>672</v>
      </c>
    </row>
    <row r="246" spans="1:8">
      <c r="A246" s="67">
        <v>847</v>
      </c>
      <c r="B246" s="68" t="s">
        <v>1010</v>
      </c>
      <c r="C246" s="68" t="s">
        <v>1012</v>
      </c>
      <c r="D246" s="68" t="s">
        <v>1015</v>
      </c>
      <c r="E246" s="68"/>
      <c r="F246" s="61" t="str">
        <f t="shared" si="12"/>
        <v>Bululu</v>
      </c>
      <c r="G246" s="61" t="str">
        <f t="shared" si="11"/>
        <v>Kaberamaido</v>
      </c>
      <c r="H246" s="68" t="s">
        <v>1015</v>
      </c>
    </row>
    <row r="247" spans="1:8">
      <c r="A247" s="67">
        <v>684</v>
      </c>
      <c r="B247" s="68" t="s">
        <v>796</v>
      </c>
      <c r="C247" s="68" t="s">
        <v>797</v>
      </c>
      <c r="D247" s="68" t="s">
        <v>798</v>
      </c>
      <c r="E247" s="68"/>
      <c r="F247" s="61" t="str">
        <f t="shared" si="12"/>
        <v>Bulumbi</v>
      </c>
      <c r="G247" s="61" t="str">
        <f t="shared" si="11"/>
        <v>Busia</v>
      </c>
      <c r="H247" s="68" t="s">
        <v>798</v>
      </c>
    </row>
    <row r="248" spans="1:8">
      <c r="A248" s="67">
        <v>873</v>
      </c>
      <c r="B248" s="68" t="s">
        <v>2054</v>
      </c>
      <c r="C248" s="68" t="s">
        <v>2055</v>
      </c>
      <c r="D248" s="68" t="s">
        <v>2063</v>
      </c>
      <c r="E248" s="68"/>
      <c r="F248" s="61" t="str">
        <f t="shared" si="12"/>
        <v>Bumalimba</v>
      </c>
      <c r="G248" s="61" t="str">
        <f t="shared" si="11"/>
        <v>Sironko</v>
      </c>
      <c r="H248" s="68" t="s">
        <v>2063</v>
      </c>
    </row>
    <row r="249" spans="1:8">
      <c r="A249" s="67">
        <v>963</v>
      </c>
      <c r="B249" s="68" t="s">
        <v>1062</v>
      </c>
      <c r="C249" s="68" t="s">
        <v>911</v>
      </c>
      <c r="D249" s="68" t="s">
        <v>1064</v>
      </c>
      <c r="E249" s="68"/>
      <c r="F249" s="61" t="str">
        <f t="shared" si="12"/>
        <v>Bumanya</v>
      </c>
      <c r="G249" s="61" t="str">
        <f t="shared" si="11"/>
        <v>Kaliro</v>
      </c>
      <c r="H249" s="68" t="s">
        <v>1064</v>
      </c>
    </row>
    <row r="250" spans="1:8">
      <c r="A250" s="67">
        <v>922</v>
      </c>
      <c r="B250" s="68" t="s">
        <v>650</v>
      </c>
      <c r="C250" s="68" t="s">
        <v>651</v>
      </c>
      <c r="D250" s="68" t="s">
        <v>657</v>
      </c>
      <c r="E250" s="68"/>
      <c r="F250" s="61" t="str">
        <f t="shared" si="12"/>
        <v>Bumasheti</v>
      </c>
      <c r="G250" s="61" t="str">
        <f t="shared" si="11"/>
        <v>Bududa</v>
      </c>
      <c r="H250" s="68" t="s">
        <v>657</v>
      </c>
    </row>
    <row r="251" spans="1:8">
      <c r="A251" s="67">
        <v>874</v>
      </c>
      <c r="B251" s="68" t="s">
        <v>2054</v>
      </c>
      <c r="C251" s="68" t="s">
        <v>2055</v>
      </c>
      <c r="D251" s="68" t="s">
        <v>2064</v>
      </c>
      <c r="E251" s="68"/>
      <c r="F251" s="61" t="str">
        <f t="shared" si="12"/>
        <v>Bumasifwa</v>
      </c>
      <c r="G251" s="61" t="str">
        <f t="shared" si="11"/>
        <v>Sironko</v>
      </c>
      <c r="H251" s="68" t="s">
        <v>2064</v>
      </c>
    </row>
    <row r="252" spans="1:8">
      <c r="A252" s="67">
        <v>777</v>
      </c>
      <c r="B252" s="68" t="s">
        <v>1646</v>
      </c>
      <c r="C252" s="68" t="s">
        <v>1647</v>
      </c>
      <c r="D252" s="68" t="s">
        <v>1653</v>
      </c>
      <c r="E252" s="68"/>
      <c r="F252" s="61" t="str">
        <f t="shared" si="12"/>
        <v>Bumasikye</v>
      </c>
      <c r="G252" s="61" t="str">
        <f t="shared" si="11"/>
        <v>Mbale</v>
      </c>
      <c r="H252" s="68" t="s">
        <v>1653</v>
      </c>
    </row>
    <row r="253" spans="1:8">
      <c r="A253" s="67">
        <v>1006</v>
      </c>
      <c r="B253" s="68" t="s">
        <v>723</v>
      </c>
      <c r="C253" s="68" t="s">
        <v>723</v>
      </c>
      <c r="D253" s="68" t="s">
        <v>730</v>
      </c>
      <c r="E253" s="68"/>
      <c r="F253" s="61" t="str">
        <f t="shared" si="12"/>
        <v>Bumasobo</v>
      </c>
      <c r="G253" s="61" t="str">
        <f t="shared" si="11"/>
        <v>Bulambuli</v>
      </c>
      <c r="H253" s="68" t="s">
        <v>730</v>
      </c>
    </row>
    <row r="254" spans="1:8">
      <c r="A254" s="67">
        <v>923</v>
      </c>
      <c r="B254" s="68" t="s">
        <v>650</v>
      </c>
      <c r="C254" s="68" t="s">
        <v>651</v>
      </c>
      <c r="D254" s="68" t="s">
        <v>658</v>
      </c>
      <c r="E254" s="68"/>
      <c r="F254" s="61" t="str">
        <f t="shared" si="12"/>
        <v>Bumayoka</v>
      </c>
      <c r="G254" s="61" t="str">
        <f t="shared" si="11"/>
        <v>Bududa</v>
      </c>
      <c r="H254" s="68" t="s">
        <v>658</v>
      </c>
    </row>
    <row r="255" spans="1:8">
      <c r="A255" s="67">
        <v>1126</v>
      </c>
      <c r="B255" s="68" t="s">
        <v>38</v>
      </c>
      <c r="C255" s="68" t="s">
        <v>785</v>
      </c>
      <c r="D255" s="68" t="s">
        <v>786</v>
      </c>
      <c r="E255" s="68"/>
      <c r="F255" s="61" t="str">
        <f t="shared" si="12"/>
        <v>Bumbaire</v>
      </c>
      <c r="G255" s="61" t="str">
        <f t="shared" si="11"/>
        <v>Bushenyi</v>
      </c>
      <c r="H255" s="68" t="s">
        <v>786</v>
      </c>
    </row>
    <row r="256" spans="1:8">
      <c r="A256" s="67">
        <v>1090</v>
      </c>
      <c r="B256" s="68" t="s">
        <v>1828</v>
      </c>
      <c r="C256" s="68" t="s">
        <v>1828</v>
      </c>
      <c r="D256" s="68" t="s">
        <v>1833</v>
      </c>
      <c r="E256" s="68"/>
      <c r="F256" s="61" t="str">
        <f t="shared" si="12"/>
        <v>Bumbo</v>
      </c>
      <c r="G256" s="61" t="str">
        <f t="shared" si="11"/>
        <v>Namisindwa</v>
      </c>
      <c r="H256" s="68" t="s">
        <v>1833</v>
      </c>
    </row>
    <row r="257" spans="1:8">
      <c r="A257" s="67">
        <v>778</v>
      </c>
      <c r="B257" s="68" t="s">
        <v>1646</v>
      </c>
      <c r="C257" s="68" t="s">
        <v>1647</v>
      </c>
      <c r="D257" s="68" t="s">
        <v>1654</v>
      </c>
      <c r="E257" s="68"/>
      <c r="F257" s="61" t="str">
        <f t="shared" si="12"/>
        <v>Bumbobi</v>
      </c>
      <c r="G257" s="61" t="str">
        <f t="shared" si="11"/>
        <v>Mbale</v>
      </c>
      <c r="H257" s="68" t="s">
        <v>1654</v>
      </c>
    </row>
    <row r="258" spans="1:8">
      <c r="A258" s="67">
        <v>1007</v>
      </c>
      <c r="B258" s="68" t="s">
        <v>723</v>
      </c>
      <c r="C258" s="68" t="s">
        <v>723</v>
      </c>
      <c r="D258" s="68" t="s">
        <v>731</v>
      </c>
      <c r="E258" s="68"/>
      <c r="F258" s="61" t="str">
        <f t="shared" si="12"/>
        <v>Bumugibole</v>
      </c>
      <c r="G258" s="61" t="str">
        <f t="shared" si="11"/>
        <v>Bulambuli</v>
      </c>
      <c r="H258" s="68" t="s">
        <v>731</v>
      </c>
    </row>
    <row r="259" spans="1:8">
      <c r="A259" s="67">
        <v>1091</v>
      </c>
      <c r="B259" s="68" t="s">
        <v>1828</v>
      </c>
      <c r="C259" s="68" t="s">
        <v>1828</v>
      </c>
      <c r="D259" s="68" t="s">
        <v>1834</v>
      </c>
      <c r="E259" s="68"/>
      <c r="F259" s="61" t="str">
        <f t="shared" si="12"/>
        <v>Bumwoni</v>
      </c>
      <c r="G259" s="61" t="str">
        <f t="shared" si="11"/>
        <v>Namisindwa</v>
      </c>
      <c r="H259" s="68" t="s">
        <v>1834</v>
      </c>
    </row>
    <row r="260" spans="1:8">
      <c r="A260" s="67">
        <v>976</v>
      </c>
      <c r="B260" s="68" t="s">
        <v>1583</v>
      </c>
      <c r="C260" s="68" t="s">
        <v>1584</v>
      </c>
      <c r="D260" s="68" t="s">
        <v>1587</v>
      </c>
      <c r="E260" s="68"/>
      <c r="F260" s="61" t="str">
        <f t="shared" si="12"/>
        <v>Bunabwana</v>
      </c>
      <c r="G260" s="61" t="str">
        <f t="shared" si="11"/>
        <v>Manafwa</v>
      </c>
      <c r="H260" s="68" t="s">
        <v>1587</v>
      </c>
    </row>
    <row r="261" spans="1:8">
      <c r="A261" s="67">
        <v>1008</v>
      </c>
      <c r="B261" s="68" t="s">
        <v>723</v>
      </c>
      <c r="C261" s="68" t="s">
        <v>723</v>
      </c>
      <c r="D261" s="68" t="s">
        <v>732</v>
      </c>
      <c r="E261" s="68"/>
      <c r="F261" s="61" t="str">
        <f t="shared" si="12"/>
        <v>Bunambutye</v>
      </c>
      <c r="G261" s="61" t="str">
        <f t="shared" si="11"/>
        <v>Bulambuli</v>
      </c>
      <c r="H261" s="68" t="s">
        <v>732</v>
      </c>
    </row>
    <row r="262" spans="1:8" ht="38.25">
      <c r="A262" s="67">
        <v>552</v>
      </c>
      <c r="B262" s="70" t="s">
        <v>2117</v>
      </c>
      <c r="C262" s="71" t="s">
        <v>2118</v>
      </c>
      <c r="D262" s="70" t="s">
        <v>2247</v>
      </c>
      <c r="E262" s="70"/>
      <c r="F262" s="62" t="str">
        <f>VLOOKUP(C262,[2]Municipalities!$C$9:$F$1522,4,FALSE)</f>
        <v>Bunamwaya</v>
      </c>
      <c r="G262" s="61" t="str">
        <f t="shared" si="11"/>
        <v>Wakiso</v>
      </c>
      <c r="H262" s="70" t="s">
        <v>2247</v>
      </c>
    </row>
    <row r="263" spans="1:8">
      <c r="A263" s="67">
        <v>1114</v>
      </c>
      <c r="B263" s="68" t="s">
        <v>750</v>
      </c>
      <c r="C263" s="68" t="s">
        <v>751</v>
      </c>
      <c r="D263" s="68" t="s">
        <v>755</v>
      </c>
      <c r="E263" s="68"/>
      <c r="F263" s="61" t="str">
        <f t="shared" si="12"/>
        <v>Bundibugyo Town Council</v>
      </c>
      <c r="G263" s="61" t="str">
        <f t="shared" si="11"/>
        <v>Bundibugyo</v>
      </c>
      <c r="H263" s="68" t="s">
        <v>755</v>
      </c>
    </row>
    <row r="264" spans="1:8">
      <c r="A264" s="67">
        <v>1116</v>
      </c>
      <c r="B264" s="68" t="s">
        <v>750</v>
      </c>
      <c r="C264" s="68" t="s">
        <v>751</v>
      </c>
      <c r="D264" s="68" t="s">
        <v>756</v>
      </c>
      <c r="E264" s="68"/>
      <c r="F264" s="61" t="str">
        <f t="shared" si="12"/>
        <v>Bundingoma</v>
      </c>
      <c r="G264" s="61" t="str">
        <f t="shared" si="11"/>
        <v>Bundibugyo</v>
      </c>
      <c r="H264" s="68" t="s">
        <v>756</v>
      </c>
    </row>
    <row r="265" spans="1:8">
      <c r="A265" s="67">
        <v>51</v>
      </c>
      <c r="B265" s="68" t="s">
        <v>876</v>
      </c>
      <c r="C265" s="68" t="s">
        <v>877</v>
      </c>
      <c r="D265" s="68" t="s">
        <v>878</v>
      </c>
      <c r="E265" s="68"/>
      <c r="F265" s="61" t="str">
        <f t="shared" si="12"/>
        <v>Bungatira</v>
      </c>
      <c r="G265" s="61" t="str">
        <f t="shared" si="11"/>
        <v>Gulu</v>
      </c>
      <c r="H265" s="68" t="s">
        <v>878</v>
      </c>
    </row>
    <row r="266" spans="1:8">
      <c r="A266" s="67">
        <v>779</v>
      </c>
      <c r="B266" s="68" t="s">
        <v>1646</v>
      </c>
      <c r="C266" s="68" t="s">
        <v>1647</v>
      </c>
      <c r="D266" s="68" t="s">
        <v>1647</v>
      </c>
      <c r="E266" s="68"/>
      <c r="F266" s="61" t="str">
        <f t="shared" si="12"/>
        <v>Bungokho</v>
      </c>
      <c r="G266" s="61" t="str">
        <f t="shared" ref="G266:G329" si="13">B266</f>
        <v>Mbale</v>
      </c>
      <c r="H266" s="68" t="s">
        <v>1647</v>
      </c>
    </row>
    <row r="267" spans="1:8">
      <c r="A267" s="67">
        <v>780</v>
      </c>
      <c r="B267" s="68" t="s">
        <v>1646</v>
      </c>
      <c r="C267" s="68" t="s">
        <v>1647</v>
      </c>
      <c r="D267" s="68" t="s">
        <v>1655</v>
      </c>
      <c r="E267" s="68"/>
      <c r="F267" s="61" t="str">
        <f t="shared" si="12"/>
        <v>Bungokho Mutoto</v>
      </c>
      <c r="G267" s="61" t="str">
        <f t="shared" si="13"/>
        <v>Mbale</v>
      </c>
      <c r="H267" s="68" t="s">
        <v>1655</v>
      </c>
    </row>
    <row r="268" spans="1:8">
      <c r="A268" s="67">
        <v>875</v>
      </c>
      <c r="B268" s="68" t="s">
        <v>2054</v>
      </c>
      <c r="C268" s="68" t="s">
        <v>2055</v>
      </c>
      <c r="D268" s="68" t="s">
        <v>2065</v>
      </c>
      <c r="E268" s="68"/>
      <c r="F268" s="61" t="str">
        <f t="shared" si="12"/>
        <v>Bunyafa</v>
      </c>
      <c r="G268" s="61" t="str">
        <f t="shared" si="13"/>
        <v>Sironko</v>
      </c>
      <c r="H268" s="68" t="s">
        <v>2065</v>
      </c>
    </row>
    <row r="269" spans="1:8">
      <c r="A269" s="67">
        <v>988</v>
      </c>
      <c r="B269" s="68" t="s">
        <v>1583</v>
      </c>
      <c r="C269" s="68" t="s">
        <v>1584</v>
      </c>
      <c r="D269" s="68" t="s">
        <v>1588</v>
      </c>
      <c r="E269" s="68"/>
      <c r="F269" s="61" t="str">
        <f t="shared" si="12"/>
        <v>Bunyinza Town Council</v>
      </c>
      <c r="G269" s="61" t="str">
        <f t="shared" si="13"/>
        <v>Manafwa</v>
      </c>
      <c r="H269" s="68" t="s">
        <v>1588</v>
      </c>
    </row>
    <row r="270" spans="1:8">
      <c r="A270" s="67">
        <v>1092</v>
      </c>
      <c r="B270" s="68" t="s">
        <v>1828</v>
      </c>
      <c r="C270" s="68" t="s">
        <v>1828</v>
      </c>
      <c r="D270" s="68" t="s">
        <v>1835</v>
      </c>
      <c r="E270" s="68"/>
      <c r="F270" s="61" t="str">
        <f t="shared" si="12"/>
        <v>Bupoto</v>
      </c>
      <c r="G270" s="61" t="str">
        <f t="shared" si="13"/>
        <v>Namisindwa</v>
      </c>
      <c r="H270" s="68" t="s">
        <v>1835</v>
      </c>
    </row>
    <row r="271" spans="1:8">
      <c r="A271" s="67">
        <v>1387</v>
      </c>
      <c r="B271" s="68" t="s">
        <v>1375</v>
      </c>
      <c r="C271" s="68" t="s">
        <v>1376</v>
      </c>
      <c r="D271" s="68" t="s">
        <v>1374</v>
      </c>
      <c r="E271" s="68"/>
      <c r="F271" s="61" t="str">
        <f t="shared" si="12"/>
        <v>Buremba</v>
      </c>
      <c r="G271" s="61" t="str">
        <f t="shared" si="13"/>
        <v>Kiruhura</v>
      </c>
      <c r="H271" s="68" t="s">
        <v>1374</v>
      </c>
    </row>
    <row r="272" spans="1:8">
      <c r="A272" s="67">
        <v>1407</v>
      </c>
      <c r="B272" s="68" t="s">
        <v>680</v>
      </c>
      <c r="C272" s="68" t="s">
        <v>680</v>
      </c>
      <c r="D272" s="68" t="s">
        <v>682</v>
      </c>
      <c r="E272" s="68"/>
      <c r="F272" s="61" t="str">
        <f t="shared" si="12"/>
        <v>Burere</v>
      </c>
      <c r="G272" s="61" t="str">
        <f t="shared" si="13"/>
        <v>Buhweju</v>
      </c>
      <c r="H272" s="68" t="s">
        <v>682</v>
      </c>
    </row>
    <row r="273" spans="1:8">
      <c r="A273" s="67">
        <v>1109</v>
      </c>
      <c r="B273" s="68" t="s">
        <v>750</v>
      </c>
      <c r="C273" s="68" t="s">
        <v>754</v>
      </c>
      <c r="D273" s="68" t="s">
        <v>757</v>
      </c>
      <c r="E273" s="68"/>
      <c r="F273" s="61" t="str">
        <f t="shared" si="12"/>
        <v>Burondo</v>
      </c>
      <c r="G273" s="61" t="str">
        <f t="shared" si="13"/>
        <v>Bundibugyo</v>
      </c>
      <c r="H273" s="68" t="s">
        <v>757</v>
      </c>
    </row>
    <row r="274" spans="1:8">
      <c r="A274" s="67">
        <v>1477</v>
      </c>
      <c r="B274" s="68" t="s">
        <v>1022</v>
      </c>
      <c r="C274" s="68" t="s">
        <v>1023</v>
      </c>
      <c r="D274" s="68" t="s">
        <v>1021</v>
      </c>
      <c r="E274" s="68"/>
      <c r="F274" s="61" t="str">
        <f t="shared" si="12"/>
        <v>Burora</v>
      </c>
      <c r="G274" s="61" t="str">
        <f t="shared" si="13"/>
        <v>Kagadi</v>
      </c>
      <c r="H274" s="68" t="s">
        <v>1021</v>
      </c>
    </row>
    <row r="275" spans="1:8">
      <c r="A275" s="67">
        <v>1388</v>
      </c>
      <c r="B275" s="68" t="s">
        <v>1375</v>
      </c>
      <c r="C275" s="68" t="s">
        <v>1376</v>
      </c>
      <c r="D275" s="68" t="s">
        <v>1377</v>
      </c>
      <c r="E275" s="68"/>
      <c r="F275" s="61" t="str">
        <f t="shared" si="12"/>
        <v>Burunga</v>
      </c>
      <c r="G275" s="61" t="str">
        <f t="shared" si="13"/>
        <v>Kiruhura</v>
      </c>
      <c r="H275" s="68" t="s">
        <v>1377</v>
      </c>
    </row>
    <row r="276" spans="1:8">
      <c r="A276" s="67">
        <v>527</v>
      </c>
      <c r="B276" s="68" t="s">
        <v>1335</v>
      </c>
      <c r="C276" s="68" t="s">
        <v>1337</v>
      </c>
      <c r="D276" s="68" t="s">
        <v>1336</v>
      </c>
      <c r="E276" s="68"/>
      <c r="F276" s="61" t="str">
        <f t="shared" si="12"/>
        <v>Busaana</v>
      </c>
      <c r="G276" s="61" t="str">
        <f t="shared" si="13"/>
        <v>Kayunga</v>
      </c>
      <c r="H276" s="68" t="s">
        <v>1336</v>
      </c>
    </row>
    <row r="277" spans="1:8">
      <c r="A277" s="67">
        <v>950</v>
      </c>
      <c r="B277" s="68" t="s">
        <v>813</v>
      </c>
      <c r="C277" s="68" t="s">
        <v>814</v>
      </c>
      <c r="D277" s="68" t="s">
        <v>815</v>
      </c>
      <c r="E277" s="68"/>
      <c r="F277" s="61" t="str">
        <f t="shared" si="12"/>
        <v>Busaba</v>
      </c>
      <c r="G277" s="61" t="str">
        <f t="shared" si="13"/>
        <v>Butaleja</v>
      </c>
      <c r="H277" s="68" t="s">
        <v>815</v>
      </c>
    </row>
    <row r="278" spans="1:8">
      <c r="A278" s="67">
        <v>951</v>
      </c>
      <c r="B278" s="68" t="s">
        <v>813</v>
      </c>
      <c r="C278" s="68" t="s">
        <v>814</v>
      </c>
      <c r="D278" s="68" t="s">
        <v>816</v>
      </c>
      <c r="E278" s="68"/>
      <c r="F278" s="61" t="str">
        <f t="shared" si="12"/>
        <v>Busabi</v>
      </c>
      <c r="G278" s="61" t="str">
        <f t="shared" si="13"/>
        <v>Butaleja</v>
      </c>
      <c r="H278" s="68" t="s">
        <v>816</v>
      </c>
    </row>
    <row r="279" spans="1:8">
      <c r="A279" s="67">
        <v>854</v>
      </c>
      <c r="B279" s="68" t="s">
        <v>1630</v>
      </c>
      <c r="C279" s="68" t="s">
        <v>1631</v>
      </c>
      <c r="D279" s="68" t="s">
        <v>1634</v>
      </c>
      <c r="E279" s="68"/>
      <c r="F279" s="61" t="str">
        <f t="shared" si="12"/>
        <v>Busakira</v>
      </c>
      <c r="G279" s="61" t="str">
        <f t="shared" si="13"/>
        <v>Mayuge</v>
      </c>
      <c r="H279" s="68" t="s">
        <v>1634</v>
      </c>
    </row>
    <row r="280" spans="1:8">
      <c r="A280" s="67">
        <v>618</v>
      </c>
      <c r="B280" s="68" t="s">
        <v>841</v>
      </c>
      <c r="C280" s="68" t="s">
        <v>842</v>
      </c>
      <c r="D280" s="68" t="s">
        <v>843</v>
      </c>
      <c r="E280" s="68"/>
      <c r="F280" s="61" t="str">
        <f t="shared" si="12"/>
        <v>Busamuzi</v>
      </c>
      <c r="G280" s="61" t="str">
        <f t="shared" si="13"/>
        <v>Buvuma</v>
      </c>
      <c r="H280" s="68" t="s">
        <v>843</v>
      </c>
    </row>
    <row r="281" spans="1:8">
      <c r="A281" s="67">
        <v>781</v>
      </c>
      <c r="B281" s="68" t="s">
        <v>1646</v>
      </c>
      <c r="C281" s="68" t="s">
        <v>1647</v>
      </c>
      <c r="D281" s="68" t="s">
        <v>1656</v>
      </c>
      <c r="E281" s="68"/>
      <c r="F281" s="61" t="str">
        <f t="shared" si="12"/>
        <v>Busano</v>
      </c>
      <c r="G281" s="61" t="str">
        <f t="shared" si="13"/>
        <v>Mbale</v>
      </c>
      <c r="H281" s="68" t="s">
        <v>1656</v>
      </c>
    </row>
    <row r="282" spans="1:8">
      <c r="A282" s="67">
        <v>1219</v>
      </c>
      <c r="B282" s="68" t="s">
        <v>1404</v>
      </c>
      <c r="C282" s="68" t="s">
        <v>1405</v>
      </c>
      <c r="D282" s="68" t="s">
        <v>1406</v>
      </c>
      <c r="E282" s="68"/>
      <c r="F282" s="61" t="str">
        <f t="shared" si="12"/>
        <v>Busanza</v>
      </c>
      <c r="G282" s="61" t="str">
        <f t="shared" si="13"/>
        <v>Kisoro</v>
      </c>
      <c r="H282" s="68" t="s">
        <v>1406</v>
      </c>
    </row>
    <row r="283" spans="1:8">
      <c r="A283" s="67">
        <v>1115</v>
      </c>
      <c r="B283" s="68" t="s">
        <v>750</v>
      </c>
      <c r="C283" s="68" t="s">
        <v>751</v>
      </c>
      <c r="D283" s="68" t="s">
        <v>758</v>
      </c>
      <c r="E283" s="68"/>
      <c r="F283" s="61" t="str">
        <f t="shared" si="12"/>
        <v>Busaru</v>
      </c>
      <c r="G283" s="61" t="str">
        <f t="shared" si="13"/>
        <v>Bundibugyo</v>
      </c>
      <c r="H283" s="68" t="s">
        <v>758</v>
      </c>
    </row>
    <row r="284" spans="1:8">
      <c r="A284" s="67">
        <v>714</v>
      </c>
      <c r="B284" s="68" t="s">
        <v>952</v>
      </c>
      <c r="C284" s="68" t="s">
        <v>955</v>
      </c>
      <c r="D284" s="68" t="s">
        <v>956</v>
      </c>
      <c r="E284" s="68"/>
      <c r="F284" s="61" t="str">
        <f t="shared" si="12"/>
        <v>Busedde</v>
      </c>
      <c r="G284" s="61" t="str">
        <f t="shared" si="13"/>
        <v>Jinja</v>
      </c>
      <c r="H284" s="68" t="s">
        <v>956</v>
      </c>
    </row>
    <row r="285" spans="1:8">
      <c r="A285" s="67">
        <v>697</v>
      </c>
      <c r="B285" s="68" t="s">
        <v>912</v>
      </c>
      <c r="C285" s="68" t="s">
        <v>915</v>
      </c>
      <c r="D285" s="68" t="s">
        <v>914</v>
      </c>
      <c r="E285" s="68"/>
      <c r="F285" s="61" t="str">
        <f t="shared" si="12"/>
        <v>Busembatia Town Council</v>
      </c>
      <c r="G285" s="61" t="str">
        <f t="shared" si="13"/>
        <v>Iganga</v>
      </c>
      <c r="H285" s="68" t="s">
        <v>914</v>
      </c>
    </row>
    <row r="286" spans="1:8">
      <c r="A286" s="67">
        <v>1025</v>
      </c>
      <c r="B286" s="68" t="s">
        <v>1365</v>
      </c>
      <c r="C286" s="68" t="s">
        <v>1365</v>
      </c>
      <c r="D286" s="68" t="s">
        <v>1366</v>
      </c>
      <c r="E286" s="68"/>
      <c r="F286" s="61" t="str">
        <f t="shared" si="12"/>
        <v>Buseta</v>
      </c>
      <c r="G286" s="61" t="str">
        <f t="shared" si="13"/>
        <v>Kibuku</v>
      </c>
      <c r="H286" s="68" t="s">
        <v>1366</v>
      </c>
    </row>
    <row r="287" spans="1:8">
      <c r="A287" s="67">
        <v>924</v>
      </c>
      <c r="B287" s="68" t="s">
        <v>650</v>
      </c>
      <c r="C287" s="68" t="s">
        <v>651</v>
      </c>
      <c r="D287" s="68" t="s">
        <v>659</v>
      </c>
      <c r="E287" s="68"/>
      <c r="F287" s="61" t="str">
        <f t="shared" si="12"/>
        <v>Bushika</v>
      </c>
      <c r="G287" s="61" t="str">
        <f t="shared" si="13"/>
        <v>Bududa</v>
      </c>
      <c r="H287" s="68" t="s">
        <v>659</v>
      </c>
    </row>
    <row r="288" spans="1:8">
      <c r="A288" s="67">
        <v>925</v>
      </c>
      <c r="B288" s="68" t="s">
        <v>650</v>
      </c>
      <c r="C288" s="68" t="s">
        <v>651</v>
      </c>
      <c r="D288" s="68" t="s">
        <v>660</v>
      </c>
      <c r="E288" s="68"/>
      <c r="F288" s="61" t="str">
        <f t="shared" si="12"/>
        <v>Bushiribo</v>
      </c>
      <c r="G288" s="61" t="str">
        <f t="shared" si="13"/>
        <v>Bududa</v>
      </c>
      <c r="H288" s="68" t="s">
        <v>660</v>
      </c>
    </row>
    <row r="289" spans="1:8">
      <c r="A289" s="67">
        <v>926</v>
      </c>
      <c r="B289" s="68" t="s">
        <v>650</v>
      </c>
      <c r="C289" s="68" t="s">
        <v>651</v>
      </c>
      <c r="D289" s="68" t="s">
        <v>661</v>
      </c>
      <c r="E289" s="68"/>
      <c r="F289" s="61" t="str">
        <f t="shared" si="12"/>
        <v>Bushiyi</v>
      </c>
      <c r="G289" s="61" t="str">
        <f t="shared" si="13"/>
        <v>Bududa</v>
      </c>
      <c r="H289" s="68" t="s">
        <v>661</v>
      </c>
    </row>
    <row r="290" spans="1:8" ht="25.5">
      <c r="A290" s="67">
        <v>1146</v>
      </c>
      <c r="B290" s="68" t="s">
        <v>884</v>
      </c>
      <c r="C290" s="69" t="s">
        <v>889</v>
      </c>
      <c r="D290" s="68" t="s">
        <v>2248</v>
      </c>
      <c r="E290" s="68"/>
      <c r="F290" s="62" t="str">
        <f>VLOOKUP(C290,[2]Municipalities!$C$9:$F$1522,4,FALSE)</f>
        <v>Hoima Municipality</v>
      </c>
      <c r="G290" s="61" t="str">
        <f t="shared" si="13"/>
        <v>Hoima</v>
      </c>
      <c r="H290" s="68" t="s">
        <v>2248</v>
      </c>
    </row>
    <row r="291" spans="1:8" ht="25.5">
      <c r="A291" s="67">
        <v>576</v>
      </c>
      <c r="B291" s="68" t="s">
        <v>1697</v>
      </c>
      <c r="C291" s="69" t="s">
        <v>1701</v>
      </c>
      <c r="D291" s="68" t="s">
        <v>1700</v>
      </c>
      <c r="E291" s="68"/>
      <c r="F291" s="61" t="str">
        <f t="shared" si="12"/>
        <v>Busimbi Division</v>
      </c>
      <c r="G291" s="61" t="str">
        <f t="shared" si="13"/>
        <v>Mityana</v>
      </c>
      <c r="H291" s="68" t="s">
        <v>1700</v>
      </c>
    </row>
    <row r="292" spans="1:8">
      <c r="A292" s="67">
        <v>685</v>
      </c>
      <c r="B292" s="68" t="s">
        <v>796</v>
      </c>
      <c r="C292" s="68" t="s">
        <v>797</v>
      </c>
      <c r="D292" s="68" t="s">
        <v>800</v>
      </c>
      <c r="E292" s="68"/>
      <c r="F292" s="61" t="str">
        <f t="shared" si="12"/>
        <v>Busime</v>
      </c>
      <c r="G292" s="61" t="str">
        <f t="shared" si="13"/>
        <v>Busia</v>
      </c>
      <c r="H292" s="68" t="s">
        <v>800</v>
      </c>
    </row>
    <row r="293" spans="1:8">
      <c r="A293" s="67">
        <v>1298</v>
      </c>
      <c r="B293" s="68" t="s">
        <v>44</v>
      </c>
      <c r="C293" s="68" t="s">
        <v>837</v>
      </c>
      <c r="D293" s="68" t="s">
        <v>1251</v>
      </c>
      <c r="E293" s="68"/>
      <c r="F293" s="61" t="str">
        <f t="shared" ref="F293:F342" si="14">D293</f>
        <v>Busiriba</v>
      </c>
      <c r="G293" s="61" t="str">
        <f t="shared" si="13"/>
        <v>Kamwenge</v>
      </c>
      <c r="H293" s="68" t="s">
        <v>1251</v>
      </c>
    </row>
    <row r="294" spans="1:8">
      <c r="A294" s="67">
        <v>686</v>
      </c>
      <c r="B294" s="68" t="s">
        <v>796</v>
      </c>
      <c r="C294" s="68" t="s">
        <v>797</v>
      </c>
      <c r="D294" s="68" t="s">
        <v>801</v>
      </c>
      <c r="E294" s="68"/>
      <c r="F294" s="61" t="str">
        <f t="shared" si="14"/>
        <v>Busitema</v>
      </c>
      <c r="G294" s="61" t="str">
        <f t="shared" si="13"/>
        <v>Busia</v>
      </c>
      <c r="H294" s="68" t="s">
        <v>801</v>
      </c>
    </row>
    <row r="295" spans="1:8">
      <c r="A295" s="67">
        <v>782</v>
      </c>
      <c r="B295" s="68" t="s">
        <v>1646</v>
      </c>
      <c r="C295" s="68" t="s">
        <v>1647</v>
      </c>
      <c r="D295" s="68" t="s">
        <v>1657</v>
      </c>
      <c r="E295" s="68"/>
      <c r="F295" s="61" t="str">
        <f t="shared" si="14"/>
        <v>Busiu</v>
      </c>
      <c r="G295" s="61" t="str">
        <f t="shared" si="13"/>
        <v>Mbale</v>
      </c>
      <c r="H295" s="68" t="s">
        <v>1657</v>
      </c>
    </row>
    <row r="296" spans="1:8">
      <c r="A296" s="67">
        <v>791</v>
      </c>
      <c r="B296" s="68" t="s">
        <v>1646</v>
      </c>
      <c r="C296" s="68" t="s">
        <v>1647</v>
      </c>
      <c r="D296" s="68" t="s">
        <v>1658</v>
      </c>
      <c r="E296" s="68"/>
      <c r="F296" s="61" t="str">
        <f t="shared" si="14"/>
        <v>Busiu Town Council</v>
      </c>
      <c r="G296" s="61" t="str">
        <f t="shared" si="13"/>
        <v>Mbale</v>
      </c>
      <c r="H296" s="68" t="s">
        <v>1658</v>
      </c>
    </row>
    <row r="297" spans="1:8">
      <c r="A297" s="67">
        <v>783</v>
      </c>
      <c r="B297" s="68" t="s">
        <v>1646</v>
      </c>
      <c r="C297" s="68" t="s">
        <v>1647</v>
      </c>
      <c r="D297" s="68" t="s">
        <v>1659</v>
      </c>
      <c r="E297" s="68"/>
      <c r="F297" s="61" t="str">
        <f t="shared" si="14"/>
        <v>Busoba</v>
      </c>
      <c r="G297" s="61" t="str">
        <f t="shared" si="13"/>
        <v>Mbale</v>
      </c>
      <c r="H297" s="68" t="s">
        <v>1659</v>
      </c>
    </row>
    <row r="298" spans="1:8">
      <c r="A298" s="67">
        <v>952</v>
      </c>
      <c r="B298" s="68" t="s">
        <v>813</v>
      </c>
      <c r="C298" s="68" t="s">
        <v>814</v>
      </c>
      <c r="D298" s="68" t="s">
        <v>817</v>
      </c>
      <c r="E298" s="68"/>
      <c r="F298" s="61" t="str">
        <f t="shared" si="14"/>
        <v>Busolwe</v>
      </c>
      <c r="G298" s="61" t="str">
        <f t="shared" si="13"/>
        <v>Butaleja</v>
      </c>
      <c r="H298" s="68" t="s">
        <v>817</v>
      </c>
    </row>
    <row r="299" spans="1:8">
      <c r="A299" s="67">
        <v>953</v>
      </c>
      <c r="B299" s="68" t="s">
        <v>813</v>
      </c>
      <c r="C299" s="68" t="s">
        <v>814</v>
      </c>
      <c r="D299" s="68" t="s">
        <v>818</v>
      </c>
      <c r="E299" s="68"/>
      <c r="F299" s="61" t="str">
        <f t="shared" si="14"/>
        <v>Busolwe Town Council</v>
      </c>
      <c r="G299" s="61" t="str">
        <f t="shared" si="13"/>
        <v>Butaleja</v>
      </c>
      <c r="H299" s="68" t="s">
        <v>818</v>
      </c>
    </row>
    <row r="300" spans="1:8">
      <c r="A300" s="67">
        <v>1163</v>
      </c>
      <c r="B300" s="68" t="s">
        <v>994</v>
      </c>
      <c r="C300" s="68" t="s">
        <v>995</v>
      </c>
      <c r="D300" s="68" t="s">
        <v>996</v>
      </c>
      <c r="E300" s="68"/>
      <c r="F300" s="61" t="str">
        <f t="shared" si="14"/>
        <v>Busoro</v>
      </c>
      <c r="G300" s="61" t="str">
        <f t="shared" si="13"/>
        <v>Kabarole</v>
      </c>
      <c r="H300" s="68" t="s">
        <v>996</v>
      </c>
    </row>
    <row r="301" spans="1:8">
      <c r="A301" s="67">
        <v>532</v>
      </c>
      <c r="B301" s="68" t="s">
        <v>2117</v>
      </c>
      <c r="C301" s="68" t="s">
        <v>2120</v>
      </c>
      <c r="D301" s="68" t="s">
        <v>2119</v>
      </c>
      <c r="E301" s="68"/>
      <c r="F301" s="61" t="str">
        <f t="shared" si="14"/>
        <v>Bussi</v>
      </c>
      <c r="G301" s="61" t="str">
        <f t="shared" si="13"/>
        <v>Wakiso</v>
      </c>
      <c r="H301" s="68" t="s">
        <v>2119</v>
      </c>
    </row>
    <row r="302" spans="1:8" ht="25.5">
      <c r="A302" s="67">
        <v>555</v>
      </c>
      <c r="B302" s="68" t="s">
        <v>2117</v>
      </c>
      <c r="C302" s="69" t="s">
        <v>2122</v>
      </c>
      <c r="D302" s="68" t="s">
        <v>2249</v>
      </c>
      <c r="E302" s="68"/>
      <c r="F302" s="62" t="str">
        <f>VLOOKUP(C302,[2]Municipalities!$C$9:$F$1522,4,FALSE)</f>
        <v>Busukuma</v>
      </c>
      <c r="G302" s="61" t="str">
        <f t="shared" si="13"/>
        <v>Wakiso</v>
      </c>
      <c r="H302" s="68" t="s">
        <v>2249</v>
      </c>
    </row>
    <row r="303" spans="1:8">
      <c r="A303" s="67">
        <v>977</v>
      </c>
      <c r="B303" s="68" t="s">
        <v>1583</v>
      </c>
      <c r="C303" s="68" t="s">
        <v>1584</v>
      </c>
      <c r="D303" s="68" t="s">
        <v>1589</v>
      </c>
      <c r="E303" s="68"/>
      <c r="F303" s="61" t="str">
        <f t="shared" si="14"/>
        <v>Busukuya</v>
      </c>
      <c r="G303" s="61" t="str">
        <f t="shared" si="13"/>
        <v>Manafwa</v>
      </c>
      <c r="H303" s="68" t="s">
        <v>1589</v>
      </c>
    </row>
    <row r="304" spans="1:8">
      <c r="A304" s="67">
        <v>876</v>
      </c>
      <c r="B304" s="68" t="s">
        <v>2054</v>
      </c>
      <c r="C304" s="68" t="s">
        <v>2055</v>
      </c>
      <c r="D304" s="68" t="s">
        <v>2066</v>
      </c>
      <c r="E304" s="68"/>
      <c r="F304" s="61" t="str">
        <f t="shared" si="14"/>
        <v>Busulani</v>
      </c>
      <c r="G304" s="61" t="str">
        <f t="shared" si="13"/>
        <v>Sironko</v>
      </c>
      <c r="H304" s="68" t="s">
        <v>2066</v>
      </c>
    </row>
    <row r="305" spans="1:8">
      <c r="A305" s="67">
        <v>575</v>
      </c>
      <c r="B305" s="68" t="s">
        <v>1697</v>
      </c>
      <c r="C305" s="68" t="s">
        <v>1697</v>
      </c>
      <c r="D305" s="68" t="s">
        <v>1702</v>
      </c>
      <c r="E305" s="68"/>
      <c r="F305" s="61" t="str">
        <f t="shared" si="14"/>
        <v>Busunju Town Council</v>
      </c>
      <c r="G305" s="61" t="str">
        <f t="shared" si="13"/>
        <v>Mityana</v>
      </c>
      <c r="H305" s="68" t="s">
        <v>1702</v>
      </c>
    </row>
    <row r="306" spans="1:8">
      <c r="A306" s="67">
        <v>1057</v>
      </c>
      <c r="B306" s="68" t="s">
        <v>1817</v>
      </c>
      <c r="C306" s="68" t="s">
        <v>1818</v>
      </c>
      <c r="D306" s="68" t="s">
        <v>1821</v>
      </c>
      <c r="E306" s="68"/>
      <c r="F306" s="61" t="str">
        <f t="shared" si="14"/>
        <v>Buswale</v>
      </c>
      <c r="G306" s="61" t="str">
        <f t="shared" si="13"/>
        <v>Namayingo</v>
      </c>
      <c r="H306" s="68" t="s">
        <v>1821</v>
      </c>
    </row>
    <row r="307" spans="1:8">
      <c r="A307" s="67">
        <v>721</v>
      </c>
      <c r="B307" s="68" t="s">
        <v>952</v>
      </c>
      <c r="C307" s="68" t="s">
        <v>953</v>
      </c>
      <c r="D307" s="68" t="s">
        <v>957</v>
      </c>
      <c r="E307" s="68"/>
      <c r="F307" s="61" t="str">
        <f t="shared" si="14"/>
        <v>Butagaya</v>
      </c>
      <c r="G307" s="61" t="str">
        <f t="shared" si="13"/>
        <v>Jinja</v>
      </c>
      <c r="H307" s="68" t="s">
        <v>957</v>
      </c>
    </row>
    <row r="308" spans="1:8">
      <c r="A308" s="67">
        <v>579</v>
      </c>
      <c r="B308" s="68" t="s">
        <v>1790</v>
      </c>
      <c r="C308" s="68" t="s">
        <v>1790</v>
      </c>
      <c r="D308" s="68" t="s">
        <v>1789</v>
      </c>
      <c r="E308" s="68"/>
      <c r="F308" s="61" t="str">
        <f t="shared" si="14"/>
        <v>Butalangu Town Council</v>
      </c>
      <c r="G308" s="61" t="str">
        <f t="shared" si="13"/>
        <v>Nakaseke</v>
      </c>
      <c r="H308" s="68" t="s">
        <v>1789</v>
      </c>
    </row>
    <row r="309" spans="1:8">
      <c r="A309" s="67">
        <v>954</v>
      </c>
      <c r="B309" s="68" t="s">
        <v>813</v>
      </c>
      <c r="C309" s="68" t="s">
        <v>814</v>
      </c>
      <c r="D309" s="68" t="s">
        <v>813</v>
      </c>
      <c r="E309" s="68"/>
      <c r="F309" s="61" t="str">
        <f t="shared" si="14"/>
        <v>Butaleja</v>
      </c>
      <c r="G309" s="61" t="str">
        <f t="shared" si="13"/>
        <v>Butaleja</v>
      </c>
      <c r="H309" s="68" t="s">
        <v>813</v>
      </c>
    </row>
    <row r="310" spans="1:8">
      <c r="A310" s="67">
        <v>955</v>
      </c>
      <c r="B310" s="68" t="s">
        <v>813</v>
      </c>
      <c r="C310" s="68" t="s">
        <v>814</v>
      </c>
      <c r="D310" s="68" t="s">
        <v>819</v>
      </c>
      <c r="E310" s="68"/>
      <c r="F310" s="61" t="str">
        <f t="shared" si="14"/>
        <v>Butaleja Town Council</v>
      </c>
      <c r="G310" s="61" t="str">
        <f t="shared" si="13"/>
        <v>Butaleja</v>
      </c>
      <c r="H310" s="68" t="s">
        <v>819</v>
      </c>
    </row>
    <row r="311" spans="1:8">
      <c r="A311" s="67">
        <v>1153</v>
      </c>
      <c r="B311" s="68" t="s">
        <v>981</v>
      </c>
      <c r="C311" s="68" t="s">
        <v>982</v>
      </c>
      <c r="D311" s="68" t="s">
        <v>983</v>
      </c>
      <c r="E311" s="68"/>
      <c r="F311" s="61" t="str">
        <f t="shared" si="14"/>
        <v>Butanda</v>
      </c>
      <c r="G311" s="61" t="str">
        <f t="shared" si="13"/>
        <v>Kabale</v>
      </c>
      <c r="H311" s="68" t="s">
        <v>983</v>
      </c>
    </row>
    <row r="312" spans="1:8">
      <c r="A312" s="67">
        <v>877</v>
      </c>
      <c r="B312" s="68" t="s">
        <v>2054</v>
      </c>
      <c r="C312" s="68" t="s">
        <v>2055</v>
      </c>
      <c r="D312" s="68" t="s">
        <v>2067</v>
      </c>
      <c r="E312" s="68"/>
      <c r="F312" s="61" t="str">
        <f t="shared" si="14"/>
        <v>Butandiga</v>
      </c>
      <c r="G312" s="61" t="str">
        <f t="shared" si="13"/>
        <v>Sironko</v>
      </c>
      <c r="H312" s="68" t="s">
        <v>2067</v>
      </c>
    </row>
    <row r="313" spans="1:8">
      <c r="A313" s="67">
        <v>727</v>
      </c>
      <c r="B313" s="68" t="s">
        <v>1232</v>
      </c>
      <c r="C313" s="68" t="s">
        <v>1233</v>
      </c>
      <c r="D313" s="68" t="s">
        <v>1237</v>
      </c>
      <c r="E313" s="68"/>
      <c r="F313" s="61" t="str">
        <f t="shared" si="14"/>
        <v>Butansi</v>
      </c>
      <c r="G313" s="61" t="str">
        <f t="shared" si="13"/>
        <v>Kamuli</v>
      </c>
      <c r="H313" s="68" t="s">
        <v>1237</v>
      </c>
    </row>
    <row r="314" spans="1:8">
      <c r="A314" s="67">
        <v>566</v>
      </c>
      <c r="B314" s="68" t="s">
        <v>1697</v>
      </c>
      <c r="C314" s="68" t="s">
        <v>1698</v>
      </c>
      <c r="D314" s="68" t="s">
        <v>1703</v>
      </c>
      <c r="E314" s="68"/>
      <c r="F314" s="61" t="str">
        <f t="shared" si="14"/>
        <v>Butayunja</v>
      </c>
      <c r="G314" s="61" t="str">
        <f t="shared" si="13"/>
        <v>Mityana</v>
      </c>
      <c r="H314" s="68" t="s">
        <v>1703</v>
      </c>
    </row>
    <row r="315" spans="1:8">
      <c r="A315" s="67">
        <v>687</v>
      </c>
      <c r="B315" s="68" t="s">
        <v>796</v>
      </c>
      <c r="C315" s="68" t="s">
        <v>797</v>
      </c>
      <c r="D315" s="68" t="s">
        <v>802</v>
      </c>
      <c r="E315" s="68"/>
      <c r="F315" s="61" t="str">
        <f t="shared" si="14"/>
        <v>Buteba</v>
      </c>
      <c r="G315" s="61" t="str">
        <f t="shared" si="13"/>
        <v>Busia</v>
      </c>
      <c r="H315" s="68" t="s">
        <v>802</v>
      </c>
    </row>
    <row r="316" spans="1:8" ht="25.5">
      <c r="A316" s="67">
        <v>1078</v>
      </c>
      <c r="B316" s="68" t="s">
        <v>832</v>
      </c>
      <c r="C316" s="68" t="s">
        <v>833</v>
      </c>
      <c r="D316" s="68" t="s">
        <v>832</v>
      </c>
      <c r="E316" s="68"/>
      <c r="F316" s="61" t="str">
        <f t="shared" si="14"/>
        <v>Butebo</v>
      </c>
      <c r="G316" s="61" t="str">
        <f t="shared" si="13"/>
        <v>Butebo</v>
      </c>
      <c r="H316" s="68" t="s">
        <v>832</v>
      </c>
    </row>
    <row r="317" spans="1:8">
      <c r="A317" s="67">
        <v>639</v>
      </c>
      <c r="B317" s="68" t="s">
        <v>1476</v>
      </c>
      <c r="C317" s="68" t="s">
        <v>1356</v>
      </c>
      <c r="D317" s="68" t="s">
        <v>1477</v>
      </c>
      <c r="E317" s="68"/>
      <c r="F317" s="61" t="str">
        <f t="shared" si="14"/>
        <v>Butemba</v>
      </c>
      <c r="G317" s="61" t="str">
        <f t="shared" si="13"/>
        <v>Kyankwanzi</v>
      </c>
      <c r="H317" s="68" t="s">
        <v>1477</v>
      </c>
    </row>
    <row r="318" spans="1:8">
      <c r="A318" s="67">
        <v>640</v>
      </c>
      <c r="B318" s="68" t="s">
        <v>1476</v>
      </c>
      <c r="C318" s="68" t="s">
        <v>1356</v>
      </c>
      <c r="D318" s="68" t="s">
        <v>1478</v>
      </c>
      <c r="E318" s="68"/>
      <c r="F318" s="61" t="str">
        <f t="shared" si="14"/>
        <v>Butemba Town Council</v>
      </c>
      <c r="G318" s="61" t="str">
        <f t="shared" si="13"/>
        <v>Kyankwanzi</v>
      </c>
      <c r="H318" s="68" t="s">
        <v>1478</v>
      </c>
    </row>
    <row r="319" spans="1:8">
      <c r="A319" s="67">
        <v>608</v>
      </c>
      <c r="B319" s="68" t="s">
        <v>704</v>
      </c>
      <c r="C319" s="68" t="s">
        <v>704</v>
      </c>
      <c r="D319" s="68" t="s">
        <v>706</v>
      </c>
      <c r="E319" s="68"/>
      <c r="F319" s="61" t="str">
        <f t="shared" si="14"/>
        <v>Butenga</v>
      </c>
      <c r="G319" s="61" t="str">
        <f t="shared" si="13"/>
        <v>Bukomansimbi</v>
      </c>
      <c r="H319" s="68" t="s">
        <v>706</v>
      </c>
    </row>
    <row r="320" spans="1:8">
      <c r="A320" s="67">
        <v>878</v>
      </c>
      <c r="B320" s="68" t="s">
        <v>2054</v>
      </c>
      <c r="C320" s="68" t="s">
        <v>2055</v>
      </c>
      <c r="D320" s="68" t="s">
        <v>2068</v>
      </c>
      <c r="E320" s="68"/>
      <c r="F320" s="61" t="str">
        <f t="shared" si="14"/>
        <v>Buteza</v>
      </c>
      <c r="G320" s="61" t="str">
        <f t="shared" si="13"/>
        <v>Sironko</v>
      </c>
      <c r="H320" s="68" t="s">
        <v>2068</v>
      </c>
    </row>
    <row r="321" spans="1:8">
      <c r="A321" s="67">
        <v>1349</v>
      </c>
      <c r="B321" s="68" t="s">
        <v>743</v>
      </c>
      <c r="C321" s="68" t="s">
        <v>743</v>
      </c>
      <c r="D321" s="68" t="s">
        <v>745</v>
      </c>
      <c r="E321" s="68"/>
      <c r="F321" s="61" t="str">
        <f t="shared" si="14"/>
        <v>Butiaba</v>
      </c>
      <c r="G321" s="61" t="str">
        <f t="shared" si="13"/>
        <v>Buliisa</v>
      </c>
      <c r="H321" s="68" t="s">
        <v>745</v>
      </c>
    </row>
    <row r="322" spans="1:8">
      <c r="A322" s="67">
        <v>1332</v>
      </c>
      <c r="B322" s="68" t="s">
        <v>1499</v>
      </c>
      <c r="C322" s="68" t="s">
        <v>1500</v>
      </c>
      <c r="D322" s="68" t="s">
        <v>1502</v>
      </c>
      <c r="E322" s="68"/>
      <c r="F322" s="61" t="str">
        <f t="shared" si="14"/>
        <v>Butiiti</v>
      </c>
      <c r="G322" s="61" t="str">
        <f t="shared" si="13"/>
        <v>Kyenjojo</v>
      </c>
      <c r="H322" s="68" t="s">
        <v>1502</v>
      </c>
    </row>
    <row r="323" spans="1:8">
      <c r="A323" s="67">
        <v>978</v>
      </c>
      <c r="B323" s="68" t="s">
        <v>1583</v>
      </c>
      <c r="C323" s="68" t="s">
        <v>1584</v>
      </c>
      <c r="D323" s="68" t="s">
        <v>1590</v>
      </c>
      <c r="E323" s="68"/>
      <c r="F323" s="61" t="str">
        <f t="shared" si="14"/>
        <v>Butiru</v>
      </c>
      <c r="G323" s="61" t="str">
        <f t="shared" si="13"/>
        <v>Manafwa</v>
      </c>
      <c r="H323" s="68" t="s">
        <v>1590</v>
      </c>
    </row>
    <row r="324" spans="1:8">
      <c r="A324" s="67">
        <v>1313</v>
      </c>
      <c r="B324" s="68" t="s">
        <v>1264</v>
      </c>
      <c r="C324" s="68" t="s">
        <v>1265</v>
      </c>
      <c r="D324" s="68" t="s">
        <v>1263</v>
      </c>
      <c r="E324" s="68"/>
      <c r="F324" s="61" t="str">
        <f t="shared" si="14"/>
        <v>Butogota Town Council</v>
      </c>
      <c r="G324" s="61" t="str">
        <f t="shared" si="13"/>
        <v>Kanungu</v>
      </c>
      <c r="H324" s="68" t="s">
        <v>1263</v>
      </c>
    </row>
    <row r="325" spans="1:8">
      <c r="A325" s="67">
        <v>458</v>
      </c>
      <c r="B325" s="68" t="s">
        <v>1739</v>
      </c>
      <c r="C325" s="68" t="s">
        <v>1744</v>
      </c>
      <c r="D325" s="68" t="s">
        <v>1743</v>
      </c>
      <c r="E325" s="68"/>
      <c r="F325" s="61" t="str">
        <f t="shared" si="14"/>
        <v>Butoloogo</v>
      </c>
      <c r="G325" s="61" t="str">
        <f t="shared" si="13"/>
        <v>Mubende</v>
      </c>
      <c r="H325" s="68" t="s">
        <v>1743</v>
      </c>
    </row>
    <row r="326" spans="1:8">
      <c r="A326" s="67">
        <v>979</v>
      </c>
      <c r="B326" s="68" t="s">
        <v>1583</v>
      </c>
      <c r="C326" s="68" t="s">
        <v>1584</v>
      </c>
      <c r="D326" s="68" t="s">
        <v>1591</v>
      </c>
      <c r="E326" s="68"/>
      <c r="F326" s="61" t="str">
        <f t="shared" si="14"/>
        <v>Butta</v>
      </c>
      <c r="G326" s="61" t="str">
        <f t="shared" si="13"/>
        <v>Manafwa</v>
      </c>
      <c r="H326" s="68" t="s">
        <v>1591</v>
      </c>
    </row>
    <row r="327" spans="1:8">
      <c r="A327" s="67">
        <v>1333</v>
      </c>
      <c r="B327" s="68" t="s">
        <v>1499</v>
      </c>
      <c r="C327" s="68" t="s">
        <v>1500</v>
      </c>
      <c r="D327" s="68" t="s">
        <v>1503</v>
      </c>
      <c r="E327" s="68"/>
      <c r="F327" s="61" t="str">
        <f t="shared" si="14"/>
        <v>Butunduzi</v>
      </c>
      <c r="G327" s="61" t="str">
        <f t="shared" si="13"/>
        <v>Kyenjojo</v>
      </c>
      <c r="H327" s="68" t="s">
        <v>1503</v>
      </c>
    </row>
    <row r="328" spans="1:8">
      <c r="A328" s="67">
        <v>1334</v>
      </c>
      <c r="B328" s="68" t="s">
        <v>1499</v>
      </c>
      <c r="C328" s="68" t="s">
        <v>1500</v>
      </c>
      <c r="D328" s="68" t="s">
        <v>1504</v>
      </c>
      <c r="E328" s="68"/>
      <c r="F328" s="61" t="str">
        <f t="shared" si="14"/>
        <v>Butunduzi Town Council</v>
      </c>
      <c r="G328" s="61" t="str">
        <f t="shared" si="13"/>
        <v>Kyenjojo</v>
      </c>
      <c r="H328" s="68" t="s">
        <v>1504</v>
      </c>
    </row>
    <row r="329" spans="1:8">
      <c r="A329" s="67">
        <v>1442</v>
      </c>
      <c r="B329" s="68" t="s">
        <v>1880</v>
      </c>
      <c r="C329" s="68" t="s">
        <v>1880</v>
      </c>
      <c r="D329" s="68" t="s">
        <v>1879</v>
      </c>
      <c r="E329" s="68"/>
      <c r="F329" s="61" t="str">
        <f t="shared" si="14"/>
        <v>Butungama</v>
      </c>
      <c r="G329" s="61" t="str">
        <f t="shared" si="13"/>
        <v>Ntoroko</v>
      </c>
      <c r="H329" s="68" t="s">
        <v>1879</v>
      </c>
    </row>
    <row r="330" spans="1:8">
      <c r="A330" s="67">
        <v>435</v>
      </c>
      <c r="B330" s="68" t="s">
        <v>1555</v>
      </c>
      <c r="C330" s="68" t="s">
        <v>1557</v>
      </c>
      <c r="D330" s="68" t="s">
        <v>1558</v>
      </c>
      <c r="E330" s="68"/>
      <c r="F330" s="61" t="str">
        <f t="shared" si="14"/>
        <v>Butuntumula</v>
      </c>
      <c r="G330" s="61" t="str">
        <f t="shared" ref="G330:G393" si="15">B330</f>
        <v>Luwero</v>
      </c>
      <c r="H330" s="68" t="s">
        <v>1558</v>
      </c>
    </row>
    <row r="331" spans="1:8">
      <c r="A331" s="67">
        <v>619</v>
      </c>
      <c r="B331" s="68" t="s">
        <v>841</v>
      </c>
      <c r="C331" s="68" t="s">
        <v>842</v>
      </c>
      <c r="D331" s="68" t="s">
        <v>844</v>
      </c>
      <c r="E331" s="68"/>
      <c r="F331" s="61" t="str">
        <f t="shared" si="14"/>
        <v>Buvuma Town Council</v>
      </c>
      <c r="G331" s="61" t="str">
        <f t="shared" si="15"/>
        <v>Buvuma</v>
      </c>
      <c r="H331" s="68" t="s">
        <v>844</v>
      </c>
    </row>
    <row r="332" spans="1:8">
      <c r="A332" s="67">
        <v>855</v>
      </c>
      <c r="B332" s="68" t="s">
        <v>1630</v>
      </c>
      <c r="C332" s="68" t="s">
        <v>1631</v>
      </c>
      <c r="D332" s="68" t="s">
        <v>1635</v>
      </c>
      <c r="E332" s="68"/>
      <c r="F332" s="61" t="str">
        <f t="shared" si="14"/>
        <v>Buwaaya</v>
      </c>
      <c r="G332" s="61" t="str">
        <f t="shared" si="15"/>
        <v>Mayuge</v>
      </c>
      <c r="H332" s="68" t="s">
        <v>1635</v>
      </c>
    </row>
    <row r="333" spans="1:8">
      <c r="A333" s="67">
        <v>1093</v>
      </c>
      <c r="B333" s="68" t="s">
        <v>1828</v>
      </c>
      <c r="C333" s="68" t="s">
        <v>1828</v>
      </c>
      <c r="D333" s="68" t="s">
        <v>1836</v>
      </c>
      <c r="E333" s="68"/>
      <c r="F333" s="61" t="str">
        <f t="shared" si="14"/>
        <v>Buwabwala</v>
      </c>
      <c r="G333" s="61" t="str">
        <f t="shared" si="15"/>
        <v>Namisindwa</v>
      </c>
      <c r="H333" s="68" t="s">
        <v>1836</v>
      </c>
    </row>
    <row r="334" spans="1:8">
      <c r="A334" s="67">
        <v>980</v>
      </c>
      <c r="B334" s="68" t="s">
        <v>1583</v>
      </c>
      <c r="C334" s="68" t="s">
        <v>1584</v>
      </c>
      <c r="D334" s="68" t="s">
        <v>1592</v>
      </c>
      <c r="E334" s="68"/>
      <c r="F334" s="61" t="str">
        <f t="shared" si="14"/>
        <v>Buwagogo</v>
      </c>
      <c r="G334" s="61" t="str">
        <f t="shared" si="15"/>
        <v>Manafwa</v>
      </c>
      <c r="H334" s="68" t="s">
        <v>1592</v>
      </c>
    </row>
    <row r="335" spans="1:8">
      <c r="A335" s="67">
        <v>879</v>
      </c>
      <c r="B335" s="68" t="s">
        <v>2054</v>
      </c>
      <c r="C335" s="68" t="s">
        <v>2055</v>
      </c>
      <c r="D335" s="68" t="s">
        <v>2069</v>
      </c>
      <c r="E335" s="68"/>
      <c r="F335" s="61" t="str">
        <f t="shared" si="14"/>
        <v>Buwalasi</v>
      </c>
      <c r="G335" s="61" t="str">
        <f t="shared" si="15"/>
        <v>Sironko</v>
      </c>
      <c r="H335" s="68" t="s">
        <v>2069</v>
      </c>
    </row>
    <row r="336" spans="1:8">
      <c r="A336" s="67">
        <v>927</v>
      </c>
      <c r="B336" s="68" t="s">
        <v>650</v>
      </c>
      <c r="C336" s="68" t="s">
        <v>651</v>
      </c>
      <c r="D336" s="68" t="s">
        <v>662</v>
      </c>
      <c r="E336" s="68"/>
      <c r="F336" s="61" t="str">
        <f t="shared" si="14"/>
        <v>Buwali</v>
      </c>
      <c r="G336" s="61" t="str">
        <f t="shared" si="15"/>
        <v>Bududa</v>
      </c>
      <c r="H336" s="68" t="s">
        <v>662</v>
      </c>
    </row>
    <row r="337" spans="1:8">
      <c r="A337" s="67">
        <v>451</v>
      </c>
      <c r="B337" s="68" t="s">
        <v>1729</v>
      </c>
      <c r="C337" s="68" t="s">
        <v>1730</v>
      </c>
      <c r="D337" s="68" t="s">
        <v>1728</v>
      </c>
      <c r="E337" s="68"/>
      <c r="F337" s="61" t="str">
        <f t="shared" si="14"/>
        <v>Buwama</v>
      </c>
      <c r="G337" s="61" t="str">
        <f t="shared" si="15"/>
        <v>Mpigi</v>
      </c>
      <c r="H337" s="68" t="s">
        <v>1728</v>
      </c>
    </row>
    <row r="338" spans="1:8">
      <c r="A338" s="67">
        <v>989</v>
      </c>
      <c r="B338" s="68" t="s">
        <v>1583</v>
      </c>
      <c r="C338" s="68" t="s">
        <v>1584</v>
      </c>
      <c r="D338" s="68" t="s">
        <v>1593</v>
      </c>
      <c r="E338" s="68"/>
      <c r="F338" s="61" t="str">
        <f t="shared" si="14"/>
        <v>Buwangani Town Council</v>
      </c>
      <c r="G338" s="61" t="str">
        <f t="shared" si="15"/>
        <v>Manafwa</v>
      </c>
      <c r="H338" s="68" t="s">
        <v>1593</v>
      </c>
    </row>
    <row r="339" spans="1:8">
      <c r="A339" s="67">
        <v>880</v>
      </c>
      <c r="B339" s="68" t="s">
        <v>2054</v>
      </c>
      <c r="C339" s="68" t="s">
        <v>2055</v>
      </c>
      <c r="D339" s="68" t="s">
        <v>2070</v>
      </c>
      <c r="E339" s="68"/>
      <c r="F339" s="61" t="str">
        <f t="shared" si="14"/>
        <v>Buwasa</v>
      </c>
      <c r="G339" s="61" t="str">
        <f t="shared" si="15"/>
        <v>Sironko</v>
      </c>
      <c r="H339" s="68" t="s">
        <v>2070</v>
      </c>
    </row>
    <row r="340" spans="1:8">
      <c r="A340" s="67">
        <v>722</v>
      </c>
      <c r="B340" s="68" t="s">
        <v>952</v>
      </c>
      <c r="C340" s="68" t="s">
        <v>953</v>
      </c>
      <c r="D340" s="68" t="s">
        <v>958</v>
      </c>
      <c r="E340" s="68"/>
      <c r="F340" s="61" t="str">
        <f t="shared" si="14"/>
        <v>Buwenge</v>
      </c>
      <c r="G340" s="61" t="str">
        <f t="shared" si="15"/>
        <v>Jinja</v>
      </c>
      <c r="H340" s="68" t="s">
        <v>958</v>
      </c>
    </row>
    <row r="341" spans="1:8">
      <c r="A341" s="67">
        <v>723</v>
      </c>
      <c r="B341" s="68" t="s">
        <v>952</v>
      </c>
      <c r="C341" s="68" t="s">
        <v>953</v>
      </c>
      <c r="D341" s="68" t="s">
        <v>959</v>
      </c>
      <c r="E341" s="68"/>
      <c r="F341" s="61" t="str">
        <f t="shared" si="14"/>
        <v>Buwenge Town Council</v>
      </c>
      <c r="G341" s="61" t="str">
        <f t="shared" si="15"/>
        <v>Jinja</v>
      </c>
      <c r="H341" s="68" t="s">
        <v>959</v>
      </c>
    </row>
    <row r="342" spans="1:8">
      <c r="A342" s="67">
        <v>620</v>
      </c>
      <c r="B342" s="68" t="s">
        <v>841</v>
      </c>
      <c r="C342" s="68" t="s">
        <v>842</v>
      </c>
      <c r="D342" s="68" t="s">
        <v>845</v>
      </c>
      <c r="E342" s="68"/>
      <c r="F342" s="61" t="str">
        <f t="shared" si="14"/>
        <v>Buwooya</v>
      </c>
      <c r="G342" s="61" t="str">
        <f t="shared" si="15"/>
        <v>Buvuma</v>
      </c>
      <c r="H342" s="68" t="s">
        <v>845</v>
      </c>
    </row>
    <row r="343" spans="1:8">
      <c r="A343" s="67">
        <v>443</v>
      </c>
      <c r="B343" s="68" t="s">
        <v>39</v>
      </c>
      <c r="C343" s="68" t="s">
        <v>23</v>
      </c>
      <c r="D343" s="72" t="s">
        <v>2250</v>
      </c>
      <c r="E343" s="68"/>
      <c r="F343" s="61" t="str">
        <f t="shared" ref="F343:F346" si="16">D343&amp;"-"&amp;B343</f>
        <v>Buwunga-Masaka</v>
      </c>
      <c r="G343" s="61" t="str">
        <f t="shared" si="15"/>
        <v>Masaka</v>
      </c>
      <c r="H343" s="72" t="s">
        <v>2250</v>
      </c>
    </row>
    <row r="344" spans="1:8">
      <c r="A344" s="67">
        <v>675</v>
      </c>
      <c r="B344" s="68" t="s">
        <v>667</v>
      </c>
      <c r="C344" s="68" t="s">
        <v>668</v>
      </c>
      <c r="D344" s="72" t="s">
        <v>2250</v>
      </c>
      <c r="E344" s="68"/>
      <c r="F344" s="61" t="str">
        <f t="shared" si="16"/>
        <v>Buwunga-Bugiri</v>
      </c>
      <c r="G344" s="61" t="str">
        <f t="shared" si="15"/>
        <v>Bugiri</v>
      </c>
      <c r="H344" s="72" t="s">
        <v>2250</v>
      </c>
    </row>
    <row r="345" spans="1:8">
      <c r="A345" s="67">
        <v>688</v>
      </c>
      <c r="B345" s="68" t="s">
        <v>796</v>
      </c>
      <c r="C345" s="68" t="s">
        <v>797</v>
      </c>
      <c r="D345" s="72" t="s">
        <v>2251</v>
      </c>
      <c r="E345" s="68"/>
      <c r="F345" s="61" t="str">
        <f t="shared" si="16"/>
        <v>Buyanga-Busia</v>
      </c>
      <c r="G345" s="61" t="str">
        <f t="shared" si="15"/>
        <v>Busia</v>
      </c>
      <c r="H345" s="72" t="s">
        <v>2251</v>
      </c>
    </row>
    <row r="346" spans="1:8">
      <c r="A346" s="67">
        <v>698</v>
      </c>
      <c r="B346" s="68" t="s">
        <v>912</v>
      </c>
      <c r="C346" s="68" t="s">
        <v>915</v>
      </c>
      <c r="D346" s="72" t="s">
        <v>2251</v>
      </c>
      <c r="E346" s="68"/>
      <c r="F346" s="61" t="str">
        <f t="shared" si="16"/>
        <v>Buyanga-Iganga</v>
      </c>
      <c r="G346" s="61" t="str">
        <f t="shared" si="15"/>
        <v>Iganga</v>
      </c>
      <c r="H346" s="72" t="s">
        <v>2251</v>
      </c>
    </row>
    <row r="347" spans="1:8">
      <c r="A347" s="67">
        <v>1283</v>
      </c>
      <c r="B347" s="68" t="s">
        <v>40</v>
      </c>
      <c r="C347" s="68" t="s">
        <v>2020</v>
      </c>
      <c r="D347" s="68" t="s">
        <v>1346</v>
      </c>
      <c r="E347" s="68"/>
      <c r="F347" s="61" t="str">
        <f t="shared" ref="F347:F370" si="17">D347</f>
        <v>Buyanja</v>
      </c>
      <c r="G347" s="61" t="str">
        <f t="shared" si="15"/>
        <v>Rukungiri</v>
      </c>
      <c r="H347" s="68" t="s">
        <v>1346</v>
      </c>
    </row>
    <row r="348" spans="1:8">
      <c r="A348" s="67">
        <v>1287</v>
      </c>
      <c r="B348" s="68" t="s">
        <v>40</v>
      </c>
      <c r="C348" s="68" t="s">
        <v>2020</v>
      </c>
      <c r="D348" s="68" t="s">
        <v>2021</v>
      </c>
      <c r="E348" s="68"/>
      <c r="F348" s="61" t="str">
        <f t="shared" si="17"/>
        <v>Buyanja Town Council</v>
      </c>
      <c r="G348" s="61" t="str">
        <f t="shared" si="15"/>
        <v>Rukungiri</v>
      </c>
      <c r="H348" s="68" t="s">
        <v>2021</v>
      </c>
    </row>
    <row r="349" spans="1:8">
      <c r="A349" s="67">
        <v>1019</v>
      </c>
      <c r="B349" s="68" t="s">
        <v>852</v>
      </c>
      <c r="C349" s="68" t="s">
        <v>853</v>
      </c>
      <c r="D349" s="68" t="s">
        <v>852</v>
      </c>
      <c r="E349" s="68"/>
      <c r="F349" s="61" t="str">
        <f t="shared" si="17"/>
        <v>Buyende</v>
      </c>
      <c r="G349" s="61" t="str">
        <f t="shared" si="15"/>
        <v>Buyende</v>
      </c>
      <c r="H349" s="68" t="s">
        <v>852</v>
      </c>
    </row>
    <row r="350" spans="1:8">
      <c r="A350" s="67">
        <v>1020</v>
      </c>
      <c r="B350" s="68" t="s">
        <v>852</v>
      </c>
      <c r="C350" s="68" t="s">
        <v>853</v>
      </c>
      <c r="D350" s="68" t="s">
        <v>854</v>
      </c>
      <c r="E350" s="68"/>
      <c r="F350" s="61" t="str">
        <f t="shared" si="17"/>
        <v>Buyende Town Council</v>
      </c>
      <c r="G350" s="61" t="str">
        <f t="shared" si="15"/>
        <v>Buyende</v>
      </c>
      <c r="H350" s="68" t="s">
        <v>854</v>
      </c>
    </row>
    <row r="351" spans="1:8">
      <c r="A351" s="67">
        <v>724</v>
      </c>
      <c r="B351" s="68" t="s">
        <v>952</v>
      </c>
      <c r="C351" s="68" t="s">
        <v>953</v>
      </c>
      <c r="D351" s="68" t="s">
        <v>960</v>
      </c>
      <c r="E351" s="68"/>
      <c r="F351" s="61" t="str">
        <f t="shared" si="17"/>
        <v>Buyengo</v>
      </c>
      <c r="G351" s="61" t="str">
        <f t="shared" si="15"/>
        <v>Jinja</v>
      </c>
      <c r="H351" s="68" t="s">
        <v>960</v>
      </c>
    </row>
    <row r="352" spans="1:8">
      <c r="A352" s="67">
        <v>964</v>
      </c>
      <c r="B352" s="68" t="s">
        <v>1062</v>
      </c>
      <c r="C352" s="68" t="s">
        <v>911</v>
      </c>
      <c r="D352" s="68" t="s">
        <v>1065</v>
      </c>
      <c r="E352" s="68"/>
      <c r="F352" s="61" t="str">
        <f t="shared" si="17"/>
        <v>Buyinda</v>
      </c>
      <c r="G352" s="61" t="str">
        <f t="shared" si="15"/>
        <v>Kaliro</v>
      </c>
      <c r="H352" s="68" t="s">
        <v>1065</v>
      </c>
    </row>
    <row r="353" spans="1:8">
      <c r="A353" s="67">
        <v>1058</v>
      </c>
      <c r="B353" s="68" t="s">
        <v>1817</v>
      </c>
      <c r="C353" s="68" t="s">
        <v>1818</v>
      </c>
      <c r="D353" s="68" t="s">
        <v>1822</v>
      </c>
      <c r="E353" s="68"/>
      <c r="F353" s="61" t="str">
        <f t="shared" si="17"/>
        <v>Buyinja</v>
      </c>
      <c r="G353" s="61" t="str">
        <f t="shared" si="15"/>
        <v>Namayingo</v>
      </c>
      <c r="H353" s="68" t="s">
        <v>1822</v>
      </c>
    </row>
    <row r="354" spans="1:8">
      <c r="A354" s="67">
        <v>881</v>
      </c>
      <c r="B354" s="68" t="s">
        <v>2054</v>
      </c>
      <c r="C354" s="68" t="s">
        <v>2055</v>
      </c>
      <c r="D354" s="68" t="s">
        <v>2071</v>
      </c>
      <c r="E354" s="68"/>
      <c r="F354" s="61" t="str">
        <f t="shared" si="17"/>
        <v>Buyobo</v>
      </c>
      <c r="G354" s="61" t="str">
        <f t="shared" si="15"/>
        <v>Sironko</v>
      </c>
      <c r="H354" s="68" t="s">
        <v>2071</v>
      </c>
    </row>
    <row r="355" spans="1:8">
      <c r="A355" s="67">
        <v>1291</v>
      </c>
      <c r="B355" s="68" t="s">
        <v>40</v>
      </c>
      <c r="C355" s="68" t="s">
        <v>2018</v>
      </c>
      <c r="D355" s="68" t="s">
        <v>2022</v>
      </c>
      <c r="E355" s="68"/>
      <c r="F355" s="61" t="str">
        <f t="shared" si="17"/>
        <v>Bwambara</v>
      </c>
      <c r="G355" s="61" t="str">
        <f t="shared" si="15"/>
        <v>Rukungiri</v>
      </c>
      <c r="H355" s="68" t="s">
        <v>2022</v>
      </c>
    </row>
    <row r="356" spans="1:8">
      <c r="A356" s="67">
        <v>1209</v>
      </c>
      <c r="B356" s="68" t="s">
        <v>1345</v>
      </c>
      <c r="C356" s="68" t="s">
        <v>1346</v>
      </c>
      <c r="D356" s="68" t="s">
        <v>1347</v>
      </c>
      <c r="E356" s="68"/>
      <c r="F356" s="61" t="str">
        <f t="shared" si="17"/>
        <v>Bwamiramira</v>
      </c>
      <c r="G356" s="61" t="str">
        <f t="shared" si="15"/>
        <v>Kibaale</v>
      </c>
      <c r="H356" s="68" t="s">
        <v>1347</v>
      </c>
    </row>
    <row r="357" spans="1:8">
      <c r="A357" s="67">
        <v>1496</v>
      </c>
      <c r="B357" s="68" t="s">
        <v>1041</v>
      </c>
      <c r="C357" s="68" t="s">
        <v>1042</v>
      </c>
      <c r="D357" s="68" t="s">
        <v>1043</v>
      </c>
      <c r="E357" s="68"/>
      <c r="F357" s="61" t="str">
        <f t="shared" si="17"/>
        <v>Bwanswa</v>
      </c>
      <c r="G357" s="61" t="str">
        <f t="shared" si="15"/>
        <v>Kakumiro</v>
      </c>
      <c r="H357" s="68" t="s">
        <v>1043</v>
      </c>
    </row>
    <row r="358" spans="1:8">
      <c r="A358" s="67">
        <v>621</v>
      </c>
      <c r="B358" s="68" t="s">
        <v>841</v>
      </c>
      <c r="C358" s="68" t="s">
        <v>842</v>
      </c>
      <c r="D358" s="68" t="s">
        <v>846</v>
      </c>
      <c r="E358" s="68"/>
      <c r="F358" s="61" t="str">
        <f t="shared" si="17"/>
        <v>Bweema</v>
      </c>
      <c r="G358" s="61" t="str">
        <f t="shared" si="15"/>
        <v>Buvuma</v>
      </c>
      <c r="H358" s="68" t="s">
        <v>846</v>
      </c>
    </row>
    <row r="359" spans="1:8">
      <c r="A359" s="67">
        <v>1178</v>
      </c>
      <c r="B359" s="68" t="s">
        <v>36</v>
      </c>
      <c r="C359" s="68" t="s">
        <v>753</v>
      </c>
      <c r="D359" s="68" t="s">
        <v>37</v>
      </c>
      <c r="E359" s="68"/>
      <c r="F359" s="61" t="str">
        <f t="shared" si="17"/>
        <v>Bwera</v>
      </c>
      <c r="G359" s="61" t="str">
        <f t="shared" si="15"/>
        <v>Kasese</v>
      </c>
      <c r="H359" s="68" t="s">
        <v>37</v>
      </c>
    </row>
    <row r="360" spans="1:8">
      <c r="A360" s="67">
        <v>1443</v>
      </c>
      <c r="B360" s="68" t="s">
        <v>1880</v>
      </c>
      <c r="C360" s="68" t="s">
        <v>1880</v>
      </c>
      <c r="D360" s="68" t="s">
        <v>1881</v>
      </c>
      <c r="E360" s="68"/>
      <c r="F360" s="61" t="str">
        <f t="shared" si="17"/>
        <v>Bweramule</v>
      </c>
      <c r="G360" s="61" t="str">
        <f t="shared" si="15"/>
        <v>Ntoroko</v>
      </c>
      <c r="H360" s="68" t="s">
        <v>1881</v>
      </c>
    </row>
    <row r="361" spans="1:8">
      <c r="A361" s="67">
        <v>1194</v>
      </c>
      <c r="B361" s="68" t="s">
        <v>36</v>
      </c>
      <c r="C361" s="68" t="s">
        <v>1297</v>
      </c>
      <c r="D361" s="68" t="s">
        <v>1299</v>
      </c>
      <c r="E361" s="68"/>
      <c r="F361" s="61" t="str">
        <f t="shared" si="17"/>
        <v>Bwesumbu</v>
      </c>
      <c r="G361" s="61" t="str">
        <f t="shared" si="15"/>
        <v>Kasese</v>
      </c>
      <c r="H361" s="68" t="s">
        <v>1299</v>
      </c>
    </row>
    <row r="362" spans="1:8">
      <c r="A362" s="67">
        <v>1413</v>
      </c>
      <c r="B362" s="68" t="s">
        <v>1395</v>
      </c>
      <c r="C362" s="68" t="s">
        <v>1396</v>
      </c>
      <c r="D362" s="68" t="s">
        <v>1394</v>
      </c>
      <c r="E362" s="68"/>
      <c r="F362" s="61" t="str">
        <f t="shared" si="17"/>
        <v>Bweyale Town Council</v>
      </c>
      <c r="G362" s="61" t="str">
        <f t="shared" si="15"/>
        <v>Kiryandongo</v>
      </c>
      <c r="H362" s="68" t="s">
        <v>1394</v>
      </c>
    </row>
    <row r="363" spans="1:8">
      <c r="A363" s="67">
        <v>548</v>
      </c>
      <c r="B363" s="68" t="s">
        <v>2117</v>
      </c>
      <c r="C363" s="69" t="s">
        <v>2123</v>
      </c>
      <c r="D363" s="68" t="s">
        <v>2252</v>
      </c>
      <c r="E363" s="68"/>
      <c r="F363" s="62" t="str">
        <f>VLOOKUP(C363,[2]Municipalities!$C$9:$F$1522,4,FALSE)</f>
        <v>Bweyogerere</v>
      </c>
      <c r="G363" s="61" t="str">
        <f t="shared" si="15"/>
        <v>Wakiso</v>
      </c>
      <c r="H363" s="68" t="s">
        <v>2252</v>
      </c>
    </row>
    <row r="364" spans="1:8">
      <c r="A364" s="67">
        <v>1236</v>
      </c>
      <c r="B364" s="68" t="s">
        <v>1621</v>
      </c>
      <c r="C364" s="68" t="s">
        <v>1622</v>
      </c>
      <c r="D364" s="68" t="s">
        <v>1623</v>
      </c>
      <c r="E364" s="68"/>
      <c r="F364" s="61" t="str">
        <f t="shared" si="17"/>
        <v>Bwijanga</v>
      </c>
      <c r="G364" s="61" t="str">
        <f t="shared" si="15"/>
        <v>Masindi</v>
      </c>
      <c r="H364" s="68" t="s">
        <v>1623</v>
      </c>
    </row>
    <row r="365" spans="1:8">
      <c r="A365" s="67">
        <v>1478</v>
      </c>
      <c r="B365" s="68" t="s">
        <v>1022</v>
      </c>
      <c r="C365" s="68" t="s">
        <v>1023</v>
      </c>
      <c r="D365" s="68" t="s">
        <v>1024</v>
      </c>
      <c r="E365" s="68"/>
      <c r="F365" s="61" t="str">
        <f t="shared" si="17"/>
        <v>Bwikara</v>
      </c>
      <c r="G365" s="61" t="str">
        <f t="shared" si="15"/>
        <v>Kagadi</v>
      </c>
      <c r="H365" s="68" t="s">
        <v>1024</v>
      </c>
    </row>
    <row r="366" spans="1:8">
      <c r="A366" s="67">
        <v>1009</v>
      </c>
      <c r="B366" s="68" t="s">
        <v>723</v>
      </c>
      <c r="C366" s="68" t="s">
        <v>723</v>
      </c>
      <c r="D366" s="68" t="s">
        <v>733</v>
      </c>
      <c r="E366" s="68"/>
      <c r="F366" s="61" t="str">
        <f t="shared" si="17"/>
        <v>Bwikhonge</v>
      </c>
      <c r="G366" s="61" t="str">
        <f t="shared" si="15"/>
        <v>Bulambuli</v>
      </c>
      <c r="H366" s="68" t="s">
        <v>733</v>
      </c>
    </row>
    <row r="367" spans="1:8">
      <c r="A367" s="67">
        <v>1299</v>
      </c>
      <c r="B367" s="68" t="s">
        <v>44</v>
      </c>
      <c r="C367" s="68" t="s">
        <v>837</v>
      </c>
      <c r="D367" s="68" t="s">
        <v>1252</v>
      </c>
      <c r="E367" s="68"/>
      <c r="F367" s="61" t="str">
        <f t="shared" si="17"/>
        <v>Bwizi</v>
      </c>
      <c r="G367" s="61" t="str">
        <f t="shared" si="15"/>
        <v>Kamwenge</v>
      </c>
      <c r="H367" s="68" t="s">
        <v>1252</v>
      </c>
    </row>
    <row r="368" spans="1:8">
      <c r="A368" s="67">
        <v>1261</v>
      </c>
      <c r="B368" s="68" t="s">
        <v>46</v>
      </c>
      <c r="C368" s="68" t="s">
        <v>1891</v>
      </c>
      <c r="D368" s="68" t="s">
        <v>1890</v>
      </c>
      <c r="E368" s="68"/>
      <c r="F368" s="61" t="str">
        <f t="shared" si="17"/>
        <v>Bwongyera</v>
      </c>
      <c r="G368" s="61" t="str">
        <f t="shared" si="15"/>
        <v>Ntungamo</v>
      </c>
      <c r="H368" s="68" t="s">
        <v>1890</v>
      </c>
    </row>
    <row r="369" spans="1:9">
      <c r="A369" s="67">
        <v>506</v>
      </c>
      <c r="B369" s="68" t="s">
        <v>1978</v>
      </c>
      <c r="C369" s="68" t="s">
        <v>1521</v>
      </c>
      <c r="D369" s="68" t="s">
        <v>1977</v>
      </c>
      <c r="E369" s="68"/>
      <c r="F369" s="61" t="str">
        <f t="shared" si="17"/>
        <v>Byakabanda</v>
      </c>
      <c r="G369" s="61" t="str">
        <f t="shared" si="15"/>
        <v>Rakai</v>
      </c>
      <c r="H369" s="68" t="s">
        <v>1977</v>
      </c>
    </row>
    <row r="370" spans="1:9">
      <c r="A370" s="67">
        <v>649</v>
      </c>
      <c r="B370" s="68" t="s">
        <v>1476</v>
      </c>
      <c r="C370" s="68" t="s">
        <v>1356</v>
      </c>
      <c r="D370" s="68" t="s">
        <v>1479</v>
      </c>
      <c r="E370" s="68"/>
      <c r="F370" s="61" t="str">
        <f t="shared" si="17"/>
        <v>Byerima</v>
      </c>
      <c r="G370" s="61" t="str">
        <f t="shared" si="15"/>
        <v>Kyankwanzi</v>
      </c>
      <c r="H370" s="68" t="s">
        <v>1479</v>
      </c>
    </row>
    <row r="371" spans="1:9" ht="25.5">
      <c r="A371" s="67">
        <v>1232</v>
      </c>
      <c r="B371" s="70" t="s">
        <v>1404</v>
      </c>
      <c r="C371" s="71" t="s">
        <v>1410</v>
      </c>
      <c r="D371" s="70" t="s">
        <v>2253</v>
      </c>
      <c r="E371" s="70"/>
      <c r="F371" s="62" t="str">
        <f>VLOOKUP(C371,[2]Municipalities!$C$9:$F$1522,4,FALSE)</f>
        <v>Kisoro Municipality</v>
      </c>
      <c r="G371" s="61" t="str">
        <f t="shared" si="15"/>
        <v>Kisoro</v>
      </c>
      <c r="H371" s="70" t="s">
        <v>2253</v>
      </c>
    </row>
    <row r="372" spans="1:9" ht="25.5">
      <c r="A372" s="67">
        <v>67</v>
      </c>
      <c r="B372" s="70" t="s">
        <v>1421</v>
      </c>
      <c r="C372" s="71" t="s">
        <v>1423</v>
      </c>
      <c r="D372" s="70" t="s">
        <v>1090</v>
      </c>
      <c r="E372" s="70"/>
      <c r="F372" s="62" t="str">
        <f>VLOOKUP(C372,[2]Municipalities!$C$9:$F$1522,4,FALSE)</f>
        <v>Kitgum Municipality</v>
      </c>
      <c r="G372" s="61" t="str">
        <f t="shared" si="15"/>
        <v>Kitgum</v>
      </c>
      <c r="H372" s="70" t="s">
        <v>1090</v>
      </c>
    </row>
    <row r="373" spans="1:9" ht="16.5" customHeight="1">
      <c r="A373" s="67">
        <v>75</v>
      </c>
      <c r="B373" s="70" t="s">
        <v>1449</v>
      </c>
      <c r="C373" s="71" t="s">
        <v>1451</v>
      </c>
      <c r="D373" s="70" t="s">
        <v>1090</v>
      </c>
      <c r="E373" s="70"/>
      <c r="F373" s="62" t="str">
        <f>VLOOKUP(C373,[2]Municipalities!$C$9:$F$1522,4,FALSE)</f>
        <v>Kotido Municipality</v>
      </c>
      <c r="G373" s="61" t="str">
        <f t="shared" si="15"/>
        <v>Kotido</v>
      </c>
      <c r="H373" s="70" t="s">
        <v>1090</v>
      </c>
    </row>
    <row r="374" spans="1:9">
      <c r="A374" s="67">
        <v>89</v>
      </c>
      <c r="B374" s="68" t="s">
        <v>1536</v>
      </c>
      <c r="C374" s="69" t="s">
        <v>1543</v>
      </c>
      <c r="D374" s="70" t="s">
        <v>1090</v>
      </c>
      <c r="E374" s="68"/>
      <c r="F374" s="62" t="str">
        <f>VLOOKUP(C374,[2]Municipalities!$C$9:$F$1522,4,FALSE)</f>
        <v>Lira Municipality</v>
      </c>
      <c r="G374" s="61" t="str">
        <f t="shared" si="15"/>
        <v>Lira</v>
      </c>
      <c r="H374" s="70" t="s">
        <v>1090</v>
      </c>
    </row>
    <row r="375" spans="1:9">
      <c r="A375" s="67">
        <v>108</v>
      </c>
      <c r="B375" s="68" t="s">
        <v>1865</v>
      </c>
      <c r="C375" s="69" t="s">
        <v>1871</v>
      </c>
      <c r="D375" s="70" t="s">
        <v>1090</v>
      </c>
      <c r="E375" s="68"/>
      <c r="F375" s="62" t="str">
        <f>VLOOKUP(C375,[2]Municipalities!$C$9:$F$1522,4,FALSE)</f>
        <v>Nebbi Municipality</v>
      </c>
      <c r="G375" s="61" t="str">
        <f t="shared" si="15"/>
        <v>Nebbi</v>
      </c>
      <c r="H375" s="70" t="s">
        <v>1090</v>
      </c>
    </row>
    <row r="376" spans="1:9">
      <c r="A376" s="67">
        <v>325</v>
      </c>
      <c r="B376" s="68" t="s">
        <v>1082</v>
      </c>
      <c r="C376" s="68" t="s">
        <v>1083</v>
      </c>
      <c r="D376" s="68" t="s">
        <v>1090</v>
      </c>
      <c r="E376" s="68" t="s">
        <v>1089</v>
      </c>
      <c r="F376" s="61" t="str">
        <f>[2]KCCA!F376</f>
        <v>Bukesa</v>
      </c>
      <c r="G376" s="61" t="str">
        <f t="shared" si="15"/>
        <v>Kampala</v>
      </c>
      <c r="H376" s="68" t="s">
        <v>1090</v>
      </c>
    </row>
    <row r="377" spans="1:9">
      <c r="A377" s="67">
        <v>326</v>
      </c>
      <c r="B377" s="68" t="s">
        <v>1082</v>
      </c>
      <c r="C377" s="68" t="s">
        <v>1083</v>
      </c>
      <c r="D377" s="68" t="s">
        <v>1090</v>
      </c>
      <c r="E377" s="68" t="s">
        <v>1097</v>
      </c>
      <c r="F377" s="61" t="str">
        <f>[2]KCCA!F377</f>
        <v>Civic Centre</v>
      </c>
      <c r="G377" s="61" t="str">
        <f t="shared" si="15"/>
        <v>Kampala</v>
      </c>
      <c r="H377" s="68" t="s">
        <v>1090</v>
      </c>
    </row>
    <row r="378" spans="1:9">
      <c r="A378" s="67">
        <v>327</v>
      </c>
      <c r="B378" s="68" t="s">
        <v>1082</v>
      </c>
      <c r="C378" s="68" t="s">
        <v>1083</v>
      </c>
      <c r="D378" s="68" t="s">
        <v>1090</v>
      </c>
      <c r="E378" s="68" t="s">
        <v>1144</v>
      </c>
      <c r="F378" s="61" t="str">
        <f>[2]KCCA!F378</f>
        <v>Industrial Area</v>
      </c>
      <c r="G378" s="61" t="str">
        <f t="shared" si="15"/>
        <v>Kampala</v>
      </c>
      <c r="H378" s="68" t="s">
        <v>1090</v>
      </c>
    </row>
    <row r="379" spans="1:9">
      <c r="A379" s="67">
        <v>328</v>
      </c>
      <c r="B379" s="68" t="s">
        <v>1082</v>
      </c>
      <c r="C379" s="68" t="s">
        <v>1083</v>
      </c>
      <c r="D379" s="68" t="s">
        <v>1090</v>
      </c>
      <c r="E379" s="68" t="s">
        <v>1149</v>
      </c>
      <c r="F379" s="61" t="str">
        <f>[2]KCCA!F379</f>
        <v>Kagugube</v>
      </c>
      <c r="G379" s="61" t="str">
        <f t="shared" si="15"/>
        <v>Kampala</v>
      </c>
      <c r="H379" s="68" t="s">
        <v>1090</v>
      </c>
    </row>
    <row r="380" spans="1:9">
      <c r="A380" s="67">
        <v>329</v>
      </c>
      <c r="B380" s="68" t="s">
        <v>1082</v>
      </c>
      <c r="C380" s="68" t="s">
        <v>1083</v>
      </c>
      <c r="D380" s="68" t="s">
        <v>1090</v>
      </c>
      <c r="E380" s="72" t="s">
        <v>2254</v>
      </c>
      <c r="F380" s="144" t="s">
        <v>1150</v>
      </c>
      <c r="G380" s="61" t="str">
        <f t="shared" si="15"/>
        <v>Kampala</v>
      </c>
      <c r="H380" s="68" t="s">
        <v>1090</v>
      </c>
    </row>
    <row r="381" spans="1:9">
      <c r="A381" s="67">
        <v>330</v>
      </c>
      <c r="B381" s="68" t="s">
        <v>1082</v>
      </c>
      <c r="C381" s="68" t="s">
        <v>1083</v>
      </c>
      <c r="D381" s="68" t="s">
        <v>1090</v>
      </c>
      <c r="E381" s="72" t="s">
        <v>2255</v>
      </c>
      <c r="F381" s="145"/>
      <c r="G381" s="61" t="str">
        <f t="shared" si="15"/>
        <v>Kampala</v>
      </c>
      <c r="H381" s="68" t="s">
        <v>1090</v>
      </c>
      <c r="I381" s="73" t="s">
        <v>2256</v>
      </c>
    </row>
    <row r="382" spans="1:9">
      <c r="A382" s="67">
        <v>331</v>
      </c>
      <c r="B382" s="68" t="s">
        <v>1082</v>
      </c>
      <c r="C382" s="68" t="s">
        <v>1083</v>
      </c>
      <c r="D382" s="68" t="s">
        <v>1090</v>
      </c>
      <c r="E382" s="72" t="s">
        <v>2257</v>
      </c>
      <c r="F382" s="144" t="s">
        <v>1163</v>
      </c>
      <c r="G382" s="61" t="str">
        <f t="shared" si="15"/>
        <v>Kampala</v>
      </c>
      <c r="H382" s="68" t="s">
        <v>1090</v>
      </c>
    </row>
    <row r="383" spans="1:9">
      <c r="A383" s="67">
        <v>332</v>
      </c>
      <c r="B383" s="68" t="s">
        <v>1082</v>
      </c>
      <c r="C383" s="68" t="s">
        <v>1083</v>
      </c>
      <c r="D383" s="68" t="s">
        <v>1090</v>
      </c>
      <c r="E383" s="72" t="s">
        <v>2258</v>
      </c>
      <c r="F383" s="146"/>
      <c r="G383" s="61" t="str">
        <f t="shared" si="15"/>
        <v>Kampala</v>
      </c>
      <c r="H383" s="68" t="s">
        <v>1090</v>
      </c>
      <c r="I383" s="73" t="s">
        <v>2256</v>
      </c>
    </row>
    <row r="384" spans="1:9">
      <c r="A384" s="67">
        <v>333</v>
      </c>
      <c r="B384" s="68" t="s">
        <v>1082</v>
      </c>
      <c r="C384" s="68" t="s">
        <v>1083</v>
      </c>
      <c r="D384" s="68" t="s">
        <v>1090</v>
      </c>
      <c r="E384" s="72" t="s">
        <v>2259</v>
      </c>
      <c r="F384" s="145"/>
      <c r="G384" s="61" t="str">
        <f t="shared" si="15"/>
        <v>Kampala</v>
      </c>
      <c r="H384" s="68" t="s">
        <v>1090</v>
      </c>
      <c r="I384" s="73" t="s">
        <v>2256</v>
      </c>
    </row>
    <row r="385" spans="1:9">
      <c r="A385" s="67">
        <v>334</v>
      </c>
      <c r="B385" s="68" t="s">
        <v>1082</v>
      </c>
      <c r="C385" s="68" t="s">
        <v>1083</v>
      </c>
      <c r="D385" s="68" t="s">
        <v>1090</v>
      </c>
      <c r="E385" s="72" t="s">
        <v>2260</v>
      </c>
      <c r="F385" s="144" t="s">
        <v>1167</v>
      </c>
      <c r="G385" s="61" t="str">
        <f t="shared" si="15"/>
        <v>Kampala</v>
      </c>
      <c r="H385" s="68" t="s">
        <v>1090</v>
      </c>
    </row>
    <row r="386" spans="1:9">
      <c r="A386" s="67">
        <v>335</v>
      </c>
      <c r="B386" s="68" t="s">
        <v>1082</v>
      </c>
      <c r="C386" s="68" t="s">
        <v>1083</v>
      </c>
      <c r="D386" s="68" t="s">
        <v>1090</v>
      </c>
      <c r="E386" s="72" t="s">
        <v>2261</v>
      </c>
      <c r="F386" s="146"/>
      <c r="G386" s="61" t="str">
        <f t="shared" si="15"/>
        <v>Kampala</v>
      </c>
      <c r="H386" s="68" t="s">
        <v>1090</v>
      </c>
      <c r="I386" s="73" t="s">
        <v>2256</v>
      </c>
    </row>
    <row r="387" spans="1:9">
      <c r="A387" s="67">
        <v>336</v>
      </c>
      <c r="B387" s="68" t="s">
        <v>1082</v>
      </c>
      <c r="C387" s="68" t="s">
        <v>1083</v>
      </c>
      <c r="D387" s="68" t="s">
        <v>1090</v>
      </c>
      <c r="E387" s="72" t="s">
        <v>2262</v>
      </c>
      <c r="F387" s="146"/>
      <c r="G387" s="61" t="str">
        <f t="shared" si="15"/>
        <v>Kampala</v>
      </c>
      <c r="H387" s="68" t="s">
        <v>1090</v>
      </c>
      <c r="I387" s="73" t="s">
        <v>2256</v>
      </c>
    </row>
    <row r="388" spans="1:9">
      <c r="A388" s="67">
        <v>337</v>
      </c>
      <c r="B388" s="68" t="s">
        <v>1082</v>
      </c>
      <c r="C388" s="68" t="s">
        <v>1083</v>
      </c>
      <c r="D388" s="68" t="s">
        <v>1090</v>
      </c>
      <c r="E388" s="72" t="s">
        <v>2263</v>
      </c>
      <c r="F388" s="145"/>
      <c r="G388" s="61" t="str">
        <f t="shared" si="15"/>
        <v>Kampala</v>
      </c>
      <c r="H388" s="68" t="s">
        <v>1090</v>
      </c>
      <c r="I388" s="73" t="s">
        <v>2256</v>
      </c>
    </row>
    <row r="389" spans="1:9">
      <c r="A389" s="67">
        <v>338</v>
      </c>
      <c r="B389" s="68" t="s">
        <v>1082</v>
      </c>
      <c r="C389" s="68" t="s">
        <v>1083</v>
      </c>
      <c r="D389" s="68" t="s">
        <v>1090</v>
      </c>
      <c r="E389" s="68" t="s">
        <v>1182</v>
      </c>
      <c r="F389" s="61" t="str">
        <f>[2]KCCA!F389</f>
        <v>Mengo</v>
      </c>
      <c r="G389" s="61" t="str">
        <f t="shared" si="15"/>
        <v>Kampala</v>
      </c>
      <c r="H389" s="68" t="s">
        <v>1090</v>
      </c>
    </row>
    <row r="390" spans="1:9">
      <c r="A390" s="67">
        <v>339</v>
      </c>
      <c r="B390" s="68" t="s">
        <v>1082</v>
      </c>
      <c r="C390" s="68" t="s">
        <v>1083</v>
      </c>
      <c r="D390" s="68" t="s">
        <v>1090</v>
      </c>
      <c r="E390" s="72" t="s">
        <v>2264</v>
      </c>
      <c r="F390" s="144" t="s">
        <v>1201</v>
      </c>
      <c r="G390" s="61" t="str">
        <f t="shared" si="15"/>
        <v>Kampala</v>
      </c>
      <c r="H390" s="68" t="s">
        <v>1090</v>
      </c>
    </row>
    <row r="391" spans="1:9">
      <c r="A391" s="67">
        <v>340</v>
      </c>
      <c r="B391" s="68" t="s">
        <v>1082</v>
      </c>
      <c r="C391" s="68" t="s">
        <v>1083</v>
      </c>
      <c r="D391" s="68" t="s">
        <v>1090</v>
      </c>
      <c r="E391" s="72" t="s">
        <v>2265</v>
      </c>
      <c r="F391" s="146"/>
      <c r="G391" s="61" t="str">
        <f t="shared" si="15"/>
        <v>Kampala</v>
      </c>
      <c r="H391" s="68" t="s">
        <v>1090</v>
      </c>
      <c r="I391" s="73" t="s">
        <v>2256</v>
      </c>
    </row>
    <row r="392" spans="1:9">
      <c r="A392" s="67">
        <v>341</v>
      </c>
      <c r="B392" s="68" t="s">
        <v>1082</v>
      </c>
      <c r="C392" s="68" t="s">
        <v>1083</v>
      </c>
      <c r="D392" s="68" t="s">
        <v>1090</v>
      </c>
      <c r="E392" s="72" t="s">
        <v>2266</v>
      </c>
      <c r="F392" s="146"/>
      <c r="G392" s="61" t="str">
        <f t="shared" si="15"/>
        <v>Kampala</v>
      </c>
      <c r="H392" s="68" t="s">
        <v>1090</v>
      </c>
      <c r="I392" s="73" t="s">
        <v>2256</v>
      </c>
    </row>
    <row r="393" spans="1:9">
      <c r="A393" s="67">
        <v>342</v>
      </c>
      <c r="B393" s="68" t="s">
        <v>1082</v>
      </c>
      <c r="C393" s="68" t="s">
        <v>1083</v>
      </c>
      <c r="D393" s="68" t="s">
        <v>1090</v>
      </c>
      <c r="E393" s="72" t="s">
        <v>2267</v>
      </c>
      <c r="F393" s="145"/>
      <c r="G393" s="61" t="str">
        <f t="shared" si="15"/>
        <v>Kampala</v>
      </c>
      <c r="H393" s="68" t="s">
        <v>1090</v>
      </c>
      <c r="I393" s="73" t="s">
        <v>2256</v>
      </c>
    </row>
    <row r="394" spans="1:9" ht="25.5">
      <c r="A394" s="67">
        <v>343</v>
      </c>
      <c r="B394" s="68" t="s">
        <v>1082</v>
      </c>
      <c r="C394" s="68" t="s">
        <v>1083</v>
      </c>
      <c r="D394" s="68" t="s">
        <v>1090</v>
      </c>
      <c r="E394" s="68" t="s">
        <v>1205</v>
      </c>
      <c r="F394" s="61" t="str">
        <f>[2]KCCA!F394</f>
        <v>Nakivubo Shauriyaako</v>
      </c>
      <c r="G394" s="61" t="str">
        <f t="shared" ref="G394:G457" si="18">B394</f>
        <v>Kampala</v>
      </c>
      <c r="H394" s="68" t="s">
        <v>1090</v>
      </c>
    </row>
    <row r="395" spans="1:9">
      <c r="A395" s="67">
        <v>344</v>
      </c>
      <c r="B395" s="68" t="s">
        <v>1082</v>
      </c>
      <c r="C395" s="68" t="s">
        <v>1083</v>
      </c>
      <c r="D395" s="68" t="s">
        <v>1090</v>
      </c>
      <c r="E395" s="68" t="s">
        <v>1218</v>
      </c>
      <c r="F395" s="61" t="str">
        <f>[2]KCCA!F395</f>
        <v>Old Kampala</v>
      </c>
      <c r="G395" s="61" t="str">
        <f t="shared" si="18"/>
        <v>Kampala</v>
      </c>
      <c r="H395" s="68" t="s">
        <v>1090</v>
      </c>
    </row>
    <row r="396" spans="1:9" ht="25.5">
      <c r="A396" s="67">
        <v>485</v>
      </c>
      <c r="B396" s="68" t="s">
        <v>1761</v>
      </c>
      <c r="C396" s="69" t="s">
        <v>1768</v>
      </c>
      <c r="D396" s="72" t="s">
        <v>1090</v>
      </c>
      <c r="E396" s="68"/>
      <c r="F396" s="62" t="str">
        <f>VLOOKUP(C396,[2]Municipalities!$C$9:$F$1522,4,FALSE)</f>
        <v>Mukono Municipality</v>
      </c>
      <c r="G396" s="61" t="str">
        <f t="shared" si="18"/>
        <v>Mukono</v>
      </c>
      <c r="H396" s="72" t="s">
        <v>1090</v>
      </c>
    </row>
    <row r="397" spans="1:9" ht="25.5">
      <c r="A397" s="67">
        <v>577</v>
      </c>
      <c r="B397" s="68" t="s">
        <v>1697</v>
      </c>
      <c r="C397" s="69" t="s">
        <v>1701</v>
      </c>
      <c r="D397" s="72" t="s">
        <v>1090</v>
      </c>
      <c r="E397" s="68"/>
      <c r="F397" s="62" t="str">
        <f>VLOOKUP(C397,[2]Municipalities!$C$9:$F$1522,4,FALSE)</f>
        <v>Mityana Municipality</v>
      </c>
      <c r="G397" s="61" t="str">
        <f t="shared" si="18"/>
        <v>Mityana</v>
      </c>
      <c r="H397" s="72" t="s">
        <v>1090</v>
      </c>
    </row>
    <row r="398" spans="1:9" ht="25.5">
      <c r="A398" s="67">
        <v>600</v>
      </c>
      <c r="B398" s="68" t="s">
        <v>688</v>
      </c>
      <c r="C398" s="69" t="s">
        <v>690</v>
      </c>
      <c r="D398" s="72" t="s">
        <v>1090</v>
      </c>
      <c r="E398" s="68"/>
      <c r="F398" s="62" t="str">
        <f>VLOOKUP(C398,[2]Municipalities!$C$9:$F$1522,4,FALSE)</f>
        <v>Lugazi Municipality</v>
      </c>
      <c r="G398" s="61" t="str">
        <f t="shared" si="18"/>
        <v>Buikwe</v>
      </c>
      <c r="H398" s="72" t="s">
        <v>1090</v>
      </c>
    </row>
    <row r="399" spans="1:9" ht="25.5">
      <c r="A399" s="67">
        <v>703</v>
      </c>
      <c r="B399" s="68" t="s">
        <v>912</v>
      </c>
      <c r="C399" s="69" t="s">
        <v>918</v>
      </c>
      <c r="D399" s="72" t="s">
        <v>1090</v>
      </c>
      <c r="E399" s="68"/>
      <c r="F399" s="62" t="str">
        <f>VLOOKUP(C399,[2]Municipalities!$C$9:$F$1522,4,FALSE)</f>
        <v>Iganga Municipality</v>
      </c>
      <c r="G399" s="61" t="str">
        <f t="shared" si="18"/>
        <v>Iganga</v>
      </c>
      <c r="H399" s="72" t="s">
        <v>1090</v>
      </c>
    </row>
    <row r="400" spans="1:9">
      <c r="A400" s="67">
        <v>717</v>
      </c>
      <c r="B400" s="68" t="s">
        <v>952</v>
      </c>
      <c r="C400" s="69" t="s">
        <v>961</v>
      </c>
      <c r="D400" s="72" t="s">
        <v>1090</v>
      </c>
      <c r="E400" s="68"/>
      <c r="F400" s="62" t="str">
        <f>VLOOKUP(C400,[2]Municipalities!$C$9:$F$1522,4,FALSE)</f>
        <v>Jinja Municipality</v>
      </c>
      <c r="G400" s="61" t="str">
        <f t="shared" si="18"/>
        <v>Jinja</v>
      </c>
      <c r="H400" s="72" t="s">
        <v>1090</v>
      </c>
    </row>
    <row r="401" spans="1:8" ht="25.5">
      <c r="A401" s="67">
        <v>750</v>
      </c>
      <c r="B401" s="68" t="s">
        <v>1283</v>
      </c>
      <c r="C401" s="69" t="s">
        <v>1289</v>
      </c>
      <c r="D401" s="72" t="s">
        <v>1090</v>
      </c>
      <c r="E401" s="68"/>
      <c r="F401" s="62" t="str">
        <f>VLOOKUP(C401,[2]Municipalities!$C$9:$F$1522,4,FALSE)</f>
        <v>Kapchorwa Municipality</v>
      </c>
      <c r="G401" s="61" t="str">
        <f t="shared" si="18"/>
        <v>Kapchorwa</v>
      </c>
      <c r="H401" s="72" t="s">
        <v>1090</v>
      </c>
    </row>
    <row r="402" spans="1:8" ht="25.5">
      <c r="A402" s="67">
        <v>1149</v>
      </c>
      <c r="B402" s="68" t="s">
        <v>981</v>
      </c>
      <c r="C402" s="69" t="s">
        <v>984</v>
      </c>
      <c r="D402" s="72" t="s">
        <v>1090</v>
      </c>
      <c r="E402" s="68"/>
      <c r="F402" s="62" t="str">
        <f>VLOOKUP(C402,[2]Municipalities!$C$9:$F$1522,4,FALSE)</f>
        <v>Kabale Municipality</v>
      </c>
      <c r="G402" s="61" t="str">
        <f t="shared" si="18"/>
        <v>Kabale</v>
      </c>
      <c r="H402" s="72" t="s">
        <v>1090</v>
      </c>
    </row>
    <row r="403" spans="1:8" ht="25.5">
      <c r="A403" s="67">
        <v>1206</v>
      </c>
      <c r="B403" s="68" t="s">
        <v>36</v>
      </c>
      <c r="C403" s="69" t="s">
        <v>1305</v>
      </c>
      <c r="D403" s="72" t="s">
        <v>1090</v>
      </c>
      <c r="E403" s="68"/>
      <c r="F403" s="62" t="str">
        <f>VLOOKUP(C403,[2]Municipalities!$C$9:$F$1522,4,FALSE)</f>
        <v>Kasese Municipality</v>
      </c>
      <c r="G403" s="61" t="str">
        <f t="shared" si="18"/>
        <v>Kasese</v>
      </c>
      <c r="H403" s="72" t="s">
        <v>1090</v>
      </c>
    </row>
    <row r="404" spans="1:8" ht="25.5">
      <c r="A404" s="67">
        <v>1243</v>
      </c>
      <c r="B404" s="68" t="s">
        <v>1621</v>
      </c>
      <c r="C404" s="69" t="s">
        <v>1626</v>
      </c>
      <c r="D404" s="72" t="s">
        <v>1090</v>
      </c>
      <c r="E404" s="68"/>
      <c r="F404" s="62" t="str">
        <f>VLOOKUP(C404,[2]Municipalities!$C$9:$F$1522,4,FALSE)</f>
        <v>Masindi Municipality</v>
      </c>
      <c r="G404" s="61" t="str">
        <f t="shared" si="18"/>
        <v>Masindi</v>
      </c>
      <c r="H404" s="72" t="s">
        <v>1090</v>
      </c>
    </row>
    <row r="405" spans="1:8" ht="25.5">
      <c r="A405" s="67">
        <v>1267</v>
      </c>
      <c r="B405" s="68" t="s">
        <v>46</v>
      </c>
      <c r="C405" s="69" t="s">
        <v>1901</v>
      </c>
      <c r="D405" s="72" t="s">
        <v>1090</v>
      </c>
      <c r="E405" s="68"/>
      <c r="F405" s="62" t="str">
        <f>VLOOKUP(C405,[2]Municipalities!$C$9:$F$1522,4,FALSE)</f>
        <v>Ntungamo Municipality</v>
      </c>
      <c r="G405" s="61" t="str">
        <f t="shared" si="18"/>
        <v>Ntungamo</v>
      </c>
      <c r="H405" s="72" t="s">
        <v>1090</v>
      </c>
    </row>
    <row r="406" spans="1:8" ht="25.5">
      <c r="A406" s="67">
        <v>1122</v>
      </c>
      <c r="B406" s="68" t="s">
        <v>38</v>
      </c>
      <c r="C406" s="69" t="s">
        <v>787</v>
      </c>
      <c r="D406" s="72" t="s">
        <v>2268</v>
      </c>
      <c r="E406" s="68"/>
      <c r="F406" s="62" t="str">
        <f>VLOOKUP(C406,[2]Municipalities!$C$9:$F$1522,4,FALSE)</f>
        <v>Bushenyi-Ishaka Municipality</v>
      </c>
      <c r="G406" s="61" t="str">
        <f t="shared" si="18"/>
        <v>Bushenyi</v>
      </c>
      <c r="H406" s="72" t="s">
        <v>2268</v>
      </c>
    </row>
    <row r="407" spans="1:8">
      <c r="A407" s="67">
        <v>1220</v>
      </c>
      <c r="B407" s="68" t="s">
        <v>1404</v>
      </c>
      <c r="C407" s="68" t="s">
        <v>1405</v>
      </c>
      <c r="D407" s="68" t="s">
        <v>1407</v>
      </c>
      <c r="E407" s="68"/>
      <c r="F407" s="61" t="str">
        <f t="shared" ref="F407:F417" si="19">D407</f>
        <v>Chahi</v>
      </c>
      <c r="G407" s="61" t="str">
        <f t="shared" si="18"/>
        <v>Kisoro</v>
      </c>
      <c r="H407" s="68" t="s">
        <v>1407</v>
      </c>
    </row>
    <row r="408" spans="1:8">
      <c r="A408" s="67">
        <v>14</v>
      </c>
      <c r="B408" s="68" t="s">
        <v>592</v>
      </c>
      <c r="C408" s="68" t="s">
        <v>593</v>
      </c>
      <c r="D408" s="68" t="s">
        <v>600</v>
      </c>
      <c r="E408" s="68"/>
      <c r="F408" s="61" t="str">
        <f t="shared" si="19"/>
        <v>Chawente</v>
      </c>
      <c r="G408" s="61" t="str">
        <f t="shared" si="18"/>
        <v>Apac</v>
      </c>
      <c r="H408" s="68" t="s">
        <v>600</v>
      </c>
    </row>
    <row r="409" spans="1:8">
      <c r="A409" s="67">
        <v>18</v>
      </c>
      <c r="B409" s="68" t="s">
        <v>592</v>
      </c>
      <c r="C409" s="68" t="s">
        <v>597</v>
      </c>
      <c r="D409" s="68" t="s">
        <v>601</v>
      </c>
      <c r="E409" s="68"/>
      <c r="F409" s="61" t="str">
        <f t="shared" si="19"/>
        <v>Chegere</v>
      </c>
      <c r="G409" s="61" t="str">
        <f t="shared" si="18"/>
        <v>Apac</v>
      </c>
      <c r="H409" s="68" t="s">
        <v>601</v>
      </c>
    </row>
    <row r="410" spans="1:8">
      <c r="A410" s="67">
        <v>805</v>
      </c>
      <c r="B410" s="68" t="s">
        <v>1966</v>
      </c>
      <c r="C410" s="68" t="s">
        <v>1965</v>
      </c>
      <c r="D410" s="68" t="s">
        <v>1969</v>
      </c>
      <c r="E410" s="68"/>
      <c r="F410" s="61" t="str">
        <f t="shared" si="19"/>
        <v>Chelekura</v>
      </c>
      <c r="G410" s="61" t="str">
        <f t="shared" si="18"/>
        <v>Pallisa</v>
      </c>
      <c r="H410" s="68" t="s">
        <v>1969</v>
      </c>
    </row>
    <row r="411" spans="1:8">
      <c r="A411" s="67">
        <v>740</v>
      </c>
      <c r="B411" s="68" t="s">
        <v>1283</v>
      </c>
      <c r="C411" s="68" t="s">
        <v>1284</v>
      </c>
      <c r="D411" s="68" t="s">
        <v>1285</v>
      </c>
      <c r="E411" s="68"/>
      <c r="F411" s="61" t="str">
        <f t="shared" si="19"/>
        <v>Chema</v>
      </c>
      <c r="G411" s="61" t="str">
        <f t="shared" si="18"/>
        <v>Kapchorwa</v>
      </c>
      <c r="H411" s="68" t="s">
        <v>1285</v>
      </c>
    </row>
    <row r="412" spans="1:8">
      <c r="A412" s="67">
        <v>939</v>
      </c>
      <c r="B412" s="68" t="s">
        <v>709</v>
      </c>
      <c r="C412" s="68" t="s">
        <v>710</v>
      </c>
      <c r="D412" s="68" t="s">
        <v>712</v>
      </c>
      <c r="E412" s="68"/>
      <c r="F412" s="61" t="str">
        <f t="shared" si="19"/>
        <v>Chepkwasta</v>
      </c>
      <c r="G412" s="61" t="str">
        <f t="shared" si="18"/>
        <v>Bukwo</v>
      </c>
      <c r="H412" s="68" t="s">
        <v>712</v>
      </c>
    </row>
    <row r="413" spans="1:8">
      <c r="A413" s="67">
        <v>741</v>
      </c>
      <c r="B413" s="68" t="s">
        <v>1283</v>
      </c>
      <c r="C413" s="68" t="s">
        <v>1284</v>
      </c>
      <c r="D413" s="68" t="s">
        <v>1286</v>
      </c>
      <c r="E413" s="68"/>
      <c r="F413" s="61" t="str">
        <f t="shared" si="19"/>
        <v>Chepterech</v>
      </c>
      <c r="G413" s="61" t="str">
        <f t="shared" si="18"/>
        <v>Kapchorwa</v>
      </c>
      <c r="H413" s="68" t="s">
        <v>1286</v>
      </c>
    </row>
    <row r="414" spans="1:8">
      <c r="A414" s="67">
        <v>940</v>
      </c>
      <c r="B414" s="68" t="s">
        <v>709</v>
      </c>
      <c r="C414" s="68" t="s">
        <v>710</v>
      </c>
      <c r="D414" s="68" t="s">
        <v>713</v>
      </c>
      <c r="E414" s="68"/>
      <c r="F414" s="61" t="str">
        <f t="shared" si="19"/>
        <v>Chesower</v>
      </c>
      <c r="G414" s="61" t="str">
        <f t="shared" si="18"/>
        <v>Bukwo</v>
      </c>
      <c r="H414" s="68" t="s">
        <v>713</v>
      </c>
    </row>
    <row r="415" spans="1:8">
      <c r="A415" s="67">
        <v>4</v>
      </c>
      <c r="B415" s="68" t="s">
        <v>511</v>
      </c>
      <c r="C415" s="68" t="s">
        <v>512</v>
      </c>
      <c r="D415" s="68" t="s">
        <v>515</v>
      </c>
      <c r="E415" s="68"/>
      <c r="F415" s="61" t="str">
        <f t="shared" si="19"/>
        <v>Ciforo</v>
      </c>
      <c r="G415" s="61" t="str">
        <f t="shared" si="18"/>
        <v>Adjumani</v>
      </c>
      <c r="H415" s="68" t="s">
        <v>515</v>
      </c>
    </row>
    <row r="416" spans="1:8">
      <c r="A416" s="67">
        <v>689</v>
      </c>
      <c r="B416" s="68" t="s">
        <v>796</v>
      </c>
      <c r="C416" s="68" t="s">
        <v>797</v>
      </c>
      <c r="D416" s="68" t="s">
        <v>804</v>
      </c>
      <c r="E416" s="68"/>
      <c r="F416" s="61" t="str">
        <f t="shared" si="19"/>
        <v>Dabani</v>
      </c>
      <c r="G416" s="61" t="str">
        <f t="shared" si="18"/>
        <v>Busia</v>
      </c>
      <c r="H416" s="68" t="s">
        <v>804</v>
      </c>
    </row>
    <row r="417" spans="1:8">
      <c r="A417" s="67">
        <v>27</v>
      </c>
      <c r="B417" s="68" t="s">
        <v>606</v>
      </c>
      <c r="C417" s="68" t="s">
        <v>607</v>
      </c>
      <c r="D417" s="68" t="s">
        <v>619</v>
      </c>
      <c r="E417" s="68"/>
      <c r="F417" s="61" t="str">
        <f t="shared" si="19"/>
        <v>Dadamu</v>
      </c>
      <c r="G417" s="61" t="str">
        <f t="shared" si="18"/>
        <v>Arua</v>
      </c>
      <c r="H417" s="68" t="s">
        <v>619</v>
      </c>
    </row>
    <row r="418" spans="1:8">
      <c r="A418" s="67">
        <v>423</v>
      </c>
      <c r="B418" s="68" t="s">
        <v>1356</v>
      </c>
      <c r="C418" s="68" t="s">
        <v>1356</v>
      </c>
      <c r="D418" s="72" t="s">
        <v>2269</v>
      </c>
      <c r="E418" s="68"/>
      <c r="F418" s="61" t="str">
        <f t="shared" ref="F418:F419" si="20">D418&amp;"-"&amp;B418</f>
        <v>Ddwaniro-Kiboga</v>
      </c>
      <c r="G418" s="61" t="str">
        <f t="shared" si="18"/>
        <v>Kiboga</v>
      </c>
      <c r="H418" s="72" t="s">
        <v>2269</v>
      </c>
    </row>
    <row r="419" spans="1:8">
      <c r="A419" s="67">
        <v>507</v>
      </c>
      <c r="B419" s="68" t="s">
        <v>1978</v>
      </c>
      <c r="C419" s="68" t="s">
        <v>1521</v>
      </c>
      <c r="D419" s="72" t="s">
        <v>2269</v>
      </c>
      <c r="E419" s="68"/>
      <c r="F419" s="61" t="str">
        <f t="shared" si="20"/>
        <v>Ddwaniro-Rakai</v>
      </c>
      <c r="G419" s="61" t="str">
        <f t="shared" si="18"/>
        <v>Rakai</v>
      </c>
      <c r="H419" s="72" t="s">
        <v>2269</v>
      </c>
    </row>
    <row r="420" spans="1:8">
      <c r="A420" s="67">
        <v>101</v>
      </c>
      <c r="B420" s="68" t="s">
        <v>1718</v>
      </c>
      <c r="C420" s="68" t="s">
        <v>1721</v>
      </c>
      <c r="D420" s="68" t="s">
        <v>1720</v>
      </c>
      <c r="E420" s="68"/>
      <c r="F420" s="61" t="str">
        <f t="shared" ref="F420" si="21">D420</f>
        <v>Difule</v>
      </c>
      <c r="G420" s="61" t="str">
        <f t="shared" si="18"/>
        <v>Moyo</v>
      </c>
      <c r="H420" s="68" t="s">
        <v>1720</v>
      </c>
    </row>
    <row r="421" spans="1:8" ht="25.5">
      <c r="A421" s="67">
        <v>546</v>
      </c>
      <c r="B421" s="70" t="s">
        <v>2117</v>
      </c>
      <c r="C421" s="71" t="s">
        <v>2125</v>
      </c>
      <c r="D421" s="74" t="s">
        <v>2270</v>
      </c>
      <c r="E421" s="70"/>
      <c r="F421" s="62" t="str">
        <f>VLOOKUP(C421,[2]Municipalities!$C$9:$F$1522,4,FALSE)</f>
        <v>Entebbe Municipality</v>
      </c>
      <c r="G421" s="61" t="str">
        <f t="shared" si="18"/>
        <v>Wakiso</v>
      </c>
      <c r="H421" s="74" t="s">
        <v>2270</v>
      </c>
    </row>
    <row r="422" spans="1:8" ht="25.5">
      <c r="A422" s="67">
        <v>547</v>
      </c>
      <c r="B422" s="70" t="s">
        <v>2117</v>
      </c>
      <c r="C422" s="71" t="s">
        <v>2125</v>
      </c>
      <c r="D422" s="74" t="s">
        <v>2271</v>
      </c>
      <c r="E422" s="70"/>
      <c r="F422" s="62" t="s">
        <v>2124</v>
      </c>
      <c r="G422" s="61" t="str">
        <f t="shared" si="18"/>
        <v>Wakiso</v>
      </c>
      <c r="H422" s="74" t="s">
        <v>2271</v>
      </c>
    </row>
    <row r="423" spans="1:8">
      <c r="A423" s="67">
        <v>178</v>
      </c>
      <c r="B423" s="68" t="s">
        <v>859</v>
      </c>
      <c r="C423" s="68" t="s">
        <v>859</v>
      </c>
      <c r="D423" s="68" t="s">
        <v>859</v>
      </c>
      <c r="E423" s="68"/>
      <c r="F423" s="61" t="str">
        <f t="shared" ref="F423:F427" si="22">D423</f>
        <v>Dokolo</v>
      </c>
      <c r="G423" s="61" t="str">
        <f t="shared" si="18"/>
        <v>Dokolo</v>
      </c>
      <c r="H423" s="68" t="s">
        <v>859</v>
      </c>
    </row>
    <row r="424" spans="1:8">
      <c r="A424" s="67">
        <v>179</v>
      </c>
      <c r="B424" s="68" t="s">
        <v>859</v>
      </c>
      <c r="C424" s="68" t="s">
        <v>859</v>
      </c>
      <c r="D424" s="68" t="s">
        <v>864</v>
      </c>
      <c r="E424" s="68"/>
      <c r="F424" s="61" t="str">
        <f t="shared" si="22"/>
        <v>Dokolo Tc</v>
      </c>
      <c r="G424" s="61" t="str">
        <f t="shared" si="18"/>
        <v>Dokolo</v>
      </c>
      <c r="H424" s="68" t="s">
        <v>864</v>
      </c>
    </row>
    <row r="425" spans="1:8">
      <c r="A425" s="67">
        <v>140</v>
      </c>
      <c r="B425" s="68" t="s">
        <v>2183</v>
      </c>
      <c r="C425" s="68" t="s">
        <v>2184</v>
      </c>
      <c r="D425" s="68" t="s">
        <v>2186</v>
      </c>
      <c r="E425" s="68"/>
      <c r="F425" s="61" t="str">
        <f t="shared" si="22"/>
        <v>Drajini</v>
      </c>
      <c r="G425" s="61" t="str">
        <f t="shared" si="18"/>
        <v>Yumbe</v>
      </c>
      <c r="H425" s="68" t="s">
        <v>2186</v>
      </c>
    </row>
    <row r="426" spans="1:8">
      <c r="A426" s="67">
        <v>199</v>
      </c>
      <c r="B426" s="68" t="s">
        <v>1433</v>
      </c>
      <c r="C426" s="68" t="s">
        <v>1433</v>
      </c>
      <c r="D426" s="68" t="s">
        <v>1434</v>
      </c>
      <c r="E426" s="68"/>
      <c r="F426" s="61" t="str">
        <f t="shared" si="22"/>
        <v>Dranya</v>
      </c>
      <c r="G426" s="61" t="str">
        <f t="shared" si="18"/>
        <v>Koboko</v>
      </c>
      <c r="H426" s="68" t="s">
        <v>1434</v>
      </c>
    </row>
    <row r="427" spans="1:8">
      <c r="A427" s="67">
        <v>5</v>
      </c>
      <c r="B427" s="68" t="s">
        <v>511</v>
      </c>
      <c r="C427" s="68" t="s">
        <v>512</v>
      </c>
      <c r="D427" s="68" t="s">
        <v>516</v>
      </c>
      <c r="E427" s="68"/>
      <c r="F427" s="61" t="str">
        <f t="shared" si="22"/>
        <v>Dzaipi</v>
      </c>
      <c r="G427" s="61" t="str">
        <f t="shared" si="18"/>
        <v>Adjumani</v>
      </c>
      <c r="H427" s="68" t="s">
        <v>516</v>
      </c>
    </row>
    <row r="428" spans="1:8" ht="25.5">
      <c r="A428" s="67">
        <v>475</v>
      </c>
      <c r="B428" s="68" t="s">
        <v>1739</v>
      </c>
      <c r="C428" s="69" t="s">
        <v>1756</v>
      </c>
      <c r="D428" s="72" t="s">
        <v>2272</v>
      </c>
      <c r="E428" s="68"/>
      <c r="F428" s="62" t="str">
        <f>VLOOKUP(C428,[2]Municipalities!$C$9:$F$1522,4,FALSE)</f>
        <v>Mubende Municipality</v>
      </c>
      <c r="G428" s="61" t="str">
        <f t="shared" si="18"/>
        <v>Mubende</v>
      </c>
      <c r="H428" s="72" t="s">
        <v>2272</v>
      </c>
    </row>
    <row r="429" spans="1:8" ht="25.5">
      <c r="A429" s="67">
        <v>669</v>
      </c>
      <c r="B429" s="68" t="s">
        <v>667</v>
      </c>
      <c r="C429" s="69" t="s">
        <v>669</v>
      </c>
      <c r="D429" s="72" t="s">
        <v>2272</v>
      </c>
      <c r="E429" s="68"/>
      <c r="F429" s="62" t="str">
        <f>VLOOKUP(C429,[2]Municipalities!$C$9:$F$1522,4,FALSE)</f>
        <v>Bugiri Municipality</v>
      </c>
      <c r="G429" s="61" t="str">
        <f t="shared" si="18"/>
        <v>Bugiri</v>
      </c>
      <c r="H429" s="72" t="s">
        <v>2272</v>
      </c>
    </row>
    <row r="430" spans="1:8" ht="25.5">
      <c r="A430" s="67">
        <v>681</v>
      </c>
      <c r="B430" s="68" t="s">
        <v>796</v>
      </c>
      <c r="C430" s="69" t="s">
        <v>799</v>
      </c>
      <c r="D430" s="72" t="s">
        <v>2272</v>
      </c>
      <c r="E430" s="68"/>
      <c r="F430" s="69" t="s">
        <v>799</v>
      </c>
      <c r="G430" s="61" t="str">
        <f t="shared" si="18"/>
        <v>Busia</v>
      </c>
      <c r="H430" s="72" t="s">
        <v>2272</v>
      </c>
    </row>
    <row r="431" spans="1:8" ht="25.5">
      <c r="A431" s="67">
        <v>751</v>
      </c>
      <c r="B431" s="68" t="s">
        <v>1283</v>
      </c>
      <c r="C431" s="69" t="s">
        <v>1289</v>
      </c>
      <c r="D431" s="72" t="s">
        <v>2272</v>
      </c>
      <c r="E431" s="68"/>
      <c r="F431" s="62" t="str">
        <f>VLOOKUP(C431,[2]Municipalities!$C$9:$F$1522,4,FALSE)</f>
        <v>Kapchorwa Municipality</v>
      </c>
      <c r="G431" s="61" t="str">
        <f t="shared" si="18"/>
        <v>Kapchorwa</v>
      </c>
      <c r="H431" s="72" t="s">
        <v>2272</v>
      </c>
    </row>
    <row r="432" spans="1:8" ht="25.5">
      <c r="A432" s="67">
        <v>816</v>
      </c>
      <c r="B432" s="68" t="s">
        <v>2077</v>
      </c>
      <c r="C432" s="69" t="s">
        <v>2082</v>
      </c>
      <c r="D432" s="72" t="s">
        <v>2272</v>
      </c>
      <c r="E432" s="68"/>
      <c r="F432" s="62" t="str">
        <f>VLOOKUP(C432,[2]Municipalities!$C$9:$F$1522,4,FALSE)</f>
        <v>Soroti Municipality</v>
      </c>
      <c r="G432" s="61" t="str">
        <f t="shared" si="18"/>
        <v>Soroti</v>
      </c>
      <c r="H432" s="72" t="s">
        <v>2272</v>
      </c>
    </row>
    <row r="433" spans="1:8" ht="25.5">
      <c r="A433" s="67">
        <v>825</v>
      </c>
      <c r="B433" s="68" t="s">
        <v>2095</v>
      </c>
      <c r="C433" s="69" t="s">
        <v>2115</v>
      </c>
      <c r="D433" s="72" t="s">
        <v>2272</v>
      </c>
      <c r="E433" s="68"/>
      <c r="F433" s="62" t="str">
        <f>VLOOKUP(C433,[2]Municipalities!$C$9:$F$1522,4,FALSE)</f>
        <v>Tororo Municipality</v>
      </c>
      <c r="G433" s="61" t="str">
        <f t="shared" si="18"/>
        <v>Tororo</v>
      </c>
      <c r="H433" s="72" t="s">
        <v>2272</v>
      </c>
    </row>
    <row r="434" spans="1:8" ht="25.5">
      <c r="A434" s="67">
        <v>1175</v>
      </c>
      <c r="B434" s="68" t="s">
        <v>994</v>
      </c>
      <c r="C434" s="69" t="s">
        <v>997</v>
      </c>
      <c r="D434" s="72" t="s">
        <v>2272</v>
      </c>
      <c r="E434" s="68"/>
      <c r="F434" s="62" t="str">
        <f>VLOOKUP(C434,[2]Municipalities!$C$9:$F$1522,4,FALSE)</f>
        <v>Fort Portal Municipality</v>
      </c>
      <c r="G434" s="61" t="str">
        <f t="shared" si="18"/>
        <v>Kabarole</v>
      </c>
      <c r="H434" s="72" t="s">
        <v>2272</v>
      </c>
    </row>
    <row r="435" spans="1:8" ht="25.5">
      <c r="A435" s="67">
        <v>1268</v>
      </c>
      <c r="B435" s="68" t="s">
        <v>46</v>
      </c>
      <c r="C435" s="69" t="s">
        <v>1901</v>
      </c>
      <c r="D435" s="72" t="s">
        <v>2272</v>
      </c>
      <c r="E435" s="68"/>
      <c r="F435" s="62" t="str">
        <f>VLOOKUP(C435,[2]Municipalities!$C$9:$F$1522,4,FALSE)</f>
        <v>Ntungamo Municipality</v>
      </c>
      <c r="G435" s="61" t="str">
        <f t="shared" si="18"/>
        <v>Ntungamo</v>
      </c>
      <c r="H435" s="72" t="s">
        <v>2272</v>
      </c>
    </row>
    <row r="436" spans="1:8" ht="25.5">
      <c r="A436" s="67">
        <v>1294</v>
      </c>
      <c r="B436" s="68" t="s">
        <v>40</v>
      </c>
      <c r="C436" s="69" t="s">
        <v>2028</v>
      </c>
      <c r="D436" s="72" t="s">
        <v>2273</v>
      </c>
      <c r="E436" s="68"/>
      <c r="F436" s="62" t="str">
        <f>VLOOKUP(C436,[2]Municipalities!$C$9:$F$1522,4,FALSE)</f>
        <v>Rukungiri Municipality</v>
      </c>
      <c r="G436" s="61" t="str">
        <f t="shared" si="18"/>
        <v>Rukungiri</v>
      </c>
      <c r="H436" s="72" t="s">
        <v>2273</v>
      </c>
    </row>
    <row r="437" spans="1:8">
      <c r="A437" s="67">
        <v>1366</v>
      </c>
      <c r="B437" s="68" t="s">
        <v>47</v>
      </c>
      <c r="C437" s="68" t="s">
        <v>932</v>
      </c>
      <c r="D437" s="68" t="s">
        <v>931</v>
      </c>
      <c r="E437" s="68"/>
      <c r="F437" s="61" t="str">
        <f t="shared" ref="F437:F449" si="23">D437</f>
        <v>Endiinzi</v>
      </c>
      <c r="G437" s="61" t="str">
        <f t="shared" si="18"/>
        <v>Isingiro</v>
      </c>
      <c r="H437" s="68" t="s">
        <v>931</v>
      </c>
    </row>
    <row r="438" spans="1:8">
      <c r="A438" s="67">
        <v>1373</v>
      </c>
      <c r="B438" s="68" t="s">
        <v>47</v>
      </c>
      <c r="C438" s="68" t="s">
        <v>932</v>
      </c>
      <c r="D438" s="68" t="s">
        <v>933</v>
      </c>
      <c r="E438" s="68"/>
      <c r="F438" s="61" t="str">
        <f t="shared" si="23"/>
        <v>Endiinzi Town Council</v>
      </c>
      <c r="G438" s="61" t="str">
        <f t="shared" si="18"/>
        <v>Isingiro</v>
      </c>
      <c r="H438" s="68" t="s">
        <v>933</v>
      </c>
    </row>
    <row r="439" spans="1:8">
      <c r="A439" s="67">
        <v>1408</v>
      </c>
      <c r="B439" s="68" t="s">
        <v>680</v>
      </c>
      <c r="C439" s="68" t="s">
        <v>680</v>
      </c>
      <c r="D439" s="68" t="s">
        <v>683</v>
      </c>
      <c r="E439" s="68"/>
      <c r="F439" s="61" t="str">
        <f t="shared" si="23"/>
        <v>Engaju</v>
      </c>
      <c r="G439" s="61" t="str">
        <f t="shared" si="18"/>
        <v>Buhweju</v>
      </c>
      <c r="H439" s="68" t="s">
        <v>683</v>
      </c>
    </row>
    <row r="440" spans="1:8">
      <c r="A440" s="67">
        <v>1389</v>
      </c>
      <c r="B440" s="68" t="s">
        <v>1375</v>
      </c>
      <c r="C440" s="68" t="s">
        <v>1376</v>
      </c>
      <c r="D440" s="68" t="s">
        <v>1378</v>
      </c>
      <c r="E440" s="68"/>
      <c r="F440" s="61" t="str">
        <f t="shared" si="23"/>
        <v>Engari</v>
      </c>
      <c r="G440" s="61" t="str">
        <f t="shared" si="18"/>
        <v>Kiruhura</v>
      </c>
      <c r="H440" s="68" t="s">
        <v>1378</v>
      </c>
    </row>
    <row r="441" spans="1:8">
      <c r="A441" s="67">
        <v>112</v>
      </c>
      <c r="B441" s="68" t="s">
        <v>1865</v>
      </c>
      <c r="C441" s="68" t="s">
        <v>1866</v>
      </c>
      <c r="D441" s="68" t="s">
        <v>1868</v>
      </c>
      <c r="E441" s="68"/>
      <c r="F441" s="61" t="str">
        <f t="shared" si="23"/>
        <v>Erussi</v>
      </c>
      <c r="G441" s="61" t="str">
        <f t="shared" si="18"/>
        <v>Nebbi</v>
      </c>
      <c r="H441" s="68" t="s">
        <v>1868</v>
      </c>
    </row>
    <row r="442" spans="1:8">
      <c r="A442" s="67">
        <v>164</v>
      </c>
      <c r="B442" s="68" t="s">
        <v>551</v>
      </c>
      <c r="C442" s="68" t="s">
        <v>552</v>
      </c>
      <c r="D442" s="68" t="s">
        <v>559</v>
      </c>
      <c r="E442" s="68"/>
      <c r="F442" s="61" t="str">
        <f t="shared" si="23"/>
        <v>Etam</v>
      </c>
      <c r="G442" s="61" t="str">
        <f t="shared" si="18"/>
        <v>Amolatar</v>
      </c>
      <c r="H442" s="68" t="s">
        <v>559</v>
      </c>
    </row>
    <row r="443" spans="1:8">
      <c r="A443" s="67">
        <v>32</v>
      </c>
      <c r="B443" s="68" t="s">
        <v>606</v>
      </c>
      <c r="C443" s="68" t="s">
        <v>613</v>
      </c>
      <c r="D443" s="68" t="s">
        <v>620</v>
      </c>
      <c r="E443" s="68"/>
      <c r="F443" s="61" t="str">
        <f t="shared" si="23"/>
        <v>Ewanga</v>
      </c>
      <c r="G443" s="61" t="str">
        <f t="shared" si="18"/>
        <v>Arua</v>
      </c>
      <c r="H443" s="68" t="s">
        <v>620</v>
      </c>
    </row>
    <row r="444" spans="1:8">
      <c r="A444" s="67">
        <v>965</v>
      </c>
      <c r="B444" s="68" t="s">
        <v>1062</v>
      </c>
      <c r="C444" s="68" t="s">
        <v>911</v>
      </c>
      <c r="D444" s="68" t="s">
        <v>1066</v>
      </c>
      <c r="E444" s="68"/>
      <c r="F444" s="61" t="str">
        <f t="shared" si="23"/>
        <v>Gadumire</v>
      </c>
      <c r="G444" s="61" t="str">
        <f t="shared" si="18"/>
        <v>Kaliro</v>
      </c>
      <c r="H444" s="68" t="s">
        <v>1066</v>
      </c>
    </row>
    <row r="445" spans="1:8">
      <c r="A445" s="67">
        <v>524</v>
      </c>
      <c r="B445" s="68" t="s">
        <v>1335</v>
      </c>
      <c r="C445" s="68" t="s">
        <v>1334</v>
      </c>
      <c r="D445" s="68" t="s">
        <v>1338</v>
      </c>
      <c r="E445" s="68"/>
      <c r="F445" s="61" t="str">
        <f t="shared" si="23"/>
        <v>Galiraya</v>
      </c>
      <c r="G445" s="61" t="str">
        <f t="shared" si="18"/>
        <v>Kayunga</v>
      </c>
      <c r="H445" s="68" t="s">
        <v>1338</v>
      </c>
    </row>
    <row r="446" spans="1:8">
      <c r="A446" s="67">
        <v>742</v>
      </c>
      <c r="B446" s="68" t="s">
        <v>1283</v>
      </c>
      <c r="C446" s="68" t="s">
        <v>1284</v>
      </c>
      <c r="D446" s="68" t="s">
        <v>1287</v>
      </c>
      <c r="E446" s="68"/>
      <c r="F446" s="61" t="str">
        <f t="shared" si="23"/>
        <v>Gamogo</v>
      </c>
      <c r="G446" s="61" t="str">
        <f t="shared" si="18"/>
        <v>Kapchorwa</v>
      </c>
      <c r="H446" s="68" t="s">
        <v>1287</v>
      </c>
    </row>
    <row r="447" spans="1:8">
      <c r="A447" s="67">
        <v>641</v>
      </c>
      <c r="B447" s="68" t="s">
        <v>1476</v>
      </c>
      <c r="C447" s="68" t="s">
        <v>1356</v>
      </c>
      <c r="D447" s="68" t="s">
        <v>1480</v>
      </c>
      <c r="E447" s="68"/>
      <c r="F447" s="61" t="str">
        <f t="shared" si="23"/>
        <v>Gayaza</v>
      </c>
      <c r="G447" s="61" t="str">
        <f t="shared" si="18"/>
        <v>Kyankwanzi</v>
      </c>
      <c r="H447" s="68" t="s">
        <v>1480</v>
      </c>
    </row>
    <row r="448" spans="1:8">
      <c r="A448" s="67">
        <v>99</v>
      </c>
      <c r="B448" s="68" t="s">
        <v>1718</v>
      </c>
      <c r="C448" s="68" t="s">
        <v>1719</v>
      </c>
      <c r="D448" s="68" t="s">
        <v>1722</v>
      </c>
      <c r="E448" s="68"/>
      <c r="F448" s="61" t="str">
        <f t="shared" si="23"/>
        <v>Gimara</v>
      </c>
      <c r="G448" s="61" t="str">
        <f t="shared" si="18"/>
        <v>Moyo</v>
      </c>
      <c r="H448" s="68" t="s">
        <v>1722</v>
      </c>
    </row>
    <row r="449" spans="1:8">
      <c r="A449" s="67">
        <v>806</v>
      </c>
      <c r="B449" s="68" t="s">
        <v>1966</v>
      </c>
      <c r="C449" s="68" t="s">
        <v>1965</v>
      </c>
      <c r="D449" s="68" t="s">
        <v>1970</v>
      </c>
      <c r="E449" s="68"/>
      <c r="F449" s="61" t="str">
        <f t="shared" si="23"/>
        <v>Gogonyo</v>
      </c>
      <c r="G449" s="61" t="str">
        <f t="shared" si="18"/>
        <v>Pallisa</v>
      </c>
      <c r="H449" s="68" t="s">
        <v>1970</v>
      </c>
    </row>
    <row r="450" spans="1:8" ht="25.5">
      <c r="A450" s="67">
        <v>486</v>
      </c>
      <c r="B450" s="68" t="s">
        <v>1761</v>
      </c>
      <c r="C450" s="69" t="s">
        <v>1768</v>
      </c>
      <c r="D450" s="68" t="s">
        <v>2274</v>
      </c>
      <c r="E450" s="68"/>
      <c r="F450" s="62" t="str">
        <f>VLOOKUP(C450,[2]Municipalities!$C$9:$F$1522,4,FALSE)</f>
        <v>Mukono Municipality</v>
      </c>
      <c r="G450" s="61" t="str">
        <f t="shared" si="18"/>
        <v>Mukono</v>
      </c>
      <c r="H450" s="68" t="s">
        <v>2274</v>
      </c>
    </row>
    <row r="451" spans="1:8" ht="25.5">
      <c r="A451" s="67">
        <v>556</v>
      </c>
      <c r="B451" s="68" t="s">
        <v>2117</v>
      </c>
      <c r="C451" s="69" t="s">
        <v>2122</v>
      </c>
      <c r="D451" s="68" t="s">
        <v>2275</v>
      </c>
      <c r="E451" s="68"/>
      <c r="F451" s="62" t="s">
        <v>2131</v>
      </c>
      <c r="G451" s="61" t="str">
        <f t="shared" si="18"/>
        <v>Wakiso</v>
      </c>
      <c r="H451" s="68" t="s">
        <v>2275</v>
      </c>
    </row>
    <row r="452" spans="1:8">
      <c r="A452" s="67">
        <v>613</v>
      </c>
      <c r="B452" s="68" t="s">
        <v>826</v>
      </c>
      <c r="C452" s="68" t="s">
        <v>826</v>
      </c>
      <c r="D452" s="68" t="s">
        <v>828</v>
      </c>
      <c r="E452" s="68"/>
      <c r="F452" s="61" t="str">
        <f t="shared" ref="F452:F515" si="24">D452</f>
        <v>Gombe Town Council</v>
      </c>
      <c r="G452" s="61" t="str">
        <f t="shared" si="18"/>
        <v>Butambala</v>
      </c>
      <c r="H452" s="68" t="s">
        <v>828</v>
      </c>
    </row>
    <row r="453" spans="1:8">
      <c r="A453" s="67">
        <v>814</v>
      </c>
      <c r="B453" s="68" t="s">
        <v>2077</v>
      </c>
      <c r="C453" s="68" t="s">
        <v>2077</v>
      </c>
      <c r="D453" s="68" t="s">
        <v>2079</v>
      </c>
      <c r="E453" s="68"/>
      <c r="F453" s="61" t="str">
        <f t="shared" si="24"/>
        <v>Gweri</v>
      </c>
      <c r="G453" s="61" t="str">
        <f t="shared" si="18"/>
        <v>Soroti</v>
      </c>
      <c r="H453" s="68" t="s">
        <v>2079</v>
      </c>
    </row>
    <row r="454" spans="1:8">
      <c r="A454" s="67">
        <v>1164</v>
      </c>
      <c r="B454" s="68" t="s">
        <v>994</v>
      </c>
      <c r="C454" s="68" t="s">
        <v>995</v>
      </c>
      <c r="D454" s="68" t="s">
        <v>998</v>
      </c>
      <c r="E454" s="68"/>
      <c r="F454" s="61" t="str">
        <f t="shared" si="24"/>
        <v>Hakibaale</v>
      </c>
      <c r="G454" s="61" t="str">
        <f t="shared" si="18"/>
        <v>Kabarole</v>
      </c>
      <c r="H454" s="68" t="s">
        <v>998</v>
      </c>
    </row>
    <row r="455" spans="1:8">
      <c r="A455" s="67">
        <v>1508</v>
      </c>
      <c r="B455" s="68" t="s">
        <v>1990</v>
      </c>
      <c r="C455" s="68" t="s">
        <v>1990</v>
      </c>
      <c r="D455" s="68" t="s">
        <v>1992</v>
      </c>
      <c r="E455" s="68"/>
      <c r="F455" s="61" t="str">
        <f t="shared" si="24"/>
        <v>Hamurwa</v>
      </c>
      <c r="G455" s="61" t="str">
        <f t="shared" si="18"/>
        <v>Rubanda</v>
      </c>
      <c r="H455" s="68" t="s">
        <v>1992</v>
      </c>
    </row>
    <row r="456" spans="1:8">
      <c r="A456" s="67">
        <v>1509</v>
      </c>
      <c r="B456" s="68" t="s">
        <v>1990</v>
      </c>
      <c r="C456" s="68" t="s">
        <v>1990</v>
      </c>
      <c r="D456" s="68" t="s">
        <v>1993</v>
      </c>
      <c r="E456" s="68"/>
      <c r="F456" s="61" t="str">
        <f t="shared" si="24"/>
        <v>Hamurwa Town Council</v>
      </c>
      <c r="G456" s="61" t="str">
        <f t="shared" si="18"/>
        <v>Rubanda</v>
      </c>
      <c r="H456" s="68" t="s">
        <v>1993</v>
      </c>
    </row>
    <row r="457" spans="1:8">
      <c r="A457" s="67">
        <v>1421</v>
      </c>
      <c r="B457" s="68" t="s">
        <v>1488</v>
      </c>
      <c r="C457" s="68" t="s">
        <v>1489</v>
      </c>
      <c r="D457" s="68" t="s">
        <v>1487</v>
      </c>
      <c r="E457" s="68"/>
      <c r="F457" s="61" t="str">
        <f t="shared" si="24"/>
        <v>Hapuuyo</v>
      </c>
      <c r="G457" s="61" t="str">
        <f t="shared" si="18"/>
        <v>Kyegegwa</v>
      </c>
      <c r="H457" s="68" t="s">
        <v>1487</v>
      </c>
    </row>
    <row r="458" spans="1:8">
      <c r="A458" s="67">
        <v>1103</v>
      </c>
      <c r="B458" s="68" t="s">
        <v>750</v>
      </c>
      <c r="C458" s="68" t="s">
        <v>754</v>
      </c>
      <c r="D458" s="68" t="s">
        <v>759</v>
      </c>
      <c r="E458" s="68"/>
      <c r="F458" s="61" t="str">
        <f t="shared" si="24"/>
        <v>Harugale</v>
      </c>
      <c r="G458" s="61" t="str">
        <f t="shared" ref="G458:G521" si="25">B458</f>
        <v>Bundibugyo</v>
      </c>
      <c r="H458" s="68" t="s">
        <v>759</v>
      </c>
    </row>
    <row r="459" spans="1:8">
      <c r="A459" s="67">
        <v>1195</v>
      </c>
      <c r="B459" s="68" t="s">
        <v>36</v>
      </c>
      <c r="C459" s="68" t="s">
        <v>1297</v>
      </c>
      <c r="D459" s="68" t="s">
        <v>1300</v>
      </c>
      <c r="E459" s="68"/>
      <c r="F459" s="61" t="str">
        <f t="shared" si="24"/>
        <v>Hima Town Council</v>
      </c>
      <c r="G459" s="61" t="str">
        <f t="shared" si="25"/>
        <v>Kasese</v>
      </c>
      <c r="H459" s="68" t="s">
        <v>1300</v>
      </c>
    </row>
    <row r="460" spans="1:8">
      <c r="A460" s="67">
        <v>956</v>
      </c>
      <c r="B460" s="68" t="s">
        <v>813</v>
      </c>
      <c r="C460" s="68" t="s">
        <v>814</v>
      </c>
      <c r="D460" s="68" t="s">
        <v>820</v>
      </c>
      <c r="E460" s="68"/>
      <c r="F460" s="61" t="str">
        <f t="shared" si="24"/>
        <v>Himutu</v>
      </c>
      <c r="G460" s="61" t="str">
        <f t="shared" si="25"/>
        <v>Butaleja</v>
      </c>
      <c r="H460" s="68" t="s">
        <v>820</v>
      </c>
    </row>
    <row r="461" spans="1:8">
      <c r="A461" s="67">
        <v>1127</v>
      </c>
      <c r="B461" s="68" t="s">
        <v>38</v>
      </c>
      <c r="C461" s="68" t="s">
        <v>785</v>
      </c>
      <c r="D461" s="68" t="s">
        <v>788</v>
      </c>
      <c r="E461" s="68"/>
      <c r="F461" s="61" t="str">
        <f t="shared" si="24"/>
        <v>Ibaare</v>
      </c>
      <c r="G461" s="61" t="str">
        <f t="shared" si="25"/>
        <v>Bushenyi</v>
      </c>
      <c r="H461" s="68" t="s">
        <v>788</v>
      </c>
    </row>
    <row r="462" spans="1:8">
      <c r="A462" s="67">
        <v>19</v>
      </c>
      <c r="B462" s="68" t="s">
        <v>592</v>
      </c>
      <c r="C462" s="68" t="s">
        <v>597</v>
      </c>
      <c r="D462" s="68" t="s">
        <v>602</v>
      </c>
      <c r="E462" s="68"/>
      <c r="F462" s="61" t="str">
        <f t="shared" si="24"/>
        <v>Ibuje</v>
      </c>
      <c r="G462" s="61" t="str">
        <f t="shared" si="25"/>
        <v>Apac</v>
      </c>
      <c r="H462" s="68" t="s">
        <v>602</v>
      </c>
    </row>
    <row r="463" spans="1:8">
      <c r="A463" s="67">
        <v>699</v>
      </c>
      <c r="B463" s="68" t="s">
        <v>912</v>
      </c>
      <c r="C463" s="68" t="s">
        <v>915</v>
      </c>
      <c r="D463" s="68" t="s">
        <v>917</v>
      </c>
      <c r="E463" s="68"/>
      <c r="F463" s="61" t="str">
        <f t="shared" si="24"/>
        <v>Ibulanku</v>
      </c>
      <c r="G463" s="61" t="str">
        <f t="shared" si="25"/>
        <v>Iganga</v>
      </c>
      <c r="H463" s="68" t="s">
        <v>917</v>
      </c>
    </row>
    <row r="464" spans="1:8">
      <c r="A464" s="67">
        <v>219</v>
      </c>
      <c r="B464" s="68" t="s">
        <v>1933</v>
      </c>
      <c r="C464" s="68" t="s">
        <v>1933</v>
      </c>
      <c r="D464" s="68" t="s">
        <v>1937</v>
      </c>
      <c r="E464" s="68"/>
      <c r="F464" s="61" t="str">
        <f t="shared" si="24"/>
        <v>Iceme</v>
      </c>
      <c r="G464" s="61" t="str">
        <f t="shared" si="25"/>
        <v>Oyam</v>
      </c>
      <c r="H464" s="68" t="s">
        <v>1937</v>
      </c>
    </row>
    <row r="465" spans="1:8">
      <c r="A465" s="67">
        <v>700</v>
      </c>
      <c r="B465" s="68" t="s">
        <v>912</v>
      </c>
      <c r="C465" s="68" t="s">
        <v>915</v>
      </c>
      <c r="D465" s="68" t="s">
        <v>920</v>
      </c>
      <c r="E465" s="68"/>
      <c r="F465" s="61" t="str">
        <f t="shared" si="24"/>
        <v>Igombe</v>
      </c>
      <c r="G465" s="61" t="str">
        <f t="shared" si="25"/>
        <v>Iganga</v>
      </c>
      <c r="H465" s="68" t="s">
        <v>920</v>
      </c>
    </row>
    <row r="466" spans="1:8">
      <c r="A466" s="67">
        <v>1353</v>
      </c>
      <c r="B466" s="68" t="s">
        <v>43</v>
      </c>
      <c r="C466" s="68" t="s">
        <v>43</v>
      </c>
      <c r="D466" s="68" t="s">
        <v>900</v>
      </c>
      <c r="E466" s="68"/>
      <c r="F466" s="61" t="str">
        <f t="shared" si="24"/>
        <v>Igorora Town Council</v>
      </c>
      <c r="G466" s="61" t="str">
        <f t="shared" si="25"/>
        <v>Ibanda</v>
      </c>
      <c r="H466" s="68" t="s">
        <v>900</v>
      </c>
    </row>
    <row r="467" spans="1:8">
      <c r="A467" s="67">
        <v>1179</v>
      </c>
      <c r="B467" s="68" t="s">
        <v>36</v>
      </c>
      <c r="C467" s="68" t="s">
        <v>753</v>
      </c>
      <c r="D467" s="68" t="s">
        <v>1301</v>
      </c>
      <c r="E467" s="68"/>
      <c r="F467" s="61" t="str">
        <f t="shared" si="24"/>
        <v>Ihandiro</v>
      </c>
      <c r="G467" s="61" t="str">
        <f t="shared" si="25"/>
        <v>Kasese</v>
      </c>
      <c r="H467" s="68" t="s">
        <v>1301</v>
      </c>
    </row>
    <row r="468" spans="1:8">
      <c r="A468" s="67">
        <v>1262</v>
      </c>
      <c r="B468" s="68" t="s">
        <v>46</v>
      </c>
      <c r="C468" s="68" t="s">
        <v>1891</v>
      </c>
      <c r="D468" s="68" t="s">
        <v>1892</v>
      </c>
      <c r="E468" s="68"/>
      <c r="F468" s="61" t="str">
        <f t="shared" si="24"/>
        <v>Ihunga</v>
      </c>
      <c r="G468" s="61" t="str">
        <f t="shared" si="25"/>
        <v>Ntungamo</v>
      </c>
      <c r="H468" s="68" t="s">
        <v>1892</v>
      </c>
    </row>
    <row r="469" spans="1:8">
      <c r="A469" s="67">
        <v>910</v>
      </c>
      <c r="B469" s="68" t="s">
        <v>636</v>
      </c>
      <c r="C469" s="68" t="s">
        <v>638</v>
      </c>
      <c r="D469" s="68" t="s">
        <v>638</v>
      </c>
      <c r="E469" s="68"/>
      <c r="F469" s="61" t="str">
        <f t="shared" si="24"/>
        <v>Iki-Iki</v>
      </c>
      <c r="G469" s="61" t="str">
        <f t="shared" si="25"/>
        <v>Budaka</v>
      </c>
      <c r="H469" s="68" t="s">
        <v>638</v>
      </c>
    </row>
    <row r="470" spans="1:8">
      <c r="A470" s="67">
        <v>1510</v>
      </c>
      <c r="B470" s="68" t="s">
        <v>1990</v>
      </c>
      <c r="C470" s="68" t="s">
        <v>1990</v>
      </c>
      <c r="D470" s="68" t="s">
        <v>1994</v>
      </c>
      <c r="E470" s="68"/>
      <c r="F470" s="61" t="str">
        <f t="shared" si="24"/>
        <v>Ikumba</v>
      </c>
      <c r="G470" s="61" t="str">
        <f t="shared" si="25"/>
        <v>Rubanda</v>
      </c>
      <c r="H470" s="68" t="s">
        <v>1994</v>
      </c>
    </row>
    <row r="471" spans="1:8">
      <c r="A471" s="67">
        <v>1049</v>
      </c>
      <c r="B471" s="68" t="s">
        <v>1546</v>
      </c>
      <c r="C471" s="68" t="s">
        <v>1546</v>
      </c>
      <c r="D471" s="68" t="s">
        <v>1549</v>
      </c>
      <c r="E471" s="68"/>
      <c r="F471" s="61" t="str">
        <f t="shared" si="24"/>
        <v>Ikumbya</v>
      </c>
      <c r="G471" s="61" t="str">
        <f t="shared" si="25"/>
        <v>Luuka</v>
      </c>
      <c r="H471" s="68" t="s">
        <v>1549</v>
      </c>
    </row>
    <row r="472" spans="1:8">
      <c r="A472" s="67">
        <v>856</v>
      </c>
      <c r="B472" s="68" t="s">
        <v>1630</v>
      </c>
      <c r="C472" s="68" t="s">
        <v>1631</v>
      </c>
      <c r="D472" s="68" t="s">
        <v>1636</v>
      </c>
      <c r="E472" s="68"/>
      <c r="F472" s="61" t="str">
        <f t="shared" si="24"/>
        <v>Imanyiro</v>
      </c>
      <c r="G472" s="61" t="str">
        <f t="shared" si="25"/>
        <v>Mayuge</v>
      </c>
      <c r="H472" s="68" t="s">
        <v>1636</v>
      </c>
    </row>
    <row r="473" spans="1:8" ht="25.5">
      <c r="A473" s="67">
        <v>793</v>
      </c>
      <c r="B473" s="70" t="s">
        <v>1646</v>
      </c>
      <c r="C473" s="71" t="s">
        <v>1662</v>
      </c>
      <c r="D473" s="70" t="s">
        <v>2276</v>
      </c>
      <c r="E473" s="70"/>
      <c r="F473" s="62" t="str">
        <f>VLOOKUP(C473,[2]Municipalities!$C$9:$F$1522,4,FALSE)</f>
        <v>Mbale Municipality</v>
      </c>
      <c r="G473" s="61" t="str">
        <f t="shared" si="25"/>
        <v>Mbale</v>
      </c>
      <c r="H473" s="70" t="s">
        <v>2276</v>
      </c>
    </row>
    <row r="474" spans="1:8">
      <c r="A474" s="67">
        <v>15</v>
      </c>
      <c r="B474" s="68" t="s">
        <v>592</v>
      </c>
      <c r="C474" s="68" t="s">
        <v>593</v>
      </c>
      <c r="D474" s="68" t="s">
        <v>603</v>
      </c>
      <c r="E474" s="68"/>
      <c r="F474" s="61" t="str">
        <f t="shared" si="24"/>
        <v>Inomo</v>
      </c>
      <c r="G474" s="61" t="str">
        <f t="shared" si="25"/>
        <v>Apac</v>
      </c>
      <c r="H474" s="68" t="s">
        <v>603</v>
      </c>
    </row>
    <row r="475" spans="1:8">
      <c r="A475" s="67">
        <v>274</v>
      </c>
      <c r="B475" s="68" t="s">
        <v>1855</v>
      </c>
      <c r="C475" s="68" t="s">
        <v>1856</v>
      </c>
      <c r="D475" s="68" t="s">
        <v>1854</v>
      </c>
      <c r="E475" s="68"/>
      <c r="F475" s="61" t="str">
        <f t="shared" si="24"/>
        <v>Iriiri</v>
      </c>
      <c r="G475" s="61" t="str">
        <f t="shared" si="25"/>
        <v>Napak</v>
      </c>
      <c r="H475" s="68" t="s">
        <v>1854</v>
      </c>
    </row>
    <row r="476" spans="1:8">
      <c r="A476" s="67">
        <v>1050</v>
      </c>
      <c r="B476" s="68" t="s">
        <v>1546</v>
      </c>
      <c r="C476" s="68" t="s">
        <v>1546</v>
      </c>
      <c r="D476" s="68" t="s">
        <v>1550</v>
      </c>
      <c r="E476" s="68"/>
      <c r="F476" s="61" t="str">
        <f t="shared" si="24"/>
        <v>Irongo</v>
      </c>
      <c r="G476" s="61" t="str">
        <f t="shared" si="25"/>
        <v>Luuka</v>
      </c>
      <c r="H476" s="68" t="s">
        <v>1550</v>
      </c>
    </row>
    <row r="477" spans="1:8">
      <c r="A477" s="67">
        <v>1180</v>
      </c>
      <c r="B477" s="68" t="s">
        <v>36</v>
      </c>
      <c r="C477" s="68" t="s">
        <v>753</v>
      </c>
      <c r="D477" s="68" t="s">
        <v>1302</v>
      </c>
      <c r="E477" s="68"/>
      <c r="F477" s="61" t="str">
        <f t="shared" si="24"/>
        <v>Isango</v>
      </c>
      <c r="G477" s="61" t="str">
        <f t="shared" si="25"/>
        <v>Kasese</v>
      </c>
      <c r="H477" s="68" t="s">
        <v>1302</v>
      </c>
    </row>
    <row r="478" spans="1:8" ht="25.5">
      <c r="A478" s="67">
        <v>1123</v>
      </c>
      <c r="B478" s="68" t="s">
        <v>38</v>
      </c>
      <c r="C478" s="69" t="s">
        <v>787</v>
      </c>
      <c r="D478" s="68" t="s">
        <v>2277</v>
      </c>
      <c r="E478" s="68"/>
      <c r="F478" s="62" t="str">
        <f>VLOOKUP(C478,[2]Municipalities!$C$9:$F$1522,4,FALSE)</f>
        <v>Bushenyi-Ishaka Municipality</v>
      </c>
      <c r="G478" s="61" t="str">
        <f t="shared" si="25"/>
        <v>Bushenyi</v>
      </c>
      <c r="H478" s="68" t="s">
        <v>2277</v>
      </c>
    </row>
    <row r="479" spans="1:8">
      <c r="A479" s="67">
        <v>1354</v>
      </c>
      <c r="B479" s="68" t="s">
        <v>43</v>
      </c>
      <c r="C479" s="68" t="s">
        <v>43</v>
      </c>
      <c r="D479" s="68" t="s">
        <v>901</v>
      </c>
      <c r="E479" s="68"/>
      <c r="F479" s="61" t="str">
        <f t="shared" si="24"/>
        <v>Ishongororo</v>
      </c>
      <c r="G479" s="61" t="str">
        <f t="shared" si="25"/>
        <v>Ibanda</v>
      </c>
      <c r="H479" s="68" t="s">
        <v>901</v>
      </c>
    </row>
    <row r="480" spans="1:8">
      <c r="A480" s="67">
        <v>1355</v>
      </c>
      <c r="B480" s="68" t="s">
        <v>43</v>
      </c>
      <c r="C480" s="68" t="s">
        <v>43</v>
      </c>
      <c r="D480" s="68" t="s">
        <v>902</v>
      </c>
      <c r="E480" s="68"/>
      <c r="F480" s="61" t="str">
        <f t="shared" si="24"/>
        <v>Ishongororo Town Council</v>
      </c>
      <c r="G480" s="61" t="str">
        <f t="shared" si="25"/>
        <v>Ibanda</v>
      </c>
      <c r="H480" s="68" t="s">
        <v>902</v>
      </c>
    </row>
    <row r="481" spans="1:8">
      <c r="A481" s="67">
        <v>1376</v>
      </c>
      <c r="B481" s="68" t="s">
        <v>47</v>
      </c>
      <c r="C481" s="68" t="s">
        <v>47</v>
      </c>
      <c r="D481" s="68" t="s">
        <v>934</v>
      </c>
      <c r="E481" s="68"/>
      <c r="F481" s="61" t="str">
        <f t="shared" si="24"/>
        <v>Isingiro Town Council</v>
      </c>
      <c r="G481" s="61" t="str">
        <f t="shared" si="25"/>
        <v>Isingiro</v>
      </c>
      <c r="H481" s="68" t="s">
        <v>934</v>
      </c>
    </row>
    <row r="482" spans="1:8">
      <c r="A482" s="67">
        <v>6</v>
      </c>
      <c r="B482" s="68" t="s">
        <v>511</v>
      </c>
      <c r="C482" s="68" t="s">
        <v>512</v>
      </c>
      <c r="D482" s="68" t="s">
        <v>517</v>
      </c>
      <c r="E482" s="68"/>
      <c r="F482" s="61" t="str">
        <f t="shared" si="24"/>
        <v>Itirikwa</v>
      </c>
      <c r="G482" s="61" t="str">
        <f t="shared" si="25"/>
        <v>Adjumani</v>
      </c>
      <c r="H482" s="68" t="s">
        <v>517</v>
      </c>
    </row>
    <row r="483" spans="1:8">
      <c r="A483" s="67">
        <v>1270</v>
      </c>
      <c r="B483" s="68" t="s">
        <v>46</v>
      </c>
      <c r="C483" s="68" t="s">
        <v>1894</v>
      </c>
      <c r="D483" s="68" t="s">
        <v>1893</v>
      </c>
      <c r="E483" s="68"/>
      <c r="F483" s="61" t="str">
        <f t="shared" si="24"/>
        <v>Itojo</v>
      </c>
      <c r="G483" s="61" t="str">
        <f t="shared" si="25"/>
        <v>Ntungamo</v>
      </c>
      <c r="H483" s="68" t="s">
        <v>1893</v>
      </c>
    </row>
    <row r="484" spans="1:8">
      <c r="A484" s="67">
        <v>100</v>
      </c>
      <c r="B484" s="68" t="s">
        <v>1718</v>
      </c>
      <c r="C484" s="68" t="s">
        <v>1719</v>
      </c>
      <c r="D484" s="68" t="s">
        <v>1723</v>
      </c>
      <c r="E484" s="68"/>
      <c r="F484" s="61" t="str">
        <f t="shared" si="24"/>
        <v>Itula</v>
      </c>
      <c r="G484" s="61" t="str">
        <f t="shared" si="25"/>
        <v>Moyo</v>
      </c>
      <c r="H484" s="68" t="s">
        <v>1723</v>
      </c>
    </row>
    <row r="485" spans="1:8">
      <c r="A485" s="67">
        <v>991</v>
      </c>
      <c r="B485" s="68" t="s">
        <v>1846</v>
      </c>
      <c r="C485" s="68" t="s">
        <v>1847</v>
      </c>
      <c r="D485" s="68" t="s">
        <v>1848</v>
      </c>
      <c r="E485" s="68"/>
      <c r="F485" s="61" t="str">
        <f t="shared" si="24"/>
        <v>Ivukula</v>
      </c>
      <c r="G485" s="61" t="str">
        <f t="shared" si="25"/>
        <v>Namutumba</v>
      </c>
      <c r="H485" s="68" t="s">
        <v>1848</v>
      </c>
    </row>
    <row r="486" spans="1:8">
      <c r="A486" s="67">
        <v>676</v>
      </c>
      <c r="B486" s="68" t="s">
        <v>667</v>
      </c>
      <c r="C486" s="68" t="s">
        <v>668</v>
      </c>
      <c r="D486" s="68" t="s">
        <v>674</v>
      </c>
      <c r="E486" s="68"/>
      <c r="F486" s="61" t="str">
        <f t="shared" si="24"/>
        <v>Iwemba</v>
      </c>
      <c r="G486" s="61" t="str">
        <f t="shared" si="25"/>
        <v>Bugiri</v>
      </c>
      <c r="H486" s="68" t="s">
        <v>674</v>
      </c>
    </row>
    <row r="487" spans="1:8">
      <c r="A487" s="67">
        <v>827</v>
      </c>
      <c r="B487" s="68" t="s">
        <v>2095</v>
      </c>
      <c r="C487" s="68" t="s">
        <v>2096</v>
      </c>
      <c r="D487" s="68" t="s">
        <v>2094</v>
      </c>
      <c r="E487" s="68"/>
      <c r="F487" s="61" t="str">
        <f t="shared" si="24"/>
        <v>Iyolwa</v>
      </c>
      <c r="G487" s="61" t="str">
        <f t="shared" si="25"/>
        <v>Tororo</v>
      </c>
      <c r="H487" s="68" t="s">
        <v>2094</v>
      </c>
    </row>
    <row r="488" spans="1:8">
      <c r="A488" s="67">
        <v>857</v>
      </c>
      <c r="B488" s="68" t="s">
        <v>1630</v>
      </c>
      <c r="C488" s="68" t="s">
        <v>1631</v>
      </c>
      <c r="D488" s="68" t="s">
        <v>1637</v>
      </c>
      <c r="E488" s="68"/>
      <c r="F488" s="61" t="str">
        <f t="shared" si="24"/>
        <v>Jaguzi</v>
      </c>
      <c r="G488" s="61" t="str">
        <f t="shared" si="25"/>
        <v>Mayuge</v>
      </c>
      <c r="H488" s="68" t="s">
        <v>1637</v>
      </c>
    </row>
    <row r="489" spans="1:8">
      <c r="A489" s="67">
        <v>297</v>
      </c>
      <c r="B489" s="68" t="s">
        <v>2198</v>
      </c>
      <c r="C489" s="68" t="s">
        <v>2199</v>
      </c>
      <c r="D489" s="68" t="s">
        <v>2201</v>
      </c>
      <c r="E489" s="68"/>
      <c r="F489" s="61" t="str">
        <f t="shared" si="24"/>
        <v>Jangokoro</v>
      </c>
      <c r="G489" s="61" t="str">
        <f t="shared" si="25"/>
        <v>Zombo</v>
      </c>
      <c r="H489" s="68" t="s">
        <v>2201</v>
      </c>
    </row>
    <row r="490" spans="1:8">
      <c r="A490" s="67">
        <v>184</v>
      </c>
      <c r="B490" s="68" t="s">
        <v>965</v>
      </c>
      <c r="C490" s="68" t="s">
        <v>966</v>
      </c>
      <c r="D490" s="68" t="s">
        <v>964</v>
      </c>
      <c r="E490" s="68"/>
      <c r="F490" s="61" t="str">
        <f t="shared" si="24"/>
        <v>Kaabong East</v>
      </c>
      <c r="G490" s="61" t="str">
        <f t="shared" si="25"/>
        <v>Kaabong</v>
      </c>
      <c r="H490" s="68" t="s">
        <v>964</v>
      </c>
    </row>
    <row r="491" spans="1:8">
      <c r="A491" s="67">
        <v>185</v>
      </c>
      <c r="B491" s="68" t="s">
        <v>965</v>
      </c>
      <c r="C491" s="68" t="s">
        <v>966</v>
      </c>
      <c r="D491" s="68" t="s">
        <v>2278</v>
      </c>
      <c r="E491" s="68"/>
      <c r="F491" s="61" t="str">
        <f t="shared" si="24"/>
        <v>Kaabong Town Council</v>
      </c>
      <c r="G491" s="61" t="str">
        <f t="shared" si="25"/>
        <v>Kaabong</v>
      </c>
      <c r="H491" s="68" t="s">
        <v>2278</v>
      </c>
    </row>
    <row r="492" spans="1:8">
      <c r="A492" s="67">
        <v>186</v>
      </c>
      <c r="B492" s="68" t="s">
        <v>965</v>
      </c>
      <c r="C492" s="68" t="s">
        <v>966</v>
      </c>
      <c r="D492" s="68" t="s">
        <v>968</v>
      </c>
      <c r="E492" s="68"/>
      <c r="F492" s="61" t="str">
        <f t="shared" si="24"/>
        <v>Kaabong West</v>
      </c>
      <c r="G492" s="61" t="str">
        <f t="shared" si="25"/>
        <v>Kaabong</v>
      </c>
      <c r="H492" s="68" t="s">
        <v>968</v>
      </c>
    </row>
    <row r="493" spans="1:8">
      <c r="A493" s="67">
        <v>981</v>
      </c>
      <c r="B493" s="68" t="s">
        <v>1583</v>
      </c>
      <c r="C493" s="68" t="s">
        <v>1584</v>
      </c>
      <c r="D493" s="68" t="s">
        <v>1594</v>
      </c>
      <c r="E493" s="68"/>
      <c r="F493" s="61" t="str">
        <f t="shared" si="24"/>
        <v>Kaato</v>
      </c>
      <c r="G493" s="61" t="str">
        <f t="shared" si="25"/>
        <v>Manafwa</v>
      </c>
      <c r="H493" s="68" t="s">
        <v>1594</v>
      </c>
    </row>
    <row r="494" spans="1:8">
      <c r="A494" s="67">
        <v>1479</v>
      </c>
      <c r="B494" s="68" t="s">
        <v>1022</v>
      </c>
      <c r="C494" s="68" t="s">
        <v>1023</v>
      </c>
      <c r="D494" s="68" t="s">
        <v>1025</v>
      </c>
      <c r="E494" s="68"/>
      <c r="F494" s="61" t="str">
        <f t="shared" si="24"/>
        <v>Kabamba</v>
      </c>
      <c r="G494" s="61" t="str">
        <f t="shared" si="25"/>
        <v>Kagadi</v>
      </c>
      <c r="H494" s="68" t="s">
        <v>1025</v>
      </c>
    </row>
    <row r="495" spans="1:8">
      <c r="A495" s="67">
        <v>1300</v>
      </c>
      <c r="B495" s="68" t="s">
        <v>44</v>
      </c>
      <c r="C495" s="68" t="s">
        <v>837</v>
      </c>
      <c r="D495" s="68" t="s">
        <v>1253</v>
      </c>
      <c r="E495" s="68"/>
      <c r="F495" s="61" t="str">
        <f t="shared" si="24"/>
        <v>Kabambiro</v>
      </c>
      <c r="G495" s="61" t="str">
        <f t="shared" si="25"/>
        <v>Kamwenge</v>
      </c>
      <c r="H495" s="68" t="s">
        <v>1253</v>
      </c>
    </row>
    <row r="496" spans="1:8">
      <c r="A496" s="67">
        <v>1216</v>
      </c>
      <c r="B496" s="68" t="s">
        <v>1345</v>
      </c>
      <c r="C496" s="68" t="s">
        <v>1346</v>
      </c>
      <c r="D496" s="68" t="s">
        <v>1348</v>
      </c>
      <c r="E496" s="68"/>
      <c r="F496" s="61" t="str">
        <f t="shared" si="24"/>
        <v>Kabasekende</v>
      </c>
      <c r="G496" s="61" t="str">
        <f t="shared" si="25"/>
        <v>Kibaale</v>
      </c>
      <c r="H496" s="68" t="s">
        <v>1348</v>
      </c>
    </row>
    <row r="497" spans="1:8">
      <c r="A497" s="67">
        <v>941</v>
      </c>
      <c r="B497" s="68" t="s">
        <v>709</v>
      </c>
      <c r="C497" s="68" t="s">
        <v>710</v>
      </c>
      <c r="D497" s="68" t="s">
        <v>714</v>
      </c>
      <c r="E497" s="68"/>
      <c r="F497" s="61" t="str">
        <f t="shared" si="24"/>
        <v>Kabei</v>
      </c>
      <c r="G497" s="61" t="str">
        <f t="shared" si="25"/>
        <v>Bukwo</v>
      </c>
      <c r="H497" s="68" t="s">
        <v>714</v>
      </c>
    </row>
    <row r="498" spans="1:8">
      <c r="A498" s="67">
        <v>841</v>
      </c>
      <c r="B498" s="68" t="s">
        <v>1010</v>
      </c>
      <c r="C498" s="68" t="s">
        <v>1010</v>
      </c>
      <c r="D498" s="68" t="s">
        <v>1010</v>
      </c>
      <c r="E498" s="68"/>
      <c r="F498" s="61" t="str">
        <f t="shared" si="24"/>
        <v>Kaberamaido</v>
      </c>
      <c r="G498" s="61" t="str">
        <f t="shared" si="25"/>
        <v>Kaberamaido</v>
      </c>
      <c r="H498" s="68" t="s">
        <v>1010</v>
      </c>
    </row>
    <row r="499" spans="1:8">
      <c r="A499" s="67">
        <v>842</v>
      </c>
      <c r="B499" s="68" t="s">
        <v>1010</v>
      </c>
      <c r="C499" s="68" t="s">
        <v>1010</v>
      </c>
      <c r="D499" s="68" t="s">
        <v>1016</v>
      </c>
      <c r="E499" s="68"/>
      <c r="F499" s="61" t="str">
        <f t="shared" si="24"/>
        <v>Kaberamaido Town Council</v>
      </c>
      <c r="G499" s="61" t="str">
        <f t="shared" si="25"/>
        <v>Kaberamaido</v>
      </c>
      <c r="H499" s="68" t="s">
        <v>1016</v>
      </c>
    </row>
    <row r="500" spans="1:8">
      <c r="A500" s="67">
        <v>1377</v>
      </c>
      <c r="B500" s="68" t="s">
        <v>47</v>
      </c>
      <c r="C500" s="68" t="s">
        <v>47</v>
      </c>
      <c r="D500" s="68" t="s">
        <v>935</v>
      </c>
      <c r="E500" s="68"/>
      <c r="F500" s="61" t="str">
        <f t="shared" si="24"/>
        <v>Kaberebere Town Council</v>
      </c>
      <c r="G500" s="61" t="str">
        <f t="shared" si="25"/>
        <v>Isingiro</v>
      </c>
      <c r="H500" s="68" t="s">
        <v>935</v>
      </c>
    </row>
    <row r="501" spans="1:8">
      <c r="A501" s="67">
        <v>743</v>
      </c>
      <c r="B501" s="68" t="s">
        <v>1283</v>
      </c>
      <c r="C501" s="68" t="s">
        <v>1284</v>
      </c>
      <c r="D501" s="68" t="s">
        <v>1288</v>
      </c>
      <c r="E501" s="68"/>
      <c r="F501" s="61" t="str">
        <f t="shared" si="24"/>
        <v>Kabeywa</v>
      </c>
      <c r="G501" s="61" t="str">
        <f t="shared" si="25"/>
        <v>Kapchorwa</v>
      </c>
      <c r="H501" s="68" t="s">
        <v>1288</v>
      </c>
    </row>
    <row r="502" spans="1:8">
      <c r="A502" s="67">
        <v>1378</v>
      </c>
      <c r="B502" s="68" t="s">
        <v>47</v>
      </c>
      <c r="C502" s="68" t="s">
        <v>47</v>
      </c>
      <c r="D502" s="68" t="s">
        <v>936</v>
      </c>
      <c r="E502" s="68"/>
      <c r="F502" s="61" t="str">
        <f t="shared" si="24"/>
        <v>Kabingo</v>
      </c>
      <c r="G502" s="61" t="str">
        <f t="shared" si="25"/>
        <v>Isingiro</v>
      </c>
      <c r="H502" s="68" t="s">
        <v>936</v>
      </c>
    </row>
    <row r="503" spans="1:8">
      <c r="A503" s="67">
        <v>662</v>
      </c>
      <c r="B503" s="68" t="s">
        <v>1517</v>
      </c>
      <c r="C503" s="68" t="s">
        <v>1517</v>
      </c>
      <c r="D503" s="68" t="s">
        <v>1516</v>
      </c>
      <c r="E503" s="68"/>
      <c r="F503" s="61" t="str">
        <f t="shared" si="24"/>
        <v>Kabira</v>
      </c>
      <c r="G503" s="61" t="str">
        <f t="shared" si="25"/>
        <v>Kyotera</v>
      </c>
      <c r="H503" s="68" t="s">
        <v>1516</v>
      </c>
    </row>
    <row r="504" spans="1:8">
      <c r="A504" s="67">
        <v>1431</v>
      </c>
      <c r="B504" s="68" t="s">
        <v>45</v>
      </c>
      <c r="C504" s="68" t="s">
        <v>1686</v>
      </c>
      <c r="D504" s="68" t="s">
        <v>1516</v>
      </c>
      <c r="E504" s="68"/>
      <c r="F504" s="61" t="str">
        <f t="shared" si="24"/>
        <v>Kabira</v>
      </c>
      <c r="G504" s="61" t="str">
        <f t="shared" si="25"/>
        <v>Mitooma</v>
      </c>
      <c r="H504" s="68" t="s">
        <v>1516</v>
      </c>
    </row>
    <row r="505" spans="1:8">
      <c r="A505" s="67">
        <v>444</v>
      </c>
      <c r="B505" s="68" t="s">
        <v>39</v>
      </c>
      <c r="C505" s="68" t="s">
        <v>23</v>
      </c>
      <c r="D505" s="68" t="s">
        <v>1612</v>
      </c>
      <c r="E505" s="68"/>
      <c r="F505" s="61" t="str">
        <f t="shared" si="24"/>
        <v>Kabonera</v>
      </c>
      <c r="G505" s="61" t="str">
        <f t="shared" si="25"/>
        <v>Masaka</v>
      </c>
      <c r="H505" s="68" t="s">
        <v>1612</v>
      </c>
    </row>
    <row r="506" spans="1:8">
      <c r="A506" s="67">
        <v>1516</v>
      </c>
      <c r="B506" s="68" t="s">
        <v>773</v>
      </c>
      <c r="C506" s="68" t="s">
        <v>773</v>
      </c>
      <c r="D506" s="68" t="s">
        <v>775</v>
      </c>
      <c r="E506" s="68"/>
      <c r="F506" s="61" t="str">
        <f t="shared" si="24"/>
        <v>Kabonero</v>
      </c>
      <c r="G506" s="61" t="str">
        <f t="shared" si="25"/>
        <v>Bunyangabu</v>
      </c>
      <c r="H506" s="68" t="s">
        <v>775</v>
      </c>
    </row>
    <row r="507" spans="1:8">
      <c r="A507" s="67">
        <v>626</v>
      </c>
      <c r="B507" s="68" t="s">
        <v>870</v>
      </c>
      <c r="C507" s="68" t="s">
        <v>870</v>
      </c>
      <c r="D507" s="68" t="s">
        <v>869</v>
      </c>
      <c r="E507" s="68"/>
      <c r="F507" s="61" t="str">
        <f t="shared" si="24"/>
        <v>Kabulasoke</v>
      </c>
      <c r="G507" s="61" t="str">
        <f t="shared" si="25"/>
        <v>Gomba</v>
      </c>
      <c r="H507" s="68" t="s">
        <v>869</v>
      </c>
    </row>
    <row r="508" spans="1:8">
      <c r="A508" s="67">
        <v>1379</v>
      </c>
      <c r="B508" s="68" t="s">
        <v>47</v>
      </c>
      <c r="C508" s="68" t="s">
        <v>47</v>
      </c>
      <c r="D508" s="68" t="s">
        <v>937</v>
      </c>
      <c r="E508" s="68"/>
      <c r="F508" s="61" t="str">
        <f t="shared" si="24"/>
        <v>Kabuyanda</v>
      </c>
      <c r="G508" s="61" t="str">
        <f t="shared" si="25"/>
        <v>Isingiro</v>
      </c>
      <c r="H508" s="68" t="s">
        <v>937</v>
      </c>
    </row>
    <row r="509" spans="1:8">
      <c r="A509" s="67">
        <v>1380</v>
      </c>
      <c r="B509" s="68" t="s">
        <v>47</v>
      </c>
      <c r="C509" s="68" t="s">
        <v>47</v>
      </c>
      <c r="D509" s="68" t="s">
        <v>938</v>
      </c>
      <c r="E509" s="68"/>
      <c r="F509" s="61" t="str">
        <f t="shared" si="24"/>
        <v>Kabuyanda Town Council</v>
      </c>
      <c r="G509" s="61" t="str">
        <f t="shared" si="25"/>
        <v>Isingiro</v>
      </c>
      <c r="H509" s="68" t="s">
        <v>938</v>
      </c>
    </row>
    <row r="510" spans="1:8" ht="25.5">
      <c r="A510" s="67">
        <v>1079</v>
      </c>
      <c r="B510" s="68" t="s">
        <v>832</v>
      </c>
      <c r="C510" s="68" t="s">
        <v>833</v>
      </c>
      <c r="D510" s="68" t="s">
        <v>834</v>
      </c>
      <c r="E510" s="68"/>
      <c r="F510" s="61" t="str">
        <f t="shared" si="24"/>
        <v>Kabwangasi</v>
      </c>
      <c r="G510" s="61" t="str">
        <f t="shared" si="25"/>
        <v>Butebo</v>
      </c>
      <c r="H510" s="68" t="s">
        <v>834</v>
      </c>
    </row>
    <row r="511" spans="1:8">
      <c r="A511" s="67">
        <v>1026</v>
      </c>
      <c r="B511" s="68" t="s">
        <v>1365</v>
      </c>
      <c r="C511" s="68" t="s">
        <v>1365</v>
      </c>
      <c r="D511" s="68" t="s">
        <v>1367</v>
      </c>
      <c r="E511" s="68"/>
      <c r="F511" s="61" t="str">
        <f t="shared" si="24"/>
        <v>Kabweri</v>
      </c>
      <c r="G511" s="61" t="str">
        <f t="shared" si="25"/>
        <v>Kibuku</v>
      </c>
      <c r="H511" s="68" t="s">
        <v>1367</v>
      </c>
    </row>
    <row r="512" spans="1:8">
      <c r="A512" s="67">
        <v>1422</v>
      </c>
      <c r="B512" s="68" t="s">
        <v>1488</v>
      </c>
      <c r="C512" s="68" t="s">
        <v>1489</v>
      </c>
      <c r="D512" s="68" t="s">
        <v>1490</v>
      </c>
      <c r="E512" s="68"/>
      <c r="F512" s="61" t="str">
        <f t="shared" si="24"/>
        <v>Kabweza Kyegegwa</v>
      </c>
      <c r="G512" s="61" t="str">
        <f t="shared" si="25"/>
        <v>Kyegegwa</v>
      </c>
      <c r="H512" s="68" t="s">
        <v>1490</v>
      </c>
    </row>
    <row r="513" spans="1:8" ht="25.5">
      <c r="A513" s="67">
        <v>1473</v>
      </c>
      <c r="B513" s="68" t="s">
        <v>41</v>
      </c>
      <c r="C513" s="69" t="s">
        <v>2043</v>
      </c>
      <c r="D513" s="68" t="s">
        <v>2279</v>
      </c>
      <c r="E513" s="68"/>
      <c r="F513" s="62" t="str">
        <f>VLOOKUP(C513,[2]Municipalities!$C$9:$F$1522,4,FALSE)</f>
        <v>Sheema Municipality</v>
      </c>
      <c r="G513" s="61" t="str">
        <f t="shared" si="25"/>
        <v>Sheema</v>
      </c>
      <c r="H513" s="68" t="s">
        <v>2279</v>
      </c>
    </row>
    <row r="514" spans="1:8">
      <c r="A514" s="67">
        <v>1142</v>
      </c>
      <c r="B514" s="68" t="s">
        <v>884</v>
      </c>
      <c r="C514" s="68" t="s">
        <v>885</v>
      </c>
      <c r="D514" s="68" t="s">
        <v>892</v>
      </c>
      <c r="E514" s="68"/>
      <c r="F514" s="61" t="str">
        <f t="shared" si="24"/>
        <v>Kabwoya</v>
      </c>
      <c r="G514" s="61" t="str">
        <f t="shared" si="25"/>
        <v>Hoima</v>
      </c>
      <c r="H514" s="68" t="s">
        <v>892</v>
      </c>
    </row>
    <row r="515" spans="1:8">
      <c r="A515" s="67">
        <v>508</v>
      </c>
      <c r="B515" s="68" t="s">
        <v>1978</v>
      </c>
      <c r="C515" s="68" t="s">
        <v>1521</v>
      </c>
      <c r="D515" s="68" t="s">
        <v>1980</v>
      </c>
      <c r="E515" s="68"/>
      <c r="F515" s="61" t="str">
        <f t="shared" si="24"/>
        <v>Kacheera</v>
      </c>
      <c r="G515" s="61" t="str">
        <f t="shared" si="25"/>
        <v>Rakai</v>
      </c>
      <c r="H515" s="68" t="s">
        <v>1980</v>
      </c>
    </row>
    <row r="516" spans="1:8">
      <c r="A516" s="67">
        <v>70</v>
      </c>
      <c r="B516" s="68" t="s">
        <v>1449</v>
      </c>
      <c r="C516" s="68" t="s">
        <v>1450</v>
      </c>
      <c r="D516" s="68" t="s">
        <v>1448</v>
      </c>
      <c r="E516" s="68"/>
      <c r="F516" s="61" t="str">
        <f t="shared" ref="F516:F525" si="26">D516</f>
        <v>Kacheri</v>
      </c>
      <c r="G516" s="61" t="str">
        <f t="shared" si="25"/>
        <v>Kotido</v>
      </c>
      <c r="H516" s="68" t="s">
        <v>1448</v>
      </c>
    </row>
    <row r="517" spans="1:8">
      <c r="A517" s="67">
        <v>904</v>
      </c>
      <c r="B517" s="68" t="s">
        <v>636</v>
      </c>
      <c r="C517" s="68" t="s">
        <v>636</v>
      </c>
      <c r="D517" s="68" t="s">
        <v>639</v>
      </c>
      <c r="E517" s="68"/>
      <c r="F517" s="61" t="str">
        <f t="shared" si="26"/>
        <v>Kachomo</v>
      </c>
      <c r="G517" s="61" t="str">
        <f t="shared" si="25"/>
        <v>Budaka</v>
      </c>
      <c r="H517" s="68" t="s">
        <v>639</v>
      </c>
    </row>
    <row r="518" spans="1:8">
      <c r="A518" s="67">
        <v>957</v>
      </c>
      <c r="B518" s="68" t="s">
        <v>813</v>
      </c>
      <c r="C518" s="68" t="s">
        <v>814</v>
      </c>
      <c r="D518" s="68" t="s">
        <v>821</v>
      </c>
      <c r="E518" s="68"/>
      <c r="F518" s="61" t="str">
        <f t="shared" si="26"/>
        <v>Kachonga</v>
      </c>
      <c r="G518" s="61" t="str">
        <f t="shared" si="25"/>
        <v>Butaleja</v>
      </c>
      <c r="H518" s="68" t="s">
        <v>821</v>
      </c>
    </row>
    <row r="519" spans="1:8">
      <c r="A519" s="67">
        <v>933</v>
      </c>
      <c r="B519" s="68" t="s">
        <v>697</v>
      </c>
      <c r="C519" s="68" t="s">
        <v>697</v>
      </c>
      <c r="D519" s="68" t="s">
        <v>699</v>
      </c>
      <c r="E519" s="68"/>
      <c r="F519" s="61" t="str">
        <f t="shared" si="26"/>
        <v>Kachumbala</v>
      </c>
      <c r="G519" s="61" t="str">
        <f t="shared" si="25"/>
        <v>Bukedea</v>
      </c>
      <c r="H519" s="68" t="s">
        <v>699</v>
      </c>
    </row>
    <row r="520" spans="1:8">
      <c r="A520" s="67">
        <v>1027</v>
      </c>
      <c r="B520" s="68" t="s">
        <v>1365</v>
      </c>
      <c r="C520" s="68" t="s">
        <v>1365</v>
      </c>
      <c r="D520" s="68" t="s">
        <v>1368</v>
      </c>
      <c r="E520" s="68"/>
      <c r="F520" s="61" t="str">
        <f t="shared" si="26"/>
        <v>Kadama</v>
      </c>
      <c r="G520" s="61" t="str">
        <f t="shared" si="25"/>
        <v>Kibuku</v>
      </c>
      <c r="H520" s="68" t="s">
        <v>1368</v>
      </c>
    </row>
    <row r="521" spans="1:8">
      <c r="A521" s="67">
        <v>905</v>
      </c>
      <c r="B521" s="68" t="s">
        <v>636</v>
      </c>
      <c r="C521" s="68" t="s">
        <v>636</v>
      </c>
      <c r="D521" s="68" t="s">
        <v>640</v>
      </c>
      <c r="E521" s="68"/>
      <c r="F521" s="61" t="str">
        <f t="shared" si="26"/>
        <v>Kaderuna</v>
      </c>
      <c r="G521" s="61" t="str">
        <f t="shared" si="25"/>
        <v>Budaka</v>
      </c>
      <c r="H521" s="68" t="s">
        <v>640</v>
      </c>
    </row>
    <row r="522" spans="1:8">
      <c r="A522" s="67">
        <v>1069</v>
      </c>
      <c r="B522" s="68" t="s">
        <v>2030</v>
      </c>
      <c r="C522" s="68" t="s">
        <v>2032</v>
      </c>
      <c r="D522" s="68" t="s">
        <v>2033</v>
      </c>
      <c r="E522" s="68"/>
      <c r="F522" s="61" t="str">
        <f t="shared" si="26"/>
        <v>Kadungulu</v>
      </c>
      <c r="G522" s="61" t="str">
        <f t="shared" ref="G522:G585" si="27">B522</f>
        <v>Serere</v>
      </c>
      <c r="H522" s="68" t="s">
        <v>2033</v>
      </c>
    </row>
    <row r="523" spans="1:8">
      <c r="A523" s="67">
        <v>1480</v>
      </c>
      <c r="B523" s="68" t="s">
        <v>1022</v>
      </c>
      <c r="C523" s="68" t="s">
        <v>1023</v>
      </c>
      <c r="D523" s="68" t="s">
        <v>1022</v>
      </c>
      <c r="E523" s="68"/>
      <c r="F523" s="61" t="str">
        <f t="shared" si="26"/>
        <v>Kagadi</v>
      </c>
      <c r="G523" s="61" t="str">
        <f t="shared" si="27"/>
        <v>Kagadi</v>
      </c>
      <c r="H523" s="68" t="s">
        <v>1022</v>
      </c>
    </row>
    <row r="524" spans="1:8">
      <c r="A524" s="67">
        <v>1481</v>
      </c>
      <c r="B524" s="68" t="s">
        <v>1022</v>
      </c>
      <c r="C524" s="68" t="s">
        <v>1023</v>
      </c>
      <c r="D524" s="68" t="s">
        <v>1026</v>
      </c>
      <c r="E524" s="68"/>
      <c r="F524" s="61" t="str">
        <f t="shared" si="26"/>
        <v>Kagadi Town Council</v>
      </c>
      <c r="G524" s="61" t="str">
        <f t="shared" si="27"/>
        <v>Kagadi</v>
      </c>
      <c r="H524" s="68" t="s">
        <v>1026</v>
      </c>
    </row>
    <row r="525" spans="1:8">
      <c r="A525" s="67">
        <v>509</v>
      </c>
      <c r="B525" s="68" t="s">
        <v>1978</v>
      </c>
      <c r="C525" s="68" t="s">
        <v>1521</v>
      </c>
      <c r="D525" s="68" t="s">
        <v>1981</v>
      </c>
      <c r="E525" s="68"/>
      <c r="F525" s="61" t="str">
        <f t="shared" si="26"/>
        <v>Kagamba</v>
      </c>
      <c r="G525" s="61" t="str">
        <f t="shared" si="27"/>
        <v>Rakai</v>
      </c>
      <c r="H525" s="68" t="s">
        <v>1981</v>
      </c>
    </row>
    <row r="526" spans="1:8" ht="25.5">
      <c r="A526" s="67">
        <v>1365</v>
      </c>
      <c r="B526" s="70" t="s">
        <v>43</v>
      </c>
      <c r="C526" s="71" t="s">
        <v>899</v>
      </c>
      <c r="D526" s="74" t="s">
        <v>2280</v>
      </c>
      <c r="E526" s="70"/>
      <c r="F526" s="61" t="str">
        <f t="shared" ref="F526:F527" si="28">D526&amp;"-"&amp;B526</f>
        <v>Kagango Division-Ibanda</v>
      </c>
      <c r="G526" s="61" t="str">
        <f t="shared" si="27"/>
        <v>Ibanda</v>
      </c>
      <c r="H526" s="74" t="s">
        <v>2280</v>
      </c>
    </row>
    <row r="527" spans="1:8" ht="25.5">
      <c r="A527" s="67">
        <v>1474</v>
      </c>
      <c r="B527" s="70" t="s">
        <v>41</v>
      </c>
      <c r="C527" s="71" t="s">
        <v>2043</v>
      </c>
      <c r="D527" s="74" t="s">
        <v>2280</v>
      </c>
      <c r="E527" s="70"/>
      <c r="F527" s="61" t="str">
        <f t="shared" si="28"/>
        <v>Kagango Division-Sheema</v>
      </c>
      <c r="G527" s="61" t="str">
        <f t="shared" si="27"/>
        <v>Sheema</v>
      </c>
      <c r="H527" s="74" t="s">
        <v>2280</v>
      </c>
    </row>
    <row r="528" spans="1:8">
      <c r="A528" s="67">
        <v>1266</v>
      </c>
      <c r="B528" s="68" t="s">
        <v>46</v>
      </c>
      <c r="C528" s="68" t="s">
        <v>1891</v>
      </c>
      <c r="D528" s="68" t="s">
        <v>1895</v>
      </c>
      <c r="E528" s="68"/>
      <c r="F528" s="61" t="str">
        <f t="shared" ref="F528:F537" si="29">D528</f>
        <v>Kagarama Town Council</v>
      </c>
      <c r="G528" s="61" t="str">
        <f t="shared" si="27"/>
        <v>Ntungamo</v>
      </c>
      <c r="H528" s="68" t="s">
        <v>1895</v>
      </c>
    </row>
    <row r="529" spans="1:9">
      <c r="A529" s="67">
        <v>1246</v>
      </c>
      <c r="B529" s="68" t="s">
        <v>1670</v>
      </c>
      <c r="C529" s="68" t="s">
        <v>1671</v>
      </c>
      <c r="D529" s="68" t="s">
        <v>1675</v>
      </c>
      <c r="E529" s="68"/>
      <c r="F529" s="61" t="str">
        <f t="shared" si="29"/>
        <v>Kagongi</v>
      </c>
      <c r="G529" s="61" t="str">
        <f t="shared" si="27"/>
        <v>Mbarara</v>
      </c>
      <c r="H529" s="68" t="s">
        <v>1675</v>
      </c>
    </row>
    <row r="530" spans="1:9">
      <c r="A530" s="67">
        <v>1110</v>
      </c>
      <c r="B530" s="68" t="s">
        <v>750</v>
      </c>
      <c r="C530" s="68" t="s">
        <v>754</v>
      </c>
      <c r="D530" s="68" t="s">
        <v>760</v>
      </c>
      <c r="E530" s="68"/>
      <c r="F530" s="61" t="str">
        <f t="shared" si="29"/>
        <v>Kagugu</v>
      </c>
      <c r="G530" s="61" t="str">
        <f t="shared" si="27"/>
        <v>Bundibugyo</v>
      </c>
      <c r="H530" s="68" t="s">
        <v>760</v>
      </c>
    </row>
    <row r="531" spans="1:9">
      <c r="A531" s="67">
        <v>1021</v>
      </c>
      <c r="B531" s="68" t="s">
        <v>852</v>
      </c>
      <c r="C531" s="68" t="s">
        <v>853</v>
      </c>
      <c r="D531" s="68" t="s">
        <v>855</v>
      </c>
      <c r="E531" s="68"/>
      <c r="F531" s="61" t="str">
        <f t="shared" si="29"/>
        <v>Kagulu</v>
      </c>
      <c r="G531" s="61" t="str">
        <f t="shared" si="27"/>
        <v>Buyende</v>
      </c>
      <c r="H531" s="68" t="s">
        <v>855</v>
      </c>
    </row>
    <row r="532" spans="1:9">
      <c r="A532" s="67">
        <v>1028</v>
      </c>
      <c r="B532" s="68" t="s">
        <v>1365</v>
      </c>
      <c r="C532" s="68" t="s">
        <v>1365</v>
      </c>
      <c r="D532" s="68" t="s">
        <v>1369</v>
      </c>
      <c r="E532" s="68"/>
      <c r="F532" s="61" t="str">
        <f t="shared" si="29"/>
        <v>Kagumu</v>
      </c>
      <c r="G532" s="61" t="str">
        <f t="shared" si="27"/>
        <v>Kibuku</v>
      </c>
      <c r="H532" s="68" t="s">
        <v>1369</v>
      </c>
    </row>
    <row r="533" spans="1:9">
      <c r="A533" s="67">
        <v>1154</v>
      </c>
      <c r="B533" s="68" t="s">
        <v>981</v>
      </c>
      <c r="C533" s="68" t="s">
        <v>982</v>
      </c>
      <c r="D533" s="68" t="s">
        <v>985</v>
      </c>
      <c r="E533" s="68"/>
      <c r="F533" s="61" t="str">
        <f t="shared" si="29"/>
        <v>Kaharo</v>
      </c>
      <c r="G533" s="61" t="str">
        <f t="shared" si="27"/>
        <v>Kabale</v>
      </c>
      <c r="H533" s="68" t="s">
        <v>985</v>
      </c>
    </row>
    <row r="534" spans="1:9" ht="25.5">
      <c r="A534" s="67">
        <v>1147</v>
      </c>
      <c r="B534" s="68" t="s">
        <v>884</v>
      </c>
      <c r="C534" s="69" t="s">
        <v>889</v>
      </c>
      <c r="D534" s="68" t="s">
        <v>2281</v>
      </c>
      <c r="E534" s="68"/>
      <c r="F534" s="62" t="str">
        <f>VLOOKUP(C534,[2]Municipalities!$C$9:$F$1522,4,FALSE)</f>
        <v>Hoima Municipality</v>
      </c>
      <c r="G534" s="61" t="str">
        <f t="shared" si="27"/>
        <v>Hoima</v>
      </c>
      <c r="H534" s="68" t="s">
        <v>2281</v>
      </c>
    </row>
    <row r="535" spans="1:9">
      <c r="A535" s="67">
        <v>1301</v>
      </c>
      <c r="B535" s="68" t="s">
        <v>44</v>
      </c>
      <c r="C535" s="68" t="s">
        <v>837</v>
      </c>
      <c r="D535" s="68" t="s">
        <v>1254</v>
      </c>
      <c r="E535" s="68"/>
      <c r="F535" s="61" t="str">
        <f t="shared" si="29"/>
        <v>Kahunge</v>
      </c>
      <c r="G535" s="61" t="str">
        <f t="shared" si="27"/>
        <v>Kamwenge</v>
      </c>
      <c r="H535" s="68" t="s">
        <v>1254</v>
      </c>
    </row>
    <row r="536" spans="1:9">
      <c r="A536" s="67">
        <v>543</v>
      </c>
      <c r="B536" s="68" t="s">
        <v>2117</v>
      </c>
      <c r="C536" s="68" t="s">
        <v>2120</v>
      </c>
      <c r="D536" s="68" t="s">
        <v>2132</v>
      </c>
      <c r="E536" s="68"/>
      <c r="F536" s="61" t="str">
        <f t="shared" si="29"/>
        <v>Kajjansi Town Council</v>
      </c>
      <c r="G536" s="61" t="str">
        <f t="shared" si="27"/>
        <v>Wakiso</v>
      </c>
      <c r="H536" s="68" t="s">
        <v>2132</v>
      </c>
    </row>
    <row r="537" spans="1:9">
      <c r="A537" s="67">
        <v>1423</v>
      </c>
      <c r="B537" s="68" t="s">
        <v>1488</v>
      </c>
      <c r="C537" s="68" t="s">
        <v>1489</v>
      </c>
      <c r="D537" s="68" t="s">
        <v>1491</v>
      </c>
      <c r="E537" s="68"/>
      <c r="F537" s="61" t="str">
        <f t="shared" si="29"/>
        <v>Kakabara</v>
      </c>
      <c r="G537" s="61" t="str">
        <f t="shared" si="27"/>
        <v>Kyegegwa</v>
      </c>
      <c r="H537" s="68" t="s">
        <v>1491</v>
      </c>
    </row>
    <row r="538" spans="1:9">
      <c r="A538" s="67">
        <v>1367</v>
      </c>
      <c r="B538" s="68" t="s">
        <v>47</v>
      </c>
      <c r="C538" s="68" t="s">
        <v>932</v>
      </c>
      <c r="D538" s="72" t="s">
        <v>2282</v>
      </c>
      <c r="E538" s="68"/>
      <c r="F538" s="61" t="str">
        <f t="shared" ref="F538:F539" si="30">D538&amp;"-"&amp;B538</f>
        <v>Kakamba-Isingiro</v>
      </c>
      <c r="G538" s="61" t="str">
        <f t="shared" si="27"/>
        <v>Isingiro</v>
      </c>
      <c r="H538" s="72" t="s">
        <v>2282</v>
      </c>
    </row>
    <row r="539" spans="1:9" s="73" customFormat="1">
      <c r="A539" s="75">
        <v>1374</v>
      </c>
      <c r="B539" s="72" t="s">
        <v>47</v>
      </c>
      <c r="C539" s="72" t="s">
        <v>932</v>
      </c>
      <c r="D539" s="72" t="s">
        <v>2282</v>
      </c>
      <c r="E539" s="72"/>
      <c r="F539" s="73" t="str">
        <f t="shared" si="30"/>
        <v>Kakamba-Isingiro</v>
      </c>
      <c r="G539" s="61" t="str">
        <f t="shared" si="27"/>
        <v>Isingiro</v>
      </c>
      <c r="H539" s="72" t="s">
        <v>2282</v>
      </c>
      <c r="I539" s="73" t="s">
        <v>2256</v>
      </c>
    </row>
    <row r="540" spans="1:9">
      <c r="A540" s="67">
        <v>1128</v>
      </c>
      <c r="B540" s="68" t="s">
        <v>38</v>
      </c>
      <c r="C540" s="68" t="s">
        <v>785</v>
      </c>
      <c r="D540" s="68" t="s">
        <v>789</v>
      </c>
      <c r="E540" s="68"/>
      <c r="F540" s="61" t="str">
        <f t="shared" ref="F540:F591" si="31">D540</f>
        <v>Kakanju</v>
      </c>
      <c r="G540" s="61" t="str">
        <f t="shared" si="27"/>
        <v>Bushenyi</v>
      </c>
      <c r="H540" s="68" t="s">
        <v>789</v>
      </c>
    </row>
    <row r="541" spans="1:9" ht="25.5">
      <c r="A541" s="67">
        <v>1255</v>
      </c>
      <c r="B541" s="70" t="s">
        <v>1670</v>
      </c>
      <c r="C541" s="71" t="s">
        <v>1677</v>
      </c>
      <c r="D541" s="70" t="s">
        <v>2283</v>
      </c>
      <c r="E541" s="70"/>
      <c r="F541" s="62" t="str">
        <f>VLOOKUP(C541,[2]Municipalities!$C$9:$F$1522,4,FALSE)</f>
        <v>Mbarara Municipality</v>
      </c>
      <c r="G541" s="61" t="str">
        <f t="shared" si="27"/>
        <v>Mbarara</v>
      </c>
      <c r="H541" s="70" t="s">
        <v>2283</v>
      </c>
    </row>
    <row r="542" spans="1:9">
      <c r="A542" s="67">
        <v>1497</v>
      </c>
      <c r="B542" s="68" t="s">
        <v>1041</v>
      </c>
      <c r="C542" s="68" t="s">
        <v>1042</v>
      </c>
      <c r="D542" s="68" t="s">
        <v>1044</v>
      </c>
      <c r="E542" s="68"/>
      <c r="F542" s="61" t="str">
        <f t="shared" si="31"/>
        <v>Kakindo</v>
      </c>
      <c r="G542" s="61" t="str">
        <f t="shared" si="27"/>
        <v>Kakumiro</v>
      </c>
      <c r="H542" s="68" t="s">
        <v>1044</v>
      </c>
    </row>
    <row r="543" spans="1:9">
      <c r="A543" s="67">
        <v>1472</v>
      </c>
      <c r="B543" s="68" t="s">
        <v>41</v>
      </c>
      <c r="C543" s="68" t="s">
        <v>41</v>
      </c>
      <c r="D543" s="68" t="s">
        <v>2044</v>
      </c>
      <c r="E543" s="68"/>
      <c r="F543" s="61" t="str">
        <f t="shared" si="31"/>
        <v>Kakindo Town Council</v>
      </c>
      <c r="G543" s="61" t="str">
        <f t="shared" si="27"/>
        <v>Sheema</v>
      </c>
      <c r="H543" s="68" t="s">
        <v>2044</v>
      </c>
    </row>
    <row r="544" spans="1:9">
      <c r="A544" s="67">
        <v>567</v>
      </c>
      <c r="B544" s="68" t="s">
        <v>1697</v>
      </c>
      <c r="C544" s="68" t="s">
        <v>1698</v>
      </c>
      <c r="D544" s="68" t="s">
        <v>1704</v>
      </c>
      <c r="E544" s="68"/>
      <c r="F544" s="61" t="str">
        <f t="shared" si="31"/>
        <v>Kakindu</v>
      </c>
      <c r="G544" s="61" t="str">
        <f t="shared" si="27"/>
        <v>Mityana</v>
      </c>
      <c r="H544" s="68" t="s">
        <v>1704</v>
      </c>
    </row>
    <row r="545" spans="1:8">
      <c r="A545" s="67">
        <v>715</v>
      </c>
      <c r="B545" s="68" t="s">
        <v>952</v>
      </c>
      <c r="C545" s="68" t="s">
        <v>955</v>
      </c>
      <c r="D545" s="68" t="s">
        <v>962</v>
      </c>
      <c r="E545" s="68"/>
      <c r="F545" s="61" t="str">
        <f t="shared" si="31"/>
        <v>Kakira Town Council</v>
      </c>
      <c r="G545" s="61" t="str">
        <f t="shared" si="27"/>
        <v>Jinja</v>
      </c>
      <c r="H545" s="68" t="s">
        <v>962</v>
      </c>
    </row>
    <row r="546" spans="1:8">
      <c r="A546" s="67">
        <v>533</v>
      </c>
      <c r="B546" s="68" t="s">
        <v>2117</v>
      </c>
      <c r="C546" s="68" t="s">
        <v>2120</v>
      </c>
      <c r="D546" s="68" t="s">
        <v>2141</v>
      </c>
      <c r="E546" s="68"/>
      <c r="F546" s="61" t="str">
        <f t="shared" si="31"/>
        <v>Kakiri</v>
      </c>
      <c r="G546" s="61" t="str">
        <f t="shared" si="27"/>
        <v>Wakiso</v>
      </c>
      <c r="H546" s="68" t="s">
        <v>2141</v>
      </c>
    </row>
    <row r="547" spans="1:8">
      <c r="A547" s="67">
        <v>534</v>
      </c>
      <c r="B547" s="68" t="s">
        <v>2117</v>
      </c>
      <c r="C547" s="68" t="s">
        <v>2120</v>
      </c>
      <c r="D547" s="68" t="s">
        <v>2142</v>
      </c>
      <c r="E547" s="68"/>
      <c r="F547" s="61" t="str">
        <f t="shared" si="31"/>
        <v>Kakiri Town Council</v>
      </c>
      <c r="G547" s="61" t="str">
        <f t="shared" si="27"/>
        <v>Wakiso</v>
      </c>
      <c r="H547" s="68" t="s">
        <v>2142</v>
      </c>
    </row>
    <row r="548" spans="1:8" ht="25.5">
      <c r="A548" s="67">
        <v>1251</v>
      </c>
      <c r="B548" s="70" t="s">
        <v>1670</v>
      </c>
      <c r="C548" s="71" t="s">
        <v>1677</v>
      </c>
      <c r="D548" s="70" t="s">
        <v>2284</v>
      </c>
      <c r="E548" s="70"/>
      <c r="F548" s="62" t="str">
        <f>VLOOKUP(C548,[2]Municipalities!$C$9:$F$1522,4,FALSE)</f>
        <v>Mbarara Municipality</v>
      </c>
      <c r="G548" s="61" t="str">
        <f t="shared" si="27"/>
        <v>Mbarara</v>
      </c>
      <c r="H548" s="70" t="s">
        <v>2284</v>
      </c>
    </row>
    <row r="549" spans="1:8">
      <c r="A549" s="67">
        <v>122</v>
      </c>
      <c r="B549" s="68" t="s">
        <v>1779</v>
      </c>
      <c r="C549" s="68" t="s">
        <v>1780</v>
      </c>
      <c r="D549" s="68" t="s">
        <v>1778</v>
      </c>
      <c r="E549" s="68"/>
      <c r="F549" s="61" t="str">
        <f t="shared" si="31"/>
        <v>Kakomongole</v>
      </c>
      <c r="G549" s="61" t="str">
        <f t="shared" si="27"/>
        <v>Nakapiripirit</v>
      </c>
      <c r="H549" s="68" t="s">
        <v>1778</v>
      </c>
    </row>
    <row r="550" spans="1:8">
      <c r="A550" s="67">
        <v>493</v>
      </c>
      <c r="B550" s="68" t="s">
        <v>1805</v>
      </c>
      <c r="C550" s="68" t="s">
        <v>1625</v>
      </c>
      <c r="D550" s="68" t="s">
        <v>1804</v>
      </c>
      <c r="E550" s="68"/>
      <c r="F550" s="61" t="str">
        <f t="shared" si="31"/>
        <v>Kakooge</v>
      </c>
      <c r="G550" s="61" t="str">
        <f t="shared" si="27"/>
        <v>Nakasongola</v>
      </c>
      <c r="H550" s="68" t="s">
        <v>1804</v>
      </c>
    </row>
    <row r="551" spans="1:8">
      <c r="A551" s="67">
        <v>494</v>
      </c>
      <c r="B551" s="68" t="s">
        <v>1805</v>
      </c>
      <c r="C551" s="68" t="s">
        <v>1625</v>
      </c>
      <c r="D551" s="68" t="s">
        <v>1806</v>
      </c>
      <c r="E551" s="68"/>
      <c r="F551" s="61" t="str">
        <f t="shared" si="31"/>
        <v>Kakooge Town Council</v>
      </c>
      <c r="G551" s="61" t="str">
        <f t="shared" si="27"/>
        <v>Nakasongola</v>
      </c>
      <c r="H551" s="68" t="s">
        <v>1806</v>
      </c>
    </row>
    <row r="552" spans="1:8" ht="25.5">
      <c r="A552" s="67">
        <v>1080</v>
      </c>
      <c r="B552" s="70" t="s">
        <v>832</v>
      </c>
      <c r="C552" s="70" t="s">
        <v>833</v>
      </c>
      <c r="D552" s="70" t="s">
        <v>835</v>
      </c>
      <c r="E552" s="70"/>
      <c r="F552" s="61" t="str">
        <f t="shared" si="31"/>
        <v>Kakoro</v>
      </c>
      <c r="G552" s="61" t="str">
        <f t="shared" si="27"/>
        <v>Butebo</v>
      </c>
      <c r="H552" s="70" t="s">
        <v>835</v>
      </c>
    </row>
    <row r="553" spans="1:8">
      <c r="A553" s="67">
        <v>906</v>
      </c>
      <c r="B553" s="68" t="s">
        <v>636</v>
      </c>
      <c r="C553" s="68" t="s">
        <v>636</v>
      </c>
      <c r="D553" s="68" t="s">
        <v>641</v>
      </c>
      <c r="E553" s="68"/>
      <c r="F553" s="61" t="str">
        <f t="shared" si="31"/>
        <v>Kakule</v>
      </c>
      <c r="G553" s="61" t="str">
        <f t="shared" si="27"/>
        <v>Budaka</v>
      </c>
      <c r="H553" s="68" t="s">
        <v>641</v>
      </c>
    </row>
    <row r="554" spans="1:8">
      <c r="A554" s="67">
        <v>1498</v>
      </c>
      <c r="B554" s="68" t="s">
        <v>1041</v>
      </c>
      <c r="C554" s="68" t="s">
        <v>1042</v>
      </c>
      <c r="D554" s="68" t="s">
        <v>1045</v>
      </c>
      <c r="E554" s="68"/>
      <c r="F554" s="61" t="str">
        <f t="shared" si="31"/>
        <v>Kakumiro Town Council</v>
      </c>
      <c r="G554" s="61" t="str">
        <f t="shared" si="27"/>
        <v>Kakumiro</v>
      </c>
      <c r="H554" s="68" t="s">
        <v>1045</v>
      </c>
    </row>
    <row r="555" spans="1:8">
      <c r="A555" s="67">
        <v>848</v>
      </c>
      <c r="B555" s="68" t="s">
        <v>1010</v>
      </c>
      <c r="C555" s="68" t="s">
        <v>1012</v>
      </c>
      <c r="D555" s="68" t="s">
        <v>1017</v>
      </c>
      <c r="E555" s="68"/>
      <c r="F555" s="61" t="str">
        <f t="shared" si="31"/>
        <v>Kakure</v>
      </c>
      <c r="G555" s="61" t="str">
        <f t="shared" si="27"/>
        <v>Kaberamaido</v>
      </c>
      <c r="H555" s="68" t="s">
        <v>1017</v>
      </c>
    </row>
    <row r="556" spans="1:8">
      <c r="A556" s="67">
        <v>504</v>
      </c>
      <c r="B556" s="68" t="s">
        <v>1978</v>
      </c>
      <c r="C556" s="68" t="s">
        <v>1982</v>
      </c>
      <c r="D556" s="68" t="s">
        <v>1982</v>
      </c>
      <c r="E556" s="68"/>
      <c r="F556" s="61" t="str">
        <f t="shared" si="31"/>
        <v>Kakuuto</v>
      </c>
      <c r="G556" s="61" t="str">
        <f t="shared" si="27"/>
        <v>Rakai</v>
      </c>
      <c r="H556" s="68" t="s">
        <v>1982</v>
      </c>
    </row>
    <row r="557" spans="1:8">
      <c r="A557" s="67">
        <v>430</v>
      </c>
      <c r="B557" s="68" t="s">
        <v>1555</v>
      </c>
      <c r="C557" s="68" t="s">
        <v>1554</v>
      </c>
      <c r="D557" s="68" t="s">
        <v>1559</v>
      </c>
      <c r="E557" s="68"/>
      <c r="F557" s="61" t="str">
        <f t="shared" si="31"/>
        <v>Kalagala</v>
      </c>
      <c r="G557" s="61" t="str">
        <f t="shared" si="27"/>
        <v>Luwero</v>
      </c>
      <c r="H557" s="68" t="s">
        <v>1559</v>
      </c>
    </row>
    <row r="558" spans="1:8">
      <c r="A558" s="67">
        <v>849</v>
      </c>
      <c r="B558" s="68" t="s">
        <v>1010</v>
      </c>
      <c r="C558" s="68" t="s">
        <v>1012</v>
      </c>
      <c r="D558" s="68" t="s">
        <v>1012</v>
      </c>
      <c r="E558" s="68"/>
      <c r="F558" s="61" t="str">
        <f t="shared" si="31"/>
        <v>Kalaki</v>
      </c>
      <c r="G558" s="61" t="str">
        <f t="shared" si="27"/>
        <v>Kaberamaido</v>
      </c>
      <c r="H558" s="68" t="s">
        <v>1012</v>
      </c>
    </row>
    <row r="559" spans="1:8">
      <c r="A559" s="67">
        <v>614</v>
      </c>
      <c r="B559" s="68" t="s">
        <v>826</v>
      </c>
      <c r="C559" s="68" t="s">
        <v>826</v>
      </c>
      <c r="D559" s="68" t="s">
        <v>829</v>
      </c>
      <c r="E559" s="68"/>
      <c r="F559" s="61" t="str">
        <f t="shared" si="31"/>
        <v>Kalamba</v>
      </c>
      <c r="G559" s="61" t="str">
        <f t="shared" si="27"/>
        <v>Butambala</v>
      </c>
      <c r="H559" s="68" t="s">
        <v>829</v>
      </c>
    </row>
    <row r="560" spans="1:8">
      <c r="A560" s="67">
        <v>571</v>
      </c>
      <c r="B560" s="68" t="s">
        <v>1697</v>
      </c>
      <c r="C560" s="68" t="s">
        <v>1697</v>
      </c>
      <c r="D560" s="68" t="s">
        <v>1705</v>
      </c>
      <c r="E560" s="68"/>
      <c r="F560" s="61" t="str">
        <f t="shared" si="31"/>
        <v>Kalangaalo</v>
      </c>
      <c r="G560" s="61" t="str">
        <f t="shared" si="27"/>
        <v>Mityana</v>
      </c>
      <c r="H560" s="68" t="s">
        <v>1705</v>
      </c>
    </row>
    <row r="561" spans="1:8">
      <c r="A561" s="67">
        <v>319</v>
      </c>
      <c r="B561" s="68" t="s">
        <v>1054</v>
      </c>
      <c r="C561" s="68" t="s">
        <v>1057</v>
      </c>
      <c r="D561" s="68" t="s">
        <v>1058</v>
      </c>
      <c r="E561" s="68"/>
      <c r="F561" s="61" t="str">
        <f t="shared" si="31"/>
        <v>Kalangala Town Council</v>
      </c>
      <c r="G561" s="61" t="str">
        <f t="shared" si="27"/>
        <v>Kalangala</v>
      </c>
      <c r="H561" s="68" t="s">
        <v>1058</v>
      </c>
    </row>
    <row r="562" spans="1:8">
      <c r="A562" s="67">
        <v>187</v>
      </c>
      <c r="B562" s="68" t="s">
        <v>965</v>
      </c>
      <c r="C562" s="68" t="s">
        <v>966</v>
      </c>
      <c r="D562" s="68" t="s">
        <v>969</v>
      </c>
      <c r="E562" s="68"/>
      <c r="F562" s="61" t="str">
        <f t="shared" si="31"/>
        <v>Kalapata</v>
      </c>
      <c r="G562" s="61" t="str">
        <f t="shared" si="27"/>
        <v>Kaabong</v>
      </c>
      <c r="H562" s="68" t="s">
        <v>969</v>
      </c>
    </row>
    <row r="563" spans="1:8">
      <c r="A563" s="67">
        <v>559</v>
      </c>
      <c r="B563" s="68" t="s">
        <v>1576</v>
      </c>
      <c r="C563" s="68" t="s">
        <v>1577</v>
      </c>
      <c r="D563" s="68" t="s">
        <v>1575</v>
      </c>
      <c r="E563" s="68"/>
      <c r="F563" s="61" t="str">
        <f t="shared" si="31"/>
        <v>Kaliiro</v>
      </c>
      <c r="G563" s="61" t="str">
        <f t="shared" si="27"/>
        <v>Lyantonde</v>
      </c>
      <c r="H563" s="68" t="s">
        <v>1575</v>
      </c>
    </row>
    <row r="564" spans="1:8">
      <c r="A564" s="67">
        <v>966</v>
      </c>
      <c r="B564" s="68" t="s">
        <v>1062</v>
      </c>
      <c r="C564" s="68" t="s">
        <v>911</v>
      </c>
      <c r="D564" s="68" t="s">
        <v>1067</v>
      </c>
      <c r="E564" s="68"/>
      <c r="F564" s="61" t="str">
        <f t="shared" si="31"/>
        <v>Kaliro Town Council</v>
      </c>
      <c r="G564" s="61" t="str">
        <f t="shared" si="27"/>
        <v>Kaliro</v>
      </c>
      <c r="H564" s="68" t="s">
        <v>1067</v>
      </c>
    </row>
    <row r="565" spans="1:8">
      <c r="A565" s="67">
        <v>663</v>
      </c>
      <c r="B565" s="68" t="s">
        <v>1517</v>
      </c>
      <c r="C565" s="68" t="s">
        <v>1517</v>
      </c>
      <c r="D565" s="68" t="s">
        <v>1518</v>
      </c>
      <c r="E565" s="68"/>
      <c r="F565" s="61" t="str">
        <f t="shared" si="31"/>
        <v>Kalisizo</v>
      </c>
      <c r="G565" s="61" t="str">
        <f t="shared" si="27"/>
        <v>Kyotera</v>
      </c>
      <c r="H565" s="68" t="s">
        <v>1518</v>
      </c>
    </row>
    <row r="566" spans="1:8">
      <c r="A566" s="67">
        <v>664</v>
      </c>
      <c r="B566" s="68" t="s">
        <v>1517</v>
      </c>
      <c r="C566" s="68" t="s">
        <v>1517</v>
      </c>
      <c r="D566" s="68" t="s">
        <v>1519</v>
      </c>
      <c r="E566" s="68"/>
      <c r="F566" s="61" t="str">
        <f t="shared" si="31"/>
        <v>Kalisizo Town Council</v>
      </c>
      <c r="G566" s="61" t="str">
        <f t="shared" si="27"/>
        <v>Kyotera</v>
      </c>
      <c r="H566" s="68" t="s">
        <v>1519</v>
      </c>
    </row>
    <row r="567" spans="1:8">
      <c r="A567" s="67">
        <v>495</v>
      </c>
      <c r="B567" s="68" t="s">
        <v>1805</v>
      </c>
      <c r="C567" s="68" t="s">
        <v>1625</v>
      </c>
      <c r="D567" s="68" t="s">
        <v>1807</v>
      </c>
      <c r="E567" s="68"/>
      <c r="F567" s="61" t="str">
        <f t="shared" si="31"/>
        <v>Kalongo</v>
      </c>
      <c r="G567" s="61" t="str">
        <f t="shared" si="27"/>
        <v>Nakasongola</v>
      </c>
      <c r="H567" s="68" t="s">
        <v>1807</v>
      </c>
    </row>
    <row r="568" spans="1:8">
      <c r="A568" s="67">
        <v>230</v>
      </c>
      <c r="B568" s="68" t="s">
        <v>523</v>
      </c>
      <c r="C568" s="68" t="s">
        <v>523</v>
      </c>
      <c r="D568" s="68" t="s">
        <v>526</v>
      </c>
      <c r="E568" s="68"/>
      <c r="F568" s="61" t="str">
        <f t="shared" si="31"/>
        <v>Kalongo Town Council</v>
      </c>
      <c r="G568" s="61" t="str">
        <f t="shared" si="27"/>
        <v>Agago</v>
      </c>
      <c r="H568" s="68" t="s">
        <v>526</v>
      </c>
    </row>
    <row r="569" spans="1:8">
      <c r="A569" s="67">
        <v>496</v>
      </c>
      <c r="B569" s="68" t="s">
        <v>1805</v>
      </c>
      <c r="C569" s="68" t="s">
        <v>1625</v>
      </c>
      <c r="D569" s="68" t="s">
        <v>1808</v>
      </c>
      <c r="E569" s="68"/>
      <c r="F569" s="61" t="str">
        <f t="shared" si="31"/>
        <v>Kalungi</v>
      </c>
      <c r="G569" s="61" t="str">
        <f t="shared" si="27"/>
        <v>Nakasongola</v>
      </c>
      <c r="H569" s="68" t="s">
        <v>1808</v>
      </c>
    </row>
    <row r="570" spans="1:8">
      <c r="A570" s="67">
        <v>632</v>
      </c>
      <c r="B570" s="68" t="s">
        <v>1075</v>
      </c>
      <c r="C570" s="68" t="s">
        <v>1075</v>
      </c>
      <c r="D570" s="68" t="s">
        <v>1075</v>
      </c>
      <c r="E570" s="68"/>
      <c r="F570" s="61" t="str">
        <f t="shared" si="31"/>
        <v>Kalungu</v>
      </c>
      <c r="G570" s="61" t="str">
        <f t="shared" si="27"/>
        <v>Kalungu</v>
      </c>
      <c r="H570" s="68" t="s">
        <v>1075</v>
      </c>
    </row>
    <row r="571" spans="1:8">
      <c r="A571" s="67">
        <v>633</v>
      </c>
      <c r="B571" s="68" t="s">
        <v>1075</v>
      </c>
      <c r="C571" s="68" t="s">
        <v>1075</v>
      </c>
      <c r="D571" s="68" t="s">
        <v>1076</v>
      </c>
      <c r="E571" s="68"/>
      <c r="F571" s="61" t="str">
        <f t="shared" si="31"/>
        <v>Kalungu Town Council</v>
      </c>
      <c r="G571" s="61" t="str">
        <f t="shared" si="27"/>
        <v>Kalungu</v>
      </c>
      <c r="H571" s="68" t="s">
        <v>1076</v>
      </c>
    </row>
    <row r="572" spans="1:8">
      <c r="A572" s="67">
        <v>468</v>
      </c>
      <c r="B572" s="68" t="s">
        <v>1739</v>
      </c>
      <c r="C572" s="68" t="s">
        <v>1742</v>
      </c>
      <c r="D572" s="68" t="s">
        <v>1745</v>
      </c>
      <c r="E572" s="68"/>
      <c r="F572" s="61" t="str">
        <f t="shared" si="31"/>
        <v>Kalwana</v>
      </c>
      <c r="G572" s="61" t="str">
        <f t="shared" si="27"/>
        <v>Mubende</v>
      </c>
      <c r="H572" s="68" t="s">
        <v>1745</v>
      </c>
    </row>
    <row r="573" spans="1:8">
      <c r="A573" s="67">
        <v>1314</v>
      </c>
      <c r="B573" s="68" t="s">
        <v>1264</v>
      </c>
      <c r="C573" s="68" t="s">
        <v>1265</v>
      </c>
      <c r="D573" s="68" t="s">
        <v>1266</v>
      </c>
      <c r="E573" s="68"/>
      <c r="F573" s="61" t="str">
        <f t="shared" si="31"/>
        <v>Kambuga</v>
      </c>
      <c r="G573" s="61" t="str">
        <f t="shared" si="27"/>
        <v>Kanungu</v>
      </c>
      <c r="H573" s="68" t="s">
        <v>1266</v>
      </c>
    </row>
    <row r="574" spans="1:8">
      <c r="A574" s="67">
        <v>1315</v>
      </c>
      <c r="B574" s="68" t="s">
        <v>1264</v>
      </c>
      <c r="C574" s="68" t="s">
        <v>1265</v>
      </c>
      <c r="D574" s="68" t="s">
        <v>1267</v>
      </c>
      <c r="E574" s="68"/>
      <c r="F574" s="61" t="str">
        <f t="shared" si="31"/>
        <v>Kambuga Town Council</v>
      </c>
      <c r="G574" s="61" t="str">
        <f t="shared" si="27"/>
        <v>Kanungu</v>
      </c>
      <c r="H574" s="68" t="s">
        <v>1267</v>
      </c>
    </row>
    <row r="575" spans="1:8">
      <c r="A575" s="67">
        <v>220</v>
      </c>
      <c r="B575" s="68" t="s">
        <v>1933</v>
      </c>
      <c r="C575" s="68" t="s">
        <v>1933</v>
      </c>
      <c r="D575" s="68" t="s">
        <v>1938</v>
      </c>
      <c r="E575" s="68"/>
      <c r="F575" s="61" t="str">
        <f t="shared" si="31"/>
        <v>Kamdini</v>
      </c>
      <c r="G575" s="61" t="str">
        <f t="shared" si="27"/>
        <v>Oyam</v>
      </c>
      <c r="H575" s="68" t="s">
        <v>1938</v>
      </c>
    </row>
    <row r="576" spans="1:8">
      <c r="A576" s="67">
        <v>807</v>
      </c>
      <c r="B576" s="68" t="s">
        <v>1966</v>
      </c>
      <c r="C576" s="68" t="s">
        <v>1965</v>
      </c>
      <c r="D576" s="68" t="s">
        <v>1971</v>
      </c>
      <c r="E576" s="68"/>
      <c r="F576" s="61" t="str">
        <f t="shared" si="31"/>
        <v>Kameke</v>
      </c>
      <c r="G576" s="61" t="str">
        <f t="shared" si="27"/>
        <v>Pallisa</v>
      </c>
      <c r="H576" s="68" t="s">
        <v>1971</v>
      </c>
    </row>
    <row r="577" spans="1:8">
      <c r="A577" s="67">
        <v>911</v>
      </c>
      <c r="B577" s="68" t="s">
        <v>636</v>
      </c>
      <c r="C577" s="68" t="s">
        <v>638</v>
      </c>
      <c r="D577" s="68" t="s">
        <v>642</v>
      </c>
      <c r="E577" s="68"/>
      <c r="F577" s="61" t="str">
        <f t="shared" si="31"/>
        <v>Kameruka</v>
      </c>
      <c r="G577" s="61" t="str">
        <f t="shared" si="27"/>
        <v>Budaka</v>
      </c>
      <c r="H577" s="68" t="s">
        <v>642</v>
      </c>
    </row>
    <row r="578" spans="1:8">
      <c r="A578" s="67">
        <v>942</v>
      </c>
      <c r="B578" s="68" t="s">
        <v>709</v>
      </c>
      <c r="C578" s="68" t="s">
        <v>710</v>
      </c>
      <c r="D578" s="68" t="s">
        <v>715</v>
      </c>
      <c r="E578" s="68"/>
      <c r="F578" s="61" t="str">
        <f t="shared" si="31"/>
        <v>Kamet</v>
      </c>
      <c r="G578" s="61" t="str">
        <f t="shared" si="27"/>
        <v>Bukwo</v>
      </c>
      <c r="H578" s="68" t="s">
        <v>715</v>
      </c>
    </row>
    <row r="579" spans="1:8">
      <c r="A579" s="67">
        <v>188</v>
      </c>
      <c r="B579" s="68" t="s">
        <v>965</v>
      </c>
      <c r="C579" s="68" t="s">
        <v>966</v>
      </c>
      <c r="D579" s="68" t="s">
        <v>970</v>
      </c>
      <c r="E579" s="68"/>
      <c r="F579" s="61" t="str">
        <f t="shared" si="31"/>
        <v>Kamion</v>
      </c>
      <c r="G579" s="61" t="str">
        <f t="shared" si="27"/>
        <v>Kaabong</v>
      </c>
      <c r="H579" s="68" t="s">
        <v>970</v>
      </c>
    </row>
    <row r="580" spans="1:8">
      <c r="A580" s="67">
        <v>431</v>
      </c>
      <c r="B580" s="68" t="s">
        <v>1555</v>
      </c>
      <c r="C580" s="68" t="s">
        <v>1554</v>
      </c>
      <c r="D580" s="68" t="s">
        <v>1560</v>
      </c>
      <c r="E580" s="68"/>
      <c r="F580" s="61" t="str">
        <f t="shared" si="31"/>
        <v>Kamira</v>
      </c>
      <c r="G580" s="61" t="str">
        <f t="shared" si="27"/>
        <v>Luwero</v>
      </c>
      <c r="H580" s="68" t="s">
        <v>1560</v>
      </c>
    </row>
    <row r="581" spans="1:8">
      <c r="A581" s="67">
        <v>452</v>
      </c>
      <c r="B581" s="68" t="s">
        <v>1729</v>
      </c>
      <c r="C581" s="68" t="s">
        <v>1730</v>
      </c>
      <c r="D581" s="68" t="s">
        <v>1731</v>
      </c>
      <c r="E581" s="68"/>
      <c r="F581" s="61" t="str">
        <f t="shared" si="31"/>
        <v>Kammengo</v>
      </c>
      <c r="G581" s="61" t="str">
        <f t="shared" si="27"/>
        <v>Mpigi</v>
      </c>
      <c r="H581" s="68" t="s">
        <v>1731</v>
      </c>
    </row>
    <row r="582" spans="1:8">
      <c r="A582" s="67">
        <v>912</v>
      </c>
      <c r="B582" s="68" t="s">
        <v>636</v>
      </c>
      <c r="C582" s="68" t="s">
        <v>638</v>
      </c>
      <c r="D582" s="68" t="s">
        <v>643</v>
      </c>
      <c r="E582" s="68"/>
      <c r="F582" s="61" t="str">
        <f t="shared" si="31"/>
        <v>Kamonkoli</v>
      </c>
      <c r="G582" s="61" t="str">
        <f t="shared" si="27"/>
        <v>Budaka</v>
      </c>
      <c r="H582" s="68" t="s">
        <v>643</v>
      </c>
    </row>
    <row r="583" spans="1:8">
      <c r="A583" s="67">
        <v>1014</v>
      </c>
      <c r="B583" s="68" t="s">
        <v>723</v>
      </c>
      <c r="C583" s="68" t="s">
        <v>723</v>
      </c>
      <c r="D583" s="68" t="s">
        <v>734</v>
      </c>
      <c r="E583" s="68"/>
      <c r="F583" s="61" t="str">
        <f t="shared" si="31"/>
        <v>Kamu</v>
      </c>
      <c r="G583" s="61" t="str">
        <f t="shared" si="27"/>
        <v>Bulambuli</v>
      </c>
      <c r="H583" s="68" t="s">
        <v>734</v>
      </c>
    </row>
    <row r="584" spans="1:8">
      <c r="A584" s="67">
        <v>809</v>
      </c>
      <c r="B584" s="68" t="s">
        <v>2077</v>
      </c>
      <c r="C584" s="68" t="s">
        <v>2077</v>
      </c>
      <c r="D584" s="68" t="s">
        <v>2080</v>
      </c>
      <c r="E584" s="68"/>
      <c r="F584" s="61" t="str">
        <f t="shared" si="31"/>
        <v>Kamuda</v>
      </c>
      <c r="G584" s="61" t="str">
        <f t="shared" si="27"/>
        <v>Soroti</v>
      </c>
      <c r="H584" s="68" t="s">
        <v>2080</v>
      </c>
    </row>
    <row r="585" spans="1:8">
      <c r="A585" s="67">
        <v>1155</v>
      </c>
      <c r="B585" s="68" t="s">
        <v>981</v>
      </c>
      <c r="C585" s="68" t="s">
        <v>982</v>
      </c>
      <c r="D585" s="68" t="s">
        <v>986</v>
      </c>
      <c r="E585" s="68"/>
      <c r="F585" s="61" t="str">
        <f t="shared" si="31"/>
        <v>Kamuganguzi</v>
      </c>
      <c r="G585" s="61" t="str">
        <f t="shared" si="27"/>
        <v>Kabale</v>
      </c>
      <c r="H585" s="68" t="s">
        <v>986</v>
      </c>
    </row>
    <row r="586" spans="1:8">
      <c r="A586" s="67">
        <v>796</v>
      </c>
      <c r="B586" s="68" t="s">
        <v>1966</v>
      </c>
      <c r="C586" s="68" t="s">
        <v>1966</v>
      </c>
      <c r="D586" s="68" t="s">
        <v>1972</v>
      </c>
      <c r="E586" s="68"/>
      <c r="F586" s="61" t="str">
        <f t="shared" si="31"/>
        <v>Kamuge</v>
      </c>
      <c r="G586" s="61" t="str">
        <f t="shared" ref="G586:G649" si="32">B586</f>
        <v>Pallisa</v>
      </c>
      <c r="H586" s="68" t="s">
        <v>1972</v>
      </c>
    </row>
    <row r="587" spans="1:8" ht="25.5">
      <c r="A587" s="67">
        <v>1252</v>
      </c>
      <c r="B587" s="70" t="s">
        <v>1670</v>
      </c>
      <c r="C587" s="71" t="s">
        <v>1677</v>
      </c>
      <c r="D587" s="70" t="s">
        <v>2285</v>
      </c>
      <c r="E587" s="70"/>
      <c r="F587" s="62" t="str">
        <f>VLOOKUP(C587,[2]Municipalities!$C$9:$F$1522,4,FALSE)</f>
        <v>Mbarara Municipality</v>
      </c>
      <c r="G587" s="61" t="str">
        <f t="shared" si="32"/>
        <v>Mbarara</v>
      </c>
      <c r="H587" s="70" t="s">
        <v>2285</v>
      </c>
    </row>
    <row r="588" spans="1:8">
      <c r="A588" s="67">
        <v>1302</v>
      </c>
      <c r="B588" s="68" t="s">
        <v>44</v>
      </c>
      <c r="C588" s="68" t="s">
        <v>837</v>
      </c>
      <c r="D588" s="68" t="s">
        <v>44</v>
      </c>
      <c r="E588" s="68"/>
      <c r="F588" s="61" t="str">
        <f t="shared" si="31"/>
        <v>Kamwenge</v>
      </c>
      <c r="G588" s="61" t="str">
        <f t="shared" si="32"/>
        <v>Kamwenge</v>
      </c>
      <c r="H588" s="68" t="s">
        <v>44</v>
      </c>
    </row>
    <row r="589" spans="1:8">
      <c r="A589" s="67">
        <v>1303</v>
      </c>
      <c r="B589" s="68" t="s">
        <v>44</v>
      </c>
      <c r="C589" s="68" t="s">
        <v>837</v>
      </c>
      <c r="D589" s="68" t="s">
        <v>1255</v>
      </c>
      <c r="E589" s="68"/>
      <c r="F589" s="61" t="str">
        <f t="shared" si="31"/>
        <v>Kamwenge Town Council</v>
      </c>
      <c r="G589" s="61" t="str">
        <f t="shared" si="32"/>
        <v>Kamwenge</v>
      </c>
      <c r="H589" s="68" t="s">
        <v>1255</v>
      </c>
    </row>
    <row r="590" spans="1:8">
      <c r="A590" s="67">
        <v>1527</v>
      </c>
      <c r="B590" s="68" t="s">
        <v>2011</v>
      </c>
      <c r="C590" s="68" t="s">
        <v>2011</v>
      </c>
      <c r="D590" s="68" t="s">
        <v>2286</v>
      </c>
      <c r="E590" s="68"/>
      <c r="F590" s="61" t="str">
        <f t="shared" si="31"/>
        <v>Kamwezi</v>
      </c>
      <c r="G590" s="61" t="str">
        <f t="shared" si="32"/>
        <v>Rukiga</v>
      </c>
      <c r="H590" s="68" t="s">
        <v>2286</v>
      </c>
    </row>
    <row r="591" spans="1:8">
      <c r="A591" s="67">
        <v>1221</v>
      </c>
      <c r="B591" s="68" t="s">
        <v>1404</v>
      </c>
      <c r="C591" s="68" t="s">
        <v>1405</v>
      </c>
      <c r="D591" s="68" t="s">
        <v>1408</v>
      </c>
      <c r="E591" s="68"/>
      <c r="F591" s="61" t="str">
        <f t="shared" si="31"/>
        <v>Kanaba</v>
      </c>
      <c r="G591" s="61" t="str">
        <f t="shared" si="32"/>
        <v>Kisoro</v>
      </c>
      <c r="H591" s="68" t="s">
        <v>1408</v>
      </c>
    </row>
    <row r="592" spans="1:8">
      <c r="A592" s="67">
        <v>1308</v>
      </c>
      <c r="B592" s="68" t="s">
        <v>44</v>
      </c>
      <c r="C592" s="68" t="s">
        <v>1250</v>
      </c>
      <c r="D592" s="72" t="s">
        <v>2287</v>
      </c>
      <c r="E592" s="68"/>
      <c r="F592" s="61" t="str">
        <f t="shared" ref="F592:F593" si="33">D592&amp;"-"&amp;B592</f>
        <v>Kanara-Kamwenge</v>
      </c>
      <c r="G592" s="61" t="str">
        <f t="shared" si="32"/>
        <v>Kamwenge</v>
      </c>
      <c r="H592" s="72" t="s">
        <v>2287</v>
      </c>
    </row>
    <row r="593" spans="1:8">
      <c r="A593" s="67">
        <v>1444</v>
      </c>
      <c r="B593" s="68" t="s">
        <v>1880</v>
      </c>
      <c r="C593" s="68" t="s">
        <v>1880</v>
      </c>
      <c r="D593" s="72" t="s">
        <v>2287</v>
      </c>
      <c r="E593" s="68"/>
      <c r="F593" s="61" t="str">
        <f t="shared" si="33"/>
        <v>Kanara-Ntoroko</v>
      </c>
      <c r="G593" s="61" t="str">
        <f t="shared" si="32"/>
        <v>Ntoroko</v>
      </c>
      <c r="H593" s="72" t="s">
        <v>2287</v>
      </c>
    </row>
    <row r="594" spans="1:8">
      <c r="A594" s="67">
        <v>1445</v>
      </c>
      <c r="B594" s="68" t="s">
        <v>1880</v>
      </c>
      <c r="C594" s="68" t="s">
        <v>1880</v>
      </c>
      <c r="D594" s="68" t="s">
        <v>1882</v>
      </c>
      <c r="E594" s="68"/>
      <c r="F594" s="61" t="str">
        <f t="shared" ref="F594" si="34">D594</f>
        <v>Kanara Town Council</v>
      </c>
      <c r="G594" s="61" t="str">
        <f t="shared" si="32"/>
        <v>Ntoroko</v>
      </c>
      <c r="H594" s="68" t="s">
        <v>1882</v>
      </c>
    </row>
    <row r="595" spans="1:8" ht="25.5">
      <c r="A595" s="67">
        <v>76</v>
      </c>
      <c r="B595" s="70" t="s">
        <v>1449</v>
      </c>
      <c r="C595" s="71" t="s">
        <v>1451</v>
      </c>
      <c r="D595" s="70" t="s">
        <v>2288</v>
      </c>
      <c r="E595" s="70"/>
      <c r="F595" s="62" t="str">
        <f>VLOOKUP(C595,[2]Municipalities!$C$9:$F$1522,4,FALSE)</f>
        <v>Kotido Municipality</v>
      </c>
      <c r="G595" s="61" t="str">
        <f t="shared" si="32"/>
        <v>Kotido</v>
      </c>
      <c r="H595" s="70" t="s">
        <v>2288</v>
      </c>
    </row>
    <row r="596" spans="1:8">
      <c r="A596" s="67">
        <v>180</v>
      </c>
      <c r="B596" s="68" t="s">
        <v>859</v>
      </c>
      <c r="C596" s="68" t="s">
        <v>859</v>
      </c>
      <c r="D596" s="68" t="s">
        <v>865</v>
      </c>
      <c r="E596" s="68"/>
      <c r="F596" s="61" t="str">
        <f t="shared" ref="F596:F606" si="35">D596</f>
        <v>Kangai</v>
      </c>
      <c r="G596" s="61" t="str">
        <f t="shared" si="32"/>
        <v>Dokolo</v>
      </c>
      <c r="H596" s="68" t="s">
        <v>865</v>
      </c>
    </row>
    <row r="597" spans="1:8" ht="25.5">
      <c r="A597" s="67">
        <v>1081</v>
      </c>
      <c r="B597" s="70" t="s">
        <v>832</v>
      </c>
      <c r="C597" s="70" t="s">
        <v>833</v>
      </c>
      <c r="D597" s="70" t="s">
        <v>836</v>
      </c>
      <c r="E597" s="70"/>
      <c r="F597" s="61" t="str">
        <f t="shared" si="35"/>
        <v>Kanginima</v>
      </c>
      <c r="G597" s="61" t="str">
        <f t="shared" si="32"/>
        <v>Butebo</v>
      </c>
      <c r="H597" s="70" t="s">
        <v>836</v>
      </c>
    </row>
    <row r="598" spans="1:8">
      <c r="A598" s="67">
        <v>298</v>
      </c>
      <c r="B598" s="68" t="s">
        <v>2198</v>
      </c>
      <c r="C598" s="68" t="s">
        <v>2199</v>
      </c>
      <c r="D598" s="68" t="s">
        <v>2202</v>
      </c>
      <c r="E598" s="68"/>
      <c r="F598" s="61" t="str">
        <f t="shared" si="35"/>
        <v>Kango</v>
      </c>
      <c r="G598" s="61" t="str">
        <f t="shared" si="32"/>
        <v>Zombo</v>
      </c>
      <c r="H598" s="68" t="s">
        <v>2202</v>
      </c>
    </row>
    <row r="599" spans="1:8">
      <c r="A599" s="67">
        <v>528</v>
      </c>
      <c r="B599" s="68" t="s">
        <v>1335</v>
      </c>
      <c r="C599" s="68" t="s">
        <v>1337</v>
      </c>
      <c r="D599" s="68" t="s">
        <v>1339</v>
      </c>
      <c r="E599" s="68"/>
      <c r="F599" s="61" t="str">
        <f t="shared" si="35"/>
        <v>Kangulumira</v>
      </c>
      <c r="G599" s="61" t="str">
        <f t="shared" si="32"/>
        <v>Kayunga</v>
      </c>
      <c r="H599" s="68" t="s">
        <v>1339</v>
      </c>
    </row>
    <row r="600" spans="1:8">
      <c r="A600" s="67">
        <v>1390</v>
      </c>
      <c r="B600" s="68" t="s">
        <v>1375</v>
      </c>
      <c r="C600" s="68" t="s">
        <v>1376</v>
      </c>
      <c r="D600" s="68" t="s">
        <v>1379</v>
      </c>
      <c r="E600" s="68"/>
      <c r="F600" s="61" t="str">
        <f t="shared" si="35"/>
        <v>Kanoni</v>
      </c>
      <c r="G600" s="61" t="str">
        <f t="shared" si="32"/>
        <v>Kiruhura</v>
      </c>
      <c r="H600" s="68" t="s">
        <v>1379</v>
      </c>
    </row>
    <row r="601" spans="1:8">
      <c r="A601" s="67">
        <v>627</v>
      </c>
      <c r="B601" s="68" t="s">
        <v>870</v>
      </c>
      <c r="C601" s="68" t="s">
        <v>870</v>
      </c>
      <c r="D601" s="68" t="s">
        <v>871</v>
      </c>
      <c r="E601" s="68"/>
      <c r="F601" s="61" t="str">
        <f t="shared" si="35"/>
        <v>Kanoni Town Council</v>
      </c>
      <c r="G601" s="61" t="str">
        <f t="shared" si="32"/>
        <v>Gomba</v>
      </c>
      <c r="H601" s="68" t="s">
        <v>871</v>
      </c>
    </row>
    <row r="602" spans="1:8">
      <c r="A602" s="67">
        <v>1316</v>
      </c>
      <c r="B602" s="68" t="s">
        <v>1264</v>
      </c>
      <c r="C602" s="68" t="s">
        <v>1265</v>
      </c>
      <c r="D602" s="68" t="s">
        <v>1268</v>
      </c>
      <c r="E602" s="68"/>
      <c r="F602" s="61" t="str">
        <f t="shared" si="35"/>
        <v>Kanungu Town Council</v>
      </c>
      <c r="G602" s="61" t="str">
        <f t="shared" si="32"/>
        <v>Kanungu</v>
      </c>
      <c r="H602" s="68" t="s">
        <v>1268</v>
      </c>
    </row>
    <row r="603" spans="1:8">
      <c r="A603" s="67">
        <v>1432</v>
      </c>
      <c r="B603" s="68" t="s">
        <v>45</v>
      </c>
      <c r="C603" s="68" t="s">
        <v>1686</v>
      </c>
      <c r="D603" s="68" t="s">
        <v>1687</v>
      </c>
      <c r="E603" s="68"/>
      <c r="F603" s="61" t="str">
        <f t="shared" si="35"/>
        <v>Kanyabwanga</v>
      </c>
      <c r="G603" s="61" t="str">
        <f t="shared" si="32"/>
        <v>Mitooma</v>
      </c>
      <c r="H603" s="68" t="s">
        <v>1687</v>
      </c>
    </row>
    <row r="604" spans="1:8">
      <c r="A604" s="67">
        <v>1317</v>
      </c>
      <c r="B604" s="68" t="s">
        <v>1264</v>
      </c>
      <c r="C604" s="68" t="s">
        <v>1265</v>
      </c>
      <c r="D604" s="68" t="s">
        <v>1269</v>
      </c>
      <c r="E604" s="68"/>
      <c r="F604" s="61" t="str">
        <f t="shared" si="35"/>
        <v>Kanyantorogo</v>
      </c>
      <c r="G604" s="61" t="str">
        <f t="shared" si="32"/>
        <v>Kanungu</v>
      </c>
      <c r="H604" s="68" t="s">
        <v>1269</v>
      </c>
    </row>
    <row r="605" spans="1:8">
      <c r="A605" s="67">
        <v>1395</v>
      </c>
      <c r="B605" s="68" t="s">
        <v>1375</v>
      </c>
      <c r="C605" s="68" t="s">
        <v>1381</v>
      </c>
      <c r="D605" s="68" t="s">
        <v>1380</v>
      </c>
      <c r="E605" s="68"/>
      <c r="F605" s="61" t="str">
        <f t="shared" si="35"/>
        <v>Kanyaryeru</v>
      </c>
      <c r="G605" s="61" t="str">
        <f t="shared" si="32"/>
        <v>Kiruhura</v>
      </c>
      <c r="H605" s="68" t="s">
        <v>1380</v>
      </c>
    </row>
    <row r="606" spans="1:8">
      <c r="A606" s="67">
        <v>764</v>
      </c>
      <c r="B606" s="68" t="s">
        <v>1456</v>
      </c>
      <c r="C606" s="68" t="s">
        <v>1456</v>
      </c>
      <c r="D606" s="68" t="s">
        <v>1457</v>
      </c>
      <c r="E606" s="68"/>
      <c r="F606" s="61" t="str">
        <f t="shared" si="35"/>
        <v>Kanyum</v>
      </c>
      <c r="G606" s="61" t="str">
        <f t="shared" si="32"/>
        <v>Kumi</v>
      </c>
      <c r="H606" s="68" t="s">
        <v>1457</v>
      </c>
    </row>
    <row r="607" spans="1:8" ht="25.5">
      <c r="A607" s="67">
        <v>77</v>
      </c>
      <c r="B607" s="70" t="s">
        <v>1449</v>
      </c>
      <c r="C607" s="71" t="s">
        <v>1451</v>
      </c>
      <c r="D607" s="70" t="s">
        <v>2289</v>
      </c>
      <c r="E607" s="70"/>
      <c r="F607" s="62" t="str">
        <f>VLOOKUP(C607,[2]Municipalities!$C$9:$F$1522,4,FALSE)</f>
        <v>Kotido Municipality</v>
      </c>
      <c r="G607" s="61" t="str">
        <f t="shared" si="32"/>
        <v>Kotido</v>
      </c>
      <c r="H607" s="70" t="s">
        <v>2289</v>
      </c>
    </row>
    <row r="608" spans="1:8">
      <c r="A608" s="67">
        <v>189</v>
      </c>
      <c r="B608" s="68" t="s">
        <v>965</v>
      </c>
      <c r="C608" s="68" t="s">
        <v>966</v>
      </c>
      <c r="D608" s="68" t="s">
        <v>971</v>
      </c>
      <c r="E608" s="68"/>
      <c r="F608" s="61" t="str">
        <f t="shared" ref="F608:F621" si="36">D608</f>
        <v>Kapedo</v>
      </c>
      <c r="G608" s="61" t="str">
        <f t="shared" si="32"/>
        <v>Kaabong</v>
      </c>
      <c r="H608" s="68" t="s">
        <v>971</v>
      </c>
    </row>
    <row r="609" spans="1:8">
      <c r="A609" s="67">
        <v>580</v>
      </c>
      <c r="B609" s="68" t="s">
        <v>1790</v>
      </c>
      <c r="C609" s="68" t="s">
        <v>1790</v>
      </c>
      <c r="D609" s="68" t="s">
        <v>1791</v>
      </c>
      <c r="E609" s="68"/>
      <c r="F609" s="61" t="str">
        <f t="shared" si="36"/>
        <v>Kapeeka</v>
      </c>
      <c r="G609" s="61" t="str">
        <f t="shared" si="32"/>
        <v>Nakaseke</v>
      </c>
      <c r="H609" s="68" t="s">
        <v>1791</v>
      </c>
    </row>
    <row r="610" spans="1:8">
      <c r="A610" s="67">
        <v>424</v>
      </c>
      <c r="B610" s="68" t="s">
        <v>1356</v>
      </c>
      <c r="C610" s="68" t="s">
        <v>1356</v>
      </c>
      <c r="D610" s="68" t="s">
        <v>1359</v>
      </c>
      <c r="E610" s="68"/>
      <c r="F610" s="61" t="str">
        <f t="shared" si="36"/>
        <v>Kapeke</v>
      </c>
      <c r="G610" s="61" t="str">
        <f t="shared" si="32"/>
        <v>Kiboga</v>
      </c>
      <c r="H610" s="68" t="s">
        <v>1359</v>
      </c>
    </row>
    <row r="611" spans="1:8">
      <c r="A611" s="67">
        <v>899</v>
      </c>
      <c r="B611" s="68" t="s">
        <v>569</v>
      </c>
      <c r="C611" s="68" t="s">
        <v>571</v>
      </c>
      <c r="D611" s="68" t="s">
        <v>571</v>
      </c>
      <c r="E611" s="68"/>
      <c r="F611" s="61" t="str">
        <f t="shared" si="36"/>
        <v>Kapelebyong</v>
      </c>
      <c r="G611" s="61" t="str">
        <f t="shared" si="32"/>
        <v>Amuria</v>
      </c>
      <c r="H611" s="68" t="s">
        <v>571</v>
      </c>
    </row>
    <row r="612" spans="1:8">
      <c r="A612" s="67">
        <v>1063</v>
      </c>
      <c r="B612" s="68" t="s">
        <v>1875</v>
      </c>
      <c r="C612" s="68" t="s">
        <v>1875</v>
      </c>
      <c r="D612" s="68" t="s">
        <v>1874</v>
      </c>
      <c r="E612" s="68"/>
      <c r="F612" s="61" t="str">
        <f t="shared" si="36"/>
        <v>Kapir</v>
      </c>
      <c r="G612" s="61" t="str">
        <f t="shared" si="32"/>
        <v>Ngora</v>
      </c>
      <c r="H612" s="68" t="s">
        <v>1874</v>
      </c>
    </row>
    <row r="613" spans="1:8">
      <c r="A613" s="67">
        <v>1037</v>
      </c>
      <c r="B613" s="68" t="s">
        <v>1463</v>
      </c>
      <c r="C613" s="68" t="s">
        <v>1463</v>
      </c>
      <c r="D613" s="68" t="s">
        <v>1466</v>
      </c>
      <c r="E613" s="68"/>
      <c r="F613" s="61" t="str">
        <f t="shared" si="36"/>
        <v>Kaproron</v>
      </c>
      <c r="G613" s="61" t="str">
        <f t="shared" si="32"/>
        <v>Kween</v>
      </c>
      <c r="H613" s="68" t="s">
        <v>1466</v>
      </c>
    </row>
    <row r="614" spans="1:8">
      <c r="A614" s="67">
        <v>744</v>
      </c>
      <c r="B614" s="68" t="s">
        <v>1283</v>
      </c>
      <c r="C614" s="68" t="s">
        <v>1284</v>
      </c>
      <c r="D614" s="68" t="s">
        <v>1290</v>
      </c>
      <c r="E614" s="68"/>
      <c r="F614" s="61" t="str">
        <f t="shared" si="36"/>
        <v>Kapsinda</v>
      </c>
      <c r="G614" s="61" t="str">
        <f t="shared" si="32"/>
        <v>Kapchorwa</v>
      </c>
      <c r="H614" s="68" t="s">
        <v>1290</v>
      </c>
    </row>
    <row r="615" spans="1:8">
      <c r="A615" s="67">
        <v>745</v>
      </c>
      <c r="B615" s="68" t="s">
        <v>1283</v>
      </c>
      <c r="C615" s="68" t="s">
        <v>1284</v>
      </c>
      <c r="D615" s="68" t="s">
        <v>1291</v>
      </c>
      <c r="E615" s="68"/>
      <c r="F615" s="61" t="str">
        <f t="shared" si="36"/>
        <v>Kaptanya</v>
      </c>
      <c r="G615" s="61" t="str">
        <f t="shared" si="32"/>
        <v>Kapchorwa</v>
      </c>
      <c r="H615" s="68" t="s">
        <v>1291</v>
      </c>
    </row>
    <row r="616" spans="1:8">
      <c r="A616" s="67">
        <v>943</v>
      </c>
      <c r="B616" s="68" t="s">
        <v>709</v>
      </c>
      <c r="C616" s="68" t="s">
        <v>710</v>
      </c>
      <c r="D616" s="68" t="s">
        <v>716</v>
      </c>
      <c r="E616" s="68"/>
      <c r="F616" s="61" t="str">
        <f t="shared" si="36"/>
        <v>Kaptererwo</v>
      </c>
      <c r="G616" s="61" t="str">
        <f t="shared" si="32"/>
        <v>Bukwo</v>
      </c>
      <c r="H616" s="68" t="s">
        <v>716</v>
      </c>
    </row>
    <row r="617" spans="1:8">
      <c r="A617" s="67">
        <v>1038</v>
      </c>
      <c r="B617" s="68" t="s">
        <v>1463</v>
      </c>
      <c r="C617" s="68" t="s">
        <v>1463</v>
      </c>
      <c r="D617" s="68" t="s">
        <v>1467</v>
      </c>
      <c r="E617" s="68"/>
      <c r="F617" s="61" t="str">
        <f t="shared" si="36"/>
        <v>Kaptoyoy</v>
      </c>
      <c r="G617" s="61" t="str">
        <f t="shared" si="32"/>
        <v>Kween</v>
      </c>
      <c r="H617" s="68" t="s">
        <v>1467</v>
      </c>
    </row>
    <row r="618" spans="1:8">
      <c r="A618" s="67">
        <v>1039</v>
      </c>
      <c r="B618" s="68" t="s">
        <v>1463</v>
      </c>
      <c r="C618" s="68" t="s">
        <v>1463</v>
      </c>
      <c r="D618" s="68" t="s">
        <v>1468</v>
      </c>
      <c r="E618" s="68"/>
      <c r="F618" s="61" t="str">
        <f t="shared" si="36"/>
        <v>Kaptum</v>
      </c>
      <c r="G618" s="61" t="str">
        <f t="shared" si="32"/>
        <v>Kween</v>
      </c>
      <c r="H618" s="68" t="s">
        <v>1468</v>
      </c>
    </row>
    <row r="619" spans="1:8">
      <c r="A619" s="67">
        <v>753</v>
      </c>
      <c r="B619" s="68" t="s">
        <v>1325</v>
      </c>
      <c r="C619" s="68" t="s">
        <v>1326</v>
      </c>
      <c r="D619" s="68" t="s">
        <v>1324</v>
      </c>
      <c r="E619" s="68"/>
      <c r="F619" s="61" t="str">
        <f t="shared" si="36"/>
        <v>Kapujan</v>
      </c>
      <c r="G619" s="61" t="str">
        <f t="shared" si="32"/>
        <v>Katakwi</v>
      </c>
      <c r="H619" s="68" t="s">
        <v>1324</v>
      </c>
    </row>
    <row r="620" spans="1:8">
      <c r="A620" s="67">
        <v>677</v>
      </c>
      <c r="B620" s="68" t="s">
        <v>667</v>
      </c>
      <c r="C620" s="68" t="s">
        <v>668</v>
      </c>
      <c r="D620" s="68" t="s">
        <v>675</v>
      </c>
      <c r="E620" s="68"/>
      <c r="F620" s="61" t="str">
        <f t="shared" si="36"/>
        <v>Kapyanga</v>
      </c>
      <c r="G620" s="61" t="str">
        <f t="shared" si="32"/>
        <v>Bugiri</v>
      </c>
      <c r="H620" s="68" t="s">
        <v>675</v>
      </c>
    </row>
    <row r="621" spans="1:8">
      <c r="A621" s="67">
        <v>1165</v>
      </c>
      <c r="B621" s="68" t="s">
        <v>994</v>
      </c>
      <c r="C621" s="68" t="s">
        <v>995</v>
      </c>
      <c r="D621" s="68" t="s">
        <v>999</v>
      </c>
      <c r="E621" s="68"/>
      <c r="F621" s="61" t="str">
        <f t="shared" si="36"/>
        <v>Karago Town Council</v>
      </c>
      <c r="G621" s="61" t="str">
        <f t="shared" si="32"/>
        <v>Kabarole</v>
      </c>
      <c r="H621" s="68" t="s">
        <v>999</v>
      </c>
    </row>
    <row r="622" spans="1:8">
      <c r="A622" s="67">
        <v>1166</v>
      </c>
      <c r="B622" s="68" t="s">
        <v>994</v>
      </c>
      <c r="C622" s="68" t="s">
        <v>995</v>
      </c>
      <c r="D622" s="72" t="s">
        <v>2290</v>
      </c>
      <c r="E622" s="68"/>
      <c r="F622" s="61" t="str">
        <f t="shared" ref="F622:F623" si="37">D622&amp;"-"&amp;B622</f>
        <v>Karambi-Kabarole</v>
      </c>
      <c r="G622" s="61" t="str">
        <f t="shared" si="32"/>
        <v>Kabarole</v>
      </c>
      <c r="H622" s="72" t="s">
        <v>2290</v>
      </c>
    </row>
    <row r="623" spans="1:8">
      <c r="A623" s="67">
        <v>1181</v>
      </c>
      <c r="B623" s="68" t="s">
        <v>36</v>
      </c>
      <c r="C623" s="68" t="s">
        <v>753</v>
      </c>
      <c r="D623" s="72" t="s">
        <v>2290</v>
      </c>
      <c r="E623" s="68"/>
      <c r="F623" s="61" t="str">
        <f t="shared" si="37"/>
        <v>Karambi-Kasese</v>
      </c>
      <c r="G623" s="61" t="str">
        <f t="shared" si="32"/>
        <v>Kasese</v>
      </c>
      <c r="H623" s="72" t="s">
        <v>2290</v>
      </c>
    </row>
    <row r="624" spans="1:8">
      <c r="A624" s="67">
        <v>1167</v>
      </c>
      <c r="B624" s="68" t="s">
        <v>994</v>
      </c>
      <c r="C624" s="68" t="s">
        <v>995</v>
      </c>
      <c r="D624" s="68" t="s">
        <v>1001</v>
      </c>
      <c r="E624" s="68"/>
      <c r="F624" s="61" t="str">
        <f t="shared" ref="F624:F632" si="38">D624</f>
        <v>Karangura</v>
      </c>
      <c r="G624" s="61" t="str">
        <f t="shared" si="32"/>
        <v>Kabarole</v>
      </c>
      <c r="H624" s="68" t="s">
        <v>1001</v>
      </c>
    </row>
    <row r="625" spans="1:8">
      <c r="A625" s="67">
        <v>254</v>
      </c>
      <c r="B625" s="68" t="s">
        <v>563</v>
      </c>
      <c r="C625" s="68" t="s">
        <v>564</v>
      </c>
      <c r="D625" s="68" t="s">
        <v>566</v>
      </c>
      <c r="E625" s="68"/>
      <c r="F625" s="61" t="str">
        <f t="shared" si="38"/>
        <v>Karita</v>
      </c>
      <c r="G625" s="61" t="str">
        <f t="shared" si="32"/>
        <v>Amudat</v>
      </c>
      <c r="H625" s="68" t="s">
        <v>566</v>
      </c>
    </row>
    <row r="626" spans="1:8">
      <c r="A626" s="67">
        <v>1446</v>
      </c>
      <c r="B626" s="68" t="s">
        <v>1880</v>
      </c>
      <c r="C626" s="68" t="s">
        <v>1880</v>
      </c>
      <c r="D626" s="68" t="s">
        <v>1884</v>
      </c>
      <c r="E626" s="68"/>
      <c r="F626" s="61" t="str">
        <f t="shared" si="38"/>
        <v>Karugutu</v>
      </c>
      <c r="G626" s="61" t="str">
        <f t="shared" si="32"/>
        <v>Ntoroko</v>
      </c>
      <c r="H626" s="68" t="s">
        <v>1884</v>
      </c>
    </row>
    <row r="627" spans="1:8">
      <c r="A627" s="67">
        <v>1447</v>
      </c>
      <c r="B627" s="68" t="s">
        <v>1880</v>
      </c>
      <c r="C627" s="68" t="s">
        <v>1880</v>
      </c>
      <c r="D627" s="68" t="s">
        <v>1885</v>
      </c>
      <c r="E627" s="68"/>
      <c r="F627" s="61" t="str">
        <f t="shared" si="38"/>
        <v>Karugutu Town Council</v>
      </c>
      <c r="G627" s="61" t="str">
        <f t="shared" si="32"/>
        <v>Ntoroko</v>
      </c>
      <c r="H627" s="68" t="s">
        <v>1885</v>
      </c>
    </row>
    <row r="628" spans="1:8" ht="25.5">
      <c r="A628" s="67">
        <v>1241</v>
      </c>
      <c r="B628" s="70" t="s">
        <v>1621</v>
      </c>
      <c r="C628" s="71" t="s">
        <v>1626</v>
      </c>
      <c r="D628" s="70" t="s">
        <v>2291</v>
      </c>
      <c r="E628" s="68"/>
      <c r="F628" s="62" t="str">
        <f>VLOOKUP(C628,[2]Municipalities!$C$9:$F$1522,4,FALSE)</f>
        <v>Masindi Municipality</v>
      </c>
      <c r="G628" s="61" t="str">
        <f t="shared" si="32"/>
        <v>Masindi</v>
      </c>
      <c r="H628" s="70" t="s">
        <v>2291</v>
      </c>
    </row>
    <row r="629" spans="1:8">
      <c r="A629" s="67">
        <v>1409</v>
      </c>
      <c r="B629" s="68" t="s">
        <v>680</v>
      </c>
      <c r="C629" s="68" t="s">
        <v>680</v>
      </c>
      <c r="D629" s="68" t="s">
        <v>684</v>
      </c>
      <c r="E629" s="68"/>
      <c r="F629" s="61" t="str">
        <f t="shared" si="38"/>
        <v>Karungu</v>
      </c>
      <c r="G629" s="61" t="str">
        <f t="shared" si="32"/>
        <v>Buhweju</v>
      </c>
      <c r="H629" s="68" t="s">
        <v>684</v>
      </c>
    </row>
    <row r="630" spans="1:8">
      <c r="A630" s="67">
        <v>1196</v>
      </c>
      <c r="B630" s="68" t="s">
        <v>36</v>
      </c>
      <c r="C630" s="68" t="s">
        <v>1297</v>
      </c>
      <c r="D630" s="68" t="s">
        <v>1304</v>
      </c>
      <c r="E630" s="68"/>
      <c r="F630" s="61" t="str">
        <f t="shared" si="38"/>
        <v>Karusandara</v>
      </c>
      <c r="G630" s="61" t="str">
        <f t="shared" si="32"/>
        <v>Kasese</v>
      </c>
      <c r="H630" s="68" t="s">
        <v>1304</v>
      </c>
    </row>
    <row r="631" spans="1:8">
      <c r="A631" s="67">
        <v>1464</v>
      </c>
      <c r="B631" s="68" t="s">
        <v>41</v>
      </c>
      <c r="C631" s="68" t="s">
        <v>41</v>
      </c>
      <c r="D631" s="68" t="s">
        <v>2045</v>
      </c>
      <c r="E631" s="68"/>
      <c r="F631" s="61" t="str">
        <f t="shared" si="38"/>
        <v>Kasaana</v>
      </c>
      <c r="G631" s="61" t="str">
        <f t="shared" si="32"/>
        <v>Sheema</v>
      </c>
      <c r="H631" s="68" t="s">
        <v>2045</v>
      </c>
    </row>
    <row r="632" spans="1:8">
      <c r="A632" s="67">
        <v>560</v>
      </c>
      <c r="B632" s="68" t="s">
        <v>1576</v>
      </c>
      <c r="C632" s="68" t="s">
        <v>1577</v>
      </c>
      <c r="D632" s="68" t="s">
        <v>1578</v>
      </c>
      <c r="E632" s="68"/>
      <c r="F632" s="61" t="str">
        <f t="shared" si="38"/>
        <v>Kasagama</v>
      </c>
      <c r="G632" s="61" t="str">
        <f t="shared" si="32"/>
        <v>Lyantonde</v>
      </c>
      <c r="H632" s="68" t="s">
        <v>1578</v>
      </c>
    </row>
    <row r="633" spans="1:8">
      <c r="A633" s="67">
        <v>463</v>
      </c>
      <c r="B633" s="68" t="s">
        <v>1739</v>
      </c>
      <c r="C633" s="68" t="s">
        <v>1740</v>
      </c>
      <c r="D633" s="72" t="s">
        <v>1740</v>
      </c>
      <c r="E633" s="68"/>
      <c r="F633" s="61" t="str">
        <f t="shared" ref="F633:F634" si="39">D633&amp;"-"&amp;B633</f>
        <v>Kasambya-Mubende</v>
      </c>
      <c r="G633" s="61" t="str">
        <f t="shared" si="32"/>
        <v>Mubende</v>
      </c>
      <c r="H633" s="72" t="s">
        <v>1740</v>
      </c>
    </row>
    <row r="634" spans="1:8">
      <c r="A634" s="67">
        <v>1499</v>
      </c>
      <c r="B634" s="68" t="s">
        <v>1041</v>
      </c>
      <c r="C634" s="68" t="s">
        <v>1042</v>
      </c>
      <c r="D634" s="72" t="s">
        <v>1740</v>
      </c>
      <c r="E634" s="68"/>
      <c r="F634" s="61" t="str">
        <f t="shared" si="39"/>
        <v>Kasambya-Kakumiro</v>
      </c>
      <c r="G634" s="61" t="str">
        <f t="shared" si="32"/>
        <v>Kakumiro</v>
      </c>
      <c r="H634" s="72" t="s">
        <v>1740</v>
      </c>
    </row>
    <row r="635" spans="1:8">
      <c r="A635" s="67">
        <v>551</v>
      </c>
      <c r="B635" s="68" t="s">
        <v>2117</v>
      </c>
      <c r="C635" s="68" t="s">
        <v>2144</v>
      </c>
      <c r="D635" s="68" t="s">
        <v>2143</v>
      </c>
      <c r="E635" s="68"/>
      <c r="F635" s="61" t="str">
        <f t="shared" ref="F635:F647" si="40">D635</f>
        <v>Kasangati Town Council</v>
      </c>
      <c r="G635" s="61" t="str">
        <f t="shared" si="32"/>
        <v>Wakiso</v>
      </c>
      <c r="H635" s="68" t="s">
        <v>2143</v>
      </c>
    </row>
    <row r="636" spans="1:8">
      <c r="A636" s="67">
        <v>581</v>
      </c>
      <c r="B636" s="68" t="s">
        <v>1790</v>
      </c>
      <c r="C636" s="68" t="s">
        <v>1790</v>
      </c>
      <c r="D636" s="68" t="s">
        <v>1792</v>
      </c>
      <c r="E636" s="68"/>
      <c r="F636" s="61" t="str">
        <f t="shared" si="40"/>
        <v>Kasangombe</v>
      </c>
      <c r="G636" s="61" t="str">
        <f t="shared" si="32"/>
        <v>Nakaseke</v>
      </c>
      <c r="H636" s="68" t="s">
        <v>1792</v>
      </c>
    </row>
    <row r="637" spans="1:8">
      <c r="A637" s="67">
        <v>535</v>
      </c>
      <c r="B637" s="68" t="s">
        <v>2117</v>
      </c>
      <c r="C637" s="68" t="s">
        <v>2120</v>
      </c>
      <c r="D637" s="68" t="s">
        <v>2147</v>
      </c>
      <c r="E637" s="68"/>
      <c r="F637" s="61" t="str">
        <f t="shared" si="40"/>
        <v>Kasanje</v>
      </c>
      <c r="G637" s="61" t="str">
        <f t="shared" si="32"/>
        <v>Wakiso</v>
      </c>
      <c r="H637" s="68" t="s">
        <v>2147</v>
      </c>
    </row>
    <row r="638" spans="1:8">
      <c r="A638" s="67">
        <v>659</v>
      </c>
      <c r="B638" s="68" t="s">
        <v>1517</v>
      </c>
      <c r="C638" s="68" t="s">
        <v>1521</v>
      </c>
      <c r="D638" s="68" t="s">
        <v>1520</v>
      </c>
      <c r="E638" s="68"/>
      <c r="F638" s="61" t="str">
        <f t="shared" si="40"/>
        <v>Kasasa</v>
      </c>
      <c r="G638" s="61" t="str">
        <f t="shared" si="32"/>
        <v>Kyotera</v>
      </c>
      <c r="H638" s="68" t="s">
        <v>1520</v>
      </c>
    </row>
    <row r="639" spans="1:8">
      <c r="A639" s="67">
        <v>1029</v>
      </c>
      <c r="B639" s="68" t="s">
        <v>1365</v>
      </c>
      <c r="C639" s="68" t="s">
        <v>1365</v>
      </c>
      <c r="D639" s="68" t="s">
        <v>1370</v>
      </c>
      <c r="E639" s="68"/>
      <c r="F639" s="61" t="str">
        <f t="shared" si="40"/>
        <v>Kasasira</v>
      </c>
      <c r="G639" s="61" t="str">
        <f t="shared" si="32"/>
        <v>Kibuku</v>
      </c>
      <c r="H639" s="68" t="s">
        <v>1370</v>
      </c>
    </row>
    <row r="640" spans="1:8">
      <c r="A640" s="67">
        <v>487</v>
      </c>
      <c r="B640" s="68" t="s">
        <v>1761</v>
      </c>
      <c r="C640" s="68" t="s">
        <v>1762</v>
      </c>
      <c r="D640" s="68" t="s">
        <v>1760</v>
      </c>
      <c r="E640" s="68"/>
      <c r="F640" s="61" t="str">
        <f t="shared" si="40"/>
        <v>Kasawo</v>
      </c>
      <c r="G640" s="61" t="str">
        <f t="shared" si="32"/>
        <v>Mukono</v>
      </c>
      <c r="H640" s="68" t="s">
        <v>1760</v>
      </c>
    </row>
    <row r="641" spans="1:8">
      <c r="A641" s="67">
        <v>1168</v>
      </c>
      <c r="B641" s="68" t="s">
        <v>994</v>
      </c>
      <c r="C641" s="68" t="s">
        <v>995</v>
      </c>
      <c r="D641" s="68" t="s">
        <v>1002</v>
      </c>
      <c r="E641" s="68"/>
      <c r="F641" s="61" t="str">
        <f t="shared" si="40"/>
        <v>Kasenda</v>
      </c>
      <c r="G641" s="61" t="str">
        <f t="shared" si="32"/>
        <v>Kabarole</v>
      </c>
      <c r="H641" s="68" t="s">
        <v>1002</v>
      </c>
    </row>
    <row r="642" spans="1:8">
      <c r="A642" s="67">
        <v>746</v>
      </c>
      <c r="B642" s="68" t="s">
        <v>1283</v>
      </c>
      <c r="C642" s="68" t="s">
        <v>1284</v>
      </c>
      <c r="D642" s="68" t="s">
        <v>1292</v>
      </c>
      <c r="E642" s="68"/>
      <c r="F642" s="61" t="str">
        <f t="shared" si="40"/>
        <v>Kaserem</v>
      </c>
      <c r="G642" s="61" t="str">
        <f t="shared" si="32"/>
        <v>Kapchorwa</v>
      </c>
      <c r="H642" s="68" t="s">
        <v>1292</v>
      </c>
    </row>
    <row r="643" spans="1:8">
      <c r="A643" s="67">
        <v>1528</v>
      </c>
      <c r="B643" s="68" t="s">
        <v>2292</v>
      </c>
      <c r="C643" s="68" t="s">
        <v>2011</v>
      </c>
      <c r="D643" s="68" t="s">
        <v>2293</v>
      </c>
      <c r="E643" s="68"/>
      <c r="F643" s="61" t="str">
        <f t="shared" si="40"/>
        <v>Kashambya</v>
      </c>
      <c r="G643" s="61" t="str">
        <f t="shared" si="32"/>
        <v>Rukiga</v>
      </c>
      <c r="H643" s="68" t="s">
        <v>2293</v>
      </c>
    </row>
    <row r="644" spans="1:8">
      <c r="A644" s="67">
        <v>1247</v>
      </c>
      <c r="B644" s="68" t="s">
        <v>1670</v>
      </c>
      <c r="C644" s="68" t="s">
        <v>1671</v>
      </c>
      <c r="D644" s="68" t="s">
        <v>1676</v>
      </c>
      <c r="E644" s="68"/>
      <c r="F644" s="61" t="str">
        <f t="shared" si="40"/>
        <v>Kashare</v>
      </c>
      <c r="G644" s="61" t="str">
        <f t="shared" si="32"/>
        <v>Mbarara</v>
      </c>
      <c r="H644" s="68" t="s">
        <v>1676</v>
      </c>
    </row>
    <row r="645" spans="1:8">
      <c r="A645" s="67">
        <v>1433</v>
      </c>
      <c r="B645" s="68" t="s">
        <v>45</v>
      </c>
      <c r="C645" s="68" t="s">
        <v>1686</v>
      </c>
      <c r="D645" s="68" t="s">
        <v>1688</v>
      </c>
      <c r="E645" s="68"/>
      <c r="F645" s="61" t="str">
        <f t="shared" si="40"/>
        <v>Kashenshero</v>
      </c>
      <c r="G645" s="61" t="str">
        <f t="shared" si="32"/>
        <v>Mitooma</v>
      </c>
      <c r="H645" s="68" t="s">
        <v>1688</v>
      </c>
    </row>
    <row r="646" spans="1:8">
      <c r="A646" s="67">
        <v>1434</v>
      </c>
      <c r="B646" s="68" t="s">
        <v>45</v>
      </c>
      <c r="C646" s="68" t="s">
        <v>1686</v>
      </c>
      <c r="D646" s="68" t="s">
        <v>1689</v>
      </c>
      <c r="E646" s="68"/>
      <c r="F646" s="61" t="str">
        <f t="shared" si="40"/>
        <v>Kashenshero Town Council</v>
      </c>
      <c r="G646" s="61" t="str">
        <f t="shared" si="32"/>
        <v>Mitooma</v>
      </c>
      <c r="H646" s="68" t="s">
        <v>1689</v>
      </c>
    </row>
    <row r="647" spans="1:8">
      <c r="A647" s="67">
        <v>1396</v>
      </c>
      <c r="B647" s="68" t="s">
        <v>1375</v>
      </c>
      <c r="C647" s="68" t="s">
        <v>1381</v>
      </c>
      <c r="D647" s="68" t="s">
        <v>1382</v>
      </c>
      <c r="E647" s="68"/>
      <c r="F647" s="61" t="str">
        <f t="shared" si="40"/>
        <v>Kashongi</v>
      </c>
      <c r="G647" s="61" t="str">
        <f t="shared" si="32"/>
        <v>Kiruhura</v>
      </c>
      <c r="H647" s="68" t="s">
        <v>1382</v>
      </c>
    </row>
    <row r="648" spans="1:8" ht="25.5">
      <c r="A648" s="67">
        <v>1475</v>
      </c>
      <c r="B648" s="68" t="s">
        <v>41</v>
      </c>
      <c r="C648" s="69" t="s">
        <v>2043</v>
      </c>
      <c r="D648" s="68" t="s">
        <v>2294</v>
      </c>
      <c r="E648" s="68"/>
      <c r="F648" s="62" t="str">
        <f>VLOOKUP(C648,[2]Municipalities!$C$9:$F$1522,4,FALSE)</f>
        <v>Sheema Municipality</v>
      </c>
      <c r="G648" s="61" t="str">
        <f t="shared" si="32"/>
        <v>Sheema</v>
      </c>
      <c r="H648" s="68" t="s">
        <v>2294</v>
      </c>
    </row>
    <row r="649" spans="1:8">
      <c r="A649" s="67">
        <v>1070</v>
      </c>
      <c r="B649" s="68" t="s">
        <v>2030</v>
      </c>
      <c r="C649" s="68" t="s">
        <v>2032</v>
      </c>
      <c r="D649" s="68" t="s">
        <v>2034</v>
      </c>
      <c r="E649" s="68"/>
      <c r="F649" s="61" t="str">
        <f t="shared" ref="F649:F676" si="41">D649</f>
        <v>Kasilo Town Council</v>
      </c>
      <c r="G649" s="61" t="str">
        <f t="shared" si="32"/>
        <v>Serere</v>
      </c>
      <c r="H649" s="68" t="s">
        <v>2034</v>
      </c>
    </row>
    <row r="650" spans="1:8">
      <c r="A650" s="67">
        <v>1217</v>
      </c>
      <c r="B650" s="68" t="s">
        <v>1345</v>
      </c>
      <c r="C650" s="68" t="s">
        <v>1346</v>
      </c>
      <c r="D650" s="68" t="s">
        <v>1349</v>
      </c>
      <c r="E650" s="68"/>
      <c r="F650" s="61" t="str">
        <f t="shared" si="41"/>
        <v>Kasimbi</v>
      </c>
      <c r="G650" s="61" t="str">
        <f t="shared" ref="G650:G713" si="42">B650</f>
        <v>Kibaale</v>
      </c>
      <c r="H650" s="68" t="s">
        <v>1349</v>
      </c>
    </row>
    <row r="651" spans="1:8">
      <c r="A651" s="67">
        <v>1108</v>
      </c>
      <c r="B651" s="68" t="s">
        <v>750</v>
      </c>
      <c r="C651" s="68" t="s">
        <v>754</v>
      </c>
      <c r="D651" s="68" t="s">
        <v>761</v>
      </c>
      <c r="E651" s="68"/>
      <c r="F651" s="61" t="str">
        <f t="shared" si="41"/>
        <v>Kasitu</v>
      </c>
      <c r="G651" s="61" t="str">
        <f t="shared" si="42"/>
        <v>Bundibugyo</v>
      </c>
      <c r="H651" s="68" t="s">
        <v>761</v>
      </c>
    </row>
    <row r="652" spans="1:8">
      <c r="A652" s="67">
        <v>797</v>
      </c>
      <c r="B652" s="68" t="s">
        <v>1966</v>
      </c>
      <c r="C652" s="68" t="s">
        <v>1966</v>
      </c>
      <c r="D652" s="68" t="s">
        <v>1973</v>
      </c>
      <c r="E652" s="68"/>
      <c r="F652" s="61" t="str">
        <f t="shared" si="41"/>
        <v>Kasodo</v>
      </c>
      <c r="G652" s="61" t="str">
        <f t="shared" si="42"/>
        <v>Pallisa</v>
      </c>
      <c r="H652" s="68" t="s">
        <v>1973</v>
      </c>
    </row>
    <row r="653" spans="1:8">
      <c r="A653" s="67">
        <v>967</v>
      </c>
      <c r="B653" s="68" t="s">
        <v>1062</v>
      </c>
      <c r="C653" s="68" t="s">
        <v>911</v>
      </c>
      <c r="D653" s="68" t="s">
        <v>1068</v>
      </c>
      <c r="E653" s="68"/>
      <c r="F653" s="61" t="str">
        <f t="shared" si="41"/>
        <v>Kasokwe</v>
      </c>
      <c r="G653" s="61" t="str">
        <f t="shared" si="42"/>
        <v>Kaliro</v>
      </c>
      <c r="H653" s="68" t="s">
        <v>1068</v>
      </c>
    </row>
    <row r="654" spans="1:8">
      <c r="A654" s="67">
        <v>469</v>
      </c>
      <c r="B654" s="68" t="s">
        <v>1739</v>
      </c>
      <c r="C654" s="68" t="s">
        <v>1742</v>
      </c>
      <c r="D654" s="68" t="s">
        <v>1742</v>
      </c>
      <c r="E654" s="68"/>
      <c r="F654" s="61" t="str">
        <f t="shared" si="41"/>
        <v>Kassanda</v>
      </c>
      <c r="G654" s="61" t="str">
        <f t="shared" si="42"/>
        <v>Mubende</v>
      </c>
      <c r="H654" s="68" t="s">
        <v>1742</v>
      </c>
    </row>
    <row r="655" spans="1:8">
      <c r="A655" s="67">
        <v>1424</v>
      </c>
      <c r="B655" s="68" t="s">
        <v>1488</v>
      </c>
      <c r="C655" s="68" t="s">
        <v>1489</v>
      </c>
      <c r="D655" s="68" t="s">
        <v>1492</v>
      </c>
      <c r="E655" s="68"/>
      <c r="F655" s="61" t="str">
        <f t="shared" si="41"/>
        <v>Kasule</v>
      </c>
      <c r="G655" s="61" t="str">
        <f t="shared" si="42"/>
        <v>Kyegegwa</v>
      </c>
      <c r="H655" s="68" t="s">
        <v>1492</v>
      </c>
    </row>
    <row r="656" spans="1:8">
      <c r="A656" s="67">
        <v>536</v>
      </c>
      <c r="B656" s="68" t="s">
        <v>2117</v>
      </c>
      <c r="C656" s="68" t="s">
        <v>2120</v>
      </c>
      <c r="D656" s="68" t="s">
        <v>2148</v>
      </c>
      <c r="E656" s="68"/>
      <c r="F656" s="61" t="str">
        <f t="shared" si="41"/>
        <v>Katabi Town Council</v>
      </c>
      <c r="G656" s="61" t="str">
        <f t="shared" si="42"/>
        <v>Wakiso</v>
      </c>
      <c r="H656" s="68" t="s">
        <v>2148</v>
      </c>
    </row>
    <row r="657" spans="1:8">
      <c r="A657" s="67">
        <v>757</v>
      </c>
      <c r="B657" s="68" t="s">
        <v>1325</v>
      </c>
      <c r="C657" s="68" t="s">
        <v>1327</v>
      </c>
      <c r="D657" s="68" t="s">
        <v>1325</v>
      </c>
      <c r="E657" s="68"/>
      <c r="F657" s="61" t="str">
        <f t="shared" si="41"/>
        <v>Katakwi</v>
      </c>
      <c r="G657" s="61" t="str">
        <f t="shared" si="42"/>
        <v>Katakwi</v>
      </c>
      <c r="H657" s="68" t="s">
        <v>1325</v>
      </c>
    </row>
    <row r="658" spans="1:8">
      <c r="A658" s="67">
        <v>758</v>
      </c>
      <c r="B658" s="68" t="s">
        <v>1325</v>
      </c>
      <c r="C658" s="68" t="s">
        <v>1327</v>
      </c>
      <c r="D658" s="68" t="s">
        <v>1328</v>
      </c>
      <c r="E658" s="68"/>
      <c r="F658" s="61" t="str">
        <f t="shared" si="41"/>
        <v>Katakwi Town Council</v>
      </c>
      <c r="G658" s="61" t="str">
        <f t="shared" si="42"/>
        <v>Katakwi</v>
      </c>
      <c r="H658" s="68" t="s">
        <v>1328</v>
      </c>
    </row>
    <row r="659" spans="1:8">
      <c r="A659" s="67">
        <v>1458</v>
      </c>
      <c r="B659" s="68" t="s">
        <v>2000</v>
      </c>
      <c r="C659" s="68" t="s">
        <v>2001</v>
      </c>
      <c r="D659" s="68" t="s">
        <v>1999</v>
      </c>
      <c r="E659" s="68"/>
      <c r="F659" s="61" t="str">
        <f t="shared" si="41"/>
        <v>Katanda</v>
      </c>
      <c r="G659" s="61" t="str">
        <f t="shared" si="42"/>
        <v>Rubirizi</v>
      </c>
      <c r="H659" s="68" t="s">
        <v>1999</v>
      </c>
    </row>
    <row r="660" spans="1:8">
      <c r="A660" s="67">
        <v>1517</v>
      </c>
      <c r="B660" s="68" t="s">
        <v>773</v>
      </c>
      <c r="C660" s="68" t="s">
        <v>773</v>
      </c>
      <c r="D660" s="68" t="s">
        <v>776</v>
      </c>
      <c r="E660" s="68"/>
      <c r="F660" s="61" t="str">
        <f t="shared" si="41"/>
        <v>Katebwa</v>
      </c>
      <c r="G660" s="61" t="str">
        <f t="shared" si="42"/>
        <v>Bunyangabu</v>
      </c>
      <c r="H660" s="68" t="s">
        <v>776</v>
      </c>
    </row>
    <row r="661" spans="1:8">
      <c r="A661" s="67">
        <v>1435</v>
      </c>
      <c r="B661" s="68" t="s">
        <v>45</v>
      </c>
      <c r="C661" s="68" t="s">
        <v>1686</v>
      </c>
      <c r="D661" s="68" t="s">
        <v>1690</v>
      </c>
      <c r="E661" s="68"/>
      <c r="F661" s="61" t="str">
        <f t="shared" si="41"/>
        <v>Katenga</v>
      </c>
      <c r="G661" s="61" t="str">
        <f t="shared" si="42"/>
        <v>Mitooma</v>
      </c>
      <c r="H661" s="68" t="s">
        <v>1690</v>
      </c>
    </row>
    <row r="662" spans="1:8">
      <c r="A662" s="67">
        <v>1459</v>
      </c>
      <c r="B662" s="68" t="s">
        <v>2000</v>
      </c>
      <c r="C662" s="68" t="s">
        <v>2001</v>
      </c>
      <c r="D662" s="68" t="s">
        <v>2001</v>
      </c>
      <c r="E662" s="68"/>
      <c r="F662" s="61" t="str">
        <f t="shared" si="41"/>
        <v>Katerera</v>
      </c>
      <c r="G662" s="61" t="str">
        <f t="shared" si="42"/>
        <v>Rubirizi</v>
      </c>
      <c r="H662" s="68" t="s">
        <v>2001</v>
      </c>
    </row>
    <row r="663" spans="1:8">
      <c r="A663" s="67">
        <v>1460</v>
      </c>
      <c r="B663" s="68" t="s">
        <v>2000</v>
      </c>
      <c r="C663" s="68" t="s">
        <v>2001</v>
      </c>
      <c r="D663" s="68" t="s">
        <v>2002</v>
      </c>
      <c r="E663" s="68"/>
      <c r="F663" s="61" t="str">
        <f t="shared" si="41"/>
        <v>Katerera Town Council</v>
      </c>
      <c r="G663" s="61" t="str">
        <f t="shared" si="42"/>
        <v>Rubirizi</v>
      </c>
      <c r="H663" s="68" t="s">
        <v>2002</v>
      </c>
    </row>
    <row r="664" spans="1:8">
      <c r="A664" s="67">
        <v>1074</v>
      </c>
      <c r="B664" s="68" t="s">
        <v>2030</v>
      </c>
      <c r="C664" s="68" t="s">
        <v>2030</v>
      </c>
      <c r="D664" s="68" t="s">
        <v>2035</v>
      </c>
      <c r="E664" s="68"/>
      <c r="F664" s="61" t="str">
        <f t="shared" si="41"/>
        <v>Kateta</v>
      </c>
      <c r="G664" s="61" t="str">
        <f t="shared" si="42"/>
        <v>Serere</v>
      </c>
      <c r="H664" s="68" t="s">
        <v>2035</v>
      </c>
    </row>
    <row r="665" spans="1:8">
      <c r="A665" s="67">
        <v>1318</v>
      </c>
      <c r="B665" s="68" t="s">
        <v>1264</v>
      </c>
      <c r="C665" s="68" t="s">
        <v>1265</v>
      </c>
      <c r="D665" s="68" t="s">
        <v>1270</v>
      </c>
      <c r="E665" s="68"/>
      <c r="F665" s="61" t="str">
        <f t="shared" si="41"/>
        <v>Katete</v>
      </c>
      <c r="G665" s="61" t="str">
        <f t="shared" si="42"/>
        <v>Kanungu</v>
      </c>
      <c r="H665" s="68" t="s">
        <v>1270</v>
      </c>
    </row>
    <row r="666" spans="1:8">
      <c r="A666" s="67">
        <v>190</v>
      </c>
      <c r="B666" s="68" t="s">
        <v>965</v>
      </c>
      <c r="C666" s="68" t="s">
        <v>966</v>
      </c>
      <c r="D666" s="68" t="s">
        <v>972</v>
      </c>
      <c r="E666" s="68"/>
      <c r="F666" s="61" t="str">
        <f t="shared" si="41"/>
        <v>Kathile</v>
      </c>
      <c r="G666" s="61" t="str">
        <f t="shared" si="42"/>
        <v>Kaabong</v>
      </c>
      <c r="H666" s="68" t="s">
        <v>972</v>
      </c>
    </row>
    <row r="667" spans="1:8">
      <c r="A667" s="67">
        <v>913</v>
      </c>
      <c r="B667" s="68" t="s">
        <v>636</v>
      </c>
      <c r="C667" s="68" t="s">
        <v>638</v>
      </c>
      <c r="D667" s="68" t="s">
        <v>644</v>
      </c>
      <c r="E667" s="68"/>
      <c r="F667" s="61" t="str">
        <f t="shared" si="41"/>
        <v>Katiira</v>
      </c>
      <c r="G667" s="61" t="str">
        <f t="shared" si="42"/>
        <v>Budaka</v>
      </c>
      <c r="H667" s="68" t="s">
        <v>644</v>
      </c>
    </row>
    <row r="668" spans="1:8">
      <c r="A668" s="67">
        <v>436</v>
      </c>
      <c r="B668" s="68" t="s">
        <v>1555</v>
      </c>
      <c r="C668" s="68" t="s">
        <v>1557</v>
      </c>
      <c r="D668" s="68" t="s">
        <v>1557</v>
      </c>
      <c r="E668" s="68"/>
      <c r="F668" s="61" t="str">
        <f t="shared" si="41"/>
        <v>Katikamu</v>
      </c>
      <c r="G668" s="61" t="str">
        <f t="shared" si="42"/>
        <v>Luwero</v>
      </c>
      <c r="H668" s="68" t="s">
        <v>1557</v>
      </c>
    </row>
    <row r="669" spans="1:8">
      <c r="A669" s="67">
        <v>92</v>
      </c>
      <c r="B669" s="68" t="s">
        <v>541</v>
      </c>
      <c r="C669" s="68" t="s">
        <v>1712</v>
      </c>
      <c r="D669" s="68" t="s">
        <v>1711</v>
      </c>
      <c r="E669" s="68"/>
      <c r="F669" s="61" t="str">
        <f t="shared" si="41"/>
        <v>Katikekile</v>
      </c>
      <c r="G669" s="61" t="str">
        <f t="shared" si="42"/>
        <v>Moroto</v>
      </c>
      <c r="H669" s="68" t="s">
        <v>1711</v>
      </c>
    </row>
    <row r="670" spans="1:8">
      <c r="A670" s="67">
        <v>811</v>
      </c>
      <c r="B670" s="68" t="s">
        <v>2077</v>
      </c>
      <c r="C670" s="68" t="s">
        <v>2077</v>
      </c>
      <c r="D670" s="68" t="s">
        <v>2081</v>
      </c>
      <c r="E670" s="68"/>
      <c r="F670" s="61" t="str">
        <f t="shared" si="41"/>
        <v>Katine</v>
      </c>
      <c r="G670" s="61" t="str">
        <f t="shared" si="42"/>
        <v>Soroti</v>
      </c>
      <c r="H670" s="68" t="s">
        <v>2081</v>
      </c>
    </row>
    <row r="671" spans="1:8">
      <c r="A671" s="67">
        <v>1335</v>
      </c>
      <c r="B671" s="68" t="s">
        <v>1499</v>
      </c>
      <c r="C671" s="68" t="s">
        <v>1500</v>
      </c>
      <c r="D671" s="68" t="s">
        <v>1505</v>
      </c>
      <c r="E671" s="68"/>
      <c r="F671" s="61" t="str">
        <f t="shared" si="41"/>
        <v>Katooke</v>
      </c>
      <c r="G671" s="61" t="str">
        <f t="shared" si="42"/>
        <v>Kyenjojo</v>
      </c>
      <c r="H671" s="68" t="s">
        <v>1505</v>
      </c>
    </row>
    <row r="672" spans="1:8">
      <c r="A672" s="67">
        <v>1336</v>
      </c>
      <c r="B672" s="68" t="s">
        <v>1499</v>
      </c>
      <c r="C672" s="68" t="s">
        <v>1500</v>
      </c>
      <c r="D672" s="68" t="s">
        <v>1506</v>
      </c>
      <c r="E672" s="68"/>
      <c r="F672" s="61" t="str">
        <f t="shared" si="41"/>
        <v>Katooke Town Council</v>
      </c>
      <c r="G672" s="61" t="str">
        <f t="shared" si="42"/>
        <v>Kyenjojo</v>
      </c>
      <c r="H672" s="68" t="s">
        <v>1506</v>
      </c>
    </row>
    <row r="673" spans="1:9">
      <c r="A673" s="67">
        <v>42</v>
      </c>
      <c r="B673" s="68" t="s">
        <v>606</v>
      </c>
      <c r="C673" s="68" t="s">
        <v>609</v>
      </c>
      <c r="D673" s="68" t="s">
        <v>621</v>
      </c>
      <c r="E673" s="68"/>
      <c r="F673" s="61" t="str">
        <f t="shared" si="41"/>
        <v>Katrini</v>
      </c>
      <c r="G673" s="61" t="str">
        <f t="shared" si="42"/>
        <v>Arua</v>
      </c>
      <c r="H673" s="68" t="s">
        <v>621</v>
      </c>
    </row>
    <row r="674" spans="1:9">
      <c r="A674" s="67">
        <v>1156</v>
      </c>
      <c r="B674" s="68" t="s">
        <v>981</v>
      </c>
      <c r="C674" s="68" t="s">
        <v>982</v>
      </c>
      <c r="D674" s="68" t="s">
        <v>987</v>
      </c>
      <c r="E674" s="68"/>
      <c r="F674" s="61" t="str">
        <f t="shared" si="41"/>
        <v>Katuna Town Council</v>
      </c>
      <c r="G674" s="61" t="str">
        <f t="shared" si="42"/>
        <v>Kabale</v>
      </c>
      <c r="H674" s="68" t="s">
        <v>987</v>
      </c>
    </row>
    <row r="675" spans="1:9">
      <c r="A675" s="67">
        <v>1452</v>
      </c>
      <c r="B675" s="68" t="s">
        <v>2000</v>
      </c>
      <c r="C675" s="68" t="s">
        <v>48</v>
      </c>
      <c r="D675" s="68" t="s">
        <v>2003</v>
      </c>
      <c r="E675" s="68"/>
      <c r="F675" s="61" t="str">
        <f t="shared" si="41"/>
        <v>Katunguru</v>
      </c>
      <c r="G675" s="61" t="str">
        <f t="shared" si="42"/>
        <v>Rubirizi</v>
      </c>
      <c r="H675" s="68" t="s">
        <v>2003</v>
      </c>
    </row>
    <row r="676" spans="1:9" ht="25.5">
      <c r="A676" s="67">
        <v>1197</v>
      </c>
      <c r="B676" s="68" t="s">
        <v>36</v>
      </c>
      <c r="C676" s="68" t="s">
        <v>1297</v>
      </c>
      <c r="D676" s="68" t="s">
        <v>1306</v>
      </c>
      <c r="E676" s="68"/>
      <c r="F676" s="61" t="str">
        <f t="shared" si="41"/>
        <v>Katwe Kabatoro Town Council</v>
      </c>
      <c r="G676" s="61" t="str">
        <f t="shared" si="42"/>
        <v>Kasese</v>
      </c>
      <c r="H676" s="68" t="s">
        <v>1306</v>
      </c>
    </row>
    <row r="677" spans="1:9" ht="25.5">
      <c r="A677" s="67">
        <v>448</v>
      </c>
      <c r="B677" s="68" t="s">
        <v>39</v>
      </c>
      <c r="C677" s="69" t="s">
        <v>1615</v>
      </c>
      <c r="D677" s="68" t="s">
        <v>2295</v>
      </c>
      <c r="E677" s="68"/>
      <c r="F677" s="62" t="str">
        <f>VLOOKUP(C677,[2]Municipalities!$C$9:$F$1522,4,FALSE)</f>
        <v>Masaka Municipality</v>
      </c>
      <c r="G677" s="61" t="str">
        <f t="shared" si="42"/>
        <v>Masaka</v>
      </c>
      <c r="H677" s="68" t="s">
        <v>2295</v>
      </c>
    </row>
    <row r="678" spans="1:9">
      <c r="A678" s="67">
        <v>191</v>
      </c>
      <c r="B678" s="68" t="s">
        <v>965</v>
      </c>
      <c r="C678" s="68" t="s">
        <v>966</v>
      </c>
      <c r="D678" s="68" t="s">
        <v>973</v>
      </c>
      <c r="E678" s="68"/>
      <c r="F678" s="61" t="str">
        <f t="shared" ref="F678" si="43">D678</f>
        <v>Kawalakol</v>
      </c>
      <c r="G678" s="61" t="str">
        <f t="shared" si="42"/>
        <v>Kaabong</v>
      </c>
      <c r="H678" s="68" t="s">
        <v>973</v>
      </c>
    </row>
    <row r="679" spans="1:9">
      <c r="A679" s="67">
        <v>345</v>
      </c>
      <c r="B679" s="68" t="s">
        <v>1082</v>
      </c>
      <c r="C679" s="68" t="s">
        <v>1083</v>
      </c>
      <c r="D679" s="68" t="s">
        <v>1096</v>
      </c>
      <c r="E679" s="72" t="s">
        <v>2296</v>
      </c>
      <c r="F679" s="61" t="str">
        <f>[2]KCCA!F679</f>
        <v>Bwaise</v>
      </c>
      <c r="G679" s="61" t="str">
        <f t="shared" si="42"/>
        <v>Kampala</v>
      </c>
      <c r="H679" s="68" t="s">
        <v>1096</v>
      </c>
    </row>
    <row r="680" spans="1:9">
      <c r="A680" s="67">
        <v>346</v>
      </c>
      <c r="B680" s="68" t="s">
        <v>1082</v>
      </c>
      <c r="C680" s="68" t="s">
        <v>1083</v>
      </c>
      <c r="D680" s="68" t="s">
        <v>1096</v>
      </c>
      <c r="E680" s="72" t="s">
        <v>2297</v>
      </c>
      <c r="F680" s="61" t="s">
        <v>1095</v>
      </c>
      <c r="G680" s="61" t="str">
        <f t="shared" si="42"/>
        <v>Kampala</v>
      </c>
      <c r="H680" s="68" t="s">
        <v>1096</v>
      </c>
      <c r="I680" s="73" t="s">
        <v>2256</v>
      </c>
    </row>
    <row r="681" spans="1:9">
      <c r="A681" s="67">
        <v>347</v>
      </c>
      <c r="B681" s="68" t="s">
        <v>1082</v>
      </c>
      <c r="C681" s="68" t="s">
        <v>1083</v>
      </c>
      <c r="D681" s="68" t="s">
        <v>1096</v>
      </c>
      <c r="E681" s="72" t="s">
        <v>2298</v>
      </c>
      <c r="F681" s="61" t="s">
        <v>1095</v>
      </c>
      <c r="G681" s="61" t="str">
        <f t="shared" si="42"/>
        <v>Kampala</v>
      </c>
      <c r="H681" s="68" t="s">
        <v>1096</v>
      </c>
      <c r="I681" s="73" t="s">
        <v>2256</v>
      </c>
    </row>
    <row r="682" spans="1:9">
      <c r="A682" s="67">
        <v>348</v>
      </c>
      <c r="B682" s="68" t="s">
        <v>1082</v>
      </c>
      <c r="C682" s="68" t="s">
        <v>1083</v>
      </c>
      <c r="D682" s="68" t="s">
        <v>1096</v>
      </c>
      <c r="E682" s="68" t="s">
        <v>1153</v>
      </c>
      <c r="F682" s="61" t="str">
        <f>[2]KCCA!F682</f>
        <v>Kanyanya</v>
      </c>
      <c r="G682" s="61" t="str">
        <f t="shared" si="42"/>
        <v>Kampala</v>
      </c>
      <c r="H682" s="68" t="s">
        <v>1096</v>
      </c>
    </row>
    <row r="683" spans="1:9">
      <c r="A683" s="67">
        <v>349</v>
      </c>
      <c r="B683" s="68" t="s">
        <v>1082</v>
      </c>
      <c r="C683" s="68" t="s">
        <v>1083</v>
      </c>
      <c r="D683" s="68" t="s">
        <v>1096</v>
      </c>
      <c r="E683" s="72" t="s">
        <v>2299</v>
      </c>
      <c r="F683" s="61" t="str">
        <f>[2]KCCA!F683</f>
        <v>Kawempe</v>
      </c>
      <c r="G683" s="61" t="str">
        <f t="shared" si="42"/>
        <v>Kampala</v>
      </c>
      <c r="H683" s="68" t="s">
        <v>1096</v>
      </c>
    </row>
    <row r="684" spans="1:9">
      <c r="A684" s="67">
        <v>350</v>
      </c>
      <c r="B684" s="68" t="s">
        <v>1082</v>
      </c>
      <c r="C684" s="68" t="s">
        <v>1083</v>
      </c>
      <c r="D684" s="68" t="s">
        <v>1096</v>
      </c>
      <c r="E684" s="72" t="s">
        <v>2300</v>
      </c>
      <c r="F684" s="61" t="s">
        <v>1157</v>
      </c>
      <c r="G684" s="61" t="str">
        <f t="shared" si="42"/>
        <v>Kampala</v>
      </c>
      <c r="H684" s="68" t="s">
        <v>1096</v>
      </c>
      <c r="I684" s="73" t="s">
        <v>2256</v>
      </c>
    </row>
    <row r="685" spans="1:9">
      <c r="A685" s="67">
        <v>351</v>
      </c>
      <c r="B685" s="68" t="s">
        <v>1082</v>
      </c>
      <c r="C685" s="68" t="s">
        <v>1083</v>
      </c>
      <c r="D685" s="68" t="s">
        <v>1096</v>
      </c>
      <c r="E685" s="68" t="s">
        <v>1159</v>
      </c>
      <c r="F685" s="61" t="str">
        <f>[2]KCCA!F685</f>
        <v>Kazo Angola</v>
      </c>
      <c r="G685" s="61" t="str">
        <f t="shared" si="42"/>
        <v>Kampala</v>
      </c>
      <c r="H685" s="68" t="s">
        <v>1096</v>
      </c>
    </row>
    <row r="686" spans="1:9">
      <c r="A686" s="67">
        <v>352</v>
      </c>
      <c r="B686" s="68" t="s">
        <v>1082</v>
      </c>
      <c r="C686" s="68" t="s">
        <v>1083</v>
      </c>
      <c r="D686" s="68" t="s">
        <v>1096</v>
      </c>
      <c r="E686" s="68" t="s">
        <v>1162</v>
      </c>
      <c r="F686" s="61" t="str">
        <f>[2]KCCA!F686</f>
        <v>Kikaaya</v>
      </c>
      <c r="G686" s="61" t="str">
        <f t="shared" si="42"/>
        <v>Kampala</v>
      </c>
      <c r="H686" s="68" t="s">
        <v>1096</v>
      </c>
    </row>
    <row r="687" spans="1:9">
      <c r="A687" s="67">
        <v>353</v>
      </c>
      <c r="B687" s="68" t="s">
        <v>1082</v>
      </c>
      <c r="C687" s="68" t="s">
        <v>1083</v>
      </c>
      <c r="D687" s="68" t="s">
        <v>1096</v>
      </c>
      <c r="E687" s="68" t="s">
        <v>1168</v>
      </c>
      <c r="F687" s="61" t="str">
        <f>[2]KCCA!F687</f>
        <v>Komamboga</v>
      </c>
      <c r="G687" s="61" t="str">
        <f t="shared" si="42"/>
        <v>Kampala</v>
      </c>
      <c r="H687" s="68" t="s">
        <v>1096</v>
      </c>
    </row>
    <row r="688" spans="1:9">
      <c r="A688" s="67">
        <v>354</v>
      </c>
      <c r="B688" s="68" t="s">
        <v>1082</v>
      </c>
      <c r="C688" s="68" t="s">
        <v>1083</v>
      </c>
      <c r="D688" s="68" t="s">
        <v>1096</v>
      </c>
      <c r="E688" s="68" t="s">
        <v>1171</v>
      </c>
      <c r="F688" s="61" t="str">
        <f>[2]KCCA!F688</f>
        <v>Kyebando</v>
      </c>
      <c r="G688" s="61" t="str">
        <f t="shared" si="42"/>
        <v>Kampala</v>
      </c>
      <c r="H688" s="68" t="s">
        <v>1096</v>
      </c>
    </row>
    <row r="689" spans="1:9">
      <c r="A689" s="67">
        <v>355</v>
      </c>
      <c r="B689" s="68" t="s">
        <v>1082</v>
      </c>
      <c r="C689" s="68" t="s">
        <v>1083</v>
      </c>
      <c r="D689" s="68" t="s">
        <v>1096</v>
      </c>
      <c r="E689" s="72" t="s">
        <v>2301</v>
      </c>
      <c r="F689" s="61" t="str">
        <f>[2]KCCA!F689</f>
        <v>Makerere</v>
      </c>
      <c r="G689" s="61" t="str">
        <f t="shared" si="42"/>
        <v>Kampala</v>
      </c>
      <c r="H689" s="68" t="s">
        <v>1096</v>
      </c>
    </row>
    <row r="690" spans="1:9">
      <c r="A690" s="67">
        <v>356</v>
      </c>
      <c r="B690" s="68" t="s">
        <v>1082</v>
      </c>
      <c r="C690" s="68" t="s">
        <v>1083</v>
      </c>
      <c r="D690" s="68" t="s">
        <v>1096</v>
      </c>
      <c r="E690" s="72" t="s">
        <v>2302</v>
      </c>
      <c r="F690" s="61" t="s">
        <v>1178</v>
      </c>
      <c r="G690" s="61" t="str">
        <f t="shared" si="42"/>
        <v>Kampala</v>
      </c>
      <c r="H690" s="68" t="s">
        <v>1096</v>
      </c>
      <c r="I690" s="73" t="s">
        <v>2256</v>
      </c>
    </row>
    <row r="691" spans="1:9">
      <c r="A691" s="67">
        <v>357</v>
      </c>
      <c r="B691" s="68" t="s">
        <v>1082</v>
      </c>
      <c r="C691" s="68" t="s">
        <v>1083</v>
      </c>
      <c r="D691" s="68" t="s">
        <v>1096</v>
      </c>
      <c r="E691" s="72" t="s">
        <v>2303</v>
      </c>
      <c r="F691" s="61" t="s">
        <v>1178</v>
      </c>
      <c r="G691" s="61" t="str">
        <f t="shared" si="42"/>
        <v>Kampala</v>
      </c>
      <c r="H691" s="68" t="s">
        <v>1096</v>
      </c>
      <c r="I691" s="73" t="s">
        <v>2256</v>
      </c>
    </row>
    <row r="692" spans="1:9" ht="25.5">
      <c r="A692" s="67">
        <v>358</v>
      </c>
      <c r="B692" s="68" t="s">
        <v>1082</v>
      </c>
      <c r="C692" s="68" t="s">
        <v>1083</v>
      </c>
      <c r="D692" s="68" t="s">
        <v>1096</v>
      </c>
      <c r="E692" s="68" t="s">
        <v>1179</v>
      </c>
      <c r="F692" s="61" t="str">
        <f>[2]KCCA!F692</f>
        <v>Makerere University</v>
      </c>
      <c r="G692" s="61" t="str">
        <f t="shared" si="42"/>
        <v>Kampala</v>
      </c>
      <c r="H692" s="68" t="s">
        <v>1096</v>
      </c>
    </row>
    <row r="693" spans="1:9">
      <c r="A693" s="67">
        <v>359</v>
      </c>
      <c r="B693" s="68" t="s">
        <v>1082</v>
      </c>
      <c r="C693" s="68" t="s">
        <v>1083</v>
      </c>
      <c r="D693" s="68" t="s">
        <v>1096</v>
      </c>
      <c r="E693" s="68" t="s">
        <v>1184</v>
      </c>
      <c r="F693" s="61" t="str">
        <f>[2]KCCA!F693</f>
        <v>Mpererwe</v>
      </c>
      <c r="G693" s="61" t="str">
        <f t="shared" si="42"/>
        <v>Kampala</v>
      </c>
      <c r="H693" s="68" t="s">
        <v>1096</v>
      </c>
    </row>
    <row r="694" spans="1:9">
      <c r="A694" s="67">
        <v>360</v>
      </c>
      <c r="B694" s="68" t="s">
        <v>1082</v>
      </c>
      <c r="C694" s="68" t="s">
        <v>1083</v>
      </c>
      <c r="D694" s="68" t="s">
        <v>1096</v>
      </c>
      <c r="E694" s="72" t="s">
        <v>2304</v>
      </c>
      <c r="F694" s="61" t="str">
        <f>[2]KCCA!F694</f>
        <v>Mulago</v>
      </c>
      <c r="G694" s="61" t="str">
        <f t="shared" si="42"/>
        <v>Kampala</v>
      </c>
      <c r="H694" s="68" t="s">
        <v>1096</v>
      </c>
    </row>
    <row r="695" spans="1:9">
      <c r="A695" s="67">
        <v>361</v>
      </c>
      <c r="B695" s="68" t="s">
        <v>1082</v>
      </c>
      <c r="C695" s="68" t="s">
        <v>1083</v>
      </c>
      <c r="D695" s="68" t="s">
        <v>1096</v>
      </c>
      <c r="E695" s="72" t="s">
        <v>2305</v>
      </c>
      <c r="F695" s="61" t="s">
        <v>1185</v>
      </c>
      <c r="G695" s="61" t="str">
        <f t="shared" si="42"/>
        <v>Kampala</v>
      </c>
      <c r="H695" s="68" t="s">
        <v>1096</v>
      </c>
      <c r="I695" s="73" t="s">
        <v>2256</v>
      </c>
    </row>
    <row r="696" spans="1:9">
      <c r="A696" s="67">
        <v>362</v>
      </c>
      <c r="B696" s="68" t="s">
        <v>1082</v>
      </c>
      <c r="C696" s="68" t="s">
        <v>1083</v>
      </c>
      <c r="D696" s="68" t="s">
        <v>1096</v>
      </c>
      <c r="E696" s="72" t="s">
        <v>2306</v>
      </c>
      <c r="F696" s="61" t="s">
        <v>1185</v>
      </c>
      <c r="G696" s="61" t="str">
        <f t="shared" si="42"/>
        <v>Kampala</v>
      </c>
      <c r="H696" s="68" t="s">
        <v>1096</v>
      </c>
      <c r="I696" s="73" t="s">
        <v>2256</v>
      </c>
    </row>
    <row r="697" spans="1:9">
      <c r="A697" s="67">
        <v>363</v>
      </c>
      <c r="B697" s="68" t="s">
        <v>1082</v>
      </c>
      <c r="C697" s="68" t="s">
        <v>1083</v>
      </c>
      <c r="D697" s="68" t="s">
        <v>1096</v>
      </c>
      <c r="E697" s="68" t="s">
        <v>1229</v>
      </c>
      <c r="F697" s="61" t="str">
        <f>[2]KCCA!F697</f>
        <v>Wandegeya</v>
      </c>
      <c r="G697" s="61" t="str">
        <f t="shared" si="42"/>
        <v>Kampala</v>
      </c>
      <c r="H697" s="68" t="s">
        <v>1096</v>
      </c>
    </row>
    <row r="698" spans="1:9" ht="25.5">
      <c r="A698" s="67">
        <v>601</v>
      </c>
      <c r="B698" s="68" t="s">
        <v>688</v>
      </c>
      <c r="C698" s="69" t="s">
        <v>690</v>
      </c>
      <c r="D698" s="68" t="s">
        <v>2307</v>
      </c>
      <c r="E698" s="68"/>
      <c r="F698" s="62" t="str">
        <f>VLOOKUP(C698,[2]Municipalities!$C$9:$F$1522,4,FALSE)</f>
        <v>Lugazi Municipality</v>
      </c>
      <c r="G698" s="61" t="str">
        <f t="shared" si="42"/>
        <v>Buikwe</v>
      </c>
      <c r="H698" s="68" t="s">
        <v>2307</v>
      </c>
    </row>
    <row r="699" spans="1:9">
      <c r="A699" s="67">
        <v>747</v>
      </c>
      <c r="B699" s="68" t="s">
        <v>1283</v>
      </c>
      <c r="C699" s="68" t="s">
        <v>1284</v>
      </c>
      <c r="D699" s="68" t="s">
        <v>1293</v>
      </c>
      <c r="E699" s="68"/>
      <c r="F699" s="61" t="str">
        <f t="shared" ref="F699" si="44">D699</f>
        <v>Kawowo</v>
      </c>
      <c r="G699" s="61" t="str">
        <f t="shared" si="42"/>
        <v>Kapchorwa</v>
      </c>
      <c r="H699" s="68" t="s">
        <v>1293</v>
      </c>
    </row>
    <row r="700" spans="1:9">
      <c r="A700" s="67">
        <v>525</v>
      </c>
      <c r="B700" s="68" t="s">
        <v>1335</v>
      </c>
      <c r="C700" s="68" t="s">
        <v>1334</v>
      </c>
      <c r="D700" s="72" t="s">
        <v>2308</v>
      </c>
      <c r="E700" s="68"/>
      <c r="F700" s="61" t="str">
        <f t="shared" ref="F700:F702" si="45">D700&amp;"-"&amp;B700</f>
        <v>Kayonza-Kayunga</v>
      </c>
      <c r="G700" s="61" t="str">
        <f t="shared" si="42"/>
        <v>Kayunga</v>
      </c>
      <c r="H700" s="72" t="s">
        <v>2308</v>
      </c>
    </row>
    <row r="701" spans="1:9">
      <c r="A701" s="67">
        <v>1278</v>
      </c>
      <c r="B701" s="68" t="s">
        <v>46</v>
      </c>
      <c r="C701" s="68" t="s">
        <v>1897</v>
      </c>
      <c r="D701" s="72" t="s">
        <v>2308</v>
      </c>
      <c r="E701" s="68"/>
      <c r="F701" s="61" t="str">
        <f t="shared" si="45"/>
        <v>Kayonza-Ntungamo</v>
      </c>
      <c r="G701" s="61" t="str">
        <f t="shared" si="42"/>
        <v>Ntungamo</v>
      </c>
      <c r="H701" s="72" t="s">
        <v>2308</v>
      </c>
    </row>
    <row r="702" spans="1:9">
      <c r="A702" s="67">
        <v>1319</v>
      </c>
      <c r="B702" s="68" t="s">
        <v>1264</v>
      </c>
      <c r="C702" s="68" t="s">
        <v>1265</v>
      </c>
      <c r="D702" s="72" t="s">
        <v>2308</v>
      </c>
      <c r="E702" s="68"/>
      <c r="F702" s="61" t="str">
        <f t="shared" si="45"/>
        <v>Kayonza-Kanungu</v>
      </c>
      <c r="G702" s="61" t="str">
        <f t="shared" si="42"/>
        <v>Kanungu</v>
      </c>
      <c r="H702" s="72" t="s">
        <v>2308</v>
      </c>
    </row>
    <row r="703" spans="1:9">
      <c r="A703" s="67">
        <v>529</v>
      </c>
      <c r="B703" s="68" t="s">
        <v>1335</v>
      </c>
      <c r="C703" s="68" t="s">
        <v>1337</v>
      </c>
      <c r="D703" s="68" t="s">
        <v>1335</v>
      </c>
      <c r="E703" s="68"/>
      <c r="F703" s="61" t="str">
        <f t="shared" ref="F703:F766" si="46">D703</f>
        <v>Kayunga</v>
      </c>
      <c r="G703" s="61" t="str">
        <f t="shared" si="42"/>
        <v>Kayunga</v>
      </c>
      <c r="H703" s="68" t="s">
        <v>1335</v>
      </c>
    </row>
    <row r="704" spans="1:9">
      <c r="A704" s="67">
        <v>530</v>
      </c>
      <c r="B704" s="68" t="s">
        <v>1335</v>
      </c>
      <c r="C704" s="68" t="s">
        <v>1337</v>
      </c>
      <c r="D704" s="68" t="s">
        <v>1341</v>
      </c>
      <c r="E704" s="68"/>
      <c r="F704" s="61" t="str">
        <f t="shared" si="46"/>
        <v>Kayunga Town Council</v>
      </c>
      <c r="G704" s="61" t="str">
        <f t="shared" si="42"/>
        <v>Kayunga</v>
      </c>
      <c r="H704" s="68" t="s">
        <v>1341</v>
      </c>
    </row>
    <row r="705" spans="1:8">
      <c r="A705" s="67">
        <v>1391</v>
      </c>
      <c r="B705" s="68" t="s">
        <v>1375</v>
      </c>
      <c r="C705" s="68" t="s">
        <v>1376</v>
      </c>
      <c r="D705" s="68" t="s">
        <v>1376</v>
      </c>
      <c r="E705" s="68"/>
      <c r="F705" s="61" t="str">
        <f t="shared" si="46"/>
        <v>Kazo</v>
      </c>
      <c r="G705" s="61" t="str">
        <f t="shared" si="42"/>
        <v>Kiruhura</v>
      </c>
      <c r="H705" s="68" t="s">
        <v>1376</v>
      </c>
    </row>
    <row r="706" spans="1:8">
      <c r="A706" s="67">
        <v>1392</v>
      </c>
      <c r="B706" s="68" t="s">
        <v>1375</v>
      </c>
      <c r="C706" s="68" t="s">
        <v>1376</v>
      </c>
      <c r="D706" s="68" t="s">
        <v>1383</v>
      </c>
      <c r="E706" s="68"/>
      <c r="F706" s="61" t="str">
        <f t="shared" si="46"/>
        <v>Kazo Town Council</v>
      </c>
      <c r="G706" s="61" t="str">
        <f t="shared" si="42"/>
        <v>Kiruhura</v>
      </c>
      <c r="H706" s="68" t="s">
        <v>1383</v>
      </c>
    </row>
    <row r="707" spans="1:8">
      <c r="A707" s="67">
        <v>1284</v>
      </c>
      <c r="B707" s="68" t="s">
        <v>40</v>
      </c>
      <c r="C707" s="68" t="s">
        <v>2020</v>
      </c>
      <c r="D707" s="68" t="s">
        <v>2023</v>
      </c>
      <c r="E707" s="68"/>
      <c r="F707" s="61" t="str">
        <f t="shared" si="46"/>
        <v>Kebisoni</v>
      </c>
      <c r="G707" s="61" t="str">
        <f t="shared" si="42"/>
        <v>Rukungiri</v>
      </c>
      <c r="H707" s="68" t="s">
        <v>2023</v>
      </c>
    </row>
    <row r="708" spans="1:8">
      <c r="A708" s="67">
        <v>1288</v>
      </c>
      <c r="B708" s="68" t="s">
        <v>40</v>
      </c>
      <c r="C708" s="68" t="s">
        <v>2020</v>
      </c>
      <c r="D708" s="68" t="s">
        <v>2024</v>
      </c>
      <c r="E708" s="68"/>
      <c r="F708" s="61" t="str">
        <f t="shared" si="46"/>
        <v>Kebisoni Town Council</v>
      </c>
      <c r="G708" s="61" t="str">
        <f t="shared" si="42"/>
        <v>Rukungiri</v>
      </c>
      <c r="H708" s="68" t="s">
        <v>2024</v>
      </c>
    </row>
    <row r="709" spans="1:8">
      <c r="A709" s="67">
        <v>141</v>
      </c>
      <c r="B709" s="68" t="s">
        <v>2183</v>
      </c>
      <c r="C709" s="68" t="s">
        <v>2184</v>
      </c>
      <c r="D709" s="68" t="s">
        <v>2187</v>
      </c>
      <c r="E709" s="68"/>
      <c r="F709" s="61" t="str">
        <f t="shared" si="46"/>
        <v>Kei</v>
      </c>
      <c r="G709" s="61" t="str">
        <f t="shared" si="42"/>
        <v>Yumbe</v>
      </c>
      <c r="H709" s="68" t="s">
        <v>2187</v>
      </c>
    </row>
    <row r="710" spans="1:8">
      <c r="A710" s="67">
        <v>1356</v>
      </c>
      <c r="B710" s="68" t="s">
        <v>43</v>
      </c>
      <c r="C710" s="68" t="s">
        <v>43</v>
      </c>
      <c r="D710" s="68" t="s">
        <v>904</v>
      </c>
      <c r="E710" s="68"/>
      <c r="F710" s="61" t="str">
        <f t="shared" si="46"/>
        <v>Keihangara</v>
      </c>
      <c r="G710" s="61" t="str">
        <f t="shared" si="42"/>
        <v>Ibanda</v>
      </c>
      <c r="H710" s="68" t="s">
        <v>904</v>
      </c>
    </row>
    <row r="711" spans="1:8">
      <c r="A711" s="67">
        <v>1397</v>
      </c>
      <c r="B711" s="68" t="s">
        <v>1375</v>
      </c>
      <c r="C711" s="68" t="s">
        <v>1381</v>
      </c>
      <c r="D711" s="68" t="s">
        <v>1384</v>
      </c>
      <c r="E711" s="68"/>
      <c r="F711" s="61" t="str">
        <f t="shared" si="46"/>
        <v>Kenshunga</v>
      </c>
      <c r="G711" s="61" t="str">
        <f t="shared" si="42"/>
        <v>Kiruhura</v>
      </c>
      <c r="H711" s="68" t="s">
        <v>1384</v>
      </c>
    </row>
    <row r="712" spans="1:8">
      <c r="A712" s="67">
        <v>142</v>
      </c>
      <c r="B712" s="68" t="s">
        <v>2183</v>
      </c>
      <c r="C712" s="68" t="s">
        <v>2184</v>
      </c>
      <c r="D712" s="68" t="s">
        <v>2188</v>
      </c>
      <c r="E712" s="68"/>
      <c r="F712" s="61" t="str">
        <f t="shared" si="46"/>
        <v>Kerwa</v>
      </c>
      <c r="G712" s="61" t="str">
        <f t="shared" si="42"/>
        <v>Yumbe</v>
      </c>
      <c r="H712" s="68" t="s">
        <v>2188</v>
      </c>
    </row>
    <row r="713" spans="1:8">
      <c r="A713" s="67">
        <v>982</v>
      </c>
      <c r="B713" s="68" t="s">
        <v>1583</v>
      </c>
      <c r="C713" s="68" t="s">
        <v>1584</v>
      </c>
      <c r="D713" s="68" t="s">
        <v>1595</v>
      </c>
      <c r="E713" s="68"/>
      <c r="F713" s="61" t="str">
        <f t="shared" si="46"/>
        <v>Khabutoola</v>
      </c>
      <c r="G713" s="61" t="str">
        <f t="shared" si="42"/>
        <v>Manafwa</v>
      </c>
      <c r="H713" s="68" t="s">
        <v>1595</v>
      </c>
    </row>
    <row r="714" spans="1:8">
      <c r="A714" s="67">
        <v>992</v>
      </c>
      <c r="B714" s="68" t="s">
        <v>1846</v>
      </c>
      <c r="C714" s="68" t="s">
        <v>1847</v>
      </c>
      <c r="D714" s="68" t="s">
        <v>1345</v>
      </c>
      <c r="E714" s="68"/>
      <c r="F714" s="61" t="str">
        <f t="shared" si="46"/>
        <v>Kibaale</v>
      </c>
      <c r="G714" s="61" t="str">
        <f t="shared" ref="G714:G777" si="47">B714</f>
        <v>Namutumba</v>
      </c>
      <c r="H714" s="68" t="s">
        <v>1345</v>
      </c>
    </row>
    <row r="715" spans="1:8">
      <c r="A715" s="67">
        <v>1210</v>
      </c>
      <c r="B715" s="68" t="s">
        <v>1345</v>
      </c>
      <c r="C715" s="68" t="s">
        <v>1346</v>
      </c>
      <c r="D715" s="68" t="s">
        <v>1350</v>
      </c>
      <c r="E715" s="68"/>
      <c r="F715" s="61" t="str">
        <f t="shared" si="46"/>
        <v>Kibaale Town Council</v>
      </c>
      <c r="G715" s="61" t="str">
        <f t="shared" si="47"/>
        <v>Kibaale</v>
      </c>
      <c r="H715" s="68" t="s">
        <v>1350</v>
      </c>
    </row>
    <row r="716" spans="1:8" ht="25.5">
      <c r="A716" s="67">
        <v>1082</v>
      </c>
      <c r="B716" s="68" t="s">
        <v>832</v>
      </c>
      <c r="C716" s="68" t="s">
        <v>833</v>
      </c>
      <c r="D716" s="68" t="s">
        <v>837</v>
      </c>
      <c r="E716" s="68"/>
      <c r="F716" s="61" t="str">
        <f t="shared" si="46"/>
        <v>Kibale</v>
      </c>
      <c r="G716" s="61" t="str">
        <f t="shared" si="47"/>
        <v>Butebo</v>
      </c>
      <c r="H716" s="68" t="s">
        <v>837</v>
      </c>
    </row>
    <row r="717" spans="1:8">
      <c r="A717" s="67">
        <v>464</v>
      </c>
      <c r="B717" s="68" t="s">
        <v>1739</v>
      </c>
      <c r="C717" s="68" t="s">
        <v>1740</v>
      </c>
      <c r="D717" s="68" t="s">
        <v>1747</v>
      </c>
      <c r="E717" s="68"/>
      <c r="F717" s="61" t="str">
        <f t="shared" si="46"/>
        <v>Kibalinga</v>
      </c>
      <c r="G717" s="61" t="str">
        <f t="shared" si="47"/>
        <v>Mubende</v>
      </c>
      <c r="H717" s="68" t="s">
        <v>1747</v>
      </c>
    </row>
    <row r="718" spans="1:8">
      <c r="A718" s="67">
        <v>660</v>
      </c>
      <c r="B718" s="68" t="s">
        <v>1517</v>
      </c>
      <c r="C718" s="68" t="s">
        <v>1521</v>
      </c>
      <c r="D718" s="68" t="s">
        <v>1396</v>
      </c>
      <c r="E718" s="68"/>
      <c r="F718" s="61" t="str">
        <f t="shared" si="46"/>
        <v>Kibanda</v>
      </c>
      <c r="G718" s="61" t="str">
        <f t="shared" si="47"/>
        <v>Kyotera</v>
      </c>
      <c r="H718" s="68" t="s">
        <v>1396</v>
      </c>
    </row>
    <row r="719" spans="1:8">
      <c r="A719" s="67">
        <v>1263</v>
      </c>
      <c r="B719" s="68" t="s">
        <v>46</v>
      </c>
      <c r="C719" s="68" t="s">
        <v>1891</v>
      </c>
      <c r="D719" s="68" t="s">
        <v>1898</v>
      </c>
      <c r="E719" s="68"/>
      <c r="F719" s="61" t="str">
        <f t="shared" si="46"/>
        <v>Kibatsi</v>
      </c>
      <c r="G719" s="61" t="str">
        <f t="shared" si="47"/>
        <v>Ntungamo</v>
      </c>
      <c r="H719" s="68" t="s">
        <v>1898</v>
      </c>
    </row>
    <row r="720" spans="1:8">
      <c r="A720" s="67">
        <v>615</v>
      </c>
      <c r="B720" s="68" t="s">
        <v>826</v>
      </c>
      <c r="C720" s="68" t="s">
        <v>826</v>
      </c>
      <c r="D720" s="68" t="s">
        <v>830</v>
      </c>
      <c r="E720" s="68"/>
      <c r="F720" s="61" t="str">
        <f t="shared" si="46"/>
        <v>Kibibi</v>
      </c>
      <c r="G720" s="61" t="str">
        <f t="shared" si="47"/>
        <v>Butambala</v>
      </c>
      <c r="H720" s="68" t="s">
        <v>830</v>
      </c>
    </row>
    <row r="721" spans="1:8">
      <c r="A721" s="67">
        <v>425</v>
      </c>
      <c r="B721" s="68" t="s">
        <v>1356</v>
      </c>
      <c r="C721" s="68" t="s">
        <v>1356</v>
      </c>
      <c r="D721" s="68" t="s">
        <v>1360</v>
      </c>
      <c r="E721" s="68"/>
      <c r="F721" s="61" t="str">
        <f t="shared" si="46"/>
        <v>Kibiga</v>
      </c>
      <c r="G721" s="61" t="str">
        <f t="shared" si="47"/>
        <v>Kiboga</v>
      </c>
      <c r="H721" s="68" t="s">
        <v>1360</v>
      </c>
    </row>
    <row r="722" spans="1:8">
      <c r="A722" s="67">
        <v>1518</v>
      </c>
      <c r="B722" s="68" t="s">
        <v>773</v>
      </c>
      <c r="C722" s="68" t="s">
        <v>773</v>
      </c>
      <c r="D722" s="68" t="s">
        <v>777</v>
      </c>
      <c r="E722" s="68"/>
      <c r="F722" s="61" t="str">
        <f t="shared" si="46"/>
        <v>Kibiito</v>
      </c>
      <c r="G722" s="61" t="str">
        <f t="shared" si="47"/>
        <v>Bunyangabu</v>
      </c>
      <c r="H722" s="68" t="s">
        <v>777</v>
      </c>
    </row>
    <row r="723" spans="1:8">
      <c r="A723" s="67">
        <v>1519</v>
      </c>
      <c r="B723" s="68" t="s">
        <v>773</v>
      </c>
      <c r="C723" s="68" t="s">
        <v>773</v>
      </c>
      <c r="D723" s="68" t="s">
        <v>778</v>
      </c>
      <c r="E723" s="68"/>
      <c r="F723" s="61" t="str">
        <f t="shared" si="46"/>
        <v>Kibiito Town Council</v>
      </c>
      <c r="G723" s="61" t="str">
        <f t="shared" si="47"/>
        <v>Bunyangabu</v>
      </c>
      <c r="H723" s="68" t="s">
        <v>778</v>
      </c>
    </row>
    <row r="724" spans="1:8">
      <c r="A724" s="67">
        <v>609</v>
      </c>
      <c r="B724" s="68" t="s">
        <v>704</v>
      </c>
      <c r="C724" s="68" t="s">
        <v>704</v>
      </c>
      <c r="D724" s="68" t="s">
        <v>707</v>
      </c>
      <c r="E724" s="68"/>
      <c r="F724" s="61" t="str">
        <f t="shared" si="46"/>
        <v>Kibinge</v>
      </c>
      <c r="G724" s="61" t="str">
        <f t="shared" si="47"/>
        <v>Bukomansimbi</v>
      </c>
      <c r="H724" s="68" t="s">
        <v>707</v>
      </c>
    </row>
    <row r="725" spans="1:8">
      <c r="A725" s="67">
        <v>426</v>
      </c>
      <c r="B725" s="68" t="s">
        <v>1356</v>
      </c>
      <c r="C725" s="68" t="s">
        <v>1356</v>
      </c>
      <c r="D725" s="68" t="s">
        <v>1361</v>
      </c>
      <c r="E725" s="68"/>
      <c r="F725" s="61" t="str">
        <f t="shared" si="46"/>
        <v>Kiboga Town Council</v>
      </c>
      <c r="G725" s="61" t="str">
        <f t="shared" si="47"/>
        <v>Kiboga</v>
      </c>
      <c r="H725" s="68" t="s">
        <v>1361</v>
      </c>
    </row>
    <row r="726" spans="1:8">
      <c r="A726" s="67">
        <v>1030</v>
      </c>
      <c r="B726" s="68" t="s">
        <v>1365</v>
      </c>
      <c r="C726" s="68" t="s">
        <v>1365</v>
      </c>
      <c r="D726" s="68" t="s">
        <v>1365</v>
      </c>
      <c r="E726" s="68"/>
      <c r="F726" s="61" t="str">
        <f t="shared" si="46"/>
        <v>Kibuku</v>
      </c>
      <c r="G726" s="61" t="str">
        <f t="shared" si="47"/>
        <v>Kibuku</v>
      </c>
      <c r="H726" s="68" t="s">
        <v>1365</v>
      </c>
    </row>
    <row r="727" spans="1:8">
      <c r="A727" s="67">
        <v>1031</v>
      </c>
      <c r="B727" s="68" t="s">
        <v>1365</v>
      </c>
      <c r="C727" s="68" t="s">
        <v>1365</v>
      </c>
      <c r="D727" s="68" t="s">
        <v>1371</v>
      </c>
      <c r="E727" s="68"/>
      <c r="F727" s="61" t="str">
        <f t="shared" si="46"/>
        <v>Kibuku Town Council</v>
      </c>
      <c r="G727" s="61" t="str">
        <f t="shared" si="47"/>
        <v>Kibuku</v>
      </c>
      <c r="H727" s="68" t="s">
        <v>1371</v>
      </c>
    </row>
    <row r="728" spans="1:8">
      <c r="A728" s="67">
        <v>1448</v>
      </c>
      <c r="B728" s="68" t="s">
        <v>1880</v>
      </c>
      <c r="C728" s="68" t="s">
        <v>1880</v>
      </c>
      <c r="D728" s="68" t="s">
        <v>1886</v>
      </c>
      <c r="E728" s="68"/>
      <c r="F728" s="61" t="str">
        <f t="shared" si="46"/>
        <v>Kibuuku Town Council</v>
      </c>
      <c r="G728" s="61" t="str">
        <f t="shared" si="47"/>
        <v>Ntoroko</v>
      </c>
      <c r="H728" s="68" t="s">
        <v>1886</v>
      </c>
    </row>
    <row r="729" spans="1:8">
      <c r="A729" s="67">
        <v>1309</v>
      </c>
      <c r="B729" s="68" t="s">
        <v>44</v>
      </c>
      <c r="C729" s="68" t="s">
        <v>1250</v>
      </c>
      <c r="D729" s="68" t="s">
        <v>1257</v>
      </c>
      <c r="E729" s="68"/>
      <c r="F729" s="61" t="str">
        <f t="shared" si="46"/>
        <v>Kicheche</v>
      </c>
      <c r="G729" s="61" t="str">
        <f t="shared" si="47"/>
        <v>Kamwenge</v>
      </c>
      <c r="H729" s="68" t="s">
        <v>1257</v>
      </c>
    </row>
    <row r="730" spans="1:8">
      <c r="A730" s="67">
        <v>1453</v>
      </c>
      <c r="B730" s="68" t="s">
        <v>2000</v>
      </c>
      <c r="C730" s="68" t="s">
        <v>48</v>
      </c>
      <c r="D730" s="68" t="s">
        <v>51</v>
      </c>
      <c r="E730" s="68"/>
      <c r="F730" s="61" t="str">
        <f t="shared" si="46"/>
        <v>Kichwamba</v>
      </c>
      <c r="G730" s="61" t="str">
        <f t="shared" si="47"/>
        <v>Rubirizi</v>
      </c>
      <c r="H730" s="68" t="s">
        <v>51</v>
      </c>
    </row>
    <row r="731" spans="1:8">
      <c r="A731" s="67">
        <v>1357</v>
      </c>
      <c r="B731" s="68" t="s">
        <v>43</v>
      </c>
      <c r="C731" s="68" t="s">
        <v>43</v>
      </c>
      <c r="D731" s="68" t="s">
        <v>905</v>
      </c>
      <c r="E731" s="68"/>
      <c r="F731" s="61" t="str">
        <f t="shared" si="46"/>
        <v>Kicuzi</v>
      </c>
      <c r="G731" s="61" t="str">
        <f t="shared" si="47"/>
        <v>Ibanda</v>
      </c>
      <c r="H731" s="68" t="s">
        <v>905</v>
      </c>
    </row>
    <row r="732" spans="1:8">
      <c r="A732" s="67">
        <v>1169</v>
      </c>
      <c r="B732" s="68" t="s">
        <v>994</v>
      </c>
      <c r="C732" s="68" t="s">
        <v>995</v>
      </c>
      <c r="D732" s="68" t="s">
        <v>1003</v>
      </c>
      <c r="E732" s="68"/>
      <c r="F732" s="61" t="str">
        <f t="shared" si="46"/>
        <v>Kicwamba</v>
      </c>
      <c r="G732" s="61" t="str">
        <f t="shared" si="47"/>
        <v>Kabarole</v>
      </c>
      <c r="H732" s="68" t="s">
        <v>1003</v>
      </c>
    </row>
    <row r="733" spans="1:8">
      <c r="A733" s="67">
        <v>1022</v>
      </c>
      <c r="B733" s="68" t="s">
        <v>852</v>
      </c>
      <c r="C733" s="68" t="s">
        <v>853</v>
      </c>
      <c r="D733" s="68" t="s">
        <v>856</v>
      </c>
      <c r="E733" s="68"/>
      <c r="F733" s="61" t="str">
        <f t="shared" si="46"/>
        <v>Kidera</v>
      </c>
      <c r="G733" s="61" t="str">
        <f t="shared" si="47"/>
        <v>Buyende</v>
      </c>
      <c r="H733" s="68" t="s">
        <v>856</v>
      </c>
    </row>
    <row r="734" spans="1:8">
      <c r="A734" s="67">
        <v>934</v>
      </c>
      <c r="B734" s="68" t="s">
        <v>697</v>
      </c>
      <c r="C734" s="68" t="s">
        <v>697</v>
      </c>
      <c r="D734" s="68" t="s">
        <v>700</v>
      </c>
      <c r="E734" s="68"/>
      <c r="F734" s="61" t="str">
        <f t="shared" si="46"/>
        <v>Kidongole</v>
      </c>
      <c r="G734" s="61" t="str">
        <f t="shared" si="47"/>
        <v>Bukedea</v>
      </c>
      <c r="H734" s="68" t="s">
        <v>700</v>
      </c>
    </row>
    <row r="735" spans="1:8">
      <c r="A735" s="67">
        <v>505</v>
      </c>
      <c r="B735" s="68" t="s">
        <v>1978</v>
      </c>
      <c r="C735" s="68" t="s">
        <v>1982</v>
      </c>
      <c r="D735" s="68" t="s">
        <v>1983</v>
      </c>
      <c r="E735" s="68"/>
      <c r="F735" s="61" t="str">
        <f t="shared" si="46"/>
        <v>Kifamba</v>
      </c>
      <c r="G735" s="61" t="str">
        <f t="shared" si="47"/>
        <v>Rakai</v>
      </c>
      <c r="H735" s="68" t="s">
        <v>1983</v>
      </c>
    </row>
    <row r="736" spans="1:8">
      <c r="A736" s="67">
        <v>470</v>
      </c>
      <c r="B736" s="68" t="s">
        <v>1739</v>
      </c>
      <c r="C736" s="68" t="s">
        <v>1742</v>
      </c>
      <c r="D736" s="68" t="s">
        <v>1748</v>
      </c>
      <c r="E736" s="68"/>
      <c r="F736" s="61" t="str">
        <f t="shared" si="46"/>
        <v>Kiganda</v>
      </c>
      <c r="G736" s="61" t="str">
        <f t="shared" si="47"/>
        <v>Mubende</v>
      </c>
      <c r="H736" s="68" t="s">
        <v>1748</v>
      </c>
    </row>
    <row r="737" spans="1:8">
      <c r="A737" s="67">
        <v>858</v>
      </c>
      <c r="B737" s="68" t="s">
        <v>1630</v>
      </c>
      <c r="C737" s="68" t="s">
        <v>1631</v>
      </c>
      <c r="D737" s="68" t="s">
        <v>1638</v>
      </c>
      <c r="E737" s="68"/>
      <c r="F737" s="61" t="str">
        <f t="shared" si="46"/>
        <v>Kigandalo</v>
      </c>
      <c r="G737" s="61" t="str">
        <f t="shared" si="47"/>
        <v>Mayuge</v>
      </c>
      <c r="H737" s="68" t="s">
        <v>1638</v>
      </c>
    </row>
    <row r="738" spans="1:8">
      <c r="A738" s="67">
        <v>465</v>
      </c>
      <c r="B738" s="68" t="s">
        <v>1739</v>
      </c>
      <c r="C738" s="68" t="s">
        <v>1740</v>
      </c>
      <c r="D738" s="68" t="s">
        <v>1749</v>
      </c>
      <c r="E738" s="68"/>
      <c r="F738" s="61" t="str">
        <f t="shared" si="46"/>
        <v>Kigando</v>
      </c>
      <c r="G738" s="61" t="str">
        <f t="shared" si="47"/>
        <v>Mubende</v>
      </c>
      <c r="H738" s="68" t="s">
        <v>1749</v>
      </c>
    </row>
    <row r="739" spans="1:8">
      <c r="A739" s="67">
        <v>1337</v>
      </c>
      <c r="B739" s="68" t="s">
        <v>1499</v>
      </c>
      <c r="C739" s="68" t="s">
        <v>1500</v>
      </c>
      <c r="D739" s="68" t="s">
        <v>1507</v>
      </c>
      <c r="E739" s="68"/>
      <c r="F739" s="61" t="str">
        <f t="shared" si="46"/>
        <v>Kigaraale</v>
      </c>
      <c r="G739" s="61" t="str">
        <f t="shared" si="47"/>
        <v>Kyenjojo</v>
      </c>
      <c r="H739" s="68" t="s">
        <v>1507</v>
      </c>
    </row>
    <row r="740" spans="1:8">
      <c r="A740" s="67">
        <v>1465</v>
      </c>
      <c r="B740" s="68" t="s">
        <v>41</v>
      </c>
      <c r="C740" s="68" t="s">
        <v>41</v>
      </c>
      <c r="D740" s="68" t="s">
        <v>2046</v>
      </c>
      <c r="E740" s="68"/>
      <c r="F740" s="61" t="str">
        <f t="shared" si="46"/>
        <v>Kigarama</v>
      </c>
      <c r="G740" s="61" t="str">
        <f t="shared" si="47"/>
        <v>Sheema</v>
      </c>
      <c r="H740" s="68" t="s">
        <v>2046</v>
      </c>
    </row>
    <row r="741" spans="1:8">
      <c r="A741" s="67">
        <v>1136</v>
      </c>
      <c r="B741" s="68" t="s">
        <v>884</v>
      </c>
      <c r="C741" s="68" t="s">
        <v>887</v>
      </c>
      <c r="D741" s="68" t="s">
        <v>893</v>
      </c>
      <c r="E741" s="68"/>
      <c r="F741" s="61" t="str">
        <f t="shared" si="46"/>
        <v>Kigorobya</v>
      </c>
      <c r="G741" s="61" t="str">
        <f t="shared" si="47"/>
        <v>Hoima</v>
      </c>
      <c r="H741" s="68" t="s">
        <v>893</v>
      </c>
    </row>
    <row r="742" spans="1:8">
      <c r="A742" s="67">
        <v>1137</v>
      </c>
      <c r="B742" s="68" t="s">
        <v>884</v>
      </c>
      <c r="C742" s="68" t="s">
        <v>887</v>
      </c>
      <c r="D742" s="68" t="s">
        <v>894</v>
      </c>
      <c r="E742" s="68"/>
      <c r="F742" s="61" t="str">
        <f t="shared" si="46"/>
        <v>Kigorobya Town Council</v>
      </c>
      <c r="G742" s="61" t="str">
        <f t="shared" si="47"/>
        <v>Hoima</v>
      </c>
      <c r="H742" s="68" t="s">
        <v>894</v>
      </c>
    </row>
    <row r="743" spans="1:8" ht="25.5">
      <c r="A743" s="67">
        <v>1240</v>
      </c>
      <c r="B743" s="70" t="s">
        <v>1621</v>
      </c>
      <c r="C743" s="71" t="s">
        <v>1626</v>
      </c>
      <c r="D743" s="70" t="s">
        <v>2309</v>
      </c>
      <c r="E743" s="70"/>
      <c r="F743" s="62" t="str">
        <f>VLOOKUP(C743,[2]Municipalities!$C$9:$F$1522,4,FALSE)</f>
        <v>Masindi Municipality</v>
      </c>
      <c r="G743" s="61" t="str">
        <f t="shared" si="47"/>
        <v>Masindi</v>
      </c>
      <c r="H743" s="70" t="s">
        <v>2309</v>
      </c>
    </row>
    <row r="744" spans="1:8">
      <c r="A744" s="67">
        <v>1414</v>
      </c>
      <c r="B744" s="68" t="s">
        <v>1395</v>
      </c>
      <c r="C744" s="68" t="s">
        <v>1396</v>
      </c>
      <c r="D744" s="68" t="s">
        <v>1397</v>
      </c>
      <c r="E744" s="68"/>
      <c r="F744" s="61" t="str">
        <f t="shared" si="46"/>
        <v>Kigumba</v>
      </c>
      <c r="G744" s="61" t="str">
        <f t="shared" si="47"/>
        <v>Kiryandongo</v>
      </c>
      <c r="H744" s="68" t="s">
        <v>1397</v>
      </c>
    </row>
    <row r="745" spans="1:8">
      <c r="A745" s="67">
        <v>1415</v>
      </c>
      <c r="B745" s="68" t="s">
        <v>1395</v>
      </c>
      <c r="C745" s="68" t="s">
        <v>1396</v>
      </c>
      <c r="D745" s="68" t="s">
        <v>1398</v>
      </c>
      <c r="E745" s="68"/>
      <c r="F745" s="61" t="str">
        <f t="shared" si="46"/>
        <v>Kigumba Town Council</v>
      </c>
      <c r="G745" s="61" t="str">
        <f t="shared" si="47"/>
        <v>Kiryandongo</v>
      </c>
      <c r="H745" s="68" t="s">
        <v>1398</v>
      </c>
    </row>
    <row r="746" spans="1:8">
      <c r="A746" s="67">
        <v>1350</v>
      </c>
      <c r="B746" s="68" t="s">
        <v>743</v>
      </c>
      <c r="C746" s="68" t="s">
        <v>743</v>
      </c>
      <c r="D746" s="68" t="s">
        <v>746</v>
      </c>
      <c r="E746" s="68"/>
      <c r="F746" s="61" t="str">
        <f t="shared" si="46"/>
        <v>Kigwera</v>
      </c>
      <c r="G746" s="61" t="str">
        <f t="shared" si="47"/>
        <v>Buliisa</v>
      </c>
      <c r="H746" s="68" t="s">
        <v>746</v>
      </c>
    </row>
    <row r="747" spans="1:8">
      <c r="A747" s="67">
        <v>1320</v>
      </c>
      <c r="B747" s="68" t="s">
        <v>1264</v>
      </c>
      <c r="C747" s="68" t="s">
        <v>1265</v>
      </c>
      <c r="D747" s="68" t="s">
        <v>1272</v>
      </c>
      <c r="E747" s="68"/>
      <c r="F747" s="61" t="str">
        <f t="shared" si="46"/>
        <v>Kihihi</v>
      </c>
      <c r="G747" s="61" t="str">
        <f t="shared" si="47"/>
        <v>Kanungu</v>
      </c>
      <c r="H747" s="68" t="s">
        <v>1272</v>
      </c>
    </row>
    <row r="748" spans="1:8">
      <c r="A748" s="67">
        <v>1321</v>
      </c>
      <c r="B748" s="68" t="s">
        <v>1264</v>
      </c>
      <c r="C748" s="68" t="s">
        <v>1265</v>
      </c>
      <c r="D748" s="68" t="s">
        <v>1273</v>
      </c>
      <c r="E748" s="68"/>
      <c r="F748" s="61" t="str">
        <f t="shared" si="46"/>
        <v>Kihiihi Town Council</v>
      </c>
      <c r="G748" s="61" t="str">
        <f t="shared" si="47"/>
        <v>Kanungu</v>
      </c>
      <c r="H748" s="68" t="s">
        <v>1273</v>
      </c>
    </row>
    <row r="749" spans="1:8">
      <c r="A749" s="67">
        <v>1351</v>
      </c>
      <c r="B749" s="68" t="s">
        <v>743</v>
      </c>
      <c r="C749" s="68" t="s">
        <v>743</v>
      </c>
      <c r="D749" s="68" t="s">
        <v>747</v>
      </c>
      <c r="E749" s="68"/>
      <c r="F749" s="61" t="str">
        <f t="shared" si="46"/>
        <v>Kihungya</v>
      </c>
      <c r="G749" s="61" t="str">
        <f t="shared" si="47"/>
        <v>Buliisa</v>
      </c>
      <c r="H749" s="68" t="s">
        <v>747</v>
      </c>
    </row>
    <row r="750" spans="1:8">
      <c r="A750" s="67">
        <v>1338</v>
      </c>
      <c r="B750" s="68" t="s">
        <v>1499</v>
      </c>
      <c r="C750" s="68" t="s">
        <v>1500</v>
      </c>
      <c r="D750" s="68" t="s">
        <v>1508</v>
      </c>
      <c r="E750" s="68"/>
      <c r="F750" s="61" t="str">
        <f t="shared" si="46"/>
        <v>Kihuura</v>
      </c>
      <c r="G750" s="61" t="str">
        <f t="shared" si="47"/>
        <v>Kyenjojo</v>
      </c>
      <c r="H750" s="68" t="s">
        <v>1508</v>
      </c>
    </row>
    <row r="751" spans="1:8">
      <c r="A751" s="67">
        <v>207</v>
      </c>
      <c r="B751" s="68" t="s">
        <v>1602</v>
      </c>
      <c r="C751" s="68" t="s">
        <v>1602</v>
      </c>
      <c r="D751" s="68" t="s">
        <v>1601</v>
      </c>
      <c r="E751" s="68"/>
      <c r="F751" s="61" t="str">
        <f t="shared" si="46"/>
        <v>Kijomoro</v>
      </c>
      <c r="G751" s="61" t="str">
        <f t="shared" si="47"/>
        <v>Maracha</v>
      </c>
      <c r="H751" s="68" t="s">
        <v>1601</v>
      </c>
    </row>
    <row r="752" spans="1:8">
      <c r="A752" s="67">
        <v>1358</v>
      </c>
      <c r="B752" s="68" t="s">
        <v>43</v>
      </c>
      <c r="C752" s="68" t="s">
        <v>43</v>
      </c>
      <c r="D752" s="68" t="s">
        <v>906</v>
      </c>
      <c r="E752" s="68"/>
      <c r="F752" s="61" t="str">
        <f t="shared" si="46"/>
        <v>Kijongo</v>
      </c>
      <c r="G752" s="61" t="str">
        <f t="shared" si="47"/>
        <v>Ibanda</v>
      </c>
      <c r="H752" s="68" t="s">
        <v>906</v>
      </c>
    </row>
    <row r="753" spans="1:8">
      <c r="A753" s="67">
        <v>1171</v>
      </c>
      <c r="B753" s="68" t="s">
        <v>994</v>
      </c>
      <c r="C753" s="68" t="s">
        <v>995</v>
      </c>
      <c r="D753" s="68" t="s">
        <v>1004</v>
      </c>
      <c r="E753" s="68"/>
      <c r="F753" s="61" t="str">
        <f t="shared" si="46"/>
        <v>Kijura Town Council</v>
      </c>
      <c r="G753" s="61" t="str">
        <f t="shared" si="47"/>
        <v>Kabarole</v>
      </c>
      <c r="H753" s="68" t="s">
        <v>1004</v>
      </c>
    </row>
    <row r="754" spans="1:8">
      <c r="A754" s="67">
        <v>1398</v>
      </c>
      <c r="B754" s="68" t="s">
        <v>1375</v>
      </c>
      <c r="C754" s="68" t="s">
        <v>1381</v>
      </c>
      <c r="D754" s="68" t="s">
        <v>1385</v>
      </c>
      <c r="E754" s="68"/>
      <c r="F754" s="61" t="str">
        <f t="shared" si="46"/>
        <v>Kikaatsi</v>
      </c>
      <c r="G754" s="61" t="str">
        <f t="shared" si="47"/>
        <v>Kiruhura</v>
      </c>
      <c r="H754" s="68" t="s">
        <v>1385</v>
      </c>
    </row>
    <row r="755" spans="1:8">
      <c r="A755" s="67">
        <v>1381</v>
      </c>
      <c r="B755" s="68" t="s">
        <v>47</v>
      </c>
      <c r="C755" s="68" t="s">
        <v>47</v>
      </c>
      <c r="D755" s="68" t="s">
        <v>940</v>
      </c>
      <c r="E755" s="68"/>
      <c r="F755" s="61" t="str">
        <f t="shared" si="46"/>
        <v>Kikagate</v>
      </c>
      <c r="G755" s="61" t="str">
        <f t="shared" si="47"/>
        <v>Isingiro</v>
      </c>
      <c r="H755" s="68" t="s">
        <v>940</v>
      </c>
    </row>
    <row r="756" spans="1:8">
      <c r="A756" s="67">
        <v>582</v>
      </c>
      <c r="B756" s="68" t="s">
        <v>1790</v>
      </c>
      <c r="C756" s="68" t="s">
        <v>1790</v>
      </c>
      <c r="D756" s="68" t="s">
        <v>1793</v>
      </c>
      <c r="E756" s="68"/>
      <c r="F756" s="61" t="str">
        <f t="shared" si="46"/>
        <v>Kikamulo</v>
      </c>
      <c r="G756" s="61" t="str">
        <f t="shared" si="47"/>
        <v>Nakaseke</v>
      </c>
      <c r="H756" s="68" t="s">
        <v>1793</v>
      </c>
    </row>
    <row r="757" spans="1:8">
      <c r="A757" s="67">
        <v>572</v>
      </c>
      <c r="B757" s="68" t="s">
        <v>1697</v>
      </c>
      <c r="C757" s="68" t="s">
        <v>1697</v>
      </c>
      <c r="D757" s="68" t="s">
        <v>1706</v>
      </c>
      <c r="E757" s="68"/>
      <c r="F757" s="61" t="str">
        <f t="shared" si="46"/>
        <v>Kikandwa</v>
      </c>
      <c r="G757" s="61" t="str">
        <f t="shared" si="47"/>
        <v>Mityana</v>
      </c>
      <c r="H757" s="68" t="s">
        <v>1706</v>
      </c>
    </row>
    <row r="758" spans="1:8">
      <c r="A758" s="67">
        <v>1170</v>
      </c>
      <c r="B758" s="68" t="s">
        <v>994</v>
      </c>
      <c r="C758" s="68" t="s">
        <v>995</v>
      </c>
      <c r="D758" s="68" t="s">
        <v>1005</v>
      </c>
      <c r="E758" s="68"/>
      <c r="F758" s="61" t="str">
        <f t="shared" si="46"/>
        <v>Kiko Town Council</v>
      </c>
      <c r="G758" s="61" t="str">
        <f t="shared" si="47"/>
        <v>Kabarole</v>
      </c>
      <c r="H758" s="68" t="s">
        <v>1005</v>
      </c>
    </row>
    <row r="759" spans="1:8">
      <c r="A759" s="67">
        <v>1505</v>
      </c>
      <c r="B759" s="68" t="s">
        <v>1041</v>
      </c>
      <c r="C759" s="68" t="s">
        <v>1042</v>
      </c>
      <c r="D759" s="68" t="s">
        <v>1047</v>
      </c>
      <c r="E759" s="68"/>
      <c r="F759" s="61" t="str">
        <f t="shared" si="46"/>
        <v>Kikwaya</v>
      </c>
      <c r="G759" s="61" t="str">
        <f t="shared" si="47"/>
        <v>Kakumiro</v>
      </c>
      <c r="H759" s="68" t="s">
        <v>1047</v>
      </c>
    </row>
    <row r="760" spans="1:8">
      <c r="A760" s="67">
        <v>1359</v>
      </c>
      <c r="B760" s="68" t="s">
        <v>43</v>
      </c>
      <c r="C760" s="68" t="s">
        <v>43</v>
      </c>
      <c r="D760" s="68" t="s">
        <v>907</v>
      </c>
      <c r="E760" s="68"/>
      <c r="F760" s="61" t="str">
        <f t="shared" si="46"/>
        <v>Kikyenkye</v>
      </c>
      <c r="G760" s="61" t="str">
        <f t="shared" si="47"/>
        <v>Ibanda</v>
      </c>
      <c r="H760" s="68" t="s">
        <v>907</v>
      </c>
    </row>
    <row r="761" spans="1:8">
      <c r="A761" s="67">
        <v>432</v>
      </c>
      <c r="B761" s="68" t="s">
        <v>1555</v>
      </c>
      <c r="C761" s="68" t="s">
        <v>1554</v>
      </c>
      <c r="D761" s="68" t="s">
        <v>1561</v>
      </c>
      <c r="E761" s="68"/>
      <c r="F761" s="61" t="str">
        <f t="shared" si="46"/>
        <v>Kikyusa</v>
      </c>
      <c r="G761" s="61" t="str">
        <f t="shared" si="47"/>
        <v>Luwero</v>
      </c>
      <c r="H761" s="68" t="s">
        <v>1561</v>
      </c>
    </row>
    <row r="762" spans="1:8">
      <c r="A762" s="67">
        <v>1198</v>
      </c>
      <c r="B762" s="68" t="s">
        <v>36</v>
      </c>
      <c r="C762" s="68" t="s">
        <v>1297</v>
      </c>
      <c r="D762" s="68" t="s">
        <v>1307</v>
      </c>
      <c r="E762" s="68"/>
      <c r="F762" s="61" t="str">
        <f t="shared" si="46"/>
        <v>Kilembe</v>
      </c>
      <c r="G762" s="61" t="str">
        <f t="shared" si="47"/>
        <v>Kasese</v>
      </c>
      <c r="H762" s="68" t="s">
        <v>1307</v>
      </c>
    </row>
    <row r="763" spans="1:8" ht="25.5">
      <c r="A763" s="67">
        <v>449</v>
      </c>
      <c r="B763" s="68" t="s">
        <v>39</v>
      </c>
      <c r="C763" s="69" t="s">
        <v>1615</v>
      </c>
      <c r="D763" s="68" t="s">
        <v>2310</v>
      </c>
      <c r="E763" s="68"/>
      <c r="F763" s="62" t="str">
        <f>VLOOKUP(C763,[2]Municipalities!$C$9:$F$1522,4,FALSE)</f>
        <v>Masaka Municipality</v>
      </c>
      <c r="G763" s="61" t="str">
        <f t="shared" si="47"/>
        <v>Masaka</v>
      </c>
      <c r="H763" s="68" t="s">
        <v>2310</v>
      </c>
    </row>
    <row r="764" spans="1:8">
      <c r="A764" s="67">
        <v>1237</v>
      </c>
      <c r="B764" s="68" t="s">
        <v>1621</v>
      </c>
      <c r="C764" s="68" t="s">
        <v>1625</v>
      </c>
      <c r="D764" s="68" t="s">
        <v>1624</v>
      </c>
      <c r="E764" s="68"/>
      <c r="F764" s="61" t="str">
        <f t="shared" si="46"/>
        <v>Kimengo</v>
      </c>
      <c r="G764" s="61" t="str">
        <f t="shared" si="47"/>
        <v>Masindi</v>
      </c>
      <c r="H764" s="68" t="s">
        <v>1624</v>
      </c>
    </row>
    <row r="765" spans="1:8">
      <c r="A765" s="67">
        <v>488</v>
      </c>
      <c r="B765" s="68" t="s">
        <v>1761</v>
      </c>
      <c r="C765" s="68" t="s">
        <v>1762</v>
      </c>
      <c r="D765" s="68" t="s">
        <v>1763</v>
      </c>
      <c r="E765" s="68"/>
      <c r="F765" s="61" t="str">
        <f t="shared" si="46"/>
        <v>Kimenyedde</v>
      </c>
      <c r="G765" s="61" t="str">
        <f t="shared" si="47"/>
        <v>Mukono</v>
      </c>
      <c r="H765" s="68" t="s">
        <v>1763</v>
      </c>
    </row>
    <row r="766" spans="1:8">
      <c r="A766" s="67">
        <v>1322</v>
      </c>
      <c r="B766" s="68" t="s">
        <v>1264</v>
      </c>
      <c r="C766" s="68" t="s">
        <v>1265</v>
      </c>
      <c r="D766" s="68" t="s">
        <v>1274</v>
      </c>
      <c r="E766" s="68"/>
      <c r="F766" s="61" t="str">
        <f t="shared" si="46"/>
        <v>Kinaaba</v>
      </c>
      <c r="G766" s="61" t="str">
        <f t="shared" si="47"/>
        <v>Kanungu</v>
      </c>
      <c r="H766" s="68" t="s">
        <v>1274</v>
      </c>
    </row>
    <row r="767" spans="1:8">
      <c r="A767" s="67">
        <v>583</v>
      </c>
      <c r="B767" s="68" t="s">
        <v>1790</v>
      </c>
      <c r="C767" s="68" t="s">
        <v>1790</v>
      </c>
      <c r="D767" s="72" t="s">
        <v>2311</v>
      </c>
      <c r="E767" s="68"/>
      <c r="F767" s="61" t="str">
        <f t="shared" ref="F767:F768" si="48">D767&amp;"-"&amp;B767</f>
        <v>Kinoni-Nakaseke</v>
      </c>
      <c r="G767" s="61" t="str">
        <f t="shared" si="47"/>
        <v>Nakaseke</v>
      </c>
      <c r="H767" s="72" t="s">
        <v>2311</v>
      </c>
    </row>
    <row r="768" spans="1:8">
      <c r="A768" s="67">
        <v>1399</v>
      </c>
      <c r="B768" s="68" t="s">
        <v>1375</v>
      </c>
      <c r="C768" s="68" t="s">
        <v>1381</v>
      </c>
      <c r="D768" s="72" t="s">
        <v>2311</v>
      </c>
      <c r="E768" s="68"/>
      <c r="F768" s="61" t="str">
        <f t="shared" si="48"/>
        <v>Kinoni-Kiruhura</v>
      </c>
      <c r="G768" s="61" t="str">
        <f t="shared" si="47"/>
        <v>Kiruhura</v>
      </c>
      <c r="H768" s="72" t="s">
        <v>2311</v>
      </c>
    </row>
    <row r="769" spans="1:8">
      <c r="A769" s="67">
        <v>561</v>
      </c>
      <c r="B769" s="68" t="s">
        <v>1576</v>
      </c>
      <c r="C769" s="68" t="s">
        <v>1577</v>
      </c>
      <c r="D769" s="68" t="s">
        <v>1579</v>
      </c>
      <c r="E769" s="68"/>
      <c r="F769" s="61" t="str">
        <f t="shared" ref="F769:F770" si="49">D769</f>
        <v>Kinuuka</v>
      </c>
      <c r="G769" s="61" t="str">
        <f t="shared" si="47"/>
        <v>Lyantonde</v>
      </c>
      <c r="H769" s="68" t="s">
        <v>1579</v>
      </c>
    </row>
    <row r="770" spans="1:8">
      <c r="A770" s="67">
        <v>584</v>
      </c>
      <c r="B770" s="68" t="s">
        <v>1790</v>
      </c>
      <c r="C770" s="68" t="s">
        <v>1790</v>
      </c>
      <c r="D770" s="68" t="s">
        <v>1795</v>
      </c>
      <c r="E770" s="68"/>
      <c r="F770" s="61" t="str">
        <f t="shared" si="49"/>
        <v>Kinyogoga</v>
      </c>
      <c r="G770" s="61" t="str">
        <f t="shared" si="47"/>
        <v>Nakaseke</v>
      </c>
      <c r="H770" s="68" t="s">
        <v>1795</v>
      </c>
    </row>
    <row r="771" spans="1:8">
      <c r="A771" s="67">
        <v>549</v>
      </c>
      <c r="B771" s="68" t="s">
        <v>2117</v>
      </c>
      <c r="C771" s="69" t="s">
        <v>2123</v>
      </c>
      <c r="D771" s="68" t="s">
        <v>2312</v>
      </c>
      <c r="E771" s="68"/>
      <c r="F771" s="62" t="s">
        <v>2149</v>
      </c>
      <c r="G771" s="61" t="str">
        <f t="shared" si="47"/>
        <v>Wakiso</v>
      </c>
      <c r="H771" s="68" t="s">
        <v>2312</v>
      </c>
    </row>
    <row r="772" spans="1:8">
      <c r="A772" s="67">
        <v>828</v>
      </c>
      <c r="B772" s="68" t="s">
        <v>2095</v>
      </c>
      <c r="C772" s="68" t="s">
        <v>2096</v>
      </c>
      <c r="D772" s="68" t="s">
        <v>2097</v>
      </c>
      <c r="E772" s="68"/>
      <c r="F772" s="61" t="str">
        <f t="shared" ref="F772:F835" si="50">D772</f>
        <v>Kirewa</v>
      </c>
      <c r="G772" s="61" t="str">
        <f t="shared" si="47"/>
        <v>Tororo</v>
      </c>
      <c r="H772" s="68" t="s">
        <v>2097</v>
      </c>
    </row>
    <row r="773" spans="1:8">
      <c r="A773" s="67">
        <v>1032</v>
      </c>
      <c r="B773" s="68" t="s">
        <v>1365</v>
      </c>
      <c r="C773" s="68" t="s">
        <v>1365</v>
      </c>
      <c r="D773" s="68" t="s">
        <v>1372</v>
      </c>
      <c r="E773" s="68"/>
      <c r="F773" s="61" t="str">
        <f t="shared" si="50"/>
        <v>Kirika</v>
      </c>
      <c r="G773" s="61" t="str">
        <f t="shared" si="47"/>
        <v>Kibuku</v>
      </c>
      <c r="H773" s="68" t="s">
        <v>1372</v>
      </c>
    </row>
    <row r="774" spans="1:8">
      <c r="A774" s="67">
        <v>1040</v>
      </c>
      <c r="B774" s="68" t="s">
        <v>1463</v>
      </c>
      <c r="C774" s="68" t="s">
        <v>1463</v>
      </c>
      <c r="D774" s="68" t="s">
        <v>1469</v>
      </c>
      <c r="E774" s="68"/>
      <c r="F774" s="61" t="str">
        <f t="shared" si="50"/>
        <v>Kiriki</v>
      </c>
      <c r="G774" s="61" t="str">
        <f t="shared" si="47"/>
        <v>Kween</v>
      </c>
      <c r="H774" s="68" t="s">
        <v>1469</v>
      </c>
    </row>
    <row r="775" spans="1:8">
      <c r="A775" s="67">
        <v>1323</v>
      </c>
      <c r="B775" s="68" t="s">
        <v>1264</v>
      </c>
      <c r="C775" s="68" t="s">
        <v>1265</v>
      </c>
      <c r="D775" s="68" t="s">
        <v>1275</v>
      </c>
      <c r="E775" s="68"/>
      <c r="F775" s="61" t="str">
        <f t="shared" si="50"/>
        <v>Kirima</v>
      </c>
      <c r="G775" s="61" t="str">
        <f t="shared" si="47"/>
        <v>Kanungu</v>
      </c>
      <c r="H775" s="68" t="s">
        <v>1275</v>
      </c>
    </row>
    <row r="776" spans="1:8">
      <c r="A776" s="67">
        <v>453</v>
      </c>
      <c r="B776" s="68" t="s">
        <v>1729</v>
      </c>
      <c r="C776" s="68" t="s">
        <v>1730</v>
      </c>
      <c r="D776" s="68" t="s">
        <v>1732</v>
      </c>
      <c r="E776" s="68"/>
      <c r="F776" s="61" t="str">
        <f t="shared" si="50"/>
        <v>Kiringente</v>
      </c>
      <c r="G776" s="61" t="str">
        <f t="shared" si="47"/>
        <v>Mpigi</v>
      </c>
      <c r="H776" s="68" t="s">
        <v>1732</v>
      </c>
    </row>
    <row r="777" spans="1:8">
      <c r="A777" s="67">
        <v>1461</v>
      </c>
      <c r="B777" s="68" t="s">
        <v>2000</v>
      </c>
      <c r="C777" s="68" t="s">
        <v>2001</v>
      </c>
      <c r="D777" s="68" t="s">
        <v>2004</v>
      </c>
      <c r="E777" s="68"/>
      <c r="F777" s="61" t="str">
        <f t="shared" si="50"/>
        <v>Kirugu</v>
      </c>
      <c r="G777" s="61" t="str">
        <f t="shared" si="47"/>
        <v>Rubirizi</v>
      </c>
      <c r="H777" s="68" t="s">
        <v>2004</v>
      </c>
    </row>
    <row r="778" spans="1:8">
      <c r="A778" s="67">
        <v>1400</v>
      </c>
      <c r="B778" s="68" t="s">
        <v>1375</v>
      </c>
      <c r="C778" s="68" t="s">
        <v>1381</v>
      </c>
      <c r="D778" s="68" t="s">
        <v>1387</v>
      </c>
      <c r="E778" s="68"/>
      <c r="F778" s="61" t="str">
        <f t="shared" si="50"/>
        <v>Kiruhura Town Council</v>
      </c>
      <c r="G778" s="61" t="str">
        <f t="shared" ref="G778:G841" si="51">B778</f>
        <v>Kiruhura</v>
      </c>
      <c r="H778" s="68" t="s">
        <v>1387</v>
      </c>
    </row>
    <row r="779" spans="1:8">
      <c r="A779" s="67">
        <v>665</v>
      </c>
      <c r="B779" s="68" t="s">
        <v>1517</v>
      </c>
      <c r="C779" s="68" t="s">
        <v>1517</v>
      </c>
      <c r="D779" s="68" t="s">
        <v>1522</v>
      </c>
      <c r="E779" s="68"/>
      <c r="F779" s="61" t="str">
        <f t="shared" si="50"/>
        <v>Kirumba</v>
      </c>
      <c r="G779" s="61" t="str">
        <f t="shared" si="51"/>
        <v>Kyotera</v>
      </c>
      <c r="H779" s="68" t="s">
        <v>1522</v>
      </c>
    </row>
    <row r="780" spans="1:8">
      <c r="A780" s="67">
        <v>1117</v>
      </c>
      <c r="B780" s="68" t="s">
        <v>750</v>
      </c>
      <c r="C780" s="68" t="s">
        <v>751</v>
      </c>
      <c r="D780" s="68" t="s">
        <v>762</v>
      </c>
      <c r="E780" s="68"/>
      <c r="F780" s="61" t="str">
        <f t="shared" si="50"/>
        <v>Kirumya</v>
      </c>
      <c r="G780" s="61" t="str">
        <f t="shared" si="51"/>
        <v>Bundibugyo</v>
      </c>
      <c r="H780" s="68" t="s">
        <v>762</v>
      </c>
    </row>
    <row r="781" spans="1:8">
      <c r="A781" s="67">
        <v>1222</v>
      </c>
      <c r="B781" s="68" t="s">
        <v>1404</v>
      </c>
      <c r="C781" s="68" t="s">
        <v>1405</v>
      </c>
      <c r="D781" s="68" t="s">
        <v>1409</v>
      </c>
      <c r="E781" s="68"/>
      <c r="F781" s="61" t="str">
        <f t="shared" si="50"/>
        <v>Kirundo</v>
      </c>
      <c r="G781" s="61" t="str">
        <f t="shared" si="51"/>
        <v>Kisoro</v>
      </c>
      <c r="H781" s="68" t="s">
        <v>1409</v>
      </c>
    </row>
    <row r="782" spans="1:8">
      <c r="A782" s="67">
        <v>1416</v>
      </c>
      <c r="B782" s="68" t="s">
        <v>1395</v>
      </c>
      <c r="C782" s="68" t="s">
        <v>1396</v>
      </c>
      <c r="D782" s="68" t="s">
        <v>1395</v>
      </c>
      <c r="E782" s="68"/>
      <c r="F782" s="61" t="str">
        <f t="shared" si="50"/>
        <v>Kiryandongo</v>
      </c>
      <c r="G782" s="61" t="str">
        <f t="shared" si="51"/>
        <v>Kiryandongo</v>
      </c>
      <c r="H782" s="68" t="s">
        <v>1395</v>
      </c>
    </row>
    <row r="783" spans="1:8">
      <c r="A783" s="67">
        <v>1417</v>
      </c>
      <c r="B783" s="68" t="s">
        <v>1395</v>
      </c>
      <c r="C783" s="68" t="s">
        <v>1396</v>
      </c>
      <c r="D783" s="68" t="s">
        <v>1399</v>
      </c>
      <c r="E783" s="68"/>
      <c r="F783" s="61" t="str">
        <f t="shared" si="50"/>
        <v>Kiryandongo Refugee Camp</v>
      </c>
      <c r="G783" s="61" t="str">
        <f t="shared" si="51"/>
        <v>Kiryandongo</v>
      </c>
      <c r="H783" s="68" t="s">
        <v>1399</v>
      </c>
    </row>
    <row r="784" spans="1:8">
      <c r="A784" s="67">
        <v>1418</v>
      </c>
      <c r="B784" s="68" t="s">
        <v>1395</v>
      </c>
      <c r="C784" s="68" t="s">
        <v>1396</v>
      </c>
      <c r="D784" s="68" t="s">
        <v>1400</v>
      </c>
      <c r="E784" s="68"/>
      <c r="F784" s="61" t="str">
        <f t="shared" si="50"/>
        <v>Kiryandongo Town Council</v>
      </c>
      <c r="G784" s="61" t="str">
        <f t="shared" si="51"/>
        <v>Kiryandongo</v>
      </c>
      <c r="H784" s="68" t="s">
        <v>1400</v>
      </c>
    </row>
    <row r="785" spans="1:8">
      <c r="A785" s="67">
        <v>1482</v>
      </c>
      <c r="B785" s="68" t="s">
        <v>1022</v>
      </c>
      <c r="C785" s="68" t="s">
        <v>1023</v>
      </c>
      <c r="D785" s="68" t="s">
        <v>1027</v>
      </c>
      <c r="E785" s="68"/>
      <c r="F785" s="61" t="str">
        <f t="shared" si="50"/>
        <v>Kiryanga</v>
      </c>
      <c r="G785" s="61" t="str">
        <f t="shared" si="51"/>
        <v>Kagadi</v>
      </c>
      <c r="H785" s="68" t="s">
        <v>1027</v>
      </c>
    </row>
    <row r="786" spans="1:8">
      <c r="A786" s="67">
        <v>651</v>
      </c>
      <c r="B786" s="68" t="s">
        <v>1568</v>
      </c>
      <c r="C786" s="68" t="s">
        <v>23</v>
      </c>
      <c r="D786" s="68" t="s">
        <v>1567</v>
      </c>
      <c r="E786" s="68"/>
      <c r="F786" s="61" t="str">
        <f t="shared" si="50"/>
        <v>Kisekka</v>
      </c>
      <c r="G786" s="61" t="str">
        <f t="shared" si="51"/>
        <v>Lwengo</v>
      </c>
      <c r="H786" s="68" t="s">
        <v>1567</v>
      </c>
    </row>
    <row r="787" spans="1:8">
      <c r="A787" s="67">
        <v>1500</v>
      </c>
      <c r="B787" s="68" t="s">
        <v>1041</v>
      </c>
      <c r="C787" s="68" t="s">
        <v>1042</v>
      </c>
      <c r="D787" s="68" t="s">
        <v>1048</v>
      </c>
      <c r="E787" s="68"/>
      <c r="F787" s="61" t="str">
        <f t="shared" si="50"/>
        <v>Kisiita</v>
      </c>
      <c r="G787" s="61" t="str">
        <f t="shared" si="51"/>
        <v>Kakumiro</v>
      </c>
      <c r="H787" s="68" t="s">
        <v>1048</v>
      </c>
    </row>
    <row r="788" spans="1:8">
      <c r="A788" s="67">
        <v>968</v>
      </c>
      <c r="B788" s="68" t="s">
        <v>1062</v>
      </c>
      <c r="C788" s="68" t="s">
        <v>911</v>
      </c>
      <c r="D788" s="68" t="s">
        <v>1069</v>
      </c>
      <c r="E788" s="68"/>
      <c r="F788" s="61" t="str">
        <f t="shared" si="50"/>
        <v>Kisinda</v>
      </c>
      <c r="G788" s="61" t="str">
        <f t="shared" si="51"/>
        <v>Kaliro</v>
      </c>
      <c r="H788" s="68" t="s">
        <v>1069</v>
      </c>
    </row>
    <row r="789" spans="1:8">
      <c r="A789" s="67">
        <v>1182</v>
      </c>
      <c r="B789" s="68" t="s">
        <v>36</v>
      </c>
      <c r="C789" s="68" t="s">
        <v>753</v>
      </c>
      <c r="D789" s="68" t="s">
        <v>1308</v>
      </c>
      <c r="E789" s="68"/>
      <c r="F789" s="61" t="str">
        <f t="shared" si="50"/>
        <v>Kisinga</v>
      </c>
      <c r="G789" s="61" t="str">
        <f t="shared" si="51"/>
        <v>Kasese</v>
      </c>
      <c r="H789" s="68" t="s">
        <v>1308</v>
      </c>
    </row>
    <row r="790" spans="1:8">
      <c r="A790" s="67">
        <v>1191</v>
      </c>
      <c r="B790" s="68" t="s">
        <v>36</v>
      </c>
      <c r="C790" s="68" t="s">
        <v>753</v>
      </c>
      <c r="D790" s="68" t="s">
        <v>1309</v>
      </c>
      <c r="E790" s="68"/>
      <c r="F790" s="61" t="str">
        <f t="shared" si="50"/>
        <v>Kisinga Town Council</v>
      </c>
      <c r="G790" s="61" t="str">
        <f t="shared" si="51"/>
        <v>Kasese</v>
      </c>
      <c r="H790" s="68" t="s">
        <v>1309</v>
      </c>
    </row>
    <row r="791" spans="1:8">
      <c r="A791" s="67">
        <v>1339</v>
      </c>
      <c r="B791" s="68" t="s">
        <v>1499</v>
      </c>
      <c r="C791" s="68" t="s">
        <v>1500</v>
      </c>
      <c r="D791" s="68" t="s">
        <v>1509</v>
      </c>
      <c r="E791" s="68"/>
      <c r="F791" s="61" t="str">
        <f t="shared" si="50"/>
        <v>Kisojo</v>
      </c>
      <c r="G791" s="61" t="str">
        <f t="shared" si="51"/>
        <v>Kyenjojo</v>
      </c>
      <c r="H791" s="68" t="s">
        <v>1509</v>
      </c>
    </row>
    <row r="792" spans="1:8">
      <c r="A792" s="67">
        <v>829</v>
      </c>
      <c r="B792" s="68" t="s">
        <v>2095</v>
      </c>
      <c r="C792" s="68" t="s">
        <v>2096</v>
      </c>
      <c r="D792" s="68" t="s">
        <v>2098</v>
      </c>
      <c r="E792" s="68"/>
      <c r="F792" s="61" t="str">
        <f t="shared" si="50"/>
        <v>Kisoko</v>
      </c>
      <c r="G792" s="61" t="str">
        <f t="shared" si="51"/>
        <v>Tororo</v>
      </c>
      <c r="H792" s="68" t="s">
        <v>2098</v>
      </c>
    </row>
    <row r="793" spans="1:8">
      <c r="A793" s="67">
        <v>1520</v>
      </c>
      <c r="B793" s="68" t="s">
        <v>773</v>
      </c>
      <c r="C793" s="68" t="s">
        <v>773</v>
      </c>
      <c r="D793" s="68" t="s">
        <v>779</v>
      </c>
      <c r="E793" s="68"/>
      <c r="F793" s="61" t="str">
        <f t="shared" si="50"/>
        <v>Kisomoro</v>
      </c>
      <c r="G793" s="61" t="str">
        <f t="shared" si="51"/>
        <v>Bunyangabu</v>
      </c>
      <c r="H793" s="68" t="s">
        <v>779</v>
      </c>
    </row>
    <row r="794" spans="1:8">
      <c r="A794" s="67">
        <v>733</v>
      </c>
      <c r="B794" s="68" t="s">
        <v>1232</v>
      </c>
      <c r="C794" s="68" t="s">
        <v>1235</v>
      </c>
      <c r="D794" s="68" t="s">
        <v>1239</v>
      </c>
      <c r="E794" s="68"/>
      <c r="F794" s="61" t="str">
        <f t="shared" si="50"/>
        <v>Kisozi</v>
      </c>
      <c r="G794" s="61" t="str">
        <f t="shared" si="51"/>
        <v>Kamuli</v>
      </c>
      <c r="H794" s="68" t="s">
        <v>1239</v>
      </c>
    </row>
    <row r="795" spans="1:8">
      <c r="A795" s="67">
        <v>1118</v>
      </c>
      <c r="B795" s="68" t="s">
        <v>750</v>
      </c>
      <c r="C795" s="68" t="s">
        <v>751</v>
      </c>
      <c r="D795" s="68" t="s">
        <v>763</v>
      </c>
      <c r="E795" s="68"/>
      <c r="F795" s="61" t="str">
        <f t="shared" si="50"/>
        <v>Kisubba</v>
      </c>
      <c r="G795" s="61" t="str">
        <f t="shared" si="51"/>
        <v>Bundibugyo</v>
      </c>
      <c r="H795" s="68" t="s">
        <v>763</v>
      </c>
    </row>
    <row r="796" spans="1:8">
      <c r="A796" s="67">
        <v>1466</v>
      </c>
      <c r="B796" s="68" t="s">
        <v>41</v>
      </c>
      <c r="C796" s="68" t="s">
        <v>41</v>
      </c>
      <c r="D796" s="68" t="s">
        <v>2047</v>
      </c>
      <c r="E796" s="68"/>
      <c r="F796" s="61" t="str">
        <f t="shared" si="50"/>
        <v>Kitagata</v>
      </c>
      <c r="G796" s="61" t="str">
        <f t="shared" si="51"/>
        <v>Sheema</v>
      </c>
      <c r="H796" s="68" t="s">
        <v>2047</v>
      </c>
    </row>
    <row r="797" spans="1:8">
      <c r="A797" s="67">
        <v>1504</v>
      </c>
      <c r="B797" s="68" t="s">
        <v>1041</v>
      </c>
      <c r="C797" s="68" t="s">
        <v>1042</v>
      </c>
      <c r="D797" s="68" t="s">
        <v>1049</v>
      </c>
      <c r="E797" s="68"/>
      <c r="F797" s="61" t="str">
        <f t="shared" si="50"/>
        <v>Kitaihuka</v>
      </c>
      <c r="G797" s="61" t="str">
        <f t="shared" si="51"/>
        <v>Kakumiro</v>
      </c>
      <c r="H797" s="68" t="s">
        <v>1049</v>
      </c>
    </row>
    <row r="798" spans="1:8">
      <c r="A798" s="67">
        <v>610</v>
      </c>
      <c r="B798" s="68" t="s">
        <v>704</v>
      </c>
      <c r="C798" s="68" t="s">
        <v>704</v>
      </c>
      <c r="D798" s="68" t="s">
        <v>708</v>
      </c>
      <c r="E798" s="68"/>
      <c r="F798" s="61" t="str">
        <f t="shared" si="50"/>
        <v>Kitanda</v>
      </c>
      <c r="G798" s="61" t="str">
        <f t="shared" si="51"/>
        <v>Bukomansimbi</v>
      </c>
      <c r="H798" s="68" t="s">
        <v>708</v>
      </c>
    </row>
    <row r="799" spans="1:8">
      <c r="A799" s="67">
        <v>1041</v>
      </c>
      <c r="B799" s="68" t="s">
        <v>1463</v>
      </c>
      <c r="C799" s="68" t="s">
        <v>1463</v>
      </c>
      <c r="D799" s="68" t="s">
        <v>1470</v>
      </c>
      <c r="E799" s="68"/>
      <c r="F799" s="61" t="str">
        <f t="shared" si="50"/>
        <v>Kitawoi</v>
      </c>
      <c r="G799" s="61" t="str">
        <f t="shared" si="51"/>
        <v>Kween</v>
      </c>
      <c r="H799" s="68" t="s">
        <v>1470</v>
      </c>
    </row>
    <row r="800" spans="1:8">
      <c r="A800" s="67">
        <v>728</v>
      </c>
      <c r="B800" s="68" t="s">
        <v>1232</v>
      </c>
      <c r="C800" s="68" t="s">
        <v>1233</v>
      </c>
      <c r="D800" s="68" t="s">
        <v>1240</v>
      </c>
      <c r="E800" s="68"/>
      <c r="F800" s="61" t="str">
        <f t="shared" si="50"/>
        <v>Kitayunjwa</v>
      </c>
      <c r="G800" s="61" t="str">
        <f t="shared" si="51"/>
        <v>Kamuli</v>
      </c>
      <c r="H800" s="68" t="s">
        <v>1240</v>
      </c>
    </row>
    <row r="801" spans="1:8">
      <c r="A801" s="67">
        <v>459</v>
      </c>
      <c r="B801" s="68" t="s">
        <v>1739</v>
      </c>
      <c r="C801" s="68" t="s">
        <v>1744</v>
      </c>
      <c r="D801" s="68" t="s">
        <v>1750</v>
      </c>
      <c r="E801" s="68"/>
      <c r="F801" s="61" t="str">
        <f t="shared" si="50"/>
        <v>Kitenga</v>
      </c>
      <c r="G801" s="61" t="str">
        <f t="shared" si="51"/>
        <v>Mubende</v>
      </c>
      <c r="H801" s="68" t="s">
        <v>1750</v>
      </c>
    </row>
    <row r="802" spans="1:8">
      <c r="A802" s="67">
        <v>58</v>
      </c>
      <c r="B802" s="68" t="s">
        <v>1421</v>
      </c>
      <c r="C802" s="68" t="s">
        <v>1422</v>
      </c>
      <c r="D802" s="68" t="s">
        <v>1420</v>
      </c>
      <c r="E802" s="68"/>
      <c r="F802" s="61" t="str">
        <f t="shared" si="50"/>
        <v>Kitgum Matidi</v>
      </c>
      <c r="G802" s="61" t="str">
        <f t="shared" si="51"/>
        <v>Kitgum</v>
      </c>
      <c r="H802" s="68" t="s">
        <v>1420</v>
      </c>
    </row>
    <row r="803" spans="1:8">
      <c r="A803" s="67">
        <v>1183</v>
      </c>
      <c r="B803" s="68" t="s">
        <v>36</v>
      </c>
      <c r="C803" s="68" t="s">
        <v>753</v>
      </c>
      <c r="D803" s="68" t="s">
        <v>1310</v>
      </c>
      <c r="E803" s="68"/>
      <c r="F803" s="61" t="str">
        <f t="shared" si="50"/>
        <v>Kitholhu</v>
      </c>
      <c r="G803" s="61" t="str">
        <f t="shared" si="51"/>
        <v>Kasese</v>
      </c>
      <c r="H803" s="68" t="s">
        <v>1310</v>
      </c>
    </row>
    <row r="804" spans="1:8">
      <c r="A804" s="67">
        <v>526</v>
      </c>
      <c r="B804" s="68" t="s">
        <v>1335</v>
      </c>
      <c r="C804" s="68" t="s">
        <v>1334</v>
      </c>
      <c r="D804" s="68" t="s">
        <v>1342</v>
      </c>
      <c r="E804" s="68"/>
      <c r="F804" s="61" t="str">
        <f t="shared" si="50"/>
        <v>Kitimbwa</v>
      </c>
      <c r="G804" s="61" t="str">
        <f t="shared" si="51"/>
        <v>Kayunga</v>
      </c>
      <c r="H804" s="68" t="s">
        <v>1342</v>
      </c>
    </row>
    <row r="805" spans="1:8">
      <c r="A805" s="67">
        <v>585</v>
      </c>
      <c r="B805" s="68" t="s">
        <v>1790</v>
      </c>
      <c r="C805" s="68" t="s">
        <v>1790</v>
      </c>
      <c r="D805" s="68" t="s">
        <v>1796</v>
      </c>
      <c r="E805" s="68"/>
      <c r="F805" s="61" t="str">
        <f t="shared" si="50"/>
        <v>Kito</v>
      </c>
      <c r="G805" s="61" t="str">
        <f t="shared" si="51"/>
        <v>Nakaseke</v>
      </c>
      <c r="H805" s="68" t="s">
        <v>1796</v>
      </c>
    </row>
    <row r="806" spans="1:8">
      <c r="A806" s="67">
        <v>1138</v>
      </c>
      <c r="B806" s="68" t="s">
        <v>884</v>
      </c>
      <c r="C806" s="68" t="s">
        <v>887</v>
      </c>
      <c r="D806" s="68" t="s">
        <v>895</v>
      </c>
      <c r="E806" s="68"/>
      <c r="F806" s="61" t="str">
        <f t="shared" si="50"/>
        <v>Kitoba</v>
      </c>
      <c r="G806" s="61" t="str">
        <f t="shared" si="51"/>
        <v>Hoima</v>
      </c>
      <c r="H806" s="68" t="s">
        <v>895</v>
      </c>
    </row>
    <row r="807" spans="1:8">
      <c r="A807" s="67">
        <v>1199</v>
      </c>
      <c r="B807" s="68" t="s">
        <v>36</v>
      </c>
      <c r="C807" s="68" t="s">
        <v>1297</v>
      </c>
      <c r="D807" s="68" t="s">
        <v>1311</v>
      </c>
      <c r="E807" s="68"/>
      <c r="F807" s="61" t="str">
        <f t="shared" si="50"/>
        <v>Kitswamba</v>
      </c>
      <c r="G807" s="61" t="str">
        <f t="shared" si="51"/>
        <v>Kasese</v>
      </c>
      <c r="H807" s="68" t="s">
        <v>1311</v>
      </c>
    </row>
    <row r="808" spans="1:8">
      <c r="A808" s="67">
        <v>1157</v>
      </c>
      <c r="B808" s="68" t="s">
        <v>981</v>
      </c>
      <c r="C808" s="68" t="s">
        <v>982</v>
      </c>
      <c r="D808" s="68" t="s">
        <v>988</v>
      </c>
      <c r="E808" s="68"/>
      <c r="F808" s="61" t="str">
        <f t="shared" si="50"/>
        <v>Kitumba</v>
      </c>
      <c r="G808" s="61" t="str">
        <f t="shared" si="51"/>
        <v>Kabale</v>
      </c>
      <c r="H808" s="68" t="s">
        <v>988</v>
      </c>
    </row>
    <row r="809" spans="1:8">
      <c r="A809" s="67">
        <v>471</v>
      </c>
      <c r="B809" s="68" t="s">
        <v>1739</v>
      </c>
      <c r="C809" s="68" t="s">
        <v>1742</v>
      </c>
      <c r="D809" s="68" t="s">
        <v>1751</v>
      </c>
      <c r="E809" s="68"/>
      <c r="F809" s="61" t="str">
        <f t="shared" si="50"/>
        <v>Kitumbi</v>
      </c>
      <c r="G809" s="61" t="str">
        <f t="shared" si="51"/>
        <v>Mubende</v>
      </c>
      <c r="H809" s="68" t="s">
        <v>1751</v>
      </c>
    </row>
    <row r="810" spans="1:8">
      <c r="A810" s="67">
        <v>454</v>
      </c>
      <c r="B810" s="68" t="s">
        <v>1729</v>
      </c>
      <c r="C810" s="68" t="s">
        <v>1730</v>
      </c>
      <c r="D810" s="68" t="s">
        <v>1733</v>
      </c>
      <c r="E810" s="68"/>
      <c r="F810" s="61" t="str">
        <f t="shared" si="50"/>
        <v>Kituntu</v>
      </c>
      <c r="G810" s="61" t="str">
        <f t="shared" si="51"/>
        <v>Mpigi</v>
      </c>
      <c r="H810" s="68" t="s">
        <v>1733</v>
      </c>
    </row>
    <row r="811" spans="1:8">
      <c r="A811" s="67">
        <v>1401</v>
      </c>
      <c r="B811" s="68" t="s">
        <v>1375</v>
      </c>
      <c r="C811" s="68" t="s">
        <v>1381</v>
      </c>
      <c r="D811" s="68" t="s">
        <v>1388</v>
      </c>
      <c r="E811" s="68"/>
      <c r="F811" s="61" t="str">
        <f t="shared" si="50"/>
        <v>Kitura</v>
      </c>
      <c r="G811" s="61" t="str">
        <f t="shared" si="51"/>
        <v>Kiruhura</v>
      </c>
      <c r="H811" s="68" t="s">
        <v>1388</v>
      </c>
    </row>
    <row r="812" spans="1:8">
      <c r="A812" s="67">
        <v>1271</v>
      </c>
      <c r="B812" s="68" t="s">
        <v>46</v>
      </c>
      <c r="C812" s="68" t="s">
        <v>1894</v>
      </c>
      <c r="D812" s="68" t="s">
        <v>1899</v>
      </c>
      <c r="E812" s="68"/>
      <c r="F812" s="61" t="str">
        <f t="shared" si="50"/>
        <v>Kitwe Town Council</v>
      </c>
      <c r="G812" s="61" t="str">
        <f t="shared" si="51"/>
        <v>Ntungamo</v>
      </c>
      <c r="H812" s="68" t="s">
        <v>1899</v>
      </c>
    </row>
    <row r="813" spans="1:8">
      <c r="A813" s="67">
        <v>859</v>
      </c>
      <c r="B813" s="68" t="s">
        <v>1630</v>
      </c>
      <c r="C813" s="68" t="s">
        <v>1631</v>
      </c>
      <c r="D813" s="68" t="s">
        <v>1639</v>
      </c>
      <c r="E813" s="68"/>
      <c r="F813" s="61" t="str">
        <f t="shared" si="50"/>
        <v>Kityerera</v>
      </c>
      <c r="G813" s="61" t="str">
        <f t="shared" si="51"/>
        <v>Mayuge</v>
      </c>
      <c r="H813" s="68" t="s">
        <v>1639</v>
      </c>
    </row>
    <row r="814" spans="1:8">
      <c r="A814" s="67">
        <v>586</v>
      </c>
      <c r="B814" s="68" t="s">
        <v>1790</v>
      </c>
      <c r="C814" s="68" t="s">
        <v>1790</v>
      </c>
      <c r="D814" s="68" t="s">
        <v>1797</v>
      </c>
      <c r="E814" s="68"/>
      <c r="F814" s="61" t="str">
        <f t="shared" si="50"/>
        <v>Kiwoko Town Council</v>
      </c>
      <c r="G814" s="61" t="str">
        <f t="shared" si="51"/>
        <v>Nakaseke</v>
      </c>
      <c r="H814" s="68" t="s">
        <v>1797</v>
      </c>
    </row>
    <row r="815" spans="1:8">
      <c r="A815" s="67">
        <v>1436</v>
      </c>
      <c r="B815" s="68" t="s">
        <v>45</v>
      </c>
      <c r="C815" s="68" t="s">
        <v>1686</v>
      </c>
      <c r="D815" s="68" t="s">
        <v>1691</v>
      </c>
      <c r="E815" s="68"/>
      <c r="F815" s="61" t="str">
        <f t="shared" si="50"/>
        <v>Kiyanga</v>
      </c>
      <c r="G815" s="61" t="str">
        <f t="shared" si="51"/>
        <v>Mitooma</v>
      </c>
      <c r="H815" s="68" t="s">
        <v>1691</v>
      </c>
    </row>
    <row r="816" spans="1:8">
      <c r="A816" s="67">
        <v>460</v>
      </c>
      <c r="B816" s="68" t="s">
        <v>1739</v>
      </c>
      <c r="C816" s="68" t="s">
        <v>1744</v>
      </c>
      <c r="D816" s="68" t="s">
        <v>1752</v>
      </c>
      <c r="E816" s="68"/>
      <c r="F816" s="61" t="str">
        <f t="shared" si="50"/>
        <v>Kiyuni</v>
      </c>
      <c r="G816" s="61" t="str">
        <f t="shared" si="51"/>
        <v>Mubende</v>
      </c>
      <c r="H816" s="68" t="s">
        <v>1752</v>
      </c>
    </row>
    <row r="817" spans="1:8">
      <c r="A817" s="67">
        <v>510</v>
      </c>
      <c r="B817" s="68" t="s">
        <v>1978</v>
      </c>
      <c r="C817" s="68" t="s">
        <v>1521</v>
      </c>
      <c r="D817" s="68" t="s">
        <v>1984</v>
      </c>
      <c r="E817" s="68"/>
      <c r="F817" s="61" t="str">
        <f t="shared" si="50"/>
        <v>Kiziba</v>
      </c>
      <c r="G817" s="61" t="str">
        <f t="shared" si="51"/>
        <v>Rakai</v>
      </c>
      <c r="H817" s="68" t="s">
        <v>1984</v>
      </c>
    </row>
    <row r="818" spans="1:8">
      <c r="A818" s="67">
        <v>1143</v>
      </c>
      <c r="B818" s="68" t="s">
        <v>884</v>
      </c>
      <c r="C818" s="68" t="s">
        <v>885</v>
      </c>
      <c r="D818" s="68" t="s">
        <v>896</v>
      </c>
      <c r="E818" s="68"/>
      <c r="F818" s="61" t="str">
        <f t="shared" si="50"/>
        <v>Kiziranfumbi</v>
      </c>
      <c r="G818" s="61" t="str">
        <f t="shared" si="51"/>
        <v>Hoima</v>
      </c>
      <c r="H818" s="68" t="s">
        <v>896</v>
      </c>
    </row>
    <row r="819" spans="1:8">
      <c r="A819" s="67">
        <v>652</v>
      </c>
      <c r="B819" s="68" t="s">
        <v>1568</v>
      </c>
      <c r="C819" s="68" t="s">
        <v>23</v>
      </c>
      <c r="D819" s="68" t="s">
        <v>1569</v>
      </c>
      <c r="E819" s="68"/>
      <c r="F819" s="61" t="str">
        <f t="shared" si="50"/>
        <v>Kkingo</v>
      </c>
      <c r="G819" s="61" t="str">
        <f t="shared" si="51"/>
        <v>Lwengo</v>
      </c>
      <c r="H819" s="68" t="s">
        <v>1569</v>
      </c>
    </row>
    <row r="820" spans="1:8">
      <c r="A820" s="67">
        <v>843</v>
      </c>
      <c r="B820" s="68" t="s">
        <v>1010</v>
      </c>
      <c r="C820" s="68" t="s">
        <v>1010</v>
      </c>
      <c r="D820" s="68" t="s">
        <v>1018</v>
      </c>
      <c r="E820" s="68"/>
      <c r="F820" s="61" t="str">
        <f t="shared" si="50"/>
        <v>Kobulubulu</v>
      </c>
      <c r="G820" s="61" t="str">
        <f t="shared" si="51"/>
        <v>Kaberamaido</v>
      </c>
      <c r="H820" s="68" t="s">
        <v>1018</v>
      </c>
    </row>
    <row r="821" spans="1:8">
      <c r="A821" s="67">
        <v>1064</v>
      </c>
      <c r="B821" s="68" t="s">
        <v>1875</v>
      </c>
      <c r="C821" s="68" t="s">
        <v>1875</v>
      </c>
      <c r="D821" s="68" t="s">
        <v>1876</v>
      </c>
      <c r="E821" s="68"/>
      <c r="F821" s="61" t="str">
        <f t="shared" si="50"/>
        <v>Kobwin</v>
      </c>
      <c r="G821" s="61" t="str">
        <f t="shared" si="51"/>
        <v>Ngora</v>
      </c>
      <c r="H821" s="68" t="s">
        <v>1876</v>
      </c>
    </row>
    <row r="822" spans="1:8">
      <c r="A822" s="67">
        <v>284</v>
      </c>
      <c r="B822" s="68" t="s">
        <v>1911</v>
      </c>
      <c r="C822" s="68" t="s">
        <v>1911</v>
      </c>
      <c r="D822" s="68" t="s">
        <v>1914</v>
      </c>
      <c r="E822" s="68"/>
      <c r="F822" s="61" t="str">
        <f t="shared" si="50"/>
        <v>Koch-Goma</v>
      </c>
      <c r="G822" s="61" t="str">
        <f t="shared" si="51"/>
        <v>Nwoya</v>
      </c>
      <c r="H822" s="68" t="s">
        <v>1914</v>
      </c>
    </row>
    <row r="823" spans="1:8">
      <c r="A823" s="67">
        <v>143</v>
      </c>
      <c r="B823" s="68" t="s">
        <v>2183</v>
      </c>
      <c r="C823" s="68" t="s">
        <v>2184</v>
      </c>
      <c r="D823" s="68" t="s">
        <v>2189</v>
      </c>
      <c r="E823" s="68"/>
      <c r="F823" s="61" t="str">
        <f t="shared" si="50"/>
        <v>Kochi</v>
      </c>
      <c r="G823" s="61" t="str">
        <f t="shared" si="51"/>
        <v>Yumbe</v>
      </c>
      <c r="H823" s="68" t="s">
        <v>2189</v>
      </c>
    </row>
    <row r="824" spans="1:8">
      <c r="A824" s="67">
        <v>261</v>
      </c>
      <c r="B824" s="68" t="s">
        <v>1441</v>
      </c>
      <c r="C824" s="68" t="s">
        <v>1441</v>
      </c>
      <c r="D824" s="68" t="s">
        <v>1446</v>
      </c>
      <c r="E824" s="68"/>
      <c r="F824" s="61" t="str">
        <f t="shared" si="50"/>
        <v>Kole Town Council</v>
      </c>
      <c r="G824" s="61" t="str">
        <f t="shared" si="51"/>
        <v>Kole</v>
      </c>
      <c r="H824" s="68" t="s">
        <v>1446</v>
      </c>
    </row>
    <row r="825" spans="1:8">
      <c r="A825" s="67">
        <v>935</v>
      </c>
      <c r="B825" s="68" t="s">
        <v>697</v>
      </c>
      <c r="C825" s="68" t="s">
        <v>697</v>
      </c>
      <c r="D825" s="68" t="s">
        <v>701</v>
      </c>
      <c r="E825" s="68"/>
      <c r="F825" s="61" t="str">
        <f t="shared" si="50"/>
        <v>Kolir</v>
      </c>
      <c r="G825" s="61" t="str">
        <f t="shared" si="51"/>
        <v>Bukedea</v>
      </c>
      <c r="H825" s="68" t="s">
        <v>701</v>
      </c>
    </row>
    <row r="826" spans="1:8">
      <c r="A826" s="67">
        <v>478</v>
      </c>
      <c r="B826" s="68" t="s">
        <v>1761</v>
      </c>
      <c r="C826" s="68" t="s">
        <v>1761</v>
      </c>
      <c r="D826" s="68" t="s">
        <v>1764</v>
      </c>
      <c r="E826" s="68"/>
      <c r="F826" s="61" t="str">
        <f t="shared" si="50"/>
        <v>Koome Island</v>
      </c>
      <c r="G826" s="61" t="str">
        <f t="shared" si="51"/>
        <v>Mukono</v>
      </c>
      <c r="H826" s="68" t="s">
        <v>1764</v>
      </c>
    </row>
    <row r="827" spans="1:8">
      <c r="A827" s="67">
        <v>306</v>
      </c>
      <c r="B827" s="68" t="s">
        <v>549</v>
      </c>
      <c r="C827" s="68" t="s">
        <v>549</v>
      </c>
      <c r="D827" s="68" t="s">
        <v>1917</v>
      </c>
      <c r="E827" s="68"/>
      <c r="F827" s="61" t="str">
        <f t="shared" si="50"/>
        <v>Koro</v>
      </c>
      <c r="G827" s="61" t="str">
        <f t="shared" si="51"/>
        <v>Omoro</v>
      </c>
      <c r="H827" s="68" t="s">
        <v>1917</v>
      </c>
    </row>
    <row r="828" spans="1:8">
      <c r="A828" s="67">
        <v>944</v>
      </c>
      <c r="B828" s="68" t="s">
        <v>709</v>
      </c>
      <c r="C828" s="68" t="s">
        <v>710</v>
      </c>
      <c r="D828" s="68" t="s">
        <v>717</v>
      </c>
      <c r="E828" s="68"/>
      <c r="F828" s="61" t="str">
        <f t="shared" si="50"/>
        <v>Kortek</v>
      </c>
      <c r="G828" s="61" t="str">
        <f t="shared" si="51"/>
        <v>Bukwo</v>
      </c>
      <c r="H828" s="68" t="s">
        <v>717</v>
      </c>
    </row>
    <row r="829" spans="1:8">
      <c r="A829" s="67">
        <v>71</v>
      </c>
      <c r="B829" s="68" t="s">
        <v>1449</v>
      </c>
      <c r="C829" s="68" t="s">
        <v>1450</v>
      </c>
      <c r="D829" s="68" t="s">
        <v>1449</v>
      </c>
      <c r="E829" s="68"/>
      <c r="F829" s="61" t="str">
        <f t="shared" si="50"/>
        <v>Kotido</v>
      </c>
      <c r="G829" s="61" t="str">
        <f t="shared" si="51"/>
        <v>Kotido</v>
      </c>
      <c r="H829" s="68" t="s">
        <v>1449</v>
      </c>
    </row>
    <row r="830" spans="1:8">
      <c r="A830" s="67">
        <v>231</v>
      </c>
      <c r="B830" s="68" t="s">
        <v>523</v>
      </c>
      <c r="C830" s="68" t="s">
        <v>523</v>
      </c>
      <c r="D830" s="68" t="s">
        <v>527</v>
      </c>
      <c r="E830" s="68"/>
      <c r="F830" s="61" t="str">
        <f t="shared" si="50"/>
        <v>Kotomol</v>
      </c>
      <c r="G830" s="61" t="str">
        <f t="shared" si="51"/>
        <v>Agago</v>
      </c>
      <c r="H830" s="68" t="s">
        <v>527</v>
      </c>
    </row>
    <row r="831" spans="1:8">
      <c r="A831" s="67">
        <v>113</v>
      </c>
      <c r="B831" s="68" t="s">
        <v>1865</v>
      </c>
      <c r="C831" s="68" t="s">
        <v>1866</v>
      </c>
      <c r="D831" s="68" t="s">
        <v>1869</v>
      </c>
      <c r="E831" s="68"/>
      <c r="F831" s="61" t="str">
        <f t="shared" si="50"/>
        <v>Kucwiny</v>
      </c>
      <c r="G831" s="61" t="str">
        <f t="shared" si="51"/>
        <v>Nebbi</v>
      </c>
      <c r="H831" s="68" t="s">
        <v>1869</v>
      </c>
    </row>
    <row r="832" spans="1:8">
      <c r="A832" s="67">
        <v>891</v>
      </c>
      <c r="B832" s="68" t="s">
        <v>569</v>
      </c>
      <c r="C832" s="68" t="s">
        <v>569</v>
      </c>
      <c r="D832" s="68" t="s">
        <v>577</v>
      </c>
      <c r="E832" s="68"/>
      <c r="F832" s="61" t="str">
        <f t="shared" si="50"/>
        <v>Kuju</v>
      </c>
      <c r="G832" s="61" t="str">
        <f t="shared" si="51"/>
        <v>Amuria</v>
      </c>
      <c r="H832" s="68" t="s">
        <v>577</v>
      </c>
    </row>
    <row r="833" spans="1:8">
      <c r="A833" s="67">
        <v>200</v>
      </c>
      <c r="B833" s="68" t="s">
        <v>1433</v>
      </c>
      <c r="C833" s="68" t="s">
        <v>1433</v>
      </c>
      <c r="D833" s="68" t="s">
        <v>1436</v>
      </c>
      <c r="E833" s="68"/>
      <c r="F833" s="61" t="str">
        <f t="shared" si="50"/>
        <v>Kuluba</v>
      </c>
      <c r="G833" s="61" t="str">
        <f t="shared" si="51"/>
        <v>Koboko</v>
      </c>
      <c r="H833" s="68" t="s">
        <v>1436</v>
      </c>
    </row>
    <row r="834" spans="1:8">
      <c r="A834" s="67">
        <v>144</v>
      </c>
      <c r="B834" s="68" t="s">
        <v>2183</v>
      </c>
      <c r="C834" s="68" t="s">
        <v>2184</v>
      </c>
      <c r="D834" s="68" t="s">
        <v>2190</v>
      </c>
      <c r="E834" s="68"/>
      <c r="F834" s="61" t="str">
        <f t="shared" si="50"/>
        <v>Kululu</v>
      </c>
      <c r="G834" s="61" t="str">
        <f t="shared" si="51"/>
        <v>Yumbe</v>
      </c>
      <c r="H834" s="68" t="s">
        <v>2190</v>
      </c>
    </row>
    <row r="835" spans="1:8">
      <c r="A835" s="67">
        <v>765</v>
      </c>
      <c r="B835" s="68" t="s">
        <v>1456</v>
      </c>
      <c r="C835" s="68" t="s">
        <v>1456</v>
      </c>
      <c r="D835" s="68" t="s">
        <v>1456</v>
      </c>
      <c r="E835" s="68"/>
      <c r="F835" s="61" t="str">
        <f t="shared" si="50"/>
        <v>Kumi</v>
      </c>
      <c r="G835" s="61" t="str">
        <f t="shared" si="51"/>
        <v>Kumi</v>
      </c>
      <c r="H835" s="68" t="s">
        <v>1456</v>
      </c>
    </row>
    <row r="836" spans="1:8">
      <c r="A836" s="67">
        <v>145</v>
      </c>
      <c r="B836" s="68" t="s">
        <v>2183</v>
      </c>
      <c r="C836" s="68" t="s">
        <v>2184</v>
      </c>
      <c r="D836" s="68" t="s">
        <v>2191</v>
      </c>
      <c r="E836" s="68"/>
      <c r="F836" s="61" t="str">
        <f t="shared" ref="F836:F899" si="52">D836</f>
        <v>Kuru</v>
      </c>
      <c r="G836" s="61" t="str">
        <f t="shared" si="51"/>
        <v>Yumbe</v>
      </c>
      <c r="H836" s="68" t="s">
        <v>2191</v>
      </c>
    </row>
    <row r="837" spans="1:8">
      <c r="A837" s="67">
        <v>1042</v>
      </c>
      <c r="B837" s="68" t="s">
        <v>1463</v>
      </c>
      <c r="C837" s="68" t="s">
        <v>1463</v>
      </c>
      <c r="D837" s="68" t="s">
        <v>1471</v>
      </c>
      <c r="E837" s="68"/>
      <c r="F837" s="61" t="str">
        <f t="shared" si="52"/>
        <v>Kwanyiy</v>
      </c>
      <c r="G837" s="61" t="str">
        <f t="shared" si="51"/>
        <v>Kween</v>
      </c>
      <c r="H837" s="68" t="s">
        <v>1471</v>
      </c>
    </row>
    <row r="838" spans="1:8">
      <c r="A838" s="67">
        <v>818</v>
      </c>
      <c r="B838" s="68" t="s">
        <v>2095</v>
      </c>
      <c r="C838" s="68" t="s">
        <v>2095</v>
      </c>
      <c r="D838" s="68" t="s">
        <v>2099</v>
      </c>
      <c r="E838" s="68"/>
      <c r="F838" s="61" t="str">
        <f t="shared" si="52"/>
        <v>Kwapa</v>
      </c>
      <c r="G838" s="61" t="str">
        <f t="shared" si="51"/>
        <v>Tororo</v>
      </c>
      <c r="H838" s="68" t="s">
        <v>2099</v>
      </c>
    </row>
    <row r="839" spans="1:8">
      <c r="A839" s="67">
        <v>181</v>
      </c>
      <c r="B839" s="68" t="s">
        <v>859</v>
      </c>
      <c r="C839" s="68" t="s">
        <v>859</v>
      </c>
      <c r="D839" s="68" t="s">
        <v>866</v>
      </c>
      <c r="E839" s="68"/>
      <c r="F839" s="61" t="str">
        <f t="shared" si="52"/>
        <v>Kwera</v>
      </c>
      <c r="G839" s="61" t="str">
        <f t="shared" si="51"/>
        <v>Dokolo</v>
      </c>
      <c r="H839" s="68" t="s">
        <v>866</v>
      </c>
    </row>
    <row r="840" spans="1:8">
      <c r="A840" s="67">
        <v>1043</v>
      </c>
      <c r="B840" s="68" t="s">
        <v>1463</v>
      </c>
      <c r="C840" s="68" t="s">
        <v>1463</v>
      </c>
      <c r="D840" s="68" t="s">
        <v>1472</v>
      </c>
      <c r="E840" s="68"/>
      <c r="F840" s="61" t="str">
        <f t="shared" si="52"/>
        <v>Kwosir</v>
      </c>
      <c r="G840" s="61" t="str">
        <f t="shared" si="51"/>
        <v>Kween</v>
      </c>
      <c r="H840" s="68" t="s">
        <v>1472</v>
      </c>
    </row>
    <row r="841" spans="1:8">
      <c r="A841" s="67">
        <v>1462</v>
      </c>
      <c r="B841" s="68" t="s">
        <v>2000</v>
      </c>
      <c r="C841" s="68" t="s">
        <v>2001</v>
      </c>
      <c r="D841" s="68" t="s">
        <v>2005</v>
      </c>
      <c r="E841" s="68"/>
      <c r="F841" s="61" t="str">
        <f t="shared" si="52"/>
        <v>Kyabakara</v>
      </c>
      <c r="G841" s="61" t="str">
        <f t="shared" si="51"/>
        <v>Rubirizi</v>
      </c>
      <c r="H841" s="68" t="s">
        <v>2005</v>
      </c>
    </row>
    <row r="842" spans="1:8">
      <c r="A842" s="67">
        <v>1200</v>
      </c>
      <c r="B842" s="68" t="s">
        <v>36</v>
      </c>
      <c r="C842" s="68" t="s">
        <v>1297</v>
      </c>
      <c r="D842" s="68" t="s">
        <v>1312</v>
      </c>
      <c r="E842" s="68"/>
      <c r="F842" s="61" t="str">
        <f t="shared" si="52"/>
        <v>Kyabarungira</v>
      </c>
      <c r="G842" s="61" t="str">
        <f t="shared" ref="G842:G905" si="53">B842</f>
        <v>Kasese</v>
      </c>
      <c r="H842" s="68" t="s">
        <v>1312</v>
      </c>
    </row>
    <row r="843" spans="1:8">
      <c r="A843" s="67">
        <v>1139</v>
      </c>
      <c r="B843" s="68" t="s">
        <v>884</v>
      </c>
      <c r="C843" s="68" t="s">
        <v>887</v>
      </c>
      <c r="D843" s="68" t="s">
        <v>897</v>
      </c>
      <c r="E843" s="68"/>
      <c r="F843" s="61" t="str">
        <f t="shared" si="52"/>
        <v>Kyabigambire</v>
      </c>
      <c r="G843" s="61" t="str">
        <f t="shared" si="53"/>
        <v>Hoima</v>
      </c>
      <c r="H843" s="68" t="s">
        <v>897</v>
      </c>
    </row>
    <row r="844" spans="1:8">
      <c r="A844" s="67">
        <v>1129</v>
      </c>
      <c r="B844" s="68" t="s">
        <v>38</v>
      </c>
      <c r="C844" s="68" t="s">
        <v>785</v>
      </c>
      <c r="D844" s="68" t="s">
        <v>790</v>
      </c>
      <c r="E844" s="68"/>
      <c r="F844" s="61" t="str">
        <f t="shared" si="52"/>
        <v>Kyabugimbi</v>
      </c>
      <c r="G844" s="61" t="str">
        <f t="shared" si="53"/>
        <v>Bushenyi</v>
      </c>
      <c r="H844" s="68" t="s">
        <v>790</v>
      </c>
    </row>
    <row r="845" spans="1:8">
      <c r="A845" s="67">
        <v>1429</v>
      </c>
      <c r="B845" s="68" t="s">
        <v>1488</v>
      </c>
      <c r="C845" s="68" t="s">
        <v>1489</v>
      </c>
      <c r="D845" s="68" t="s">
        <v>1493</v>
      </c>
      <c r="E845" s="68"/>
      <c r="F845" s="61" t="str">
        <f t="shared" si="52"/>
        <v>Kyaka Ii Refugee Camp</v>
      </c>
      <c r="G845" s="61" t="str">
        <f t="shared" si="53"/>
        <v>Kyegegwa</v>
      </c>
      <c r="H845" s="68" t="s">
        <v>1493</v>
      </c>
    </row>
    <row r="846" spans="1:8">
      <c r="A846" s="67">
        <v>1483</v>
      </c>
      <c r="B846" s="68" t="s">
        <v>1022</v>
      </c>
      <c r="C846" s="68" t="s">
        <v>1023</v>
      </c>
      <c r="D846" s="68" t="s">
        <v>1028</v>
      </c>
      <c r="E846" s="68"/>
      <c r="F846" s="61" t="str">
        <f t="shared" si="52"/>
        <v>Kyakabadiima</v>
      </c>
      <c r="G846" s="61" t="str">
        <f t="shared" si="53"/>
        <v>Kagadi</v>
      </c>
      <c r="H846" s="68" t="s">
        <v>1028</v>
      </c>
    </row>
    <row r="847" spans="1:8">
      <c r="A847" s="67">
        <v>511</v>
      </c>
      <c r="B847" s="68" t="s">
        <v>1978</v>
      </c>
      <c r="C847" s="68" t="s">
        <v>1521</v>
      </c>
      <c r="D847" s="68" t="s">
        <v>1985</v>
      </c>
      <c r="E847" s="68"/>
      <c r="F847" s="61" t="str">
        <f t="shared" si="52"/>
        <v>Kyalulangira</v>
      </c>
      <c r="G847" s="61" t="str">
        <f t="shared" si="53"/>
        <v>Rakai</v>
      </c>
      <c r="H847" s="68" t="s">
        <v>1985</v>
      </c>
    </row>
    <row r="848" spans="1:8">
      <c r="A848" s="67">
        <v>479</v>
      </c>
      <c r="B848" s="68" t="s">
        <v>1761</v>
      </c>
      <c r="C848" s="68" t="s">
        <v>1761</v>
      </c>
      <c r="D848" s="68" t="s">
        <v>1765</v>
      </c>
      <c r="E848" s="68"/>
      <c r="F848" s="61" t="str">
        <f t="shared" si="52"/>
        <v>Kyampisi</v>
      </c>
      <c r="G848" s="61" t="str">
        <f t="shared" si="53"/>
        <v>Mukono</v>
      </c>
      <c r="H848" s="68" t="s">
        <v>1765</v>
      </c>
    </row>
    <row r="849" spans="1:8">
      <c r="A849" s="67">
        <v>1130</v>
      </c>
      <c r="B849" s="68" t="s">
        <v>38</v>
      </c>
      <c r="C849" s="68" t="s">
        <v>785</v>
      </c>
      <c r="D849" s="68" t="s">
        <v>50</v>
      </c>
      <c r="E849" s="68"/>
      <c r="F849" s="61" t="str">
        <f t="shared" si="52"/>
        <v>Kyamuhunga</v>
      </c>
      <c r="G849" s="61" t="str">
        <f t="shared" si="53"/>
        <v>Bushenyi</v>
      </c>
      <c r="H849" s="68" t="s">
        <v>50</v>
      </c>
    </row>
    <row r="850" spans="1:8">
      <c r="A850" s="67">
        <v>1134</v>
      </c>
      <c r="B850" s="68" t="s">
        <v>38</v>
      </c>
      <c r="C850" s="68" t="s">
        <v>785</v>
      </c>
      <c r="D850" s="68" t="s">
        <v>791</v>
      </c>
      <c r="E850" s="68"/>
      <c r="F850" s="61" t="str">
        <f t="shared" si="52"/>
        <v>Kyamuhunga Town Council</v>
      </c>
      <c r="G850" s="61" t="str">
        <f t="shared" si="53"/>
        <v>Bushenyi</v>
      </c>
      <c r="H850" s="68" t="s">
        <v>791</v>
      </c>
    </row>
    <row r="851" spans="1:8">
      <c r="A851" s="67">
        <v>1525</v>
      </c>
      <c r="B851" s="68" t="s">
        <v>2313</v>
      </c>
      <c r="C851" s="68" t="s">
        <v>773</v>
      </c>
      <c r="D851" s="68" t="s">
        <v>780</v>
      </c>
      <c r="E851" s="68"/>
      <c r="F851" s="61" t="str">
        <f t="shared" si="52"/>
        <v>Kyamukube Town Council</v>
      </c>
      <c r="G851" s="61" t="str">
        <f t="shared" si="53"/>
        <v>Bunyangabu</v>
      </c>
      <c r="H851" s="68" t="s">
        <v>780</v>
      </c>
    </row>
    <row r="852" spans="1:8">
      <c r="A852" s="67">
        <v>634</v>
      </c>
      <c r="B852" s="68" t="s">
        <v>1075</v>
      </c>
      <c r="C852" s="68" t="s">
        <v>1075</v>
      </c>
      <c r="D852" s="68" t="s">
        <v>1077</v>
      </c>
      <c r="E852" s="68"/>
      <c r="F852" s="61" t="str">
        <f t="shared" si="52"/>
        <v>Kyamulibwa</v>
      </c>
      <c r="G852" s="61" t="str">
        <f t="shared" si="53"/>
        <v>Kalungu</v>
      </c>
      <c r="H852" s="68" t="s">
        <v>1077</v>
      </c>
    </row>
    <row r="853" spans="1:8">
      <c r="A853" s="67">
        <v>637</v>
      </c>
      <c r="B853" s="68" t="s">
        <v>1075</v>
      </c>
      <c r="C853" s="68" t="s">
        <v>1075</v>
      </c>
      <c r="D853" s="68" t="s">
        <v>1078</v>
      </c>
      <c r="E853" s="68"/>
      <c r="F853" s="61" t="str">
        <f t="shared" si="52"/>
        <v>Kyamulibwa Town Council</v>
      </c>
      <c r="G853" s="61" t="str">
        <f t="shared" si="53"/>
        <v>Kalungu</v>
      </c>
      <c r="H853" s="68" t="s">
        <v>1078</v>
      </c>
    </row>
    <row r="854" spans="1:8">
      <c r="A854" s="67">
        <v>323</v>
      </c>
      <c r="B854" s="68" t="s">
        <v>1054</v>
      </c>
      <c r="C854" s="68" t="s">
        <v>1055</v>
      </c>
      <c r="D854" s="68" t="s">
        <v>1055</v>
      </c>
      <c r="E854" s="68"/>
      <c r="F854" s="61" t="str">
        <f t="shared" si="52"/>
        <v>Kyamuswa</v>
      </c>
      <c r="G854" s="61" t="str">
        <f t="shared" si="53"/>
        <v>Kalangala</v>
      </c>
      <c r="H854" s="68" t="s">
        <v>1055</v>
      </c>
    </row>
    <row r="855" spans="1:8">
      <c r="A855" s="67">
        <v>1484</v>
      </c>
      <c r="B855" s="68" t="s">
        <v>1022</v>
      </c>
      <c r="C855" s="68" t="s">
        <v>1023</v>
      </c>
      <c r="D855" s="68" t="s">
        <v>1029</v>
      </c>
      <c r="E855" s="68"/>
      <c r="F855" s="61" t="str">
        <f t="shared" si="52"/>
        <v>Kyanaisoke</v>
      </c>
      <c r="G855" s="61" t="str">
        <f t="shared" si="53"/>
        <v>Kagadi</v>
      </c>
      <c r="H855" s="68" t="s">
        <v>1029</v>
      </c>
    </row>
    <row r="856" spans="1:8">
      <c r="A856" s="67">
        <v>1158</v>
      </c>
      <c r="B856" s="68" t="s">
        <v>981</v>
      </c>
      <c r="C856" s="68" t="s">
        <v>982</v>
      </c>
      <c r="D856" s="68" t="s">
        <v>989</v>
      </c>
      <c r="E856" s="68"/>
      <c r="F856" s="61" t="str">
        <f t="shared" si="52"/>
        <v>Kyanamira</v>
      </c>
      <c r="G856" s="61" t="str">
        <f t="shared" si="53"/>
        <v>Kabale</v>
      </c>
      <c r="H856" s="68" t="s">
        <v>989</v>
      </c>
    </row>
    <row r="857" spans="1:8">
      <c r="A857" s="67">
        <v>445</v>
      </c>
      <c r="B857" s="68" t="s">
        <v>39</v>
      </c>
      <c r="C857" s="68" t="s">
        <v>23</v>
      </c>
      <c r="D857" s="68" t="s">
        <v>1613</v>
      </c>
      <c r="E857" s="68"/>
      <c r="F857" s="61" t="str">
        <f t="shared" si="52"/>
        <v>Kyanamukaaka</v>
      </c>
      <c r="G857" s="61" t="str">
        <f t="shared" si="53"/>
        <v>Masaka</v>
      </c>
      <c r="H857" s="68" t="s">
        <v>1613</v>
      </c>
    </row>
    <row r="858" spans="1:8">
      <c r="A858" s="67">
        <v>1144</v>
      </c>
      <c r="B858" s="68" t="s">
        <v>884</v>
      </c>
      <c r="C858" s="68" t="s">
        <v>885</v>
      </c>
      <c r="D858" s="68" t="s">
        <v>898</v>
      </c>
      <c r="E858" s="68"/>
      <c r="F858" s="61" t="str">
        <f t="shared" si="52"/>
        <v>Kyangwali</v>
      </c>
      <c r="G858" s="61" t="str">
        <f t="shared" si="53"/>
        <v>Hoima</v>
      </c>
      <c r="H858" s="68" t="s">
        <v>898</v>
      </c>
    </row>
    <row r="859" spans="1:8">
      <c r="A859" s="67">
        <v>1467</v>
      </c>
      <c r="B859" s="68" t="s">
        <v>41</v>
      </c>
      <c r="C859" s="68" t="s">
        <v>41</v>
      </c>
      <c r="D859" s="68" t="s">
        <v>2048</v>
      </c>
      <c r="E859" s="68"/>
      <c r="F859" s="61" t="str">
        <f t="shared" si="52"/>
        <v>Kyangyenyi</v>
      </c>
      <c r="G859" s="61" t="str">
        <f t="shared" si="53"/>
        <v>Sheema</v>
      </c>
      <c r="H859" s="68" t="s">
        <v>2048</v>
      </c>
    </row>
    <row r="860" spans="1:8">
      <c r="A860" s="67">
        <v>642</v>
      </c>
      <c r="B860" s="68" t="s">
        <v>1476</v>
      </c>
      <c r="C860" s="68" t="s">
        <v>1356</v>
      </c>
      <c r="D860" s="68" t="s">
        <v>1476</v>
      </c>
      <c r="E860" s="68"/>
      <c r="F860" s="61" t="str">
        <f t="shared" si="52"/>
        <v>Kyankwanzi</v>
      </c>
      <c r="G860" s="61" t="str">
        <f t="shared" si="53"/>
        <v>Kyankwanzi</v>
      </c>
      <c r="H860" s="68" t="s">
        <v>1476</v>
      </c>
    </row>
    <row r="861" spans="1:8">
      <c r="A861" s="67">
        <v>650</v>
      </c>
      <c r="B861" s="68" t="s">
        <v>1476</v>
      </c>
      <c r="C861" s="68" t="s">
        <v>1356</v>
      </c>
      <c r="D861" s="68" t="s">
        <v>1481</v>
      </c>
      <c r="E861" s="68"/>
      <c r="F861" s="61" t="str">
        <f t="shared" si="52"/>
        <v>Kyankwanzi Town Council</v>
      </c>
      <c r="G861" s="61" t="str">
        <f t="shared" si="53"/>
        <v>Kyankwanzi</v>
      </c>
      <c r="H861" s="68" t="s">
        <v>1481</v>
      </c>
    </row>
    <row r="862" spans="1:8">
      <c r="A862" s="67">
        <v>1184</v>
      </c>
      <c r="B862" s="68" t="s">
        <v>36</v>
      </c>
      <c r="C862" s="68" t="s">
        <v>753</v>
      </c>
      <c r="D862" s="68" t="s">
        <v>1313</v>
      </c>
      <c r="E862" s="68"/>
      <c r="F862" s="61" t="str">
        <f t="shared" si="52"/>
        <v>Kyarumba</v>
      </c>
      <c r="G862" s="61" t="str">
        <f t="shared" si="53"/>
        <v>Kasese</v>
      </c>
      <c r="H862" s="68" t="s">
        <v>1313</v>
      </c>
    </row>
    <row r="863" spans="1:8">
      <c r="A863" s="67">
        <v>1340</v>
      </c>
      <c r="B863" s="68" t="s">
        <v>1499</v>
      </c>
      <c r="C863" s="68" t="s">
        <v>1500</v>
      </c>
      <c r="D863" s="68" t="s">
        <v>1510</v>
      </c>
      <c r="E863" s="68"/>
      <c r="F863" s="61" t="str">
        <f t="shared" si="52"/>
        <v>Kyarusozi</v>
      </c>
      <c r="G863" s="61" t="str">
        <f t="shared" si="53"/>
        <v>Kyenjojo</v>
      </c>
      <c r="H863" s="68" t="s">
        <v>1510</v>
      </c>
    </row>
    <row r="864" spans="1:8">
      <c r="A864" s="67">
        <v>1341</v>
      </c>
      <c r="B864" s="68" t="s">
        <v>1499</v>
      </c>
      <c r="C864" s="68" t="s">
        <v>1500</v>
      </c>
      <c r="D864" s="68" t="s">
        <v>1511</v>
      </c>
      <c r="E864" s="68"/>
      <c r="F864" s="61" t="str">
        <f t="shared" si="52"/>
        <v>Kyarusozi Town Council</v>
      </c>
      <c r="G864" s="61" t="str">
        <f t="shared" si="53"/>
        <v>Kyenjojo</v>
      </c>
      <c r="H864" s="68" t="s">
        <v>1511</v>
      </c>
    </row>
    <row r="865" spans="1:8">
      <c r="A865" s="67">
        <v>1485</v>
      </c>
      <c r="B865" s="68" t="s">
        <v>1022</v>
      </c>
      <c r="C865" s="68" t="s">
        <v>1023</v>
      </c>
      <c r="D865" s="68" t="s">
        <v>1030</v>
      </c>
      <c r="E865" s="68"/>
      <c r="F865" s="61" t="str">
        <f t="shared" si="52"/>
        <v>Kyaterekera</v>
      </c>
      <c r="G865" s="61" t="str">
        <f t="shared" si="53"/>
        <v>Kagadi</v>
      </c>
      <c r="H865" s="68" t="s">
        <v>1030</v>
      </c>
    </row>
    <row r="866" spans="1:8">
      <c r="A866" s="67">
        <v>653</v>
      </c>
      <c r="B866" s="68" t="s">
        <v>1568</v>
      </c>
      <c r="C866" s="68" t="s">
        <v>23</v>
      </c>
      <c r="D866" s="68" t="s">
        <v>1570</v>
      </c>
      <c r="E866" s="68"/>
      <c r="F866" s="61" t="str">
        <f t="shared" si="52"/>
        <v>Kyazanga</v>
      </c>
      <c r="G866" s="61" t="str">
        <f t="shared" si="53"/>
        <v>Lwengo</v>
      </c>
      <c r="H866" s="68" t="s">
        <v>1570</v>
      </c>
    </row>
    <row r="867" spans="1:8">
      <c r="A867" s="67">
        <v>654</v>
      </c>
      <c r="B867" s="68" t="s">
        <v>1568</v>
      </c>
      <c r="C867" s="68" t="s">
        <v>23</v>
      </c>
      <c r="D867" s="68" t="s">
        <v>1571</v>
      </c>
      <c r="E867" s="68"/>
      <c r="F867" s="61" t="str">
        <f t="shared" si="52"/>
        <v>Kyazanga Town Council</v>
      </c>
      <c r="G867" s="61" t="str">
        <f t="shared" si="53"/>
        <v>Lwengo</v>
      </c>
      <c r="H867" s="68" t="s">
        <v>1571</v>
      </c>
    </row>
    <row r="868" spans="1:8">
      <c r="A868" s="67">
        <v>1211</v>
      </c>
      <c r="B868" s="68" t="s">
        <v>1345</v>
      </c>
      <c r="C868" s="68" t="s">
        <v>1346</v>
      </c>
      <c r="D868" s="68" t="s">
        <v>1171</v>
      </c>
      <c r="E868" s="68"/>
      <c r="F868" s="61" t="str">
        <f t="shared" si="52"/>
        <v>Kyebando</v>
      </c>
      <c r="G868" s="61" t="str">
        <f t="shared" si="53"/>
        <v>Kibaale</v>
      </c>
      <c r="H868" s="68" t="s">
        <v>1171</v>
      </c>
    </row>
    <row r="869" spans="1:8">
      <c r="A869" s="67">
        <v>661</v>
      </c>
      <c r="B869" s="68" t="s">
        <v>1517</v>
      </c>
      <c r="C869" s="68" t="s">
        <v>1521</v>
      </c>
      <c r="D869" s="68" t="s">
        <v>1523</v>
      </c>
      <c r="E869" s="68"/>
      <c r="F869" s="61" t="str">
        <f t="shared" si="52"/>
        <v>Kyebe</v>
      </c>
      <c r="G869" s="61" t="str">
        <f t="shared" si="53"/>
        <v>Kyotera</v>
      </c>
      <c r="H869" s="68" t="s">
        <v>1523</v>
      </c>
    </row>
    <row r="870" spans="1:8">
      <c r="A870" s="67">
        <v>1425</v>
      </c>
      <c r="B870" s="68" t="s">
        <v>1488</v>
      </c>
      <c r="C870" s="68" t="s">
        <v>1489</v>
      </c>
      <c r="D870" s="68" t="s">
        <v>1494</v>
      </c>
      <c r="E870" s="68"/>
      <c r="F870" s="61" t="str">
        <f t="shared" si="52"/>
        <v>Kyegegwa Town Council</v>
      </c>
      <c r="G870" s="61" t="str">
        <f t="shared" si="53"/>
        <v>Kyegegwa</v>
      </c>
      <c r="H870" s="68" t="s">
        <v>1494</v>
      </c>
    </row>
    <row r="871" spans="1:8">
      <c r="A871" s="67">
        <v>628</v>
      </c>
      <c r="B871" s="68" t="s">
        <v>870</v>
      </c>
      <c r="C871" s="68" t="s">
        <v>870</v>
      </c>
      <c r="D871" s="68" t="s">
        <v>872</v>
      </c>
      <c r="E871" s="68"/>
      <c r="F871" s="61" t="str">
        <f t="shared" si="52"/>
        <v>Kyegonza</v>
      </c>
      <c r="G871" s="61" t="str">
        <f t="shared" si="53"/>
        <v>Gomba</v>
      </c>
      <c r="H871" s="68" t="s">
        <v>872</v>
      </c>
    </row>
    <row r="872" spans="1:8">
      <c r="A872" s="67">
        <v>1131</v>
      </c>
      <c r="B872" s="68" t="s">
        <v>38</v>
      </c>
      <c r="C872" s="68" t="s">
        <v>785</v>
      </c>
      <c r="D872" s="68" t="s">
        <v>792</v>
      </c>
      <c r="E872" s="68"/>
      <c r="F872" s="61" t="str">
        <f t="shared" si="52"/>
        <v>Kyeizooba</v>
      </c>
      <c r="G872" s="61" t="str">
        <f t="shared" si="53"/>
        <v>Bushenyi</v>
      </c>
      <c r="H872" s="68" t="s">
        <v>792</v>
      </c>
    </row>
    <row r="873" spans="1:8">
      <c r="A873" s="67">
        <v>542</v>
      </c>
      <c r="B873" s="68" t="s">
        <v>2117</v>
      </c>
      <c r="C873" s="68" t="s">
        <v>2120</v>
      </c>
      <c r="D873" s="68" t="s">
        <v>2153</v>
      </c>
      <c r="E873" s="68"/>
      <c r="F873" s="61" t="str">
        <f t="shared" si="52"/>
        <v>Kyengera Town Council</v>
      </c>
      <c r="G873" s="61" t="str">
        <f t="shared" si="53"/>
        <v>Wakiso</v>
      </c>
      <c r="H873" s="68" t="s">
        <v>2153</v>
      </c>
    </row>
    <row r="874" spans="1:8">
      <c r="A874" s="67">
        <v>1342</v>
      </c>
      <c r="B874" s="68" t="s">
        <v>1499</v>
      </c>
      <c r="C874" s="68" t="s">
        <v>1500</v>
      </c>
      <c r="D874" s="68" t="s">
        <v>1512</v>
      </c>
      <c r="E874" s="68"/>
      <c r="F874" s="61" t="str">
        <f t="shared" si="52"/>
        <v>Kyenjojo Town Council</v>
      </c>
      <c r="G874" s="61" t="str">
        <f t="shared" si="53"/>
        <v>Kyenjojo</v>
      </c>
      <c r="H874" s="68" t="s">
        <v>1512</v>
      </c>
    </row>
    <row r="875" spans="1:8">
      <c r="A875" s="67">
        <v>1486</v>
      </c>
      <c r="B875" s="68" t="s">
        <v>1022</v>
      </c>
      <c r="C875" s="68" t="s">
        <v>1023</v>
      </c>
      <c r="D875" s="68" t="s">
        <v>1031</v>
      </c>
      <c r="E875" s="68"/>
      <c r="F875" s="61" t="str">
        <f t="shared" si="52"/>
        <v>Kyenzige</v>
      </c>
      <c r="G875" s="61" t="str">
        <f t="shared" si="53"/>
        <v>Kagadi</v>
      </c>
      <c r="H875" s="68" t="s">
        <v>1031</v>
      </c>
    </row>
    <row r="876" spans="1:8">
      <c r="A876" s="67">
        <v>1075</v>
      </c>
      <c r="B876" s="68" t="s">
        <v>2030</v>
      </c>
      <c r="C876" s="68" t="s">
        <v>2030</v>
      </c>
      <c r="D876" s="68" t="s">
        <v>2036</v>
      </c>
      <c r="E876" s="68"/>
      <c r="F876" s="61" t="str">
        <f t="shared" si="52"/>
        <v>Kyere</v>
      </c>
      <c r="G876" s="61" t="str">
        <f t="shared" si="53"/>
        <v>Serere</v>
      </c>
      <c r="H876" s="68" t="s">
        <v>2036</v>
      </c>
    </row>
    <row r="877" spans="1:8">
      <c r="A877" s="67">
        <v>446</v>
      </c>
      <c r="B877" s="68" t="s">
        <v>39</v>
      </c>
      <c r="C877" s="68" t="s">
        <v>23</v>
      </c>
      <c r="D877" s="68" t="s">
        <v>1614</v>
      </c>
      <c r="E877" s="68"/>
      <c r="F877" s="61" t="str">
        <f t="shared" si="52"/>
        <v>Kyesiiga</v>
      </c>
      <c r="G877" s="61" t="str">
        <f t="shared" si="53"/>
        <v>Masaka</v>
      </c>
      <c r="H877" s="68" t="s">
        <v>1614</v>
      </c>
    </row>
    <row r="878" spans="1:8">
      <c r="A878" s="67">
        <v>1185</v>
      </c>
      <c r="B878" s="68" t="s">
        <v>36</v>
      </c>
      <c r="C878" s="68" t="s">
        <v>753</v>
      </c>
      <c r="D878" s="68" t="s">
        <v>1314</v>
      </c>
      <c r="E878" s="68"/>
      <c r="F878" s="61" t="str">
        <f t="shared" si="52"/>
        <v>Kyondo</v>
      </c>
      <c r="G878" s="61" t="str">
        <f t="shared" si="53"/>
        <v>Kasese</v>
      </c>
      <c r="H878" s="68" t="s">
        <v>1314</v>
      </c>
    </row>
    <row r="879" spans="1:8">
      <c r="A879" s="67">
        <v>666</v>
      </c>
      <c r="B879" s="68" t="s">
        <v>1517</v>
      </c>
      <c r="C879" s="68" t="s">
        <v>1517</v>
      </c>
      <c r="D879" s="68" t="s">
        <v>1524</v>
      </c>
      <c r="E879" s="68"/>
      <c r="F879" s="61" t="str">
        <f t="shared" si="52"/>
        <v>Kyotera Town Council</v>
      </c>
      <c r="G879" s="61" t="str">
        <f t="shared" si="53"/>
        <v>Kyotera</v>
      </c>
      <c r="H879" s="68" t="s">
        <v>1524</v>
      </c>
    </row>
    <row r="880" spans="1:8">
      <c r="A880" s="67">
        <v>59</v>
      </c>
      <c r="B880" s="68" t="s">
        <v>1421</v>
      </c>
      <c r="C880" s="68" t="s">
        <v>1422</v>
      </c>
      <c r="D880" s="68" t="s">
        <v>1424</v>
      </c>
      <c r="E880" s="68"/>
      <c r="F880" s="61" t="str">
        <f t="shared" si="52"/>
        <v>Labongo Akwang</v>
      </c>
      <c r="G880" s="61" t="str">
        <f t="shared" si="53"/>
        <v>Kitgum</v>
      </c>
      <c r="H880" s="68" t="s">
        <v>1424</v>
      </c>
    </row>
    <row r="881" spans="1:8">
      <c r="A881" s="67">
        <v>60</v>
      </c>
      <c r="B881" s="68" t="s">
        <v>1421</v>
      </c>
      <c r="C881" s="68" t="s">
        <v>1422</v>
      </c>
      <c r="D881" s="68" t="s">
        <v>1425</v>
      </c>
      <c r="E881" s="68"/>
      <c r="F881" s="61" t="str">
        <f t="shared" si="52"/>
        <v>Labongo Amida</v>
      </c>
      <c r="G881" s="61" t="str">
        <f t="shared" si="53"/>
        <v>Kitgum</v>
      </c>
      <c r="H881" s="68" t="s">
        <v>1425</v>
      </c>
    </row>
    <row r="882" spans="1:8">
      <c r="A882" s="67">
        <v>61</v>
      </c>
      <c r="B882" s="68" t="s">
        <v>1421</v>
      </c>
      <c r="C882" s="68" t="s">
        <v>1422</v>
      </c>
      <c r="D882" s="68" t="s">
        <v>1426</v>
      </c>
      <c r="E882" s="68"/>
      <c r="F882" s="61" t="str">
        <f t="shared" si="52"/>
        <v>Labongo Layamo</v>
      </c>
      <c r="G882" s="61" t="str">
        <f t="shared" si="53"/>
        <v>Kitgum</v>
      </c>
      <c r="H882" s="68" t="s">
        <v>1426</v>
      </c>
    </row>
    <row r="883" spans="1:8">
      <c r="A883" s="67">
        <v>1071</v>
      </c>
      <c r="B883" s="68" t="s">
        <v>2030</v>
      </c>
      <c r="C883" s="68" t="s">
        <v>2032</v>
      </c>
      <c r="D883" s="68" t="s">
        <v>2037</v>
      </c>
      <c r="E883" s="68"/>
      <c r="F883" s="61" t="str">
        <f t="shared" si="52"/>
        <v>Labori</v>
      </c>
      <c r="G883" s="61" t="str">
        <f t="shared" si="53"/>
        <v>Serere</v>
      </c>
      <c r="H883" s="68" t="s">
        <v>2037</v>
      </c>
    </row>
    <row r="884" spans="1:8">
      <c r="A884" s="67">
        <v>62</v>
      </c>
      <c r="B884" s="68" t="s">
        <v>1421</v>
      </c>
      <c r="C884" s="68" t="s">
        <v>1422</v>
      </c>
      <c r="D884" s="68" t="s">
        <v>1427</v>
      </c>
      <c r="E884" s="68"/>
      <c r="F884" s="61" t="str">
        <f t="shared" si="52"/>
        <v>Lagoro</v>
      </c>
      <c r="G884" s="61" t="str">
        <f t="shared" si="53"/>
        <v>Kitgum</v>
      </c>
      <c r="H884" s="68" t="s">
        <v>1427</v>
      </c>
    </row>
    <row r="885" spans="1:8">
      <c r="A885" s="67">
        <v>130</v>
      </c>
      <c r="B885" s="68" t="s">
        <v>1946</v>
      </c>
      <c r="C885" s="68" t="s">
        <v>1947</v>
      </c>
      <c r="D885" s="68" t="s">
        <v>1951</v>
      </c>
      <c r="E885" s="68"/>
      <c r="F885" s="61" t="str">
        <f t="shared" si="52"/>
        <v>Laguti</v>
      </c>
      <c r="G885" s="61" t="str">
        <f t="shared" si="53"/>
        <v>Pader</v>
      </c>
      <c r="H885" s="68" t="s">
        <v>1951</v>
      </c>
    </row>
    <row r="886" spans="1:8">
      <c r="A886" s="67">
        <v>1201</v>
      </c>
      <c r="B886" s="68" t="s">
        <v>36</v>
      </c>
      <c r="C886" s="68" t="s">
        <v>1297</v>
      </c>
      <c r="D886" s="68" t="s">
        <v>1315</v>
      </c>
      <c r="E886" s="68"/>
      <c r="F886" s="61" t="str">
        <f t="shared" si="52"/>
        <v>Lake Katwe</v>
      </c>
      <c r="G886" s="61" t="str">
        <f t="shared" si="53"/>
        <v>Kasese</v>
      </c>
      <c r="H886" s="68" t="s">
        <v>1315</v>
      </c>
    </row>
    <row r="887" spans="1:8">
      <c r="A887" s="67">
        <v>307</v>
      </c>
      <c r="B887" s="68" t="s">
        <v>549</v>
      </c>
      <c r="C887" s="68" t="s">
        <v>549</v>
      </c>
      <c r="D887" s="68" t="s">
        <v>1918</v>
      </c>
      <c r="E887" s="68"/>
      <c r="F887" s="61" t="str">
        <f t="shared" si="52"/>
        <v>Lakwana</v>
      </c>
      <c r="G887" s="61" t="str">
        <f t="shared" si="53"/>
        <v>Omoro</v>
      </c>
      <c r="H887" s="68" t="s">
        <v>1918</v>
      </c>
    </row>
    <row r="888" spans="1:8">
      <c r="A888" s="67">
        <v>308</v>
      </c>
      <c r="B888" s="68" t="s">
        <v>549</v>
      </c>
      <c r="C888" s="68" t="s">
        <v>549</v>
      </c>
      <c r="D888" s="68" t="s">
        <v>1919</v>
      </c>
      <c r="E888" s="68"/>
      <c r="F888" s="61" t="str">
        <f t="shared" si="52"/>
        <v>Lalogi</v>
      </c>
      <c r="G888" s="61" t="str">
        <f t="shared" si="53"/>
        <v>Omoro</v>
      </c>
      <c r="H888" s="68" t="s">
        <v>1919</v>
      </c>
    </row>
    <row r="889" spans="1:8">
      <c r="A889" s="67">
        <v>232</v>
      </c>
      <c r="B889" s="68" t="s">
        <v>523</v>
      </c>
      <c r="C889" s="68" t="s">
        <v>523</v>
      </c>
      <c r="D889" s="68" t="s">
        <v>528</v>
      </c>
      <c r="E889" s="68"/>
      <c r="F889" s="61" t="str">
        <f t="shared" si="52"/>
        <v>Lamiyo</v>
      </c>
      <c r="G889" s="61" t="str">
        <f t="shared" si="53"/>
        <v>Agago</v>
      </c>
      <c r="H889" s="68" t="s">
        <v>528</v>
      </c>
    </row>
    <row r="890" spans="1:8">
      <c r="A890" s="67">
        <v>171</v>
      </c>
      <c r="B890" s="68" t="s">
        <v>585</v>
      </c>
      <c r="C890" s="68" t="s">
        <v>586</v>
      </c>
      <c r="D890" s="68" t="s">
        <v>589</v>
      </c>
      <c r="E890" s="68"/>
      <c r="F890" s="61" t="str">
        <f t="shared" si="52"/>
        <v>Lamogi</v>
      </c>
      <c r="G890" s="61" t="str">
        <f t="shared" si="53"/>
        <v>Amuru</v>
      </c>
      <c r="H890" s="68" t="s">
        <v>589</v>
      </c>
    </row>
    <row r="891" spans="1:8">
      <c r="A891" s="67">
        <v>264</v>
      </c>
      <c r="B891" s="68" t="s">
        <v>1528</v>
      </c>
      <c r="C891" s="68" t="s">
        <v>1528</v>
      </c>
      <c r="D891" s="68" t="s">
        <v>1529</v>
      </c>
      <c r="E891" s="68"/>
      <c r="F891" s="61" t="str">
        <f t="shared" si="52"/>
        <v>Lamwo Town Council</v>
      </c>
      <c r="G891" s="61" t="str">
        <f t="shared" si="53"/>
        <v>Lamwo</v>
      </c>
      <c r="H891" s="68" t="s">
        <v>1529</v>
      </c>
    </row>
    <row r="892" spans="1:8">
      <c r="A892" s="67">
        <v>233</v>
      </c>
      <c r="B892" s="68" t="s">
        <v>523</v>
      </c>
      <c r="C892" s="68" t="s">
        <v>523</v>
      </c>
      <c r="D892" s="68" t="s">
        <v>529</v>
      </c>
      <c r="E892" s="68"/>
      <c r="F892" s="61" t="str">
        <f t="shared" si="52"/>
        <v>Lapono</v>
      </c>
      <c r="G892" s="61" t="str">
        <f t="shared" si="53"/>
        <v>Agago</v>
      </c>
      <c r="H892" s="68" t="s">
        <v>529</v>
      </c>
    </row>
    <row r="893" spans="1:8">
      <c r="A893" s="67">
        <v>131</v>
      </c>
      <c r="B893" s="68" t="s">
        <v>1946</v>
      </c>
      <c r="C893" s="68" t="s">
        <v>1947</v>
      </c>
      <c r="D893" s="68" t="s">
        <v>1952</v>
      </c>
      <c r="E893" s="68"/>
      <c r="F893" s="61" t="str">
        <f t="shared" si="52"/>
        <v>Lapul</v>
      </c>
      <c r="G893" s="61" t="str">
        <f t="shared" si="53"/>
        <v>Pader</v>
      </c>
      <c r="H893" s="68" t="s">
        <v>1952</v>
      </c>
    </row>
    <row r="894" spans="1:8">
      <c r="A894" s="67">
        <v>55</v>
      </c>
      <c r="B894" s="68" t="s">
        <v>876</v>
      </c>
      <c r="C894" s="69" t="s">
        <v>879</v>
      </c>
      <c r="D894" s="68" t="s">
        <v>2314</v>
      </c>
      <c r="E894" s="68"/>
      <c r="F894" s="62" t="str">
        <f>VLOOKUP(C894,[2]Municipalities!$C$9:$F$1522,4,FALSE)</f>
        <v>Gulu Municipality</v>
      </c>
      <c r="G894" s="61" t="str">
        <f t="shared" si="53"/>
        <v>Gulu</v>
      </c>
      <c r="H894" s="68" t="s">
        <v>2314</v>
      </c>
    </row>
    <row r="895" spans="1:8">
      <c r="A895" s="67">
        <v>102</v>
      </c>
      <c r="B895" s="68" t="s">
        <v>1718</v>
      </c>
      <c r="C895" s="68" t="s">
        <v>1721</v>
      </c>
      <c r="D895" s="68" t="s">
        <v>1724</v>
      </c>
      <c r="E895" s="68"/>
      <c r="F895" s="61" t="str">
        <f t="shared" si="52"/>
        <v>Laropi</v>
      </c>
      <c r="G895" s="61" t="str">
        <f t="shared" si="53"/>
        <v>Moyo</v>
      </c>
      <c r="H895" s="68" t="s">
        <v>1724</v>
      </c>
    </row>
    <row r="896" spans="1:8">
      <c r="A896" s="67">
        <v>132</v>
      </c>
      <c r="B896" s="68" t="s">
        <v>1946</v>
      </c>
      <c r="C896" s="68" t="s">
        <v>1947</v>
      </c>
      <c r="D896" s="68" t="s">
        <v>1953</v>
      </c>
      <c r="E896" s="68"/>
      <c r="F896" s="61" t="str">
        <f t="shared" si="52"/>
        <v>Latanya</v>
      </c>
      <c r="G896" s="61" t="str">
        <f t="shared" si="53"/>
        <v>Pader</v>
      </c>
      <c r="H896" s="68" t="s">
        <v>1953</v>
      </c>
    </row>
    <row r="897" spans="1:8">
      <c r="A897" s="67">
        <v>56</v>
      </c>
      <c r="B897" s="68" t="s">
        <v>876</v>
      </c>
      <c r="C897" s="69" t="s">
        <v>879</v>
      </c>
      <c r="D897" s="68" t="s">
        <v>2315</v>
      </c>
      <c r="E897" s="68"/>
      <c r="F897" s="62" t="str">
        <f>VLOOKUP(C897,[2]Municipalities!$C$9:$F$1522,4,FALSE)</f>
        <v>Gulu Municipality</v>
      </c>
      <c r="G897" s="61" t="str">
        <f t="shared" si="53"/>
        <v>Gulu</v>
      </c>
      <c r="H897" s="68" t="s">
        <v>2315</v>
      </c>
    </row>
    <row r="898" spans="1:8">
      <c r="A898" s="67">
        <v>103</v>
      </c>
      <c r="B898" s="68" t="s">
        <v>1718</v>
      </c>
      <c r="C898" s="68" t="s">
        <v>1721</v>
      </c>
      <c r="D898" s="68" t="s">
        <v>1725</v>
      </c>
      <c r="E898" s="68"/>
      <c r="F898" s="61" t="str">
        <f t="shared" si="52"/>
        <v>Lefori</v>
      </c>
      <c r="G898" s="61" t="str">
        <f t="shared" si="53"/>
        <v>Moyo</v>
      </c>
      <c r="H898" s="68" t="s">
        <v>1725</v>
      </c>
    </row>
    <row r="899" spans="1:8">
      <c r="A899" s="67">
        <v>85</v>
      </c>
      <c r="B899" s="68" t="s">
        <v>1536</v>
      </c>
      <c r="C899" s="68" t="s">
        <v>1537</v>
      </c>
      <c r="D899" s="68" t="s">
        <v>1536</v>
      </c>
      <c r="E899" s="68"/>
      <c r="F899" s="61" t="str">
        <f t="shared" si="52"/>
        <v>Lira</v>
      </c>
      <c r="G899" s="61" t="str">
        <f t="shared" si="53"/>
        <v>Lira</v>
      </c>
      <c r="H899" s="68" t="s">
        <v>1536</v>
      </c>
    </row>
    <row r="900" spans="1:8">
      <c r="A900" s="67">
        <v>234</v>
      </c>
      <c r="B900" s="68" t="s">
        <v>523</v>
      </c>
      <c r="C900" s="68" t="s">
        <v>523</v>
      </c>
      <c r="D900" s="68" t="s">
        <v>530</v>
      </c>
      <c r="E900" s="68"/>
      <c r="F900" s="61" t="str">
        <f t="shared" ref="F900:F917" si="54">D900</f>
        <v>Lira Palwo</v>
      </c>
      <c r="G900" s="61" t="str">
        <f t="shared" si="53"/>
        <v>Agago</v>
      </c>
      <c r="H900" s="68" t="s">
        <v>530</v>
      </c>
    </row>
    <row r="901" spans="1:8">
      <c r="A901" s="67">
        <v>192</v>
      </c>
      <c r="B901" s="68" t="s">
        <v>965</v>
      </c>
      <c r="C901" s="68" t="s">
        <v>966</v>
      </c>
      <c r="D901" s="68" t="s">
        <v>974</v>
      </c>
      <c r="E901" s="68"/>
      <c r="F901" s="61" t="str">
        <f t="shared" si="54"/>
        <v>Lobalangit</v>
      </c>
      <c r="G901" s="61" t="str">
        <f t="shared" si="53"/>
        <v>Kaabong</v>
      </c>
      <c r="H901" s="68" t="s">
        <v>974</v>
      </c>
    </row>
    <row r="902" spans="1:8">
      <c r="A902" s="67">
        <v>201</v>
      </c>
      <c r="B902" s="68" t="s">
        <v>1433</v>
      </c>
      <c r="C902" s="68" t="s">
        <v>1433</v>
      </c>
      <c r="D902" s="68" t="s">
        <v>1437</v>
      </c>
      <c r="E902" s="68"/>
      <c r="F902" s="61" t="str">
        <f t="shared" si="54"/>
        <v>Lobule</v>
      </c>
      <c r="G902" s="61" t="str">
        <f t="shared" si="53"/>
        <v>Koboko</v>
      </c>
      <c r="H902" s="68" t="s">
        <v>1437</v>
      </c>
    </row>
    <row r="903" spans="1:8">
      <c r="A903" s="67">
        <v>193</v>
      </c>
      <c r="B903" s="68" t="s">
        <v>965</v>
      </c>
      <c r="C903" s="68" t="s">
        <v>966</v>
      </c>
      <c r="D903" s="68" t="s">
        <v>975</v>
      </c>
      <c r="E903" s="68"/>
      <c r="F903" s="61" t="str">
        <f t="shared" si="54"/>
        <v>Lodiko</v>
      </c>
      <c r="G903" s="61" t="str">
        <f t="shared" si="53"/>
        <v>Kaabong</v>
      </c>
      <c r="H903" s="68" t="s">
        <v>975</v>
      </c>
    </row>
    <row r="904" spans="1:8">
      <c r="A904" s="67">
        <v>146</v>
      </c>
      <c r="B904" s="68" t="s">
        <v>2183</v>
      </c>
      <c r="C904" s="68" t="s">
        <v>2184</v>
      </c>
      <c r="D904" s="68" t="s">
        <v>2192</v>
      </c>
      <c r="E904" s="68"/>
      <c r="F904" s="61" t="str">
        <f t="shared" si="54"/>
        <v>Lodonga</v>
      </c>
      <c r="G904" s="61" t="str">
        <f t="shared" si="53"/>
        <v>Yumbe</v>
      </c>
      <c r="H904" s="68" t="s">
        <v>2192</v>
      </c>
    </row>
    <row r="905" spans="1:8">
      <c r="A905" s="67">
        <v>48</v>
      </c>
      <c r="B905" s="68" t="s">
        <v>606</v>
      </c>
      <c r="C905" s="68" t="s">
        <v>611</v>
      </c>
      <c r="D905" s="68" t="s">
        <v>622</v>
      </c>
      <c r="E905" s="68"/>
      <c r="F905" s="61" t="str">
        <f t="shared" si="54"/>
        <v>Logiri</v>
      </c>
      <c r="G905" s="61" t="str">
        <f t="shared" si="53"/>
        <v>Arua</v>
      </c>
      <c r="H905" s="68" t="s">
        <v>622</v>
      </c>
    </row>
    <row r="906" spans="1:8">
      <c r="A906" s="67">
        <v>235</v>
      </c>
      <c r="B906" s="68" t="s">
        <v>523</v>
      </c>
      <c r="C906" s="68" t="s">
        <v>523</v>
      </c>
      <c r="D906" s="68" t="s">
        <v>531</v>
      </c>
      <c r="E906" s="68"/>
      <c r="F906" s="61" t="str">
        <f t="shared" si="54"/>
        <v>Lokole</v>
      </c>
      <c r="G906" s="61" t="str">
        <f t="shared" ref="G906:G969" si="55">B906</f>
        <v>Agago</v>
      </c>
      <c r="H906" s="68" t="s">
        <v>531</v>
      </c>
    </row>
    <row r="907" spans="1:8">
      <c r="A907" s="67">
        <v>280</v>
      </c>
      <c r="B907" s="68" t="s">
        <v>1855</v>
      </c>
      <c r="C907" s="68" t="s">
        <v>1856</v>
      </c>
      <c r="D907" s="68" t="s">
        <v>1857</v>
      </c>
      <c r="E907" s="68"/>
      <c r="F907" s="61" t="str">
        <f t="shared" si="54"/>
        <v>Lokopo</v>
      </c>
      <c r="G907" s="61" t="str">
        <f t="shared" si="55"/>
        <v>Napak</v>
      </c>
      <c r="H907" s="68" t="s">
        <v>1857</v>
      </c>
    </row>
    <row r="908" spans="1:8">
      <c r="A908" s="67">
        <v>268</v>
      </c>
      <c r="B908" s="68" t="s">
        <v>1528</v>
      </c>
      <c r="C908" s="68" t="s">
        <v>1528</v>
      </c>
      <c r="D908" s="68" t="s">
        <v>1530</v>
      </c>
      <c r="E908" s="68"/>
      <c r="F908" s="61" t="str">
        <f t="shared" si="54"/>
        <v>Lokung</v>
      </c>
      <c r="G908" s="61" t="str">
        <f t="shared" si="55"/>
        <v>Lamwo</v>
      </c>
      <c r="H908" s="68" t="s">
        <v>1530</v>
      </c>
    </row>
    <row r="909" spans="1:8">
      <c r="A909" s="67">
        <v>123</v>
      </c>
      <c r="B909" s="68" t="s">
        <v>1779</v>
      </c>
      <c r="C909" s="68" t="s">
        <v>1782</v>
      </c>
      <c r="D909" s="68" t="s">
        <v>1781</v>
      </c>
      <c r="E909" s="68"/>
      <c r="F909" s="61" t="str">
        <f t="shared" si="54"/>
        <v>Lolachat</v>
      </c>
      <c r="G909" s="61" t="str">
        <f t="shared" si="55"/>
        <v>Nakapiripirit</v>
      </c>
      <c r="H909" s="68" t="s">
        <v>1781</v>
      </c>
    </row>
    <row r="910" spans="1:8">
      <c r="A910" s="67">
        <v>194</v>
      </c>
      <c r="B910" s="68" t="s">
        <v>965</v>
      </c>
      <c r="C910" s="68" t="s">
        <v>966</v>
      </c>
      <c r="D910" s="68" t="s">
        <v>976</v>
      </c>
      <c r="E910" s="68"/>
      <c r="F910" s="61" t="str">
        <f t="shared" si="54"/>
        <v>Lolelia</v>
      </c>
      <c r="G910" s="61" t="str">
        <f t="shared" si="55"/>
        <v>Kaabong</v>
      </c>
      <c r="H910" s="68" t="s">
        <v>976</v>
      </c>
    </row>
    <row r="911" spans="1:8">
      <c r="A911" s="67">
        <v>1059</v>
      </c>
      <c r="B911" s="68" t="s">
        <v>1817</v>
      </c>
      <c r="C911" s="68" t="s">
        <v>1818</v>
      </c>
      <c r="D911" s="68" t="s">
        <v>1823</v>
      </c>
      <c r="E911" s="68"/>
      <c r="F911" s="61" t="str">
        <f t="shared" si="54"/>
        <v>Lolwe</v>
      </c>
      <c r="G911" s="61" t="str">
        <f t="shared" si="55"/>
        <v>Namayingo</v>
      </c>
      <c r="H911" s="68" t="s">
        <v>1823</v>
      </c>
    </row>
    <row r="912" spans="1:8">
      <c r="A912" s="67">
        <v>281</v>
      </c>
      <c r="B912" s="68" t="s">
        <v>1855</v>
      </c>
      <c r="C912" s="68" t="s">
        <v>1856</v>
      </c>
      <c r="D912" s="68" t="s">
        <v>1858</v>
      </c>
      <c r="E912" s="68"/>
      <c r="F912" s="61" t="str">
        <f t="shared" si="54"/>
        <v>Lopeei</v>
      </c>
      <c r="G912" s="61" t="str">
        <f t="shared" si="55"/>
        <v>Napak</v>
      </c>
      <c r="H912" s="68" t="s">
        <v>1858</v>
      </c>
    </row>
    <row r="913" spans="1:8">
      <c r="A913" s="67">
        <v>118</v>
      </c>
      <c r="B913" s="68" t="s">
        <v>1779</v>
      </c>
      <c r="C913" s="68" t="s">
        <v>1780</v>
      </c>
      <c r="D913" s="68" t="s">
        <v>1783</v>
      </c>
      <c r="E913" s="68"/>
      <c r="F913" s="61" t="str">
        <f t="shared" si="54"/>
        <v>Loregae</v>
      </c>
      <c r="G913" s="61" t="str">
        <f t="shared" si="55"/>
        <v>Nakapiripirit</v>
      </c>
      <c r="H913" s="68" t="s">
        <v>1783</v>
      </c>
    </row>
    <row r="914" spans="1:8">
      <c r="A914" s="67">
        <v>275</v>
      </c>
      <c r="B914" s="68" t="s">
        <v>1855</v>
      </c>
      <c r="C914" s="68" t="s">
        <v>1856</v>
      </c>
      <c r="D914" s="68" t="s">
        <v>1859</v>
      </c>
      <c r="E914" s="68"/>
      <c r="F914" s="61" t="str">
        <f t="shared" si="54"/>
        <v>Lorengecora</v>
      </c>
      <c r="G914" s="61" t="str">
        <f t="shared" si="55"/>
        <v>Napak</v>
      </c>
      <c r="H914" s="68" t="s">
        <v>1859</v>
      </c>
    </row>
    <row r="915" spans="1:8">
      <c r="A915" s="67">
        <v>124</v>
      </c>
      <c r="B915" s="68" t="s">
        <v>1779</v>
      </c>
      <c r="C915" s="68" t="s">
        <v>1782</v>
      </c>
      <c r="D915" s="68" t="s">
        <v>1784</v>
      </c>
      <c r="E915" s="68"/>
      <c r="F915" s="61" t="str">
        <f t="shared" si="54"/>
        <v>Lorengedwat</v>
      </c>
      <c r="G915" s="61" t="str">
        <f t="shared" si="55"/>
        <v>Nakapiripirit</v>
      </c>
      <c r="H915" s="68" t="s">
        <v>1784</v>
      </c>
    </row>
    <row r="916" spans="1:8">
      <c r="A916" s="67">
        <v>221</v>
      </c>
      <c r="B916" s="68" t="s">
        <v>1933</v>
      </c>
      <c r="C916" s="68" t="s">
        <v>1933</v>
      </c>
      <c r="D916" s="68" t="s">
        <v>1939</v>
      </c>
      <c r="E916" s="68"/>
      <c r="F916" s="61" t="str">
        <f t="shared" si="54"/>
        <v>Loro</v>
      </c>
      <c r="G916" s="61" t="str">
        <f t="shared" si="55"/>
        <v>Oyam</v>
      </c>
      <c r="H916" s="68" t="s">
        <v>1939</v>
      </c>
    </row>
    <row r="917" spans="1:8">
      <c r="A917" s="67">
        <v>255</v>
      </c>
      <c r="B917" s="68" t="s">
        <v>563</v>
      </c>
      <c r="C917" s="68" t="s">
        <v>564</v>
      </c>
      <c r="D917" s="68" t="s">
        <v>567</v>
      </c>
      <c r="E917" s="68"/>
      <c r="F917" s="61" t="str">
        <f t="shared" si="54"/>
        <v>Loroo</v>
      </c>
      <c r="G917" s="61" t="str">
        <f t="shared" si="55"/>
        <v>Amudat</v>
      </c>
      <c r="H917" s="68" t="s">
        <v>567</v>
      </c>
    </row>
    <row r="918" spans="1:8" ht="25.5">
      <c r="A918" s="67">
        <v>78</v>
      </c>
      <c r="B918" s="68" t="s">
        <v>1449</v>
      </c>
      <c r="C918" s="69" t="s">
        <v>1451</v>
      </c>
      <c r="D918" s="68" t="s">
        <v>2316</v>
      </c>
      <c r="E918" s="68"/>
      <c r="F918" s="62" t="str">
        <f>VLOOKUP(C918,[2]Municipalities!$C$9:$F$1522,4,FALSE)</f>
        <v>Kotido Municipality</v>
      </c>
      <c r="G918" s="61" t="str">
        <f t="shared" si="55"/>
        <v>Kotido</v>
      </c>
      <c r="H918" s="68" t="s">
        <v>2316</v>
      </c>
    </row>
    <row r="919" spans="1:8">
      <c r="A919" s="67">
        <v>276</v>
      </c>
      <c r="B919" s="68" t="s">
        <v>1855</v>
      </c>
      <c r="C919" s="68" t="s">
        <v>1856</v>
      </c>
      <c r="D919" s="68" t="s">
        <v>1860</v>
      </c>
      <c r="E919" s="68"/>
      <c r="F919" s="61" t="str">
        <f t="shared" ref="F919:F966" si="56">D919</f>
        <v>Lotome</v>
      </c>
      <c r="G919" s="61" t="str">
        <f t="shared" si="55"/>
        <v>Napak</v>
      </c>
      <c r="H919" s="68" t="s">
        <v>1860</v>
      </c>
    </row>
    <row r="920" spans="1:8">
      <c r="A920" s="67">
        <v>154</v>
      </c>
      <c r="B920" s="68" t="s">
        <v>503</v>
      </c>
      <c r="C920" s="68" t="s">
        <v>504</v>
      </c>
      <c r="D920" s="68" t="s">
        <v>507</v>
      </c>
      <c r="E920" s="68"/>
      <c r="F920" s="61" t="str">
        <f t="shared" si="56"/>
        <v>Lotukei</v>
      </c>
      <c r="G920" s="61" t="str">
        <f t="shared" si="55"/>
        <v>Abim</v>
      </c>
      <c r="H920" s="68" t="s">
        <v>507</v>
      </c>
    </row>
    <row r="921" spans="1:8">
      <c r="A921" s="67">
        <v>195</v>
      </c>
      <c r="B921" s="68" t="s">
        <v>965</v>
      </c>
      <c r="C921" s="68" t="s">
        <v>966</v>
      </c>
      <c r="D921" s="68" t="s">
        <v>977</v>
      </c>
      <c r="E921" s="68"/>
      <c r="F921" s="61" t="str">
        <f t="shared" si="56"/>
        <v>Loyoro</v>
      </c>
      <c r="G921" s="61" t="str">
        <f t="shared" si="55"/>
        <v>Kaabong</v>
      </c>
      <c r="H921" s="68" t="s">
        <v>977</v>
      </c>
    </row>
    <row r="922" spans="1:8">
      <c r="A922" s="67">
        <v>622</v>
      </c>
      <c r="B922" s="68" t="s">
        <v>841</v>
      </c>
      <c r="C922" s="68" t="s">
        <v>842</v>
      </c>
      <c r="D922" s="68" t="s">
        <v>847</v>
      </c>
      <c r="E922" s="68"/>
      <c r="F922" s="61" t="str">
        <f t="shared" si="56"/>
        <v>Lubya</v>
      </c>
      <c r="G922" s="61" t="str">
        <f t="shared" si="55"/>
        <v>Buvuma</v>
      </c>
      <c r="H922" s="68" t="s">
        <v>847</v>
      </c>
    </row>
    <row r="923" spans="1:8">
      <c r="A923" s="67">
        <v>202</v>
      </c>
      <c r="B923" s="68" t="s">
        <v>1433</v>
      </c>
      <c r="C923" s="68" t="s">
        <v>1433</v>
      </c>
      <c r="D923" s="68" t="s">
        <v>1438</v>
      </c>
      <c r="E923" s="68"/>
      <c r="F923" s="61" t="str">
        <f t="shared" si="56"/>
        <v>Ludara</v>
      </c>
      <c r="G923" s="61" t="str">
        <f t="shared" si="55"/>
        <v>Koboko</v>
      </c>
      <c r="H923" s="68" t="s">
        <v>1438</v>
      </c>
    </row>
    <row r="924" spans="1:8">
      <c r="A924" s="67">
        <v>517</v>
      </c>
      <c r="B924" s="68" t="s">
        <v>2085</v>
      </c>
      <c r="C924" s="68" t="s">
        <v>2086</v>
      </c>
      <c r="D924" s="68" t="s">
        <v>2084</v>
      </c>
      <c r="E924" s="68"/>
      <c r="F924" s="61" t="str">
        <f t="shared" si="56"/>
        <v>Lugusulu</v>
      </c>
      <c r="G924" s="61" t="str">
        <f t="shared" si="55"/>
        <v>Ssembabule</v>
      </c>
      <c r="H924" s="68" t="s">
        <v>2084</v>
      </c>
    </row>
    <row r="925" spans="1:8">
      <c r="A925" s="67">
        <v>635</v>
      </c>
      <c r="B925" s="68" t="s">
        <v>1075</v>
      </c>
      <c r="C925" s="68" t="s">
        <v>1075</v>
      </c>
      <c r="D925" s="68" t="s">
        <v>1079</v>
      </c>
      <c r="E925" s="68"/>
      <c r="F925" s="61" t="str">
        <f t="shared" si="56"/>
        <v>Lukaya Town Council</v>
      </c>
      <c r="G925" s="61" t="str">
        <f t="shared" si="55"/>
        <v>Kalungu</v>
      </c>
      <c r="H925" s="68" t="s">
        <v>1079</v>
      </c>
    </row>
    <row r="926" spans="1:8">
      <c r="A926" s="67">
        <v>784</v>
      </c>
      <c r="B926" s="68" t="s">
        <v>1646</v>
      </c>
      <c r="C926" s="68" t="s">
        <v>1647</v>
      </c>
      <c r="D926" s="68" t="s">
        <v>1660</v>
      </c>
      <c r="E926" s="68"/>
      <c r="F926" s="61" t="str">
        <f t="shared" si="56"/>
        <v>Lukhonge</v>
      </c>
      <c r="G926" s="61" t="str">
        <f t="shared" si="55"/>
        <v>Mbale</v>
      </c>
      <c r="H926" s="68" t="s">
        <v>1660</v>
      </c>
    </row>
    <row r="927" spans="1:8">
      <c r="A927" s="67">
        <v>690</v>
      </c>
      <c r="B927" s="68" t="s">
        <v>796</v>
      </c>
      <c r="C927" s="68" t="s">
        <v>797</v>
      </c>
      <c r="D927" s="68" t="s">
        <v>805</v>
      </c>
      <c r="E927" s="68"/>
      <c r="F927" s="61" t="str">
        <f t="shared" si="56"/>
        <v>Lumino</v>
      </c>
      <c r="G927" s="61" t="str">
        <f t="shared" si="55"/>
        <v>Busia</v>
      </c>
      <c r="H927" s="68" t="s">
        <v>805</v>
      </c>
    </row>
    <row r="928" spans="1:8">
      <c r="A928" s="67">
        <v>691</v>
      </c>
      <c r="B928" s="68" t="s">
        <v>796</v>
      </c>
      <c r="C928" s="68" t="s">
        <v>797</v>
      </c>
      <c r="D928" s="68" t="s">
        <v>806</v>
      </c>
      <c r="E928" s="68"/>
      <c r="F928" s="61" t="str">
        <f t="shared" si="56"/>
        <v>Lunyo</v>
      </c>
      <c r="G928" s="61" t="str">
        <f t="shared" si="55"/>
        <v>Busia</v>
      </c>
      <c r="H928" s="68" t="s">
        <v>806</v>
      </c>
    </row>
    <row r="929" spans="1:8">
      <c r="A929" s="67">
        <v>1012</v>
      </c>
      <c r="B929" s="68" t="s">
        <v>723</v>
      </c>
      <c r="C929" s="68" t="s">
        <v>723</v>
      </c>
      <c r="D929" s="68" t="s">
        <v>735</v>
      </c>
      <c r="E929" s="68"/>
      <c r="F929" s="61" t="str">
        <f t="shared" si="56"/>
        <v>Lusha</v>
      </c>
      <c r="G929" s="61" t="str">
        <f t="shared" si="55"/>
        <v>Bulambuli</v>
      </c>
      <c r="H929" s="68" t="s">
        <v>735</v>
      </c>
    </row>
    <row r="930" spans="1:8">
      <c r="A930" s="67">
        <v>1051</v>
      </c>
      <c r="B930" s="68" t="s">
        <v>1546</v>
      </c>
      <c r="C930" s="68" t="s">
        <v>1546</v>
      </c>
      <c r="D930" s="68" t="s">
        <v>1551</v>
      </c>
      <c r="E930" s="68"/>
      <c r="F930" s="61" t="str">
        <f t="shared" si="56"/>
        <v>Luuka Town Council</v>
      </c>
      <c r="G930" s="61" t="str">
        <f t="shared" si="55"/>
        <v>Luuka</v>
      </c>
      <c r="H930" s="68" t="s">
        <v>1551</v>
      </c>
    </row>
    <row r="931" spans="1:8">
      <c r="A931" s="67">
        <v>438</v>
      </c>
      <c r="B931" s="68" t="s">
        <v>1555</v>
      </c>
      <c r="C931" s="68" t="s">
        <v>1557</v>
      </c>
      <c r="D931" s="68" t="s">
        <v>1555</v>
      </c>
      <c r="E931" s="68"/>
      <c r="F931" s="61" t="str">
        <f t="shared" si="56"/>
        <v>Luwero</v>
      </c>
      <c r="G931" s="61" t="str">
        <f t="shared" si="55"/>
        <v>Luwero</v>
      </c>
      <c r="H931" s="68" t="s">
        <v>1555</v>
      </c>
    </row>
    <row r="932" spans="1:8">
      <c r="A932" s="67">
        <v>437</v>
      </c>
      <c r="B932" s="68" t="s">
        <v>1555</v>
      </c>
      <c r="C932" s="68" t="s">
        <v>1557</v>
      </c>
      <c r="D932" s="68" t="s">
        <v>1562</v>
      </c>
      <c r="E932" s="68"/>
      <c r="F932" s="61" t="str">
        <f t="shared" si="56"/>
        <v>Luwero Town Council</v>
      </c>
      <c r="G932" s="61" t="str">
        <f t="shared" si="55"/>
        <v>Luwero</v>
      </c>
      <c r="H932" s="68" t="s">
        <v>1562</v>
      </c>
    </row>
    <row r="933" spans="1:8">
      <c r="A933" s="67">
        <v>636</v>
      </c>
      <c r="B933" s="68" t="s">
        <v>1075</v>
      </c>
      <c r="C933" s="68" t="s">
        <v>1075</v>
      </c>
      <c r="D933" s="68" t="s">
        <v>1080</v>
      </c>
      <c r="E933" s="68"/>
      <c r="F933" s="61" t="str">
        <f t="shared" si="56"/>
        <v>Lwabenge</v>
      </c>
      <c r="G933" s="61" t="str">
        <f t="shared" si="55"/>
        <v>Kalungu</v>
      </c>
      <c r="H933" s="68" t="s">
        <v>1080</v>
      </c>
    </row>
    <row r="934" spans="1:8">
      <c r="A934" s="67">
        <v>497</v>
      </c>
      <c r="B934" s="68" t="s">
        <v>1805</v>
      </c>
      <c r="C934" s="68" t="s">
        <v>1625</v>
      </c>
      <c r="D934" s="68" t="s">
        <v>1809</v>
      </c>
      <c r="E934" s="68"/>
      <c r="F934" s="61" t="str">
        <f t="shared" si="56"/>
        <v>Lwabiyata</v>
      </c>
      <c r="G934" s="61" t="str">
        <f t="shared" si="55"/>
        <v>Nakasongola</v>
      </c>
      <c r="H934" s="68" t="s">
        <v>1809</v>
      </c>
    </row>
    <row r="935" spans="1:8">
      <c r="A935" s="67">
        <v>623</v>
      </c>
      <c r="B935" s="68" t="s">
        <v>841</v>
      </c>
      <c r="C935" s="68" t="s">
        <v>842</v>
      </c>
      <c r="D935" s="68" t="s">
        <v>848</v>
      </c>
      <c r="E935" s="68"/>
      <c r="F935" s="61" t="str">
        <f t="shared" si="56"/>
        <v>Lwajje</v>
      </c>
      <c r="G935" s="61" t="str">
        <f t="shared" si="55"/>
        <v>Buvuma</v>
      </c>
      <c r="H935" s="68" t="s">
        <v>848</v>
      </c>
    </row>
    <row r="936" spans="1:8">
      <c r="A936" s="67">
        <v>1094</v>
      </c>
      <c r="B936" s="68" t="s">
        <v>1828</v>
      </c>
      <c r="C936" s="68" t="s">
        <v>1828</v>
      </c>
      <c r="D936" s="68" t="s">
        <v>1837</v>
      </c>
      <c r="E936" s="68"/>
      <c r="F936" s="61" t="str">
        <f t="shared" si="56"/>
        <v>Lwakhakha Town Council</v>
      </c>
      <c r="G936" s="61" t="str">
        <f t="shared" si="55"/>
        <v>Namisindwa</v>
      </c>
      <c r="H936" s="68" t="s">
        <v>1837</v>
      </c>
    </row>
    <row r="937" spans="1:8">
      <c r="A937" s="67">
        <v>512</v>
      </c>
      <c r="B937" s="68" t="s">
        <v>1978</v>
      </c>
      <c r="C937" s="68" t="s">
        <v>1521</v>
      </c>
      <c r="D937" s="68" t="s">
        <v>1986</v>
      </c>
      <c r="E937" s="68"/>
      <c r="F937" s="61" t="str">
        <f t="shared" si="56"/>
        <v>Lwamaggwa</v>
      </c>
      <c r="G937" s="61" t="str">
        <f t="shared" si="55"/>
        <v>Rakai</v>
      </c>
      <c r="H937" s="68" t="s">
        <v>1986</v>
      </c>
    </row>
    <row r="938" spans="1:8">
      <c r="A938" s="67">
        <v>427</v>
      </c>
      <c r="B938" s="68" t="s">
        <v>1356</v>
      </c>
      <c r="C938" s="68" t="s">
        <v>1356</v>
      </c>
      <c r="D938" s="68" t="s">
        <v>1362</v>
      </c>
      <c r="E938" s="68"/>
      <c r="F938" s="61" t="str">
        <f t="shared" si="56"/>
        <v>Lwamata</v>
      </c>
      <c r="G938" s="61" t="str">
        <f t="shared" si="55"/>
        <v>Kiboga</v>
      </c>
      <c r="H938" s="68" t="s">
        <v>1362</v>
      </c>
    </row>
    <row r="939" spans="1:8">
      <c r="A939" s="67">
        <v>498</v>
      </c>
      <c r="B939" s="68" t="s">
        <v>1805</v>
      </c>
      <c r="C939" s="68" t="s">
        <v>1625</v>
      </c>
      <c r="D939" s="68" t="s">
        <v>1810</v>
      </c>
      <c r="E939" s="68"/>
      <c r="F939" s="61" t="str">
        <f t="shared" si="56"/>
        <v>Lwampanga</v>
      </c>
      <c r="G939" s="61" t="str">
        <f t="shared" si="55"/>
        <v>Nakasongola</v>
      </c>
      <c r="H939" s="68" t="s">
        <v>1810</v>
      </c>
    </row>
    <row r="940" spans="1:8">
      <c r="A940" s="67">
        <v>513</v>
      </c>
      <c r="B940" s="68" t="s">
        <v>1978</v>
      </c>
      <c r="C940" s="68" t="s">
        <v>1521</v>
      </c>
      <c r="D940" s="68" t="s">
        <v>1987</v>
      </c>
      <c r="E940" s="68"/>
      <c r="F940" s="61" t="str">
        <f t="shared" si="56"/>
        <v>Lwanda</v>
      </c>
      <c r="G940" s="61" t="str">
        <f t="shared" si="55"/>
        <v>Rakai</v>
      </c>
      <c r="H940" s="68" t="s">
        <v>1987</v>
      </c>
    </row>
    <row r="941" spans="1:8">
      <c r="A941" s="67">
        <v>667</v>
      </c>
      <c r="B941" s="68" t="s">
        <v>1517</v>
      </c>
      <c r="C941" s="68" t="s">
        <v>1517</v>
      </c>
      <c r="D941" s="68" t="s">
        <v>1525</v>
      </c>
      <c r="E941" s="68"/>
      <c r="F941" s="61" t="str">
        <f t="shared" si="56"/>
        <v>Lwankoni</v>
      </c>
      <c r="G941" s="61" t="str">
        <f t="shared" si="55"/>
        <v>Kyotera</v>
      </c>
      <c r="H941" s="68" t="s">
        <v>1525</v>
      </c>
    </row>
    <row r="942" spans="1:8">
      <c r="A942" s="67">
        <v>785</v>
      </c>
      <c r="B942" s="68" t="s">
        <v>1646</v>
      </c>
      <c r="C942" s="68" t="s">
        <v>1647</v>
      </c>
      <c r="D942" s="68" t="s">
        <v>1661</v>
      </c>
      <c r="E942" s="68"/>
      <c r="F942" s="61" t="str">
        <f t="shared" si="56"/>
        <v>Lwasso</v>
      </c>
      <c r="G942" s="61" t="str">
        <f t="shared" si="55"/>
        <v>Mbale</v>
      </c>
      <c r="H942" s="68" t="s">
        <v>1661</v>
      </c>
    </row>
    <row r="943" spans="1:8">
      <c r="A943" s="67">
        <v>518</v>
      </c>
      <c r="B943" s="68" t="s">
        <v>2085</v>
      </c>
      <c r="C943" s="68" t="s">
        <v>2086</v>
      </c>
      <c r="D943" s="68" t="s">
        <v>2087</v>
      </c>
      <c r="E943" s="68"/>
      <c r="F943" s="61" t="str">
        <f t="shared" si="56"/>
        <v>Lwebitakuli</v>
      </c>
      <c r="G943" s="61" t="str">
        <f t="shared" si="55"/>
        <v>Ssembabule</v>
      </c>
      <c r="H943" s="68" t="s">
        <v>2087</v>
      </c>
    </row>
    <row r="944" spans="1:8">
      <c r="A944" s="67">
        <v>515</v>
      </c>
      <c r="B944" s="68" t="s">
        <v>2085</v>
      </c>
      <c r="C944" s="68" t="s">
        <v>2088</v>
      </c>
      <c r="D944" s="68" t="s">
        <v>2088</v>
      </c>
      <c r="E944" s="68"/>
      <c r="F944" s="61" t="str">
        <f t="shared" si="56"/>
        <v>Lwemiyaga</v>
      </c>
      <c r="G944" s="61" t="str">
        <f t="shared" si="55"/>
        <v>Ssembabule</v>
      </c>
      <c r="H944" s="68" t="s">
        <v>2088</v>
      </c>
    </row>
    <row r="945" spans="1:8">
      <c r="A945" s="67">
        <v>655</v>
      </c>
      <c r="B945" s="68" t="s">
        <v>1568</v>
      </c>
      <c r="C945" s="68" t="s">
        <v>23</v>
      </c>
      <c r="D945" s="68" t="s">
        <v>1568</v>
      </c>
      <c r="E945" s="68"/>
      <c r="F945" s="61" t="str">
        <f t="shared" si="56"/>
        <v>Lwengo</v>
      </c>
      <c r="G945" s="61" t="str">
        <f t="shared" si="55"/>
        <v>Lwengo</v>
      </c>
      <c r="H945" s="68" t="s">
        <v>1568</v>
      </c>
    </row>
    <row r="946" spans="1:8">
      <c r="A946" s="67">
        <v>656</v>
      </c>
      <c r="B946" s="68" t="s">
        <v>1568</v>
      </c>
      <c r="C946" s="68" t="s">
        <v>23</v>
      </c>
      <c r="D946" s="68" t="s">
        <v>1572</v>
      </c>
      <c r="E946" s="68"/>
      <c r="F946" s="61" t="str">
        <f t="shared" si="56"/>
        <v>Lwengo Town Council</v>
      </c>
      <c r="G946" s="61" t="str">
        <f t="shared" si="55"/>
        <v>Lwengo</v>
      </c>
      <c r="H946" s="68" t="s">
        <v>1572</v>
      </c>
    </row>
    <row r="947" spans="1:8">
      <c r="A947" s="67">
        <v>624</v>
      </c>
      <c r="B947" s="68" t="s">
        <v>841</v>
      </c>
      <c r="C947" s="68" t="s">
        <v>842</v>
      </c>
      <c r="D947" s="68" t="s">
        <v>849</v>
      </c>
      <c r="E947" s="68"/>
      <c r="F947" s="61" t="str">
        <f t="shared" si="56"/>
        <v>Lyabaana</v>
      </c>
      <c r="G947" s="61" t="str">
        <f t="shared" si="55"/>
        <v>Buvuma</v>
      </c>
      <c r="H947" s="68" t="s">
        <v>849</v>
      </c>
    </row>
    <row r="948" spans="1:8">
      <c r="A948" s="67">
        <v>907</v>
      </c>
      <c r="B948" s="68" t="s">
        <v>636</v>
      </c>
      <c r="C948" s="68" t="s">
        <v>636</v>
      </c>
      <c r="D948" s="68" t="s">
        <v>645</v>
      </c>
      <c r="E948" s="68"/>
      <c r="F948" s="61" t="str">
        <f t="shared" si="56"/>
        <v>Lyama</v>
      </c>
      <c r="G948" s="61" t="str">
        <f t="shared" si="55"/>
        <v>Budaka</v>
      </c>
      <c r="H948" s="68" t="s">
        <v>645</v>
      </c>
    </row>
    <row r="949" spans="1:8">
      <c r="A949" s="67">
        <v>562</v>
      </c>
      <c r="B949" s="68" t="s">
        <v>1576</v>
      </c>
      <c r="C949" s="68" t="s">
        <v>1577</v>
      </c>
      <c r="D949" s="68" t="s">
        <v>1576</v>
      </c>
      <c r="E949" s="68"/>
      <c r="F949" s="61" t="str">
        <f t="shared" si="56"/>
        <v>Lyantonde</v>
      </c>
      <c r="G949" s="61" t="str">
        <f t="shared" si="55"/>
        <v>Lyantonde</v>
      </c>
      <c r="H949" s="68" t="s">
        <v>1576</v>
      </c>
    </row>
    <row r="950" spans="1:8">
      <c r="A950" s="67">
        <v>563</v>
      </c>
      <c r="B950" s="68" t="s">
        <v>1576</v>
      </c>
      <c r="C950" s="68" t="s">
        <v>1577</v>
      </c>
      <c r="D950" s="68" t="s">
        <v>1580</v>
      </c>
      <c r="E950" s="68"/>
      <c r="F950" s="61" t="str">
        <f t="shared" si="56"/>
        <v>Lyantonde Town Council</v>
      </c>
      <c r="G950" s="61" t="str">
        <f t="shared" si="55"/>
        <v>Lyantonde</v>
      </c>
      <c r="H950" s="68" t="s">
        <v>1580</v>
      </c>
    </row>
    <row r="951" spans="1:8">
      <c r="A951" s="67">
        <v>568</v>
      </c>
      <c r="B951" s="68" t="s">
        <v>1697</v>
      </c>
      <c r="C951" s="68" t="s">
        <v>1698</v>
      </c>
      <c r="D951" s="68" t="s">
        <v>1707</v>
      </c>
      <c r="E951" s="68"/>
      <c r="F951" s="61" t="str">
        <f t="shared" si="56"/>
        <v>Maanyi</v>
      </c>
      <c r="G951" s="61" t="str">
        <f t="shared" si="55"/>
        <v>Mityana</v>
      </c>
      <c r="H951" s="68" t="s">
        <v>1707</v>
      </c>
    </row>
    <row r="952" spans="1:8">
      <c r="A952" s="67">
        <v>1487</v>
      </c>
      <c r="B952" s="68" t="s">
        <v>1022</v>
      </c>
      <c r="C952" s="68" t="s">
        <v>1023</v>
      </c>
      <c r="D952" s="68" t="s">
        <v>1032</v>
      </c>
      <c r="E952" s="68"/>
      <c r="F952" s="61" t="str">
        <f t="shared" si="56"/>
        <v>Mabaale</v>
      </c>
      <c r="G952" s="61" t="str">
        <f t="shared" si="55"/>
        <v>Kagadi</v>
      </c>
      <c r="H952" s="68" t="s">
        <v>1032</v>
      </c>
    </row>
    <row r="953" spans="1:8">
      <c r="A953" s="67">
        <v>629</v>
      </c>
      <c r="B953" s="68" t="s">
        <v>870</v>
      </c>
      <c r="C953" s="68" t="s">
        <v>870</v>
      </c>
      <c r="D953" s="68" t="s">
        <v>873</v>
      </c>
      <c r="E953" s="68"/>
      <c r="F953" s="61" t="str">
        <f t="shared" si="56"/>
        <v>Maddu</v>
      </c>
      <c r="G953" s="61" t="str">
        <f t="shared" si="55"/>
        <v>Gomba</v>
      </c>
      <c r="H953" s="68" t="s">
        <v>873</v>
      </c>
    </row>
    <row r="954" spans="1:8">
      <c r="A954" s="67">
        <v>266</v>
      </c>
      <c r="B954" s="68" t="s">
        <v>1528</v>
      </c>
      <c r="C954" s="68" t="s">
        <v>1528</v>
      </c>
      <c r="D954" s="68" t="s">
        <v>1531</v>
      </c>
      <c r="E954" s="68"/>
      <c r="F954" s="61" t="str">
        <f t="shared" si="56"/>
        <v>Madi Opei</v>
      </c>
      <c r="G954" s="61" t="str">
        <f t="shared" si="55"/>
        <v>Lamwo</v>
      </c>
      <c r="H954" s="68" t="s">
        <v>1531</v>
      </c>
    </row>
    <row r="955" spans="1:8">
      <c r="A955" s="67">
        <v>461</v>
      </c>
      <c r="B955" s="68" t="s">
        <v>1739</v>
      </c>
      <c r="C955" s="68" t="s">
        <v>1744</v>
      </c>
      <c r="D955" s="68" t="s">
        <v>1753</v>
      </c>
      <c r="E955" s="68"/>
      <c r="F955" s="61" t="str">
        <f t="shared" si="56"/>
        <v>Madudu</v>
      </c>
      <c r="G955" s="61" t="str">
        <f t="shared" si="55"/>
        <v>Mubende</v>
      </c>
      <c r="H955" s="68" t="s">
        <v>1753</v>
      </c>
    </row>
    <row r="956" spans="1:8">
      <c r="A956" s="67">
        <v>716</v>
      </c>
      <c r="B956" s="68" t="s">
        <v>952</v>
      </c>
      <c r="C956" s="68" t="s">
        <v>955</v>
      </c>
      <c r="D956" s="68" t="s">
        <v>963</v>
      </c>
      <c r="E956" s="68"/>
      <c r="F956" s="61" t="str">
        <f t="shared" si="56"/>
        <v>Mafubira</v>
      </c>
      <c r="G956" s="61" t="str">
        <f t="shared" si="55"/>
        <v>Jinja</v>
      </c>
      <c r="H956" s="68" t="s">
        <v>963</v>
      </c>
    </row>
    <row r="957" spans="1:8">
      <c r="A957" s="67">
        <v>993</v>
      </c>
      <c r="B957" s="68" t="s">
        <v>1846</v>
      </c>
      <c r="C957" s="68" t="s">
        <v>1847</v>
      </c>
      <c r="D957" s="68" t="s">
        <v>1849</v>
      </c>
      <c r="E957" s="68"/>
      <c r="F957" s="61" t="str">
        <f t="shared" si="56"/>
        <v>Magada</v>
      </c>
      <c r="G957" s="61" t="str">
        <f t="shared" si="55"/>
        <v>Namutumba</v>
      </c>
      <c r="H957" s="68" t="s">
        <v>1849</v>
      </c>
    </row>
    <row r="958" spans="1:8">
      <c r="A958" s="67">
        <v>1095</v>
      </c>
      <c r="B958" s="68" t="s">
        <v>1828</v>
      </c>
      <c r="C958" s="68" t="s">
        <v>1828</v>
      </c>
      <c r="D958" s="68" t="s">
        <v>1838</v>
      </c>
      <c r="E958" s="68"/>
      <c r="F958" s="61" t="str">
        <f t="shared" si="56"/>
        <v>Magale</v>
      </c>
      <c r="G958" s="61" t="str">
        <f t="shared" si="55"/>
        <v>Namisindwa</v>
      </c>
      <c r="H958" s="68" t="s">
        <v>1838</v>
      </c>
    </row>
    <row r="959" spans="1:8">
      <c r="A959" s="67">
        <v>1100</v>
      </c>
      <c r="B959" s="68" t="s">
        <v>1828</v>
      </c>
      <c r="C959" s="68" t="s">
        <v>1828</v>
      </c>
      <c r="D959" s="68" t="s">
        <v>1839</v>
      </c>
      <c r="E959" s="68"/>
      <c r="F959" s="61" t="str">
        <f t="shared" si="56"/>
        <v>Magale Town Council</v>
      </c>
      <c r="G959" s="61" t="str">
        <f t="shared" si="55"/>
        <v>Namisindwa</v>
      </c>
      <c r="H959" s="68" t="s">
        <v>1839</v>
      </c>
    </row>
    <row r="960" spans="1:8">
      <c r="A960" s="67">
        <v>864</v>
      </c>
      <c r="B960" s="68" t="s">
        <v>1630</v>
      </c>
      <c r="C960" s="68" t="s">
        <v>1631</v>
      </c>
      <c r="D960" s="68" t="s">
        <v>1640</v>
      </c>
      <c r="E960" s="68"/>
      <c r="F960" s="61" t="str">
        <f t="shared" si="56"/>
        <v>Magamaga Town Council</v>
      </c>
      <c r="G960" s="61" t="str">
        <f t="shared" si="55"/>
        <v>Mayuge</v>
      </c>
      <c r="H960" s="68" t="s">
        <v>1640</v>
      </c>
    </row>
    <row r="961" spans="1:9">
      <c r="A961" s="67">
        <v>1454</v>
      </c>
      <c r="B961" s="68" t="s">
        <v>2000</v>
      </c>
      <c r="C961" s="68" t="s">
        <v>48</v>
      </c>
      <c r="D961" s="68" t="s">
        <v>2006</v>
      </c>
      <c r="E961" s="68"/>
      <c r="F961" s="61" t="str">
        <f t="shared" si="56"/>
        <v>Magambo</v>
      </c>
      <c r="G961" s="61" t="str">
        <f t="shared" si="55"/>
        <v>Rubirizi</v>
      </c>
      <c r="H961" s="68" t="s">
        <v>2006</v>
      </c>
    </row>
    <row r="962" spans="1:9">
      <c r="A962" s="67">
        <v>830</v>
      </c>
      <c r="B962" s="68" t="s">
        <v>2095</v>
      </c>
      <c r="C962" s="68" t="s">
        <v>2096</v>
      </c>
      <c r="D962" s="68" t="s">
        <v>2100</v>
      </c>
      <c r="E962" s="68"/>
      <c r="F962" s="61" t="str">
        <f t="shared" si="56"/>
        <v>Magola</v>
      </c>
      <c r="G962" s="61" t="str">
        <f t="shared" si="55"/>
        <v>Tororo</v>
      </c>
      <c r="H962" s="68" t="s">
        <v>2100</v>
      </c>
    </row>
    <row r="963" spans="1:9">
      <c r="A963" s="67">
        <v>754</v>
      </c>
      <c r="B963" s="68" t="s">
        <v>1325</v>
      </c>
      <c r="C963" s="68" t="s">
        <v>1326</v>
      </c>
      <c r="D963" s="68" t="s">
        <v>1329</v>
      </c>
      <c r="E963" s="68"/>
      <c r="F963" s="61" t="str">
        <f t="shared" si="56"/>
        <v>Magoro</v>
      </c>
      <c r="G963" s="61" t="str">
        <f t="shared" si="55"/>
        <v>Katakwi</v>
      </c>
      <c r="H963" s="68" t="s">
        <v>1329</v>
      </c>
    </row>
    <row r="964" spans="1:9">
      <c r="A964" s="67">
        <v>1186</v>
      </c>
      <c r="B964" s="68" t="s">
        <v>36</v>
      </c>
      <c r="C964" s="68" t="s">
        <v>753</v>
      </c>
      <c r="D964" s="68" t="s">
        <v>1316</v>
      </c>
      <c r="E964" s="68"/>
      <c r="F964" s="61" t="str">
        <f t="shared" si="56"/>
        <v>Mahango</v>
      </c>
      <c r="G964" s="61" t="str">
        <f t="shared" si="55"/>
        <v>Kasese</v>
      </c>
      <c r="H964" s="68" t="s">
        <v>1316</v>
      </c>
    </row>
    <row r="965" spans="1:9">
      <c r="A965" s="67">
        <v>1310</v>
      </c>
      <c r="B965" s="68" t="s">
        <v>44</v>
      </c>
      <c r="C965" s="68" t="s">
        <v>1250</v>
      </c>
      <c r="D965" s="68" t="s">
        <v>1258</v>
      </c>
      <c r="E965" s="68"/>
      <c r="F965" s="61" t="str">
        <f t="shared" si="56"/>
        <v>Mahyoro</v>
      </c>
      <c r="G965" s="61" t="str">
        <f t="shared" si="55"/>
        <v>Kamwenge</v>
      </c>
      <c r="H965" s="68" t="s">
        <v>1258</v>
      </c>
    </row>
    <row r="966" spans="1:9">
      <c r="A966" s="67">
        <v>692</v>
      </c>
      <c r="B966" s="68" t="s">
        <v>796</v>
      </c>
      <c r="C966" s="68" t="s">
        <v>797</v>
      </c>
      <c r="D966" s="68" t="s">
        <v>807</v>
      </c>
      <c r="E966" s="68"/>
      <c r="F966" s="61" t="str">
        <f t="shared" si="56"/>
        <v>Majanji</v>
      </c>
      <c r="G966" s="61" t="str">
        <f t="shared" si="55"/>
        <v>Busia</v>
      </c>
      <c r="H966" s="68" t="s">
        <v>807</v>
      </c>
    </row>
    <row r="967" spans="1:9">
      <c r="A967" s="67">
        <v>377</v>
      </c>
      <c r="B967" s="68" t="s">
        <v>1082</v>
      </c>
      <c r="C967" s="68" t="s">
        <v>1083</v>
      </c>
      <c r="D967" s="68" t="s">
        <v>1088</v>
      </c>
      <c r="E967" s="68" t="s">
        <v>1087</v>
      </c>
      <c r="F967" s="68" t="s">
        <v>1087</v>
      </c>
      <c r="G967" s="61" t="str">
        <f t="shared" si="55"/>
        <v>Kampala</v>
      </c>
      <c r="H967" s="68" t="s">
        <v>1088</v>
      </c>
    </row>
    <row r="968" spans="1:9">
      <c r="A968" s="67">
        <v>378</v>
      </c>
      <c r="B968" s="68" t="s">
        <v>1082</v>
      </c>
      <c r="C968" s="68" t="s">
        <v>1083</v>
      </c>
      <c r="D968" s="68" t="s">
        <v>1088</v>
      </c>
      <c r="E968" s="68" t="s">
        <v>1094</v>
      </c>
      <c r="F968" s="68" t="s">
        <v>1094</v>
      </c>
      <c r="G968" s="61" t="str">
        <f t="shared" si="55"/>
        <v>Kampala</v>
      </c>
      <c r="H968" s="68" t="s">
        <v>1088</v>
      </c>
    </row>
    <row r="969" spans="1:9">
      <c r="A969" s="67">
        <v>379</v>
      </c>
      <c r="B969" s="68" t="s">
        <v>1082</v>
      </c>
      <c r="C969" s="68" t="s">
        <v>1083</v>
      </c>
      <c r="D969" s="68" t="s">
        <v>1088</v>
      </c>
      <c r="E969" s="68" t="s">
        <v>1142</v>
      </c>
      <c r="F969" s="68" t="s">
        <v>1142</v>
      </c>
      <c r="G969" s="61" t="str">
        <f t="shared" si="55"/>
        <v>Kampala</v>
      </c>
      <c r="H969" s="68" t="s">
        <v>1088</v>
      </c>
    </row>
    <row r="970" spans="1:9">
      <c r="A970" s="67">
        <v>380</v>
      </c>
      <c r="B970" s="68" t="s">
        <v>1082</v>
      </c>
      <c r="C970" s="68" t="s">
        <v>1083</v>
      </c>
      <c r="D970" s="68" t="s">
        <v>1088</v>
      </c>
      <c r="E970" s="68" t="s">
        <v>1146</v>
      </c>
      <c r="F970" s="68" t="s">
        <v>1146</v>
      </c>
      <c r="G970" s="61" t="str">
        <f t="shared" ref="G970:G1033" si="57">B970</f>
        <v>Kampala</v>
      </c>
      <c r="H970" s="68" t="s">
        <v>1088</v>
      </c>
    </row>
    <row r="971" spans="1:9">
      <c r="A971" s="67">
        <v>381</v>
      </c>
      <c r="B971" s="68" t="s">
        <v>1082</v>
      </c>
      <c r="C971" s="68" t="s">
        <v>1083</v>
      </c>
      <c r="D971" s="68" t="s">
        <v>1088</v>
      </c>
      <c r="E971" s="68" t="s">
        <v>1151</v>
      </c>
      <c r="F971" s="68" t="s">
        <v>1151</v>
      </c>
      <c r="G971" s="61" t="str">
        <f t="shared" si="57"/>
        <v>Kampala</v>
      </c>
      <c r="H971" s="68" t="s">
        <v>1088</v>
      </c>
    </row>
    <row r="972" spans="1:9">
      <c r="A972" s="67">
        <v>382</v>
      </c>
      <c r="B972" s="68" t="s">
        <v>1082</v>
      </c>
      <c r="C972" s="68" t="s">
        <v>1083</v>
      </c>
      <c r="D972" s="68" t="s">
        <v>1088</v>
      </c>
      <c r="E972" s="72" t="s">
        <v>2317</v>
      </c>
      <c r="F972" s="72" t="s">
        <v>1156</v>
      </c>
      <c r="G972" s="61" t="str">
        <f t="shared" si="57"/>
        <v>Kampala</v>
      </c>
      <c r="H972" s="68" t="s">
        <v>1088</v>
      </c>
    </row>
    <row r="973" spans="1:9">
      <c r="A973" s="67">
        <v>383</v>
      </c>
      <c r="B973" s="68" t="s">
        <v>1082</v>
      </c>
      <c r="C973" s="68" t="s">
        <v>1083</v>
      </c>
      <c r="D973" s="68" t="s">
        <v>1088</v>
      </c>
      <c r="E973" s="72" t="s">
        <v>2318</v>
      </c>
      <c r="F973" s="72" t="s">
        <v>1156</v>
      </c>
      <c r="G973" s="61" t="str">
        <f t="shared" si="57"/>
        <v>Kampala</v>
      </c>
      <c r="H973" s="68" t="s">
        <v>1088</v>
      </c>
      <c r="I973" s="73" t="s">
        <v>2256</v>
      </c>
    </row>
    <row r="974" spans="1:9">
      <c r="A974" s="67">
        <v>384</v>
      </c>
      <c r="B974" s="68" t="s">
        <v>1082</v>
      </c>
      <c r="C974" s="68" t="s">
        <v>1083</v>
      </c>
      <c r="D974" s="68" t="s">
        <v>1088</v>
      </c>
      <c r="E974" s="68" t="s">
        <v>1160</v>
      </c>
      <c r="F974" s="68" t="s">
        <v>1160</v>
      </c>
      <c r="G974" s="61" t="str">
        <f t="shared" si="57"/>
        <v>Kampala</v>
      </c>
      <c r="H974" s="68" t="s">
        <v>1088</v>
      </c>
    </row>
    <row r="975" spans="1:9">
      <c r="A975" s="67">
        <v>385</v>
      </c>
      <c r="B975" s="68" t="s">
        <v>1082</v>
      </c>
      <c r="C975" s="68" t="s">
        <v>1083</v>
      </c>
      <c r="D975" s="68" t="s">
        <v>1088</v>
      </c>
      <c r="E975" s="72" t="s">
        <v>2319</v>
      </c>
      <c r="F975" s="72" t="s">
        <v>1161</v>
      </c>
      <c r="G975" s="61" t="str">
        <f t="shared" si="57"/>
        <v>Kampala</v>
      </c>
      <c r="H975" s="68" t="s">
        <v>1088</v>
      </c>
    </row>
    <row r="976" spans="1:9">
      <c r="A976" s="67">
        <v>386</v>
      </c>
      <c r="B976" s="68" t="s">
        <v>1082</v>
      </c>
      <c r="C976" s="68" t="s">
        <v>1083</v>
      </c>
      <c r="D976" s="68" t="s">
        <v>1088</v>
      </c>
      <c r="E976" s="72" t="s">
        <v>2320</v>
      </c>
      <c r="F976" s="72" t="s">
        <v>1161</v>
      </c>
      <c r="G976" s="61" t="str">
        <f t="shared" si="57"/>
        <v>Kampala</v>
      </c>
      <c r="H976" s="68" t="s">
        <v>1088</v>
      </c>
      <c r="I976" s="73" t="s">
        <v>2256</v>
      </c>
    </row>
    <row r="977" spans="1:9">
      <c r="A977" s="67">
        <v>387</v>
      </c>
      <c r="B977" s="68" t="s">
        <v>1082</v>
      </c>
      <c r="C977" s="68" t="s">
        <v>1083</v>
      </c>
      <c r="D977" s="68" t="s">
        <v>1088</v>
      </c>
      <c r="E977" s="68" t="s">
        <v>1164</v>
      </c>
      <c r="F977" s="68" t="s">
        <v>1164</v>
      </c>
      <c r="G977" s="61" t="str">
        <f t="shared" si="57"/>
        <v>Kampala</v>
      </c>
      <c r="H977" s="68" t="s">
        <v>1088</v>
      </c>
    </row>
    <row r="978" spans="1:9">
      <c r="A978" s="67">
        <v>388</v>
      </c>
      <c r="B978" s="68" t="s">
        <v>1082</v>
      </c>
      <c r="C978" s="68" t="s">
        <v>1083</v>
      </c>
      <c r="D978" s="68" t="s">
        <v>1088</v>
      </c>
      <c r="E978" s="68" t="s">
        <v>1173</v>
      </c>
      <c r="F978" s="68" t="s">
        <v>1173</v>
      </c>
      <c r="G978" s="61" t="str">
        <f t="shared" si="57"/>
        <v>Kampala</v>
      </c>
      <c r="H978" s="68" t="s">
        <v>1088</v>
      </c>
    </row>
    <row r="979" spans="1:9">
      <c r="A979" s="67">
        <v>389</v>
      </c>
      <c r="B979" s="68" t="s">
        <v>1082</v>
      </c>
      <c r="C979" s="68" t="s">
        <v>1083</v>
      </c>
      <c r="D979" s="68" t="s">
        <v>1088</v>
      </c>
      <c r="E979" s="68" t="s">
        <v>1175</v>
      </c>
      <c r="F979" s="68" t="s">
        <v>1175</v>
      </c>
      <c r="G979" s="61" t="str">
        <f t="shared" si="57"/>
        <v>Kampala</v>
      </c>
      <c r="H979" s="68" t="s">
        <v>1088</v>
      </c>
    </row>
    <row r="980" spans="1:9">
      <c r="A980" s="67">
        <v>390</v>
      </c>
      <c r="B980" s="68" t="s">
        <v>1082</v>
      </c>
      <c r="C980" s="68" t="s">
        <v>1083</v>
      </c>
      <c r="D980" s="68" t="s">
        <v>1088</v>
      </c>
      <c r="E980" s="72" t="s">
        <v>2321</v>
      </c>
      <c r="F980" s="72" t="s">
        <v>1180</v>
      </c>
      <c r="G980" s="61" t="str">
        <f t="shared" si="57"/>
        <v>Kampala</v>
      </c>
      <c r="H980" s="68" t="s">
        <v>1088</v>
      </c>
    </row>
    <row r="981" spans="1:9">
      <c r="A981" s="67">
        <v>391</v>
      </c>
      <c r="B981" s="68" t="s">
        <v>1082</v>
      </c>
      <c r="C981" s="68" t="s">
        <v>1083</v>
      </c>
      <c r="D981" s="68" t="s">
        <v>1088</v>
      </c>
      <c r="E981" s="72" t="s">
        <v>2322</v>
      </c>
      <c r="F981" s="72" t="s">
        <v>1180</v>
      </c>
      <c r="G981" s="61" t="str">
        <f t="shared" si="57"/>
        <v>Kampala</v>
      </c>
      <c r="H981" s="68" t="s">
        <v>1088</v>
      </c>
      <c r="I981" s="73" t="s">
        <v>2256</v>
      </c>
    </row>
    <row r="982" spans="1:9">
      <c r="A982" s="67">
        <v>392</v>
      </c>
      <c r="B982" s="68" t="s">
        <v>1082</v>
      </c>
      <c r="C982" s="68" t="s">
        <v>1083</v>
      </c>
      <c r="D982" s="68" t="s">
        <v>1088</v>
      </c>
      <c r="E982" s="72" t="s">
        <v>2323</v>
      </c>
      <c r="F982" s="72" t="s">
        <v>1213</v>
      </c>
      <c r="G982" s="61" t="str">
        <f t="shared" si="57"/>
        <v>Kampala</v>
      </c>
      <c r="H982" s="68" t="s">
        <v>1088</v>
      </c>
    </row>
    <row r="983" spans="1:9">
      <c r="A983" s="67">
        <v>393</v>
      </c>
      <c r="B983" s="68" t="s">
        <v>1082</v>
      </c>
      <c r="C983" s="68" t="s">
        <v>1083</v>
      </c>
      <c r="D983" s="68" t="s">
        <v>1088</v>
      </c>
      <c r="E983" s="72" t="s">
        <v>2324</v>
      </c>
      <c r="F983" s="72" t="s">
        <v>1213</v>
      </c>
      <c r="G983" s="61" t="str">
        <f t="shared" si="57"/>
        <v>Kampala</v>
      </c>
      <c r="H983" s="68" t="s">
        <v>1088</v>
      </c>
      <c r="I983" s="73" t="s">
        <v>2256</v>
      </c>
    </row>
    <row r="984" spans="1:9" ht="25.5">
      <c r="A984" s="67">
        <v>394</v>
      </c>
      <c r="B984" s="68" t="s">
        <v>1082</v>
      </c>
      <c r="C984" s="68" t="s">
        <v>1083</v>
      </c>
      <c r="D984" s="68" t="s">
        <v>1088</v>
      </c>
      <c r="E984" s="68" t="s">
        <v>1214</v>
      </c>
      <c r="F984" s="68" t="s">
        <v>1214</v>
      </c>
      <c r="G984" s="61" t="str">
        <f t="shared" si="57"/>
        <v>Kampala</v>
      </c>
      <c r="H984" s="68" t="s">
        <v>1088</v>
      </c>
    </row>
    <row r="985" spans="1:9">
      <c r="A985" s="67">
        <v>395</v>
      </c>
      <c r="B985" s="68" t="s">
        <v>1082</v>
      </c>
      <c r="C985" s="68" t="s">
        <v>1083</v>
      </c>
      <c r="D985" s="68" t="s">
        <v>1088</v>
      </c>
      <c r="E985" s="68" t="s">
        <v>1219</v>
      </c>
      <c r="F985" s="68" t="s">
        <v>1219</v>
      </c>
      <c r="G985" s="61" t="str">
        <f t="shared" si="57"/>
        <v>Kampala</v>
      </c>
      <c r="H985" s="68" t="s">
        <v>1088</v>
      </c>
    </row>
    <row r="986" spans="1:9">
      <c r="A986" s="67">
        <v>396</v>
      </c>
      <c r="B986" s="68" t="s">
        <v>1082</v>
      </c>
      <c r="C986" s="68" t="s">
        <v>1083</v>
      </c>
      <c r="D986" s="68" t="s">
        <v>1088</v>
      </c>
      <c r="E986" s="68" t="s">
        <v>1228</v>
      </c>
      <c r="F986" s="68" t="s">
        <v>1228</v>
      </c>
      <c r="G986" s="61" t="str">
        <f t="shared" si="57"/>
        <v>Kampala</v>
      </c>
      <c r="H986" s="68" t="s">
        <v>1088</v>
      </c>
    </row>
    <row r="987" spans="1:9">
      <c r="A987" s="67">
        <v>397</v>
      </c>
      <c r="B987" s="68" t="s">
        <v>1082</v>
      </c>
      <c r="C987" s="68" t="s">
        <v>1083</v>
      </c>
      <c r="D987" s="68" t="s">
        <v>1088</v>
      </c>
      <c r="E987" s="68" t="s">
        <v>1215</v>
      </c>
      <c r="F987" s="68" t="s">
        <v>1215</v>
      </c>
      <c r="G987" s="61" t="str">
        <f t="shared" si="57"/>
        <v>Kampala</v>
      </c>
      <c r="H987" s="68" t="s">
        <v>1088</v>
      </c>
    </row>
    <row r="988" spans="1:9">
      <c r="A988" s="67">
        <v>472</v>
      </c>
      <c r="B988" s="68" t="s">
        <v>1739</v>
      </c>
      <c r="C988" s="68" t="s">
        <v>1742</v>
      </c>
      <c r="D988" s="68" t="s">
        <v>1754</v>
      </c>
      <c r="E988" s="68"/>
      <c r="F988" s="61" t="str">
        <f t="shared" ref="F988:F994" si="58">D988</f>
        <v>Makokoto</v>
      </c>
      <c r="G988" s="61" t="str">
        <f t="shared" si="57"/>
        <v>Mubende</v>
      </c>
      <c r="H988" s="68" t="s">
        <v>1754</v>
      </c>
    </row>
    <row r="989" spans="1:9">
      <c r="A989" s="67">
        <v>439</v>
      </c>
      <c r="B989" s="68" t="s">
        <v>1555</v>
      </c>
      <c r="C989" s="68" t="s">
        <v>1557</v>
      </c>
      <c r="D989" s="68" t="s">
        <v>1563</v>
      </c>
      <c r="E989" s="68"/>
      <c r="F989" s="61" t="str">
        <f t="shared" si="58"/>
        <v>Makulubita</v>
      </c>
      <c r="G989" s="61" t="str">
        <f t="shared" si="57"/>
        <v>Luwero</v>
      </c>
      <c r="H989" s="68" t="s">
        <v>1563</v>
      </c>
    </row>
    <row r="990" spans="1:9">
      <c r="A990" s="67">
        <v>701</v>
      </c>
      <c r="B990" s="68" t="s">
        <v>912</v>
      </c>
      <c r="C990" s="68" t="s">
        <v>915</v>
      </c>
      <c r="D990" s="68" t="s">
        <v>921</v>
      </c>
      <c r="E990" s="68"/>
      <c r="F990" s="61" t="str">
        <f t="shared" si="58"/>
        <v>Makuutu</v>
      </c>
      <c r="G990" s="61" t="str">
        <f t="shared" si="57"/>
        <v>Iganga</v>
      </c>
      <c r="H990" s="68" t="s">
        <v>921</v>
      </c>
    </row>
    <row r="991" spans="1:9">
      <c r="A991" s="67">
        <v>819</v>
      </c>
      <c r="B991" s="68" t="s">
        <v>2095</v>
      </c>
      <c r="C991" s="68" t="s">
        <v>2095</v>
      </c>
      <c r="D991" s="68" t="s">
        <v>2101</v>
      </c>
      <c r="E991" s="68"/>
      <c r="F991" s="61" t="str">
        <f t="shared" si="58"/>
        <v>Malaba Town Council</v>
      </c>
      <c r="G991" s="61" t="str">
        <f t="shared" si="57"/>
        <v>Tororo</v>
      </c>
      <c r="H991" s="68" t="s">
        <v>2101</v>
      </c>
    </row>
    <row r="992" spans="1:9">
      <c r="A992" s="67">
        <v>569</v>
      </c>
      <c r="B992" s="68" t="s">
        <v>1697</v>
      </c>
      <c r="C992" s="68" t="s">
        <v>1698</v>
      </c>
      <c r="D992" s="68" t="s">
        <v>1708</v>
      </c>
      <c r="E992" s="68"/>
      <c r="F992" s="61" t="str">
        <f t="shared" si="58"/>
        <v>Malangala</v>
      </c>
      <c r="G992" s="61" t="str">
        <f t="shared" si="57"/>
        <v>Mityana</v>
      </c>
      <c r="H992" s="68" t="s">
        <v>1708</v>
      </c>
    </row>
    <row r="993" spans="1:8">
      <c r="A993" s="67">
        <v>936</v>
      </c>
      <c r="B993" s="68" t="s">
        <v>697</v>
      </c>
      <c r="C993" s="68" t="s">
        <v>697</v>
      </c>
      <c r="D993" s="68" t="s">
        <v>702</v>
      </c>
      <c r="E993" s="68"/>
      <c r="F993" s="61" t="str">
        <f t="shared" si="58"/>
        <v>Malera</v>
      </c>
      <c r="G993" s="61" t="str">
        <f t="shared" si="57"/>
        <v>Bukedea</v>
      </c>
      <c r="H993" s="68" t="s">
        <v>702</v>
      </c>
    </row>
    <row r="994" spans="1:8">
      <c r="A994" s="67">
        <v>1202</v>
      </c>
      <c r="B994" s="68" t="s">
        <v>36</v>
      </c>
      <c r="C994" s="68" t="s">
        <v>1297</v>
      </c>
      <c r="D994" s="68" t="s">
        <v>1317</v>
      </c>
      <c r="E994" s="68"/>
      <c r="F994" s="61" t="str">
        <f t="shared" si="58"/>
        <v>Maliba</v>
      </c>
      <c r="G994" s="61" t="str">
        <f t="shared" si="57"/>
        <v>Kasese</v>
      </c>
      <c r="H994" s="68" t="s">
        <v>1317</v>
      </c>
    </row>
    <row r="995" spans="1:8">
      <c r="A995" s="67">
        <v>657</v>
      </c>
      <c r="B995" s="68" t="s">
        <v>1568</v>
      </c>
      <c r="C995" s="68" t="s">
        <v>23</v>
      </c>
      <c r="D995" s="72" t="s">
        <v>2325</v>
      </c>
      <c r="E995" s="68"/>
      <c r="F995" s="61" t="str">
        <f t="shared" ref="F995:F996" si="59">D995&amp;"-"&amp;B995</f>
        <v>Malongo-Lwengo</v>
      </c>
      <c r="G995" s="61" t="str">
        <f t="shared" si="57"/>
        <v>Lwengo</v>
      </c>
      <c r="H995" s="72" t="s">
        <v>2325</v>
      </c>
    </row>
    <row r="996" spans="1:8">
      <c r="A996" s="67">
        <v>860</v>
      </c>
      <c r="B996" s="68" t="s">
        <v>1630</v>
      </c>
      <c r="C996" s="68" t="s">
        <v>1631</v>
      </c>
      <c r="D996" s="72" t="s">
        <v>2325</v>
      </c>
      <c r="E996" s="68"/>
      <c r="F996" s="61" t="str">
        <f t="shared" si="59"/>
        <v>Malongo-Mayuge</v>
      </c>
      <c r="G996" s="61" t="str">
        <f t="shared" si="57"/>
        <v>Mayuge</v>
      </c>
      <c r="H996" s="72" t="s">
        <v>2325</v>
      </c>
    </row>
    <row r="997" spans="1:8">
      <c r="A997" s="67">
        <v>983</v>
      </c>
      <c r="B997" s="68" t="s">
        <v>1583</v>
      </c>
      <c r="C997" s="68" t="s">
        <v>1584</v>
      </c>
      <c r="D997" s="68" t="s">
        <v>1596</v>
      </c>
      <c r="E997" s="68"/>
      <c r="F997" s="61" t="str">
        <f t="shared" ref="F997:F1000" si="60">D997</f>
        <v>Manafwa Town Council</v>
      </c>
      <c r="G997" s="61" t="str">
        <f t="shared" si="57"/>
        <v>Manafwa</v>
      </c>
      <c r="H997" s="68" t="s">
        <v>1596</v>
      </c>
    </row>
    <row r="998" spans="1:8">
      <c r="A998" s="67">
        <v>28</v>
      </c>
      <c r="B998" s="68" t="s">
        <v>606</v>
      </c>
      <c r="C998" s="68" t="s">
        <v>607</v>
      </c>
      <c r="D998" s="68" t="s">
        <v>623</v>
      </c>
      <c r="E998" s="68"/>
      <c r="F998" s="61" t="str">
        <f t="shared" si="60"/>
        <v>Manibe</v>
      </c>
      <c r="G998" s="61" t="str">
        <f t="shared" si="57"/>
        <v>Arua</v>
      </c>
      <c r="H998" s="68" t="s">
        <v>623</v>
      </c>
    </row>
    <row r="999" spans="1:8">
      <c r="A999" s="67">
        <v>473</v>
      </c>
      <c r="B999" s="68" t="s">
        <v>1739</v>
      </c>
      <c r="C999" s="68" t="s">
        <v>1742</v>
      </c>
      <c r="D999" s="68" t="s">
        <v>1755</v>
      </c>
      <c r="E999" s="68"/>
      <c r="F999" s="61" t="str">
        <f t="shared" si="60"/>
        <v>Manyogaseka</v>
      </c>
      <c r="G999" s="61" t="str">
        <f t="shared" si="57"/>
        <v>Mubende</v>
      </c>
      <c r="H999" s="68" t="s">
        <v>1755</v>
      </c>
    </row>
    <row r="1000" spans="1:8">
      <c r="A1000" s="67">
        <v>208</v>
      </c>
      <c r="B1000" s="68" t="s">
        <v>1602</v>
      </c>
      <c r="C1000" s="68" t="s">
        <v>1602</v>
      </c>
      <c r="D1000" s="68" t="s">
        <v>1603</v>
      </c>
      <c r="E1000" s="68"/>
      <c r="F1000" s="61" t="str">
        <f t="shared" si="60"/>
        <v>Maracha Town Council</v>
      </c>
      <c r="G1000" s="61" t="str">
        <f t="shared" si="57"/>
        <v>Maracha</v>
      </c>
      <c r="H1000" s="68" t="s">
        <v>1603</v>
      </c>
    </row>
    <row r="1001" spans="1:8">
      <c r="A1001" s="67">
        <v>693</v>
      </c>
      <c r="B1001" s="68" t="s">
        <v>796</v>
      </c>
      <c r="C1001" s="68" t="s">
        <v>797</v>
      </c>
      <c r="D1001" s="72" t="s">
        <v>2326</v>
      </c>
      <c r="E1001" s="68"/>
      <c r="F1001" s="61" t="str">
        <f t="shared" ref="F1001:F1002" si="61">D1001&amp;"-"&amp;B1001</f>
        <v>Masaba-Busia</v>
      </c>
      <c r="G1001" s="61" t="str">
        <f t="shared" si="57"/>
        <v>Busia</v>
      </c>
      <c r="H1001" s="72" t="s">
        <v>2326</v>
      </c>
    </row>
    <row r="1002" spans="1:8">
      <c r="A1002" s="67">
        <v>882</v>
      </c>
      <c r="B1002" s="68" t="s">
        <v>2054</v>
      </c>
      <c r="C1002" s="68" t="s">
        <v>2055</v>
      </c>
      <c r="D1002" s="72" t="s">
        <v>2326</v>
      </c>
      <c r="E1002" s="68"/>
      <c r="F1002" s="61" t="str">
        <f t="shared" si="61"/>
        <v>Masaba-Sironko</v>
      </c>
      <c r="G1002" s="61" t="str">
        <f t="shared" si="57"/>
        <v>Sironko</v>
      </c>
      <c r="H1002" s="72" t="s">
        <v>2326</v>
      </c>
    </row>
    <row r="1003" spans="1:8">
      <c r="A1003" s="67">
        <v>694</v>
      </c>
      <c r="B1003" s="68" t="s">
        <v>796</v>
      </c>
      <c r="C1003" s="68" t="s">
        <v>797</v>
      </c>
      <c r="D1003" s="68" t="s">
        <v>809</v>
      </c>
      <c r="E1003" s="68"/>
      <c r="F1003" s="61" t="str">
        <f t="shared" ref="F1003" si="62">D1003</f>
        <v>Masafu</v>
      </c>
      <c r="G1003" s="61" t="str">
        <f t="shared" si="57"/>
        <v>Busia</v>
      </c>
      <c r="H1003" s="68" t="s">
        <v>809</v>
      </c>
    </row>
    <row r="1004" spans="1:8" ht="38.25">
      <c r="A1004" s="67">
        <v>553</v>
      </c>
      <c r="B1004" s="68" t="s">
        <v>2117</v>
      </c>
      <c r="C1004" s="69" t="s">
        <v>2118</v>
      </c>
      <c r="D1004" s="68" t="s">
        <v>2327</v>
      </c>
      <c r="E1004" s="68"/>
      <c r="F1004" s="62" t="s">
        <v>2158</v>
      </c>
      <c r="G1004" s="61" t="str">
        <f t="shared" si="57"/>
        <v>Wakiso</v>
      </c>
      <c r="H1004" s="68" t="s">
        <v>2327</v>
      </c>
    </row>
    <row r="1005" spans="1:8">
      <c r="A1005" s="67">
        <v>719</v>
      </c>
      <c r="B1005" s="68" t="s">
        <v>952</v>
      </c>
      <c r="C1005" s="69" t="s">
        <v>961</v>
      </c>
      <c r="D1005" s="68" t="s">
        <v>2328</v>
      </c>
      <c r="E1005" s="68"/>
      <c r="F1005" s="62" t="str">
        <f>VLOOKUP(C1005,[2]Municipalities!$C$9:$F$1522,4,FALSE)</f>
        <v>Jinja Municipality</v>
      </c>
      <c r="G1005" s="61" t="str">
        <f t="shared" si="57"/>
        <v>Jinja</v>
      </c>
      <c r="H1005" s="68" t="s">
        <v>2328</v>
      </c>
    </row>
    <row r="1006" spans="1:8">
      <c r="A1006" s="67">
        <v>1382</v>
      </c>
      <c r="B1006" s="68" t="s">
        <v>47</v>
      </c>
      <c r="C1006" s="68" t="s">
        <v>47</v>
      </c>
      <c r="D1006" s="68" t="s">
        <v>941</v>
      </c>
      <c r="E1006" s="68"/>
      <c r="F1006" s="61" t="str">
        <f t="shared" ref="F1006:F1069" si="63">D1006</f>
        <v>Masha</v>
      </c>
      <c r="G1006" s="61" t="str">
        <f t="shared" si="57"/>
        <v>Isingiro</v>
      </c>
      <c r="H1006" s="68" t="s">
        <v>941</v>
      </c>
    </row>
    <row r="1007" spans="1:8">
      <c r="A1007" s="67">
        <v>1468</v>
      </c>
      <c r="B1007" s="68" t="s">
        <v>41</v>
      </c>
      <c r="C1007" s="68" t="s">
        <v>41</v>
      </c>
      <c r="D1007" s="68" t="s">
        <v>2049</v>
      </c>
      <c r="E1007" s="68"/>
      <c r="F1007" s="61" t="str">
        <f t="shared" si="63"/>
        <v>Masheruka</v>
      </c>
      <c r="G1007" s="61" t="str">
        <f t="shared" si="57"/>
        <v>Sheema</v>
      </c>
      <c r="H1007" s="68" t="s">
        <v>2049</v>
      </c>
    </row>
    <row r="1008" spans="1:8">
      <c r="A1008" s="67">
        <v>1013</v>
      </c>
      <c r="B1008" s="68" t="s">
        <v>723</v>
      </c>
      <c r="C1008" s="68" t="s">
        <v>723</v>
      </c>
      <c r="D1008" s="68" t="s">
        <v>736</v>
      </c>
      <c r="E1008" s="68"/>
      <c r="F1008" s="61" t="str">
        <f t="shared" si="63"/>
        <v>Masiira</v>
      </c>
      <c r="G1008" s="61" t="str">
        <f t="shared" si="57"/>
        <v>Bulambuli</v>
      </c>
      <c r="H1008" s="68" t="s">
        <v>736</v>
      </c>
    </row>
    <row r="1009" spans="1:8">
      <c r="A1009" s="67">
        <v>1419</v>
      </c>
      <c r="B1009" s="68" t="s">
        <v>1395</v>
      </c>
      <c r="C1009" s="68" t="s">
        <v>1396</v>
      </c>
      <c r="D1009" s="68" t="s">
        <v>1401</v>
      </c>
      <c r="E1009" s="68"/>
      <c r="F1009" s="61" t="str">
        <f t="shared" si="63"/>
        <v>Masindi Port</v>
      </c>
      <c r="G1009" s="61" t="str">
        <f t="shared" si="57"/>
        <v>Kiryandongo</v>
      </c>
      <c r="H1009" s="68" t="s">
        <v>1401</v>
      </c>
    </row>
    <row r="1010" spans="1:8">
      <c r="A1010" s="67">
        <v>695</v>
      </c>
      <c r="B1010" s="68" t="s">
        <v>796</v>
      </c>
      <c r="C1010" s="68" t="s">
        <v>797</v>
      </c>
      <c r="D1010" s="68" t="s">
        <v>810</v>
      </c>
      <c r="E1010" s="68"/>
      <c r="F1010" s="61" t="str">
        <f t="shared" si="63"/>
        <v>Masinya</v>
      </c>
      <c r="G1010" s="61" t="str">
        <f t="shared" si="57"/>
        <v>Busia</v>
      </c>
      <c r="H1010" s="68" t="s">
        <v>810</v>
      </c>
    </row>
    <row r="1011" spans="1:8">
      <c r="A1011" s="67">
        <v>537</v>
      </c>
      <c r="B1011" s="68" t="s">
        <v>2117</v>
      </c>
      <c r="C1011" s="68" t="s">
        <v>2120</v>
      </c>
      <c r="D1011" s="68" t="s">
        <v>2160</v>
      </c>
      <c r="E1011" s="68"/>
      <c r="F1011" s="61" t="str">
        <f t="shared" si="63"/>
        <v>Masuliita</v>
      </c>
      <c r="G1011" s="61" t="str">
        <f t="shared" si="57"/>
        <v>Wakiso</v>
      </c>
      <c r="H1011" s="68" t="s">
        <v>2160</v>
      </c>
    </row>
    <row r="1012" spans="1:8">
      <c r="A1012" s="67">
        <v>538</v>
      </c>
      <c r="B1012" s="68" t="s">
        <v>2117</v>
      </c>
      <c r="C1012" s="68" t="s">
        <v>2120</v>
      </c>
      <c r="D1012" s="68" t="s">
        <v>2161</v>
      </c>
      <c r="E1012" s="68"/>
      <c r="F1012" s="61" t="str">
        <f t="shared" si="63"/>
        <v>Masulita Town Council</v>
      </c>
      <c r="G1012" s="61" t="str">
        <f t="shared" si="57"/>
        <v>Wakiso</v>
      </c>
      <c r="H1012" s="68" t="s">
        <v>2161</v>
      </c>
    </row>
    <row r="1013" spans="1:8">
      <c r="A1013" s="67">
        <v>1212</v>
      </c>
      <c r="B1013" s="68" t="s">
        <v>1345</v>
      </c>
      <c r="C1013" s="68" t="s">
        <v>1346</v>
      </c>
      <c r="D1013" s="68" t="s">
        <v>1351</v>
      </c>
      <c r="E1013" s="68"/>
      <c r="F1013" s="61" t="str">
        <f t="shared" si="63"/>
        <v>Matale</v>
      </c>
      <c r="G1013" s="61" t="str">
        <f t="shared" si="57"/>
        <v>Kibaale</v>
      </c>
      <c r="H1013" s="68" t="s">
        <v>1351</v>
      </c>
    </row>
    <row r="1014" spans="1:8">
      <c r="A1014" s="67">
        <v>277</v>
      </c>
      <c r="B1014" s="68" t="s">
        <v>1855</v>
      </c>
      <c r="C1014" s="68" t="s">
        <v>1856</v>
      </c>
      <c r="D1014" s="68" t="s">
        <v>1861</v>
      </c>
      <c r="E1014" s="68"/>
      <c r="F1014" s="61" t="str">
        <f t="shared" si="63"/>
        <v>Matany</v>
      </c>
      <c r="G1014" s="61" t="str">
        <f t="shared" si="57"/>
        <v>Napak</v>
      </c>
      <c r="H1014" s="68" t="s">
        <v>1861</v>
      </c>
    </row>
    <row r="1015" spans="1:8">
      <c r="A1015" s="67">
        <v>519</v>
      </c>
      <c r="B1015" s="68" t="s">
        <v>2085</v>
      </c>
      <c r="C1015" s="68" t="s">
        <v>2086</v>
      </c>
      <c r="D1015" s="68" t="s">
        <v>2089</v>
      </c>
      <c r="E1015" s="68"/>
      <c r="F1015" s="61" t="str">
        <f t="shared" si="63"/>
        <v>Mateete</v>
      </c>
      <c r="G1015" s="61" t="str">
        <f t="shared" si="57"/>
        <v>Ssembabule</v>
      </c>
      <c r="H1015" s="68" t="s">
        <v>2089</v>
      </c>
    </row>
    <row r="1016" spans="1:8">
      <c r="A1016" s="67">
        <v>520</v>
      </c>
      <c r="B1016" s="68" t="s">
        <v>2085</v>
      </c>
      <c r="C1016" s="68" t="s">
        <v>2086</v>
      </c>
      <c r="D1016" s="68" t="s">
        <v>2090</v>
      </c>
      <c r="E1016" s="68"/>
      <c r="F1016" s="61" t="str">
        <f t="shared" si="63"/>
        <v>Mateete Town Council</v>
      </c>
      <c r="G1016" s="61" t="str">
        <f t="shared" si="57"/>
        <v>Ssembabule</v>
      </c>
      <c r="H1016" s="68" t="s">
        <v>2090</v>
      </c>
    </row>
    <row r="1017" spans="1:8">
      <c r="A1017" s="67">
        <v>1437</v>
      </c>
      <c r="B1017" s="68" t="s">
        <v>45</v>
      </c>
      <c r="C1017" s="68" t="s">
        <v>1686</v>
      </c>
      <c r="D1017" s="68" t="s">
        <v>1692</v>
      </c>
      <c r="E1017" s="68"/>
      <c r="F1017" s="61" t="str">
        <f t="shared" si="63"/>
        <v>Mayanga</v>
      </c>
      <c r="G1017" s="61" t="str">
        <f t="shared" si="57"/>
        <v>Mitooma</v>
      </c>
      <c r="H1017" s="68" t="s">
        <v>1692</v>
      </c>
    </row>
    <row r="1018" spans="1:8">
      <c r="A1018" s="67">
        <v>861</v>
      </c>
      <c r="B1018" s="68" t="s">
        <v>1630</v>
      </c>
      <c r="C1018" s="68" t="s">
        <v>1631</v>
      </c>
      <c r="D1018" s="68" t="s">
        <v>1642</v>
      </c>
      <c r="E1018" s="68"/>
      <c r="F1018" s="61" t="str">
        <f t="shared" si="63"/>
        <v>Mayuge Town Council</v>
      </c>
      <c r="G1018" s="61" t="str">
        <f t="shared" si="57"/>
        <v>Mayuge</v>
      </c>
      <c r="H1018" s="68" t="s">
        <v>1642</v>
      </c>
    </row>
    <row r="1019" spans="1:8">
      <c r="A1019" s="67">
        <v>1159</v>
      </c>
      <c r="B1019" s="68" t="s">
        <v>981</v>
      </c>
      <c r="C1019" s="68" t="s">
        <v>982</v>
      </c>
      <c r="D1019" s="68" t="s">
        <v>990</v>
      </c>
      <c r="E1019" s="68"/>
      <c r="F1019" s="61" t="str">
        <f t="shared" si="63"/>
        <v>Maziba</v>
      </c>
      <c r="G1019" s="61" t="str">
        <f t="shared" si="57"/>
        <v>Kabale</v>
      </c>
      <c r="H1019" s="68" t="s">
        <v>990</v>
      </c>
    </row>
    <row r="1020" spans="1:8">
      <c r="A1020" s="67">
        <v>958</v>
      </c>
      <c r="B1020" s="68" t="s">
        <v>813</v>
      </c>
      <c r="C1020" s="68" t="s">
        <v>814</v>
      </c>
      <c r="D1020" s="68" t="s">
        <v>822</v>
      </c>
      <c r="E1020" s="68"/>
      <c r="F1020" s="61" t="str">
        <f t="shared" si="63"/>
        <v>Mazimasa</v>
      </c>
      <c r="G1020" s="61" t="str">
        <f t="shared" si="57"/>
        <v>Butaleja</v>
      </c>
      <c r="H1020" s="68" t="s">
        <v>822</v>
      </c>
    </row>
    <row r="1021" spans="1:8">
      <c r="A1021" s="67">
        <v>324</v>
      </c>
      <c r="B1021" s="68" t="s">
        <v>1054</v>
      </c>
      <c r="C1021" s="68" t="s">
        <v>1055</v>
      </c>
      <c r="D1021" s="68" t="s">
        <v>1059</v>
      </c>
      <c r="E1021" s="68"/>
      <c r="F1021" s="61" t="str">
        <f t="shared" si="63"/>
        <v>Mazinga</v>
      </c>
      <c r="G1021" s="61" t="str">
        <f t="shared" si="57"/>
        <v>Kalangala</v>
      </c>
      <c r="H1021" s="68" t="s">
        <v>1059</v>
      </c>
    </row>
    <row r="1022" spans="1:8">
      <c r="A1022" s="67">
        <v>1368</v>
      </c>
      <c r="B1022" s="68" t="s">
        <v>47</v>
      </c>
      <c r="C1022" s="68" t="s">
        <v>932</v>
      </c>
      <c r="D1022" s="68" t="s">
        <v>942</v>
      </c>
      <c r="E1022" s="68"/>
      <c r="F1022" s="61" t="str">
        <f t="shared" si="63"/>
        <v>Mbaare</v>
      </c>
      <c r="G1022" s="61" t="str">
        <f t="shared" si="57"/>
        <v>Isingiro</v>
      </c>
      <c r="H1022" s="68" t="s">
        <v>942</v>
      </c>
    </row>
    <row r="1023" spans="1:8">
      <c r="A1023" s="67">
        <v>734</v>
      </c>
      <c r="B1023" s="68" t="s">
        <v>1232</v>
      </c>
      <c r="C1023" s="68" t="s">
        <v>1235</v>
      </c>
      <c r="D1023" s="68" t="s">
        <v>1241</v>
      </c>
      <c r="E1023" s="68"/>
      <c r="F1023" s="61" t="str">
        <f t="shared" si="63"/>
        <v>Mbulamuti</v>
      </c>
      <c r="G1023" s="61" t="str">
        <f t="shared" si="57"/>
        <v>Kamuli</v>
      </c>
      <c r="H1023" s="68" t="s">
        <v>1241</v>
      </c>
    </row>
    <row r="1024" spans="1:8">
      <c r="A1024" s="67">
        <v>820</v>
      </c>
      <c r="B1024" s="68" t="s">
        <v>2095</v>
      </c>
      <c r="C1024" s="68" t="s">
        <v>2095</v>
      </c>
      <c r="D1024" s="68" t="s">
        <v>2102</v>
      </c>
      <c r="E1024" s="68"/>
      <c r="F1024" s="61" t="str">
        <f t="shared" si="63"/>
        <v>Mella</v>
      </c>
      <c r="G1024" s="61" t="str">
        <f t="shared" si="57"/>
        <v>Tororo</v>
      </c>
      <c r="H1024" s="68" t="s">
        <v>2102</v>
      </c>
    </row>
    <row r="1025" spans="1:8">
      <c r="A1025" s="67">
        <v>539</v>
      </c>
      <c r="B1025" s="68" t="s">
        <v>2117</v>
      </c>
      <c r="C1025" s="68" t="s">
        <v>2120</v>
      </c>
      <c r="D1025" s="68" t="s">
        <v>2162</v>
      </c>
      <c r="E1025" s="68"/>
      <c r="F1025" s="61" t="str">
        <f t="shared" si="63"/>
        <v>Mende</v>
      </c>
      <c r="G1025" s="61" t="str">
        <f t="shared" si="57"/>
        <v>Wakiso</v>
      </c>
      <c r="H1025" s="68" t="s">
        <v>2162</v>
      </c>
    </row>
    <row r="1026" spans="1:8">
      <c r="A1026" s="67">
        <v>821</v>
      </c>
      <c r="B1026" s="68" t="s">
        <v>2095</v>
      </c>
      <c r="C1026" s="68" t="s">
        <v>2095</v>
      </c>
      <c r="D1026" s="68" t="s">
        <v>2103</v>
      </c>
      <c r="E1026" s="68"/>
      <c r="F1026" s="61" t="str">
        <f t="shared" si="63"/>
        <v>Merikit</v>
      </c>
      <c r="G1026" s="61" t="str">
        <f t="shared" si="57"/>
        <v>Tororo</v>
      </c>
      <c r="H1026" s="68" t="s">
        <v>2103</v>
      </c>
    </row>
    <row r="1027" spans="1:8">
      <c r="A1027" s="67">
        <v>104</v>
      </c>
      <c r="B1027" s="68" t="s">
        <v>1718</v>
      </c>
      <c r="C1027" s="68" t="s">
        <v>1721</v>
      </c>
      <c r="D1027" s="68" t="s">
        <v>1726</v>
      </c>
      <c r="E1027" s="68"/>
      <c r="F1027" s="61" t="str">
        <f t="shared" si="63"/>
        <v>Metu</v>
      </c>
      <c r="G1027" s="61" t="str">
        <f t="shared" si="57"/>
        <v>Moyo</v>
      </c>
      <c r="H1027" s="68" t="s">
        <v>1726</v>
      </c>
    </row>
    <row r="1028" spans="1:8">
      <c r="A1028" s="67">
        <v>203</v>
      </c>
      <c r="B1028" s="68" t="s">
        <v>1433</v>
      </c>
      <c r="C1028" s="68" t="s">
        <v>1433</v>
      </c>
      <c r="D1028" s="68" t="s">
        <v>1439</v>
      </c>
      <c r="E1028" s="68"/>
      <c r="F1028" s="61" t="str">
        <f t="shared" si="63"/>
        <v>Midia</v>
      </c>
      <c r="G1028" s="61" t="str">
        <f t="shared" si="57"/>
        <v>Koboko</v>
      </c>
      <c r="H1028" s="68" t="s">
        <v>1439</v>
      </c>
    </row>
    <row r="1029" spans="1:8">
      <c r="A1029" s="67">
        <v>147</v>
      </c>
      <c r="B1029" s="68" t="s">
        <v>2183</v>
      </c>
      <c r="C1029" s="68" t="s">
        <v>2184</v>
      </c>
      <c r="D1029" s="68" t="s">
        <v>2193</v>
      </c>
      <c r="E1029" s="68"/>
      <c r="F1029" s="61" t="str">
        <f t="shared" si="63"/>
        <v>Midigo</v>
      </c>
      <c r="G1029" s="61" t="str">
        <f t="shared" si="57"/>
        <v>Yumbe</v>
      </c>
      <c r="H1029" s="68" t="s">
        <v>2193</v>
      </c>
    </row>
    <row r="1030" spans="1:8">
      <c r="A1030" s="67">
        <v>499</v>
      </c>
      <c r="B1030" s="68" t="s">
        <v>1805</v>
      </c>
      <c r="C1030" s="68" t="s">
        <v>1625</v>
      </c>
      <c r="D1030" s="68" t="s">
        <v>1811</v>
      </c>
      <c r="E1030" s="68"/>
      <c r="F1030" s="61" t="str">
        <f t="shared" si="63"/>
        <v>Migeera Town Council</v>
      </c>
      <c r="G1030" s="61" t="str">
        <f t="shared" si="57"/>
        <v>Nakasongola</v>
      </c>
      <c r="H1030" s="68" t="s">
        <v>1811</v>
      </c>
    </row>
    <row r="1031" spans="1:8">
      <c r="A1031" s="67">
        <v>1238</v>
      </c>
      <c r="B1031" s="68" t="s">
        <v>1621</v>
      </c>
      <c r="C1031" s="68" t="s">
        <v>1625</v>
      </c>
      <c r="D1031" s="68" t="s">
        <v>1627</v>
      </c>
      <c r="E1031" s="68"/>
      <c r="F1031" s="61" t="str">
        <f t="shared" si="63"/>
        <v>Miirya</v>
      </c>
      <c r="G1031" s="61" t="str">
        <f t="shared" si="57"/>
        <v>Masindi</v>
      </c>
      <c r="H1031" s="68" t="s">
        <v>1627</v>
      </c>
    </row>
    <row r="1032" spans="1:8">
      <c r="A1032" s="67">
        <v>521</v>
      </c>
      <c r="B1032" s="68" t="s">
        <v>2085</v>
      </c>
      <c r="C1032" s="68" t="s">
        <v>2086</v>
      </c>
      <c r="D1032" s="68" t="s">
        <v>2091</v>
      </c>
      <c r="E1032" s="68"/>
      <c r="F1032" s="61" t="str">
        <f t="shared" si="63"/>
        <v>Mijwala</v>
      </c>
      <c r="G1032" s="61" t="str">
        <f t="shared" si="57"/>
        <v>Ssembabule</v>
      </c>
      <c r="H1032" s="68" t="s">
        <v>2091</v>
      </c>
    </row>
    <row r="1033" spans="1:8">
      <c r="A1033" s="67">
        <v>222</v>
      </c>
      <c r="B1033" s="68" t="s">
        <v>1933</v>
      </c>
      <c r="C1033" s="68" t="s">
        <v>1933</v>
      </c>
      <c r="D1033" s="68" t="s">
        <v>1940</v>
      </c>
      <c r="E1033" s="68"/>
      <c r="F1033" s="61" t="str">
        <f t="shared" si="63"/>
        <v>Minakulu</v>
      </c>
      <c r="G1033" s="61" t="str">
        <f t="shared" si="57"/>
        <v>Oyam</v>
      </c>
      <c r="H1033" s="68" t="s">
        <v>1940</v>
      </c>
    </row>
    <row r="1034" spans="1:8">
      <c r="A1034" s="67">
        <v>1119</v>
      </c>
      <c r="B1034" s="68" t="s">
        <v>750</v>
      </c>
      <c r="C1034" s="68" t="s">
        <v>751</v>
      </c>
      <c r="D1034" s="68" t="s">
        <v>764</v>
      </c>
      <c r="E1034" s="68"/>
      <c r="F1034" s="61" t="str">
        <f t="shared" si="63"/>
        <v>Mirambi</v>
      </c>
      <c r="G1034" s="61" t="str">
        <f t="shared" ref="G1034:G1097" si="64">B1034</f>
        <v>Bundibugyo</v>
      </c>
      <c r="H1034" s="68" t="s">
        <v>764</v>
      </c>
    </row>
    <row r="1035" spans="1:8">
      <c r="A1035" s="67">
        <v>1438</v>
      </c>
      <c r="B1035" s="68" t="s">
        <v>45</v>
      </c>
      <c r="C1035" s="68" t="s">
        <v>1686</v>
      </c>
      <c r="D1035" s="68" t="s">
        <v>45</v>
      </c>
      <c r="E1035" s="68"/>
      <c r="F1035" s="61" t="str">
        <f t="shared" si="63"/>
        <v>Mitooma</v>
      </c>
      <c r="G1035" s="61" t="str">
        <f t="shared" si="64"/>
        <v>Mitooma</v>
      </c>
      <c r="H1035" s="68" t="s">
        <v>45</v>
      </c>
    </row>
    <row r="1036" spans="1:8">
      <c r="A1036" s="67">
        <v>1439</v>
      </c>
      <c r="B1036" s="68" t="s">
        <v>45</v>
      </c>
      <c r="C1036" s="68" t="s">
        <v>1686</v>
      </c>
      <c r="D1036" s="68" t="s">
        <v>1693</v>
      </c>
      <c r="E1036" s="68"/>
      <c r="F1036" s="61" t="str">
        <f t="shared" si="63"/>
        <v>Mitooma Town Council</v>
      </c>
      <c r="G1036" s="61" t="str">
        <f t="shared" si="64"/>
        <v>Mitooma</v>
      </c>
      <c r="H1036" s="68" t="s">
        <v>1693</v>
      </c>
    </row>
    <row r="1037" spans="1:8">
      <c r="A1037" s="67">
        <v>822</v>
      </c>
      <c r="B1037" s="68" t="s">
        <v>2095</v>
      </c>
      <c r="C1037" s="68" t="s">
        <v>2095</v>
      </c>
      <c r="D1037" s="68" t="s">
        <v>2104</v>
      </c>
      <c r="E1037" s="68"/>
      <c r="F1037" s="61" t="str">
        <f t="shared" si="63"/>
        <v>Molo</v>
      </c>
      <c r="G1037" s="61" t="str">
        <f t="shared" si="64"/>
        <v>Tororo</v>
      </c>
      <c r="H1037" s="68" t="s">
        <v>2104</v>
      </c>
    </row>
    <row r="1038" spans="1:8">
      <c r="A1038" s="67">
        <v>119</v>
      </c>
      <c r="B1038" s="68" t="s">
        <v>1779</v>
      </c>
      <c r="C1038" s="68" t="s">
        <v>1780</v>
      </c>
      <c r="D1038" s="68" t="s">
        <v>1785</v>
      </c>
      <c r="E1038" s="68"/>
      <c r="F1038" s="61" t="str">
        <f t="shared" si="63"/>
        <v>Moruita</v>
      </c>
      <c r="G1038" s="61" t="str">
        <f t="shared" si="64"/>
        <v>Nakapiripirit</v>
      </c>
      <c r="H1038" s="68" t="s">
        <v>1785</v>
      </c>
    </row>
    <row r="1039" spans="1:8">
      <c r="A1039" s="67">
        <v>155</v>
      </c>
      <c r="B1039" s="68" t="s">
        <v>503</v>
      </c>
      <c r="C1039" s="68" t="s">
        <v>504</v>
      </c>
      <c r="D1039" s="68" t="s">
        <v>508</v>
      </c>
      <c r="E1039" s="68"/>
      <c r="F1039" s="61" t="str">
        <f t="shared" si="63"/>
        <v>Morulem</v>
      </c>
      <c r="G1039" s="61" t="str">
        <f t="shared" si="64"/>
        <v>Abim</v>
      </c>
      <c r="H1039" s="68" t="s">
        <v>508</v>
      </c>
    </row>
    <row r="1040" spans="1:8">
      <c r="A1040" s="67">
        <v>892</v>
      </c>
      <c r="B1040" s="68" t="s">
        <v>569</v>
      </c>
      <c r="C1040" s="68" t="s">
        <v>569</v>
      </c>
      <c r="D1040" s="68" t="s">
        <v>578</v>
      </c>
      <c r="E1040" s="68"/>
      <c r="F1040" s="61" t="str">
        <f t="shared" si="63"/>
        <v>Morungatuny</v>
      </c>
      <c r="G1040" s="61" t="str">
        <f t="shared" si="64"/>
        <v>Amuria</v>
      </c>
      <c r="H1040" s="68" t="s">
        <v>578</v>
      </c>
    </row>
    <row r="1041" spans="1:8">
      <c r="A1041" s="67">
        <v>105</v>
      </c>
      <c r="B1041" s="68" t="s">
        <v>1718</v>
      </c>
      <c r="C1041" s="68" t="s">
        <v>1721</v>
      </c>
      <c r="D1041" s="68" t="s">
        <v>1718</v>
      </c>
      <c r="E1041" s="68"/>
      <c r="F1041" s="61" t="str">
        <f t="shared" si="63"/>
        <v>Moyo</v>
      </c>
      <c r="G1041" s="61" t="str">
        <f t="shared" si="64"/>
        <v>Moyo</v>
      </c>
      <c r="H1041" s="68" t="s">
        <v>1718</v>
      </c>
    </row>
    <row r="1042" spans="1:8">
      <c r="A1042" s="67">
        <v>106</v>
      </c>
      <c r="B1042" s="68" t="s">
        <v>1718</v>
      </c>
      <c r="C1042" s="68" t="s">
        <v>1721</v>
      </c>
      <c r="D1042" s="68" t="s">
        <v>1727</v>
      </c>
      <c r="E1042" s="68"/>
      <c r="F1042" s="61" t="str">
        <f t="shared" si="63"/>
        <v>Moyo Town Council</v>
      </c>
      <c r="G1042" s="61" t="str">
        <f t="shared" si="64"/>
        <v>Moyo</v>
      </c>
      <c r="H1042" s="68" t="s">
        <v>1727</v>
      </c>
    </row>
    <row r="1043" spans="1:8">
      <c r="A1043" s="67">
        <v>1044</v>
      </c>
      <c r="B1043" s="68" t="s">
        <v>1463</v>
      </c>
      <c r="C1043" s="68" t="s">
        <v>1463</v>
      </c>
      <c r="D1043" s="68" t="s">
        <v>1473</v>
      </c>
      <c r="E1043" s="68"/>
      <c r="F1043" s="61" t="str">
        <f t="shared" si="63"/>
        <v>Moyok</v>
      </c>
      <c r="G1043" s="61" t="str">
        <f t="shared" si="64"/>
        <v>Kween</v>
      </c>
      <c r="H1043" s="68" t="s">
        <v>1473</v>
      </c>
    </row>
    <row r="1044" spans="1:8">
      <c r="A1044" s="67">
        <v>1426</v>
      </c>
      <c r="B1044" s="68" t="s">
        <v>1488</v>
      </c>
      <c r="C1044" s="68" t="s">
        <v>1489</v>
      </c>
      <c r="D1044" s="68" t="s">
        <v>1495</v>
      </c>
      <c r="E1044" s="68"/>
      <c r="F1044" s="61" t="str">
        <f t="shared" si="63"/>
        <v>Mpara</v>
      </c>
      <c r="G1044" s="61" t="str">
        <f t="shared" si="64"/>
        <v>Kyegegwa</v>
      </c>
      <c r="H1044" s="68" t="s">
        <v>1495</v>
      </c>
    </row>
    <row r="1045" spans="1:8" ht="25.5">
      <c r="A1045" s="67">
        <v>1148</v>
      </c>
      <c r="B1045" s="68" t="s">
        <v>884</v>
      </c>
      <c r="C1045" s="69" t="s">
        <v>889</v>
      </c>
      <c r="D1045" s="68" t="s">
        <v>2329</v>
      </c>
      <c r="E1045" s="68"/>
      <c r="F1045" s="62" t="str">
        <f>VLOOKUP(C1045,[2]Municipalities!$C$9:$F$1522,4,FALSE)</f>
        <v>Hoima Municipality</v>
      </c>
      <c r="G1045" s="61" t="str">
        <f t="shared" si="64"/>
        <v>Hoima</v>
      </c>
      <c r="H1045" s="68" t="s">
        <v>2329</v>
      </c>
    </row>
    <row r="1046" spans="1:8">
      <c r="A1046" s="67">
        <v>1531</v>
      </c>
      <c r="B1046" s="68" t="s">
        <v>2292</v>
      </c>
      <c r="C1046" s="68" t="s">
        <v>2011</v>
      </c>
      <c r="D1046" s="68" t="s">
        <v>2330</v>
      </c>
      <c r="E1046" s="68"/>
      <c r="F1046" s="61" t="str">
        <f t="shared" si="63"/>
        <v>Mparo Town Council</v>
      </c>
      <c r="G1046" s="61" t="str">
        <f t="shared" si="64"/>
        <v>Rukiga</v>
      </c>
      <c r="H1046" s="68" t="s">
        <v>2330</v>
      </c>
    </row>
    <row r="1047" spans="1:8">
      <c r="A1047" s="67">
        <v>1501</v>
      </c>
      <c r="B1047" s="68" t="s">
        <v>1041</v>
      </c>
      <c r="C1047" s="68" t="s">
        <v>1042</v>
      </c>
      <c r="D1047" s="68" t="s">
        <v>1050</v>
      </c>
      <c r="E1047" s="68"/>
      <c r="F1047" s="61" t="str">
        <f t="shared" si="63"/>
        <v>Mpasaana</v>
      </c>
      <c r="G1047" s="61" t="str">
        <f t="shared" si="64"/>
        <v>Kakumiro</v>
      </c>
      <c r="H1047" s="68" t="s">
        <v>1050</v>
      </c>
    </row>
    <row r="1048" spans="1:8">
      <c r="A1048" s="67">
        <v>480</v>
      </c>
      <c r="B1048" s="68" t="s">
        <v>1761</v>
      </c>
      <c r="C1048" s="68" t="s">
        <v>1761</v>
      </c>
      <c r="D1048" s="68" t="s">
        <v>1766</v>
      </c>
      <c r="E1048" s="68"/>
      <c r="F1048" s="61" t="str">
        <f t="shared" si="63"/>
        <v>Mpatta</v>
      </c>
      <c r="G1048" s="61" t="str">
        <f t="shared" si="64"/>
        <v>Mukono</v>
      </c>
      <c r="H1048" s="68" t="s">
        <v>1766</v>
      </c>
    </row>
    <row r="1049" spans="1:8">
      <c r="A1049" s="67">
        <v>1488</v>
      </c>
      <c r="B1049" s="68" t="s">
        <v>1022</v>
      </c>
      <c r="C1049" s="68" t="s">
        <v>1023</v>
      </c>
      <c r="D1049" s="68" t="s">
        <v>1033</v>
      </c>
      <c r="E1049" s="68"/>
      <c r="F1049" s="61" t="str">
        <f t="shared" si="63"/>
        <v>Mpeefu</v>
      </c>
      <c r="G1049" s="61" t="str">
        <f t="shared" si="64"/>
        <v>Kagadi</v>
      </c>
      <c r="H1049" s="68" t="s">
        <v>1033</v>
      </c>
    </row>
    <row r="1050" spans="1:8">
      <c r="A1050" s="67">
        <v>630</v>
      </c>
      <c r="B1050" s="68" t="s">
        <v>870</v>
      </c>
      <c r="C1050" s="68" t="s">
        <v>870</v>
      </c>
      <c r="D1050" s="68" t="s">
        <v>874</v>
      </c>
      <c r="E1050" s="68"/>
      <c r="F1050" s="61" t="str">
        <f t="shared" si="63"/>
        <v>Mpenja</v>
      </c>
      <c r="G1050" s="61" t="str">
        <f t="shared" si="64"/>
        <v>Gomba</v>
      </c>
      <c r="H1050" s="68" t="s">
        <v>874</v>
      </c>
    </row>
    <row r="1051" spans="1:8">
      <c r="A1051" s="67">
        <v>455</v>
      </c>
      <c r="B1051" s="68" t="s">
        <v>1729</v>
      </c>
      <c r="C1051" s="68" t="s">
        <v>1730</v>
      </c>
      <c r="D1051" s="68" t="s">
        <v>1734</v>
      </c>
      <c r="E1051" s="68"/>
      <c r="F1051" s="61" t="str">
        <f t="shared" si="63"/>
        <v>Mpigi Town Council</v>
      </c>
      <c r="G1051" s="61" t="str">
        <f t="shared" si="64"/>
        <v>Mpigi</v>
      </c>
      <c r="H1051" s="68" t="s">
        <v>1734</v>
      </c>
    </row>
    <row r="1052" spans="1:8">
      <c r="A1052" s="67">
        <v>1187</v>
      </c>
      <c r="B1052" s="68" t="s">
        <v>36</v>
      </c>
      <c r="C1052" s="68" t="s">
        <v>753</v>
      </c>
      <c r="D1052" s="68" t="s">
        <v>1318</v>
      </c>
      <c r="E1052" s="68"/>
      <c r="F1052" s="61" t="str">
        <f t="shared" si="63"/>
        <v>Mpondwe-Lhubiriha</v>
      </c>
      <c r="G1052" s="61" t="str">
        <f t="shared" si="64"/>
        <v>Kasese</v>
      </c>
      <c r="H1052" s="68" t="s">
        <v>1318</v>
      </c>
    </row>
    <row r="1053" spans="1:8">
      <c r="A1053" s="67">
        <v>564</v>
      </c>
      <c r="B1053" s="68" t="s">
        <v>1576</v>
      </c>
      <c r="C1053" s="68" t="s">
        <v>1577</v>
      </c>
      <c r="D1053" s="72" t="s">
        <v>2331</v>
      </c>
      <c r="E1053" s="68"/>
      <c r="F1053" s="61" t="str">
        <f t="shared" ref="F1053" si="65">D1053&amp;"-"&amp;B1053</f>
        <v>Mpumudde-Lyantonde</v>
      </c>
      <c r="G1053" s="61" t="str">
        <f t="shared" si="64"/>
        <v>Lyantonde</v>
      </c>
      <c r="H1053" s="72" t="s">
        <v>2331</v>
      </c>
    </row>
    <row r="1054" spans="1:8">
      <c r="A1054" s="67">
        <v>718</v>
      </c>
      <c r="B1054" s="68" t="s">
        <v>952</v>
      </c>
      <c r="C1054" s="69" t="s">
        <v>961</v>
      </c>
      <c r="D1054" s="72" t="s">
        <v>2332</v>
      </c>
      <c r="E1054" s="68"/>
      <c r="F1054" s="62" t="str">
        <f>VLOOKUP(C1054,[2]Municipalities!$C$9:$F$1522,4,FALSE)</f>
        <v>Jinja Municipality</v>
      </c>
      <c r="G1054" s="61" t="str">
        <f t="shared" si="64"/>
        <v>Jinja</v>
      </c>
      <c r="H1054" s="72" t="s">
        <v>2332</v>
      </c>
    </row>
    <row r="1055" spans="1:8">
      <c r="A1055" s="67">
        <v>481</v>
      </c>
      <c r="B1055" s="68" t="s">
        <v>1761</v>
      </c>
      <c r="C1055" s="68" t="s">
        <v>1761</v>
      </c>
      <c r="D1055" s="68" t="s">
        <v>1767</v>
      </c>
      <c r="E1055" s="68"/>
      <c r="F1055" s="61" t="str">
        <f t="shared" si="63"/>
        <v>Mpunge</v>
      </c>
      <c r="G1055" s="61" t="str">
        <f t="shared" si="64"/>
        <v>Mukono</v>
      </c>
      <c r="H1055" s="68" t="s">
        <v>1767</v>
      </c>
    </row>
    <row r="1056" spans="1:8">
      <c r="A1056" s="67">
        <v>1324</v>
      </c>
      <c r="B1056" s="68" t="s">
        <v>1264</v>
      </c>
      <c r="C1056" s="68" t="s">
        <v>1265</v>
      </c>
      <c r="D1056" s="68" t="s">
        <v>1276</v>
      </c>
      <c r="E1056" s="68"/>
      <c r="F1056" s="61" t="str">
        <f t="shared" si="63"/>
        <v>Mpungu</v>
      </c>
      <c r="G1056" s="61" t="str">
        <f t="shared" si="64"/>
        <v>Kanungu</v>
      </c>
      <c r="H1056" s="68" t="s">
        <v>1276</v>
      </c>
    </row>
    <row r="1057" spans="1:8">
      <c r="A1057" s="67">
        <v>862</v>
      </c>
      <c r="B1057" s="68" t="s">
        <v>1630</v>
      </c>
      <c r="C1057" s="68" t="s">
        <v>1631</v>
      </c>
      <c r="D1057" s="68" t="s">
        <v>1643</v>
      </c>
      <c r="E1057" s="68"/>
      <c r="F1057" s="61" t="str">
        <f t="shared" si="63"/>
        <v>Mpungwe</v>
      </c>
      <c r="G1057" s="61" t="str">
        <f t="shared" si="64"/>
        <v>Mayuge</v>
      </c>
      <c r="H1057" s="68" t="s">
        <v>1643</v>
      </c>
    </row>
    <row r="1058" spans="1:8">
      <c r="A1058" s="67">
        <v>63</v>
      </c>
      <c r="B1058" s="68" t="s">
        <v>1421</v>
      </c>
      <c r="C1058" s="68" t="s">
        <v>1422</v>
      </c>
      <c r="D1058" s="68" t="s">
        <v>1428</v>
      </c>
      <c r="E1058" s="68"/>
      <c r="F1058" s="61" t="str">
        <f t="shared" si="63"/>
        <v>Mucwini</v>
      </c>
      <c r="G1058" s="61" t="str">
        <f t="shared" si="64"/>
        <v>Kitgum</v>
      </c>
      <c r="H1058" s="68" t="s">
        <v>1428</v>
      </c>
    </row>
    <row r="1059" spans="1:8">
      <c r="A1059" s="67">
        <v>456</v>
      </c>
      <c r="B1059" s="68" t="s">
        <v>1729</v>
      </c>
      <c r="C1059" s="68" t="s">
        <v>1730</v>
      </c>
      <c r="D1059" s="68" t="s">
        <v>1736</v>
      </c>
      <c r="E1059" s="68"/>
      <c r="F1059" s="61" t="str">
        <f t="shared" si="63"/>
        <v>Muduuma</v>
      </c>
      <c r="G1059" s="61" t="str">
        <f t="shared" si="64"/>
        <v>Mpigi</v>
      </c>
      <c r="H1059" s="68" t="s">
        <v>1736</v>
      </c>
    </row>
    <row r="1060" spans="1:8">
      <c r="A1060" s="67">
        <v>1213</v>
      </c>
      <c r="B1060" s="68" t="s">
        <v>1345</v>
      </c>
      <c r="C1060" s="68" t="s">
        <v>1346</v>
      </c>
      <c r="D1060" s="68" t="s">
        <v>1352</v>
      </c>
      <c r="E1060" s="68"/>
      <c r="F1060" s="61" t="str">
        <f t="shared" si="63"/>
        <v>Mugarama</v>
      </c>
      <c r="G1060" s="61" t="str">
        <f t="shared" si="64"/>
        <v>Kibaale</v>
      </c>
      <c r="H1060" s="68" t="s">
        <v>1352</v>
      </c>
    </row>
    <row r="1061" spans="1:8">
      <c r="A1061" s="67">
        <v>914</v>
      </c>
      <c r="B1061" s="68" t="s">
        <v>636</v>
      </c>
      <c r="C1061" s="68" t="s">
        <v>638</v>
      </c>
      <c r="D1061" s="68" t="s">
        <v>646</v>
      </c>
      <c r="E1061" s="68"/>
      <c r="F1061" s="61" t="str">
        <f t="shared" si="63"/>
        <v>Mugiti</v>
      </c>
      <c r="G1061" s="61" t="str">
        <f t="shared" si="64"/>
        <v>Budaka</v>
      </c>
      <c r="H1061" s="68" t="s">
        <v>646</v>
      </c>
    </row>
    <row r="1062" spans="1:8">
      <c r="A1062" s="67">
        <v>320</v>
      </c>
      <c r="B1062" s="68" t="s">
        <v>1054</v>
      </c>
      <c r="C1062" s="68" t="s">
        <v>1057</v>
      </c>
      <c r="D1062" s="68" t="s">
        <v>1060</v>
      </c>
      <c r="E1062" s="68"/>
      <c r="F1062" s="61" t="str">
        <f t="shared" si="63"/>
        <v>Mugoye</v>
      </c>
      <c r="G1062" s="61" t="str">
        <f t="shared" si="64"/>
        <v>Kalangala</v>
      </c>
      <c r="H1062" s="68" t="s">
        <v>1060</v>
      </c>
    </row>
    <row r="1063" spans="1:8">
      <c r="A1063" s="67">
        <v>1172</v>
      </c>
      <c r="B1063" s="68" t="s">
        <v>994</v>
      </c>
      <c r="C1063" s="68" t="s">
        <v>995</v>
      </c>
      <c r="D1063" s="68" t="s">
        <v>1006</v>
      </c>
      <c r="E1063" s="68"/>
      <c r="F1063" s="61" t="str">
        <f t="shared" si="63"/>
        <v>Mugusu</v>
      </c>
      <c r="G1063" s="61" t="str">
        <f t="shared" si="64"/>
        <v>Kabarole</v>
      </c>
      <c r="H1063" s="68" t="s">
        <v>1006</v>
      </c>
    </row>
    <row r="1064" spans="1:8">
      <c r="A1064" s="67">
        <v>1174</v>
      </c>
      <c r="B1064" s="68" t="s">
        <v>994</v>
      </c>
      <c r="C1064" s="68" t="s">
        <v>995</v>
      </c>
      <c r="D1064" s="68" t="s">
        <v>1007</v>
      </c>
      <c r="E1064" s="68"/>
      <c r="F1064" s="61" t="str">
        <f t="shared" si="63"/>
        <v>Mugusu Town Council</v>
      </c>
      <c r="G1064" s="61" t="str">
        <f t="shared" si="64"/>
        <v>Kabarole</v>
      </c>
      <c r="H1064" s="68" t="s">
        <v>1007</v>
      </c>
    </row>
    <row r="1065" spans="1:8">
      <c r="A1065" s="67">
        <v>1529</v>
      </c>
      <c r="B1065" s="68" t="s">
        <v>2011</v>
      </c>
      <c r="C1065" s="68" t="s">
        <v>2011</v>
      </c>
      <c r="D1065" s="68" t="s">
        <v>2015</v>
      </c>
      <c r="E1065" s="68"/>
      <c r="F1065" s="61" t="str">
        <f t="shared" si="63"/>
        <v>Muhanga Town Council</v>
      </c>
      <c r="G1065" s="61" t="str">
        <f t="shared" si="64"/>
        <v>Rukiga</v>
      </c>
      <c r="H1065" s="68" t="s">
        <v>2015</v>
      </c>
    </row>
    <row r="1066" spans="1:8">
      <c r="A1066" s="67">
        <v>1203</v>
      </c>
      <c r="B1066" s="68" t="s">
        <v>36</v>
      </c>
      <c r="C1066" s="68" t="s">
        <v>1297</v>
      </c>
      <c r="D1066" s="68" t="s">
        <v>1319</v>
      </c>
      <c r="E1066" s="68"/>
      <c r="F1066" s="61" t="str">
        <f t="shared" si="63"/>
        <v>Muhokya</v>
      </c>
      <c r="G1066" s="61" t="str">
        <f t="shared" si="64"/>
        <v>Kasese</v>
      </c>
      <c r="H1066" s="68" t="s">
        <v>1319</v>
      </c>
    </row>
    <row r="1067" spans="1:8">
      <c r="A1067" s="67">
        <v>1489</v>
      </c>
      <c r="B1067" s="68" t="s">
        <v>1022</v>
      </c>
      <c r="C1067" s="68" t="s">
        <v>1023</v>
      </c>
      <c r="D1067" s="68" t="s">
        <v>1034</v>
      </c>
      <c r="E1067" s="68"/>
      <c r="F1067" s="61" t="str">
        <f t="shared" si="63"/>
        <v>Muhorro</v>
      </c>
      <c r="G1067" s="61" t="str">
        <f t="shared" si="64"/>
        <v>Kagadi</v>
      </c>
      <c r="H1067" s="68" t="s">
        <v>1034</v>
      </c>
    </row>
    <row r="1068" spans="1:8">
      <c r="A1068" s="67">
        <v>1490</v>
      </c>
      <c r="B1068" s="68" t="s">
        <v>1022</v>
      </c>
      <c r="C1068" s="68" t="s">
        <v>1023</v>
      </c>
      <c r="D1068" s="68" t="s">
        <v>1035</v>
      </c>
      <c r="E1068" s="68"/>
      <c r="F1068" s="61" t="str">
        <f t="shared" si="63"/>
        <v>Muhorro Town Council</v>
      </c>
      <c r="G1068" s="61" t="str">
        <f t="shared" si="64"/>
        <v>Kagadi</v>
      </c>
      <c r="H1068" s="68" t="s">
        <v>1035</v>
      </c>
    </row>
    <row r="1069" spans="1:8">
      <c r="A1069" s="67">
        <v>1511</v>
      </c>
      <c r="B1069" s="68" t="s">
        <v>1990</v>
      </c>
      <c r="C1069" s="68" t="s">
        <v>1990</v>
      </c>
      <c r="D1069" s="68" t="s">
        <v>1995</v>
      </c>
      <c r="E1069" s="68"/>
      <c r="F1069" s="61" t="str">
        <f t="shared" si="63"/>
        <v>Muko</v>
      </c>
      <c r="G1069" s="61" t="str">
        <f t="shared" si="64"/>
        <v>Rubanda</v>
      </c>
      <c r="H1069" s="68" t="s">
        <v>1995</v>
      </c>
    </row>
    <row r="1070" spans="1:8">
      <c r="A1070" s="67">
        <v>766</v>
      </c>
      <c r="B1070" s="68" t="s">
        <v>1456</v>
      </c>
      <c r="C1070" s="68" t="s">
        <v>1456</v>
      </c>
      <c r="D1070" s="68" t="s">
        <v>1459</v>
      </c>
      <c r="E1070" s="68"/>
      <c r="F1070" s="61" t="str">
        <f t="shared" ref="F1070:F1121" si="66">D1070</f>
        <v>Mukongoro</v>
      </c>
      <c r="G1070" s="61" t="str">
        <f t="shared" si="64"/>
        <v>Kumi</v>
      </c>
      <c r="H1070" s="68" t="s">
        <v>1459</v>
      </c>
    </row>
    <row r="1071" spans="1:8">
      <c r="A1071" s="67">
        <v>1096</v>
      </c>
      <c r="B1071" s="68" t="s">
        <v>1828</v>
      </c>
      <c r="C1071" s="68" t="s">
        <v>1828</v>
      </c>
      <c r="D1071" s="68" t="s">
        <v>1840</v>
      </c>
      <c r="E1071" s="68"/>
      <c r="F1071" s="61" t="str">
        <f t="shared" si="66"/>
        <v>Mukoto</v>
      </c>
      <c r="G1071" s="61" t="str">
        <f t="shared" si="64"/>
        <v>Namisindwa</v>
      </c>
      <c r="H1071" s="68" t="s">
        <v>1840</v>
      </c>
    </row>
    <row r="1072" spans="1:8">
      <c r="A1072" s="67">
        <v>823</v>
      </c>
      <c r="B1072" s="68" t="s">
        <v>2095</v>
      </c>
      <c r="C1072" s="68" t="s">
        <v>2095</v>
      </c>
      <c r="D1072" s="68" t="s">
        <v>2105</v>
      </c>
      <c r="E1072" s="68"/>
      <c r="F1072" s="61" t="str">
        <f t="shared" si="66"/>
        <v>Mukuju</v>
      </c>
      <c r="G1072" s="61" t="str">
        <f t="shared" si="64"/>
        <v>Tororo</v>
      </c>
      <c r="H1072" s="68" t="s">
        <v>2105</v>
      </c>
    </row>
    <row r="1073" spans="1:8">
      <c r="A1073" s="67">
        <v>447</v>
      </c>
      <c r="B1073" s="68" t="s">
        <v>39</v>
      </c>
      <c r="C1073" s="68" t="s">
        <v>23</v>
      </c>
      <c r="D1073" s="68" t="s">
        <v>1619</v>
      </c>
      <c r="E1073" s="68"/>
      <c r="F1073" s="61" t="str">
        <f t="shared" si="66"/>
        <v>Mukungwe</v>
      </c>
      <c r="G1073" s="61" t="str">
        <f t="shared" si="64"/>
        <v>Masaka</v>
      </c>
      <c r="H1073" s="68" t="s">
        <v>1619</v>
      </c>
    </row>
    <row r="1074" spans="1:8">
      <c r="A1074" s="67">
        <v>1065</v>
      </c>
      <c r="B1074" s="68" t="s">
        <v>1875</v>
      </c>
      <c r="C1074" s="68" t="s">
        <v>1875</v>
      </c>
      <c r="D1074" s="68" t="s">
        <v>1877</v>
      </c>
      <c r="E1074" s="68"/>
      <c r="F1074" s="61" t="str">
        <f t="shared" si="66"/>
        <v>Mukura</v>
      </c>
      <c r="G1074" s="61" t="str">
        <f t="shared" si="64"/>
        <v>Ngora</v>
      </c>
      <c r="H1074" s="68" t="s">
        <v>1877</v>
      </c>
    </row>
    <row r="1075" spans="1:8">
      <c r="A1075" s="67">
        <v>643</v>
      </c>
      <c r="B1075" s="68" t="s">
        <v>1476</v>
      </c>
      <c r="C1075" s="68" t="s">
        <v>1356</v>
      </c>
      <c r="D1075" s="68" t="s">
        <v>1482</v>
      </c>
      <c r="E1075" s="68"/>
      <c r="F1075" s="61" t="str">
        <f t="shared" si="66"/>
        <v>Mulagi</v>
      </c>
      <c r="G1075" s="61" t="str">
        <f t="shared" si="64"/>
        <v>Kyankwanzi</v>
      </c>
      <c r="H1075" s="68" t="s">
        <v>1482</v>
      </c>
    </row>
    <row r="1076" spans="1:8">
      <c r="A1076" s="67">
        <v>831</v>
      </c>
      <c r="B1076" s="68" t="s">
        <v>2095</v>
      </c>
      <c r="C1076" s="68" t="s">
        <v>2096</v>
      </c>
      <c r="D1076" s="68" t="s">
        <v>2106</v>
      </c>
      <c r="E1076" s="68"/>
      <c r="F1076" s="61" t="str">
        <f t="shared" si="66"/>
        <v>Mulanda</v>
      </c>
      <c r="G1076" s="61" t="str">
        <f t="shared" si="64"/>
        <v>Tororo</v>
      </c>
      <c r="H1076" s="68" t="s">
        <v>2106</v>
      </c>
    </row>
    <row r="1077" spans="1:8">
      <c r="A1077" s="67">
        <v>748</v>
      </c>
      <c r="B1077" s="68" t="s">
        <v>1283</v>
      </c>
      <c r="C1077" s="68" t="s">
        <v>1284</v>
      </c>
      <c r="D1077" s="68" t="s">
        <v>1294</v>
      </c>
      <c r="E1077" s="68"/>
      <c r="F1077" s="61" t="str">
        <f t="shared" si="66"/>
        <v>Munarya</v>
      </c>
      <c r="G1077" s="61" t="str">
        <f t="shared" si="64"/>
        <v>Kapchorwa</v>
      </c>
      <c r="H1077" s="68" t="s">
        <v>1294</v>
      </c>
    </row>
    <row r="1078" spans="1:8">
      <c r="A1078" s="67">
        <v>1188</v>
      </c>
      <c r="B1078" s="68" t="s">
        <v>36</v>
      </c>
      <c r="C1078" s="68" t="s">
        <v>753</v>
      </c>
      <c r="D1078" s="68" t="s">
        <v>1320</v>
      </c>
      <c r="E1078" s="68"/>
      <c r="F1078" s="61" t="str">
        <f t="shared" si="66"/>
        <v>Munkunyu</v>
      </c>
      <c r="G1078" s="61" t="str">
        <f t="shared" si="64"/>
        <v>Kasese</v>
      </c>
      <c r="H1078" s="68" t="s">
        <v>1320</v>
      </c>
    </row>
    <row r="1079" spans="1:8">
      <c r="A1079" s="67">
        <v>165</v>
      </c>
      <c r="B1079" s="68" t="s">
        <v>551</v>
      </c>
      <c r="C1079" s="68" t="s">
        <v>552</v>
      </c>
      <c r="D1079" s="68" t="s">
        <v>560</v>
      </c>
      <c r="E1079" s="68"/>
      <c r="F1079" s="61" t="str">
        <f t="shared" si="66"/>
        <v>Muntu</v>
      </c>
      <c r="G1079" s="61" t="str">
        <f t="shared" si="64"/>
        <v>Amolatar</v>
      </c>
      <c r="H1079" s="68" t="s">
        <v>560</v>
      </c>
    </row>
    <row r="1080" spans="1:8">
      <c r="A1080" s="67">
        <v>1223</v>
      </c>
      <c r="B1080" s="68" t="s">
        <v>1404</v>
      </c>
      <c r="C1080" s="68" t="s">
        <v>1405</v>
      </c>
      <c r="D1080" s="68" t="s">
        <v>1411</v>
      </c>
      <c r="E1080" s="68"/>
      <c r="F1080" s="61" t="str">
        <f t="shared" si="66"/>
        <v>Muramba</v>
      </c>
      <c r="G1080" s="61" t="str">
        <f t="shared" si="64"/>
        <v>Kisoro</v>
      </c>
      <c r="H1080" s="68" t="s">
        <v>1411</v>
      </c>
    </row>
    <row r="1081" spans="1:8">
      <c r="A1081" s="67">
        <v>1224</v>
      </c>
      <c r="B1081" s="68" t="s">
        <v>1404</v>
      </c>
      <c r="C1081" s="68" t="s">
        <v>1405</v>
      </c>
      <c r="D1081" s="68" t="s">
        <v>1412</v>
      </c>
      <c r="E1081" s="68"/>
      <c r="F1081" s="61" t="str">
        <f t="shared" si="66"/>
        <v>Murora</v>
      </c>
      <c r="G1081" s="61" t="str">
        <f t="shared" si="64"/>
        <v>Kisoro</v>
      </c>
      <c r="H1081" s="68" t="s">
        <v>1412</v>
      </c>
    </row>
    <row r="1082" spans="1:8">
      <c r="A1082" s="67">
        <v>1440</v>
      </c>
      <c r="B1082" s="68" t="s">
        <v>45</v>
      </c>
      <c r="C1082" s="68" t="s">
        <v>1686</v>
      </c>
      <c r="D1082" s="68" t="s">
        <v>1694</v>
      </c>
      <c r="E1082" s="68"/>
      <c r="F1082" s="61" t="str">
        <f t="shared" si="66"/>
        <v>Mutara</v>
      </c>
      <c r="G1082" s="61" t="str">
        <f t="shared" si="64"/>
        <v>Mitooma</v>
      </c>
      <c r="H1082" s="68" t="s">
        <v>1694</v>
      </c>
    </row>
    <row r="1083" spans="1:8">
      <c r="A1083" s="67">
        <v>678</v>
      </c>
      <c r="B1083" s="68" t="s">
        <v>667</v>
      </c>
      <c r="C1083" s="68" t="s">
        <v>668</v>
      </c>
      <c r="D1083" s="68" t="s">
        <v>676</v>
      </c>
      <c r="E1083" s="68"/>
      <c r="F1083" s="61" t="str">
        <f t="shared" si="66"/>
        <v>Muterere</v>
      </c>
      <c r="G1083" s="61" t="str">
        <f t="shared" si="64"/>
        <v>Bugiri</v>
      </c>
      <c r="H1083" s="68" t="s">
        <v>676</v>
      </c>
    </row>
    <row r="1084" spans="1:8">
      <c r="A1084" s="67">
        <v>1060</v>
      </c>
      <c r="B1084" s="68" t="s">
        <v>1817</v>
      </c>
      <c r="C1084" s="68" t="s">
        <v>1818</v>
      </c>
      <c r="D1084" s="68" t="s">
        <v>1824</v>
      </c>
      <c r="E1084" s="68"/>
      <c r="F1084" s="61" t="str">
        <f t="shared" si="66"/>
        <v>Mutumba</v>
      </c>
      <c r="G1084" s="61" t="str">
        <f t="shared" si="64"/>
        <v>Namayingo</v>
      </c>
      <c r="H1084" s="68" t="s">
        <v>1824</v>
      </c>
    </row>
    <row r="1085" spans="1:8">
      <c r="A1085" s="67">
        <v>1420</v>
      </c>
      <c r="B1085" s="68" t="s">
        <v>1395</v>
      </c>
      <c r="C1085" s="68" t="s">
        <v>1396</v>
      </c>
      <c r="D1085" s="68" t="s">
        <v>1402</v>
      </c>
      <c r="E1085" s="68"/>
      <c r="F1085" s="61" t="str">
        <f t="shared" si="66"/>
        <v>Mutunda</v>
      </c>
      <c r="G1085" s="61" t="str">
        <f t="shared" si="64"/>
        <v>Kiryandongo</v>
      </c>
      <c r="H1085" s="68" t="s">
        <v>1402</v>
      </c>
    </row>
    <row r="1086" spans="1:8">
      <c r="A1086" s="67">
        <v>428</v>
      </c>
      <c r="B1086" s="68" t="s">
        <v>1356</v>
      </c>
      <c r="C1086" s="68" t="s">
        <v>1356</v>
      </c>
      <c r="D1086" s="68" t="s">
        <v>1363</v>
      </c>
      <c r="E1086" s="68"/>
      <c r="F1086" s="61" t="str">
        <f t="shared" si="66"/>
        <v>Muwanga</v>
      </c>
      <c r="G1086" s="61" t="str">
        <f t="shared" si="64"/>
        <v>Kiboga</v>
      </c>
      <c r="H1086" s="68" t="s">
        <v>1363</v>
      </c>
    </row>
    <row r="1087" spans="1:8">
      <c r="A1087" s="67">
        <v>1011</v>
      </c>
      <c r="B1087" s="68" t="s">
        <v>723</v>
      </c>
      <c r="C1087" s="68" t="s">
        <v>723</v>
      </c>
      <c r="D1087" s="68" t="s">
        <v>737</v>
      </c>
      <c r="E1087" s="68"/>
      <c r="F1087" s="61" t="str">
        <f t="shared" si="66"/>
        <v>Muyembe</v>
      </c>
      <c r="G1087" s="61" t="str">
        <f t="shared" si="64"/>
        <v>Bulambuli</v>
      </c>
      <c r="H1087" s="68" t="s">
        <v>737</v>
      </c>
    </row>
    <row r="1088" spans="1:8">
      <c r="A1088" s="67">
        <v>1258</v>
      </c>
      <c r="B1088" s="68" t="s">
        <v>1670</v>
      </c>
      <c r="C1088" s="68" t="s">
        <v>1673</v>
      </c>
      <c r="D1088" s="68" t="s">
        <v>1679</v>
      </c>
      <c r="E1088" s="68"/>
      <c r="F1088" s="61" t="str">
        <f t="shared" si="66"/>
        <v>Mwizi</v>
      </c>
      <c r="G1088" s="61" t="str">
        <f t="shared" si="64"/>
        <v>Mbarara</v>
      </c>
      <c r="H1088" s="68" t="s">
        <v>1679</v>
      </c>
    </row>
    <row r="1089" spans="1:8">
      <c r="A1089" s="67">
        <v>474</v>
      </c>
      <c r="B1089" s="68" t="s">
        <v>1739</v>
      </c>
      <c r="C1089" s="68" t="s">
        <v>1742</v>
      </c>
      <c r="D1089" s="68" t="s">
        <v>1758</v>
      </c>
      <c r="E1089" s="68"/>
      <c r="F1089" s="61" t="str">
        <f t="shared" si="66"/>
        <v>Myanzi</v>
      </c>
      <c r="G1089" s="61" t="str">
        <f t="shared" si="64"/>
        <v>Mubende</v>
      </c>
      <c r="H1089" s="68" t="s">
        <v>1758</v>
      </c>
    </row>
    <row r="1090" spans="1:8">
      <c r="A1090" s="67">
        <v>223</v>
      </c>
      <c r="B1090" s="68" t="s">
        <v>1933</v>
      </c>
      <c r="C1090" s="68" t="s">
        <v>1933</v>
      </c>
      <c r="D1090" s="68" t="s">
        <v>1941</v>
      </c>
      <c r="E1090" s="68"/>
      <c r="F1090" s="61" t="str">
        <f t="shared" si="66"/>
        <v>Myene</v>
      </c>
      <c r="G1090" s="61" t="str">
        <f t="shared" si="64"/>
        <v>Oyam</v>
      </c>
      <c r="H1090" s="68" t="s">
        <v>1941</v>
      </c>
    </row>
    <row r="1091" spans="1:8">
      <c r="A1091" s="67">
        <v>489</v>
      </c>
      <c r="B1091" s="68" t="s">
        <v>1761</v>
      </c>
      <c r="C1091" s="68" t="s">
        <v>1762</v>
      </c>
      <c r="D1091" s="68" t="s">
        <v>1772</v>
      </c>
      <c r="E1091" s="68"/>
      <c r="F1091" s="61" t="str">
        <f t="shared" si="66"/>
        <v>Nabbaale</v>
      </c>
      <c r="G1091" s="61" t="str">
        <f t="shared" si="64"/>
        <v>Mukono</v>
      </c>
      <c r="H1091" s="68" t="s">
        <v>1772</v>
      </c>
    </row>
    <row r="1092" spans="1:8">
      <c r="A1092" s="67">
        <v>1010</v>
      </c>
      <c r="B1092" s="68" t="s">
        <v>723</v>
      </c>
      <c r="C1092" s="68" t="s">
        <v>723</v>
      </c>
      <c r="D1092" s="68" t="s">
        <v>738</v>
      </c>
      <c r="E1092" s="68"/>
      <c r="F1092" s="61" t="str">
        <f t="shared" si="66"/>
        <v>Nabbongo</v>
      </c>
      <c r="G1092" s="61" t="str">
        <f t="shared" si="64"/>
        <v>Bulambuli</v>
      </c>
      <c r="H1092" s="68" t="s">
        <v>738</v>
      </c>
    </row>
    <row r="1093" spans="1:8">
      <c r="A1093" s="67">
        <v>668</v>
      </c>
      <c r="B1093" s="68" t="s">
        <v>1517</v>
      </c>
      <c r="C1093" s="68" t="s">
        <v>1517</v>
      </c>
      <c r="D1093" s="68" t="s">
        <v>1526</v>
      </c>
      <c r="E1093" s="68"/>
      <c r="F1093" s="61" t="str">
        <f t="shared" si="66"/>
        <v>Nabigasa</v>
      </c>
      <c r="G1093" s="61" t="str">
        <f t="shared" si="64"/>
        <v>Kyotera</v>
      </c>
      <c r="H1093" s="68" t="s">
        <v>1526</v>
      </c>
    </row>
    <row r="1094" spans="1:8">
      <c r="A1094" s="67">
        <v>125</v>
      </c>
      <c r="B1094" s="68" t="s">
        <v>1779</v>
      </c>
      <c r="C1094" s="68" t="s">
        <v>1782</v>
      </c>
      <c r="D1094" s="68" t="s">
        <v>1786</v>
      </c>
      <c r="E1094" s="68"/>
      <c r="F1094" s="61" t="str">
        <f t="shared" si="66"/>
        <v>Nabilatuk</v>
      </c>
      <c r="G1094" s="61" t="str">
        <f t="shared" si="64"/>
        <v>Nakapiripirit</v>
      </c>
      <c r="H1094" s="68" t="s">
        <v>1786</v>
      </c>
    </row>
    <row r="1095" spans="1:8">
      <c r="A1095" s="67">
        <v>466</v>
      </c>
      <c r="B1095" s="68" t="s">
        <v>1739</v>
      </c>
      <c r="C1095" s="68" t="s">
        <v>1740</v>
      </c>
      <c r="D1095" s="68" t="s">
        <v>1759</v>
      </c>
      <c r="E1095" s="68"/>
      <c r="F1095" s="61" t="str">
        <f t="shared" si="66"/>
        <v>Nabingoola</v>
      </c>
      <c r="G1095" s="61" t="str">
        <f t="shared" si="64"/>
        <v>Mubende</v>
      </c>
      <c r="H1095" s="68" t="s">
        <v>1759</v>
      </c>
    </row>
    <row r="1096" spans="1:8">
      <c r="A1096" s="67">
        <v>500</v>
      </c>
      <c r="B1096" s="68" t="s">
        <v>1805</v>
      </c>
      <c r="C1096" s="68" t="s">
        <v>1625</v>
      </c>
      <c r="D1096" s="68" t="s">
        <v>1812</v>
      </c>
      <c r="E1096" s="68"/>
      <c r="F1096" s="61" t="str">
        <f t="shared" si="66"/>
        <v>Nabisweera</v>
      </c>
      <c r="G1096" s="61" t="str">
        <f t="shared" si="64"/>
        <v>Nakasongola</v>
      </c>
      <c r="H1096" s="68" t="s">
        <v>1812</v>
      </c>
    </row>
    <row r="1097" spans="1:8">
      <c r="A1097" s="67">
        <v>706</v>
      </c>
      <c r="B1097" s="68" t="s">
        <v>912</v>
      </c>
      <c r="C1097" s="68" t="s">
        <v>913</v>
      </c>
      <c r="D1097" s="68" t="s">
        <v>922</v>
      </c>
      <c r="E1097" s="68"/>
      <c r="F1097" s="61" t="str">
        <f t="shared" si="66"/>
        <v>Nabitende</v>
      </c>
      <c r="G1097" s="61" t="str">
        <f t="shared" si="64"/>
        <v>Iganga</v>
      </c>
      <c r="H1097" s="68" t="s">
        <v>922</v>
      </c>
    </row>
    <row r="1098" spans="1:8">
      <c r="A1098" s="67">
        <v>908</v>
      </c>
      <c r="B1098" s="68" t="s">
        <v>636</v>
      </c>
      <c r="C1098" s="68" t="s">
        <v>636</v>
      </c>
      <c r="D1098" s="68" t="s">
        <v>647</v>
      </c>
      <c r="E1098" s="68"/>
      <c r="F1098" s="61" t="str">
        <f t="shared" si="66"/>
        <v>Naboa</v>
      </c>
      <c r="G1098" s="61" t="str">
        <f t="shared" ref="G1098:G1161" si="67">B1098</f>
        <v>Budaka</v>
      </c>
      <c r="H1098" s="68" t="s">
        <v>647</v>
      </c>
    </row>
    <row r="1099" spans="1:8">
      <c r="A1099" s="67">
        <v>679</v>
      </c>
      <c r="B1099" s="68" t="s">
        <v>667</v>
      </c>
      <c r="C1099" s="68" t="s">
        <v>668</v>
      </c>
      <c r="D1099" s="68" t="s">
        <v>677</v>
      </c>
      <c r="E1099" s="68"/>
      <c r="F1099" s="61" t="str">
        <f t="shared" si="66"/>
        <v>Nabukalu</v>
      </c>
      <c r="G1099" s="61" t="str">
        <f t="shared" si="67"/>
        <v>Bugiri</v>
      </c>
      <c r="H1099" s="68" t="s">
        <v>677</v>
      </c>
    </row>
    <row r="1100" spans="1:8">
      <c r="A1100" s="67">
        <v>792</v>
      </c>
      <c r="B1100" s="68" t="s">
        <v>1646</v>
      </c>
      <c r="C1100" s="68" t="s">
        <v>1647</v>
      </c>
      <c r="D1100" s="68" t="s">
        <v>1663</v>
      </c>
      <c r="E1100" s="68"/>
      <c r="F1100" s="61" t="str">
        <f t="shared" si="66"/>
        <v>Nabumali Town Council</v>
      </c>
      <c r="G1100" s="61" t="str">
        <f t="shared" si="67"/>
        <v>Mbale</v>
      </c>
      <c r="H1100" s="68" t="s">
        <v>1663</v>
      </c>
    </row>
    <row r="1101" spans="1:8">
      <c r="A1101" s="67">
        <v>832</v>
      </c>
      <c r="B1101" s="68" t="s">
        <v>2095</v>
      </c>
      <c r="C1101" s="68" t="s">
        <v>2096</v>
      </c>
      <c r="D1101" s="68" t="s">
        <v>2107</v>
      </c>
      <c r="E1101" s="68"/>
      <c r="F1101" s="61" t="str">
        <f t="shared" si="66"/>
        <v>Nabuyoga</v>
      </c>
      <c r="G1101" s="61" t="str">
        <f t="shared" si="67"/>
        <v>Tororo</v>
      </c>
      <c r="H1101" s="68" t="s">
        <v>2107</v>
      </c>
    </row>
    <row r="1102" spans="1:8" ht="25.5">
      <c r="A1102" s="67">
        <v>557</v>
      </c>
      <c r="B1102" s="68" t="s">
        <v>2117</v>
      </c>
      <c r="C1102" s="69" t="s">
        <v>2122</v>
      </c>
      <c r="D1102" s="68" t="s">
        <v>2333</v>
      </c>
      <c r="E1102" s="68"/>
      <c r="F1102" s="62" t="s">
        <v>2163</v>
      </c>
      <c r="G1102" s="61" t="str">
        <f t="shared" si="67"/>
        <v>Wakiso</v>
      </c>
      <c r="H1102" s="68" t="s">
        <v>2333</v>
      </c>
    </row>
    <row r="1103" spans="1:8">
      <c r="A1103" s="67">
        <v>928</v>
      </c>
      <c r="B1103" s="68" t="s">
        <v>650</v>
      </c>
      <c r="C1103" s="68" t="s">
        <v>651</v>
      </c>
      <c r="D1103" s="68" t="s">
        <v>663</v>
      </c>
      <c r="E1103" s="68"/>
      <c r="F1103" s="61" t="str">
        <f t="shared" si="66"/>
        <v>Nabweya</v>
      </c>
      <c r="G1103" s="61" t="str">
        <f t="shared" si="67"/>
        <v>Bududa</v>
      </c>
      <c r="H1103" s="68" t="s">
        <v>663</v>
      </c>
    </row>
    <row r="1104" spans="1:8">
      <c r="A1104" s="67">
        <v>998</v>
      </c>
      <c r="B1104" s="68" t="s">
        <v>1846</v>
      </c>
      <c r="C1104" s="68" t="s">
        <v>1847</v>
      </c>
      <c r="D1104" s="68" t="s">
        <v>1850</v>
      </c>
      <c r="E1104" s="68"/>
      <c r="F1104" s="61" t="str">
        <f t="shared" si="66"/>
        <v>Nabweyo</v>
      </c>
      <c r="G1104" s="61" t="str">
        <f t="shared" si="67"/>
        <v>Namutumba</v>
      </c>
      <c r="H1104" s="68" t="s">
        <v>1850</v>
      </c>
    </row>
    <row r="1105" spans="1:8">
      <c r="A1105" s="67">
        <v>729</v>
      </c>
      <c r="B1105" s="68" t="s">
        <v>1232</v>
      </c>
      <c r="C1105" s="68" t="s">
        <v>1233</v>
      </c>
      <c r="D1105" s="68" t="s">
        <v>1242</v>
      </c>
      <c r="E1105" s="68"/>
      <c r="F1105" s="61" t="str">
        <f t="shared" si="66"/>
        <v>Nabwigulu</v>
      </c>
      <c r="G1105" s="61" t="str">
        <f t="shared" si="67"/>
        <v>Kamuli</v>
      </c>
      <c r="H1105" s="68" t="s">
        <v>1242</v>
      </c>
    </row>
    <row r="1106" spans="1:8">
      <c r="A1106" s="67">
        <v>93</v>
      </c>
      <c r="B1106" s="68" t="s">
        <v>541</v>
      </c>
      <c r="C1106" s="68" t="s">
        <v>1712</v>
      </c>
      <c r="D1106" s="68" t="s">
        <v>1714</v>
      </c>
      <c r="E1106" s="68"/>
      <c r="F1106" s="61" t="str">
        <f t="shared" si="66"/>
        <v>Nadunget</v>
      </c>
      <c r="G1106" s="61" t="str">
        <f t="shared" si="67"/>
        <v>Moroto</v>
      </c>
      <c r="H1106" s="68" t="s">
        <v>1714</v>
      </c>
    </row>
    <row r="1107" spans="1:8">
      <c r="A1107" s="67">
        <v>490</v>
      </c>
      <c r="B1107" s="68" t="s">
        <v>1761</v>
      </c>
      <c r="C1107" s="68" t="s">
        <v>1762</v>
      </c>
      <c r="D1107" s="68" t="s">
        <v>1773</v>
      </c>
      <c r="E1107" s="68"/>
      <c r="F1107" s="61" t="str">
        <f t="shared" si="66"/>
        <v>Nagojje</v>
      </c>
      <c r="G1107" s="61" t="str">
        <f t="shared" si="67"/>
        <v>Mukono</v>
      </c>
      <c r="H1107" s="68" t="s">
        <v>1773</v>
      </c>
    </row>
    <row r="1108" spans="1:8">
      <c r="A1108" s="67">
        <v>833</v>
      </c>
      <c r="B1108" s="68" t="s">
        <v>2095</v>
      </c>
      <c r="C1108" s="68" t="s">
        <v>2096</v>
      </c>
      <c r="D1108" s="68" t="s">
        <v>2108</v>
      </c>
      <c r="E1108" s="68"/>
      <c r="F1108" s="61" t="str">
        <f t="shared" si="66"/>
        <v>Nagongera</v>
      </c>
      <c r="G1108" s="61" t="str">
        <f t="shared" si="67"/>
        <v>Tororo</v>
      </c>
      <c r="H1108" s="68" t="s">
        <v>2108</v>
      </c>
    </row>
    <row r="1109" spans="1:8">
      <c r="A1109" s="67">
        <v>834</v>
      </c>
      <c r="B1109" s="68" t="s">
        <v>2095</v>
      </c>
      <c r="C1109" s="68" t="s">
        <v>2096</v>
      </c>
      <c r="D1109" s="68" t="s">
        <v>2109</v>
      </c>
      <c r="E1109" s="68"/>
      <c r="F1109" s="61" t="str">
        <f t="shared" si="66"/>
        <v>Nagongera Town Council</v>
      </c>
      <c r="G1109" s="61" t="str">
        <f t="shared" si="67"/>
        <v>Tororo</v>
      </c>
      <c r="H1109" s="68" t="s">
        <v>2109</v>
      </c>
    </row>
    <row r="1110" spans="1:8">
      <c r="A1110" s="67">
        <v>625</v>
      </c>
      <c r="B1110" s="68" t="s">
        <v>841</v>
      </c>
      <c r="C1110" s="68" t="s">
        <v>842</v>
      </c>
      <c r="D1110" s="68" t="s">
        <v>850</v>
      </c>
      <c r="E1110" s="68"/>
      <c r="F1110" s="61" t="str">
        <f t="shared" si="66"/>
        <v>Nairambi</v>
      </c>
      <c r="G1110" s="61" t="str">
        <f t="shared" si="67"/>
        <v>Buvuma</v>
      </c>
      <c r="H1110" s="68" t="s">
        <v>850</v>
      </c>
    </row>
    <row r="1111" spans="1:8">
      <c r="A1111" s="67">
        <v>596</v>
      </c>
      <c r="B1111" s="68" t="s">
        <v>688</v>
      </c>
      <c r="C1111" s="68" t="s">
        <v>688</v>
      </c>
      <c r="D1111" s="68" t="s">
        <v>692</v>
      </c>
      <c r="E1111" s="68"/>
      <c r="F1111" s="61" t="str">
        <f t="shared" si="66"/>
        <v>Najja</v>
      </c>
      <c r="G1111" s="61" t="str">
        <f t="shared" si="67"/>
        <v>Buikwe</v>
      </c>
      <c r="H1111" s="68" t="s">
        <v>692</v>
      </c>
    </row>
    <row r="1112" spans="1:8" ht="25.5">
      <c r="A1112" s="67">
        <v>602</v>
      </c>
      <c r="B1112" s="68" t="s">
        <v>688</v>
      </c>
      <c r="C1112" s="69" t="s">
        <v>690</v>
      </c>
      <c r="D1112" s="68" t="s">
        <v>2334</v>
      </c>
      <c r="E1112" s="68"/>
      <c r="F1112" s="62" t="str">
        <f>VLOOKUP(C1112,[2]Municipalities!$C$9:$F$1522,4,FALSE)</f>
        <v>Lugazi Municipality</v>
      </c>
      <c r="G1112" s="61" t="str">
        <f t="shared" si="67"/>
        <v>Buikwe</v>
      </c>
      <c r="H1112" s="68" t="s">
        <v>2334</v>
      </c>
    </row>
    <row r="1113" spans="1:8">
      <c r="A1113" s="67">
        <v>707</v>
      </c>
      <c r="B1113" s="68" t="s">
        <v>912</v>
      </c>
      <c r="C1113" s="68" t="s">
        <v>913</v>
      </c>
      <c r="D1113" s="68" t="s">
        <v>923</v>
      </c>
      <c r="E1113" s="68"/>
      <c r="F1113" s="61" t="str">
        <f t="shared" si="66"/>
        <v>Nakalama</v>
      </c>
      <c r="G1113" s="61" t="str">
        <f t="shared" si="67"/>
        <v>Iganga</v>
      </c>
      <c r="H1113" s="68" t="s">
        <v>923</v>
      </c>
    </row>
    <row r="1114" spans="1:8">
      <c r="A1114" s="67">
        <v>786</v>
      </c>
      <c r="B1114" s="68" t="s">
        <v>1646</v>
      </c>
      <c r="C1114" s="68" t="s">
        <v>1647</v>
      </c>
      <c r="D1114" s="68" t="s">
        <v>1664</v>
      </c>
      <c r="E1114" s="68"/>
      <c r="F1114" s="61" t="str">
        <f t="shared" si="66"/>
        <v>Nakaloke</v>
      </c>
      <c r="G1114" s="61" t="str">
        <f t="shared" si="67"/>
        <v>Mbale</v>
      </c>
      <c r="H1114" s="68" t="s">
        <v>1664</v>
      </c>
    </row>
    <row r="1115" spans="1:8">
      <c r="A1115" s="67">
        <v>787</v>
      </c>
      <c r="B1115" s="68" t="s">
        <v>1646</v>
      </c>
      <c r="C1115" s="68" t="s">
        <v>1647</v>
      </c>
      <c r="D1115" s="68" t="s">
        <v>1665</v>
      </c>
      <c r="E1115" s="68"/>
      <c r="F1115" s="61" t="str">
        <f t="shared" si="66"/>
        <v>Nakaloke Town Council</v>
      </c>
      <c r="G1115" s="61" t="str">
        <f t="shared" si="67"/>
        <v>Mbale</v>
      </c>
      <c r="H1115" s="68" t="s">
        <v>1665</v>
      </c>
    </row>
    <row r="1116" spans="1:8">
      <c r="A1116" s="67">
        <v>73</v>
      </c>
      <c r="B1116" s="68" t="s">
        <v>1449</v>
      </c>
      <c r="C1116" s="68" t="s">
        <v>1450</v>
      </c>
      <c r="D1116" s="68" t="s">
        <v>1452</v>
      </c>
      <c r="E1116" s="68"/>
      <c r="F1116" s="61" t="str">
        <f t="shared" si="66"/>
        <v>Nakapelimoru</v>
      </c>
      <c r="G1116" s="61" t="str">
        <f t="shared" si="67"/>
        <v>Kotido</v>
      </c>
      <c r="H1116" s="68" t="s">
        <v>1452</v>
      </c>
    </row>
    <row r="1117" spans="1:8">
      <c r="A1117" s="67">
        <v>120</v>
      </c>
      <c r="B1117" s="68" t="s">
        <v>1779</v>
      </c>
      <c r="C1117" s="68" t="s">
        <v>1780</v>
      </c>
      <c r="D1117" s="68" t="s">
        <v>1787</v>
      </c>
      <c r="E1117" s="68"/>
      <c r="F1117" s="61" t="str">
        <f t="shared" si="66"/>
        <v>Nakapiripirit Town Council</v>
      </c>
      <c r="G1117" s="61" t="str">
        <f t="shared" si="67"/>
        <v>Nakapiripirit</v>
      </c>
      <c r="H1117" s="68" t="s">
        <v>1787</v>
      </c>
    </row>
    <row r="1118" spans="1:8">
      <c r="A1118" s="67">
        <v>587</v>
      </c>
      <c r="B1118" s="68" t="s">
        <v>1790</v>
      </c>
      <c r="C1118" s="68" t="s">
        <v>1790</v>
      </c>
      <c r="D1118" s="68" t="s">
        <v>1790</v>
      </c>
      <c r="E1118" s="68"/>
      <c r="F1118" s="61" t="str">
        <f t="shared" si="66"/>
        <v>Nakaseke</v>
      </c>
      <c r="G1118" s="61" t="str">
        <f t="shared" si="67"/>
        <v>Nakaseke</v>
      </c>
      <c r="H1118" s="68" t="s">
        <v>1790</v>
      </c>
    </row>
    <row r="1119" spans="1:8">
      <c r="A1119" s="67">
        <v>588</v>
      </c>
      <c r="B1119" s="68" t="s">
        <v>1790</v>
      </c>
      <c r="C1119" s="68" t="s">
        <v>1790</v>
      </c>
      <c r="D1119" s="68" t="s">
        <v>1798</v>
      </c>
      <c r="E1119" s="68"/>
      <c r="F1119" s="61" t="str">
        <f t="shared" si="66"/>
        <v>Nakaseke Town Council</v>
      </c>
      <c r="G1119" s="61" t="str">
        <f t="shared" si="67"/>
        <v>Nakaseke</v>
      </c>
      <c r="H1119" s="68" t="s">
        <v>1798</v>
      </c>
    </row>
    <row r="1120" spans="1:8">
      <c r="A1120" s="67">
        <v>501</v>
      </c>
      <c r="B1120" s="68" t="s">
        <v>1805</v>
      </c>
      <c r="C1120" s="68" t="s">
        <v>1625</v>
      </c>
      <c r="D1120" s="68" t="s">
        <v>1813</v>
      </c>
      <c r="E1120" s="68"/>
      <c r="F1120" s="61" t="str">
        <f t="shared" si="66"/>
        <v>Nakasongola Town Council</v>
      </c>
      <c r="G1120" s="61" t="str">
        <f t="shared" si="67"/>
        <v>Nakasongola</v>
      </c>
      <c r="H1120" s="68" t="s">
        <v>1813</v>
      </c>
    </row>
    <row r="1121" spans="1:9">
      <c r="A1121" s="67">
        <v>929</v>
      </c>
      <c r="B1121" s="68" t="s">
        <v>650</v>
      </c>
      <c r="C1121" s="68" t="s">
        <v>651</v>
      </c>
      <c r="D1121" s="68" t="s">
        <v>664</v>
      </c>
      <c r="E1121" s="68"/>
      <c r="F1121" s="61" t="str">
        <f t="shared" si="66"/>
        <v>Nakatsi</v>
      </c>
      <c r="G1121" s="61" t="str">
        <f t="shared" si="67"/>
        <v>Bududa</v>
      </c>
      <c r="H1121" s="68" t="s">
        <v>664</v>
      </c>
    </row>
    <row r="1122" spans="1:9">
      <c r="A1122" s="67">
        <v>398</v>
      </c>
      <c r="B1122" s="68" t="s">
        <v>1082</v>
      </c>
      <c r="C1122" s="68" t="s">
        <v>1083</v>
      </c>
      <c r="D1122" s="68" t="s">
        <v>1084</v>
      </c>
      <c r="E1122" s="68" t="s">
        <v>1081</v>
      </c>
      <c r="F1122" s="68" t="s">
        <v>1081</v>
      </c>
      <c r="G1122" s="61" t="str">
        <f t="shared" si="67"/>
        <v>Kampala</v>
      </c>
      <c r="H1122" s="68" t="s">
        <v>1084</v>
      </c>
    </row>
    <row r="1123" spans="1:9">
      <c r="A1123" s="67">
        <v>399</v>
      </c>
      <c r="B1123" s="68" t="s">
        <v>1082</v>
      </c>
      <c r="C1123" s="68" t="s">
        <v>1083</v>
      </c>
      <c r="D1123" s="68" t="s">
        <v>1084</v>
      </c>
      <c r="E1123" s="68" t="s">
        <v>1085</v>
      </c>
      <c r="F1123" s="68" t="s">
        <v>1085</v>
      </c>
      <c r="G1123" s="61" t="str">
        <f t="shared" si="67"/>
        <v>Kampala</v>
      </c>
      <c r="H1123" s="68" t="s">
        <v>1084</v>
      </c>
    </row>
    <row r="1124" spans="1:9">
      <c r="A1124" s="67">
        <v>400</v>
      </c>
      <c r="B1124" s="68" t="s">
        <v>1082</v>
      </c>
      <c r="C1124" s="68" t="s">
        <v>1083</v>
      </c>
      <c r="D1124" s="68" t="s">
        <v>1084</v>
      </c>
      <c r="E1124" s="72" t="s">
        <v>2335</v>
      </c>
      <c r="F1124" s="72" t="s">
        <v>23</v>
      </c>
      <c r="G1124" s="61" t="str">
        <f t="shared" si="67"/>
        <v>Kampala</v>
      </c>
      <c r="H1124" s="68" t="s">
        <v>1084</v>
      </c>
    </row>
    <row r="1125" spans="1:9">
      <c r="A1125" s="67">
        <v>401</v>
      </c>
      <c r="B1125" s="68" t="s">
        <v>1082</v>
      </c>
      <c r="C1125" s="68" t="s">
        <v>1083</v>
      </c>
      <c r="D1125" s="68" t="s">
        <v>1084</v>
      </c>
      <c r="E1125" s="72" t="s">
        <v>2336</v>
      </c>
      <c r="F1125" s="72" t="s">
        <v>23</v>
      </c>
      <c r="G1125" s="61" t="str">
        <f t="shared" si="67"/>
        <v>Kampala</v>
      </c>
      <c r="H1125" s="68" t="s">
        <v>1084</v>
      </c>
      <c r="I1125" s="73" t="s">
        <v>2256</v>
      </c>
    </row>
    <row r="1126" spans="1:9">
      <c r="A1126" s="67">
        <v>402</v>
      </c>
      <c r="B1126" s="68" t="s">
        <v>1082</v>
      </c>
      <c r="C1126" s="68" t="s">
        <v>1083</v>
      </c>
      <c r="D1126" s="68" t="s">
        <v>1084</v>
      </c>
      <c r="E1126" s="68" t="s">
        <v>1093</v>
      </c>
      <c r="F1126" s="68" t="s">
        <v>1093</v>
      </c>
      <c r="G1126" s="61" t="str">
        <f t="shared" si="67"/>
        <v>Kampala</v>
      </c>
      <c r="H1126" s="68" t="s">
        <v>1084</v>
      </c>
    </row>
    <row r="1127" spans="1:9">
      <c r="A1127" s="67">
        <v>403</v>
      </c>
      <c r="B1127" s="68" t="s">
        <v>1082</v>
      </c>
      <c r="C1127" s="68" t="s">
        <v>1083</v>
      </c>
      <c r="D1127" s="68" t="s">
        <v>1084</v>
      </c>
      <c r="E1127" s="68" t="s">
        <v>1145</v>
      </c>
      <c r="F1127" s="68" t="s">
        <v>1145</v>
      </c>
      <c r="G1127" s="61" t="str">
        <f t="shared" si="67"/>
        <v>Kampala</v>
      </c>
      <c r="H1127" s="68" t="s">
        <v>1084</v>
      </c>
    </row>
    <row r="1128" spans="1:9">
      <c r="A1128" s="67">
        <v>404</v>
      </c>
      <c r="B1128" s="68" t="s">
        <v>1082</v>
      </c>
      <c r="C1128" s="68" t="s">
        <v>1083</v>
      </c>
      <c r="D1128" s="68" t="s">
        <v>1084</v>
      </c>
      <c r="E1128" s="68" t="s">
        <v>1165</v>
      </c>
      <c r="F1128" s="68" t="s">
        <v>1165</v>
      </c>
      <c r="G1128" s="61" t="str">
        <f t="shared" si="67"/>
        <v>Kampala</v>
      </c>
      <c r="H1128" s="68" t="s">
        <v>1084</v>
      </c>
    </row>
    <row r="1129" spans="1:9">
      <c r="A1129" s="67">
        <v>405</v>
      </c>
      <c r="B1129" s="68" t="s">
        <v>1082</v>
      </c>
      <c r="C1129" s="68" t="s">
        <v>1083</v>
      </c>
      <c r="D1129" s="68" t="s">
        <v>1084</v>
      </c>
      <c r="E1129" s="68" t="s">
        <v>1166</v>
      </c>
      <c r="F1129" s="68" t="s">
        <v>1166</v>
      </c>
      <c r="G1129" s="61" t="str">
        <f t="shared" si="67"/>
        <v>Kampala</v>
      </c>
      <c r="H1129" s="68" t="s">
        <v>1084</v>
      </c>
    </row>
    <row r="1130" spans="1:9">
      <c r="A1130" s="67">
        <v>406</v>
      </c>
      <c r="B1130" s="68" t="s">
        <v>1082</v>
      </c>
      <c r="C1130" s="68" t="s">
        <v>1083</v>
      </c>
      <c r="D1130" s="68" t="s">
        <v>1084</v>
      </c>
      <c r="E1130" s="68" t="s">
        <v>1169</v>
      </c>
      <c r="F1130" s="68" t="s">
        <v>1169</v>
      </c>
      <c r="G1130" s="61" t="str">
        <f t="shared" si="67"/>
        <v>Kampala</v>
      </c>
      <c r="H1130" s="68" t="s">
        <v>1084</v>
      </c>
    </row>
    <row r="1131" spans="1:9">
      <c r="A1131" s="67">
        <v>407</v>
      </c>
      <c r="B1131" s="68" t="s">
        <v>1082</v>
      </c>
      <c r="C1131" s="68" t="s">
        <v>1083</v>
      </c>
      <c r="D1131" s="68" t="s">
        <v>1084</v>
      </c>
      <c r="E1131" s="68" t="s">
        <v>1170</v>
      </c>
      <c r="F1131" s="68" t="s">
        <v>1170</v>
      </c>
      <c r="G1131" s="61" t="str">
        <f t="shared" si="67"/>
        <v>Kampala</v>
      </c>
      <c r="H1131" s="68" t="s">
        <v>1084</v>
      </c>
    </row>
    <row r="1132" spans="1:9">
      <c r="A1132" s="67">
        <v>408</v>
      </c>
      <c r="B1132" s="68" t="s">
        <v>1082</v>
      </c>
      <c r="C1132" s="68" t="s">
        <v>1083</v>
      </c>
      <c r="D1132" s="68" t="s">
        <v>1084</v>
      </c>
      <c r="E1132" s="68" t="s">
        <v>1176</v>
      </c>
      <c r="F1132" s="68" t="s">
        <v>1176</v>
      </c>
      <c r="G1132" s="61" t="str">
        <f t="shared" si="67"/>
        <v>Kampala</v>
      </c>
      <c r="H1132" s="68" t="s">
        <v>1084</v>
      </c>
    </row>
    <row r="1133" spans="1:9">
      <c r="A1133" s="67">
        <v>409</v>
      </c>
      <c r="B1133" s="68" t="s">
        <v>1082</v>
      </c>
      <c r="C1133" s="68" t="s">
        <v>1083</v>
      </c>
      <c r="D1133" s="68" t="s">
        <v>1084</v>
      </c>
      <c r="E1133" s="68" t="s">
        <v>1177</v>
      </c>
      <c r="F1133" s="68" t="s">
        <v>1177</v>
      </c>
      <c r="G1133" s="61" t="str">
        <f t="shared" si="67"/>
        <v>Kampala</v>
      </c>
      <c r="H1133" s="68" t="s">
        <v>1084</v>
      </c>
    </row>
    <row r="1134" spans="1:9">
      <c r="A1134" s="67">
        <v>410</v>
      </c>
      <c r="B1134" s="68" t="s">
        <v>1082</v>
      </c>
      <c r="C1134" s="68" t="s">
        <v>1083</v>
      </c>
      <c r="D1134" s="68" t="s">
        <v>1084</v>
      </c>
      <c r="E1134" s="72" t="s">
        <v>2337</v>
      </c>
      <c r="F1134" s="72" t="s">
        <v>1181</v>
      </c>
      <c r="G1134" s="61" t="str">
        <f t="shared" si="67"/>
        <v>Kampala</v>
      </c>
      <c r="H1134" s="68" t="s">
        <v>1084</v>
      </c>
    </row>
    <row r="1135" spans="1:9">
      <c r="A1135" s="67">
        <v>411</v>
      </c>
      <c r="B1135" s="68" t="s">
        <v>1082</v>
      </c>
      <c r="C1135" s="68" t="s">
        <v>1083</v>
      </c>
      <c r="D1135" s="68" t="s">
        <v>1084</v>
      </c>
      <c r="E1135" s="72" t="s">
        <v>2338</v>
      </c>
      <c r="F1135" s="72" t="s">
        <v>1181</v>
      </c>
      <c r="G1135" s="61" t="str">
        <f t="shared" si="67"/>
        <v>Kampala</v>
      </c>
      <c r="H1135" s="68" t="s">
        <v>1084</v>
      </c>
      <c r="I1135" s="73" t="s">
        <v>2256</v>
      </c>
    </row>
    <row r="1136" spans="1:9">
      <c r="A1136" s="67">
        <v>412</v>
      </c>
      <c r="B1136" s="68" t="s">
        <v>1082</v>
      </c>
      <c r="C1136" s="68" t="s">
        <v>1083</v>
      </c>
      <c r="D1136" s="68" t="s">
        <v>1084</v>
      </c>
      <c r="E1136" s="68" t="s">
        <v>1187</v>
      </c>
      <c r="F1136" s="68" t="s">
        <v>1187</v>
      </c>
      <c r="G1136" s="61" t="str">
        <f t="shared" si="67"/>
        <v>Kampala</v>
      </c>
      <c r="H1136" s="68" t="s">
        <v>1084</v>
      </c>
    </row>
    <row r="1137" spans="1:9">
      <c r="A1137" s="67">
        <v>413</v>
      </c>
      <c r="B1137" s="68" t="s">
        <v>1082</v>
      </c>
      <c r="C1137" s="68" t="s">
        <v>1083</v>
      </c>
      <c r="D1137" s="68" t="s">
        <v>1084</v>
      </c>
      <c r="E1137" s="68" t="s">
        <v>1190</v>
      </c>
      <c r="F1137" s="68" t="s">
        <v>1190</v>
      </c>
      <c r="G1137" s="61" t="str">
        <f t="shared" si="67"/>
        <v>Kampala</v>
      </c>
      <c r="H1137" s="68" t="s">
        <v>1084</v>
      </c>
    </row>
    <row r="1138" spans="1:9">
      <c r="A1138" s="67">
        <v>414</v>
      </c>
      <c r="B1138" s="68" t="s">
        <v>1082</v>
      </c>
      <c r="C1138" s="68" t="s">
        <v>1083</v>
      </c>
      <c r="D1138" s="68" t="s">
        <v>1084</v>
      </c>
      <c r="E1138" s="72" t="s">
        <v>2339</v>
      </c>
      <c r="F1138" s="72" t="s">
        <v>1191</v>
      </c>
      <c r="G1138" s="61" t="str">
        <f t="shared" si="67"/>
        <v>Kampala</v>
      </c>
      <c r="H1138" s="68" t="s">
        <v>1084</v>
      </c>
    </row>
    <row r="1139" spans="1:9">
      <c r="A1139" s="67">
        <v>415</v>
      </c>
      <c r="B1139" s="68" t="s">
        <v>1082</v>
      </c>
      <c r="C1139" s="68" t="s">
        <v>1083</v>
      </c>
      <c r="D1139" s="68" t="s">
        <v>1084</v>
      </c>
      <c r="E1139" s="72" t="s">
        <v>2340</v>
      </c>
      <c r="F1139" s="72" t="s">
        <v>1191</v>
      </c>
      <c r="G1139" s="61" t="str">
        <f t="shared" si="67"/>
        <v>Kampala</v>
      </c>
      <c r="H1139" s="68" t="s">
        <v>1084</v>
      </c>
      <c r="I1139" s="73" t="s">
        <v>2256</v>
      </c>
    </row>
    <row r="1140" spans="1:9">
      <c r="A1140" s="67">
        <v>416</v>
      </c>
      <c r="B1140" s="68" t="s">
        <v>1082</v>
      </c>
      <c r="C1140" s="68" t="s">
        <v>1083</v>
      </c>
      <c r="D1140" s="68" t="s">
        <v>1084</v>
      </c>
      <c r="E1140" s="68" t="s">
        <v>1203</v>
      </c>
      <c r="F1140" s="68" t="s">
        <v>1203</v>
      </c>
      <c r="G1140" s="61" t="str">
        <f t="shared" si="67"/>
        <v>Kampala</v>
      </c>
      <c r="H1140" s="68" t="s">
        <v>1084</v>
      </c>
    </row>
    <row r="1141" spans="1:9">
      <c r="A1141" s="67">
        <v>417</v>
      </c>
      <c r="B1141" s="68" t="s">
        <v>1082</v>
      </c>
      <c r="C1141" s="68" t="s">
        <v>1083</v>
      </c>
      <c r="D1141" s="68" t="s">
        <v>1084</v>
      </c>
      <c r="E1141" s="68" t="s">
        <v>1204</v>
      </c>
      <c r="F1141" s="68" t="s">
        <v>1204</v>
      </c>
      <c r="G1141" s="61" t="str">
        <f t="shared" si="67"/>
        <v>Kampala</v>
      </c>
      <c r="H1141" s="68" t="s">
        <v>1084</v>
      </c>
    </row>
    <row r="1142" spans="1:9">
      <c r="A1142" s="67">
        <v>418</v>
      </c>
      <c r="B1142" s="68" t="s">
        <v>1082</v>
      </c>
      <c r="C1142" s="68" t="s">
        <v>1083</v>
      </c>
      <c r="D1142" s="68" t="s">
        <v>1084</v>
      </c>
      <c r="E1142" s="68" t="s">
        <v>1216</v>
      </c>
      <c r="F1142" s="68" t="s">
        <v>1216</v>
      </c>
      <c r="G1142" s="61" t="str">
        <f t="shared" si="67"/>
        <v>Kampala</v>
      </c>
      <c r="H1142" s="68" t="s">
        <v>1084</v>
      </c>
    </row>
    <row r="1143" spans="1:9">
      <c r="A1143" s="67">
        <v>419</v>
      </c>
      <c r="B1143" s="68" t="s">
        <v>1082</v>
      </c>
      <c r="C1143" s="68" t="s">
        <v>1083</v>
      </c>
      <c r="D1143" s="68" t="s">
        <v>1084</v>
      </c>
      <c r="E1143" s="68" t="s">
        <v>1226</v>
      </c>
      <c r="F1143" s="68" t="s">
        <v>1226</v>
      </c>
      <c r="G1143" s="61" t="str">
        <f t="shared" si="67"/>
        <v>Kampala</v>
      </c>
      <c r="H1143" s="68" t="s">
        <v>1084</v>
      </c>
    </row>
    <row r="1144" spans="1:9">
      <c r="A1144" s="67">
        <v>420</v>
      </c>
      <c r="B1144" s="68" t="s">
        <v>1082</v>
      </c>
      <c r="C1144" s="68" t="s">
        <v>1083</v>
      </c>
      <c r="D1144" s="68" t="s">
        <v>1084</v>
      </c>
      <c r="E1144" s="68" t="s">
        <v>1227</v>
      </c>
      <c r="F1144" s="68" t="s">
        <v>1227</v>
      </c>
      <c r="G1144" s="61" t="str">
        <f t="shared" si="67"/>
        <v>Kampala</v>
      </c>
      <c r="H1144" s="68" t="s">
        <v>1084</v>
      </c>
    </row>
    <row r="1145" spans="1:9">
      <c r="A1145" s="67">
        <v>708</v>
      </c>
      <c r="B1145" s="68" t="s">
        <v>912</v>
      </c>
      <c r="C1145" s="68" t="s">
        <v>913</v>
      </c>
      <c r="D1145" s="68" t="s">
        <v>924</v>
      </c>
      <c r="E1145" s="68"/>
      <c r="F1145" s="61" t="str">
        <f t="shared" ref="F1145:F1169" si="68">D1145</f>
        <v>Nakigo</v>
      </c>
      <c r="G1145" s="61" t="str">
        <f t="shared" si="67"/>
        <v>Iganga</v>
      </c>
      <c r="H1145" s="68" t="s">
        <v>924</v>
      </c>
    </row>
    <row r="1146" spans="1:9">
      <c r="A1146" s="67">
        <v>482</v>
      </c>
      <c r="B1146" s="68" t="s">
        <v>1761</v>
      </c>
      <c r="C1146" s="68" t="s">
        <v>1761</v>
      </c>
      <c r="D1146" s="68" t="s">
        <v>1774</v>
      </c>
      <c r="E1146" s="68"/>
      <c r="F1146" s="61" t="str">
        <f t="shared" si="68"/>
        <v>Nakisunga</v>
      </c>
      <c r="G1146" s="61" t="str">
        <f t="shared" si="67"/>
        <v>Mukono</v>
      </c>
      <c r="H1146" s="68" t="s">
        <v>1774</v>
      </c>
    </row>
    <row r="1147" spans="1:9">
      <c r="A1147" s="67">
        <v>502</v>
      </c>
      <c r="B1147" s="68" t="s">
        <v>1805</v>
      </c>
      <c r="C1147" s="68" t="s">
        <v>1625</v>
      </c>
      <c r="D1147" s="68" t="s">
        <v>1815</v>
      </c>
      <c r="E1147" s="68"/>
      <c r="F1147" s="61" t="str">
        <f t="shared" si="68"/>
        <v>Nakitoma</v>
      </c>
      <c r="G1147" s="61" t="str">
        <f t="shared" si="67"/>
        <v>Nakasongola</v>
      </c>
      <c r="H1147" s="68" t="s">
        <v>1815</v>
      </c>
    </row>
    <row r="1148" spans="1:9">
      <c r="A1148" s="67">
        <v>1372</v>
      </c>
      <c r="B1148" s="68" t="s">
        <v>47</v>
      </c>
      <c r="C1148" s="68" t="s">
        <v>932</v>
      </c>
      <c r="D1148" s="68" t="s">
        <v>943</v>
      </c>
      <c r="E1148" s="68"/>
      <c r="F1148" s="61" t="str">
        <f t="shared" si="68"/>
        <v>Nakivale Refugee Camp</v>
      </c>
      <c r="G1148" s="61" t="str">
        <f t="shared" si="67"/>
        <v>Isingiro</v>
      </c>
      <c r="H1148" s="68" t="s">
        <v>943</v>
      </c>
    </row>
    <row r="1149" spans="1:9">
      <c r="A1149" s="67">
        <v>984</v>
      </c>
      <c r="B1149" s="68" t="s">
        <v>1583</v>
      </c>
      <c r="C1149" s="68" t="s">
        <v>1584</v>
      </c>
      <c r="D1149" s="68" t="s">
        <v>1597</v>
      </c>
      <c r="E1149" s="68"/>
      <c r="F1149" s="61" t="str">
        <f t="shared" si="68"/>
        <v>Nalondo</v>
      </c>
      <c r="G1149" s="61" t="str">
        <f t="shared" si="67"/>
        <v>Manafwa</v>
      </c>
      <c r="H1149" s="68" t="s">
        <v>1597</v>
      </c>
    </row>
    <row r="1150" spans="1:9">
      <c r="A1150" s="67">
        <v>883</v>
      </c>
      <c r="B1150" s="68" t="s">
        <v>2054</v>
      </c>
      <c r="C1150" s="68" t="s">
        <v>2055</v>
      </c>
      <c r="D1150" s="68" t="s">
        <v>2073</v>
      </c>
      <c r="E1150" s="68"/>
      <c r="F1150" s="61" t="str">
        <f t="shared" si="68"/>
        <v>Nalusala</v>
      </c>
      <c r="G1150" s="61" t="str">
        <f t="shared" si="67"/>
        <v>Sironko</v>
      </c>
      <c r="H1150" s="68" t="s">
        <v>2073</v>
      </c>
    </row>
    <row r="1151" spans="1:9">
      <c r="A1151" s="67">
        <v>930</v>
      </c>
      <c r="B1151" s="68" t="s">
        <v>650</v>
      </c>
      <c r="C1151" s="68" t="s">
        <v>651</v>
      </c>
      <c r="D1151" s="68" t="s">
        <v>665</v>
      </c>
      <c r="E1151" s="68"/>
      <c r="F1151" s="61" t="str">
        <f t="shared" si="68"/>
        <v>Nalwanza</v>
      </c>
      <c r="G1151" s="61" t="str">
        <f t="shared" si="67"/>
        <v>Bududa</v>
      </c>
      <c r="H1151" s="68" t="s">
        <v>665</v>
      </c>
    </row>
    <row r="1152" spans="1:9">
      <c r="A1152" s="67">
        <v>1502</v>
      </c>
      <c r="B1152" s="68" t="s">
        <v>1041</v>
      </c>
      <c r="C1152" s="68" t="s">
        <v>1042</v>
      </c>
      <c r="D1152" s="68" t="s">
        <v>1051</v>
      </c>
      <c r="E1152" s="68"/>
      <c r="F1152" s="61" t="str">
        <f t="shared" si="68"/>
        <v>Nalweyo</v>
      </c>
      <c r="G1152" s="61" t="str">
        <f t="shared" si="67"/>
        <v>Kakumiro</v>
      </c>
      <c r="H1152" s="68" t="s">
        <v>1051</v>
      </c>
    </row>
    <row r="1153" spans="1:8">
      <c r="A1153" s="67">
        <v>483</v>
      </c>
      <c r="B1153" s="68" t="s">
        <v>1761</v>
      </c>
      <c r="C1153" s="68" t="s">
        <v>1761</v>
      </c>
      <c r="D1153" s="68" t="s">
        <v>1775</v>
      </c>
      <c r="E1153" s="68"/>
      <c r="F1153" s="61" t="str">
        <f t="shared" si="68"/>
        <v>Nama</v>
      </c>
      <c r="G1153" s="61" t="str">
        <f t="shared" si="67"/>
        <v>Mukono</v>
      </c>
      <c r="H1153" s="68" t="s">
        <v>1775</v>
      </c>
    </row>
    <row r="1154" spans="1:8">
      <c r="A1154" s="67">
        <v>1097</v>
      </c>
      <c r="B1154" s="68" t="s">
        <v>1828</v>
      </c>
      <c r="C1154" s="68" t="s">
        <v>1828</v>
      </c>
      <c r="D1154" s="68" t="s">
        <v>1841</v>
      </c>
      <c r="E1154" s="68"/>
      <c r="F1154" s="61" t="str">
        <f t="shared" si="68"/>
        <v>Namabya</v>
      </c>
      <c r="G1154" s="61" t="str">
        <f t="shared" si="67"/>
        <v>Namisindwa</v>
      </c>
      <c r="H1154" s="68" t="s">
        <v>1841</v>
      </c>
    </row>
    <row r="1155" spans="1:8">
      <c r="A1155" s="67">
        <v>702</v>
      </c>
      <c r="B1155" s="68" t="s">
        <v>912</v>
      </c>
      <c r="C1155" s="68" t="s">
        <v>915</v>
      </c>
      <c r="D1155" s="68" t="s">
        <v>925</v>
      </c>
      <c r="E1155" s="68"/>
      <c r="F1155" s="61" t="str">
        <f t="shared" si="68"/>
        <v>Namalemba</v>
      </c>
      <c r="G1155" s="61" t="str">
        <f t="shared" si="67"/>
        <v>Iganga</v>
      </c>
      <c r="H1155" s="68" t="s">
        <v>925</v>
      </c>
    </row>
    <row r="1156" spans="1:8">
      <c r="A1156" s="67">
        <v>121</v>
      </c>
      <c r="B1156" s="68" t="s">
        <v>1779</v>
      </c>
      <c r="C1156" s="68" t="s">
        <v>1780</v>
      </c>
      <c r="D1156" s="68" t="s">
        <v>1788</v>
      </c>
      <c r="E1156" s="68"/>
      <c r="F1156" s="61" t="str">
        <f t="shared" si="68"/>
        <v>Namalu</v>
      </c>
      <c r="G1156" s="61" t="str">
        <f t="shared" si="67"/>
        <v>Nakapiripirit</v>
      </c>
      <c r="H1156" s="68" t="s">
        <v>1788</v>
      </c>
    </row>
    <row r="1157" spans="1:8">
      <c r="A1157" s="67">
        <v>788</v>
      </c>
      <c r="B1157" s="68" t="s">
        <v>1646</v>
      </c>
      <c r="C1157" s="68" t="s">
        <v>1647</v>
      </c>
      <c r="D1157" s="68" t="s">
        <v>1666</v>
      </c>
      <c r="E1157" s="68"/>
      <c r="F1157" s="61" t="str">
        <f t="shared" si="68"/>
        <v>Namanyonyi</v>
      </c>
      <c r="G1157" s="61" t="str">
        <f t="shared" si="67"/>
        <v>Mbale</v>
      </c>
      <c r="H1157" s="68" t="s">
        <v>1666</v>
      </c>
    </row>
    <row r="1158" spans="1:8">
      <c r="A1158" s="67">
        <v>730</v>
      </c>
      <c r="B1158" s="68" t="s">
        <v>1232</v>
      </c>
      <c r="C1158" s="68" t="s">
        <v>1233</v>
      </c>
      <c r="D1158" s="68" t="s">
        <v>1243</v>
      </c>
      <c r="E1158" s="68"/>
      <c r="F1158" s="61" t="str">
        <f t="shared" si="68"/>
        <v>Namasagali</v>
      </c>
      <c r="G1158" s="61" t="str">
        <f t="shared" si="67"/>
        <v>Kamuli</v>
      </c>
      <c r="H1158" s="68" t="s">
        <v>1243</v>
      </c>
    </row>
    <row r="1159" spans="1:8">
      <c r="A1159" s="67">
        <v>166</v>
      </c>
      <c r="B1159" s="68" t="s">
        <v>551</v>
      </c>
      <c r="C1159" s="68" t="s">
        <v>552</v>
      </c>
      <c r="D1159" s="68" t="s">
        <v>561</v>
      </c>
      <c r="E1159" s="68"/>
      <c r="F1159" s="61" t="str">
        <f t="shared" si="68"/>
        <v>Namasale</v>
      </c>
      <c r="G1159" s="61" t="str">
        <f t="shared" si="67"/>
        <v>Amolatar</v>
      </c>
      <c r="H1159" s="68" t="s">
        <v>561</v>
      </c>
    </row>
    <row r="1160" spans="1:8">
      <c r="A1160" s="67">
        <v>167</v>
      </c>
      <c r="B1160" s="68" t="s">
        <v>551</v>
      </c>
      <c r="C1160" s="68" t="s">
        <v>552</v>
      </c>
      <c r="D1160" s="68" t="s">
        <v>562</v>
      </c>
      <c r="E1160" s="68"/>
      <c r="F1160" s="61" t="str">
        <f t="shared" si="68"/>
        <v>Namasale Town Council</v>
      </c>
      <c r="G1160" s="61" t="str">
        <f t="shared" si="67"/>
        <v>Amolatar</v>
      </c>
      <c r="H1160" s="68" t="s">
        <v>562</v>
      </c>
    </row>
    <row r="1161" spans="1:8">
      <c r="A1161" s="67">
        <v>1061</v>
      </c>
      <c r="B1161" s="68" t="s">
        <v>1817</v>
      </c>
      <c r="C1161" s="68" t="s">
        <v>1818</v>
      </c>
      <c r="D1161" s="68" t="s">
        <v>1825</v>
      </c>
      <c r="E1161" s="68"/>
      <c r="F1161" s="61" t="str">
        <f t="shared" si="68"/>
        <v>Namayingo Town Council</v>
      </c>
      <c r="G1161" s="61" t="str">
        <f t="shared" si="67"/>
        <v>Namayingo</v>
      </c>
      <c r="H1161" s="68" t="s">
        <v>1825</v>
      </c>
    </row>
    <row r="1162" spans="1:8">
      <c r="A1162" s="67">
        <v>540</v>
      </c>
      <c r="B1162" s="68" t="s">
        <v>2117</v>
      </c>
      <c r="C1162" s="68" t="s">
        <v>2120</v>
      </c>
      <c r="D1162" s="68" t="s">
        <v>2166</v>
      </c>
      <c r="E1162" s="68"/>
      <c r="F1162" s="61" t="str">
        <f t="shared" si="68"/>
        <v>Namayumba</v>
      </c>
      <c r="G1162" s="61" t="str">
        <f t="shared" ref="G1162:G1225" si="69">B1162</f>
        <v>Wakiso</v>
      </c>
      <c r="H1162" s="68" t="s">
        <v>2166</v>
      </c>
    </row>
    <row r="1163" spans="1:8">
      <c r="A1163" s="67">
        <v>541</v>
      </c>
      <c r="B1163" s="68" t="s">
        <v>2117</v>
      </c>
      <c r="C1163" s="68" t="s">
        <v>2120</v>
      </c>
      <c r="D1163" s="68" t="s">
        <v>2167</v>
      </c>
      <c r="E1163" s="68"/>
      <c r="F1163" s="61" t="str">
        <f t="shared" si="68"/>
        <v>Namayumba Town Council</v>
      </c>
      <c r="G1163" s="61" t="str">
        <f t="shared" si="69"/>
        <v>Wakiso</v>
      </c>
      <c r="H1163" s="68" t="s">
        <v>2167</v>
      </c>
    </row>
    <row r="1164" spans="1:8">
      <c r="A1164" s="67">
        <v>709</v>
      </c>
      <c r="B1164" s="68" t="s">
        <v>912</v>
      </c>
      <c r="C1164" s="68" t="s">
        <v>913</v>
      </c>
      <c r="D1164" s="68" t="s">
        <v>926</v>
      </c>
      <c r="E1164" s="68"/>
      <c r="F1164" s="61" t="str">
        <f t="shared" si="68"/>
        <v>Nambale</v>
      </c>
      <c r="G1164" s="61" t="str">
        <f t="shared" si="69"/>
        <v>Iganga</v>
      </c>
      <c r="H1164" s="68" t="s">
        <v>926</v>
      </c>
    </row>
    <row r="1165" spans="1:8">
      <c r="A1165" s="67">
        <v>16</v>
      </c>
      <c r="B1165" s="68" t="s">
        <v>592</v>
      </c>
      <c r="C1165" s="68" t="s">
        <v>593</v>
      </c>
      <c r="D1165" s="68" t="s">
        <v>604</v>
      </c>
      <c r="E1165" s="68"/>
      <c r="F1165" s="61" t="str">
        <f t="shared" si="68"/>
        <v>Nambieso</v>
      </c>
      <c r="G1165" s="61" t="str">
        <f t="shared" si="69"/>
        <v>Apac</v>
      </c>
      <c r="H1165" s="68" t="s">
        <v>604</v>
      </c>
    </row>
    <row r="1166" spans="1:8">
      <c r="A1166" s="67">
        <v>1098</v>
      </c>
      <c r="B1166" s="68" t="s">
        <v>1828</v>
      </c>
      <c r="C1166" s="68" t="s">
        <v>1828</v>
      </c>
      <c r="D1166" s="68" t="s">
        <v>1842</v>
      </c>
      <c r="E1166" s="68"/>
      <c r="F1166" s="61" t="str">
        <f t="shared" si="68"/>
        <v>Namboko</v>
      </c>
      <c r="G1166" s="61" t="str">
        <f t="shared" si="69"/>
        <v>Namisindwa</v>
      </c>
      <c r="H1166" s="68" t="s">
        <v>1842</v>
      </c>
    </row>
    <row r="1167" spans="1:8">
      <c r="A1167" s="67">
        <v>1101</v>
      </c>
      <c r="B1167" s="68" t="s">
        <v>1828</v>
      </c>
      <c r="C1167" s="68" t="s">
        <v>1828</v>
      </c>
      <c r="D1167" s="68" t="s">
        <v>1843</v>
      </c>
      <c r="E1167" s="68"/>
      <c r="F1167" s="61" t="str">
        <f t="shared" si="68"/>
        <v>Namisindwa Town Council</v>
      </c>
      <c r="G1167" s="61" t="str">
        <f t="shared" si="69"/>
        <v>Namisindwa</v>
      </c>
      <c r="H1167" s="68" t="s">
        <v>1843</v>
      </c>
    </row>
    <row r="1168" spans="1:8">
      <c r="A1168" s="67">
        <v>1015</v>
      </c>
      <c r="B1168" s="68" t="s">
        <v>723</v>
      </c>
      <c r="C1168" s="68" t="s">
        <v>723</v>
      </c>
      <c r="D1168" s="68" t="s">
        <v>739</v>
      </c>
      <c r="E1168" s="68"/>
      <c r="F1168" s="61" t="str">
        <f t="shared" si="68"/>
        <v>Namisuni</v>
      </c>
      <c r="G1168" s="61" t="str">
        <f t="shared" si="69"/>
        <v>Bulambuli</v>
      </c>
      <c r="H1168" s="68" t="s">
        <v>739</v>
      </c>
    </row>
    <row r="1169" spans="1:8">
      <c r="A1169" s="67">
        <v>64</v>
      </c>
      <c r="B1169" s="68" t="s">
        <v>1421</v>
      </c>
      <c r="C1169" s="68" t="s">
        <v>1422</v>
      </c>
      <c r="D1169" s="68" t="s">
        <v>1429</v>
      </c>
      <c r="E1169" s="68"/>
      <c r="F1169" s="61" t="str">
        <f t="shared" si="68"/>
        <v>Namokora</v>
      </c>
      <c r="G1169" s="61" t="str">
        <f t="shared" si="69"/>
        <v>Kitgum</v>
      </c>
      <c r="H1169" s="68" t="s">
        <v>1429</v>
      </c>
    </row>
    <row r="1170" spans="1:8">
      <c r="A1170" s="67">
        <v>969</v>
      </c>
      <c r="B1170" s="68" t="s">
        <v>1062</v>
      </c>
      <c r="C1170" s="68" t="s">
        <v>911</v>
      </c>
      <c r="D1170" s="72" t="s">
        <v>2168</v>
      </c>
      <c r="E1170" s="68"/>
      <c r="F1170" s="61" t="str">
        <f t="shared" ref="F1170" si="70">D1170&amp;"-"&amp;B1170</f>
        <v>Namugongo-Kaliro</v>
      </c>
      <c r="G1170" s="61" t="str">
        <f t="shared" si="69"/>
        <v>Kaliro</v>
      </c>
      <c r="H1170" s="72" t="s">
        <v>2168</v>
      </c>
    </row>
    <row r="1171" spans="1:8">
      <c r="A1171" s="67">
        <v>550</v>
      </c>
      <c r="B1171" s="68" t="s">
        <v>2117</v>
      </c>
      <c r="C1171" s="69" t="s">
        <v>2123</v>
      </c>
      <c r="D1171" s="72" t="s">
        <v>2341</v>
      </c>
      <c r="E1171" s="68"/>
      <c r="F1171" s="62" t="s">
        <v>2168</v>
      </c>
      <c r="G1171" s="61" t="str">
        <f t="shared" si="69"/>
        <v>Wakiso</v>
      </c>
      <c r="H1171" s="72" t="s">
        <v>2341</v>
      </c>
    </row>
    <row r="1172" spans="1:8">
      <c r="A1172" s="67">
        <v>710</v>
      </c>
      <c r="B1172" s="68" t="s">
        <v>912</v>
      </c>
      <c r="C1172" s="68" t="s">
        <v>913</v>
      </c>
      <c r="D1172" s="68" t="s">
        <v>927</v>
      </c>
      <c r="E1172" s="68"/>
      <c r="F1172" s="61" t="str">
        <f t="shared" ref="F1172:F1208" si="71">D1172</f>
        <v>Namungalwe</v>
      </c>
      <c r="G1172" s="61" t="str">
        <f t="shared" si="69"/>
        <v>Iganga</v>
      </c>
      <c r="H1172" s="68" t="s">
        <v>927</v>
      </c>
    </row>
    <row r="1173" spans="1:8">
      <c r="A1173" s="67">
        <v>573</v>
      </c>
      <c r="B1173" s="68" t="s">
        <v>1697</v>
      </c>
      <c r="C1173" s="68" t="s">
        <v>1697</v>
      </c>
      <c r="D1173" s="68" t="s">
        <v>1709</v>
      </c>
      <c r="E1173" s="68"/>
      <c r="F1173" s="61" t="str">
        <f t="shared" si="71"/>
        <v>Namungo</v>
      </c>
      <c r="G1173" s="61" t="str">
        <f t="shared" si="69"/>
        <v>Mityana</v>
      </c>
      <c r="H1173" s="68" t="s">
        <v>1709</v>
      </c>
    </row>
    <row r="1174" spans="1:8">
      <c r="A1174" s="67">
        <v>994</v>
      </c>
      <c r="B1174" s="68" t="s">
        <v>1846</v>
      </c>
      <c r="C1174" s="68" t="s">
        <v>1847</v>
      </c>
      <c r="D1174" s="68" t="s">
        <v>1846</v>
      </c>
      <c r="E1174" s="68"/>
      <c r="F1174" s="61" t="str">
        <f t="shared" si="71"/>
        <v>Namutumba</v>
      </c>
      <c r="G1174" s="61" t="str">
        <f t="shared" si="69"/>
        <v>Namutumba</v>
      </c>
      <c r="H1174" s="68" t="s">
        <v>1846</v>
      </c>
    </row>
    <row r="1175" spans="1:8">
      <c r="A1175" s="67">
        <v>995</v>
      </c>
      <c r="B1175" s="68" t="s">
        <v>1846</v>
      </c>
      <c r="C1175" s="68" t="s">
        <v>1847</v>
      </c>
      <c r="D1175" s="68" t="s">
        <v>1851</v>
      </c>
      <c r="E1175" s="68"/>
      <c r="F1175" s="61" t="str">
        <f t="shared" si="71"/>
        <v>Namutumba Town Council</v>
      </c>
      <c r="G1175" s="61" t="str">
        <f t="shared" si="69"/>
        <v>Namutumba</v>
      </c>
      <c r="H1175" s="68" t="s">
        <v>1851</v>
      </c>
    </row>
    <row r="1176" spans="1:8">
      <c r="A1176" s="67">
        <v>731</v>
      </c>
      <c r="B1176" s="68" t="s">
        <v>1232</v>
      </c>
      <c r="C1176" s="68" t="s">
        <v>1233</v>
      </c>
      <c r="D1176" s="68" t="s">
        <v>1244</v>
      </c>
      <c r="E1176" s="68"/>
      <c r="F1176" s="61" t="str">
        <f t="shared" si="71"/>
        <v>Namwendwa</v>
      </c>
      <c r="G1176" s="61" t="str">
        <f t="shared" si="69"/>
        <v>Kamuli</v>
      </c>
      <c r="H1176" s="68" t="s">
        <v>1244</v>
      </c>
    </row>
    <row r="1177" spans="1:8">
      <c r="A1177" s="67">
        <v>970</v>
      </c>
      <c r="B1177" s="68" t="s">
        <v>1062</v>
      </c>
      <c r="C1177" s="68" t="s">
        <v>911</v>
      </c>
      <c r="D1177" s="68" t="s">
        <v>1071</v>
      </c>
      <c r="E1177" s="68"/>
      <c r="F1177" s="61" t="str">
        <f t="shared" si="71"/>
        <v>Namwiwa</v>
      </c>
      <c r="G1177" s="61" t="str">
        <f t="shared" si="69"/>
        <v>Kaliro</v>
      </c>
      <c r="H1177" s="68" t="s">
        <v>1071</v>
      </c>
    </row>
    <row r="1178" spans="1:8">
      <c r="A1178" s="67">
        <v>997</v>
      </c>
      <c r="B1178" s="68" t="s">
        <v>1846</v>
      </c>
      <c r="C1178" s="68" t="s">
        <v>1847</v>
      </c>
      <c r="D1178" s="68" t="s">
        <v>1852</v>
      </c>
      <c r="E1178" s="68"/>
      <c r="F1178" s="61" t="str">
        <f t="shared" si="71"/>
        <v>Nangonde</v>
      </c>
      <c r="G1178" s="61" t="str">
        <f t="shared" si="69"/>
        <v>Namutumba</v>
      </c>
      <c r="H1178" s="68" t="s">
        <v>1852</v>
      </c>
    </row>
    <row r="1179" spans="1:8">
      <c r="A1179" s="67">
        <v>680</v>
      </c>
      <c r="B1179" s="68" t="s">
        <v>667</v>
      </c>
      <c r="C1179" s="68" t="s">
        <v>668</v>
      </c>
      <c r="D1179" s="68" t="s">
        <v>678</v>
      </c>
      <c r="E1179" s="68"/>
      <c r="F1179" s="61" t="str">
        <f t="shared" si="71"/>
        <v>Nankoma</v>
      </c>
      <c r="G1179" s="61" t="str">
        <f t="shared" si="69"/>
        <v>Bugiri</v>
      </c>
      <c r="H1179" s="68" t="s">
        <v>678</v>
      </c>
    </row>
    <row r="1180" spans="1:8" ht="25.5">
      <c r="A1180" s="67">
        <v>558</v>
      </c>
      <c r="B1180" s="68" t="s">
        <v>2117</v>
      </c>
      <c r="C1180" s="69" t="s">
        <v>2122</v>
      </c>
      <c r="D1180" s="68" t="s">
        <v>2342</v>
      </c>
      <c r="E1180" s="68"/>
      <c r="F1180" s="76" t="s">
        <v>2173</v>
      </c>
      <c r="G1180" s="61" t="str">
        <f t="shared" si="69"/>
        <v>Wakiso</v>
      </c>
      <c r="H1180" s="68" t="s">
        <v>2342</v>
      </c>
    </row>
    <row r="1181" spans="1:8">
      <c r="A1181" s="67">
        <v>909</v>
      </c>
      <c r="B1181" s="68" t="s">
        <v>636</v>
      </c>
      <c r="C1181" s="68" t="s">
        <v>636</v>
      </c>
      <c r="D1181" s="68" t="s">
        <v>648</v>
      </c>
      <c r="E1181" s="68"/>
      <c r="F1181" s="61" t="str">
        <f t="shared" si="71"/>
        <v>Nansanga</v>
      </c>
      <c r="G1181" s="61" t="str">
        <f t="shared" si="69"/>
        <v>Budaka</v>
      </c>
      <c r="H1181" s="68" t="s">
        <v>648</v>
      </c>
    </row>
    <row r="1182" spans="1:8">
      <c r="A1182" s="67">
        <v>971</v>
      </c>
      <c r="B1182" s="68" t="s">
        <v>1062</v>
      </c>
      <c r="C1182" s="68" t="s">
        <v>911</v>
      </c>
      <c r="D1182" s="68" t="s">
        <v>1072</v>
      </c>
      <c r="E1182" s="68"/>
      <c r="F1182" s="61" t="str">
        <f t="shared" si="71"/>
        <v>Nansololo</v>
      </c>
      <c r="G1182" s="61" t="str">
        <f t="shared" si="69"/>
        <v>Kaliro</v>
      </c>
      <c r="H1182" s="68" t="s">
        <v>1072</v>
      </c>
    </row>
    <row r="1183" spans="1:8">
      <c r="A1183" s="67">
        <v>278</v>
      </c>
      <c r="B1183" s="68" t="s">
        <v>1855</v>
      </c>
      <c r="C1183" s="68" t="s">
        <v>1856</v>
      </c>
      <c r="D1183" s="68" t="s">
        <v>1862</v>
      </c>
      <c r="E1183" s="68"/>
      <c r="F1183" s="61" t="str">
        <f t="shared" si="71"/>
        <v>Napak Town Council</v>
      </c>
      <c r="G1183" s="61" t="str">
        <f t="shared" si="69"/>
        <v>Napak</v>
      </c>
      <c r="H1183" s="68" t="s">
        <v>1862</v>
      </c>
    </row>
    <row r="1184" spans="1:8">
      <c r="A1184" s="67">
        <v>196</v>
      </c>
      <c r="B1184" s="68" t="s">
        <v>965</v>
      </c>
      <c r="C1184" s="68" t="s">
        <v>966</v>
      </c>
      <c r="D1184" s="68" t="s">
        <v>978</v>
      </c>
      <c r="E1184" s="68"/>
      <c r="F1184" s="61" t="str">
        <f t="shared" si="71"/>
        <v>Napore Karenga</v>
      </c>
      <c r="G1184" s="61" t="str">
        <f t="shared" si="69"/>
        <v>Kaabong</v>
      </c>
      <c r="H1184" s="68" t="s">
        <v>978</v>
      </c>
    </row>
    <row r="1185" spans="1:8">
      <c r="A1185" s="67">
        <v>972</v>
      </c>
      <c r="B1185" s="68" t="s">
        <v>1062</v>
      </c>
      <c r="C1185" s="68" t="s">
        <v>911</v>
      </c>
      <c r="D1185" s="68" t="s">
        <v>1073</v>
      </c>
      <c r="E1185" s="68"/>
      <c r="F1185" s="61" t="str">
        <f t="shared" si="71"/>
        <v>Nawaikoke</v>
      </c>
      <c r="G1185" s="61" t="str">
        <f t="shared" si="69"/>
        <v>Kaliro</v>
      </c>
      <c r="H1185" s="68" t="s">
        <v>1073</v>
      </c>
    </row>
    <row r="1186" spans="1:8">
      <c r="A1186" s="67">
        <v>1052</v>
      </c>
      <c r="B1186" s="68" t="s">
        <v>1546</v>
      </c>
      <c r="C1186" s="68" t="s">
        <v>1546</v>
      </c>
      <c r="D1186" s="68" t="s">
        <v>1552</v>
      </c>
      <c r="E1186" s="68"/>
      <c r="F1186" s="61" t="str">
        <f t="shared" si="71"/>
        <v>Nawampiti</v>
      </c>
      <c r="G1186" s="61" t="str">
        <f t="shared" si="69"/>
        <v>Luuka</v>
      </c>
      <c r="H1186" s="68" t="s">
        <v>1552</v>
      </c>
    </row>
    <row r="1187" spans="1:8">
      <c r="A1187" s="67">
        <v>711</v>
      </c>
      <c r="B1187" s="68" t="s">
        <v>912</v>
      </c>
      <c r="C1187" s="68" t="s">
        <v>913</v>
      </c>
      <c r="D1187" s="68" t="s">
        <v>928</v>
      </c>
      <c r="E1187" s="68"/>
      <c r="F1187" s="61" t="str">
        <f t="shared" si="71"/>
        <v>Nawandala</v>
      </c>
      <c r="G1187" s="61" t="str">
        <f t="shared" si="69"/>
        <v>Iganga</v>
      </c>
      <c r="H1187" s="68" t="s">
        <v>928</v>
      </c>
    </row>
    <row r="1188" spans="1:8">
      <c r="A1188" s="67">
        <v>959</v>
      </c>
      <c r="B1188" s="68" t="s">
        <v>813</v>
      </c>
      <c r="C1188" s="68" t="s">
        <v>814</v>
      </c>
      <c r="D1188" s="68" t="s">
        <v>823</v>
      </c>
      <c r="E1188" s="68"/>
      <c r="F1188" s="61" t="str">
        <f t="shared" si="71"/>
        <v>Nawanjofu</v>
      </c>
      <c r="G1188" s="61" t="str">
        <f t="shared" si="69"/>
        <v>Butaleja</v>
      </c>
      <c r="H1188" s="68" t="s">
        <v>823</v>
      </c>
    </row>
    <row r="1189" spans="1:8">
      <c r="A1189" s="67">
        <v>735</v>
      </c>
      <c r="B1189" s="68" t="s">
        <v>1232</v>
      </c>
      <c r="C1189" s="68" t="s">
        <v>1235</v>
      </c>
      <c r="D1189" s="68" t="s">
        <v>1245</v>
      </c>
      <c r="E1189" s="68"/>
      <c r="F1189" s="61" t="str">
        <f t="shared" si="71"/>
        <v>Nawanyago</v>
      </c>
      <c r="G1189" s="61" t="str">
        <f t="shared" si="69"/>
        <v>Kamuli</v>
      </c>
      <c r="H1189" s="68" t="s">
        <v>1245</v>
      </c>
    </row>
    <row r="1190" spans="1:8">
      <c r="A1190" s="67">
        <v>712</v>
      </c>
      <c r="B1190" s="68" t="s">
        <v>912</v>
      </c>
      <c r="C1190" s="68" t="s">
        <v>913</v>
      </c>
      <c r="D1190" s="68" t="s">
        <v>929</v>
      </c>
      <c r="E1190" s="68"/>
      <c r="F1190" s="61" t="str">
        <f t="shared" si="71"/>
        <v>Nawanyingi</v>
      </c>
      <c r="G1190" s="61" t="str">
        <f t="shared" si="69"/>
        <v>Iganga</v>
      </c>
      <c r="H1190" s="68" t="s">
        <v>929</v>
      </c>
    </row>
    <row r="1191" spans="1:8">
      <c r="A1191" s="67">
        <v>960</v>
      </c>
      <c r="B1191" s="68" t="s">
        <v>813</v>
      </c>
      <c r="C1191" s="68" t="s">
        <v>814</v>
      </c>
      <c r="D1191" s="68" t="s">
        <v>824</v>
      </c>
      <c r="E1191" s="68"/>
      <c r="F1191" s="61" t="str">
        <f t="shared" si="71"/>
        <v>Naweyo</v>
      </c>
      <c r="G1191" s="61" t="str">
        <f t="shared" si="69"/>
        <v>Butaleja</v>
      </c>
      <c r="H1191" s="68" t="s">
        <v>824</v>
      </c>
    </row>
    <row r="1192" spans="1:8">
      <c r="A1192" s="67">
        <v>531</v>
      </c>
      <c r="B1192" s="68" t="s">
        <v>1335</v>
      </c>
      <c r="C1192" s="68" t="s">
        <v>1337</v>
      </c>
      <c r="D1192" s="68" t="s">
        <v>1343</v>
      </c>
      <c r="E1192" s="68"/>
      <c r="F1192" s="61" t="str">
        <f t="shared" si="71"/>
        <v>Nazigo</v>
      </c>
      <c r="G1192" s="61" t="str">
        <f t="shared" si="69"/>
        <v>Kayunga</v>
      </c>
      <c r="H1192" s="68" t="s">
        <v>1343</v>
      </c>
    </row>
    <row r="1193" spans="1:8">
      <c r="A1193" s="67">
        <v>658</v>
      </c>
      <c r="B1193" s="68" t="s">
        <v>1568</v>
      </c>
      <c r="C1193" s="68" t="s">
        <v>23</v>
      </c>
      <c r="D1193" s="68" t="s">
        <v>1574</v>
      </c>
      <c r="E1193" s="68"/>
      <c r="F1193" s="61" t="str">
        <f t="shared" si="71"/>
        <v>Ndagwe</v>
      </c>
      <c r="G1193" s="61" t="str">
        <f t="shared" si="69"/>
        <v>Lwengo</v>
      </c>
      <c r="H1193" s="68" t="s">
        <v>1574</v>
      </c>
    </row>
    <row r="1194" spans="1:8">
      <c r="A1194" s="67">
        <v>1491</v>
      </c>
      <c r="B1194" s="68" t="s">
        <v>1022</v>
      </c>
      <c r="C1194" s="68" t="s">
        <v>1023</v>
      </c>
      <c r="D1194" s="68" t="s">
        <v>1036</v>
      </c>
      <c r="E1194" s="68"/>
      <c r="F1194" s="61" t="str">
        <f t="shared" si="71"/>
        <v>Ndaiga</v>
      </c>
      <c r="G1194" s="61" t="str">
        <f t="shared" si="69"/>
        <v>Kagadi</v>
      </c>
      <c r="H1194" s="68" t="s">
        <v>1036</v>
      </c>
    </row>
    <row r="1195" spans="1:8">
      <c r="A1195" s="67">
        <v>1259</v>
      </c>
      <c r="B1195" s="68" t="s">
        <v>1670</v>
      </c>
      <c r="C1195" s="68" t="s">
        <v>1673</v>
      </c>
      <c r="D1195" s="68" t="s">
        <v>1680</v>
      </c>
      <c r="E1195" s="68"/>
      <c r="F1195" s="61" t="str">
        <f t="shared" si="71"/>
        <v>Ndeija</v>
      </c>
      <c r="G1195" s="61" t="str">
        <f t="shared" si="69"/>
        <v>Mbarara</v>
      </c>
      <c r="H1195" s="68" t="s">
        <v>1680</v>
      </c>
    </row>
    <row r="1196" spans="1:8" ht="38.25">
      <c r="A1196" s="67">
        <v>554</v>
      </c>
      <c r="B1196" s="70" t="s">
        <v>2117</v>
      </c>
      <c r="C1196" s="71" t="s">
        <v>2118</v>
      </c>
      <c r="D1196" s="70" t="s">
        <v>2343</v>
      </c>
      <c r="E1196" s="70"/>
      <c r="F1196" s="62" t="s">
        <v>2177</v>
      </c>
      <c r="G1196" s="61" t="str">
        <f t="shared" si="69"/>
        <v>Wakiso</v>
      </c>
      <c r="H1196" s="70" t="s">
        <v>2343</v>
      </c>
    </row>
    <row r="1197" spans="1:8">
      <c r="A1197" s="67">
        <v>114</v>
      </c>
      <c r="B1197" s="68" t="s">
        <v>1865</v>
      </c>
      <c r="C1197" s="68" t="s">
        <v>1866</v>
      </c>
      <c r="D1197" s="68" t="s">
        <v>1870</v>
      </c>
      <c r="E1197" s="68"/>
      <c r="F1197" s="61" t="str">
        <f t="shared" si="71"/>
        <v>Ndhew</v>
      </c>
      <c r="G1197" s="61" t="str">
        <f t="shared" si="69"/>
        <v>Nebbi</v>
      </c>
      <c r="H1197" s="68" t="s">
        <v>1870</v>
      </c>
    </row>
    <row r="1198" spans="1:8">
      <c r="A1198" s="67">
        <v>1104</v>
      </c>
      <c r="B1198" s="68" t="s">
        <v>750</v>
      </c>
      <c r="C1198" s="68" t="s">
        <v>754</v>
      </c>
      <c r="D1198" s="68" t="s">
        <v>765</v>
      </c>
      <c r="E1198" s="68"/>
      <c r="F1198" s="61" t="str">
        <f t="shared" si="71"/>
        <v>Nduguto</v>
      </c>
      <c r="G1198" s="61" t="str">
        <f t="shared" si="69"/>
        <v>Bundibugyo</v>
      </c>
      <c r="H1198" s="68" t="s">
        <v>765</v>
      </c>
    </row>
    <row r="1199" spans="1:8">
      <c r="A1199" s="67">
        <v>115</v>
      </c>
      <c r="B1199" s="68" t="s">
        <v>1865</v>
      </c>
      <c r="C1199" s="68" t="s">
        <v>1866</v>
      </c>
      <c r="D1199" s="68" t="s">
        <v>1865</v>
      </c>
      <c r="E1199" s="68"/>
      <c r="F1199" s="61" t="str">
        <f t="shared" si="71"/>
        <v>Nebbi</v>
      </c>
      <c r="G1199" s="61" t="str">
        <f t="shared" si="69"/>
        <v>Nebbi</v>
      </c>
      <c r="H1199" s="68" t="s">
        <v>1865</v>
      </c>
    </row>
    <row r="1200" spans="1:8">
      <c r="A1200" s="67">
        <v>224</v>
      </c>
      <c r="B1200" s="68" t="s">
        <v>1933</v>
      </c>
      <c r="C1200" s="68" t="s">
        <v>1933</v>
      </c>
      <c r="D1200" s="68" t="s">
        <v>1942</v>
      </c>
      <c r="E1200" s="68"/>
      <c r="F1200" s="61" t="str">
        <f t="shared" si="71"/>
        <v>Ngai</v>
      </c>
      <c r="G1200" s="61" t="str">
        <f t="shared" si="69"/>
        <v>Oyam</v>
      </c>
      <c r="H1200" s="68" t="s">
        <v>1942</v>
      </c>
    </row>
    <row r="1201" spans="1:8">
      <c r="A1201" s="67">
        <v>1105</v>
      </c>
      <c r="B1201" s="68" t="s">
        <v>750</v>
      </c>
      <c r="C1201" s="68" t="s">
        <v>754</v>
      </c>
      <c r="D1201" s="68" t="s">
        <v>766</v>
      </c>
      <c r="E1201" s="68"/>
      <c r="F1201" s="61" t="str">
        <f t="shared" si="71"/>
        <v>Ngamba</v>
      </c>
      <c r="G1201" s="61" t="str">
        <f t="shared" si="69"/>
        <v>Bundibugyo</v>
      </c>
      <c r="H1201" s="68" t="s">
        <v>766</v>
      </c>
    </row>
    <row r="1202" spans="1:8">
      <c r="A1202" s="67">
        <v>616</v>
      </c>
      <c r="B1202" s="68" t="s">
        <v>826</v>
      </c>
      <c r="C1202" s="68" t="s">
        <v>826</v>
      </c>
      <c r="D1202" s="68" t="s">
        <v>831</v>
      </c>
      <c r="E1202" s="68"/>
      <c r="F1202" s="61" t="str">
        <f t="shared" si="71"/>
        <v>Ngando</v>
      </c>
      <c r="G1202" s="61" t="str">
        <f t="shared" si="69"/>
        <v>Butambala</v>
      </c>
      <c r="H1202" s="68" t="s">
        <v>831</v>
      </c>
    </row>
    <row r="1203" spans="1:8">
      <c r="A1203" s="67">
        <v>1369</v>
      </c>
      <c r="B1203" s="68" t="s">
        <v>47</v>
      </c>
      <c r="C1203" s="68" t="s">
        <v>932</v>
      </c>
      <c r="D1203" s="68" t="s">
        <v>944</v>
      </c>
      <c r="E1203" s="68"/>
      <c r="F1203" s="61" t="str">
        <f t="shared" si="71"/>
        <v>Ngarama</v>
      </c>
      <c r="G1203" s="61" t="str">
        <f t="shared" si="69"/>
        <v>Isingiro</v>
      </c>
      <c r="H1203" s="68" t="s">
        <v>944</v>
      </c>
    </row>
    <row r="1204" spans="1:8">
      <c r="A1204" s="67">
        <v>759</v>
      </c>
      <c r="B1204" s="68" t="s">
        <v>1325</v>
      </c>
      <c r="C1204" s="68" t="s">
        <v>1327</v>
      </c>
      <c r="D1204" s="68" t="s">
        <v>1330</v>
      </c>
      <c r="E1204" s="68"/>
      <c r="F1204" s="61" t="str">
        <f t="shared" si="71"/>
        <v>Ngariam</v>
      </c>
      <c r="G1204" s="61" t="str">
        <f t="shared" si="69"/>
        <v>Katakwi</v>
      </c>
      <c r="H1204" s="68" t="s">
        <v>1330</v>
      </c>
    </row>
    <row r="1205" spans="1:8">
      <c r="A1205" s="67">
        <v>1045</v>
      </c>
      <c r="B1205" s="68" t="s">
        <v>1463</v>
      </c>
      <c r="C1205" s="68" t="s">
        <v>1463</v>
      </c>
      <c r="D1205" s="68" t="s">
        <v>1474</v>
      </c>
      <c r="E1205" s="68"/>
      <c r="F1205" s="61" t="str">
        <f t="shared" si="71"/>
        <v>Ngenge</v>
      </c>
      <c r="G1205" s="61" t="str">
        <f t="shared" si="69"/>
        <v>Kween</v>
      </c>
      <c r="H1205" s="68" t="s">
        <v>1474</v>
      </c>
    </row>
    <row r="1206" spans="1:8">
      <c r="A1206" s="67">
        <v>86</v>
      </c>
      <c r="B1206" s="68" t="s">
        <v>1536</v>
      </c>
      <c r="C1206" s="68" t="s">
        <v>1537</v>
      </c>
      <c r="D1206" s="68" t="s">
        <v>1544</v>
      </c>
      <c r="E1206" s="68"/>
      <c r="F1206" s="61" t="str">
        <f t="shared" si="71"/>
        <v>Ngetta</v>
      </c>
      <c r="G1206" s="61" t="str">
        <f t="shared" si="69"/>
        <v>Lira</v>
      </c>
      <c r="H1206" s="68" t="s">
        <v>1544</v>
      </c>
    </row>
    <row r="1207" spans="1:8">
      <c r="A1207" s="67">
        <v>597</v>
      </c>
      <c r="B1207" s="68" t="s">
        <v>688</v>
      </c>
      <c r="C1207" s="68" t="s">
        <v>688</v>
      </c>
      <c r="D1207" s="68" t="s">
        <v>693</v>
      </c>
      <c r="E1207" s="68"/>
      <c r="F1207" s="61" t="str">
        <f t="shared" si="71"/>
        <v>Ngogwe</v>
      </c>
      <c r="G1207" s="61" t="str">
        <f t="shared" si="69"/>
        <v>Buikwe</v>
      </c>
      <c r="H1207" s="68" t="s">
        <v>693</v>
      </c>
    </row>
    <row r="1208" spans="1:8">
      <c r="A1208" s="67">
        <v>279</v>
      </c>
      <c r="B1208" s="68" t="s">
        <v>1855</v>
      </c>
      <c r="C1208" s="68" t="s">
        <v>1856</v>
      </c>
      <c r="D1208" s="68" t="s">
        <v>1863</v>
      </c>
      <c r="E1208" s="68"/>
      <c r="F1208" s="61" t="str">
        <f t="shared" si="71"/>
        <v>Ngoleriet</v>
      </c>
      <c r="G1208" s="61" t="str">
        <f t="shared" si="69"/>
        <v>Napak</v>
      </c>
      <c r="H1208" s="68" t="s">
        <v>1863</v>
      </c>
    </row>
    <row r="1209" spans="1:8">
      <c r="A1209" s="67">
        <v>589</v>
      </c>
      <c r="B1209" s="68" t="s">
        <v>1790</v>
      </c>
      <c r="C1209" s="68" t="s">
        <v>1790</v>
      </c>
      <c r="D1209" s="72" t="s">
        <v>2344</v>
      </c>
      <c r="E1209" s="68"/>
      <c r="F1209" s="61" t="str">
        <f t="shared" ref="F1209:F1210" si="72">D1209&amp;"-"&amp;B1209</f>
        <v>Ngoma-Nakaseke</v>
      </c>
      <c r="G1209" s="61" t="str">
        <f t="shared" si="69"/>
        <v>Nakaseke</v>
      </c>
      <c r="H1209" s="72" t="s">
        <v>2344</v>
      </c>
    </row>
    <row r="1210" spans="1:8">
      <c r="A1210" s="67">
        <v>1279</v>
      </c>
      <c r="B1210" s="68" t="s">
        <v>46</v>
      </c>
      <c r="C1210" s="68" t="s">
        <v>1897</v>
      </c>
      <c r="D1210" s="72" t="s">
        <v>2344</v>
      </c>
      <c r="E1210" s="68"/>
      <c r="F1210" s="61" t="str">
        <f t="shared" si="72"/>
        <v>Ngoma-Ntungamo</v>
      </c>
      <c r="G1210" s="61" t="str">
        <f t="shared" si="69"/>
        <v>Ntungamo</v>
      </c>
      <c r="H1210" s="72" t="s">
        <v>2344</v>
      </c>
    </row>
    <row r="1211" spans="1:8">
      <c r="A1211" s="67">
        <v>590</v>
      </c>
      <c r="B1211" s="68" t="s">
        <v>1790</v>
      </c>
      <c r="C1211" s="68" t="s">
        <v>1790</v>
      </c>
      <c r="D1211" s="68" t="s">
        <v>1799</v>
      </c>
      <c r="E1211" s="68"/>
      <c r="F1211" s="61" t="str">
        <f t="shared" ref="F1211:F1223" si="73">D1211</f>
        <v>Ngoma Town Council</v>
      </c>
      <c r="G1211" s="61" t="str">
        <f t="shared" si="69"/>
        <v>Nakaseke</v>
      </c>
      <c r="H1211" s="68" t="s">
        <v>1799</v>
      </c>
    </row>
    <row r="1212" spans="1:8">
      <c r="A1212" s="67">
        <v>1066</v>
      </c>
      <c r="B1212" s="68" t="s">
        <v>1875</v>
      </c>
      <c r="C1212" s="68" t="s">
        <v>1875</v>
      </c>
      <c r="D1212" s="68" t="s">
        <v>1875</v>
      </c>
      <c r="E1212" s="68"/>
      <c r="F1212" s="61" t="str">
        <f t="shared" si="73"/>
        <v>Ngora</v>
      </c>
      <c r="G1212" s="61" t="str">
        <f t="shared" si="69"/>
        <v>Ngora</v>
      </c>
      <c r="H1212" s="68" t="s">
        <v>1875</v>
      </c>
    </row>
    <row r="1213" spans="1:8">
      <c r="A1213" s="67">
        <v>1067</v>
      </c>
      <c r="B1213" s="68" t="s">
        <v>1875</v>
      </c>
      <c r="C1213" s="68" t="s">
        <v>1875</v>
      </c>
      <c r="D1213" s="68" t="s">
        <v>1878</v>
      </c>
      <c r="E1213" s="68"/>
      <c r="F1213" s="61" t="str">
        <f t="shared" si="73"/>
        <v>Ngora Town Council</v>
      </c>
      <c r="G1213" s="61" t="str">
        <f t="shared" si="69"/>
        <v>Ngora</v>
      </c>
      <c r="H1213" s="68" t="s">
        <v>1878</v>
      </c>
    </row>
    <row r="1214" spans="1:8">
      <c r="A1214" s="67">
        <v>1352</v>
      </c>
      <c r="B1214" s="68" t="s">
        <v>743</v>
      </c>
      <c r="C1214" s="68" t="s">
        <v>743</v>
      </c>
      <c r="D1214" s="68" t="s">
        <v>748</v>
      </c>
      <c r="E1214" s="68"/>
      <c r="F1214" s="61" t="str">
        <f t="shared" si="73"/>
        <v>Ngwedo</v>
      </c>
      <c r="G1214" s="61" t="str">
        <f t="shared" si="69"/>
        <v>Buliisa</v>
      </c>
      <c r="H1214" s="68" t="s">
        <v>748</v>
      </c>
    </row>
    <row r="1215" spans="1:8">
      <c r="A1215" s="67">
        <v>603</v>
      </c>
      <c r="B1215" s="68" t="s">
        <v>688</v>
      </c>
      <c r="C1215" s="69" t="s">
        <v>694</v>
      </c>
      <c r="D1215" s="68" t="s">
        <v>2345</v>
      </c>
      <c r="E1215" s="68"/>
      <c r="F1215" s="62" t="str">
        <f>VLOOKUP(C1215,[2]Municipalities!$C$9:$F$1522,4,FALSE)</f>
        <v>Njeru Municipality</v>
      </c>
      <c r="G1215" s="61" t="str">
        <f t="shared" si="69"/>
        <v>Buikwe</v>
      </c>
      <c r="H1215" s="68" t="s">
        <v>2345</v>
      </c>
    </row>
    <row r="1216" spans="1:8">
      <c r="A1216" s="67">
        <v>644</v>
      </c>
      <c r="B1216" s="68" t="s">
        <v>1476</v>
      </c>
      <c r="C1216" s="68" t="s">
        <v>1356</v>
      </c>
      <c r="D1216" s="68" t="s">
        <v>1483</v>
      </c>
      <c r="E1216" s="68"/>
      <c r="F1216" s="61" t="str">
        <f t="shared" si="73"/>
        <v>Nkandwa</v>
      </c>
      <c r="G1216" s="61" t="str">
        <f t="shared" si="69"/>
        <v>Kyankwanzi</v>
      </c>
      <c r="H1216" s="68" t="s">
        <v>1483</v>
      </c>
    </row>
    <row r="1217" spans="1:8">
      <c r="A1217" s="67">
        <v>598</v>
      </c>
      <c r="B1217" s="68" t="s">
        <v>688</v>
      </c>
      <c r="C1217" s="68" t="s">
        <v>688</v>
      </c>
      <c r="D1217" s="68" t="s">
        <v>695</v>
      </c>
      <c r="E1217" s="68"/>
      <c r="F1217" s="61" t="str">
        <f t="shared" si="73"/>
        <v>Nkokonjeru Town Council</v>
      </c>
      <c r="G1217" s="61" t="str">
        <f t="shared" si="69"/>
        <v>Buikwe</v>
      </c>
      <c r="H1217" s="68" t="s">
        <v>695</v>
      </c>
    </row>
    <row r="1218" spans="1:8">
      <c r="A1218" s="67">
        <v>1305</v>
      </c>
      <c r="B1218" s="68" t="s">
        <v>44</v>
      </c>
      <c r="C1218" s="68" t="s">
        <v>837</v>
      </c>
      <c r="D1218" s="68" t="s">
        <v>1259</v>
      </c>
      <c r="E1218" s="68"/>
      <c r="F1218" s="61" t="str">
        <f t="shared" si="73"/>
        <v>Nkoma</v>
      </c>
      <c r="G1218" s="61" t="str">
        <f t="shared" si="69"/>
        <v>Kamwenge</v>
      </c>
      <c r="H1218" s="68" t="s">
        <v>1259</v>
      </c>
    </row>
    <row r="1219" spans="1:8">
      <c r="A1219" s="67">
        <v>1023</v>
      </c>
      <c r="B1219" s="68" t="s">
        <v>852</v>
      </c>
      <c r="C1219" s="68" t="s">
        <v>853</v>
      </c>
      <c r="D1219" s="68" t="s">
        <v>857</v>
      </c>
      <c r="E1219" s="68"/>
      <c r="F1219" s="61" t="str">
        <f t="shared" si="73"/>
        <v>Nkondo</v>
      </c>
      <c r="G1219" s="61" t="str">
        <f t="shared" si="69"/>
        <v>Buyende</v>
      </c>
      <c r="H1219" s="68" t="s">
        <v>857</v>
      </c>
    </row>
    <row r="1220" spans="1:8">
      <c r="A1220" s="67">
        <v>1503</v>
      </c>
      <c r="B1220" s="68" t="s">
        <v>1041</v>
      </c>
      <c r="C1220" s="68" t="s">
        <v>1042</v>
      </c>
      <c r="D1220" s="68" t="s">
        <v>1052</v>
      </c>
      <c r="E1220" s="68"/>
      <c r="F1220" s="61" t="str">
        <f t="shared" si="73"/>
        <v>Nkooko</v>
      </c>
      <c r="G1220" s="61" t="str">
        <f t="shared" si="69"/>
        <v>Kakumiro</v>
      </c>
      <c r="H1220" s="68" t="s">
        <v>1052</v>
      </c>
    </row>
    <row r="1221" spans="1:8">
      <c r="A1221" s="67">
        <v>457</v>
      </c>
      <c r="B1221" s="68" t="s">
        <v>1729</v>
      </c>
      <c r="C1221" s="68" t="s">
        <v>1730</v>
      </c>
      <c r="D1221" s="68" t="s">
        <v>1737</v>
      </c>
      <c r="E1221" s="68"/>
      <c r="F1221" s="61" t="str">
        <f t="shared" si="73"/>
        <v>Nkozi</v>
      </c>
      <c r="G1221" s="61" t="str">
        <f t="shared" si="69"/>
        <v>Mpigi</v>
      </c>
      <c r="H1221" s="68" t="s">
        <v>1737</v>
      </c>
    </row>
    <row r="1222" spans="1:8">
      <c r="A1222" s="67">
        <v>1393</v>
      </c>
      <c r="B1222" s="68" t="s">
        <v>1375</v>
      </c>
      <c r="C1222" s="68" t="s">
        <v>1376</v>
      </c>
      <c r="D1222" s="68" t="s">
        <v>1389</v>
      </c>
      <c r="E1222" s="68"/>
      <c r="F1222" s="61" t="str">
        <f t="shared" si="73"/>
        <v>Nkungu</v>
      </c>
      <c r="G1222" s="61" t="str">
        <f t="shared" si="69"/>
        <v>Kiruhura</v>
      </c>
      <c r="H1222" s="68" t="s">
        <v>1389</v>
      </c>
    </row>
    <row r="1223" spans="1:8">
      <c r="A1223" s="67">
        <v>1449</v>
      </c>
      <c r="B1223" s="68" t="s">
        <v>1880</v>
      </c>
      <c r="C1223" s="68" t="s">
        <v>1880</v>
      </c>
      <c r="D1223" s="68" t="s">
        <v>1887</v>
      </c>
      <c r="E1223" s="68"/>
      <c r="F1223" s="61" t="str">
        <f t="shared" si="73"/>
        <v>Nombe</v>
      </c>
      <c r="G1223" s="61" t="str">
        <f t="shared" si="69"/>
        <v>Ntoroko</v>
      </c>
      <c r="H1223" s="68" t="s">
        <v>1887</v>
      </c>
    </row>
    <row r="1224" spans="1:8" ht="25.5">
      <c r="A1224" s="67">
        <v>1233</v>
      </c>
      <c r="B1224" s="68" t="s">
        <v>1404</v>
      </c>
      <c r="C1224" s="69" t="s">
        <v>1410</v>
      </c>
      <c r="D1224" s="68" t="s">
        <v>2346</v>
      </c>
      <c r="E1224" s="68"/>
      <c r="F1224" s="62" t="str">
        <f>VLOOKUP(C1224,[2]Municipalities!$C$9:$F$1522,4,FALSE)</f>
        <v>Kisoro Municipality</v>
      </c>
      <c r="G1224" s="61" t="str">
        <f t="shared" si="69"/>
        <v>Kisoro</v>
      </c>
      <c r="H1224" s="68" t="s">
        <v>2346</v>
      </c>
    </row>
    <row r="1225" spans="1:8" ht="25.5">
      <c r="A1225" s="67">
        <v>96</v>
      </c>
      <c r="B1225" s="68" t="s">
        <v>541</v>
      </c>
      <c r="C1225" s="69" t="s">
        <v>1713</v>
      </c>
      <c r="D1225" s="72" t="s">
        <v>2347</v>
      </c>
      <c r="E1225" s="68"/>
      <c r="F1225" s="62" t="str">
        <f>VLOOKUP(C1225,[2]Municipalities!$C$9:$F$1522,4,FALSE)</f>
        <v>Moroto Municipality</v>
      </c>
      <c r="G1225" s="61" t="str">
        <f t="shared" si="69"/>
        <v>Moroto</v>
      </c>
      <c r="H1225" s="72" t="s">
        <v>2347</v>
      </c>
    </row>
    <row r="1226" spans="1:8" ht="25.5">
      <c r="A1226" s="67">
        <v>704</v>
      </c>
      <c r="B1226" s="68" t="s">
        <v>912</v>
      </c>
      <c r="C1226" s="69" t="s">
        <v>918</v>
      </c>
      <c r="D1226" s="72" t="s">
        <v>2347</v>
      </c>
      <c r="E1226" s="68"/>
      <c r="F1226" s="62" t="str">
        <f>VLOOKUP(C1226,[2]Municipalities!$C$9:$F$1522,4,FALSE)</f>
        <v>Iganga Municipality</v>
      </c>
      <c r="G1226" s="61" t="str">
        <f t="shared" ref="G1226:G1289" si="74">B1226</f>
        <v>Iganga</v>
      </c>
      <c r="H1226" s="72" t="s">
        <v>2347</v>
      </c>
    </row>
    <row r="1227" spans="1:8" ht="25.5">
      <c r="A1227" s="67">
        <v>737</v>
      </c>
      <c r="B1227" s="68" t="s">
        <v>1232</v>
      </c>
      <c r="C1227" s="69" t="s">
        <v>1238</v>
      </c>
      <c r="D1227" s="72" t="s">
        <v>2347</v>
      </c>
      <c r="E1227" s="68"/>
      <c r="F1227" s="62" t="str">
        <f>VLOOKUP(C1227,[2]Municipalities!$C$9:$F$1522,4,FALSE)</f>
        <v>Kamuli Municipality</v>
      </c>
      <c r="G1227" s="61" t="str">
        <f t="shared" si="74"/>
        <v>Kamuli</v>
      </c>
      <c r="H1227" s="72" t="s">
        <v>2347</v>
      </c>
    </row>
    <row r="1228" spans="1:8" ht="25.5">
      <c r="A1228" s="67">
        <v>794</v>
      </c>
      <c r="B1228" s="68" t="s">
        <v>1646</v>
      </c>
      <c r="C1228" s="69" t="s">
        <v>1662</v>
      </c>
      <c r="D1228" s="72" t="s">
        <v>2347</v>
      </c>
      <c r="E1228" s="68"/>
      <c r="F1228" s="62" t="str">
        <f>VLOOKUP(C1228,[2]Municipalities!$C$9:$F$1522,4,FALSE)</f>
        <v>Mbale Municipality</v>
      </c>
      <c r="G1228" s="61" t="str">
        <f t="shared" si="74"/>
        <v>Mbale</v>
      </c>
      <c r="H1228" s="72" t="s">
        <v>2347</v>
      </c>
    </row>
    <row r="1229" spans="1:8" ht="25.5">
      <c r="A1229" s="67">
        <v>815</v>
      </c>
      <c r="B1229" s="68" t="s">
        <v>2077</v>
      </c>
      <c r="C1229" s="69" t="s">
        <v>2082</v>
      </c>
      <c r="D1229" s="72" t="s">
        <v>2347</v>
      </c>
      <c r="E1229" s="68"/>
      <c r="F1229" s="62" t="str">
        <f>VLOOKUP(C1229,[2]Municipalities!$C$9:$F$1522,4,FALSE)</f>
        <v>Soroti Municipality</v>
      </c>
      <c r="G1229" s="61" t="str">
        <f t="shared" si="74"/>
        <v>Soroti</v>
      </c>
      <c r="H1229" s="72" t="s">
        <v>2347</v>
      </c>
    </row>
    <row r="1230" spans="1:8" ht="25.5">
      <c r="A1230" s="67">
        <v>1150</v>
      </c>
      <c r="B1230" s="68" t="s">
        <v>981</v>
      </c>
      <c r="C1230" s="69" t="s">
        <v>984</v>
      </c>
      <c r="D1230" s="72" t="s">
        <v>2347</v>
      </c>
      <c r="E1230" s="68"/>
      <c r="F1230" s="62" t="str">
        <f>VLOOKUP(C1230,[2]Municipalities!$C$9:$F$1522,4,FALSE)</f>
        <v>Kabale Municipality</v>
      </c>
      <c r="G1230" s="61" t="str">
        <f t="shared" si="74"/>
        <v>Kabale</v>
      </c>
      <c r="H1230" s="72" t="s">
        <v>2347</v>
      </c>
    </row>
    <row r="1231" spans="1:8" ht="25.5">
      <c r="A1231" s="67">
        <v>204</v>
      </c>
      <c r="B1231" s="68" t="s">
        <v>1433</v>
      </c>
      <c r="C1231" s="69" t="s">
        <v>1435</v>
      </c>
      <c r="D1231" s="72" t="s">
        <v>2348</v>
      </c>
      <c r="E1231" s="68"/>
      <c r="F1231" s="62" t="str">
        <f>VLOOKUP(C1231,[2]Municipalities!$C$9:$F$1522,4,FALSE)</f>
        <v>Koboko Municipality</v>
      </c>
      <c r="G1231" s="61" t="str">
        <f t="shared" si="74"/>
        <v>Koboko</v>
      </c>
      <c r="H1231" s="72" t="s">
        <v>2348</v>
      </c>
    </row>
    <row r="1232" spans="1:8">
      <c r="A1232" s="67">
        <v>769</v>
      </c>
      <c r="B1232" s="68" t="s">
        <v>1456</v>
      </c>
      <c r="C1232" s="69" t="s">
        <v>1458</v>
      </c>
      <c r="D1232" s="72" t="s">
        <v>2348</v>
      </c>
      <c r="E1232" s="68"/>
      <c r="F1232" s="62" t="str">
        <f>VLOOKUP(C1232,[2]Municipalities!$C$9:$F$1522,4,FALSE)</f>
        <v>Kumi Municipality</v>
      </c>
      <c r="G1232" s="61" t="str">
        <f t="shared" si="74"/>
        <v>Kumi</v>
      </c>
      <c r="H1232" s="72" t="s">
        <v>2348</v>
      </c>
    </row>
    <row r="1233" spans="1:8">
      <c r="A1233" s="67">
        <v>645</v>
      </c>
      <c r="B1233" s="68" t="s">
        <v>1476</v>
      </c>
      <c r="C1233" s="68" t="s">
        <v>1356</v>
      </c>
      <c r="D1233" s="68" t="s">
        <v>1213</v>
      </c>
      <c r="E1233" s="68"/>
      <c r="F1233" s="61" t="str">
        <f t="shared" ref="F1233:F1282" si="75">D1233</f>
        <v>Nsambya</v>
      </c>
      <c r="G1233" s="61" t="str">
        <f t="shared" si="74"/>
        <v>Kyankwanzi</v>
      </c>
      <c r="H1233" s="68" t="s">
        <v>1213</v>
      </c>
    </row>
    <row r="1234" spans="1:8">
      <c r="A1234" s="67">
        <v>1410</v>
      </c>
      <c r="B1234" s="68" t="s">
        <v>680</v>
      </c>
      <c r="C1234" s="68" t="s">
        <v>680</v>
      </c>
      <c r="D1234" s="68" t="s">
        <v>685</v>
      </c>
      <c r="E1234" s="68"/>
      <c r="F1234" s="61" t="str">
        <f t="shared" si="75"/>
        <v>Nsiika Town Council</v>
      </c>
      <c r="G1234" s="61" t="str">
        <f t="shared" si="74"/>
        <v>Buhweju</v>
      </c>
      <c r="H1234" s="68" t="s">
        <v>685</v>
      </c>
    </row>
    <row r="1235" spans="1:8">
      <c r="A1235" s="67">
        <v>996</v>
      </c>
      <c r="B1235" s="68" t="s">
        <v>1846</v>
      </c>
      <c r="C1235" s="68" t="s">
        <v>1847</v>
      </c>
      <c r="D1235" s="68" t="s">
        <v>1853</v>
      </c>
      <c r="E1235" s="68"/>
      <c r="F1235" s="61" t="str">
        <f t="shared" si="75"/>
        <v>Nsinze</v>
      </c>
      <c r="G1235" s="61" t="str">
        <f t="shared" si="74"/>
        <v>Namutumba</v>
      </c>
      <c r="H1235" s="68" t="s">
        <v>1853</v>
      </c>
    </row>
    <row r="1236" spans="1:8">
      <c r="A1236" s="67">
        <v>1111</v>
      </c>
      <c r="B1236" s="68" t="s">
        <v>750</v>
      </c>
      <c r="C1236" s="68" t="s">
        <v>754</v>
      </c>
      <c r="D1236" s="68" t="s">
        <v>767</v>
      </c>
      <c r="E1236" s="68"/>
      <c r="F1236" s="61" t="str">
        <f t="shared" si="75"/>
        <v>Ntandi Town Council</v>
      </c>
      <c r="G1236" s="61" t="str">
        <f t="shared" si="74"/>
        <v>Bundibugyo</v>
      </c>
      <c r="H1236" s="68" t="s">
        <v>767</v>
      </c>
    </row>
    <row r="1237" spans="1:8">
      <c r="A1237" s="67">
        <v>1311</v>
      </c>
      <c r="B1237" s="68" t="s">
        <v>44</v>
      </c>
      <c r="C1237" s="68" t="s">
        <v>1250</v>
      </c>
      <c r="D1237" s="68" t="s">
        <v>1260</v>
      </c>
      <c r="E1237" s="68"/>
      <c r="F1237" s="61" t="str">
        <f t="shared" si="75"/>
        <v>Ntara</v>
      </c>
      <c r="G1237" s="61" t="str">
        <f t="shared" si="74"/>
        <v>Kamwenge</v>
      </c>
      <c r="H1237" s="68" t="s">
        <v>1260</v>
      </c>
    </row>
    <row r="1238" spans="1:8">
      <c r="A1238" s="67">
        <v>484</v>
      </c>
      <c r="B1238" s="68" t="s">
        <v>1761</v>
      </c>
      <c r="C1238" s="68" t="s">
        <v>1761</v>
      </c>
      <c r="D1238" s="68" t="s">
        <v>1337</v>
      </c>
      <c r="E1238" s="68"/>
      <c r="F1238" s="61" t="str">
        <f t="shared" si="75"/>
        <v>Ntenjeru</v>
      </c>
      <c r="G1238" s="61" t="str">
        <f t="shared" si="74"/>
        <v>Mukono</v>
      </c>
      <c r="H1238" s="68" t="s">
        <v>1337</v>
      </c>
    </row>
    <row r="1239" spans="1:8">
      <c r="A1239" s="67">
        <v>1106</v>
      </c>
      <c r="B1239" s="68" t="s">
        <v>750</v>
      </c>
      <c r="C1239" s="68" t="s">
        <v>754</v>
      </c>
      <c r="D1239" s="68" t="s">
        <v>768</v>
      </c>
      <c r="E1239" s="68"/>
      <c r="F1239" s="61" t="str">
        <f t="shared" si="75"/>
        <v>Ntotoro</v>
      </c>
      <c r="G1239" s="61" t="str">
        <f t="shared" si="74"/>
        <v>Bundibugyo</v>
      </c>
      <c r="H1239" s="68" t="s">
        <v>768</v>
      </c>
    </row>
    <row r="1240" spans="1:8">
      <c r="A1240" s="67">
        <v>491</v>
      </c>
      <c r="B1240" s="68" t="s">
        <v>1761</v>
      </c>
      <c r="C1240" s="68" t="s">
        <v>1762</v>
      </c>
      <c r="D1240" s="68" t="s">
        <v>1776</v>
      </c>
      <c r="E1240" s="68"/>
      <c r="F1240" s="61" t="str">
        <f t="shared" si="75"/>
        <v>Ntunda</v>
      </c>
      <c r="G1240" s="61" t="str">
        <f t="shared" si="74"/>
        <v>Mukono</v>
      </c>
      <c r="H1240" s="68" t="s">
        <v>1776</v>
      </c>
    </row>
    <row r="1241" spans="1:8">
      <c r="A1241" s="67">
        <v>1272</v>
      </c>
      <c r="B1241" s="68" t="s">
        <v>46</v>
      </c>
      <c r="C1241" s="68" t="s">
        <v>1894</v>
      </c>
      <c r="D1241" s="68" t="s">
        <v>46</v>
      </c>
      <c r="E1241" s="68"/>
      <c r="F1241" s="61" t="str">
        <f t="shared" si="75"/>
        <v>Ntungamo</v>
      </c>
      <c r="G1241" s="61" t="str">
        <f t="shared" si="74"/>
        <v>Ntungamo</v>
      </c>
      <c r="H1241" s="68" t="s">
        <v>46</v>
      </c>
    </row>
    <row r="1242" spans="1:8">
      <c r="A1242" s="67">
        <v>516</v>
      </c>
      <c r="B1242" s="68" t="s">
        <v>2085</v>
      </c>
      <c r="C1242" s="68" t="s">
        <v>2088</v>
      </c>
      <c r="D1242" s="68" t="s">
        <v>2092</v>
      </c>
      <c r="E1242" s="68"/>
      <c r="F1242" s="61" t="str">
        <f t="shared" si="75"/>
        <v>Ntuusi</v>
      </c>
      <c r="G1242" s="61" t="str">
        <f t="shared" si="74"/>
        <v>Ssembabule</v>
      </c>
      <c r="H1242" s="68" t="s">
        <v>2092</v>
      </c>
    </row>
    <row r="1243" spans="1:8">
      <c r="A1243" s="67">
        <v>646</v>
      </c>
      <c r="B1243" s="68" t="s">
        <v>1476</v>
      </c>
      <c r="C1243" s="68" t="s">
        <v>1356</v>
      </c>
      <c r="D1243" s="68" t="s">
        <v>1484</v>
      </c>
      <c r="E1243" s="68"/>
      <c r="F1243" s="61" t="str">
        <f t="shared" si="75"/>
        <v>Ntwetwe</v>
      </c>
      <c r="G1243" s="61" t="str">
        <f t="shared" si="74"/>
        <v>Kyankwanzi</v>
      </c>
      <c r="H1243" s="68" t="s">
        <v>1484</v>
      </c>
    </row>
    <row r="1244" spans="1:8">
      <c r="A1244" s="67">
        <v>647</v>
      </c>
      <c r="B1244" s="68" t="s">
        <v>1476</v>
      </c>
      <c r="C1244" s="68" t="s">
        <v>1356</v>
      </c>
      <c r="D1244" s="68" t="s">
        <v>1485</v>
      </c>
      <c r="E1244" s="68"/>
      <c r="F1244" s="61" t="str">
        <f t="shared" si="75"/>
        <v>Ntwetwe Town Council</v>
      </c>
      <c r="G1244" s="61" t="str">
        <f t="shared" si="74"/>
        <v>Kyankwanzi</v>
      </c>
      <c r="H1244" s="68" t="s">
        <v>1485</v>
      </c>
    </row>
    <row r="1245" spans="1:8">
      <c r="A1245" s="67">
        <v>1312</v>
      </c>
      <c r="B1245" s="68" t="s">
        <v>44</v>
      </c>
      <c r="C1245" s="68" t="s">
        <v>1250</v>
      </c>
      <c r="D1245" s="68" t="s">
        <v>1261</v>
      </c>
      <c r="E1245" s="68"/>
      <c r="F1245" s="61" t="str">
        <f t="shared" si="75"/>
        <v>Nyabbani</v>
      </c>
      <c r="G1245" s="61" t="str">
        <f t="shared" si="74"/>
        <v>Kamwenge</v>
      </c>
      <c r="H1245" s="68" t="s">
        <v>1261</v>
      </c>
    </row>
    <row r="1246" spans="1:8">
      <c r="A1246" s="67">
        <v>1264</v>
      </c>
      <c r="B1246" s="68" t="s">
        <v>46</v>
      </c>
      <c r="C1246" s="68" t="s">
        <v>1891</v>
      </c>
      <c r="D1246" s="68" t="s">
        <v>1902</v>
      </c>
      <c r="E1246" s="68"/>
      <c r="F1246" s="61" t="str">
        <f t="shared" si="75"/>
        <v>Nyabihoko</v>
      </c>
      <c r="G1246" s="61" t="str">
        <f t="shared" si="74"/>
        <v>Ntungamo</v>
      </c>
      <c r="H1246" s="68" t="s">
        <v>1902</v>
      </c>
    </row>
    <row r="1247" spans="1:8">
      <c r="A1247" s="67">
        <v>1132</v>
      </c>
      <c r="B1247" s="68" t="s">
        <v>38</v>
      </c>
      <c r="C1247" s="68" t="s">
        <v>785</v>
      </c>
      <c r="D1247" s="68" t="s">
        <v>793</v>
      </c>
      <c r="E1247" s="68"/>
      <c r="F1247" s="61" t="str">
        <f t="shared" si="75"/>
        <v>Nyabubare</v>
      </c>
      <c r="G1247" s="61" t="str">
        <f t="shared" si="74"/>
        <v>Bushenyi</v>
      </c>
      <c r="H1247" s="68" t="s">
        <v>793</v>
      </c>
    </row>
    <row r="1248" spans="1:8">
      <c r="A1248" s="67">
        <v>1343</v>
      </c>
      <c r="B1248" s="68" t="s">
        <v>1499</v>
      </c>
      <c r="C1248" s="68" t="s">
        <v>1500</v>
      </c>
      <c r="D1248" s="68" t="s">
        <v>1513</v>
      </c>
      <c r="E1248" s="68"/>
      <c r="F1248" s="61" t="str">
        <f t="shared" si="75"/>
        <v>Nyabuharwa</v>
      </c>
      <c r="G1248" s="61" t="str">
        <f t="shared" si="74"/>
        <v>Kyenjojo</v>
      </c>
      <c r="H1248" s="68" t="s">
        <v>1513</v>
      </c>
    </row>
    <row r="1249" spans="1:8">
      <c r="A1249" s="67">
        <v>1225</v>
      </c>
      <c r="B1249" s="68" t="s">
        <v>1404</v>
      </c>
      <c r="C1249" s="68" t="s">
        <v>1405</v>
      </c>
      <c r="D1249" s="68" t="s">
        <v>1413</v>
      </c>
      <c r="E1249" s="68"/>
      <c r="F1249" s="61" t="str">
        <f t="shared" si="75"/>
        <v>Nyabwishenya</v>
      </c>
      <c r="G1249" s="61" t="str">
        <f t="shared" si="74"/>
        <v>Kisoro</v>
      </c>
      <c r="H1249" s="68" t="s">
        <v>1413</v>
      </c>
    </row>
    <row r="1250" spans="1:8">
      <c r="A1250" s="67">
        <v>209</v>
      </c>
      <c r="B1250" s="68" t="s">
        <v>1602</v>
      </c>
      <c r="C1250" s="68" t="s">
        <v>1602</v>
      </c>
      <c r="D1250" s="68" t="s">
        <v>1604</v>
      </c>
      <c r="E1250" s="68"/>
      <c r="F1250" s="61" t="str">
        <f t="shared" si="75"/>
        <v>Nyadri</v>
      </c>
      <c r="G1250" s="61" t="str">
        <f t="shared" si="74"/>
        <v>Maracha</v>
      </c>
      <c r="H1250" s="68" t="s">
        <v>1604</v>
      </c>
    </row>
    <row r="1251" spans="1:8">
      <c r="A1251" s="67">
        <v>1120</v>
      </c>
      <c r="B1251" s="68" t="s">
        <v>750</v>
      </c>
      <c r="C1251" s="68" t="s">
        <v>751</v>
      </c>
      <c r="D1251" s="68" t="s">
        <v>769</v>
      </c>
      <c r="E1251" s="68"/>
      <c r="F1251" s="61" t="str">
        <f t="shared" si="75"/>
        <v>Nyahuka Town Council</v>
      </c>
      <c r="G1251" s="61" t="str">
        <f t="shared" si="74"/>
        <v>Bundibugyo</v>
      </c>
      <c r="H1251" s="68" t="s">
        <v>769</v>
      </c>
    </row>
    <row r="1252" spans="1:8">
      <c r="A1252" s="67">
        <v>1226</v>
      </c>
      <c r="B1252" s="68" t="s">
        <v>1404</v>
      </c>
      <c r="C1252" s="68" t="s">
        <v>1405</v>
      </c>
      <c r="D1252" s="68" t="s">
        <v>1414</v>
      </c>
      <c r="E1252" s="68"/>
      <c r="F1252" s="61" t="str">
        <f t="shared" si="75"/>
        <v>Nyakabande</v>
      </c>
      <c r="G1252" s="61" t="str">
        <f t="shared" si="74"/>
        <v>Kisoro</v>
      </c>
      <c r="H1252" s="68" t="s">
        <v>1414</v>
      </c>
    </row>
    <row r="1253" spans="1:8" ht="25.5">
      <c r="A1253" s="67">
        <v>1124</v>
      </c>
      <c r="B1253" s="68" t="s">
        <v>38</v>
      </c>
      <c r="C1253" s="69" t="s">
        <v>787</v>
      </c>
      <c r="D1253" s="68" t="s">
        <v>2349</v>
      </c>
      <c r="E1253" s="68"/>
      <c r="F1253" s="62" t="str">
        <f>VLOOKUP(C1253,[2]Municipalities!$C$9:$F$1522,4,FALSE)</f>
        <v>Bushenyi-Ishaka Municipality</v>
      </c>
      <c r="G1253" s="61" t="str">
        <f t="shared" si="74"/>
        <v>Bushenyi</v>
      </c>
      <c r="H1253" s="68" t="s">
        <v>2349</v>
      </c>
    </row>
    <row r="1254" spans="1:8">
      <c r="A1254" s="67">
        <v>1292</v>
      </c>
      <c r="B1254" s="68" t="s">
        <v>40</v>
      </c>
      <c r="C1254" s="68" t="s">
        <v>2018</v>
      </c>
      <c r="D1254" s="68" t="s">
        <v>2025</v>
      </c>
      <c r="E1254" s="68"/>
      <c r="F1254" s="61" t="str">
        <f t="shared" si="75"/>
        <v>Nyakagyeme</v>
      </c>
      <c r="G1254" s="61" t="str">
        <f t="shared" si="74"/>
        <v>Rukungiri</v>
      </c>
      <c r="H1254" s="68" t="s">
        <v>2025</v>
      </c>
    </row>
    <row r="1255" spans="1:8">
      <c r="A1255" s="67">
        <v>1402</v>
      </c>
      <c r="B1255" s="68" t="s">
        <v>1375</v>
      </c>
      <c r="C1255" s="68" t="s">
        <v>1381</v>
      </c>
      <c r="D1255" s="68" t="s">
        <v>1390</v>
      </c>
      <c r="E1255" s="68"/>
      <c r="F1255" s="61" t="str">
        <f t="shared" si="75"/>
        <v>Nyakashashara</v>
      </c>
      <c r="G1255" s="61" t="str">
        <f t="shared" si="74"/>
        <v>Kiruhura</v>
      </c>
      <c r="H1255" s="68" t="s">
        <v>1390</v>
      </c>
    </row>
    <row r="1256" spans="1:8">
      <c r="A1256" s="67">
        <v>1189</v>
      </c>
      <c r="B1256" s="68" t="s">
        <v>36</v>
      </c>
      <c r="C1256" s="68" t="s">
        <v>753</v>
      </c>
      <c r="D1256" s="68" t="s">
        <v>1321</v>
      </c>
      <c r="E1256" s="68"/>
      <c r="F1256" s="61" t="str">
        <f t="shared" si="75"/>
        <v>Nyakatonzi</v>
      </c>
      <c r="G1256" s="61" t="str">
        <f t="shared" si="74"/>
        <v>Kasese</v>
      </c>
      <c r="H1256" s="68" t="s">
        <v>1321</v>
      </c>
    </row>
    <row r="1257" spans="1:8" ht="25.5">
      <c r="A1257" s="67">
        <v>1256</v>
      </c>
      <c r="B1257" s="68" t="s">
        <v>1670</v>
      </c>
      <c r="C1257" s="69" t="s">
        <v>1677</v>
      </c>
      <c r="D1257" s="68" t="s">
        <v>2350</v>
      </c>
      <c r="E1257" s="68"/>
      <c r="F1257" s="62" t="str">
        <f>VLOOKUP(C1257,[2]Municipalities!$C$9:$F$1522,4,FALSE)</f>
        <v>Mbarara Municipality</v>
      </c>
      <c r="G1257" s="61" t="str">
        <f t="shared" si="74"/>
        <v>Mbarara</v>
      </c>
      <c r="H1257" s="68" t="s">
        <v>2350</v>
      </c>
    </row>
    <row r="1258" spans="1:8">
      <c r="A1258" s="67">
        <v>1227</v>
      </c>
      <c r="B1258" s="68" t="s">
        <v>1404</v>
      </c>
      <c r="C1258" s="68" t="s">
        <v>1405</v>
      </c>
      <c r="D1258" s="68" t="s">
        <v>1415</v>
      </c>
      <c r="E1258" s="68"/>
      <c r="F1258" s="61" t="str">
        <f t="shared" si="75"/>
        <v>Nyakinama</v>
      </c>
      <c r="G1258" s="61" t="str">
        <f t="shared" si="74"/>
        <v>Kisoro</v>
      </c>
      <c r="H1258" s="68" t="s">
        <v>1415</v>
      </c>
    </row>
    <row r="1259" spans="1:8">
      <c r="A1259" s="67">
        <v>1325</v>
      </c>
      <c r="B1259" s="68" t="s">
        <v>1264</v>
      </c>
      <c r="C1259" s="68" t="s">
        <v>1265</v>
      </c>
      <c r="D1259" s="68" t="s">
        <v>1277</v>
      </c>
      <c r="E1259" s="68"/>
      <c r="F1259" s="61" t="str">
        <f t="shared" si="75"/>
        <v>Nyakinoni</v>
      </c>
      <c r="G1259" s="61" t="str">
        <f t="shared" si="74"/>
        <v>Kanungu</v>
      </c>
      <c r="H1259" s="68" t="s">
        <v>1277</v>
      </c>
    </row>
    <row r="1260" spans="1:8">
      <c r="A1260" s="67">
        <v>1411</v>
      </c>
      <c r="B1260" s="68" t="s">
        <v>680</v>
      </c>
      <c r="C1260" s="68" t="s">
        <v>680</v>
      </c>
      <c r="D1260" s="68" t="s">
        <v>686</v>
      </c>
      <c r="E1260" s="68"/>
      <c r="F1260" s="61" t="str">
        <f t="shared" si="75"/>
        <v>Nyakishana</v>
      </c>
      <c r="G1260" s="61" t="str">
        <f t="shared" si="74"/>
        <v>Buhweju</v>
      </c>
      <c r="H1260" s="68" t="s">
        <v>686</v>
      </c>
    </row>
    <row r="1261" spans="1:8">
      <c r="A1261" s="67">
        <v>1285</v>
      </c>
      <c r="B1261" s="68" t="s">
        <v>40</v>
      </c>
      <c r="C1261" s="68" t="s">
        <v>2020</v>
      </c>
      <c r="D1261" s="68" t="s">
        <v>2026</v>
      </c>
      <c r="E1261" s="68"/>
      <c r="F1261" s="61" t="str">
        <f t="shared" si="75"/>
        <v>Nyakishenyi</v>
      </c>
      <c r="G1261" s="61" t="str">
        <f t="shared" si="74"/>
        <v>Rukungiri</v>
      </c>
      <c r="H1261" s="68" t="s">
        <v>2026</v>
      </c>
    </row>
    <row r="1262" spans="1:8">
      <c r="A1262" s="67">
        <v>1383</v>
      </c>
      <c r="B1262" s="68" t="s">
        <v>47</v>
      </c>
      <c r="C1262" s="68" t="s">
        <v>47</v>
      </c>
      <c r="D1262" s="68" t="s">
        <v>945</v>
      </c>
      <c r="E1262" s="68"/>
      <c r="F1262" s="61" t="str">
        <f t="shared" si="75"/>
        <v>Nyakitunda</v>
      </c>
      <c r="G1262" s="61" t="str">
        <f t="shared" si="74"/>
        <v>Isingiro</v>
      </c>
      <c r="H1262" s="68" t="s">
        <v>945</v>
      </c>
    </row>
    <row r="1263" spans="1:8">
      <c r="A1263" s="67">
        <v>1190</v>
      </c>
      <c r="B1263" s="68" t="s">
        <v>36</v>
      </c>
      <c r="C1263" s="68" t="s">
        <v>753</v>
      </c>
      <c r="D1263" s="68" t="s">
        <v>1322</v>
      </c>
      <c r="E1263" s="68"/>
      <c r="F1263" s="61" t="str">
        <f t="shared" si="75"/>
        <v>Nyakiyumbu</v>
      </c>
      <c r="G1263" s="61" t="str">
        <f t="shared" si="74"/>
        <v>Kasese</v>
      </c>
      <c r="H1263" s="68" t="s">
        <v>1322</v>
      </c>
    </row>
    <row r="1264" spans="1:8">
      <c r="A1264" s="67">
        <v>156</v>
      </c>
      <c r="B1264" s="68" t="s">
        <v>503</v>
      </c>
      <c r="C1264" s="68" t="s">
        <v>504</v>
      </c>
      <c r="D1264" s="68" t="s">
        <v>509</v>
      </c>
      <c r="E1264" s="68"/>
      <c r="F1264" s="61" t="str">
        <f t="shared" si="75"/>
        <v>Nyakwae</v>
      </c>
      <c r="G1264" s="61" t="str">
        <f t="shared" si="74"/>
        <v>Abim</v>
      </c>
      <c r="H1264" s="68" t="s">
        <v>509</v>
      </c>
    </row>
    <row r="1265" spans="1:8">
      <c r="A1265" s="67">
        <v>1273</v>
      </c>
      <c r="B1265" s="68" t="s">
        <v>46</v>
      </c>
      <c r="C1265" s="68" t="s">
        <v>1894</v>
      </c>
      <c r="D1265" s="68" t="s">
        <v>1903</v>
      </c>
      <c r="E1265" s="68"/>
      <c r="F1265" s="61" t="str">
        <f t="shared" si="75"/>
        <v>Nyakyera</v>
      </c>
      <c r="G1265" s="61" t="str">
        <f t="shared" si="74"/>
        <v>Ntungamo</v>
      </c>
      <c r="H1265" s="68" t="s">
        <v>1903</v>
      </c>
    </row>
    <row r="1266" spans="1:8">
      <c r="A1266" s="67">
        <v>1360</v>
      </c>
      <c r="B1266" s="68" t="s">
        <v>43</v>
      </c>
      <c r="C1266" s="68" t="s">
        <v>43</v>
      </c>
      <c r="D1266" s="68" t="s">
        <v>908</v>
      </c>
      <c r="E1266" s="68"/>
      <c r="F1266" s="61" t="str">
        <f t="shared" si="75"/>
        <v>Nyamarebe</v>
      </c>
      <c r="G1266" s="61" t="str">
        <f t="shared" si="74"/>
        <v>Ibanda</v>
      </c>
      <c r="H1266" s="68" t="s">
        <v>908</v>
      </c>
    </row>
    <row r="1267" spans="1:8">
      <c r="A1267" s="67">
        <v>1214</v>
      </c>
      <c r="B1267" s="68" t="s">
        <v>1345</v>
      </c>
      <c r="C1267" s="68" t="s">
        <v>1346</v>
      </c>
      <c r="D1267" s="68" t="s">
        <v>1353</v>
      </c>
      <c r="E1267" s="68"/>
      <c r="F1267" s="61" t="str">
        <f t="shared" si="75"/>
        <v>Nyamarunda</v>
      </c>
      <c r="G1267" s="61" t="str">
        <f t="shared" si="74"/>
        <v>Kibaale</v>
      </c>
      <c r="H1267" s="68" t="s">
        <v>1353</v>
      </c>
    </row>
    <row r="1268" spans="1:8">
      <c r="A1268" s="67">
        <v>1215</v>
      </c>
      <c r="B1268" s="68" t="s">
        <v>1345</v>
      </c>
      <c r="C1268" s="68" t="s">
        <v>1346</v>
      </c>
      <c r="D1268" s="68" t="s">
        <v>1354</v>
      </c>
      <c r="E1268" s="68"/>
      <c r="F1268" s="61" t="str">
        <f t="shared" si="75"/>
        <v>Nyamarwa</v>
      </c>
      <c r="G1268" s="61" t="str">
        <f t="shared" si="74"/>
        <v>Kibaale</v>
      </c>
      <c r="H1268" s="68" t="s">
        <v>1354</v>
      </c>
    </row>
    <row r="1269" spans="1:8">
      <c r="A1269" s="67">
        <v>1326</v>
      </c>
      <c r="B1269" s="68" t="s">
        <v>1264</v>
      </c>
      <c r="C1269" s="68" t="s">
        <v>1265</v>
      </c>
      <c r="D1269" s="68" t="s">
        <v>1278</v>
      </c>
      <c r="E1269" s="68"/>
      <c r="F1269" s="61" t="str">
        <f t="shared" si="75"/>
        <v>Nyamirama</v>
      </c>
      <c r="G1269" s="61" t="str">
        <f t="shared" si="74"/>
        <v>Kanungu</v>
      </c>
      <c r="H1269" s="68" t="s">
        <v>1278</v>
      </c>
    </row>
    <row r="1270" spans="1:8" ht="25.5">
      <c r="A1270" s="67">
        <v>1253</v>
      </c>
      <c r="B1270" s="70" t="s">
        <v>1670</v>
      </c>
      <c r="C1270" s="71" t="s">
        <v>1677</v>
      </c>
      <c r="D1270" s="70" t="s">
        <v>2351</v>
      </c>
      <c r="E1270" s="70"/>
      <c r="F1270" s="62" t="str">
        <f>VLOOKUP(C1270,[2]Municipalities!$C$9:$F$1522,4,FALSE)</f>
        <v>Mbarara Municipality</v>
      </c>
      <c r="G1270" s="61" t="str">
        <f t="shared" si="74"/>
        <v>Mbarara</v>
      </c>
      <c r="H1270" s="70" t="s">
        <v>2351</v>
      </c>
    </row>
    <row r="1271" spans="1:8">
      <c r="A1271" s="67">
        <v>1384</v>
      </c>
      <c r="B1271" s="68" t="s">
        <v>47</v>
      </c>
      <c r="C1271" s="68" t="s">
        <v>47</v>
      </c>
      <c r="D1271" s="68" t="s">
        <v>946</v>
      </c>
      <c r="E1271" s="68"/>
      <c r="F1271" s="61" t="str">
        <f t="shared" si="75"/>
        <v>Nyamuyanja</v>
      </c>
      <c r="G1271" s="61" t="str">
        <f t="shared" si="74"/>
        <v>Isingiro</v>
      </c>
      <c r="H1271" s="68" t="s">
        <v>946</v>
      </c>
    </row>
    <row r="1272" spans="1:8" ht="25.5">
      <c r="A1272" s="67">
        <v>1207</v>
      </c>
      <c r="B1272" s="70" t="s">
        <v>36</v>
      </c>
      <c r="C1272" s="71" t="s">
        <v>1305</v>
      </c>
      <c r="D1272" s="70" t="s">
        <v>2352</v>
      </c>
      <c r="E1272" s="70"/>
      <c r="F1272" s="62" t="str">
        <f>VLOOKUP(C1272,[2]Municipalities!$C$9:$F$1522,4,FALSE)</f>
        <v>Kasese Municipality</v>
      </c>
      <c r="G1272" s="61" t="str">
        <f t="shared" si="74"/>
        <v>Kasese</v>
      </c>
      <c r="H1272" s="70" t="s">
        <v>2352</v>
      </c>
    </row>
    <row r="1273" spans="1:8">
      <c r="A1273" s="67">
        <v>1512</v>
      </c>
      <c r="B1273" s="68" t="s">
        <v>1990</v>
      </c>
      <c r="C1273" s="68" t="s">
        <v>1990</v>
      </c>
      <c r="D1273" s="68" t="s">
        <v>1996</v>
      </c>
      <c r="E1273" s="68"/>
      <c r="F1273" s="61" t="str">
        <f t="shared" si="75"/>
        <v>Nyamweru</v>
      </c>
      <c r="G1273" s="61" t="str">
        <f t="shared" si="74"/>
        <v>Rubanda</v>
      </c>
      <c r="H1273" s="68" t="s">
        <v>1996</v>
      </c>
    </row>
    <row r="1274" spans="1:8">
      <c r="A1274" s="67">
        <v>1327</v>
      </c>
      <c r="B1274" s="68" t="s">
        <v>1264</v>
      </c>
      <c r="C1274" s="68" t="s">
        <v>1265</v>
      </c>
      <c r="D1274" s="68" t="s">
        <v>1279</v>
      </c>
      <c r="E1274" s="68"/>
      <c r="F1274" s="61" t="str">
        <f t="shared" si="75"/>
        <v>Nyanga</v>
      </c>
      <c r="G1274" s="61" t="str">
        <f t="shared" si="74"/>
        <v>Kanungu</v>
      </c>
      <c r="H1274" s="68" t="s">
        <v>1279</v>
      </c>
    </row>
    <row r="1275" spans="1:8" ht="25.5">
      <c r="A1275" s="67">
        <v>1242</v>
      </c>
      <c r="B1275" s="68" t="s">
        <v>1621</v>
      </c>
      <c r="C1275" s="69" t="s">
        <v>1626</v>
      </c>
      <c r="D1275" s="68" t="s">
        <v>2353</v>
      </c>
      <c r="E1275" s="68"/>
      <c r="F1275" s="62" t="str">
        <f>VLOOKUP(C1275,[2]Municipalities!$C$9:$F$1522,4,FALSE)</f>
        <v>Masindi Municipality</v>
      </c>
      <c r="G1275" s="61" t="str">
        <f t="shared" si="74"/>
        <v>Masindi</v>
      </c>
      <c r="H1275" s="68" t="s">
        <v>2353</v>
      </c>
    </row>
    <row r="1276" spans="1:8">
      <c r="A1276" s="67">
        <v>1344</v>
      </c>
      <c r="B1276" s="68" t="s">
        <v>1499</v>
      </c>
      <c r="C1276" s="68" t="s">
        <v>1500</v>
      </c>
      <c r="D1276" s="68" t="s">
        <v>1514</v>
      </c>
      <c r="E1276" s="68"/>
      <c r="F1276" s="61" t="str">
        <f t="shared" si="75"/>
        <v>Nyankwanzi</v>
      </c>
      <c r="G1276" s="61" t="str">
        <f t="shared" si="74"/>
        <v>Kyenjojo</v>
      </c>
      <c r="H1276" s="68" t="s">
        <v>1514</v>
      </c>
    </row>
    <row r="1277" spans="1:8">
      <c r="A1277" s="67">
        <v>1345</v>
      </c>
      <c r="B1277" s="68" t="s">
        <v>1499</v>
      </c>
      <c r="C1277" s="68" t="s">
        <v>1500</v>
      </c>
      <c r="D1277" s="68" t="s">
        <v>1515</v>
      </c>
      <c r="E1277" s="68"/>
      <c r="F1277" s="61" t="str">
        <f t="shared" si="75"/>
        <v>Nyantungo</v>
      </c>
      <c r="G1277" s="61" t="str">
        <f t="shared" si="74"/>
        <v>Kyenjojo</v>
      </c>
      <c r="H1277" s="68" t="s">
        <v>1515</v>
      </c>
    </row>
    <row r="1278" spans="1:8">
      <c r="A1278" s="67">
        <v>299</v>
      </c>
      <c r="B1278" s="68" t="s">
        <v>2198</v>
      </c>
      <c r="C1278" s="68" t="s">
        <v>2199</v>
      </c>
      <c r="D1278" s="68" t="s">
        <v>2203</v>
      </c>
      <c r="E1278" s="68"/>
      <c r="F1278" s="61" t="str">
        <f t="shared" si="75"/>
        <v>Nyapea</v>
      </c>
      <c r="G1278" s="61" t="str">
        <f t="shared" si="74"/>
        <v>Zombo</v>
      </c>
      <c r="H1278" s="68" t="s">
        <v>2203</v>
      </c>
    </row>
    <row r="1279" spans="1:8">
      <c r="A1279" s="67">
        <v>116</v>
      </c>
      <c r="B1279" s="68" t="s">
        <v>1865</v>
      </c>
      <c r="C1279" s="68" t="s">
        <v>1866</v>
      </c>
      <c r="D1279" s="68" t="s">
        <v>1872</v>
      </c>
      <c r="E1279" s="68"/>
      <c r="F1279" s="61" t="str">
        <f t="shared" si="75"/>
        <v>Nyaravur</v>
      </c>
      <c r="G1279" s="61" t="str">
        <f t="shared" si="74"/>
        <v>Nebbi</v>
      </c>
      <c r="H1279" s="68" t="s">
        <v>1872</v>
      </c>
    </row>
    <row r="1280" spans="1:8">
      <c r="A1280" s="67">
        <v>1228</v>
      </c>
      <c r="B1280" s="68" t="s">
        <v>1404</v>
      </c>
      <c r="C1280" s="68" t="s">
        <v>1405</v>
      </c>
      <c r="D1280" s="68" t="s">
        <v>1416</v>
      </c>
      <c r="E1280" s="68"/>
      <c r="F1280" s="61" t="str">
        <f t="shared" si="75"/>
        <v>Nyarubuye</v>
      </c>
      <c r="G1280" s="61" t="str">
        <f t="shared" si="74"/>
        <v>Kisoro</v>
      </c>
      <c r="H1280" s="68" t="s">
        <v>1416</v>
      </c>
    </row>
    <row r="1281" spans="1:8">
      <c r="A1281" s="67">
        <v>1286</v>
      </c>
      <c r="B1281" s="68" t="s">
        <v>40</v>
      </c>
      <c r="C1281" s="68" t="s">
        <v>2020</v>
      </c>
      <c r="D1281" s="68" t="s">
        <v>2027</v>
      </c>
      <c r="E1281" s="68"/>
      <c r="F1281" s="61" t="str">
        <f t="shared" si="75"/>
        <v>Nyarushanje</v>
      </c>
      <c r="G1281" s="61" t="str">
        <f t="shared" si="74"/>
        <v>Rukungiri</v>
      </c>
      <c r="H1281" s="68" t="s">
        <v>2027</v>
      </c>
    </row>
    <row r="1282" spans="1:8">
      <c r="A1282" s="67">
        <v>1229</v>
      </c>
      <c r="B1282" s="68" t="s">
        <v>1404</v>
      </c>
      <c r="C1282" s="68" t="s">
        <v>1405</v>
      </c>
      <c r="D1282" s="68" t="s">
        <v>1417</v>
      </c>
      <c r="E1282" s="68"/>
      <c r="F1282" s="61" t="str">
        <f t="shared" si="75"/>
        <v>Nyarusiza</v>
      </c>
      <c r="G1282" s="61" t="str">
        <f t="shared" si="74"/>
        <v>Kisoro</v>
      </c>
      <c r="H1282" s="68" t="s">
        <v>1417</v>
      </c>
    </row>
    <row r="1283" spans="1:8" ht="25.5">
      <c r="A1283" s="67">
        <v>450</v>
      </c>
      <c r="B1283" s="68" t="s">
        <v>39</v>
      </c>
      <c r="C1283" s="69" t="s">
        <v>1615</v>
      </c>
      <c r="D1283" s="72" t="s">
        <v>2354</v>
      </c>
      <c r="E1283" s="68"/>
      <c r="F1283" s="62" t="str">
        <f>VLOOKUP(C1283,[2]Municipalities!$C$9:$F$1522,4,FALSE)</f>
        <v>Masaka Municipality</v>
      </c>
      <c r="G1283" s="61" t="str">
        <f t="shared" si="74"/>
        <v>Masaka</v>
      </c>
      <c r="H1283" s="72" t="s">
        <v>2354</v>
      </c>
    </row>
    <row r="1284" spans="1:8">
      <c r="A1284" s="67">
        <v>604</v>
      </c>
      <c r="B1284" s="68" t="s">
        <v>688</v>
      </c>
      <c r="C1284" s="69" t="s">
        <v>694</v>
      </c>
      <c r="D1284" s="68" t="s">
        <v>2355</v>
      </c>
      <c r="E1284" s="68"/>
      <c r="F1284" s="62" t="str">
        <f>VLOOKUP(C1284,[2]Municipalities!$C$9:$F$1522,4,FALSE)</f>
        <v>Njeru Municipality</v>
      </c>
      <c r="G1284" s="61" t="str">
        <f t="shared" si="74"/>
        <v>Buikwe</v>
      </c>
      <c r="H1284" s="68" t="s">
        <v>2355</v>
      </c>
    </row>
    <row r="1285" spans="1:8">
      <c r="A1285" s="67">
        <v>767</v>
      </c>
      <c r="B1285" s="68" t="s">
        <v>1456</v>
      </c>
      <c r="C1285" s="68" t="s">
        <v>1456</v>
      </c>
      <c r="D1285" s="68" t="s">
        <v>1460</v>
      </c>
      <c r="E1285" s="68"/>
      <c r="F1285" s="61" t="str">
        <f t="shared" ref="F1285:F1340" si="76">D1285</f>
        <v>Nyero</v>
      </c>
      <c r="G1285" s="61" t="str">
        <f t="shared" si="74"/>
        <v>Kumi</v>
      </c>
      <c r="H1285" s="68" t="s">
        <v>1460</v>
      </c>
    </row>
    <row r="1286" spans="1:8">
      <c r="A1286" s="67">
        <v>440</v>
      </c>
      <c r="B1286" s="68" t="s">
        <v>1555</v>
      </c>
      <c r="C1286" s="68" t="s">
        <v>1557</v>
      </c>
      <c r="D1286" s="68" t="s">
        <v>1564</v>
      </c>
      <c r="E1286" s="68"/>
      <c r="F1286" s="61" t="str">
        <f t="shared" si="76"/>
        <v>Nyimbwa</v>
      </c>
      <c r="G1286" s="61" t="str">
        <f t="shared" si="74"/>
        <v>Luwero</v>
      </c>
      <c r="H1286" s="68" t="s">
        <v>1564</v>
      </c>
    </row>
    <row r="1287" spans="1:8">
      <c r="A1287" s="67">
        <v>789</v>
      </c>
      <c r="B1287" s="68" t="s">
        <v>1646</v>
      </c>
      <c r="C1287" s="68" t="s">
        <v>1647</v>
      </c>
      <c r="D1287" s="68" t="s">
        <v>1667</v>
      </c>
      <c r="E1287" s="68"/>
      <c r="F1287" s="61" t="str">
        <f t="shared" si="76"/>
        <v>Nyondo</v>
      </c>
      <c r="G1287" s="61" t="str">
        <f t="shared" si="74"/>
        <v>Mbale</v>
      </c>
      <c r="H1287" s="68" t="s">
        <v>1667</v>
      </c>
    </row>
    <row r="1288" spans="1:8">
      <c r="A1288" s="67">
        <v>1230</v>
      </c>
      <c r="B1288" s="68" t="s">
        <v>1404</v>
      </c>
      <c r="C1288" s="68" t="s">
        <v>1405</v>
      </c>
      <c r="D1288" s="68" t="s">
        <v>1418</v>
      </c>
      <c r="E1288" s="68"/>
      <c r="F1288" s="61" t="str">
        <f t="shared" si="76"/>
        <v>Nyundo</v>
      </c>
      <c r="G1288" s="61" t="str">
        <f t="shared" si="74"/>
        <v>Kisoro</v>
      </c>
      <c r="H1288" s="68" t="s">
        <v>1418</v>
      </c>
    </row>
    <row r="1289" spans="1:8">
      <c r="A1289" s="67">
        <v>900</v>
      </c>
      <c r="B1289" s="68" t="s">
        <v>569</v>
      </c>
      <c r="C1289" s="68" t="s">
        <v>571</v>
      </c>
      <c r="D1289" s="68" t="s">
        <v>579</v>
      </c>
      <c r="E1289" s="68"/>
      <c r="F1289" s="61" t="str">
        <f t="shared" si="76"/>
        <v>Obalanga</v>
      </c>
      <c r="G1289" s="61" t="str">
        <f t="shared" si="74"/>
        <v>Amuria</v>
      </c>
      <c r="H1289" s="68" t="s">
        <v>579</v>
      </c>
    </row>
    <row r="1290" spans="1:8">
      <c r="A1290" s="67">
        <v>844</v>
      </c>
      <c r="B1290" s="68" t="s">
        <v>1010</v>
      </c>
      <c r="C1290" s="68" t="s">
        <v>1010</v>
      </c>
      <c r="D1290" s="68" t="s">
        <v>1019</v>
      </c>
      <c r="E1290" s="68"/>
      <c r="F1290" s="61" t="str">
        <f t="shared" si="76"/>
        <v>Ochero</v>
      </c>
      <c r="G1290" s="61" t="str">
        <f t="shared" ref="G1290:G1353" si="77">B1290</f>
        <v>Kaberamaido</v>
      </c>
      <c r="H1290" s="68" t="s">
        <v>1019</v>
      </c>
    </row>
    <row r="1291" spans="1:8">
      <c r="A1291" s="67">
        <v>309</v>
      </c>
      <c r="B1291" s="68" t="s">
        <v>549</v>
      </c>
      <c r="C1291" s="68" t="s">
        <v>549</v>
      </c>
      <c r="D1291" s="68" t="s">
        <v>1920</v>
      </c>
      <c r="E1291" s="68"/>
      <c r="F1291" s="61" t="str">
        <f t="shared" si="76"/>
        <v>Odek</v>
      </c>
      <c r="G1291" s="61" t="str">
        <f t="shared" si="77"/>
        <v>Omoro</v>
      </c>
      <c r="H1291" s="68" t="s">
        <v>1920</v>
      </c>
    </row>
    <row r="1292" spans="1:8">
      <c r="A1292" s="67">
        <v>148</v>
      </c>
      <c r="B1292" s="68" t="s">
        <v>2183</v>
      </c>
      <c r="C1292" s="68" t="s">
        <v>2184</v>
      </c>
      <c r="D1292" s="68" t="s">
        <v>2194</v>
      </c>
      <c r="E1292" s="68"/>
      <c r="F1292" s="61" t="str">
        <f t="shared" si="76"/>
        <v>Odravu</v>
      </c>
      <c r="G1292" s="61" t="str">
        <f t="shared" si="77"/>
        <v>Yumbe</v>
      </c>
      <c r="H1292" s="68" t="s">
        <v>2194</v>
      </c>
    </row>
    <row r="1293" spans="1:8">
      <c r="A1293" s="67">
        <v>44</v>
      </c>
      <c r="B1293" s="68" t="s">
        <v>606</v>
      </c>
      <c r="C1293" s="68" t="s">
        <v>609</v>
      </c>
      <c r="D1293" s="68" t="s">
        <v>624</v>
      </c>
      <c r="E1293" s="68"/>
      <c r="F1293" s="61" t="str">
        <f t="shared" si="76"/>
        <v>Odupi</v>
      </c>
      <c r="G1293" s="61" t="str">
        <f t="shared" si="77"/>
        <v>Arua</v>
      </c>
      <c r="H1293" s="68" t="s">
        <v>624</v>
      </c>
    </row>
    <row r="1294" spans="1:8">
      <c r="A1294" s="67">
        <v>33</v>
      </c>
      <c r="B1294" s="68" t="s">
        <v>606</v>
      </c>
      <c r="C1294" s="68" t="s">
        <v>613</v>
      </c>
      <c r="D1294" s="68" t="s">
        <v>625</v>
      </c>
      <c r="E1294" s="68"/>
      <c r="F1294" s="61" t="str">
        <f t="shared" si="76"/>
        <v>Offaka</v>
      </c>
      <c r="G1294" s="61" t="str">
        <f t="shared" si="77"/>
        <v>Arua</v>
      </c>
      <c r="H1294" s="68" t="s">
        <v>625</v>
      </c>
    </row>
    <row r="1295" spans="1:8">
      <c r="A1295" s="67">
        <v>7</v>
      </c>
      <c r="B1295" s="68" t="s">
        <v>511</v>
      </c>
      <c r="C1295" s="68" t="s">
        <v>512</v>
      </c>
      <c r="D1295" s="68" t="s">
        <v>518</v>
      </c>
      <c r="E1295" s="68"/>
      <c r="F1295" s="61" t="str">
        <f t="shared" si="76"/>
        <v>Ofua</v>
      </c>
      <c r="G1295" s="61" t="str">
        <f t="shared" si="77"/>
        <v>Adjumani</v>
      </c>
      <c r="H1295" s="68" t="s">
        <v>518</v>
      </c>
    </row>
    <row r="1296" spans="1:8">
      <c r="A1296" s="67">
        <v>34</v>
      </c>
      <c r="B1296" s="68" t="s">
        <v>606</v>
      </c>
      <c r="C1296" s="68" t="s">
        <v>613</v>
      </c>
      <c r="D1296" s="68" t="s">
        <v>626</v>
      </c>
      <c r="E1296" s="68"/>
      <c r="F1296" s="61" t="str">
        <f t="shared" si="76"/>
        <v>Ogoko</v>
      </c>
      <c r="G1296" s="61" t="str">
        <f t="shared" si="77"/>
        <v>Arua</v>
      </c>
      <c r="H1296" s="68" t="s">
        <v>626</v>
      </c>
    </row>
    <row r="1297" spans="1:8">
      <c r="A1297" s="67">
        <v>893</v>
      </c>
      <c r="B1297" s="68" t="s">
        <v>569</v>
      </c>
      <c r="C1297" s="68" t="s">
        <v>569</v>
      </c>
      <c r="D1297" s="68" t="s">
        <v>580</v>
      </c>
      <c r="E1297" s="68"/>
      <c r="F1297" s="61" t="str">
        <f t="shared" si="76"/>
        <v>Ogolai</v>
      </c>
      <c r="G1297" s="61" t="str">
        <f t="shared" si="77"/>
        <v>Amuria</v>
      </c>
      <c r="H1297" s="68" t="s">
        <v>580</v>
      </c>
    </row>
    <row r="1298" spans="1:8">
      <c r="A1298" s="67">
        <v>133</v>
      </c>
      <c r="B1298" s="68" t="s">
        <v>1946</v>
      </c>
      <c r="C1298" s="68" t="s">
        <v>1947</v>
      </c>
      <c r="D1298" s="68" t="s">
        <v>1954</v>
      </c>
      <c r="E1298" s="68"/>
      <c r="F1298" s="61" t="str">
        <f t="shared" si="76"/>
        <v>Ogom</v>
      </c>
      <c r="G1298" s="61" t="str">
        <f t="shared" si="77"/>
        <v>Pader</v>
      </c>
      <c r="H1298" s="68" t="s">
        <v>1954</v>
      </c>
    </row>
    <row r="1299" spans="1:8">
      <c r="A1299" s="67">
        <v>289</v>
      </c>
      <c r="B1299" s="68" t="s">
        <v>1924</v>
      </c>
      <c r="C1299" s="68" t="s">
        <v>1924</v>
      </c>
      <c r="D1299" s="68" t="s">
        <v>1926</v>
      </c>
      <c r="E1299" s="68"/>
      <c r="F1299" s="61" t="str">
        <f t="shared" si="76"/>
        <v>Ogor</v>
      </c>
      <c r="G1299" s="61" t="str">
        <f t="shared" si="77"/>
        <v>Otuke</v>
      </c>
      <c r="H1299" s="68" t="s">
        <v>1926</v>
      </c>
    </row>
    <row r="1300" spans="1:8">
      <c r="A1300" s="67">
        <v>87</v>
      </c>
      <c r="B1300" s="68" t="s">
        <v>1536</v>
      </c>
      <c r="C1300" s="68" t="s">
        <v>1537</v>
      </c>
      <c r="D1300" s="68" t="s">
        <v>1545</v>
      </c>
      <c r="E1300" s="68"/>
      <c r="F1300" s="61" t="str">
        <f t="shared" si="76"/>
        <v>Ogur</v>
      </c>
      <c r="G1300" s="61" t="str">
        <f t="shared" si="77"/>
        <v>Lira</v>
      </c>
      <c r="H1300" s="68" t="s">
        <v>1545</v>
      </c>
    </row>
    <row r="1301" spans="1:8">
      <c r="A1301" s="67">
        <v>290</v>
      </c>
      <c r="B1301" s="68" t="s">
        <v>1924</v>
      </c>
      <c r="C1301" s="68" t="s">
        <v>1924</v>
      </c>
      <c r="D1301" s="68" t="s">
        <v>1927</v>
      </c>
      <c r="E1301" s="68"/>
      <c r="F1301" s="61" t="str">
        <f t="shared" si="76"/>
        <v>Ogwette</v>
      </c>
      <c r="G1301" s="61" t="str">
        <f t="shared" si="77"/>
        <v>Otuke</v>
      </c>
      <c r="H1301" s="68" t="s">
        <v>1927</v>
      </c>
    </row>
    <row r="1302" spans="1:8">
      <c r="A1302" s="67">
        <v>90</v>
      </c>
      <c r="B1302" s="68" t="s">
        <v>1536</v>
      </c>
      <c r="C1302" s="69" t="s">
        <v>1543</v>
      </c>
      <c r="D1302" s="68" t="s">
        <v>2356</v>
      </c>
      <c r="E1302" s="68"/>
      <c r="F1302" s="62" t="str">
        <f>VLOOKUP(C1302,[2]Municipalities!$C$9:$F$1522,4,FALSE)</f>
        <v>Lira Municipality</v>
      </c>
      <c r="G1302" s="61" t="str">
        <f t="shared" si="77"/>
        <v>Lira</v>
      </c>
      <c r="H1302" s="68" t="s">
        <v>2356</v>
      </c>
    </row>
    <row r="1303" spans="1:8">
      <c r="A1303" s="67">
        <v>35</v>
      </c>
      <c r="B1303" s="68" t="s">
        <v>606</v>
      </c>
      <c r="C1303" s="68" t="s">
        <v>613</v>
      </c>
      <c r="D1303" s="68" t="s">
        <v>627</v>
      </c>
      <c r="E1303" s="68"/>
      <c r="F1303" s="61" t="str">
        <f t="shared" si="76"/>
        <v>Okollo</v>
      </c>
      <c r="G1303" s="61" t="str">
        <f t="shared" si="77"/>
        <v>Arua</v>
      </c>
      <c r="H1303" s="68" t="s">
        <v>627</v>
      </c>
    </row>
    <row r="1304" spans="1:8">
      <c r="A1304" s="67">
        <v>901</v>
      </c>
      <c r="B1304" s="68" t="s">
        <v>569</v>
      </c>
      <c r="C1304" s="68" t="s">
        <v>571</v>
      </c>
      <c r="D1304" s="68" t="s">
        <v>581</v>
      </c>
      <c r="E1304" s="68"/>
      <c r="F1304" s="61" t="str">
        <f t="shared" si="76"/>
        <v>Okungur</v>
      </c>
      <c r="G1304" s="61" t="str">
        <f t="shared" si="77"/>
        <v>Amuria</v>
      </c>
      <c r="H1304" s="68" t="s">
        <v>581</v>
      </c>
    </row>
    <row r="1305" spans="1:8">
      <c r="A1305" s="67">
        <v>182</v>
      </c>
      <c r="B1305" s="68" t="s">
        <v>859</v>
      </c>
      <c r="C1305" s="68" t="s">
        <v>859</v>
      </c>
      <c r="D1305" s="68" t="s">
        <v>867</v>
      </c>
      <c r="E1305" s="68"/>
      <c r="F1305" s="61" t="str">
        <f t="shared" si="76"/>
        <v>Okwalongwen</v>
      </c>
      <c r="G1305" s="61" t="str">
        <f t="shared" si="77"/>
        <v>Dokolo</v>
      </c>
      <c r="H1305" s="68" t="s">
        <v>867</v>
      </c>
    </row>
    <row r="1306" spans="1:8">
      <c r="A1306" s="67">
        <v>291</v>
      </c>
      <c r="B1306" s="68" t="s">
        <v>1924</v>
      </c>
      <c r="C1306" s="68" t="s">
        <v>1924</v>
      </c>
      <c r="D1306" s="68" t="s">
        <v>1928</v>
      </c>
      <c r="E1306" s="68"/>
      <c r="F1306" s="61" t="str">
        <f t="shared" si="76"/>
        <v>Okwang</v>
      </c>
      <c r="G1306" s="61" t="str">
        <f t="shared" si="77"/>
        <v>Otuke</v>
      </c>
      <c r="H1306" s="68" t="s">
        <v>1928</v>
      </c>
    </row>
    <row r="1307" spans="1:8">
      <c r="A1307" s="67">
        <v>262</v>
      </c>
      <c r="B1307" s="68" t="s">
        <v>1441</v>
      </c>
      <c r="C1307" s="68" t="s">
        <v>1441</v>
      </c>
      <c r="D1307" s="68" t="s">
        <v>1447</v>
      </c>
      <c r="E1307" s="68"/>
      <c r="F1307" s="61" t="str">
        <f t="shared" si="76"/>
        <v>Okwerodot</v>
      </c>
      <c r="G1307" s="61" t="str">
        <f t="shared" si="77"/>
        <v>Kole</v>
      </c>
      <c r="H1307" s="68" t="s">
        <v>1447</v>
      </c>
    </row>
    <row r="1308" spans="1:8">
      <c r="A1308" s="67">
        <v>183</v>
      </c>
      <c r="B1308" s="68" t="s">
        <v>859</v>
      </c>
      <c r="C1308" s="68" t="s">
        <v>859</v>
      </c>
      <c r="D1308" s="68" t="s">
        <v>868</v>
      </c>
      <c r="E1308" s="68"/>
      <c r="F1308" s="61" t="str">
        <f t="shared" si="76"/>
        <v>Okwongodul</v>
      </c>
      <c r="G1308" s="61" t="str">
        <f t="shared" si="77"/>
        <v>Dokolo</v>
      </c>
      <c r="H1308" s="68" t="s">
        <v>868</v>
      </c>
    </row>
    <row r="1309" spans="1:8">
      <c r="A1309" s="67">
        <v>210</v>
      </c>
      <c r="B1309" s="68" t="s">
        <v>1602</v>
      </c>
      <c r="C1309" s="68" t="s">
        <v>1602</v>
      </c>
      <c r="D1309" s="68" t="s">
        <v>1605</v>
      </c>
      <c r="E1309" s="68"/>
      <c r="F1309" s="61" t="str">
        <f t="shared" si="76"/>
        <v>Oleba</v>
      </c>
      <c r="G1309" s="61" t="str">
        <f t="shared" si="77"/>
        <v>Maracha</v>
      </c>
      <c r="H1309" s="68" t="s">
        <v>1605</v>
      </c>
    </row>
    <row r="1310" spans="1:8">
      <c r="A1310" s="67">
        <v>292</v>
      </c>
      <c r="B1310" s="68" t="s">
        <v>1924</v>
      </c>
      <c r="C1310" s="68" t="s">
        <v>1924</v>
      </c>
      <c r="D1310" s="68" t="s">
        <v>1929</v>
      </c>
      <c r="E1310" s="68"/>
      <c r="F1310" s="61" t="str">
        <f t="shared" si="76"/>
        <v>Olilim</v>
      </c>
      <c r="G1310" s="61" t="str">
        <f t="shared" si="77"/>
        <v>Otuke</v>
      </c>
      <c r="H1310" s="68" t="s">
        <v>1929</v>
      </c>
    </row>
    <row r="1311" spans="1:8">
      <c r="A1311" s="67">
        <v>1076</v>
      </c>
      <c r="B1311" s="68" t="s">
        <v>2030</v>
      </c>
      <c r="C1311" s="68" t="s">
        <v>2030</v>
      </c>
      <c r="D1311" s="68" t="s">
        <v>2038</v>
      </c>
      <c r="E1311" s="68"/>
      <c r="F1311" s="61" t="str">
        <f t="shared" si="76"/>
        <v>Olio</v>
      </c>
      <c r="G1311" s="61" t="str">
        <f t="shared" si="77"/>
        <v>Serere</v>
      </c>
      <c r="H1311" s="68" t="s">
        <v>2038</v>
      </c>
    </row>
    <row r="1312" spans="1:8">
      <c r="A1312" s="67">
        <v>798</v>
      </c>
      <c r="B1312" s="68" t="s">
        <v>1966</v>
      </c>
      <c r="C1312" s="68" t="s">
        <v>1966</v>
      </c>
      <c r="D1312" s="68" t="s">
        <v>1974</v>
      </c>
      <c r="E1312" s="68"/>
      <c r="F1312" s="61" t="str">
        <f t="shared" si="76"/>
        <v>Olok</v>
      </c>
      <c r="G1312" s="61" t="str">
        <f t="shared" si="77"/>
        <v>Pallisa</v>
      </c>
      <c r="H1312" s="68" t="s">
        <v>1974</v>
      </c>
    </row>
    <row r="1313" spans="1:8">
      <c r="A1313" s="67">
        <v>211</v>
      </c>
      <c r="B1313" s="68" t="s">
        <v>1602</v>
      </c>
      <c r="C1313" s="68" t="s">
        <v>1602</v>
      </c>
      <c r="D1313" s="68" t="s">
        <v>1606</v>
      </c>
      <c r="E1313" s="68"/>
      <c r="F1313" s="61" t="str">
        <f t="shared" si="76"/>
        <v>Oluffe</v>
      </c>
      <c r="G1313" s="61" t="str">
        <f t="shared" si="77"/>
        <v>Maracha</v>
      </c>
      <c r="H1313" s="68" t="s">
        <v>1606</v>
      </c>
    </row>
    <row r="1314" spans="1:8">
      <c r="A1314" s="67">
        <v>29</v>
      </c>
      <c r="B1314" s="68" t="s">
        <v>606</v>
      </c>
      <c r="C1314" s="68" t="s">
        <v>607</v>
      </c>
      <c r="D1314" s="68" t="s">
        <v>628</v>
      </c>
      <c r="E1314" s="68"/>
      <c r="F1314" s="61" t="str">
        <f t="shared" si="76"/>
        <v>Oluko</v>
      </c>
      <c r="G1314" s="61" t="str">
        <f t="shared" si="77"/>
        <v>Arua</v>
      </c>
      <c r="H1314" s="68" t="s">
        <v>628</v>
      </c>
    </row>
    <row r="1315" spans="1:8">
      <c r="A1315" s="67">
        <v>212</v>
      </c>
      <c r="B1315" s="68" t="s">
        <v>1602</v>
      </c>
      <c r="C1315" s="68" t="s">
        <v>1602</v>
      </c>
      <c r="D1315" s="68" t="s">
        <v>1607</v>
      </c>
      <c r="E1315" s="68"/>
      <c r="F1315" s="61" t="str">
        <f t="shared" si="76"/>
        <v>Oluvu</v>
      </c>
      <c r="G1315" s="61" t="str">
        <f t="shared" si="77"/>
        <v>Maracha</v>
      </c>
      <c r="H1315" s="68" t="s">
        <v>1607</v>
      </c>
    </row>
    <row r="1316" spans="1:8">
      <c r="A1316" s="67">
        <v>65</v>
      </c>
      <c r="B1316" s="68" t="s">
        <v>1421</v>
      </c>
      <c r="C1316" s="68" t="s">
        <v>1422</v>
      </c>
      <c r="D1316" s="68" t="s">
        <v>1430</v>
      </c>
      <c r="E1316" s="68"/>
      <c r="F1316" s="61" t="str">
        <f t="shared" si="76"/>
        <v>Omiya Anyima</v>
      </c>
      <c r="G1316" s="61" t="str">
        <f t="shared" si="77"/>
        <v>Kitgum</v>
      </c>
      <c r="H1316" s="68" t="s">
        <v>1430</v>
      </c>
    </row>
    <row r="1317" spans="1:8">
      <c r="A1317" s="67">
        <v>236</v>
      </c>
      <c r="B1317" s="68" t="s">
        <v>523</v>
      </c>
      <c r="C1317" s="68" t="s">
        <v>523</v>
      </c>
      <c r="D1317" s="68" t="s">
        <v>532</v>
      </c>
      <c r="E1317" s="68"/>
      <c r="F1317" s="61" t="str">
        <f t="shared" si="76"/>
        <v>Omiya Pacwa</v>
      </c>
      <c r="G1317" s="61" t="str">
        <f t="shared" si="77"/>
        <v>Agago</v>
      </c>
      <c r="H1317" s="68" t="s">
        <v>532</v>
      </c>
    </row>
    <row r="1318" spans="1:8">
      <c r="A1318" s="67">
        <v>755</v>
      </c>
      <c r="B1318" s="68" t="s">
        <v>1325</v>
      </c>
      <c r="C1318" s="68" t="s">
        <v>1326</v>
      </c>
      <c r="D1318" s="68" t="s">
        <v>1331</v>
      </c>
      <c r="E1318" s="68"/>
      <c r="F1318" s="61" t="str">
        <f t="shared" si="76"/>
        <v>Omodoi</v>
      </c>
      <c r="G1318" s="61" t="str">
        <f t="shared" si="77"/>
        <v>Katakwi</v>
      </c>
      <c r="H1318" s="68" t="s">
        <v>1331</v>
      </c>
    </row>
    <row r="1319" spans="1:8">
      <c r="A1319" s="67">
        <v>251</v>
      </c>
      <c r="B1319" s="68" t="s">
        <v>540</v>
      </c>
      <c r="C1319" s="68" t="s">
        <v>541</v>
      </c>
      <c r="D1319" s="68" t="s">
        <v>549</v>
      </c>
      <c r="E1319" s="68"/>
      <c r="F1319" s="61" t="str">
        <f t="shared" si="76"/>
        <v>Omoro</v>
      </c>
      <c r="G1319" s="61" t="str">
        <f t="shared" si="77"/>
        <v>Alebtong</v>
      </c>
      <c r="H1319" s="68" t="s">
        <v>549</v>
      </c>
    </row>
    <row r="1320" spans="1:8">
      <c r="A1320" s="67">
        <v>311</v>
      </c>
      <c r="B1320" s="68" t="s">
        <v>549</v>
      </c>
      <c r="C1320" s="68" t="s">
        <v>549</v>
      </c>
      <c r="D1320" s="68" t="s">
        <v>1921</v>
      </c>
      <c r="E1320" s="68"/>
      <c r="F1320" s="61" t="str">
        <f t="shared" si="76"/>
        <v>Omoro Town Council</v>
      </c>
      <c r="G1320" s="61" t="str">
        <f t="shared" si="77"/>
        <v>Omoro</v>
      </c>
      <c r="H1320" s="68" t="s">
        <v>1921</v>
      </c>
    </row>
    <row r="1321" spans="1:8">
      <c r="A1321" s="67">
        <v>237</v>
      </c>
      <c r="B1321" s="68" t="s">
        <v>523</v>
      </c>
      <c r="C1321" s="68" t="s">
        <v>523</v>
      </c>
      <c r="D1321" s="68" t="s">
        <v>533</v>
      </c>
      <c r="E1321" s="68"/>
      <c r="F1321" s="61" t="str">
        <f t="shared" si="76"/>
        <v>Omot</v>
      </c>
      <c r="G1321" s="61" t="str">
        <f t="shared" si="77"/>
        <v>Agago</v>
      </c>
      <c r="H1321" s="68" t="s">
        <v>533</v>
      </c>
    </row>
    <row r="1322" spans="1:8">
      <c r="A1322" s="67">
        <v>43</v>
      </c>
      <c r="B1322" s="68" t="s">
        <v>606</v>
      </c>
      <c r="C1322" s="68" t="s">
        <v>609</v>
      </c>
      <c r="D1322" s="68" t="s">
        <v>629</v>
      </c>
      <c r="E1322" s="68"/>
      <c r="F1322" s="61" t="str">
        <f t="shared" si="76"/>
        <v>Omugo</v>
      </c>
      <c r="G1322" s="61" t="str">
        <f t="shared" si="77"/>
        <v>Arua</v>
      </c>
      <c r="H1322" s="68" t="s">
        <v>629</v>
      </c>
    </row>
    <row r="1323" spans="1:8">
      <c r="A1323" s="67">
        <v>310</v>
      </c>
      <c r="B1323" s="68" t="s">
        <v>549</v>
      </c>
      <c r="C1323" s="68" t="s">
        <v>549</v>
      </c>
      <c r="D1323" s="68" t="s">
        <v>1922</v>
      </c>
      <c r="E1323" s="68"/>
      <c r="F1323" s="61" t="str">
        <f t="shared" si="76"/>
        <v>Ongako</v>
      </c>
      <c r="G1323" s="61" t="str">
        <f t="shared" si="77"/>
        <v>Omoro</v>
      </c>
      <c r="H1323" s="68" t="s">
        <v>1922</v>
      </c>
    </row>
    <row r="1324" spans="1:8">
      <c r="A1324" s="67">
        <v>768</v>
      </c>
      <c r="B1324" s="68" t="s">
        <v>1456</v>
      </c>
      <c r="C1324" s="68" t="s">
        <v>1456</v>
      </c>
      <c r="D1324" s="68" t="s">
        <v>1461</v>
      </c>
      <c r="E1324" s="68"/>
      <c r="F1324" s="61" t="str">
        <f t="shared" si="76"/>
        <v>Ongino</v>
      </c>
      <c r="G1324" s="61" t="str">
        <f t="shared" si="77"/>
        <v>Kumi</v>
      </c>
      <c r="H1324" s="68" t="s">
        <v>1461</v>
      </c>
    </row>
    <row r="1325" spans="1:8">
      <c r="A1325" s="67">
        <v>760</v>
      </c>
      <c r="B1325" s="68" t="s">
        <v>1325</v>
      </c>
      <c r="C1325" s="68" t="s">
        <v>1327</v>
      </c>
      <c r="D1325" s="68" t="s">
        <v>1332</v>
      </c>
      <c r="E1325" s="68"/>
      <c r="F1325" s="61" t="str">
        <f t="shared" si="76"/>
        <v>Ongongoja</v>
      </c>
      <c r="G1325" s="61" t="str">
        <f t="shared" si="77"/>
        <v>Katakwi</v>
      </c>
      <c r="H1325" s="68" t="s">
        <v>1332</v>
      </c>
    </row>
    <row r="1326" spans="1:8" ht="25.5">
      <c r="A1326" s="67">
        <v>1083</v>
      </c>
      <c r="B1326" s="68" t="s">
        <v>832</v>
      </c>
      <c r="C1326" s="68" t="s">
        <v>833</v>
      </c>
      <c r="D1326" s="68" t="s">
        <v>838</v>
      </c>
      <c r="E1326" s="68"/>
      <c r="F1326" s="61" t="str">
        <f t="shared" si="76"/>
        <v>Opwateta</v>
      </c>
      <c r="G1326" s="61" t="str">
        <f t="shared" si="77"/>
        <v>Butebo</v>
      </c>
      <c r="H1326" s="68" t="s">
        <v>838</v>
      </c>
    </row>
    <row r="1327" spans="1:8">
      <c r="A1327" s="67">
        <v>66</v>
      </c>
      <c r="B1327" s="68" t="s">
        <v>1421</v>
      </c>
      <c r="C1327" s="68" t="s">
        <v>1422</v>
      </c>
      <c r="D1327" s="68" t="s">
        <v>1431</v>
      </c>
      <c r="E1327" s="68"/>
      <c r="F1327" s="61" t="str">
        <f t="shared" si="76"/>
        <v>Orom</v>
      </c>
      <c r="G1327" s="61" t="str">
        <f t="shared" si="77"/>
        <v>Kitgum</v>
      </c>
      <c r="H1327" s="68" t="s">
        <v>1431</v>
      </c>
    </row>
    <row r="1328" spans="1:8">
      <c r="A1328" s="67">
        <v>1386</v>
      </c>
      <c r="B1328" s="68" t="s">
        <v>47</v>
      </c>
      <c r="C1328" s="68" t="s">
        <v>47</v>
      </c>
      <c r="D1328" s="68" t="s">
        <v>947</v>
      </c>
      <c r="E1328" s="68"/>
      <c r="F1328" s="61" t="str">
        <f t="shared" si="76"/>
        <v>Oruchinga Refugee Camp</v>
      </c>
      <c r="G1328" s="61" t="str">
        <f t="shared" si="77"/>
        <v>Isingiro</v>
      </c>
      <c r="H1328" s="68" t="s">
        <v>947</v>
      </c>
    </row>
    <row r="1329" spans="1:9">
      <c r="A1329" s="67">
        <v>293</v>
      </c>
      <c r="B1329" s="68" t="s">
        <v>1924</v>
      </c>
      <c r="C1329" s="68" t="s">
        <v>1924</v>
      </c>
      <c r="D1329" s="68" t="s">
        <v>1930</v>
      </c>
      <c r="E1329" s="68"/>
      <c r="F1329" s="61" t="str">
        <f t="shared" si="76"/>
        <v>Orum</v>
      </c>
      <c r="G1329" s="61" t="str">
        <f t="shared" si="77"/>
        <v>Otuke</v>
      </c>
      <c r="H1329" s="68" t="s">
        <v>1930</v>
      </c>
    </row>
    <row r="1330" spans="1:9">
      <c r="A1330" s="67">
        <v>894</v>
      </c>
      <c r="B1330" s="68" t="s">
        <v>569</v>
      </c>
      <c r="C1330" s="68" t="s">
        <v>569</v>
      </c>
      <c r="D1330" s="68" t="s">
        <v>582</v>
      </c>
      <c r="E1330" s="68"/>
      <c r="F1330" s="61" t="str">
        <f t="shared" si="76"/>
        <v>Orungo</v>
      </c>
      <c r="G1330" s="61" t="str">
        <f t="shared" si="77"/>
        <v>Amuria</v>
      </c>
      <c r="H1330" s="68" t="s">
        <v>582</v>
      </c>
    </row>
    <row r="1331" spans="1:9">
      <c r="A1331" s="67">
        <v>824</v>
      </c>
      <c r="B1331" s="68" t="s">
        <v>2095</v>
      </c>
      <c r="C1331" s="68" t="s">
        <v>2095</v>
      </c>
      <c r="D1331" s="68" t="s">
        <v>2110</v>
      </c>
      <c r="E1331" s="68"/>
      <c r="F1331" s="61" t="str">
        <f t="shared" si="76"/>
        <v>Osukuru</v>
      </c>
      <c r="G1331" s="61" t="str">
        <f t="shared" si="77"/>
        <v>Tororo</v>
      </c>
      <c r="H1331" s="68" t="s">
        <v>2110</v>
      </c>
    </row>
    <row r="1332" spans="1:9">
      <c r="A1332" s="67">
        <v>850</v>
      </c>
      <c r="B1332" s="68" t="s">
        <v>1010</v>
      </c>
      <c r="C1332" s="68" t="s">
        <v>1012</v>
      </c>
      <c r="D1332" s="68" t="s">
        <v>1020</v>
      </c>
      <c r="E1332" s="68"/>
      <c r="F1332" s="61" t="str">
        <f t="shared" si="76"/>
        <v>Otuboi</v>
      </c>
      <c r="G1332" s="61" t="str">
        <f t="shared" si="77"/>
        <v>Kaberamaido</v>
      </c>
      <c r="H1332" s="68" t="s">
        <v>1020</v>
      </c>
    </row>
    <row r="1333" spans="1:9">
      <c r="A1333" s="67">
        <v>294</v>
      </c>
      <c r="B1333" s="68" t="s">
        <v>1924</v>
      </c>
      <c r="C1333" s="68" t="s">
        <v>1924</v>
      </c>
      <c r="D1333" s="68" t="s">
        <v>1931</v>
      </c>
      <c r="E1333" s="68"/>
      <c r="F1333" s="61" t="str">
        <f t="shared" si="76"/>
        <v>Otuke Town Council</v>
      </c>
      <c r="G1333" s="61" t="str">
        <f t="shared" si="77"/>
        <v>Otuke</v>
      </c>
      <c r="H1333" s="68" t="s">
        <v>1931</v>
      </c>
    </row>
    <row r="1334" spans="1:9">
      <c r="A1334" s="67">
        <v>225</v>
      </c>
      <c r="B1334" s="68" t="s">
        <v>1933</v>
      </c>
      <c r="C1334" s="68" t="s">
        <v>1933</v>
      </c>
      <c r="D1334" s="68" t="s">
        <v>1943</v>
      </c>
      <c r="E1334" s="68"/>
      <c r="F1334" s="61" t="str">
        <f t="shared" si="76"/>
        <v>Otwal</v>
      </c>
      <c r="G1334" s="61" t="str">
        <f t="shared" si="77"/>
        <v>Oyam</v>
      </c>
      <c r="H1334" s="68" t="s">
        <v>1943</v>
      </c>
    </row>
    <row r="1335" spans="1:9">
      <c r="A1335" s="67">
        <v>226</v>
      </c>
      <c r="B1335" s="68" t="s">
        <v>1933</v>
      </c>
      <c r="C1335" s="68" t="s">
        <v>1933</v>
      </c>
      <c r="D1335" s="68" t="s">
        <v>1944</v>
      </c>
      <c r="E1335" s="68"/>
      <c r="F1335" s="61" t="str">
        <f t="shared" si="76"/>
        <v>Oyam Town Council</v>
      </c>
      <c r="G1335" s="61" t="str">
        <f t="shared" si="77"/>
        <v>Oyam</v>
      </c>
      <c r="H1335" s="68" t="s">
        <v>1944</v>
      </c>
    </row>
    <row r="1336" spans="1:9">
      <c r="A1336" s="67">
        <v>1492</v>
      </c>
      <c r="B1336" s="68" t="s">
        <v>1022</v>
      </c>
      <c r="C1336" s="68" t="s">
        <v>1023</v>
      </c>
      <c r="D1336" s="68" t="s">
        <v>1037</v>
      </c>
      <c r="E1336" s="68"/>
      <c r="F1336" s="61" t="str">
        <f t="shared" si="76"/>
        <v>Paacwa</v>
      </c>
      <c r="G1336" s="61" t="str">
        <f t="shared" si="77"/>
        <v>Kagadi</v>
      </c>
      <c r="H1336" s="68" t="s">
        <v>1037</v>
      </c>
    </row>
    <row r="1337" spans="1:9">
      <c r="A1337" s="67">
        <v>172</v>
      </c>
      <c r="B1337" s="68" t="s">
        <v>585</v>
      </c>
      <c r="C1337" s="68" t="s">
        <v>586</v>
      </c>
      <c r="D1337" s="68" t="s">
        <v>590</v>
      </c>
      <c r="E1337" s="68"/>
      <c r="F1337" s="61" t="str">
        <f t="shared" si="76"/>
        <v>Pabo</v>
      </c>
      <c r="G1337" s="61" t="str">
        <f t="shared" si="77"/>
        <v>Amuru</v>
      </c>
      <c r="H1337" s="68" t="s">
        <v>590</v>
      </c>
    </row>
    <row r="1338" spans="1:9">
      <c r="A1338" s="67">
        <v>9</v>
      </c>
      <c r="B1338" s="68" t="s">
        <v>511</v>
      </c>
      <c r="C1338" s="68" t="s">
        <v>512</v>
      </c>
      <c r="D1338" s="68" t="s">
        <v>519</v>
      </c>
      <c r="E1338" s="68"/>
      <c r="F1338" s="61" t="str">
        <f t="shared" si="76"/>
        <v>Pacara</v>
      </c>
      <c r="G1338" s="61" t="str">
        <f t="shared" si="77"/>
        <v>Adjumani</v>
      </c>
      <c r="H1338" s="68" t="s">
        <v>519</v>
      </c>
    </row>
    <row r="1339" spans="1:9">
      <c r="A1339" s="67">
        <v>134</v>
      </c>
      <c r="B1339" s="68" t="s">
        <v>1946</v>
      </c>
      <c r="C1339" s="68" t="s">
        <v>1947</v>
      </c>
      <c r="D1339" s="68" t="s">
        <v>1946</v>
      </c>
      <c r="E1339" s="68"/>
      <c r="F1339" s="61" t="str">
        <f t="shared" si="76"/>
        <v>Pader</v>
      </c>
      <c r="G1339" s="61" t="str">
        <f t="shared" si="77"/>
        <v>Pader</v>
      </c>
      <c r="H1339" s="68" t="s">
        <v>1946</v>
      </c>
    </row>
    <row r="1340" spans="1:9">
      <c r="A1340" s="67">
        <v>135</v>
      </c>
      <c r="B1340" s="68" t="s">
        <v>1946</v>
      </c>
      <c r="C1340" s="68" t="s">
        <v>1947</v>
      </c>
      <c r="D1340" s="68" t="s">
        <v>1955</v>
      </c>
      <c r="E1340" s="68"/>
      <c r="F1340" s="61" t="str">
        <f t="shared" si="76"/>
        <v>Pader Town Council</v>
      </c>
      <c r="G1340" s="61" t="str">
        <f t="shared" si="77"/>
        <v>Pader</v>
      </c>
      <c r="H1340" s="68" t="s">
        <v>1955</v>
      </c>
    </row>
    <row r="1341" spans="1:9">
      <c r="A1341" s="67">
        <v>269</v>
      </c>
      <c r="B1341" s="68" t="s">
        <v>1528</v>
      </c>
      <c r="C1341" s="68" t="s">
        <v>1528</v>
      </c>
      <c r="D1341" s="72" t="s">
        <v>2357</v>
      </c>
      <c r="E1341" s="68"/>
      <c r="F1341" s="72" t="s">
        <v>1532</v>
      </c>
      <c r="G1341" s="61" t="str">
        <f t="shared" si="77"/>
        <v>Lamwo</v>
      </c>
      <c r="H1341" s="72" t="s">
        <v>2357</v>
      </c>
    </row>
    <row r="1342" spans="1:9">
      <c r="A1342" s="67">
        <v>273</v>
      </c>
      <c r="B1342" s="68" t="s">
        <v>1528</v>
      </c>
      <c r="C1342" s="68" t="s">
        <v>1528</v>
      </c>
      <c r="D1342" s="68" t="s">
        <v>2358</v>
      </c>
      <c r="E1342" s="68"/>
      <c r="F1342" s="72" t="s">
        <v>1532</v>
      </c>
      <c r="G1342" s="61" t="str">
        <f t="shared" si="77"/>
        <v>Lamwo</v>
      </c>
      <c r="H1342" s="68" t="s">
        <v>2358</v>
      </c>
      <c r="I1342" s="73" t="s">
        <v>2256</v>
      </c>
    </row>
    <row r="1343" spans="1:9">
      <c r="A1343" s="67">
        <v>267</v>
      </c>
      <c r="B1343" s="68" t="s">
        <v>1528</v>
      </c>
      <c r="C1343" s="68" t="s">
        <v>1528</v>
      </c>
      <c r="D1343" s="72" t="s">
        <v>2359</v>
      </c>
      <c r="E1343" s="68"/>
      <c r="F1343" s="72" t="s">
        <v>1532</v>
      </c>
      <c r="G1343" s="61" t="str">
        <f t="shared" si="77"/>
        <v>Lamwo</v>
      </c>
      <c r="H1343" s="72" t="s">
        <v>2359</v>
      </c>
      <c r="I1343" s="73" t="s">
        <v>2256</v>
      </c>
    </row>
    <row r="1344" spans="1:9" ht="25.5">
      <c r="A1344" s="67">
        <v>68</v>
      </c>
      <c r="B1344" s="68" t="s">
        <v>1421</v>
      </c>
      <c r="C1344" s="69" t="s">
        <v>1423</v>
      </c>
      <c r="D1344" s="68" t="s">
        <v>2360</v>
      </c>
      <c r="E1344" s="68"/>
      <c r="F1344" s="62" t="str">
        <f>VLOOKUP(C1344,[2]Municipalities!$C$9:$F$1522,4,FALSE)</f>
        <v>Kitgum Municipality</v>
      </c>
      <c r="G1344" s="61" t="str">
        <f t="shared" si="77"/>
        <v>Kitgum</v>
      </c>
      <c r="H1344" s="68" t="s">
        <v>2360</v>
      </c>
    </row>
    <row r="1345" spans="1:9">
      <c r="A1345" s="67">
        <v>52</v>
      </c>
      <c r="B1345" s="68" t="s">
        <v>876</v>
      </c>
      <c r="C1345" s="68" t="s">
        <v>877</v>
      </c>
      <c r="D1345" s="68" t="s">
        <v>881</v>
      </c>
      <c r="E1345" s="68"/>
      <c r="F1345" s="61" t="str">
        <f t="shared" ref="F1345:F1354" si="78">D1345</f>
        <v>Paicho</v>
      </c>
      <c r="G1345" s="61" t="str">
        <f t="shared" si="77"/>
        <v>Gulu</v>
      </c>
      <c r="H1345" s="68" t="s">
        <v>881</v>
      </c>
    </row>
    <row r="1346" spans="1:9">
      <c r="A1346" s="67">
        <v>300</v>
      </c>
      <c r="B1346" s="68" t="s">
        <v>2198</v>
      </c>
      <c r="C1346" s="68" t="s">
        <v>2199</v>
      </c>
      <c r="D1346" s="68" t="s">
        <v>2204</v>
      </c>
      <c r="E1346" s="68"/>
      <c r="F1346" s="61" t="str">
        <f t="shared" si="78"/>
        <v>Paidha</v>
      </c>
      <c r="G1346" s="61" t="str">
        <f t="shared" si="77"/>
        <v>Zombo</v>
      </c>
      <c r="H1346" s="68" t="s">
        <v>2204</v>
      </c>
    </row>
    <row r="1347" spans="1:9">
      <c r="A1347" s="67">
        <v>301</v>
      </c>
      <c r="B1347" s="68" t="s">
        <v>2198</v>
      </c>
      <c r="C1347" s="68" t="s">
        <v>2199</v>
      </c>
      <c r="D1347" s="68" t="s">
        <v>2205</v>
      </c>
      <c r="E1347" s="68"/>
      <c r="F1347" s="61" t="str">
        <f t="shared" si="78"/>
        <v>Paidha Town Council</v>
      </c>
      <c r="G1347" s="61" t="str">
        <f t="shared" si="77"/>
        <v>Zombo</v>
      </c>
      <c r="H1347" s="68" t="s">
        <v>2205</v>
      </c>
    </row>
    <row r="1348" spans="1:9">
      <c r="A1348" s="67">
        <v>238</v>
      </c>
      <c r="B1348" s="68" t="s">
        <v>523</v>
      </c>
      <c r="C1348" s="68" t="s">
        <v>523</v>
      </c>
      <c r="D1348" s="68" t="s">
        <v>534</v>
      </c>
      <c r="E1348" s="68"/>
      <c r="F1348" s="61" t="str">
        <f t="shared" si="78"/>
        <v>Paimol</v>
      </c>
      <c r="G1348" s="61" t="str">
        <f t="shared" si="77"/>
        <v>Agago</v>
      </c>
      <c r="H1348" s="68" t="s">
        <v>534</v>
      </c>
    </row>
    <row r="1349" spans="1:9">
      <c r="A1349" s="67">
        <v>136</v>
      </c>
      <c r="B1349" s="68" t="s">
        <v>1946</v>
      </c>
      <c r="C1349" s="68" t="s">
        <v>1947</v>
      </c>
      <c r="D1349" s="68" t="s">
        <v>1956</v>
      </c>
      <c r="E1349" s="68"/>
      <c r="F1349" s="61" t="str">
        <f t="shared" si="78"/>
        <v>Pajule</v>
      </c>
      <c r="G1349" s="61" t="str">
        <f t="shared" si="77"/>
        <v>Pader</v>
      </c>
      <c r="H1349" s="68" t="s">
        <v>1956</v>
      </c>
    </row>
    <row r="1350" spans="1:9">
      <c r="A1350" s="67">
        <v>30</v>
      </c>
      <c r="B1350" s="68" t="s">
        <v>606</v>
      </c>
      <c r="C1350" s="68" t="s">
        <v>607</v>
      </c>
      <c r="D1350" s="68" t="s">
        <v>630</v>
      </c>
      <c r="E1350" s="68"/>
      <c r="F1350" s="61" t="str">
        <f t="shared" si="78"/>
        <v>Pajulu</v>
      </c>
      <c r="G1350" s="61" t="str">
        <f t="shared" si="77"/>
        <v>Arua</v>
      </c>
      <c r="H1350" s="68" t="s">
        <v>630</v>
      </c>
    </row>
    <row r="1351" spans="1:9">
      <c r="A1351" s="67">
        <v>1239</v>
      </c>
      <c r="B1351" s="68" t="s">
        <v>1621</v>
      </c>
      <c r="C1351" s="68" t="s">
        <v>1625</v>
      </c>
      <c r="D1351" s="68" t="s">
        <v>1628</v>
      </c>
      <c r="E1351" s="68"/>
      <c r="F1351" s="61" t="str">
        <f t="shared" si="78"/>
        <v>Pakanyi</v>
      </c>
      <c r="G1351" s="61" t="str">
        <f t="shared" si="77"/>
        <v>Masindi</v>
      </c>
      <c r="H1351" s="68" t="s">
        <v>1628</v>
      </c>
    </row>
    <row r="1352" spans="1:9">
      <c r="A1352" s="67">
        <v>10</v>
      </c>
      <c r="B1352" s="68" t="s">
        <v>511</v>
      </c>
      <c r="C1352" s="68" t="s">
        <v>512</v>
      </c>
      <c r="D1352" s="68" t="s">
        <v>520</v>
      </c>
      <c r="E1352" s="68"/>
      <c r="F1352" s="61" t="str">
        <f t="shared" si="78"/>
        <v>Pakele</v>
      </c>
      <c r="G1352" s="61" t="str">
        <f t="shared" si="77"/>
        <v>Adjumani</v>
      </c>
      <c r="H1352" s="68" t="s">
        <v>520</v>
      </c>
    </row>
    <row r="1353" spans="1:9">
      <c r="A1353" s="67">
        <v>313</v>
      </c>
      <c r="B1353" s="68" t="s">
        <v>1959</v>
      </c>
      <c r="C1353" s="68" t="s">
        <v>1960</v>
      </c>
      <c r="D1353" s="68" t="s">
        <v>1959</v>
      </c>
      <c r="E1353" s="68"/>
      <c r="F1353" s="61" t="str">
        <f t="shared" si="78"/>
        <v>Pakwach</v>
      </c>
      <c r="G1353" s="61" t="str">
        <f t="shared" si="77"/>
        <v>Pakwach</v>
      </c>
      <c r="H1353" s="68" t="s">
        <v>1959</v>
      </c>
    </row>
    <row r="1354" spans="1:9">
      <c r="A1354" s="67">
        <v>314</v>
      </c>
      <c r="B1354" s="68" t="s">
        <v>1959</v>
      </c>
      <c r="C1354" s="68" t="s">
        <v>1960</v>
      </c>
      <c r="D1354" s="68" t="s">
        <v>1961</v>
      </c>
      <c r="E1354" s="68"/>
      <c r="F1354" s="61" t="str">
        <f t="shared" si="78"/>
        <v>Pakwach Town Council</v>
      </c>
      <c r="G1354" s="61" t="str">
        <f t="shared" ref="G1354:G1417" si="79">B1354</f>
        <v>Pakwach</v>
      </c>
      <c r="H1354" s="68" t="s">
        <v>1961</v>
      </c>
    </row>
    <row r="1355" spans="1:9">
      <c r="A1355" s="67">
        <v>265</v>
      </c>
      <c r="B1355" s="68" t="s">
        <v>1528</v>
      </c>
      <c r="C1355" s="68" t="s">
        <v>1528</v>
      </c>
      <c r="D1355" s="72" t="s">
        <v>2361</v>
      </c>
      <c r="E1355" s="68"/>
      <c r="F1355" s="72" t="s">
        <v>1533</v>
      </c>
      <c r="G1355" s="61" t="str">
        <f t="shared" si="79"/>
        <v>Lamwo</v>
      </c>
      <c r="H1355" s="72" t="s">
        <v>2361</v>
      </c>
    </row>
    <row r="1356" spans="1:9">
      <c r="A1356" s="67">
        <v>270</v>
      </c>
      <c r="B1356" s="68" t="s">
        <v>1528</v>
      </c>
      <c r="C1356" s="68" t="s">
        <v>1528</v>
      </c>
      <c r="D1356" s="72" t="s">
        <v>2362</v>
      </c>
      <c r="E1356" s="68"/>
      <c r="F1356" s="72" t="s">
        <v>1533</v>
      </c>
      <c r="G1356" s="61" t="str">
        <f t="shared" si="79"/>
        <v>Lamwo</v>
      </c>
      <c r="H1356" s="72" t="s">
        <v>2362</v>
      </c>
      <c r="I1356" s="73" t="s">
        <v>2256</v>
      </c>
    </row>
    <row r="1357" spans="1:9">
      <c r="A1357" s="67">
        <v>271</v>
      </c>
      <c r="B1357" s="68" t="s">
        <v>1528</v>
      </c>
      <c r="C1357" s="68" t="s">
        <v>1528</v>
      </c>
      <c r="D1357" s="72" t="s">
        <v>2363</v>
      </c>
      <c r="E1357" s="68"/>
      <c r="F1357" s="72" t="s">
        <v>1533</v>
      </c>
      <c r="G1357" s="61" t="str">
        <f t="shared" si="79"/>
        <v>Lamwo</v>
      </c>
      <c r="H1357" s="72" t="s">
        <v>2363</v>
      </c>
      <c r="I1357" s="73" t="s">
        <v>2256</v>
      </c>
    </row>
    <row r="1358" spans="1:9">
      <c r="A1358" s="67">
        <v>761</v>
      </c>
      <c r="B1358" s="68" t="s">
        <v>1325</v>
      </c>
      <c r="C1358" s="68" t="s">
        <v>1327</v>
      </c>
      <c r="D1358" s="68" t="s">
        <v>1333</v>
      </c>
      <c r="E1358" s="68"/>
      <c r="F1358" s="61" t="str">
        <f t="shared" ref="F1358:F1388" si="80">D1358</f>
        <v>Palam</v>
      </c>
      <c r="G1358" s="61" t="str">
        <f t="shared" si="79"/>
        <v>Katakwi</v>
      </c>
      <c r="H1358" s="68" t="s">
        <v>1333</v>
      </c>
    </row>
    <row r="1359" spans="1:9">
      <c r="A1359" s="67">
        <v>799</v>
      </c>
      <c r="B1359" s="68" t="s">
        <v>1966</v>
      </c>
      <c r="C1359" s="68" t="s">
        <v>1966</v>
      </c>
      <c r="D1359" s="68" t="s">
        <v>1966</v>
      </c>
      <c r="E1359" s="68"/>
      <c r="F1359" s="61" t="str">
        <f t="shared" si="80"/>
        <v>Pallisa</v>
      </c>
      <c r="G1359" s="61" t="str">
        <f t="shared" si="79"/>
        <v>Pallisa</v>
      </c>
      <c r="H1359" s="68" t="s">
        <v>1966</v>
      </c>
    </row>
    <row r="1360" spans="1:9">
      <c r="A1360" s="67">
        <v>800</v>
      </c>
      <c r="B1360" s="68" t="s">
        <v>1966</v>
      </c>
      <c r="C1360" s="68" t="s">
        <v>1966</v>
      </c>
      <c r="D1360" s="68" t="s">
        <v>1975</v>
      </c>
      <c r="E1360" s="68"/>
      <c r="F1360" s="61" t="str">
        <f t="shared" si="80"/>
        <v>Pallisa Town Council</v>
      </c>
      <c r="G1360" s="61" t="str">
        <f t="shared" si="79"/>
        <v>Pallisa</v>
      </c>
      <c r="H1360" s="68" t="s">
        <v>1975</v>
      </c>
    </row>
    <row r="1361" spans="1:8">
      <c r="A1361" s="67">
        <v>272</v>
      </c>
      <c r="B1361" s="68" t="s">
        <v>1528</v>
      </c>
      <c r="C1361" s="68" t="s">
        <v>1528</v>
      </c>
      <c r="D1361" s="68" t="s">
        <v>1534</v>
      </c>
      <c r="E1361" s="68"/>
      <c r="F1361" s="61" t="str">
        <f t="shared" si="80"/>
        <v>Paloga</v>
      </c>
      <c r="G1361" s="61" t="str">
        <f t="shared" si="79"/>
        <v>Lamwo</v>
      </c>
      <c r="H1361" s="68" t="s">
        <v>1534</v>
      </c>
    </row>
    <row r="1362" spans="1:8" ht="25.5">
      <c r="A1362" s="67">
        <v>69</v>
      </c>
      <c r="B1362" s="70" t="s">
        <v>1421</v>
      </c>
      <c r="C1362" s="71" t="s">
        <v>1423</v>
      </c>
      <c r="D1362" s="70" t="s">
        <v>2364</v>
      </c>
      <c r="E1362" s="70"/>
      <c r="F1362" s="62" t="str">
        <f>VLOOKUP(C1362,[2]Municipalities!$C$9:$F$1522,4,FALSE)</f>
        <v>Kitgum Municipality</v>
      </c>
      <c r="G1362" s="61" t="str">
        <f t="shared" si="79"/>
        <v>Kitgum</v>
      </c>
      <c r="H1362" s="70" t="s">
        <v>2364</v>
      </c>
    </row>
    <row r="1363" spans="1:8">
      <c r="A1363" s="67">
        <v>74</v>
      </c>
      <c r="B1363" s="68" t="s">
        <v>1449</v>
      </c>
      <c r="C1363" s="68" t="s">
        <v>1450</v>
      </c>
      <c r="D1363" s="68" t="s">
        <v>1453</v>
      </c>
      <c r="E1363" s="68"/>
      <c r="F1363" s="61" t="str">
        <f t="shared" si="80"/>
        <v>Panyangara</v>
      </c>
      <c r="G1363" s="61" t="str">
        <f t="shared" si="79"/>
        <v>Kotido</v>
      </c>
      <c r="H1363" s="68" t="s">
        <v>1453</v>
      </c>
    </row>
    <row r="1364" spans="1:8">
      <c r="A1364" s="67">
        <v>315</v>
      </c>
      <c r="B1364" s="68" t="s">
        <v>1959</v>
      </c>
      <c r="C1364" s="68" t="s">
        <v>1960</v>
      </c>
      <c r="D1364" s="68" t="s">
        <v>1962</v>
      </c>
      <c r="E1364" s="68"/>
      <c r="F1364" s="61" t="str">
        <f t="shared" si="80"/>
        <v>Panyango</v>
      </c>
      <c r="G1364" s="61" t="str">
        <f t="shared" si="79"/>
        <v>Pakwach</v>
      </c>
      <c r="H1364" s="68" t="s">
        <v>1962</v>
      </c>
    </row>
    <row r="1365" spans="1:8">
      <c r="A1365" s="67">
        <v>316</v>
      </c>
      <c r="B1365" s="68" t="s">
        <v>1959</v>
      </c>
      <c r="C1365" s="68" t="s">
        <v>1960</v>
      </c>
      <c r="D1365" s="68" t="s">
        <v>1963</v>
      </c>
      <c r="E1365" s="68"/>
      <c r="F1365" s="61" t="str">
        <f t="shared" si="80"/>
        <v>Panyimur</v>
      </c>
      <c r="G1365" s="61" t="str">
        <f t="shared" si="79"/>
        <v>Pakwach</v>
      </c>
      <c r="H1365" s="68" t="s">
        <v>1963</v>
      </c>
    </row>
    <row r="1366" spans="1:8">
      <c r="A1366" s="67">
        <v>239</v>
      </c>
      <c r="B1366" s="68" t="s">
        <v>523</v>
      </c>
      <c r="C1366" s="68" t="s">
        <v>523</v>
      </c>
      <c r="D1366" s="68" t="s">
        <v>535</v>
      </c>
      <c r="E1366" s="68"/>
      <c r="F1366" s="61" t="str">
        <f t="shared" si="80"/>
        <v>Parabongo</v>
      </c>
      <c r="G1366" s="61" t="str">
        <f t="shared" si="79"/>
        <v>Agago</v>
      </c>
      <c r="H1366" s="68" t="s">
        <v>535</v>
      </c>
    </row>
    <row r="1367" spans="1:8">
      <c r="A1367" s="67">
        <v>117</v>
      </c>
      <c r="B1367" s="68" t="s">
        <v>1865</v>
      </c>
      <c r="C1367" s="68" t="s">
        <v>1866</v>
      </c>
      <c r="D1367" s="68" t="s">
        <v>1873</v>
      </c>
      <c r="E1367" s="68"/>
      <c r="F1367" s="61" t="str">
        <f t="shared" si="80"/>
        <v>Parombo</v>
      </c>
      <c r="G1367" s="61" t="str">
        <f t="shared" si="79"/>
        <v>Nebbi</v>
      </c>
      <c r="H1367" s="68" t="s">
        <v>1873</v>
      </c>
    </row>
    <row r="1368" spans="1:8">
      <c r="A1368" s="67">
        <v>240</v>
      </c>
      <c r="B1368" s="68" t="s">
        <v>523</v>
      </c>
      <c r="C1368" s="68" t="s">
        <v>523</v>
      </c>
      <c r="D1368" s="68" t="s">
        <v>536</v>
      </c>
      <c r="E1368" s="68"/>
      <c r="F1368" s="61" t="str">
        <f t="shared" si="80"/>
        <v>Patongo</v>
      </c>
      <c r="G1368" s="61" t="str">
        <f t="shared" si="79"/>
        <v>Agago</v>
      </c>
      <c r="H1368" s="68" t="s">
        <v>536</v>
      </c>
    </row>
    <row r="1369" spans="1:8">
      <c r="A1369" s="67">
        <v>241</v>
      </c>
      <c r="B1369" s="68" t="s">
        <v>523</v>
      </c>
      <c r="C1369" s="68" t="s">
        <v>523</v>
      </c>
      <c r="D1369" s="68" t="s">
        <v>537</v>
      </c>
      <c r="E1369" s="68"/>
      <c r="F1369" s="61" t="str">
        <f t="shared" si="80"/>
        <v>Patongo Town Council</v>
      </c>
      <c r="G1369" s="61" t="str">
        <f t="shared" si="79"/>
        <v>Agago</v>
      </c>
      <c r="H1369" s="68" t="s">
        <v>537</v>
      </c>
    </row>
    <row r="1370" spans="1:8">
      <c r="A1370" s="67">
        <v>36</v>
      </c>
      <c r="B1370" s="68" t="s">
        <v>606</v>
      </c>
      <c r="C1370" s="68" t="s">
        <v>613</v>
      </c>
      <c r="D1370" s="68" t="s">
        <v>631</v>
      </c>
      <c r="E1370" s="68"/>
      <c r="F1370" s="61" t="str">
        <f t="shared" si="80"/>
        <v>Pawor</v>
      </c>
      <c r="G1370" s="61" t="str">
        <f t="shared" si="79"/>
        <v>Arua</v>
      </c>
      <c r="H1370" s="68" t="s">
        <v>631</v>
      </c>
    </row>
    <row r="1371" spans="1:8">
      <c r="A1371" s="67">
        <v>835</v>
      </c>
      <c r="B1371" s="68" t="s">
        <v>2095</v>
      </c>
      <c r="C1371" s="68" t="s">
        <v>2096</v>
      </c>
      <c r="D1371" s="68" t="s">
        <v>2111</v>
      </c>
      <c r="E1371" s="68"/>
      <c r="F1371" s="61" t="str">
        <f t="shared" si="80"/>
        <v>Paya</v>
      </c>
      <c r="G1371" s="61" t="str">
        <f t="shared" si="79"/>
        <v>Tororo</v>
      </c>
      <c r="H1371" s="68" t="s">
        <v>2111</v>
      </c>
    </row>
    <row r="1372" spans="1:8">
      <c r="A1372" s="67">
        <v>57</v>
      </c>
      <c r="B1372" s="68" t="s">
        <v>876</v>
      </c>
      <c r="C1372" s="69" t="s">
        <v>879</v>
      </c>
      <c r="D1372" s="68" t="s">
        <v>2365</v>
      </c>
      <c r="E1372" s="68"/>
      <c r="F1372" s="62" t="str">
        <f>VLOOKUP(C1372,[2]Municipalities!$C$9:$F$1522,4,FALSE)</f>
        <v>Gulu Municipality</v>
      </c>
      <c r="G1372" s="61" t="str">
        <f t="shared" si="79"/>
        <v>Gulu</v>
      </c>
      <c r="H1372" s="68" t="s">
        <v>2365</v>
      </c>
    </row>
    <row r="1373" spans="1:8" ht="25.5">
      <c r="A1373" s="67">
        <v>1084</v>
      </c>
      <c r="B1373" s="68" t="s">
        <v>832</v>
      </c>
      <c r="C1373" s="68" t="s">
        <v>833</v>
      </c>
      <c r="D1373" s="68" t="s">
        <v>839</v>
      </c>
      <c r="E1373" s="68"/>
      <c r="F1373" s="61" t="str">
        <f t="shared" si="80"/>
        <v>Petete</v>
      </c>
      <c r="G1373" s="61" t="str">
        <f t="shared" si="79"/>
        <v>Butebo</v>
      </c>
      <c r="H1373" s="68" t="s">
        <v>839</v>
      </c>
    </row>
    <row r="1374" spans="1:8">
      <c r="A1374" s="67">
        <v>836</v>
      </c>
      <c r="B1374" s="68" t="s">
        <v>2095</v>
      </c>
      <c r="C1374" s="68" t="s">
        <v>2096</v>
      </c>
      <c r="D1374" s="68" t="s">
        <v>2112</v>
      </c>
      <c r="E1374" s="68"/>
      <c r="F1374" s="61" t="str">
        <f t="shared" si="80"/>
        <v>Petta</v>
      </c>
      <c r="G1374" s="61" t="str">
        <f t="shared" si="79"/>
        <v>Tororo</v>
      </c>
      <c r="H1374" s="68" t="s">
        <v>2112</v>
      </c>
    </row>
    <row r="1375" spans="1:8">
      <c r="A1375" s="67">
        <v>1072</v>
      </c>
      <c r="B1375" s="68" t="s">
        <v>2030</v>
      </c>
      <c r="C1375" s="68" t="s">
        <v>2032</v>
      </c>
      <c r="D1375" s="68" t="s">
        <v>2039</v>
      </c>
      <c r="E1375" s="68"/>
      <c r="F1375" s="61" t="str">
        <f t="shared" si="80"/>
        <v>Pingire</v>
      </c>
      <c r="G1375" s="61" t="str">
        <f t="shared" si="79"/>
        <v>Serere</v>
      </c>
      <c r="H1375" s="68" t="s">
        <v>2039</v>
      </c>
    </row>
    <row r="1376" spans="1:8">
      <c r="A1376" s="67">
        <v>137</v>
      </c>
      <c r="B1376" s="68" t="s">
        <v>1946</v>
      </c>
      <c r="C1376" s="68" t="s">
        <v>1947</v>
      </c>
      <c r="D1376" s="68" t="s">
        <v>1957</v>
      </c>
      <c r="E1376" s="68"/>
      <c r="F1376" s="61" t="str">
        <f t="shared" si="80"/>
        <v>Puranga</v>
      </c>
      <c r="G1376" s="61" t="str">
        <f t="shared" si="79"/>
        <v>Pader</v>
      </c>
      <c r="H1376" s="68" t="s">
        <v>1957</v>
      </c>
    </row>
    <row r="1377" spans="1:8">
      <c r="A1377" s="67">
        <v>286</v>
      </c>
      <c r="B1377" s="68" t="s">
        <v>1911</v>
      </c>
      <c r="C1377" s="68" t="s">
        <v>1911</v>
      </c>
      <c r="D1377" s="68" t="s">
        <v>1915</v>
      </c>
      <c r="E1377" s="68"/>
      <c r="F1377" s="61" t="str">
        <f t="shared" si="80"/>
        <v>Purongo</v>
      </c>
      <c r="G1377" s="61" t="str">
        <f t="shared" si="79"/>
        <v>Nwoya</v>
      </c>
      <c r="H1377" s="68" t="s">
        <v>1915</v>
      </c>
    </row>
    <row r="1378" spans="1:8">
      <c r="A1378" s="67">
        <v>801</v>
      </c>
      <c r="B1378" s="68" t="s">
        <v>1966</v>
      </c>
      <c r="C1378" s="68" t="s">
        <v>1966</v>
      </c>
      <c r="D1378" s="68" t="s">
        <v>1976</v>
      </c>
      <c r="E1378" s="68"/>
      <c r="F1378" s="61" t="str">
        <f t="shared" si="80"/>
        <v>Puti-Puti</v>
      </c>
      <c r="G1378" s="61" t="str">
        <f t="shared" si="79"/>
        <v>Pallisa</v>
      </c>
      <c r="H1378" s="68" t="s">
        <v>1976</v>
      </c>
    </row>
    <row r="1379" spans="1:8">
      <c r="A1379" s="67">
        <v>91</v>
      </c>
      <c r="B1379" s="68" t="s">
        <v>1536</v>
      </c>
      <c r="C1379" s="69" t="s">
        <v>1543</v>
      </c>
      <c r="D1379" s="68" t="s">
        <v>2366</v>
      </c>
      <c r="E1379" s="68"/>
      <c r="F1379" s="62" t="str">
        <f>VLOOKUP(C1379,[2]Municipalities!$C$9:$F$1522,4,FALSE)</f>
        <v>Lira Municipality</v>
      </c>
      <c r="G1379" s="61" t="str">
        <f t="shared" si="79"/>
        <v>Lira</v>
      </c>
      <c r="H1379" s="68" t="s">
        <v>2366</v>
      </c>
    </row>
    <row r="1380" spans="1:8">
      <c r="A1380" s="67">
        <v>514</v>
      </c>
      <c r="B1380" s="68" t="s">
        <v>1978</v>
      </c>
      <c r="C1380" s="68" t="s">
        <v>1521</v>
      </c>
      <c r="D1380" s="68" t="s">
        <v>1988</v>
      </c>
      <c r="E1380" s="68"/>
      <c r="F1380" s="61" t="str">
        <f t="shared" si="80"/>
        <v>Rakai Town Council</v>
      </c>
      <c r="G1380" s="61" t="str">
        <f t="shared" si="79"/>
        <v>Rakai</v>
      </c>
      <c r="H1380" s="68" t="s">
        <v>1988</v>
      </c>
    </row>
    <row r="1381" spans="1:8">
      <c r="A1381" s="67">
        <v>72</v>
      </c>
      <c r="B1381" s="68" t="s">
        <v>1449</v>
      </c>
      <c r="C1381" s="68" t="s">
        <v>1450</v>
      </c>
      <c r="D1381" s="68" t="s">
        <v>1454</v>
      </c>
      <c r="E1381" s="68"/>
      <c r="F1381" s="61" t="str">
        <f t="shared" si="80"/>
        <v>Rengen</v>
      </c>
      <c r="G1381" s="61" t="str">
        <f t="shared" si="79"/>
        <v>Kotido</v>
      </c>
      <c r="H1381" s="68" t="s">
        <v>1454</v>
      </c>
    </row>
    <row r="1382" spans="1:8">
      <c r="A1382" s="67">
        <v>37</v>
      </c>
      <c r="B1382" s="68" t="s">
        <v>606</v>
      </c>
      <c r="C1382" s="68" t="s">
        <v>613</v>
      </c>
      <c r="D1382" s="68" t="s">
        <v>632</v>
      </c>
      <c r="E1382" s="68"/>
      <c r="F1382" s="61" t="str">
        <f t="shared" si="80"/>
        <v>Rhino Camp</v>
      </c>
      <c r="G1382" s="61" t="str">
        <f t="shared" si="79"/>
        <v>Arua</v>
      </c>
      <c r="H1382" s="68" t="s">
        <v>632</v>
      </c>
    </row>
    <row r="1383" spans="1:8">
      <c r="A1383" s="67">
        <v>38</v>
      </c>
      <c r="B1383" s="68" t="s">
        <v>606</v>
      </c>
      <c r="C1383" s="68" t="s">
        <v>613</v>
      </c>
      <c r="D1383" s="68" t="s">
        <v>633</v>
      </c>
      <c r="E1383" s="68"/>
      <c r="F1383" s="61" t="str">
        <f t="shared" si="80"/>
        <v>Rigbo</v>
      </c>
      <c r="G1383" s="61" t="str">
        <f t="shared" si="79"/>
        <v>Arua</v>
      </c>
      <c r="H1383" s="68" t="s">
        <v>633</v>
      </c>
    </row>
    <row r="1384" spans="1:8">
      <c r="A1384" s="67">
        <v>23</v>
      </c>
      <c r="B1384" s="70" t="s">
        <v>606</v>
      </c>
      <c r="C1384" s="71" t="s">
        <v>616</v>
      </c>
      <c r="D1384" s="70" t="s">
        <v>2367</v>
      </c>
      <c r="E1384" s="70"/>
      <c r="F1384" s="62" t="str">
        <f>VLOOKUP(C1384,[2]Municipalities!$C$9:$F$1522,4,FALSE)</f>
        <v>Arua Municipality</v>
      </c>
      <c r="G1384" s="61" t="str">
        <f t="shared" si="79"/>
        <v>Arua</v>
      </c>
      <c r="H1384" s="70" t="s">
        <v>2367</v>
      </c>
    </row>
    <row r="1385" spans="1:8">
      <c r="A1385" s="67">
        <v>945</v>
      </c>
      <c r="B1385" s="68" t="s">
        <v>709</v>
      </c>
      <c r="C1385" s="68" t="s">
        <v>710</v>
      </c>
      <c r="D1385" s="68" t="s">
        <v>718</v>
      </c>
      <c r="E1385" s="68"/>
      <c r="F1385" s="61" t="str">
        <f t="shared" si="80"/>
        <v>Riwo</v>
      </c>
      <c r="G1385" s="61" t="str">
        <f t="shared" si="79"/>
        <v>Bukwo</v>
      </c>
      <c r="H1385" s="68" t="s">
        <v>718</v>
      </c>
    </row>
    <row r="1386" spans="1:8">
      <c r="A1386" s="67">
        <v>149</v>
      </c>
      <c r="B1386" s="68" t="s">
        <v>2183</v>
      </c>
      <c r="C1386" s="68" t="s">
        <v>2184</v>
      </c>
      <c r="D1386" s="68" t="s">
        <v>2195</v>
      </c>
      <c r="E1386" s="68"/>
      <c r="F1386" s="61" t="str">
        <f t="shared" si="80"/>
        <v>Romogi</v>
      </c>
      <c r="G1386" s="61" t="str">
        <f t="shared" si="79"/>
        <v>Yumbe</v>
      </c>
      <c r="H1386" s="68" t="s">
        <v>2195</v>
      </c>
    </row>
    <row r="1387" spans="1:8">
      <c r="A1387" s="67">
        <v>1280</v>
      </c>
      <c r="B1387" s="68" t="s">
        <v>46</v>
      </c>
      <c r="C1387" s="68" t="s">
        <v>1897</v>
      </c>
      <c r="D1387" s="68" t="s">
        <v>54</v>
      </c>
      <c r="E1387" s="68"/>
      <c r="F1387" s="61" t="str">
        <f t="shared" si="80"/>
        <v>Rubaare</v>
      </c>
      <c r="G1387" s="61" t="str">
        <f t="shared" si="79"/>
        <v>Ntungamo</v>
      </c>
      <c r="H1387" s="68" t="s">
        <v>54</v>
      </c>
    </row>
    <row r="1388" spans="1:8">
      <c r="A1388" s="67">
        <v>1281</v>
      </c>
      <c r="B1388" s="68" t="s">
        <v>46</v>
      </c>
      <c r="C1388" s="68" t="s">
        <v>1897</v>
      </c>
      <c r="D1388" s="68" t="s">
        <v>1904</v>
      </c>
      <c r="E1388" s="68"/>
      <c r="F1388" s="61" t="str">
        <f t="shared" si="80"/>
        <v>Rubaare Town Council</v>
      </c>
      <c r="G1388" s="61" t="str">
        <f t="shared" si="79"/>
        <v>Ntungamo</v>
      </c>
      <c r="H1388" s="68" t="s">
        <v>1904</v>
      </c>
    </row>
    <row r="1389" spans="1:8">
      <c r="A1389" s="67">
        <v>364</v>
      </c>
      <c r="B1389" s="68" t="s">
        <v>1082</v>
      </c>
      <c r="C1389" s="68" t="s">
        <v>1083</v>
      </c>
      <c r="D1389" s="68" t="s">
        <v>1092</v>
      </c>
      <c r="E1389" s="68" t="s">
        <v>1091</v>
      </c>
      <c r="F1389" s="68" t="s">
        <v>1091</v>
      </c>
      <c r="G1389" s="61" t="str">
        <f t="shared" si="79"/>
        <v>Kampala</v>
      </c>
      <c r="H1389" s="68" t="s">
        <v>1092</v>
      </c>
    </row>
    <row r="1390" spans="1:8">
      <c r="A1390" s="67">
        <v>365</v>
      </c>
      <c r="B1390" s="68" t="s">
        <v>1082</v>
      </c>
      <c r="C1390" s="68" t="s">
        <v>1083</v>
      </c>
      <c r="D1390" s="68" t="s">
        <v>1092</v>
      </c>
      <c r="E1390" s="68" t="s">
        <v>1148</v>
      </c>
      <c r="F1390" s="68" t="s">
        <v>1148</v>
      </c>
      <c r="G1390" s="61" t="str">
        <f t="shared" si="79"/>
        <v>Kampala</v>
      </c>
      <c r="H1390" s="68" t="s">
        <v>1092</v>
      </c>
    </row>
    <row r="1391" spans="1:8">
      <c r="A1391" s="67">
        <v>366</v>
      </c>
      <c r="B1391" s="68" t="s">
        <v>1082</v>
      </c>
      <c r="C1391" s="68" t="s">
        <v>1083</v>
      </c>
      <c r="D1391" s="68" t="s">
        <v>1092</v>
      </c>
      <c r="E1391" s="68" t="s">
        <v>1155</v>
      </c>
      <c r="F1391" s="68" t="s">
        <v>1155</v>
      </c>
      <c r="G1391" s="61" t="str">
        <f t="shared" si="79"/>
        <v>Kampala</v>
      </c>
      <c r="H1391" s="68" t="s">
        <v>1092</v>
      </c>
    </row>
    <row r="1392" spans="1:8">
      <c r="A1392" s="67">
        <v>367</v>
      </c>
      <c r="B1392" s="68" t="s">
        <v>1082</v>
      </c>
      <c r="C1392" s="68" t="s">
        <v>1083</v>
      </c>
      <c r="D1392" s="68" t="s">
        <v>1092</v>
      </c>
      <c r="E1392" s="68" t="s">
        <v>1172</v>
      </c>
      <c r="F1392" s="68" t="s">
        <v>1172</v>
      </c>
      <c r="G1392" s="61" t="str">
        <f t="shared" si="79"/>
        <v>Kampala</v>
      </c>
      <c r="H1392" s="68" t="s">
        <v>1092</v>
      </c>
    </row>
    <row r="1393" spans="1:9">
      <c r="A1393" s="67">
        <v>368</v>
      </c>
      <c r="B1393" s="68" t="s">
        <v>1082</v>
      </c>
      <c r="C1393" s="68" t="s">
        <v>1083</v>
      </c>
      <c r="D1393" s="68" t="s">
        <v>1092</v>
      </c>
      <c r="E1393" s="68" t="s">
        <v>847</v>
      </c>
      <c r="F1393" s="68" t="s">
        <v>847</v>
      </c>
      <c r="G1393" s="61" t="str">
        <f t="shared" si="79"/>
        <v>Kampala</v>
      </c>
      <c r="H1393" s="68" t="s">
        <v>1092</v>
      </c>
    </row>
    <row r="1394" spans="1:9">
      <c r="A1394" s="67">
        <v>369</v>
      </c>
      <c r="B1394" s="68" t="s">
        <v>1082</v>
      </c>
      <c r="C1394" s="68" t="s">
        <v>1083</v>
      </c>
      <c r="D1394" s="68" t="s">
        <v>1092</v>
      </c>
      <c r="E1394" s="68" t="s">
        <v>1174</v>
      </c>
      <c r="F1394" s="68" t="s">
        <v>1174</v>
      </c>
      <c r="G1394" s="61" t="str">
        <f t="shared" si="79"/>
        <v>Kampala</v>
      </c>
      <c r="H1394" s="68" t="s">
        <v>1092</v>
      </c>
    </row>
    <row r="1395" spans="1:9">
      <c r="A1395" s="67">
        <v>370</v>
      </c>
      <c r="B1395" s="68" t="s">
        <v>1082</v>
      </c>
      <c r="C1395" s="68" t="s">
        <v>1083</v>
      </c>
      <c r="D1395" s="68" t="s">
        <v>1092</v>
      </c>
      <c r="E1395" s="68" t="s">
        <v>1186</v>
      </c>
      <c r="F1395" s="68" t="s">
        <v>1186</v>
      </c>
      <c r="G1395" s="61" t="str">
        <f t="shared" si="79"/>
        <v>Kampala</v>
      </c>
      <c r="H1395" s="68" t="s">
        <v>1092</v>
      </c>
    </row>
    <row r="1396" spans="1:9">
      <c r="A1396" s="67">
        <v>371</v>
      </c>
      <c r="B1396" s="68" t="s">
        <v>1082</v>
      </c>
      <c r="C1396" s="68" t="s">
        <v>1083</v>
      </c>
      <c r="D1396" s="68" t="s">
        <v>1092</v>
      </c>
      <c r="E1396" s="72" t="s">
        <v>2368</v>
      </c>
      <c r="F1396" s="72" t="s">
        <v>1192</v>
      </c>
      <c r="G1396" s="61" t="str">
        <f t="shared" si="79"/>
        <v>Kampala</v>
      </c>
      <c r="H1396" s="68" t="s">
        <v>1092</v>
      </c>
    </row>
    <row r="1397" spans="1:9">
      <c r="A1397" s="67">
        <v>372</v>
      </c>
      <c r="B1397" s="68" t="s">
        <v>1082</v>
      </c>
      <c r="C1397" s="68" t="s">
        <v>1083</v>
      </c>
      <c r="D1397" s="68" t="s">
        <v>1092</v>
      </c>
      <c r="E1397" s="72" t="s">
        <v>2369</v>
      </c>
      <c r="F1397" s="72" t="s">
        <v>1192</v>
      </c>
      <c r="G1397" s="61" t="str">
        <f t="shared" si="79"/>
        <v>Kampala</v>
      </c>
      <c r="H1397" s="68" t="s">
        <v>1092</v>
      </c>
      <c r="I1397" s="73" t="s">
        <v>2256</v>
      </c>
    </row>
    <row r="1398" spans="1:9">
      <c r="A1398" s="67">
        <v>373</v>
      </c>
      <c r="B1398" s="68" t="s">
        <v>1082</v>
      </c>
      <c r="C1398" s="68" t="s">
        <v>1083</v>
      </c>
      <c r="D1398" s="68" t="s">
        <v>1092</v>
      </c>
      <c r="E1398" s="68" t="s">
        <v>1206</v>
      </c>
      <c r="F1398" s="68" t="s">
        <v>1206</v>
      </c>
      <c r="G1398" s="61" t="str">
        <f t="shared" si="79"/>
        <v>Kampala</v>
      </c>
      <c r="H1398" s="68" t="s">
        <v>1092</v>
      </c>
    </row>
    <row r="1399" spans="1:9">
      <c r="A1399" s="67">
        <v>374</v>
      </c>
      <c r="B1399" s="68" t="s">
        <v>1082</v>
      </c>
      <c r="C1399" s="68" t="s">
        <v>1083</v>
      </c>
      <c r="D1399" s="68" t="s">
        <v>1092</v>
      </c>
      <c r="E1399" s="72" t="s">
        <v>2370</v>
      </c>
      <c r="F1399" s="68" t="s">
        <v>1208</v>
      </c>
      <c r="G1399" s="61" t="str">
        <f t="shared" si="79"/>
        <v>Kampala</v>
      </c>
      <c r="H1399" s="68" t="s">
        <v>1092</v>
      </c>
    </row>
    <row r="1400" spans="1:9">
      <c r="A1400" s="67">
        <v>375</v>
      </c>
      <c r="B1400" s="68" t="s">
        <v>1082</v>
      </c>
      <c r="C1400" s="68" t="s">
        <v>1083</v>
      </c>
      <c r="D1400" s="68" t="s">
        <v>1092</v>
      </c>
      <c r="E1400" s="68" t="s">
        <v>1209</v>
      </c>
      <c r="F1400" s="68" t="s">
        <v>1209</v>
      </c>
      <c r="G1400" s="61" t="str">
        <f t="shared" si="79"/>
        <v>Kampala</v>
      </c>
      <c r="H1400" s="68" t="s">
        <v>1092</v>
      </c>
    </row>
    <row r="1401" spans="1:9">
      <c r="A1401" s="67">
        <v>376</v>
      </c>
      <c r="B1401" s="68" t="s">
        <v>1082</v>
      </c>
      <c r="C1401" s="68" t="s">
        <v>1083</v>
      </c>
      <c r="D1401" s="68" t="s">
        <v>1092</v>
      </c>
      <c r="E1401" s="68" t="s">
        <v>1211</v>
      </c>
      <c r="F1401" s="68" t="s">
        <v>1211</v>
      </c>
      <c r="G1401" s="61" t="str">
        <f t="shared" si="79"/>
        <v>Kampala</v>
      </c>
      <c r="H1401" s="68" t="s">
        <v>1092</v>
      </c>
    </row>
    <row r="1402" spans="1:9">
      <c r="A1402" s="67">
        <v>1514</v>
      </c>
      <c r="B1402" s="68" t="s">
        <v>1990</v>
      </c>
      <c r="C1402" s="68" t="s">
        <v>1990</v>
      </c>
      <c r="D1402" s="68" t="s">
        <v>1997</v>
      </c>
      <c r="E1402" s="68"/>
      <c r="F1402" s="61" t="str">
        <f t="shared" ref="F1402" si="81">D1402</f>
        <v>Rubanda Town Council</v>
      </c>
      <c r="G1402" s="61" t="str">
        <f t="shared" si="79"/>
        <v>Rubanda</v>
      </c>
      <c r="H1402" s="68" t="s">
        <v>1997</v>
      </c>
    </row>
    <row r="1403" spans="1:9">
      <c r="A1403" s="67">
        <v>1160</v>
      </c>
      <c r="B1403" s="68" t="s">
        <v>981</v>
      </c>
      <c r="C1403" s="68" t="s">
        <v>982</v>
      </c>
      <c r="D1403" s="72" t="s">
        <v>2371</v>
      </c>
      <c r="E1403" s="68"/>
      <c r="F1403" s="61" t="str">
        <f t="shared" ref="F1403:F1404" si="82">D1403&amp;"-"&amp;B1403</f>
        <v>Rubaya-Kabale</v>
      </c>
      <c r="G1403" s="61" t="str">
        <f t="shared" si="79"/>
        <v>Kabale</v>
      </c>
      <c r="H1403" s="72" t="s">
        <v>2371</v>
      </c>
    </row>
    <row r="1404" spans="1:9">
      <c r="A1404" s="67">
        <v>1248</v>
      </c>
      <c r="B1404" s="68" t="s">
        <v>1670</v>
      </c>
      <c r="C1404" s="68" t="s">
        <v>1671</v>
      </c>
      <c r="D1404" s="72" t="s">
        <v>2371</v>
      </c>
      <c r="E1404" s="68"/>
      <c r="F1404" s="61" t="str">
        <f t="shared" si="82"/>
        <v>Rubaya-Mbarara</v>
      </c>
      <c r="G1404" s="61" t="str">
        <f t="shared" si="79"/>
        <v>Mbarara</v>
      </c>
      <c r="H1404" s="72" t="s">
        <v>2371</v>
      </c>
    </row>
    <row r="1405" spans="1:9">
      <c r="A1405" s="67">
        <v>1249</v>
      </c>
      <c r="B1405" s="68" t="s">
        <v>1670</v>
      </c>
      <c r="C1405" s="68" t="s">
        <v>1671</v>
      </c>
      <c r="D1405" s="68" t="s">
        <v>1682</v>
      </c>
      <c r="E1405" s="68"/>
      <c r="F1405" s="61" t="str">
        <f t="shared" ref="F1405:F1412" si="83">D1405</f>
        <v>Rubindi</v>
      </c>
      <c r="G1405" s="61" t="str">
        <f t="shared" si="79"/>
        <v>Mbarara</v>
      </c>
      <c r="H1405" s="68" t="s">
        <v>1682</v>
      </c>
    </row>
    <row r="1406" spans="1:9">
      <c r="A1406" s="67">
        <v>1455</v>
      </c>
      <c r="B1406" s="68" t="s">
        <v>2000</v>
      </c>
      <c r="C1406" s="68" t="s">
        <v>48</v>
      </c>
      <c r="D1406" s="68" t="s">
        <v>2007</v>
      </c>
      <c r="E1406" s="68"/>
      <c r="F1406" s="61" t="str">
        <f t="shared" si="83"/>
        <v>Rubiriziri Town Council</v>
      </c>
      <c r="G1406" s="61" t="str">
        <f t="shared" si="79"/>
        <v>Rubirizi</v>
      </c>
      <c r="H1406" s="68" t="s">
        <v>2007</v>
      </c>
    </row>
    <row r="1407" spans="1:9">
      <c r="A1407" s="67">
        <v>1521</v>
      </c>
      <c r="B1407" s="68" t="s">
        <v>773</v>
      </c>
      <c r="C1407" s="68" t="s">
        <v>773</v>
      </c>
      <c r="D1407" s="68" t="s">
        <v>781</v>
      </c>
      <c r="E1407" s="68"/>
      <c r="F1407" s="61" t="str">
        <f t="shared" si="83"/>
        <v>Rubona Town Council</v>
      </c>
      <c r="G1407" s="61" t="str">
        <f t="shared" si="79"/>
        <v>Bunyangabu</v>
      </c>
      <c r="H1407" s="68" t="s">
        <v>781</v>
      </c>
    </row>
    <row r="1408" spans="1:9">
      <c r="A1408" s="67">
        <v>837</v>
      </c>
      <c r="B1408" s="68" t="s">
        <v>2095</v>
      </c>
      <c r="C1408" s="68" t="s">
        <v>2096</v>
      </c>
      <c r="D1408" s="68" t="s">
        <v>2113</v>
      </c>
      <c r="E1408" s="68"/>
      <c r="F1408" s="61" t="str">
        <f t="shared" si="83"/>
        <v>Rubongi</v>
      </c>
      <c r="G1408" s="61" t="str">
        <f t="shared" si="79"/>
        <v>Tororo</v>
      </c>
      <c r="H1408" s="68" t="s">
        <v>2113</v>
      </c>
    </row>
    <row r="1409" spans="1:8">
      <c r="A1409" s="67">
        <v>1385</v>
      </c>
      <c r="B1409" s="68" t="s">
        <v>47</v>
      </c>
      <c r="C1409" s="68" t="s">
        <v>47</v>
      </c>
      <c r="D1409" s="68" t="s">
        <v>948</v>
      </c>
      <c r="E1409" s="68"/>
      <c r="F1409" s="61" t="str">
        <f t="shared" si="83"/>
        <v>Ruborogota</v>
      </c>
      <c r="G1409" s="61" t="str">
        <f t="shared" si="79"/>
        <v>Isingiro</v>
      </c>
      <c r="H1409" s="68" t="s">
        <v>948</v>
      </c>
    </row>
    <row r="1410" spans="1:8">
      <c r="A1410" s="67">
        <v>1231</v>
      </c>
      <c r="B1410" s="68" t="s">
        <v>1404</v>
      </c>
      <c r="C1410" s="68" t="s">
        <v>1405</v>
      </c>
      <c r="D1410" s="68" t="s">
        <v>1419</v>
      </c>
      <c r="E1410" s="68"/>
      <c r="F1410" s="61" t="str">
        <f t="shared" si="83"/>
        <v>Rubuguri Town Council</v>
      </c>
      <c r="G1410" s="61" t="str">
        <f t="shared" si="79"/>
        <v>Kisoro</v>
      </c>
      <c r="H1410" s="68" t="s">
        <v>1419</v>
      </c>
    </row>
    <row r="1411" spans="1:8">
      <c r="A1411" s="67">
        <v>1370</v>
      </c>
      <c r="B1411" s="68" t="s">
        <v>47</v>
      </c>
      <c r="C1411" s="68" t="s">
        <v>932</v>
      </c>
      <c r="D1411" s="68" t="s">
        <v>949</v>
      </c>
      <c r="E1411" s="68"/>
      <c r="F1411" s="61" t="str">
        <f t="shared" si="83"/>
        <v>Rugaaga</v>
      </c>
      <c r="G1411" s="61" t="str">
        <f t="shared" si="79"/>
        <v>Isingiro</v>
      </c>
      <c r="H1411" s="68" t="s">
        <v>949</v>
      </c>
    </row>
    <row r="1412" spans="1:8">
      <c r="A1412" s="67">
        <v>1260</v>
      </c>
      <c r="B1412" s="68" t="s">
        <v>1670</v>
      </c>
      <c r="C1412" s="68" t="s">
        <v>1673</v>
      </c>
      <c r="D1412" s="68" t="s">
        <v>1683</v>
      </c>
      <c r="E1412" s="68"/>
      <c r="F1412" s="61" t="str">
        <f t="shared" si="83"/>
        <v>Rugando</v>
      </c>
      <c r="G1412" s="61" t="str">
        <f t="shared" si="79"/>
        <v>Mbarara</v>
      </c>
      <c r="H1412" s="68" t="s">
        <v>1683</v>
      </c>
    </row>
    <row r="1413" spans="1:8">
      <c r="A1413" s="67">
        <v>1282</v>
      </c>
      <c r="B1413" s="68" t="s">
        <v>46</v>
      </c>
      <c r="C1413" s="68" t="s">
        <v>1897</v>
      </c>
      <c r="D1413" s="72" t="s">
        <v>2372</v>
      </c>
      <c r="E1413" s="68"/>
      <c r="F1413" s="61" t="str">
        <f t="shared" ref="F1413:F1414" si="84">D1413&amp;"-"&amp;B1413</f>
        <v>Rugarama-Ntungamo</v>
      </c>
      <c r="G1413" s="61" t="str">
        <f t="shared" si="79"/>
        <v>Ntungamo</v>
      </c>
      <c r="H1413" s="72" t="s">
        <v>2372</v>
      </c>
    </row>
    <row r="1414" spans="1:8">
      <c r="A1414" s="67">
        <v>1469</v>
      </c>
      <c r="B1414" s="68" t="s">
        <v>41</v>
      </c>
      <c r="C1414" s="68" t="s">
        <v>41</v>
      </c>
      <c r="D1414" s="72" t="s">
        <v>2372</v>
      </c>
      <c r="E1414" s="68"/>
      <c r="F1414" s="61" t="str">
        <f t="shared" si="84"/>
        <v>Rugarama-Sheema</v>
      </c>
      <c r="G1414" s="61" t="str">
        <f t="shared" si="79"/>
        <v>Sheema</v>
      </c>
      <c r="H1414" s="72" t="s">
        <v>2372</v>
      </c>
    </row>
    <row r="1415" spans="1:8">
      <c r="A1415" s="67">
        <v>1493</v>
      </c>
      <c r="B1415" s="68" t="s">
        <v>1022</v>
      </c>
      <c r="C1415" s="68" t="s">
        <v>1023</v>
      </c>
      <c r="D1415" s="68" t="s">
        <v>1038</v>
      </c>
      <c r="E1415" s="68"/>
      <c r="F1415" s="61" t="str">
        <f t="shared" ref="F1415:F1428" si="85">D1415</f>
        <v>Rugashari</v>
      </c>
      <c r="G1415" s="61" t="str">
        <f t="shared" si="79"/>
        <v>Kagadi</v>
      </c>
      <c r="H1415" s="68" t="s">
        <v>1038</v>
      </c>
    </row>
    <row r="1416" spans="1:8">
      <c r="A1416" s="67">
        <v>1328</v>
      </c>
      <c r="B1416" s="68" t="s">
        <v>1264</v>
      </c>
      <c r="C1416" s="68" t="s">
        <v>1265</v>
      </c>
      <c r="D1416" s="68" t="s">
        <v>1280</v>
      </c>
      <c r="E1416" s="68"/>
      <c r="F1416" s="61" t="str">
        <f t="shared" si="85"/>
        <v>Rugyeyo</v>
      </c>
      <c r="G1416" s="61" t="str">
        <f t="shared" si="79"/>
        <v>Kanungu</v>
      </c>
      <c r="H1416" s="68" t="s">
        <v>1280</v>
      </c>
    </row>
    <row r="1417" spans="1:8">
      <c r="A1417" s="67">
        <v>1274</v>
      </c>
      <c r="B1417" s="68" t="s">
        <v>46</v>
      </c>
      <c r="C1417" s="68" t="s">
        <v>1894</v>
      </c>
      <c r="D1417" s="68" t="s">
        <v>1894</v>
      </c>
      <c r="E1417" s="68"/>
      <c r="F1417" s="61" t="str">
        <f t="shared" si="85"/>
        <v>Ruhaama</v>
      </c>
      <c r="G1417" s="61" t="str">
        <f t="shared" si="79"/>
        <v>Ntungamo</v>
      </c>
      <c r="H1417" s="68" t="s">
        <v>1894</v>
      </c>
    </row>
    <row r="1418" spans="1:8">
      <c r="A1418" s="67">
        <v>1513</v>
      </c>
      <c r="B1418" s="68" t="s">
        <v>1990</v>
      </c>
      <c r="C1418" s="68" t="s">
        <v>1990</v>
      </c>
      <c r="D1418" s="68" t="s">
        <v>1998</v>
      </c>
      <c r="E1418" s="68"/>
      <c r="F1418" s="61" t="str">
        <f t="shared" si="85"/>
        <v>Ruhija</v>
      </c>
      <c r="G1418" s="61" t="str">
        <f t="shared" ref="G1418:G1481" si="86">B1418</f>
        <v>Rubanda</v>
      </c>
      <c r="H1418" s="68" t="s">
        <v>1998</v>
      </c>
    </row>
    <row r="1419" spans="1:8">
      <c r="A1419" s="67">
        <v>1293</v>
      </c>
      <c r="B1419" s="68" t="s">
        <v>40</v>
      </c>
      <c r="C1419" s="68" t="s">
        <v>2018</v>
      </c>
      <c r="D1419" s="68" t="s">
        <v>1686</v>
      </c>
      <c r="E1419" s="68"/>
      <c r="F1419" s="61" t="str">
        <f t="shared" si="85"/>
        <v>Ruhinda</v>
      </c>
      <c r="G1419" s="61" t="str">
        <f t="shared" si="86"/>
        <v>Rukungiri</v>
      </c>
      <c r="H1419" s="68" t="s">
        <v>1686</v>
      </c>
    </row>
    <row r="1420" spans="1:8">
      <c r="A1420" s="67">
        <v>1133</v>
      </c>
      <c r="B1420" s="68" t="s">
        <v>38</v>
      </c>
      <c r="C1420" s="68" t="s">
        <v>785</v>
      </c>
      <c r="D1420" s="68" t="s">
        <v>794</v>
      </c>
      <c r="E1420" s="68"/>
      <c r="F1420" s="61" t="str">
        <f t="shared" si="85"/>
        <v>Ruhumuro</v>
      </c>
      <c r="G1420" s="61" t="str">
        <f t="shared" si="86"/>
        <v>Bushenyi</v>
      </c>
      <c r="H1420" s="68" t="s">
        <v>794</v>
      </c>
    </row>
    <row r="1421" spans="1:8">
      <c r="A1421" s="67">
        <v>1361</v>
      </c>
      <c r="B1421" s="68" t="s">
        <v>43</v>
      </c>
      <c r="C1421" s="68" t="s">
        <v>43</v>
      </c>
      <c r="D1421" s="68" t="s">
        <v>909</v>
      </c>
      <c r="E1421" s="68"/>
      <c r="F1421" s="61" t="str">
        <f t="shared" si="85"/>
        <v>Rukiri</v>
      </c>
      <c r="G1421" s="61" t="str">
        <f t="shared" si="86"/>
        <v>Ibanda</v>
      </c>
      <c r="H1421" s="68" t="s">
        <v>909</v>
      </c>
    </row>
    <row r="1422" spans="1:8">
      <c r="A1422" s="67">
        <v>1204</v>
      </c>
      <c r="B1422" s="68" t="s">
        <v>36</v>
      </c>
      <c r="C1422" s="68" t="s">
        <v>1297</v>
      </c>
      <c r="D1422" s="68" t="s">
        <v>1323</v>
      </c>
      <c r="E1422" s="68"/>
      <c r="F1422" s="61" t="str">
        <f t="shared" si="85"/>
        <v>Rukoki</v>
      </c>
      <c r="G1422" s="61" t="str">
        <f t="shared" si="86"/>
        <v>Kasese</v>
      </c>
      <c r="H1422" s="68" t="s">
        <v>1323</v>
      </c>
    </row>
    <row r="1423" spans="1:8">
      <c r="A1423" s="67">
        <v>1275</v>
      </c>
      <c r="B1423" s="68" t="s">
        <v>46</v>
      </c>
      <c r="C1423" s="68" t="s">
        <v>1894</v>
      </c>
      <c r="D1423" s="68" t="s">
        <v>1906</v>
      </c>
      <c r="E1423" s="68"/>
      <c r="F1423" s="61" t="str">
        <f t="shared" si="85"/>
        <v>Rukoni East</v>
      </c>
      <c r="G1423" s="61" t="str">
        <f t="shared" si="86"/>
        <v>Ntungamo</v>
      </c>
      <c r="H1423" s="68" t="s">
        <v>1906</v>
      </c>
    </row>
    <row r="1424" spans="1:8">
      <c r="A1424" s="67">
        <v>1276</v>
      </c>
      <c r="B1424" s="68" t="s">
        <v>46</v>
      </c>
      <c r="C1424" s="68" t="s">
        <v>1894</v>
      </c>
      <c r="D1424" s="68" t="s">
        <v>1907</v>
      </c>
      <c r="E1424" s="68"/>
      <c r="F1424" s="61" t="str">
        <f t="shared" si="85"/>
        <v>Rukoni West</v>
      </c>
      <c r="G1424" s="61" t="str">
        <f t="shared" si="86"/>
        <v>Ntungamo</v>
      </c>
      <c r="H1424" s="68" t="s">
        <v>1907</v>
      </c>
    </row>
    <row r="1425" spans="1:8">
      <c r="A1425" s="67">
        <v>94</v>
      </c>
      <c r="B1425" s="68" t="s">
        <v>541</v>
      </c>
      <c r="C1425" s="68" t="s">
        <v>1712</v>
      </c>
      <c r="D1425" s="68" t="s">
        <v>1715</v>
      </c>
      <c r="E1425" s="68"/>
      <c r="F1425" s="61" t="str">
        <f t="shared" si="85"/>
        <v>Rupa</v>
      </c>
      <c r="G1425" s="61" t="str">
        <f t="shared" si="86"/>
        <v>Moroto</v>
      </c>
      <c r="H1425" s="68" t="s">
        <v>1715</v>
      </c>
    </row>
    <row r="1426" spans="1:8">
      <c r="A1426" s="67">
        <v>1441</v>
      </c>
      <c r="B1426" s="68" t="s">
        <v>45</v>
      </c>
      <c r="C1426" s="68" t="s">
        <v>1686</v>
      </c>
      <c r="D1426" s="68" t="s">
        <v>1695</v>
      </c>
      <c r="E1426" s="68"/>
      <c r="F1426" s="61" t="str">
        <f t="shared" si="85"/>
        <v>Rurehe</v>
      </c>
      <c r="G1426" s="61" t="str">
        <f t="shared" si="86"/>
        <v>Mitooma</v>
      </c>
      <c r="H1426" s="68" t="s">
        <v>1695</v>
      </c>
    </row>
    <row r="1427" spans="1:8">
      <c r="A1427" s="67">
        <v>1362</v>
      </c>
      <c r="B1427" s="68" t="s">
        <v>43</v>
      </c>
      <c r="C1427" s="68" t="s">
        <v>43</v>
      </c>
      <c r="D1427" s="68" t="s">
        <v>910</v>
      </c>
      <c r="E1427" s="68"/>
      <c r="F1427" s="61" t="str">
        <f t="shared" si="85"/>
        <v>Rushango Town Council</v>
      </c>
      <c r="G1427" s="61" t="str">
        <f t="shared" si="86"/>
        <v>Ibanda</v>
      </c>
      <c r="H1427" s="68" t="s">
        <v>910</v>
      </c>
    </row>
    <row r="1428" spans="1:8">
      <c r="A1428" s="67">
        <v>1371</v>
      </c>
      <c r="B1428" s="68" t="s">
        <v>47</v>
      </c>
      <c r="C1428" s="68" t="s">
        <v>932</v>
      </c>
      <c r="D1428" s="68" t="s">
        <v>950</v>
      </c>
      <c r="E1428" s="68"/>
      <c r="F1428" s="61" t="str">
        <f t="shared" si="85"/>
        <v>Rushasha</v>
      </c>
      <c r="G1428" s="61" t="str">
        <f t="shared" si="86"/>
        <v>Isingiro</v>
      </c>
      <c r="H1428" s="68" t="s">
        <v>950</v>
      </c>
    </row>
    <row r="1429" spans="1:8">
      <c r="A1429" s="67">
        <v>1173</v>
      </c>
      <c r="B1429" s="68" t="s">
        <v>994</v>
      </c>
      <c r="C1429" s="68" t="s">
        <v>995</v>
      </c>
      <c r="D1429" s="72" t="s">
        <v>2373</v>
      </c>
      <c r="E1429" s="68"/>
      <c r="F1429" s="61" t="str">
        <f t="shared" ref="F1429:F1430" si="87">D1429&amp;"-"&amp;B1429</f>
        <v>Ruteete-Kabarole</v>
      </c>
      <c r="G1429" s="61" t="str">
        <f t="shared" si="86"/>
        <v>Kabarole</v>
      </c>
      <c r="H1429" s="72" t="s">
        <v>2373</v>
      </c>
    </row>
    <row r="1430" spans="1:8">
      <c r="A1430" s="67">
        <v>1494</v>
      </c>
      <c r="B1430" s="68" t="s">
        <v>1022</v>
      </c>
      <c r="C1430" s="68" t="s">
        <v>1023</v>
      </c>
      <c r="D1430" s="72" t="s">
        <v>2373</v>
      </c>
      <c r="E1430" s="68"/>
      <c r="F1430" s="61" t="str">
        <f t="shared" si="87"/>
        <v>Ruteete-Kagadi</v>
      </c>
      <c r="G1430" s="61" t="str">
        <f t="shared" si="86"/>
        <v>Kagadi</v>
      </c>
      <c r="H1430" s="72" t="s">
        <v>2373</v>
      </c>
    </row>
    <row r="1431" spans="1:8">
      <c r="A1431" s="67">
        <v>1329</v>
      </c>
      <c r="B1431" s="68" t="s">
        <v>1264</v>
      </c>
      <c r="C1431" s="68" t="s">
        <v>1265</v>
      </c>
      <c r="D1431" s="68" t="s">
        <v>1281</v>
      </c>
      <c r="E1431" s="68"/>
      <c r="F1431" s="61" t="str">
        <f t="shared" ref="F1431:F1470" si="88">D1431</f>
        <v>Rutenga</v>
      </c>
      <c r="G1431" s="61" t="str">
        <f t="shared" si="86"/>
        <v>Kanungu</v>
      </c>
      <c r="H1431" s="68" t="s">
        <v>1281</v>
      </c>
    </row>
    <row r="1432" spans="1:8">
      <c r="A1432" s="67">
        <v>1456</v>
      </c>
      <c r="B1432" s="68" t="s">
        <v>2000</v>
      </c>
      <c r="C1432" s="68" t="s">
        <v>48</v>
      </c>
      <c r="D1432" s="68" t="s">
        <v>2008</v>
      </c>
      <c r="E1432" s="68"/>
      <c r="F1432" s="61" t="str">
        <f t="shared" si="88"/>
        <v>Rutoto</v>
      </c>
      <c r="G1432" s="61" t="str">
        <f t="shared" si="86"/>
        <v>Rubirizi</v>
      </c>
      <c r="H1432" s="68" t="s">
        <v>2008</v>
      </c>
    </row>
    <row r="1433" spans="1:8">
      <c r="A1433" s="67">
        <v>1427</v>
      </c>
      <c r="B1433" s="68" t="s">
        <v>1488</v>
      </c>
      <c r="C1433" s="68" t="s">
        <v>1489</v>
      </c>
      <c r="D1433" s="68" t="s">
        <v>1496</v>
      </c>
      <c r="E1433" s="68"/>
      <c r="F1433" s="61" t="str">
        <f t="shared" si="88"/>
        <v>Ruyonza</v>
      </c>
      <c r="G1433" s="61" t="str">
        <f t="shared" si="86"/>
        <v>Kyegegwa</v>
      </c>
      <c r="H1433" s="68" t="s">
        <v>1496</v>
      </c>
    </row>
    <row r="1434" spans="1:8">
      <c r="A1434" s="67">
        <v>1530</v>
      </c>
      <c r="B1434" s="68" t="s">
        <v>2011</v>
      </c>
      <c r="C1434" s="68" t="s">
        <v>2011</v>
      </c>
      <c r="D1434" s="68" t="s">
        <v>2374</v>
      </c>
      <c r="E1434" s="68"/>
      <c r="F1434" s="61" t="str">
        <f t="shared" si="88"/>
        <v>Rwamucucu</v>
      </c>
      <c r="G1434" s="61" t="str">
        <f t="shared" si="86"/>
        <v>Rukiga</v>
      </c>
      <c r="H1434" s="68" t="s">
        <v>2374</v>
      </c>
    </row>
    <row r="1435" spans="1:8">
      <c r="A1435" s="67">
        <v>1306</v>
      </c>
      <c r="B1435" s="68" t="s">
        <v>44</v>
      </c>
      <c r="C1435" s="68" t="s">
        <v>837</v>
      </c>
      <c r="D1435" s="68" t="s">
        <v>1262</v>
      </c>
      <c r="E1435" s="68"/>
      <c r="F1435" s="61" t="str">
        <f t="shared" si="88"/>
        <v>Rwamwanja Refugee Camp</v>
      </c>
      <c r="G1435" s="61" t="str">
        <f t="shared" si="86"/>
        <v>Kamwenge</v>
      </c>
      <c r="H1435" s="68" t="s">
        <v>1262</v>
      </c>
    </row>
    <row r="1436" spans="1:8">
      <c r="A1436" s="67">
        <v>1250</v>
      </c>
      <c r="B1436" s="68" t="s">
        <v>1670</v>
      </c>
      <c r="C1436" s="68" t="s">
        <v>1671</v>
      </c>
      <c r="D1436" s="68" t="s">
        <v>1684</v>
      </c>
      <c r="E1436" s="68"/>
      <c r="F1436" s="61" t="str">
        <f t="shared" si="88"/>
        <v>Rwanyamahembe</v>
      </c>
      <c r="G1436" s="61" t="str">
        <f t="shared" si="86"/>
        <v>Mbarara</v>
      </c>
      <c r="H1436" s="68" t="s">
        <v>1684</v>
      </c>
    </row>
    <row r="1437" spans="1:8">
      <c r="A1437" s="67">
        <v>1265</v>
      </c>
      <c r="B1437" s="68" t="s">
        <v>46</v>
      </c>
      <c r="C1437" s="68" t="s">
        <v>1891</v>
      </c>
      <c r="D1437" s="68" t="s">
        <v>1908</v>
      </c>
      <c r="E1437" s="68"/>
      <c r="F1437" s="61" t="str">
        <f t="shared" si="88"/>
        <v>Rwashamaire Town Council</v>
      </c>
      <c r="G1437" s="61" t="str">
        <f t="shared" si="86"/>
        <v>Ntungamo</v>
      </c>
      <c r="H1437" s="68" t="s">
        <v>1908</v>
      </c>
    </row>
    <row r="1438" spans="1:8">
      <c r="A1438" s="67">
        <v>1450</v>
      </c>
      <c r="B1438" s="68" t="s">
        <v>1880</v>
      </c>
      <c r="C1438" s="68" t="s">
        <v>1880</v>
      </c>
      <c r="D1438" s="68" t="s">
        <v>1888</v>
      </c>
      <c r="E1438" s="68"/>
      <c r="F1438" s="61" t="str">
        <f t="shared" si="88"/>
        <v>Rwebisengo</v>
      </c>
      <c r="G1438" s="61" t="str">
        <f t="shared" si="86"/>
        <v>Ntoroko</v>
      </c>
      <c r="H1438" s="68" t="s">
        <v>1888</v>
      </c>
    </row>
    <row r="1439" spans="1:8">
      <c r="A1439" s="67">
        <v>1451</v>
      </c>
      <c r="B1439" s="68" t="s">
        <v>1880</v>
      </c>
      <c r="C1439" s="68" t="s">
        <v>1880</v>
      </c>
      <c r="D1439" s="68" t="s">
        <v>1889</v>
      </c>
      <c r="E1439" s="68"/>
      <c r="F1439" s="61" t="str">
        <f t="shared" si="88"/>
        <v>Rwebisengo Town Council</v>
      </c>
      <c r="G1439" s="61" t="str">
        <f t="shared" si="86"/>
        <v>Ntoroko</v>
      </c>
      <c r="H1439" s="68" t="s">
        <v>1889</v>
      </c>
    </row>
    <row r="1440" spans="1:8">
      <c r="A1440" s="67">
        <v>1277</v>
      </c>
      <c r="B1440" s="68" t="s">
        <v>46</v>
      </c>
      <c r="C1440" s="68" t="s">
        <v>1894</v>
      </c>
      <c r="D1440" s="68" t="s">
        <v>1909</v>
      </c>
      <c r="E1440" s="68"/>
      <c r="F1440" s="61" t="str">
        <f t="shared" si="88"/>
        <v>Rweikiniro</v>
      </c>
      <c r="G1440" s="61" t="str">
        <f t="shared" si="86"/>
        <v>Ntungamo</v>
      </c>
      <c r="H1440" s="68" t="s">
        <v>1909</v>
      </c>
    </row>
    <row r="1441" spans="1:8">
      <c r="A1441" s="67">
        <v>1394</v>
      </c>
      <c r="B1441" s="68" t="s">
        <v>1375</v>
      </c>
      <c r="C1441" s="68" t="s">
        <v>1376</v>
      </c>
      <c r="D1441" s="68" t="s">
        <v>1391</v>
      </c>
      <c r="E1441" s="68"/>
      <c r="F1441" s="61" t="str">
        <f t="shared" si="88"/>
        <v>Rwemikoma</v>
      </c>
      <c r="G1441" s="61" t="str">
        <f t="shared" si="86"/>
        <v>Kiruhura</v>
      </c>
      <c r="H1441" s="68" t="s">
        <v>1391</v>
      </c>
    </row>
    <row r="1442" spans="1:8">
      <c r="A1442" s="67">
        <v>1412</v>
      </c>
      <c r="B1442" s="68" t="s">
        <v>680</v>
      </c>
      <c r="C1442" s="68" t="s">
        <v>680</v>
      </c>
      <c r="D1442" s="68" t="s">
        <v>687</v>
      </c>
      <c r="E1442" s="68"/>
      <c r="F1442" s="61" t="str">
        <f t="shared" si="88"/>
        <v>Rwengwe</v>
      </c>
      <c r="G1442" s="61" t="str">
        <f t="shared" si="86"/>
        <v>Buhweju</v>
      </c>
      <c r="H1442" s="68" t="s">
        <v>687</v>
      </c>
    </row>
    <row r="1443" spans="1:8">
      <c r="A1443" s="67">
        <v>1428</v>
      </c>
      <c r="B1443" s="68" t="s">
        <v>1488</v>
      </c>
      <c r="C1443" s="68" t="s">
        <v>1489</v>
      </c>
      <c r="D1443" s="68" t="s">
        <v>1497</v>
      </c>
      <c r="E1443" s="68"/>
      <c r="F1443" s="61" t="str">
        <f t="shared" si="88"/>
        <v>Rwentuha</v>
      </c>
      <c r="G1443" s="61" t="str">
        <f t="shared" si="86"/>
        <v>Kyegegwa</v>
      </c>
      <c r="H1443" s="68" t="s">
        <v>1497</v>
      </c>
    </row>
    <row r="1444" spans="1:8">
      <c r="A1444" s="67">
        <v>1522</v>
      </c>
      <c r="B1444" s="68" t="s">
        <v>773</v>
      </c>
      <c r="C1444" s="68" t="s">
        <v>773</v>
      </c>
      <c r="D1444" s="68" t="s">
        <v>782</v>
      </c>
      <c r="E1444" s="68"/>
      <c r="F1444" s="61" t="str">
        <f t="shared" si="88"/>
        <v>Rwimi</v>
      </c>
      <c r="G1444" s="61" t="str">
        <f t="shared" si="86"/>
        <v>Bunyangabu</v>
      </c>
      <c r="H1444" s="68" t="s">
        <v>782</v>
      </c>
    </row>
    <row r="1445" spans="1:8">
      <c r="A1445" s="67">
        <v>1523</v>
      </c>
      <c r="B1445" s="68" t="s">
        <v>773</v>
      </c>
      <c r="C1445" s="68" t="s">
        <v>773</v>
      </c>
      <c r="D1445" s="68" t="s">
        <v>783</v>
      </c>
      <c r="E1445" s="68"/>
      <c r="F1445" s="61" t="str">
        <f t="shared" si="88"/>
        <v>Rwimi Town Council</v>
      </c>
      <c r="G1445" s="61" t="str">
        <f t="shared" si="86"/>
        <v>Bunyangabu</v>
      </c>
      <c r="H1445" s="68" t="s">
        <v>783</v>
      </c>
    </row>
    <row r="1446" spans="1:8">
      <c r="A1446" s="67">
        <v>1161</v>
      </c>
      <c r="B1446" s="68" t="s">
        <v>981</v>
      </c>
      <c r="C1446" s="68" t="s">
        <v>982</v>
      </c>
      <c r="D1446" s="68" t="s">
        <v>992</v>
      </c>
      <c r="E1446" s="68"/>
      <c r="F1446" s="61" t="str">
        <f t="shared" si="88"/>
        <v>Ryakirimira Town Council</v>
      </c>
      <c r="G1446" s="61" t="str">
        <f t="shared" si="86"/>
        <v>Kabale</v>
      </c>
      <c r="H1446" s="68" t="s">
        <v>992</v>
      </c>
    </row>
    <row r="1447" spans="1:8">
      <c r="A1447" s="67">
        <v>1457</v>
      </c>
      <c r="B1447" s="68" t="s">
        <v>2000</v>
      </c>
      <c r="C1447" s="68" t="s">
        <v>48</v>
      </c>
      <c r="D1447" s="68" t="s">
        <v>2009</v>
      </c>
      <c r="E1447" s="68"/>
      <c r="F1447" s="61" t="str">
        <f t="shared" si="88"/>
        <v>Ryeru</v>
      </c>
      <c r="G1447" s="61" t="str">
        <f t="shared" si="86"/>
        <v>Rubirizi</v>
      </c>
      <c r="H1447" s="68" t="s">
        <v>2009</v>
      </c>
    </row>
    <row r="1448" spans="1:8">
      <c r="A1448" s="67">
        <v>1403</v>
      </c>
      <c r="B1448" s="68" t="s">
        <v>1375</v>
      </c>
      <c r="C1448" s="68" t="s">
        <v>1381</v>
      </c>
      <c r="D1448" s="68" t="s">
        <v>1392</v>
      </c>
      <c r="E1448" s="68"/>
      <c r="F1448" s="61" t="str">
        <f t="shared" si="88"/>
        <v>Sanga</v>
      </c>
      <c r="G1448" s="61" t="str">
        <f t="shared" si="86"/>
        <v>Kiruhura</v>
      </c>
      <c r="H1448" s="68" t="s">
        <v>1392</v>
      </c>
    </row>
    <row r="1449" spans="1:8">
      <c r="A1449" s="67">
        <v>1404</v>
      </c>
      <c r="B1449" s="68" t="s">
        <v>1375</v>
      </c>
      <c r="C1449" s="68" t="s">
        <v>1381</v>
      </c>
      <c r="D1449" s="68" t="s">
        <v>1393</v>
      </c>
      <c r="E1449" s="68"/>
      <c r="F1449" s="61" t="str">
        <f t="shared" si="88"/>
        <v>Sanga Town Council</v>
      </c>
      <c r="G1449" s="61" t="str">
        <f t="shared" si="86"/>
        <v>Kiruhura</v>
      </c>
      <c r="H1449" s="68" t="s">
        <v>1393</v>
      </c>
    </row>
    <row r="1450" spans="1:8">
      <c r="A1450" s="67">
        <v>492</v>
      </c>
      <c r="B1450" s="68" t="s">
        <v>1761</v>
      </c>
      <c r="C1450" s="68" t="s">
        <v>1762</v>
      </c>
      <c r="D1450" s="68" t="s">
        <v>1777</v>
      </c>
      <c r="E1450" s="68"/>
      <c r="F1450" s="61" t="str">
        <f t="shared" si="88"/>
        <v>Seeta Namuganga</v>
      </c>
      <c r="G1450" s="61" t="str">
        <f t="shared" si="86"/>
        <v>Mukono</v>
      </c>
      <c r="H1450" s="68" t="s">
        <v>1777</v>
      </c>
    </row>
    <row r="1451" spans="1:8">
      <c r="A1451" s="67">
        <v>522</v>
      </c>
      <c r="B1451" s="68" t="s">
        <v>2085</v>
      </c>
      <c r="C1451" s="68" t="s">
        <v>2086</v>
      </c>
      <c r="D1451" s="68" t="s">
        <v>2093</v>
      </c>
      <c r="E1451" s="68"/>
      <c r="F1451" s="61" t="str">
        <f t="shared" si="88"/>
        <v>Sembabule Town Council</v>
      </c>
      <c r="G1451" s="61" t="str">
        <f t="shared" si="86"/>
        <v>Ssembabule</v>
      </c>
      <c r="H1451" s="68" t="s">
        <v>2093</v>
      </c>
    </row>
    <row r="1452" spans="1:8">
      <c r="A1452" s="67">
        <v>591</v>
      </c>
      <c r="B1452" s="68" t="s">
        <v>1790</v>
      </c>
      <c r="C1452" s="68" t="s">
        <v>1790</v>
      </c>
      <c r="D1452" s="68" t="s">
        <v>1801</v>
      </c>
      <c r="E1452" s="68"/>
      <c r="F1452" s="61" t="str">
        <f t="shared" si="88"/>
        <v>Semuto</v>
      </c>
      <c r="G1452" s="61" t="str">
        <f t="shared" si="86"/>
        <v>Nakaseke</v>
      </c>
      <c r="H1452" s="68" t="s">
        <v>1801</v>
      </c>
    </row>
    <row r="1453" spans="1:8">
      <c r="A1453" s="67">
        <v>592</v>
      </c>
      <c r="B1453" s="68" t="s">
        <v>1790</v>
      </c>
      <c r="C1453" s="68" t="s">
        <v>1790</v>
      </c>
      <c r="D1453" s="68" t="s">
        <v>1802</v>
      </c>
      <c r="E1453" s="68"/>
      <c r="F1453" s="61" t="str">
        <f t="shared" si="88"/>
        <v>Semuto Town Council</v>
      </c>
      <c r="G1453" s="61" t="str">
        <f t="shared" si="86"/>
        <v>Nakaseke</v>
      </c>
      <c r="H1453" s="68" t="s">
        <v>1802</v>
      </c>
    </row>
    <row r="1454" spans="1:8">
      <c r="A1454" s="67">
        <v>946</v>
      </c>
      <c r="B1454" s="68" t="s">
        <v>709</v>
      </c>
      <c r="C1454" s="68" t="s">
        <v>710</v>
      </c>
      <c r="D1454" s="68" t="s">
        <v>719</v>
      </c>
      <c r="E1454" s="68"/>
      <c r="F1454" s="61" t="str">
        <f t="shared" si="88"/>
        <v>Senendet</v>
      </c>
      <c r="G1454" s="61" t="str">
        <f t="shared" si="86"/>
        <v>Bukwo</v>
      </c>
      <c r="H1454" s="68" t="s">
        <v>719</v>
      </c>
    </row>
    <row r="1455" spans="1:8">
      <c r="A1455" s="67">
        <v>1077</v>
      </c>
      <c r="B1455" s="68" t="s">
        <v>2030</v>
      </c>
      <c r="C1455" s="68" t="s">
        <v>2030</v>
      </c>
      <c r="D1455" s="68" t="s">
        <v>2040</v>
      </c>
      <c r="E1455" s="68"/>
      <c r="F1455" s="61" t="str">
        <f t="shared" si="88"/>
        <v>Serere Town Council</v>
      </c>
      <c r="G1455" s="61" t="str">
        <f t="shared" si="86"/>
        <v>Serere</v>
      </c>
      <c r="H1455" s="68" t="s">
        <v>2040</v>
      </c>
    </row>
    <row r="1456" spans="1:8" ht="25.5">
      <c r="A1456" s="67">
        <v>1476</v>
      </c>
      <c r="B1456" s="70" t="s">
        <v>41</v>
      </c>
      <c r="C1456" s="71" t="s">
        <v>2043</v>
      </c>
      <c r="D1456" s="70" t="s">
        <v>2375</v>
      </c>
      <c r="E1456" s="70"/>
      <c r="F1456" s="62" t="str">
        <f>VLOOKUP(C1456,[2]Municipalities!$C$9:$F$1522,4,FALSE)</f>
        <v>Sheema Municipality</v>
      </c>
      <c r="G1456" s="61" t="str">
        <f t="shared" si="86"/>
        <v>Sheema</v>
      </c>
      <c r="H1456" s="70" t="s">
        <v>2375</v>
      </c>
    </row>
    <row r="1457" spans="1:8">
      <c r="A1457" s="67">
        <v>1470</v>
      </c>
      <c r="B1457" s="68" t="s">
        <v>41</v>
      </c>
      <c r="C1457" s="68" t="s">
        <v>41</v>
      </c>
      <c r="D1457" s="68" t="s">
        <v>2051</v>
      </c>
      <c r="E1457" s="68"/>
      <c r="F1457" s="61" t="str">
        <f t="shared" si="88"/>
        <v>Shuuku</v>
      </c>
      <c r="G1457" s="61" t="str">
        <f t="shared" si="86"/>
        <v>Sheema</v>
      </c>
      <c r="H1457" s="68" t="s">
        <v>2051</v>
      </c>
    </row>
    <row r="1458" spans="1:8">
      <c r="A1458" s="67">
        <v>1471</v>
      </c>
      <c r="B1458" s="68" t="s">
        <v>41</v>
      </c>
      <c r="C1458" s="68" t="s">
        <v>41</v>
      </c>
      <c r="D1458" s="68" t="s">
        <v>2052</v>
      </c>
      <c r="E1458" s="68"/>
      <c r="F1458" s="61" t="str">
        <f t="shared" si="88"/>
        <v>Shuuku Town Council</v>
      </c>
      <c r="G1458" s="61" t="str">
        <f t="shared" si="86"/>
        <v>Sheema</v>
      </c>
      <c r="H1458" s="68" t="s">
        <v>2052</v>
      </c>
    </row>
    <row r="1459" spans="1:8">
      <c r="A1459" s="67">
        <v>985</v>
      </c>
      <c r="B1459" s="68" t="s">
        <v>1583</v>
      </c>
      <c r="C1459" s="68" t="s">
        <v>1584</v>
      </c>
      <c r="D1459" s="68" t="s">
        <v>1598</v>
      </c>
      <c r="E1459" s="68"/>
      <c r="F1459" s="61" t="str">
        <f t="shared" si="88"/>
        <v>Sibanga</v>
      </c>
      <c r="G1459" s="61" t="str">
        <f t="shared" si="86"/>
        <v>Manafwa</v>
      </c>
      <c r="H1459" s="68" t="s">
        <v>1598</v>
      </c>
    </row>
    <row r="1460" spans="1:8">
      <c r="A1460" s="67">
        <v>197</v>
      </c>
      <c r="B1460" s="68" t="s">
        <v>965</v>
      </c>
      <c r="C1460" s="68" t="s">
        <v>966</v>
      </c>
      <c r="D1460" s="68" t="s">
        <v>979</v>
      </c>
      <c r="E1460" s="68"/>
      <c r="F1460" s="61" t="str">
        <f t="shared" si="88"/>
        <v>Sidok</v>
      </c>
      <c r="G1460" s="61" t="str">
        <f t="shared" si="86"/>
        <v>Kaabong</v>
      </c>
      <c r="H1460" s="68" t="s">
        <v>979</v>
      </c>
    </row>
    <row r="1461" spans="1:8">
      <c r="A1461" s="67">
        <v>1062</v>
      </c>
      <c r="B1461" s="68" t="s">
        <v>1817</v>
      </c>
      <c r="C1461" s="68" t="s">
        <v>1818</v>
      </c>
      <c r="D1461" s="68" t="s">
        <v>1826</v>
      </c>
      <c r="E1461" s="68"/>
      <c r="F1461" s="61" t="str">
        <f t="shared" si="88"/>
        <v>Sigulu Island</v>
      </c>
      <c r="G1461" s="61" t="str">
        <f t="shared" si="86"/>
        <v>Namayingo</v>
      </c>
      <c r="H1461" s="68" t="s">
        <v>1826</v>
      </c>
    </row>
    <row r="1462" spans="1:8">
      <c r="A1462" s="67">
        <v>696</v>
      </c>
      <c r="B1462" s="68" t="s">
        <v>796</v>
      </c>
      <c r="C1462" s="68" t="s">
        <v>797</v>
      </c>
      <c r="D1462" s="68" t="s">
        <v>811</v>
      </c>
      <c r="E1462" s="68"/>
      <c r="F1462" s="61" t="str">
        <f t="shared" si="88"/>
        <v>Sikuda</v>
      </c>
      <c r="G1462" s="61" t="str">
        <f t="shared" si="86"/>
        <v>Busia</v>
      </c>
      <c r="H1462" s="68" t="s">
        <v>811</v>
      </c>
    </row>
    <row r="1463" spans="1:8">
      <c r="A1463" s="67">
        <v>1004</v>
      </c>
      <c r="B1463" s="68" t="s">
        <v>723</v>
      </c>
      <c r="C1463" s="68" t="s">
        <v>723</v>
      </c>
      <c r="D1463" s="68" t="s">
        <v>740</v>
      </c>
      <c r="E1463" s="68"/>
      <c r="F1463" s="61" t="str">
        <f t="shared" si="88"/>
        <v>Simu</v>
      </c>
      <c r="G1463" s="61" t="str">
        <f t="shared" si="86"/>
        <v>Bulambuli</v>
      </c>
      <c r="H1463" s="68" t="s">
        <v>740</v>
      </c>
    </row>
    <row r="1464" spans="1:8">
      <c r="A1464" s="67">
        <v>1107</v>
      </c>
      <c r="B1464" s="68" t="s">
        <v>750</v>
      </c>
      <c r="C1464" s="68" t="s">
        <v>754</v>
      </c>
      <c r="D1464" s="68" t="s">
        <v>770</v>
      </c>
      <c r="E1464" s="68"/>
      <c r="F1464" s="61" t="str">
        <f t="shared" si="88"/>
        <v>Sindila</v>
      </c>
      <c r="G1464" s="61" t="str">
        <f t="shared" si="86"/>
        <v>Bundibugyo</v>
      </c>
      <c r="H1464" s="68" t="s">
        <v>770</v>
      </c>
    </row>
    <row r="1465" spans="1:8">
      <c r="A1465" s="67">
        <v>749</v>
      </c>
      <c r="B1465" s="68" t="s">
        <v>1283</v>
      </c>
      <c r="C1465" s="68" t="s">
        <v>1284</v>
      </c>
      <c r="D1465" s="68" t="s">
        <v>1295</v>
      </c>
      <c r="E1465" s="68"/>
      <c r="F1465" s="61" t="str">
        <f t="shared" si="88"/>
        <v>Sipi</v>
      </c>
      <c r="G1465" s="61" t="str">
        <f t="shared" si="86"/>
        <v>Kapchorwa</v>
      </c>
      <c r="H1465" s="68" t="s">
        <v>1295</v>
      </c>
    </row>
    <row r="1466" spans="1:8">
      <c r="A1466" s="67">
        <v>884</v>
      </c>
      <c r="B1466" s="68" t="s">
        <v>2054</v>
      </c>
      <c r="C1466" s="68" t="s">
        <v>2055</v>
      </c>
      <c r="D1466" s="68" t="s">
        <v>2074</v>
      </c>
      <c r="E1466" s="68"/>
      <c r="F1466" s="61" t="str">
        <f t="shared" si="88"/>
        <v>Sironko Town Council</v>
      </c>
      <c r="G1466" s="61" t="str">
        <f t="shared" si="86"/>
        <v>Sironko</v>
      </c>
      <c r="H1466" s="68" t="s">
        <v>2074</v>
      </c>
    </row>
    <row r="1467" spans="1:8">
      <c r="A1467" s="67">
        <v>1016</v>
      </c>
      <c r="B1467" s="68" t="s">
        <v>723</v>
      </c>
      <c r="C1467" s="68" t="s">
        <v>723</v>
      </c>
      <c r="D1467" s="68" t="s">
        <v>741</v>
      </c>
      <c r="E1467" s="68"/>
      <c r="F1467" s="61" t="str">
        <f t="shared" si="88"/>
        <v>Sisiyi</v>
      </c>
      <c r="G1467" s="61" t="str">
        <f t="shared" si="86"/>
        <v>Bulambuli</v>
      </c>
      <c r="H1467" s="68" t="s">
        <v>741</v>
      </c>
    </row>
    <row r="1468" spans="1:8">
      <c r="A1468" s="67">
        <v>986</v>
      </c>
      <c r="B1468" s="68" t="s">
        <v>1583</v>
      </c>
      <c r="C1468" s="68" t="s">
        <v>1584</v>
      </c>
      <c r="D1468" s="68" t="s">
        <v>1599</v>
      </c>
      <c r="E1468" s="68"/>
      <c r="F1468" s="61" t="str">
        <f t="shared" si="88"/>
        <v>Sisuni</v>
      </c>
      <c r="G1468" s="61" t="str">
        <f t="shared" si="86"/>
        <v>Manafwa</v>
      </c>
      <c r="H1468" s="68" t="s">
        <v>1599</v>
      </c>
    </row>
    <row r="1469" spans="1:8">
      <c r="A1469" s="67">
        <v>838</v>
      </c>
      <c r="B1469" s="68" t="s">
        <v>2095</v>
      </c>
      <c r="C1469" s="68" t="s">
        <v>2096</v>
      </c>
      <c r="D1469" s="68" t="s">
        <v>2114</v>
      </c>
      <c r="E1469" s="68"/>
      <c r="F1469" s="61" t="str">
        <f t="shared" si="88"/>
        <v>Sop-Sop</v>
      </c>
      <c r="G1469" s="61" t="str">
        <f t="shared" si="86"/>
        <v>Tororo</v>
      </c>
      <c r="H1469" s="68" t="s">
        <v>2114</v>
      </c>
    </row>
    <row r="1470" spans="1:8">
      <c r="A1470" s="67">
        <v>812</v>
      </c>
      <c r="B1470" s="68" t="s">
        <v>2077</v>
      </c>
      <c r="C1470" s="68" t="s">
        <v>2077</v>
      </c>
      <c r="D1470" s="68" t="s">
        <v>2077</v>
      </c>
      <c r="E1470" s="68"/>
      <c r="F1470" s="61" t="str">
        <f t="shared" si="88"/>
        <v>Soroti</v>
      </c>
      <c r="G1470" s="61" t="str">
        <f t="shared" si="86"/>
        <v>Soroti</v>
      </c>
      <c r="H1470" s="68" t="s">
        <v>2077</v>
      </c>
    </row>
    <row r="1471" spans="1:8" ht="25.5">
      <c r="A1471" s="67">
        <v>1234</v>
      </c>
      <c r="B1471" s="68" t="s">
        <v>1404</v>
      </c>
      <c r="C1471" s="69" t="s">
        <v>1410</v>
      </c>
      <c r="D1471" s="68" t="s">
        <v>2376</v>
      </c>
      <c r="E1471" s="68"/>
      <c r="F1471" s="62" t="str">
        <f>VLOOKUP(C1471,[2]Municipalities!$C$9:$F$1522,4,FALSE)</f>
        <v>Kisoro Municipality</v>
      </c>
      <c r="G1471" s="61" t="str">
        <f t="shared" si="86"/>
        <v>Kisoro</v>
      </c>
      <c r="H1471" s="68" t="s">
        <v>2376</v>
      </c>
    </row>
    <row r="1472" spans="1:8" ht="25.5">
      <c r="A1472" s="67">
        <v>205</v>
      </c>
      <c r="B1472" s="68" t="s">
        <v>1433</v>
      </c>
      <c r="C1472" s="69" t="s">
        <v>1435</v>
      </c>
      <c r="D1472" s="72" t="s">
        <v>2377</v>
      </c>
      <c r="E1472" s="68"/>
      <c r="F1472" s="62" t="str">
        <f>VLOOKUP(C1472,[2]Municipalities!$C$9:$F$1522,4,FALSE)</f>
        <v>Koboko Municipality</v>
      </c>
      <c r="G1472" s="61" t="str">
        <f t="shared" si="86"/>
        <v>Koboko</v>
      </c>
      <c r="H1472" s="72" t="s">
        <v>2377</v>
      </c>
    </row>
    <row r="1473" spans="1:8" ht="25.5">
      <c r="A1473" s="67">
        <v>477</v>
      </c>
      <c r="B1473" s="68" t="s">
        <v>1739</v>
      </c>
      <c r="C1473" s="69" t="s">
        <v>1756</v>
      </c>
      <c r="D1473" s="72" t="s">
        <v>2377</v>
      </c>
      <c r="E1473" s="68"/>
      <c r="F1473" s="62" t="str">
        <f>VLOOKUP(C1473,[2]Municipalities!$C$9:$F$1522,4,FALSE)</f>
        <v>Mubende Municipality</v>
      </c>
      <c r="G1473" s="61" t="str">
        <f t="shared" si="86"/>
        <v>Mubende</v>
      </c>
      <c r="H1473" s="72" t="s">
        <v>2377</v>
      </c>
    </row>
    <row r="1474" spans="1:8" ht="25.5">
      <c r="A1474" s="67">
        <v>738</v>
      </c>
      <c r="B1474" s="68" t="s">
        <v>1232</v>
      </c>
      <c r="C1474" s="69" t="s">
        <v>1238</v>
      </c>
      <c r="D1474" s="72" t="s">
        <v>2377</v>
      </c>
      <c r="E1474" s="68"/>
      <c r="F1474" s="62" t="str">
        <f>VLOOKUP(C1474,[2]Municipalities!$C$9:$F$1522,4,FALSE)</f>
        <v>Kamuli Municipality</v>
      </c>
      <c r="G1474" s="61" t="str">
        <f t="shared" si="86"/>
        <v>Kamuli</v>
      </c>
      <c r="H1474" s="72" t="s">
        <v>2377</v>
      </c>
    </row>
    <row r="1475" spans="1:8">
      <c r="A1475" s="67">
        <v>770</v>
      </c>
      <c r="B1475" s="68" t="s">
        <v>1456</v>
      </c>
      <c r="C1475" s="69" t="s">
        <v>1458</v>
      </c>
      <c r="D1475" s="72" t="s">
        <v>2377</v>
      </c>
      <c r="E1475" s="68"/>
      <c r="F1475" s="62" t="str">
        <f>VLOOKUP(C1475,[2]Municipalities!$C$9:$F$1522,4,FALSE)</f>
        <v>Kumi Municipality</v>
      </c>
      <c r="G1475" s="61" t="str">
        <f t="shared" si="86"/>
        <v>Kumi</v>
      </c>
      <c r="H1475" s="72" t="s">
        <v>2377</v>
      </c>
    </row>
    <row r="1476" spans="1:8" ht="25.5">
      <c r="A1476" s="67">
        <v>1151</v>
      </c>
      <c r="B1476" s="68" t="s">
        <v>981</v>
      </c>
      <c r="C1476" s="69" t="s">
        <v>984</v>
      </c>
      <c r="D1476" s="72" t="s">
        <v>2377</v>
      </c>
      <c r="E1476" s="68"/>
      <c r="F1476" s="62" t="str">
        <f>VLOOKUP(C1476,[2]Municipalities!$C$9:$F$1522,4,FALSE)</f>
        <v>Kabale Municipality</v>
      </c>
      <c r="G1476" s="61" t="str">
        <f t="shared" si="86"/>
        <v>Kabale</v>
      </c>
      <c r="H1476" s="72" t="s">
        <v>2377</v>
      </c>
    </row>
    <row r="1477" spans="1:8" ht="25.5">
      <c r="A1477" s="67">
        <v>1176</v>
      </c>
      <c r="B1477" s="68" t="s">
        <v>994</v>
      </c>
      <c r="C1477" s="69" t="s">
        <v>997</v>
      </c>
      <c r="D1477" s="72" t="s">
        <v>2377</v>
      </c>
      <c r="E1477" s="68"/>
      <c r="F1477" s="62" t="str">
        <f>VLOOKUP(C1477,[2]Municipalities!$C$9:$F$1522,4,FALSE)</f>
        <v>Fort Portal Municipality</v>
      </c>
      <c r="G1477" s="61" t="str">
        <f t="shared" si="86"/>
        <v>Kabarole</v>
      </c>
      <c r="H1477" s="72" t="s">
        <v>2377</v>
      </c>
    </row>
    <row r="1478" spans="1:8" ht="25.5">
      <c r="A1478" s="67">
        <v>1295</v>
      </c>
      <c r="B1478" s="68" t="s">
        <v>40</v>
      </c>
      <c r="C1478" s="69" t="s">
        <v>2028</v>
      </c>
      <c r="D1478" s="72" t="s">
        <v>2377</v>
      </c>
      <c r="E1478" s="68"/>
      <c r="F1478" s="62" t="str">
        <f>VLOOKUP(C1478,[2]Municipalities!$C$9:$F$1522,4,FALSE)</f>
        <v>Rukungiri Municipality</v>
      </c>
      <c r="G1478" s="61" t="str">
        <f t="shared" si="86"/>
        <v>Rukungiri</v>
      </c>
      <c r="H1478" s="72" t="s">
        <v>2377</v>
      </c>
    </row>
    <row r="1479" spans="1:8" ht="25.5">
      <c r="A1479" s="67">
        <v>97</v>
      </c>
      <c r="B1479" s="68" t="s">
        <v>541</v>
      </c>
      <c r="C1479" s="69" t="s">
        <v>1713</v>
      </c>
      <c r="D1479" s="72" t="s">
        <v>2378</v>
      </c>
      <c r="E1479" s="68"/>
      <c r="F1479" s="62" t="str">
        <f>VLOOKUP(C1479,[2]Municipalities!$C$9:$F$1522,4,FALSE)</f>
        <v>Moroto Municipality</v>
      </c>
      <c r="G1479" s="61" t="str">
        <f t="shared" si="86"/>
        <v>Moroto</v>
      </c>
      <c r="H1479" s="72" t="s">
        <v>2378</v>
      </c>
    </row>
    <row r="1480" spans="1:8">
      <c r="A1480" s="67">
        <v>574</v>
      </c>
      <c r="B1480" s="68" t="s">
        <v>1697</v>
      </c>
      <c r="C1480" s="68" t="s">
        <v>1697</v>
      </c>
      <c r="D1480" s="68" t="s">
        <v>1710</v>
      </c>
      <c r="E1480" s="68"/>
      <c r="F1480" s="61" t="str">
        <f t="shared" ref="F1480:F1484" si="89">D1480</f>
        <v>Ssekanyonyi</v>
      </c>
      <c r="G1480" s="61" t="str">
        <f t="shared" si="86"/>
        <v>Mityana</v>
      </c>
      <c r="H1480" s="68" t="s">
        <v>1710</v>
      </c>
    </row>
    <row r="1481" spans="1:8">
      <c r="A1481" s="67">
        <v>599</v>
      </c>
      <c r="B1481" s="68" t="s">
        <v>688</v>
      </c>
      <c r="C1481" s="68" t="s">
        <v>688</v>
      </c>
      <c r="D1481" s="68" t="s">
        <v>696</v>
      </c>
      <c r="E1481" s="68"/>
      <c r="F1481" s="61" t="str">
        <f t="shared" si="89"/>
        <v>Ssi-Bukunja</v>
      </c>
      <c r="G1481" s="61" t="str">
        <f t="shared" si="86"/>
        <v>Buikwe</v>
      </c>
      <c r="H1481" s="68" t="s">
        <v>696</v>
      </c>
    </row>
    <row r="1482" spans="1:8">
      <c r="A1482" s="67">
        <v>947</v>
      </c>
      <c r="B1482" s="68" t="s">
        <v>709</v>
      </c>
      <c r="C1482" s="68" t="s">
        <v>710</v>
      </c>
      <c r="D1482" s="68" t="s">
        <v>720</v>
      </c>
      <c r="E1482" s="68"/>
      <c r="F1482" s="61" t="str">
        <f t="shared" si="89"/>
        <v>Suam</v>
      </c>
      <c r="G1482" s="61" t="str">
        <f t="shared" ref="G1482:G1532" si="90">B1482</f>
        <v>Bukwo</v>
      </c>
      <c r="H1482" s="68" t="s">
        <v>720</v>
      </c>
    </row>
    <row r="1483" spans="1:8">
      <c r="A1483" s="67">
        <v>95</v>
      </c>
      <c r="B1483" s="68" t="s">
        <v>541</v>
      </c>
      <c r="C1483" s="68" t="s">
        <v>1712</v>
      </c>
      <c r="D1483" s="68" t="s">
        <v>1716</v>
      </c>
      <c r="E1483" s="68"/>
      <c r="F1483" s="61" t="str">
        <f t="shared" si="89"/>
        <v>Tapac</v>
      </c>
      <c r="G1483" s="61" t="str">
        <f t="shared" si="90"/>
        <v>Moroto</v>
      </c>
      <c r="H1483" s="68" t="s">
        <v>1716</v>
      </c>
    </row>
    <row r="1484" spans="1:8">
      <c r="A1484" s="67">
        <v>213</v>
      </c>
      <c r="B1484" s="68" t="s">
        <v>1602</v>
      </c>
      <c r="C1484" s="68" t="s">
        <v>1602</v>
      </c>
      <c r="D1484" s="68" t="s">
        <v>1608</v>
      </c>
      <c r="E1484" s="68"/>
      <c r="F1484" s="61" t="str">
        <f t="shared" si="89"/>
        <v>Tara</v>
      </c>
      <c r="G1484" s="61" t="str">
        <f t="shared" si="90"/>
        <v>Maracha</v>
      </c>
      <c r="H1484" s="68" t="s">
        <v>1608</v>
      </c>
    </row>
    <row r="1485" spans="1:8" ht="25.5">
      <c r="A1485" s="67">
        <v>109</v>
      </c>
      <c r="B1485" s="68" t="s">
        <v>1865</v>
      </c>
      <c r="C1485" s="69" t="s">
        <v>1871</v>
      </c>
      <c r="D1485" s="68" t="s">
        <v>2379</v>
      </c>
      <c r="E1485" s="68"/>
      <c r="F1485" s="62" t="str">
        <f>VLOOKUP(C1485,[2]Municipalities!$C$9:$F$1522,4,FALSE)</f>
        <v>Nebbi Municipality</v>
      </c>
      <c r="G1485" s="61" t="str">
        <f t="shared" si="90"/>
        <v>Nebbi</v>
      </c>
      <c r="H1485" s="68" t="s">
        <v>2379</v>
      </c>
    </row>
    <row r="1486" spans="1:8">
      <c r="A1486" s="67">
        <v>1033</v>
      </c>
      <c r="B1486" s="68" t="s">
        <v>1365</v>
      </c>
      <c r="C1486" s="68" t="s">
        <v>1365</v>
      </c>
      <c r="D1486" s="68" t="s">
        <v>1373</v>
      </c>
      <c r="E1486" s="68"/>
      <c r="F1486" s="61" t="str">
        <f t="shared" ref="F1486:F1489" si="91">D1486</f>
        <v>Tirinyi</v>
      </c>
      <c r="G1486" s="61" t="str">
        <f t="shared" si="90"/>
        <v>Kibuku</v>
      </c>
      <c r="H1486" s="68" t="s">
        <v>1373</v>
      </c>
    </row>
    <row r="1487" spans="1:8">
      <c r="A1487" s="67">
        <v>1121</v>
      </c>
      <c r="B1487" s="68" t="s">
        <v>750</v>
      </c>
      <c r="C1487" s="68" t="s">
        <v>751</v>
      </c>
      <c r="D1487" s="68" t="s">
        <v>771</v>
      </c>
      <c r="E1487" s="68"/>
      <c r="F1487" s="61" t="str">
        <f t="shared" si="91"/>
        <v>Tokwe</v>
      </c>
      <c r="G1487" s="61" t="str">
        <f t="shared" si="90"/>
        <v>Bundibugyo</v>
      </c>
      <c r="H1487" s="68" t="s">
        <v>771</v>
      </c>
    </row>
    <row r="1488" spans="1:8">
      <c r="A1488" s="67">
        <v>756</v>
      </c>
      <c r="B1488" s="68" t="s">
        <v>1325</v>
      </c>
      <c r="C1488" s="68" t="s">
        <v>1326</v>
      </c>
      <c r="D1488" s="68" t="s">
        <v>1326</v>
      </c>
      <c r="E1488" s="68"/>
      <c r="F1488" s="61" t="str">
        <f t="shared" si="91"/>
        <v>Toroma</v>
      </c>
      <c r="G1488" s="61" t="str">
        <f t="shared" si="90"/>
        <v>Katakwi</v>
      </c>
      <c r="H1488" s="68" t="s">
        <v>1326</v>
      </c>
    </row>
    <row r="1489" spans="1:8">
      <c r="A1489" s="67">
        <v>1099</v>
      </c>
      <c r="B1489" s="68" t="s">
        <v>1828</v>
      </c>
      <c r="C1489" s="68" t="s">
        <v>1828</v>
      </c>
      <c r="D1489" s="68" t="s">
        <v>1844</v>
      </c>
      <c r="E1489" s="68"/>
      <c r="F1489" s="61" t="str">
        <f t="shared" si="91"/>
        <v>Tsekululu</v>
      </c>
      <c r="G1489" s="61" t="str">
        <f t="shared" si="90"/>
        <v>Namisindwa</v>
      </c>
      <c r="H1489" s="68" t="s">
        <v>1844</v>
      </c>
    </row>
    <row r="1490" spans="1:8" ht="25.5">
      <c r="A1490" s="67">
        <v>578</v>
      </c>
      <c r="B1490" s="68" t="s">
        <v>1697</v>
      </c>
      <c r="C1490" s="69" t="s">
        <v>1701</v>
      </c>
      <c r="D1490" s="68" t="s">
        <v>2380</v>
      </c>
      <c r="E1490" s="68"/>
      <c r="F1490" s="62" t="str">
        <f>VLOOKUP(C1490,[2]Municipalities!$C$9:$F$1522,4,FALSE)</f>
        <v>Mityana Municipality</v>
      </c>
      <c r="G1490" s="61" t="str">
        <f t="shared" si="90"/>
        <v>Mityana</v>
      </c>
      <c r="H1490" s="68" t="s">
        <v>2380</v>
      </c>
    </row>
    <row r="1491" spans="1:8">
      <c r="A1491" s="67">
        <v>808</v>
      </c>
      <c r="B1491" s="68" t="s">
        <v>2077</v>
      </c>
      <c r="C1491" s="68" t="s">
        <v>2077</v>
      </c>
      <c r="D1491" s="68" t="s">
        <v>2083</v>
      </c>
      <c r="E1491" s="68"/>
      <c r="F1491" s="61" t="str">
        <f t="shared" ref="F1491:F1502" si="92">D1491</f>
        <v>Tubur</v>
      </c>
      <c r="G1491" s="61" t="str">
        <f t="shared" si="90"/>
        <v>Soroti</v>
      </c>
      <c r="H1491" s="68" t="s">
        <v>2083</v>
      </c>
    </row>
    <row r="1492" spans="1:8">
      <c r="A1492" s="67">
        <v>948</v>
      </c>
      <c r="B1492" s="68" t="s">
        <v>709</v>
      </c>
      <c r="C1492" s="68" t="s">
        <v>710</v>
      </c>
      <c r="D1492" s="68" t="s">
        <v>721</v>
      </c>
      <c r="E1492" s="68"/>
      <c r="F1492" s="61" t="str">
        <f t="shared" si="92"/>
        <v>Tulel</v>
      </c>
      <c r="G1492" s="61" t="str">
        <f t="shared" si="90"/>
        <v>Bukwo</v>
      </c>
      <c r="H1492" s="68" t="s">
        <v>721</v>
      </c>
    </row>
    <row r="1493" spans="1:8">
      <c r="A1493" s="67">
        <v>8</v>
      </c>
      <c r="B1493" s="68" t="s">
        <v>511</v>
      </c>
      <c r="C1493" s="68" t="s">
        <v>512</v>
      </c>
      <c r="D1493" s="68" t="s">
        <v>521</v>
      </c>
      <c r="E1493" s="68"/>
      <c r="F1493" s="61" t="str">
        <f t="shared" si="92"/>
        <v>Ukusijoni</v>
      </c>
      <c r="G1493" s="61" t="str">
        <f t="shared" si="90"/>
        <v>Adjumani</v>
      </c>
      <c r="H1493" s="68" t="s">
        <v>521</v>
      </c>
    </row>
    <row r="1494" spans="1:8">
      <c r="A1494" s="67">
        <v>39</v>
      </c>
      <c r="B1494" s="68" t="s">
        <v>606</v>
      </c>
      <c r="C1494" s="68" t="s">
        <v>613</v>
      </c>
      <c r="D1494" s="68" t="s">
        <v>634</v>
      </c>
      <c r="E1494" s="68"/>
      <c r="F1494" s="61" t="str">
        <f t="shared" si="92"/>
        <v>Uleppi</v>
      </c>
      <c r="G1494" s="61" t="str">
        <f t="shared" si="90"/>
        <v>Arua</v>
      </c>
      <c r="H1494" s="68" t="s">
        <v>634</v>
      </c>
    </row>
    <row r="1495" spans="1:8">
      <c r="A1495" s="67">
        <v>53</v>
      </c>
      <c r="B1495" s="68" t="s">
        <v>876</v>
      </c>
      <c r="C1495" s="68" t="s">
        <v>877</v>
      </c>
      <c r="D1495" s="68" t="s">
        <v>882</v>
      </c>
      <c r="E1495" s="68"/>
      <c r="F1495" s="61" t="str">
        <f t="shared" si="92"/>
        <v>Unyama</v>
      </c>
      <c r="G1495" s="61" t="str">
        <f t="shared" si="90"/>
        <v>Gulu</v>
      </c>
      <c r="H1495" s="68" t="s">
        <v>882</v>
      </c>
    </row>
    <row r="1496" spans="1:8">
      <c r="A1496" s="67">
        <v>45</v>
      </c>
      <c r="B1496" s="68" t="s">
        <v>606</v>
      </c>
      <c r="C1496" s="68" t="s">
        <v>609</v>
      </c>
      <c r="D1496" s="68" t="s">
        <v>635</v>
      </c>
      <c r="E1496" s="68"/>
      <c r="F1496" s="61" t="str">
        <f t="shared" si="92"/>
        <v>Uriama</v>
      </c>
      <c r="G1496" s="61" t="str">
        <f t="shared" si="90"/>
        <v>Arua</v>
      </c>
      <c r="H1496" s="68" t="s">
        <v>635</v>
      </c>
    </row>
    <row r="1497" spans="1:8">
      <c r="A1497" s="67">
        <v>762</v>
      </c>
      <c r="B1497" s="68" t="s">
        <v>1325</v>
      </c>
      <c r="C1497" s="68" t="s">
        <v>1327</v>
      </c>
      <c r="D1497" s="68" t="s">
        <v>1327</v>
      </c>
      <c r="E1497" s="68"/>
      <c r="F1497" s="61" t="str">
        <f t="shared" si="92"/>
        <v>Usuk</v>
      </c>
      <c r="G1497" s="61" t="str">
        <f t="shared" si="90"/>
        <v>Katakwi</v>
      </c>
      <c r="H1497" s="68" t="s">
        <v>1327</v>
      </c>
    </row>
    <row r="1498" spans="1:8">
      <c r="A1498" s="67">
        <v>49</v>
      </c>
      <c r="B1498" s="68" t="s">
        <v>606</v>
      </c>
      <c r="C1498" s="68" t="s">
        <v>611</v>
      </c>
      <c r="D1498" s="68" t="s">
        <v>611</v>
      </c>
      <c r="E1498" s="68"/>
      <c r="F1498" s="61" t="str">
        <f t="shared" si="92"/>
        <v>Vurra</v>
      </c>
      <c r="G1498" s="61" t="str">
        <f t="shared" si="90"/>
        <v>Arua</v>
      </c>
      <c r="H1498" s="68" t="s">
        <v>611</v>
      </c>
    </row>
    <row r="1499" spans="1:8">
      <c r="A1499" s="67">
        <v>503</v>
      </c>
      <c r="B1499" s="68" t="s">
        <v>1805</v>
      </c>
      <c r="C1499" s="68" t="s">
        <v>1625</v>
      </c>
      <c r="D1499" s="68" t="s">
        <v>1816</v>
      </c>
      <c r="E1499" s="68"/>
      <c r="F1499" s="61" t="str">
        <f t="shared" si="92"/>
        <v>Wabinyonyi</v>
      </c>
      <c r="G1499" s="61" t="str">
        <f t="shared" si="90"/>
        <v>Nakasongola</v>
      </c>
      <c r="H1499" s="68" t="s">
        <v>1816</v>
      </c>
    </row>
    <row r="1500" spans="1:8">
      <c r="A1500" s="67">
        <v>317</v>
      </c>
      <c r="B1500" s="68" t="s">
        <v>1959</v>
      </c>
      <c r="C1500" s="68" t="s">
        <v>1960</v>
      </c>
      <c r="D1500" s="68" t="s">
        <v>1964</v>
      </c>
      <c r="E1500" s="68"/>
      <c r="F1500" s="61" t="str">
        <f t="shared" si="92"/>
        <v>Wadelai</v>
      </c>
      <c r="G1500" s="61" t="str">
        <f t="shared" si="90"/>
        <v>Pakwach</v>
      </c>
      <c r="H1500" s="68" t="s">
        <v>1964</v>
      </c>
    </row>
    <row r="1501" spans="1:8">
      <c r="A1501" s="67">
        <v>1053</v>
      </c>
      <c r="B1501" s="68" t="s">
        <v>1546</v>
      </c>
      <c r="C1501" s="68" t="s">
        <v>1546</v>
      </c>
      <c r="D1501" s="68" t="s">
        <v>1553</v>
      </c>
      <c r="E1501" s="68"/>
      <c r="F1501" s="61" t="str">
        <f t="shared" si="92"/>
        <v>Waibuga</v>
      </c>
      <c r="G1501" s="61" t="str">
        <f t="shared" si="90"/>
        <v>Luuka</v>
      </c>
      <c r="H1501" s="68" t="s">
        <v>1553</v>
      </c>
    </row>
    <row r="1502" spans="1:8">
      <c r="A1502" s="67">
        <v>863</v>
      </c>
      <c r="B1502" s="68" t="s">
        <v>1630</v>
      </c>
      <c r="C1502" s="68" t="s">
        <v>1631</v>
      </c>
      <c r="D1502" s="68" t="s">
        <v>1644</v>
      </c>
      <c r="E1502" s="68"/>
      <c r="F1502" s="61" t="str">
        <f t="shared" si="92"/>
        <v>Wairasa</v>
      </c>
      <c r="G1502" s="61" t="str">
        <f t="shared" si="90"/>
        <v>Mayuge</v>
      </c>
      <c r="H1502" s="68" t="s">
        <v>1644</v>
      </c>
    </row>
    <row r="1503" spans="1:8">
      <c r="A1503" s="67">
        <v>605</v>
      </c>
      <c r="B1503" s="68" t="s">
        <v>688</v>
      </c>
      <c r="C1503" s="69" t="s">
        <v>694</v>
      </c>
      <c r="D1503" s="68" t="s">
        <v>2381</v>
      </c>
      <c r="E1503" s="68"/>
      <c r="F1503" s="62" t="str">
        <f>VLOOKUP(C1503,[2]Municipalities!$C$9:$F$1522,4,FALSE)</f>
        <v>Njeru Municipality</v>
      </c>
      <c r="G1503" s="61" t="str">
        <f t="shared" si="90"/>
        <v>Buikwe</v>
      </c>
      <c r="H1503" s="68" t="s">
        <v>2381</v>
      </c>
    </row>
    <row r="1504" spans="1:8">
      <c r="A1504" s="67">
        <v>544</v>
      </c>
      <c r="B1504" s="68" t="s">
        <v>2117</v>
      </c>
      <c r="C1504" s="68" t="s">
        <v>2120</v>
      </c>
      <c r="D1504" s="68" t="s">
        <v>2117</v>
      </c>
      <c r="E1504" s="68"/>
      <c r="F1504" s="61" t="str">
        <f t="shared" ref="F1504:F1507" si="93">D1504</f>
        <v>Wakiso</v>
      </c>
      <c r="G1504" s="61" t="str">
        <f t="shared" si="90"/>
        <v>Wakiso</v>
      </c>
      <c r="H1504" s="68" t="s">
        <v>2117</v>
      </c>
    </row>
    <row r="1505" spans="1:8">
      <c r="A1505" s="67">
        <v>545</v>
      </c>
      <c r="B1505" s="68" t="s">
        <v>2117</v>
      </c>
      <c r="C1505" s="68" t="s">
        <v>2120</v>
      </c>
      <c r="D1505" s="68" t="s">
        <v>2181</v>
      </c>
      <c r="E1505" s="68"/>
      <c r="F1505" s="61" t="str">
        <f t="shared" si="93"/>
        <v>Wakiso Town Council</v>
      </c>
      <c r="G1505" s="61" t="str">
        <f t="shared" si="90"/>
        <v>Wakiso</v>
      </c>
      <c r="H1505" s="68" t="s">
        <v>2181</v>
      </c>
    </row>
    <row r="1506" spans="1:8">
      <c r="A1506" s="67">
        <v>593</v>
      </c>
      <c r="B1506" s="68" t="s">
        <v>1790</v>
      </c>
      <c r="C1506" s="68" t="s">
        <v>1790</v>
      </c>
      <c r="D1506" s="68" t="s">
        <v>1803</v>
      </c>
      <c r="E1506" s="68"/>
      <c r="F1506" s="61" t="str">
        <f t="shared" si="93"/>
        <v>Wakyato</v>
      </c>
      <c r="G1506" s="61" t="str">
        <f t="shared" si="90"/>
        <v>Nakaseke</v>
      </c>
      <c r="H1506" s="68" t="s">
        <v>1803</v>
      </c>
    </row>
    <row r="1507" spans="1:8">
      <c r="A1507" s="67">
        <v>790</v>
      </c>
      <c r="B1507" s="68" t="s">
        <v>1646</v>
      </c>
      <c r="C1507" s="68" t="s">
        <v>1647</v>
      </c>
      <c r="D1507" s="68" t="s">
        <v>1668</v>
      </c>
      <c r="E1507" s="68"/>
      <c r="F1507" s="61" t="str">
        <f t="shared" si="93"/>
        <v>Wanale</v>
      </c>
      <c r="G1507" s="61" t="str">
        <f t="shared" si="90"/>
        <v>Mbale</v>
      </c>
      <c r="H1507" s="68" t="s">
        <v>1668</v>
      </c>
    </row>
    <row r="1508" spans="1:8" ht="25.5">
      <c r="A1508" s="67">
        <v>795</v>
      </c>
      <c r="B1508" s="68" t="s">
        <v>1646</v>
      </c>
      <c r="C1508" s="69" t="s">
        <v>1662</v>
      </c>
      <c r="D1508" s="68" t="s">
        <v>2382</v>
      </c>
      <c r="E1508" s="68"/>
      <c r="F1508" s="62" t="str">
        <f>VLOOKUP(C1508,[2]Municipalities!$C$9:$F$1522,4,FALSE)</f>
        <v>Mbale Municipality</v>
      </c>
      <c r="G1508" s="61" t="str">
        <f t="shared" si="90"/>
        <v>Mbale</v>
      </c>
      <c r="H1508" s="68" t="s">
        <v>2382</v>
      </c>
    </row>
    <row r="1509" spans="1:8">
      <c r="A1509" s="67">
        <v>736</v>
      </c>
      <c r="B1509" s="68" t="s">
        <v>1232</v>
      </c>
      <c r="C1509" s="68" t="s">
        <v>1235</v>
      </c>
      <c r="D1509" s="68" t="s">
        <v>1246</v>
      </c>
      <c r="E1509" s="68"/>
      <c r="F1509" s="61" t="str">
        <f t="shared" ref="F1509:F1512" si="94">D1509</f>
        <v>Wankole</v>
      </c>
      <c r="G1509" s="61" t="str">
        <f t="shared" si="90"/>
        <v>Kamuli</v>
      </c>
      <c r="H1509" s="68" t="s">
        <v>1246</v>
      </c>
    </row>
    <row r="1510" spans="1:8">
      <c r="A1510" s="67">
        <v>302</v>
      </c>
      <c r="B1510" s="68" t="s">
        <v>2198</v>
      </c>
      <c r="C1510" s="68" t="s">
        <v>2199</v>
      </c>
      <c r="D1510" s="68" t="s">
        <v>2206</v>
      </c>
      <c r="E1510" s="68"/>
      <c r="F1510" s="61" t="str">
        <f t="shared" si="94"/>
        <v>Warr</v>
      </c>
      <c r="G1510" s="61" t="str">
        <f t="shared" si="90"/>
        <v>Zombo</v>
      </c>
      <c r="H1510" s="68" t="s">
        <v>2206</v>
      </c>
    </row>
    <row r="1511" spans="1:8">
      <c r="A1511" s="67">
        <v>648</v>
      </c>
      <c r="B1511" s="68" t="s">
        <v>1476</v>
      </c>
      <c r="C1511" s="68" t="s">
        <v>1356</v>
      </c>
      <c r="D1511" s="68" t="s">
        <v>1486</v>
      </c>
      <c r="E1511" s="68"/>
      <c r="F1511" s="61" t="str">
        <f t="shared" si="94"/>
        <v>Wattuba</v>
      </c>
      <c r="G1511" s="61" t="str">
        <f t="shared" si="90"/>
        <v>Kyankwanzi</v>
      </c>
      <c r="H1511" s="68" t="s">
        <v>1486</v>
      </c>
    </row>
    <row r="1512" spans="1:8">
      <c r="A1512" s="67">
        <v>895</v>
      </c>
      <c r="B1512" s="68" t="s">
        <v>569</v>
      </c>
      <c r="C1512" s="68" t="s">
        <v>569</v>
      </c>
      <c r="D1512" s="68" t="s">
        <v>583</v>
      </c>
      <c r="E1512" s="68"/>
      <c r="F1512" s="61" t="str">
        <f t="shared" si="94"/>
        <v>Wera</v>
      </c>
      <c r="G1512" s="61" t="str">
        <f t="shared" si="90"/>
        <v>Amuria</v>
      </c>
      <c r="H1512" s="68" t="s">
        <v>583</v>
      </c>
    </row>
    <row r="1513" spans="1:8" ht="25.5">
      <c r="A1513" s="67">
        <v>206</v>
      </c>
      <c r="B1513" s="68" t="s">
        <v>1433</v>
      </c>
      <c r="C1513" s="69" t="s">
        <v>1435</v>
      </c>
      <c r="D1513" s="72" t="s">
        <v>2383</v>
      </c>
      <c r="E1513" s="68"/>
      <c r="F1513" s="62" t="str">
        <f>VLOOKUP(C1513,[2]Municipalities!$C$9:$F$1522,4,FALSE)</f>
        <v>Koboko Municipality</v>
      </c>
      <c r="G1513" s="61" t="str">
        <f t="shared" si="90"/>
        <v>Koboko</v>
      </c>
      <c r="H1513" s="72" t="s">
        <v>2383</v>
      </c>
    </row>
    <row r="1514" spans="1:8" ht="25.5">
      <c r="A1514" s="67">
        <v>476</v>
      </c>
      <c r="B1514" s="68" t="s">
        <v>1739</v>
      </c>
      <c r="C1514" s="69" t="s">
        <v>1756</v>
      </c>
      <c r="D1514" s="72" t="s">
        <v>2383</v>
      </c>
      <c r="E1514" s="68"/>
      <c r="F1514" s="62" t="str">
        <f>VLOOKUP(C1514,[2]Municipalities!$C$9:$F$1522,4,FALSE)</f>
        <v>Mubende Municipality</v>
      </c>
      <c r="G1514" s="61" t="str">
        <f t="shared" si="90"/>
        <v>Mubende</v>
      </c>
      <c r="H1514" s="72" t="s">
        <v>2383</v>
      </c>
    </row>
    <row r="1515" spans="1:8" ht="25.5">
      <c r="A1515" s="67">
        <v>670</v>
      </c>
      <c r="B1515" s="68" t="s">
        <v>667</v>
      </c>
      <c r="C1515" s="69" t="s">
        <v>669</v>
      </c>
      <c r="D1515" s="72" t="s">
        <v>2383</v>
      </c>
      <c r="E1515" s="68"/>
      <c r="F1515" s="62" t="str">
        <f>VLOOKUP(C1515,[2]Municipalities!$C$9:$F$1522,4,FALSE)</f>
        <v>Bugiri Municipality</v>
      </c>
      <c r="G1515" s="61" t="str">
        <f t="shared" si="90"/>
        <v>Bugiri</v>
      </c>
      <c r="H1515" s="72" t="s">
        <v>2383</v>
      </c>
    </row>
    <row r="1516" spans="1:8" ht="25.5">
      <c r="A1516" s="67">
        <v>682</v>
      </c>
      <c r="B1516" s="68" t="s">
        <v>796</v>
      </c>
      <c r="C1516" s="69" t="s">
        <v>799</v>
      </c>
      <c r="D1516" s="72" t="s">
        <v>2383</v>
      </c>
      <c r="E1516" s="68"/>
      <c r="F1516" s="62" t="str">
        <f>VLOOKUP(C1516,[2]Municipalities!$C$9:$F$1522,4,FALSE)</f>
        <v>Busia Municipality</v>
      </c>
      <c r="G1516" s="61" t="str">
        <f t="shared" si="90"/>
        <v>Busia</v>
      </c>
      <c r="H1516" s="72" t="s">
        <v>2383</v>
      </c>
    </row>
    <row r="1517" spans="1:8" ht="25.5">
      <c r="A1517" s="67">
        <v>752</v>
      </c>
      <c r="B1517" s="68" t="s">
        <v>1283</v>
      </c>
      <c r="C1517" s="69" t="s">
        <v>1289</v>
      </c>
      <c r="D1517" s="72" t="s">
        <v>2383</v>
      </c>
      <c r="E1517" s="68"/>
      <c r="F1517" s="62" t="str">
        <f>VLOOKUP(C1517,[2]Municipalities!$C$9:$F$1522,4,FALSE)</f>
        <v>Kapchorwa Municipality</v>
      </c>
      <c r="G1517" s="61" t="str">
        <f t="shared" si="90"/>
        <v>Kapchorwa</v>
      </c>
      <c r="H1517" s="72" t="s">
        <v>2383</v>
      </c>
    </row>
    <row r="1518" spans="1:8" ht="25.5">
      <c r="A1518" s="67">
        <v>817</v>
      </c>
      <c r="B1518" s="68" t="s">
        <v>2077</v>
      </c>
      <c r="C1518" s="69" t="s">
        <v>2082</v>
      </c>
      <c r="D1518" s="72" t="s">
        <v>2383</v>
      </c>
      <c r="E1518" s="68"/>
      <c r="F1518" s="62" t="str">
        <f>VLOOKUP(C1518,[2]Municipalities!$C$9:$F$1522,4,FALSE)</f>
        <v>Soroti Municipality</v>
      </c>
      <c r="G1518" s="61" t="str">
        <f t="shared" si="90"/>
        <v>Soroti</v>
      </c>
      <c r="H1518" s="72" t="s">
        <v>2383</v>
      </c>
    </row>
    <row r="1519" spans="1:8" ht="25.5">
      <c r="A1519" s="67">
        <v>826</v>
      </c>
      <c r="B1519" s="68" t="s">
        <v>2095</v>
      </c>
      <c r="C1519" s="69" t="s">
        <v>2115</v>
      </c>
      <c r="D1519" s="72" t="s">
        <v>2383</v>
      </c>
      <c r="E1519" s="68"/>
      <c r="F1519" s="62" t="str">
        <f>VLOOKUP(C1519,[2]Municipalities!$C$9:$F$1522,4,FALSE)</f>
        <v>Tororo Municipality</v>
      </c>
      <c r="G1519" s="61" t="str">
        <f t="shared" si="90"/>
        <v>Tororo</v>
      </c>
      <c r="H1519" s="72" t="s">
        <v>2383</v>
      </c>
    </row>
    <row r="1520" spans="1:8" ht="25.5">
      <c r="A1520" s="67">
        <v>1177</v>
      </c>
      <c r="B1520" s="68" t="s">
        <v>994</v>
      </c>
      <c r="C1520" s="69" t="s">
        <v>997</v>
      </c>
      <c r="D1520" s="72" t="s">
        <v>2383</v>
      </c>
      <c r="E1520" s="68"/>
      <c r="F1520" s="62" t="str">
        <f>VLOOKUP(C1520,[2]Municipalities!$C$9:$F$1522,4,FALSE)</f>
        <v>Fort Portal Municipality</v>
      </c>
      <c r="G1520" s="61" t="str">
        <f t="shared" si="90"/>
        <v>Kabarole</v>
      </c>
      <c r="H1520" s="72" t="s">
        <v>2383</v>
      </c>
    </row>
    <row r="1521" spans="1:8" ht="25.5">
      <c r="A1521" s="67">
        <v>1269</v>
      </c>
      <c r="B1521" s="68" t="s">
        <v>46</v>
      </c>
      <c r="C1521" s="69" t="s">
        <v>1901</v>
      </c>
      <c r="D1521" s="72" t="s">
        <v>2383</v>
      </c>
      <c r="E1521" s="68"/>
      <c r="F1521" s="62" t="str">
        <f>VLOOKUP(C1521,[2]Municipalities!$C$9:$F$1522,4,FALSE)</f>
        <v>Ntungamo Municipality</v>
      </c>
      <c r="G1521" s="61" t="str">
        <f t="shared" si="90"/>
        <v>Ntungamo</v>
      </c>
      <c r="H1521" s="72" t="s">
        <v>2383</v>
      </c>
    </row>
    <row r="1522" spans="1:8" ht="25.5">
      <c r="A1522" s="67">
        <v>1296</v>
      </c>
      <c r="B1522" s="68" t="s">
        <v>40</v>
      </c>
      <c r="C1522" s="69" t="s">
        <v>2028</v>
      </c>
      <c r="D1522" s="72" t="s">
        <v>2383</v>
      </c>
      <c r="E1522" s="68"/>
      <c r="F1522" s="62" t="str">
        <f>VLOOKUP(C1522,[2]Municipalities!$C$9:$F$1522,4,FALSE)</f>
        <v>Rukungiri Municipality</v>
      </c>
      <c r="G1522" s="61" t="str">
        <f t="shared" si="90"/>
        <v>Rukungiri</v>
      </c>
      <c r="H1522" s="72" t="s">
        <v>2383</v>
      </c>
    </row>
    <row r="1523" spans="1:8">
      <c r="A1523" s="67">
        <v>987</v>
      </c>
      <c r="B1523" s="68" t="s">
        <v>1583</v>
      </c>
      <c r="C1523" s="68" t="s">
        <v>1584</v>
      </c>
      <c r="D1523" s="68" t="s">
        <v>1600</v>
      </c>
      <c r="E1523" s="68"/>
      <c r="F1523" s="61" t="str">
        <f t="shared" ref="F1523:F1532" si="95">D1523</f>
        <v>Weswa</v>
      </c>
      <c r="G1523" s="61" t="str">
        <f t="shared" si="90"/>
        <v>Manafwa</v>
      </c>
      <c r="H1523" s="68" t="s">
        <v>1600</v>
      </c>
    </row>
    <row r="1524" spans="1:8">
      <c r="A1524" s="67">
        <v>896</v>
      </c>
      <c r="B1524" s="68" t="s">
        <v>569</v>
      </c>
      <c r="C1524" s="68" t="s">
        <v>569</v>
      </c>
      <c r="D1524" s="68" t="s">
        <v>584</v>
      </c>
      <c r="E1524" s="68"/>
      <c r="F1524" s="61" t="str">
        <f t="shared" si="95"/>
        <v>Willa</v>
      </c>
      <c r="G1524" s="61" t="str">
        <f t="shared" si="90"/>
        <v>Amuria</v>
      </c>
      <c r="H1524" s="68" t="s">
        <v>584</v>
      </c>
    </row>
    <row r="1525" spans="1:8">
      <c r="A1525" s="67">
        <v>441</v>
      </c>
      <c r="B1525" s="68" t="s">
        <v>1555</v>
      </c>
      <c r="C1525" s="68" t="s">
        <v>1557</v>
      </c>
      <c r="D1525" s="68" t="s">
        <v>1565</v>
      </c>
      <c r="E1525" s="68"/>
      <c r="F1525" s="61" t="str">
        <f t="shared" si="95"/>
        <v>Wobulenzi Town Council</v>
      </c>
      <c r="G1525" s="61" t="str">
        <f t="shared" si="90"/>
        <v>Luwero</v>
      </c>
      <c r="H1525" s="68" t="s">
        <v>1565</v>
      </c>
    </row>
    <row r="1526" spans="1:8">
      <c r="A1526" s="67">
        <v>242</v>
      </c>
      <c r="B1526" s="68" t="s">
        <v>523</v>
      </c>
      <c r="C1526" s="68" t="s">
        <v>523</v>
      </c>
      <c r="D1526" s="68" t="s">
        <v>538</v>
      </c>
      <c r="E1526" s="68"/>
      <c r="F1526" s="61" t="str">
        <f t="shared" si="95"/>
        <v>Wol</v>
      </c>
      <c r="G1526" s="61" t="str">
        <f t="shared" si="90"/>
        <v>Agago</v>
      </c>
      <c r="H1526" s="68" t="s">
        <v>538</v>
      </c>
    </row>
    <row r="1527" spans="1:8">
      <c r="A1527" s="67">
        <v>214</v>
      </c>
      <c r="B1527" s="68" t="s">
        <v>1602</v>
      </c>
      <c r="C1527" s="68" t="s">
        <v>1602</v>
      </c>
      <c r="D1527" s="68" t="s">
        <v>1609</v>
      </c>
      <c r="E1527" s="68"/>
      <c r="F1527" s="61" t="str">
        <f t="shared" si="95"/>
        <v>Yivu</v>
      </c>
      <c r="G1527" s="61" t="str">
        <f t="shared" si="90"/>
        <v>Maracha</v>
      </c>
      <c r="H1527" s="68" t="s">
        <v>1609</v>
      </c>
    </row>
    <row r="1528" spans="1:8">
      <c r="A1528" s="67">
        <v>150</v>
      </c>
      <c r="B1528" s="68" t="s">
        <v>2183</v>
      </c>
      <c r="C1528" s="68" t="s">
        <v>2184</v>
      </c>
      <c r="D1528" s="68" t="s">
        <v>2196</v>
      </c>
      <c r="E1528" s="68"/>
      <c r="F1528" s="61" t="str">
        <f t="shared" si="95"/>
        <v>Yumbe Town Council</v>
      </c>
      <c r="G1528" s="61" t="str">
        <f t="shared" si="90"/>
        <v>Yumbe</v>
      </c>
      <c r="H1528" s="68" t="s">
        <v>2196</v>
      </c>
    </row>
    <row r="1529" spans="1:8">
      <c r="A1529" s="67">
        <v>885</v>
      </c>
      <c r="B1529" s="68" t="s">
        <v>2054</v>
      </c>
      <c r="C1529" s="68" t="s">
        <v>2055</v>
      </c>
      <c r="D1529" s="68" t="s">
        <v>2075</v>
      </c>
      <c r="E1529" s="68"/>
      <c r="F1529" s="61" t="str">
        <f t="shared" si="95"/>
        <v>Zesui</v>
      </c>
      <c r="G1529" s="61" t="str">
        <f t="shared" si="90"/>
        <v>Sironko</v>
      </c>
      <c r="H1529" s="68" t="s">
        <v>2075</v>
      </c>
    </row>
    <row r="1530" spans="1:8">
      <c r="A1530" s="67">
        <v>303</v>
      </c>
      <c r="B1530" s="68" t="s">
        <v>2198</v>
      </c>
      <c r="C1530" s="68" t="s">
        <v>2199</v>
      </c>
      <c r="D1530" s="68" t="s">
        <v>2207</v>
      </c>
      <c r="E1530" s="68"/>
      <c r="F1530" s="61" t="str">
        <f t="shared" si="95"/>
        <v>Zeu</v>
      </c>
      <c r="G1530" s="61" t="str">
        <f t="shared" si="90"/>
        <v>Zombo</v>
      </c>
      <c r="H1530" s="68" t="s">
        <v>2207</v>
      </c>
    </row>
    <row r="1531" spans="1:8">
      <c r="A1531" s="67">
        <v>433</v>
      </c>
      <c r="B1531" s="68" t="s">
        <v>1555</v>
      </c>
      <c r="C1531" s="68" t="s">
        <v>1554</v>
      </c>
      <c r="D1531" s="68" t="s">
        <v>1566</v>
      </c>
      <c r="E1531" s="68"/>
      <c r="F1531" s="61" t="str">
        <f t="shared" si="95"/>
        <v>Zirobwe</v>
      </c>
      <c r="G1531" s="61" t="str">
        <f t="shared" si="90"/>
        <v>Luwero</v>
      </c>
      <c r="H1531" s="68" t="s">
        <v>1566</v>
      </c>
    </row>
    <row r="1532" spans="1:8">
      <c r="A1532" s="67">
        <v>304</v>
      </c>
      <c r="B1532" s="68" t="s">
        <v>2198</v>
      </c>
      <c r="C1532" s="68" t="s">
        <v>2199</v>
      </c>
      <c r="D1532" s="68" t="s">
        <v>2208</v>
      </c>
      <c r="E1532" s="68"/>
      <c r="F1532" s="61" t="str">
        <f t="shared" si="95"/>
        <v>Zombo Town Council</v>
      </c>
      <c r="G1532" s="61" t="str">
        <f t="shared" si="90"/>
        <v>Zombo</v>
      </c>
      <c r="H1532" s="68" t="s">
        <v>2208</v>
      </c>
    </row>
  </sheetData>
  <autoFilter ref="A1:E1532" xr:uid="{00000000-0009-0000-0000-000002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59"/>
  <sheetViews>
    <sheetView topLeftCell="A43" zoomScale="75" zoomScaleNormal="75" zoomScaleSheetLayoutView="80" workbookViewId="0">
      <selection activeCell="D61" sqref="D6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3" t="s">
        <v>127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6"/>
      <c r="AD1" s="6"/>
      <c r="AE1" s="6"/>
      <c r="AF1" s="6"/>
      <c r="AG1" s="6"/>
      <c r="AH1" s="6"/>
      <c r="AI1" s="6"/>
    </row>
    <row r="2" spans="2:3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5" t="s">
        <v>150</v>
      </c>
      <c r="E4" s="1" t="s">
        <v>64</v>
      </c>
      <c r="F4" s="134" t="s">
        <v>151</v>
      </c>
      <c r="G4" s="135"/>
      <c r="I4" s="27" t="s">
        <v>65</v>
      </c>
      <c r="J4" s="5"/>
      <c r="K4" s="5"/>
      <c r="L4" s="46" t="s">
        <v>152</v>
      </c>
      <c r="M4" s="2"/>
      <c r="N4" s="1" t="s">
        <v>67</v>
      </c>
      <c r="O4" s="136" t="s">
        <v>154</v>
      </c>
      <c r="P4" s="137"/>
      <c r="Q4" s="137"/>
      <c r="R4" s="137"/>
      <c r="S4" s="137"/>
      <c r="T4" s="137"/>
      <c r="V4" s="1" t="s">
        <v>68</v>
      </c>
      <c r="W4" s="42" t="s">
        <v>155</v>
      </c>
      <c r="Y4" s="27" t="s">
        <v>6</v>
      </c>
      <c r="Z4" s="48" t="s">
        <v>156</v>
      </c>
      <c r="AA4" s="32" t="s">
        <v>7</v>
      </c>
      <c r="AB4" s="48" t="s">
        <v>496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7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8" t="s">
        <v>34</v>
      </c>
      <c r="C7" s="124" t="s">
        <v>55</v>
      </c>
      <c r="D7" s="126" t="s">
        <v>9</v>
      </c>
      <c r="E7" s="124" t="s">
        <v>35</v>
      </c>
      <c r="F7" s="141" t="s">
        <v>12</v>
      </c>
      <c r="G7" s="142"/>
      <c r="H7" s="143"/>
      <c r="I7" s="126" t="s">
        <v>58</v>
      </c>
      <c r="J7" s="124" t="s">
        <v>15</v>
      </c>
      <c r="K7" s="124" t="s">
        <v>128</v>
      </c>
      <c r="L7" s="141" t="s">
        <v>17</v>
      </c>
      <c r="M7" s="142"/>
      <c r="N7" s="143"/>
      <c r="O7" s="126" t="s">
        <v>59</v>
      </c>
      <c r="P7" s="124" t="s">
        <v>18</v>
      </c>
      <c r="Q7" s="124" t="s">
        <v>129</v>
      </c>
      <c r="R7" s="124" t="s">
        <v>130</v>
      </c>
      <c r="S7" s="124" t="s">
        <v>132</v>
      </c>
      <c r="T7" s="124" t="s">
        <v>131</v>
      </c>
      <c r="U7" s="124" t="s">
        <v>60</v>
      </c>
      <c r="V7" s="130" t="s">
        <v>63</v>
      </c>
      <c r="W7" s="131"/>
      <c r="X7" s="132"/>
      <c r="Y7" s="124" t="s">
        <v>62</v>
      </c>
      <c r="Z7" s="124" t="s">
        <v>135</v>
      </c>
      <c r="AA7" s="126" t="s">
        <v>20</v>
      </c>
      <c r="AB7" s="128" t="s">
        <v>21</v>
      </c>
      <c r="AD7" s="19"/>
    </row>
    <row r="8" spans="2:35" ht="38.25" customHeight="1">
      <c r="B8" s="139"/>
      <c r="C8" s="125"/>
      <c r="D8" s="127"/>
      <c r="E8" s="140"/>
      <c r="F8" s="23" t="s">
        <v>69</v>
      </c>
      <c r="G8" s="23" t="s">
        <v>56</v>
      </c>
      <c r="H8" s="24" t="s">
        <v>57</v>
      </c>
      <c r="I8" s="127"/>
      <c r="J8" s="125"/>
      <c r="K8" s="125"/>
      <c r="L8" s="23" t="s">
        <v>69</v>
      </c>
      <c r="M8" s="23" t="s">
        <v>56</v>
      </c>
      <c r="N8" s="23" t="s">
        <v>57</v>
      </c>
      <c r="O8" s="127"/>
      <c r="P8" s="125"/>
      <c r="Q8" s="125"/>
      <c r="R8" s="125"/>
      <c r="S8" s="125"/>
      <c r="T8" s="125"/>
      <c r="U8" s="125"/>
      <c r="V8" s="29" t="s">
        <v>61</v>
      </c>
      <c r="W8" s="30" t="s">
        <v>133</v>
      </c>
      <c r="X8" s="30" t="s">
        <v>134</v>
      </c>
      <c r="Y8" s="125"/>
      <c r="Z8" s="125"/>
      <c r="AA8" s="127"/>
      <c r="AB8" s="129"/>
    </row>
    <row r="9" spans="2:35" s="19" customFormat="1">
      <c r="B9" s="39">
        <v>0.85277777777777775</v>
      </c>
      <c r="C9" s="39" t="s">
        <v>157</v>
      </c>
      <c r="D9" s="40">
        <v>1</v>
      </c>
      <c r="E9" s="40">
        <v>1</v>
      </c>
      <c r="F9" s="41" t="s">
        <v>158</v>
      </c>
      <c r="G9" s="41" t="s">
        <v>146</v>
      </c>
      <c r="H9" s="41" t="s">
        <v>147</v>
      </c>
      <c r="I9" s="41">
        <v>2</v>
      </c>
      <c r="J9" s="41">
        <v>2</v>
      </c>
      <c r="K9" s="25" t="str">
        <f>VLOOKUP(J9,Key!$E$2:$F$9,2,FALSE)</f>
        <v>Work</v>
      </c>
      <c r="L9" s="41" t="s">
        <v>159</v>
      </c>
      <c r="M9" s="42" t="s">
        <v>146</v>
      </c>
      <c r="N9" s="42" t="s">
        <v>147</v>
      </c>
      <c r="O9" s="42">
        <v>1</v>
      </c>
      <c r="P9" s="42">
        <v>1</v>
      </c>
      <c r="Q9" s="25" t="str">
        <f>VLOOKUP(P9,Key!$E$2:$F$9,2,FALSE)</f>
        <v>Home</v>
      </c>
      <c r="R9" s="25" t="str">
        <f>K9&amp;"-"&amp;Q9</f>
        <v>Work-Home</v>
      </c>
      <c r="S9" s="43"/>
      <c r="T9" s="43"/>
      <c r="U9" s="51">
        <v>2</v>
      </c>
      <c r="V9" s="51"/>
      <c r="W9" s="43"/>
      <c r="X9" s="43"/>
      <c r="Y9" s="44" t="s">
        <v>149</v>
      </c>
      <c r="Z9" s="52"/>
      <c r="AA9" s="25"/>
      <c r="AB9" s="25"/>
    </row>
    <row r="10" spans="2:35">
      <c r="B10" s="39">
        <v>0.97222222222222221</v>
      </c>
      <c r="C10" s="39" t="s">
        <v>160</v>
      </c>
      <c r="D10" s="40">
        <v>1</v>
      </c>
      <c r="E10" s="40">
        <v>1</v>
      </c>
      <c r="F10" s="41" t="s">
        <v>161</v>
      </c>
      <c r="G10" s="41" t="s">
        <v>146</v>
      </c>
      <c r="H10" s="41" t="s">
        <v>147</v>
      </c>
      <c r="I10" s="41">
        <v>2</v>
      </c>
      <c r="J10" s="41">
        <v>2</v>
      </c>
      <c r="K10" s="25" t="str">
        <f>VLOOKUP(J10,Key!$E$2:$F$9,2,FALSE)</f>
        <v>Work</v>
      </c>
      <c r="L10" s="41" t="s">
        <v>158</v>
      </c>
      <c r="M10" s="42" t="s">
        <v>146</v>
      </c>
      <c r="N10" s="42" t="s">
        <v>147</v>
      </c>
      <c r="O10" s="42">
        <v>1</v>
      </c>
      <c r="P10" s="42">
        <v>1</v>
      </c>
      <c r="Q10" s="25" t="str">
        <f>VLOOKUP(P10,Key!$E$2:$F$9,2,FALSE)</f>
        <v>Home</v>
      </c>
      <c r="R10" s="25" t="str">
        <f t="shared" ref="R10:R32" si="0">K10&amp;"-"&amp;Q10</f>
        <v>Work-Home</v>
      </c>
      <c r="S10" s="43"/>
      <c r="T10" s="43"/>
      <c r="U10" s="51">
        <v>2</v>
      </c>
      <c r="V10" s="51"/>
      <c r="W10" s="43"/>
      <c r="X10" s="43"/>
      <c r="Y10" s="44" t="s">
        <v>149</v>
      </c>
      <c r="Z10" s="52">
        <v>1000</v>
      </c>
      <c r="AA10" s="25"/>
      <c r="AB10" s="25"/>
    </row>
    <row r="11" spans="2:35">
      <c r="B11" s="39">
        <v>0.97569444444444453</v>
      </c>
      <c r="C11" s="39" t="s">
        <v>162</v>
      </c>
      <c r="D11" s="40">
        <v>1</v>
      </c>
      <c r="E11" s="40">
        <v>1</v>
      </c>
      <c r="F11" s="41" t="s">
        <v>152</v>
      </c>
      <c r="G11" s="41" t="s">
        <v>148</v>
      </c>
      <c r="H11" s="41" t="s">
        <v>147</v>
      </c>
      <c r="I11" s="41">
        <v>2</v>
      </c>
      <c r="J11" s="41">
        <v>2</v>
      </c>
      <c r="K11" s="25" t="str">
        <f>VLOOKUP(J11,Key!$E$2:$F$9,2,FALSE)</f>
        <v>Work</v>
      </c>
      <c r="L11" s="41" t="s">
        <v>163</v>
      </c>
      <c r="M11" s="42" t="s">
        <v>146</v>
      </c>
      <c r="N11" s="42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43">
        <v>4</v>
      </c>
      <c r="T11" s="43">
        <v>1</v>
      </c>
      <c r="U11" s="51">
        <v>2</v>
      </c>
      <c r="V11" s="51"/>
      <c r="W11" s="43"/>
      <c r="X11" s="43"/>
      <c r="Y11" s="44" t="s">
        <v>149</v>
      </c>
      <c r="Z11" s="52"/>
      <c r="AA11" s="25"/>
      <c r="AB11" s="25"/>
    </row>
    <row r="12" spans="2:35">
      <c r="B12" s="39">
        <v>0.84722222222222221</v>
      </c>
      <c r="C12" s="39" t="s">
        <v>164</v>
      </c>
      <c r="D12" s="40">
        <v>1</v>
      </c>
      <c r="E12" s="40">
        <v>2</v>
      </c>
      <c r="F12" s="41" t="s">
        <v>158</v>
      </c>
      <c r="G12" s="41" t="s">
        <v>146</v>
      </c>
      <c r="H12" s="41" t="s">
        <v>147</v>
      </c>
      <c r="I12" s="41">
        <v>2</v>
      </c>
      <c r="J12" s="41">
        <v>2</v>
      </c>
      <c r="K12" s="25" t="str">
        <f>VLOOKUP(J12,Key!$E$2:$F$9,2,FALSE)</f>
        <v>Work</v>
      </c>
      <c r="L12" s="41" t="s">
        <v>161</v>
      </c>
      <c r="M12" s="42" t="s">
        <v>146</v>
      </c>
      <c r="N12" s="42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3"/>
      <c r="T12" s="43"/>
      <c r="U12" s="51">
        <v>2</v>
      </c>
      <c r="V12" s="51"/>
      <c r="W12" s="43"/>
      <c r="X12" s="43"/>
      <c r="Y12" s="44" t="s">
        <v>149</v>
      </c>
      <c r="Z12" s="52">
        <v>1000</v>
      </c>
      <c r="AA12" s="25"/>
      <c r="AB12" s="25"/>
    </row>
    <row r="13" spans="2:35">
      <c r="B13" s="39">
        <v>0.91319444444444453</v>
      </c>
      <c r="C13" s="39" t="s">
        <v>165</v>
      </c>
      <c r="D13" s="40">
        <v>11</v>
      </c>
      <c r="E13" s="40">
        <v>1</v>
      </c>
      <c r="F13" s="41" t="s">
        <v>166</v>
      </c>
      <c r="G13" s="41" t="s">
        <v>148</v>
      </c>
      <c r="H13" s="41" t="s">
        <v>147</v>
      </c>
      <c r="I13" s="41">
        <v>8</v>
      </c>
      <c r="J13" s="41">
        <v>8</v>
      </c>
      <c r="K13" s="25" t="str">
        <f>VLOOKUP(J13,Key!$E$2:$F$9,2,FALSE)</f>
        <v>Others</v>
      </c>
      <c r="L13" s="41" t="s">
        <v>161</v>
      </c>
      <c r="M13" s="42" t="s">
        <v>146</v>
      </c>
      <c r="N13" s="42" t="s">
        <v>147</v>
      </c>
      <c r="O13" s="42">
        <v>8</v>
      </c>
      <c r="P13" s="42">
        <v>2</v>
      </c>
      <c r="Q13" s="25" t="str">
        <f>VLOOKUP(P13,Key!$E$2:$F$9,2,FALSE)</f>
        <v>Work</v>
      </c>
      <c r="R13" s="25" t="str">
        <f t="shared" si="0"/>
        <v>Others-Work</v>
      </c>
      <c r="S13" s="43">
        <v>2</v>
      </c>
      <c r="T13" s="43">
        <v>0.41</v>
      </c>
      <c r="U13" s="51">
        <v>2</v>
      </c>
      <c r="V13" s="51"/>
      <c r="W13" s="43"/>
      <c r="X13" s="43"/>
      <c r="Y13" s="44" t="s">
        <v>149</v>
      </c>
      <c r="Z13" s="52">
        <v>300</v>
      </c>
      <c r="AA13" s="25"/>
      <c r="AB13" s="25"/>
    </row>
    <row r="14" spans="2:35">
      <c r="B14" s="39">
        <v>0.90833333333333333</v>
      </c>
      <c r="C14" s="39" t="s">
        <v>167</v>
      </c>
      <c r="D14" s="40">
        <v>11</v>
      </c>
      <c r="E14" s="40">
        <v>1</v>
      </c>
      <c r="F14" s="41" t="s">
        <v>152</v>
      </c>
      <c r="G14" s="41" t="s">
        <v>148</v>
      </c>
      <c r="H14" s="41" t="s">
        <v>147</v>
      </c>
      <c r="I14" s="41">
        <v>8</v>
      </c>
      <c r="J14" s="41">
        <v>2</v>
      </c>
      <c r="K14" s="25" t="str">
        <f>VLOOKUP(J14,Key!$E$2:$F$9,2,FALSE)</f>
        <v>Work</v>
      </c>
      <c r="L14" s="41" t="s">
        <v>163</v>
      </c>
      <c r="M14" s="42" t="s">
        <v>146</v>
      </c>
      <c r="N14" s="42" t="s">
        <v>147</v>
      </c>
      <c r="O14" s="42">
        <v>8</v>
      </c>
      <c r="P14" s="42">
        <v>2</v>
      </c>
      <c r="Q14" s="25" t="str">
        <f>VLOOKUP(P14,Key!$E$2:$F$9,2,FALSE)</f>
        <v>Work</v>
      </c>
      <c r="R14" s="25" t="str">
        <f t="shared" si="0"/>
        <v>Work-Work</v>
      </c>
      <c r="S14" s="43"/>
      <c r="T14" s="43"/>
      <c r="U14" s="51">
        <v>2</v>
      </c>
      <c r="V14" s="51"/>
      <c r="W14" s="43"/>
      <c r="X14" s="43"/>
      <c r="Y14" s="44" t="s">
        <v>149</v>
      </c>
      <c r="Z14" s="52"/>
      <c r="AA14" s="25"/>
      <c r="AB14" s="25"/>
    </row>
    <row r="15" spans="2:35">
      <c r="B15" s="39">
        <v>0.91527777777777775</v>
      </c>
      <c r="C15" s="39" t="s">
        <v>168</v>
      </c>
      <c r="D15" s="40">
        <v>11</v>
      </c>
      <c r="E15" s="40">
        <v>2</v>
      </c>
      <c r="F15" s="41" t="s">
        <v>158</v>
      </c>
      <c r="G15" s="41" t="s">
        <v>146</v>
      </c>
      <c r="H15" s="41" t="s">
        <v>147</v>
      </c>
      <c r="I15" s="41">
        <v>8</v>
      </c>
      <c r="J15" s="41">
        <v>2</v>
      </c>
      <c r="K15" s="25" t="str">
        <f>VLOOKUP(J15,Key!$E$2:$F$9,2,FALSE)</f>
        <v>Work</v>
      </c>
      <c r="L15" s="41" t="s">
        <v>161</v>
      </c>
      <c r="M15" s="42" t="s">
        <v>146</v>
      </c>
      <c r="N15" s="42" t="s">
        <v>147</v>
      </c>
      <c r="O15" s="42">
        <v>8</v>
      </c>
      <c r="P15" s="42">
        <v>2</v>
      </c>
      <c r="Q15" s="25" t="str">
        <f>VLOOKUP(P15,Key!$E$2:$F$9,2,FALSE)</f>
        <v>Work</v>
      </c>
      <c r="R15" s="25" t="str">
        <f t="shared" si="0"/>
        <v>Work-Work</v>
      </c>
      <c r="S15" s="43"/>
      <c r="T15" s="43"/>
      <c r="U15" s="51">
        <v>2</v>
      </c>
      <c r="V15" s="51"/>
      <c r="W15" s="43"/>
      <c r="X15" s="43"/>
      <c r="Y15" s="44" t="s">
        <v>149</v>
      </c>
      <c r="Z15" s="52">
        <v>2000</v>
      </c>
      <c r="AA15" s="25"/>
      <c r="AB15" s="25"/>
    </row>
    <row r="16" spans="2:35">
      <c r="B16" s="39">
        <v>0.375</v>
      </c>
      <c r="C16" s="39" t="s">
        <v>169</v>
      </c>
      <c r="D16" s="40">
        <v>4</v>
      </c>
      <c r="E16" s="40">
        <v>2</v>
      </c>
      <c r="F16" s="41" t="s">
        <v>152</v>
      </c>
      <c r="G16" s="41" t="s">
        <v>148</v>
      </c>
      <c r="H16" s="41" t="s">
        <v>147</v>
      </c>
      <c r="I16" s="41">
        <v>6</v>
      </c>
      <c r="J16" s="41">
        <v>2</v>
      </c>
      <c r="K16" s="25" t="str">
        <f>VLOOKUP(J16,Key!$E$2:$F$9,2,FALSE)</f>
        <v>Work</v>
      </c>
      <c r="L16" s="41" t="s">
        <v>158</v>
      </c>
      <c r="M16" s="42" t="s">
        <v>146</v>
      </c>
      <c r="N16" s="42" t="s">
        <v>147</v>
      </c>
      <c r="O16" s="42">
        <v>6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/>
      <c r="T16" s="43"/>
      <c r="U16" s="51">
        <v>2</v>
      </c>
      <c r="V16" s="51"/>
      <c r="W16" s="43"/>
      <c r="X16" s="43"/>
      <c r="Y16" s="44" t="s">
        <v>149</v>
      </c>
      <c r="Z16" s="52">
        <v>500</v>
      </c>
      <c r="AA16" s="25"/>
      <c r="AB16" s="25"/>
    </row>
    <row r="17" spans="2:28">
      <c r="B17" s="39">
        <v>0.8965277777777777</v>
      </c>
      <c r="C17" s="39" t="s">
        <v>170</v>
      </c>
      <c r="D17" s="40">
        <v>11</v>
      </c>
      <c r="E17" s="40">
        <v>2</v>
      </c>
      <c r="F17" s="41" t="s">
        <v>152</v>
      </c>
      <c r="G17" s="41" t="s">
        <v>148</v>
      </c>
      <c r="H17" s="41" t="s">
        <v>147</v>
      </c>
      <c r="I17" s="41">
        <v>8</v>
      </c>
      <c r="J17" s="41">
        <v>2</v>
      </c>
      <c r="K17" s="25" t="str">
        <f>VLOOKUP(J17,Key!$E$2:$F$9,2,FALSE)</f>
        <v>Work</v>
      </c>
      <c r="L17" s="41" t="s">
        <v>161</v>
      </c>
      <c r="M17" s="42" t="s">
        <v>146</v>
      </c>
      <c r="N17" s="42" t="s">
        <v>147</v>
      </c>
      <c r="O17" s="42">
        <v>1</v>
      </c>
      <c r="P17" s="42">
        <v>1</v>
      </c>
      <c r="Q17" s="25" t="str">
        <f>VLOOKUP(P17,Key!$E$2:$F$9,2,FALSE)</f>
        <v>Home</v>
      </c>
      <c r="R17" s="25" t="str">
        <f t="shared" si="0"/>
        <v>Work-Home</v>
      </c>
      <c r="S17" s="43">
        <v>2</v>
      </c>
      <c r="T17" s="43">
        <v>0.5</v>
      </c>
      <c r="U17" s="51">
        <v>2</v>
      </c>
      <c r="V17" s="51"/>
      <c r="W17" s="43"/>
      <c r="X17" s="43"/>
      <c r="Y17" s="44" t="s">
        <v>149</v>
      </c>
      <c r="Z17" s="52">
        <v>500</v>
      </c>
      <c r="AA17" s="25"/>
      <c r="AB17" s="25"/>
    </row>
    <row r="18" spans="2:28">
      <c r="B18" s="39">
        <v>0.90972222222222221</v>
      </c>
      <c r="C18" s="39" t="s">
        <v>171</v>
      </c>
      <c r="D18" s="40">
        <v>1</v>
      </c>
      <c r="E18" s="40">
        <v>1</v>
      </c>
      <c r="F18" s="41" t="s">
        <v>158</v>
      </c>
      <c r="G18" s="41" t="s">
        <v>146</v>
      </c>
      <c r="H18" s="41" t="s">
        <v>147</v>
      </c>
      <c r="I18" s="41">
        <v>2</v>
      </c>
      <c r="J18" s="41">
        <v>2</v>
      </c>
      <c r="K18" s="25" t="str">
        <f>VLOOKUP(J18,Key!$E$2:$F$9,2,FALSE)</f>
        <v>Work</v>
      </c>
      <c r="L18" s="41" t="s">
        <v>161</v>
      </c>
      <c r="M18" s="42" t="s">
        <v>146</v>
      </c>
      <c r="N18" s="42" t="s">
        <v>147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Work-Home</v>
      </c>
      <c r="S18" s="43"/>
      <c r="T18" s="43"/>
      <c r="U18" s="51">
        <v>2</v>
      </c>
      <c r="V18" s="51"/>
      <c r="W18" s="43"/>
      <c r="X18" s="43"/>
      <c r="Y18" s="44" t="s">
        <v>149</v>
      </c>
      <c r="Z18" s="52">
        <v>500</v>
      </c>
      <c r="AA18" s="25"/>
      <c r="AB18" s="25"/>
    </row>
    <row r="19" spans="2:28">
      <c r="B19" s="39" t="s">
        <v>494</v>
      </c>
      <c r="C19" s="39" t="s">
        <v>172</v>
      </c>
      <c r="D19" s="40">
        <v>4</v>
      </c>
      <c r="E19" s="40">
        <v>8</v>
      </c>
      <c r="F19" s="41" t="s">
        <v>152</v>
      </c>
      <c r="G19" s="41" t="s">
        <v>148</v>
      </c>
      <c r="H19" s="41" t="s">
        <v>147</v>
      </c>
      <c r="I19" s="41">
        <v>6</v>
      </c>
      <c r="J19" s="41">
        <v>2</v>
      </c>
      <c r="K19" s="25" t="str">
        <f>VLOOKUP(J19,Key!$E$2:$F$9,2,FALSE)</f>
        <v>Work</v>
      </c>
      <c r="L19" s="41" t="s">
        <v>158</v>
      </c>
      <c r="M19" s="42" t="s">
        <v>146</v>
      </c>
      <c r="N19" s="42" t="s">
        <v>147</v>
      </c>
      <c r="O19" s="42">
        <v>6</v>
      </c>
      <c r="P19" s="42">
        <v>2</v>
      </c>
      <c r="Q19" s="25" t="str">
        <f>VLOOKUP(P19,Key!$E$2:$F$9,2,FALSE)</f>
        <v>Work</v>
      </c>
      <c r="R19" s="25" t="str">
        <f t="shared" si="0"/>
        <v>Work-Work</v>
      </c>
      <c r="S19" s="43"/>
      <c r="T19" s="43"/>
      <c r="U19" s="51">
        <v>2</v>
      </c>
      <c r="V19" s="51"/>
      <c r="W19" s="43"/>
      <c r="X19" s="43"/>
      <c r="Y19" s="44" t="s">
        <v>149</v>
      </c>
      <c r="Z19" s="52">
        <v>500</v>
      </c>
      <c r="AA19" s="25"/>
      <c r="AB19" s="25"/>
    </row>
    <row r="20" spans="2:28">
      <c r="B20" s="39">
        <v>0.92013888888888884</v>
      </c>
      <c r="C20" s="39" t="s">
        <v>173</v>
      </c>
      <c r="D20" s="40">
        <v>11</v>
      </c>
      <c r="E20" s="40">
        <v>4</v>
      </c>
      <c r="F20" s="41" t="s">
        <v>166</v>
      </c>
      <c r="G20" s="41" t="s">
        <v>148</v>
      </c>
      <c r="H20" s="41" t="s">
        <v>147</v>
      </c>
      <c r="I20" s="41">
        <v>8</v>
      </c>
      <c r="J20" s="41">
        <v>2</v>
      </c>
      <c r="K20" s="25" t="str">
        <f>VLOOKUP(J20,Key!$E$2:$F$9,2,FALSE)</f>
        <v>Work</v>
      </c>
      <c r="L20" s="41" t="s">
        <v>161</v>
      </c>
      <c r="M20" s="42" t="s">
        <v>146</v>
      </c>
      <c r="N20" s="42" t="s">
        <v>147</v>
      </c>
      <c r="O20" s="42">
        <v>8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>
        <v>2</v>
      </c>
      <c r="T20" s="43">
        <v>0.5</v>
      </c>
      <c r="U20" s="51">
        <v>2</v>
      </c>
      <c r="V20" s="51"/>
      <c r="W20" s="43"/>
      <c r="X20" s="43"/>
      <c r="Y20" s="44" t="s">
        <v>149</v>
      </c>
      <c r="Z20" s="52">
        <v>100</v>
      </c>
      <c r="AA20" s="25"/>
      <c r="AB20" s="25"/>
    </row>
    <row r="21" spans="2:28">
      <c r="B21" s="39">
        <v>0.91736111111111107</v>
      </c>
      <c r="C21" s="39" t="s">
        <v>174</v>
      </c>
      <c r="D21" s="40">
        <v>4</v>
      </c>
      <c r="E21" s="40">
        <v>2</v>
      </c>
      <c r="F21" s="41" t="s">
        <v>152</v>
      </c>
      <c r="G21" s="41" t="s">
        <v>148</v>
      </c>
      <c r="H21" s="41" t="s">
        <v>147</v>
      </c>
      <c r="I21" s="41">
        <v>6</v>
      </c>
      <c r="J21" s="41">
        <v>2</v>
      </c>
      <c r="K21" s="25" t="str">
        <f>VLOOKUP(J21,Key!$E$2:$F$9,2,FALSE)</f>
        <v>Work</v>
      </c>
      <c r="L21" s="41" t="s">
        <v>158</v>
      </c>
      <c r="M21" s="42" t="s">
        <v>146</v>
      </c>
      <c r="N21" s="42" t="s">
        <v>147</v>
      </c>
      <c r="O21" s="42">
        <v>6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/>
      <c r="T21" s="43"/>
      <c r="U21" s="51">
        <v>2</v>
      </c>
      <c r="V21" s="51"/>
      <c r="W21" s="43"/>
      <c r="X21" s="43"/>
      <c r="Y21" s="44" t="s">
        <v>149</v>
      </c>
      <c r="Z21" s="52">
        <v>500</v>
      </c>
      <c r="AA21" s="25"/>
      <c r="AB21" s="25"/>
    </row>
    <row r="22" spans="2:28">
      <c r="B22" s="39">
        <v>0.92986111111111114</v>
      </c>
      <c r="C22" s="39" t="s">
        <v>175</v>
      </c>
      <c r="D22" s="40">
        <v>4</v>
      </c>
      <c r="E22" s="40">
        <v>4</v>
      </c>
      <c r="F22" s="41" t="s">
        <v>152</v>
      </c>
      <c r="G22" s="41" t="s">
        <v>148</v>
      </c>
      <c r="H22" s="41" t="s">
        <v>147</v>
      </c>
      <c r="I22" s="41">
        <v>6</v>
      </c>
      <c r="J22" s="41">
        <v>2</v>
      </c>
      <c r="K22" s="25" t="str">
        <f>VLOOKUP(J22,Key!$E$2:$F$9,2,FALSE)</f>
        <v>Work</v>
      </c>
      <c r="L22" s="41" t="s">
        <v>158</v>
      </c>
      <c r="M22" s="42" t="s">
        <v>146</v>
      </c>
      <c r="N22" s="42" t="s">
        <v>147</v>
      </c>
      <c r="O22" s="42">
        <v>6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4</v>
      </c>
      <c r="T22" s="43">
        <v>1.5</v>
      </c>
      <c r="U22" s="51">
        <v>2</v>
      </c>
      <c r="V22" s="51"/>
      <c r="W22" s="43"/>
      <c r="X22" s="43"/>
      <c r="Y22" s="44" t="s">
        <v>149</v>
      </c>
      <c r="Z22" s="52">
        <v>500</v>
      </c>
      <c r="AA22" s="25"/>
      <c r="AB22" s="25"/>
    </row>
    <row r="23" spans="2:28">
      <c r="B23" s="39">
        <v>0.92569444444444438</v>
      </c>
      <c r="C23" s="39" t="s">
        <v>176</v>
      </c>
      <c r="D23" s="40">
        <v>11</v>
      </c>
      <c r="E23" s="40">
        <v>2</v>
      </c>
      <c r="F23" s="41" t="s">
        <v>158</v>
      </c>
      <c r="G23" s="41" t="s">
        <v>146</v>
      </c>
      <c r="H23" s="41" t="s">
        <v>147</v>
      </c>
      <c r="I23" s="41">
        <v>8</v>
      </c>
      <c r="J23" s="41">
        <v>2</v>
      </c>
      <c r="K23" s="25" t="str">
        <f>VLOOKUP(J23,Key!$E$2:$F$9,2,FALSE)</f>
        <v>Work</v>
      </c>
      <c r="L23" s="41" t="s">
        <v>161</v>
      </c>
      <c r="M23" s="42" t="s">
        <v>146</v>
      </c>
      <c r="N23" s="42" t="s">
        <v>147</v>
      </c>
      <c r="O23" s="42">
        <v>8</v>
      </c>
      <c r="P23" s="42">
        <v>1</v>
      </c>
      <c r="Q23" s="25" t="str">
        <f>VLOOKUP(P23,Key!$E$2:$F$9,2,FALSE)</f>
        <v>Home</v>
      </c>
      <c r="R23" s="25" t="str">
        <f t="shared" si="0"/>
        <v>Work-Home</v>
      </c>
      <c r="S23" s="43"/>
      <c r="T23" s="43"/>
      <c r="U23" s="51">
        <v>2</v>
      </c>
      <c r="V23" s="51"/>
      <c r="W23" s="43"/>
      <c r="X23" s="43"/>
      <c r="Y23" s="44" t="s">
        <v>149</v>
      </c>
      <c r="Z23" s="52"/>
      <c r="AA23" s="25"/>
      <c r="AB23" s="25"/>
    </row>
    <row r="24" spans="2:28">
      <c r="B24" s="39">
        <v>0.9375</v>
      </c>
      <c r="C24" s="39" t="s">
        <v>177</v>
      </c>
      <c r="D24" s="40">
        <v>11</v>
      </c>
      <c r="E24" s="40">
        <v>1</v>
      </c>
      <c r="F24" s="41" t="s">
        <v>158</v>
      </c>
      <c r="G24" s="41" t="s">
        <v>146</v>
      </c>
      <c r="H24" s="41" t="s">
        <v>147</v>
      </c>
      <c r="I24" s="41">
        <v>8</v>
      </c>
      <c r="J24" s="41">
        <v>2</v>
      </c>
      <c r="K24" s="25" t="str">
        <f>VLOOKUP(J24,Key!$E$2:$F$9,2,FALSE)</f>
        <v>Work</v>
      </c>
      <c r="L24" s="41" t="s">
        <v>161</v>
      </c>
      <c r="M24" s="42" t="s">
        <v>146</v>
      </c>
      <c r="N24" s="42" t="s">
        <v>147</v>
      </c>
      <c r="O24" s="42">
        <v>1</v>
      </c>
      <c r="P24" s="42">
        <v>1</v>
      </c>
      <c r="Q24" s="25" t="str">
        <f>VLOOKUP(P24,Key!$E$2:$F$9,2,FALSE)</f>
        <v>Home</v>
      </c>
      <c r="R24" s="25" t="str">
        <f t="shared" si="0"/>
        <v>Work-Home</v>
      </c>
      <c r="S24" s="43">
        <v>1</v>
      </c>
      <c r="T24" s="43">
        <v>0.4</v>
      </c>
      <c r="U24" s="51">
        <v>2</v>
      </c>
      <c r="V24" s="51"/>
      <c r="W24" s="43"/>
      <c r="X24" s="43"/>
      <c r="Y24" s="44" t="s">
        <v>149</v>
      </c>
      <c r="Z24" s="52">
        <v>500</v>
      </c>
      <c r="AA24" s="25"/>
      <c r="AB24" s="25"/>
    </row>
    <row r="25" spans="2:28">
      <c r="B25" s="39">
        <v>0.95138888888888884</v>
      </c>
      <c r="C25" s="39" t="s">
        <v>178</v>
      </c>
      <c r="D25" s="40">
        <v>4</v>
      </c>
      <c r="E25" s="40">
        <v>1</v>
      </c>
      <c r="F25" s="41" t="s">
        <v>179</v>
      </c>
      <c r="G25" s="41" t="s">
        <v>148</v>
      </c>
      <c r="H25" s="41" t="s">
        <v>147</v>
      </c>
      <c r="I25" s="41">
        <v>6</v>
      </c>
      <c r="J25" s="41">
        <v>2</v>
      </c>
      <c r="K25" s="25" t="str">
        <f>VLOOKUP(J25,Key!$E$2:$F$9,2,FALSE)</f>
        <v>Work</v>
      </c>
      <c r="L25" s="41" t="s">
        <v>161</v>
      </c>
      <c r="M25" s="42" t="s">
        <v>146</v>
      </c>
      <c r="N25" s="42" t="s">
        <v>147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Work-Home</v>
      </c>
      <c r="S25" s="43"/>
      <c r="T25" s="43"/>
      <c r="U25" s="51">
        <v>2</v>
      </c>
      <c r="V25" s="51"/>
      <c r="W25" s="43"/>
      <c r="X25" s="43"/>
      <c r="Y25" s="44" t="s">
        <v>149</v>
      </c>
      <c r="Z25" s="52">
        <v>500</v>
      </c>
      <c r="AA25" s="25"/>
      <c r="AB25" s="25"/>
    </row>
    <row r="26" spans="2:28">
      <c r="B26" s="39">
        <v>0.98263888888888884</v>
      </c>
      <c r="C26" s="39" t="s">
        <v>187</v>
      </c>
      <c r="D26" s="40">
        <v>4</v>
      </c>
      <c r="E26" s="40">
        <v>12</v>
      </c>
      <c r="F26" s="41" t="s">
        <v>188</v>
      </c>
      <c r="G26" s="41" t="s">
        <v>146</v>
      </c>
      <c r="H26" s="41" t="s">
        <v>147</v>
      </c>
      <c r="I26" s="41">
        <v>6</v>
      </c>
      <c r="J26" s="41">
        <v>2</v>
      </c>
      <c r="K26" s="25" t="str">
        <f>VLOOKUP(J26,Key!$E$2:$F$9,2,FALSE)</f>
        <v>Work</v>
      </c>
      <c r="L26" s="41" t="s">
        <v>189</v>
      </c>
      <c r="M26" s="42" t="s">
        <v>148</v>
      </c>
      <c r="N26" s="42" t="s">
        <v>147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>
        <v>2</v>
      </c>
      <c r="T26" s="43">
        <v>1</v>
      </c>
      <c r="U26" s="51">
        <v>2</v>
      </c>
      <c r="V26" s="51"/>
      <c r="W26" s="43"/>
      <c r="X26" s="43"/>
      <c r="Y26" s="44" t="s">
        <v>149</v>
      </c>
      <c r="Z26" s="52">
        <v>1000</v>
      </c>
      <c r="AA26" s="25"/>
      <c r="AB26" s="25"/>
    </row>
    <row r="27" spans="2:28">
      <c r="B27" s="39">
        <v>0.71805555555555556</v>
      </c>
      <c r="C27" s="39" t="s">
        <v>190</v>
      </c>
      <c r="D27" s="40">
        <v>1</v>
      </c>
      <c r="E27" s="40">
        <v>4</v>
      </c>
      <c r="F27" s="41" t="s">
        <v>152</v>
      </c>
      <c r="G27" s="41" t="s">
        <v>148</v>
      </c>
      <c r="H27" s="41" t="s">
        <v>147</v>
      </c>
      <c r="I27" s="41">
        <v>1</v>
      </c>
      <c r="J27" s="41">
        <v>2</v>
      </c>
      <c r="K27" s="25" t="str">
        <f>VLOOKUP(J27,Key!$E$2:$F$9,2,FALSE)</f>
        <v>Work</v>
      </c>
      <c r="L27" s="41" t="s">
        <v>161</v>
      </c>
      <c r="M27" s="42" t="s">
        <v>146</v>
      </c>
      <c r="N27" s="42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Work-Home</v>
      </c>
      <c r="S27" s="43">
        <v>1</v>
      </c>
      <c r="T27" s="43">
        <v>0.5</v>
      </c>
      <c r="U27" s="51">
        <v>2</v>
      </c>
      <c r="V27" s="51"/>
      <c r="W27" s="43"/>
      <c r="X27" s="43"/>
      <c r="Y27" s="44" t="s">
        <v>149</v>
      </c>
      <c r="Z27" s="52">
        <v>500</v>
      </c>
      <c r="AA27" s="25"/>
      <c r="AB27" s="25"/>
    </row>
    <row r="28" spans="2:28">
      <c r="B28" s="39">
        <v>0.15625</v>
      </c>
      <c r="C28" s="39" t="s">
        <v>191</v>
      </c>
      <c r="D28" s="40">
        <v>1</v>
      </c>
      <c r="E28" s="40">
        <v>2</v>
      </c>
      <c r="F28" s="41" t="s">
        <v>158</v>
      </c>
      <c r="G28" s="41" t="s">
        <v>146</v>
      </c>
      <c r="H28" s="41" t="s">
        <v>147</v>
      </c>
      <c r="I28" s="41">
        <v>2</v>
      </c>
      <c r="J28" s="41">
        <v>1</v>
      </c>
      <c r="K28" s="25" t="str">
        <f>VLOOKUP(J28,Key!$E$2:$F$9,2,FALSE)</f>
        <v>Home</v>
      </c>
      <c r="L28" s="41" t="s">
        <v>163</v>
      </c>
      <c r="M28" s="42" t="s">
        <v>146</v>
      </c>
      <c r="N28" s="42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Home-Home</v>
      </c>
      <c r="S28" s="43"/>
      <c r="T28" s="43"/>
      <c r="U28" s="51">
        <v>2</v>
      </c>
      <c r="V28" s="51"/>
      <c r="W28" s="43"/>
      <c r="X28" s="43"/>
      <c r="Y28" s="44" t="s">
        <v>149</v>
      </c>
      <c r="Z28" s="52">
        <v>200</v>
      </c>
      <c r="AA28" s="25"/>
      <c r="AB28" s="25"/>
    </row>
    <row r="29" spans="2:28">
      <c r="B29" s="39">
        <v>0.24305555555555555</v>
      </c>
      <c r="C29" s="39" t="s">
        <v>192</v>
      </c>
      <c r="D29" s="40">
        <v>1</v>
      </c>
      <c r="E29" s="40">
        <v>2</v>
      </c>
      <c r="F29" s="41" t="s">
        <v>152</v>
      </c>
      <c r="G29" s="41" t="s">
        <v>148</v>
      </c>
      <c r="H29" s="41" t="s">
        <v>147</v>
      </c>
      <c r="I29" s="41">
        <v>1</v>
      </c>
      <c r="J29" s="41">
        <v>1</v>
      </c>
      <c r="K29" s="25" t="str">
        <f>VLOOKUP(J29,Key!$E$2:$F$9,2,FALSE)</f>
        <v>Home</v>
      </c>
      <c r="L29" s="41" t="s">
        <v>186</v>
      </c>
      <c r="M29" s="42" t="s">
        <v>146</v>
      </c>
      <c r="N29" s="42" t="s">
        <v>147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43">
        <v>1</v>
      </c>
      <c r="T29" s="43">
        <v>0.5</v>
      </c>
      <c r="U29" s="51">
        <v>2</v>
      </c>
      <c r="V29" s="51"/>
      <c r="W29" s="43"/>
      <c r="X29" s="43"/>
      <c r="Y29" s="44" t="s">
        <v>149</v>
      </c>
      <c r="Z29" s="52"/>
      <c r="AA29" s="25"/>
      <c r="AB29" s="25"/>
    </row>
    <row r="30" spans="2:28">
      <c r="B30" s="39">
        <v>0.97916666666666663</v>
      </c>
      <c r="C30" s="39" t="s">
        <v>193</v>
      </c>
      <c r="D30" s="40">
        <v>1</v>
      </c>
      <c r="E30" s="40">
        <v>1</v>
      </c>
      <c r="F30" s="41" t="s">
        <v>158</v>
      </c>
      <c r="G30" s="41" t="s">
        <v>146</v>
      </c>
      <c r="H30" s="41" t="s">
        <v>147</v>
      </c>
      <c r="I30" s="41">
        <v>1</v>
      </c>
      <c r="J30" s="41">
        <v>1</v>
      </c>
      <c r="K30" s="25" t="str">
        <f>VLOOKUP(J30,Key!$E$2:$F$9,2,FALSE)</f>
        <v>Home</v>
      </c>
      <c r="L30" s="41" t="s">
        <v>194</v>
      </c>
      <c r="M30" s="42" t="s">
        <v>148</v>
      </c>
      <c r="N30" s="42" t="s">
        <v>147</v>
      </c>
      <c r="O30" s="42">
        <v>2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/>
      <c r="T30" s="43"/>
      <c r="U30" s="51">
        <v>2</v>
      </c>
      <c r="V30" s="51"/>
      <c r="W30" s="43"/>
      <c r="X30" s="43"/>
      <c r="Y30" s="44" t="s">
        <v>149</v>
      </c>
      <c r="Z30" s="52">
        <v>1000</v>
      </c>
      <c r="AA30" s="25"/>
      <c r="AB30" s="25"/>
    </row>
    <row r="31" spans="2:28">
      <c r="B31" s="39">
        <v>0.84722222222222221</v>
      </c>
      <c r="C31" s="39" t="s">
        <v>195</v>
      </c>
      <c r="D31" s="40">
        <v>1</v>
      </c>
      <c r="E31" s="40">
        <v>2</v>
      </c>
      <c r="F31" s="41" t="s">
        <v>152</v>
      </c>
      <c r="G31" s="41" t="s">
        <v>148</v>
      </c>
      <c r="H31" s="41" t="s">
        <v>147</v>
      </c>
      <c r="I31" s="41">
        <v>2</v>
      </c>
      <c r="J31" s="41">
        <v>2</v>
      </c>
      <c r="K31" s="25" t="str">
        <f>VLOOKUP(J31,Key!$E$2:$F$9,2,FALSE)</f>
        <v>Work</v>
      </c>
      <c r="L31" s="41" t="s">
        <v>161</v>
      </c>
      <c r="M31" s="42" t="s">
        <v>146</v>
      </c>
      <c r="N31" s="42" t="s">
        <v>147</v>
      </c>
      <c r="O31" s="42">
        <v>1</v>
      </c>
      <c r="P31" s="42">
        <v>1</v>
      </c>
      <c r="Q31" s="25" t="str">
        <f>VLOOKUP(P31,Key!$E$2:$F$9,2,FALSE)</f>
        <v>Home</v>
      </c>
      <c r="R31" s="25" t="str">
        <f t="shared" si="0"/>
        <v>Work-Home</v>
      </c>
      <c r="S31" s="43">
        <v>2</v>
      </c>
      <c r="T31" s="43">
        <v>0.5</v>
      </c>
      <c r="U31" s="51">
        <v>2</v>
      </c>
      <c r="V31" s="51"/>
      <c r="W31" s="43"/>
      <c r="X31" s="43"/>
      <c r="Y31" s="44" t="s">
        <v>149</v>
      </c>
      <c r="Z31" s="52"/>
      <c r="AA31" s="25"/>
      <c r="AB31" s="25"/>
    </row>
    <row r="32" spans="2:28">
      <c r="B32" s="39">
        <v>0.96875</v>
      </c>
      <c r="C32" s="39" t="s">
        <v>196</v>
      </c>
      <c r="D32" s="40">
        <v>1</v>
      </c>
      <c r="E32" s="40">
        <v>1</v>
      </c>
      <c r="F32" s="41" t="s">
        <v>163</v>
      </c>
      <c r="G32" s="41" t="s">
        <v>148</v>
      </c>
      <c r="H32" s="41" t="s">
        <v>147</v>
      </c>
      <c r="I32" s="41">
        <v>2</v>
      </c>
      <c r="J32" s="41">
        <v>2</v>
      </c>
      <c r="K32" s="25" t="str">
        <f>VLOOKUP(J32,Key!$E$2:$F$9,2,FALSE)</f>
        <v>Work</v>
      </c>
      <c r="L32" s="41" t="s">
        <v>158</v>
      </c>
      <c r="M32" s="42" t="s">
        <v>146</v>
      </c>
      <c r="N32" s="42" t="s">
        <v>147</v>
      </c>
      <c r="O32" s="42">
        <v>1</v>
      </c>
      <c r="P32" s="42">
        <v>1</v>
      </c>
      <c r="Q32" s="25" t="str">
        <f>VLOOKUP(P32,Key!$E$2:$F$9,2,FALSE)</f>
        <v>Home</v>
      </c>
      <c r="R32" s="25" t="str">
        <f t="shared" si="0"/>
        <v>Work-Home</v>
      </c>
      <c r="S32" s="43"/>
      <c r="T32" s="43"/>
      <c r="U32" s="51">
        <v>2</v>
      </c>
      <c r="V32" s="51"/>
      <c r="W32" s="43"/>
      <c r="X32" s="43"/>
      <c r="Y32" s="44" t="s">
        <v>149</v>
      </c>
      <c r="Z32" s="52">
        <v>1000</v>
      </c>
      <c r="AA32" s="25"/>
      <c r="AB32" s="25"/>
    </row>
    <row r="33" spans="2:28">
      <c r="B33" s="39">
        <v>0.85763888888888884</v>
      </c>
      <c r="C33" s="39" t="s">
        <v>197</v>
      </c>
      <c r="D33" s="40">
        <v>3</v>
      </c>
      <c r="E33" s="40">
        <v>2</v>
      </c>
      <c r="F33" s="41" t="s">
        <v>158</v>
      </c>
      <c r="G33" s="41" t="s">
        <v>146</v>
      </c>
      <c r="H33" s="41" t="s">
        <v>147</v>
      </c>
      <c r="I33" s="41">
        <v>2</v>
      </c>
      <c r="J33" s="41">
        <v>2</v>
      </c>
      <c r="K33" s="25" t="str">
        <f>VLOOKUP(J33,Key!$E$2:$F$9,2,FALSE)</f>
        <v>Work</v>
      </c>
      <c r="L33" s="41" t="s">
        <v>198</v>
      </c>
      <c r="M33" s="42" t="s">
        <v>146</v>
      </c>
      <c r="N33" s="42" t="s">
        <v>147</v>
      </c>
      <c r="O33" s="42">
        <v>1</v>
      </c>
      <c r="P33" s="42">
        <v>1</v>
      </c>
      <c r="Q33" s="25" t="s">
        <v>100</v>
      </c>
      <c r="R33" s="25" t="s">
        <v>140</v>
      </c>
      <c r="S33" s="43">
        <v>4</v>
      </c>
      <c r="T33" s="43">
        <v>1.5</v>
      </c>
      <c r="U33" s="51">
        <v>2</v>
      </c>
      <c r="V33" s="51"/>
      <c r="W33" s="43"/>
      <c r="X33" s="43"/>
      <c r="Y33" s="44" t="s">
        <v>149</v>
      </c>
      <c r="Z33" s="52">
        <v>1000</v>
      </c>
      <c r="AA33" s="25"/>
      <c r="AB33" s="25"/>
    </row>
    <row r="34" spans="2:28">
      <c r="B34" s="39">
        <v>0.80555555555555547</v>
      </c>
      <c r="C34" s="39" t="s">
        <v>199</v>
      </c>
      <c r="D34" s="40">
        <v>11</v>
      </c>
      <c r="E34" s="40">
        <v>1</v>
      </c>
      <c r="F34" s="41" t="s">
        <v>200</v>
      </c>
      <c r="G34" s="41" t="s">
        <v>148</v>
      </c>
      <c r="H34" s="41" t="s">
        <v>147</v>
      </c>
      <c r="I34" s="41">
        <v>16</v>
      </c>
      <c r="J34" s="41">
        <v>8</v>
      </c>
      <c r="K34" s="25" t="str">
        <f>VLOOKUP(J34,Key!$E$2:$F$9,2,FALSE)</f>
        <v>Others</v>
      </c>
      <c r="L34" s="41" t="s">
        <v>161</v>
      </c>
      <c r="M34" s="42" t="s">
        <v>148</v>
      </c>
      <c r="N34" s="42" t="s">
        <v>147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ref="R34:R59" si="1">K34&amp;"-"&amp;Q34</f>
        <v>Others-Others</v>
      </c>
      <c r="S34" s="43">
        <v>2</v>
      </c>
      <c r="T34" s="43">
        <v>0.2</v>
      </c>
      <c r="U34" s="51">
        <v>2</v>
      </c>
      <c r="V34" s="51"/>
      <c r="W34" s="43"/>
      <c r="X34" s="43"/>
      <c r="Y34" s="44" t="s">
        <v>149</v>
      </c>
      <c r="Z34" s="52">
        <v>1000</v>
      </c>
      <c r="AA34" s="25"/>
      <c r="AB34" s="25"/>
    </row>
    <row r="35" spans="2:28">
      <c r="B35" s="39">
        <v>0.9506944444444444</v>
      </c>
      <c r="C35" s="39" t="s">
        <v>201</v>
      </c>
      <c r="D35" s="40">
        <v>11</v>
      </c>
      <c r="E35" s="40">
        <v>1</v>
      </c>
      <c r="F35" s="41" t="s">
        <v>152</v>
      </c>
      <c r="G35" s="41" t="s">
        <v>148</v>
      </c>
      <c r="H35" s="41" t="s">
        <v>147</v>
      </c>
      <c r="I35" s="41">
        <v>8</v>
      </c>
      <c r="J35" s="41">
        <v>2</v>
      </c>
      <c r="K35" s="25" t="str">
        <f>VLOOKUP(J35,Key!$E$2:$F$9,2,FALSE)</f>
        <v>Work</v>
      </c>
      <c r="L35" s="41" t="s">
        <v>202</v>
      </c>
      <c r="M35" s="42" t="s">
        <v>148</v>
      </c>
      <c r="N35" s="42" t="s">
        <v>147</v>
      </c>
      <c r="O35" s="42">
        <v>1</v>
      </c>
      <c r="P35" s="42">
        <v>1</v>
      </c>
      <c r="Q35" s="25" t="str">
        <f>VLOOKUP(P35,Key!$E$2:$F$9,2,FALSE)</f>
        <v>Home</v>
      </c>
      <c r="R35" s="25" t="str">
        <f t="shared" si="1"/>
        <v>Work-Home</v>
      </c>
      <c r="S35" s="43"/>
      <c r="T35" s="43">
        <v>0.5</v>
      </c>
      <c r="U35" s="51">
        <v>1</v>
      </c>
      <c r="V35" s="51"/>
      <c r="W35" s="43"/>
      <c r="X35" s="43"/>
      <c r="Y35" s="44" t="s">
        <v>149</v>
      </c>
      <c r="Z35" s="52">
        <v>1000</v>
      </c>
      <c r="AA35" s="25"/>
      <c r="AB35" s="25"/>
    </row>
    <row r="36" spans="2:28">
      <c r="B36" s="39">
        <v>0.23124999999999998</v>
      </c>
      <c r="C36" s="39" t="s">
        <v>203</v>
      </c>
      <c r="D36" s="40">
        <v>1</v>
      </c>
      <c r="E36" s="40">
        <v>1</v>
      </c>
      <c r="F36" s="41" t="s">
        <v>204</v>
      </c>
      <c r="G36" s="41" t="s">
        <v>148</v>
      </c>
      <c r="H36" s="41" t="s">
        <v>147</v>
      </c>
      <c r="I36" s="41">
        <v>16</v>
      </c>
      <c r="J36" s="41">
        <v>8</v>
      </c>
      <c r="K36" s="25" t="str">
        <f>VLOOKUP(J36,Key!$E$2:$F$9,2,FALSE)</f>
        <v>Others</v>
      </c>
      <c r="L36" s="41" t="s">
        <v>205</v>
      </c>
      <c r="M36" s="42" t="s">
        <v>148</v>
      </c>
      <c r="N36" s="42" t="s">
        <v>147</v>
      </c>
      <c r="O36" s="42">
        <v>1</v>
      </c>
      <c r="P36" s="42">
        <v>8</v>
      </c>
      <c r="Q36" s="25" t="str">
        <f>VLOOKUP(P36,Key!$E$2:$F$9,2,FALSE)</f>
        <v>Others</v>
      </c>
      <c r="R36" s="25" t="str">
        <f t="shared" si="1"/>
        <v>Others-Others</v>
      </c>
      <c r="S36" s="43"/>
      <c r="T36" s="43">
        <v>0.5</v>
      </c>
      <c r="U36" s="51">
        <v>2</v>
      </c>
      <c r="V36" s="51"/>
      <c r="W36" s="43"/>
      <c r="X36" s="43"/>
      <c r="Y36" s="44" t="s">
        <v>149</v>
      </c>
      <c r="Z36" s="52">
        <v>1000</v>
      </c>
      <c r="AA36" s="25"/>
      <c r="AB36" s="25"/>
    </row>
    <row r="37" spans="2:28">
      <c r="B37" s="39">
        <v>0.22569444444444445</v>
      </c>
      <c r="C37" s="39" t="s">
        <v>206</v>
      </c>
      <c r="D37" s="40">
        <v>1</v>
      </c>
      <c r="E37" s="40">
        <v>1</v>
      </c>
      <c r="F37" s="41" t="s">
        <v>207</v>
      </c>
      <c r="G37" s="41" t="s">
        <v>148</v>
      </c>
      <c r="H37" s="41" t="s">
        <v>147</v>
      </c>
      <c r="I37" s="41">
        <v>16</v>
      </c>
      <c r="J37" s="41">
        <v>8</v>
      </c>
      <c r="K37" s="25" t="str">
        <f>VLOOKUP(J37,Key!$E$2:$F$9,2,FALSE)</f>
        <v>Others</v>
      </c>
      <c r="L37" s="41" t="s">
        <v>208</v>
      </c>
      <c r="M37" s="42" t="s">
        <v>146</v>
      </c>
      <c r="N37" s="42" t="s">
        <v>147</v>
      </c>
      <c r="O37" s="42">
        <v>16</v>
      </c>
      <c r="P37" s="42">
        <v>8</v>
      </c>
      <c r="Q37" s="25" t="str">
        <f>VLOOKUP(P37,Key!$E$2:$F$9,2,FALSE)</f>
        <v>Others</v>
      </c>
      <c r="R37" s="25" t="str">
        <f t="shared" si="1"/>
        <v>Others-Others</v>
      </c>
      <c r="S37" s="43">
        <v>10</v>
      </c>
      <c r="T37" s="43">
        <v>0.5</v>
      </c>
      <c r="U37" s="51">
        <v>6</v>
      </c>
      <c r="V37" s="51"/>
      <c r="W37" s="43"/>
      <c r="X37" s="43"/>
      <c r="Y37" s="44" t="s">
        <v>149</v>
      </c>
      <c r="Z37" s="52">
        <v>1000</v>
      </c>
      <c r="AA37" s="25"/>
      <c r="AB37" s="25"/>
    </row>
    <row r="38" spans="2:28">
      <c r="B38" s="39">
        <v>0.5</v>
      </c>
      <c r="C38" s="39" t="s">
        <v>209</v>
      </c>
      <c r="D38" s="40">
        <v>11</v>
      </c>
      <c r="E38" s="40">
        <v>2</v>
      </c>
      <c r="F38" s="41" t="s">
        <v>152</v>
      </c>
      <c r="G38" s="41" t="s">
        <v>148</v>
      </c>
      <c r="H38" s="41" t="s">
        <v>147</v>
      </c>
      <c r="I38" s="41">
        <v>16</v>
      </c>
      <c r="J38" s="41">
        <v>8</v>
      </c>
      <c r="K38" s="25" t="str">
        <f>VLOOKUP(J38,Key!$E$2:$F$9,2,FALSE)</f>
        <v>Others</v>
      </c>
      <c r="L38" s="41" t="s">
        <v>202</v>
      </c>
      <c r="M38" s="42" t="s">
        <v>148</v>
      </c>
      <c r="N38" s="42" t="s">
        <v>147</v>
      </c>
      <c r="O38" s="42">
        <v>16</v>
      </c>
      <c r="P38" s="42">
        <v>1</v>
      </c>
      <c r="Q38" s="25" t="str">
        <f>VLOOKUP(P38,Key!$E$2:$F$9,2,FALSE)</f>
        <v>Home</v>
      </c>
      <c r="R38" s="25" t="str">
        <f t="shared" si="1"/>
        <v>Others-Home</v>
      </c>
      <c r="S38" s="43"/>
      <c r="T38" s="43">
        <v>0.2</v>
      </c>
      <c r="U38" s="51">
        <v>2</v>
      </c>
      <c r="V38" s="51"/>
      <c r="W38" s="43"/>
      <c r="X38" s="43"/>
      <c r="Y38" s="44" t="s">
        <v>149</v>
      </c>
      <c r="Z38" s="52">
        <v>1000</v>
      </c>
      <c r="AA38" s="25"/>
      <c r="AB38" s="25"/>
    </row>
    <row r="39" spans="2:28">
      <c r="B39" s="39">
        <v>1.0416666666666666E-2</v>
      </c>
      <c r="C39" s="39" t="s">
        <v>210</v>
      </c>
      <c r="D39" s="40">
        <v>1</v>
      </c>
      <c r="E39" s="40">
        <v>2</v>
      </c>
      <c r="F39" s="41" t="s">
        <v>152</v>
      </c>
      <c r="G39" s="41" t="s">
        <v>148</v>
      </c>
      <c r="H39" s="41" t="s">
        <v>147</v>
      </c>
      <c r="I39" s="41">
        <v>16</v>
      </c>
      <c r="J39" s="41">
        <v>8</v>
      </c>
      <c r="K39" s="25" t="str">
        <f>VLOOKUP(J39,Key!$E$2:$F$9,2,FALSE)</f>
        <v>Others</v>
      </c>
      <c r="L39" s="41" t="s">
        <v>205</v>
      </c>
      <c r="M39" s="42" t="s">
        <v>148</v>
      </c>
      <c r="N39" s="42" t="s">
        <v>147</v>
      </c>
      <c r="O39" s="42">
        <v>1</v>
      </c>
      <c r="P39" s="42">
        <v>1</v>
      </c>
      <c r="Q39" s="25" t="str">
        <f>VLOOKUP(P39,Key!$E$2:$F$9,2,FALSE)</f>
        <v>Home</v>
      </c>
      <c r="R39" s="25" t="str">
        <f t="shared" si="1"/>
        <v>Others-Home</v>
      </c>
      <c r="S39" s="43"/>
      <c r="T39" s="43">
        <v>0.5</v>
      </c>
      <c r="U39" s="51">
        <v>2</v>
      </c>
      <c r="V39" s="51"/>
      <c r="W39" s="43"/>
      <c r="X39" s="43"/>
      <c r="Y39" s="44" t="s">
        <v>149</v>
      </c>
      <c r="Z39" s="52">
        <v>1000</v>
      </c>
      <c r="AA39" s="25"/>
      <c r="AB39" s="25"/>
    </row>
    <row r="40" spans="2:28">
      <c r="B40" s="39">
        <v>0.22916666666666666</v>
      </c>
      <c r="C40" s="39" t="s">
        <v>211</v>
      </c>
      <c r="D40" s="40">
        <v>1</v>
      </c>
      <c r="E40" s="40">
        <v>1</v>
      </c>
      <c r="F40" s="41" t="s">
        <v>152</v>
      </c>
      <c r="G40" s="41" t="s">
        <v>148</v>
      </c>
      <c r="H40" s="41" t="s">
        <v>147</v>
      </c>
      <c r="I40" s="41">
        <v>16</v>
      </c>
      <c r="J40" s="41">
        <v>8</v>
      </c>
      <c r="K40" s="25" t="str">
        <f>VLOOKUP(J40,Key!$E$2:$F$9,2,FALSE)</f>
        <v>Others</v>
      </c>
      <c r="L40" s="41" t="s">
        <v>212</v>
      </c>
      <c r="M40" s="42" t="s">
        <v>148</v>
      </c>
      <c r="N40" s="42" t="s">
        <v>147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Others-Others</v>
      </c>
      <c r="S40" s="43"/>
      <c r="T40" s="43"/>
      <c r="U40" s="51">
        <v>6</v>
      </c>
      <c r="V40" s="51"/>
      <c r="W40" s="43"/>
      <c r="X40" s="43"/>
      <c r="Y40" s="44" t="s">
        <v>149</v>
      </c>
      <c r="Z40" s="52">
        <v>1000</v>
      </c>
      <c r="AA40" s="25"/>
      <c r="AB40" s="25"/>
    </row>
    <row r="41" spans="2:28">
      <c r="B41" s="39">
        <v>0.98541666666666661</v>
      </c>
      <c r="C41" s="39" t="s">
        <v>213</v>
      </c>
      <c r="D41" s="40">
        <v>4</v>
      </c>
      <c r="E41" s="40">
        <v>2</v>
      </c>
      <c r="F41" s="41" t="s">
        <v>214</v>
      </c>
      <c r="G41" s="41" t="s">
        <v>148</v>
      </c>
      <c r="H41" s="41" t="s">
        <v>147</v>
      </c>
      <c r="I41" s="41">
        <v>16</v>
      </c>
      <c r="J41" s="41">
        <v>8</v>
      </c>
      <c r="K41" s="25" t="str">
        <f>VLOOKUP(J41,Key!$E$2:$F$9,2,FALSE)</f>
        <v>Others</v>
      </c>
      <c r="L41" s="41" t="s">
        <v>205</v>
      </c>
      <c r="M41" s="42" t="s">
        <v>148</v>
      </c>
      <c r="N41" s="42" t="s">
        <v>147</v>
      </c>
      <c r="O41" s="42">
        <v>16</v>
      </c>
      <c r="P41" s="42">
        <v>8</v>
      </c>
      <c r="Q41" s="25" t="str">
        <f>VLOOKUP(P41,Key!$E$2:$F$9,2,FALSE)</f>
        <v>Others</v>
      </c>
      <c r="R41" s="25" t="str">
        <f t="shared" si="1"/>
        <v>Others-Others</v>
      </c>
      <c r="S41" s="43"/>
      <c r="T41" s="43">
        <v>0.3</v>
      </c>
      <c r="U41" s="51">
        <v>2</v>
      </c>
      <c r="V41" s="51"/>
      <c r="W41" s="43"/>
      <c r="X41" s="43"/>
      <c r="Y41" s="44" t="s">
        <v>149</v>
      </c>
      <c r="Z41" s="52">
        <v>1000</v>
      </c>
      <c r="AA41" s="25"/>
      <c r="AB41" s="25"/>
    </row>
    <row r="42" spans="2:28">
      <c r="B42" s="39">
        <v>0.25</v>
      </c>
      <c r="C42" s="39" t="s">
        <v>215</v>
      </c>
      <c r="D42" s="40">
        <v>4</v>
      </c>
      <c r="E42" s="40">
        <v>4</v>
      </c>
      <c r="F42" s="41" t="s">
        <v>161</v>
      </c>
      <c r="G42" s="41" t="s">
        <v>148</v>
      </c>
      <c r="H42" s="41" t="s">
        <v>147</v>
      </c>
      <c r="I42" s="41">
        <v>6</v>
      </c>
      <c r="J42" s="41">
        <v>2</v>
      </c>
      <c r="K42" s="25" t="str">
        <f>VLOOKUP(J42,Key!$E$2:$F$9,2,FALSE)</f>
        <v>Work</v>
      </c>
      <c r="L42" s="41" t="s">
        <v>158</v>
      </c>
      <c r="M42" s="42" t="s">
        <v>146</v>
      </c>
      <c r="N42" s="42" t="s">
        <v>147</v>
      </c>
      <c r="O42" s="42">
        <v>6</v>
      </c>
      <c r="P42" s="42">
        <v>2</v>
      </c>
      <c r="Q42" s="25" t="str">
        <f>VLOOKUP(P42,Key!$E$2:$F$9,2,FALSE)</f>
        <v>Work</v>
      </c>
      <c r="R42" s="25" t="str">
        <f t="shared" si="1"/>
        <v>Work-Work</v>
      </c>
      <c r="S42" s="43">
        <v>15</v>
      </c>
      <c r="T42" s="43">
        <v>0.5</v>
      </c>
      <c r="U42" s="51">
        <v>2</v>
      </c>
      <c r="V42" s="51"/>
      <c r="W42" s="43"/>
      <c r="X42" s="43"/>
      <c r="Y42" s="44" t="s">
        <v>149</v>
      </c>
      <c r="Z42" s="52">
        <v>1000</v>
      </c>
      <c r="AA42" s="25"/>
      <c r="AB42" s="25"/>
    </row>
    <row r="43" spans="2:28">
      <c r="B43" s="39">
        <v>0.23680555555555557</v>
      </c>
      <c r="C43" s="39" t="s">
        <v>216</v>
      </c>
      <c r="D43" s="40">
        <v>4</v>
      </c>
      <c r="E43" s="40">
        <v>1</v>
      </c>
      <c r="F43" s="41" t="s">
        <v>152</v>
      </c>
      <c r="G43" s="41" t="s">
        <v>148</v>
      </c>
      <c r="H43" s="41" t="s">
        <v>147</v>
      </c>
      <c r="I43" s="41">
        <v>6</v>
      </c>
      <c r="J43" s="41">
        <v>2</v>
      </c>
      <c r="K43" s="25" t="str">
        <f>VLOOKUP(J43,Key!$E$2:$F$9,2,FALSE)</f>
        <v>Work</v>
      </c>
      <c r="L43" s="41" t="s">
        <v>186</v>
      </c>
      <c r="M43" s="42" t="s">
        <v>148</v>
      </c>
      <c r="N43" s="42" t="s">
        <v>147</v>
      </c>
      <c r="O43" s="42">
        <v>6</v>
      </c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43">
        <v>8</v>
      </c>
      <c r="T43" s="43">
        <v>0.3</v>
      </c>
      <c r="U43" s="51">
        <v>2</v>
      </c>
      <c r="V43" s="51"/>
      <c r="W43" s="43"/>
      <c r="X43" s="43"/>
      <c r="Y43" s="44" t="s">
        <v>149</v>
      </c>
      <c r="Z43" s="52">
        <v>1000</v>
      </c>
      <c r="AA43" s="25"/>
      <c r="AB43" s="25"/>
    </row>
    <row r="44" spans="2:28">
      <c r="B44" s="39">
        <v>0.21875</v>
      </c>
      <c r="C44" s="39" t="s">
        <v>217</v>
      </c>
      <c r="D44" s="40">
        <v>2</v>
      </c>
      <c r="E44" s="40">
        <v>2</v>
      </c>
      <c r="F44" s="41" t="s">
        <v>218</v>
      </c>
      <c r="G44" s="41" t="s">
        <v>146</v>
      </c>
      <c r="H44" s="41" t="s">
        <v>147</v>
      </c>
      <c r="I44" s="41">
        <v>16</v>
      </c>
      <c r="J44" s="41">
        <v>8</v>
      </c>
      <c r="K44" s="25" t="str">
        <f>VLOOKUP(J44,Key!$E$2:$F$9,2,FALSE)</f>
        <v>Others</v>
      </c>
      <c r="L44" s="41" t="s">
        <v>202</v>
      </c>
      <c r="M44" s="42" t="s">
        <v>148</v>
      </c>
      <c r="N44" s="42" t="s">
        <v>147</v>
      </c>
      <c r="O44" s="42">
        <v>16</v>
      </c>
      <c r="P44" s="42">
        <v>8</v>
      </c>
      <c r="Q44" s="25" t="str">
        <f>VLOOKUP(P44,Key!$E$2:$F$9,2,FALSE)</f>
        <v>Others</v>
      </c>
      <c r="R44" s="25" t="str">
        <f t="shared" si="1"/>
        <v>Others-Others</v>
      </c>
      <c r="S44" s="43">
        <v>7</v>
      </c>
      <c r="T44" s="43">
        <v>0.5</v>
      </c>
      <c r="U44" s="51">
        <v>6</v>
      </c>
      <c r="V44" s="51"/>
      <c r="W44" s="43"/>
      <c r="X44" s="43"/>
      <c r="Y44" s="44" t="s">
        <v>149</v>
      </c>
      <c r="Z44" s="52">
        <v>1000</v>
      </c>
      <c r="AA44" s="25"/>
      <c r="AB44" s="25"/>
    </row>
    <row r="45" spans="2:28">
      <c r="B45" s="39">
        <v>0.22222222222222221</v>
      </c>
      <c r="C45" s="39" t="s">
        <v>219</v>
      </c>
      <c r="D45" s="40">
        <v>4</v>
      </c>
      <c r="E45" s="40">
        <v>3</v>
      </c>
      <c r="F45" s="41" t="s">
        <v>152</v>
      </c>
      <c r="G45" s="41" t="s">
        <v>148</v>
      </c>
      <c r="H45" s="41" t="s">
        <v>147</v>
      </c>
      <c r="I45" s="41">
        <v>6</v>
      </c>
      <c r="J45" s="41">
        <v>2</v>
      </c>
      <c r="K45" s="25" t="str">
        <f>VLOOKUP(J45,Key!$E$2:$F$9,2,FALSE)</f>
        <v>Work</v>
      </c>
      <c r="L45" s="41" t="s">
        <v>158</v>
      </c>
      <c r="M45" s="42" t="s">
        <v>146</v>
      </c>
      <c r="N45" s="42" t="s">
        <v>147</v>
      </c>
      <c r="O45" s="42">
        <v>6</v>
      </c>
      <c r="P45" s="42">
        <v>2</v>
      </c>
      <c r="Q45" s="25" t="str">
        <f>VLOOKUP(P45,Key!$E$2:$F$9,2,FALSE)</f>
        <v>Work</v>
      </c>
      <c r="R45" s="25" t="str">
        <f t="shared" si="1"/>
        <v>Work-Work</v>
      </c>
      <c r="S45" s="43"/>
      <c r="T45" s="43">
        <v>0.5</v>
      </c>
      <c r="U45" s="51">
        <v>2</v>
      </c>
      <c r="V45" s="51"/>
      <c r="W45" s="43"/>
      <c r="X45" s="43"/>
      <c r="Y45" s="44" t="s">
        <v>149</v>
      </c>
      <c r="Z45" s="52">
        <v>2000</v>
      </c>
      <c r="AA45" s="25"/>
      <c r="AB45" s="25"/>
    </row>
    <row r="46" spans="2:28">
      <c r="B46" s="39">
        <v>0.99097222222222225</v>
      </c>
      <c r="C46" s="39" t="s">
        <v>220</v>
      </c>
      <c r="D46" s="40">
        <v>1</v>
      </c>
      <c r="E46" s="40">
        <v>2</v>
      </c>
      <c r="F46" s="41" t="s">
        <v>152</v>
      </c>
      <c r="G46" s="41" t="s">
        <v>148</v>
      </c>
      <c r="H46" s="41" t="s">
        <v>147</v>
      </c>
      <c r="I46" s="41">
        <v>16</v>
      </c>
      <c r="J46" s="41">
        <v>8</v>
      </c>
      <c r="K46" s="25" t="str">
        <f>VLOOKUP(J46,Key!$E$2:$F$9,2,FALSE)</f>
        <v>Others</v>
      </c>
      <c r="L46" s="41" t="s">
        <v>212</v>
      </c>
      <c r="M46" s="42" t="s">
        <v>148</v>
      </c>
      <c r="N46" s="42" t="s">
        <v>147</v>
      </c>
      <c r="O46" s="42">
        <v>16</v>
      </c>
      <c r="P46" s="42">
        <v>8</v>
      </c>
      <c r="Q46" s="25" t="str">
        <f>VLOOKUP(P46,Key!$E$2:$F$9,2,FALSE)</f>
        <v>Others</v>
      </c>
      <c r="R46" s="25" t="str">
        <f t="shared" si="1"/>
        <v>Others-Others</v>
      </c>
      <c r="S46" s="43"/>
      <c r="T46" s="43"/>
      <c r="U46" s="51">
        <v>6</v>
      </c>
      <c r="V46" s="51"/>
      <c r="W46" s="43"/>
      <c r="X46" s="43"/>
      <c r="Y46" s="44" t="s">
        <v>149</v>
      </c>
      <c r="Z46" s="52">
        <v>2000</v>
      </c>
      <c r="AA46" s="25"/>
      <c r="AB46" s="25"/>
    </row>
    <row r="47" spans="2:28">
      <c r="B47" s="39">
        <v>0.99722222222222223</v>
      </c>
      <c r="C47" s="39" t="s">
        <v>221</v>
      </c>
      <c r="D47" s="40">
        <v>11</v>
      </c>
      <c r="E47" s="40">
        <v>1</v>
      </c>
      <c r="F47" s="41" t="s">
        <v>200</v>
      </c>
      <c r="G47" s="41" t="s">
        <v>148</v>
      </c>
      <c r="H47" s="41" t="s">
        <v>147</v>
      </c>
      <c r="I47" s="41">
        <v>16</v>
      </c>
      <c r="J47" s="41">
        <v>8</v>
      </c>
      <c r="K47" s="25" t="str">
        <f>VLOOKUP(J47,Key!$E$2:$F$9,2,FALSE)</f>
        <v>Others</v>
      </c>
      <c r="L47" s="41" t="s">
        <v>222</v>
      </c>
      <c r="M47" s="42" t="s">
        <v>148</v>
      </c>
      <c r="N47" s="42" t="s">
        <v>147</v>
      </c>
      <c r="O47" s="42">
        <v>16</v>
      </c>
      <c r="P47" s="42">
        <v>8</v>
      </c>
      <c r="Q47" s="25" t="str">
        <f>VLOOKUP(P47,Key!$E$2:$F$9,2,FALSE)</f>
        <v>Others</v>
      </c>
      <c r="R47" s="25" t="str">
        <f t="shared" si="1"/>
        <v>Others-Others</v>
      </c>
      <c r="S47" s="43">
        <v>8.0399999999999991</v>
      </c>
      <c r="T47" s="43">
        <v>0.3</v>
      </c>
      <c r="U47" s="51">
        <v>3</v>
      </c>
      <c r="V47" s="51"/>
      <c r="W47" s="43"/>
      <c r="X47" s="43"/>
      <c r="Y47" s="44" t="s">
        <v>149</v>
      </c>
      <c r="Z47" s="52"/>
      <c r="AA47" s="25"/>
      <c r="AB47" s="25"/>
    </row>
    <row r="48" spans="2:28">
      <c r="B48" s="39">
        <v>0.92708333333333337</v>
      </c>
      <c r="C48" s="39" t="s">
        <v>223</v>
      </c>
      <c r="D48" s="40">
        <v>11</v>
      </c>
      <c r="E48" s="40">
        <v>1</v>
      </c>
      <c r="F48" s="41" t="s">
        <v>207</v>
      </c>
      <c r="G48" s="41" t="s">
        <v>148</v>
      </c>
      <c r="H48" s="41" t="s">
        <v>147</v>
      </c>
      <c r="I48" s="41">
        <v>16</v>
      </c>
      <c r="J48" s="41">
        <v>8</v>
      </c>
      <c r="K48" s="25" t="str">
        <f>VLOOKUP(J48,Key!$E$2:$F$9,2,FALSE)</f>
        <v>Others</v>
      </c>
      <c r="L48" s="41" t="s">
        <v>161</v>
      </c>
      <c r="M48" s="42" t="s">
        <v>148</v>
      </c>
      <c r="N48" s="42" t="s">
        <v>147</v>
      </c>
      <c r="O48" s="42">
        <v>16</v>
      </c>
      <c r="P48" s="42">
        <v>8</v>
      </c>
      <c r="Q48" s="25" t="str">
        <f>VLOOKUP(P48,Key!$E$2:$F$9,2,FALSE)</f>
        <v>Others</v>
      </c>
      <c r="R48" s="25" t="str">
        <f t="shared" si="1"/>
        <v>Others-Others</v>
      </c>
      <c r="S48" s="43">
        <v>4</v>
      </c>
      <c r="T48" s="43">
        <v>0.1</v>
      </c>
      <c r="U48" s="51">
        <v>5</v>
      </c>
      <c r="V48" s="51"/>
      <c r="W48" s="43"/>
      <c r="X48" s="43"/>
      <c r="Y48" s="44" t="s">
        <v>149</v>
      </c>
      <c r="Z48" s="52">
        <v>2500</v>
      </c>
      <c r="AA48" s="25"/>
      <c r="AB48" s="25"/>
    </row>
    <row r="49" spans="2:28">
      <c r="B49" s="39">
        <v>0.92013888888888884</v>
      </c>
      <c r="C49" s="39" t="s">
        <v>224</v>
      </c>
      <c r="D49" s="40">
        <v>11</v>
      </c>
      <c r="E49" s="40">
        <v>1</v>
      </c>
      <c r="F49" s="41" t="s">
        <v>152</v>
      </c>
      <c r="G49" s="41" t="s">
        <v>148</v>
      </c>
      <c r="H49" s="41" t="s">
        <v>147</v>
      </c>
      <c r="I49" s="41">
        <v>16</v>
      </c>
      <c r="J49" s="41">
        <v>8</v>
      </c>
      <c r="K49" s="25" t="str">
        <f>VLOOKUP(J49,Key!$E$2:$F$9,2,FALSE)</f>
        <v>Others</v>
      </c>
      <c r="L49" s="41" t="s">
        <v>161</v>
      </c>
      <c r="M49" s="42" t="s">
        <v>148</v>
      </c>
      <c r="N49" s="42" t="s">
        <v>147</v>
      </c>
      <c r="O49" s="42">
        <v>1</v>
      </c>
      <c r="P49" s="42">
        <v>1</v>
      </c>
      <c r="Q49" s="25" t="str">
        <f>VLOOKUP(P49,Key!$E$2:$F$9,2,FALSE)</f>
        <v>Home</v>
      </c>
      <c r="R49" s="25" t="str">
        <f t="shared" si="1"/>
        <v>Others-Home</v>
      </c>
      <c r="S49" s="43">
        <v>4</v>
      </c>
      <c r="T49" s="43">
        <v>0</v>
      </c>
      <c r="U49" s="51">
        <v>4</v>
      </c>
      <c r="V49" s="51"/>
      <c r="W49" s="43"/>
      <c r="X49" s="43"/>
      <c r="Y49" s="44" t="s">
        <v>149</v>
      </c>
      <c r="Z49" s="52">
        <v>1000</v>
      </c>
      <c r="AA49" s="25"/>
      <c r="AB49" s="25"/>
    </row>
    <row r="50" spans="2:28">
      <c r="B50" s="39">
        <v>0.93333333333333324</v>
      </c>
      <c r="C50" s="39" t="s">
        <v>225</v>
      </c>
      <c r="D50" s="40">
        <v>4</v>
      </c>
      <c r="E50" s="40">
        <v>7</v>
      </c>
      <c r="F50" s="41" t="s">
        <v>152</v>
      </c>
      <c r="G50" s="41" t="s">
        <v>148</v>
      </c>
      <c r="H50" s="41" t="s">
        <v>147</v>
      </c>
      <c r="I50" s="41">
        <v>6</v>
      </c>
      <c r="J50" s="41">
        <v>2</v>
      </c>
      <c r="K50" s="25" t="str">
        <f>VLOOKUP(J50,Key!$E$2:$F$9,2,FALSE)</f>
        <v>Work</v>
      </c>
      <c r="L50" s="41" t="s">
        <v>158</v>
      </c>
      <c r="M50" s="42" t="s">
        <v>146</v>
      </c>
      <c r="N50" s="42" t="s">
        <v>147</v>
      </c>
      <c r="O50" s="42">
        <v>6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43"/>
      <c r="T50" s="43"/>
      <c r="U50" s="51">
        <v>6</v>
      </c>
      <c r="V50" s="51"/>
      <c r="W50" s="43"/>
      <c r="X50" s="43"/>
      <c r="Y50" s="44" t="s">
        <v>149</v>
      </c>
      <c r="Z50" s="52">
        <v>2000</v>
      </c>
      <c r="AA50" s="25"/>
      <c r="AB50" s="25"/>
    </row>
    <row r="51" spans="2:28">
      <c r="B51" s="39">
        <v>0.91666666666666663</v>
      </c>
      <c r="C51" s="39" t="s">
        <v>226</v>
      </c>
      <c r="D51" s="40">
        <v>11</v>
      </c>
      <c r="E51" s="40">
        <v>1</v>
      </c>
      <c r="F51" s="41" t="s">
        <v>227</v>
      </c>
      <c r="G51" s="41" t="s">
        <v>148</v>
      </c>
      <c r="H51" s="41" t="s">
        <v>147</v>
      </c>
      <c r="I51" s="41">
        <v>6</v>
      </c>
      <c r="J51" s="41">
        <v>2</v>
      </c>
      <c r="K51" s="25" t="str">
        <f>VLOOKUP(J51,Key!$E$2:$F$9,2,FALSE)</f>
        <v>Work</v>
      </c>
      <c r="L51" s="41" t="s">
        <v>189</v>
      </c>
      <c r="M51" s="42" t="s">
        <v>148</v>
      </c>
      <c r="N51" s="42" t="s">
        <v>147</v>
      </c>
      <c r="O51" s="42">
        <v>16</v>
      </c>
      <c r="P51" s="42">
        <v>8</v>
      </c>
      <c r="Q51" s="25" t="str">
        <f>VLOOKUP(P51,Key!$E$2:$F$9,2,FALSE)</f>
        <v>Others</v>
      </c>
      <c r="R51" s="25" t="str">
        <f t="shared" si="1"/>
        <v>Work-Others</v>
      </c>
      <c r="S51" s="43"/>
      <c r="T51" s="43">
        <v>0.3</v>
      </c>
      <c r="U51" s="51">
        <v>2</v>
      </c>
      <c r="V51" s="51"/>
      <c r="W51" s="43"/>
      <c r="X51" s="43"/>
      <c r="Y51" s="44" t="s">
        <v>149</v>
      </c>
      <c r="Z51" s="52">
        <v>2000</v>
      </c>
      <c r="AA51" s="25"/>
      <c r="AB51" s="25"/>
    </row>
    <row r="52" spans="2:28">
      <c r="B52" s="39">
        <v>0.93680555555555556</v>
      </c>
      <c r="C52" s="39" t="s">
        <v>228</v>
      </c>
      <c r="D52" s="40">
        <v>1</v>
      </c>
      <c r="E52" s="40">
        <v>2</v>
      </c>
      <c r="F52" s="41" t="s">
        <v>152</v>
      </c>
      <c r="G52" s="41" t="s">
        <v>148</v>
      </c>
      <c r="H52" s="41" t="s">
        <v>147</v>
      </c>
      <c r="I52" s="41">
        <v>2</v>
      </c>
      <c r="J52" s="41">
        <v>2</v>
      </c>
      <c r="K52" s="25" t="str">
        <f>VLOOKUP(J52,Key!$E$2:$F$9,2,FALSE)</f>
        <v>Work</v>
      </c>
      <c r="L52" s="41" t="s">
        <v>202</v>
      </c>
      <c r="M52" s="42" t="s">
        <v>148</v>
      </c>
      <c r="N52" s="42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1"/>
        <v>Work-Home</v>
      </c>
      <c r="S52" s="43"/>
      <c r="T52" s="43">
        <v>0.3</v>
      </c>
      <c r="U52" s="51">
        <v>2</v>
      </c>
      <c r="V52" s="51"/>
      <c r="W52" s="43"/>
      <c r="X52" s="43"/>
      <c r="Y52" s="44" t="s">
        <v>149</v>
      </c>
      <c r="Z52" s="52">
        <v>1000</v>
      </c>
      <c r="AA52" s="25"/>
      <c r="AB52" s="25"/>
    </row>
    <row r="53" spans="2:28">
      <c r="B53" s="39">
        <v>0.91041666666666676</v>
      </c>
      <c r="C53" s="39" t="s">
        <v>229</v>
      </c>
      <c r="D53" s="40">
        <v>4</v>
      </c>
      <c r="E53" s="40">
        <v>2</v>
      </c>
      <c r="F53" s="41" t="s">
        <v>152</v>
      </c>
      <c r="G53" s="41" t="s">
        <v>148</v>
      </c>
      <c r="H53" s="41" t="s">
        <v>147</v>
      </c>
      <c r="I53" s="41">
        <v>6</v>
      </c>
      <c r="J53" s="41">
        <v>2</v>
      </c>
      <c r="K53" s="25" t="str">
        <f>VLOOKUP(J53,Key!$E$2:$F$9,2,FALSE)</f>
        <v>Work</v>
      </c>
      <c r="L53" s="41" t="s">
        <v>158</v>
      </c>
      <c r="M53" s="42" t="s">
        <v>146</v>
      </c>
      <c r="N53" s="42" t="s">
        <v>147</v>
      </c>
      <c r="O53" s="42">
        <v>6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>
        <v>11.26</v>
      </c>
      <c r="T53" s="43">
        <v>0.8</v>
      </c>
      <c r="U53" s="51">
        <v>2</v>
      </c>
      <c r="V53" s="51"/>
      <c r="W53" s="43"/>
      <c r="X53" s="43"/>
      <c r="Y53" s="44" t="s">
        <v>149</v>
      </c>
      <c r="Z53" s="52">
        <v>1000</v>
      </c>
      <c r="AA53" s="25"/>
      <c r="AB53" s="25"/>
    </row>
    <row r="54" spans="2:28">
      <c r="B54" s="39">
        <v>0.94097222222222221</v>
      </c>
      <c r="C54" s="39" t="s">
        <v>230</v>
      </c>
      <c r="D54" s="40">
        <v>4</v>
      </c>
      <c r="E54" s="40">
        <v>8</v>
      </c>
      <c r="F54" s="41" t="s">
        <v>152</v>
      </c>
      <c r="G54" s="41" t="s">
        <v>148</v>
      </c>
      <c r="H54" s="41" t="s">
        <v>147</v>
      </c>
      <c r="I54" s="41">
        <v>6</v>
      </c>
      <c r="J54" s="41">
        <v>2</v>
      </c>
      <c r="K54" s="25" t="str">
        <f>VLOOKUP(J54,Key!$E$2:$F$9,2,FALSE)</f>
        <v>Work</v>
      </c>
      <c r="L54" s="41" t="s">
        <v>231</v>
      </c>
      <c r="M54" s="42" t="s">
        <v>146</v>
      </c>
      <c r="N54" s="42" t="s">
        <v>147</v>
      </c>
      <c r="O54" s="42">
        <v>6</v>
      </c>
      <c r="P54" s="42">
        <v>2</v>
      </c>
      <c r="Q54" s="25" t="str">
        <f>VLOOKUP(P54,Key!$E$2:$F$9,2,FALSE)</f>
        <v>Work</v>
      </c>
      <c r="R54" s="25" t="str">
        <f t="shared" si="1"/>
        <v>Work-Work</v>
      </c>
      <c r="S54" s="43"/>
      <c r="T54" s="43">
        <v>0.5</v>
      </c>
      <c r="U54" s="51">
        <v>2</v>
      </c>
      <c r="V54" s="51"/>
      <c r="W54" s="43"/>
      <c r="X54" s="43"/>
      <c r="Y54" s="44" t="s">
        <v>149</v>
      </c>
      <c r="Z54" s="52">
        <v>1000</v>
      </c>
      <c r="AA54" s="25"/>
      <c r="AB54" s="25"/>
    </row>
    <row r="55" spans="2:28">
      <c r="B55" s="39">
        <v>0.90833333333333333</v>
      </c>
      <c r="C55" s="39" t="s">
        <v>232</v>
      </c>
      <c r="D55" s="40">
        <v>11</v>
      </c>
      <c r="E55" s="40">
        <v>1</v>
      </c>
      <c r="F55" s="41" t="s">
        <v>158</v>
      </c>
      <c r="G55" s="41" t="s">
        <v>146</v>
      </c>
      <c r="H55" s="41" t="s">
        <v>147</v>
      </c>
      <c r="I55" s="41">
        <v>16</v>
      </c>
      <c r="J55" s="41">
        <v>8</v>
      </c>
      <c r="K55" s="25" t="str">
        <f>VLOOKUP(J55,Key!$E$2:$F$9,2,FALSE)</f>
        <v>Others</v>
      </c>
      <c r="L55" s="41" t="s">
        <v>233</v>
      </c>
      <c r="M55" s="42" t="s">
        <v>148</v>
      </c>
      <c r="N55" s="42" t="s">
        <v>147</v>
      </c>
      <c r="O55" s="42">
        <v>16</v>
      </c>
      <c r="P55" s="42">
        <v>8</v>
      </c>
      <c r="Q55" s="25" t="str">
        <f>VLOOKUP(P55,Key!$E$2:$F$9,2,FALSE)</f>
        <v>Others</v>
      </c>
      <c r="R55" s="25" t="str">
        <f t="shared" si="1"/>
        <v>Others-Others</v>
      </c>
      <c r="S55" s="43">
        <v>4</v>
      </c>
      <c r="T55" s="43">
        <v>0.4</v>
      </c>
      <c r="U55" s="51">
        <v>1</v>
      </c>
      <c r="V55" s="51"/>
      <c r="W55" s="43"/>
      <c r="X55" s="43"/>
      <c r="Y55" s="44" t="s">
        <v>149</v>
      </c>
      <c r="Z55" s="52">
        <v>1000</v>
      </c>
      <c r="AA55" s="25"/>
      <c r="AB55" s="25"/>
    </row>
    <row r="56" spans="2:28">
      <c r="B56" s="39">
        <v>0.94444444444444453</v>
      </c>
      <c r="C56" s="39" t="s">
        <v>234</v>
      </c>
      <c r="D56" s="40">
        <v>11</v>
      </c>
      <c r="E56" s="40">
        <v>1</v>
      </c>
      <c r="F56" s="41" t="s">
        <v>152</v>
      </c>
      <c r="G56" s="41" t="s">
        <v>148</v>
      </c>
      <c r="H56" s="41" t="s">
        <v>147</v>
      </c>
      <c r="I56" s="41">
        <v>8</v>
      </c>
      <c r="J56" s="41">
        <v>2</v>
      </c>
      <c r="K56" s="25" t="str">
        <f>VLOOKUP(J56,Key!$E$2:$F$9,2,FALSE)</f>
        <v>Work</v>
      </c>
      <c r="L56" s="41" t="s">
        <v>235</v>
      </c>
      <c r="M56" s="42" t="s">
        <v>148</v>
      </c>
      <c r="N56" s="42" t="s">
        <v>147</v>
      </c>
      <c r="O56" s="42">
        <v>1</v>
      </c>
      <c r="P56" s="42">
        <v>1</v>
      </c>
      <c r="Q56" s="25" t="str">
        <f>VLOOKUP(P56,Key!$E$2:$F$9,2,FALSE)</f>
        <v>Home</v>
      </c>
      <c r="R56" s="25" t="str">
        <f t="shared" si="1"/>
        <v>Work-Home</v>
      </c>
      <c r="S56" s="43"/>
      <c r="T56" s="43">
        <v>0.1</v>
      </c>
      <c r="U56" s="51">
        <v>2</v>
      </c>
      <c r="V56" s="51"/>
      <c r="W56" s="43"/>
      <c r="X56" s="43"/>
      <c r="Y56" s="44" t="s">
        <v>149</v>
      </c>
      <c r="Z56" s="52">
        <v>1000</v>
      </c>
      <c r="AA56" s="25"/>
      <c r="AB56" s="25"/>
    </row>
    <row r="57" spans="2:28">
      <c r="B57" s="39">
        <v>0.89583333333333337</v>
      </c>
      <c r="C57" s="39" t="s">
        <v>236</v>
      </c>
      <c r="D57" s="40">
        <v>2</v>
      </c>
      <c r="E57" s="40">
        <v>2</v>
      </c>
      <c r="F57" s="41" t="s">
        <v>152</v>
      </c>
      <c r="G57" s="41" t="s">
        <v>148</v>
      </c>
      <c r="H57" s="41" t="s">
        <v>147</v>
      </c>
      <c r="I57" s="41">
        <v>16</v>
      </c>
      <c r="J57" s="41">
        <v>8</v>
      </c>
      <c r="K57" s="25" t="str">
        <f>VLOOKUP(J57,Key!$E$2:$F$9,2,FALSE)</f>
        <v>Others</v>
      </c>
      <c r="L57" s="41" t="s">
        <v>158</v>
      </c>
      <c r="M57" s="42" t="s">
        <v>146</v>
      </c>
      <c r="N57" s="42" t="s">
        <v>147</v>
      </c>
      <c r="O57" s="42">
        <v>1</v>
      </c>
      <c r="P57" s="42">
        <v>1</v>
      </c>
      <c r="Q57" s="25" t="str">
        <f>VLOOKUP(P57,Key!$E$2:$F$9,2,FALSE)</f>
        <v>Home</v>
      </c>
      <c r="R57" s="25" t="str">
        <f t="shared" si="1"/>
        <v>Others-Home</v>
      </c>
      <c r="S57" s="43"/>
      <c r="T57" s="43">
        <v>0.8</v>
      </c>
      <c r="U57" s="51">
        <v>5</v>
      </c>
      <c r="V57" s="51"/>
      <c r="W57" s="43"/>
      <c r="X57" s="43"/>
      <c r="Y57" s="44" t="s">
        <v>149</v>
      </c>
      <c r="Z57" s="52">
        <v>1000</v>
      </c>
      <c r="AA57" s="25"/>
      <c r="AB57" s="25"/>
    </row>
    <row r="58" spans="2:28">
      <c r="B58" s="39">
        <v>0.2638888888888889</v>
      </c>
      <c r="C58" s="39" t="s">
        <v>237</v>
      </c>
      <c r="D58" s="40">
        <v>4</v>
      </c>
      <c r="E58" s="40">
        <v>4</v>
      </c>
      <c r="F58" s="41" t="s">
        <v>158</v>
      </c>
      <c r="G58" s="41" t="s">
        <v>146</v>
      </c>
      <c r="H58" s="41" t="s">
        <v>147</v>
      </c>
      <c r="I58" s="41">
        <v>6</v>
      </c>
      <c r="J58" s="41">
        <v>2</v>
      </c>
      <c r="K58" s="25" t="str">
        <f>VLOOKUP(J58,Key!$E$2:$F$9,2,FALSE)</f>
        <v>Work</v>
      </c>
      <c r="L58" s="41" t="s">
        <v>181</v>
      </c>
      <c r="M58" s="42" t="s">
        <v>146</v>
      </c>
      <c r="N58" s="42" t="s">
        <v>147</v>
      </c>
      <c r="O58" s="42">
        <v>6</v>
      </c>
      <c r="P58" s="42">
        <v>2</v>
      </c>
      <c r="Q58" s="25" t="str">
        <f>VLOOKUP(P58,Key!$E$2:$F$9,2,FALSE)</f>
        <v>Work</v>
      </c>
      <c r="R58" s="25" t="str">
        <f t="shared" si="1"/>
        <v>Work-Work</v>
      </c>
      <c r="S58" s="43">
        <v>10</v>
      </c>
      <c r="T58" s="43">
        <v>0.5</v>
      </c>
      <c r="U58" s="51">
        <v>2</v>
      </c>
      <c r="V58" s="51"/>
      <c r="W58" s="43"/>
      <c r="X58" s="43"/>
      <c r="Y58" s="44" t="s">
        <v>149</v>
      </c>
      <c r="Z58" s="52">
        <v>2000</v>
      </c>
      <c r="AA58" s="25"/>
      <c r="AB58" s="25"/>
    </row>
    <row r="59" spans="2:28">
      <c r="B59" s="39">
        <v>0.27083333333333331</v>
      </c>
      <c r="C59" s="39" t="s">
        <v>238</v>
      </c>
      <c r="D59" s="40">
        <v>4</v>
      </c>
      <c r="E59" s="40">
        <v>8</v>
      </c>
      <c r="F59" s="41" t="s">
        <v>239</v>
      </c>
      <c r="G59" s="41" t="s">
        <v>146</v>
      </c>
      <c r="H59" s="41" t="s">
        <v>147</v>
      </c>
      <c r="I59" s="41">
        <v>6</v>
      </c>
      <c r="J59" s="41">
        <v>2</v>
      </c>
      <c r="K59" s="25" t="str">
        <f>VLOOKUP(J59,Key!$E$2:$F$9,2,FALSE)</f>
        <v>Work</v>
      </c>
      <c r="L59" s="41" t="s">
        <v>186</v>
      </c>
      <c r="M59" s="42" t="s">
        <v>148</v>
      </c>
      <c r="N59" s="42" t="s">
        <v>147</v>
      </c>
      <c r="O59" s="42">
        <v>6</v>
      </c>
      <c r="P59" s="42">
        <v>2</v>
      </c>
      <c r="Q59" s="25" t="str">
        <f>VLOOKUP(P59,Key!$E$2:$F$9,2,FALSE)</f>
        <v>Work</v>
      </c>
      <c r="R59" s="25" t="str">
        <f t="shared" si="1"/>
        <v>Work-Work</v>
      </c>
      <c r="S59" s="43">
        <v>10</v>
      </c>
      <c r="T59" s="43">
        <v>0.5</v>
      </c>
      <c r="U59" s="51">
        <v>2</v>
      </c>
      <c r="V59" s="51"/>
      <c r="W59" s="43"/>
      <c r="X59" s="43"/>
      <c r="Y59" s="44" t="s">
        <v>149</v>
      </c>
      <c r="Z59" s="52">
        <v>1000</v>
      </c>
      <c r="AA59" s="25"/>
      <c r="AB59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3" t="s">
        <v>0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8" t="s">
        <v>8</v>
      </c>
      <c r="C7" s="126" t="s">
        <v>9</v>
      </c>
      <c r="D7" s="126" t="s">
        <v>10</v>
      </c>
      <c r="E7" s="126" t="s">
        <v>11</v>
      </c>
      <c r="F7" s="126" t="s">
        <v>12</v>
      </c>
      <c r="G7" s="126"/>
      <c r="H7" s="126" t="s">
        <v>15</v>
      </c>
      <c r="I7" s="126" t="s">
        <v>16</v>
      </c>
      <c r="J7" s="126" t="s">
        <v>17</v>
      </c>
      <c r="K7" s="126"/>
      <c r="L7" s="126" t="s">
        <v>18</v>
      </c>
      <c r="M7" s="126" t="s">
        <v>19</v>
      </c>
      <c r="N7" s="126" t="s">
        <v>20</v>
      </c>
      <c r="O7" s="128" t="s">
        <v>21</v>
      </c>
      <c r="P7" s="147" t="s">
        <v>27</v>
      </c>
      <c r="Q7" s="148"/>
    </row>
    <row r="8" spans="2:25" ht="24.75" customHeight="1" thickBot="1">
      <c r="B8" s="151"/>
      <c r="C8" s="152"/>
      <c r="D8" s="152"/>
      <c r="E8" s="152"/>
      <c r="F8" s="18" t="s">
        <v>13</v>
      </c>
      <c r="G8" s="18" t="s">
        <v>14</v>
      </c>
      <c r="H8" s="152"/>
      <c r="I8" s="152"/>
      <c r="J8" s="18" t="s">
        <v>13</v>
      </c>
      <c r="K8" s="18" t="s">
        <v>14</v>
      </c>
      <c r="L8" s="152"/>
      <c r="M8" s="152"/>
      <c r="N8" s="152"/>
      <c r="O8" s="153"/>
      <c r="P8" s="149"/>
      <c r="Q8" s="15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topLeftCell="G1" zoomScale="75" zoomScaleNormal="75" zoomScaleSheetLayoutView="80" workbookViewId="0">
      <selection activeCell="B9" sqref="B9:AB2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3" t="s">
        <v>127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6"/>
      <c r="AD1" s="6"/>
      <c r="AE1" s="6"/>
      <c r="AF1" s="6"/>
      <c r="AG1" s="6"/>
      <c r="AH1" s="6"/>
      <c r="AI1" s="6"/>
    </row>
    <row r="2" spans="2:3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240</v>
      </c>
      <c r="E4" s="1" t="s">
        <v>64</v>
      </c>
      <c r="F4" s="154" t="str">
        <f>'11.10.BUSABALA-ENTEBBE'!F4:G4</f>
        <v>BUSABALA ROAD</v>
      </c>
      <c r="G4" s="155"/>
      <c r="I4" s="27" t="s">
        <v>65</v>
      </c>
      <c r="J4" s="5"/>
      <c r="K4" s="5"/>
      <c r="L4" s="46" t="s">
        <v>153</v>
      </c>
      <c r="M4" s="2"/>
      <c r="N4" s="1" t="s">
        <v>67</v>
      </c>
      <c r="O4" s="136" t="s">
        <v>242</v>
      </c>
      <c r="P4" s="137"/>
      <c r="Q4" s="137"/>
      <c r="R4" s="137"/>
      <c r="S4" s="137"/>
      <c r="T4" s="137"/>
      <c r="V4" s="1" t="s">
        <v>68</v>
      </c>
      <c r="W4" s="54" t="str">
        <f>'11.10.BUSABALA-ENTEBBE'!W4</f>
        <v>EMMA</v>
      </c>
      <c r="Y4" s="27" t="s">
        <v>6</v>
      </c>
      <c r="Z4" s="55" t="str">
        <f>'11.10.BUSABALA-ENTEBBE'!Z4</f>
        <v>AJOK EMILY</v>
      </c>
      <c r="AA4" s="32" t="s">
        <v>7</v>
      </c>
      <c r="AB4" s="38" t="str">
        <f>'11.10.BUSABALA-ENTEBBE'!AB4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7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8" t="s">
        <v>34</v>
      </c>
      <c r="C7" s="124" t="s">
        <v>55</v>
      </c>
      <c r="D7" s="126" t="s">
        <v>9</v>
      </c>
      <c r="E7" s="124" t="s">
        <v>35</v>
      </c>
      <c r="F7" s="141" t="s">
        <v>12</v>
      </c>
      <c r="G7" s="142"/>
      <c r="H7" s="143"/>
      <c r="I7" s="126" t="s">
        <v>58</v>
      </c>
      <c r="J7" s="124" t="s">
        <v>15</v>
      </c>
      <c r="K7" s="124" t="s">
        <v>128</v>
      </c>
      <c r="L7" s="141" t="s">
        <v>17</v>
      </c>
      <c r="M7" s="142"/>
      <c r="N7" s="143"/>
      <c r="O7" s="126" t="s">
        <v>59</v>
      </c>
      <c r="P7" s="124" t="s">
        <v>18</v>
      </c>
      <c r="Q7" s="124" t="s">
        <v>129</v>
      </c>
      <c r="R7" s="124" t="s">
        <v>130</v>
      </c>
      <c r="S7" s="124" t="s">
        <v>132</v>
      </c>
      <c r="T7" s="124" t="s">
        <v>131</v>
      </c>
      <c r="U7" s="124" t="s">
        <v>60</v>
      </c>
      <c r="V7" s="130" t="s">
        <v>63</v>
      </c>
      <c r="W7" s="131"/>
      <c r="X7" s="132"/>
      <c r="Y7" s="124" t="s">
        <v>62</v>
      </c>
      <c r="Z7" s="124" t="s">
        <v>135</v>
      </c>
      <c r="AA7" s="126" t="s">
        <v>20</v>
      </c>
      <c r="AB7" s="128" t="s">
        <v>21</v>
      </c>
      <c r="AD7" s="19"/>
    </row>
    <row r="8" spans="2:35" ht="38.25" customHeight="1">
      <c r="B8" s="139"/>
      <c r="C8" s="125"/>
      <c r="D8" s="127"/>
      <c r="E8" s="140"/>
      <c r="F8" s="23" t="s">
        <v>69</v>
      </c>
      <c r="G8" s="23" t="s">
        <v>56</v>
      </c>
      <c r="H8" s="24" t="s">
        <v>57</v>
      </c>
      <c r="I8" s="127"/>
      <c r="J8" s="125"/>
      <c r="K8" s="125"/>
      <c r="L8" s="23" t="s">
        <v>69</v>
      </c>
      <c r="M8" s="23" t="s">
        <v>56</v>
      </c>
      <c r="N8" s="23" t="s">
        <v>57</v>
      </c>
      <c r="O8" s="127"/>
      <c r="P8" s="125"/>
      <c r="Q8" s="125"/>
      <c r="R8" s="125"/>
      <c r="S8" s="125"/>
      <c r="T8" s="125"/>
      <c r="U8" s="125"/>
      <c r="V8" s="29" t="s">
        <v>61</v>
      </c>
      <c r="W8" s="30" t="s">
        <v>133</v>
      </c>
      <c r="X8" s="30" t="s">
        <v>134</v>
      </c>
      <c r="Y8" s="125"/>
      <c r="Z8" s="125"/>
      <c r="AA8" s="127"/>
      <c r="AB8" s="129"/>
    </row>
    <row r="9" spans="2:35" s="19" customFormat="1">
      <c r="B9" s="39">
        <v>0.1875</v>
      </c>
      <c r="C9" s="39" t="s">
        <v>243</v>
      </c>
      <c r="D9" s="40">
        <v>4</v>
      </c>
      <c r="E9" s="41">
        <v>14</v>
      </c>
      <c r="F9" s="41" t="s">
        <v>181</v>
      </c>
      <c r="G9" s="42" t="s">
        <v>146</v>
      </c>
      <c r="H9" s="41" t="s">
        <v>147</v>
      </c>
      <c r="I9" s="42">
        <v>6</v>
      </c>
      <c r="J9" s="42">
        <v>2</v>
      </c>
      <c r="K9" s="25" t="str">
        <f>VLOOKUP(J9,Key!$E$2:$F$9,2,FALSE)</f>
        <v>Work</v>
      </c>
      <c r="L9" s="41" t="s">
        <v>244</v>
      </c>
      <c r="M9" s="42" t="s">
        <v>146</v>
      </c>
      <c r="N9" s="41" t="s">
        <v>147</v>
      </c>
      <c r="O9" s="42">
        <v>6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3"/>
      <c r="T9" s="43">
        <v>1</v>
      </c>
      <c r="U9" s="42">
        <v>1</v>
      </c>
      <c r="V9" s="42"/>
      <c r="W9" s="43"/>
      <c r="X9" s="43"/>
      <c r="Y9" s="44" t="s">
        <v>149</v>
      </c>
      <c r="Z9" s="53">
        <v>1000</v>
      </c>
      <c r="AA9" s="25"/>
      <c r="AB9" s="25"/>
    </row>
    <row r="10" spans="2:35">
      <c r="B10" s="39">
        <v>0.20833333333333334</v>
      </c>
      <c r="C10" s="39" t="s">
        <v>245</v>
      </c>
      <c r="D10" s="40">
        <v>4</v>
      </c>
      <c r="E10" s="41">
        <v>6</v>
      </c>
      <c r="F10" s="41" t="s">
        <v>246</v>
      </c>
      <c r="G10" s="42" t="s">
        <v>146</v>
      </c>
      <c r="H10" s="41" t="s">
        <v>147</v>
      </c>
      <c r="I10" s="42">
        <v>6</v>
      </c>
      <c r="J10" s="42">
        <v>2</v>
      </c>
      <c r="K10" s="25" t="str">
        <f>VLOOKUP(J10,Key!$E$2:$F$9,2,FALSE)</f>
        <v>Work</v>
      </c>
      <c r="L10" s="41" t="s">
        <v>152</v>
      </c>
      <c r="M10" s="42" t="s">
        <v>148</v>
      </c>
      <c r="N10" s="41" t="s">
        <v>147</v>
      </c>
      <c r="O10" s="42">
        <v>6</v>
      </c>
      <c r="P10" s="42">
        <v>2</v>
      </c>
      <c r="Q10" s="25" t="str">
        <f>VLOOKUP(P10,Key!$E$2:$F$9,2,FALSE)</f>
        <v>Work</v>
      </c>
      <c r="R10" s="25" t="str">
        <f t="shared" ref="R10:R28" si="0">K10&amp;"-"&amp;Q10</f>
        <v>Work-Work</v>
      </c>
      <c r="S10" s="43">
        <v>13</v>
      </c>
      <c r="T10" s="43">
        <v>0.8</v>
      </c>
      <c r="U10" s="42">
        <v>1</v>
      </c>
      <c r="V10" s="42"/>
      <c r="W10" s="43"/>
      <c r="X10" s="43"/>
      <c r="Y10" s="44" t="s">
        <v>149</v>
      </c>
      <c r="Z10" s="53">
        <v>1500</v>
      </c>
      <c r="AA10" s="25"/>
      <c r="AB10" s="25"/>
    </row>
    <row r="11" spans="2:35">
      <c r="B11" s="39">
        <v>8.3333333333333329E-2</v>
      </c>
      <c r="C11" s="39" t="s">
        <v>247</v>
      </c>
      <c r="D11" s="40">
        <v>4</v>
      </c>
      <c r="E11" s="41">
        <v>10</v>
      </c>
      <c r="F11" s="41" t="s">
        <v>248</v>
      </c>
      <c r="G11" s="42" t="s">
        <v>146</v>
      </c>
      <c r="H11" s="41" t="s">
        <v>147</v>
      </c>
      <c r="I11" s="42">
        <v>6</v>
      </c>
      <c r="J11" s="42">
        <v>2</v>
      </c>
      <c r="K11" s="25" t="str">
        <f>VLOOKUP(J11,Key!$E$2:$F$9,2,FALSE)</f>
        <v>Work</v>
      </c>
      <c r="L11" s="41" t="s">
        <v>152</v>
      </c>
      <c r="M11" s="42" t="s">
        <v>148</v>
      </c>
      <c r="N11" s="41" t="s">
        <v>147</v>
      </c>
      <c r="O11" s="42">
        <v>6</v>
      </c>
      <c r="P11" s="42">
        <v>2</v>
      </c>
      <c r="Q11" s="25" t="str">
        <f>VLOOKUP(P11,Key!$E$2:$F$9,2,FALSE)</f>
        <v>Work</v>
      </c>
      <c r="R11" s="25" t="str">
        <f t="shared" si="0"/>
        <v>Work-Work</v>
      </c>
      <c r="S11" s="43"/>
      <c r="T11" s="43">
        <v>1</v>
      </c>
      <c r="U11" s="42">
        <v>1</v>
      </c>
      <c r="V11" s="42"/>
      <c r="W11" s="43"/>
      <c r="X11" s="43"/>
      <c r="Y11" s="44" t="s">
        <v>149</v>
      </c>
      <c r="Z11" s="53">
        <v>500</v>
      </c>
      <c r="AA11" s="25"/>
      <c r="AB11" s="25"/>
    </row>
    <row r="12" spans="2:35">
      <c r="B12" s="39">
        <v>0.59930555555555554</v>
      </c>
      <c r="C12" s="39" t="s">
        <v>249</v>
      </c>
      <c r="D12" s="40">
        <v>11</v>
      </c>
      <c r="E12" s="41">
        <v>1</v>
      </c>
      <c r="F12" s="41" t="s">
        <v>202</v>
      </c>
      <c r="G12" s="42" t="s">
        <v>148</v>
      </c>
      <c r="H12" s="41" t="s">
        <v>147</v>
      </c>
      <c r="I12" s="42">
        <v>8</v>
      </c>
      <c r="J12" s="42">
        <v>2</v>
      </c>
      <c r="K12" s="25" t="str">
        <f>VLOOKUP(J12,Key!$E$2:$F$9,2,FALSE)</f>
        <v>Work</v>
      </c>
      <c r="L12" s="41" t="s">
        <v>251</v>
      </c>
      <c r="M12" s="42" t="s">
        <v>148</v>
      </c>
      <c r="N12" s="41" t="s">
        <v>147</v>
      </c>
      <c r="O12" s="42">
        <v>8</v>
      </c>
      <c r="P12" s="42">
        <v>2</v>
      </c>
      <c r="Q12" s="25" t="str">
        <f>VLOOKUP(P12,Key!$E$2:$F$9,2,FALSE)</f>
        <v>Work</v>
      </c>
      <c r="R12" s="25" t="str">
        <f t="shared" si="0"/>
        <v>Work-Work</v>
      </c>
      <c r="S12" s="43">
        <v>8.0399999999999991</v>
      </c>
      <c r="T12" s="43">
        <v>1</v>
      </c>
      <c r="U12" s="42">
        <v>1</v>
      </c>
      <c r="V12" s="42"/>
      <c r="W12" s="43"/>
      <c r="X12" s="43"/>
      <c r="Y12" s="44" t="s">
        <v>149</v>
      </c>
      <c r="Z12" s="53">
        <v>500</v>
      </c>
      <c r="AA12" s="25"/>
      <c r="AB12" s="25"/>
    </row>
    <row r="13" spans="2:35">
      <c r="B13" s="39">
        <v>0.60902777777777783</v>
      </c>
      <c r="C13" s="39" t="s">
        <v>252</v>
      </c>
      <c r="D13" s="40">
        <v>4</v>
      </c>
      <c r="E13" s="41">
        <v>10</v>
      </c>
      <c r="F13" s="41" t="s">
        <v>181</v>
      </c>
      <c r="G13" s="42" t="s">
        <v>146</v>
      </c>
      <c r="H13" s="41" t="s">
        <v>147</v>
      </c>
      <c r="I13" s="42">
        <v>6</v>
      </c>
      <c r="J13" s="42">
        <v>2</v>
      </c>
      <c r="K13" s="25" t="s">
        <v>101</v>
      </c>
      <c r="L13" s="41" t="s">
        <v>152</v>
      </c>
      <c r="M13" s="42" t="s">
        <v>148</v>
      </c>
      <c r="N13" s="41" t="s">
        <v>147</v>
      </c>
      <c r="O13" s="42">
        <v>6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/>
      <c r="T13" s="43">
        <v>0.5</v>
      </c>
      <c r="U13" s="42">
        <v>1</v>
      </c>
      <c r="V13" s="42"/>
      <c r="W13" s="43"/>
      <c r="X13" s="43"/>
      <c r="Y13" s="44" t="s">
        <v>149</v>
      </c>
      <c r="Z13" s="53">
        <v>500</v>
      </c>
      <c r="AA13" s="25"/>
      <c r="AB13" s="25"/>
    </row>
    <row r="14" spans="2:35">
      <c r="B14" s="39">
        <v>0.12013888888888889</v>
      </c>
      <c r="C14" s="39" t="s">
        <v>253</v>
      </c>
      <c r="D14" s="40">
        <v>1</v>
      </c>
      <c r="E14" s="41">
        <v>2</v>
      </c>
      <c r="F14" s="41" t="s">
        <v>202</v>
      </c>
      <c r="G14" s="42" t="s">
        <v>148</v>
      </c>
      <c r="H14" s="41" t="s">
        <v>147</v>
      </c>
      <c r="I14" s="42">
        <v>16</v>
      </c>
      <c r="J14" s="42">
        <v>2</v>
      </c>
      <c r="K14" s="25" t="str">
        <f>VLOOKUP(J14,Key!$E$2:$F$9,2,FALSE)</f>
        <v>Work</v>
      </c>
      <c r="L14" s="41" t="s">
        <v>207</v>
      </c>
      <c r="M14" s="42" t="s">
        <v>146</v>
      </c>
      <c r="N14" s="41" t="s">
        <v>147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Work-Home</v>
      </c>
      <c r="S14" s="43"/>
      <c r="T14" s="43">
        <v>0.2</v>
      </c>
      <c r="U14" s="42">
        <v>3</v>
      </c>
      <c r="V14" s="42"/>
      <c r="W14" s="43"/>
      <c r="X14" s="43"/>
      <c r="Y14" s="44" t="s">
        <v>149</v>
      </c>
      <c r="Z14" s="53">
        <v>1000</v>
      </c>
      <c r="AA14" s="25"/>
      <c r="AB14" s="25"/>
    </row>
    <row r="15" spans="2:35">
      <c r="B15" s="39">
        <v>0.59027777777777779</v>
      </c>
      <c r="C15" s="39" t="s">
        <v>254</v>
      </c>
      <c r="D15" s="40">
        <v>11</v>
      </c>
      <c r="E15" s="41">
        <v>1</v>
      </c>
      <c r="F15" s="41" t="s">
        <v>235</v>
      </c>
      <c r="G15" s="42" t="s">
        <v>148</v>
      </c>
      <c r="H15" s="41" t="s">
        <v>147</v>
      </c>
      <c r="I15" s="42">
        <v>8</v>
      </c>
      <c r="J15" s="42">
        <v>1</v>
      </c>
      <c r="K15" s="25" t="str">
        <f>VLOOKUP(J15,Key!$E$2:$F$9,2,FALSE)</f>
        <v>Home</v>
      </c>
      <c r="L15" s="41" t="s">
        <v>152</v>
      </c>
      <c r="M15" s="42" t="s">
        <v>148</v>
      </c>
      <c r="N15" s="41" t="s">
        <v>147</v>
      </c>
      <c r="O15" s="42">
        <v>8</v>
      </c>
      <c r="P15" s="42">
        <v>1</v>
      </c>
      <c r="Q15" s="25" t="str">
        <f>VLOOKUP(P15,Key!$E$2:$F$9,2,FALSE)</f>
        <v>Home</v>
      </c>
      <c r="R15" s="25" t="str">
        <f t="shared" si="0"/>
        <v>Home-Home</v>
      </c>
      <c r="S15" s="43">
        <v>1</v>
      </c>
      <c r="T15" s="43">
        <v>0.2</v>
      </c>
      <c r="U15" s="42">
        <v>6</v>
      </c>
      <c r="V15" s="42"/>
      <c r="W15" s="43"/>
      <c r="X15" s="43"/>
      <c r="Y15" s="44" t="s">
        <v>149</v>
      </c>
      <c r="Z15" s="53">
        <v>3000</v>
      </c>
      <c r="AA15" s="25"/>
      <c r="AB15" s="25"/>
    </row>
    <row r="16" spans="2:35">
      <c r="B16" s="39">
        <v>0.88750000000000007</v>
      </c>
      <c r="C16" s="39" t="s">
        <v>174</v>
      </c>
      <c r="D16" s="40">
        <v>4</v>
      </c>
      <c r="E16" s="41">
        <v>7</v>
      </c>
      <c r="F16" s="41" t="s">
        <v>255</v>
      </c>
      <c r="G16" s="42" t="s">
        <v>146</v>
      </c>
      <c r="H16" s="41" t="s">
        <v>147</v>
      </c>
      <c r="I16" s="42">
        <v>6</v>
      </c>
      <c r="J16" s="42">
        <v>2</v>
      </c>
      <c r="K16" s="25" t="str">
        <f>VLOOKUP(J16,Key!$E$2:$F$9,2,FALSE)</f>
        <v>Work</v>
      </c>
      <c r="L16" s="41" t="s">
        <v>256</v>
      </c>
      <c r="M16" s="42" t="s">
        <v>148</v>
      </c>
      <c r="N16" s="41" t="s">
        <v>147</v>
      </c>
      <c r="O16" s="42">
        <v>6</v>
      </c>
      <c r="P16" s="42">
        <v>2</v>
      </c>
      <c r="Q16" s="25" t="str">
        <f>VLOOKUP(P16,Key!$E$2:$F$9,2,FALSE)</f>
        <v>Work</v>
      </c>
      <c r="R16" s="25" t="str">
        <f t="shared" si="0"/>
        <v>Work-Work</v>
      </c>
      <c r="S16" s="43"/>
      <c r="T16" s="43">
        <v>0.8</v>
      </c>
      <c r="U16" s="42">
        <v>1</v>
      </c>
      <c r="V16" s="42"/>
      <c r="W16" s="43"/>
      <c r="X16" s="43"/>
      <c r="Y16" s="44" t="s">
        <v>149</v>
      </c>
      <c r="Z16" s="53">
        <v>400</v>
      </c>
      <c r="AA16" s="25"/>
      <c r="AB16" s="25"/>
    </row>
    <row r="17" spans="2:28">
      <c r="B17" s="39">
        <v>0.89722222222222225</v>
      </c>
      <c r="C17" s="39" t="s">
        <v>257</v>
      </c>
      <c r="D17" s="40">
        <v>4</v>
      </c>
      <c r="E17" s="41">
        <v>11</v>
      </c>
      <c r="F17" s="41" t="s">
        <v>181</v>
      </c>
      <c r="G17" s="42" t="s">
        <v>146</v>
      </c>
      <c r="H17" s="41" t="s">
        <v>147</v>
      </c>
      <c r="I17" s="42">
        <v>6</v>
      </c>
      <c r="J17" s="42">
        <v>2</v>
      </c>
      <c r="K17" s="25" t="str">
        <f>VLOOKUP(J17,Key!$E$2:$F$9,2,FALSE)</f>
        <v>Work</v>
      </c>
      <c r="L17" s="41" t="s">
        <v>244</v>
      </c>
      <c r="M17" s="42" t="s">
        <v>148</v>
      </c>
      <c r="N17" s="41" t="s">
        <v>147</v>
      </c>
      <c r="O17" s="42">
        <v>6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/>
      <c r="T17" s="43">
        <v>1</v>
      </c>
      <c r="U17" s="42">
        <v>2</v>
      </c>
      <c r="V17" s="42"/>
      <c r="W17" s="43"/>
      <c r="X17" s="43"/>
      <c r="Y17" s="44" t="s">
        <v>149</v>
      </c>
      <c r="Z17" s="53">
        <v>500</v>
      </c>
      <c r="AA17" s="25"/>
      <c r="AB17" s="25"/>
    </row>
    <row r="18" spans="2:28">
      <c r="B18" s="39">
        <v>0.90277777777777779</v>
      </c>
      <c r="C18" s="39" t="s">
        <v>258</v>
      </c>
      <c r="D18" s="40">
        <v>1</v>
      </c>
      <c r="E18" s="41">
        <v>1</v>
      </c>
      <c r="F18" s="41" t="s">
        <v>163</v>
      </c>
      <c r="G18" s="42" t="s">
        <v>148</v>
      </c>
      <c r="H18" s="41" t="s">
        <v>147</v>
      </c>
      <c r="I18" s="42">
        <v>4</v>
      </c>
      <c r="J18" s="42">
        <v>3</v>
      </c>
      <c r="K18" s="25" t="str">
        <f>VLOOKUP(J18,Key!$E$2:$F$9,2,FALSE)</f>
        <v>Study</v>
      </c>
      <c r="L18" s="41" t="s">
        <v>207</v>
      </c>
      <c r="M18" s="42" t="s">
        <v>146</v>
      </c>
      <c r="N18" s="41" t="s">
        <v>147</v>
      </c>
      <c r="O18" s="42">
        <v>1</v>
      </c>
      <c r="P18" s="42">
        <v>1</v>
      </c>
      <c r="Q18" s="25" t="str">
        <f>VLOOKUP(P18,Key!$E$2:$F$9,2,FALSE)</f>
        <v>Home</v>
      </c>
      <c r="R18" s="25" t="str">
        <f t="shared" si="0"/>
        <v>Study-Home</v>
      </c>
      <c r="S18" s="43"/>
      <c r="T18" s="43">
        <v>0.25</v>
      </c>
      <c r="U18" s="42">
        <v>2</v>
      </c>
      <c r="V18" s="42"/>
      <c r="W18" s="43"/>
      <c r="X18" s="43"/>
      <c r="Y18" s="44" t="s">
        <v>149</v>
      </c>
      <c r="Z18" s="53"/>
      <c r="AA18" s="25"/>
      <c r="AB18" s="25"/>
    </row>
    <row r="19" spans="2:28">
      <c r="B19" s="39">
        <v>0.91111111111111109</v>
      </c>
      <c r="C19" s="39" t="s">
        <v>259</v>
      </c>
      <c r="D19" s="40">
        <v>1</v>
      </c>
      <c r="E19" s="41">
        <v>2</v>
      </c>
      <c r="F19" s="41" t="s">
        <v>260</v>
      </c>
      <c r="G19" s="42" t="s">
        <v>146</v>
      </c>
      <c r="H19" s="41" t="s">
        <v>147</v>
      </c>
      <c r="I19" s="42">
        <v>6</v>
      </c>
      <c r="J19" s="42">
        <v>2</v>
      </c>
      <c r="K19" s="25" t="str">
        <f>VLOOKUP(J19,Key!$E$2:$F$9,2,FALSE)</f>
        <v>Work</v>
      </c>
      <c r="L19" s="41" t="s">
        <v>207</v>
      </c>
      <c r="M19" s="42" t="s">
        <v>146</v>
      </c>
      <c r="N19" s="41" t="s">
        <v>147</v>
      </c>
      <c r="O19" s="42">
        <v>1</v>
      </c>
      <c r="P19" s="42">
        <v>1</v>
      </c>
      <c r="Q19" s="25" t="str">
        <f>VLOOKUP(P19,Key!$E$2:$F$9,2,FALSE)</f>
        <v>Home</v>
      </c>
      <c r="R19" s="25" t="str">
        <f t="shared" si="0"/>
        <v>Work-Home</v>
      </c>
      <c r="S19" s="43">
        <v>7</v>
      </c>
      <c r="T19" s="43">
        <v>1.5</v>
      </c>
      <c r="U19" s="42">
        <v>4</v>
      </c>
      <c r="V19" s="42"/>
      <c r="W19" s="43"/>
      <c r="X19" s="43"/>
      <c r="Y19" s="44" t="s">
        <v>149</v>
      </c>
      <c r="Z19" s="53">
        <v>500</v>
      </c>
      <c r="AA19" s="25"/>
      <c r="AB19" s="25"/>
    </row>
    <row r="20" spans="2:28">
      <c r="B20" s="39">
        <v>0.91666666666666663</v>
      </c>
      <c r="C20" s="39" t="s">
        <v>261</v>
      </c>
      <c r="D20" s="40">
        <v>4</v>
      </c>
      <c r="E20" s="41">
        <v>3</v>
      </c>
      <c r="F20" s="41" t="s">
        <v>262</v>
      </c>
      <c r="G20" s="42" t="s">
        <v>148</v>
      </c>
      <c r="H20" s="41" t="s">
        <v>147</v>
      </c>
      <c r="I20" s="42">
        <v>6</v>
      </c>
      <c r="J20" s="42">
        <v>2</v>
      </c>
      <c r="K20" s="25" t="str">
        <f>VLOOKUP(J20,Key!$E$2:$F$9,2,FALSE)</f>
        <v>Work</v>
      </c>
      <c r="L20" s="41" t="s">
        <v>263</v>
      </c>
      <c r="M20" s="42" t="s">
        <v>148</v>
      </c>
      <c r="N20" s="41" t="s">
        <v>147</v>
      </c>
      <c r="O20" s="42">
        <v>6</v>
      </c>
      <c r="P20" s="42">
        <v>2</v>
      </c>
      <c r="Q20" s="25" t="str">
        <f>VLOOKUP(P20,Key!$E$2:$F$9,2,FALSE)</f>
        <v>Work</v>
      </c>
      <c r="R20" s="25" t="str">
        <f t="shared" si="0"/>
        <v>Work-Work</v>
      </c>
      <c r="S20" s="43">
        <v>5</v>
      </c>
      <c r="T20" s="43">
        <v>1</v>
      </c>
      <c r="U20" s="42">
        <v>2</v>
      </c>
      <c r="V20" s="42"/>
      <c r="W20" s="43"/>
      <c r="X20" s="43"/>
      <c r="Y20" s="44" t="s">
        <v>149</v>
      </c>
      <c r="Z20" s="53">
        <v>500</v>
      </c>
      <c r="AA20" s="25"/>
      <c r="AB20" s="25"/>
    </row>
    <row r="21" spans="2:28">
      <c r="B21" s="39">
        <v>0.92499999999999993</v>
      </c>
      <c r="C21" s="39" t="s">
        <v>264</v>
      </c>
      <c r="D21" s="40">
        <v>4</v>
      </c>
      <c r="E21" s="41">
        <v>2</v>
      </c>
      <c r="F21" s="41" t="s">
        <v>231</v>
      </c>
      <c r="G21" s="42" t="s">
        <v>146</v>
      </c>
      <c r="H21" s="41" t="s">
        <v>147</v>
      </c>
      <c r="I21" s="42">
        <v>6</v>
      </c>
      <c r="J21" s="42">
        <v>2</v>
      </c>
      <c r="K21" s="25" t="str">
        <f>VLOOKUP(J21,Key!$E$2:$F$9,2,FALSE)</f>
        <v>Work</v>
      </c>
      <c r="L21" s="41" t="s">
        <v>152</v>
      </c>
      <c r="M21" s="42" t="s">
        <v>148</v>
      </c>
      <c r="N21" s="41" t="s">
        <v>147</v>
      </c>
      <c r="O21" s="42">
        <v>6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>
        <v>10</v>
      </c>
      <c r="T21" s="43">
        <v>1.5</v>
      </c>
      <c r="U21" s="42">
        <v>1</v>
      </c>
      <c r="V21" s="42"/>
      <c r="W21" s="43"/>
      <c r="X21" s="43"/>
      <c r="Y21" s="44" t="s">
        <v>149</v>
      </c>
      <c r="Z21" s="53">
        <v>1000</v>
      </c>
      <c r="AA21" s="25"/>
      <c r="AB21" s="25"/>
    </row>
    <row r="22" spans="2:28">
      <c r="B22" s="39">
        <v>0.93055555555555547</v>
      </c>
      <c r="C22" s="39" t="s">
        <v>265</v>
      </c>
      <c r="D22" s="40">
        <v>11</v>
      </c>
      <c r="E22" s="41">
        <v>2</v>
      </c>
      <c r="F22" s="41" t="s">
        <v>266</v>
      </c>
      <c r="G22" s="42" t="s">
        <v>148</v>
      </c>
      <c r="H22" s="41" t="s">
        <v>147</v>
      </c>
      <c r="I22" s="42">
        <v>8</v>
      </c>
      <c r="J22" s="42">
        <v>2</v>
      </c>
      <c r="K22" s="25" t="str">
        <f>VLOOKUP(J22,Key!$E$2:$F$9,2,FALSE)</f>
        <v>Work</v>
      </c>
      <c r="L22" s="41" t="s">
        <v>256</v>
      </c>
      <c r="M22" s="42" t="s">
        <v>148</v>
      </c>
      <c r="N22" s="41" t="s">
        <v>147</v>
      </c>
      <c r="O22" s="42">
        <v>8</v>
      </c>
      <c r="P22" s="42">
        <v>2</v>
      </c>
      <c r="Q22" s="25" t="str">
        <f>VLOOKUP(P22,Key!$E$2:$F$9,2,FALSE)</f>
        <v>Work</v>
      </c>
      <c r="R22" s="25" t="str">
        <f t="shared" si="0"/>
        <v>Work-Work</v>
      </c>
      <c r="S22" s="43">
        <v>4</v>
      </c>
      <c r="T22" s="43">
        <v>0.4</v>
      </c>
      <c r="U22" s="42">
        <v>3</v>
      </c>
      <c r="V22" s="42"/>
      <c r="W22" s="43"/>
      <c r="X22" s="43"/>
      <c r="Y22" s="44" t="s">
        <v>149</v>
      </c>
      <c r="Z22" s="53"/>
      <c r="AA22" s="25"/>
      <c r="AB22" s="25"/>
    </row>
    <row r="23" spans="2:28">
      <c r="B23" s="39">
        <v>0.94097222222222221</v>
      </c>
      <c r="C23" s="39" t="s">
        <v>267</v>
      </c>
      <c r="D23" s="40">
        <v>11</v>
      </c>
      <c r="E23" s="41">
        <v>2</v>
      </c>
      <c r="F23" s="41" t="s">
        <v>266</v>
      </c>
      <c r="G23" s="42" t="s">
        <v>148</v>
      </c>
      <c r="H23" s="41" t="s">
        <v>147</v>
      </c>
      <c r="I23" s="42">
        <v>8</v>
      </c>
      <c r="J23" s="42">
        <v>2</v>
      </c>
      <c r="K23" s="25" t="str">
        <f>VLOOKUP(J23,Key!$E$2:$F$9,2,FALSE)</f>
        <v>Work</v>
      </c>
      <c r="L23" s="41" t="s">
        <v>256</v>
      </c>
      <c r="M23" s="42" t="s">
        <v>148</v>
      </c>
      <c r="N23" s="41" t="s">
        <v>147</v>
      </c>
      <c r="O23" s="42">
        <v>8</v>
      </c>
      <c r="P23" s="42">
        <v>2</v>
      </c>
      <c r="Q23" s="25" t="str">
        <f>VLOOKUP(P23,Key!$E$2:$F$9,2,FALSE)</f>
        <v>Work</v>
      </c>
      <c r="R23" s="25" t="str">
        <f t="shared" si="0"/>
        <v>Work-Work</v>
      </c>
      <c r="S23" s="43"/>
      <c r="T23" s="43">
        <v>0.6</v>
      </c>
      <c r="U23" s="42">
        <v>1</v>
      </c>
      <c r="V23" s="42"/>
      <c r="W23" s="43"/>
      <c r="X23" s="43"/>
      <c r="Y23" s="44" t="s">
        <v>149</v>
      </c>
      <c r="Z23" s="53"/>
      <c r="AA23" s="25"/>
      <c r="AB23" s="25"/>
    </row>
    <row r="24" spans="2:28">
      <c r="B24" s="39">
        <v>0.9458333333333333</v>
      </c>
      <c r="C24" s="39" t="s">
        <v>268</v>
      </c>
      <c r="D24" s="40">
        <v>1</v>
      </c>
      <c r="E24" s="41">
        <v>2</v>
      </c>
      <c r="F24" s="41" t="s">
        <v>202</v>
      </c>
      <c r="G24" s="42" t="s">
        <v>148</v>
      </c>
      <c r="H24" s="41" t="s">
        <v>147</v>
      </c>
      <c r="I24" s="42">
        <v>1</v>
      </c>
      <c r="J24" s="42">
        <v>1</v>
      </c>
      <c r="K24" s="25" t="str">
        <f>VLOOKUP(J24,Key!$E$2:$F$9,2,FALSE)</f>
        <v>Home</v>
      </c>
      <c r="L24" s="41" t="s">
        <v>207</v>
      </c>
      <c r="M24" s="42" t="s">
        <v>146</v>
      </c>
      <c r="N24" s="41" t="s">
        <v>147</v>
      </c>
      <c r="O24" s="42">
        <v>16</v>
      </c>
      <c r="P24" s="42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43"/>
      <c r="T24" s="43">
        <v>0.3</v>
      </c>
      <c r="U24" s="42">
        <v>3</v>
      </c>
      <c r="V24" s="42"/>
      <c r="W24" s="43"/>
      <c r="X24" s="43"/>
      <c r="Y24" s="44" t="s">
        <v>149</v>
      </c>
      <c r="Z24" s="53">
        <v>1000</v>
      </c>
      <c r="AA24" s="25"/>
      <c r="AB24" s="25"/>
    </row>
    <row r="25" spans="2:28">
      <c r="B25" s="39">
        <v>0.99305555555555547</v>
      </c>
      <c r="C25" s="39" t="s">
        <v>269</v>
      </c>
      <c r="D25" s="40">
        <v>1</v>
      </c>
      <c r="E25" s="41">
        <v>1</v>
      </c>
      <c r="F25" s="41" t="s">
        <v>163</v>
      </c>
      <c r="G25" s="42" t="s">
        <v>148</v>
      </c>
      <c r="H25" s="41" t="s">
        <v>147</v>
      </c>
      <c r="I25" s="42">
        <v>16</v>
      </c>
      <c r="J25" s="42">
        <v>8</v>
      </c>
      <c r="K25" s="25" t="str">
        <f>VLOOKUP(J25,Key!$E$2:$F$9,2,FALSE)</f>
        <v>Others</v>
      </c>
      <c r="L25" s="41" t="s">
        <v>207</v>
      </c>
      <c r="M25" s="42" t="s">
        <v>146</v>
      </c>
      <c r="N25" s="41" t="s">
        <v>147</v>
      </c>
      <c r="O25" s="42">
        <v>1</v>
      </c>
      <c r="P25" s="42">
        <v>1</v>
      </c>
      <c r="Q25" s="25" t="str">
        <f>VLOOKUP(P25,Key!$E$2:$F$9,2,FALSE)</f>
        <v>Home</v>
      </c>
      <c r="R25" s="25" t="str">
        <f t="shared" si="0"/>
        <v>Others-Home</v>
      </c>
      <c r="S25" s="43"/>
      <c r="T25" s="43">
        <v>0.4</v>
      </c>
      <c r="U25" s="42">
        <v>4</v>
      </c>
      <c r="V25" s="42"/>
      <c r="W25" s="43"/>
      <c r="X25" s="43"/>
      <c r="Y25" s="44" t="s">
        <v>149</v>
      </c>
      <c r="Z25" s="53">
        <v>3000</v>
      </c>
      <c r="AA25" s="25"/>
      <c r="AB25" s="25"/>
    </row>
    <row r="26" spans="2:28">
      <c r="B26" s="39">
        <v>0.98749999999999993</v>
      </c>
      <c r="C26" s="39" t="s">
        <v>270</v>
      </c>
      <c r="D26" s="40">
        <v>1</v>
      </c>
      <c r="E26" s="41">
        <v>1</v>
      </c>
      <c r="F26" s="41" t="s">
        <v>271</v>
      </c>
      <c r="G26" s="42" t="s">
        <v>146</v>
      </c>
      <c r="H26" s="41" t="s">
        <v>147</v>
      </c>
      <c r="I26" s="42">
        <v>2</v>
      </c>
      <c r="J26" s="42">
        <v>2</v>
      </c>
      <c r="K26" s="25" t="str">
        <f>VLOOKUP(J26,Key!$E$2:$F$9,2,FALSE)</f>
        <v>Work</v>
      </c>
      <c r="L26" s="41" t="s">
        <v>207</v>
      </c>
      <c r="M26" s="42" t="s">
        <v>146</v>
      </c>
      <c r="N26" s="41" t="s">
        <v>147</v>
      </c>
      <c r="O26" s="42">
        <v>1</v>
      </c>
      <c r="P26" s="42">
        <v>1</v>
      </c>
      <c r="Q26" s="25" t="str">
        <f>VLOOKUP(P26,Key!$E$2:$F$9,2,FALSE)</f>
        <v>Home</v>
      </c>
      <c r="R26" s="25" t="str">
        <f t="shared" si="0"/>
        <v>Work-Home</v>
      </c>
      <c r="S26" s="43"/>
      <c r="T26" s="43">
        <v>0.8</v>
      </c>
      <c r="U26" s="42">
        <v>2</v>
      </c>
      <c r="V26" s="42"/>
      <c r="W26" s="43"/>
      <c r="X26" s="43"/>
      <c r="Y26" s="44" t="s">
        <v>149</v>
      </c>
      <c r="Z26" s="53">
        <v>2000</v>
      </c>
      <c r="AA26" s="25"/>
      <c r="AB26" s="25"/>
    </row>
    <row r="27" spans="2:28">
      <c r="B27" s="39">
        <v>0.5</v>
      </c>
      <c r="C27" s="39" t="s">
        <v>272</v>
      </c>
      <c r="D27" s="40">
        <v>1</v>
      </c>
      <c r="E27" s="41">
        <v>1</v>
      </c>
      <c r="F27" s="41" t="s">
        <v>273</v>
      </c>
      <c r="G27" s="42" t="s">
        <v>146</v>
      </c>
      <c r="H27" s="41" t="s">
        <v>147</v>
      </c>
      <c r="I27" s="42">
        <v>5</v>
      </c>
      <c r="J27" s="42">
        <v>7</v>
      </c>
      <c r="K27" s="25" t="str">
        <f>VLOOKUP(J27,Key!$E$2:$F$9,2,FALSE)</f>
        <v>Hospital</v>
      </c>
      <c r="L27" s="41" t="s">
        <v>152</v>
      </c>
      <c r="M27" s="42" t="s">
        <v>148</v>
      </c>
      <c r="N27" s="41" t="s">
        <v>147</v>
      </c>
      <c r="O27" s="42">
        <v>1</v>
      </c>
      <c r="P27" s="42">
        <v>1</v>
      </c>
      <c r="Q27" s="25" t="str">
        <f>VLOOKUP(P27,Key!$E$2:$F$9,2,FALSE)</f>
        <v>Home</v>
      </c>
      <c r="R27" s="25" t="str">
        <f t="shared" si="0"/>
        <v>Hospital-Home</v>
      </c>
      <c r="S27" s="43"/>
      <c r="T27" s="43">
        <v>1</v>
      </c>
      <c r="U27" s="42">
        <v>1</v>
      </c>
      <c r="V27" s="42"/>
      <c r="W27" s="43"/>
      <c r="X27" s="43"/>
      <c r="Y27" s="44" t="s">
        <v>149</v>
      </c>
      <c r="Z27" s="53">
        <v>1000</v>
      </c>
      <c r="AA27" s="25"/>
      <c r="AB27" s="25"/>
    </row>
    <row r="28" spans="2:28">
      <c r="B28" s="39">
        <v>5.6944444444444443E-2</v>
      </c>
      <c r="C28" s="39" t="s">
        <v>274</v>
      </c>
      <c r="D28" s="40">
        <v>1</v>
      </c>
      <c r="E28" s="41">
        <v>1</v>
      </c>
      <c r="F28" s="41" t="s">
        <v>275</v>
      </c>
      <c r="G28" s="42" t="s">
        <v>146</v>
      </c>
      <c r="H28" s="41" t="s">
        <v>147</v>
      </c>
      <c r="I28" s="42">
        <v>16</v>
      </c>
      <c r="J28" s="42">
        <v>2</v>
      </c>
      <c r="K28" s="25" t="str">
        <f>VLOOKUP(J28,Key!$E$2:$F$9,2,FALSE)</f>
        <v>Work</v>
      </c>
      <c r="L28" s="41" t="s">
        <v>152</v>
      </c>
      <c r="M28" s="42" t="s">
        <v>148</v>
      </c>
      <c r="N28" s="41" t="s">
        <v>147</v>
      </c>
      <c r="O28" s="42">
        <v>1</v>
      </c>
      <c r="P28" s="42">
        <v>1</v>
      </c>
      <c r="Q28" s="25" t="str">
        <f>VLOOKUP(P28,Key!$E$2:$F$9,2,FALSE)</f>
        <v>Home</v>
      </c>
      <c r="R28" s="25" t="str">
        <f t="shared" si="0"/>
        <v>Work-Home</v>
      </c>
      <c r="S28" s="43"/>
      <c r="T28" s="43">
        <v>1.5</v>
      </c>
      <c r="U28" s="42">
        <v>2</v>
      </c>
      <c r="V28" s="42"/>
      <c r="W28" s="43"/>
      <c r="X28" s="43"/>
      <c r="Y28" s="44" t="s">
        <v>149</v>
      </c>
      <c r="Z28" s="53">
        <v>2000</v>
      </c>
      <c r="AA28" s="25"/>
      <c r="AB28" s="25"/>
    </row>
    <row r="105" ht="12" customHeight="1"/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05"/>
  <sheetViews>
    <sheetView topLeftCell="J71" zoomScale="75" zoomScaleNormal="75" zoomScaleSheetLayoutView="80" workbookViewId="0">
      <selection activeCell="B9" sqref="B9:AB10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3" t="s">
        <v>127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6"/>
      <c r="AD1" s="6"/>
      <c r="AE1" s="6"/>
      <c r="AF1" s="6"/>
      <c r="AG1" s="6"/>
      <c r="AH1" s="6"/>
      <c r="AI1" s="6"/>
    </row>
    <row r="2" spans="2:3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241</v>
      </c>
      <c r="E4" s="1" t="s">
        <v>64</v>
      </c>
      <c r="F4" s="154" t="str">
        <f>'11.10.BUSABALA-ENTEBBE'!F4:G4</f>
        <v>BUSABALA ROAD</v>
      </c>
      <c r="G4" s="155"/>
      <c r="I4" s="27" t="s">
        <v>65</v>
      </c>
      <c r="J4" s="5"/>
      <c r="K4" s="5"/>
      <c r="L4" s="46" t="s">
        <v>153</v>
      </c>
      <c r="M4" s="2"/>
      <c r="N4" s="1" t="s">
        <v>67</v>
      </c>
      <c r="O4" s="136" t="s">
        <v>242</v>
      </c>
      <c r="P4" s="137"/>
      <c r="Q4" s="137"/>
      <c r="R4" s="137"/>
      <c r="S4" s="137"/>
      <c r="T4" s="137"/>
      <c r="V4" s="1" t="s">
        <v>68</v>
      </c>
      <c r="W4" s="54" t="str">
        <f>'11.10.BUSABALA-ENTEBBE'!W4</f>
        <v>EMMA</v>
      </c>
      <c r="Y4" s="27" t="s">
        <v>6</v>
      </c>
      <c r="Z4" s="55" t="str">
        <f>'11.10.BUSABALA-ENTEBBE'!Z4</f>
        <v>AJOK EMILY</v>
      </c>
      <c r="AA4" s="32" t="s">
        <v>7</v>
      </c>
      <c r="AB4" s="38" t="str">
        <f>'11.10.BUSABALA-ENTEBBE'!AB4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7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8" t="s">
        <v>34</v>
      </c>
      <c r="C7" s="124" t="s">
        <v>55</v>
      </c>
      <c r="D7" s="126" t="s">
        <v>9</v>
      </c>
      <c r="E7" s="124" t="s">
        <v>35</v>
      </c>
      <c r="F7" s="141" t="s">
        <v>12</v>
      </c>
      <c r="G7" s="142"/>
      <c r="H7" s="143"/>
      <c r="I7" s="126" t="s">
        <v>58</v>
      </c>
      <c r="J7" s="124" t="s">
        <v>15</v>
      </c>
      <c r="K7" s="124" t="s">
        <v>128</v>
      </c>
      <c r="L7" s="141" t="s">
        <v>17</v>
      </c>
      <c r="M7" s="142"/>
      <c r="N7" s="143"/>
      <c r="O7" s="126" t="s">
        <v>59</v>
      </c>
      <c r="P7" s="124" t="s">
        <v>18</v>
      </c>
      <c r="Q7" s="124" t="s">
        <v>129</v>
      </c>
      <c r="R7" s="124" t="s">
        <v>130</v>
      </c>
      <c r="S7" s="124" t="s">
        <v>132</v>
      </c>
      <c r="T7" s="124" t="s">
        <v>131</v>
      </c>
      <c r="U7" s="124" t="s">
        <v>60</v>
      </c>
      <c r="V7" s="130" t="s">
        <v>63</v>
      </c>
      <c r="W7" s="131"/>
      <c r="X7" s="132"/>
      <c r="Y7" s="124" t="s">
        <v>62</v>
      </c>
      <c r="Z7" s="124" t="s">
        <v>135</v>
      </c>
      <c r="AA7" s="126" t="s">
        <v>20</v>
      </c>
      <c r="AB7" s="128" t="s">
        <v>21</v>
      </c>
      <c r="AD7" s="19"/>
    </row>
    <row r="8" spans="2:35" ht="38.25" customHeight="1">
      <c r="B8" s="139"/>
      <c r="C8" s="125"/>
      <c r="D8" s="127"/>
      <c r="E8" s="140"/>
      <c r="F8" s="23" t="s">
        <v>69</v>
      </c>
      <c r="G8" s="23" t="s">
        <v>56</v>
      </c>
      <c r="H8" s="24" t="s">
        <v>57</v>
      </c>
      <c r="I8" s="127"/>
      <c r="J8" s="125"/>
      <c r="K8" s="125"/>
      <c r="L8" s="23" t="s">
        <v>69</v>
      </c>
      <c r="M8" s="23" t="s">
        <v>56</v>
      </c>
      <c r="N8" s="23" t="s">
        <v>57</v>
      </c>
      <c r="O8" s="127"/>
      <c r="P8" s="125"/>
      <c r="Q8" s="125"/>
      <c r="R8" s="125"/>
      <c r="S8" s="125"/>
      <c r="T8" s="125"/>
      <c r="U8" s="125"/>
      <c r="V8" s="29" t="s">
        <v>61</v>
      </c>
      <c r="W8" s="30" t="s">
        <v>133</v>
      </c>
      <c r="X8" s="30" t="s">
        <v>134</v>
      </c>
      <c r="Y8" s="125"/>
      <c r="Z8" s="125"/>
      <c r="AA8" s="127"/>
      <c r="AB8" s="129"/>
    </row>
    <row r="9" spans="2:35" s="19" customFormat="1">
      <c r="B9" s="39">
        <v>0.71527777777777779</v>
      </c>
      <c r="C9" s="39" t="s">
        <v>276</v>
      </c>
      <c r="D9" s="40">
        <v>4</v>
      </c>
      <c r="E9" s="41">
        <v>14</v>
      </c>
      <c r="F9" s="41" t="s">
        <v>181</v>
      </c>
      <c r="G9" s="42" t="s">
        <v>146</v>
      </c>
      <c r="H9" s="41" t="s">
        <v>147</v>
      </c>
      <c r="I9" s="42">
        <v>6</v>
      </c>
      <c r="J9" s="42">
        <v>2</v>
      </c>
      <c r="K9" s="25" t="str">
        <f>VLOOKUP(J9,Key!$E$2:$F$9,2,FALSE)</f>
        <v>Work</v>
      </c>
      <c r="L9" s="41" t="s">
        <v>152</v>
      </c>
      <c r="M9" s="42" t="s">
        <v>148</v>
      </c>
      <c r="N9" s="41" t="s">
        <v>147</v>
      </c>
      <c r="O9" s="42">
        <v>6</v>
      </c>
      <c r="P9" s="42">
        <v>2</v>
      </c>
      <c r="Q9" s="25" t="str">
        <f>VLOOKUP(P9,Key!$E$2:$F$9,2,FALSE)</f>
        <v>Work</v>
      </c>
      <c r="R9" s="25" t="str">
        <f>K9&amp;"-"&amp;Q9</f>
        <v>Work-Work</v>
      </c>
      <c r="S9" s="43"/>
      <c r="T9" s="43">
        <v>1.5</v>
      </c>
      <c r="U9" s="42">
        <v>1</v>
      </c>
      <c r="V9" s="42"/>
      <c r="W9" s="43"/>
      <c r="X9" s="43"/>
      <c r="Y9" s="44" t="s">
        <v>149</v>
      </c>
      <c r="Z9" s="52">
        <v>1000</v>
      </c>
      <c r="AA9" s="25"/>
      <c r="AB9" s="25"/>
    </row>
    <row r="10" spans="2:35">
      <c r="B10" s="39">
        <v>0.68055555555555547</v>
      </c>
      <c r="C10" s="39" t="s">
        <v>277</v>
      </c>
      <c r="D10" s="40">
        <v>11</v>
      </c>
      <c r="E10" s="41">
        <v>2</v>
      </c>
      <c r="F10" s="41" t="s">
        <v>158</v>
      </c>
      <c r="G10" s="42" t="s">
        <v>146</v>
      </c>
      <c r="H10" s="41" t="s">
        <v>147</v>
      </c>
      <c r="I10" s="42">
        <v>8</v>
      </c>
      <c r="J10" s="42">
        <v>2</v>
      </c>
      <c r="K10" s="25" t="str">
        <f>VLOOKUP(J10,Key!$E$2:$F$9,2,FALSE)</f>
        <v>Work</v>
      </c>
      <c r="L10" s="41" t="s">
        <v>152</v>
      </c>
      <c r="M10" s="42" t="s">
        <v>148</v>
      </c>
      <c r="N10" s="41" t="s">
        <v>147</v>
      </c>
      <c r="O10" s="42">
        <v>8</v>
      </c>
      <c r="P10" s="42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3"/>
      <c r="T10" s="43">
        <v>0.8</v>
      </c>
      <c r="U10" s="42">
        <v>3</v>
      </c>
      <c r="V10" s="42"/>
      <c r="W10" s="43"/>
      <c r="X10" s="43"/>
      <c r="Y10" s="44" t="s">
        <v>149</v>
      </c>
      <c r="Z10" s="52">
        <v>1000</v>
      </c>
      <c r="AA10" s="25"/>
      <c r="AB10" s="25"/>
    </row>
    <row r="11" spans="2:35">
      <c r="B11" s="39">
        <v>0.66527777777777775</v>
      </c>
      <c r="C11" s="39" t="s">
        <v>278</v>
      </c>
      <c r="D11" s="40">
        <v>10</v>
      </c>
      <c r="E11" s="41">
        <v>2</v>
      </c>
      <c r="F11" s="41" t="s">
        <v>279</v>
      </c>
      <c r="G11" s="42" t="s">
        <v>148</v>
      </c>
      <c r="H11" s="41" t="s">
        <v>147</v>
      </c>
      <c r="I11" s="42">
        <v>10</v>
      </c>
      <c r="J11" s="42">
        <v>2</v>
      </c>
      <c r="K11" s="25" t="str">
        <f>VLOOKUP(J11,Key!$E$2:$F$9,2,FALSE)</f>
        <v>Work</v>
      </c>
      <c r="L11" s="41" t="s">
        <v>152</v>
      </c>
      <c r="M11" s="42" t="s">
        <v>148</v>
      </c>
      <c r="N11" s="41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Work-Home</v>
      </c>
      <c r="S11" s="43"/>
      <c r="T11" s="43">
        <v>0.8</v>
      </c>
      <c r="U11" s="42">
        <v>1</v>
      </c>
      <c r="V11" s="42"/>
      <c r="W11" s="43"/>
      <c r="X11" s="43"/>
      <c r="Y11" s="44" t="s">
        <v>149</v>
      </c>
      <c r="Z11" s="52">
        <v>500</v>
      </c>
      <c r="AA11" s="25"/>
      <c r="AB11" s="25"/>
    </row>
    <row r="12" spans="2:35">
      <c r="B12" s="39">
        <v>0.65763888888888888</v>
      </c>
      <c r="C12" s="39" t="s">
        <v>280</v>
      </c>
      <c r="D12" s="40">
        <v>11</v>
      </c>
      <c r="E12" s="41">
        <v>1</v>
      </c>
      <c r="F12" s="41" t="s">
        <v>255</v>
      </c>
      <c r="G12" s="42" t="s">
        <v>146</v>
      </c>
      <c r="H12" s="41" t="s">
        <v>147</v>
      </c>
      <c r="I12" s="42">
        <v>8</v>
      </c>
      <c r="J12" s="42">
        <v>2</v>
      </c>
      <c r="K12" s="25" t="str">
        <f>VLOOKUP(J12,Key!$E$2:$F$9,2,FALSE)</f>
        <v>Work</v>
      </c>
      <c r="L12" s="41" t="s">
        <v>152</v>
      </c>
      <c r="M12" s="42" t="s">
        <v>148</v>
      </c>
      <c r="N12" s="41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Work-Home</v>
      </c>
      <c r="S12" s="43"/>
      <c r="T12" s="43">
        <v>0.8</v>
      </c>
      <c r="U12" s="42">
        <v>1</v>
      </c>
      <c r="V12" s="42"/>
      <c r="W12" s="43"/>
      <c r="X12" s="43"/>
      <c r="Y12" s="44" t="s">
        <v>149</v>
      </c>
      <c r="Z12" s="52">
        <v>1000</v>
      </c>
      <c r="AA12" s="25"/>
      <c r="AB12" s="25"/>
    </row>
    <row r="13" spans="2:35">
      <c r="B13" s="39">
        <v>0.64861111111111114</v>
      </c>
      <c r="C13" s="39" t="s">
        <v>281</v>
      </c>
      <c r="D13" s="40">
        <v>8</v>
      </c>
      <c r="E13" s="41">
        <v>1</v>
      </c>
      <c r="F13" s="41" t="s">
        <v>279</v>
      </c>
      <c r="G13" s="42" t="s">
        <v>148</v>
      </c>
      <c r="H13" s="41" t="s">
        <v>147</v>
      </c>
      <c r="I13" s="42">
        <v>10</v>
      </c>
      <c r="J13" s="42">
        <v>2</v>
      </c>
      <c r="K13" s="25" t="str">
        <f>VLOOKUP(J13,Key!$E$2:$F$9,2,FALSE)</f>
        <v>Work</v>
      </c>
      <c r="L13" s="41" t="s">
        <v>152</v>
      </c>
      <c r="M13" s="42" t="s">
        <v>148</v>
      </c>
      <c r="N13" s="41" t="s">
        <v>147</v>
      </c>
      <c r="O13" s="42">
        <v>15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/>
      <c r="T13" s="43">
        <v>1</v>
      </c>
      <c r="U13" s="42">
        <v>1</v>
      </c>
      <c r="V13" s="42"/>
      <c r="W13" s="43"/>
      <c r="X13" s="43"/>
      <c r="Y13" s="44" t="s">
        <v>149</v>
      </c>
      <c r="Z13" s="52">
        <v>2000</v>
      </c>
      <c r="AA13" s="25"/>
      <c r="AB13" s="25"/>
    </row>
    <row r="14" spans="2:35">
      <c r="B14" s="39">
        <v>0.64027777777777783</v>
      </c>
      <c r="C14" s="39" t="s">
        <v>282</v>
      </c>
      <c r="D14" s="40">
        <v>1</v>
      </c>
      <c r="E14" s="41">
        <v>2</v>
      </c>
      <c r="F14" s="41" t="s">
        <v>279</v>
      </c>
      <c r="G14" s="42" t="s">
        <v>148</v>
      </c>
      <c r="H14" s="41" t="s">
        <v>147</v>
      </c>
      <c r="I14" s="42">
        <v>1</v>
      </c>
      <c r="J14" s="42">
        <v>1</v>
      </c>
      <c r="K14" s="25" t="str">
        <f>VLOOKUP(J14,Key!$E$2:$F$9,2,FALSE)</f>
        <v>Home</v>
      </c>
      <c r="L14" s="41" t="s">
        <v>153</v>
      </c>
      <c r="M14" s="42" t="s">
        <v>148</v>
      </c>
      <c r="N14" s="41" t="s">
        <v>147</v>
      </c>
      <c r="O14" s="42">
        <v>16</v>
      </c>
      <c r="P14" s="42">
        <v>2</v>
      </c>
      <c r="Q14" s="25" t="str">
        <f>VLOOKUP(P14,Key!$E$2:$F$9,2,FALSE)</f>
        <v>Work</v>
      </c>
      <c r="R14" s="25" t="str">
        <f t="shared" si="0"/>
        <v>Home-Work</v>
      </c>
      <c r="S14" s="43"/>
      <c r="T14" s="43">
        <v>0.6</v>
      </c>
      <c r="U14" s="42">
        <v>2</v>
      </c>
      <c r="V14" s="42"/>
      <c r="W14" s="43"/>
      <c r="X14" s="43"/>
      <c r="Y14" s="44" t="s">
        <v>149</v>
      </c>
      <c r="Z14" s="52">
        <v>1000</v>
      </c>
      <c r="AA14" s="25"/>
      <c r="AB14" s="25"/>
    </row>
    <row r="15" spans="2:35">
      <c r="B15" s="39">
        <v>0.625</v>
      </c>
      <c r="C15" s="39" t="s">
        <v>283</v>
      </c>
      <c r="D15" s="40">
        <v>1</v>
      </c>
      <c r="E15" s="41">
        <v>2</v>
      </c>
      <c r="F15" s="41" t="s">
        <v>284</v>
      </c>
      <c r="G15" s="42" t="s">
        <v>148</v>
      </c>
      <c r="H15" s="41" t="s">
        <v>147</v>
      </c>
      <c r="I15" s="42">
        <v>1</v>
      </c>
      <c r="J15" s="42">
        <v>1</v>
      </c>
      <c r="K15" s="25" t="str">
        <f>VLOOKUP(J15,Key!$E$2:$F$9,2,FALSE)</f>
        <v>Home</v>
      </c>
      <c r="L15" s="41" t="s">
        <v>285</v>
      </c>
      <c r="M15" s="42" t="s">
        <v>146</v>
      </c>
      <c r="N15" s="41" t="s">
        <v>147</v>
      </c>
      <c r="O15" s="42">
        <v>2</v>
      </c>
      <c r="P15" s="42">
        <v>2</v>
      </c>
      <c r="Q15" s="25" t="str">
        <f>VLOOKUP(P15,Key!$E$2:$F$9,2,FALSE)</f>
        <v>Work</v>
      </c>
      <c r="R15" s="25" t="str">
        <f t="shared" si="0"/>
        <v>Home-Work</v>
      </c>
      <c r="S15" s="43">
        <v>15</v>
      </c>
      <c r="T15" s="43">
        <v>0.8</v>
      </c>
      <c r="U15" s="42">
        <v>2</v>
      </c>
      <c r="V15" s="42"/>
      <c r="W15" s="43"/>
      <c r="X15" s="43"/>
      <c r="Y15" s="44" t="s">
        <v>149</v>
      </c>
      <c r="Z15" s="52">
        <v>1000</v>
      </c>
      <c r="AA15" s="25"/>
      <c r="AB15" s="25"/>
    </row>
    <row r="16" spans="2:35">
      <c r="B16" s="39">
        <v>0.61944444444444446</v>
      </c>
      <c r="C16" s="39" t="s">
        <v>286</v>
      </c>
      <c r="D16" s="40">
        <v>1</v>
      </c>
      <c r="E16" s="41">
        <v>2</v>
      </c>
      <c r="F16" s="41" t="s">
        <v>287</v>
      </c>
      <c r="G16" s="42" t="s">
        <v>148</v>
      </c>
      <c r="H16" s="41" t="s">
        <v>147</v>
      </c>
      <c r="I16" s="42">
        <v>1</v>
      </c>
      <c r="J16" s="42">
        <v>1</v>
      </c>
      <c r="K16" s="25" t="str">
        <f>VLOOKUP(J16,Key!$E$2:$F$9,2,FALSE)</f>
        <v>Home</v>
      </c>
      <c r="L16" s="41" t="s">
        <v>158</v>
      </c>
      <c r="M16" s="42" t="s">
        <v>146</v>
      </c>
      <c r="N16" s="41" t="s">
        <v>147</v>
      </c>
      <c r="O16" s="42">
        <v>2</v>
      </c>
      <c r="P16" s="42">
        <v>1</v>
      </c>
      <c r="Q16" s="25" t="str">
        <f>VLOOKUP(P16,Key!$E$2:$F$9,2,FALSE)</f>
        <v>Home</v>
      </c>
      <c r="R16" s="25" t="str">
        <f t="shared" si="0"/>
        <v>Home-Home</v>
      </c>
      <c r="S16" s="43"/>
      <c r="T16" s="43">
        <v>0.8</v>
      </c>
      <c r="U16" s="42">
        <v>1</v>
      </c>
      <c r="V16" s="42"/>
      <c r="W16" s="43"/>
      <c r="X16" s="43"/>
      <c r="Y16" s="44" t="s">
        <v>149</v>
      </c>
      <c r="Z16" s="52">
        <v>1000</v>
      </c>
      <c r="AA16" s="25"/>
      <c r="AB16" s="25"/>
    </row>
    <row r="17" spans="2:28">
      <c r="B17" s="39">
        <v>0.61041666666666672</v>
      </c>
      <c r="C17" s="39" t="s">
        <v>288</v>
      </c>
      <c r="D17" s="40">
        <v>11</v>
      </c>
      <c r="E17" s="41">
        <v>2</v>
      </c>
      <c r="F17" s="41" t="s">
        <v>161</v>
      </c>
      <c r="G17" s="42" t="s">
        <v>148</v>
      </c>
      <c r="H17" s="41" t="s">
        <v>147</v>
      </c>
      <c r="I17" s="42">
        <v>8</v>
      </c>
      <c r="J17" s="42">
        <v>2</v>
      </c>
      <c r="K17" s="25" t="str">
        <f>VLOOKUP(J17,Key!$E$2:$F$9,2,FALSE)</f>
        <v>Work</v>
      </c>
      <c r="L17" s="41" t="s">
        <v>152</v>
      </c>
      <c r="M17" s="42" t="s">
        <v>148</v>
      </c>
      <c r="N17" s="41" t="s">
        <v>147</v>
      </c>
      <c r="O17" s="42">
        <v>8</v>
      </c>
      <c r="P17" s="42">
        <v>2</v>
      </c>
      <c r="Q17" s="25" t="str">
        <f>VLOOKUP(P17,Key!$E$2:$F$9,2,FALSE)</f>
        <v>Work</v>
      </c>
      <c r="R17" s="25" t="str">
        <f t="shared" si="0"/>
        <v>Work-Work</v>
      </c>
      <c r="S17" s="43"/>
      <c r="T17" s="43">
        <v>0.3</v>
      </c>
      <c r="U17" s="42">
        <v>1</v>
      </c>
      <c r="V17" s="42"/>
      <c r="W17" s="43"/>
      <c r="X17" s="43"/>
      <c r="Y17" s="44" t="s">
        <v>149</v>
      </c>
      <c r="Z17" s="52">
        <v>1000</v>
      </c>
      <c r="AA17" s="25"/>
      <c r="AB17" s="25"/>
    </row>
    <row r="18" spans="2:28">
      <c r="B18" s="39">
        <v>0.59861111111111109</v>
      </c>
      <c r="C18" s="39" t="s">
        <v>289</v>
      </c>
      <c r="D18" s="40">
        <v>5</v>
      </c>
      <c r="E18" s="41">
        <v>36</v>
      </c>
      <c r="F18" s="41" t="s">
        <v>290</v>
      </c>
      <c r="G18" s="42" t="s">
        <v>148</v>
      </c>
      <c r="H18" s="41" t="s">
        <v>147</v>
      </c>
      <c r="I18" s="42">
        <v>16</v>
      </c>
      <c r="J18" s="42">
        <v>8</v>
      </c>
      <c r="K18" s="25" t="str">
        <f>VLOOKUP(J18,Key!$E$2:$F$9,2,FALSE)</f>
        <v>Others</v>
      </c>
      <c r="L18" s="41" t="s">
        <v>152</v>
      </c>
      <c r="M18" s="42" t="s">
        <v>148</v>
      </c>
      <c r="N18" s="41" t="s">
        <v>147</v>
      </c>
      <c r="O18" s="42">
        <v>16</v>
      </c>
      <c r="P18" s="42">
        <v>6</v>
      </c>
      <c r="Q18" s="25" t="str">
        <f>VLOOKUP(P18,Key!$E$2:$F$9,2,FALSE)</f>
        <v>Leisure/Social</v>
      </c>
      <c r="R18" s="25" t="str">
        <f t="shared" si="0"/>
        <v>Others-Leisure/Social</v>
      </c>
      <c r="S18" s="43">
        <v>30</v>
      </c>
      <c r="T18" s="43">
        <v>120</v>
      </c>
      <c r="U18" s="42">
        <v>6</v>
      </c>
      <c r="V18" s="42"/>
      <c r="W18" s="43"/>
      <c r="X18" s="43"/>
      <c r="Y18" s="44" t="s">
        <v>149</v>
      </c>
      <c r="Z18" s="52"/>
      <c r="AA18" s="25"/>
      <c r="AB18" s="25"/>
    </row>
    <row r="19" spans="2:28">
      <c r="B19" s="39">
        <v>0.58958333333333335</v>
      </c>
      <c r="C19" s="39" t="s">
        <v>291</v>
      </c>
      <c r="D19" s="40">
        <v>8</v>
      </c>
      <c r="E19" s="41">
        <v>2</v>
      </c>
      <c r="F19" s="41" t="s">
        <v>279</v>
      </c>
      <c r="G19" s="42" t="s">
        <v>148</v>
      </c>
      <c r="H19" s="41" t="s">
        <v>147</v>
      </c>
      <c r="I19" s="42">
        <v>10</v>
      </c>
      <c r="J19" s="42">
        <v>1</v>
      </c>
      <c r="K19" s="25" t="str">
        <f>VLOOKUP(J19,Key!$E$2:$F$9,2,FALSE)</f>
        <v>Home</v>
      </c>
      <c r="L19" s="41" t="s">
        <v>292</v>
      </c>
      <c r="M19" s="42" t="s">
        <v>148</v>
      </c>
      <c r="N19" s="41" t="s">
        <v>147</v>
      </c>
      <c r="O19" s="42">
        <v>15</v>
      </c>
      <c r="P19" s="42">
        <v>1</v>
      </c>
      <c r="Q19" s="25" t="str">
        <f>VLOOKUP(P19,Key!$E$2:$F$9,2,FALSE)</f>
        <v>Home</v>
      </c>
      <c r="R19" s="25" t="str">
        <f t="shared" si="0"/>
        <v>Home-Home</v>
      </c>
      <c r="S19" s="43">
        <v>1</v>
      </c>
      <c r="T19" s="43">
        <v>0.2</v>
      </c>
      <c r="U19" s="42">
        <v>1</v>
      </c>
      <c r="V19" s="42"/>
      <c r="W19" s="43"/>
      <c r="X19" s="43"/>
      <c r="Y19" s="44" t="s">
        <v>149</v>
      </c>
      <c r="Z19" s="52">
        <v>1500</v>
      </c>
      <c r="AA19" s="25"/>
      <c r="AB19" s="25"/>
    </row>
    <row r="20" spans="2:28">
      <c r="B20" s="39">
        <v>0.59305555555555556</v>
      </c>
      <c r="C20" s="39" t="s">
        <v>293</v>
      </c>
      <c r="D20" s="40">
        <v>1</v>
      </c>
      <c r="E20" s="41">
        <v>1</v>
      </c>
      <c r="F20" s="41" t="s">
        <v>279</v>
      </c>
      <c r="G20" s="42" t="s">
        <v>148</v>
      </c>
      <c r="H20" s="41" t="s">
        <v>147</v>
      </c>
      <c r="I20" s="42">
        <v>16</v>
      </c>
      <c r="J20" s="42">
        <v>8</v>
      </c>
      <c r="K20" s="25" t="str">
        <f>VLOOKUP(J20,Key!$E$2:$F$9,2,FALSE)</f>
        <v>Others</v>
      </c>
      <c r="L20" s="41" t="s">
        <v>153</v>
      </c>
      <c r="M20" s="42" t="s">
        <v>148</v>
      </c>
      <c r="N20" s="41" t="s">
        <v>147</v>
      </c>
      <c r="O20" s="42">
        <v>16</v>
      </c>
      <c r="P20" s="42">
        <v>8</v>
      </c>
      <c r="Q20" s="25" t="str">
        <f>VLOOKUP(P20,Key!$E$2:$F$9,2,FALSE)</f>
        <v>Others</v>
      </c>
      <c r="R20" s="25" t="str">
        <f t="shared" si="0"/>
        <v>Others-Others</v>
      </c>
      <c r="S20" s="43"/>
      <c r="T20" s="43">
        <v>0.3</v>
      </c>
      <c r="U20" s="42">
        <v>1</v>
      </c>
      <c r="V20" s="42"/>
      <c r="W20" s="43"/>
      <c r="X20" s="43"/>
      <c r="Y20" s="44" t="s">
        <v>149</v>
      </c>
      <c r="Z20" s="52"/>
      <c r="AA20" s="25"/>
      <c r="AB20" s="25"/>
    </row>
    <row r="21" spans="2:28">
      <c r="B21" s="39">
        <v>0.55763888888888891</v>
      </c>
      <c r="C21" s="39" t="s">
        <v>294</v>
      </c>
      <c r="D21" s="40">
        <v>11</v>
      </c>
      <c r="E21" s="41">
        <v>1</v>
      </c>
      <c r="F21" s="41" t="s">
        <v>295</v>
      </c>
      <c r="G21" s="42" t="s">
        <v>148</v>
      </c>
      <c r="H21" s="41" t="s">
        <v>147</v>
      </c>
      <c r="I21" s="42">
        <v>8</v>
      </c>
      <c r="J21" s="42">
        <v>2</v>
      </c>
      <c r="K21" s="25" t="str">
        <f>VLOOKUP(J21,Key!$E$2:$F$9,2,FALSE)</f>
        <v>Work</v>
      </c>
      <c r="L21" s="41" t="s">
        <v>152</v>
      </c>
      <c r="M21" s="42" t="s">
        <v>148</v>
      </c>
      <c r="N21" s="41" t="s">
        <v>147</v>
      </c>
      <c r="O21" s="42">
        <v>8</v>
      </c>
      <c r="P21" s="42">
        <v>2</v>
      </c>
      <c r="Q21" s="25" t="str">
        <f>VLOOKUP(P21,Key!$E$2:$F$9,2,FALSE)</f>
        <v>Work</v>
      </c>
      <c r="R21" s="25" t="str">
        <f t="shared" si="0"/>
        <v>Work-Work</v>
      </c>
      <c r="S21" s="43"/>
      <c r="T21" s="43">
        <v>0.3</v>
      </c>
      <c r="U21" s="42">
        <v>1</v>
      </c>
      <c r="V21" s="42"/>
      <c r="W21" s="43"/>
      <c r="X21" s="43"/>
      <c r="Y21" s="44" t="s">
        <v>149</v>
      </c>
      <c r="Z21" s="52"/>
      <c r="AA21" s="25"/>
      <c r="AB21" s="25"/>
    </row>
    <row r="22" spans="2:28">
      <c r="B22" s="39">
        <v>0.55555555555555558</v>
      </c>
      <c r="C22" s="39" t="s">
        <v>296</v>
      </c>
      <c r="D22" s="40">
        <v>1</v>
      </c>
      <c r="E22" s="41">
        <v>2</v>
      </c>
      <c r="F22" s="41" t="s">
        <v>279</v>
      </c>
      <c r="G22" s="42" t="s">
        <v>148</v>
      </c>
      <c r="H22" s="41" t="s">
        <v>147</v>
      </c>
      <c r="I22" s="42">
        <v>1</v>
      </c>
      <c r="J22" s="42">
        <v>1</v>
      </c>
      <c r="K22" s="25" t="str">
        <f>VLOOKUP(J22,Key!$E$2:$F$9,2,FALSE)</f>
        <v>Home</v>
      </c>
      <c r="L22" s="41" t="s">
        <v>297</v>
      </c>
      <c r="M22" s="42" t="s">
        <v>146</v>
      </c>
      <c r="N22" s="41" t="s">
        <v>147</v>
      </c>
      <c r="O22" s="42">
        <v>7</v>
      </c>
      <c r="P22" s="42">
        <v>8</v>
      </c>
      <c r="Q22" s="25" t="str">
        <f>VLOOKUP(P22,Key!$E$2:$F$9,2,FALSE)</f>
        <v>Others</v>
      </c>
      <c r="R22" s="25" t="str">
        <f t="shared" si="0"/>
        <v>Home-Others</v>
      </c>
      <c r="S22" s="43"/>
      <c r="T22" s="43">
        <v>1</v>
      </c>
      <c r="U22" s="42">
        <v>2</v>
      </c>
      <c r="V22" s="42"/>
      <c r="W22" s="43"/>
      <c r="X22" s="43"/>
      <c r="Y22" s="44" t="s">
        <v>149</v>
      </c>
      <c r="Z22" s="52">
        <v>1500</v>
      </c>
      <c r="AA22" s="25"/>
      <c r="AB22" s="25"/>
    </row>
    <row r="23" spans="2:28">
      <c r="B23" s="39">
        <v>0.5493055555555556</v>
      </c>
      <c r="C23" s="39" t="s">
        <v>298</v>
      </c>
      <c r="D23" s="40">
        <v>1</v>
      </c>
      <c r="E23" s="41">
        <v>1</v>
      </c>
      <c r="F23" s="41" t="s">
        <v>163</v>
      </c>
      <c r="G23" s="42" t="s">
        <v>148</v>
      </c>
      <c r="H23" s="41" t="s">
        <v>147</v>
      </c>
      <c r="I23" s="42">
        <v>1</v>
      </c>
      <c r="J23" s="42">
        <v>1</v>
      </c>
      <c r="K23" s="25" t="str">
        <f>VLOOKUP(J23,Key!$E$2:$F$9,2,FALSE)</f>
        <v>Home</v>
      </c>
      <c r="L23" s="41" t="s">
        <v>207</v>
      </c>
      <c r="M23" s="42" t="s">
        <v>146</v>
      </c>
      <c r="N23" s="41" t="s">
        <v>147</v>
      </c>
      <c r="O23" s="42">
        <v>16</v>
      </c>
      <c r="P23" s="42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43"/>
      <c r="T23" s="43">
        <v>0.3</v>
      </c>
      <c r="U23" s="42">
        <v>1</v>
      </c>
      <c r="V23" s="42"/>
      <c r="W23" s="43"/>
      <c r="X23" s="43"/>
      <c r="Y23" s="44" t="s">
        <v>149</v>
      </c>
      <c r="Z23" s="52">
        <v>500</v>
      </c>
      <c r="AA23" s="25"/>
      <c r="AB23" s="25"/>
    </row>
    <row r="24" spans="2:28">
      <c r="B24" s="39">
        <v>0.55208333333333337</v>
      </c>
      <c r="C24" s="39" t="s">
        <v>299</v>
      </c>
      <c r="D24" s="40">
        <v>8</v>
      </c>
      <c r="E24" s="41">
        <v>2</v>
      </c>
      <c r="F24" s="41" t="s">
        <v>279</v>
      </c>
      <c r="G24" s="42" t="s">
        <v>148</v>
      </c>
      <c r="H24" s="41" t="s">
        <v>147</v>
      </c>
      <c r="I24" s="42">
        <v>14</v>
      </c>
      <c r="J24" s="42">
        <v>2</v>
      </c>
      <c r="K24" s="25" t="str">
        <f>VLOOKUP(J24,Key!$E$2:$F$9,2,FALSE)</f>
        <v>Work</v>
      </c>
      <c r="L24" s="41" t="s">
        <v>152</v>
      </c>
      <c r="M24" s="42" t="s">
        <v>148</v>
      </c>
      <c r="N24" s="41" t="s">
        <v>147</v>
      </c>
      <c r="O24" s="42">
        <v>15</v>
      </c>
      <c r="P24" s="42">
        <v>2</v>
      </c>
      <c r="Q24" s="25" t="str">
        <f>VLOOKUP(P24,Key!$E$2:$F$9,2,FALSE)</f>
        <v>Work</v>
      </c>
      <c r="R24" s="25" t="str">
        <f t="shared" si="0"/>
        <v>Work-Work</v>
      </c>
      <c r="S24" s="43">
        <v>4.8499999999999996</v>
      </c>
      <c r="T24" s="43">
        <v>0.3</v>
      </c>
      <c r="U24" s="42">
        <v>3</v>
      </c>
      <c r="V24" s="42"/>
      <c r="W24" s="43"/>
      <c r="X24" s="43"/>
      <c r="Y24" s="44" t="s">
        <v>149</v>
      </c>
      <c r="Z24" s="52">
        <v>1000</v>
      </c>
      <c r="AA24" s="25"/>
      <c r="AB24" s="25"/>
    </row>
    <row r="25" spans="2:28">
      <c r="B25" s="39">
        <v>3.6805555555555557E-2</v>
      </c>
      <c r="C25" s="39" t="s">
        <v>300</v>
      </c>
      <c r="D25" s="40">
        <v>1</v>
      </c>
      <c r="E25" s="41">
        <v>2</v>
      </c>
      <c r="F25" s="41" t="s">
        <v>301</v>
      </c>
      <c r="G25" s="42" t="s">
        <v>148</v>
      </c>
      <c r="H25" s="41" t="s">
        <v>147</v>
      </c>
      <c r="I25" s="42">
        <v>1</v>
      </c>
      <c r="J25" s="42">
        <v>1</v>
      </c>
      <c r="K25" s="25" t="str">
        <f>VLOOKUP(J25,Key!$E$2:$F$9,2,FALSE)</f>
        <v>Home</v>
      </c>
      <c r="L25" s="41" t="s">
        <v>152</v>
      </c>
      <c r="M25" s="42" t="s">
        <v>148</v>
      </c>
      <c r="N25" s="41" t="s">
        <v>147</v>
      </c>
      <c r="O25" s="42">
        <v>16</v>
      </c>
      <c r="P25" s="42">
        <v>8</v>
      </c>
      <c r="Q25" s="25" t="str">
        <f>VLOOKUP(P25,Key!$E$2:$F$9,2,FALSE)</f>
        <v>Others</v>
      </c>
      <c r="R25" s="25" t="str">
        <f t="shared" si="0"/>
        <v>Home-Others</v>
      </c>
      <c r="S25" s="43">
        <v>3</v>
      </c>
      <c r="T25" s="43">
        <v>0.2</v>
      </c>
      <c r="U25" s="42">
        <v>1</v>
      </c>
      <c r="V25" s="42"/>
      <c r="W25" s="43"/>
      <c r="X25" s="43"/>
      <c r="Y25" s="44" t="s">
        <v>149</v>
      </c>
      <c r="Z25" s="52">
        <v>1000</v>
      </c>
      <c r="AA25" s="25"/>
      <c r="AB25" s="25"/>
    </row>
    <row r="26" spans="2:28">
      <c r="B26" s="39">
        <v>0.5395833333333333</v>
      </c>
      <c r="C26" s="39" t="s">
        <v>302</v>
      </c>
      <c r="D26" s="40">
        <v>4</v>
      </c>
      <c r="E26" s="41">
        <v>5</v>
      </c>
      <c r="F26" s="41" t="s">
        <v>260</v>
      </c>
      <c r="G26" s="42" t="s">
        <v>146</v>
      </c>
      <c r="H26" s="41" t="s">
        <v>147</v>
      </c>
      <c r="I26" s="42">
        <v>6</v>
      </c>
      <c r="J26" s="42">
        <v>2</v>
      </c>
      <c r="K26" s="25" t="str">
        <f>VLOOKUP(J26,Key!$E$2:$F$9,2,FALSE)</f>
        <v>Work</v>
      </c>
      <c r="L26" s="41" t="s">
        <v>152</v>
      </c>
      <c r="M26" s="42" t="s">
        <v>148</v>
      </c>
      <c r="N26" s="41" t="s">
        <v>147</v>
      </c>
      <c r="O26" s="42">
        <v>6</v>
      </c>
      <c r="P26" s="42">
        <v>2</v>
      </c>
      <c r="Q26" s="25" t="str">
        <f>VLOOKUP(P26,Key!$E$2:$F$9,2,FALSE)</f>
        <v>Work</v>
      </c>
      <c r="R26" s="25" t="str">
        <f t="shared" si="0"/>
        <v>Work-Work</v>
      </c>
      <c r="S26" s="43"/>
      <c r="T26" s="43">
        <v>0.5</v>
      </c>
      <c r="U26" s="42">
        <v>1</v>
      </c>
      <c r="V26" s="42"/>
      <c r="W26" s="43"/>
      <c r="X26" s="43"/>
      <c r="Y26" s="44" t="s">
        <v>149</v>
      </c>
      <c r="Z26" s="52"/>
      <c r="AA26" s="25"/>
      <c r="AB26" s="25"/>
    </row>
    <row r="27" spans="2:28">
      <c r="B27" s="39">
        <v>0.53055555555555556</v>
      </c>
      <c r="C27" s="39" t="s">
        <v>303</v>
      </c>
      <c r="D27" s="40">
        <v>1</v>
      </c>
      <c r="E27" s="41">
        <v>2</v>
      </c>
      <c r="F27" s="41" t="s">
        <v>161</v>
      </c>
      <c r="G27" s="42" t="s">
        <v>148</v>
      </c>
      <c r="H27" s="41" t="s">
        <v>147</v>
      </c>
      <c r="I27" s="42">
        <v>1</v>
      </c>
      <c r="J27" s="42">
        <v>1</v>
      </c>
      <c r="K27" s="25" t="str">
        <f>VLOOKUP(J27,Key!$E$2:$F$9,2,FALSE)</f>
        <v>Home</v>
      </c>
      <c r="L27" s="41" t="s">
        <v>152</v>
      </c>
      <c r="M27" s="42" t="s">
        <v>148</v>
      </c>
      <c r="N27" s="41" t="s">
        <v>147</v>
      </c>
      <c r="O27" s="42">
        <v>10</v>
      </c>
      <c r="P27" s="42">
        <v>8</v>
      </c>
      <c r="Q27" s="25" t="str">
        <f>VLOOKUP(P27,Key!$E$2:$F$9,2,FALSE)</f>
        <v>Others</v>
      </c>
      <c r="R27" s="25" t="str">
        <f t="shared" si="0"/>
        <v>Home-Others</v>
      </c>
      <c r="S27" s="43"/>
      <c r="T27" s="43">
        <v>1</v>
      </c>
      <c r="U27" s="42">
        <v>3</v>
      </c>
      <c r="V27" s="42"/>
      <c r="W27" s="43"/>
      <c r="X27" s="43"/>
      <c r="Y27" s="44" t="s">
        <v>149</v>
      </c>
      <c r="Z27" s="52">
        <v>500</v>
      </c>
      <c r="AA27" s="25"/>
      <c r="AB27" s="25"/>
    </row>
    <row r="28" spans="2:28">
      <c r="B28" s="39">
        <v>0.52708333333333335</v>
      </c>
      <c r="C28" s="39" t="s">
        <v>304</v>
      </c>
      <c r="D28" s="40">
        <v>1</v>
      </c>
      <c r="E28" s="41">
        <v>2</v>
      </c>
      <c r="F28" s="41" t="s">
        <v>305</v>
      </c>
      <c r="G28" s="42" t="s">
        <v>148</v>
      </c>
      <c r="H28" s="41" t="s">
        <v>147</v>
      </c>
      <c r="I28" s="42">
        <v>1</v>
      </c>
      <c r="J28" s="42">
        <v>1</v>
      </c>
      <c r="K28" s="25" t="str">
        <f>VLOOKUP(J28,Key!$E$2:$F$9,2,FALSE)</f>
        <v>Home</v>
      </c>
      <c r="L28" s="41" t="s">
        <v>158</v>
      </c>
      <c r="M28" s="42" t="s">
        <v>146</v>
      </c>
      <c r="N28" s="41" t="s">
        <v>147</v>
      </c>
      <c r="O28" s="42">
        <v>5</v>
      </c>
      <c r="P28" s="42">
        <v>7</v>
      </c>
      <c r="Q28" s="25" t="str">
        <f>VLOOKUP(P28,Key!$E$2:$F$9,2,FALSE)</f>
        <v>Hospital</v>
      </c>
      <c r="R28" s="25" t="str">
        <f t="shared" si="0"/>
        <v>Home-Hospital</v>
      </c>
      <c r="S28" s="43"/>
      <c r="T28" s="43">
        <v>1</v>
      </c>
      <c r="U28" s="42">
        <v>2</v>
      </c>
      <c r="V28" s="42"/>
      <c r="W28" s="43"/>
      <c r="X28" s="43"/>
      <c r="Y28" s="44" t="s">
        <v>149</v>
      </c>
      <c r="Z28" s="52">
        <v>500</v>
      </c>
      <c r="AA28" s="25"/>
      <c r="AB28" s="25"/>
    </row>
    <row r="29" spans="2:28">
      <c r="B29" s="39">
        <v>0.51458333333333328</v>
      </c>
      <c r="C29" s="39" t="s">
        <v>306</v>
      </c>
      <c r="D29" s="40">
        <v>7</v>
      </c>
      <c r="E29" s="41">
        <v>4</v>
      </c>
      <c r="F29" s="41" t="s">
        <v>250</v>
      </c>
      <c r="G29" s="42" t="s">
        <v>148</v>
      </c>
      <c r="H29" s="41" t="s">
        <v>147</v>
      </c>
      <c r="I29" s="42">
        <v>1</v>
      </c>
      <c r="J29" s="42">
        <v>1</v>
      </c>
      <c r="K29" s="25" t="str">
        <f>VLOOKUP(J29,Key!$E$2:$F$9,2,FALSE)</f>
        <v>Home</v>
      </c>
      <c r="L29" s="41" t="s">
        <v>152</v>
      </c>
      <c r="M29" s="42" t="s">
        <v>148</v>
      </c>
      <c r="N29" s="41" t="s">
        <v>147</v>
      </c>
      <c r="O29" s="42">
        <v>16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43">
        <v>8.0399999999999991</v>
      </c>
      <c r="T29" s="43">
        <v>2</v>
      </c>
      <c r="U29" s="42">
        <v>2</v>
      </c>
      <c r="V29" s="42"/>
      <c r="W29" s="43"/>
      <c r="X29" s="43"/>
      <c r="Y29" s="44" t="s">
        <v>149</v>
      </c>
      <c r="Z29" s="52">
        <v>1000</v>
      </c>
      <c r="AA29" s="25"/>
      <c r="AB29" s="25"/>
    </row>
    <row r="30" spans="2:28">
      <c r="B30" s="39">
        <v>0.50624999999999998</v>
      </c>
      <c r="C30" s="39" t="s">
        <v>307</v>
      </c>
      <c r="D30" s="40">
        <v>1</v>
      </c>
      <c r="E30" s="41">
        <v>3</v>
      </c>
      <c r="F30" s="41" t="s">
        <v>161</v>
      </c>
      <c r="G30" s="42" t="s">
        <v>148</v>
      </c>
      <c r="H30" s="41" t="s">
        <v>147</v>
      </c>
      <c r="I30" s="42">
        <v>1</v>
      </c>
      <c r="J30" s="42">
        <v>1</v>
      </c>
      <c r="K30" s="25" t="str">
        <f>VLOOKUP(J30,Key!$E$2:$F$9,2,FALSE)</f>
        <v>Home</v>
      </c>
      <c r="L30" s="41" t="s">
        <v>181</v>
      </c>
      <c r="M30" s="42" t="s">
        <v>146</v>
      </c>
      <c r="N30" s="41" t="s">
        <v>147</v>
      </c>
      <c r="O30" s="42">
        <v>7</v>
      </c>
      <c r="P30" s="42">
        <v>2</v>
      </c>
      <c r="Q30" s="25" t="str">
        <f>VLOOKUP(P30,Key!$E$2:$F$9,2,FALSE)</f>
        <v>Work</v>
      </c>
      <c r="R30" s="25" t="str">
        <f t="shared" si="0"/>
        <v>Home-Work</v>
      </c>
      <c r="S30" s="43"/>
      <c r="T30" s="43">
        <v>0.8</v>
      </c>
      <c r="U30" s="42">
        <v>2</v>
      </c>
      <c r="V30" s="42"/>
      <c r="W30" s="43"/>
      <c r="X30" s="43"/>
      <c r="Y30" s="44" t="s">
        <v>149</v>
      </c>
      <c r="Z30" s="52">
        <v>500</v>
      </c>
      <c r="AA30" s="25"/>
      <c r="AB30" s="25"/>
    </row>
    <row r="31" spans="2:28">
      <c r="B31" s="39">
        <v>0.5</v>
      </c>
      <c r="C31" s="39" t="s">
        <v>308</v>
      </c>
      <c r="D31" s="40">
        <v>1</v>
      </c>
      <c r="E31" s="41">
        <v>2</v>
      </c>
      <c r="F31" s="41" t="s">
        <v>250</v>
      </c>
      <c r="G31" s="42" t="s">
        <v>148</v>
      </c>
      <c r="H31" s="41" t="s">
        <v>147</v>
      </c>
      <c r="I31" s="42">
        <v>1</v>
      </c>
      <c r="J31" s="42">
        <v>1</v>
      </c>
      <c r="K31" s="25" t="str">
        <f>VLOOKUP(J31,Key!$E$2:$F$9,2,FALSE)</f>
        <v>Home</v>
      </c>
      <c r="L31" s="41" t="s">
        <v>152</v>
      </c>
      <c r="M31" s="42" t="s">
        <v>148</v>
      </c>
      <c r="N31" s="41" t="s">
        <v>147</v>
      </c>
      <c r="O31" s="42">
        <v>9</v>
      </c>
      <c r="P31" s="42">
        <v>1</v>
      </c>
      <c r="Q31" s="25" t="str">
        <f>VLOOKUP(P31,Key!$E$2:$F$9,2,FALSE)</f>
        <v>Home</v>
      </c>
      <c r="R31" s="25" t="str">
        <f t="shared" si="0"/>
        <v>Home-Home</v>
      </c>
      <c r="S31" s="43"/>
      <c r="T31" s="43"/>
      <c r="U31" s="42">
        <v>1</v>
      </c>
      <c r="V31" s="42"/>
      <c r="W31" s="43"/>
      <c r="X31" s="43"/>
      <c r="Y31" s="44" t="s">
        <v>149</v>
      </c>
      <c r="Z31" s="52"/>
      <c r="AA31" s="25"/>
      <c r="AB31" s="25"/>
    </row>
    <row r="32" spans="2:28">
      <c r="B32" s="39">
        <v>0.49722222222222223</v>
      </c>
      <c r="C32" s="39" t="s">
        <v>309</v>
      </c>
      <c r="D32" s="40">
        <v>4</v>
      </c>
      <c r="E32" s="41">
        <v>12</v>
      </c>
      <c r="F32" s="41" t="s">
        <v>260</v>
      </c>
      <c r="G32" s="42" t="s">
        <v>146</v>
      </c>
      <c r="H32" s="41" t="s">
        <v>147</v>
      </c>
      <c r="I32" s="42">
        <v>6</v>
      </c>
      <c r="J32" s="42">
        <v>2</v>
      </c>
      <c r="K32" s="25" t="str">
        <f>VLOOKUP(J32,Key!$E$2:$F$9,2,FALSE)</f>
        <v>Work</v>
      </c>
      <c r="L32" s="41" t="s">
        <v>152</v>
      </c>
      <c r="M32" s="42" t="s">
        <v>148</v>
      </c>
      <c r="N32" s="41" t="s">
        <v>147</v>
      </c>
      <c r="O32" s="42">
        <v>6</v>
      </c>
      <c r="P32" s="42">
        <v>2</v>
      </c>
      <c r="Q32" s="25" t="str">
        <f>VLOOKUP(P32,Key!$E$2:$F$9,2,FALSE)</f>
        <v>Work</v>
      </c>
      <c r="R32" s="25" t="str">
        <f t="shared" si="0"/>
        <v>Work-Work</v>
      </c>
      <c r="S32" s="43">
        <v>11.26</v>
      </c>
      <c r="T32" s="43">
        <v>2</v>
      </c>
      <c r="U32" s="42">
        <v>1</v>
      </c>
      <c r="V32" s="42"/>
      <c r="W32" s="43"/>
      <c r="X32" s="43"/>
      <c r="Y32" s="44" t="s">
        <v>149</v>
      </c>
      <c r="Z32" s="52">
        <v>1000</v>
      </c>
      <c r="AA32" s="25"/>
      <c r="AB32" s="25"/>
    </row>
    <row r="33" spans="2:28">
      <c r="B33" s="39">
        <v>0.48680555555555555</v>
      </c>
      <c r="C33" s="39" t="s">
        <v>310</v>
      </c>
      <c r="D33" s="40">
        <v>1</v>
      </c>
      <c r="E33" s="41">
        <v>4</v>
      </c>
      <c r="F33" s="41" t="s">
        <v>163</v>
      </c>
      <c r="G33" s="42" t="s">
        <v>148</v>
      </c>
      <c r="H33" s="41" t="s">
        <v>147</v>
      </c>
      <c r="I33" s="42">
        <v>1</v>
      </c>
      <c r="J33" s="42">
        <v>1</v>
      </c>
      <c r="K33" s="25" t="str">
        <f>VLOOKUP(J33,Key!$E$2:$F$9,2,FALSE)</f>
        <v>Home</v>
      </c>
      <c r="L33" s="41" t="s">
        <v>311</v>
      </c>
      <c r="M33" s="42" t="s">
        <v>146</v>
      </c>
      <c r="N33" s="41" t="s">
        <v>147</v>
      </c>
      <c r="O33" s="42">
        <v>16</v>
      </c>
      <c r="P33" s="42">
        <v>8</v>
      </c>
      <c r="Q33" s="25" t="str">
        <f>VLOOKUP(P33,Key!$E$2:$F$9,2,FALSE)</f>
        <v>Others</v>
      </c>
      <c r="R33" s="25" t="str">
        <f t="shared" si="0"/>
        <v>Home-Others</v>
      </c>
      <c r="S33" s="43">
        <v>12</v>
      </c>
      <c r="T33" s="43">
        <v>0.5</v>
      </c>
      <c r="U33" s="42">
        <v>3</v>
      </c>
      <c r="V33" s="42"/>
      <c r="W33" s="43"/>
      <c r="X33" s="43"/>
      <c r="Y33" s="44" t="s">
        <v>149</v>
      </c>
      <c r="Z33" s="52">
        <v>2000</v>
      </c>
      <c r="AA33" s="25"/>
      <c r="AB33" s="25"/>
    </row>
    <row r="34" spans="2:28">
      <c r="B34" s="39">
        <v>0.49027777777777781</v>
      </c>
      <c r="C34" s="39" t="s">
        <v>312</v>
      </c>
      <c r="D34" s="40">
        <v>11</v>
      </c>
      <c r="E34" s="41">
        <v>1</v>
      </c>
      <c r="F34" s="41" t="s">
        <v>161</v>
      </c>
      <c r="G34" s="42" t="s">
        <v>148</v>
      </c>
      <c r="H34" s="41" t="s">
        <v>147</v>
      </c>
      <c r="I34" s="42">
        <v>9</v>
      </c>
      <c r="J34" s="42">
        <v>2</v>
      </c>
      <c r="K34" s="25" t="str">
        <f>VLOOKUP(J34,Key!$E$2:$F$9,2,FALSE)</f>
        <v>Work</v>
      </c>
      <c r="L34" s="41" t="s">
        <v>313</v>
      </c>
      <c r="M34" s="42" t="s">
        <v>148</v>
      </c>
      <c r="N34" s="41" t="s">
        <v>147</v>
      </c>
      <c r="O34" s="42">
        <v>9</v>
      </c>
      <c r="P34" s="42">
        <v>2</v>
      </c>
      <c r="Q34" s="25" t="str">
        <f>VLOOKUP(P34,Key!$E$2:$F$9,2,FALSE)</f>
        <v>Work</v>
      </c>
      <c r="R34" s="25" t="str">
        <f t="shared" si="0"/>
        <v>Work-Work</v>
      </c>
      <c r="S34" s="43"/>
      <c r="T34" s="43">
        <v>1</v>
      </c>
      <c r="U34" s="42">
        <v>2</v>
      </c>
      <c r="V34" s="42"/>
      <c r="W34" s="43"/>
      <c r="X34" s="43"/>
      <c r="Y34" s="44" t="s">
        <v>149</v>
      </c>
      <c r="Z34" s="52">
        <v>500</v>
      </c>
      <c r="AA34" s="25"/>
      <c r="AB34" s="25"/>
    </row>
    <row r="35" spans="2:28">
      <c r="B35" s="39">
        <v>0.45277777777777778</v>
      </c>
      <c r="C35" s="39" t="s">
        <v>314</v>
      </c>
      <c r="D35" s="40">
        <v>4</v>
      </c>
      <c r="E35" s="41">
        <v>8</v>
      </c>
      <c r="F35" s="41" t="s">
        <v>145</v>
      </c>
      <c r="G35" s="42" t="s">
        <v>146</v>
      </c>
      <c r="H35" s="41" t="s">
        <v>147</v>
      </c>
      <c r="I35" s="42">
        <v>1</v>
      </c>
      <c r="J35" s="42">
        <v>1</v>
      </c>
      <c r="K35" s="25" t="str">
        <f>VLOOKUP(J35,Key!$E$2:$F$9,2,FALSE)</f>
        <v>Home</v>
      </c>
      <c r="L35" s="41" t="s">
        <v>315</v>
      </c>
      <c r="M35" s="42" t="s">
        <v>148</v>
      </c>
      <c r="N35" s="41" t="s">
        <v>147</v>
      </c>
      <c r="O35" s="42">
        <v>16</v>
      </c>
      <c r="P35" s="42">
        <v>8</v>
      </c>
      <c r="Q35" s="25" t="str">
        <f>VLOOKUP(P35,Key!$E$2:$F$9,2,FALSE)</f>
        <v>Others</v>
      </c>
      <c r="R35" s="25" t="str">
        <f t="shared" si="0"/>
        <v>Home-Others</v>
      </c>
      <c r="S35" s="43">
        <v>8</v>
      </c>
      <c r="T35" s="43">
        <v>0.5</v>
      </c>
      <c r="U35" s="42">
        <v>4</v>
      </c>
      <c r="V35" s="42"/>
      <c r="W35" s="43"/>
      <c r="X35" s="43"/>
      <c r="Y35" s="44" t="s">
        <v>149</v>
      </c>
      <c r="Z35" s="52">
        <v>1000</v>
      </c>
      <c r="AA35" s="25"/>
      <c r="AB35" s="25"/>
    </row>
    <row r="36" spans="2:28">
      <c r="B36" s="39">
        <v>0.45694444444444443</v>
      </c>
      <c r="C36" s="39" t="s">
        <v>316</v>
      </c>
      <c r="D36" s="40">
        <v>2</v>
      </c>
      <c r="E36" s="41">
        <v>1</v>
      </c>
      <c r="F36" s="41" t="s">
        <v>279</v>
      </c>
      <c r="G36" s="42" t="s">
        <v>148</v>
      </c>
      <c r="H36" s="41" t="s">
        <v>147</v>
      </c>
      <c r="I36" s="42">
        <v>1</v>
      </c>
      <c r="J36" s="42">
        <v>1</v>
      </c>
      <c r="K36" s="25" t="str">
        <f>VLOOKUP(J36,Key!$E$2:$F$9,2,FALSE)</f>
        <v>Home</v>
      </c>
      <c r="L36" s="41" t="s">
        <v>153</v>
      </c>
      <c r="M36" s="42" t="s">
        <v>148</v>
      </c>
      <c r="N36" s="41" t="s">
        <v>147</v>
      </c>
      <c r="O36" s="42">
        <v>16</v>
      </c>
      <c r="P36" s="42">
        <v>2</v>
      </c>
      <c r="Q36" s="25" t="str">
        <f>VLOOKUP(P36,Key!$E$2:$F$9,2,FALSE)</f>
        <v>Work</v>
      </c>
      <c r="R36" s="25" t="str">
        <f t="shared" si="0"/>
        <v>Home-Work</v>
      </c>
      <c r="S36" s="43"/>
      <c r="T36" s="43">
        <v>1.5</v>
      </c>
      <c r="U36" s="42">
        <v>3</v>
      </c>
      <c r="V36" s="42"/>
      <c r="W36" s="43"/>
      <c r="X36" s="43"/>
      <c r="Y36" s="44" t="s">
        <v>149</v>
      </c>
      <c r="Z36" s="52">
        <v>4000</v>
      </c>
      <c r="AA36" s="25"/>
      <c r="AB36" s="25"/>
    </row>
    <row r="37" spans="2:28">
      <c r="B37" s="39">
        <v>0.44097222222222227</v>
      </c>
      <c r="C37" s="39" t="s">
        <v>317</v>
      </c>
      <c r="D37" s="40">
        <v>1</v>
      </c>
      <c r="E37" s="41">
        <v>2</v>
      </c>
      <c r="F37" s="41" t="s">
        <v>279</v>
      </c>
      <c r="G37" s="42" t="s">
        <v>148</v>
      </c>
      <c r="H37" s="41" t="s">
        <v>147</v>
      </c>
      <c r="I37" s="42">
        <v>1</v>
      </c>
      <c r="J37" s="42">
        <v>1</v>
      </c>
      <c r="K37" s="25" t="str">
        <f>VLOOKUP(J37,Key!$E$2:$F$9,2,FALSE)</f>
        <v>Home</v>
      </c>
      <c r="L37" s="41" t="s">
        <v>318</v>
      </c>
      <c r="M37" s="42" t="s">
        <v>146</v>
      </c>
      <c r="N37" s="41" t="s">
        <v>147</v>
      </c>
      <c r="O37" s="42">
        <v>16</v>
      </c>
      <c r="P37" s="42">
        <v>6</v>
      </c>
      <c r="Q37" s="25" t="str">
        <f>VLOOKUP(P37,Key!$E$2:$F$9,2,FALSE)</f>
        <v>Leisure/Social</v>
      </c>
      <c r="R37" s="25" t="str">
        <f t="shared" si="0"/>
        <v>Home-Leisure/Social</v>
      </c>
      <c r="S37" s="43">
        <v>10</v>
      </c>
      <c r="T37" s="43">
        <v>1</v>
      </c>
      <c r="U37" s="42">
        <v>1</v>
      </c>
      <c r="V37" s="42"/>
      <c r="W37" s="43"/>
      <c r="X37" s="43"/>
      <c r="Y37" s="44" t="s">
        <v>149</v>
      </c>
      <c r="Z37" s="52">
        <v>200</v>
      </c>
      <c r="AA37" s="25"/>
      <c r="AB37" s="25"/>
    </row>
    <row r="38" spans="2:28">
      <c r="B38" s="39">
        <v>0.44861111111111113</v>
      </c>
      <c r="C38" s="39" t="s">
        <v>319</v>
      </c>
      <c r="D38" s="40">
        <v>1</v>
      </c>
      <c r="E38" s="41">
        <v>4</v>
      </c>
      <c r="F38" s="41" t="s">
        <v>279</v>
      </c>
      <c r="G38" s="42" t="s">
        <v>148</v>
      </c>
      <c r="H38" s="41" t="s">
        <v>147</v>
      </c>
      <c r="I38" s="42">
        <v>1</v>
      </c>
      <c r="J38" s="42">
        <v>1</v>
      </c>
      <c r="K38" s="25" t="str">
        <f>VLOOKUP(J38,Key!$E$2:$F$9,2,FALSE)</f>
        <v>Home</v>
      </c>
      <c r="L38" s="41" t="s">
        <v>285</v>
      </c>
      <c r="M38" s="42" t="s">
        <v>146</v>
      </c>
      <c r="N38" s="41" t="s">
        <v>147</v>
      </c>
      <c r="O38" s="42">
        <v>2</v>
      </c>
      <c r="P38" s="42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3"/>
      <c r="T38" s="43">
        <v>0.8</v>
      </c>
      <c r="U38" s="42">
        <v>1</v>
      </c>
      <c r="V38" s="42"/>
      <c r="W38" s="43"/>
      <c r="X38" s="43"/>
      <c r="Y38" s="44" t="s">
        <v>149</v>
      </c>
      <c r="Z38" s="52">
        <v>3000</v>
      </c>
      <c r="AA38" s="25"/>
      <c r="AB38" s="25"/>
    </row>
    <row r="39" spans="2:28">
      <c r="B39" s="39">
        <v>0.43263888888888885</v>
      </c>
      <c r="C39" s="39" t="s">
        <v>320</v>
      </c>
      <c r="D39" s="40">
        <v>11</v>
      </c>
      <c r="E39" s="41">
        <v>2</v>
      </c>
      <c r="F39" s="41" t="s">
        <v>321</v>
      </c>
      <c r="G39" s="42" t="s">
        <v>148</v>
      </c>
      <c r="H39" s="41" t="s">
        <v>147</v>
      </c>
      <c r="I39" s="42">
        <v>8</v>
      </c>
      <c r="J39" s="42">
        <v>2</v>
      </c>
      <c r="K39" s="25" t="str">
        <f>VLOOKUP(J39,Key!$E$2:$F$9,2,FALSE)</f>
        <v>Work</v>
      </c>
      <c r="L39" s="41" t="s">
        <v>152</v>
      </c>
      <c r="M39" s="42" t="s">
        <v>148</v>
      </c>
      <c r="N39" s="41" t="s">
        <v>147</v>
      </c>
      <c r="O39" s="42">
        <v>8</v>
      </c>
      <c r="P39" s="42">
        <v>2</v>
      </c>
      <c r="Q39" s="25" t="str">
        <f>VLOOKUP(P39,Key!$E$2:$F$9,2,FALSE)</f>
        <v>Work</v>
      </c>
      <c r="R39" s="25" t="str">
        <f t="shared" si="1"/>
        <v>Work-Work</v>
      </c>
      <c r="S39" s="43"/>
      <c r="T39" s="43">
        <v>0.1</v>
      </c>
      <c r="U39" s="42">
        <v>2</v>
      </c>
      <c r="V39" s="42"/>
      <c r="W39" s="43"/>
      <c r="X39" s="43"/>
      <c r="Y39" s="44" t="s">
        <v>149</v>
      </c>
      <c r="Z39" s="52">
        <v>500</v>
      </c>
      <c r="AA39" s="25"/>
      <c r="AB39" s="25"/>
    </row>
    <row r="40" spans="2:28">
      <c r="B40" s="39">
        <v>0.43611111111111112</v>
      </c>
      <c r="C40" s="39" t="s">
        <v>322</v>
      </c>
      <c r="D40" s="40">
        <v>4</v>
      </c>
      <c r="E40" s="41">
        <v>2</v>
      </c>
      <c r="F40" s="41" t="s">
        <v>279</v>
      </c>
      <c r="G40" s="42" t="s">
        <v>148</v>
      </c>
      <c r="H40" s="41" t="s">
        <v>147</v>
      </c>
      <c r="I40" s="42">
        <v>1</v>
      </c>
      <c r="J40" s="42">
        <v>1</v>
      </c>
      <c r="K40" s="25" t="str">
        <f>VLOOKUP(J40,Key!$E$2:$F$9,2,FALSE)</f>
        <v>Home</v>
      </c>
      <c r="L40" s="41" t="s">
        <v>323</v>
      </c>
      <c r="M40" s="42" t="s">
        <v>148</v>
      </c>
      <c r="N40" s="41" t="s">
        <v>147</v>
      </c>
      <c r="O40" s="42">
        <v>16</v>
      </c>
      <c r="P40" s="42">
        <v>8</v>
      </c>
      <c r="Q40" s="25" t="str">
        <f>VLOOKUP(P40,Key!$E$2:$F$9,2,FALSE)</f>
        <v>Others</v>
      </c>
      <c r="R40" s="25" t="str">
        <f t="shared" si="1"/>
        <v>Home-Others</v>
      </c>
      <c r="S40" s="43">
        <v>3</v>
      </c>
      <c r="T40" s="43">
        <v>0.3</v>
      </c>
      <c r="U40" s="42">
        <v>3</v>
      </c>
      <c r="V40" s="42"/>
      <c r="W40" s="43"/>
      <c r="X40" s="43"/>
      <c r="Y40" s="44" t="s">
        <v>149</v>
      </c>
      <c r="Z40" s="52"/>
      <c r="AA40" s="25"/>
      <c r="AB40" s="25"/>
    </row>
    <row r="41" spans="2:28">
      <c r="B41" s="39">
        <v>0.41805555555555557</v>
      </c>
      <c r="C41" s="39" t="s">
        <v>324</v>
      </c>
      <c r="D41" s="40">
        <v>4</v>
      </c>
      <c r="E41" s="41">
        <v>14</v>
      </c>
      <c r="F41" s="41" t="s">
        <v>181</v>
      </c>
      <c r="G41" s="42" t="s">
        <v>146</v>
      </c>
      <c r="H41" s="41" t="s">
        <v>147</v>
      </c>
      <c r="I41" s="42">
        <v>6</v>
      </c>
      <c r="J41" s="42">
        <v>2</v>
      </c>
      <c r="K41" s="25" t="str">
        <f>VLOOKUP(J41,Key!$E$2:$F$9,2,FALSE)</f>
        <v>Work</v>
      </c>
      <c r="L41" s="41" t="s">
        <v>152</v>
      </c>
      <c r="M41" s="42" t="s">
        <v>148</v>
      </c>
      <c r="N41" s="41" t="s">
        <v>147</v>
      </c>
      <c r="O41" s="42">
        <v>6</v>
      </c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43">
        <v>12</v>
      </c>
      <c r="T41" s="43">
        <v>2</v>
      </c>
      <c r="U41" s="42">
        <v>1</v>
      </c>
      <c r="V41" s="42"/>
      <c r="W41" s="43"/>
      <c r="X41" s="43"/>
      <c r="Y41" s="44" t="s">
        <v>149</v>
      </c>
      <c r="Z41" s="52">
        <v>500</v>
      </c>
      <c r="AA41" s="25"/>
      <c r="AB41" s="25"/>
    </row>
    <row r="42" spans="2:28">
      <c r="B42" s="39">
        <v>0.4236111111111111</v>
      </c>
      <c r="C42" s="39" t="s">
        <v>325</v>
      </c>
      <c r="D42" s="40">
        <v>1</v>
      </c>
      <c r="E42" s="41">
        <v>2</v>
      </c>
      <c r="F42" s="41" t="s">
        <v>161</v>
      </c>
      <c r="G42" s="42" t="s">
        <v>148</v>
      </c>
      <c r="H42" s="41" t="s">
        <v>147</v>
      </c>
      <c r="I42" s="42">
        <v>1</v>
      </c>
      <c r="J42" s="42">
        <v>1</v>
      </c>
      <c r="K42" s="25" t="str">
        <f>VLOOKUP(J42,Key!$E$2:$F$9,2,FALSE)</f>
        <v>Home</v>
      </c>
      <c r="L42" s="41" t="s">
        <v>158</v>
      </c>
      <c r="M42" s="42" t="s">
        <v>146</v>
      </c>
      <c r="N42" s="41" t="s">
        <v>147</v>
      </c>
      <c r="O42" s="42">
        <v>7</v>
      </c>
      <c r="P42" s="42">
        <v>8</v>
      </c>
      <c r="Q42" s="25" t="str">
        <f>VLOOKUP(P42,Key!$E$2:$F$9,2,FALSE)</f>
        <v>Others</v>
      </c>
      <c r="R42" s="25" t="str">
        <f t="shared" si="1"/>
        <v>Home-Others</v>
      </c>
      <c r="S42" s="43"/>
      <c r="T42" s="43">
        <v>0.8</v>
      </c>
      <c r="U42" s="42">
        <v>1</v>
      </c>
      <c r="V42" s="42"/>
      <c r="W42" s="43"/>
      <c r="X42" s="43"/>
      <c r="Y42" s="44" t="s">
        <v>149</v>
      </c>
      <c r="Z42" s="52"/>
      <c r="AA42" s="25"/>
      <c r="AB42" s="25"/>
    </row>
    <row r="43" spans="2:28">
      <c r="B43" s="39">
        <v>0.41180555555555554</v>
      </c>
      <c r="C43" s="39" t="s">
        <v>326</v>
      </c>
      <c r="D43" s="40">
        <v>4</v>
      </c>
      <c r="E43" s="41">
        <v>13</v>
      </c>
      <c r="F43" s="41" t="s">
        <v>181</v>
      </c>
      <c r="G43" s="42" t="s">
        <v>146</v>
      </c>
      <c r="H43" s="41" t="s">
        <v>147</v>
      </c>
      <c r="I43" s="42">
        <v>6</v>
      </c>
      <c r="J43" s="42">
        <v>2</v>
      </c>
      <c r="K43" s="25" t="str">
        <f>VLOOKUP(J43,Key!$E$2:$F$9,2,FALSE)</f>
        <v>Work</v>
      </c>
      <c r="L43" s="41" t="s">
        <v>204</v>
      </c>
      <c r="M43" s="42" t="s">
        <v>148</v>
      </c>
      <c r="N43" s="41" t="s">
        <v>147</v>
      </c>
      <c r="O43" s="42">
        <v>16</v>
      </c>
      <c r="P43" s="42">
        <v>2</v>
      </c>
      <c r="Q43" s="25" t="str">
        <f>VLOOKUP(P43,Key!$E$2:$F$9,2,FALSE)</f>
        <v>Work</v>
      </c>
      <c r="R43" s="25" t="str">
        <f t="shared" si="1"/>
        <v>Work-Work</v>
      </c>
      <c r="S43" s="43"/>
      <c r="T43" s="43"/>
      <c r="U43" s="42">
        <v>1</v>
      </c>
      <c r="V43" s="42"/>
      <c r="W43" s="43"/>
      <c r="X43" s="43"/>
      <c r="Y43" s="44" t="s">
        <v>149</v>
      </c>
      <c r="Z43" s="52">
        <v>1000</v>
      </c>
      <c r="AA43" s="25"/>
      <c r="AB43" s="25"/>
    </row>
    <row r="44" spans="2:28">
      <c r="B44" s="39">
        <v>0.41666666666666669</v>
      </c>
      <c r="C44" s="39" t="s">
        <v>327</v>
      </c>
      <c r="D44" s="40">
        <v>4</v>
      </c>
      <c r="E44" s="41">
        <v>10</v>
      </c>
      <c r="F44" s="41" t="s">
        <v>328</v>
      </c>
      <c r="G44" s="42" t="s">
        <v>146</v>
      </c>
      <c r="H44" s="41" t="s">
        <v>147</v>
      </c>
      <c r="I44" s="42">
        <v>6</v>
      </c>
      <c r="J44" s="42">
        <v>2</v>
      </c>
      <c r="K44" s="25" t="str">
        <f>VLOOKUP(J44,Key!$E$2:$F$9,2,FALSE)</f>
        <v>Work</v>
      </c>
      <c r="L44" s="41" t="s">
        <v>152</v>
      </c>
      <c r="M44" s="42" t="s">
        <v>148</v>
      </c>
      <c r="N44" s="41" t="s">
        <v>147</v>
      </c>
      <c r="O44" s="42">
        <v>6</v>
      </c>
      <c r="P44" s="42">
        <v>2</v>
      </c>
      <c r="Q44" s="25" t="str">
        <f>VLOOKUP(P44,Key!$E$2:$F$9,2,FALSE)</f>
        <v>Work</v>
      </c>
      <c r="R44" s="25" t="str">
        <f t="shared" si="1"/>
        <v>Work-Work</v>
      </c>
      <c r="S44" s="43">
        <v>15</v>
      </c>
      <c r="T44" s="43">
        <v>1</v>
      </c>
      <c r="U44" s="42">
        <v>1</v>
      </c>
      <c r="V44" s="42"/>
      <c r="W44" s="43"/>
      <c r="X44" s="43"/>
      <c r="Y44" s="44" t="s">
        <v>149</v>
      </c>
      <c r="Z44" s="52">
        <v>1000</v>
      </c>
      <c r="AA44" s="25"/>
      <c r="AB44" s="25"/>
    </row>
    <row r="45" spans="2:28">
      <c r="B45" s="39">
        <v>0.40486111111111112</v>
      </c>
      <c r="C45" s="39" t="s">
        <v>329</v>
      </c>
      <c r="D45" s="40">
        <v>1</v>
      </c>
      <c r="E45" s="41">
        <v>1</v>
      </c>
      <c r="F45" s="41" t="s">
        <v>330</v>
      </c>
      <c r="G45" s="42" t="s">
        <v>148</v>
      </c>
      <c r="H45" s="41" t="s">
        <v>147</v>
      </c>
      <c r="I45" s="42">
        <v>1</v>
      </c>
      <c r="J45" s="42">
        <v>1</v>
      </c>
      <c r="K45" s="25" t="str">
        <f>VLOOKUP(J45,Key!$E$2:$F$9,2,FALSE)</f>
        <v>Home</v>
      </c>
      <c r="L45" s="41" t="s">
        <v>152</v>
      </c>
      <c r="M45" s="42" t="s">
        <v>148</v>
      </c>
      <c r="N45" s="41" t="s">
        <v>147</v>
      </c>
      <c r="O45" s="42">
        <v>16</v>
      </c>
      <c r="P45" s="42">
        <v>2</v>
      </c>
      <c r="Q45" s="25" t="str">
        <f>VLOOKUP(P45,Key!$E$2:$F$9,2,FALSE)</f>
        <v>Work</v>
      </c>
      <c r="R45" s="25" t="str">
        <f t="shared" si="1"/>
        <v>Home-Work</v>
      </c>
      <c r="S45" s="43"/>
      <c r="T45" s="43">
        <v>0.8</v>
      </c>
      <c r="U45" s="42">
        <v>2</v>
      </c>
      <c r="V45" s="42"/>
      <c r="W45" s="43"/>
      <c r="X45" s="43"/>
      <c r="Y45" s="44" t="s">
        <v>149</v>
      </c>
      <c r="Z45" s="52"/>
      <c r="AA45" s="25"/>
      <c r="AB45" s="25"/>
    </row>
    <row r="46" spans="2:28">
      <c r="B46" s="39">
        <v>0.40069444444444446</v>
      </c>
      <c r="C46" s="39" t="s">
        <v>331</v>
      </c>
      <c r="D46" s="40">
        <v>4</v>
      </c>
      <c r="E46" s="41">
        <v>1</v>
      </c>
      <c r="F46" s="41" t="s">
        <v>161</v>
      </c>
      <c r="G46" s="42" t="s">
        <v>148</v>
      </c>
      <c r="H46" s="41" t="s">
        <v>147</v>
      </c>
      <c r="I46" s="42">
        <v>1</v>
      </c>
      <c r="J46" s="42">
        <v>1</v>
      </c>
      <c r="K46" s="25" t="str">
        <f>VLOOKUP(J46,Key!$E$2:$F$9,2,FALSE)</f>
        <v>Home</v>
      </c>
      <c r="L46" s="41" t="s">
        <v>181</v>
      </c>
      <c r="M46" s="42" t="s">
        <v>146</v>
      </c>
      <c r="N46" s="41" t="s">
        <v>147</v>
      </c>
      <c r="O46" s="42">
        <v>3</v>
      </c>
      <c r="P46" s="42">
        <v>2</v>
      </c>
      <c r="Q46" s="25" t="str">
        <f>VLOOKUP(P46,Key!$E$2:$F$9,2,FALSE)</f>
        <v>Work</v>
      </c>
      <c r="R46" s="25" t="str">
        <f t="shared" si="1"/>
        <v>Home-Work</v>
      </c>
      <c r="S46" s="43"/>
      <c r="T46" s="43">
        <v>0.5</v>
      </c>
      <c r="U46" s="42">
        <v>2</v>
      </c>
      <c r="V46" s="42"/>
      <c r="W46" s="43"/>
      <c r="X46" s="43"/>
      <c r="Y46" s="44" t="s">
        <v>149</v>
      </c>
      <c r="Z46" s="52"/>
      <c r="AA46" s="25"/>
      <c r="AB46" s="25"/>
    </row>
    <row r="47" spans="2:28">
      <c r="B47" s="39">
        <v>0.39027777777777778</v>
      </c>
      <c r="C47" s="39" t="s">
        <v>332</v>
      </c>
      <c r="D47" s="40">
        <v>11</v>
      </c>
      <c r="E47" s="41">
        <v>1</v>
      </c>
      <c r="F47" s="41" t="s">
        <v>161</v>
      </c>
      <c r="G47" s="42" t="s">
        <v>148</v>
      </c>
      <c r="H47" s="41" t="s">
        <v>147</v>
      </c>
      <c r="I47" s="42">
        <v>8</v>
      </c>
      <c r="J47" s="42">
        <v>2</v>
      </c>
      <c r="K47" s="25" t="str">
        <f>VLOOKUP(J47,Key!$E$2:$F$9,2,FALSE)</f>
        <v>Work</v>
      </c>
      <c r="L47" s="41" t="s">
        <v>207</v>
      </c>
      <c r="M47" s="42" t="s">
        <v>146</v>
      </c>
      <c r="N47" s="41" t="s">
        <v>147</v>
      </c>
      <c r="O47" s="42">
        <v>8</v>
      </c>
      <c r="P47" s="42">
        <v>2</v>
      </c>
      <c r="Q47" s="25" t="str">
        <f>VLOOKUP(P47,Key!$E$2:$F$9,2,FALSE)</f>
        <v>Work</v>
      </c>
      <c r="R47" s="25" t="str">
        <f t="shared" si="1"/>
        <v>Work-Work</v>
      </c>
      <c r="S47" s="43">
        <v>5</v>
      </c>
      <c r="T47" s="43">
        <v>0.1</v>
      </c>
      <c r="U47" s="42">
        <v>1</v>
      </c>
      <c r="V47" s="42"/>
      <c r="W47" s="43"/>
      <c r="X47" s="43"/>
      <c r="Y47" s="44" t="s">
        <v>149</v>
      </c>
      <c r="Z47" s="52">
        <v>1000</v>
      </c>
      <c r="AA47" s="25"/>
      <c r="AB47" s="25"/>
    </row>
    <row r="48" spans="2:28">
      <c r="B48" s="39">
        <v>0.38055555555555554</v>
      </c>
      <c r="C48" s="39" t="s">
        <v>333</v>
      </c>
      <c r="D48" s="40">
        <v>3</v>
      </c>
      <c r="E48" s="41">
        <v>2</v>
      </c>
      <c r="F48" s="41" t="s">
        <v>279</v>
      </c>
      <c r="G48" s="42" t="s">
        <v>148</v>
      </c>
      <c r="H48" s="41" t="s">
        <v>147</v>
      </c>
      <c r="I48" s="42">
        <v>10</v>
      </c>
      <c r="J48" s="42">
        <v>2</v>
      </c>
      <c r="K48" s="25" t="str">
        <f>VLOOKUP(J48,Key!$E$2:$F$9,2,FALSE)</f>
        <v>Work</v>
      </c>
      <c r="L48" s="41" t="s">
        <v>334</v>
      </c>
      <c r="M48" s="42" t="s">
        <v>148</v>
      </c>
      <c r="N48" s="41" t="s">
        <v>147</v>
      </c>
      <c r="O48" s="42">
        <v>14</v>
      </c>
      <c r="P48" s="42">
        <v>2</v>
      </c>
      <c r="Q48" s="25" t="str">
        <f>VLOOKUP(P48,Key!$E$2:$F$9,2,FALSE)</f>
        <v>Work</v>
      </c>
      <c r="R48" s="25" t="str">
        <f t="shared" si="1"/>
        <v>Work-Work</v>
      </c>
      <c r="S48" s="43"/>
      <c r="T48" s="43">
        <v>0.5</v>
      </c>
      <c r="U48" s="42">
        <v>4</v>
      </c>
      <c r="V48" s="42"/>
      <c r="W48" s="43"/>
      <c r="X48" s="43"/>
      <c r="Y48" s="44" t="s">
        <v>149</v>
      </c>
      <c r="Z48" s="52">
        <v>1000</v>
      </c>
      <c r="AA48" s="25"/>
      <c r="AB48" s="25"/>
    </row>
    <row r="49" spans="2:28">
      <c r="B49" s="39">
        <v>0.37638888888888888</v>
      </c>
      <c r="C49" s="39" t="s">
        <v>335</v>
      </c>
      <c r="D49" s="40">
        <v>1</v>
      </c>
      <c r="E49" s="41">
        <v>1</v>
      </c>
      <c r="F49" s="41" t="s">
        <v>161</v>
      </c>
      <c r="G49" s="42" t="s">
        <v>148</v>
      </c>
      <c r="H49" s="41" t="s">
        <v>147</v>
      </c>
      <c r="I49" s="42">
        <v>1</v>
      </c>
      <c r="J49" s="42">
        <v>1</v>
      </c>
      <c r="K49" s="25" t="str">
        <f>VLOOKUP(J49,Key!$E$2:$F$9,2,FALSE)</f>
        <v>Home</v>
      </c>
      <c r="L49" s="41" t="s">
        <v>153</v>
      </c>
      <c r="M49" s="42" t="s">
        <v>148</v>
      </c>
      <c r="N49" s="41" t="s">
        <v>147</v>
      </c>
      <c r="O49" s="42">
        <v>16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43"/>
      <c r="T49" s="43">
        <v>1.5</v>
      </c>
      <c r="U49" s="42">
        <v>1</v>
      </c>
      <c r="V49" s="42"/>
      <c r="W49" s="43"/>
      <c r="X49" s="43"/>
      <c r="Y49" s="44" t="s">
        <v>149</v>
      </c>
      <c r="Z49" s="52">
        <v>1000</v>
      </c>
      <c r="AA49" s="25"/>
      <c r="AB49" s="25"/>
    </row>
    <row r="50" spans="2:28">
      <c r="B50" s="39">
        <v>0.34722222222222227</v>
      </c>
      <c r="C50" s="39" t="s">
        <v>336</v>
      </c>
      <c r="D50" s="40">
        <v>11</v>
      </c>
      <c r="E50" s="41">
        <v>1</v>
      </c>
      <c r="F50" s="41" t="s">
        <v>161</v>
      </c>
      <c r="G50" s="42" t="s">
        <v>148</v>
      </c>
      <c r="H50" s="41" t="s">
        <v>147</v>
      </c>
      <c r="I50" s="42">
        <v>8</v>
      </c>
      <c r="J50" s="42">
        <v>2</v>
      </c>
      <c r="K50" s="25" t="str">
        <f>VLOOKUP(J50,Key!$E$2:$F$9,2,FALSE)</f>
        <v>Work</v>
      </c>
      <c r="L50" s="41" t="s">
        <v>207</v>
      </c>
      <c r="M50" s="42" t="s">
        <v>146</v>
      </c>
      <c r="N50" s="41" t="s">
        <v>147</v>
      </c>
      <c r="O50" s="42">
        <v>8</v>
      </c>
      <c r="P50" s="42">
        <v>2</v>
      </c>
      <c r="Q50" s="25" t="str">
        <f>VLOOKUP(P50,Key!$E$2:$F$9,2,FALSE)</f>
        <v>Work</v>
      </c>
      <c r="R50" s="25" t="str">
        <f t="shared" si="1"/>
        <v>Work-Work</v>
      </c>
      <c r="S50" s="43">
        <v>3</v>
      </c>
      <c r="T50" s="43">
        <v>0.1</v>
      </c>
      <c r="U50" s="42">
        <v>1</v>
      </c>
      <c r="V50" s="42"/>
      <c r="W50" s="43"/>
      <c r="X50" s="43"/>
      <c r="Y50" s="44" t="s">
        <v>149</v>
      </c>
      <c r="Z50" s="52">
        <v>1000</v>
      </c>
      <c r="AA50" s="25"/>
      <c r="AB50" s="25"/>
    </row>
    <row r="51" spans="2:28">
      <c r="B51" s="39">
        <v>0.34166666666666662</v>
      </c>
      <c r="C51" s="39" t="s">
        <v>339</v>
      </c>
      <c r="D51" s="40">
        <v>1</v>
      </c>
      <c r="E51" s="41">
        <v>1</v>
      </c>
      <c r="F51" s="41" t="s">
        <v>186</v>
      </c>
      <c r="G51" s="42" t="s">
        <v>148</v>
      </c>
      <c r="H51" s="41" t="s">
        <v>147</v>
      </c>
      <c r="I51" s="42">
        <v>1</v>
      </c>
      <c r="J51" s="42">
        <v>1</v>
      </c>
      <c r="K51" s="25" t="str">
        <f>VLOOKUP(J51,Key!$E$2:$F$9,2,FALSE)</f>
        <v>Home</v>
      </c>
      <c r="L51" s="41" t="s">
        <v>337</v>
      </c>
      <c r="M51" s="42" t="s">
        <v>148</v>
      </c>
      <c r="N51" s="41" t="s">
        <v>147</v>
      </c>
      <c r="O51" s="42">
        <v>10</v>
      </c>
      <c r="P51" s="42">
        <v>2</v>
      </c>
      <c r="Q51" s="25" t="str">
        <f>VLOOKUP(P51,Key!$E$2:$F$9,2,FALSE)</f>
        <v>Work</v>
      </c>
      <c r="R51" s="25" t="str">
        <f t="shared" si="1"/>
        <v>Home-Work</v>
      </c>
      <c r="S51" s="43"/>
      <c r="T51" s="43">
        <v>0.45</v>
      </c>
      <c r="U51" s="42">
        <v>3</v>
      </c>
      <c r="V51" s="42"/>
      <c r="W51" s="43"/>
      <c r="X51" s="43"/>
      <c r="Y51" s="44" t="s">
        <v>149</v>
      </c>
      <c r="Z51" s="52">
        <v>2000</v>
      </c>
      <c r="AA51" s="25"/>
      <c r="AB51" s="25"/>
    </row>
    <row r="52" spans="2:28">
      <c r="B52" s="39">
        <v>0.33333333333333331</v>
      </c>
      <c r="C52" s="39" t="s">
        <v>338</v>
      </c>
      <c r="D52" s="40">
        <v>1</v>
      </c>
      <c r="E52" s="41">
        <v>10</v>
      </c>
      <c r="F52" s="41" t="s">
        <v>266</v>
      </c>
      <c r="G52" s="42" t="s">
        <v>148</v>
      </c>
      <c r="H52" s="41" t="s">
        <v>147</v>
      </c>
      <c r="I52" s="42">
        <v>16</v>
      </c>
      <c r="J52" s="42">
        <v>2</v>
      </c>
      <c r="K52" s="25" t="str">
        <f>VLOOKUP(J52,Key!$E$2:$F$9,2,FALSE)</f>
        <v>Work</v>
      </c>
      <c r="L52" s="41" t="s">
        <v>152</v>
      </c>
      <c r="M52" s="42" t="s">
        <v>148</v>
      </c>
      <c r="N52" s="41" t="s">
        <v>147</v>
      </c>
      <c r="O52" s="42">
        <v>6</v>
      </c>
      <c r="P52" s="42">
        <v>2</v>
      </c>
      <c r="Q52" s="25" t="str">
        <f>VLOOKUP(P52,Key!$E$2:$F$9,2,FALSE)</f>
        <v>Work</v>
      </c>
      <c r="R52" s="25" t="str">
        <f t="shared" si="1"/>
        <v>Work-Work</v>
      </c>
      <c r="S52" s="43">
        <v>8</v>
      </c>
      <c r="T52" s="43">
        <v>0.85</v>
      </c>
      <c r="U52" s="42">
        <v>1</v>
      </c>
      <c r="V52" s="42"/>
      <c r="W52" s="43"/>
      <c r="X52" s="43"/>
      <c r="Y52" s="44" t="s">
        <v>149</v>
      </c>
      <c r="Z52" s="52">
        <v>2000</v>
      </c>
      <c r="AA52" s="25"/>
      <c r="AB52" s="25"/>
    </row>
    <row r="53" spans="2:28">
      <c r="B53" s="39">
        <v>0.67152777777777783</v>
      </c>
      <c r="C53" s="39" t="s">
        <v>340</v>
      </c>
      <c r="D53" s="40">
        <v>4</v>
      </c>
      <c r="E53" s="41">
        <v>14</v>
      </c>
      <c r="F53" s="41" t="s">
        <v>158</v>
      </c>
      <c r="G53" s="42" t="s">
        <v>146</v>
      </c>
      <c r="H53" s="41" t="s">
        <v>147</v>
      </c>
      <c r="I53" s="42">
        <v>6</v>
      </c>
      <c r="J53" s="42">
        <v>2</v>
      </c>
      <c r="K53" s="25" t="str">
        <f>VLOOKUP(J53,Key!$E$2:$F$9,2,FALSE)</f>
        <v>Work</v>
      </c>
      <c r="L53" s="41" t="s">
        <v>152</v>
      </c>
      <c r="M53" s="42" t="s">
        <v>148</v>
      </c>
      <c r="N53" s="41" t="s">
        <v>147</v>
      </c>
      <c r="O53" s="42">
        <v>6</v>
      </c>
      <c r="P53" s="42">
        <v>2</v>
      </c>
      <c r="Q53" s="25" t="str">
        <f>VLOOKUP(P53,Key!$E$2:$F$9,2,FALSE)</f>
        <v>Work</v>
      </c>
      <c r="R53" s="25" t="str">
        <f t="shared" si="1"/>
        <v>Work-Work</v>
      </c>
      <c r="S53" s="43">
        <v>15</v>
      </c>
      <c r="T53" s="43">
        <v>1</v>
      </c>
      <c r="U53" s="42">
        <v>2</v>
      </c>
      <c r="V53" s="42"/>
      <c r="W53" s="43"/>
      <c r="X53" s="43"/>
      <c r="Y53" s="44" t="s">
        <v>149</v>
      </c>
      <c r="Z53" s="52">
        <v>2000</v>
      </c>
      <c r="AA53" s="25"/>
      <c r="AB53" s="25"/>
    </row>
    <row r="54" spans="2:28">
      <c r="B54" s="39">
        <v>0.67638888888888893</v>
      </c>
      <c r="C54" s="39" t="s">
        <v>341</v>
      </c>
      <c r="D54" s="40">
        <v>1</v>
      </c>
      <c r="E54" s="41">
        <v>1</v>
      </c>
      <c r="F54" s="41" t="s">
        <v>161</v>
      </c>
      <c r="G54" s="42" t="s">
        <v>148</v>
      </c>
      <c r="H54" s="41" t="s">
        <v>147</v>
      </c>
      <c r="I54" s="42">
        <v>16</v>
      </c>
      <c r="J54" s="42">
        <v>8</v>
      </c>
      <c r="K54" s="25" t="str">
        <f>VLOOKUP(J54,Key!$E$2:$F$9,2,FALSE)</f>
        <v>Others</v>
      </c>
      <c r="L54" s="41" t="s">
        <v>198</v>
      </c>
      <c r="M54" s="42" t="s">
        <v>148</v>
      </c>
      <c r="N54" s="41" t="s">
        <v>147</v>
      </c>
      <c r="O54" s="42">
        <v>1</v>
      </c>
      <c r="P54" s="42">
        <v>1</v>
      </c>
      <c r="Q54" s="25" t="str">
        <f>VLOOKUP(P54,Key!$E$2:$F$9,2,FALSE)</f>
        <v>Home</v>
      </c>
      <c r="R54" s="25" t="str">
        <f t="shared" si="1"/>
        <v>Others-Home</v>
      </c>
      <c r="S54" s="43">
        <v>5</v>
      </c>
      <c r="T54" s="43">
        <v>0.2</v>
      </c>
      <c r="U54" s="42">
        <v>3</v>
      </c>
      <c r="V54" s="42"/>
      <c r="W54" s="43"/>
      <c r="X54" s="43"/>
      <c r="Y54" s="44" t="s">
        <v>149</v>
      </c>
      <c r="Z54" s="52">
        <v>10000</v>
      </c>
      <c r="AA54" s="25"/>
      <c r="AB54" s="25"/>
    </row>
    <row r="55" spans="2:28">
      <c r="B55" s="39">
        <v>7.2916666666666671E-2</v>
      </c>
      <c r="C55" s="39" t="s">
        <v>342</v>
      </c>
      <c r="D55" s="40">
        <v>1</v>
      </c>
      <c r="E55" s="41">
        <v>2</v>
      </c>
      <c r="F55" s="41" t="s">
        <v>266</v>
      </c>
      <c r="G55" s="42" t="s">
        <v>148</v>
      </c>
      <c r="H55" s="41" t="s">
        <v>147</v>
      </c>
      <c r="I55" s="42">
        <v>16</v>
      </c>
      <c r="J55" s="42">
        <v>6</v>
      </c>
      <c r="K55" s="25" t="str">
        <f>VLOOKUP(J55,Key!$E$2:$F$9,2,FALSE)</f>
        <v>Leisure/Social</v>
      </c>
      <c r="L55" s="41" t="s">
        <v>152</v>
      </c>
      <c r="M55" s="42" t="s">
        <v>148</v>
      </c>
      <c r="N55" s="41" t="s">
        <v>147</v>
      </c>
      <c r="O55" s="42">
        <v>1</v>
      </c>
      <c r="P55" s="42">
        <v>1</v>
      </c>
      <c r="Q55" s="25" t="str">
        <f>VLOOKUP(P55,Key!$E$2:$F$9,2,FALSE)</f>
        <v>Home</v>
      </c>
      <c r="R55" s="25" t="str">
        <f t="shared" si="1"/>
        <v>Leisure/Social-Home</v>
      </c>
      <c r="S55" s="43"/>
      <c r="T55" s="43"/>
      <c r="U55" s="42">
        <v>1</v>
      </c>
      <c r="V55" s="42"/>
      <c r="W55" s="43"/>
      <c r="X55" s="43"/>
      <c r="Y55" s="44" t="s">
        <v>149</v>
      </c>
      <c r="Z55" s="52">
        <v>500</v>
      </c>
      <c r="AA55" s="25"/>
      <c r="AB55" s="25"/>
    </row>
    <row r="56" spans="2:28">
      <c r="B56" s="39">
        <v>9.375E-2</v>
      </c>
      <c r="C56" s="39" t="s">
        <v>343</v>
      </c>
      <c r="D56" s="40">
        <v>4</v>
      </c>
      <c r="E56" s="41">
        <v>2</v>
      </c>
      <c r="F56" s="41" t="s">
        <v>250</v>
      </c>
      <c r="G56" s="42" t="s">
        <v>148</v>
      </c>
      <c r="H56" s="41" t="s">
        <v>147</v>
      </c>
      <c r="I56" s="42">
        <v>6</v>
      </c>
      <c r="J56" s="42">
        <v>2</v>
      </c>
      <c r="K56" s="25" t="str">
        <f>VLOOKUP(J56,Key!$E$2:$F$9,2,FALSE)</f>
        <v>Work</v>
      </c>
      <c r="L56" s="41" t="s">
        <v>152</v>
      </c>
      <c r="M56" s="42" t="s">
        <v>148</v>
      </c>
      <c r="N56" s="41" t="s">
        <v>147</v>
      </c>
      <c r="O56" s="42">
        <v>6</v>
      </c>
      <c r="P56" s="42">
        <v>2</v>
      </c>
      <c r="Q56" s="25" t="str">
        <f>VLOOKUP(P56,Key!$E$2:$F$9,2,FALSE)</f>
        <v>Work</v>
      </c>
      <c r="R56" s="25" t="str">
        <f t="shared" si="1"/>
        <v>Work-Work</v>
      </c>
      <c r="S56" s="43"/>
      <c r="T56" s="43">
        <v>0.6</v>
      </c>
      <c r="U56" s="42">
        <v>1</v>
      </c>
      <c r="V56" s="42"/>
      <c r="W56" s="43"/>
      <c r="X56" s="43"/>
      <c r="Y56" s="44" t="s">
        <v>149</v>
      </c>
      <c r="Z56" s="52">
        <v>1000</v>
      </c>
      <c r="AA56" s="25"/>
      <c r="AB56" s="25"/>
    </row>
    <row r="57" spans="2:28">
      <c r="B57" s="39">
        <v>0.1111111111111111</v>
      </c>
      <c r="C57" s="39" t="s">
        <v>344</v>
      </c>
      <c r="D57" s="40">
        <v>4</v>
      </c>
      <c r="E57" s="41">
        <v>14</v>
      </c>
      <c r="F57" s="41" t="s">
        <v>345</v>
      </c>
      <c r="G57" s="42" t="s">
        <v>146</v>
      </c>
      <c r="H57" s="41" t="s">
        <v>147</v>
      </c>
      <c r="I57" s="42">
        <v>6</v>
      </c>
      <c r="J57" s="42">
        <v>2</v>
      </c>
      <c r="K57" s="25" t="str">
        <f>VLOOKUP(J57,Key!$E$2:$F$9,2,FALSE)</f>
        <v>Work</v>
      </c>
      <c r="L57" s="41" t="s">
        <v>152</v>
      </c>
      <c r="M57" s="42" t="s">
        <v>146</v>
      </c>
      <c r="N57" s="41" t="s">
        <v>147</v>
      </c>
      <c r="O57" s="42">
        <v>6</v>
      </c>
      <c r="P57" s="42">
        <v>2</v>
      </c>
      <c r="Q57" s="25" t="str">
        <f>VLOOKUP(P57,Key!$E$2:$F$9,2,FALSE)</f>
        <v>Work</v>
      </c>
      <c r="R57" s="25" t="str">
        <f t="shared" si="1"/>
        <v>Work-Work</v>
      </c>
      <c r="S57" s="43">
        <v>9</v>
      </c>
      <c r="T57" s="43">
        <v>0.9</v>
      </c>
      <c r="U57" s="42">
        <v>1</v>
      </c>
      <c r="V57" s="42"/>
      <c r="W57" s="43"/>
      <c r="X57" s="43"/>
      <c r="Y57" s="44" t="s">
        <v>149</v>
      </c>
      <c r="Z57" s="52">
        <v>800</v>
      </c>
      <c r="AA57" s="25"/>
      <c r="AB57" s="25"/>
    </row>
    <row r="58" spans="2:28">
      <c r="B58" s="39">
        <v>0.12847222222222224</v>
      </c>
      <c r="C58" s="39" t="s">
        <v>346</v>
      </c>
      <c r="D58" s="40">
        <v>4</v>
      </c>
      <c r="E58" s="41">
        <v>2</v>
      </c>
      <c r="F58" s="41" t="s">
        <v>279</v>
      </c>
      <c r="G58" s="42" t="s">
        <v>148</v>
      </c>
      <c r="H58" s="41" t="s">
        <v>147</v>
      </c>
      <c r="I58" s="42">
        <v>4</v>
      </c>
      <c r="J58" s="42">
        <v>3</v>
      </c>
      <c r="K58" s="25" t="str">
        <f>VLOOKUP(J58,Key!$E$2:$F$9,2,FALSE)</f>
        <v>Study</v>
      </c>
      <c r="L58" s="41" t="s">
        <v>204</v>
      </c>
      <c r="M58" s="42" t="s">
        <v>148</v>
      </c>
      <c r="N58" s="41" t="s">
        <v>147</v>
      </c>
      <c r="O58" s="42">
        <v>1</v>
      </c>
      <c r="P58" s="42">
        <v>1</v>
      </c>
      <c r="Q58" s="25" t="str">
        <f>VLOOKUP(P58,Key!$E$2:$F$9,2,FALSE)</f>
        <v>Home</v>
      </c>
      <c r="R58" s="25" t="str">
        <f t="shared" si="1"/>
        <v>Study-Home</v>
      </c>
      <c r="S58" s="43">
        <v>4</v>
      </c>
      <c r="T58" s="43">
        <v>0.6</v>
      </c>
      <c r="U58" s="42">
        <v>2</v>
      </c>
      <c r="V58" s="42"/>
      <c r="W58" s="43"/>
      <c r="X58" s="43"/>
      <c r="Y58" s="44" t="s">
        <v>149</v>
      </c>
      <c r="Z58" s="52">
        <v>1000</v>
      </c>
      <c r="AA58" s="25"/>
      <c r="AB58" s="25"/>
    </row>
    <row r="59" spans="2:28">
      <c r="B59" s="39">
        <v>0.14583333333333334</v>
      </c>
      <c r="C59" s="39" t="s">
        <v>347</v>
      </c>
      <c r="D59" s="40">
        <v>1</v>
      </c>
      <c r="E59" s="41">
        <v>1</v>
      </c>
      <c r="F59" s="41" t="s">
        <v>250</v>
      </c>
      <c r="G59" s="42" t="s">
        <v>148</v>
      </c>
      <c r="H59" s="41" t="s">
        <v>147</v>
      </c>
      <c r="I59" s="42">
        <v>16</v>
      </c>
      <c r="J59" s="42">
        <v>6</v>
      </c>
      <c r="K59" s="25" t="str">
        <f>VLOOKUP(J59,Key!$E$2:$F$9,2,FALSE)</f>
        <v>Leisure/Social</v>
      </c>
      <c r="L59" s="41" t="s">
        <v>207</v>
      </c>
      <c r="M59" s="42" t="s">
        <v>146</v>
      </c>
      <c r="N59" s="41" t="s">
        <v>147</v>
      </c>
      <c r="O59" s="42">
        <v>1</v>
      </c>
      <c r="P59" s="42">
        <v>1</v>
      </c>
      <c r="Q59" s="25" t="str">
        <f>VLOOKUP(P59,Key!$E$2:$F$9,2,FALSE)</f>
        <v>Home</v>
      </c>
      <c r="R59" s="25" t="str">
        <f t="shared" si="1"/>
        <v>Leisure/Social-Home</v>
      </c>
      <c r="S59" s="43"/>
      <c r="T59" s="43">
        <v>0.4</v>
      </c>
      <c r="U59" s="42">
        <v>3</v>
      </c>
      <c r="V59" s="42"/>
      <c r="W59" s="43"/>
      <c r="X59" s="43"/>
      <c r="Y59" s="44" t="s">
        <v>149</v>
      </c>
      <c r="Z59" s="52">
        <v>2000</v>
      </c>
      <c r="AA59" s="25"/>
      <c r="AB59" s="25"/>
    </row>
    <row r="60" spans="2:28">
      <c r="B60" s="39">
        <v>0.16111111111111112</v>
      </c>
      <c r="C60" s="39" t="s">
        <v>348</v>
      </c>
      <c r="D60" s="40">
        <v>4</v>
      </c>
      <c r="E60" s="41">
        <v>4</v>
      </c>
      <c r="F60" s="41" t="s">
        <v>297</v>
      </c>
      <c r="G60" s="42" t="s">
        <v>146</v>
      </c>
      <c r="H60" s="41" t="s">
        <v>147</v>
      </c>
      <c r="I60" s="42">
        <v>6</v>
      </c>
      <c r="J60" s="42">
        <v>2</v>
      </c>
      <c r="K60" s="25" t="str">
        <f>VLOOKUP(J60,Key!$E$2:$F$9,2,FALSE)</f>
        <v>Work</v>
      </c>
      <c r="L60" s="41" t="s">
        <v>152</v>
      </c>
      <c r="M60" s="42" t="s">
        <v>148</v>
      </c>
      <c r="N60" s="41" t="s">
        <v>147</v>
      </c>
      <c r="O60" s="42">
        <v>6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3"/>
      <c r="T60" s="43">
        <v>0.6</v>
      </c>
      <c r="U60" s="42">
        <v>1</v>
      </c>
      <c r="V60" s="42"/>
      <c r="W60" s="43"/>
      <c r="X60" s="43"/>
      <c r="Y60" s="44" t="s">
        <v>149</v>
      </c>
      <c r="Z60" s="52">
        <v>500</v>
      </c>
      <c r="AA60" s="25"/>
      <c r="AB60" s="25"/>
    </row>
    <row r="61" spans="2:28">
      <c r="B61" s="39">
        <v>0.23472222222222219</v>
      </c>
      <c r="C61" s="39" t="s">
        <v>349</v>
      </c>
      <c r="D61" s="40">
        <v>4</v>
      </c>
      <c r="E61" s="41">
        <v>2</v>
      </c>
      <c r="F61" s="41" t="s">
        <v>161</v>
      </c>
      <c r="G61" s="42" t="s">
        <v>148</v>
      </c>
      <c r="H61" s="41" t="s">
        <v>147</v>
      </c>
      <c r="I61" s="42">
        <v>1</v>
      </c>
      <c r="J61" s="42">
        <v>1</v>
      </c>
      <c r="K61" s="25" t="str">
        <f>VLOOKUP(J61,Key!$E$2:$F$9,2,FALSE)</f>
        <v>Home</v>
      </c>
      <c r="L61" s="41" t="s">
        <v>152</v>
      </c>
      <c r="M61" s="42" t="s">
        <v>148</v>
      </c>
      <c r="N61" s="41" t="s">
        <v>147</v>
      </c>
      <c r="O61" s="42">
        <v>6</v>
      </c>
      <c r="P61" s="42">
        <v>2</v>
      </c>
      <c r="Q61" s="25" t="str">
        <f>VLOOKUP(P61,Key!$E$2:$F$9,2,FALSE)</f>
        <v>Work</v>
      </c>
      <c r="R61" s="25" t="str">
        <f t="shared" si="1"/>
        <v>Home-Work</v>
      </c>
      <c r="S61" s="43"/>
      <c r="T61" s="43">
        <v>0.3</v>
      </c>
      <c r="U61" s="42">
        <v>1</v>
      </c>
      <c r="V61" s="42"/>
      <c r="W61" s="43"/>
      <c r="X61" s="43"/>
      <c r="Y61" s="44" t="s">
        <v>149</v>
      </c>
      <c r="Z61" s="52">
        <v>1000</v>
      </c>
      <c r="AA61" s="25"/>
      <c r="AB61" s="25"/>
    </row>
    <row r="62" spans="2:28">
      <c r="B62" s="39">
        <v>0.25</v>
      </c>
      <c r="C62" s="39" t="s">
        <v>350</v>
      </c>
      <c r="D62" s="40">
        <v>4</v>
      </c>
      <c r="E62" s="41">
        <v>2</v>
      </c>
      <c r="F62" s="41" t="s">
        <v>194</v>
      </c>
      <c r="G62" s="42" t="s">
        <v>146</v>
      </c>
      <c r="H62" s="41" t="s">
        <v>147</v>
      </c>
      <c r="I62" s="42">
        <v>1</v>
      </c>
      <c r="J62" s="42">
        <v>1</v>
      </c>
      <c r="K62" s="25" t="str">
        <f>VLOOKUP(J62,Key!$E$2:$F$9,2,FALSE)</f>
        <v>Home</v>
      </c>
      <c r="L62" s="41" t="s">
        <v>152</v>
      </c>
      <c r="M62" s="42" t="s">
        <v>148</v>
      </c>
      <c r="N62" s="41" t="s">
        <v>147</v>
      </c>
      <c r="O62" s="42">
        <v>6</v>
      </c>
      <c r="P62" s="42">
        <v>2</v>
      </c>
      <c r="Q62" s="25" t="str">
        <f>VLOOKUP(P62,Key!$E$2:$F$9,2,FALSE)</f>
        <v>Work</v>
      </c>
      <c r="R62" s="25" t="str">
        <f t="shared" si="1"/>
        <v>Home-Work</v>
      </c>
      <c r="S62" s="43"/>
      <c r="T62" s="43">
        <v>0.6</v>
      </c>
      <c r="U62" s="42">
        <v>1</v>
      </c>
      <c r="V62" s="42"/>
      <c r="W62" s="43"/>
      <c r="X62" s="43"/>
      <c r="Y62" s="44" t="s">
        <v>149</v>
      </c>
      <c r="Z62" s="52">
        <v>1000</v>
      </c>
      <c r="AA62" s="25"/>
      <c r="AB62" s="25"/>
    </row>
    <row r="63" spans="2:28">
      <c r="B63" s="39">
        <v>0.34722222222222227</v>
      </c>
      <c r="C63" s="39" t="s">
        <v>351</v>
      </c>
      <c r="D63" s="40">
        <v>11</v>
      </c>
      <c r="E63" s="41">
        <v>1</v>
      </c>
      <c r="F63" s="41" t="s">
        <v>279</v>
      </c>
      <c r="G63" s="42" t="s">
        <v>148</v>
      </c>
      <c r="H63" s="41" t="s">
        <v>147</v>
      </c>
      <c r="I63" s="42">
        <v>1</v>
      </c>
      <c r="J63" s="42">
        <v>1</v>
      </c>
      <c r="K63" s="25" t="str">
        <f>VLOOKUP(J63,Key!$E$2:$F$9,2,FALSE)</f>
        <v>Home</v>
      </c>
      <c r="L63" s="41" t="s">
        <v>292</v>
      </c>
      <c r="M63" s="42" t="s">
        <v>148</v>
      </c>
      <c r="N63" s="41" t="s">
        <v>147</v>
      </c>
      <c r="O63" s="42">
        <v>8</v>
      </c>
      <c r="P63" s="42">
        <v>2</v>
      </c>
      <c r="Q63" s="25" t="str">
        <f>VLOOKUP(P63,Key!$E$2:$F$9,2,FALSE)</f>
        <v>Work</v>
      </c>
      <c r="R63" s="25" t="str">
        <f t="shared" si="1"/>
        <v>Home-Work</v>
      </c>
      <c r="S63" s="43">
        <v>4</v>
      </c>
      <c r="T63" s="43">
        <v>0.2</v>
      </c>
      <c r="U63" s="42">
        <v>4</v>
      </c>
      <c r="V63" s="42"/>
      <c r="W63" s="43"/>
      <c r="X63" s="43"/>
      <c r="Y63" s="44" t="s">
        <v>149</v>
      </c>
      <c r="Z63" s="52">
        <v>500</v>
      </c>
      <c r="AA63" s="25"/>
      <c r="AB63" s="25"/>
    </row>
    <row r="64" spans="2:28">
      <c r="B64" s="39">
        <v>0.3666666666666667</v>
      </c>
      <c r="C64" s="39" t="s">
        <v>352</v>
      </c>
      <c r="D64" s="40">
        <v>4</v>
      </c>
      <c r="E64" s="41">
        <v>3</v>
      </c>
      <c r="F64" s="41" t="s">
        <v>161</v>
      </c>
      <c r="G64" s="42" t="s">
        <v>148</v>
      </c>
      <c r="H64" s="41" t="s">
        <v>147</v>
      </c>
      <c r="I64" s="42">
        <v>6</v>
      </c>
      <c r="J64" s="42">
        <v>2</v>
      </c>
      <c r="K64" s="25" t="s">
        <v>101</v>
      </c>
      <c r="L64" s="41" t="s">
        <v>292</v>
      </c>
      <c r="M64" s="42" t="s">
        <v>148</v>
      </c>
      <c r="N64" s="41" t="s">
        <v>147</v>
      </c>
      <c r="O64" s="42">
        <v>6</v>
      </c>
      <c r="P64" s="42">
        <v>2</v>
      </c>
      <c r="Q64" s="25" t="str">
        <f>VLOOKUP(P64,Key!$E$2:$F$9,2,FALSE)</f>
        <v>Work</v>
      </c>
      <c r="R64" s="25" t="str">
        <f t="shared" si="1"/>
        <v>Work-Work</v>
      </c>
      <c r="S64" s="43">
        <v>2</v>
      </c>
      <c r="T64" s="43">
        <v>0.1</v>
      </c>
      <c r="U64" s="42">
        <v>2</v>
      </c>
      <c r="V64" s="42"/>
      <c r="W64" s="43"/>
      <c r="X64" s="43"/>
      <c r="Y64" s="44" t="s">
        <v>149</v>
      </c>
      <c r="Z64" s="52">
        <v>10000</v>
      </c>
      <c r="AA64" s="25"/>
      <c r="AB64" s="25"/>
    </row>
    <row r="65" spans="2:28">
      <c r="B65" s="39">
        <v>0.375</v>
      </c>
      <c r="C65" s="39" t="s">
        <v>353</v>
      </c>
      <c r="D65" s="40">
        <v>11</v>
      </c>
      <c r="E65" s="41">
        <v>1</v>
      </c>
      <c r="F65" s="41" t="s">
        <v>279</v>
      </c>
      <c r="G65" s="42" t="s">
        <v>148</v>
      </c>
      <c r="H65" s="41" t="s">
        <v>147</v>
      </c>
      <c r="I65" s="42">
        <v>8</v>
      </c>
      <c r="J65" s="42">
        <v>2</v>
      </c>
      <c r="K65" s="25" t="str">
        <f>VLOOKUP(J65,Key!$E$2:$F$9,2,FALSE)</f>
        <v>Work</v>
      </c>
      <c r="L65" s="41" t="s">
        <v>152</v>
      </c>
      <c r="M65" s="42" t="s">
        <v>148</v>
      </c>
      <c r="N65" s="41" t="s">
        <v>147</v>
      </c>
      <c r="O65" s="42">
        <v>8</v>
      </c>
      <c r="P65" s="42">
        <v>2</v>
      </c>
      <c r="Q65" s="25" t="str">
        <f>VLOOKUP(P65,Key!$E$2:$F$9,2,FALSE)</f>
        <v>Work</v>
      </c>
      <c r="R65" s="25" t="str">
        <f t="shared" si="1"/>
        <v>Work-Work</v>
      </c>
      <c r="S65" s="43">
        <v>5</v>
      </c>
      <c r="T65" s="43">
        <v>0.2</v>
      </c>
      <c r="U65" s="42">
        <v>2</v>
      </c>
      <c r="V65" s="42"/>
      <c r="W65" s="43"/>
      <c r="X65" s="43"/>
      <c r="Y65" s="44" t="s">
        <v>149</v>
      </c>
      <c r="Z65" s="52">
        <v>300</v>
      </c>
      <c r="AA65" s="25"/>
      <c r="AB65" s="25"/>
    </row>
    <row r="66" spans="2:28">
      <c r="B66" s="39">
        <v>0.37847222222222227</v>
      </c>
      <c r="C66" s="39" t="s">
        <v>354</v>
      </c>
      <c r="D66" s="40">
        <v>11</v>
      </c>
      <c r="E66" s="41">
        <v>2</v>
      </c>
      <c r="F66" s="41" t="s">
        <v>161</v>
      </c>
      <c r="G66" s="42" t="s">
        <v>148</v>
      </c>
      <c r="H66" s="41" t="s">
        <v>147</v>
      </c>
      <c r="I66" s="42">
        <v>8</v>
      </c>
      <c r="J66" s="42">
        <v>2</v>
      </c>
      <c r="K66" s="25" t="str">
        <f>VLOOKUP(J66,Key!$E$2:$F$9,2,FALSE)</f>
        <v>Work</v>
      </c>
      <c r="L66" s="41" t="s">
        <v>158</v>
      </c>
      <c r="M66" s="42" t="s">
        <v>146</v>
      </c>
      <c r="N66" s="41" t="s">
        <v>147</v>
      </c>
      <c r="O66" s="42">
        <v>8</v>
      </c>
      <c r="P66" s="42">
        <v>2</v>
      </c>
      <c r="Q66" s="25" t="str">
        <f>VLOOKUP(P66,Key!$E$2:$F$9,2,FALSE)</f>
        <v>Work</v>
      </c>
      <c r="R66" s="25" t="str">
        <f t="shared" si="1"/>
        <v>Work-Work</v>
      </c>
      <c r="S66" s="43">
        <v>40</v>
      </c>
      <c r="T66" s="43">
        <v>0.5</v>
      </c>
      <c r="U66" s="42">
        <v>2</v>
      </c>
      <c r="V66" s="42"/>
      <c r="W66" s="43"/>
      <c r="X66" s="43"/>
      <c r="Y66" s="44" t="s">
        <v>149</v>
      </c>
      <c r="Z66" s="52">
        <v>5000</v>
      </c>
      <c r="AA66" s="25"/>
      <c r="AB66" s="25"/>
    </row>
    <row r="67" spans="2:28">
      <c r="B67" s="39">
        <v>0.38194444444444442</v>
      </c>
      <c r="C67" s="39" t="s">
        <v>355</v>
      </c>
      <c r="D67" s="40">
        <v>3</v>
      </c>
      <c r="E67" s="41">
        <v>1</v>
      </c>
      <c r="F67" s="41" t="s">
        <v>161</v>
      </c>
      <c r="G67" s="42" t="s">
        <v>148</v>
      </c>
      <c r="H67" s="41" t="s">
        <v>147</v>
      </c>
      <c r="I67" s="42">
        <v>1</v>
      </c>
      <c r="J67" s="42">
        <v>1</v>
      </c>
      <c r="K67" s="25" t="str">
        <f>VLOOKUP(J67,Key!$E$2:$F$9,2,FALSE)</f>
        <v>Home</v>
      </c>
      <c r="L67" s="41" t="s">
        <v>356</v>
      </c>
      <c r="M67" s="42" t="s">
        <v>148</v>
      </c>
      <c r="N67" s="41" t="s">
        <v>147</v>
      </c>
      <c r="O67" s="42">
        <v>2</v>
      </c>
      <c r="P67" s="42">
        <v>2</v>
      </c>
      <c r="Q67" s="25" t="str">
        <f>VLOOKUP(P67,Key!$E$2:$F$9,2,FALSE)</f>
        <v>Work</v>
      </c>
      <c r="R67" s="25" t="str">
        <f t="shared" si="1"/>
        <v>Home-Work</v>
      </c>
      <c r="S67" s="43">
        <v>2</v>
      </c>
      <c r="T67" s="43">
        <v>0.03</v>
      </c>
      <c r="U67" s="42">
        <v>2</v>
      </c>
      <c r="V67" s="42"/>
      <c r="W67" s="43"/>
      <c r="X67" s="43"/>
      <c r="Y67" s="44" t="s">
        <v>149</v>
      </c>
      <c r="Z67" s="52"/>
      <c r="AA67" s="25"/>
      <c r="AB67" s="25"/>
    </row>
    <row r="68" spans="2:28">
      <c r="B68" s="39">
        <v>0.3888888888888889</v>
      </c>
      <c r="C68" s="39" t="s">
        <v>357</v>
      </c>
      <c r="D68" s="40">
        <v>11</v>
      </c>
      <c r="E68" s="41">
        <v>1</v>
      </c>
      <c r="F68" s="41" t="s">
        <v>161</v>
      </c>
      <c r="G68" s="42" t="s">
        <v>148</v>
      </c>
      <c r="H68" s="41" t="s">
        <v>147</v>
      </c>
      <c r="I68" s="42">
        <v>8</v>
      </c>
      <c r="J68" s="42">
        <v>2</v>
      </c>
      <c r="K68" s="25" t="str">
        <f>VLOOKUP(J68,Key!$E$2:$F$9,2,FALSE)</f>
        <v>Work</v>
      </c>
      <c r="L68" s="41" t="s">
        <v>181</v>
      </c>
      <c r="M68" s="42" t="s">
        <v>146</v>
      </c>
      <c r="N68" s="41" t="s">
        <v>147</v>
      </c>
      <c r="O68" s="42">
        <v>8</v>
      </c>
      <c r="P68" s="42">
        <v>2</v>
      </c>
      <c r="Q68" s="25" t="str">
        <f>VLOOKUP(P68,Key!$E$2:$F$9,2,FALSE)</f>
        <v>Work</v>
      </c>
      <c r="R68" s="25" t="str">
        <f t="shared" si="1"/>
        <v>Work-Work</v>
      </c>
      <c r="S68" s="43">
        <v>10</v>
      </c>
      <c r="T68" s="43">
        <v>0.3</v>
      </c>
      <c r="U68" s="42">
        <v>2</v>
      </c>
      <c r="V68" s="42"/>
      <c r="W68" s="43"/>
      <c r="X68" s="43"/>
      <c r="Y68" s="44" t="s">
        <v>149</v>
      </c>
      <c r="Z68" s="52">
        <v>1000</v>
      </c>
      <c r="AA68" s="25"/>
      <c r="AB68" s="25"/>
    </row>
    <row r="69" spans="2:28">
      <c r="B69" s="39">
        <v>0.39444444444444443</v>
      </c>
      <c r="C69" s="39" t="s">
        <v>358</v>
      </c>
      <c r="D69" s="40">
        <v>7</v>
      </c>
      <c r="E69" s="41">
        <v>4</v>
      </c>
      <c r="F69" s="41" t="s">
        <v>161</v>
      </c>
      <c r="G69" s="42" t="s">
        <v>148</v>
      </c>
      <c r="H69" s="41" t="s">
        <v>147</v>
      </c>
      <c r="I69" s="42">
        <v>13</v>
      </c>
      <c r="J69" s="42">
        <v>1</v>
      </c>
      <c r="K69" s="25" t="str">
        <f>VLOOKUP(J69,Key!$E$2:$F$9,2,FALSE)</f>
        <v>Home</v>
      </c>
      <c r="L69" s="41" t="s">
        <v>152</v>
      </c>
      <c r="M69" s="42" t="s">
        <v>148</v>
      </c>
      <c r="N69" s="41" t="s">
        <v>147</v>
      </c>
      <c r="O69" s="42">
        <v>10</v>
      </c>
      <c r="P69" s="42">
        <v>1</v>
      </c>
      <c r="Q69" s="25" t="str">
        <f>VLOOKUP(P69,Key!$E$2:$F$9,2,FALSE)</f>
        <v>Home</v>
      </c>
      <c r="R69" s="25" t="str">
        <f t="shared" si="1"/>
        <v>Home-Home</v>
      </c>
      <c r="S69" s="43">
        <v>7</v>
      </c>
      <c r="T69" s="43">
        <v>0.5</v>
      </c>
      <c r="U69" s="42">
        <v>2</v>
      </c>
      <c r="V69" s="42">
        <v>6</v>
      </c>
      <c r="W69" s="43"/>
      <c r="X69" s="43"/>
      <c r="Y69" s="44" t="s">
        <v>149</v>
      </c>
      <c r="Z69" s="52">
        <v>2000</v>
      </c>
      <c r="AA69" s="25"/>
      <c r="AB69" s="25"/>
    </row>
    <row r="70" spans="2:28">
      <c r="B70" s="39">
        <v>0.40277777777777773</v>
      </c>
      <c r="C70" s="39" t="s">
        <v>359</v>
      </c>
      <c r="D70" s="40">
        <v>2</v>
      </c>
      <c r="E70" s="41">
        <v>1</v>
      </c>
      <c r="F70" s="41" t="s">
        <v>161</v>
      </c>
      <c r="G70" s="42" t="s">
        <v>148</v>
      </c>
      <c r="H70" s="41" t="s">
        <v>147</v>
      </c>
      <c r="I70" s="42">
        <v>1</v>
      </c>
      <c r="J70" s="42">
        <v>1</v>
      </c>
      <c r="K70" s="25" t="str">
        <f>VLOOKUP(J70,Key!$E$2:$F$9,2,FALSE)</f>
        <v>Home</v>
      </c>
      <c r="L70" s="41" t="s">
        <v>311</v>
      </c>
      <c r="M70" s="42" t="s">
        <v>148</v>
      </c>
      <c r="N70" s="41" t="s">
        <v>147</v>
      </c>
      <c r="O70" s="42">
        <v>2</v>
      </c>
      <c r="P70" s="42">
        <v>1</v>
      </c>
      <c r="Q70" s="25" t="str">
        <f>VLOOKUP(P70,Key!$E$2:$F$9,2,FALSE)</f>
        <v>Home</v>
      </c>
      <c r="R70" s="25" t="str">
        <f t="shared" si="1"/>
        <v>Home-Home</v>
      </c>
      <c r="S70" s="43">
        <v>12</v>
      </c>
      <c r="T70" s="43">
        <v>0.5</v>
      </c>
      <c r="U70" s="42">
        <v>2</v>
      </c>
      <c r="V70" s="42"/>
      <c r="W70" s="43"/>
      <c r="X70" s="43"/>
      <c r="Y70" s="44" t="s">
        <v>149</v>
      </c>
      <c r="Z70" s="52">
        <v>2000</v>
      </c>
      <c r="AA70" s="25"/>
      <c r="AB70" s="25"/>
    </row>
    <row r="71" spans="2:28">
      <c r="B71" s="39">
        <v>0.40486111111111112</v>
      </c>
      <c r="C71" s="39" t="s">
        <v>360</v>
      </c>
      <c r="D71" s="40">
        <v>7</v>
      </c>
      <c r="E71" s="41">
        <v>3</v>
      </c>
      <c r="F71" s="41" t="s">
        <v>161</v>
      </c>
      <c r="G71" s="42" t="s">
        <v>148</v>
      </c>
      <c r="H71" s="41" t="s">
        <v>147</v>
      </c>
      <c r="I71" s="42">
        <v>15</v>
      </c>
      <c r="J71" s="42">
        <v>4</v>
      </c>
      <c r="K71" s="25" t="str">
        <f>VLOOKUP(J71,Key!$E$2:$F$9,2,FALSE)</f>
        <v>Commercial</v>
      </c>
      <c r="L71" s="41" t="s">
        <v>152</v>
      </c>
      <c r="M71" s="42" t="s">
        <v>148</v>
      </c>
      <c r="N71" s="41" t="s">
        <v>147</v>
      </c>
      <c r="O71" s="42">
        <v>16</v>
      </c>
      <c r="P71" s="42">
        <v>8</v>
      </c>
      <c r="Q71" s="25" t="str">
        <f>VLOOKUP(P71,Key!$E$2:$F$9,2,FALSE)</f>
        <v>Others</v>
      </c>
      <c r="R71" s="25" t="str">
        <f t="shared" si="1"/>
        <v>Commercial-Others</v>
      </c>
      <c r="S71" s="43">
        <v>2</v>
      </c>
      <c r="T71" s="43">
        <v>0.2</v>
      </c>
      <c r="U71" s="42">
        <v>2</v>
      </c>
      <c r="V71" s="42">
        <v>6</v>
      </c>
      <c r="W71" s="43"/>
      <c r="X71" s="43"/>
      <c r="Y71" s="44" t="s">
        <v>149</v>
      </c>
      <c r="Z71" s="52"/>
      <c r="AA71" s="25"/>
      <c r="AB71" s="25"/>
    </row>
    <row r="72" spans="2:28">
      <c r="B72" s="39">
        <v>0.41666666666666669</v>
      </c>
      <c r="C72" s="39" t="s">
        <v>361</v>
      </c>
      <c r="D72" s="40">
        <v>4</v>
      </c>
      <c r="E72" s="41">
        <v>12</v>
      </c>
      <c r="F72" s="41" t="s">
        <v>158</v>
      </c>
      <c r="G72" s="42" t="s">
        <v>146</v>
      </c>
      <c r="H72" s="41" t="s">
        <v>147</v>
      </c>
      <c r="I72" s="42">
        <v>6</v>
      </c>
      <c r="J72" s="42">
        <v>2</v>
      </c>
      <c r="K72" s="25" t="str">
        <f>VLOOKUP(J72,Key!$E$2:$F$9,2,FALSE)</f>
        <v>Work</v>
      </c>
      <c r="L72" s="41" t="s">
        <v>152</v>
      </c>
      <c r="M72" s="42" t="s">
        <v>148</v>
      </c>
      <c r="N72" s="41" t="s">
        <v>147</v>
      </c>
      <c r="O72" s="42">
        <v>6</v>
      </c>
      <c r="P72" s="42">
        <v>2</v>
      </c>
      <c r="Q72" s="25" t="str">
        <f>VLOOKUP(P72,Key!$E$2:$F$9,2,FALSE)</f>
        <v>Work</v>
      </c>
      <c r="R72" s="25" t="str">
        <f t="shared" si="1"/>
        <v>Work-Work</v>
      </c>
      <c r="S72" s="43">
        <v>11</v>
      </c>
      <c r="T72" s="43">
        <v>2</v>
      </c>
      <c r="U72" s="42">
        <v>2</v>
      </c>
      <c r="V72" s="42"/>
      <c r="W72" s="43"/>
      <c r="X72" s="43"/>
      <c r="Y72" s="44" t="s">
        <v>149</v>
      </c>
      <c r="Z72" s="52">
        <v>500</v>
      </c>
      <c r="AA72" s="25"/>
      <c r="AB72" s="25"/>
    </row>
    <row r="73" spans="2:28">
      <c r="B73" s="39">
        <v>0.42152777777777778</v>
      </c>
      <c r="C73" s="39" t="s">
        <v>362</v>
      </c>
      <c r="D73" s="40">
        <v>4</v>
      </c>
      <c r="E73" s="41">
        <v>10</v>
      </c>
      <c r="F73" s="41" t="s">
        <v>250</v>
      </c>
      <c r="G73" s="42" t="s">
        <v>148</v>
      </c>
      <c r="H73" s="41" t="s">
        <v>147</v>
      </c>
      <c r="I73" s="42">
        <v>4</v>
      </c>
      <c r="J73" s="42">
        <v>3</v>
      </c>
      <c r="K73" s="25" t="str">
        <f>VLOOKUP(J73,Key!$E$2:$F$9,2,FALSE)</f>
        <v>Study</v>
      </c>
      <c r="L73" s="41" t="s">
        <v>152</v>
      </c>
      <c r="M73" s="42" t="s">
        <v>148</v>
      </c>
      <c r="N73" s="41" t="s">
        <v>147</v>
      </c>
      <c r="O73" s="42">
        <v>4</v>
      </c>
      <c r="P73" s="42">
        <v>3</v>
      </c>
      <c r="Q73" s="25" t="str">
        <f>VLOOKUP(P73,Key!$E$2:$F$9,2,FALSE)</f>
        <v>Study</v>
      </c>
      <c r="R73" s="25" t="str">
        <f t="shared" si="1"/>
        <v>Study-Study</v>
      </c>
      <c r="S73" s="43">
        <v>7</v>
      </c>
      <c r="T73" s="43">
        <v>0.3</v>
      </c>
      <c r="U73" s="42">
        <v>2</v>
      </c>
      <c r="V73" s="42"/>
      <c r="W73" s="43"/>
      <c r="X73" s="43"/>
      <c r="Y73" s="44" t="s">
        <v>149</v>
      </c>
      <c r="Z73" s="52">
        <v>10000</v>
      </c>
      <c r="AA73" s="25"/>
      <c r="AB73" s="25"/>
    </row>
    <row r="74" spans="2:28">
      <c r="B74" s="39">
        <v>0.42638888888888887</v>
      </c>
      <c r="C74" s="39" t="s">
        <v>363</v>
      </c>
      <c r="D74" s="40">
        <v>7</v>
      </c>
      <c r="E74" s="41">
        <v>4</v>
      </c>
      <c r="F74" s="41" t="s">
        <v>161</v>
      </c>
      <c r="G74" s="42" t="s">
        <v>148</v>
      </c>
      <c r="H74" s="41" t="s">
        <v>147</v>
      </c>
      <c r="I74" s="42">
        <v>7</v>
      </c>
      <c r="J74" s="42">
        <v>4</v>
      </c>
      <c r="K74" s="25" t="str">
        <f>VLOOKUP(J74,Key!$E$2:$F$9,2,FALSE)</f>
        <v>Commercial</v>
      </c>
      <c r="L74" s="41" t="s">
        <v>292</v>
      </c>
      <c r="M74" s="42" t="s">
        <v>148</v>
      </c>
      <c r="N74" s="41" t="s">
        <v>147</v>
      </c>
      <c r="O74" s="42">
        <v>10</v>
      </c>
      <c r="P74" s="42">
        <v>2</v>
      </c>
      <c r="Q74" s="25" t="str">
        <f>VLOOKUP(P74,Key!$E$2:$F$9,2,FALSE)</f>
        <v>Work</v>
      </c>
      <c r="R74" s="25" t="str">
        <f t="shared" si="1"/>
        <v>Commercial-Work</v>
      </c>
      <c r="S74" s="43">
        <v>5</v>
      </c>
      <c r="T74" s="43">
        <v>0.3</v>
      </c>
      <c r="U74" s="42">
        <v>1</v>
      </c>
      <c r="V74" s="42"/>
      <c r="W74" s="43"/>
      <c r="X74" s="43"/>
      <c r="Y74" s="44" t="s">
        <v>149</v>
      </c>
      <c r="Z74" s="52"/>
      <c r="AA74" s="25"/>
      <c r="AB74" s="25"/>
    </row>
    <row r="75" spans="2:28">
      <c r="B75" s="39">
        <v>0.43263888888888885</v>
      </c>
      <c r="C75" s="39" t="s">
        <v>364</v>
      </c>
      <c r="D75" s="40">
        <v>1</v>
      </c>
      <c r="E75" s="41">
        <v>5</v>
      </c>
      <c r="F75" s="41" t="s">
        <v>161</v>
      </c>
      <c r="G75" s="42" t="s">
        <v>148</v>
      </c>
      <c r="H75" s="41" t="s">
        <v>147</v>
      </c>
      <c r="I75" s="42">
        <v>1</v>
      </c>
      <c r="J75" s="42">
        <v>1</v>
      </c>
      <c r="K75" s="25" t="str">
        <f>VLOOKUP(J75,Key!$E$2:$F$9,2,FALSE)</f>
        <v>Home</v>
      </c>
      <c r="L75" s="41" t="s">
        <v>207</v>
      </c>
      <c r="M75" s="42" t="s">
        <v>146</v>
      </c>
      <c r="N75" s="41" t="s">
        <v>147</v>
      </c>
      <c r="O75" s="42">
        <v>2</v>
      </c>
      <c r="P75" s="42">
        <v>2</v>
      </c>
      <c r="Q75" s="25" t="str">
        <f>VLOOKUP(P75,Key!$E$2:$F$9,2,FALSE)</f>
        <v>Work</v>
      </c>
      <c r="R75" s="25" t="str">
        <f t="shared" si="1"/>
        <v>Home-Work</v>
      </c>
      <c r="S75" s="43">
        <v>3</v>
      </c>
      <c r="T75" s="43">
        <v>0.1</v>
      </c>
      <c r="U75" s="42">
        <v>2</v>
      </c>
      <c r="V75" s="42"/>
      <c r="W75" s="43"/>
      <c r="X75" s="43"/>
      <c r="Y75" s="44" t="s">
        <v>149</v>
      </c>
      <c r="Z75" s="52">
        <v>1000</v>
      </c>
      <c r="AA75" s="25"/>
      <c r="AB75" s="25"/>
    </row>
    <row r="76" spans="2:28">
      <c r="B76" s="39">
        <v>0.4375</v>
      </c>
      <c r="C76" s="39" t="s">
        <v>365</v>
      </c>
      <c r="D76" s="40">
        <v>1</v>
      </c>
      <c r="E76" s="41">
        <v>1</v>
      </c>
      <c r="F76" s="41" t="s">
        <v>161</v>
      </c>
      <c r="G76" s="42" t="s">
        <v>148</v>
      </c>
      <c r="H76" s="41" t="s">
        <v>147</v>
      </c>
      <c r="I76" s="42">
        <v>1</v>
      </c>
      <c r="J76" s="42">
        <v>1</v>
      </c>
      <c r="K76" s="25" t="str">
        <f>VLOOKUP(J76,Key!$E$2:$F$9,2,FALSE)</f>
        <v>Home</v>
      </c>
      <c r="L76" s="41" t="s">
        <v>285</v>
      </c>
      <c r="M76" s="42" t="s">
        <v>146</v>
      </c>
      <c r="N76" s="41" t="s">
        <v>147</v>
      </c>
      <c r="O76" s="42">
        <v>2</v>
      </c>
      <c r="P76" s="42">
        <v>2</v>
      </c>
      <c r="Q76" s="25" t="str">
        <f>VLOOKUP(P76,Key!$E$2:$F$9,2,FALSE)</f>
        <v>Work</v>
      </c>
      <c r="R76" s="25" t="str">
        <f t="shared" si="1"/>
        <v>Home-Work</v>
      </c>
      <c r="S76" s="43">
        <v>12</v>
      </c>
      <c r="T76" s="43">
        <v>0.2</v>
      </c>
      <c r="U76" s="42">
        <v>2</v>
      </c>
      <c r="V76" s="42"/>
      <c r="W76" s="43"/>
      <c r="X76" s="43"/>
      <c r="Y76" s="44" t="s">
        <v>149</v>
      </c>
      <c r="Z76" s="52">
        <v>500</v>
      </c>
      <c r="AA76" s="25"/>
      <c r="AB76" s="25"/>
    </row>
    <row r="77" spans="2:28">
      <c r="B77" s="39">
        <v>0.44444444444444442</v>
      </c>
      <c r="C77" s="39" t="s">
        <v>366</v>
      </c>
      <c r="D77" s="40">
        <v>2</v>
      </c>
      <c r="E77" s="41">
        <v>1</v>
      </c>
      <c r="F77" s="41" t="s">
        <v>163</v>
      </c>
      <c r="G77" s="42" t="s">
        <v>148</v>
      </c>
      <c r="H77" s="41" t="s">
        <v>147</v>
      </c>
      <c r="I77" s="42">
        <v>1</v>
      </c>
      <c r="J77" s="42">
        <v>1</v>
      </c>
      <c r="K77" s="25" t="str">
        <f>VLOOKUP(J77,Key!$E$2:$F$9,2,FALSE)</f>
        <v>Home</v>
      </c>
      <c r="L77" s="41" t="s">
        <v>367</v>
      </c>
      <c r="M77" s="42" t="s">
        <v>148</v>
      </c>
      <c r="N77" s="41" t="s">
        <v>147</v>
      </c>
      <c r="O77" s="42">
        <v>1</v>
      </c>
      <c r="P77" s="42">
        <v>1</v>
      </c>
      <c r="Q77" s="25" t="str">
        <f>VLOOKUP(P77,Key!$E$2:$F$9,2,FALSE)</f>
        <v>Home</v>
      </c>
      <c r="R77" s="25" t="str">
        <f t="shared" si="1"/>
        <v>Home-Home</v>
      </c>
      <c r="S77" s="43">
        <v>10</v>
      </c>
      <c r="T77" s="43">
        <v>0.78</v>
      </c>
      <c r="U77" s="42">
        <v>4</v>
      </c>
      <c r="V77" s="42"/>
      <c r="W77" s="43"/>
      <c r="X77" s="43"/>
      <c r="Y77" s="44" t="s">
        <v>149</v>
      </c>
      <c r="Z77" s="52">
        <v>5000</v>
      </c>
      <c r="AA77" s="25"/>
      <c r="AB77" s="25"/>
    </row>
    <row r="78" spans="2:28">
      <c r="B78" s="39">
        <v>0.44791666666666669</v>
      </c>
      <c r="C78" s="39" t="s">
        <v>368</v>
      </c>
      <c r="D78" s="40">
        <v>1</v>
      </c>
      <c r="E78" s="41">
        <v>1</v>
      </c>
      <c r="F78" s="41" t="s">
        <v>161</v>
      </c>
      <c r="G78" s="42" t="s">
        <v>148</v>
      </c>
      <c r="H78" s="41" t="s">
        <v>147</v>
      </c>
      <c r="I78" s="42">
        <v>1</v>
      </c>
      <c r="J78" s="42">
        <v>1</v>
      </c>
      <c r="K78" s="25" t="str">
        <f>VLOOKUP(J78,Key!$E$2:$F$9,2,FALSE)</f>
        <v>Home</v>
      </c>
      <c r="L78" s="41" t="s">
        <v>158</v>
      </c>
      <c r="M78" s="42" t="s">
        <v>146</v>
      </c>
      <c r="N78" s="41" t="s">
        <v>147</v>
      </c>
      <c r="O78" s="42">
        <v>2</v>
      </c>
      <c r="P78" s="42">
        <v>2</v>
      </c>
      <c r="Q78" s="25" t="str">
        <f>VLOOKUP(P78,Key!$E$2:$F$9,2,FALSE)</f>
        <v>Work</v>
      </c>
      <c r="R78" s="25" t="str">
        <f t="shared" si="1"/>
        <v>Home-Work</v>
      </c>
      <c r="S78" s="43">
        <v>15</v>
      </c>
      <c r="T78" s="43">
        <v>0.5</v>
      </c>
      <c r="U78" s="42">
        <v>2</v>
      </c>
      <c r="V78" s="42"/>
      <c r="W78" s="43"/>
      <c r="X78" s="43"/>
      <c r="Y78" s="44" t="s">
        <v>149</v>
      </c>
      <c r="Z78" s="52">
        <v>1000</v>
      </c>
      <c r="AA78" s="25"/>
      <c r="AB78" s="25"/>
    </row>
    <row r="79" spans="2:28">
      <c r="B79" s="39">
        <v>0.4861111111111111</v>
      </c>
      <c r="C79" s="39" t="s">
        <v>369</v>
      </c>
      <c r="D79" s="40">
        <v>1</v>
      </c>
      <c r="E79" s="41">
        <v>2</v>
      </c>
      <c r="F79" s="41" t="s">
        <v>161</v>
      </c>
      <c r="G79" s="42" t="s">
        <v>148</v>
      </c>
      <c r="H79" s="41" t="s">
        <v>147</v>
      </c>
      <c r="I79" s="42">
        <v>1</v>
      </c>
      <c r="J79" s="42">
        <v>1</v>
      </c>
      <c r="K79" s="25" t="str">
        <f>VLOOKUP(J79,Key!$E$2:$F$9,2,FALSE)</f>
        <v>Home</v>
      </c>
      <c r="L79" s="41" t="s">
        <v>370</v>
      </c>
      <c r="M79" s="42" t="s">
        <v>146</v>
      </c>
      <c r="N79" s="41" t="s">
        <v>147</v>
      </c>
      <c r="O79" s="42">
        <v>4</v>
      </c>
      <c r="P79" s="42">
        <v>3</v>
      </c>
      <c r="Q79" s="25" t="str">
        <f>VLOOKUP(P79,Key!$E$2:$F$9,2,FALSE)</f>
        <v>Study</v>
      </c>
      <c r="R79" s="25" t="str">
        <f t="shared" si="1"/>
        <v>Home-Study</v>
      </c>
      <c r="S79" s="43">
        <v>7</v>
      </c>
      <c r="T79" s="43">
        <v>8</v>
      </c>
      <c r="U79" s="42">
        <v>2</v>
      </c>
      <c r="V79" s="42"/>
      <c r="W79" s="43"/>
      <c r="X79" s="43"/>
      <c r="Y79" s="44" t="s">
        <v>149</v>
      </c>
      <c r="Z79" s="52">
        <v>4000</v>
      </c>
      <c r="AA79" s="25"/>
      <c r="AB79" s="25"/>
    </row>
    <row r="80" spans="2:28">
      <c r="B80" s="39">
        <v>0.49027777777777781</v>
      </c>
      <c r="C80" s="39" t="s">
        <v>371</v>
      </c>
      <c r="D80" s="40">
        <v>7</v>
      </c>
      <c r="E80" s="41">
        <v>2</v>
      </c>
      <c r="F80" s="41" t="s">
        <v>250</v>
      </c>
      <c r="G80" s="42" t="s">
        <v>148</v>
      </c>
      <c r="H80" s="41" t="s">
        <v>147</v>
      </c>
      <c r="I80" s="42">
        <v>1</v>
      </c>
      <c r="J80" s="42">
        <v>1</v>
      </c>
      <c r="K80" s="25" t="str">
        <f>VLOOKUP(J80,Key!$E$2:$F$9,2,FALSE)</f>
        <v>Home</v>
      </c>
      <c r="L80" s="41" t="s">
        <v>152</v>
      </c>
      <c r="M80" s="42" t="s">
        <v>148</v>
      </c>
      <c r="N80" s="41" t="s">
        <v>147</v>
      </c>
      <c r="O80" s="42">
        <v>15</v>
      </c>
      <c r="P80" s="42">
        <v>2</v>
      </c>
      <c r="Q80" s="25" t="str">
        <f>VLOOKUP(P80,Key!$E$2:$F$9,2,FALSE)</f>
        <v>Work</v>
      </c>
      <c r="R80" s="25" t="str">
        <f t="shared" si="1"/>
        <v>Home-Work</v>
      </c>
      <c r="S80" s="43">
        <v>8</v>
      </c>
      <c r="T80" s="43">
        <v>0.66</v>
      </c>
      <c r="U80" s="42">
        <v>2</v>
      </c>
      <c r="V80" s="42"/>
      <c r="W80" s="43"/>
      <c r="X80" s="43"/>
      <c r="Y80" s="44" t="s">
        <v>149</v>
      </c>
      <c r="Z80" s="52">
        <v>1000</v>
      </c>
      <c r="AA80" s="25"/>
      <c r="AB80" s="25"/>
    </row>
    <row r="81" spans="2:28">
      <c r="B81" s="39">
        <v>0.49305555555555558</v>
      </c>
      <c r="C81" s="39" t="s">
        <v>372</v>
      </c>
      <c r="D81" s="40">
        <v>2</v>
      </c>
      <c r="E81" s="41">
        <v>1</v>
      </c>
      <c r="F81" s="41" t="s">
        <v>161</v>
      </c>
      <c r="G81" s="42" t="s">
        <v>148</v>
      </c>
      <c r="H81" s="41" t="s">
        <v>147</v>
      </c>
      <c r="I81" s="42">
        <v>1</v>
      </c>
      <c r="J81" s="42">
        <v>1</v>
      </c>
      <c r="K81" s="25" t="str">
        <f>VLOOKUP(J81,Key!$E$2:$F$9,2,FALSE)</f>
        <v>Home</v>
      </c>
      <c r="L81" s="41" t="s">
        <v>158</v>
      </c>
      <c r="M81" s="42" t="s">
        <v>146</v>
      </c>
      <c r="N81" s="41" t="s">
        <v>147</v>
      </c>
      <c r="O81" s="42">
        <v>2</v>
      </c>
      <c r="P81" s="42">
        <v>2</v>
      </c>
      <c r="Q81" s="25" t="str">
        <f>VLOOKUP(P81,Key!$E$2:$F$9,2,FALSE)</f>
        <v>Work</v>
      </c>
      <c r="R81" s="25" t="str">
        <f t="shared" si="1"/>
        <v>Home-Work</v>
      </c>
      <c r="S81" s="43">
        <v>10</v>
      </c>
      <c r="T81" s="43">
        <v>1</v>
      </c>
      <c r="U81" s="42">
        <v>2</v>
      </c>
      <c r="V81" s="42"/>
      <c r="W81" s="43"/>
      <c r="X81" s="43"/>
      <c r="Y81" s="44" t="s">
        <v>149</v>
      </c>
      <c r="Z81" s="52">
        <v>7000</v>
      </c>
      <c r="AA81" s="25"/>
      <c r="AB81" s="25"/>
    </row>
    <row r="82" spans="2:28">
      <c r="B82" s="39">
        <v>0.49722222222222223</v>
      </c>
      <c r="C82" s="39" t="s">
        <v>373</v>
      </c>
      <c r="D82" s="40">
        <v>2</v>
      </c>
      <c r="E82" s="41">
        <v>1</v>
      </c>
      <c r="F82" s="41" t="s">
        <v>163</v>
      </c>
      <c r="G82" s="42" t="s">
        <v>148</v>
      </c>
      <c r="H82" s="41" t="s">
        <v>147</v>
      </c>
      <c r="I82" s="42">
        <v>4</v>
      </c>
      <c r="J82" s="42">
        <v>3</v>
      </c>
      <c r="K82" s="25" t="str">
        <f>VLOOKUP(J82,Key!$E$2:$F$9,2,FALSE)</f>
        <v>Study</v>
      </c>
      <c r="L82" s="41" t="s">
        <v>374</v>
      </c>
      <c r="M82" s="42" t="s">
        <v>148</v>
      </c>
      <c r="N82" s="41" t="s">
        <v>147</v>
      </c>
      <c r="O82" s="42">
        <v>1</v>
      </c>
      <c r="P82" s="42">
        <v>1</v>
      </c>
      <c r="Q82" s="25" t="str">
        <f>VLOOKUP(P82,Key!$E$2:$F$9,2,FALSE)</f>
        <v>Home</v>
      </c>
      <c r="R82" s="25" t="str">
        <f t="shared" si="1"/>
        <v>Study-Home</v>
      </c>
      <c r="S82" s="43">
        <v>10</v>
      </c>
      <c r="T82" s="43">
        <v>0.5</v>
      </c>
      <c r="U82" s="42">
        <v>2</v>
      </c>
      <c r="V82" s="42"/>
      <c r="W82" s="43"/>
      <c r="X82" s="43"/>
      <c r="Y82" s="44" t="s">
        <v>149</v>
      </c>
      <c r="Z82" s="52"/>
      <c r="AA82" s="25"/>
      <c r="AB82" s="25"/>
    </row>
    <row r="83" spans="2:28">
      <c r="B83" s="39">
        <v>0.50347222222222221</v>
      </c>
      <c r="C83" s="39" t="s">
        <v>375</v>
      </c>
      <c r="D83" s="40">
        <v>1</v>
      </c>
      <c r="E83" s="41">
        <v>1</v>
      </c>
      <c r="F83" s="41" t="s">
        <v>161</v>
      </c>
      <c r="G83" s="42" t="s">
        <v>148</v>
      </c>
      <c r="H83" s="41" t="s">
        <v>147</v>
      </c>
      <c r="I83" s="42">
        <v>1</v>
      </c>
      <c r="J83" s="42">
        <v>1</v>
      </c>
      <c r="K83" s="25" t="str">
        <f>VLOOKUP(J83,Key!$E$2:$F$9,2,FALSE)</f>
        <v>Home</v>
      </c>
      <c r="L83" s="41" t="s">
        <v>376</v>
      </c>
      <c r="M83" s="42" t="s">
        <v>146</v>
      </c>
      <c r="N83" s="41" t="s">
        <v>147</v>
      </c>
      <c r="O83" s="42">
        <v>2</v>
      </c>
      <c r="P83" s="42">
        <v>2</v>
      </c>
      <c r="Q83" s="25" t="str">
        <f>VLOOKUP(P83,Key!$E$2:$F$9,2,FALSE)</f>
        <v>Work</v>
      </c>
      <c r="R83" s="25" t="str">
        <f t="shared" si="1"/>
        <v>Home-Work</v>
      </c>
      <c r="S83" s="43">
        <v>10</v>
      </c>
      <c r="T83" s="43">
        <v>0.83</v>
      </c>
      <c r="U83" s="42">
        <v>2</v>
      </c>
      <c r="V83" s="42"/>
      <c r="W83" s="43"/>
      <c r="X83" s="43"/>
      <c r="Y83" s="44" t="s">
        <v>149</v>
      </c>
      <c r="Z83" s="52">
        <v>10000</v>
      </c>
      <c r="AA83" s="25"/>
      <c r="AB83" s="25"/>
    </row>
    <row r="84" spans="2:28">
      <c r="B84" s="39">
        <v>0.92291666666666661</v>
      </c>
      <c r="C84" s="39" t="s">
        <v>377</v>
      </c>
      <c r="D84" s="40">
        <v>1</v>
      </c>
      <c r="E84" s="41">
        <v>1</v>
      </c>
      <c r="F84" s="41" t="s">
        <v>161</v>
      </c>
      <c r="G84" s="42" t="s">
        <v>148</v>
      </c>
      <c r="H84" s="41" t="s">
        <v>147</v>
      </c>
      <c r="I84" s="42">
        <v>1</v>
      </c>
      <c r="J84" s="42">
        <v>1</v>
      </c>
      <c r="K84" s="25" t="str">
        <f>VLOOKUP(J84,Key!$E$2:$F$9,2,FALSE)</f>
        <v>Home</v>
      </c>
      <c r="L84" s="41" t="s">
        <v>378</v>
      </c>
      <c r="M84" s="42" t="s">
        <v>148</v>
      </c>
      <c r="N84" s="41" t="s">
        <v>147</v>
      </c>
      <c r="O84" s="42">
        <v>1</v>
      </c>
      <c r="P84" s="42">
        <v>1</v>
      </c>
      <c r="Q84" s="25" t="str">
        <f>VLOOKUP(P84,Key!$E$2:$F$9,2,FALSE)</f>
        <v>Home</v>
      </c>
      <c r="R84" s="25" t="str">
        <f t="shared" si="1"/>
        <v>Home-Home</v>
      </c>
      <c r="S84" s="43">
        <v>3</v>
      </c>
      <c r="T84" s="43">
        <v>0.5</v>
      </c>
      <c r="U84" s="42">
        <v>3</v>
      </c>
      <c r="V84" s="42"/>
      <c r="W84" s="43"/>
      <c r="X84" s="43"/>
      <c r="Y84" s="44" t="s">
        <v>149</v>
      </c>
      <c r="Z84" s="52">
        <v>2000</v>
      </c>
      <c r="AA84" s="25"/>
      <c r="AB84" s="25"/>
    </row>
    <row r="85" spans="2:28">
      <c r="B85" s="39">
        <v>0.51250000000000007</v>
      </c>
      <c r="C85" s="39" t="s">
        <v>379</v>
      </c>
      <c r="D85" s="40">
        <v>2</v>
      </c>
      <c r="E85" s="41">
        <v>3</v>
      </c>
      <c r="F85" s="41" t="s">
        <v>158</v>
      </c>
      <c r="G85" s="42" t="s">
        <v>146</v>
      </c>
      <c r="H85" s="41" t="s">
        <v>147</v>
      </c>
      <c r="I85" s="42">
        <v>2</v>
      </c>
      <c r="J85" s="42">
        <v>2</v>
      </c>
      <c r="K85" s="25" t="str">
        <f>VLOOKUP(J85,Key!$E$2:$F$9,2,FALSE)</f>
        <v>Work</v>
      </c>
      <c r="L85" s="41" t="s">
        <v>152</v>
      </c>
      <c r="M85" s="42" t="s">
        <v>148</v>
      </c>
      <c r="N85" s="41" t="s">
        <v>147</v>
      </c>
      <c r="O85" s="42">
        <v>2</v>
      </c>
      <c r="P85" s="42">
        <v>2</v>
      </c>
      <c r="Q85" s="25" t="str">
        <f>VLOOKUP(P85,Key!$E$2:$F$9,2,FALSE)</f>
        <v>Work</v>
      </c>
      <c r="R85" s="25" t="str">
        <f t="shared" si="1"/>
        <v>Work-Work</v>
      </c>
      <c r="S85" s="43">
        <v>8</v>
      </c>
      <c r="T85" s="43">
        <v>1</v>
      </c>
      <c r="U85" s="42">
        <v>5</v>
      </c>
      <c r="V85" s="42"/>
      <c r="W85" s="43"/>
      <c r="X85" s="43"/>
      <c r="Y85" s="44" t="s">
        <v>149</v>
      </c>
      <c r="Z85" s="52">
        <v>200</v>
      </c>
      <c r="AA85" s="25"/>
      <c r="AB85" s="25"/>
    </row>
    <row r="86" spans="2:28">
      <c r="B86" s="39">
        <v>0.51736111111111105</v>
      </c>
      <c r="C86" s="39" t="s">
        <v>380</v>
      </c>
      <c r="D86" s="40">
        <v>11</v>
      </c>
      <c r="E86" s="41">
        <v>1</v>
      </c>
      <c r="F86" s="41" t="s">
        <v>161</v>
      </c>
      <c r="G86" s="42" t="s">
        <v>148</v>
      </c>
      <c r="H86" s="41" t="s">
        <v>147</v>
      </c>
      <c r="I86" s="42">
        <v>8</v>
      </c>
      <c r="J86" s="42">
        <v>2</v>
      </c>
      <c r="K86" s="25" t="str">
        <f>VLOOKUP(J86,Key!$E$2:$F$9,2,FALSE)</f>
        <v>Work</v>
      </c>
      <c r="L86" s="41" t="s">
        <v>378</v>
      </c>
      <c r="M86" s="42" t="s">
        <v>148</v>
      </c>
      <c r="N86" s="41" t="s">
        <v>147</v>
      </c>
      <c r="O86" s="42">
        <v>8</v>
      </c>
      <c r="P86" s="42">
        <v>2</v>
      </c>
      <c r="Q86" s="25" t="str">
        <f>VLOOKUP(P86,Key!$E$2:$F$9,2,FALSE)</f>
        <v>Work</v>
      </c>
      <c r="R86" s="25" t="str">
        <f t="shared" si="1"/>
        <v>Work-Work</v>
      </c>
      <c r="S86" s="43">
        <v>3</v>
      </c>
      <c r="T86" s="43">
        <v>0.2</v>
      </c>
      <c r="U86" s="42">
        <v>2</v>
      </c>
      <c r="V86" s="42"/>
      <c r="W86" s="43"/>
      <c r="X86" s="43"/>
      <c r="Y86" s="44" t="s">
        <v>149</v>
      </c>
      <c r="Z86" s="52">
        <v>1000</v>
      </c>
      <c r="AA86" s="25"/>
      <c r="AB86" s="25"/>
    </row>
    <row r="87" spans="2:28">
      <c r="B87" s="39">
        <v>0.52013888888888882</v>
      </c>
      <c r="C87" s="39" t="s">
        <v>381</v>
      </c>
      <c r="D87" s="40">
        <v>11</v>
      </c>
      <c r="E87" s="41">
        <v>1</v>
      </c>
      <c r="F87" s="41" t="s">
        <v>161</v>
      </c>
      <c r="G87" s="42" t="s">
        <v>148</v>
      </c>
      <c r="H87" s="41" t="s">
        <v>147</v>
      </c>
      <c r="I87" s="42">
        <v>8</v>
      </c>
      <c r="J87" s="42">
        <v>2</v>
      </c>
      <c r="K87" s="25" t="str">
        <f>VLOOKUP(J87,Key!$E$2:$F$9,2,FALSE)</f>
        <v>Work</v>
      </c>
      <c r="L87" s="41" t="s">
        <v>152</v>
      </c>
      <c r="M87" s="42" t="s">
        <v>148</v>
      </c>
      <c r="N87" s="41" t="s">
        <v>147</v>
      </c>
      <c r="O87" s="42">
        <v>8</v>
      </c>
      <c r="P87" s="42">
        <v>2</v>
      </c>
      <c r="Q87" s="25" t="str">
        <f>VLOOKUP(P87,Key!$E$2:$F$9,2,FALSE)</f>
        <v>Work</v>
      </c>
      <c r="R87" s="25" t="str">
        <f t="shared" si="1"/>
        <v>Work-Work</v>
      </c>
      <c r="S87" s="43">
        <v>4</v>
      </c>
      <c r="T87" s="43">
        <v>0.2</v>
      </c>
      <c r="U87" s="42">
        <v>2</v>
      </c>
      <c r="V87" s="42"/>
      <c r="W87" s="43"/>
      <c r="X87" s="43"/>
      <c r="Y87" s="44" t="s">
        <v>149</v>
      </c>
      <c r="Z87" s="52">
        <v>500</v>
      </c>
      <c r="AA87" s="25"/>
      <c r="AB87" s="25"/>
    </row>
    <row r="88" spans="2:28">
      <c r="B88" s="39">
        <v>0.52569444444444446</v>
      </c>
      <c r="C88" s="39" t="s">
        <v>382</v>
      </c>
      <c r="D88" s="40">
        <v>4</v>
      </c>
      <c r="E88" s="41">
        <v>14</v>
      </c>
      <c r="F88" s="41" t="s">
        <v>158</v>
      </c>
      <c r="G88" s="42" t="s">
        <v>146</v>
      </c>
      <c r="H88" s="41" t="s">
        <v>147</v>
      </c>
      <c r="I88" s="42">
        <v>6</v>
      </c>
      <c r="J88" s="42">
        <v>2</v>
      </c>
      <c r="K88" s="25" t="str">
        <f>VLOOKUP(J88,Key!$E$2:$F$9,2,FALSE)</f>
        <v>Work</v>
      </c>
      <c r="L88" s="41" t="s">
        <v>152</v>
      </c>
      <c r="M88" s="42" t="s">
        <v>148</v>
      </c>
      <c r="N88" s="41" t="s">
        <v>147</v>
      </c>
      <c r="O88" s="42">
        <v>6</v>
      </c>
      <c r="P88" s="42">
        <v>2</v>
      </c>
      <c r="Q88" s="25" t="str">
        <f>VLOOKUP(P88,Key!$E$2:$F$9,2,FALSE)</f>
        <v>Work</v>
      </c>
      <c r="R88" s="25" t="str">
        <f t="shared" si="1"/>
        <v>Work-Work</v>
      </c>
      <c r="S88" s="43">
        <v>12</v>
      </c>
      <c r="T88" s="43">
        <v>1</v>
      </c>
      <c r="U88" s="42">
        <v>2</v>
      </c>
      <c r="V88" s="42"/>
      <c r="W88" s="43"/>
      <c r="X88" s="43"/>
      <c r="Y88" s="44" t="s">
        <v>149</v>
      </c>
      <c r="Z88" s="52">
        <v>1000</v>
      </c>
      <c r="AA88" s="25"/>
      <c r="AB88" s="25"/>
    </row>
    <row r="89" spans="2:28">
      <c r="B89" s="39">
        <v>0.53263888888888888</v>
      </c>
      <c r="C89" s="39" t="s">
        <v>383</v>
      </c>
      <c r="D89" s="40">
        <v>2</v>
      </c>
      <c r="E89" s="41">
        <v>5</v>
      </c>
      <c r="F89" s="41" t="s">
        <v>384</v>
      </c>
      <c r="G89" s="42" t="s">
        <v>148</v>
      </c>
      <c r="H89" s="41" t="s">
        <v>147</v>
      </c>
      <c r="I89" s="42">
        <v>1</v>
      </c>
      <c r="J89" s="42">
        <v>1</v>
      </c>
      <c r="K89" s="25" t="str">
        <f>VLOOKUP(J89,Key!$E$2:$F$9,2,FALSE)</f>
        <v>Home</v>
      </c>
      <c r="L89" s="41" t="s">
        <v>385</v>
      </c>
      <c r="M89" s="42" t="s">
        <v>148</v>
      </c>
      <c r="N89" s="41" t="s">
        <v>147</v>
      </c>
      <c r="O89" s="42">
        <v>4</v>
      </c>
      <c r="P89" s="42">
        <v>3</v>
      </c>
      <c r="Q89" s="25" t="str">
        <f>VLOOKUP(P89,Key!$E$2:$F$9,2,FALSE)</f>
        <v>Study</v>
      </c>
      <c r="R89" s="25" t="str">
        <f t="shared" si="1"/>
        <v>Home-Study</v>
      </c>
      <c r="S89" s="43">
        <v>5</v>
      </c>
      <c r="T89" s="43">
        <v>0.3</v>
      </c>
      <c r="U89" s="42">
        <v>3</v>
      </c>
      <c r="V89" s="42"/>
      <c r="W89" s="43"/>
      <c r="X89" s="43"/>
      <c r="Y89" s="44" t="s">
        <v>149</v>
      </c>
      <c r="Z89" s="52"/>
      <c r="AA89" s="25"/>
      <c r="AB89" s="25"/>
    </row>
    <row r="90" spans="2:28">
      <c r="B90" s="39">
        <v>0.53263888888888888</v>
      </c>
      <c r="C90" s="39" t="s">
        <v>383</v>
      </c>
      <c r="D90" s="40">
        <v>2</v>
      </c>
      <c r="E90" s="41">
        <v>5</v>
      </c>
      <c r="F90" s="41" t="s">
        <v>384</v>
      </c>
      <c r="G90" s="42" t="s">
        <v>148</v>
      </c>
      <c r="H90" s="41" t="s">
        <v>147</v>
      </c>
      <c r="I90" s="42">
        <v>1</v>
      </c>
      <c r="J90" s="42">
        <v>1</v>
      </c>
      <c r="K90" s="25" t="str">
        <f>VLOOKUP(J90,Key!$E$2:$F$9,2,FALSE)</f>
        <v>Home</v>
      </c>
      <c r="L90" s="41" t="s">
        <v>385</v>
      </c>
      <c r="M90" s="42" t="s">
        <v>148</v>
      </c>
      <c r="N90" s="41" t="s">
        <v>147</v>
      </c>
      <c r="O90" s="42">
        <v>4</v>
      </c>
      <c r="P90" s="42">
        <v>3</v>
      </c>
      <c r="Q90" s="25" t="str">
        <f>VLOOKUP(P90,Key!$E$2:$F$9,2,FALSE)</f>
        <v>Study</v>
      </c>
      <c r="R90" s="25" t="str">
        <f t="shared" si="1"/>
        <v>Home-Study</v>
      </c>
      <c r="S90" s="43">
        <v>5</v>
      </c>
      <c r="T90" s="43">
        <v>0.3</v>
      </c>
      <c r="U90" s="42">
        <v>3</v>
      </c>
      <c r="V90" s="42"/>
      <c r="W90" s="43"/>
      <c r="X90" s="43"/>
      <c r="Y90" s="44" t="s">
        <v>149</v>
      </c>
      <c r="Z90" s="52"/>
      <c r="AA90" s="25"/>
      <c r="AB90" s="25"/>
    </row>
    <row r="91" spans="2:28">
      <c r="B91" s="39">
        <v>0.53819444444444442</v>
      </c>
      <c r="C91" s="39" t="s">
        <v>386</v>
      </c>
      <c r="D91" s="40">
        <v>4</v>
      </c>
      <c r="E91" s="41">
        <v>6</v>
      </c>
      <c r="F91" s="41" t="s">
        <v>181</v>
      </c>
      <c r="G91" s="42" t="s">
        <v>146</v>
      </c>
      <c r="H91" s="41" t="s">
        <v>147</v>
      </c>
      <c r="I91" s="42">
        <v>6</v>
      </c>
      <c r="J91" s="42">
        <v>2</v>
      </c>
      <c r="K91" s="25" t="str">
        <f>VLOOKUP(J91,Key!$E$2:$F$9,2,FALSE)</f>
        <v>Work</v>
      </c>
      <c r="L91" s="41" t="s">
        <v>152</v>
      </c>
      <c r="M91" s="42" t="s">
        <v>148</v>
      </c>
      <c r="N91" s="41" t="s">
        <v>147</v>
      </c>
      <c r="O91" s="42">
        <v>6</v>
      </c>
      <c r="P91" s="42">
        <v>2</v>
      </c>
      <c r="Q91" s="25" t="str">
        <f>VLOOKUP(P91,Key!$E$2:$F$9,2,FALSE)</f>
        <v>Work</v>
      </c>
      <c r="R91" s="25" t="str">
        <f t="shared" si="1"/>
        <v>Work-Work</v>
      </c>
      <c r="S91" s="43">
        <v>12</v>
      </c>
      <c r="T91" s="43">
        <v>1</v>
      </c>
      <c r="U91" s="42">
        <v>2</v>
      </c>
      <c r="V91" s="42"/>
      <c r="W91" s="43"/>
      <c r="X91" s="43"/>
      <c r="Y91" s="44" t="s">
        <v>149</v>
      </c>
      <c r="Z91" s="52"/>
      <c r="AA91" s="25"/>
      <c r="AB91" s="25"/>
    </row>
    <row r="92" spans="2:28">
      <c r="B92" s="39">
        <v>4.6527777777777779E-2</v>
      </c>
      <c r="C92" s="39" t="s">
        <v>387</v>
      </c>
      <c r="D92" s="40">
        <v>2</v>
      </c>
      <c r="E92" s="41">
        <v>1</v>
      </c>
      <c r="F92" s="41" t="s">
        <v>161</v>
      </c>
      <c r="G92" s="42" t="s">
        <v>148</v>
      </c>
      <c r="H92" s="41" t="s">
        <v>147</v>
      </c>
      <c r="I92" s="42">
        <v>1</v>
      </c>
      <c r="J92" s="42">
        <v>1</v>
      </c>
      <c r="K92" s="25" t="str">
        <f>VLOOKUP(J92,Key!$E$2:$F$9,2,FALSE)</f>
        <v>Home</v>
      </c>
      <c r="L92" s="41" t="s">
        <v>158</v>
      </c>
      <c r="M92" s="42" t="s">
        <v>146</v>
      </c>
      <c r="N92" s="41" t="s">
        <v>147</v>
      </c>
      <c r="O92" s="42">
        <v>2</v>
      </c>
      <c r="P92" s="42">
        <v>2</v>
      </c>
      <c r="Q92" s="25" t="str">
        <f>VLOOKUP(P92,Key!$E$2:$F$9,2,FALSE)</f>
        <v>Work</v>
      </c>
      <c r="R92" s="25" t="str">
        <f t="shared" si="1"/>
        <v>Home-Work</v>
      </c>
      <c r="S92" s="43">
        <v>8</v>
      </c>
      <c r="T92" s="43">
        <v>0.5</v>
      </c>
      <c r="U92" s="42">
        <v>2</v>
      </c>
      <c r="V92" s="42"/>
      <c r="W92" s="43"/>
      <c r="X92" s="43"/>
      <c r="Y92" s="44" t="s">
        <v>149</v>
      </c>
      <c r="Z92" s="52">
        <v>1000</v>
      </c>
      <c r="AA92" s="25"/>
      <c r="AB92" s="25"/>
    </row>
    <row r="93" spans="2:28">
      <c r="B93" s="39">
        <v>4.9305555555555554E-2</v>
      </c>
      <c r="C93" s="39" t="s">
        <v>388</v>
      </c>
      <c r="D93" s="40">
        <v>2</v>
      </c>
      <c r="E93" s="41">
        <v>6</v>
      </c>
      <c r="F93" s="41" t="s">
        <v>161</v>
      </c>
      <c r="G93" s="42" t="s">
        <v>148</v>
      </c>
      <c r="H93" s="41" t="s">
        <v>147</v>
      </c>
      <c r="I93" s="42">
        <v>1</v>
      </c>
      <c r="J93" s="42">
        <v>1</v>
      </c>
      <c r="K93" s="25" t="str">
        <f>VLOOKUP(J93,Key!$E$2:$F$9,2,FALSE)</f>
        <v>Home</v>
      </c>
      <c r="L93" s="41" t="s">
        <v>158</v>
      </c>
      <c r="M93" s="42" t="s">
        <v>146</v>
      </c>
      <c r="N93" s="41" t="s">
        <v>147</v>
      </c>
      <c r="O93" s="42">
        <v>4</v>
      </c>
      <c r="P93" s="42">
        <v>3</v>
      </c>
      <c r="Q93" s="25" t="str">
        <f>VLOOKUP(P93,Key!$E$2:$F$9,2,FALSE)</f>
        <v>Study</v>
      </c>
      <c r="R93" s="25" t="str">
        <f t="shared" si="1"/>
        <v>Home-Study</v>
      </c>
      <c r="S93" s="43">
        <v>10</v>
      </c>
      <c r="T93" s="43">
        <v>0.6</v>
      </c>
      <c r="U93" s="42">
        <v>2</v>
      </c>
      <c r="V93" s="42"/>
      <c r="W93" s="43"/>
      <c r="X93" s="43"/>
      <c r="Y93" s="44" t="s">
        <v>149</v>
      </c>
      <c r="Z93" s="52"/>
      <c r="AA93" s="25"/>
      <c r="AB93" s="25"/>
    </row>
    <row r="94" spans="2:28">
      <c r="B94" s="39">
        <v>5.347222222222222E-2</v>
      </c>
      <c r="C94" s="39" t="s">
        <v>389</v>
      </c>
      <c r="D94" s="40">
        <v>11</v>
      </c>
      <c r="E94" s="41">
        <v>1</v>
      </c>
      <c r="F94" s="41" t="s">
        <v>390</v>
      </c>
      <c r="G94" s="42" t="s">
        <v>148</v>
      </c>
      <c r="H94" s="41" t="s">
        <v>147</v>
      </c>
      <c r="I94" s="42">
        <v>8</v>
      </c>
      <c r="J94" s="42">
        <v>1</v>
      </c>
      <c r="K94" s="25" t="str">
        <f>VLOOKUP(J94,Key!$E$2:$F$9,2,FALSE)</f>
        <v>Home</v>
      </c>
      <c r="L94" s="41" t="s">
        <v>391</v>
      </c>
      <c r="M94" s="42" t="s">
        <v>146</v>
      </c>
      <c r="N94" s="41" t="s">
        <v>147</v>
      </c>
      <c r="O94" s="42">
        <v>8</v>
      </c>
      <c r="P94" s="42">
        <v>1</v>
      </c>
      <c r="Q94" s="25" t="str">
        <f>VLOOKUP(P94,Key!$E$2:$F$9,2,FALSE)</f>
        <v>Home</v>
      </c>
      <c r="R94" s="25" t="str">
        <f t="shared" si="1"/>
        <v>Home-Home</v>
      </c>
      <c r="S94" s="43">
        <v>5</v>
      </c>
      <c r="T94" s="43">
        <v>0.2</v>
      </c>
      <c r="U94" s="42">
        <v>2</v>
      </c>
      <c r="V94" s="42"/>
      <c r="W94" s="43"/>
      <c r="X94" s="43"/>
      <c r="Y94" s="44" t="s">
        <v>149</v>
      </c>
      <c r="Z94" s="52">
        <v>1000</v>
      </c>
      <c r="AA94" s="25"/>
      <c r="AB94" s="25"/>
    </row>
    <row r="95" spans="2:28">
      <c r="B95" s="39">
        <v>0.59930555555555554</v>
      </c>
      <c r="C95" s="39" t="s">
        <v>392</v>
      </c>
      <c r="D95" s="40">
        <v>3</v>
      </c>
      <c r="E95" s="41">
        <v>1</v>
      </c>
      <c r="F95" s="41" t="s">
        <v>161</v>
      </c>
      <c r="G95" s="42" t="s">
        <v>148</v>
      </c>
      <c r="H95" s="41" t="s">
        <v>147</v>
      </c>
      <c r="I95" s="42">
        <v>1</v>
      </c>
      <c r="J95" s="42">
        <v>1</v>
      </c>
      <c r="K95" s="25" t="str">
        <f>VLOOKUP(J95,Key!$E$2:$F$9,2,FALSE)</f>
        <v>Home</v>
      </c>
      <c r="L95" s="41" t="s">
        <v>152</v>
      </c>
      <c r="M95" s="42" t="s">
        <v>148</v>
      </c>
      <c r="N95" s="41" t="s">
        <v>147</v>
      </c>
      <c r="O95" s="42">
        <v>3</v>
      </c>
      <c r="P95" s="42">
        <v>4</v>
      </c>
      <c r="Q95" s="25" t="str">
        <f>VLOOKUP(P95,Key!$E$2:$F$9,2,FALSE)</f>
        <v>Commercial</v>
      </c>
      <c r="R95" s="25" t="str">
        <f t="shared" si="1"/>
        <v>Home-Commercial</v>
      </c>
      <c r="S95" s="43">
        <v>5</v>
      </c>
      <c r="T95" s="43">
        <v>0.2</v>
      </c>
      <c r="U95" s="42">
        <v>2</v>
      </c>
      <c r="V95" s="42"/>
      <c r="W95" s="43"/>
      <c r="X95" s="43"/>
      <c r="Y95" s="44" t="s">
        <v>149</v>
      </c>
      <c r="Z95" s="52">
        <v>2000</v>
      </c>
      <c r="AA95" s="25"/>
      <c r="AB95" s="25"/>
    </row>
    <row r="96" spans="2:28">
      <c r="B96" s="39">
        <v>0.60069444444444442</v>
      </c>
      <c r="C96" s="39" t="s">
        <v>393</v>
      </c>
      <c r="D96" s="40">
        <v>1</v>
      </c>
      <c r="E96" s="41">
        <v>3</v>
      </c>
      <c r="F96" s="41" t="s">
        <v>161</v>
      </c>
      <c r="G96" s="42" t="s">
        <v>148</v>
      </c>
      <c r="H96" s="41" t="s">
        <v>147</v>
      </c>
      <c r="I96" s="42">
        <v>4</v>
      </c>
      <c r="J96" s="42">
        <v>3</v>
      </c>
      <c r="K96" s="25" t="str">
        <f>VLOOKUP(J96,Key!$E$2:$F$9,2,FALSE)</f>
        <v>Study</v>
      </c>
      <c r="L96" s="41" t="s">
        <v>152</v>
      </c>
      <c r="M96" s="42" t="s">
        <v>148</v>
      </c>
      <c r="N96" s="41" t="s">
        <v>147</v>
      </c>
      <c r="O96" s="42">
        <v>1</v>
      </c>
      <c r="P96" s="42">
        <v>1</v>
      </c>
      <c r="Q96" s="25" t="str">
        <f>VLOOKUP(P96,Key!$E$2:$F$9,2,FALSE)</f>
        <v>Home</v>
      </c>
      <c r="R96" s="25" t="str">
        <f t="shared" si="1"/>
        <v>Study-Home</v>
      </c>
      <c r="S96" s="43">
        <v>7</v>
      </c>
      <c r="T96" s="43">
        <v>0.5</v>
      </c>
      <c r="U96" s="42">
        <v>2</v>
      </c>
      <c r="V96" s="42"/>
      <c r="W96" s="43"/>
      <c r="X96" s="43"/>
      <c r="Y96" s="44" t="s">
        <v>149</v>
      </c>
      <c r="Z96" s="52">
        <v>2000</v>
      </c>
      <c r="AA96" s="25"/>
      <c r="AB96" s="25"/>
    </row>
    <row r="97" spans="2:28">
      <c r="B97" s="39">
        <v>0.60902777777777783</v>
      </c>
      <c r="C97" s="39" t="s">
        <v>395</v>
      </c>
      <c r="D97" s="40">
        <v>11</v>
      </c>
      <c r="E97" s="41">
        <v>2</v>
      </c>
      <c r="F97" s="41" t="s">
        <v>181</v>
      </c>
      <c r="G97" s="42" t="s">
        <v>146</v>
      </c>
      <c r="H97" s="41" t="s">
        <v>147</v>
      </c>
      <c r="I97" s="42">
        <v>8</v>
      </c>
      <c r="J97" s="42">
        <v>2</v>
      </c>
      <c r="K97" s="25" t="str">
        <f>VLOOKUP(J97,Key!$E$2:$F$9,2,FALSE)</f>
        <v>Work</v>
      </c>
      <c r="L97" s="41" t="s">
        <v>152</v>
      </c>
      <c r="M97" s="42" t="s">
        <v>148</v>
      </c>
      <c r="N97" s="41" t="s">
        <v>147</v>
      </c>
      <c r="O97" s="42">
        <v>8</v>
      </c>
      <c r="P97" s="42">
        <v>2</v>
      </c>
      <c r="Q97" s="25" t="str">
        <f>VLOOKUP(P97,Key!$E$2:$F$9,2,FALSE)</f>
        <v>Work</v>
      </c>
      <c r="R97" s="25" t="str">
        <f t="shared" si="1"/>
        <v>Work-Work</v>
      </c>
      <c r="S97" s="43">
        <v>10</v>
      </c>
      <c r="T97" s="43">
        <v>0.5</v>
      </c>
      <c r="U97" s="42">
        <v>2</v>
      </c>
      <c r="V97" s="42"/>
      <c r="W97" s="43"/>
      <c r="X97" s="43"/>
      <c r="Y97" s="44" t="s">
        <v>149</v>
      </c>
      <c r="Z97" s="52">
        <v>1000</v>
      </c>
      <c r="AA97" s="25"/>
      <c r="AB97" s="25"/>
    </row>
    <row r="98" spans="2:28">
      <c r="B98" s="39">
        <v>0.61458333333333337</v>
      </c>
      <c r="C98" s="39" t="s">
        <v>396</v>
      </c>
      <c r="D98" s="40">
        <v>2</v>
      </c>
      <c r="E98" s="41">
        <v>3</v>
      </c>
      <c r="F98" s="41" t="s">
        <v>397</v>
      </c>
      <c r="G98" s="42" t="s">
        <v>146</v>
      </c>
      <c r="H98" s="41" t="s">
        <v>147</v>
      </c>
      <c r="I98" s="42">
        <v>1</v>
      </c>
      <c r="J98" s="42">
        <v>1</v>
      </c>
      <c r="K98" s="25" t="str">
        <f>VLOOKUP(J98,Key!$E$2:$F$9,2,FALSE)</f>
        <v>Home</v>
      </c>
      <c r="L98" s="41" t="s">
        <v>152</v>
      </c>
      <c r="M98" s="42" t="s">
        <v>148</v>
      </c>
      <c r="N98" s="41" t="s">
        <v>147</v>
      </c>
      <c r="O98" s="42">
        <v>1</v>
      </c>
      <c r="P98" s="42">
        <v>1</v>
      </c>
      <c r="Q98" s="25" t="str">
        <f>VLOOKUP(P98,Key!$E$2:$F$9,2,FALSE)</f>
        <v>Home</v>
      </c>
      <c r="R98" s="25" t="str">
        <f t="shared" si="1"/>
        <v>Home-Home</v>
      </c>
      <c r="S98" s="43">
        <v>15</v>
      </c>
      <c r="T98" s="43">
        <v>1</v>
      </c>
      <c r="U98" s="42">
        <v>5</v>
      </c>
      <c r="V98" s="42"/>
      <c r="W98" s="43"/>
      <c r="X98" s="43"/>
      <c r="Y98" s="44" t="s">
        <v>149</v>
      </c>
      <c r="Z98" s="52"/>
      <c r="AA98" s="25"/>
      <c r="AB98" s="25"/>
    </row>
    <row r="99" spans="2:28">
      <c r="B99" s="39">
        <v>0.61944444444444446</v>
      </c>
      <c r="C99" s="39" t="s">
        <v>398</v>
      </c>
      <c r="D99" s="40">
        <v>1</v>
      </c>
      <c r="E99" s="41">
        <v>2</v>
      </c>
      <c r="F99" s="41" t="s">
        <v>161</v>
      </c>
      <c r="G99" s="42" t="s">
        <v>148</v>
      </c>
      <c r="H99" s="41" t="s">
        <v>147</v>
      </c>
      <c r="I99" s="42">
        <v>1</v>
      </c>
      <c r="J99" s="42">
        <v>1</v>
      </c>
      <c r="K99" s="25" t="str">
        <f>VLOOKUP(J99,Key!$E$2:$F$9,2,FALSE)</f>
        <v>Home</v>
      </c>
      <c r="L99" s="41" t="s">
        <v>207</v>
      </c>
      <c r="M99" s="42" t="s">
        <v>146</v>
      </c>
      <c r="N99" s="41" t="s">
        <v>147</v>
      </c>
      <c r="O99" s="42">
        <v>16</v>
      </c>
      <c r="P99" s="42">
        <v>8</v>
      </c>
      <c r="Q99" s="25" t="str">
        <f>VLOOKUP(P99,Key!$E$2:$F$9,2,FALSE)</f>
        <v>Others</v>
      </c>
      <c r="R99" s="25" t="str">
        <f t="shared" si="1"/>
        <v>Home-Others</v>
      </c>
      <c r="S99" s="43">
        <v>4</v>
      </c>
      <c r="T99" s="43">
        <v>0.1</v>
      </c>
      <c r="U99" s="42">
        <v>6</v>
      </c>
      <c r="V99" s="42"/>
      <c r="W99" s="43"/>
      <c r="X99" s="43"/>
      <c r="Y99" s="44" t="s">
        <v>149</v>
      </c>
      <c r="Z99" s="52"/>
      <c r="AA99" s="25"/>
      <c r="AB99" s="25"/>
    </row>
    <row r="100" spans="2:28">
      <c r="B100" s="39">
        <v>0.63194444444444442</v>
      </c>
      <c r="C100" s="39" t="s">
        <v>399</v>
      </c>
      <c r="D100" s="40">
        <v>1</v>
      </c>
      <c r="E100" s="41">
        <v>6</v>
      </c>
      <c r="F100" s="41" t="s">
        <v>400</v>
      </c>
      <c r="G100" s="42" t="s">
        <v>148</v>
      </c>
      <c r="H100" s="41" t="s">
        <v>147</v>
      </c>
      <c r="I100" s="42">
        <v>1</v>
      </c>
      <c r="J100" s="42">
        <v>1</v>
      </c>
      <c r="K100" s="25" t="str">
        <f>VLOOKUP(J100,Key!$E$2:$F$9,2,FALSE)</f>
        <v>Home</v>
      </c>
      <c r="L100" s="41" t="s">
        <v>152</v>
      </c>
      <c r="M100" s="42" t="s">
        <v>148</v>
      </c>
      <c r="N100" s="41" t="s">
        <v>147</v>
      </c>
      <c r="O100" s="42">
        <v>16</v>
      </c>
      <c r="P100" s="42">
        <v>8</v>
      </c>
      <c r="Q100" s="25" t="str">
        <f>VLOOKUP(P100,Key!$E$2:$F$9,2,FALSE)</f>
        <v>Others</v>
      </c>
      <c r="R100" s="25" t="str">
        <f t="shared" si="1"/>
        <v>Home-Others</v>
      </c>
      <c r="S100" s="43">
        <v>4</v>
      </c>
      <c r="T100" s="43">
        <v>0.1</v>
      </c>
      <c r="U100" s="42">
        <v>2</v>
      </c>
      <c r="V100" s="42"/>
      <c r="W100" s="43"/>
      <c r="X100" s="43"/>
      <c r="Y100" s="44" t="s">
        <v>149</v>
      </c>
      <c r="Z100" s="52"/>
      <c r="AA100" s="25"/>
      <c r="AB100" s="25"/>
    </row>
    <row r="101" spans="2:28">
      <c r="B101" s="39">
        <v>0.63402777777777775</v>
      </c>
      <c r="C101" s="39" t="s">
        <v>401</v>
      </c>
      <c r="D101" s="40">
        <v>11</v>
      </c>
      <c r="E101" s="41">
        <v>1</v>
      </c>
      <c r="F101" s="41" t="s">
        <v>161</v>
      </c>
      <c r="G101" s="42" t="s">
        <v>148</v>
      </c>
      <c r="H101" s="41" t="s">
        <v>147</v>
      </c>
      <c r="I101" s="42">
        <v>8</v>
      </c>
      <c r="J101" s="42">
        <v>2</v>
      </c>
      <c r="K101" s="25" t="str">
        <f>VLOOKUP(J101,Key!$E$2:$F$9,2,FALSE)</f>
        <v>Work</v>
      </c>
      <c r="L101" s="41" t="s">
        <v>356</v>
      </c>
      <c r="M101" s="42" t="s">
        <v>148</v>
      </c>
      <c r="N101" s="41" t="s">
        <v>147</v>
      </c>
      <c r="O101" s="42">
        <v>8</v>
      </c>
      <c r="P101" s="42">
        <v>2</v>
      </c>
      <c r="Q101" s="25" t="str">
        <f>VLOOKUP(P101,Key!$E$2:$F$9,2,FALSE)</f>
        <v>Work</v>
      </c>
      <c r="R101" s="25" t="str">
        <f t="shared" si="1"/>
        <v>Work-Work</v>
      </c>
      <c r="S101" s="43">
        <v>3</v>
      </c>
      <c r="T101" s="43">
        <v>0.3</v>
      </c>
      <c r="U101" s="42">
        <v>2</v>
      </c>
      <c r="V101" s="42"/>
      <c r="W101" s="43"/>
      <c r="X101" s="43"/>
      <c r="Y101" s="44" t="s">
        <v>149</v>
      </c>
      <c r="Z101" s="52">
        <v>3000</v>
      </c>
      <c r="AA101" s="25"/>
      <c r="AB101" s="25"/>
    </row>
    <row r="102" spans="2:28">
      <c r="B102" s="39">
        <v>0.63611111111111118</v>
      </c>
      <c r="C102" s="39" t="s">
        <v>402</v>
      </c>
      <c r="D102" s="40">
        <v>7</v>
      </c>
      <c r="E102" s="41">
        <v>2</v>
      </c>
      <c r="F102" s="41" t="s">
        <v>394</v>
      </c>
      <c r="G102" s="42" t="s">
        <v>148</v>
      </c>
      <c r="H102" s="41" t="s">
        <v>147</v>
      </c>
      <c r="I102" s="42">
        <v>10</v>
      </c>
      <c r="J102" s="42">
        <v>2</v>
      </c>
      <c r="K102" s="25" t="str">
        <f>VLOOKUP(J102,Key!$E$2:$F$9,2,FALSE)</f>
        <v>Work</v>
      </c>
      <c r="L102" s="41" t="s">
        <v>152</v>
      </c>
      <c r="M102" s="42" t="s">
        <v>148</v>
      </c>
      <c r="N102" s="41" t="s">
        <v>147</v>
      </c>
      <c r="O102" s="42">
        <v>15</v>
      </c>
      <c r="P102" s="42">
        <v>4</v>
      </c>
      <c r="Q102" s="25" t="str">
        <f>VLOOKUP(P102,Key!$E$2:$F$9,2,FALSE)</f>
        <v>Commercial</v>
      </c>
      <c r="R102" s="25" t="str">
        <f t="shared" ref="R102:R105" si="2">K102&amp;"-"&amp;Q102</f>
        <v>Work-Commercial</v>
      </c>
      <c r="S102" s="43">
        <v>4</v>
      </c>
      <c r="T102" s="43">
        <v>0.3</v>
      </c>
      <c r="U102" s="42">
        <v>2</v>
      </c>
      <c r="V102" s="42"/>
      <c r="W102" s="43"/>
      <c r="X102" s="43"/>
      <c r="Y102" s="44" t="s">
        <v>149</v>
      </c>
      <c r="Z102" s="52"/>
      <c r="AA102" s="25"/>
      <c r="AB102" s="25"/>
    </row>
    <row r="103" spans="2:28">
      <c r="B103" s="39">
        <v>0.65138888888888891</v>
      </c>
      <c r="C103" s="39" t="s">
        <v>403</v>
      </c>
      <c r="D103" s="40">
        <v>1</v>
      </c>
      <c r="E103" s="41">
        <v>1</v>
      </c>
      <c r="F103" s="41" t="s">
        <v>404</v>
      </c>
      <c r="G103" s="42" t="s">
        <v>148</v>
      </c>
      <c r="H103" s="41" t="s">
        <v>147</v>
      </c>
      <c r="I103" s="42">
        <v>1</v>
      </c>
      <c r="J103" s="42">
        <v>1</v>
      </c>
      <c r="K103" s="25" t="str">
        <f>VLOOKUP(J103,Key!$E$2:$F$9,2,FALSE)</f>
        <v>Home</v>
      </c>
      <c r="L103" s="41" t="s">
        <v>207</v>
      </c>
      <c r="M103" s="42" t="s">
        <v>146</v>
      </c>
      <c r="N103" s="41" t="s">
        <v>147</v>
      </c>
      <c r="O103" s="42">
        <v>2</v>
      </c>
      <c r="P103" s="42">
        <v>2</v>
      </c>
      <c r="Q103" s="25" t="str">
        <f>VLOOKUP(P103,Key!$E$2:$F$9,2,FALSE)</f>
        <v>Work</v>
      </c>
      <c r="R103" s="25" t="str">
        <f t="shared" si="2"/>
        <v>Home-Work</v>
      </c>
      <c r="S103" s="43">
        <v>5</v>
      </c>
      <c r="T103" s="43">
        <v>0.1</v>
      </c>
      <c r="U103" s="42">
        <v>2</v>
      </c>
      <c r="V103" s="42"/>
      <c r="W103" s="43"/>
      <c r="X103" s="43"/>
      <c r="Y103" s="44" t="s">
        <v>149</v>
      </c>
      <c r="Z103" s="52">
        <v>2000</v>
      </c>
      <c r="AA103" s="25"/>
      <c r="AB103" s="25"/>
    </row>
    <row r="104" spans="2:28">
      <c r="B104" s="39">
        <v>0.66666666666666663</v>
      </c>
      <c r="C104" s="39" t="s">
        <v>405</v>
      </c>
      <c r="D104" s="40">
        <v>2</v>
      </c>
      <c r="E104" s="41">
        <v>1</v>
      </c>
      <c r="F104" s="41" t="s">
        <v>181</v>
      </c>
      <c r="G104" s="42" t="s">
        <v>146</v>
      </c>
      <c r="H104" s="41" t="s">
        <v>147</v>
      </c>
      <c r="I104" s="42">
        <v>1</v>
      </c>
      <c r="J104" s="42">
        <v>1</v>
      </c>
      <c r="K104" s="25" t="str">
        <f>VLOOKUP(J104,Key!$E$2:$F$9,2,FALSE)</f>
        <v>Home</v>
      </c>
      <c r="L104" s="41" t="s">
        <v>152</v>
      </c>
      <c r="M104" s="42" t="s">
        <v>148</v>
      </c>
      <c r="N104" s="41" t="s">
        <v>147</v>
      </c>
      <c r="O104" s="42">
        <v>1</v>
      </c>
      <c r="P104" s="42">
        <v>1</v>
      </c>
      <c r="Q104" s="25" t="str">
        <f>VLOOKUP(P104,Key!$E$2:$F$9,2,FALSE)</f>
        <v>Home</v>
      </c>
      <c r="R104" s="25" t="str">
        <f t="shared" si="2"/>
        <v>Home-Home</v>
      </c>
      <c r="S104" s="43">
        <v>10</v>
      </c>
      <c r="T104" s="43">
        <v>0.5</v>
      </c>
      <c r="U104" s="42">
        <v>3</v>
      </c>
      <c r="V104" s="42"/>
      <c r="W104" s="43"/>
      <c r="X104" s="43"/>
      <c r="Y104" s="44" t="s">
        <v>149</v>
      </c>
      <c r="Z104" s="52">
        <v>5000</v>
      </c>
      <c r="AA104" s="25"/>
      <c r="AB104" s="25"/>
    </row>
    <row r="105" spans="2:28" ht="12" customHeight="1">
      <c r="B105" s="39">
        <v>0.67013888888888884</v>
      </c>
      <c r="C105" s="39" t="s">
        <v>406</v>
      </c>
      <c r="D105" s="40">
        <v>3</v>
      </c>
      <c r="E105" s="41">
        <v>3</v>
      </c>
      <c r="F105" s="41" t="s">
        <v>407</v>
      </c>
      <c r="G105" s="42" t="s">
        <v>148</v>
      </c>
      <c r="H105" s="41" t="s">
        <v>147</v>
      </c>
      <c r="I105" s="42">
        <v>1</v>
      </c>
      <c r="J105" s="42">
        <v>1</v>
      </c>
      <c r="K105" s="25" t="str">
        <f>VLOOKUP(J105,Key!$E$2:$F$9,2,FALSE)</f>
        <v>Home</v>
      </c>
      <c r="L105" s="41" t="s">
        <v>152</v>
      </c>
      <c r="M105" s="42" t="s">
        <v>148</v>
      </c>
      <c r="N105" s="41" t="s">
        <v>147</v>
      </c>
      <c r="O105" s="42">
        <v>15</v>
      </c>
      <c r="P105" s="42">
        <v>2</v>
      </c>
      <c r="Q105" s="25" t="str">
        <f>VLOOKUP(P105,Key!$E$2:$F$9,2,FALSE)</f>
        <v>Work</v>
      </c>
      <c r="R105" s="25" t="str">
        <f t="shared" si="2"/>
        <v>Home-Work</v>
      </c>
      <c r="S105" s="43">
        <v>4</v>
      </c>
      <c r="T105" s="43">
        <v>0.2</v>
      </c>
      <c r="U105" s="42">
        <v>2</v>
      </c>
      <c r="V105" s="42"/>
      <c r="W105" s="43"/>
      <c r="X105" s="43"/>
      <c r="Y105" s="44" t="s">
        <v>149</v>
      </c>
      <c r="Z105" s="52">
        <v>1000</v>
      </c>
      <c r="AA105" s="25"/>
      <c r="AB10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I80"/>
  <sheetViews>
    <sheetView topLeftCell="L53" zoomScale="96" zoomScaleNormal="96" zoomScaleSheetLayoutView="80" workbookViewId="0">
      <selection activeCell="B9" sqref="B9:AB8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3.85546875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3" t="s">
        <v>495</v>
      </c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3"/>
      <c r="R1" s="133"/>
      <c r="S1" s="133"/>
      <c r="T1" s="133"/>
      <c r="U1" s="133"/>
      <c r="V1" s="133"/>
      <c r="W1" s="133"/>
      <c r="X1" s="133"/>
      <c r="Y1" s="133"/>
      <c r="Z1" s="133"/>
      <c r="AA1" s="133"/>
      <c r="AB1" s="133"/>
      <c r="AC1" s="6"/>
      <c r="AD1" s="6"/>
      <c r="AE1" s="6"/>
      <c r="AF1" s="6"/>
      <c r="AG1" s="6"/>
      <c r="AH1" s="6"/>
      <c r="AI1" s="6"/>
    </row>
    <row r="2" spans="2:35" ht="15">
      <c r="B2" s="133" t="s">
        <v>1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408</v>
      </c>
      <c r="E4" s="1" t="s">
        <v>64</v>
      </c>
      <c r="F4" s="154" t="str">
        <f>'12.10 ENTEBBE-BUSABALA'!F4:G4</f>
        <v>BUSABALA ROAD</v>
      </c>
      <c r="G4" s="155"/>
      <c r="I4" s="27" t="s">
        <v>65</v>
      </c>
      <c r="J4" s="5"/>
      <c r="K4" s="5"/>
      <c r="L4" s="46" t="s">
        <v>152</v>
      </c>
      <c r="M4" s="2"/>
      <c r="N4" s="1" t="s">
        <v>67</v>
      </c>
      <c r="O4" s="136" t="s">
        <v>410</v>
      </c>
      <c r="P4" s="137"/>
      <c r="Q4" s="137"/>
      <c r="R4" s="137"/>
      <c r="S4" s="137"/>
      <c r="T4" s="137"/>
      <c r="V4" s="1" t="s">
        <v>68</v>
      </c>
      <c r="W4" s="54" t="str">
        <f>'12.10 ENTEBBE-BUSABALA'!W4</f>
        <v>EMMA</v>
      </c>
      <c r="Y4" s="27" t="s">
        <v>6</v>
      </c>
      <c r="Z4" s="55" t="str">
        <f>'12.10 ENTEBBE-BUSABALA'!Z4</f>
        <v>AJOK EMILY</v>
      </c>
      <c r="AA4" s="32" t="s">
        <v>7</v>
      </c>
      <c r="AB4" s="38" t="str">
        <f>'12.10 ENTEBBE-BUSABALA'!AB4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47" t="s">
        <v>409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8" t="s">
        <v>34</v>
      </c>
      <c r="C7" s="124" t="s">
        <v>55</v>
      </c>
      <c r="D7" s="126" t="s">
        <v>9</v>
      </c>
      <c r="E7" s="124" t="s">
        <v>35</v>
      </c>
      <c r="F7" s="141" t="s">
        <v>12</v>
      </c>
      <c r="G7" s="142"/>
      <c r="H7" s="143"/>
      <c r="I7" s="126" t="s">
        <v>58</v>
      </c>
      <c r="J7" s="124" t="s">
        <v>15</v>
      </c>
      <c r="K7" s="124" t="s">
        <v>128</v>
      </c>
      <c r="L7" s="141" t="s">
        <v>17</v>
      </c>
      <c r="M7" s="142"/>
      <c r="N7" s="143"/>
      <c r="O7" s="126" t="s">
        <v>59</v>
      </c>
      <c r="P7" s="124" t="s">
        <v>18</v>
      </c>
      <c r="Q7" s="124" t="s">
        <v>129</v>
      </c>
      <c r="R7" s="124" t="s">
        <v>130</v>
      </c>
      <c r="S7" s="124" t="s">
        <v>132</v>
      </c>
      <c r="T7" s="124" t="s">
        <v>131</v>
      </c>
      <c r="U7" s="124" t="s">
        <v>60</v>
      </c>
      <c r="V7" s="130" t="s">
        <v>63</v>
      </c>
      <c r="W7" s="131"/>
      <c r="X7" s="132"/>
      <c r="Y7" s="124" t="s">
        <v>62</v>
      </c>
      <c r="Z7" s="124" t="s">
        <v>135</v>
      </c>
      <c r="AA7" s="126" t="s">
        <v>20</v>
      </c>
      <c r="AB7" s="128" t="s">
        <v>21</v>
      </c>
      <c r="AD7" s="19"/>
    </row>
    <row r="8" spans="2:35" ht="38.25" customHeight="1">
      <c r="B8" s="139"/>
      <c r="C8" s="125"/>
      <c r="D8" s="127"/>
      <c r="E8" s="140"/>
      <c r="F8" s="23" t="s">
        <v>69</v>
      </c>
      <c r="G8" s="23" t="s">
        <v>56</v>
      </c>
      <c r="H8" s="24" t="s">
        <v>57</v>
      </c>
      <c r="I8" s="127"/>
      <c r="J8" s="125"/>
      <c r="K8" s="125"/>
      <c r="L8" s="23" t="s">
        <v>69</v>
      </c>
      <c r="M8" s="23" t="s">
        <v>56</v>
      </c>
      <c r="N8" s="23" t="s">
        <v>57</v>
      </c>
      <c r="O8" s="127"/>
      <c r="P8" s="125"/>
      <c r="Q8" s="125"/>
      <c r="R8" s="125"/>
      <c r="S8" s="125"/>
      <c r="T8" s="125"/>
      <c r="U8" s="125"/>
      <c r="V8" s="29" t="s">
        <v>61</v>
      </c>
      <c r="W8" s="30" t="s">
        <v>133</v>
      </c>
      <c r="X8" s="30" t="s">
        <v>134</v>
      </c>
      <c r="Y8" s="125"/>
      <c r="Z8" s="125"/>
      <c r="AA8" s="127"/>
      <c r="AB8" s="129"/>
    </row>
    <row r="9" spans="2:35" s="19" customFormat="1">
      <c r="B9" s="39">
        <v>0.60069444444444442</v>
      </c>
      <c r="C9" s="39" t="s">
        <v>411</v>
      </c>
      <c r="D9" s="40">
        <v>1</v>
      </c>
      <c r="E9" s="41">
        <v>3</v>
      </c>
      <c r="F9" s="41" t="s">
        <v>152</v>
      </c>
      <c r="G9" s="42" t="s">
        <v>148</v>
      </c>
      <c r="H9" s="41" t="s">
        <v>147</v>
      </c>
      <c r="I9" s="42">
        <v>1</v>
      </c>
      <c r="J9" s="42">
        <v>1</v>
      </c>
      <c r="K9" s="25" t="str">
        <f>VLOOKUP(J9,Key!$E$2:$F$9,2,FALSE)</f>
        <v>Home</v>
      </c>
      <c r="L9" s="41" t="s">
        <v>158</v>
      </c>
      <c r="M9" s="42" t="s">
        <v>146</v>
      </c>
      <c r="N9" s="41" t="s">
        <v>147</v>
      </c>
      <c r="O9" s="42">
        <v>16</v>
      </c>
      <c r="P9" s="42">
        <v>6</v>
      </c>
      <c r="Q9" s="25" t="str">
        <f>VLOOKUP(P9,Key!$E$2:$F$9,2,FALSE)</f>
        <v>Leisure/Social</v>
      </c>
      <c r="R9" s="25" t="str">
        <f>K9&amp;"-"&amp;Q9</f>
        <v>Home-Leisure/Social</v>
      </c>
      <c r="S9" s="43">
        <v>12.87</v>
      </c>
      <c r="T9" s="43">
        <v>2</v>
      </c>
      <c r="U9" s="42">
        <v>2</v>
      </c>
      <c r="V9" s="42"/>
      <c r="W9" s="43"/>
      <c r="X9" s="43"/>
      <c r="Y9" s="44" t="s">
        <v>149</v>
      </c>
      <c r="Z9" s="52">
        <v>1000</v>
      </c>
      <c r="AA9" s="25"/>
      <c r="AB9" s="25"/>
    </row>
    <row r="10" spans="2:35">
      <c r="B10" s="39">
        <v>0.65972222222222221</v>
      </c>
      <c r="C10" s="39" t="s">
        <v>412</v>
      </c>
      <c r="D10" s="40">
        <v>1</v>
      </c>
      <c r="E10" s="41">
        <v>3</v>
      </c>
      <c r="F10" s="41" t="s">
        <v>158</v>
      </c>
      <c r="G10" s="42" t="s">
        <v>146</v>
      </c>
      <c r="H10" s="41" t="s">
        <v>147</v>
      </c>
      <c r="I10" s="42">
        <v>1</v>
      </c>
      <c r="J10" s="42">
        <v>1</v>
      </c>
      <c r="K10" s="25" t="str">
        <f>VLOOKUP(J10,Key!$E$2:$F$9,2,FALSE)</f>
        <v>Home</v>
      </c>
      <c r="L10" s="41" t="s">
        <v>163</v>
      </c>
      <c r="M10" s="42" t="s">
        <v>148</v>
      </c>
      <c r="N10" s="41" t="s">
        <v>147</v>
      </c>
      <c r="O10" s="42">
        <v>16</v>
      </c>
      <c r="P10" s="42">
        <v>8</v>
      </c>
      <c r="Q10" s="25" t="str">
        <f>VLOOKUP(P10,Key!$E$2:$F$9,2,FALSE)</f>
        <v>Others</v>
      </c>
      <c r="R10" s="25" t="str">
        <f t="shared" ref="R10:R37" si="0">K10&amp;"-"&amp;Q10</f>
        <v>Home-Others</v>
      </c>
      <c r="S10" s="43"/>
      <c r="T10" s="43"/>
      <c r="U10" s="42">
        <v>5</v>
      </c>
      <c r="V10" s="42"/>
      <c r="W10" s="43"/>
      <c r="X10" s="43"/>
      <c r="Y10" s="44" t="s">
        <v>149</v>
      </c>
      <c r="Z10" s="52">
        <v>1000</v>
      </c>
      <c r="AA10" s="25"/>
      <c r="AB10" s="25"/>
    </row>
    <row r="11" spans="2:35">
      <c r="B11" s="39">
        <v>0.60763888888888895</v>
      </c>
      <c r="C11" s="39" t="s">
        <v>413</v>
      </c>
      <c r="D11" s="40">
        <v>1</v>
      </c>
      <c r="E11" s="41">
        <v>2</v>
      </c>
      <c r="F11" s="41" t="s">
        <v>271</v>
      </c>
      <c r="G11" s="42" t="s">
        <v>146</v>
      </c>
      <c r="H11" s="41" t="s">
        <v>147</v>
      </c>
      <c r="I11" s="42">
        <v>16</v>
      </c>
      <c r="J11" s="42">
        <v>8</v>
      </c>
      <c r="K11" s="25" t="str">
        <f>VLOOKUP(J11,Key!$E$2:$F$9,2,FALSE)</f>
        <v>Others</v>
      </c>
      <c r="L11" s="41" t="s">
        <v>161</v>
      </c>
      <c r="M11" s="42" t="s">
        <v>148</v>
      </c>
      <c r="N11" s="41" t="s">
        <v>147</v>
      </c>
      <c r="O11" s="42">
        <v>1</v>
      </c>
      <c r="P11" s="42">
        <v>1</v>
      </c>
      <c r="Q11" s="25" t="str">
        <f>VLOOKUP(P11,Key!$E$2:$F$9,2,FALSE)</f>
        <v>Home</v>
      </c>
      <c r="R11" s="25" t="str">
        <f t="shared" si="0"/>
        <v>Others-Home</v>
      </c>
      <c r="S11" s="43">
        <v>12</v>
      </c>
      <c r="T11" s="43">
        <v>0.5</v>
      </c>
      <c r="U11" s="42">
        <v>2</v>
      </c>
      <c r="V11" s="42"/>
      <c r="W11" s="43"/>
      <c r="X11" s="43"/>
      <c r="Y11" s="44" t="s">
        <v>149</v>
      </c>
      <c r="Z11" s="52">
        <v>3000</v>
      </c>
      <c r="AA11" s="25"/>
      <c r="AB11" s="25"/>
    </row>
    <row r="12" spans="2:35">
      <c r="B12" s="39">
        <v>0.65277777777777779</v>
      </c>
      <c r="C12" s="39" t="s">
        <v>414</v>
      </c>
      <c r="D12" s="40">
        <v>1</v>
      </c>
      <c r="E12" s="41">
        <v>3</v>
      </c>
      <c r="F12" s="41" t="s">
        <v>227</v>
      </c>
      <c r="G12" s="42" t="s">
        <v>146</v>
      </c>
      <c r="H12" s="41" t="s">
        <v>147</v>
      </c>
      <c r="I12" s="42">
        <v>1</v>
      </c>
      <c r="J12" s="42">
        <v>1</v>
      </c>
      <c r="K12" s="25" t="str">
        <f>VLOOKUP(J12,Key!$E$2:$F$9,2,FALSE)</f>
        <v>Home</v>
      </c>
      <c r="L12" s="41" t="s">
        <v>235</v>
      </c>
      <c r="M12" s="42" t="s">
        <v>148</v>
      </c>
      <c r="N12" s="41" t="s">
        <v>147</v>
      </c>
      <c r="O12" s="42">
        <v>1</v>
      </c>
      <c r="P12" s="42">
        <v>1</v>
      </c>
      <c r="Q12" s="25" t="str">
        <f>VLOOKUP(P12,Key!$E$2:$F$9,2,FALSE)</f>
        <v>Home</v>
      </c>
      <c r="R12" s="25" t="str">
        <f t="shared" si="0"/>
        <v>Home-Home</v>
      </c>
      <c r="S12" s="43">
        <v>2.5</v>
      </c>
      <c r="T12" s="43">
        <v>0.3</v>
      </c>
      <c r="U12" s="42">
        <v>6</v>
      </c>
      <c r="V12" s="42"/>
      <c r="W12" s="43"/>
      <c r="X12" s="43"/>
      <c r="Y12" s="44" t="s">
        <v>149</v>
      </c>
      <c r="Z12" s="52">
        <v>1000</v>
      </c>
      <c r="AA12" s="25"/>
      <c r="AB12" s="25"/>
    </row>
    <row r="13" spans="2:35">
      <c r="B13" s="39">
        <v>0.61736111111111114</v>
      </c>
      <c r="C13" s="39" t="s">
        <v>238</v>
      </c>
      <c r="D13" s="40">
        <v>4</v>
      </c>
      <c r="E13" s="41">
        <v>4</v>
      </c>
      <c r="F13" s="41" t="s">
        <v>152</v>
      </c>
      <c r="G13" s="42" t="s">
        <v>148</v>
      </c>
      <c r="H13" s="41" t="s">
        <v>147</v>
      </c>
      <c r="I13" s="42">
        <v>6</v>
      </c>
      <c r="J13" s="42">
        <v>2</v>
      </c>
      <c r="K13" s="25" t="str">
        <f>VLOOKUP(J13,Key!$E$2:$F$9,2,FALSE)</f>
        <v>Work</v>
      </c>
      <c r="L13" s="41" t="s">
        <v>415</v>
      </c>
      <c r="M13" s="42" t="s">
        <v>146</v>
      </c>
      <c r="N13" s="41" t="s">
        <v>147</v>
      </c>
      <c r="O13" s="42">
        <v>6</v>
      </c>
      <c r="P13" s="42">
        <v>2</v>
      </c>
      <c r="Q13" s="25" t="str">
        <f>VLOOKUP(P13,Key!$E$2:$F$9,2,FALSE)</f>
        <v>Work</v>
      </c>
      <c r="R13" s="25" t="str">
        <f t="shared" si="0"/>
        <v>Work-Work</v>
      </c>
      <c r="S13" s="43"/>
      <c r="T13" s="43">
        <v>0.5</v>
      </c>
      <c r="U13" s="42">
        <v>2</v>
      </c>
      <c r="V13" s="42"/>
      <c r="W13" s="43"/>
      <c r="X13" s="43"/>
      <c r="Y13" s="44" t="s">
        <v>149</v>
      </c>
      <c r="Z13" s="52">
        <v>1000</v>
      </c>
      <c r="AA13" s="25"/>
      <c r="AB13" s="25"/>
    </row>
    <row r="14" spans="2:35">
      <c r="B14" s="39">
        <v>0.65208333333333335</v>
      </c>
      <c r="C14" s="39" t="s">
        <v>416</v>
      </c>
      <c r="D14" s="40">
        <v>3</v>
      </c>
      <c r="E14" s="41">
        <v>2</v>
      </c>
      <c r="F14" s="41" t="s">
        <v>152</v>
      </c>
      <c r="G14" s="42" t="s">
        <v>148</v>
      </c>
      <c r="H14" s="41" t="s">
        <v>147</v>
      </c>
      <c r="I14" s="42">
        <v>16</v>
      </c>
      <c r="J14" s="42">
        <v>8</v>
      </c>
      <c r="K14" s="25" t="str">
        <f>VLOOKUP(J14,Key!$E$2:$F$9,2,FALSE)</f>
        <v>Others</v>
      </c>
      <c r="L14" s="41" t="s">
        <v>181</v>
      </c>
      <c r="M14" s="42" t="s">
        <v>146</v>
      </c>
      <c r="N14" s="41" t="s">
        <v>147</v>
      </c>
      <c r="O14" s="42">
        <v>1</v>
      </c>
      <c r="P14" s="42">
        <v>1</v>
      </c>
      <c r="Q14" s="25" t="str">
        <f>VLOOKUP(P14,Key!$E$2:$F$9,2,FALSE)</f>
        <v>Home</v>
      </c>
      <c r="R14" s="25" t="str">
        <f t="shared" si="0"/>
        <v>Others-Home</v>
      </c>
      <c r="S14" s="43"/>
      <c r="T14" s="43"/>
      <c r="U14" s="42">
        <v>6</v>
      </c>
      <c r="V14" s="42"/>
      <c r="W14" s="43"/>
      <c r="X14" s="43"/>
      <c r="Y14" s="44" t="s">
        <v>149</v>
      </c>
      <c r="Z14" s="52">
        <v>2000</v>
      </c>
      <c r="AA14" s="25"/>
      <c r="AB14" s="25"/>
    </row>
    <row r="15" spans="2:35">
      <c r="B15" s="39">
        <v>0.62986111111111109</v>
      </c>
      <c r="C15" s="39" t="s">
        <v>417</v>
      </c>
      <c r="D15" s="40">
        <v>1</v>
      </c>
      <c r="E15" s="41">
        <v>4</v>
      </c>
      <c r="F15" s="41" t="s">
        <v>418</v>
      </c>
      <c r="G15" s="42" t="s">
        <v>148</v>
      </c>
      <c r="H15" s="41" t="s">
        <v>147</v>
      </c>
      <c r="I15" s="42">
        <v>16</v>
      </c>
      <c r="J15" s="42">
        <v>8</v>
      </c>
      <c r="K15" s="25" t="str">
        <f>VLOOKUP(J15,Key!$E$2:$F$9,2,FALSE)</f>
        <v>Others</v>
      </c>
      <c r="L15" s="41" t="s">
        <v>235</v>
      </c>
      <c r="M15" s="42" t="s">
        <v>148</v>
      </c>
      <c r="N15" s="41" t="s">
        <v>147</v>
      </c>
      <c r="O15" s="42">
        <v>16</v>
      </c>
      <c r="P15" s="42">
        <v>8</v>
      </c>
      <c r="Q15" s="25" t="str">
        <f>VLOOKUP(P15,Key!$E$2:$F$9,2,FALSE)</f>
        <v>Others</v>
      </c>
      <c r="R15" s="25" t="str">
        <f t="shared" si="0"/>
        <v>Others-Others</v>
      </c>
      <c r="S15" s="43"/>
      <c r="T15" s="43">
        <v>0.3</v>
      </c>
      <c r="U15" s="42">
        <v>2</v>
      </c>
      <c r="V15" s="42"/>
      <c r="W15" s="43"/>
      <c r="X15" s="43"/>
      <c r="Y15" s="44" t="s">
        <v>149</v>
      </c>
      <c r="Z15" s="52">
        <v>3000</v>
      </c>
      <c r="AA15" s="25"/>
      <c r="AB15" s="25"/>
    </row>
    <row r="16" spans="2:35">
      <c r="B16" s="39">
        <v>0.64236111111111105</v>
      </c>
      <c r="C16" s="39" t="s">
        <v>419</v>
      </c>
      <c r="D16" s="40">
        <v>1</v>
      </c>
      <c r="E16" s="41">
        <v>2</v>
      </c>
      <c r="F16" s="41" t="s">
        <v>152</v>
      </c>
      <c r="G16" s="42" t="s">
        <v>148</v>
      </c>
      <c r="H16" s="41" t="s">
        <v>147</v>
      </c>
      <c r="I16" s="42">
        <v>16</v>
      </c>
      <c r="J16" s="42">
        <v>8</v>
      </c>
      <c r="K16" s="25" t="str">
        <f>VLOOKUP(J16,Key!$E$2:$F$9,2,FALSE)</f>
        <v>Others</v>
      </c>
      <c r="L16" s="41" t="s">
        <v>420</v>
      </c>
      <c r="M16" s="42" t="s">
        <v>146</v>
      </c>
      <c r="N16" s="41" t="s">
        <v>147</v>
      </c>
      <c r="O16" s="42">
        <v>11</v>
      </c>
      <c r="P16" s="42">
        <v>4</v>
      </c>
      <c r="Q16" s="25" t="str">
        <f>VLOOKUP(P16,Key!$E$2:$F$9,2,FALSE)</f>
        <v>Commercial</v>
      </c>
      <c r="R16" s="25" t="str">
        <f t="shared" si="0"/>
        <v>Others-Commercial</v>
      </c>
      <c r="S16" s="43"/>
      <c r="T16" s="43">
        <v>0.5</v>
      </c>
      <c r="U16" s="42">
        <v>1</v>
      </c>
      <c r="V16" s="42"/>
      <c r="W16" s="43"/>
      <c r="X16" s="43"/>
      <c r="Y16" s="44" t="s">
        <v>149</v>
      </c>
      <c r="Z16" s="52">
        <v>1000</v>
      </c>
      <c r="AA16" s="25"/>
      <c r="AB16" s="25"/>
    </row>
    <row r="17" spans="2:28">
      <c r="B17" s="39">
        <v>0.52083333333333337</v>
      </c>
      <c r="C17" s="39" t="s">
        <v>421</v>
      </c>
      <c r="D17" s="40">
        <v>7</v>
      </c>
      <c r="E17" s="41">
        <v>2</v>
      </c>
      <c r="F17" s="41" t="s">
        <v>152</v>
      </c>
      <c r="G17" s="42" t="s">
        <v>148</v>
      </c>
      <c r="H17" s="41" t="s">
        <v>147</v>
      </c>
      <c r="I17" s="42">
        <v>16</v>
      </c>
      <c r="J17" s="42">
        <v>8</v>
      </c>
      <c r="K17" s="25" t="str">
        <f>VLOOKUP(J17,Key!$E$2:$F$9,2,FALSE)</f>
        <v>Others</v>
      </c>
      <c r="L17" s="41" t="s">
        <v>186</v>
      </c>
      <c r="M17" s="42" t="s">
        <v>148</v>
      </c>
      <c r="N17" s="41" t="s">
        <v>147</v>
      </c>
      <c r="O17" s="42">
        <v>16</v>
      </c>
      <c r="P17" s="42">
        <v>8</v>
      </c>
      <c r="Q17" s="25" t="str">
        <f>VLOOKUP(P17,Key!$E$2:$F$9,2,FALSE)</f>
        <v>Others</v>
      </c>
      <c r="R17" s="25" t="str">
        <f t="shared" si="0"/>
        <v>Others-Others</v>
      </c>
      <c r="S17" s="43">
        <v>15</v>
      </c>
      <c r="T17" s="43">
        <v>0.3</v>
      </c>
      <c r="U17" s="42">
        <v>6</v>
      </c>
      <c r="V17" s="42"/>
      <c r="W17" s="43"/>
      <c r="X17" s="43"/>
      <c r="Y17" s="44" t="s">
        <v>149</v>
      </c>
      <c r="Z17" s="52">
        <v>2000</v>
      </c>
      <c r="AA17" s="25"/>
      <c r="AB17" s="25"/>
    </row>
    <row r="18" spans="2:28">
      <c r="B18" s="39">
        <v>0.55555555555555558</v>
      </c>
      <c r="C18" s="39" t="s">
        <v>422</v>
      </c>
      <c r="D18" s="40">
        <v>11</v>
      </c>
      <c r="E18" s="41">
        <v>1</v>
      </c>
      <c r="F18" s="41" t="s">
        <v>418</v>
      </c>
      <c r="G18" s="42" t="s">
        <v>146</v>
      </c>
      <c r="H18" s="41" t="s">
        <v>147</v>
      </c>
      <c r="I18" s="42">
        <v>8</v>
      </c>
      <c r="J18" s="42">
        <v>2</v>
      </c>
      <c r="K18" s="25" t="str">
        <f>VLOOKUP(J18,Key!$E$2:$F$9,2,FALSE)</f>
        <v>Work</v>
      </c>
      <c r="L18" s="41" t="s">
        <v>423</v>
      </c>
      <c r="M18" s="42" t="s">
        <v>146</v>
      </c>
      <c r="N18" s="41" t="s">
        <v>147</v>
      </c>
      <c r="O18" s="42">
        <v>8</v>
      </c>
      <c r="P18" s="42">
        <v>2</v>
      </c>
      <c r="Q18" s="25" t="str">
        <f>VLOOKUP(P18,Key!$E$2:$F$9,2,FALSE)</f>
        <v>Work</v>
      </c>
      <c r="R18" s="25" t="str">
        <f t="shared" si="0"/>
        <v>Work-Work</v>
      </c>
      <c r="S18" s="43">
        <v>12</v>
      </c>
      <c r="T18" s="43">
        <v>0.3</v>
      </c>
      <c r="U18" s="42">
        <v>1</v>
      </c>
      <c r="V18" s="42"/>
      <c r="W18" s="43"/>
      <c r="X18" s="43"/>
      <c r="Y18" s="44" t="s">
        <v>149</v>
      </c>
      <c r="Z18" s="52">
        <v>1000</v>
      </c>
      <c r="AA18" s="25"/>
      <c r="AB18" s="25"/>
    </row>
    <row r="19" spans="2:28">
      <c r="B19" s="39">
        <v>0.48749999999999999</v>
      </c>
      <c r="C19" s="39" t="s">
        <v>424</v>
      </c>
      <c r="D19" s="40">
        <v>11</v>
      </c>
      <c r="E19" s="41">
        <v>1</v>
      </c>
      <c r="F19" s="41" t="s">
        <v>152</v>
      </c>
      <c r="G19" s="42" t="s">
        <v>148</v>
      </c>
      <c r="H19" s="41" t="s">
        <v>147</v>
      </c>
      <c r="I19" s="42">
        <v>16</v>
      </c>
      <c r="J19" s="42">
        <v>8</v>
      </c>
      <c r="K19" s="25" t="str">
        <f>VLOOKUP(J19,Key!$E$2:$F$9,2,FALSE)</f>
        <v>Others</v>
      </c>
      <c r="L19" s="41" t="s">
        <v>161</v>
      </c>
      <c r="M19" s="42" t="s">
        <v>148</v>
      </c>
      <c r="N19" s="41" t="s">
        <v>147</v>
      </c>
      <c r="O19" s="42">
        <v>16</v>
      </c>
      <c r="P19" s="42">
        <v>8</v>
      </c>
      <c r="Q19" s="25" t="str">
        <f>VLOOKUP(P19,Key!$E$2:$F$9,2,FALSE)</f>
        <v>Others</v>
      </c>
      <c r="R19" s="25" t="str">
        <f t="shared" si="0"/>
        <v>Others-Others</v>
      </c>
      <c r="S19" s="43"/>
      <c r="T19" s="43"/>
      <c r="U19" s="42">
        <v>1</v>
      </c>
      <c r="V19" s="42"/>
      <c r="W19" s="43"/>
      <c r="X19" s="43"/>
      <c r="Y19" s="44" t="s">
        <v>149</v>
      </c>
      <c r="Z19" s="52">
        <v>1000</v>
      </c>
      <c r="AA19" s="25"/>
      <c r="AB19" s="25"/>
    </row>
    <row r="20" spans="2:28">
      <c r="B20" s="39">
        <v>0.54861111111111105</v>
      </c>
      <c r="C20" s="39" t="s">
        <v>425</v>
      </c>
      <c r="D20" s="40">
        <v>1</v>
      </c>
      <c r="E20" s="41">
        <v>1</v>
      </c>
      <c r="F20" s="41" t="s">
        <v>152</v>
      </c>
      <c r="G20" s="42" t="s">
        <v>148</v>
      </c>
      <c r="H20" s="41" t="s">
        <v>147</v>
      </c>
      <c r="I20" s="42">
        <v>16</v>
      </c>
      <c r="J20" s="42">
        <v>8</v>
      </c>
      <c r="K20" s="25" t="str">
        <f>VLOOKUP(J20,Key!$E$2:$F$9,2,FALSE)</f>
        <v>Others</v>
      </c>
      <c r="L20" s="41" t="s">
        <v>161</v>
      </c>
      <c r="M20" s="42" t="s">
        <v>148</v>
      </c>
      <c r="N20" s="41" t="s">
        <v>147</v>
      </c>
      <c r="O20" s="42">
        <v>1</v>
      </c>
      <c r="P20" s="42">
        <v>1</v>
      </c>
      <c r="Q20" s="25" t="str">
        <f>VLOOKUP(P20,Key!$E$2:$F$9,2,FALSE)</f>
        <v>Home</v>
      </c>
      <c r="R20" s="25" t="str">
        <f t="shared" si="0"/>
        <v>Others-Home</v>
      </c>
      <c r="S20" s="43">
        <v>2</v>
      </c>
      <c r="T20" s="43">
        <v>0.3</v>
      </c>
      <c r="U20" s="42">
        <v>2</v>
      </c>
      <c r="V20" s="42"/>
      <c r="W20" s="43"/>
      <c r="X20" s="43"/>
      <c r="Y20" s="44" t="s">
        <v>149</v>
      </c>
      <c r="Z20" s="52">
        <v>1000</v>
      </c>
      <c r="AA20" s="25"/>
      <c r="AB20" s="25"/>
    </row>
    <row r="21" spans="2:28">
      <c r="B21" s="39">
        <v>0.4861111111111111</v>
      </c>
      <c r="C21" s="39" t="s">
        <v>426</v>
      </c>
      <c r="D21" s="40">
        <v>1</v>
      </c>
      <c r="E21" s="41">
        <v>4</v>
      </c>
      <c r="F21" s="41" t="s">
        <v>427</v>
      </c>
      <c r="G21" s="42" t="s">
        <v>148</v>
      </c>
      <c r="H21" s="41" t="s">
        <v>147</v>
      </c>
      <c r="I21" s="42">
        <v>1</v>
      </c>
      <c r="J21" s="42">
        <v>4</v>
      </c>
      <c r="K21" s="25" t="str">
        <f>VLOOKUP(J21,Key!$E$2:$F$9,2,FALSE)</f>
        <v>Commercial</v>
      </c>
      <c r="L21" s="41" t="s">
        <v>161</v>
      </c>
      <c r="M21" s="42" t="s">
        <v>148</v>
      </c>
      <c r="N21" s="41" t="s">
        <v>147</v>
      </c>
      <c r="O21" s="42">
        <v>16</v>
      </c>
      <c r="P21" s="42">
        <v>6</v>
      </c>
      <c r="Q21" s="25" t="str">
        <f>VLOOKUP(P21,Key!$E$2:$F$9,2,FALSE)</f>
        <v>Leisure/Social</v>
      </c>
      <c r="R21" s="25" t="str">
        <f t="shared" si="0"/>
        <v>Commercial-Leisure/Social</v>
      </c>
      <c r="S21" s="43"/>
      <c r="T21" s="43"/>
      <c r="U21" s="42">
        <v>3</v>
      </c>
      <c r="V21" s="42"/>
      <c r="W21" s="43"/>
      <c r="X21" s="43"/>
      <c r="Y21" s="44" t="s">
        <v>149</v>
      </c>
      <c r="Z21" s="52">
        <v>1000</v>
      </c>
      <c r="AA21" s="25"/>
      <c r="AB21" s="25"/>
    </row>
    <row r="22" spans="2:28">
      <c r="B22" s="39">
        <v>0.53472222222222221</v>
      </c>
      <c r="C22" s="39" t="s">
        <v>428</v>
      </c>
      <c r="D22" s="40">
        <v>1</v>
      </c>
      <c r="E22" s="41">
        <v>2</v>
      </c>
      <c r="F22" s="41" t="s">
        <v>158</v>
      </c>
      <c r="G22" s="42" t="s">
        <v>146</v>
      </c>
      <c r="H22" s="41" t="s">
        <v>147</v>
      </c>
      <c r="I22" s="42">
        <v>16</v>
      </c>
      <c r="J22" s="42">
        <v>8</v>
      </c>
      <c r="K22" s="25" t="str">
        <f>VLOOKUP(J22,Key!$E$2:$F$9,2,FALSE)</f>
        <v>Others</v>
      </c>
      <c r="L22" s="41" t="s">
        <v>161</v>
      </c>
      <c r="M22" s="42" t="s">
        <v>148</v>
      </c>
      <c r="N22" s="41" t="s">
        <v>147</v>
      </c>
      <c r="O22" s="42">
        <v>16</v>
      </c>
      <c r="P22" s="42">
        <v>8</v>
      </c>
      <c r="Q22" s="25" t="str">
        <f>VLOOKUP(P22,Key!$E$2:$F$9,2,FALSE)</f>
        <v>Others</v>
      </c>
      <c r="R22" s="25" t="str">
        <f t="shared" si="0"/>
        <v>Others-Others</v>
      </c>
      <c r="S22" s="43"/>
      <c r="T22" s="43">
        <v>0.8</v>
      </c>
      <c r="U22" s="42">
        <v>6</v>
      </c>
      <c r="V22" s="42"/>
      <c r="W22" s="43"/>
      <c r="X22" s="43"/>
      <c r="Y22" s="44" t="s">
        <v>149</v>
      </c>
      <c r="Z22" s="52">
        <v>1000</v>
      </c>
      <c r="AA22" s="25"/>
      <c r="AB22" s="25"/>
    </row>
    <row r="23" spans="2:28">
      <c r="B23" s="39">
        <v>0.51527777777777783</v>
      </c>
      <c r="C23" s="39" t="s">
        <v>429</v>
      </c>
      <c r="D23" s="40">
        <v>1</v>
      </c>
      <c r="E23" s="41">
        <v>2</v>
      </c>
      <c r="F23" s="41" t="s">
        <v>153</v>
      </c>
      <c r="G23" s="42" t="s">
        <v>148</v>
      </c>
      <c r="H23" s="41" t="s">
        <v>147</v>
      </c>
      <c r="I23" s="42">
        <v>16</v>
      </c>
      <c r="J23" s="42">
        <v>8</v>
      </c>
      <c r="K23" s="25" t="str">
        <f>VLOOKUP(J23,Key!$E$2:$F$9,2,FALSE)</f>
        <v>Others</v>
      </c>
      <c r="L23" s="41" t="s">
        <v>161</v>
      </c>
      <c r="M23" s="42" t="s">
        <v>148</v>
      </c>
      <c r="N23" s="41" t="s">
        <v>147</v>
      </c>
      <c r="O23" s="42">
        <v>1</v>
      </c>
      <c r="P23" s="42">
        <v>1</v>
      </c>
      <c r="Q23" s="25" t="str">
        <f>VLOOKUP(P23,Key!$E$2:$F$9,2,FALSE)</f>
        <v>Home</v>
      </c>
      <c r="R23" s="25" t="str">
        <f t="shared" si="0"/>
        <v>Others-Home</v>
      </c>
      <c r="S23" s="43"/>
      <c r="T23" s="43">
        <v>0.8</v>
      </c>
      <c r="U23" s="42">
        <v>2</v>
      </c>
      <c r="V23" s="42"/>
      <c r="W23" s="43"/>
      <c r="X23" s="43"/>
      <c r="Y23" s="44" t="s">
        <v>149</v>
      </c>
      <c r="Z23" s="52">
        <v>1000</v>
      </c>
      <c r="AA23" s="25"/>
      <c r="AB23" s="25"/>
    </row>
    <row r="24" spans="2:28">
      <c r="B24" s="39">
        <v>0.42708333333333331</v>
      </c>
      <c r="C24" s="39" t="s">
        <v>430</v>
      </c>
      <c r="D24" s="40">
        <v>1</v>
      </c>
      <c r="E24" s="41">
        <v>4</v>
      </c>
      <c r="F24" s="41" t="s">
        <v>431</v>
      </c>
      <c r="G24" s="42" t="s">
        <v>148</v>
      </c>
      <c r="H24" s="41" t="s">
        <v>147</v>
      </c>
      <c r="I24" s="42">
        <v>1</v>
      </c>
      <c r="J24" s="42">
        <v>1</v>
      </c>
      <c r="K24" s="25" t="str">
        <f>VLOOKUP(J24,Key!$E$2:$F$9,2,FALSE)</f>
        <v>Home</v>
      </c>
      <c r="L24" s="41" t="s">
        <v>202</v>
      </c>
      <c r="M24" s="42" t="s">
        <v>148</v>
      </c>
      <c r="N24" s="41" t="s">
        <v>147</v>
      </c>
      <c r="O24" s="42">
        <v>16</v>
      </c>
      <c r="P24" s="42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43">
        <v>3.2</v>
      </c>
      <c r="T24" s="43">
        <v>0.5</v>
      </c>
      <c r="U24" s="42">
        <v>5</v>
      </c>
      <c r="V24" s="42"/>
      <c r="W24" s="43"/>
      <c r="X24" s="43"/>
      <c r="Y24" s="44" t="s">
        <v>149</v>
      </c>
      <c r="Z24" s="52">
        <v>1000</v>
      </c>
      <c r="AA24" s="25"/>
      <c r="AB24" s="25"/>
    </row>
    <row r="25" spans="2:28">
      <c r="B25" s="39">
        <v>0.42986111111111108</v>
      </c>
      <c r="C25" s="39" t="s">
        <v>432</v>
      </c>
      <c r="D25" s="40">
        <v>1</v>
      </c>
      <c r="E25" s="41">
        <v>2</v>
      </c>
      <c r="F25" s="41" t="s">
        <v>433</v>
      </c>
      <c r="G25" s="42" t="s">
        <v>146</v>
      </c>
      <c r="H25" s="41" t="s">
        <v>147</v>
      </c>
      <c r="I25" s="42">
        <v>1</v>
      </c>
      <c r="J25" s="42">
        <v>1</v>
      </c>
      <c r="K25" s="25" t="str">
        <f>VLOOKUP(J25,Key!$E$2:$F$9,2,FALSE)</f>
        <v>Home</v>
      </c>
      <c r="L25" s="41" t="s">
        <v>152</v>
      </c>
      <c r="M25" s="42" t="s">
        <v>148</v>
      </c>
      <c r="N25" s="41" t="s">
        <v>147</v>
      </c>
      <c r="O25" s="42">
        <v>10</v>
      </c>
      <c r="P25" s="42">
        <v>4</v>
      </c>
      <c r="Q25" s="25" t="str">
        <f>VLOOKUP(P25,Key!$E$2:$F$9,2,FALSE)</f>
        <v>Commercial</v>
      </c>
      <c r="R25" s="25" t="str">
        <f t="shared" si="0"/>
        <v>Home-Commercial</v>
      </c>
      <c r="S25" s="43"/>
      <c r="T25" s="43">
        <v>0.1</v>
      </c>
      <c r="U25" s="42">
        <v>2</v>
      </c>
      <c r="V25" s="42"/>
      <c r="W25" s="43"/>
      <c r="X25" s="43"/>
      <c r="Y25" s="44" t="s">
        <v>149</v>
      </c>
      <c r="Z25" s="52">
        <v>5000</v>
      </c>
      <c r="AA25" s="25"/>
      <c r="AB25" s="25"/>
    </row>
    <row r="26" spans="2:28">
      <c r="B26" s="39">
        <v>0.4201388888888889</v>
      </c>
      <c r="C26" s="39" t="s">
        <v>435</v>
      </c>
      <c r="D26" s="40">
        <v>1</v>
      </c>
      <c r="E26" s="41">
        <v>2</v>
      </c>
      <c r="F26" s="41" t="s">
        <v>207</v>
      </c>
      <c r="G26" s="42" t="s">
        <v>146</v>
      </c>
      <c r="H26" s="41" t="s">
        <v>147</v>
      </c>
      <c r="I26" s="42">
        <v>16</v>
      </c>
      <c r="J26" s="42">
        <v>8</v>
      </c>
      <c r="K26" s="25" t="str">
        <f>VLOOKUP(J26,Key!$E$2:$F$9,2,FALSE)</f>
        <v>Others</v>
      </c>
      <c r="L26" s="41" t="s">
        <v>153</v>
      </c>
      <c r="M26" s="42" t="s">
        <v>148</v>
      </c>
      <c r="N26" s="41" t="s">
        <v>147</v>
      </c>
      <c r="O26" s="42">
        <v>16</v>
      </c>
      <c r="P26" s="42">
        <v>6</v>
      </c>
      <c r="Q26" s="25" t="str">
        <f>VLOOKUP(P26,Key!$E$2:$F$9,2,FALSE)</f>
        <v>Leisure/Social</v>
      </c>
      <c r="R26" s="25" t="str">
        <f t="shared" si="0"/>
        <v>Others-Leisure/Social</v>
      </c>
      <c r="S26" s="43">
        <v>20</v>
      </c>
      <c r="T26" s="43">
        <v>0.6</v>
      </c>
      <c r="U26" s="42">
        <v>2</v>
      </c>
      <c r="V26" s="42"/>
      <c r="W26" s="43"/>
      <c r="X26" s="43"/>
      <c r="Y26" s="44" t="s">
        <v>149</v>
      </c>
      <c r="Z26" s="52">
        <v>1000</v>
      </c>
      <c r="AA26" s="25"/>
      <c r="AB26" s="25"/>
    </row>
    <row r="27" spans="2:28">
      <c r="B27" s="39">
        <v>0.40138888888888885</v>
      </c>
      <c r="C27" s="39" t="s">
        <v>436</v>
      </c>
      <c r="D27" s="40">
        <v>5</v>
      </c>
      <c r="E27" s="41">
        <v>10</v>
      </c>
      <c r="F27" s="41" t="s">
        <v>152</v>
      </c>
      <c r="G27" s="42" t="s">
        <v>148</v>
      </c>
      <c r="H27" s="41" t="s">
        <v>147</v>
      </c>
      <c r="I27" s="42">
        <v>6</v>
      </c>
      <c r="J27" s="42">
        <v>2</v>
      </c>
      <c r="K27" s="25" t="str">
        <f>VLOOKUP(J27,Key!$E$2:$F$9,2,FALSE)</f>
        <v>Work</v>
      </c>
      <c r="L27" s="41" t="s">
        <v>158</v>
      </c>
      <c r="M27" s="42" t="s">
        <v>146</v>
      </c>
      <c r="N27" s="41" t="s">
        <v>147</v>
      </c>
      <c r="O27" s="42">
        <v>6</v>
      </c>
      <c r="P27" s="42">
        <v>2</v>
      </c>
      <c r="Q27" s="25" t="str">
        <f>VLOOKUP(P27,Key!$E$2:$F$9,2,FALSE)</f>
        <v>Work</v>
      </c>
      <c r="R27" s="25" t="str">
        <f t="shared" si="0"/>
        <v>Work-Work</v>
      </c>
      <c r="S27" s="43">
        <v>11.26</v>
      </c>
      <c r="T27" s="43">
        <v>2</v>
      </c>
      <c r="U27" s="42">
        <v>2</v>
      </c>
      <c r="V27" s="42"/>
      <c r="W27" s="43"/>
      <c r="X27" s="43"/>
      <c r="Y27" s="44" t="s">
        <v>149</v>
      </c>
      <c r="Z27" s="52">
        <v>1000</v>
      </c>
      <c r="AA27" s="25"/>
      <c r="AB27" s="25"/>
    </row>
    <row r="28" spans="2:28">
      <c r="B28" s="39" t="s">
        <v>493</v>
      </c>
      <c r="C28" s="39" t="s">
        <v>437</v>
      </c>
      <c r="D28" s="40">
        <v>4</v>
      </c>
      <c r="E28" s="41">
        <v>10</v>
      </c>
      <c r="F28" s="41" t="s">
        <v>152</v>
      </c>
      <c r="G28" s="42" t="s">
        <v>148</v>
      </c>
      <c r="H28" s="41" t="s">
        <v>147</v>
      </c>
      <c r="I28" s="42">
        <v>6</v>
      </c>
      <c r="J28" s="42">
        <v>2</v>
      </c>
      <c r="K28" s="25" t="str">
        <f>VLOOKUP(J28,Key!$E$2:$F$9,2,FALSE)</f>
        <v>Work</v>
      </c>
      <c r="L28" s="41" t="s">
        <v>208</v>
      </c>
      <c r="M28" s="42" t="s">
        <v>146</v>
      </c>
      <c r="N28" s="41" t="s">
        <v>147</v>
      </c>
      <c r="O28" s="42">
        <v>6</v>
      </c>
      <c r="P28" s="42">
        <v>2</v>
      </c>
      <c r="Q28" s="25" t="str">
        <f>VLOOKUP(P28,Key!$E$2:$F$9,2,FALSE)</f>
        <v>Work</v>
      </c>
      <c r="R28" s="25" t="str">
        <f t="shared" si="0"/>
        <v>Work-Work</v>
      </c>
      <c r="S28" s="43">
        <v>10</v>
      </c>
      <c r="T28" s="43">
        <v>0.5</v>
      </c>
      <c r="U28" s="42">
        <v>2</v>
      </c>
      <c r="V28" s="42"/>
      <c r="W28" s="43"/>
      <c r="X28" s="43"/>
      <c r="Y28" s="44" t="s">
        <v>149</v>
      </c>
      <c r="Z28" s="52">
        <v>2000</v>
      </c>
      <c r="AA28" s="25"/>
      <c r="AB28" s="25"/>
    </row>
    <row r="29" spans="2:28">
      <c r="B29" s="39">
        <v>0.39513888888888887</v>
      </c>
      <c r="C29" s="39" t="s">
        <v>438</v>
      </c>
      <c r="D29" s="40">
        <v>1</v>
      </c>
      <c r="E29" s="41">
        <v>2</v>
      </c>
      <c r="F29" s="41" t="s">
        <v>439</v>
      </c>
      <c r="G29" s="42" t="s">
        <v>148</v>
      </c>
      <c r="H29" s="41" t="s">
        <v>147</v>
      </c>
      <c r="I29" s="42">
        <v>1</v>
      </c>
      <c r="J29" s="42">
        <v>1</v>
      </c>
      <c r="K29" s="25" t="str">
        <f>VLOOKUP(J29,Key!$E$2:$F$9,2,FALSE)</f>
        <v>Home</v>
      </c>
      <c r="L29" s="41" t="s">
        <v>440</v>
      </c>
      <c r="M29" s="42" t="s">
        <v>148</v>
      </c>
      <c r="N29" s="41" t="s">
        <v>147</v>
      </c>
      <c r="O29" s="42">
        <v>2</v>
      </c>
      <c r="P29" s="42">
        <v>2</v>
      </c>
      <c r="Q29" s="25" t="str">
        <f>VLOOKUP(P29,Key!$E$2:$F$9,2,FALSE)</f>
        <v>Work</v>
      </c>
      <c r="R29" s="25" t="str">
        <f t="shared" si="0"/>
        <v>Home-Work</v>
      </c>
      <c r="S29" s="43">
        <v>10</v>
      </c>
      <c r="T29" s="43">
        <v>0.3</v>
      </c>
      <c r="U29" s="42">
        <v>6</v>
      </c>
      <c r="V29" s="42"/>
      <c r="W29" s="43"/>
      <c r="X29" s="43"/>
      <c r="Y29" s="44" t="s">
        <v>149</v>
      </c>
      <c r="Z29" s="52">
        <v>1000</v>
      </c>
      <c r="AA29" s="25"/>
      <c r="AB29" s="25"/>
    </row>
    <row r="30" spans="2:28">
      <c r="B30" s="39">
        <v>0.4375</v>
      </c>
      <c r="C30" s="39" t="s">
        <v>441</v>
      </c>
      <c r="D30" s="40">
        <v>1</v>
      </c>
      <c r="E30" s="41">
        <v>1</v>
      </c>
      <c r="F30" s="41" t="s">
        <v>442</v>
      </c>
      <c r="G30" s="42" t="s">
        <v>146</v>
      </c>
      <c r="H30" s="41" t="s">
        <v>147</v>
      </c>
      <c r="I30" s="42">
        <v>1</v>
      </c>
      <c r="J30" s="42">
        <v>1</v>
      </c>
      <c r="K30" s="25" t="str">
        <f>VLOOKUP(J30,Key!$E$2:$F$9,2,FALSE)</f>
        <v>Home</v>
      </c>
      <c r="L30" s="41" t="s">
        <v>161</v>
      </c>
      <c r="M30" s="42" t="s">
        <v>148</v>
      </c>
      <c r="N30" s="41" t="s">
        <v>147</v>
      </c>
      <c r="O30" s="42">
        <v>16</v>
      </c>
      <c r="P30" s="42">
        <v>8</v>
      </c>
      <c r="Q30" s="25" t="str">
        <f>VLOOKUP(P30,Key!$E$2:$F$9,2,FALSE)</f>
        <v>Others</v>
      </c>
      <c r="R30" s="25" t="str">
        <f t="shared" si="0"/>
        <v>Home-Others</v>
      </c>
      <c r="S30" s="43">
        <v>26</v>
      </c>
      <c r="T30" s="43">
        <v>0.6</v>
      </c>
      <c r="U30" s="42">
        <v>1</v>
      </c>
      <c r="V30" s="42"/>
      <c r="W30" s="43"/>
      <c r="X30" s="43"/>
      <c r="Y30" s="44" t="s">
        <v>149</v>
      </c>
      <c r="Z30" s="52">
        <v>2000</v>
      </c>
      <c r="AA30" s="25"/>
      <c r="AB30" s="25"/>
    </row>
    <row r="31" spans="2:28">
      <c r="B31" s="39">
        <v>0.39027777777777778</v>
      </c>
      <c r="C31" s="39" t="s">
        <v>443</v>
      </c>
      <c r="D31" s="40">
        <v>1</v>
      </c>
      <c r="E31" s="41">
        <v>1</v>
      </c>
      <c r="F31" s="41" t="s">
        <v>207</v>
      </c>
      <c r="G31" s="42" t="s">
        <v>146</v>
      </c>
      <c r="H31" s="41" t="s">
        <v>147</v>
      </c>
      <c r="I31" s="42">
        <v>1</v>
      </c>
      <c r="J31" s="42">
        <v>1</v>
      </c>
      <c r="K31" s="25" t="str">
        <f>VLOOKUP(J31,Key!$E$2:$F$9,2,FALSE)</f>
        <v>Home</v>
      </c>
      <c r="L31" s="41" t="s">
        <v>444</v>
      </c>
      <c r="M31" s="42" t="s">
        <v>148</v>
      </c>
      <c r="N31" s="41" t="s">
        <v>147</v>
      </c>
      <c r="O31" s="42">
        <v>16</v>
      </c>
      <c r="P31" s="42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43">
        <v>4</v>
      </c>
      <c r="T31" s="43">
        <v>0.3</v>
      </c>
      <c r="U31" s="42">
        <v>6</v>
      </c>
      <c r="V31" s="42"/>
      <c r="W31" s="43"/>
      <c r="X31" s="43"/>
      <c r="Y31" s="44" t="s">
        <v>149</v>
      </c>
      <c r="Z31" s="52">
        <v>1000</v>
      </c>
      <c r="AA31" s="25"/>
      <c r="AB31" s="25"/>
    </row>
    <row r="32" spans="2:28">
      <c r="B32" s="39">
        <v>0.44305555555555554</v>
      </c>
      <c r="C32" s="39" t="s">
        <v>445</v>
      </c>
      <c r="D32" s="40">
        <v>7</v>
      </c>
      <c r="E32" s="41">
        <v>2</v>
      </c>
      <c r="F32" s="41" t="s">
        <v>179</v>
      </c>
      <c r="G32" s="42" t="s">
        <v>148</v>
      </c>
      <c r="H32" s="41" t="s">
        <v>147</v>
      </c>
      <c r="I32" s="42">
        <v>16</v>
      </c>
      <c r="J32" s="42">
        <v>8</v>
      </c>
      <c r="K32" s="25" t="str">
        <f>VLOOKUP(J32,Key!$E$2:$F$9,2,FALSE)</f>
        <v>Others</v>
      </c>
      <c r="L32" s="41" t="s">
        <v>158</v>
      </c>
      <c r="M32" s="42" t="s">
        <v>146</v>
      </c>
      <c r="N32" s="41" t="s">
        <v>147</v>
      </c>
      <c r="O32" s="42">
        <v>11</v>
      </c>
      <c r="P32" s="42">
        <v>4</v>
      </c>
      <c r="Q32" s="25" t="str">
        <f>VLOOKUP(P32,Key!$E$2:$F$9,2,FALSE)</f>
        <v>Commercial</v>
      </c>
      <c r="R32" s="25" t="str">
        <f t="shared" si="0"/>
        <v>Others-Commercial</v>
      </c>
      <c r="S32" s="43"/>
      <c r="T32" s="43">
        <v>0.6</v>
      </c>
      <c r="U32" s="42">
        <v>6</v>
      </c>
      <c r="V32" s="42"/>
      <c r="W32" s="43"/>
      <c r="X32" s="43"/>
      <c r="Y32" s="44" t="s">
        <v>149</v>
      </c>
      <c r="Z32" s="52">
        <v>1000</v>
      </c>
      <c r="AA32" s="25"/>
      <c r="AB32" s="25"/>
    </row>
    <row r="33" spans="2:28">
      <c r="B33" s="39">
        <v>0.37986111111111115</v>
      </c>
      <c r="C33" s="39" t="s">
        <v>446</v>
      </c>
      <c r="D33" s="40">
        <v>1</v>
      </c>
      <c r="E33" s="41">
        <v>1</v>
      </c>
      <c r="F33" s="41" t="s">
        <v>447</v>
      </c>
      <c r="G33" s="42" t="s">
        <v>146</v>
      </c>
      <c r="H33" s="41" t="s">
        <v>147</v>
      </c>
      <c r="I33" s="42">
        <v>16</v>
      </c>
      <c r="J33" s="42">
        <v>8</v>
      </c>
      <c r="K33" s="25" t="str">
        <f>VLOOKUP(J33,Key!$E$2:$F$9,2,FALSE)</f>
        <v>Others</v>
      </c>
      <c r="L33" s="41" t="s">
        <v>287</v>
      </c>
      <c r="M33" s="42" t="s">
        <v>148</v>
      </c>
      <c r="N33" s="41" t="s">
        <v>147</v>
      </c>
      <c r="O33" s="42">
        <v>2</v>
      </c>
      <c r="P33" s="42">
        <v>2</v>
      </c>
      <c r="Q33" s="25" t="str">
        <f>VLOOKUP(P33,Key!$E$2:$F$9,2,FALSE)</f>
        <v>Work</v>
      </c>
      <c r="R33" s="25" t="str">
        <f t="shared" si="0"/>
        <v>Others-Work</v>
      </c>
      <c r="S33" s="43">
        <v>15</v>
      </c>
      <c r="T33" s="43">
        <v>0.3</v>
      </c>
      <c r="U33" s="42">
        <v>6</v>
      </c>
      <c r="V33" s="42"/>
      <c r="W33" s="43"/>
      <c r="X33" s="43"/>
      <c r="Y33" s="44" t="s">
        <v>149</v>
      </c>
      <c r="Z33" s="52">
        <v>2000</v>
      </c>
      <c r="AA33" s="25"/>
      <c r="AB33" s="25"/>
    </row>
    <row r="34" spans="2:28">
      <c r="B34" s="39">
        <v>0.37291666666666662</v>
      </c>
      <c r="C34" s="39" t="s">
        <v>448</v>
      </c>
      <c r="D34" s="40">
        <v>11</v>
      </c>
      <c r="E34" s="41">
        <v>1</v>
      </c>
      <c r="F34" s="41" t="s">
        <v>152</v>
      </c>
      <c r="G34" s="42" t="s">
        <v>148</v>
      </c>
      <c r="H34" s="41" t="s">
        <v>147</v>
      </c>
      <c r="I34" s="42">
        <v>16</v>
      </c>
      <c r="J34" s="42">
        <v>8</v>
      </c>
      <c r="K34" s="25" t="str">
        <f>VLOOKUP(J34,Key!$E$2:$F$9,2,FALSE)</f>
        <v>Others</v>
      </c>
      <c r="L34" s="41" t="s">
        <v>161</v>
      </c>
      <c r="M34" s="42" t="s">
        <v>148</v>
      </c>
      <c r="N34" s="41" t="s">
        <v>147</v>
      </c>
      <c r="O34" s="42">
        <v>16</v>
      </c>
      <c r="P34" s="42">
        <v>8</v>
      </c>
      <c r="Q34" s="25" t="str">
        <f>VLOOKUP(P34,Key!$E$2:$F$9,2,FALSE)</f>
        <v>Others</v>
      </c>
      <c r="R34" s="25" t="str">
        <f t="shared" si="0"/>
        <v>Others-Others</v>
      </c>
      <c r="S34" s="43">
        <v>1.6</v>
      </c>
      <c r="T34" s="43">
        <v>0.3</v>
      </c>
      <c r="U34" s="42">
        <v>2</v>
      </c>
      <c r="V34" s="42"/>
      <c r="W34" s="43"/>
      <c r="X34" s="43"/>
      <c r="Y34" s="44" t="s">
        <v>149</v>
      </c>
      <c r="Z34" s="52">
        <v>1000</v>
      </c>
      <c r="AA34" s="25"/>
      <c r="AB34" s="25"/>
    </row>
    <row r="35" spans="2:28">
      <c r="B35" s="39">
        <v>0.49722222222222223</v>
      </c>
      <c r="C35" s="39" t="s">
        <v>449</v>
      </c>
      <c r="D35" s="40">
        <v>1</v>
      </c>
      <c r="E35" s="41">
        <v>2</v>
      </c>
      <c r="F35" s="41" t="s">
        <v>152</v>
      </c>
      <c r="G35" s="42" t="s">
        <v>148</v>
      </c>
      <c r="H35" s="41" t="s">
        <v>147</v>
      </c>
      <c r="I35" s="42">
        <v>16</v>
      </c>
      <c r="J35" s="42">
        <v>8</v>
      </c>
      <c r="K35" s="25" t="str">
        <f>VLOOKUP(J35,Key!$E$2:$F$9,2,FALSE)</f>
        <v>Others</v>
      </c>
      <c r="L35" s="41" t="s">
        <v>161</v>
      </c>
      <c r="M35" s="42" t="s">
        <v>148</v>
      </c>
      <c r="N35" s="41" t="s">
        <v>147</v>
      </c>
      <c r="O35" s="42">
        <v>16</v>
      </c>
      <c r="P35" s="42">
        <v>8</v>
      </c>
      <c r="Q35" s="25" t="str">
        <f>VLOOKUP(P35,Key!$E$2:$F$9,2,FALSE)</f>
        <v>Others</v>
      </c>
      <c r="R35" s="25" t="str">
        <f t="shared" si="0"/>
        <v>Others-Others</v>
      </c>
      <c r="S35" s="43">
        <v>5</v>
      </c>
      <c r="T35" s="43">
        <v>0.3</v>
      </c>
      <c r="U35" s="42">
        <v>2</v>
      </c>
      <c r="V35" s="42"/>
      <c r="W35" s="43"/>
      <c r="X35" s="43"/>
      <c r="Y35" s="44" t="s">
        <v>149</v>
      </c>
      <c r="Z35" s="52">
        <v>1000</v>
      </c>
      <c r="AA35" s="25"/>
      <c r="AB35" s="25"/>
    </row>
    <row r="36" spans="2:28">
      <c r="B36" s="39">
        <v>0.3444444444444445</v>
      </c>
      <c r="C36" s="39" t="s">
        <v>450</v>
      </c>
      <c r="D36" s="40">
        <v>11</v>
      </c>
      <c r="E36" s="41">
        <v>1</v>
      </c>
      <c r="F36" s="41" t="s">
        <v>152</v>
      </c>
      <c r="G36" s="42" t="s">
        <v>148</v>
      </c>
      <c r="H36" s="41" t="s">
        <v>147</v>
      </c>
      <c r="I36" s="42">
        <v>8</v>
      </c>
      <c r="J36" s="42">
        <v>2</v>
      </c>
      <c r="K36" s="25" t="str">
        <f>VLOOKUP(J36,Key!$E$2:$F$9,2,FALSE)</f>
        <v>Work</v>
      </c>
      <c r="L36" s="41" t="s">
        <v>161</v>
      </c>
      <c r="M36" s="42" t="s">
        <v>148</v>
      </c>
      <c r="N36" s="41" t="s">
        <v>147</v>
      </c>
      <c r="O36" s="42">
        <v>8</v>
      </c>
      <c r="P36" s="42">
        <v>2</v>
      </c>
      <c r="Q36" s="25" t="str">
        <f>VLOOKUP(P36,Key!$E$2:$F$9,2,FALSE)</f>
        <v>Work</v>
      </c>
      <c r="R36" s="25" t="str">
        <f t="shared" si="0"/>
        <v>Work-Work</v>
      </c>
      <c r="S36" s="43">
        <v>3</v>
      </c>
      <c r="T36" s="43">
        <v>0.1</v>
      </c>
      <c r="U36" s="42">
        <v>1</v>
      </c>
      <c r="V36" s="42"/>
      <c r="W36" s="43"/>
      <c r="X36" s="43"/>
      <c r="Y36" s="44" t="s">
        <v>149</v>
      </c>
      <c r="Z36" s="52">
        <v>2000</v>
      </c>
      <c r="AA36" s="25"/>
      <c r="AB36" s="25"/>
    </row>
    <row r="37" spans="2:28">
      <c r="B37" s="39">
        <v>0.50069444444444444</v>
      </c>
      <c r="C37" s="39" t="s">
        <v>451</v>
      </c>
      <c r="D37" s="40">
        <v>1</v>
      </c>
      <c r="E37" s="41">
        <v>1</v>
      </c>
      <c r="F37" s="41" t="s">
        <v>233</v>
      </c>
      <c r="G37" s="42" t="s">
        <v>148</v>
      </c>
      <c r="H37" s="41" t="s">
        <v>147</v>
      </c>
      <c r="I37" s="42">
        <v>1</v>
      </c>
      <c r="J37" s="42">
        <v>1</v>
      </c>
      <c r="K37" s="25" t="str">
        <f>VLOOKUP(J37,Key!$E$2:$F$9,2,FALSE)</f>
        <v>Home</v>
      </c>
      <c r="L37" s="41" t="s">
        <v>161</v>
      </c>
      <c r="M37" s="42" t="s">
        <v>148</v>
      </c>
      <c r="N37" s="41" t="s">
        <v>147</v>
      </c>
      <c r="O37" s="42">
        <v>16</v>
      </c>
      <c r="P37" s="42">
        <v>8</v>
      </c>
      <c r="Q37" s="25" t="str">
        <f>VLOOKUP(P37,Key!$E$2:$F$9,2,FALSE)</f>
        <v>Others</v>
      </c>
      <c r="R37" s="25" t="str">
        <f t="shared" si="0"/>
        <v>Home-Others</v>
      </c>
      <c r="S37" s="43">
        <v>1.6</v>
      </c>
      <c r="T37" s="43">
        <v>1</v>
      </c>
      <c r="U37" s="42">
        <v>2</v>
      </c>
      <c r="V37" s="42"/>
      <c r="W37" s="43"/>
      <c r="X37" s="43"/>
      <c r="Y37" s="44" t="s">
        <v>149</v>
      </c>
      <c r="Z37" s="52">
        <v>1000</v>
      </c>
      <c r="AA37" s="25"/>
      <c r="AB37" s="25"/>
    </row>
    <row r="38" spans="2:28">
      <c r="B38" s="39">
        <v>0.34375</v>
      </c>
      <c r="C38" s="39" t="s">
        <v>452</v>
      </c>
      <c r="D38" s="40">
        <v>7</v>
      </c>
      <c r="E38" s="41">
        <v>1</v>
      </c>
      <c r="F38" s="41" t="s">
        <v>152</v>
      </c>
      <c r="G38" s="42" t="s">
        <v>148</v>
      </c>
      <c r="H38" s="41" t="s">
        <v>147</v>
      </c>
      <c r="I38" s="42">
        <v>16</v>
      </c>
      <c r="J38" s="42">
        <v>8</v>
      </c>
      <c r="K38" s="25" t="str">
        <f>VLOOKUP(J38,Key!$E$2:$F$9,2,FALSE)</f>
        <v>Others</v>
      </c>
      <c r="L38" s="41" t="s">
        <v>202</v>
      </c>
      <c r="M38" s="42" t="s">
        <v>148</v>
      </c>
      <c r="N38" s="41" t="s">
        <v>147</v>
      </c>
      <c r="O38" s="42">
        <v>16</v>
      </c>
      <c r="P38" s="42">
        <v>8</v>
      </c>
      <c r="Q38" s="25" t="str">
        <f>VLOOKUP(P38,Key!$E$2:$F$9,2,FALSE)</f>
        <v>Others</v>
      </c>
      <c r="R38" s="25" t="str">
        <f t="shared" ref="R38:R76" si="1">K38&amp;"-"&amp;Q38</f>
        <v>Others-Others</v>
      </c>
      <c r="S38" s="43">
        <v>7</v>
      </c>
      <c r="T38" s="43">
        <v>0.3</v>
      </c>
      <c r="U38" s="42">
        <v>6</v>
      </c>
      <c r="V38" s="42"/>
      <c r="W38" s="43"/>
      <c r="X38" s="43"/>
      <c r="Y38" s="44" t="s">
        <v>149</v>
      </c>
      <c r="Z38" s="52">
        <v>1000</v>
      </c>
      <c r="AA38" s="25"/>
      <c r="AB38" s="25"/>
    </row>
    <row r="39" spans="2:28">
      <c r="B39" s="39">
        <v>0.50694444444444442</v>
      </c>
      <c r="C39" s="39" t="s">
        <v>453</v>
      </c>
      <c r="D39" s="40">
        <v>7</v>
      </c>
      <c r="E39" s="41">
        <v>1</v>
      </c>
      <c r="F39" s="41" t="s">
        <v>367</v>
      </c>
      <c r="G39" s="42" t="s">
        <v>148</v>
      </c>
      <c r="H39" s="41" t="s">
        <v>147</v>
      </c>
      <c r="I39" s="42">
        <v>10</v>
      </c>
      <c r="J39" s="42">
        <v>4</v>
      </c>
      <c r="K39" s="25" t="str">
        <f>VLOOKUP(J39,Key!$E$2:$F$9,2,FALSE)</f>
        <v>Commercial</v>
      </c>
      <c r="L39" s="41" t="s">
        <v>454</v>
      </c>
      <c r="M39" s="42" t="s">
        <v>146</v>
      </c>
      <c r="N39" s="41" t="s">
        <v>147</v>
      </c>
      <c r="O39" s="42">
        <v>10</v>
      </c>
      <c r="P39" s="42">
        <v>4</v>
      </c>
      <c r="Q39" s="25" t="str">
        <f>VLOOKUP(P39,Key!$E$2:$F$9,2,FALSE)</f>
        <v>Commercial</v>
      </c>
      <c r="R39" s="25" t="str">
        <f t="shared" si="1"/>
        <v>Commercial-Commercial</v>
      </c>
      <c r="S39" s="43">
        <v>16.100000000000001</v>
      </c>
      <c r="T39" s="43">
        <v>1</v>
      </c>
      <c r="U39" s="42">
        <v>3</v>
      </c>
      <c r="V39" s="42"/>
      <c r="W39" s="43"/>
      <c r="X39" s="43"/>
      <c r="Y39" s="44" t="s">
        <v>149</v>
      </c>
      <c r="Z39" s="52">
        <v>1000</v>
      </c>
      <c r="AA39" s="25"/>
      <c r="AB39" s="25"/>
    </row>
    <row r="40" spans="2:28">
      <c r="B40" s="39">
        <v>0.34027777777777773</v>
      </c>
      <c r="C40" s="39" t="s">
        <v>226</v>
      </c>
      <c r="D40" s="40">
        <v>7</v>
      </c>
      <c r="E40" s="41">
        <v>10</v>
      </c>
      <c r="F40" s="41" t="s">
        <v>152</v>
      </c>
      <c r="G40" s="42" t="s">
        <v>148</v>
      </c>
      <c r="H40" s="41" t="s">
        <v>147</v>
      </c>
      <c r="I40" s="42">
        <v>6</v>
      </c>
      <c r="J40" s="42">
        <v>2</v>
      </c>
      <c r="K40" s="25" t="str">
        <f>VLOOKUP(J40,Key!$E$2:$F$9,2,FALSE)</f>
        <v>Work</v>
      </c>
      <c r="L40" s="41" t="s">
        <v>158</v>
      </c>
      <c r="M40" s="42" t="s">
        <v>146</v>
      </c>
      <c r="N40" s="41" t="s">
        <v>147</v>
      </c>
      <c r="O40" s="42">
        <v>6</v>
      </c>
      <c r="P40" s="42">
        <v>2</v>
      </c>
      <c r="Q40" s="25" t="str">
        <f>VLOOKUP(P40,Key!$E$2:$F$9,2,FALSE)</f>
        <v>Work</v>
      </c>
      <c r="R40" s="25" t="str">
        <f t="shared" si="1"/>
        <v>Work-Work</v>
      </c>
      <c r="S40" s="43">
        <v>10</v>
      </c>
      <c r="T40" s="43">
        <v>0.5</v>
      </c>
      <c r="U40" s="42">
        <v>2</v>
      </c>
      <c r="V40" s="42"/>
      <c r="W40" s="43"/>
      <c r="X40" s="43"/>
      <c r="Y40" s="44" t="s">
        <v>149</v>
      </c>
      <c r="Z40" s="52">
        <v>1000</v>
      </c>
      <c r="AA40" s="25"/>
      <c r="AB40" s="25"/>
    </row>
    <row r="41" spans="2:28">
      <c r="B41" s="39">
        <v>0.50902777777777775</v>
      </c>
      <c r="C41" s="39" t="s">
        <v>455</v>
      </c>
      <c r="D41" s="40">
        <v>4</v>
      </c>
      <c r="E41" s="41">
        <v>11</v>
      </c>
      <c r="F41" s="41" t="s">
        <v>152</v>
      </c>
      <c r="G41" s="42" t="s">
        <v>148</v>
      </c>
      <c r="H41" s="41" t="s">
        <v>147</v>
      </c>
      <c r="I41" s="42">
        <v>6</v>
      </c>
      <c r="J41" s="42">
        <v>2</v>
      </c>
      <c r="K41" s="25" t="str">
        <f>VLOOKUP(J41,Key!$E$2:$F$9,2,FALSE)</f>
        <v>Work</v>
      </c>
      <c r="L41" s="41" t="s">
        <v>158</v>
      </c>
      <c r="M41" s="42" t="s">
        <v>146</v>
      </c>
      <c r="N41" s="41" t="s">
        <v>147</v>
      </c>
      <c r="O41" s="42">
        <v>6</v>
      </c>
      <c r="P41" s="42">
        <v>2</v>
      </c>
      <c r="Q41" s="25" t="str">
        <f>VLOOKUP(P41,Key!$E$2:$F$9,2,FALSE)</f>
        <v>Work</v>
      </c>
      <c r="R41" s="25" t="str">
        <f t="shared" si="1"/>
        <v>Work-Work</v>
      </c>
      <c r="S41" s="43"/>
      <c r="T41" s="43">
        <v>0.5</v>
      </c>
      <c r="U41" s="42">
        <v>2</v>
      </c>
      <c r="V41" s="42"/>
      <c r="W41" s="43"/>
      <c r="X41" s="43"/>
      <c r="Y41" s="44" t="s">
        <v>149</v>
      </c>
      <c r="Z41" s="52">
        <v>1000</v>
      </c>
      <c r="AA41" s="25"/>
      <c r="AB41" s="25"/>
    </row>
    <row r="42" spans="2:28">
      <c r="B42" s="39">
        <v>0.33333333333333331</v>
      </c>
      <c r="C42" s="39" t="s">
        <v>456</v>
      </c>
      <c r="D42" s="40">
        <v>1</v>
      </c>
      <c r="E42" s="41">
        <v>1</v>
      </c>
      <c r="F42" s="41" t="s">
        <v>152</v>
      </c>
      <c r="G42" s="42" t="s">
        <v>148</v>
      </c>
      <c r="H42" s="41" t="s">
        <v>147</v>
      </c>
      <c r="I42" s="42">
        <v>1</v>
      </c>
      <c r="J42" s="42">
        <v>1</v>
      </c>
      <c r="K42" s="25" t="str">
        <f>VLOOKUP(J42,Key!$E$2:$F$9,2,FALSE)</f>
        <v>Home</v>
      </c>
      <c r="L42" s="41" t="s">
        <v>181</v>
      </c>
      <c r="M42" s="42" t="s">
        <v>146</v>
      </c>
      <c r="N42" s="41" t="s">
        <v>147</v>
      </c>
      <c r="O42" s="42">
        <v>1</v>
      </c>
      <c r="P42" s="42">
        <v>2</v>
      </c>
      <c r="Q42" s="25" t="str">
        <f>VLOOKUP(P42,Key!$E$2:$F$9,2,FALSE)</f>
        <v>Work</v>
      </c>
      <c r="R42" s="25" t="str">
        <f t="shared" si="1"/>
        <v>Home-Work</v>
      </c>
      <c r="S42" s="43"/>
      <c r="T42" s="43">
        <v>0.3</v>
      </c>
      <c r="U42" s="42">
        <v>2</v>
      </c>
      <c r="V42" s="42"/>
      <c r="W42" s="43"/>
      <c r="X42" s="43"/>
      <c r="Y42" s="44" t="s">
        <v>149</v>
      </c>
      <c r="Z42" s="52">
        <v>1000</v>
      </c>
      <c r="AA42" s="25"/>
      <c r="AB42" s="25"/>
    </row>
    <row r="43" spans="2:28">
      <c r="B43" s="39">
        <v>0.25</v>
      </c>
      <c r="C43" s="39" t="s">
        <v>457</v>
      </c>
      <c r="D43" s="40">
        <v>1</v>
      </c>
      <c r="E43" s="41">
        <v>2</v>
      </c>
      <c r="F43" s="41" t="s">
        <v>152</v>
      </c>
      <c r="G43" s="42" t="s">
        <v>148</v>
      </c>
      <c r="H43" s="41" t="s">
        <v>147</v>
      </c>
      <c r="I43" s="42">
        <v>1</v>
      </c>
      <c r="J43" s="42">
        <v>1</v>
      </c>
      <c r="K43" s="25" t="str">
        <f>VLOOKUP(J43,Key!$E$2:$F$9,2,FALSE)</f>
        <v>Home</v>
      </c>
      <c r="L43" s="41" t="s">
        <v>458</v>
      </c>
      <c r="M43" s="42" t="s">
        <v>148</v>
      </c>
      <c r="N43" s="41" t="s">
        <v>147</v>
      </c>
      <c r="O43" s="42">
        <v>7</v>
      </c>
      <c r="P43" s="42">
        <v>4</v>
      </c>
      <c r="Q43" s="25" t="str">
        <f>VLOOKUP(P43,Key!$E$2:$F$9,2,FALSE)</f>
        <v>Commercial</v>
      </c>
      <c r="R43" s="25" t="str">
        <f t="shared" si="1"/>
        <v>Home-Commercial</v>
      </c>
      <c r="S43" s="43"/>
      <c r="T43" s="43"/>
      <c r="U43" s="42">
        <v>2</v>
      </c>
      <c r="V43" s="42"/>
      <c r="W43" s="43"/>
      <c r="X43" s="43"/>
      <c r="Y43" s="44" t="s">
        <v>149</v>
      </c>
      <c r="Z43" s="52">
        <v>1000</v>
      </c>
      <c r="AA43" s="25"/>
      <c r="AB43" s="25"/>
    </row>
    <row r="44" spans="2:28">
      <c r="B44" s="39">
        <v>0.16666666666666666</v>
      </c>
      <c r="C44" s="39" t="s">
        <v>459</v>
      </c>
      <c r="D44" s="40">
        <v>7</v>
      </c>
      <c r="E44" s="41">
        <v>2</v>
      </c>
      <c r="F44" s="41" t="s">
        <v>198</v>
      </c>
      <c r="G44" s="42" t="s">
        <v>148</v>
      </c>
      <c r="H44" s="41" t="s">
        <v>147</v>
      </c>
      <c r="I44" s="42">
        <v>12</v>
      </c>
      <c r="J44" s="42">
        <v>2</v>
      </c>
      <c r="K44" s="25" t="str">
        <f>VLOOKUP(J44,Key!$E$2:$F$9,2,FALSE)</f>
        <v>Work</v>
      </c>
      <c r="L44" s="41" t="s">
        <v>161</v>
      </c>
      <c r="M44" s="42" t="s">
        <v>148</v>
      </c>
      <c r="N44" s="41" t="s">
        <v>147</v>
      </c>
      <c r="O44" s="42">
        <v>10</v>
      </c>
      <c r="P44" s="42">
        <v>8</v>
      </c>
      <c r="Q44" s="25" t="str">
        <f>VLOOKUP(P44,Key!$E$2:$F$9,2,FALSE)</f>
        <v>Others</v>
      </c>
      <c r="R44" s="25" t="str">
        <f t="shared" si="1"/>
        <v>Work-Others</v>
      </c>
      <c r="S44" s="43"/>
      <c r="T44" s="43"/>
      <c r="U44" s="42">
        <v>2</v>
      </c>
      <c r="V44" s="42"/>
      <c r="W44" s="43"/>
      <c r="X44" s="43"/>
      <c r="Y44" s="44" t="s">
        <v>149</v>
      </c>
      <c r="Z44" s="52">
        <v>1000</v>
      </c>
      <c r="AA44" s="25"/>
      <c r="AB44" s="25"/>
    </row>
    <row r="45" spans="2:28">
      <c r="B45" s="39">
        <v>0.13194444444444445</v>
      </c>
      <c r="C45" s="39" t="s">
        <v>460</v>
      </c>
      <c r="D45" s="40">
        <v>1</v>
      </c>
      <c r="E45" s="41">
        <v>2</v>
      </c>
      <c r="F45" s="41" t="s">
        <v>152</v>
      </c>
      <c r="G45" s="42" t="s">
        <v>148</v>
      </c>
      <c r="H45" s="41" t="s">
        <v>147</v>
      </c>
      <c r="I45" s="42">
        <v>1</v>
      </c>
      <c r="J45" s="42">
        <v>1</v>
      </c>
      <c r="K45" s="25" t="str">
        <f>VLOOKUP(J45,Key!$E$2:$F$9,2,FALSE)</f>
        <v>Home</v>
      </c>
      <c r="L45" s="41" t="s">
        <v>461</v>
      </c>
      <c r="M45" s="42" t="s">
        <v>148</v>
      </c>
      <c r="N45" s="41" t="s">
        <v>147</v>
      </c>
      <c r="O45" s="42">
        <v>16</v>
      </c>
      <c r="P45" s="42">
        <v>6</v>
      </c>
      <c r="Q45" s="25" t="s">
        <v>105</v>
      </c>
      <c r="R45" s="25" t="str">
        <f t="shared" si="1"/>
        <v>Home-Leisure/Social</v>
      </c>
      <c r="S45" s="43">
        <v>2</v>
      </c>
      <c r="T45" s="43">
        <v>0.5</v>
      </c>
      <c r="U45" s="42">
        <v>4</v>
      </c>
      <c r="V45" s="42"/>
      <c r="W45" s="43"/>
      <c r="X45" s="43"/>
      <c r="Y45" s="44" t="s">
        <v>149</v>
      </c>
      <c r="Z45" s="52">
        <v>5000</v>
      </c>
      <c r="AA45" s="25"/>
      <c r="AB45" s="25"/>
    </row>
    <row r="46" spans="2:28">
      <c r="B46" s="39">
        <v>0.14583333333333334</v>
      </c>
      <c r="C46" s="39" t="s">
        <v>462</v>
      </c>
      <c r="D46" s="40">
        <v>1</v>
      </c>
      <c r="E46" s="41">
        <v>1</v>
      </c>
      <c r="F46" s="41" t="s">
        <v>158</v>
      </c>
      <c r="G46" s="42" t="s">
        <v>146</v>
      </c>
      <c r="H46" s="41" t="s">
        <v>147</v>
      </c>
      <c r="I46" s="42">
        <v>11</v>
      </c>
      <c r="J46" s="42">
        <v>4</v>
      </c>
      <c r="K46" s="25" t="str">
        <f>VLOOKUP(J46,Key!$E$2:$F$9,2,FALSE)</f>
        <v>Commercial</v>
      </c>
      <c r="L46" s="41" t="s">
        <v>161</v>
      </c>
      <c r="M46" s="42" t="s">
        <v>148</v>
      </c>
      <c r="N46" s="41" t="s">
        <v>147</v>
      </c>
      <c r="O46" s="42">
        <v>1</v>
      </c>
      <c r="P46" s="42">
        <v>1</v>
      </c>
      <c r="Q46" s="25" t="str">
        <f>VLOOKUP(P46,Key!$E$2:$F$9,2,FALSE)</f>
        <v>Home</v>
      </c>
      <c r="R46" s="25" t="str">
        <f t="shared" si="1"/>
        <v>Commercial-Home</v>
      </c>
      <c r="S46" s="43">
        <v>4</v>
      </c>
      <c r="T46" s="43">
        <v>1</v>
      </c>
      <c r="U46" s="42">
        <v>2</v>
      </c>
      <c r="V46" s="42"/>
      <c r="W46" s="43"/>
      <c r="X46" s="43"/>
      <c r="Y46" s="44" t="s">
        <v>149</v>
      </c>
      <c r="Z46" s="52">
        <v>1000</v>
      </c>
      <c r="AA46" s="25"/>
      <c r="AB46" s="25"/>
    </row>
    <row r="47" spans="2:28">
      <c r="B47" s="39">
        <v>0.63194444444444442</v>
      </c>
      <c r="C47" s="39" t="s">
        <v>463</v>
      </c>
      <c r="D47" s="40">
        <v>3</v>
      </c>
      <c r="E47" s="41">
        <v>3</v>
      </c>
      <c r="F47" s="41" t="s">
        <v>464</v>
      </c>
      <c r="G47" s="42" t="s">
        <v>148</v>
      </c>
      <c r="H47" s="41" t="s">
        <v>147</v>
      </c>
      <c r="I47" s="42">
        <v>1</v>
      </c>
      <c r="J47" s="42">
        <v>1</v>
      </c>
      <c r="K47" s="25" t="str">
        <f>VLOOKUP(J47,Key!$E$2:$F$9,2,FALSE)</f>
        <v>Home</v>
      </c>
      <c r="L47" s="41" t="s">
        <v>161</v>
      </c>
      <c r="M47" s="42" t="s">
        <v>148</v>
      </c>
      <c r="N47" s="41" t="s">
        <v>147</v>
      </c>
      <c r="O47" s="42">
        <v>11</v>
      </c>
      <c r="P47" s="42">
        <v>4</v>
      </c>
      <c r="Q47" s="25" t="str">
        <f>VLOOKUP(P47,Key!$E$2:$F$9,2,FALSE)</f>
        <v>Commercial</v>
      </c>
      <c r="R47" s="25" t="str">
        <f t="shared" si="1"/>
        <v>Home-Commercial</v>
      </c>
      <c r="S47" s="43"/>
      <c r="T47" s="43"/>
      <c r="U47" s="42">
        <v>4</v>
      </c>
      <c r="V47" s="42"/>
      <c r="W47" s="43"/>
      <c r="X47" s="43"/>
      <c r="Y47" s="44" t="s">
        <v>149</v>
      </c>
      <c r="Z47" s="52">
        <v>1000</v>
      </c>
      <c r="AA47" s="25"/>
      <c r="AB47" s="25"/>
    </row>
    <row r="48" spans="2:28">
      <c r="B48" s="39">
        <v>0.625</v>
      </c>
      <c r="C48" s="39" t="s">
        <v>465</v>
      </c>
      <c r="D48" s="40">
        <v>1</v>
      </c>
      <c r="E48" s="41">
        <v>1</v>
      </c>
      <c r="F48" s="41" t="s">
        <v>152</v>
      </c>
      <c r="G48" s="42" t="s">
        <v>148</v>
      </c>
      <c r="H48" s="41" t="s">
        <v>147</v>
      </c>
      <c r="I48" s="42">
        <v>1</v>
      </c>
      <c r="J48" s="42">
        <v>1</v>
      </c>
      <c r="K48" s="25" t="str">
        <f>VLOOKUP(J48,Key!$E$2:$F$9,2,FALSE)</f>
        <v>Home</v>
      </c>
      <c r="L48" s="41" t="s">
        <v>466</v>
      </c>
      <c r="M48" s="42" t="s">
        <v>146</v>
      </c>
      <c r="N48" s="41" t="s">
        <v>147</v>
      </c>
      <c r="O48" s="42">
        <v>16</v>
      </c>
      <c r="P48" s="42">
        <v>8</v>
      </c>
      <c r="Q48" s="25" t="s">
        <v>106</v>
      </c>
      <c r="R48" s="25" t="str">
        <f t="shared" si="1"/>
        <v>Home-Others</v>
      </c>
      <c r="S48" s="43">
        <v>14.5</v>
      </c>
      <c r="T48" s="43">
        <v>0.5</v>
      </c>
      <c r="U48" s="42">
        <v>2</v>
      </c>
      <c r="V48" s="42"/>
      <c r="W48" s="43"/>
      <c r="X48" s="43"/>
      <c r="Y48" s="44" t="s">
        <v>149</v>
      </c>
      <c r="Z48" s="52">
        <v>1000</v>
      </c>
      <c r="AA48" s="25"/>
      <c r="AB48" s="25"/>
    </row>
    <row r="49" spans="2:28">
      <c r="B49" s="39">
        <v>0.45833333333333331</v>
      </c>
      <c r="C49" s="39" t="s">
        <v>467</v>
      </c>
      <c r="D49" s="40">
        <v>2</v>
      </c>
      <c r="E49" s="41">
        <v>1</v>
      </c>
      <c r="F49" s="41" t="s">
        <v>161</v>
      </c>
      <c r="G49" s="42" t="s">
        <v>148</v>
      </c>
      <c r="H49" s="41" t="s">
        <v>147</v>
      </c>
      <c r="I49" s="42">
        <v>1</v>
      </c>
      <c r="J49" s="42">
        <v>1</v>
      </c>
      <c r="K49" s="25" t="str">
        <f>VLOOKUP(J49,Key!$E$2:$F$9,2,FALSE)</f>
        <v>Home</v>
      </c>
      <c r="L49" s="41" t="s">
        <v>158</v>
      </c>
      <c r="M49" s="42" t="s">
        <v>146</v>
      </c>
      <c r="N49" s="41" t="s">
        <v>147</v>
      </c>
      <c r="O49" s="42">
        <v>12</v>
      </c>
      <c r="P49" s="42">
        <v>2</v>
      </c>
      <c r="Q49" s="25" t="str">
        <f>VLOOKUP(P49,Key!$E$2:$F$9,2,FALSE)</f>
        <v>Work</v>
      </c>
      <c r="R49" s="25" t="str">
        <f t="shared" si="1"/>
        <v>Home-Work</v>
      </c>
      <c r="S49" s="43">
        <v>5</v>
      </c>
      <c r="T49" s="43">
        <v>1.5</v>
      </c>
      <c r="U49" s="42">
        <v>2</v>
      </c>
      <c r="V49" s="42"/>
      <c r="W49" s="43"/>
      <c r="X49" s="43"/>
      <c r="Y49" s="44" t="s">
        <v>149</v>
      </c>
      <c r="Z49" s="52">
        <v>500</v>
      </c>
      <c r="AA49" s="25"/>
      <c r="AB49" s="25"/>
    </row>
    <row r="50" spans="2:28">
      <c r="B50" s="39">
        <v>0.61111111111111105</v>
      </c>
      <c r="C50" s="39" t="s">
        <v>468</v>
      </c>
      <c r="D50" s="40">
        <v>1</v>
      </c>
      <c r="E50" s="41">
        <v>5</v>
      </c>
      <c r="F50" s="41" t="s">
        <v>207</v>
      </c>
      <c r="G50" s="42" t="s">
        <v>146</v>
      </c>
      <c r="H50" s="41" t="s">
        <v>147</v>
      </c>
      <c r="I50" s="42">
        <v>2</v>
      </c>
      <c r="J50" s="42">
        <v>2</v>
      </c>
      <c r="K50" s="25" t="str">
        <f>VLOOKUP(J50,Key!$E$2:$F$9,2,FALSE)</f>
        <v>Work</v>
      </c>
      <c r="L50" s="41" t="s">
        <v>161</v>
      </c>
      <c r="M50" s="42" t="s">
        <v>148</v>
      </c>
      <c r="N50" s="41" t="s">
        <v>147</v>
      </c>
      <c r="O50" s="42">
        <v>1</v>
      </c>
      <c r="P50" s="42">
        <v>1</v>
      </c>
      <c r="Q50" s="25" t="str">
        <f>VLOOKUP(P50,Key!$E$2:$F$9,2,FALSE)</f>
        <v>Home</v>
      </c>
      <c r="R50" s="25" t="str">
        <f t="shared" si="1"/>
        <v>Work-Home</v>
      </c>
      <c r="S50" s="43">
        <v>2</v>
      </c>
      <c r="T50" s="43">
        <v>0.2</v>
      </c>
      <c r="U50" s="42">
        <v>2</v>
      </c>
      <c r="V50" s="42"/>
      <c r="W50" s="43"/>
      <c r="X50" s="43"/>
      <c r="Y50" s="44" t="s">
        <v>149</v>
      </c>
      <c r="Z50" s="52">
        <v>200</v>
      </c>
      <c r="AA50" s="25"/>
      <c r="AB50" s="25"/>
    </row>
    <row r="51" spans="2:28">
      <c r="B51" s="39">
        <v>0.60416666666666663</v>
      </c>
      <c r="C51" s="39" t="s">
        <v>469</v>
      </c>
      <c r="D51" s="40">
        <v>1</v>
      </c>
      <c r="E51" s="41">
        <v>4</v>
      </c>
      <c r="F51" s="41" t="s">
        <v>227</v>
      </c>
      <c r="G51" s="42" t="s">
        <v>146</v>
      </c>
      <c r="H51" s="41" t="s">
        <v>147</v>
      </c>
      <c r="I51" s="42">
        <v>11</v>
      </c>
      <c r="J51" s="42">
        <v>4</v>
      </c>
      <c r="K51" s="25" t="str">
        <f>VLOOKUP(J51,Key!$E$2:$F$9,2,FALSE)</f>
        <v>Commercial</v>
      </c>
      <c r="L51" s="41" t="s">
        <v>163</v>
      </c>
      <c r="M51" s="42" t="s">
        <v>148</v>
      </c>
      <c r="N51" s="41" t="s">
        <v>147</v>
      </c>
      <c r="O51" s="42">
        <v>1</v>
      </c>
      <c r="P51" s="42">
        <v>1</v>
      </c>
      <c r="Q51" s="25" t="str">
        <f>VLOOKUP(P51,Key!$E$2:$F$9,2,FALSE)</f>
        <v>Home</v>
      </c>
      <c r="R51" s="25" t="str">
        <f t="shared" si="1"/>
        <v>Commercial-Home</v>
      </c>
      <c r="S51" s="43">
        <v>3</v>
      </c>
      <c r="T51" s="43">
        <v>0.3</v>
      </c>
      <c r="U51" s="42">
        <v>2</v>
      </c>
      <c r="V51" s="42"/>
      <c r="W51" s="43"/>
      <c r="X51" s="43"/>
      <c r="Y51" s="44" t="s">
        <v>149</v>
      </c>
      <c r="Z51" s="52">
        <v>3000</v>
      </c>
      <c r="AA51" s="25"/>
      <c r="AB51" s="25"/>
    </row>
    <row r="52" spans="2:28">
      <c r="B52" s="39">
        <v>0.59722222222222221</v>
      </c>
      <c r="C52" s="39" t="s">
        <v>470</v>
      </c>
      <c r="D52" s="40">
        <v>1</v>
      </c>
      <c r="E52" s="41">
        <v>1</v>
      </c>
      <c r="F52" s="41" t="s">
        <v>227</v>
      </c>
      <c r="G52" s="42" t="s">
        <v>146</v>
      </c>
      <c r="H52" s="41" t="s">
        <v>147</v>
      </c>
      <c r="I52" s="42">
        <v>11</v>
      </c>
      <c r="J52" s="42">
        <v>4</v>
      </c>
      <c r="K52" s="25" t="str">
        <f>VLOOKUP(J52,Key!$E$2:$F$9,2,FALSE)</f>
        <v>Commercial</v>
      </c>
      <c r="L52" s="41" t="s">
        <v>161</v>
      </c>
      <c r="M52" s="42" t="s">
        <v>148</v>
      </c>
      <c r="N52" s="41" t="s">
        <v>147</v>
      </c>
      <c r="O52" s="42">
        <v>1</v>
      </c>
      <c r="P52" s="42">
        <v>1</v>
      </c>
      <c r="Q52" s="25" t="str">
        <f>VLOOKUP(P52,Key!$E$2:$F$9,2,FALSE)</f>
        <v>Home</v>
      </c>
      <c r="R52" s="25" t="str">
        <f t="shared" si="1"/>
        <v>Commercial-Home</v>
      </c>
      <c r="S52" s="43">
        <v>3</v>
      </c>
      <c r="T52" s="43">
        <v>0.1</v>
      </c>
      <c r="U52" s="42">
        <v>2</v>
      </c>
      <c r="V52" s="42"/>
      <c r="W52" s="43"/>
      <c r="X52" s="43"/>
      <c r="Y52" s="44" t="s">
        <v>149</v>
      </c>
      <c r="Z52" s="52"/>
      <c r="AA52" s="25"/>
      <c r="AB52" s="25"/>
    </row>
    <row r="53" spans="2:28">
      <c r="B53" s="39">
        <v>0.58958333333333335</v>
      </c>
      <c r="C53" s="39" t="s">
        <v>471</v>
      </c>
      <c r="D53" s="40">
        <v>2</v>
      </c>
      <c r="E53" s="41">
        <v>2</v>
      </c>
      <c r="F53" s="41" t="s">
        <v>207</v>
      </c>
      <c r="G53" s="42" t="s">
        <v>146</v>
      </c>
      <c r="H53" s="41" t="s">
        <v>147</v>
      </c>
      <c r="I53" s="42">
        <v>1</v>
      </c>
      <c r="J53" s="42">
        <v>1</v>
      </c>
      <c r="K53" s="25" t="str">
        <f>VLOOKUP(J53,Key!$E$2:$F$9,2,FALSE)</f>
        <v>Home</v>
      </c>
      <c r="L53" s="41" t="s">
        <v>161</v>
      </c>
      <c r="M53" s="42" t="s">
        <v>148</v>
      </c>
      <c r="N53" s="41" t="s">
        <v>147</v>
      </c>
      <c r="O53" s="42">
        <v>2</v>
      </c>
      <c r="P53" s="42">
        <v>2</v>
      </c>
      <c r="Q53" s="25" t="str">
        <f>VLOOKUP(P53,Key!$E$2:$F$9,2,FALSE)</f>
        <v>Work</v>
      </c>
      <c r="R53" s="25" t="str">
        <f t="shared" si="1"/>
        <v>Home-Work</v>
      </c>
      <c r="S53" s="43">
        <v>3</v>
      </c>
      <c r="T53" s="43">
        <v>0.1</v>
      </c>
      <c r="U53" s="42">
        <v>2</v>
      </c>
      <c r="V53" s="42"/>
      <c r="W53" s="43"/>
      <c r="X53" s="43"/>
      <c r="Y53" s="44" t="s">
        <v>149</v>
      </c>
      <c r="Z53" s="52">
        <v>5000</v>
      </c>
      <c r="AA53" s="25"/>
      <c r="AB53" s="25"/>
    </row>
    <row r="54" spans="2:28">
      <c r="B54" s="39">
        <v>0.59375</v>
      </c>
      <c r="C54" s="39" t="s">
        <v>472</v>
      </c>
      <c r="D54" s="40">
        <v>1</v>
      </c>
      <c r="E54" s="41">
        <v>2</v>
      </c>
      <c r="F54" s="41" t="s">
        <v>473</v>
      </c>
      <c r="G54" s="42" t="s">
        <v>146</v>
      </c>
      <c r="H54" s="41" t="s">
        <v>147</v>
      </c>
      <c r="I54" s="42">
        <v>1</v>
      </c>
      <c r="J54" s="42">
        <v>1</v>
      </c>
      <c r="K54" s="25" t="str">
        <f>VLOOKUP(J54,Key!$E$2:$F$9,2,FALSE)</f>
        <v>Home</v>
      </c>
      <c r="L54" s="41" t="s">
        <v>161</v>
      </c>
      <c r="M54" s="42" t="s">
        <v>148</v>
      </c>
      <c r="N54" s="41" t="s">
        <v>147</v>
      </c>
      <c r="O54" s="42">
        <v>16</v>
      </c>
      <c r="P54" s="42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43">
        <v>2</v>
      </c>
      <c r="T54" s="43">
        <v>1.5</v>
      </c>
      <c r="U54" s="42">
        <v>2</v>
      </c>
      <c r="V54" s="42"/>
      <c r="W54" s="43"/>
      <c r="X54" s="43"/>
      <c r="Y54" s="44" t="s">
        <v>149</v>
      </c>
      <c r="Z54" s="52">
        <v>100</v>
      </c>
      <c r="AA54" s="25"/>
      <c r="AB54" s="25"/>
    </row>
    <row r="55" spans="2:28">
      <c r="B55" s="39">
        <v>0.49513888888888885</v>
      </c>
      <c r="C55" s="39" t="s">
        <v>474</v>
      </c>
      <c r="D55" s="40">
        <v>1</v>
      </c>
      <c r="E55" s="41">
        <v>1</v>
      </c>
      <c r="F55" s="41" t="s">
        <v>434</v>
      </c>
      <c r="G55" s="42" t="s">
        <v>148</v>
      </c>
      <c r="H55" s="41" t="s">
        <v>147</v>
      </c>
      <c r="I55" s="42">
        <v>1</v>
      </c>
      <c r="J55" s="42">
        <v>1</v>
      </c>
      <c r="K55" s="25" t="str">
        <f>VLOOKUP(J55,Key!$E$2:$F$9,2,FALSE)</f>
        <v>Home</v>
      </c>
      <c r="L55" s="41" t="s">
        <v>158</v>
      </c>
      <c r="M55" s="42" t="s">
        <v>146</v>
      </c>
      <c r="N55" s="41" t="s">
        <v>147</v>
      </c>
      <c r="O55" s="42">
        <v>16</v>
      </c>
      <c r="P55" s="42">
        <v>6</v>
      </c>
      <c r="Q55" s="25" t="str">
        <f>VLOOKUP(P55,Key!$E$2:$F$9,2,FALSE)</f>
        <v>Leisure/Social</v>
      </c>
      <c r="R55" s="25" t="str">
        <f t="shared" si="1"/>
        <v>Home-Leisure/Social</v>
      </c>
      <c r="S55" s="43"/>
      <c r="T55" s="43"/>
      <c r="U55" s="42">
        <v>2</v>
      </c>
      <c r="V55" s="42"/>
      <c r="W55" s="43"/>
      <c r="X55" s="43"/>
      <c r="Y55" s="44" t="s">
        <v>149</v>
      </c>
      <c r="Z55" s="52">
        <v>1000</v>
      </c>
      <c r="AA55" s="25"/>
      <c r="AB55" s="25"/>
    </row>
    <row r="56" spans="2:28">
      <c r="B56" s="39">
        <v>0.44305555555555554</v>
      </c>
      <c r="C56" s="39" t="s">
        <v>475</v>
      </c>
      <c r="D56" s="40">
        <v>1</v>
      </c>
      <c r="E56" s="41">
        <v>3</v>
      </c>
      <c r="F56" s="41" t="s">
        <v>183</v>
      </c>
      <c r="G56" s="42" t="s">
        <v>146</v>
      </c>
      <c r="H56" s="41" t="s">
        <v>147</v>
      </c>
      <c r="I56" s="42">
        <v>1</v>
      </c>
      <c r="J56" s="42">
        <v>1</v>
      </c>
      <c r="K56" s="25" t="str">
        <f>VLOOKUP(J56,Key!$E$2:$F$9,2,FALSE)</f>
        <v>Home</v>
      </c>
      <c r="L56" s="41" t="s">
        <v>158</v>
      </c>
      <c r="M56" s="42" t="s">
        <v>146</v>
      </c>
      <c r="N56" s="41" t="s">
        <v>147</v>
      </c>
      <c r="O56" s="42">
        <v>5</v>
      </c>
      <c r="P56" s="42">
        <v>7</v>
      </c>
      <c r="Q56" s="25" t="str">
        <f>VLOOKUP(P56,Key!$E$2:$F$9,2,FALSE)</f>
        <v>Hospital</v>
      </c>
      <c r="R56" s="25" t="str">
        <f t="shared" si="1"/>
        <v>Home-Hospital</v>
      </c>
      <c r="S56" s="43">
        <v>6</v>
      </c>
      <c r="T56" s="43">
        <v>2</v>
      </c>
      <c r="U56" s="42">
        <v>2</v>
      </c>
      <c r="V56" s="42"/>
      <c r="W56" s="43"/>
      <c r="X56" s="43"/>
      <c r="Y56" s="44" t="s">
        <v>149</v>
      </c>
      <c r="Z56" s="52">
        <v>1000</v>
      </c>
      <c r="AA56" s="25"/>
      <c r="AB56" s="25"/>
    </row>
    <row r="57" spans="2:28">
      <c r="B57" s="39">
        <v>0.4375</v>
      </c>
      <c r="C57" s="39" t="s">
        <v>476</v>
      </c>
      <c r="D57" s="40">
        <v>1</v>
      </c>
      <c r="E57" s="41">
        <v>2</v>
      </c>
      <c r="F57" s="41" t="s">
        <v>161</v>
      </c>
      <c r="G57" s="42" t="s">
        <v>148</v>
      </c>
      <c r="H57" s="41" t="s">
        <v>147</v>
      </c>
      <c r="I57" s="42">
        <v>1</v>
      </c>
      <c r="J57" s="42">
        <v>1</v>
      </c>
      <c r="K57" s="25" t="str">
        <f>VLOOKUP(J57,Key!$E$2:$F$9,2,FALSE)</f>
        <v>Home</v>
      </c>
      <c r="L57" s="41" t="s">
        <v>207</v>
      </c>
      <c r="M57" s="42" t="s">
        <v>146</v>
      </c>
      <c r="N57" s="41" t="s">
        <v>147</v>
      </c>
      <c r="O57" s="42">
        <v>9</v>
      </c>
      <c r="P57" s="42">
        <v>5</v>
      </c>
      <c r="Q57" s="25" t="str">
        <f>VLOOKUP(P57,Key!$E$2:$F$9,2,FALSE)</f>
        <v>Tourism</v>
      </c>
      <c r="R57" s="25" t="str">
        <f t="shared" si="1"/>
        <v>Home-Tourism</v>
      </c>
      <c r="S57" s="43"/>
      <c r="T57" s="43"/>
      <c r="U57" s="42">
        <v>2</v>
      </c>
      <c r="V57" s="42"/>
      <c r="W57" s="43"/>
      <c r="X57" s="43"/>
      <c r="Y57" s="44" t="s">
        <v>149</v>
      </c>
      <c r="Z57" s="52"/>
      <c r="AA57" s="25"/>
      <c r="AB57" s="25"/>
    </row>
    <row r="58" spans="2:28">
      <c r="B58" s="39">
        <v>0.35416666666666669</v>
      </c>
      <c r="C58" s="39" t="s">
        <v>477</v>
      </c>
      <c r="D58" s="40">
        <v>1</v>
      </c>
      <c r="E58" s="41">
        <v>1</v>
      </c>
      <c r="F58" s="41" t="s">
        <v>161</v>
      </c>
      <c r="G58" s="42" t="s">
        <v>148</v>
      </c>
      <c r="H58" s="41" t="s">
        <v>147</v>
      </c>
      <c r="I58" s="42">
        <v>1</v>
      </c>
      <c r="J58" s="42">
        <v>1</v>
      </c>
      <c r="K58" s="25" t="str">
        <f>VLOOKUP(J58,Key!$E$2:$F$9,2,FALSE)</f>
        <v>Home</v>
      </c>
      <c r="L58" s="41" t="s">
        <v>158</v>
      </c>
      <c r="M58" s="42" t="s">
        <v>146</v>
      </c>
      <c r="N58" s="41" t="s">
        <v>147</v>
      </c>
      <c r="O58" s="42">
        <v>7</v>
      </c>
      <c r="P58" s="42">
        <v>8</v>
      </c>
      <c r="Q58" s="25" t="str">
        <f>VLOOKUP(P58,Key!$E$2:$F$9,2,FALSE)</f>
        <v>Others</v>
      </c>
      <c r="R58" s="25" t="str">
        <f t="shared" si="1"/>
        <v>Home-Others</v>
      </c>
      <c r="S58" s="43">
        <v>5</v>
      </c>
      <c r="T58" s="43">
        <v>1</v>
      </c>
      <c r="U58" s="42">
        <v>2</v>
      </c>
      <c r="V58" s="42"/>
      <c r="W58" s="43"/>
      <c r="X58" s="43"/>
      <c r="Y58" s="44" t="s">
        <v>149</v>
      </c>
      <c r="Z58" s="52"/>
      <c r="AA58" s="25"/>
      <c r="AB58" s="25"/>
    </row>
    <row r="59" spans="2:28">
      <c r="B59" s="39">
        <v>0.5229166666666667</v>
      </c>
      <c r="C59" s="39" t="s">
        <v>478</v>
      </c>
      <c r="D59" s="40">
        <v>4</v>
      </c>
      <c r="E59" s="41">
        <v>2</v>
      </c>
      <c r="F59" s="41" t="s">
        <v>158</v>
      </c>
      <c r="G59" s="42" t="s">
        <v>146</v>
      </c>
      <c r="H59" s="41" t="s">
        <v>147</v>
      </c>
      <c r="I59" s="42">
        <v>7</v>
      </c>
      <c r="J59" s="42">
        <v>1</v>
      </c>
      <c r="K59" s="25" t="str">
        <f>VLOOKUP(J59,Key!$E$2:$F$9,2,FALSE)</f>
        <v>Home</v>
      </c>
      <c r="L59" s="41" t="s">
        <v>161</v>
      </c>
      <c r="M59" s="42" t="s">
        <v>148</v>
      </c>
      <c r="N59" s="41" t="s">
        <v>147</v>
      </c>
      <c r="O59" s="42">
        <v>1</v>
      </c>
      <c r="P59" s="42">
        <v>6</v>
      </c>
      <c r="Q59" s="25" t="str">
        <f>VLOOKUP(P59,Key!$E$2:$F$9,2,FALSE)</f>
        <v>Leisure/Social</v>
      </c>
      <c r="R59" s="25" t="str">
        <f t="shared" si="1"/>
        <v>Home-Leisure/Social</v>
      </c>
      <c r="S59" s="43">
        <v>4</v>
      </c>
      <c r="T59" s="43">
        <v>1</v>
      </c>
      <c r="U59" s="42">
        <v>4</v>
      </c>
      <c r="V59" s="42"/>
      <c r="W59" s="43"/>
      <c r="X59" s="43"/>
      <c r="Y59" s="44" t="s">
        <v>149</v>
      </c>
      <c r="Z59" s="52">
        <v>500</v>
      </c>
      <c r="AA59" s="25"/>
      <c r="AB59" s="25"/>
    </row>
    <row r="60" spans="2:28">
      <c r="B60" s="39">
        <v>0.36458333333333331</v>
      </c>
      <c r="C60" s="39" t="s">
        <v>199</v>
      </c>
      <c r="D60" s="40">
        <v>11</v>
      </c>
      <c r="E60" s="41">
        <v>1</v>
      </c>
      <c r="F60" s="41" t="s">
        <v>200</v>
      </c>
      <c r="G60" s="42" t="s">
        <v>146</v>
      </c>
      <c r="H60" s="41" t="s">
        <v>147</v>
      </c>
      <c r="I60" s="42">
        <v>8</v>
      </c>
      <c r="J60" s="42">
        <v>2</v>
      </c>
      <c r="K60" s="25" t="str">
        <f>VLOOKUP(J60,Key!$E$2:$F$9,2,FALSE)</f>
        <v>Work</v>
      </c>
      <c r="L60" s="41" t="s">
        <v>161</v>
      </c>
      <c r="M60" s="42" t="s">
        <v>148</v>
      </c>
      <c r="N60" s="41" t="s">
        <v>147</v>
      </c>
      <c r="O60" s="42">
        <v>8</v>
      </c>
      <c r="P60" s="42">
        <v>2</v>
      </c>
      <c r="Q60" s="25" t="str">
        <f>VLOOKUP(P60,Key!$E$2:$F$9,2,FALSE)</f>
        <v>Work</v>
      </c>
      <c r="R60" s="25" t="str">
        <f t="shared" si="1"/>
        <v>Work-Work</v>
      </c>
      <c r="S60" s="43"/>
      <c r="T60" s="43"/>
      <c r="U60" s="42">
        <v>2</v>
      </c>
      <c r="V60" s="42"/>
      <c r="W60" s="43"/>
      <c r="X60" s="43"/>
      <c r="Y60" s="44" t="s">
        <v>149</v>
      </c>
      <c r="Z60" s="52">
        <v>2000</v>
      </c>
      <c r="AA60" s="25"/>
      <c r="AB60" s="25"/>
    </row>
    <row r="61" spans="2:28">
      <c r="B61" s="39">
        <v>0.36805555555555558</v>
      </c>
      <c r="C61" s="39" t="s">
        <v>479</v>
      </c>
      <c r="D61" s="40">
        <v>1</v>
      </c>
      <c r="E61" s="41">
        <v>2</v>
      </c>
      <c r="F61" s="41" t="s">
        <v>292</v>
      </c>
      <c r="G61" s="42" t="s">
        <v>148</v>
      </c>
      <c r="H61" s="41" t="s">
        <v>147</v>
      </c>
      <c r="I61" s="42">
        <v>1</v>
      </c>
      <c r="J61" s="42">
        <v>2</v>
      </c>
      <c r="K61" s="25" t="str">
        <f>VLOOKUP(J61,Key!$E$2:$F$9,2,FALSE)</f>
        <v>Work</v>
      </c>
      <c r="L61" s="41" t="s">
        <v>158</v>
      </c>
      <c r="M61" s="42" t="s">
        <v>148</v>
      </c>
      <c r="N61" s="41" t="s">
        <v>147</v>
      </c>
      <c r="O61" s="42">
        <v>1</v>
      </c>
      <c r="P61" s="42">
        <v>1</v>
      </c>
      <c r="Q61" s="25" t="str">
        <f>VLOOKUP(P61,Key!$E$2:$F$9,2,FALSE)</f>
        <v>Home</v>
      </c>
      <c r="R61" s="25" t="str">
        <f t="shared" si="1"/>
        <v>Work-Home</v>
      </c>
      <c r="S61" s="43"/>
      <c r="T61" s="43"/>
      <c r="U61" s="42">
        <v>2</v>
      </c>
      <c r="V61" s="42"/>
      <c r="W61" s="43"/>
      <c r="X61" s="43"/>
      <c r="Y61" s="44" t="s">
        <v>149</v>
      </c>
      <c r="Z61" s="52">
        <v>500</v>
      </c>
      <c r="AA61" s="25"/>
      <c r="AB61" s="25"/>
    </row>
    <row r="62" spans="2:28">
      <c r="B62" s="39">
        <v>0.375</v>
      </c>
      <c r="C62" s="39" t="s">
        <v>480</v>
      </c>
      <c r="D62" s="40">
        <v>1</v>
      </c>
      <c r="E62" s="41">
        <v>1</v>
      </c>
      <c r="F62" s="41" t="s">
        <v>152</v>
      </c>
      <c r="G62" s="42" t="s">
        <v>148</v>
      </c>
      <c r="H62" s="41" t="s">
        <v>147</v>
      </c>
      <c r="I62" s="42"/>
      <c r="J62" s="42">
        <v>8</v>
      </c>
      <c r="K62" s="25" t="str">
        <f>VLOOKUP(J62,Key!$E$2:$F$9,2,FALSE)</f>
        <v>Others</v>
      </c>
      <c r="L62" s="41" t="s">
        <v>292</v>
      </c>
      <c r="M62" s="42" t="s">
        <v>148</v>
      </c>
      <c r="N62" s="41" t="s">
        <v>147</v>
      </c>
      <c r="O62" s="42">
        <v>8</v>
      </c>
      <c r="P62" s="42">
        <v>2</v>
      </c>
      <c r="Q62" s="25" t="str">
        <f>VLOOKUP(P62,Key!$E$2:$F$9,2,FALSE)</f>
        <v>Work</v>
      </c>
      <c r="R62" s="25" t="str">
        <f t="shared" si="1"/>
        <v>Others-Work</v>
      </c>
      <c r="S62" s="43"/>
      <c r="T62" s="43"/>
      <c r="U62" s="42">
        <v>2</v>
      </c>
      <c r="V62" s="42"/>
      <c r="W62" s="43"/>
      <c r="X62" s="43"/>
      <c r="Y62" s="44" t="s">
        <v>149</v>
      </c>
      <c r="Z62" s="52">
        <v>3000</v>
      </c>
      <c r="AA62" s="25"/>
      <c r="AB62" s="25"/>
    </row>
    <row r="63" spans="2:28">
      <c r="B63" s="39">
        <v>0.33333333333333331</v>
      </c>
      <c r="C63" s="39" t="s">
        <v>481</v>
      </c>
      <c r="D63" s="40">
        <v>1</v>
      </c>
      <c r="E63" s="41">
        <v>2</v>
      </c>
      <c r="F63" s="41" t="s">
        <v>183</v>
      </c>
      <c r="G63" s="42" t="s">
        <v>148</v>
      </c>
      <c r="H63" s="41" t="s">
        <v>147</v>
      </c>
      <c r="I63" s="42">
        <v>1</v>
      </c>
      <c r="J63" s="42">
        <v>1</v>
      </c>
      <c r="K63" s="25" t="str">
        <f>VLOOKUP(J63,Key!$E$2:$F$9,2,FALSE)</f>
        <v>Home</v>
      </c>
      <c r="L63" s="41" t="s">
        <v>158</v>
      </c>
      <c r="M63" s="42" t="s">
        <v>146</v>
      </c>
      <c r="N63" s="41" t="s">
        <v>147</v>
      </c>
      <c r="O63" s="42">
        <v>1</v>
      </c>
      <c r="P63" s="42">
        <v>6</v>
      </c>
      <c r="Q63" s="25" t="str">
        <f>VLOOKUP(P63,Key!$E$2:$F$9,2,FALSE)</f>
        <v>Leisure/Social</v>
      </c>
      <c r="R63" s="25" t="str">
        <f t="shared" si="1"/>
        <v>Home-Leisure/Social</v>
      </c>
      <c r="S63" s="43"/>
      <c r="T63" s="43"/>
      <c r="U63" s="42">
        <v>2</v>
      </c>
      <c r="V63" s="42"/>
      <c r="W63" s="43"/>
      <c r="X63" s="43"/>
      <c r="Y63" s="44" t="s">
        <v>149</v>
      </c>
      <c r="Z63" s="52"/>
      <c r="AA63" s="25"/>
      <c r="AB63" s="25"/>
    </row>
    <row r="64" spans="2:28">
      <c r="B64" s="39">
        <v>0.375</v>
      </c>
      <c r="C64" s="39" t="s">
        <v>482</v>
      </c>
      <c r="D64" s="40">
        <v>1</v>
      </c>
      <c r="E64" s="41">
        <v>2</v>
      </c>
      <c r="F64" s="41" t="s">
        <v>152</v>
      </c>
      <c r="G64" s="42" t="s">
        <v>148</v>
      </c>
      <c r="H64" s="41" t="s">
        <v>147</v>
      </c>
      <c r="I64" s="42">
        <v>1</v>
      </c>
      <c r="J64" s="42">
        <v>1</v>
      </c>
      <c r="K64" s="25" t="str">
        <f>VLOOKUP(J64,Key!$E$2:$F$9,2,FALSE)</f>
        <v>Home</v>
      </c>
      <c r="L64" s="41" t="s">
        <v>202</v>
      </c>
      <c r="M64" s="42" t="s">
        <v>148</v>
      </c>
      <c r="N64" s="41" t="s">
        <v>147</v>
      </c>
      <c r="O64" s="42">
        <v>16</v>
      </c>
      <c r="P64" s="42">
        <v>6</v>
      </c>
      <c r="Q64" s="25" t="str">
        <f>VLOOKUP(P64,Key!$E$2:$F$9,2,FALSE)</f>
        <v>Leisure/Social</v>
      </c>
      <c r="R64" s="25" t="str">
        <f t="shared" si="1"/>
        <v>Home-Leisure/Social</v>
      </c>
      <c r="S64" s="43"/>
      <c r="T64" s="43"/>
      <c r="U64" s="42">
        <v>5</v>
      </c>
      <c r="V64" s="42"/>
      <c r="W64" s="43"/>
      <c r="X64" s="43"/>
      <c r="Y64" s="44" t="s">
        <v>149</v>
      </c>
      <c r="Z64" s="52">
        <v>1000</v>
      </c>
      <c r="AA64" s="25"/>
      <c r="AB64" s="25"/>
    </row>
    <row r="65" spans="2:28">
      <c r="B65" s="39">
        <v>0.53472222222222221</v>
      </c>
      <c r="C65" s="39" t="s">
        <v>483</v>
      </c>
      <c r="D65" s="40">
        <v>11</v>
      </c>
      <c r="E65" s="41">
        <v>1</v>
      </c>
      <c r="F65" s="41" t="s">
        <v>152</v>
      </c>
      <c r="G65" s="42" t="s">
        <v>148</v>
      </c>
      <c r="H65" s="41" t="s">
        <v>147</v>
      </c>
      <c r="I65" s="42">
        <v>8</v>
      </c>
      <c r="J65" s="42">
        <v>1</v>
      </c>
      <c r="K65" s="25" t="str">
        <f>VLOOKUP(J65,Key!$E$2:$F$9,2,FALSE)</f>
        <v>Home</v>
      </c>
      <c r="L65" s="41" t="s">
        <v>161</v>
      </c>
      <c r="M65" s="42" t="s">
        <v>148</v>
      </c>
      <c r="N65" s="41" t="s">
        <v>147</v>
      </c>
      <c r="O65" s="42">
        <v>8</v>
      </c>
      <c r="P65" s="42">
        <v>1</v>
      </c>
      <c r="Q65" s="25" t="str">
        <f>VLOOKUP(P65,Key!$E$2:$F$9,2,FALSE)</f>
        <v>Home</v>
      </c>
      <c r="R65" s="25" t="str">
        <f t="shared" si="1"/>
        <v>Home-Home</v>
      </c>
      <c r="S65" s="43"/>
      <c r="T65" s="43"/>
      <c r="U65" s="42">
        <v>2</v>
      </c>
      <c r="V65" s="42"/>
      <c r="W65" s="43"/>
      <c r="X65" s="43"/>
      <c r="Y65" s="44" t="s">
        <v>149</v>
      </c>
      <c r="Z65" s="52">
        <v>500</v>
      </c>
      <c r="AA65" s="25"/>
      <c r="AB65" s="25"/>
    </row>
    <row r="66" spans="2:28">
      <c r="B66" s="39">
        <v>0.39930555555555558</v>
      </c>
      <c r="C66" s="39" t="s">
        <v>484</v>
      </c>
      <c r="D66" s="40">
        <v>1</v>
      </c>
      <c r="E66" s="41">
        <v>2</v>
      </c>
      <c r="F66" s="41" t="s">
        <v>152</v>
      </c>
      <c r="G66" s="42" t="s">
        <v>148</v>
      </c>
      <c r="H66" s="41" t="s">
        <v>147</v>
      </c>
      <c r="I66" s="42">
        <v>1</v>
      </c>
      <c r="J66" s="42">
        <v>1</v>
      </c>
      <c r="K66" s="25" t="str">
        <f>VLOOKUP(J66,Key!$E$2:$F$9,2,FALSE)</f>
        <v>Home</v>
      </c>
      <c r="L66" s="41" t="s">
        <v>202</v>
      </c>
      <c r="M66" s="42" t="s">
        <v>148</v>
      </c>
      <c r="N66" s="41" t="s">
        <v>147</v>
      </c>
      <c r="O66" s="42">
        <v>11</v>
      </c>
      <c r="P66" s="42">
        <v>4</v>
      </c>
      <c r="Q66" s="25" t="str">
        <f>VLOOKUP(P66,Key!$E$2:$F$9,2,FALSE)</f>
        <v>Commercial</v>
      </c>
      <c r="R66" s="25" t="str">
        <f t="shared" si="1"/>
        <v>Home-Commercial</v>
      </c>
      <c r="S66" s="43"/>
      <c r="T66" s="43"/>
      <c r="U66" s="42">
        <v>2</v>
      </c>
      <c r="V66" s="42"/>
      <c r="W66" s="43"/>
      <c r="X66" s="43"/>
      <c r="Y66" s="44" t="s">
        <v>149</v>
      </c>
      <c r="Z66" s="52">
        <v>2000</v>
      </c>
      <c r="AA66" s="25"/>
      <c r="AB66" s="25"/>
    </row>
    <row r="67" spans="2:28">
      <c r="B67" s="39">
        <v>0.40347222222222223</v>
      </c>
      <c r="C67" s="39" t="s">
        <v>485</v>
      </c>
      <c r="D67" s="40">
        <v>1</v>
      </c>
      <c r="E67" s="41">
        <v>1</v>
      </c>
      <c r="F67" s="41" t="s">
        <v>152</v>
      </c>
      <c r="G67" s="42" t="s">
        <v>148</v>
      </c>
      <c r="H67" s="41" t="s">
        <v>147</v>
      </c>
      <c r="I67" s="42">
        <v>1</v>
      </c>
      <c r="J67" s="42">
        <v>1</v>
      </c>
      <c r="K67" s="25" t="str">
        <f>VLOOKUP(J67,Key!$E$2:$F$9,2,FALSE)</f>
        <v>Home</v>
      </c>
      <c r="L67" s="41" t="s">
        <v>202</v>
      </c>
      <c r="M67" s="42" t="s">
        <v>148</v>
      </c>
      <c r="N67" s="41" t="s">
        <v>147</v>
      </c>
      <c r="O67" s="42">
        <v>10</v>
      </c>
      <c r="P67" s="42">
        <v>2</v>
      </c>
      <c r="Q67" s="25" t="str">
        <f>VLOOKUP(P67,Key!$E$2:$F$9,2,FALSE)</f>
        <v>Work</v>
      </c>
      <c r="R67" s="25" t="str">
        <f t="shared" si="1"/>
        <v>Home-Work</v>
      </c>
      <c r="S67" s="43"/>
      <c r="T67" s="43"/>
      <c r="U67" s="42">
        <v>2</v>
      </c>
      <c r="V67" s="42"/>
      <c r="W67" s="43"/>
      <c r="X67" s="43"/>
      <c r="Y67" s="44" t="s">
        <v>149</v>
      </c>
      <c r="Z67" s="52"/>
      <c r="AA67" s="25"/>
      <c r="AB67" s="25"/>
    </row>
    <row r="68" spans="2:28">
      <c r="B68" s="39">
        <v>0.39305555555555555</v>
      </c>
      <c r="C68" s="39" t="s">
        <v>486</v>
      </c>
      <c r="D68" s="40">
        <v>1</v>
      </c>
      <c r="E68" s="41">
        <v>1</v>
      </c>
      <c r="F68" s="41" t="s">
        <v>292</v>
      </c>
      <c r="G68" s="42" t="s">
        <v>148</v>
      </c>
      <c r="H68" s="41" t="s">
        <v>147</v>
      </c>
      <c r="I68" s="42">
        <v>1</v>
      </c>
      <c r="J68" s="42">
        <v>1</v>
      </c>
      <c r="K68" s="25" t="str">
        <f>VLOOKUP(J68,Key!$E$2:$F$9,2,FALSE)</f>
        <v>Home</v>
      </c>
      <c r="L68" s="41" t="s">
        <v>461</v>
      </c>
      <c r="M68" s="42" t="s">
        <v>148</v>
      </c>
      <c r="N68" s="41" t="s">
        <v>147</v>
      </c>
      <c r="O68" s="42">
        <v>1</v>
      </c>
      <c r="P68" s="42">
        <v>6</v>
      </c>
      <c r="Q68" s="25" t="str">
        <f>VLOOKUP(P68,Key!$E$2:$F$9,2,FALSE)</f>
        <v>Leisure/Social</v>
      </c>
      <c r="R68" s="25" t="str">
        <f t="shared" si="1"/>
        <v>Home-Leisure/Social</v>
      </c>
      <c r="S68" s="43">
        <v>2</v>
      </c>
      <c r="T68" s="43">
        <v>0.3</v>
      </c>
      <c r="U68" s="42">
        <v>2</v>
      </c>
      <c r="V68" s="42"/>
      <c r="W68" s="43"/>
      <c r="X68" s="43"/>
      <c r="Y68" s="44" t="s">
        <v>149</v>
      </c>
      <c r="Z68" s="52">
        <v>1000</v>
      </c>
      <c r="AA68" s="25"/>
      <c r="AB68" s="25"/>
    </row>
    <row r="69" spans="2:28">
      <c r="B69" s="39">
        <v>0.4236111111111111</v>
      </c>
      <c r="C69" s="39" t="s">
        <v>487</v>
      </c>
      <c r="D69" s="40">
        <v>1</v>
      </c>
      <c r="E69" s="41">
        <v>3</v>
      </c>
      <c r="F69" s="41" t="s">
        <v>488</v>
      </c>
      <c r="G69" s="42" t="s">
        <v>148</v>
      </c>
      <c r="H69" s="41" t="s">
        <v>147</v>
      </c>
      <c r="I69" s="42">
        <v>1</v>
      </c>
      <c r="J69" s="42">
        <v>1</v>
      </c>
      <c r="K69" s="25" t="str">
        <f>VLOOKUP(J69,Key!$E$2:$F$9,2,FALSE)</f>
        <v>Home</v>
      </c>
      <c r="L69" s="41" t="s">
        <v>158</v>
      </c>
      <c r="M69" s="42" t="s">
        <v>146</v>
      </c>
      <c r="N69" s="41" t="s">
        <v>147</v>
      </c>
      <c r="O69" s="42">
        <v>5</v>
      </c>
      <c r="P69" s="42">
        <v>7</v>
      </c>
      <c r="Q69" s="25" t="str">
        <f>VLOOKUP(P69,Key!$E$2:$F$9,2,FALSE)</f>
        <v>Hospital</v>
      </c>
      <c r="R69" s="25" t="str">
        <f t="shared" si="1"/>
        <v>Home-Hospital</v>
      </c>
      <c r="S69" s="43"/>
      <c r="T69" s="43"/>
      <c r="U69" s="42">
        <v>2</v>
      </c>
      <c r="V69" s="42"/>
      <c r="W69" s="43"/>
      <c r="X69" s="43"/>
      <c r="Y69" s="44" t="s">
        <v>149</v>
      </c>
      <c r="Z69" s="52">
        <v>2000</v>
      </c>
      <c r="AA69" s="25"/>
      <c r="AB69" s="25"/>
    </row>
    <row r="70" spans="2:28">
      <c r="B70" s="39">
        <v>0.41666666666666669</v>
      </c>
      <c r="C70" s="39" t="s">
        <v>489</v>
      </c>
      <c r="D70" s="40">
        <v>1</v>
      </c>
      <c r="E70" s="41">
        <v>2</v>
      </c>
      <c r="F70" s="41" t="s">
        <v>158</v>
      </c>
      <c r="G70" s="42" t="s">
        <v>146</v>
      </c>
      <c r="H70" s="41" t="s">
        <v>147</v>
      </c>
      <c r="I70" s="42">
        <v>7</v>
      </c>
      <c r="J70" s="42">
        <v>4</v>
      </c>
      <c r="K70" s="25" t="str">
        <f>VLOOKUP(J70,Key!$E$2:$F$9,2,FALSE)</f>
        <v>Commercial</v>
      </c>
      <c r="L70" s="41" t="s">
        <v>292</v>
      </c>
      <c r="M70" s="42" t="s">
        <v>148</v>
      </c>
      <c r="N70" s="41" t="s">
        <v>147</v>
      </c>
      <c r="O70" s="42">
        <v>1</v>
      </c>
      <c r="P70" s="42">
        <v>1</v>
      </c>
      <c r="Q70" s="25" t="str">
        <f>VLOOKUP(P70,Key!$E$2:$F$9,2,FALSE)</f>
        <v>Home</v>
      </c>
      <c r="R70" s="25" t="str">
        <f t="shared" si="1"/>
        <v>Commercial-Home</v>
      </c>
      <c r="S70" s="43"/>
      <c r="T70" s="43"/>
      <c r="U70" s="42">
        <v>2</v>
      </c>
      <c r="V70" s="42"/>
      <c r="W70" s="43"/>
      <c r="X70" s="43"/>
      <c r="Y70" s="44" t="s">
        <v>149</v>
      </c>
      <c r="Z70" s="52">
        <v>1000</v>
      </c>
      <c r="AA70" s="25"/>
      <c r="AB70" s="25"/>
    </row>
    <row r="71" spans="2:28">
      <c r="B71" s="39">
        <v>0.44791666666666669</v>
      </c>
      <c r="C71" s="39" t="s">
        <v>490</v>
      </c>
      <c r="D71" s="40">
        <v>1</v>
      </c>
      <c r="E71" s="41">
        <v>1</v>
      </c>
      <c r="F71" s="41" t="s">
        <v>158</v>
      </c>
      <c r="G71" s="42" t="s">
        <v>146</v>
      </c>
      <c r="H71" s="41" t="s">
        <v>147</v>
      </c>
      <c r="I71" s="42">
        <v>3</v>
      </c>
      <c r="J71" s="42">
        <v>2</v>
      </c>
      <c r="K71" s="25" t="str">
        <f>VLOOKUP(J71,Key!$E$2:$F$9,2,FALSE)</f>
        <v>Work</v>
      </c>
      <c r="L71" s="41" t="s">
        <v>439</v>
      </c>
      <c r="M71" s="42" t="s">
        <v>148</v>
      </c>
      <c r="N71" s="41" t="s">
        <v>147</v>
      </c>
      <c r="O71" s="42">
        <v>7</v>
      </c>
      <c r="P71" s="42">
        <v>4</v>
      </c>
      <c r="Q71" s="25" t="str">
        <f>VLOOKUP(P71,Key!$E$2:$F$9,2,FALSE)</f>
        <v>Commercial</v>
      </c>
      <c r="R71" s="25" t="str">
        <f t="shared" si="1"/>
        <v>Work-Commercial</v>
      </c>
      <c r="S71" s="43">
        <v>4</v>
      </c>
      <c r="T71" s="43">
        <v>1.5</v>
      </c>
      <c r="U71" s="42">
        <v>2</v>
      </c>
      <c r="V71" s="42"/>
      <c r="W71" s="43"/>
      <c r="X71" s="43"/>
      <c r="Y71" s="44" t="s">
        <v>149</v>
      </c>
      <c r="Z71" s="52">
        <v>2000</v>
      </c>
      <c r="AA71" s="25"/>
      <c r="AB71" s="25"/>
    </row>
    <row r="72" spans="2:28">
      <c r="B72" s="39">
        <v>0.42708333333333331</v>
      </c>
      <c r="C72" s="39" t="s">
        <v>491</v>
      </c>
      <c r="D72" s="40">
        <v>1</v>
      </c>
      <c r="E72" s="41">
        <v>2</v>
      </c>
      <c r="F72" s="41" t="s">
        <v>198</v>
      </c>
      <c r="G72" s="42" t="s">
        <v>148</v>
      </c>
      <c r="H72" s="41" t="s">
        <v>147</v>
      </c>
      <c r="I72" s="42">
        <v>1</v>
      </c>
      <c r="J72" s="42">
        <v>1</v>
      </c>
      <c r="K72" s="25" t="str">
        <f>VLOOKUP(J72,Key!$E$2:$F$9,2,FALSE)</f>
        <v>Home</v>
      </c>
      <c r="L72" s="41" t="s">
        <v>161</v>
      </c>
      <c r="M72" s="42" t="s">
        <v>148</v>
      </c>
      <c r="N72" s="41" t="s">
        <v>147</v>
      </c>
      <c r="O72" s="42">
        <v>9</v>
      </c>
      <c r="P72" s="42">
        <v>3</v>
      </c>
      <c r="Q72" s="25" t="str">
        <f>VLOOKUP(P72,Key!$E$2:$F$9,2,FALSE)</f>
        <v>Study</v>
      </c>
      <c r="R72" s="25" t="str">
        <f t="shared" si="1"/>
        <v>Home-Study</v>
      </c>
      <c r="S72" s="43">
        <v>3</v>
      </c>
      <c r="T72" s="43">
        <v>0.5</v>
      </c>
      <c r="U72" s="42">
        <v>2</v>
      </c>
      <c r="V72" s="42"/>
      <c r="W72" s="43"/>
      <c r="X72" s="43"/>
      <c r="Y72" s="44" t="s">
        <v>149</v>
      </c>
      <c r="Z72" s="52">
        <v>200</v>
      </c>
      <c r="AA72" s="25"/>
      <c r="AB72" s="25"/>
    </row>
    <row r="73" spans="2:28">
      <c r="B73" s="39">
        <v>0.45277777777777778</v>
      </c>
      <c r="C73" s="39" t="s">
        <v>441</v>
      </c>
      <c r="D73" s="40">
        <v>1</v>
      </c>
      <c r="E73" s="41">
        <v>2</v>
      </c>
      <c r="F73" s="41" t="s">
        <v>183</v>
      </c>
      <c r="G73" s="42" t="s">
        <v>148</v>
      </c>
      <c r="H73" s="41" t="s">
        <v>147</v>
      </c>
      <c r="I73" s="42">
        <v>1</v>
      </c>
      <c r="J73" s="42">
        <v>1</v>
      </c>
      <c r="K73" s="25" t="str">
        <f>VLOOKUP(J73,Key!$E$2:$F$9,2,FALSE)</f>
        <v>Home</v>
      </c>
      <c r="L73" s="41" t="s">
        <v>158</v>
      </c>
      <c r="M73" s="42" t="s">
        <v>148</v>
      </c>
      <c r="N73" s="41" t="s">
        <v>147</v>
      </c>
      <c r="O73" s="42">
        <v>12</v>
      </c>
      <c r="P73" s="42">
        <v>5</v>
      </c>
      <c r="Q73" s="25" t="str">
        <f>VLOOKUP(P73,Key!$E$2:$F$9,2,FALSE)</f>
        <v>Tourism</v>
      </c>
      <c r="R73" s="25" t="str">
        <f t="shared" si="1"/>
        <v>Home-Tourism</v>
      </c>
      <c r="S73" s="43"/>
      <c r="T73" s="43"/>
      <c r="U73" s="42">
        <v>2</v>
      </c>
      <c r="V73" s="42"/>
      <c r="W73" s="43"/>
      <c r="X73" s="43"/>
      <c r="Y73" s="44" t="s">
        <v>149</v>
      </c>
      <c r="Z73" s="52"/>
      <c r="AA73" s="25"/>
      <c r="AB73" s="25"/>
    </row>
    <row r="74" spans="2:28">
      <c r="B74" s="39">
        <v>0.4513888888888889</v>
      </c>
      <c r="C74" s="39" t="s">
        <v>441</v>
      </c>
      <c r="D74" s="40">
        <v>1</v>
      </c>
      <c r="E74" s="41">
        <v>1</v>
      </c>
      <c r="F74" s="41" t="s">
        <v>158</v>
      </c>
      <c r="G74" s="42" t="s">
        <v>146</v>
      </c>
      <c r="H74" s="41" t="s">
        <v>147</v>
      </c>
      <c r="I74" s="42">
        <v>1</v>
      </c>
      <c r="J74" s="42">
        <v>1</v>
      </c>
      <c r="K74" s="25" t="str">
        <f>VLOOKUP(J74,Key!$E$2:$F$9,2,FALSE)</f>
        <v>Home</v>
      </c>
      <c r="L74" s="41" t="s">
        <v>161</v>
      </c>
      <c r="M74" s="42" t="s">
        <v>148</v>
      </c>
      <c r="N74" s="41" t="s">
        <v>147</v>
      </c>
      <c r="O74" s="42">
        <v>12</v>
      </c>
      <c r="P74" s="42">
        <v>5</v>
      </c>
      <c r="Q74" s="25" t="str">
        <f>VLOOKUP(P74,Key!$E$2:$F$9,2,FALSE)</f>
        <v>Tourism</v>
      </c>
      <c r="R74" s="25" t="str">
        <f t="shared" si="1"/>
        <v>Home-Tourism</v>
      </c>
      <c r="S74" s="43"/>
      <c r="T74" s="43"/>
      <c r="U74" s="42">
        <v>2</v>
      </c>
      <c r="V74" s="42"/>
      <c r="W74" s="43"/>
      <c r="X74" s="43"/>
      <c r="Y74" s="44" t="s">
        <v>149</v>
      </c>
      <c r="Z74" s="52"/>
      <c r="AA74" s="25"/>
      <c r="AB74" s="25"/>
    </row>
    <row r="75" spans="2:28">
      <c r="B75" s="39">
        <v>0.44097222222222227</v>
      </c>
      <c r="C75" s="39" t="s">
        <v>492</v>
      </c>
      <c r="D75" s="40">
        <v>1</v>
      </c>
      <c r="E75" s="41">
        <v>2</v>
      </c>
      <c r="F75" s="41" t="s">
        <v>158</v>
      </c>
      <c r="G75" s="42" t="s">
        <v>148</v>
      </c>
      <c r="H75" s="41" t="s">
        <v>147</v>
      </c>
      <c r="I75" s="42">
        <v>1</v>
      </c>
      <c r="J75" s="42">
        <v>1</v>
      </c>
      <c r="K75" s="25" t="str">
        <f>VLOOKUP(J75,Key!$E$2:$F$9,2,FALSE)</f>
        <v>Home</v>
      </c>
      <c r="L75" s="41" t="s">
        <v>461</v>
      </c>
      <c r="M75" s="42" t="s">
        <v>148</v>
      </c>
      <c r="N75" s="41" t="s">
        <v>147</v>
      </c>
      <c r="O75" s="42">
        <v>12</v>
      </c>
      <c r="P75" s="42">
        <v>6</v>
      </c>
      <c r="Q75" s="25" t="str">
        <f>VLOOKUP(P75,Key!$E$2:$F$9,2,FALSE)</f>
        <v>Leisure/Social</v>
      </c>
      <c r="R75" s="25" t="str">
        <f t="shared" si="1"/>
        <v>Home-Leisure/Social</v>
      </c>
      <c r="S75" s="43"/>
      <c r="T75" s="43"/>
      <c r="U75" s="42">
        <v>4</v>
      </c>
      <c r="V75" s="42"/>
      <c r="W75" s="43"/>
      <c r="X75" s="43"/>
      <c r="Y75" s="44" t="s">
        <v>149</v>
      </c>
      <c r="Z75" s="52">
        <v>300</v>
      </c>
      <c r="AA75" s="25"/>
      <c r="AB75" s="25"/>
    </row>
    <row r="76" spans="2:28">
      <c r="B76" s="39">
        <v>0.4548611111111111</v>
      </c>
      <c r="C76" s="39" t="s">
        <v>467</v>
      </c>
      <c r="D76" s="40">
        <v>1</v>
      </c>
      <c r="E76" s="41">
        <v>3</v>
      </c>
      <c r="F76" s="41" t="s">
        <v>439</v>
      </c>
      <c r="G76" s="42" t="s">
        <v>148</v>
      </c>
      <c r="H76" s="41" t="s">
        <v>147</v>
      </c>
      <c r="I76" s="42">
        <v>1</v>
      </c>
      <c r="J76" s="42">
        <v>1</v>
      </c>
      <c r="K76" s="25" t="str">
        <f>VLOOKUP(J76,Key!$E$2:$F$9,2,FALSE)</f>
        <v>Home</v>
      </c>
      <c r="L76" s="41" t="s">
        <v>158</v>
      </c>
      <c r="M76" s="42" t="s">
        <v>146</v>
      </c>
      <c r="N76" s="41" t="s">
        <v>147</v>
      </c>
      <c r="O76" s="42">
        <v>11</v>
      </c>
      <c r="P76" s="42">
        <v>4</v>
      </c>
      <c r="Q76" s="25" t="str">
        <f>VLOOKUP(P76,Key!$E$2:$F$9,2,FALSE)</f>
        <v>Commercial</v>
      </c>
      <c r="R76" s="25" t="str">
        <f t="shared" si="1"/>
        <v>Home-Commercial</v>
      </c>
      <c r="S76" s="43"/>
      <c r="T76" s="43"/>
      <c r="U76" s="42">
        <v>1</v>
      </c>
      <c r="V76" s="42"/>
      <c r="W76" s="43"/>
      <c r="X76" s="43"/>
      <c r="Y76" s="44" t="s">
        <v>149</v>
      </c>
      <c r="Z76" s="52">
        <v>1000</v>
      </c>
      <c r="AA76" s="25"/>
      <c r="AB76" s="25"/>
    </row>
    <row r="77" spans="2:28">
      <c r="B77" s="39">
        <v>0.27083333333333331</v>
      </c>
      <c r="C77" s="39" t="s">
        <v>180</v>
      </c>
      <c r="D77" s="40">
        <v>2</v>
      </c>
      <c r="E77" s="40">
        <v>1</v>
      </c>
      <c r="F77" s="41" t="s">
        <v>158</v>
      </c>
      <c r="G77" s="41" t="s">
        <v>146</v>
      </c>
      <c r="H77" s="41" t="s">
        <v>147</v>
      </c>
      <c r="I77" s="56">
        <v>2</v>
      </c>
      <c r="J77" s="56">
        <v>2</v>
      </c>
      <c r="K77" s="25" t="str">
        <f>VLOOKUP(J77,Key!$E$2:$F$9,2,FALSE)</f>
        <v>Work</v>
      </c>
      <c r="L77" s="41" t="s">
        <v>181</v>
      </c>
      <c r="M77" s="42" t="s">
        <v>146</v>
      </c>
      <c r="N77" s="44" t="s">
        <v>147</v>
      </c>
      <c r="O77" s="42">
        <v>1</v>
      </c>
      <c r="P77" s="42">
        <v>1</v>
      </c>
      <c r="Q77" s="25" t="str">
        <f>VLOOKUP(P77,Key!$E$2:$F$9,2,FALSE)</f>
        <v>Home</v>
      </c>
      <c r="R77" s="25" t="str">
        <f>K77&amp;"-"&amp;Q77</f>
        <v>Work-Home</v>
      </c>
      <c r="S77" s="43">
        <v>2</v>
      </c>
      <c r="T77" s="43">
        <v>2</v>
      </c>
      <c r="U77" s="51">
        <v>2</v>
      </c>
      <c r="V77" s="51"/>
      <c r="W77" s="43"/>
      <c r="X77" s="43"/>
      <c r="Y77" s="44" t="s">
        <v>149</v>
      </c>
      <c r="Z77" s="52"/>
      <c r="AA77" s="25"/>
      <c r="AB77" s="25"/>
    </row>
    <row r="78" spans="2:28">
      <c r="B78" s="39">
        <v>0.27777777777777779</v>
      </c>
      <c r="C78" s="39" t="s">
        <v>182</v>
      </c>
      <c r="D78" s="40">
        <v>1</v>
      </c>
      <c r="E78" s="40">
        <v>2</v>
      </c>
      <c r="F78" s="41" t="s">
        <v>158</v>
      </c>
      <c r="G78" s="41" t="s">
        <v>146</v>
      </c>
      <c r="H78" s="41" t="s">
        <v>147</v>
      </c>
      <c r="I78" s="56">
        <v>2</v>
      </c>
      <c r="J78" s="56">
        <v>2</v>
      </c>
      <c r="K78" s="25" t="str">
        <f>VLOOKUP(J78,Key!$E$2:$F$9,2,FALSE)</f>
        <v>Work</v>
      </c>
      <c r="L78" s="41" t="s">
        <v>183</v>
      </c>
      <c r="M78" s="42" t="s">
        <v>146</v>
      </c>
      <c r="N78" s="44" t="s">
        <v>147</v>
      </c>
      <c r="O78" s="42">
        <v>1</v>
      </c>
      <c r="P78" s="42">
        <v>1</v>
      </c>
      <c r="Q78" s="25" t="str">
        <f>VLOOKUP(P78,Key!$E$2:$F$9,2,FALSE)</f>
        <v>Home</v>
      </c>
      <c r="R78" s="25" t="str">
        <f>K78&amp;"-"&amp;Q78</f>
        <v>Work-Home</v>
      </c>
      <c r="S78" s="43">
        <v>4</v>
      </c>
      <c r="T78" s="43">
        <v>2</v>
      </c>
      <c r="U78" s="51">
        <v>2</v>
      </c>
      <c r="V78" s="51"/>
      <c r="W78" s="43"/>
      <c r="X78" s="43"/>
      <c r="Y78" s="44" t="s">
        <v>149</v>
      </c>
      <c r="Z78" s="52">
        <v>1000</v>
      </c>
      <c r="AA78" s="25"/>
      <c r="AB78" s="25"/>
    </row>
    <row r="79" spans="2:28">
      <c r="B79" s="39">
        <v>0.16666666666666666</v>
      </c>
      <c r="C79" s="39" t="s">
        <v>184</v>
      </c>
      <c r="D79" s="40">
        <v>1</v>
      </c>
      <c r="E79" s="40">
        <v>2</v>
      </c>
      <c r="F79" s="41" t="s">
        <v>158</v>
      </c>
      <c r="G79" s="41" t="s">
        <v>146</v>
      </c>
      <c r="H79" s="41" t="s">
        <v>147</v>
      </c>
      <c r="I79" s="56">
        <v>1</v>
      </c>
      <c r="J79" s="56">
        <v>1</v>
      </c>
      <c r="K79" s="25" t="str">
        <f>VLOOKUP(J79,Key!$E$2:$F$9,2,FALSE)</f>
        <v>Home</v>
      </c>
      <c r="L79" s="41"/>
      <c r="M79" s="42"/>
      <c r="N79" s="44" t="s">
        <v>147</v>
      </c>
      <c r="O79" s="42">
        <v>2</v>
      </c>
      <c r="P79" s="42">
        <v>2</v>
      </c>
      <c r="Q79" s="25" t="str">
        <f>VLOOKUP(P79,Key!$E$2:$F$9,2,FALSE)</f>
        <v>Work</v>
      </c>
      <c r="R79" s="25" t="str">
        <f>K79&amp;"-"&amp;Q79</f>
        <v>Home-Work</v>
      </c>
      <c r="S79" s="43">
        <v>1</v>
      </c>
      <c r="T79" s="43">
        <v>0.4</v>
      </c>
      <c r="U79" s="51">
        <v>2</v>
      </c>
      <c r="V79" s="51"/>
      <c r="W79" s="43"/>
      <c r="X79" s="43"/>
      <c r="Y79" s="44" t="s">
        <v>149</v>
      </c>
      <c r="Z79" s="52">
        <v>500</v>
      </c>
      <c r="AA79" s="25"/>
      <c r="AB79" s="25"/>
    </row>
    <row r="80" spans="2:28">
      <c r="B80" s="39">
        <v>0.25</v>
      </c>
      <c r="C80" s="39" t="s">
        <v>185</v>
      </c>
      <c r="D80" s="40">
        <v>1</v>
      </c>
      <c r="E80" s="40">
        <v>2</v>
      </c>
      <c r="F80" s="41" t="s">
        <v>158</v>
      </c>
      <c r="G80" s="41" t="s">
        <v>146</v>
      </c>
      <c r="H80" s="41" t="s">
        <v>147</v>
      </c>
      <c r="I80" s="56">
        <v>2</v>
      </c>
      <c r="J80" s="56">
        <v>2</v>
      </c>
      <c r="K80" s="25" t="str">
        <f>VLOOKUP(J80,Key!$E$2:$F$9,2,FALSE)</f>
        <v>Work</v>
      </c>
      <c r="L80" s="41" t="s">
        <v>186</v>
      </c>
      <c r="M80" s="42" t="s">
        <v>146</v>
      </c>
      <c r="N80" s="44" t="s">
        <v>147</v>
      </c>
      <c r="O80" s="42">
        <v>1</v>
      </c>
      <c r="P80" s="42">
        <v>1</v>
      </c>
      <c r="Q80" s="25" t="str">
        <f>VLOOKUP(P80,Key!$E$2:$F$9,2,FALSE)</f>
        <v>Home</v>
      </c>
      <c r="R80" s="25" t="str">
        <f>K80&amp;"-"&amp;Q80</f>
        <v>Work-Home</v>
      </c>
      <c r="S80" s="43">
        <v>2</v>
      </c>
      <c r="T80" s="43">
        <v>1</v>
      </c>
      <c r="U80" s="51">
        <v>2</v>
      </c>
      <c r="V80" s="51"/>
      <c r="W80" s="43"/>
      <c r="X80" s="43"/>
      <c r="Y80" s="44" t="s">
        <v>149</v>
      </c>
      <c r="Z80" s="52">
        <v>500</v>
      </c>
      <c r="AA80" s="25"/>
      <c r="AB8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82</v>
      </c>
      <c r="E1" s="34"/>
      <c r="F1" s="35" t="s">
        <v>99</v>
      </c>
      <c r="G1" s="36"/>
      <c r="H1" s="36" t="s">
        <v>107</v>
      </c>
      <c r="I1" s="36"/>
      <c r="J1" s="36" t="s">
        <v>114</v>
      </c>
      <c r="K1" s="36"/>
      <c r="L1" s="36"/>
      <c r="M1" s="36"/>
      <c r="N1" s="36"/>
      <c r="O1" s="36"/>
    </row>
    <row r="2" spans="1:15">
      <c r="A2">
        <v>1</v>
      </c>
      <c r="B2" s="33" t="s">
        <v>70</v>
      </c>
      <c r="C2" s="10">
        <v>1</v>
      </c>
      <c r="D2" s="33" t="s">
        <v>83</v>
      </c>
      <c r="E2" s="10">
        <v>1</v>
      </c>
      <c r="F2" t="s">
        <v>100</v>
      </c>
      <c r="G2">
        <v>1</v>
      </c>
      <c r="H2" s="19" t="s">
        <v>108</v>
      </c>
      <c r="I2">
        <v>1</v>
      </c>
      <c r="J2" s="19" t="s">
        <v>115</v>
      </c>
    </row>
    <row r="3" spans="1:15">
      <c r="A3">
        <v>2</v>
      </c>
      <c r="B3" s="33" t="s">
        <v>71</v>
      </c>
      <c r="C3" s="10">
        <v>2</v>
      </c>
      <c r="D3" s="33" t="s">
        <v>84</v>
      </c>
      <c r="E3" s="10">
        <v>2</v>
      </c>
      <c r="F3" t="s">
        <v>101</v>
      </c>
      <c r="G3">
        <v>2</v>
      </c>
      <c r="H3" s="19" t="s">
        <v>109</v>
      </c>
      <c r="I3">
        <v>2</v>
      </c>
      <c r="J3" s="19" t="s">
        <v>116</v>
      </c>
    </row>
    <row r="4" spans="1:15">
      <c r="A4">
        <v>3</v>
      </c>
      <c r="B4" s="33" t="s">
        <v>72</v>
      </c>
      <c r="C4" s="10">
        <v>3</v>
      </c>
      <c r="D4" s="33" t="s">
        <v>85</v>
      </c>
      <c r="E4" s="10">
        <v>3</v>
      </c>
      <c r="F4" t="s">
        <v>102</v>
      </c>
      <c r="G4">
        <v>3</v>
      </c>
      <c r="H4" s="19" t="s">
        <v>110</v>
      </c>
      <c r="I4">
        <v>3</v>
      </c>
      <c r="J4" s="19" t="s">
        <v>117</v>
      </c>
    </row>
    <row r="5" spans="1:15">
      <c r="A5">
        <v>4</v>
      </c>
      <c r="B5" s="33" t="s">
        <v>73</v>
      </c>
      <c r="C5" s="10">
        <v>4</v>
      </c>
      <c r="D5" s="33" t="s">
        <v>86</v>
      </c>
      <c r="E5" s="10">
        <v>4</v>
      </c>
      <c r="F5" t="s">
        <v>103</v>
      </c>
      <c r="G5">
        <v>4</v>
      </c>
      <c r="H5" s="19" t="s">
        <v>111</v>
      </c>
      <c r="I5">
        <v>4</v>
      </c>
      <c r="J5" s="37" t="s">
        <v>118</v>
      </c>
    </row>
    <row r="6" spans="1:15">
      <c r="A6">
        <v>5</v>
      </c>
      <c r="B6" s="33" t="s">
        <v>74</v>
      </c>
      <c r="C6" s="10">
        <v>5</v>
      </c>
      <c r="D6" s="33" t="s">
        <v>87</v>
      </c>
      <c r="E6" s="10">
        <v>5</v>
      </c>
      <c r="F6" t="s">
        <v>104</v>
      </c>
      <c r="G6">
        <v>5</v>
      </c>
      <c r="H6" s="19" t="s">
        <v>112</v>
      </c>
      <c r="I6">
        <v>5</v>
      </c>
      <c r="J6" s="19" t="s">
        <v>119</v>
      </c>
    </row>
    <row r="7" spans="1:15">
      <c r="A7">
        <v>6</v>
      </c>
      <c r="B7" s="33" t="s">
        <v>75</v>
      </c>
      <c r="C7" s="10">
        <v>6</v>
      </c>
      <c r="D7" s="33" t="s">
        <v>88</v>
      </c>
      <c r="E7" s="10">
        <v>6</v>
      </c>
      <c r="F7" t="s">
        <v>105</v>
      </c>
      <c r="G7">
        <v>6</v>
      </c>
      <c r="H7" s="19" t="s">
        <v>113</v>
      </c>
      <c r="I7">
        <v>6</v>
      </c>
      <c r="J7" s="19" t="s">
        <v>120</v>
      </c>
    </row>
    <row r="8" spans="1:15">
      <c r="A8">
        <v>7</v>
      </c>
      <c r="B8" s="33" t="s">
        <v>76</v>
      </c>
      <c r="C8" s="10">
        <v>7</v>
      </c>
      <c r="D8" s="33" t="s">
        <v>89</v>
      </c>
      <c r="E8" s="10">
        <v>7</v>
      </c>
      <c r="F8" t="s">
        <v>87</v>
      </c>
      <c r="I8">
        <v>7</v>
      </c>
      <c r="J8" s="19" t="s">
        <v>121</v>
      </c>
    </row>
    <row r="9" spans="1:15">
      <c r="A9">
        <v>8</v>
      </c>
      <c r="B9" s="33" t="s">
        <v>77</v>
      </c>
      <c r="C9" s="10">
        <v>8</v>
      </c>
      <c r="D9" s="33" t="s">
        <v>90</v>
      </c>
      <c r="E9" s="10">
        <v>8</v>
      </c>
      <c r="F9" t="s">
        <v>106</v>
      </c>
      <c r="I9">
        <v>8</v>
      </c>
      <c r="J9" s="19" t="s">
        <v>122</v>
      </c>
    </row>
    <row r="10" spans="1:15">
      <c r="A10">
        <v>9</v>
      </c>
      <c r="B10" s="33" t="s">
        <v>78</v>
      </c>
      <c r="C10" s="10">
        <v>9</v>
      </c>
      <c r="D10" s="33" t="s">
        <v>91</v>
      </c>
      <c r="E10" s="10"/>
      <c r="I10">
        <v>9</v>
      </c>
      <c r="J10" s="19" t="s">
        <v>123</v>
      </c>
    </row>
    <row r="11" spans="1:15">
      <c r="A11">
        <v>10</v>
      </c>
      <c r="B11" s="33" t="s">
        <v>79</v>
      </c>
      <c r="C11" s="10">
        <v>10</v>
      </c>
      <c r="D11" s="33" t="s">
        <v>92</v>
      </c>
      <c r="E11" s="10"/>
      <c r="I11">
        <v>10</v>
      </c>
      <c r="J11" s="37" t="s">
        <v>124</v>
      </c>
    </row>
    <row r="12" spans="1:15">
      <c r="A12">
        <v>11</v>
      </c>
      <c r="B12" s="33" t="s">
        <v>81</v>
      </c>
      <c r="C12" s="10">
        <v>11</v>
      </c>
      <c r="D12" s="33" t="s">
        <v>93</v>
      </c>
      <c r="E12" s="10"/>
      <c r="I12">
        <v>11</v>
      </c>
      <c r="J12" s="19" t="s">
        <v>125</v>
      </c>
    </row>
    <row r="13" spans="1:15">
      <c r="A13">
        <v>12</v>
      </c>
      <c r="B13" s="33" t="s">
        <v>80</v>
      </c>
      <c r="C13" s="10">
        <v>12</v>
      </c>
      <c r="D13" s="33" t="s">
        <v>94</v>
      </c>
      <c r="E13" s="10"/>
      <c r="I13">
        <v>12</v>
      </c>
      <c r="J13" s="19" t="s">
        <v>126</v>
      </c>
    </row>
    <row r="14" spans="1:15">
      <c r="C14" s="10">
        <v>13</v>
      </c>
      <c r="D14" s="19" t="s">
        <v>95</v>
      </c>
    </row>
    <row r="15" spans="1:15">
      <c r="B15" s="1"/>
      <c r="C15" s="10">
        <v>14</v>
      </c>
      <c r="D15" s="19" t="s">
        <v>96</v>
      </c>
    </row>
    <row r="16" spans="1:15">
      <c r="C16" s="10">
        <v>15</v>
      </c>
      <c r="D16" s="19" t="s">
        <v>97</v>
      </c>
    </row>
    <row r="17" spans="3:4">
      <c r="C17" s="10">
        <v>16</v>
      </c>
      <c r="D17" s="19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Analysis</vt:lpstr>
      <vt:lpstr>ALL DATA</vt:lpstr>
      <vt:lpstr>Zones</vt:lpstr>
      <vt:lpstr>Zone analysis</vt:lpstr>
      <vt:lpstr>11.10.BUSABALA-ENTEBBE</vt:lpstr>
      <vt:lpstr>RSI FORM</vt:lpstr>
      <vt:lpstr>11.10.ENTEBBE-BUSABALA</vt:lpstr>
      <vt:lpstr>12.10 ENTEBBE-BUSABALA</vt:lpstr>
      <vt:lpstr>12.10 BUSABALA-ENTEBBE</vt:lpstr>
      <vt:lpstr>Key</vt:lpstr>
      <vt:lpstr>Dist</vt:lpstr>
      <vt:lpstr>Jtime</vt:lpstr>
      <vt:lpstr>Tripfreq</vt:lpstr>
      <vt:lpstr>Veh</vt:lpstr>
      <vt:lpstr>'11.10.ENTEBBE-BUSABALA'!Veh_Type</vt:lpstr>
      <vt:lpstr>'12.10 BUSABALA-ENTEBBE'!Veh_Type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2020-04-09T23:03:35Z</dcterms:modified>
</cp:coreProperties>
</file>