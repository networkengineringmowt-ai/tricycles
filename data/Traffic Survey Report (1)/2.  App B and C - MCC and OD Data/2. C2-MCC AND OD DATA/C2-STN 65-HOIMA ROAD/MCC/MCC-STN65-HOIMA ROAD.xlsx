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2 Analysis Complete\C2-STN 65-HOIMA ROAD\MCC\"/>
    </mc:Choice>
  </mc:AlternateContent>
  <xr:revisionPtr revIDLastSave="0" documentId="13_ncr:1_{9D89F7F0-F277-4948-B0FB-D9F1ADF3CC8F}" xr6:coauthVersionLast="45" xr6:coauthVersionMax="45" xr10:uidLastSave="{00000000-0000-0000-0000-000000000000}"/>
  <bookViews>
    <workbookView xWindow="-120" yWindow="-120" windowWidth="20730" windowHeight="11160" tabRatio="940" firstSheet="12" activeTab="16" xr2:uid="{00000000-000D-0000-FFFF-FFFF00000000}"/>
  </bookViews>
  <sheets>
    <sheet name="11.8 KAMPALA-BUSUNJU" sheetId="93" r:id="rId1"/>
    <sheet name="11.8 BUSUNJU-KAMPALA" sheetId="94" r:id="rId2"/>
    <sheet name="12.8 BUSUNJU-KAMPALA" sheetId="95" r:id="rId3"/>
    <sheet name="12.8 KAMPALA-BUSUNJU" sheetId="96" r:id="rId4"/>
    <sheet name="13.8 KAMPALA-BUSUNJU" sheetId="97" r:id="rId5"/>
    <sheet name="13.8 BUSUNJU-KAMPALA" sheetId="98" r:id="rId6"/>
    <sheet name="14.8 KAMPALA-BUSUNJU" sheetId="99" r:id="rId7"/>
    <sheet name="14.8 BUSUNJU-KAMPALA" sheetId="100" r:id="rId8"/>
    <sheet name="15.8 KAMPALA-BUSUNJU-24 HRS" sheetId="101" r:id="rId9"/>
    <sheet name="15.8 BUSUNJU-KAMPALA-24HRS" sheetId="109" r:id="rId10"/>
    <sheet name="16.8 KAMPALA-BUSUNJU-24HRS" sheetId="110" r:id="rId11"/>
    <sheet name="16.8 BUSUNJU-KAMPALA-24HRS" sheetId="105" r:id="rId12"/>
    <sheet name="17.8 KAMPALA-BUSUNJU" sheetId="103" r:id="rId13"/>
    <sheet name="17.8 BUSUNJU-KAMPALA" sheetId="104" r:id="rId14"/>
    <sheet name="Avg Week Kampala-Busunju" sheetId="107" r:id="rId15"/>
    <sheet name="Avg Week Busunju-Kampala" sheetId="108" r:id="rId16"/>
    <sheet name="Avg Week Kampala-Busunju-2Dir" sheetId="111" r:id="rId17"/>
  </sheets>
  <externalReferences>
    <externalReference r:id="rId18"/>
  </externalReferences>
  <definedNames>
    <definedName name="_xlnm.Print_Area" localSheetId="1">'11.8 BUSUNJU-KAMPALA'!$A$1:$AF$60</definedName>
    <definedName name="_xlnm.Print_Area" localSheetId="0">'11.8 KAMPALA-BUSUNJU'!$A$1:$AF$60</definedName>
    <definedName name="_xlnm.Print_Area" localSheetId="2">'12.8 BUSUNJU-KAMPALA'!$A$1:$AF$60</definedName>
    <definedName name="_xlnm.Print_Area" localSheetId="3">'12.8 KAMPALA-BUSUNJU'!$A$1:$AF$60</definedName>
    <definedName name="_xlnm.Print_Area" localSheetId="5">'13.8 BUSUNJU-KAMPALA'!$A$1:$AF$60</definedName>
    <definedName name="_xlnm.Print_Area" localSheetId="4">'13.8 KAMPALA-BUSUNJU'!$A$1:$AF$60</definedName>
    <definedName name="_xlnm.Print_Area" localSheetId="7">'14.8 BUSUNJU-KAMPALA'!$A$1:$AF$60</definedName>
    <definedName name="_xlnm.Print_Area" localSheetId="6">'14.8 KAMPALA-BUSUNJU'!$A$1:$AF$60</definedName>
    <definedName name="_xlnm.Print_Area" localSheetId="9">'15.8 BUSUNJU-KAMPALA-24HRS'!$A$1:$AF$108</definedName>
    <definedName name="_xlnm.Print_Area" localSheetId="8">'15.8 KAMPALA-BUSUNJU-24 HRS'!$A$1:$AF$108</definedName>
    <definedName name="_xlnm.Print_Area" localSheetId="11">'16.8 BUSUNJU-KAMPALA-24HRS'!$A$1:$AF$108</definedName>
    <definedName name="_xlnm.Print_Area" localSheetId="10">'16.8 KAMPALA-BUSUNJU-24HRS'!$A$1:$AF$108</definedName>
    <definedName name="_xlnm.Print_Area" localSheetId="13">'17.8 BUSUNJU-KAMPALA'!$A$1:$AF$60</definedName>
    <definedName name="_xlnm.Print_Area" localSheetId="12">'17.8 KAMPALA-BUSUNJU'!$A$1:$AF$60</definedName>
    <definedName name="_xlnm.Print_Area" localSheetId="15">'Avg Week Busunju-Kampala'!$A$1:$AF$108</definedName>
    <definedName name="_xlnm.Print_Area" localSheetId="14">'Avg Week Kampala-Busunju'!$A$1:$AF$108</definedName>
    <definedName name="_xlnm.Print_Area" localSheetId="16">'Avg Week Kampala-Busunju-2Dir'!$A$1:$AF$108</definedName>
    <definedName name="_xlnm.Print_Titles" localSheetId="1">'11.8 BUSUNJU-KAMPALA'!$1:$8</definedName>
    <definedName name="_xlnm.Print_Titles" localSheetId="0">'11.8 KAMPALA-BUSUNJU'!$1:$8</definedName>
    <definedName name="_xlnm.Print_Titles" localSheetId="2">'12.8 BUSUNJU-KAMPALA'!$1:$8</definedName>
    <definedName name="_xlnm.Print_Titles" localSheetId="3">'12.8 KAMPALA-BUSUNJU'!$1:$8</definedName>
    <definedName name="_xlnm.Print_Titles" localSheetId="5">'13.8 BUSUNJU-KAMPALA'!$1:$8</definedName>
    <definedName name="_xlnm.Print_Titles" localSheetId="4">'13.8 KAMPALA-BUSUNJU'!$1:$8</definedName>
    <definedName name="_xlnm.Print_Titles" localSheetId="7">'14.8 BUSUNJU-KAMPALA'!$1:$8</definedName>
    <definedName name="_xlnm.Print_Titles" localSheetId="6">'14.8 KAMPALA-BUSUNJU'!$1:$8</definedName>
    <definedName name="_xlnm.Print_Titles" localSheetId="9">'15.8 BUSUNJU-KAMPALA-24HRS'!$1:$8</definedName>
    <definedName name="_xlnm.Print_Titles" localSheetId="8">'15.8 KAMPALA-BUSUNJU-24 HRS'!$1:$8</definedName>
    <definedName name="_xlnm.Print_Titles" localSheetId="11">'16.8 BUSUNJU-KAMPALA-24HRS'!$1:$8</definedName>
    <definedName name="_xlnm.Print_Titles" localSheetId="10">'16.8 KAMPALA-BUSUNJU-24HRS'!$1:$8</definedName>
    <definedName name="_xlnm.Print_Titles" localSheetId="13">'17.8 BUSUNJU-KAMPALA'!$1:$8</definedName>
    <definedName name="_xlnm.Print_Titles" localSheetId="12">'17.8 KAMPALA-BUSUNJU'!$1:$8</definedName>
    <definedName name="_xlnm.Print_Titles" localSheetId="15">'Avg Week Busunju-Kampala'!$1:$8</definedName>
    <definedName name="_xlnm.Print_Titles" localSheetId="14">'Avg Week Kampala-Busunju'!$1:$8</definedName>
    <definedName name="_xlnm.Print_Titles" localSheetId="16">'Avg Week Kampala-Busunju-2Dir'!$1:$8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58" i="108" l="1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D58" i="107"/>
  <c r="D58" i="111" s="1"/>
  <c r="E58" i="107"/>
  <c r="E58" i="111" s="1"/>
  <c r="F58" i="107"/>
  <c r="F58" i="111" s="1"/>
  <c r="G58" i="107"/>
  <c r="H58" i="107"/>
  <c r="H58" i="111" s="1"/>
  <c r="I58" i="107"/>
  <c r="I58" i="111" s="1"/>
  <c r="J58" i="107"/>
  <c r="J58" i="111" s="1"/>
  <c r="K58" i="107"/>
  <c r="K58" i="111" s="1"/>
  <c r="L58" i="107"/>
  <c r="L58" i="111" s="1"/>
  <c r="M58" i="107"/>
  <c r="M58" i="111" s="1"/>
  <c r="N58" i="107"/>
  <c r="N58" i="111" s="1"/>
  <c r="D59" i="107"/>
  <c r="E59" i="107"/>
  <c r="E59" i="111" s="1"/>
  <c r="F59" i="107"/>
  <c r="F59" i="111" s="1"/>
  <c r="G59" i="107"/>
  <c r="G59" i="111" s="1"/>
  <c r="H59" i="107"/>
  <c r="H59" i="111" s="1"/>
  <c r="I59" i="107"/>
  <c r="I59" i="111" s="1"/>
  <c r="J59" i="107"/>
  <c r="J59" i="111" s="1"/>
  <c r="K59" i="107"/>
  <c r="K59" i="111" s="1"/>
  <c r="L59" i="107"/>
  <c r="M59" i="107"/>
  <c r="M59" i="111" s="1"/>
  <c r="N59" i="107"/>
  <c r="N59" i="111" s="1"/>
  <c r="D60" i="107"/>
  <c r="D60" i="111" s="1"/>
  <c r="E60" i="107"/>
  <c r="E60" i="111" s="1"/>
  <c r="F60" i="107"/>
  <c r="F60" i="111" s="1"/>
  <c r="G60" i="107"/>
  <c r="G60" i="111" s="1"/>
  <c r="H60" i="107"/>
  <c r="H60" i="111" s="1"/>
  <c r="I60" i="107"/>
  <c r="J60" i="107"/>
  <c r="J60" i="111" s="1"/>
  <c r="K60" i="107"/>
  <c r="K60" i="111" s="1"/>
  <c r="L60" i="107"/>
  <c r="L60" i="111" s="1"/>
  <c r="M60" i="107"/>
  <c r="M60" i="111" s="1"/>
  <c r="N60" i="107"/>
  <c r="N60" i="111" s="1"/>
  <c r="D61" i="107"/>
  <c r="D61" i="111" s="1"/>
  <c r="E61" i="107"/>
  <c r="E61" i="111" s="1"/>
  <c r="F61" i="107"/>
  <c r="G61" i="107"/>
  <c r="G61" i="111" s="1"/>
  <c r="H61" i="107"/>
  <c r="H61" i="111" s="1"/>
  <c r="I61" i="107"/>
  <c r="I61" i="111" s="1"/>
  <c r="J61" i="107"/>
  <c r="J61" i="111" s="1"/>
  <c r="K61" i="107"/>
  <c r="K61" i="111" s="1"/>
  <c r="L61" i="107"/>
  <c r="L61" i="111" s="1"/>
  <c r="M61" i="107"/>
  <c r="M61" i="111" s="1"/>
  <c r="N61" i="107"/>
  <c r="D62" i="107"/>
  <c r="D62" i="111" s="1"/>
  <c r="E62" i="107"/>
  <c r="E62" i="111" s="1"/>
  <c r="F62" i="107"/>
  <c r="G62" i="107"/>
  <c r="G62" i="111" s="1"/>
  <c r="H62" i="107"/>
  <c r="H62" i="111" s="1"/>
  <c r="I62" i="107"/>
  <c r="I62" i="111" s="1"/>
  <c r="J62" i="107"/>
  <c r="K62" i="107"/>
  <c r="L62" i="107"/>
  <c r="L62" i="111" s="1"/>
  <c r="M62" i="107"/>
  <c r="M62" i="111" s="1"/>
  <c r="N62" i="107"/>
  <c r="D63" i="107"/>
  <c r="D63" i="111" s="1"/>
  <c r="E63" i="107"/>
  <c r="E63" i="111" s="1"/>
  <c r="F63" i="107"/>
  <c r="F63" i="111" s="1"/>
  <c r="G63" i="107"/>
  <c r="G63" i="111" s="1"/>
  <c r="H63" i="107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N63" i="111" s="1"/>
  <c r="D64" i="107"/>
  <c r="D64" i="111" s="1"/>
  <c r="E64" i="107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N64" i="107"/>
  <c r="N64" i="111" s="1"/>
  <c r="D65" i="107"/>
  <c r="D65" i="111" s="1"/>
  <c r="E65" i="107"/>
  <c r="E65" i="111" s="1"/>
  <c r="F65" i="107"/>
  <c r="F65" i="111" s="1"/>
  <c r="G65" i="107"/>
  <c r="G65" i="111" s="1"/>
  <c r="H65" i="107"/>
  <c r="H65" i="111" s="1"/>
  <c r="I65" i="107"/>
  <c r="I65" i="111" s="1"/>
  <c r="J65" i="107"/>
  <c r="K65" i="107"/>
  <c r="K65" i="111" s="1"/>
  <c r="L65" i="107"/>
  <c r="L65" i="111" s="1"/>
  <c r="M65" i="107"/>
  <c r="M65" i="111" s="1"/>
  <c r="N65" i="107"/>
  <c r="N65" i="111" s="1"/>
  <c r="D66" i="107"/>
  <c r="D66" i="111" s="1"/>
  <c r="E66" i="107"/>
  <c r="E66" i="111" s="1"/>
  <c r="F66" i="107"/>
  <c r="G66" i="107"/>
  <c r="H66" i="107"/>
  <c r="H66" i="111" s="1"/>
  <c r="I66" i="107"/>
  <c r="I66" i="111" s="1"/>
  <c r="J66" i="107"/>
  <c r="K66" i="107"/>
  <c r="K66" i="111" s="1"/>
  <c r="L66" i="107"/>
  <c r="L66" i="111" s="1"/>
  <c r="M66" i="107"/>
  <c r="M66" i="111" s="1"/>
  <c r="N66" i="107"/>
  <c r="D67" i="107"/>
  <c r="E67" i="107"/>
  <c r="E67" i="111" s="1"/>
  <c r="F67" i="107"/>
  <c r="F67" i="111" s="1"/>
  <c r="G67" i="107"/>
  <c r="G67" i="111" s="1"/>
  <c r="H67" i="107"/>
  <c r="H67" i="111" s="1"/>
  <c r="I67" i="107"/>
  <c r="I67" i="111" s="1"/>
  <c r="J67" i="107"/>
  <c r="J67" i="111" s="1"/>
  <c r="K67" i="107"/>
  <c r="K67" i="111" s="1"/>
  <c r="L67" i="107"/>
  <c r="M67" i="107"/>
  <c r="M67" i="111" s="1"/>
  <c r="N67" i="107"/>
  <c r="N67" i="111" s="1"/>
  <c r="D68" i="107"/>
  <c r="D68" i="111" s="1"/>
  <c r="E68" i="107"/>
  <c r="E68" i="111" s="1"/>
  <c r="F68" i="107"/>
  <c r="F68" i="111" s="1"/>
  <c r="G68" i="107"/>
  <c r="G68" i="111" s="1"/>
  <c r="H68" i="107"/>
  <c r="H68" i="111" s="1"/>
  <c r="I68" i="107"/>
  <c r="J68" i="107"/>
  <c r="J68" i="111" s="1"/>
  <c r="K68" i="107"/>
  <c r="K68" i="111" s="1"/>
  <c r="L68" i="107"/>
  <c r="L68" i="111" s="1"/>
  <c r="M68" i="107"/>
  <c r="M68" i="111" s="1"/>
  <c r="N68" i="107"/>
  <c r="N68" i="111" s="1"/>
  <c r="D69" i="107"/>
  <c r="D69" i="111" s="1"/>
  <c r="E69" i="107"/>
  <c r="E69" i="111" s="1"/>
  <c r="F69" i="107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M69" i="111" s="1"/>
  <c r="N69" i="107"/>
  <c r="D70" i="107"/>
  <c r="D70" i="111" s="1"/>
  <c r="E70" i="107"/>
  <c r="E70" i="111" s="1"/>
  <c r="F70" i="107"/>
  <c r="G70" i="107"/>
  <c r="G70" i="111" s="1"/>
  <c r="H70" i="107"/>
  <c r="H70" i="111" s="1"/>
  <c r="I70" i="107"/>
  <c r="I70" i="111" s="1"/>
  <c r="J70" i="107"/>
  <c r="K70" i="107"/>
  <c r="L70" i="107"/>
  <c r="L70" i="111" s="1"/>
  <c r="M70" i="107"/>
  <c r="M70" i="111" s="1"/>
  <c r="N70" i="107"/>
  <c r="D71" i="107"/>
  <c r="D71" i="111" s="1"/>
  <c r="E71" i="107"/>
  <c r="E71" i="111" s="1"/>
  <c r="F71" i="107"/>
  <c r="F71" i="111" s="1"/>
  <c r="G71" i="107"/>
  <c r="G71" i="111" s="1"/>
  <c r="H71" i="107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D72" i="107"/>
  <c r="D72" i="111" s="1"/>
  <c r="E72" i="107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N72" i="107"/>
  <c r="N72" i="111" s="1"/>
  <c r="D73" i="107"/>
  <c r="D73" i="111" s="1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K73" i="107"/>
  <c r="K73" i="111" s="1"/>
  <c r="L73" i="107"/>
  <c r="L73" i="111" s="1"/>
  <c r="M73" i="107"/>
  <c r="M73" i="111" s="1"/>
  <c r="N73" i="107"/>
  <c r="N73" i="111" s="1"/>
  <c r="D74" i="107"/>
  <c r="D74" i="111" s="1"/>
  <c r="E74" i="107"/>
  <c r="E74" i="111" s="1"/>
  <c r="F74" i="107"/>
  <c r="F74" i="111" s="1"/>
  <c r="G74" i="107"/>
  <c r="H74" i="107"/>
  <c r="H74" i="111" s="1"/>
  <c r="I74" i="107"/>
  <c r="I74" i="111" s="1"/>
  <c r="J74" i="107"/>
  <c r="J74" i="111" s="1"/>
  <c r="K74" i="107"/>
  <c r="K74" i="111" s="1"/>
  <c r="L74" i="107"/>
  <c r="L74" i="111" s="1"/>
  <c r="M74" i="107"/>
  <c r="M74" i="111" s="1"/>
  <c r="N74" i="107"/>
  <c r="N74" i="111" s="1"/>
  <c r="D75" i="107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J75" i="111" s="1"/>
  <c r="K75" i="107"/>
  <c r="K75" i="111" s="1"/>
  <c r="L75" i="107"/>
  <c r="M75" i="107"/>
  <c r="M75" i="111" s="1"/>
  <c r="N75" i="107"/>
  <c r="N75" i="111" s="1"/>
  <c r="D76" i="107"/>
  <c r="D76" i="111" s="1"/>
  <c r="E76" i="107"/>
  <c r="E76" i="111" s="1"/>
  <c r="F76" i="107"/>
  <c r="F76" i="111" s="1"/>
  <c r="G76" i="107"/>
  <c r="G76" i="111" s="1"/>
  <c r="H76" i="107"/>
  <c r="H76" i="111" s="1"/>
  <c r="I76" i="107"/>
  <c r="J76" i="107"/>
  <c r="J76" i="111" s="1"/>
  <c r="K76" i="107"/>
  <c r="K76" i="111" s="1"/>
  <c r="L76" i="107"/>
  <c r="L76" i="111" s="1"/>
  <c r="M76" i="107"/>
  <c r="M76" i="111" s="1"/>
  <c r="N76" i="107"/>
  <c r="N76" i="111" s="1"/>
  <c r="D77" i="107"/>
  <c r="D77" i="111" s="1"/>
  <c r="E77" i="107"/>
  <c r="E77" i="111" s="1"/>
  <c r="F77" i="107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M77" i="111" s="1"/>
  <c r="N77" i="107"/>
  <c r="D78" i="107"/>
  <c r="D78" i="111" s="1"/>
  <c r="E78" i="107"/>
  <c r="E78" i="111" s="1"/>
  <c r="F78" i="107"/>
  <c r="G78" i="107"/>
  <c r="G78" i="111" s="1"/>
  <c r="H78" i="107"/>
  <c r="H78" i="111" s="1"/>
  <c r="I78" i="107"/>
  <c r="I78" i="111" s="1"/>
  <c r="J78" i="107"/>
  <c r="K78" i="107"/>
  <c r="L78" i="107"/>
  <c r="L78" i="111" s="1"/>
  <c r="M78" i="107"/>
  <c r="M78" i="111" s="1"/>
  <c r="N78" i="107"/>
  <c r="D79" i="107"/>
  <c r="D79" i="111" s="1"/>
  <c r="E79" i="107"/>
  <c r="E79" i="111" s="1"/>
  <c r="F79" i="107"/>
  <c r="F79" i="111" s="1"/>
  <c r="G79" i="107"/>
  <c r="G79" i="111" s="1"/>
  <c r="H79" i="107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D80" i="107"/>
  <c r="D80" i="111" s="1"/>
  <c r="E80" i="107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N80" i="107"/>
  <c r="N80" i="111" s="1"/>
  <c r="D81" i="107"/>
  <c r="D81" i="111" s="1"/>
  <c r="E81" i="107"/>
  <c r="E81" i="111" s="1"/>
  <c r="F81" i="107"/>
  <c r="F81" i="111" s="1"/>
  <c r="G81" i="107"/>
  <c r="G81" i="111" s="1"/>
  <c r="H81" i="107"/>
  <c r="H81" i="111" s="1"/>
  <c r="I81" i="107"/>
  <c r="I81" i="111" s="1"/>
  <c r="J81" i="107"/>
  <c r="K81" i="107"/>
  <c r="K81" i="111" s="1"/>
  <c r="L81" i="107"/>
  <c r="L81" i="111" s="1"/>
  <c r="M81" i="107"/>
  <c r="M81" i="111" s="1"/>
  <c r="N81" i="107"/>
  <c r="N81" i="111" s="1"/>
  <c r="D82" i="107"/>
  <c r="D82" i="111" s="1"/>
  <c r="E82" i="107"/>
  <c r="E82" i="111" s="1"/>
  <c r="F82" i="107"/>
  <c r="G82" i="107"/>
  <c r="H82" i="107"/>
  <c r="H82" i="111" s="1"/>
  <c r="I82" i="107"/>
  <c r="I82" i="111" s="1"/>
  <c r="J82" i="107"/>
  <c r="K82" i="107"/>
  <c r="K82" i="111" s="1"/>
  <c r="L82" i="107"/>
  <c r="L82" i="111" s="1"/>
  <c r="M82" i="107"/>
  <c r="M82" i="111" s="1"/>
  <c r="N82" i="107"/>
  <c r="D83" i="107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J83" i="111" s="1"/>
  <c r="K83" i="107"/>
  <c r="K83" i="111" s="1"/>
  <c r="L83" i="107"/>
  <c r="M83" i="107"/>
  <c r="M83" i="111" s="1"/>
  <c r="N83" i="107"/>
  <c r="N83" i="111" s="1"/>
  <c r="D84" i="107"/>
  <c r="D84" i="111" s="1"/>
  <c r="E84" i="107"/>
  <c r="E84" i="111" s="1"/>
  <c r="F84" i="107"/>
  <c r="F84" i="111" s="1"/>
  <c r="G84" i="107"/>
  <c r="G84" i="111" s="1"/>
  <c r="H84" i="107"/>
  <c r="H84" i="111" s="1"/>
  <c r="I84" i="107"/>
  <c r="J84" i="107"/>
  <c r="J84" i="111" s="1"/>
  <c r="K84" i="107"/>
  <c r="K84" i="111" s="1"/>
  <c r="L84" i="107"/>
  <c r="L84" i="111" s="1"/>
  <c r="M84" i="107"/>
  <c r="M84" i="111" s="1"/>
  <c r="N84" i="107"/>
  <c r="N84" i="111" s="1"/>
  <c r="D85" i="107"/>
  <c r="D85" i="111" s="1"/>
  <c r="E85" i="107"/>
  <c r="E85" i="111" s="1"/>
  <c r="F85" i="107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M85" i="111" s="1"/>
  <c r="N85" i="107"/>
  <c r="D86" i="107"/>
  <c r="D86" i="111" s="1"/>
  <c r="E86" i="107"/>
  <c r="F86" i="107"/>
  <c r="G86" i="107"/>
  <c r="G86" i="111" s="1"/>
  <c r="H86" i="107"/>
  <c r="H86" i="111" s="1"/>
  <c r="I86" i="107"/>
  <c r="I86" i="111" s="1"/>
  <c r="J86" i="107"/>
  <c r="K86" i="107"/>
  <c r="L86" i="107"/>
  <c r="L86" i="111" s="1"/>
  <c r="M86" i="107"/>
  <c r="M86" i="111" s="1"/>
  <c r="N86" i="107"/>
  <c r="D87" i="107"/>
  <c r="D87" i="111" s="1"/>
  <c r="E87" i="107"/>
  <c r="E87" i="111" s="1"/>
  <c r="F87" i="107"/>
  <c r="F87" i="111" s="1"/>
  <c r="G87" i="107"/>
  <c r="G87" i="111" s="1"/>
  <c r="H87" i="107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D88" i="107"/>
  <c r="D88" i="111" s="1"/>
  <c r="E88" i="107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N88" i="107"/>
  <c r="N88" i="111" s="1"/>
  <c r="D89" i="107"/>
  <c r="D89" i="111" s="1"/>
  <c r="E89" i="107"/>
  <c r="E89" i="111" s="1"/>
  <c r="F89" i="107"/>
  <c r="F89" i="111" s="1"/>
  <c r="G89" i="107"/>
  <c r="G89" i="111" s="1"/>
  <c r="H89" i="107"/>
  <c r="H89" i="111" s="1"/>
  <c r="I89" i="107"/>
  <c r="I89" i="111" s="1"/>
  <c r="J89" i="107"/>
  <c r="K89" i="107"/>
  <c r="K89" i="111" s="1"/>
  <c r="L89" i="107"/>
  <c r="L89" i="111" s="1"/>
  <c r="M89" i="107"/>
  <c r="M89" i="111" s="1"/>
  <c r="N89" i="107"/>
  <c r="N89" i="111" s="1"/>
  <c r="D90" i="107"/>
  <c r="D90" i="111" s="1"/>
  <c r="E90" i="107"/>
  <c r="E90" i="111" s="1"/>
  <c r="F90" i="107"/>
  <c r="F90" i="111" s="1"/>
  <c r="G90" i="107"/>
  <c r="H90" i="107"/>
  <c r="H90" i="111" s="1"/>
  <c r="I90" i="107"/>
  <c r="I90" i="111" s="1"/>
  <c r="J90" i="107"/>
  <c r="J90" i="111" s="1"/>
  <c r="K90" i="107"/>
  <c r="K90" i="111" s="1"/>
  <c r="L90" i="107"/>
  <c r="L90" i="111" s="1"/>
  <c r="M90" i="107"/>
  <c r="M90" i="111" s="1"/>
  <c r="N90" i="107"/>
  <c r="N90" i="111" s="1"/>
  <c r="D91" i="107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J91" i="111" s="1"/>
  <c r="K91" i="107"/>
  <c r="K91" i="111" s="1"/>
  <c r="L91" i="107"/>
  <c r="M91" i="107"/>
  <c r="M91" i="111" s="1"/>
  <c r="N91" i="107"/>
  <c r="N91" i="111" s="1"/>
  <c r="D92" i="107"/>
  <c r="D92" i="111" s="1"/>
  <c r="E92" i="107"/>
  <c r="E92" i="111" s="1"/>
  <c r="F92" i="107"/>
  <c r="F92" i="111" s="1"/>
  <c r="G92" i="107"/>
  <c r="G92" i="111" s="1"/>
  <c r="H92" i="107"/>
  <c r="H92" i="111" s="1"/>
  <c r="I92" i="107"/>
  <c r="J92" i="107"/>
  <c r="J92" i="111" s="1"/>
  <c r="K92" i="107"/>
  <c r="K92" i="111" s="1"/>
  <c r="L92" i="107"/>
  <c r="L92" i="111" s="1"/>
  <c r="M92" i="107"/>
  <c r="M92" i="111" s="1"/>
  <c r="N92" i="107"/>
  <c r="N92" i="111" s="1"/>
  <c r="D93" i="107"/>
  <c r="D93" i="111" s="1"/>
  <c r="E93" i="107"/>
  <c r="E93" i="111" s="1"/>
  <c r="F93" i="107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D94" i="107"/>
  <c r="E94" i="107"/>
  <c r="E94" i="111" s="1"/>
  <c r="F94" i="107"/>
  <c r="G94" i="107"/>
  <c r="G94" i="111" s="1"/>
  <c r="H94" i="107"/>
  <c r="I94" i="107"/>
  <c r="I94" i="111" s="1"/>
  <c r="J94" i="107"/>
  <c r="K94" i="107"/>
  <c r="L94" i="107"/>
  <c r="M94" i="107"/>
  <c r="M94" i="111" s="1"/>
  <c r="N94" i="107"/>
  <c r="D95" i="107"/>
  <c r="D95" i="111" s="1"/>
  <c r="E95" i="107"/>
  <c r="E95" i="111" s="1"/>
  <c r="F95" i="107"/>
  <c r="F95" i="111" s="1"/>
  <c r="G95" i="107"/>
  <c r="G95" i="111" s="1"/>
  <c r="H95" i="107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D96" i="107"/>
  <c r="D96" i="111" s="1"/>
  <c r="E96" i="107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K96" i="111" s="1"/>
  <c r="L96" i="107"/>
  <c r="L96" i="111" s="1"/>
  <c r="M96" i="107"/>
  <c r="N96" i="107"/>
  <c r="N96" i="111" s="1"/>
  <c r="D97" i="107"/>
  <c r="D97" i="111" s="1"/>
  <c r="E97" i="107"/>
  <c r="E97" i="111" s="1"/>
  <c r="F97" i="107"/>
  <c r="F97" i="111" s="1"/>
  <c r="G97" i="107"/>
  <c r="G97" i="111" s="1"/>
  <c r="H97" i="107"/>
  <c r="H97" i="111" s="1"/>
  <c r="I97" i="107"/>
  <c r="I97" i="111" s="1"/>
  <c r="J97" i="107"/>
  <c r="K97" i="107"/>
  <c r="K97" i="111" s="1"/>
  <c r="L97" i="107"/>
  <c r="L97" i="111" s="1"/>
  <c r="M97" i="107"/>
  <c r="M97" i="111" s="1"/>
  <c r="N97" i="107"/>
  <c r="N97" i="111" s="1"/>
  <c r="D98" i="107"/>
  <c r="D98" i="111" s="1"/>
  <c r="E98" i="107"/>
  <c r="E98" i="111" s="1"/>
  <c r="F98" i="107"/>
  <c r="G98" i="107"/>
  <c r="H98" i="107"/>
  <c r="H98" i="111" s="1"/>
  <c r="I98" i="107"/>
  <c r="I98" i="111" s="1"/>
  <c r="J98" i="107"/>
  <c r="K98" i="107"/>
  <c r="K98" i="111" s="1"/>
  <c r="L98" i="107"/>
  <c r="L98" i="111" s="1"/>
  <c r="M98" i="107"/>
  <c r="N98" i="107"/>
  <c r="D99" i="107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M99" i="107"/>
  <c r="M99" i="111" s="1"/>
  <c r="N99" i="107"/>
  <c r="N99" i="111" s="1"/>
  <c r="D100" i="107"/>
  <c r="D100" i="111" s="1"/>
  <c r="E100" i="107"/>
  <c r="E100" i="111" s="1"/>
  <c r="F100" i="107"/>
  <c r="F100" i="111" s="1"/>
  <c r="G100" i="107"/>
  <c r="G100" i="111" s="1"/>
  <c r="H100" i="107"/>
  <c r="H100" i="111" s="1"/>
  <c r="I100" i="107"/>
  <c r="J100" i="107"/>
  <c r="J100" i="111" s="1"/>
  <c r="K100" i="107"/>
  <c r="K100" i="111" s="1"/>
  <c r="L100" i="107"/>
  <c r="L100" i="111" s="1"/>
  <c r="M100" i="107"/>
  <c r="M100" i="111" s="1"/>
  <c r="N100" i="107"/>
  <c r="N100" i="111" s="1"/>
  <c r="D101" i="107"/>
  <c r="D101" i="111" s="1"/>
  <c r="E101" i="107"/>
  <c r="E101" i="111" s="1"/>
  <c r="F101" i="107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D102" i="107"/>
  <c r="E102" i="107"/>
  <c r="F102" i="107"/>
  <c r="G102" i="107"/>
  <c r="G102" i="111" s="1"/>
  <c r="H102" i="107"/>
  <c r="I102" i="107"/>
  <c r="I102" i="111" s="1"/>
  <c r="J102" i="107"/>
  <c r="K102" i="107"/>
  <c r="L102" i="107"/>
  <c r="M102" i="107"/>
  <c r="M102" i="111" s="1"/>
  <c r="N102" i="107"/>
  <c r="D103" i="107"/>
  <c r="D103" i="111" s="1"/>
  <c r="E103" i="107"/>
  <c r="E103" i="111" s="1"/>
  <c r="F103" i="107"/>
  <c r="F103" i="111" s="1"/>
  <c r="G103" i="107"/>
  <c r="G103" i="111" s="1"/>
  <c r="H103" i="107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D104" i="107"/>
  <c r="D104" i="111" s="1"/>
  <c r="E104" i="107"/>
  <c r="F104" i="107"/>
  <c r="F104" i="111" s="1"/>
  <c r="G104" i="107"/>
  <c r="G104" i="111" s="1"/>
  <c r="H104" i="107"/>
  <c r="H104" i="111" s="1"/>
  <c r="I104" i="107"/>
  <c r="I104" i="111" s="1"/>
  <c r="J104" i="107"/>
  <c r="K104" i="107"/>
  <c r="K104" i="111" s="1"/>
  <c r="L104" i="107"/>
  <c r="L104" i="111" s="1"/>
  <c r="M104" i="107"/>
  <c r="N104" i="107"/>
  <c r="D105" i="107"/>
  <c r="D105" i="111" s="1"/>
  <c r="E105" i="107"/>
  <c r="E105" i="111" s="1"/>
  <c r="F105" i="107"/>
  <c r="G105" i="107"/>
  <c r="G105" i="111" s="1"/>
  <c r="H105" i="107"/>
  <c r="H105" i="111" s="1"/>
  <c r="I105" i="107"/>
  <c r="I105" i="111" s="1"/>
  <c r="J105" i="107"/>
  <c r="K105" i="107"/>
  <c r="K105" i="111" s="1"/>
  <c r="L105" i="107"/>
  <c r="L105" i="111" s="1"/>
  <c r="M105" i="107"/>
  <c r="M105" i="111" s="1"/>
  <c r="N105" i="107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C71" i="107"/>
  <c r="C72" i="107"/>
  <c r="C72" i="111" s="1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4" i="111" s="1"/>
  <c r="C85" i="107"/>
  <c r="C86" i="107"/>
  <c r="C87" i="107"/>
  <c r="C88" i="107"/>
  <c r="C88" i="111" s="1"/>
  <c r="C89" i="107"/>
  <c r="C90" i="107"/>
  <c r="C91" i="107"/>
  <c r="C92" i="107"/>
  <c r="O92" i="107" s="1"/>
  <c r="C93" i="107"/>
  <c r="C94" i="107"/>
  <c r="C95" i="107"/>
  <c r="C96" i="107"/>
  <c r="C97" i="107"/>
  <c r="C98" i="107"/>
  <c r="C99" i="107"/>
  <c r="C100" i="107"/>
  <c r="C100" i="111" s="1"/>
  <c r="C101" i="107"/>
  <c r="C102" i="107"/>
  <c r="C103" i="107"/>
  <c r="C104" i="107"/>
  <c r="C104" i="111" s="1"/>
  <c r="C105" i="107"/>
  <c r="C58" i="107"/>
  <c r="N105" i="111" l="1"/>
  <c r="N104" i="111"/>
  <c r="F105" i="111"/>
  <c r="J104" i="111"/>
  <c r="AD33" i="108"/>
  <c r="V33" i="108"/>
  <c r="Z32" i="108"/>
  <c r="AD31" i="108"/>
  <c r="V31" i="108"/>
  <c r="Z30" i="108"/>
  <c r="AD29" i="108"/>
  <c r="V29" i="108"/>
  <c r="Z28" i="108"/>
  <c r="AD27" i="108"/>
  <c r="V27" i="108"/>
  <c r="Z26" i="108"/>
  <c r="AD25" i="108"/>
  <c r="P63" i="108"/>
  <c r="P95" i="108"/>
  <c r="AC30" i="111"/>
  <c r="U31" i="107"/>
  <c r="O76" i="107"/>
  <c r="O68" i="107"/>
  <c r="P60" i="107"/>
  <c r="V30" i="107"/>
  <c r="AC23" i="107"/>
  <c r="O101" i="108"/>
  <c r="S30" i="108"/>
  <c r="T33" i="108"/>
  <c r="Z33" i="108"/>
  <c r="AD32" i="108"/>
  <c r="V32" i="108"/>
  <c r="Z31" i="108"/>
  <c r="AA30" i="108"/>
  <c r="AD30" i="108"/>
  <c r="V30" i="108"/>
  <c r="P87" i="108"/>
  <c r="Z29" i="108"/>
  <c r="U28" i="108"/>
  <c r="AD28" i="108"/>
  <c r="V28" i="108"/>
  <c r="P79" i="108"/>
  <c r="Z27" i="108"/>
  <c r="AD26" i="108"/>
  <c r="V26" i="108"/>
  <c r="AB25" i="108"/>
  <c r="P71" i="108"/>
  <c r="Z25" i="108"/>
  <c r="AD24" i="108"/>
  <c r="V24" i="108"/>
  <c r="Z23" i="108"/>
  <c r="AD22" i="108"/>
  <c r="V22" i="108"/>
  <c r="C68" i="111"/>
  <c r="P58" i="107"/>
  <c r="O90" i="107"/>
  <c r="O74" i="107"/>
  <c r="AB28" i="107"/>
  <c r="AD22" i="107"/>
  <c r="AC32" i="108"/>
  <c r="U32" i="108"/>
  <c r="AC28" i="108"/>
  <c r="AC24" i="108"/>
  <c r="U24" i="108"/>
  <c r="Z30" i="111"/>
  <c r="Z26" i="111"/>
  <c r="Z22" i="111"/>
  <c r="O84" i="107"/>
  <c r="AC27" i="107"/>
  <c r="Z22" i="107"/>
  <c r="T24" i="107"/>
  <c r="P64" i="107"/>
  <c r="Y27" i="107"/>
  <c r="Z26" i="107"/>
  <c r="O105" i="108"/>
  <c r="X29" i="108"/>
  <c r="V25" i="108"/>
  <c r="Y24" i="108"/>
  <c r="Z24" i="108"/>
  <c r="AD23" i="108"/>
  <c r="V23" i="108"/>
  <c r="Z22" i="108"/>
  <c r="X32" i="111"/>
  <c r="J105" i="111"/>
  <c r="M104" i="111"/>
  <c r="AC33" i="111" s="1"/>
  <c r="E104" i="111"/>
  <c r="H103" i="111"/>
  <c r="K102" i="111"/>
  <c r="AA33" i="111" s="1"/>
  <c r="N101" i="111"/>
  <c r="F101" i="111"/>
  <c r="I100" i="111"/>
  <c r="L99" i="111"/>
  <c r="AB32" i="111" s="1"/>
  <c r="D99" i="111"/>
  <c r="T32" i="111" s="1"/>
  <c r="G98" i="111"/>
  <c r="W32" i="111" s="1"/>
  <c r="J97" i="111"/>
  <c r="M96" i="111"/>
  <c r="E96" i="111"/>
  <c r="U31" i="111" s="1"/>
  <c r="H95" i="111"/>
  <c r="K94" i="111"/>
  <c r="N93" i="111"/>
  <c r="F93" i="111"/>
  <c r="V30" i="111" s="1"/>
  <c r="I92" i="111"/>
  <c r="Y30" i="111" s="1"/>
  <c r="L91" i="111"/>
  <c r="D91" i="111"/>
  <c r="T30" i="111" s="1"/>
  <c r="G90" i="111"/>
  <c r="W30" i="111" s="1"/>
  <c r="J89" i="111"/>
  <c r="M88" i="111"/>
  <c r="AC29" i="111" s="1"/>
  <c r="E88" i="111"/>
  <c r="O88" i="111" s="1"/>
  <c r="H87" i="111"/>
  <c r="K86" i="111"/>
  <c r="AA29" i="111" s="1"/>
  <c r="N85" i="111"/>
  <c r="F85" i="111"/>
  <c r="I84" i="111"/>
  <c r="P84" i="111" s="1"/>
  <c r="L83" i="111"/>
  <c r="AB28" i="111" s="1"/>
  <c r="D83" i="111"/>
  <c r="G82" i="111"/>
  <c r="W28" i="111" s="1"/>
  <c r="J81" i="111"/>
  <c r="M80" i="111"/>
  <c r="AC27" i="111" s="1"/>
  <c r="E80" i="111"/>
  <c r="U27" i="111" s="1"/>
  <c r="H79" i="111"/>
  <c r="X27" i="111" s="1"/>
  <c r="K78" i="111"/>
  <c r="AA27" i="111" s="1"/>
  <c r="N77" i="111"/>
  <c r="AD26" i="111" s="1"/>
  <c r="F77" i="111"/>
  <c r="V26" i="111" s="1"/>
  <c r="I76" i="111"/>
  <c r="Y26" i="111" s="1"/>
  <c r="L75" i="111"/>
  <c r="AB26" i="111" s="1"/>
  <c r="D75" i="111"/>
  <c r="T26" i="111" s="1"/>
  <c r="G74" i="111"/>
  <c r="J73" i="111"/>
  <c r="M72" i="111"/>
  <c r="AC25" i="111" s="1"/>
  <c r="E72" i="111"/>
  <c r="P72" i="111" s="1"/>
  <c r="H71" i="111"/>
  <c r="X25" i="111" s="1"/>
  <c r="K70" i="111"/>
  <c r="AA25" i="111" s="1"/>
  <c r="N69" i="111"/>
  <c r="F69" i="111"/>
  <c r="I68" i="111"/>
  <c r="L67" i="111"/>
  <c r="AB24" i="111" s="1"/>
  <c r="D67" i="111"/>
  <c r="T24" i="111" s="1"/>
  <c r="G66" i="111"/>
  <c r="W24" i="111" s="1"/>
  <c r="J65" i="111"/>
  <c r="M64" i="111"/>
  <c r="AC23" i="111" s="1"/>
  <c r="E64" i="111"/>
  <c r="H63" i="111"/>
  <c r="X23" i="111" s="1"/>
  <c r="K62" i="111"/>
  <c r="AA23" i="111" s="1"/>
  <c r="N61" i="111"/>
  <c r="AD22" i="111" s="1"/>
  <c r="F61" i="111"/>
  <c r="V22" i="111" s="1"/>
  <c r="I60" i="111"/>
  <c r="Y22" i="111" s="1"/>
  <c r="L59" i="111"/>
  <c r="D59" i="111"/>
  <c r="T22" i="111" s="1"/>
  <c r="G58" i="111"/>
  <c r="W22" i="111" s="1"/>
  <c r="O60" i="107"/>
  <c r="V26" i="107"/>
  <c r="Y32" i="108"/>
  <c r="Y28" i="108"/>
  <c r="AD30" i="111"/>
  <c r="X32" i="107"/>
  <c r="W25" i="107"/>
  <c r="C103" i="111"/>
  <c r="O103" i="107"/>
  <c r="P103" i="107"/>
  <c r="C91" i="111"/>
  <c r="O91" i="107"/>
  <c r="AE30" i="107" s="1"/>
  <c r="P91" i="107"/>
  <c r="C75" i="111"/>
  <c r="O75" i="107"/>
  <c r="P75" i="107"/>
  <c r="C102" i="111"/>
  <c r="P102" i="107"/>
  <c r="S33" i="107"/>
  <c r="C94" i="111"/>
  <c r="P94" i="107"/>
  <c r="C86" i="111"/>
  <c r="P86" i="107"/>
  <c r="S29" i="107"/>
  <c r="C78" i="111"/>
  <c r="P78" i="107"/>
  <c r="C70" i="111"/>
  <c r="P70" i="107"/>
  <c r="S25" i="107"/>
  <c r="C62" i="111"/>
  <c r="P62" i="107"/>
  <c r="W33" i="111"/>
  <c r="AA33" i="107"/>
  <c r="C101" i="111"/>
  <c r="O101" i="107"/>
  <c r="P101" i="107"/>
  <c r="C93" i="111"/>
  <c r="O93" i="107"/>
  <c r="P93" i="107"/>
  <c r="C85" i="111"/>
  <c r="O85" i="107"/>
  <c r="P85" i="107"/>
  <c r="C77" i="111"/>
  <c r="O77" i="107"/>
  <c r="P77" i="107"/>
  <c r="C69" i="111"/>
  <c r="O69" i="107"/>
  <c r="P69" i="107"/>
  <c r="C61" i="111"/>
  <c r="O61" i="107"/>
  <c r="P61" i="107"/>
  <c r="J102" i="111"/>
  <c r="Z33" i="107"/>
  <c r="J98" i="111"/>
  <c r="Z32" i="111" s="1"/>
  <c r="Z32" i="107"/>
  <c r="N94" i="111"/>
  <c r="AD31" i="111" s="1"/>
  <c r="AD31" i="107"/>
  <c r="F94" i="111"/>
  <c r="V31" i="111" s="1"/>
  <c r="V31" i="107"/>
  <c r="N86" i="111"/>
  <c r="AD29" i="111" s="1"/>
  <c r="AD29" i="107"/>
  <c r="F86" i="111"/>
  <c r="V29" i="111" s="1"/>
  <c r="V29" i="107"/>
  <c r="V28" i="107"/>
  <c r="F82" i="111"/>
  <c r="J78" i="111"/>
  <c r="Z27" i="111" s="1"/>
  <c r="Z27" i="107"/>
  <c r="F78" i="111"/>
  <c r="V27" i="111" s="1"/>
  <c r="V27" i="107"/>
  <c r="J70" i="111"/>
  <c r="Z25" i="107"/>
  <c r="N66" i="111"/>
  <c r="AD24" i="107"/>
  <c r="J66" i="111"/>
  <c r="Z24" i="111" s="1"/>
  <c r="Z24" i="107"/>
  <c r="V24" i="107"/>
  <c r="F66" i="111"/>
  <c r="N62" i="111"/>
  <c r="AD23" i="111" s="1"/>
  <c r="AD23" i="107"/>
  <c r="J62" i="111"/>
  <c r="Z23" i="107"/>
  <c r="F62" i="111"/>
  <c r="V23" i="111" s="1"/>
  <c r="V23" i="107"/>
  <c r="O104" i="107"/>
  <c r="O96" i="107"/>
  <c r="O88" i="107"/>
  <c r="O80" i="107"/>
  <c r="O72" i="107"/>
  <c r="O64" i="107"/>
  <c r="S27" i="107"/>
  <c r="W33" i="107"/>
  <c r="T32" i="107"/>
  <c r="AD30" i="107"/>
  <c r="AA29" i="107"/>
  <c r="X28" i="107"/>
  <c r="U27" i="107"/>
  <c r="AB24" i="107"/>
  <c r="Y23" i="107"/>
  <c r="V22" i="107"/>
  <c r="AB33" i="108"/>
  <c r="X33" i="108"/>
  <c r="AB29" i="108"/>
  <c r="T29" i="108"/>
  <c r="X25" i="108"/>
  <c r="T25" i="108"/>
  <c r="C95" i="111"/>
  <c r="O95" i="107"/>
  <c r="P95" i="107"/>
  <c r="C83" i="111"/>
  <c r="O83" i="107"/>
  <c r="P83" i="107"/>
  <c r="C71" i="111"/>
  <c r="O71" i="107"/>
  <c r="P71" i="107"/>
  <c r="C63" i="111"/>
  <c r="O63" i="107"/>
  <c r="P63" i="107"/>
  <c r="C58" i="111"/>
  <c r="S22" i="107"/>
  <c r="O58" i="107"/>
  <c r="C98" i="111"/>
  <c r="P98" i="107"/>
  <c r="S32" i="107"/>
  <c r="C90" i="111"/>
  <c r="S30" i="107"/>
  <c r="P90" i="107"/>
  <c r="C82" i="111"/>
  <c r="P82" i="107"/>
  <c r="S28" i="107"/>
  <c r="C74" i="111"/>
  <c r="S26" i="107"/>
  <c r="P74" i="107"/>
  <c r="C66" i="111"/>
  <c r="P66" i="107"/>
  <c r="S24" i="107"/>
  <c r="O98" i="107"/>
  <c r="O82" i="107"/>
  <c r="O66" i="107"/>
  <c r="S23" i="107"/>
  <c r="C105" i="111"/>
  <c r="O105" i="107"/>
  <c r="P105" i="107"/>
  <c r="C97" i="111"/>
  <c r="O97" i="107"/>
  <c r="P97" i="107"/>
  <c r="C89" i="111"/>
  <c r="O89" i="107"/>
  <c r="P89" i="107"/>
  <c r="C81" i="111"/>
  <c r="O81" i="107"/>
  <c r="P81" i="107"/>
  <c r="C73" i="111"/>
  <c r="O73" i="107"/>
  <c r="P73" i="107"/>
  <c r="C65" i="111"/>
  <c r="O65" i="107"/>
  <c r="P65" i="107"/>
  <c r="N102" i="111"/>
  <c r="AD33" i="107"/>
  <c r="F102" i="111"/>
  <c r="V33" i="107"/>
  <c r="N98" i="111"/>
  <c r="AD32" i="111" s="1"/>
  <c r="AD32" i="107"/>
  <c r="F98" i="111"/>
  <c r="V32" i="107"/>
  <c r="J94" i="111"/>
  <c r="Z31" i="111" s="1"/>
  <c r="Z31" i="107"/>
  <c r="J86" i="111"/>
  <c r="Z29" i="107"/>
  <c r="N82" i="111"/>
  <c r="AD28" i="111" s="1"/>
  <c r="AD28" i="107"/>
  <c r="J82" i="111"/>
  <c r="Z28" i="111" s="1"/>
  <c r="Z28" i="107"/>
  <c r="N78" i="111"/>
  <c r="AD27" i="111" s="1"/>
  <c r="AD27" i="107"/>
  <c r="N70" i="111"/>
  <c r="AD25" i="111" s="1"/>
  <c r="AD25" i="107"/>
  <c r="F70" i="111"/>
  <c r="V25" i="111" s="1"/>
  <c r="V25" i="107"/>
  <c r="P100" i="107"/>
  <c r="P96" i="107"/>
  <c r="P92" i="107"/>
  <c r="P84" i="107"/>
  <c r="P80" i="107"/>
  <c r="P76" i="107"/>
  <c r="P68" i="107"/>
  <c r="Y33" i="107"/>
  <c r="U33" i="107"/>
  <c r="AC32" i="107"/>
  <c r="Y32" i="111"/>
  <c r="U32" i="107"/>
  <c r="AC31" i="111"/>
  <c r="Y31" i="111"/>
  <c r="AC30" i="107"/>
  <c r="U30" i="111"/>
  <c r="Y29" i="107"/>
  <c r="U29" i="107"/>
  <c r="O102" i="107"/>
  <c r="O94" i="107"/>
  <c r="O86" i="107"/>
  <c r="O78" i="107"/>
  <c r="O70" i="107"/>
  <c r="O62" i="107"/>
  <c r="S31" i="107"/>
  <c r="AC31" i="107"/>
  <c r="Z30" i="107"/>
  <c r="W29" i="107"/>
  <c r="T28" i="107"/>
  <c r="AD26" i="107"/>
  <c r="AA25" i="107"/>
  <c r="X24" i="107"/>
  <c r="U23" i="107"/>
  <c r="S22" i="108"/>
  <c r="W30" i="108"/>
  <c r="AA26" i="108"/>
  <c r="W26" i="108"/>
  <c r="AA22" i="108"/>
  <c r="W22" i="108"/>
  <c r="P105" i="108"/>
  <c r="C99" i="111"/>
  <c r="O99" i="107"/>
  <c r="P99" i="107"/>
  <c r="C87" i="111"/>
  <c r="O87" i="107"/>
  <c r="P87" i="107"/>
  <c r="C79" i="111"/>
  <c r="O79" i="107"/>
  <c r="P79" i="107"/>
  <c r="C67" i="111"/>
  <c r="O67" i="107"/>
  <c r="P67" i="107"/>
  <c r="C59" i="111"/>
  <c r="O59" i="107"/>
  <c r="P59" i="107"/>
  <c r="L102" i="111"/>
  <c r="AB33" i="111" s="1"/>
  <c r="AB33" i="107"/>
  <c r="H102" i="111"/>
  <c r="X33" i="111" s="1"/>
  <c r="X33" i="107"/>
  <c r="D102" i="111"/>
  <c r="T33" i="111" s="1"/>
  <c r="T33" i="107"/>
  <c r="L94" i="111"/>
  <c r="AB31" i="111" s="1"/>
  <c r="AB31" i="107"/>
  <c r="H94" i="111"/>
  <c r="X31" i="107"/>
  <c r="D94" i="111"/>
  <c r="T31" i="111" s="1"/>
  <c r="T31" i="107"/>
  <c r="O100" i="107"/>
  <c r="AB32" i="107"/>
  <c r="Y31" i="107"/>
  <c r="O97" i="108"/>
  <c r="P97" i="108"/>
  <c r="O93" i="108"/>
  <c r="P93" i="108"/>
  <c r="O89" i="108"/>
  <c r="P89" i="108"/>
  <c r="O85" i="108"/>
  <c r="P85" i="108"/>
  <c r="O81" i="108"/>
  <c r="P81" i="108"/>
  <c r="O77" i="108"/>
  <c r="P77" i="108"/>
  <c r="O73" i="108"/>
  <c r="P73" i="108"/>
  <c r="O69" i="108"/>
  <c r="P69" i="108"/>
  <c r="O65" i="108"/>
  <c r="P65" i="108"/>
  <c r="O61" i="108"/>
  <c r="P61" i="108"/>
  <c r="P101" i="108"/>
  <c r="O100" i="111"/>
  <c r="P100" i="111"/>
  <c r="Y33" i="111"/>
  <c r="U32" i="111"/>
  <c r="Y29" i="111"/>
  <c r="AC28" i="111"/>
  <c r="U28" i="111"/>
  <c r="Y27" i="111"/>
  <c r="AC26" i="111"/>
  <c r="U26" i="111"/>
  <c r="Y25" i="111"/>
  <c r="AC24" i="111"/>
  <c r="Y24" i="111"/>
  <c r="U24" i="111"/>
  <c r="Y23" i="111"/>
  <c r="U23" i="111"/>
  <c r="AC22" i="111"/>
  <c r="U22" i="111"/>
  <c r="AA32" i="107"/>
  <c r="W32" i="107"/>
  <c r="Y30" i="107"/>
  <c r="U30" i="107"/>
  <c r="AA28" i="107"/>
  <c r="W28" i="107"/>
  <c r="AB27" i="107"/>
  <c r="X27" i="107"/>
  <c r="T27" i="107"/>
  <c r="AC26" i="107"/>
  <c r="Y26" i="107"/>
  <c r="U26" i="107"/>
  <c r="AA24" i="107"/>
  <c r="W24" i="107"/>
  <c r="AB23" i="107"/>
  <c r="X23" i="107"/>
  <c r="T23" i="107"/>
  <c r="AC22" i="107"/>
  <c r="Y22" i="107"/>
  <c r="U22" i="107"/>
  <c r="P104" i="108"/>
  <c r="P100" i="108"/>
  <c r="O96" i="108"/>
  <c r="P96" i="108"/>
  <c r="O92" i="108"/>
  <c r="P92" i="108"/>
  <c r="O88" i="108"/>
  <c r="P88" i="108"/>
  <c r="O84" i="108"/>
  <c r="P84" i="108"/>
  <c r="O80" i="108"/>
  <c r="P80" i="108"/>
  <c r="O76" i="108"/>
  <c r="P76" i="108"/>
  <c r="O72" i="108"/>
  <c r="P72" i="108"/>
  <c r="O68" i="108"/>
  <c r="P68" i="108"/>
  <c r="O64" i="108"/>
  <c r="P64" i="108"/>
  <c r="O60" i="108"/>
  <c r="P60" i="108"/>
  <c r="AC33" i="108"/>
  <c r="Y33" i="108"/>
  <c r="U33" i="108"/>
  <c r="AC31" i="108"/>
  <c r="Y31" i="108"/>
  <c r="U31" i="108"/>
  <c r="AC30" i="108"/>
  <c r="Y30" i="108"/>
  <c r="U30" i="108"/>
  <c r="AC29" i="108"/>
  <c r="Y29" i="108"/>
  <c r="U29" i="108"/>
  <c r="AC27" i="108"/>
  <c r="Y27" i="108"/>
  <c r="U27" i="108"/>
  <c r="AC26" i="108"/>
  <c r="Y26" i="108"/>
  <c r="U26" i="108"/>
  <c r="AC25" i="108"/>
  <c r="Y25" i="108"/>
  <c r="U25" i="108"/>
  <c r="AC23" i="108"/>
  <c r="Y23" i="108"/>
  <c r="U23" i="108"/>
  <c r="AC22" i="108"/>
  <c r="Y22" i="108"/>
  <c r="U22" i="108"/>
  <c r="O104" i="108"/>
  <c r="O100" i="108"/>
  <c r="C96" i="111"/>
  <c r="C80" i="111"/>
  <c r="C64" i="111"/>
  <c r="E102" i="111"/>
  <c r="E86" i="111"/>
  <c r="AB30" i="111"/>
  <c r="X30" i="111"/>
  <c r="AB29" i="111"/>
  <c r="X29" i="111"/>
  <c r="T29" i="111"/>
  <c r="X28" i="111"/>
  <c r="T28" i="111"/>
  <c r="AB27" i="111"/>
  <c r="T27" i="111"/>
  <c r="X26" i="111"/>
  <c r="AB25" i="111"/>
  <c r="T25" i="111"/>
  <c r="X24" i="111"/>
  <c r="AB23" i="111"/>
  <c r="T23" i="111"/>
  <c r="AB22" i="111"/>
  <c r="X22" i="111"/>
  <c r="AC33" i="107"/>
  <c r="AA31" i="107"/>
  <c r="W31" i="107"/>
  <c r="AB30" i="107"/>
  <c r="X30" i="107"/>
  <c r="T30" i="107"/>
  <c r="AC29" i="107"/>
  <c r="AA27" i="107"/>
  <c r="W27" i="107"/>
  <c r="AB26" i="107"/>
  <c r="X26" i="107"/>
  <c r="T26" i="107"/>
  <c r="AC25" i="107"/>
  <c r="Y25" i="107"/>
  <c r="U25" i="107"/>
  <c r="AA23" i="107"/>
  <c r="W23" i="107"/>
  <c r="AB22" i="107"/>
  <c r="X22" i="107"/>
  <c r="T22" i="107"/>
  <c r="O103" i="108"/>
  <c r="O99" i="108"/>
  <c r="O95" i="108"/>
  <c r="O91" i="108"/>
  <c r="O87" i="108"/>
  <c r="O83" i="108"/>
  <c r="O79" i="108"/>
  <c r="O75" i="108"/>
  <c r="O71" i="108"/>
  <c r="O67" i="108"/>
  <c r="O63" i="108"/>
  <c r="O59" i="108"/>
  <c r="AB32" i="108"/>
  <c r="X32" i="108"/>
  <c r="T32" i="108"/>
  <c r="AB31" i="108"/>
  <c r="X31" i="108"/>
  <c r="T31" i="108"/>
  <c r="AB30" i="108"/>
  <c r="X30" i="108"/>
  <c r="T30" i="108"/>
  <c r="AB28" i="108"/>
  <c r="X28" i="108"/>
  <c r="T28" i="108"/>
  <c r="AB27" i="108"/>
  <c r="X27" i="108"/>
  <c r="T27" i="108"/>
  <c r="AB26" i="108"/>
  <c r="X26" i="108"/>
  <c r="T26" i="108"/>
  <c r="AB24" i="108"/>
  <c r="X24" i="108"/>
  <c r="T24" i="108"/>
  <c r="AB23" i="108"/>
  <c r="X23" i="108"/>
  <c r="T23" i="108"/>
  <c r="AB22" i="108"/>
  <c r="X22" i="108"/>
  <c r="T22" i="108"/>
  <c r="P103" i="108"/>
  <c r="P99" i="108"/>
  <c r="P91" i="108"/>
  <c r="P83" i="108"/>
  <c r="P75" i="108"/>
  <c r="P67" i="108"/>
  <c r="P59" i="108"/>
  <c r="C92" i="111"/>
  <c r="C76" i="111"/>
  <c r="C60" i="111"/>
  <c r="M98" i="111"/>
  <c r="AC32" i="111" s="1"/>
  <c r="AA32" i="111"/>
  <c r="AA31" i="111"/>
  <c r="W31" i="111"/>
  <c r="AA30" i="111"/>
  <c r="W29" i="111"/>
  <c r="AA28" i="111"/>
  <c r="W27" i="111"/>
  <c r="AA26" i="111"/>
  <c r="W26" i="111"/>
  <c r="W25" i="111"/>
  <c r="AA24" i="111"/>
  <c r="W23" i="111"/>
  <c r="AA22" i="111"/>
  <c r="P104" i="107"/>
  <c r="P88" i="107"/>
  <c r="P72" i="107"/>
  <c r="Y32" i="107"/>
  <c r="AA30" i="107"/>
  <c r="W30" i="107"/>
  <c r="AB29" i="107"/>
  <c r="X29" i="107"/>
  <c r="T29" i="107"/>
  <c r="AC28" i="107"/>
  <c r="Y28" i="107"/>
  <c r="U28" i="107"/>
  <c r="AA26" i="107"/>
  <c r="W26" i="107"/>
  <c r="AB25" i="107"/>
  <c r="X25" i="107"/>
  <c r="T25" i="107"/>
  <c r="AC24" i="107"/>
  <c r="Y24" i="107"/>
  <c r="U24" i="107"/>
  <c r="AA22" i="107"/>
  <c r="W22" i="107"/>
  <c r="O58" i="108"/>
  <c r="S33" i="108"/>
  <c r="P102" i="108"/>
  <c r="O98" i="108"/>
  <c r="AE32" i="108" s="1"/>
  <c r="S32" i="108"/>
  <c r="P98" i="108"/>
  <c r="O94" i="108"/>
  <c r="P94" i="108"/>
  <c r="S31" i="108"/>
  <c r="O90" i="108"/>
  <c r="P90" i="108"/>
  <c r="S29" i="108"/>
  <c r="O86" i="108"/>
  <c r="P86" i="108"/>
  <c r="O82" i="108"/>
  <c r="S28" i="108"/>
  <c r="P82" i="108"/>
  <c r="O78" i="108"/>
  <c r="P78" i="108"/>
  <c r="S27" i="108"/>
  <c r="O74" i="108"/>
  <c r="P74" i="108"/>
  <c r="S25" i="108"/>
  <c r="O70" i="108"/>
  <c r="P70" i="108"/>
  <c r="AF25" i="108" s="1"/>
  <c r="O66" i="108"/>
  <c r="S24" i="108"/>
  <c r="P66" i="108"/>
  <c r="AF24" i="108" s="1"/>
  <c r="O62" i="108"/>
  <c r="P62" i="108"/>
  <c r="S23" i="108"/>
  <c r="AA33" i="108"/>
  <c r="W33" i="108"/>
  <c r="AA32" i="108"/>
  <c r="W32" i="108"/>
  <c r="AA31" i="108"/>
  <c r="W31" i="108"/>
  <c r="AA29" i="108"/>
  <c r="W29" i="108"/>
  <c r="AA28" i="108"/>
  <c r="W28" i="108"/>
  <c r="AA27" i="108"/>
  <c r="W27" i="108"/>
  <c r="AA25" i="108"/>
  <c r="W25" i="108"/>
  <c r="AA24" i="108"/>
  <c r="W24" i="108"/>
  <c r="AA23" i="108"/>
  <c r="W23" i="108"/>
  <c r="P58" i="108"/>
  <c r="O102" i="108"/>
  <c r="S26" i="108"/>
  <c r="L11" i="94"/>
  <c r="L12" i="94"/>
  <c r="L13" i="94"/>
  <c r="L14" i="94"/>
  <c r="L15" i="94"/>
  <c r="L16" i="94"/>
  <c r="L17" i="94"/>
  <c r="L18" i="94"/>
  <c r="L19" i="94"/>
  <c r="L20" i="94"/>
  <c r="L21" i="94"/>
  <c r="L22" i="94"/>
  <c r="L23" i="94"/>
  <c r="L24" i="94"/>
  <c r="L25" i="94"/>
  <c r="L26" i="94"/>
  <c r="L27" i="94"/>
  <c r="L28" i="94"/>
  <c r="L29" i="94"/>
  <c r="L30" i="94"/>
  <c r="L31" i="94"/>
  <c r="L32" i="94"/>
  <c r="L33" i="94"/>
  <c r="L34" i="94"/>
  <c r="L35" i="94"/>
  <c r="L36" i="94"/>
  <c r="L37" i="94"/>
  <c r="L38" i="94"/>
  <c r="L39" i="94"/>
  <c r="L40" i="94"/>
  <c r="L41" i="94"/>
  <c r="L42" i="94"/>
  <c r="L43" i="94"/>
  <c r="L44" i="94"/>
  <c r="L45" i="94"/>
  <c r="L46" i="94"/>
  <c r="L47" i="94"/>
  <c r="L48" i="94"/>
  <c r="L49" i="94"/>
  <c r="L50" i="94"/>
  <c r="L51" i="94"/>
  <c r="L52" i="94"/>
  <c r="L53" i="94"/>
  <c r="L54" i="94"/>
  <c r="L55" i="94"/>
  <c r="L56" i="94"/>
  <c r="L57" i="94"/>
  <c r="L10" i="94"/>
  <c r="L11" i="93"/>
  <c r="L12" i="93"/>
  <c r="L13" i="93"/>
  <c r="L14" i="93"/>
  <c r="L15" i="93"/>
  <c r="L16" i="93"/>
  <c r="L17" i="93"/>
  <c r="L18" i="93"/>
  <c r="L19" i="93"/>
  <c r="L20" i="93"/>
  <c r="L21" i="93"/>
  <c r="L22" i="93"/>
  <c r="L23" i="93"/>
  <c r="L24" i="93"/>
  <c r="L25" i="93"/>
  <c r="L26" i="93"/>
  <c r="L27" i="93"/>
  <c r="L28" i="93"/>
  <c r="L29" i="93"/>
  <c r="L30" i="93"/>
  <c r="L31" i="93"/>
  <c r="L32" i="93"/>
  <c r="L33" i="93"/>
  <c r="L34" i="93"/>
  <c r="L35" i="93"/>
  <c r="L36" i="93"/>
  <c r="L37" i="93"/>
  <c r="L38" i="93"/>
  <c r="L39" i="93"/>
  <c r="L40" i="93"/>
  <c r="L41" i="93"/>
  <c r="L42" i="93"/>
  <c r="L43" i="93"/>
  <c r="L44" i="93"/>
  <c r="L45" i="93"/>
  <c r="L46" i="93"/>
  <c r="L47" i="93"/>
  <c r="L48" i="93"/>
  <c r="L49" i="93"/>
  <c r="L50" i="93"/>
  <c r="L51" i="93"/>
  <c r="L52" i="93"/>
  <c r="L53" i="93"/>
  <c r="L54" i="93"/>
  <c r="L55" i="93"/>
  <c r="L56" i="93"/>
  <c r="L57" i="93"/>
  <c r="L10" i="93"/>
  <c r="C3" i="94"/>
  <c r="P88" i="111" l="1"/>
  <c r="AE25" i="108"/>
  <c r="AF31" i="108"/>
  <c r="AF29" i="108"/>
  <c r="AD33" i="111"/>
  <c r="Z29" i="111"/>
  <c r="V28" i="111"/>
  <c r="Z23" i="111"/>
  <c r="O68" i="111"/>
  <c r="O72" i="111"/>
  <c r="V32" i="111"/>
  <c r="AF30" i="107"/>
  <c r="Z25" i="111"/>
  <c r="AE31" i="107"/>
  <c r="O84" i="111"/>
  <c r="V33" i="111"/>
  <c r="O104" i="111"/>
  <c r="AF23" i="108"/>
  <c r="AF32" i="108"/>
  <c r="AE29" i="108"/>
  <c r="U25" i="111"/>
  <c r="X31" i="111"/>
  <c r="AF27" i="108"/>
  <c r="U29" i="111"/>
  <c r="AD24" i="111"/>
  <c r="AE33" i="108"/>
  <c r="Z33" i="111"/>
  <c r="AE28" i="107"/>
  <c r="Y28" i="111"/>
  <c r="AF32" i="107"/>
  <c r="AF22" i="107"/>
  <c r="P68" i="111"/>
  <c r="AE27" i="108"/>
  <c r="U33" i="111"/>
  <c r="AE23" i="107"/>
  <c r="P104" i="111"/>
  <c r="AE27" i="107"/>
  <c r="AF24" i="107"/>
  <c r="AE31" i="108"/>
  <c r="AE26" i="107"/>
  <c r="AE23" i="108"/>
  <c r="V24" i="111"/>
  <c r="O95" i="111"/>
  <c r="P95" i="111"/>
  <c r="O103" i="111"/>
  <c r="P103" i="111"/>
  <c r="AE28" i="108"/>
  <c r="AF30" i="108"/>
  <c r="AF33" i="108"/>
  <c r="O60" i="111"/>
  <c r="P60" i="111"/>
  <c r="O96" i="111"/>
  <c r="P96" i="111"/>
  <c r="O59" i="111"/>
  <c r="P59" i="111"/>
  <c r="O99" i="111"/>
  <c r="P99" i="111"/>
  <c r="AE29" i="107"/>
  <c r="O89" i="111"/>
  <c r="P89" i="111"/>
  <c r="AE32" i="107"/>
  <c r="O66" i="111"/>
  <c r="S24" i="111"/>
  <c r="P66" i="111"/>
  <c r="O98" i="111"/>
  <c r="P98" i="111"/>
  <c r="S32" i="111"/>
  <c r="O83" i="111"/>
  <c r="P83" i="111"/>
  <c r="O77" i="111"/>
  <c r="P77" i="111"/>
  <c r="AF23" i="107"/>
  <c r="S25" i="111"/>
  <c r="O70" i="111"/>
  <c r="P70" i="111"/>
  <c r="AF29" i="107"/>
  <c r="O91" i="111"/>
  <c r="P91" i="111"/>
  <c r="O65" i="111"/>
  <c r="P65" i="111"/>
  <c r="O97" i="111"/>
  <c r="P97" i="111"/>
  <c r="S26" i="111"/>
  <c r="O74" i="111"/>
  <c r="P74" i="111"/>
  <c r="S22" i="111"/>
  <c r="P58" i="111"/>
  <c r="O58" i="111"/>
  <c r="O85" i="111"/>
  <c r="P85" i="111"/>
  <c r="AF25" i="107"/>
  <c r="S31" i="111"/>
  <c r="O94" i="111"/>
  <c r="AE31" i="111" s="1"/>
  <c r="P94" i="111"/>
  <c r="AF22" i="108"/>
  <c r="AE24" i="108"/>
  <c r="AF26" i="108"/>
  <c r="AE30" i="108"/>
  <c r="O76" i="111"/>
  <c r="P76" i="111"/>
  <c r="O87" i="111"/>
  <c r="P87" i="111"/>
  <c r="O81" i="111"/>
  <c r="P81" i="111"/>
  <c r="AF26" i="107"/>
  <c r="AF28" i="107"/>
  <c r="S30" i="111"/>
  <c r="O90" i="111"/>
  <c r="P90" i="111"/>
  <c r="AE22" i="107"/>
  <c r="O71" i="111"/>
  <c r="P71" i="111"/>
  <c r="O69" i="111"/>
  <c r="P69" i="111"/>
  <c r="O101" i="111"/>
  <c r="P101" i="111"/>
  <c r="S23" i="111"/>
  <c r="O62" i="111"/>
  <c r="P62" i="111"/>
  <c r="AF27" i="107"/>
  <c r="S29" i="111"/>
  <c r="O86" i="111"/>
  <c r="P86" i="111"/>
  <c r="AF33" i="107"/>
  <c r="O75" i="111"/>
  <c r="P75" i="111"/>
  <c r="O80" i="111"/>
  <c r="P80" i="111"/>
  <c r="O67" i="111"/>
  <c r="P67" i="111"/>
  <c r="AE26" i="108"/>
  <c r="AF28" i="108"/>
  <c r="AE22" i="108"/>
  <c r="O92" i="111"/>
  <c r="P92" i="111"/>
  <c r="O64" i="111"/>
  <c r="P64" i="111"/>
  <c r="O79" i="111"/>
  <c r="P79" i="111"/>
  <c r="AE25" i="107"/>
  <c r="AE33" i="107"/>
  <c r="O73" i="111"/>
  <c r="P73" i="111"/>
  <c r="O105" i="111"/>
  <c r="P105" i="111"/>
  <c r="AE24" i="107"/>
  <c r="O82" i="111"/>
  <c r="P82" i="111"/>
  <c r="S28" i="111"/>
  <c r="O63" i="111"/>
  <c r="P63" i="111"/>
  <c r="O61" i="111"/>
  <c r="P61" i="111"/>
  <c r="O93" i="111"/>
  <c r="P93" i="111"/>
  <c r="S27" i="111"/>
  <c r="O78" i="111"/>
  <c r="P78" i="111"/>
  <c r="AF31" i="107"/>
  <c r="S33" i="111"/>
  <c r="O102" i="111"/>
  <c r="P102" i="111"/>
  <c r="L58" i="93"/>
  <c r="K6" i="98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AF31" i="111" l="1"/>
  <c r="AE33" i="111"/>
  <c r="AE28" i="111"/>
  <c r="AF33" i="111"/>
  <c r="AF27" i="111"/>
  <c r="AE24" i="111"/>
  <c r="AE29" i="111"/>
  <c r="AF32" i="111"/>
  <c r="AE23" i="111"/>
  <c r="AE25" i="111"/>
  <c r="AE27" i="111"/>
  <c r="AF30" i="111"/>
  <c r="AF26" i="111"/>
  <c r="AE32" i="111"/>
  <c r="AF28" i="111"/>
  <c r="AE30" i="111"/>
  <c r="AE22" i="111"/>
  <c r="AE26" i="111"/>
  <c r="AF24" i="111"/>
  <c r="AF29" i="111"/>
  <c r="AF23" i="111"/>
  <c r="AF22" i="111"/>
  <c r="AF25" i="111"/>
  <c r="K6" i="107"/>
  <c r="K6" i="104"/>
  <c r="K6" i="108" s="1"/>
  <c r="K6" i="111" s="1"/>
  <c r="K5" i="107"/>
  <c r="K5" i="104"/>
  <c r="K5" i="108" s="1"/>
  <c r="K5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Z19" i="105"/>
  <c r="Z39" i="105" s="1"/>
  <c r="Y19" i="105"/>
  <c r="X19" i="105"/>
  <c r="W19" i="105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W27" i="99" l="1"/>
  <c r="W39" i="101"/>
  <c r="X27" i="103"/>
  <c r="AD38" i="101"/>
  <c r="Y39" i="109"/>
  <c r="V39" i="105"/>
  <c r="W39" i="105"/>
  <c r="AA39" i="105"/>
  <c r="U39" i="109"/>
  <c r="AC39" i="109"/>
  <c r="AA27" i="99"/>
  <c r="X39" i="105"/>
  <c r="X26" i="98"/>
  <c r="AA26" i="95"/>
  <c r="AA39" i="101"/>
  <c r="AD39" i="10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X26" i="103" s="1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F106" i="107" s="1"/>
  <c r="G10" i="107"/>
  <c r="H10" i="107"/>
  <c r="I10" i="107"/>
  <c r="J10" i="107"/>
  <c r="J106" i="107" s="1"/>
  <c r="K10" i="107"/>
  <c r="L10" i="107"/>
  <c r="M10" i="107"/>
  <c r="N10" i="107"/>
  <c r="N106" i="107" s="1"/>
  <c r="C10" i="107"/>
  <c r="AF32" i="101" l="1"/>
  <c r="K106" i="107"/>
  <c r="U38" i="109"/>
  <c r="C106" i="107"/>
  <c r="G106" i="107"/>
  <c r="Y38" i="105"/>
  <c r="D106" i="108"/>
  <c r="V19" i="108"/>
  <c r="X23" i="103"/>
  <c r="AF33" i="101"/>
  <c r="K106" i="108"/>
  <c r="M106" i="107"/>
  <c r="I106" i="107"/>
  <c r="H106" i="108"/>
  <c r="N106" i="108"/>
  <c r="I106" i="108"/>
  <c r="E106" i="107"/>
  <c r="L106" i="107"/>
  <c r="H106" i="107"/>
  <c r="D106" i="107"/>
  <c r="L106" i="108"/>
  <c r="J106" i="108"/>
  <c r="G106" i="108"/>
  <c r="AF25" i="101"/>
  <c r="S38" i="105"/>
  <c r="C106" i="108"/>
  <c r="F106" i="108"/>
  <c r="M106" i="108"/>
  <c r="E106" i="108"/>
  <c r="Z26" i="95"/>
  <c r="AF28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V39" i="107" s="1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S36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O10" i="107"/>
  <c r="X35" i="105"/>
  <c r="U39" i="107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V22" i="93" l="1"/>
  <c r="AE24" i="98"/>
  <c r="X41" i="107"/>
  <c r="O106" i="107"/>
  <c r="H108" i="107" s="1"/>
  <c r="Y41" i="107"/>
  <c r="Z41" i="107"/>
  <c r="AB41" i="107"/>
  <c r="V36" i="108"/>
  <c r="AA41" i="107"/>
  <c r="N106" i="111"/>
  <c r="V41" i="107"/>
  <c r="AD39" i="107"/>
  <c r="G106" i="111"/>
  <c r="AD41" i="107"/>
  <c r="K106" i="111"/>
  <c r="S41" i="107"/>
  <c r="AC41" i="107"/>
  <c r="W41" i="108"/>
  <c r="Y41" i="108"/>
  <c r="Z41" i="108"/>
  <c r="V41" i="108"/>
  <c r="F106" i="111"/>
  <c r="AD12" i="111"/>
  <c r="M106" i="111"/>
  <c r="D106" i="111"/>
  <c r="P106" i="107"/>
  <c r="C107" i="107" s="1"/>
  <c r="T41" i="107"/>
  <c r="P106" i="108"/>
  <c r="O106" i="108"/>
  <c r="H108" i="108" s="1"/>
  <c r="X42" i="109"/>
  <c r="AB41" i="108"/>
  <c r="X41" i="108"/>
  <c r="H106" i="111"/>
  <c r="T12" i="111"/>
  <c r="T13" i="111"/>
  <c r="C106" i="111"/>
  <c r="J106" i="111"/>
  <c r="U41" i="107"/>
  <c r="U41" i="108"/>
  <c r="AC41" i="108"/>
  <c r="T41" i="108"/>
  <c r="AD41" i="108"/>
  <c r="E106" i="111"/>
  <c r="L106" i="111"/>
  <c r="W41" i="107"/>
  <c r="S41" i="108"/>
  <c r="AA41" i="108"/>
  <c r="I106" i="111"/>
  <c r="AF10" i="108"/>
  <c r="U36" i="107"/>
  <c r="Y34" i="108"/>
  <c r="S42" i="110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U36" i="108"/>
  <c r="V36" i="107"/>
  <c r="AD37" i="107"/>
  <c r="AD35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AF21" i="93"/>
  <c r="AE20" i="93"/>
  <c r="AE18" i="93"/>
  <c r="AE16" i="93"/>
  <c r="AE14" i="93"/>
  <c r="AE12" i="93"/>
  <c r="AE11" i="93"/>
  <c r="O58" i="93"/>
  <c r="AE10" i="93"/>
  <c r="AE21" i="93"/>
  <c r="AE19" i="93"/>
  <c r="AE17" i="93"/>
  <c r="AE15" i="93"/>
  <c r="AE13" i="93"/>
  <c r="AA42" i="107" l="1"/>
  <c r="Y42" i="107"/>
  <c r="Z42" i="107"/>
  <c r="V42" i="107"/>
  <c r="Y42" i="108"/>
  <c r="AE41" i="107"/>
  <c r="S41" i="111"/>
  <c r="AA42" i="108"/>
  <c r="U42" i="107"/>
  <c r="AA41" i="111"/>
  <c r="AD41" i="111"/>
  <c r="O106" i="111"/>
  <c r="K108" i="111" s="1"/>
  <c r="X41" i="111"/>
  <c r="AB41" i="111"/>
  <c r="P106" i="111"/>
  <c r="K107" i="111" s="1"/>
  <c r="Z41" i="111"/>
  <c r="S42" i="108"/>
  <c r="W42" i="108"/>
  <c r="AE41" i="108"/>
  <c r="AC41" i="111"/>
  <c r="T41" i="111"/>
  <c r="AF41" i="108"/>
  <c r="W42" i="107"/>
  <c r="AC42" i="108"/>
  <c r="V42" i="108"/>
  <c r="AC42" i="107"/>
  <c r="AF41" i="107"/>
  <c r="Y41" i="111"/>
  <c r="U41" i="111"/>
  <c r="V41" i="111"/>
  <c r="W41" i="111"/>
  <c r="U42" i="108"/>
  <c r="Z42" i="108"/>
  <c r="S42" i="107"/>
  <c r="G59" i="93"/>
  <c r="L59" i="93"/>
  <c r="C60" i="93"/>
  <c r="L60" i="93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F59" i="93"/>
  <c r="J59" i="93"/>
  <c r="E59" i="93"/>
  <c r="H59" i="93"/>
  <c r="K59" i="93"/>
  <c r="N59" i="93"/>
  <c r="I59" i="93"/>
  <c r="N107" i="111" l="1"/>
  <c r="AF34" i="111"/>
  <c r="AF41" i="111"/>
  <c r="U42" i="111"/>
  <c r="AE41" i="111"/>
  <c r="Y42" i="111"/>
  <c r="AC42" i="111"/>
  <c r="Z42" i="111"/>
  <c r="AF37" i="111"/>
  <c r="W42" i="111"/>
  <c r="AF42" i="107"/>
  <c r="AE42" i="108"/>
  <c r="S42" i="111"/>
  <c r="V42" i="111"/>
  <c r="AF42" i="108"/>
  <c r="AA42" i="111"/>
  <c r="AE42" i="107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E42" i="111" l="1"/>
  <c r="AF42" i="111"/>
</calcChain>
</file>

<file path=xl/sharedStrings.xml><?xml version="1.0" encoding="utf-8"?>
<sst xmlns="http://schemas.openxmlformats.org/spreadsheetml/2006/main" count="2322" uniqueCount="177">
  <si>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</si>
  <si>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</si>
  <si>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</si>
  <si>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</si>
  <si>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</si>
  <si>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</si>
  <si>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</si>
  <si>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</si>
  <si>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</si>
  <si>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</si>
  <si>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</si>
  <si>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</si>
  <si>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</si>
  <si>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</si>
  <si>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</si>
  <si>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</si>
  <si>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</si>
  <si>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</si>
  <si>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</si>
  <si>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</si>
  <si>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</si>
  <si>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</si>
  <si>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</si>
  <si>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</si>
  <si>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</si>
  <si>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</si>
  <si>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</si>
  <si>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</si>
  <si>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</si>
  <si>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</si>
  <si>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</si>
  <si>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</si>
  <si>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</si>
  <si>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</si>
  <si>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</si>
  <si>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</si>
  <si>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</si>
  <si>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</si>
  <si>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</si>
  <si>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</si>
  <si>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</si>
  <si>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</si>
  <si>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</si>
  <si>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</si>
  <si>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</si>
  <si>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</si>
  <si>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</si>
  <si>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</si>
  <si>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</si>
  <si>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</si>
  <si>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</si>
  <si>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</si>
  <si>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</si>
  <si>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</si>
  <si>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</si>
  <si>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</si>
  <si>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</si>
  <si>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</si>
  <si>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</si>
  <si>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</si>
  <si>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</si>
  <si>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</si>
  <si>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</si>
  <si>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</si>
  <si>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</si>
  <si>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</si>
  <si>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</si>
  <si>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</si>
  <si>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</si>
  <si>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</si>
  <si>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</si>
  <si>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</si>
  <si>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</si>
  <si>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</si>
  <si>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</si>
  <si>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</si>
  <si>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</si>
  <si>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</si>
  <si>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</si>
  <si>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</si>
  <si>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</si>
  <si>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</si>
  <si>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</si>
  <si>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</si>
  <si>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</si>
  <si>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</si>
  <si>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</si>
  <si>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</si>
  <si>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</si>
  <si>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</si>
  <si>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</si>
  <si>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</si>
  <si>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</si>
  <si>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</si>
  <si>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</si>
  <si>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</si>
  <si>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</si>
  <si>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</si>
  <si>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</si>
  <si>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</si>
  <si>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</si>
  <si>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</si>
  <si>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</si>
  <si>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</si>
  <si>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</si>
  <si>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</si>
  <si>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</si>
  <si>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</si>
  <si>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</si>
  <si>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</si>
  <si>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</si>
  <si>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</si>
  <si>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</si>
  <si>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</si>
  <si>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</si>
  <si>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</si>
  <si>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</si>
  <si>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</si>
  <si>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</si>
  <si>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</si>
  <si>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</si>
  <si>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</si>
  <si>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</si>
  <si>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</si>
  <si>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</si>
  <si>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</si>
  <si>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</si>
  <si>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</si>
  <si>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</si>
  <si>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</si>
  <si>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</si>
  <si>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</si>
  <si>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</si>
  <si>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</si>
  <si>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</si>
  <si>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</si>
  <si>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</si>
  <si>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</si>
  <si>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</si>
  <si>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</si>
  <si>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</si>
  <si>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</si>
  <si>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</si>
  <si>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</si>
  <si>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</si>
  <si>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</si>
  <si>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</si>
  <si>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</si>
  <si>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</si>
  <si>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</si>
  <si>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</si>
  <si>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</si>
  <si>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</si>
  <si>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</si>
  <si>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</si>
  <si>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</si>
  <si>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</si>
  <si>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</si>
  <si>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</si>
  <si>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</si>
  <si>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</si>
  <si>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</si>
  <si>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Kibuye</t>
  </si>
  <si>
    <t>Makindye</t>
  </si>
  <si>
    <t>23.07.19</t>
  </si>
  <si>
    <t>24.07.19</t>
  </si>
  <si>
    <t>25.07.19</t>
  </si>
  <si>
    <t>26.07.19</t>
  </si>
  <si>
    <t>27.07.19</t>
  </si>
  <si>
    <t>28.07.19</t>
  </si>
  <si>
    <t>AVERAGE WEEK</t>
  </si>
  <si>
    <t>11.08.19</t>
  </si>
  <si>
    <t>KAMPALA</t>
  </si>
  <si>
    <t>BUSUNJU</t>
  </si>
  <si>
    <t>WAKISO</t>
  </si>
  <si>
    <t>MCC-C3-STN-HOIMA ROAD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</si>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</sst>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0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'11.8 KAMPALA-BUSUNJU'!$AE$9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'11.8 KAMPALA-BUSUNJU'!$R$10:$R$21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'11.8 KAMPALA-BUSUNJU'!$AE$10:$AE$21</c:f>
              <c:numCache>
                <c:formatCode>0</c:formatCode>
                <c:ptCount val="12"/>
                <c:pt idx="0">
                  <c:v>3</c:v>
                </c:pt>
                <c:pt idx="1">
                  <c:v>8</c:v>
                </c:pt>
                <c:pt idx="2">
                  <c:v>13</c:v>
                </c:pt>
                <c:pt idx="3">
                  <c:v>11</c:v>
                </c:pt>
                <c:pt idx="4">
                  <c:v>15</c:v>
                </c:pt>
                <c:pt idx="5">
                  <c:v>13</c:v>
                </c:pt>
                <c:pt idx="6">
                  <c:v>11</c:v>
                </c:pt>
                <c:pt idx="7">
                  <c:v>9</c:v>
                </c:pt>
                <c:pt idx="8">
                  <c:v>13</c:v>
                </c:pt>
                <c:pt idx="9">
                  <c:v>5</c:v>
                </c:pt>
                <c:pt idx="10">
                  <c:v>12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'11.8 KAMPALA-BUSUNJU'!$AF$9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'11.8 KAMPALA-BUSUNJU'!$R$10:$R$21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'11.8 KAMPALA-BUSUNJU'!$AF$10:$AF$21</c:f>
              <c:numCache>
                <c:formatCode>0</c:formatCode>
                <c:ptCount val="12"/>
                <c:pt idx="0">
                  <c:v>47</c:v>
                </c:pt>
                <c:pt idx="1">
                  <c:v>59</c:v>
                </c:pt>
                <c:pt idx="2">
                  <c:v>88</c:v>
                </c:pt>
                <c:pt idx="3">
                  <c:v>84</c:v>
                </c:pt>
                <c:pt idx="4">
                  <c:v>100</c:v>
                </c:pt>
                <c:pt idx="5">
                  <c:v>77</c:v>
                </c:pt>
                <c:pt idx="6">
                  <c:v>59</c:v>
                </c:pt>
                <c:pt idx="7">
                  <c:v>61</c:v>
                </c:pt>
                <c:pt idx="8">
                  <c:v>68</c:v>
                </c:pt>
                <c:pt idx="9">
                  <c:v>59</c:v>
                </c:pt>
                <c:pt idx="10">
                  <c:v>74</c:v>
                </c:pt>
                <c:pt idx="11">
                  <c:v>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125376"/>
        <c:axId val="103127296"/>
      </c:lineChart>
      <c:catAx>
        <c:axId val="1031253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3127296"/>
        <c:crosses val="autoZero"/>
        <c:auto val="1"/>
        <c:lblAlgn val="ctr"/>
        <c:lblOffset val="100"/>
        <c:noMultiLvlLbl val="0"/>
      </c:catAx>
      <c:valAx>
        <c:axId val="1031272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312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'11.8 KAMPALA-BUSUNJU'!$C$9:$N$9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'11.8 KAMPALA-BUSUNJU'!$C$59:$N$59</c:f>
              <c:numCache>
                <c:formatCode>0.0%</c:formatCode>
                <c:ptCount val="12"/>
                <c:pt idx="0">
                  <c:v>6.8925233644859807E-2</c:v>
                </c:pt>
                <c:pt idx="1">
                  <c:v>0</c:v>
                </c:pt>
                <c:pt idx="2">
                  <c:v>4.6728971962616821E-2</c:v>
                </c:pt>
                <c:pt idx="3">
                  <c:v>1.2850467289719626E-2</c:v>
                </c:pt>
                <c:pt idx="4">
                  <c:v>0</c:v>
                </c:pt>
                <c:pt idx="5">
                  <c:v>0</c:v>
                </c:pt>
                <c:pt idx="6">
                  <c:v>9.3457943925233638E-3</c:v>
                </c:pt>
                <c:pt idx="7">
                  <c:v>1.6355140186915886E-2</c:v>
                </c:pt>
                <c:pt idx="8">
                  <c:v>0</c:v>
                </c:pt>
                <c:pt idx="9">
                  <c:v>0</c:v>
                </c:pt>
                <c:pt idx="10">
                  <c:v>0.84579439252336452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'11.8 KAMPALA-BUSUNJU'!$C$9:$N$9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'11.8 KAMPALA-BUSUNJU'!$C$60:$N$60</c:f>
              <c:numCache>
                <c:formatCode>0.00%</c:formatCode>
                <c:ptCount val="12"/>
                <c:pt idx="0">
                  <c:v>0.44696969696969696</c:v>
                </c:pt>
                <c:pt idx="1">
                  <c:v>0</c:v>
                </c:pt>
                <c:pt idx="2">
                  <c:v>0.30303030303030304</c:v>
                </c:pt>
                <c:pt idx="3">
                  <c:v>8.3333333333333329E-2</c:v>
                </c:pt>
                <c:pt idx="4">
                  <c:v>0</c:v>
                </c:pt>
                <c:pt idx="5">
                  <c:v>0</c:v>
                </c:pt>
                <c:pt idx="6">
                  <c:v>6.0606060606060608E-2</c:v>
                </c:pt>
                <c:pt idx="7">
                  <c:v>0.10606060606060606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'11.8 BUSUNJU-KAMPALA'!$AE$9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'11.8 BUSUNJU-KAMPALA'!$R$10:$R$21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'11.8 BUSUNJU-KAMPALA'!$AE$10:$AE$21</c:f>
              <c:numCache>
                <c:formatCode>0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12</c:v>
                </c:pt>
                <c:pt idx="3">
                  <c:v>15</c:v>
                </c:pt>
                <c:pt idx="4">
                  <c:v>20</c:v>
                </c:pt>
                <c:pt idx="5">
                  <c:v>13</c:v>
                </c:pt>
                <c:pt idx="6">
                  <c:v>17</c:v>
                </c:pt>
                <c:pt idx="7">
                  <c:v>12</c:v>
                </c:pt>
                <c:pt idx="8">
                  <c:v>13</c:v>
                </c:pt>
                <c:pt idx="9">
                  <c:v>15</c:v>
                </c:pt>
                <c:pt idx="10">
                  <c:v>8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'11.8 BUSUNJU-KAMPALA'!$AF$9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'11.8 BUSUNJU-KAMPALA'!$R$10:$R$21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'11.8 BUSUNJU-KAMPALA'!$AF$10:$AF$21</c:f>
              <c:numCache>
                <c:formatCode>0</c:formatCode>
                <c:ptCount val="12"/>
                <c:pt idx="0">
                  <c:v>38</c:v>
                </c:pt>
                <c:pt idx="1">
                  <c:v>54</c:v>
                </c:pt>
                <c:pt idx="2">
                  <c:v>79</c:v>
                </c:pt>
                <c:pt idx="3">
                  <c:v>92</c:v>
                </c:pt>
                <c:pt idx="4">
                  <c:v>90</c:v>
                </c:pt>
                <c:pt idx="5">
                  <c:v>80</c:v>
                </c:pt>
                <c:pt idx="6">
                  <c:v>62</c:v>
                </c:pt>
                <c:pt idx="7">
                  <c:v>69</c:v>
                </c:pt>
                <c:pt idx="8">
                  <c:v>70</c:v>
                </c:pt>
                <c:pt idx="9">
                  <c:v>71</c:v>
                </c:pt>
                <c:pt idx="10">
                  <c:v>74</c:v>
                </c:pt>
                <c:pt idx="11">
                  <c:v>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663872"/>
        <c:axId val="104681856"/>
      </c:lineChart>
      <c:catAx>
        <c:axId val="1036638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4681856"/>
        <c:crosses val="autoZero"/>
        <c:auto val="1"/>
        <c:lblAlgn val="ctr"/>
        <c:lblOffset val="100"/>
        <c:noMultiLvlLbl val="0"/>
      </c:catAx>
      <c:valAx>
        <c:axId val="1046818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366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'11.8 BUSUNJU-KAMPALA'!$C$9:$N$9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'11.8 BUSUNJU-KAMPALA'!$C$59:$N$59</c:f>
              <c:numCache>
                <c:formatCode>0.0%</c:formatCode>
                <c:ptCount val="12"/>
                <c:pt idx="0">
                  <c:v>6.9524913093858637E-2</c:v>
                </c:pt>
                <c:pt idx="1">
                  <c:v>0</c:v>
                </c:pt>
                <c:pt idx="2">
                  <c:v>5.4461181923522596E-2</c:v>
                </c:pt>
                <c:pt idx="3">
                  <c:v>1.5063731170336037E-2</c:v>
                </c:pt>
                <c:pt idx="4">
                  <c:v>0</c:v>
                </c:pt>
                <c:pt idx="5">
                  <c:v>0</c:v>
                </c:pt>
                <c:pt idx="6">
                  <c:v>3.8238702201622246E-2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0.82271147161066049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'11.8 BUSUNJU-KAMPALA'!$S$9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'11.8 BUSUNJU-KAMPALA'!$R$10:$R$21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'11.8 BUSUNJU-KAMPALA'!$S$10:$S$21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6</c:v>
                </c:pt>
                <c:pt idx="3">
                  <c:v>4</c:v>
                </c:pt>
                <c:pt idx="4">
                  <c:v>6</c:v>
                </c:pt>
                <c:pt idx="5">
                  <c:v>4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7</c:v>
                </c:pt>
                <c:pt idx="10">
                  <c:v>4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'11.8 BUSUNJU-KAMPALA'!$T$9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'11.8 BUSUNJU-KAMPALA'!$R$10:$R$21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'11.8 BUSUNJU-KAMPALA'!$T$10:$T$21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'11.8 BUSUNJU-KAMPALA'!$U$9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'11.8 BUSUNJU-KAMPALA'!$U$10:$U$21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5</c:v>
                </c:pt>
                <c:pt idx="4">
                  <c:v>7</c:v>
                </c:pt>
                <c:pt idx="5">
                  <c:v>4</c:v>
                </c:pt>
                <c:pt idx="6">
                  <c:v>7</c:v>
                </c:pt>
                <c:pt idx="7">
                  <c:v>7</c:v>
                </c:pt>
                <c:pt idx="8">
                  <c:v>4</c:v>
                </c:pt>
                <c:pt idx="9">
                  <c:v>5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'11.8 BUSUNJU-KAMPALA'!$V$9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'11.8 BUSUNJU-KAMPALA'!$V$10:$V$21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'11.8 BUSUNJU-KAMPALA'!$W$9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'11.8 BUSUNJU-KAMPALA'!$W$10:$W$21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'11.8 BUSUNJU-KAMPALA'!$X$9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'11.8 BUSUNJU-KAMPALA'!$X$10:$X$21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'11.8 BUSUNJU-KAMPALA'!$Y$9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'11.8 BUSUNJU-KAMPALA'!$Y$10:$Y$21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0</c:v>
                </c:pt>
                <c:pt idx="8">
                  <c:v>4</c:v>
                </c:pt>
                <c:pt idx="9">
                  <c:v>2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'11.8 BUSUNJU-KAMPALA'!$Z$9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'11.8 BUSUNJU-KAMPALA'!$Z$10:$Z$21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'11.8 BUSUNJU-KAMPALA'!$AA$9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'11.8 BUSUNJU-KAMPALA'!$AA$10:$AA$21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'11.8 BUSUNJU-KAMPALA'!$AB$9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'11.8 BUSUNJU-KAMPALA'!$AB$10:$AB$21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'11.8 BUSUNJU-KAMPALA'!$AC$9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'11.8 BUSUNJU-KAMPALA'!$AC$10:$AC$21</c:f>
              <c:numCache>
                <c:formatCode>0</c:formatCode>
                <c:ptCount val="12"/>
                <c:pt idx="0">
                  <c:v>32</c:v>
                </c:pt>
                <c:pt idx="1">
                  <c:v>50</c:v>
                </c:pt>
                <c:pt idx="2">
                  <c:v>67</c:v>
                </c:pt>
                <c:pt idx="3">
                  <c:v>77</c:v>
                </c:pt>
                <c:pt idx="4">
                  <c:v>70</c:v>
                </c:pt>
                <c:pt idx="5">
                  <c:v>67</c:v>
                </c:pt>
                <c:pt idx="6">
                  <c:v>45</c:v>
                </c:pt>
                <c:pt idx="7">
                  <c:v>57</c:v>
                </c:pt>
                <c:pt idx="8">
                  <c:v>57</c:v>
                </c:pt>
                <c:pt idx="9">
                  <c:v>56</c:v>
                </c:pt>
                <c:pt idx="10">
                  <c:v>66</c:v>
                </c:pt>
                <c:pt idx="11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'11.8 BUSUNJU-KAMPALA'!$AD$9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'11.8 BUSUNJU-KAMPALA'!$AD$10:$AD$21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546880"/>
        <c:axId val="103548416"/>
      </c:lineChart>
      <c:catAx>
        <c:axId val="103546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3548416"/>
        <c:crosses val="autoZero"/>
        <c:auto val="1"/>
        <c:lblAlgn val="ctr"/>
        <c:lblOffset val="100"/>
        <c:noMultiLvlLbl val="0"/>
      </c:catAx>
      <c:valAx>
        <c:axId val="10354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3546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'11.8 BUSUNJU-KAMPALA'!$C$9:$N$9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'11.8 BUSUNJU-KAMPALA'!$C$60:$N$60</c:f>
              <c:numCache>
                <c:formatCode>0.00%</c:formatCode>
                <c:ptCount val="12"/>
                <c:pt idx="0">
                  <c:v>0.39215686274509803</c:v>
                </c:pt>
                <c:pt idx="1">
                  <c:v>0</c:v>
                </c:pt>
                <c:pt idx="2">
                  <c:v>0.30718954248366015</c:v>
                </c:pt>
                <c:pt idx="3">
                  <c:v>8.4967320261437912E-2</c:v>
                </c:pt>
                <c:pt idx="4">
                  <c:v>0</c:v>
                </c:pt>
                <c:pt idx="5">
                  <c:v>0</c:v>
                </c:pt>
                <c:pt idx="6">
                  <c:v>0.21568627450980393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'12.8 BUSUNJU-KAMPALA'!$AE$9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'12.8 BUSUNJU-KAMPALA'!$R$10:$R$21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'12.8 BUSUNJU-KAMPALA'!$AE$10:$AE$21</c:f>
              <c:numCache>
                <c:formatCode>0</c:formatCode>
                <c:ptCount val="12"/>
                <c:pt idx="0">
                  <c:v>16</c:v>
                </c:pt>
                <c:pt idx="1">
                  <c:v>12</c:v>
                </c:pt>
                <c:pt idx="2">
                  <c:v>7</c:v>
                </c:pt>
                <c:pt idx="3">
                  <c:v>11</c:v>
                </c:pt>
                <c:pt idx="4">
                  <c:v>8</c:v>
                </c:pt>
                <c:pt idx="5">
                  <c:v>12</c:v>
                </c:pt>
                <c:pt idx="6">
                  <c:v>13</c:v>
                </c:pt>
                <c:pt idx="7">
                  <c:v>8</c:v>
                </c:pt>
                <c:pt idx="8">
                  <c:v>4</c:v>
                </c:pt>
                <c:pt idx="9">
                  <c:v>10</c:v>
                </c:pt>
                <c:pt idx="10">
                  <c:v>12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'12.8 BUSUNJU-KAMPALA'!$AF$9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'12.8 BUSUNJU-KAMPALA'!$R$10:$R$21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'12.8 BUSUNJU-KAMPALA'!$AF$10:$AF$21</c:f>
              <c:numCache>
                <c:formatCode>0</c:formatCode>
                <c:ptCount val="12"/>
                <c:pt idx="0">
                  <c:v>48</c:v>
                </c:pt>
                <c:pt idx="1">
                  <c:v>62</c:v>
                </c:pt>
                <c:pt idx="2">
                  <c:v>74</c:v>
                </c:pt>
                <c:pt idx="3">
                  <c:v>88</c:v>
                </c:pt>
                <c:pt idx="4">
                  <c:v>78</c:v>
                </c:pt>
                <c:pt idx="5">
                  <c:v>79</c:v>
                </c:pt>
                <c:pt idx="6">
                  <c:v>58</c:v>
                </c:pt>
                <c:pt idx="7">
                  <c:v>65</c:v>
                </c:pt>
                <c:pt idx="8">
                  <c:v>61</c:v>
                </c:pt>
                <c:pt idx="9">
                  <c:v>66</c:v>
                </c:pt>
                <c:pt idx="10">
                  <c:v>78</c:v>
                </c:pt>
                <c:pt idx="11">
                  <c:v>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957824"/>
        <c:axId val="104976384"/>
      </c:lineChart>
      <c:catAx>
        <c:axId val="1049578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4976384"/>
        <c:crosses val="autoZero"/>
        <c:auto val="1"/>
        <c:lblAlgn val="ctr"/>
        <c:lblOffset val="100"/>
        <c:noMultiLvlLbl val="0"/>
      </c:catAx>
      <c:valAx>
        <c:axId val="104976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4957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'12.8 BUSUNJU-KAMPALA'!$C$9:$N$9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'12.8 BUSUNJU-KAMPALA'!$C$59:$N$59</c:f>
              <c:numCache>
                <c:formatCode>0.0%</c:formatCode>
                <c:ptCount val="12"/>
                <c:pt idx="0">
                  <c:v>4.7044632086851626E-2</c:v>
                </c:pt>
                <c:pt idx="1">
                  <c:v>0</c:v>
                </c:pt>
                <c:pt idx="2">
                  <c:v>4.4632086851628471E-2</c:v>
                </c:pt>
                <c:pt idx="3">
                  <c:v>1.9300361881785282E-2</c:v>
                </c:pt>
                <c:pt idx="4">
                  <c:v>1.2062726176115801E-3</c:v>
                </c:pt>
                <c:pt idx="5">
                  <c:v>0</c:v>
                </c:pt>
                <c:pt idx="6">
                  <c:v>3.1363088057901084E-2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0.856453558504222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'12.8 BUSUNJU-KAMPALA'!$S$9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'12.8 BUSUNJU-KAMPALA'!$R$10:$R$21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'12.8 BUSUNJU-KAMPALA'!$S$10:$S$21</c:f>
              <c:numCache>
                <c:formatCode>0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3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'12.8 BUSUNJU-KAMPALA'!$T$9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'12.8 BUSUNJU-KAMPALA'!$R$10:$R$21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'12.8 BUSUNJU-KAMPALA'!$T$10:$T$21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'12.8 BUSUNJU-KAMPALA'!$U$9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'12.8 BUSUNJU-KAMPALA'!$U$10:$U$21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4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4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'12.8 BUSUNJU-KAMPALA'!$V$9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'12.8 BUSUNJU-KAMPALA'!$V$10:$V$21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'12.8 BUSUNJU-KAMPALA'!$W$9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'12.8 BUSUNJU-KAMPALA'!$W$10:$W$21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'12.8 BUSUNJU-KAMPALA'!$X$9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'12.8 BUSUNJU-KAMPALA'!$X$10:$X$21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'12.8 BUSUNJU-KAMPALA'!$Y$9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'12.8 BUSUNJU-KAMPALA'!$Y$10:$Y$21</c:f>
              <c:numCache>
                <c:formatCode>0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'12.8 BUSUNJU-KAMPALA'!$Z$9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'12.8 BUSUNJU-KAMPALA'!$Z$10:$Z$21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'12.8 BUSUNJU-KAMPALA'!$AA$9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'12.8 BUSUNJU-KAMPALA'!$AA$10:$AA$21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'12.8 BUSUNJU-KAMPALA'!$AB$9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'12.8 BUSUNJU-KAMPALA'!$AB$10:$AB$21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'12.8 BUSUNJU-KAMPALA'!$AC$9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'12.8 BUSUNJU-KAMPALA'!$AC$10:$AC$21</c:f>
              <c:numCache>
                <c:formatCode>0</c:formatCode>
                <c:ptCount val="12"/>
                <c:pt idx="0">
                  <c:v>32</c:v>
                </c:pt>
                <c:pt idx="1">
                  <c:v>50</c:v>
                </c:pt>
                <c:pt idx="2">
                  <c:v>67</c:v>
                </c:pt>
                <c:pt idx="3">
                  <c:v>77</c:v>
                </c:pt>
                <c:pt idx="4">
                  <c:v>70</c:v>
                </c:pt>
                <c:pt idx="5">
                  <c:v>67</c:v>
                </c:pt>
                <c:pt idx="6">
                  <c:v>45</c:v>
                </c:pt>
                <c:pt idx="7">
                  <c:v>57</c:v>
                </c:pt>
                <c:pt idx="8">
                  <c:v>57</c:v>
                </c:pt>
                <c:pt idx="9">
                  <c:v>56</c:v>
                </c:pt>
                <c:pt idx="10">
                  <c:v>66</c:v>
                </c:pt>
                <c:pt idx="11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'12.8 BUSUNJU-KAMPALA'!$AD$9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'12.8 BUSUNJU-KAMPALA'!$AD$10:$AD$21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221504"/>
        <c:axId val="105231488"/>
      </c:lineChart>
      <c:catAx>
        <c:axId val="105221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5231488"/>
        <c:crosses val="autoZero"/>
        <c:auto val="1"/>
        <c:lblAlgn val="ctr"/>
        <c:lblOffset val="100"/>
        <c:noMultiLvlLbl val="0"/>
      </c:catAx>
      <c:valAx>
        <c:axId val="10523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522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'12.8 BUSUNJU-KAMPALA'!$C$9:$N$9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'12.8 BUSUNJU-KAMPALA'!$C$60:$N$60</c:f>
              <c:numCache>
                <c:formatCode>0.00%</c:formatCode>
                <c:ptCount val="12"/>
                <c:pt idx="0">
                  <c:v>0.32773109243697479</c:v>
                </c:pt>
                <c:pt idx="1">
                  <c:v>0</c:v>
                </c:pt>
                <c:pt idx="2">
                  <c:v>0.31092436974789917</c:v>
                </c:pt>
                <c:pt idx="3">
                  <c:v>0.13445378151260504</c:v>
                </c:pt>
                <c:pt idx="4">
                  <c:v>8.4033613445378148E-3</c:v>
                </c:pt>
                <c:pt idx="5">
                  <c:v>0</c:v>
                </c:pt>
                <c:pt idx="6">
                  <c:v>0.21848739495798319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'12.8 KAMPALA-BUSUNJU'!$AE$9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'12.8 KAMPALA-BUSUNJU'!$R$10:$R$21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'12.8 KAMPALA-BUSUNJU'!$AE$10:$AE$21</c:f>
              <c:numCache>
                <c:formatCode>0</c:formatCode>
                <c:ptCount val="12"/>
                <c:pt idx="0">
                  <c:v>11</c:v>
                </c:pt>
                <c:pt idx="1">
                  <c:v>11</c:v>
                </c:pt>
                <c:pt idx="2">
                  <c:v>5</c:v>
                </c:pt>
                <c:pt idx="3">
                  <c:v>13</c:v>
                </c:pt>
                <c:pt idx="4">
                  <c:v>13</c:v>
                </c:pt>
                <c:pt idx="5">
                  <c:v>10</c:v>
                </c:pt>
                <c:pt idx="6">
                  <c:v>16</c:v>
                </c:pt>
                <c:pt idx="7">
                  <c:v>11</c:v>
                </c:pt>
                <c:pt idx="8">
                  <c:v>9</c:v>
                </c:pt>
                <c:pt idx="9">
                  <c:v>16</c:v>
                </c:pt>
                <c:pt idx="10">
                  <c:v>20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'12.8 KAMPALA-BUSUNJU'!$AF$9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'12.8 KAMPALA-BUSUNJU'!$R$10:$R$21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'12.8 KAMPALA-BUSUNJU'!$AF$10:$AF$21</c:f>
              <c:numCache>
                <c:formatCode>0</c:formatCode>
                <c:ptCount val="12"/>
                <c:pt idx="0">
                  <c:v>57</c:v>
                </c:pt>
                <c:pt idx="1">
                  <c:v>77</c:v>
                </c:pt>
                <c:pt idx="2">
                  <c:v>55</c:v>
                </c:pt>
                <c:pt idx="3">
                  <c:v>75</c:v>
                </c:pt>
                <c:pt idx="4">
                  <c:v>60</c:v>
                </c:pt>
                <c:pt idx="5">
                  <c:v>70</c:v>
                </c:pt>
                <c:pt idx="6">
                  <c:v>80</c:v>
                </c:pt>
                <c:pt idx="7">
                  <c:v>57</c:v>
                </c:pt>
                <c:pt idx="8">
                  <c:v>56</c:v>
                </c:pt>
                <c:pt idx="9">
                  <c:v>69</c:v>
                </c:pt>
                <c:pt idx="10">
                  <c:v>69</c:v>
                </c:pt>
                <c:pt idx="11">
                  <c:v>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501632"/>
        <c:axId val="106503552"/>
      </c:lineChart>
      <c:catAx>
        <c:axId val="1065016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6503552"/>
        <c:crosses val="autoZero"/>
        <c:auto val="1"/>
        <c:lblAlgn val="ctr"/>
        <c:lblOffset val="100"/>
        <c:noMultiLvlLbl val="0"/>
      </c:catAx>
      <c:valAx>
        <c:axId val="1065035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6501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'12.8 KAMPALA-BUSUNJU'!$C$9:$N$9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'12.8 KAMPALA-BUSUNJU'!$C$59:$N$59</c:f>
              <c:numCache>
                <c:formatCode>0.0%</c:formatCode>
                <c:ptCount val="12"/>
                <c:pt idx="0">
                  <c:v>5.0649350649350652E-2</c:v>
                </c:pt>
                <c:pt idx="1">
                  <c:v>0</c:v>
                </c:pt>
                <c:pt idx="2">
                  <c:v>4.8051948051948054E-2</c:v>
                </c:pt>
                <c:pt idx="3">
                  <c:v>2.0779220779220779E-2</c:v>
                </c:pt>
                <c:pt idx="4">
                  <c:v>1.2987012987012987E-3</c:v>
                </c:pt>
                <c:pt idx="5">
                  <c:v>0</c:v>
                </c:pt>
                <c:pt idx="6">
                  <c:v>6.2337662337662338E-2</c:v>
                </c:pt>
                <c:pt idx="7">
                  <c:v>1.2987012987012987E-3</c:v>
                </c:pt>
                <c:pt idx="8">
                  <c:v>0</c:v>
                </c:pt>
                <c:pt idx="9">
                  <c:v>0</c:v>
                </c:pt>
                <c:pt idx="10">
                  <c:v>0.81558441558441563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'12.8 KAMPALA-BUSUNJU'!$S$9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'12.8 KAMPALA-BUSUNJU'!$R$10:$R$21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'12.8 KAMPALA-BUSUNJU'!$S$10:$S$21</c:f>
              <c:numCache>
                <c:formatCode>0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3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'12.8 KAMPALA-BUSUNJU'!$T$9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'12.8 KAMPALA-BUSUNJU'!$R$10:$R$21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'12.8 KAMPALA-BUSUNJU'!$T$10:$T$21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'12.8 KAMPALA-BUSUNJU'!$U$9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'12.8 KAMPALA-BUSUNJU'!$U$10:$U$21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4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4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'12.8 KAMPALA-BUSUNJU'!$V$9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'12.8 KAMPALA-BUSUNJU'!$V$10:$V$21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'12.8 KAMPALA-BUSUNJU'!$W$9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'12.8 KAMPALA-BUSUNJU'!$W$10:$W$21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'12.8 KAMPALA-BUSUNJU'!$X$9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'12.8 KAMPALA-BUSUNJU'!$X$10:$X$21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'12.8 KAMPALA-BUSUNJU'!$Y$9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'12.8 KAMPALA-BUSUNJU'!$Y$10:$Y$21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2</c:v>
                </c:pt>
                <c:pt idx="6">
                  <c:v>4</c:v>
                </c:pt>
                <c:pt idx="7">
                  <c:v>3</c:v>
                </c:pt>
                <c:pt idx="8">
                  <c:v>7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'12.8 KAMPALA-BUSUNJU'!$Z$9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'12.8 KAMPALA-BUSUNJU'!$Z$10:$Z$21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'12.8 KAMPALA-BUSUNJU'!$AA$9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'12.8 KAMPALA-BUSUNJU'!$AA$10:$AA$21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'12.8 KAMPALA-BUSUNJU'!$AB$9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'12.8 KAMPALA-BUSUNJU'!$AB$10:$AB$21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'12.8 KAMPALA-BUSUNJU'!$AC$9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'12.8 KAMPALA-BUSUNJU'!$AC$10:$AC$21</c:f>
              <c:numCache>
                <c:formatCode>0</c:formatCode>
                <c:ptCount val="12"/>
                <c:pt idx="0">
                  <c:v>46</c:v>
                </c:pt>
                <c:pt idx="1">
                  <c:v>66</c:v>
                </c:pt>
                <c:pt idx="2">
                  <c:v>50</c:v>
                </c:pt>
                <c:pt idx="3">
                  <c:v>62</c:v>
                </c:pt>
                <c:pt idx="4">
                  <c:v>47</c:v>
                </c:pt>
                <c:pt idx="5">
                  <c:v>60</c:v>
                </c:pt>
                <c:pt idx="6">
                  <c:v>64</c:v>
                </c:pt>
                <c:pt idx="7">
                  <c:v>46</c:v>
                </c:pt>
                <c:pt idx="8">
                  <c:v>47</c:v>
                </c:pt>
                <c:pt idx="9">
                  <c:v>53</c:v>
                </c:pt>
                <c:pt idx="10">
                  <c:v>49</c:v>
                </c:pt>
                <c:pt idx="1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'12.8 KAMPALA-BUSUNJU'!$AD$9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'12.8 KAMPALA-BUSUNJU'!$AD$10:$AD$21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785792"/>
        <c:axId val="106803968"/>
      </c:lineChart>
      <c:catAx>
        <c:axId val="106785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6803968"/>
        <c:crosses val="autoZero"/>
        <c:auto val="1"/>
        <c:lblAlgn val="ctr"/>
        <c:lblOffset val="100"/>
        <c:noMultiLvlLbl val="0"/>
      </c:catAx>
      <c:valAx>
        <c:axId val="10680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6785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'12.8 KAMPALA-BUSUNJU'!$C$9:$N$9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'12.8 KAMPALA-BUSUNJU'!$C$60:$N$60</c:f>
              <c:numCache>
                <c:formatCode>0.00%</c:formatCode>
                <c:ptCount val="12"/>
                <c:pt idx="0">
                  <c:v>0.27464788732394368</c:v>
                </c:pt>
                <c:pt idx="1">
                  <c:v>0</c:v>
                </c:pt>
                <c:pt idx="2">
                  <c:v>0.26056338028169013</c:v>
                </c:pt>
                <c:pt idx="3">
                  <c:v>0.11267605633802817</c:v>
                </c:pt>
                <c:pt idx="4">
                  <c:v>7.0422535211267607E-3</c:v>
                </c:pt>
                <c:pt idx="5">
                  <c:v>0</c:v>
                </c:pt>
                <c:pt idx="6">
                  <c:v>0.3380281690140845</c:v>
                </c:pt>
                <c:pt idx="7">
                  <c:v>7.0422535211267607E-3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'13.8 KAMPALA-BUSUNJU'!$AE$9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'13.8 KAMPALA-BUSUNJU'!$R$10:$R$21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'13.8 KAMPALA-BUSUNJU'!$AE$10:$AE$21</c:f>
              <c:numCache>
                <c:formatCode>0</c:formatCode>
                <c:ptCount val="12"/>
                <c:pt idx="0">
                  <c:v>12</c:v>
                </c:pt>
                <c:pt idx="1">
                  <c:v>14</c:v>
                </c:pt>
                <c:pt idx="2">
                  <c:v>10</c:v>
                </c:pt>
                <c:pt idx="3">
                  <c:v>12</c:v>
                </c:pt>
                <c:pt idx="4">
                  <c:v>12</c:v>
                </c:pt>
                <c:pt idx="5">
                  <c:v>17</c:v>
                </c:pt>
                <c:pt idx="6">
                  <c:v>10</c:v>
                </c:pt>
                <c:pt idx="7">
                  <c:v>15</c:v>
                </c:pt>
                <c:pt idx="8">
                  <c:v>15</c:v>
                </c:pt>
                <c:pt idx="9">
                  <c:v>23</c:v>
                </c:pt>
                <c:pt idx="10">
                  <c:v>29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'13.8 KAMPALA-BUSUNJU'!$AF$9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'13.8 KAMPALA-BUSUNJU'!$R$10:$R$21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'13.8 KAMPALA-BUSUNJU'!$AF$10:$AF$21</c:f>
              <c:numCache>
                <c:formatCode>0</c:formatCode>
                <c:ptCount val="12"/>
                <c:pt idx="0">
                  <c:v>52</c:v>
                </c:pt>
                <c:pt idx="1">
                  <c:v>81</c:v>
                </c:pt>
                <c:pt idx="2">
                  <c:v>73</c:v>
                </c:pt>
                <c:pt idx="3">
                  <c:v>71</c:v>
                </c:pt>
                <c:pt idx="4">
                  <c:v>86</c:v>
                </c:pt>
                <c:pt idx="5">
                  <c:v>96</c:v>
                </c:pt>
                <c:pt idx="6">
                  <c:v>74</c:v>
                </c:pt>
                <c:pt idx="7">
                  <c:v>91</c:v>
                </c:pt>
                <c:pt idx="8">
                  <c:v>97</c:v>
                </c:pt>
                <c:pt idx="9">
                  <c:v>110</c:v>
                </c:pt>
                <c:pt idx="10">
                  <c:v>111</c:v>
                </c:pt>
                <c:pt idx="11">
                  <c:v>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099264"/>
        <c:axId val="107101184"/>
      </c:lineChart>
      <c:catAx>
        <c:axId val="1070992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7101184"/>
        <c:crosses val="autoZero"/>
        <c:auto val="1"/>
        <c:lblAlgn val="ctr"/>
        <c:lblOffset val="100"/>
        <c:noMultiLvlLbl val="0"/>
      </c:catAx>
      <c:valAx>
        <c:axId val="107101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7099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'13.8 KAMPALA-BUSUNJU'!$C$9:$N$9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'13.8 KAMPALA-BUSUNJU'!$C$59:$N$59</c:f>
              <c:numCache>
                <c:formatCode>0.0%</c:formatCode>
                <c:ptCount val="12"/>
                <c:pt idx="0">
                  <c:v>4.6738072054527749E-2</c:v>
                </c:pt>
                <c:pt idx="1">
                  <c:v>0</c:v>
                </c:pt>
                <c:pt idx="2">
                  <c:v>4.4790652385589096E-2</c:v>
                </c:pt>
                <c:pt idx="3">
                  <c:v>1.9474196689386564E-2</c:v>
                </c:pt>
                <c:pt idx="4">
                  <c:v>9.7370983446932818E-4</c:v>
                </c:pt>
                <c:pt idx="5">
                  <c:v>0</c:v>
                </c:pt>
                <c:pt idx="6">
                  <c:v>6.718597857838364E-2</c:v>
                </c:pt>
                <c:pt idx="7">
                  <c:v>1.9474196689386564E-3</c:v>
                </c:pt>
                <c:pt idx="8">
                  <c:v>9.7370983446932818E-4</c:v>
                </c:pt>
                <c:pt idx="9">
                  <c:v>0</c:v>
                </c:pt>
                <c:pt idx="10">
                  <c:v>0.81791626095423564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'13.8 KAMPALA-BUSUNJU'!$S$9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'13.8 KAMPALA-BUSUNJU'!$R$10:$R$21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'13.8 KAMPALA-BUSUNJU'!$S$10:$S$21</c:f>
              <c:numCache>
                <c:formatCode>0</c:formatCode>
                <c:ptCount val="12"/>
                <c:pt idx="0">
                  <c:v>6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5</c:v>
                </c:pt>
                <c:pt idx="8">
                  <c:v>3</c:v>
                </c:pt>
                <c:pt idx="9">
                  <c:v>4</c:v>
                </c:pt>
                <c:pt idx="10">
                  <c:v>12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'13.8 KAMPALA-BUSUNJU'!$T$9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'13.8 KAMPALA-BUSUNJU'!$R$10:$R$21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'13.8 KAMPALA-BUSUNJU'!$T$10:$T$21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'13.8 KAMPALA-BUSUNJU'!$U$9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'13.8 KAMPALA-BUSUNJU'!$U$10:$U$21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6</c:v>
                </c:pt>
                <c:pt idx="7">
                  <c:v>4</c:v>
                </c:pt>
                <c:pt idx="8">
                  <c:v>2</c:v>
                </c:pt>
                <c:pt idx="9">
                  <c:v>8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'13.8 KAMPALA-BUSUNJU'!$V$9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'13.8 KAMPALA-BUSUNJU'!$V$10:$V$21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'13.8 KAMPALA-BUSUNJU'!$W$9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'13.8 KAMPALA-BUSUNJU'!$W$10:$W$21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'13.8 KAMPALA-BUSUNJU'!$X$9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'13.8 KAMPALA-BUSUNJU'!$X$10:$X$21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'13.8 KAMPALA-BUSUNJU'!$Y$9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'13.8 KAMPALA-BUSUNJU'!$Y$10:$Y$21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6</c:v>
                </c:pt>
                <c:pt idx="3">
                  <c:v>8</c:v>
                </c:pt>
                <c:pt idx="4">
                  <c:v>5</c:v>
                </c:pt>
                <c:pt idx="5">
                  <c:v>8</c:v>
                </c:pt>
                <c:pt idx="6">
                  <c:v>3</c:v>
                </c:pt>
                <c:pt idx="7">
                  <c:v>5</c:v>
                </c:pt>
                <c:pt idx="8">
                  <c:v>9</c:v>
                </c:pt>
                <c:pt idx="9">
                  <c:v>7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'13.8 KAMPALA-BUSUNJU'!$Z$9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'13.8 KAMPALA-BUSUNJU'!$Z$10:$Z$21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'13.8 KAMPALA-BUSUNJU'!$AA$9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'13.8 KAMPALA-BUSUNJU'!$AA$10:$AA$21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'13.8 KAMPALA-BUSUNJU'!$AB$9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'13.8 KAMPALA-BUSUNJU'!$AB$10:$AB$21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'13.8 KAMPALA-BUSUNJU'!$AC$9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'13.8 KAMPALA-BUSUNJU'!$AC$10:$AC$21</c:f>
              <c:numCache>
                <c:formatCode>0</c:formatCode>
                <c:ptCount val="12"/>
                <c:pt idx="0">
                  <c:v>40</c:v>
                </c:pt>
                <c:pt idx="1">
                  <c:v>67</c:v>
                </c:pt>
                <c:pt idx="2">
                  <c:v>63</c:v>
                </c:pt>
                <c:pt idx="3">
                  <c:v>59</c:v>
                </c:pt>
                <c:pt idx="4">
                  <c:v>74</c:v>
                </c:pt>
                <c:pt idx="5">
                  <c:v>79</c:v>
                </c:pt>
                <c:pt idx="6">
                  <c:v>64</c:v>
                </c:pt>
                <c:pt idx="7">
                  <c:v>76</c:v>
                </c:pt>
                <c:pt idx="8">
                  <c:v>82</c:v>
                </c:pt>
                <c:pt idx="9">
                  <c:v>87</c:v>
                </c:pt>
                <c:pt idx="10">
                  <c:v>82</c:v>
                </c:pt>
                <c:pt idx="1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'13.8 KAMPALA-BUSUNJU'!$AD$9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'13.8 KAMPALA-BUSUNJU'!$AD$10:$AD$21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891904"/>
        <c:axId val="106897792"/>
      </c:lineChart>
      <c:catAx>
        <c:axId val="106891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6897792"/>
        <c:crosses val="autoZero"/>
        <c:auto val="1"/>
        <c:lblAlgn val="ctr"/>
        <c:lblOffset val="100"/>
        <c:noMultiLvlLbl val="0"/>
      </c:catAx>
      <c:valAx>
        <c:axId val="10689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689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'13.8 KAMPALA-BUSUNJU'!$C$9:$N$9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'13.8 KAMPALA-BUSUNJU'!$C$60:$N$60</c:f>
              <c:numCache>
                <c:formatCode>0.00%</c:formatCode>
                <c:ptCount val="12"/>
                <c:pt idx="0">
                  <c:v>0.25668449197860965</c:v>
                </c:pt>
                <c:pt idx="1">
                  <c:v>0</c:v>
                </c:pt>
                <c:pt idx="2">
                  <c:v>0.24598930481283424</c:v>
                </c:pt>
                <c:pt idx="3">
                  <c:v>0.10695187165775401</c:v>
                </c:pt>
                <c:pt idx="4">
                  <c:v>5.3475935828877002E-3</c:v>
                </c:pt>
                <c:pt idx="5">
                  <c:v>0</c:v>
                </c:pt>
                <c:pt idx="6">
                  <c:v>0.36898395721925131</c:v>
                </c:pt>
                <c:pt idx="7">
                  <c:v>1.06951871657754E-2</c:v>
                </c:pt>
                <c:pt idx="8">
                  <c:v>5.3475935828877002E-3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'13.8 BUSUNJU-KAMPALA'!$AE$9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'13.8 BUSUNJU-KAMPALA'!$R$10:$R$21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'13.8 BUSUNJU-KAMPALA'!$AE$10:$AE$21</c:f>
              <c:numCache>
                <c:formatCode>0</c:formatCode>
                <c:ptCount val="12"/>
                <c:pt idx="0">
                  <c:v>11</c:v>
                </c:pt>
                <c:pt idx="1">
                  <c:v>9</c:v>
                </c:pt>
                <c:pt idx="2">
                  <c:v>6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18</c:v>
                </c:pt>
                <c:pt idx="7">
                  <c:v>16</c:v>
                </c:pt>
                <c:pt idx="8">
                  <c:v>26</c:v>
                </c:pt>
                <c:pt idx="9">
                  <c:v>31</c:v>
                </c:pt>
                <c:pt idx="10">
                  <c:v>13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'13.8 BUSUNJU-KAMPALA'!$AF$9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'13.8 BUSUNJU-KAMPALA'!$R$10:$R$21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'13.8 BUSUNJU-KAMPALA'!$AF$10:$AF$21</c:f>
              <c:numCache>
                <c:formatCode>0</c:formatCode>
                <c:ptCount val="12"/>
                <c:pt idx="0">
                  <c:v>47</c:v>
                </c:pt>
                <c:pt idx="1">
                  <c:v>60</c:v>
                </c:pt>
                <c:pt idx="2">
                  <c:v>67</c:v>
                </c:pt>
                <c:pt idx="3">
                  <c:v>68</c:v>
                </c:pt>
                <c:pt idx="4">
                  <c:v>82</c:v>
                </c:pt>
                <c:pt idx="5">
                  <c:v>91</c:v>
                </c:pt>
                <c:pt idx="6">
                  <c:v>117</c:v>
                </c:pt>
                <c:pt idx="7">
                  <c:v>105</c:v>
                </c:pt>
                <c:pt idx="8">
                  <c:v>118</c:v>
                </c:pt>
                <c:pt idx="9">
                  <c:v>85</c:v>
                </c:pt>
                <c:pt idx="10">
                  <c:v>93</c:v>
                </c:pt>
                <c:pt idx="11">
                  <c:v>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459328"/>
        <c:axId val="107461248"/>
      </c:lineChart>
      <c:catAx>
        <c:axId val="1074593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7461248"/>
        <c:crosses val="autoZero"/>
        <c:auto val="1"/>
        <c:lblAlgn val="ctr"/>
        <c:lblOffset val="100"/>
        <c:noMultiLvlLbl val="0"/>
      </c:catAx>
      <c:valAx>
        <c:axId val="1074612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745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'13.8 BUSUNJU-KAMPALA'!$C$9:$N$9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'13.8 BUSUNJU-KAMPALA'!$C$59:$N$59</c:f>
              <c:numCache>
                <c:formatCode>0.0%</c:formatCode>
                <c:ptCount val="12"/>
                <c:pt idx="0">
                  <c:v>5.0049067713444556E-2</c:v>
                </c:pt>
                <c:pt idx="1">
                  <c:v>0</c:v>
                </c:pt>
                <c:pt idx="2">
                  <c:v>3.8272816486751716E-2</c:v>
                </c:pt>
                <c:pt idx="3">
                  <c:v>2.2571148184494603E-2</c:v>
                </c:pt>
                <c:pt idx="4">
                  <c:v>9.813542688910696E-4</c:v>
                </c:pt>
                <c:pt idx="5">
                  <c:v>0</c:v>
                </c:pt>
                <c:pt idx="6">
                  <c:v>6.2806673209028455E-2</c:v>
                </c:pt>
                <c:pt idx="7">
                  <c:v>9.813542688910696E-4</c:v>
                </c:pt>
                <c:pt idx="8">
                  <c:v>0</c:v>
                </c:pt>
                <c:pt idx="9">
                  <c:v>0</c:v>
                </c:pt>
                <c:pt idx="10">
                  <c:v>0.82433758586849848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'13.8 BUSUNJU-KAMPALA'!$C$9:$N$9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'13.8 BUSUNJU-KAMPALA'!$C$60:$N$60</c:f>
              <c:numCache>
                <c:formatCode>0.00%</c:formatCode>
                <c:ptCount val="12"/>
                <c:pt idx="0">
                  <c:v>0.28491620111731841</c:v>
                </c:pt>
                <c:pt idx="1">
                  <c:v>0</c:v>
                </c:pt>
                <c:pt idx="2">
                  <c:v>0.21787709497206703</c:v>
                </c:pt>
                <c:pt idx="3">
                  <c:v>0.12849162011173185</c:v>
                </c:pt>
                <c:pt idx="4">
                  <c:v>5.5865921787709499E-3</c:v>
                </c:pt>
                <c:pt idx="5">
                  <c:v>0</c:v>
                </c:pt>
                <c:pt idx="6">
                  <c:v>0.35754189944134079</c:v>
                </c:pt>
                <c:pt idx="7">
                  <c:v>5.5865921787709499E-3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'14.8 KAMPALA-BUSUNJU'!$AE$9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'14.8 KAMPALA-BUSUNJU'!$R$10:$R$21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'14.8 KAMPALA-BUSUNJU'!$AE$10:$AE$21</c:f>
              <c:numCache>
                <c:formatCode>0</c:formatCode>
                <c:ptCount val="12"/>
                <c:pt idx="0">
                  <c:v>9</c:v>
                </c:pt>
                <c:pt idx="1">
                  <c:v>14</c:v>
                </c:pt>
                <c:pt idx="2">
                  <c:v>7</c:v>
                </c:pt>
                <c:pt idx="3">
                  <c:v>8</c:v>
                </c:pt>
                <c:pt idx="4">
                  <c:v>10</c:v>
                </c:pt>
                <c:pt idx="5">
                  <c:v>17</c:v>
                </c:pt>
                <c:pt idx="6">
                  <c:v>13</c:v>
                </c:pt>
                <c:pt idx="7">
                  <c:v>10</c:v>
                </c:pt>
                <c:pt idx="8">
                  <c:v>20</c:v>
                </c:pt>
                <c:pt idx="9">
                  <c:v>14</c:v>
                </c:pt>
                <c:pt idx="10">
                  <c:v>14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'14.8 KAMPALA-BUSUNJU'!$AF$9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'14.8 KAMPALA-BUSUNJU'!$R$10:$R$21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'14.8 KAMPALA-BUSUNJU'!$AF$10:$AF$21</c:f>
              <c:numCache>
                <c:formatCode>0</c:formatCode>
                <c:ptCount val="12"/>
                <c:pt idx="0">
                  <c:v>51</c:v>
                </c:pt>
                <c:pt idx="1">
                  <c:v>74</c:v>
                </c:pt>
                <c:pt idx="2">
                  <c:v>71</c:v>
                </c:pt>
                <c:pt idx="3">
                  <c:v>44</c:v>
                </c:pt>
                <c:pt idx="4">
                  <c:v>52</c:v>
                </c:pt>
                <c:pt idx="5">
                  <c:v>68</c:v>
                </c:pt>
                <c:pt idx="6">
                  <c:v>55</c:v>
                </c:pt>
                <c:pt idx="7">
                  <c:v>54</c:v>
                </c:pt>
                <c:pt idx="8">
                  <c:v>72</c:v>
                </c:pt>
                <c:pt idx="9">
                  <c:v>67</c:v>
                </c:pt>
                <c:pt idx="10">
                  <c:v>68</c:v>
                </c:pt>
                <c:pt idx="11">
                  <c:v>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718528"/>
        <c:axId val="107741184"/>
      </c:lineChart>
      <c:catAx>
        <c:axId val="1077185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7741184"/>
        <c:crosses val="autoZero"/>
        <c:auto val="1"/>
        <c:lblAlgn val="ctr"/>
        <c:lblOffset val="100"/>
        <c:noMultiLvlLbl val="0"/>
      </c:catAx>
      <c:valAx>
        <c:axId val="107741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771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'14.8 KAMPALA-BUSUNJU'!$C$9:$N$9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'14.8 KAMPALA-BUSUNJU'!$C$59:$N$59</c:f>
              <c:numCache>
                <c:formatCode>0.0%</c:formatCode>
                <c:ptCount val="12"/>
                <c:pt idx="0">
                  <c:v>5.9523809523809521E-2</c:v>
                </c:pt>
                <c:pt idx="1">
                  <c:v>0</c:v>
                </c:pt>
                <c:pt idx="2">
                  <c:v>5.5555555555555552E-2</c:v>
                </c:pt>
                <c:pt idx="3">
                  <c:v>1.984126984126984E-2</c:v>
                </c:pt>
                <c:pt idx="4">
                  <c:v>2.6455026455026454E-3</c:v>
                </c:pt>
                <c:pt idx="5">
                  <c:v>0</c:v>
                </c:pt>
                <c:pt idx="6">
                  <c:v>6.6137566137566134E-2</c:v>
                </c:pt>
                <c:pt idx="7">
                  <c:v>2.6455026455026454E-3</c:v>
                </c:pt>
                <c:pt idx="8">
                  <c:v>0</c:v>
                </c:pt>
                <c:pt idx="9">
                  <c:v>0</c:v>
                </c:pt>
                <c:pt idx="10">
                  <c:v>0.79365079365079361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'14.8 KAMPALA-BUSUNJU'!$S$9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'14.8 KAMPALA-BUSUNJU'!$R$10:$R$21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'14.8 KAMPALA-BUSUNJU'!$S$10:$S$21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3</c:v>
                </c:pt>
                <c:pt idx="6">
                  <c:v>5</c:v>
                </c:pt>
                <c:pt idx="7">
                  <c:v>4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'14.8 KAMPALA-BUSUNJU'!$T$9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'14.8 KAMPALA-BUSUNJU'!$R$10:$R$21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'14.8 KAMPALA-BUSUNJU'!$T$10:$T$21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'14.8 KAMPALA-BUSUNJU'!$U$9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'14.8 KAMPALA-BUSUNJU'!$U$10:$U$21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2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0</c:v>
                </c:pt>
                <c:pt idx="8">
                  <c:v>5</c:v>
                </c:pt>
                <c:pt idx="9">
                  <c:v>5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'14.8 KAMPALA-BUSUNJU'!$V$9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'14.8 KAMPALA-BUSUNJU'!$V$10:$V$21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1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'14.8 KAMPALA-BUSUNJU'!$W$9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'14.8 KAMPALA-BUSUNJU'!$W$10:$W$21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'14.8 KAMPALA-BUSUNJU'!$X$9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'14.8 KAMPALA-BUSUNJU'!$X$10:$X$21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'14.8 KAMPALA-BUSUNJU'!$Y$9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'14.8 KAMPALA-BUSUNJU'!$Y$10:$Y$21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7</c:v>
                </c:pt>
                <c:pt idx="6">
                  <c:v>3</c:v>
                </c:pt>
                <c:pt idx="7">
                  <c:v>6</c:v>
                </c:pt>
                <c:pt idx="8">
                  <c:v>7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'14.8 KAMPALA-BUSUNJU'!$Z$9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'14.8 KAMPALA-BUSUNJU'!$Z$10:$Z$21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'14.8 KAMPALA-BUSUNJU'!$AA$9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'14.8 KAMPALA-BUSUNJU'!$AA$10:$AA$21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'14.8 KAMPALA-BUSUNJU'!$AB$9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'14.8 KAMPALA-BUSUNJU'!$AB$10:$AB$21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'14.8 KAMPALA-BUSUNJU'!$AC$9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'14.8 KAMPALA-BUSUNJU'!$AC$10:$AC$21</c:f>
              <c:numCache>
                <c:formatCode>0</c:formatCode>
                <c:ptCount val="12"/>
                <c:pt idx="0">
                  <c:v>42</c:v>
                </c:pt>
                <c:pt idx="1">
                  <c:v>60</c:v>
                </c:pt>
                <c:pt idx="2">
                  <c:v>64</c:v>
                </c:pt>
                <c:pt idx="3">
                  <c:v>36</c:v>
                </c:pt>
                <c:pt idx="4">
                  <c:v>42</c:v>
                </c:pt>
                <c:pt idx="5">
                  <c:v>51</c:v>
                </c:pt>
                <c:pt idx="6">
                  <c:v>42</c:v>
                </c:pt>
                <c:pt idx="7">
                  <c:v>44</c:v>
                </c:pt>
                <c:pt idx="8">
                  <c:v>52</c:v>
                </c:pt>
                <c:pt idx="9">
                  <c:v>53</c:v>
                </c:pt>
                <c:pt idx="10">
                  <c:v>54</c:v>
                </c:pt>
                <c:pt idx="11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'14.8 KAMPALA-BUSUNJU'!$AD$9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'14.8 KAMPALA-BUSUNJU'!$AD$10:$AD$21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978112"/>
        <c:axId val="107988096"/>
      </c:lineChart>
      <c:catAx>
        <c:axId val="10797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7988096"/>
        <c:crosses val="autoZero"/>
        <c:auto val="1"/>
        <c:lblAlgn val="ctr"/>
        <c:lblOffset val="100"/>
        <c:noMultiLvlLbl val="0"/>
      </c:catAx>
      <c:valAx>
        <c:axId val="10798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797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'14.8 KAMPALA-BUSUNJU'!$C$9:$N$9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'14.8 KAMPALA-BUSUNJU'!$C$60:$N$60</c:f>
              <c:numCache>
                <c:formatCode>0.00%</c:formatCode>
                <c:ptCount val="12"/>
                <c:pt idx="0">
                  <c:v>0.28846153846153844</c:v>
                </c:pt>
                <c:pt idx="1">
                  <c:v>0</c:v>
                </c:pt>
                <c:pt idx="2">
                  <c:v>0.26923076923076922</c:v>
                </c:pt>
                <c:pt idx="3">
                  <c:v>9.6153846153846159E-2</c:v>
                </c:pt>
                <c:pt idx="4">
                  <c:v>1.282051282051282E-2</c:v>
                </c:pt>
                <c:pt idx="5">
                  <c:v>0</c:v>
                </c:pt>
                <c:pt idx="6">
                  <c:v>0.32051282051282054</c:v>
                </c:pt>
                <c:pt idx="7">
                  <c:v>1.282051282051282E-2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'14.8 BUSUNJU-KAMPALA'!$AE$9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'14.8 BUSUNJU-KAMPALA'!$R$10:$R$21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'14.8 BUSUNJU-KAMPALA'!$AE$10:$AE$21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14</c:v>
                </c:pt>
                <c:pt idx="4">
                  <c:v>16</c:v>
                </c:pt>
                <c:pt idx="5">
                  <c:v>12</c:v>
                </c:pt>
                <c:pt idx="6">
                  <c:v>8</c:v>
                </c:pt>
                <c:pt idx="7">
                  <c:v>14</c:v>
                </c:pt>
                <c:pt idx="8">
                  <c:v>10</c:v>
                </c:pt>
                <c:pt idx="9">
                  <c:v>16</c:v>
                </c:pt>
                <c:pt idx="10">
                  <c:v>17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'14.8 BUSUNJU-KAMPALA'!$AF$9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'14.8 BUSUNJU-KAMPALA'!$R$10:$R$21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'14.8 BUSUNJU-KAMPALA'!$AF$10:$AF$21</c:f>
              <c:numCache>
                <c:formatCode>0</c:formatCode>
                <c:ptCount val="12"/>
                <c:pt idx="0">
                  <c:v>37</c:v>
                </c:pt>
                <c:pt idx="1">
                  <c:v>55</c:v>
                </c:pt>
                <c:pt idx="2">
                  <c:v>71</c:v>
                </c:pt>
                <c:pt idx="3">
                  <c:v>50</c:v>
                </c:pt>
                <c:pt idx="4">
                  <c:v>54</c:v>
                </c:pt>
                <c:pt idx="5">
                  <c:v>61</c:v>
                </c:pt>
                <c:pt idx="6">
                  <c:v>52</c:v>
                </c:pt>
                <c:pt idx="7">
                  <c:v>54</c:v>
                </c:pt>
                <c:pt idx="8">
                  <c:v>67</c:v>
                </c:pt>
                <c:pt idx="9">
                  <c:v>69</c:v>
                </c:pt>
                <c:pt idx="10">
                  <c:v>78</c:v>
                </c:pt>
                <c:pt idx="11">
                  <c:v>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86784"/>
        <c:axId val="108088704"/>
      </c:lineChart>
      <c:catAx>
        <c:axId val="1080867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8088704"/>
        <c:crosses val="autoZero"/>
        <c:auto val="1"/>
        <c:lblAlgn val="ctr"/>
        <c:lblOffset val="100"/>
        <c:noMultiLvlLbl val="0"/>
      </c:catAx>
      <c:valAx>
        <c:axId val="1080887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8086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'14.8 BUSUNJU-KAMPALA'!$C$9:$N$9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'14.8 BUSUNJU-KAMPALA'!$C$59:$N$59</c:f>
              <c:numCache>
                <c:formatCode>0.0%</c:formatCode>
                <c:ptCount val="12"/>
                <c:pt idx="0">
                  <c:v>4.5643153526970952E-2</c:v>
                </c:pt>
                <c:pt idx="1">
                  <c:v>0</c:v>
                </c:pt>
                <c:pt idx="2">
                  <c:v>4.4260027662517291E-2</c:v>
                </c:pt>
                <c:pt idx="3">
                  <c:v>2.4896265560165973E-2</c:v>
                </c:pt>
                <c:pt idx="4">
                  <c:v>1.3831258644536654E-3</c:v>
                </c:pt>
                <c:pt idx="5">
                  <c:v>0</c:v>
                </c:pt>
                <c:pt idx="6">
                  <c:v>6.6390041493775934E-2</c:v>
                </c:pt>
                <c:pt idx="7">
                  <c:v>4.1493775933609959E-3</c:v>
                </c:pt>
                <c:pt idx="8">
                  <c:v>0</c:v>
                </c:pt>
                <c:pt idx="9">
                  <c:v>0</c:v>
                </c:pt>
                <c:pt idx="10">
                  <c:v>0.81327800829875518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'14.8 BUSUNJU-KAMPALA'!$S$9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'14.8 BUSUNJU-KAMPALA'!$R$10:$R$21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'14.8 BUSUNJU-KAMPALA'!$S$10:$S$21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8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'14.8 BUSUNJU-KAMPALA'!$T$9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'14.8 BUSUNJU-KAMPALA'!$R$10:$R$21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'14.8 BUSUNJU-KAMPALA'!$T$10:$T$21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'14.8 BUSUNJU-KAMPALA'!$U$9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'14.8 BUSUNJU-KAMPALA'!$U$10:$U$21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2</c:v>
                </c:pt>
                <c:pt idx="5">
                  <c:v>4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6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'14.8 BUSUNJU-KAMPALA'!$V$9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'14.8 BUSUNJU-KAMPALA'!$V$10:$V$21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7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'14.8 BUSUNJU-KAMPALA'!$W$9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'14.8 BUSUNJU-KAMPALA'!$W$10:$W$21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'14.8 BUSUNJU-KAMPALA'!$X$9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'14.8 BUSUNJU-KAMPALA'!$X$10:$X$21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'14.8 BUSUNJU-KAMPALA'!$Y$9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'14.8 BUSUNJU-KAMPALA'!$Y$10:$Y$21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7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'14.8 BUSUNJU-KAMPALA'!$Z$9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'14.8 BUSUNJU-KAMPALA'!$Z$10:$Z$21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'14.8 BUSUNJU-KAMPALA'!$AA$9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'14.8 BUSUNJU-KAMPALA'!$AA$10:$AA$21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'14.8 BUSUNJU-KAMPALA'!$AB$9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'14.8 BUSUNJU-KAMPALA'!$AB$10:$AB$21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'14.8 BUSUNJU-KAMPALA'!$AC$9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'14.8 BUSUNJU-KAMPALA'!$AC$10:$AC$21</c:f>
              <c:numCache>
                <c:formatCode>0</c:formatCode>
                <c:ptCount val="12"/>
                <c:pt idx="0">
                  <c:v>33</c:v>
                </c:pt>
                <c:pt idx="1">
                  <c:v>50</c:v>
                </c:pt>
                <c:pt idx="2">
                  <c:v>65</c:v>
                </c:pt>
                <c:pt idx="3">
                  <c:v>36</c:v>
                </c:pt>
                <c:pt idx="4">
                  <c:v>38</c:v>
                </c:pt>
                <c:pt idx="5">
                  <c:v>49</c:v>
                </c:pt>
                <c:pt idx="6">
                  <c:v>44</c:v>
                </c:pt>
                <c:pt idx="7">
                  <c:v>40</c:v>
                </c:pt>
                <c:pt idx="8">
                  <c:v>57</c:v>
                </c:pt>
                <c:pt idx="9">
                  <c:v>53</c:v>
                </c:pt>
                <c:pt idx="10">
                  <c:v>61</c:v>
                </c:pt>
                <c:pt idx="11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'14.8 BUSUNJU-KAMPALA'!$AD$9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'14.8 BUSUNJU-KAMPALA'!$AD$10:$AD$21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89024"/>
        <c:axId val="108307200"/>
      </c:lineChart>
      <c:catAx>
        <c:axId val="10828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8307200"/>
        <c:crosses val="autoZero"/>
        <c:auto val="1"/>
        <c:lblAlgn val="ctr"/>
        <c:lblOffset val="100"/>
        <c:noMultiLvlLbl val="0"/>
      </c:catAx>
      <c:valAx>
        <c:axId val="1083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08289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'14.8 BUSUNJU-KAMPALA'!$C$9:$N$9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'14.8 BUSUNJU-KAMPALA'!$C$60:$N$60</c:f>
              <c:numCache>
                <c:formatCode>0.00%</c:formatCode>
                <c:ptCount val="12"/>
                <c:pt idx="0">
                  <c:v>0.24444444444444444</c:v>
                </c:pt>
                <c:pt idx="1">
                  <c:v>0</c:v>
                </c:pt>
                <c:pt idx="2">
                  <c:v>0.23703703703703705</c:v>
                </c:pt>
                <c:pt idx="3">
                  <c:v>0.13333333333333333</c:v>
                </c:pt>
                <c:pt idx="4">
                  <c:v>7.4074074074074077E-3</c:v>
                </c:pt>
                <c:pt idx="5">
                  <c:v>0</c:v>
                </c:pt>
                <c:pt idx="6">
                  <c:v>0.35555555555555557</c:v>
                </c:pt>
                <c:pt idx="7">
                  <c:v>2.2222222222222223E-2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'15.8 KAMPALA-BUSUNJU-24 HRS'!$AE$9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'15.8 KAMPALA-BUSUNJU-24 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'15.8 KAMPALA-BUSUNJU-24 HRS'!$AE$10:$AE$33</c:f>
              <c:numCache>
                <c:formatCode>0</c:formatCode>
                <c:ptCount val="24"/>
                <c:pt idx="0">
                  <c:v>6</c:v>
                </c:pt>
                <c:pt idx="1">
                  <c:v>20</c:v>
                </c:pt>
                <c:pt idx="2">
                  <c:v>10</c:v>
                </c:pt>
                <c:pt idx="3">
                  <c:v>21</c:v>
                </c:pt>
                <c:pt idx="4">
                  <c:v>15</c:v>
                </c:pt>
                <c:pt idx="5">
                  <c:v>23</c:v>
                </c:pt>
                <c:pt idx="6">
                  <c:v>23</c:v>
                </c:pt>
                <c:pt idx="7">
                  <c:v>13</c:v>
                </c:pt>
                <c:pt idx="8">
                  <c:v>25</c:v>
                </c:pt>
                <c:pt idx="9">
                  <c:v>14</c:v>
                </c:pt>
                <c:pt idx="10">
                  <c:v>12</c:v>
                </c:pt>
                <c:pt idx="11">
                  <c:v>12</c:v>
                </c:pt>
                <c:pt idx="12">
                  <c:v>19</c:v>
                </c:pt>
                <c:pt idx="13">
                  <c:v>17</c:v>
                </c:pt>
                <c:pt idx="14">
                  <c:v>20</c:v>
                </c:pt>
                <c:pt idx="15">
                  <c:v>15</c:v>
                </c:pt>
                <c:pt idx="16">
                  <c:v>10</c:v>
                </c:pt>
                <c:pt idx="17">
                  <c:v>6</c:v>
                </c:pt>
                <c:pt idx="18">
                  <c:v>8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9</c:v>
                </c:pt>
                <c:pt idx="23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'15.8 KAMPALA-BUSUNJU-24 HRS'!$AF$9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'15.8 KAMPALA-BUSUNJU-24 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'15.8 KAMPALA-BUSUNJU-24 HRS'!$AF$10:$AF$33</c:f>
              <c:numCache>
                <c:formatCode>0</c:formatCode>
                <c:ptCount val="24"/>
                <c:pt idx="0">
                  <c:v>54</c:v>
                </c:pt>
                <c:pt idx="1">
                  <c:v>72</c:v>
                </c:pt>
                <c:pt idx="2">
                  <c:v>70</c:v>
                </c:pt>
                <c:pt idx="3">
                  <c:v>80</c:v>
                </c:pt>
                <c:pt idx="4">
                  <c:v>64</c:v>
                </c:pt>
                <c:pt idx="5">
                  <c:v>85</c:v>
                </c:pt>
                <c:pt idx="6">
                  <c:v>67</c:v>
                </c:pt>
                <c:pt idx="7">
                  <c:v>66</c:v>
                </c:pt>
                <c:pt idx="8">
                  <c:v>63</c:v>
                </c:pt>
                <c:pt idx="9">
                  <c:v>60</c:v>
                </c:pt>
                <c:pt idx="10">
                  <c:v>70</c:v>
                </c:pt>
                <c:pt idx="11">
                  <c:v>75</c:v>
                </c:pt>
                <c:pt idx="12">
                  <c:v>70</c:v>
                </c:pt>
                <c:pt idx="13">
                  <c:v>51</c:v>
                </c:pt>
                <c:pt idx="14">
                  <c:v>35</c:v>
                </c:pt>
                <c:pt idx="15">
                  <c:v>19</c:v>
                </c:pt>
                <c:pt idx="16">
                  <c:v>13</c:v>
                </c:pt>
                <c:pt idx="17">
                  <c:v>10</c:v>
                </c:pt>
                <c:pt idx="18">
                  <c:v>8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10</c:v>
                </c:pt>
                <c:pt idx="23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980288"/>
        <c:axId val="129990656"/>
      </c:lineChart>
      <c:catAx>
        <c:axId val="129980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29990656"/>
        <c:crosses val="autoZero"/>
        <c:auto val="1"/>
        <c:lblAlgn val="ctr"/>
        <c:lblOffset val="100"/>
        <c:noMultiLvlLbl val="0"/>
      </c:catAx>
      <c:valAx>
        <c:axId val="1299906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2998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'15.8 KAMPALA-BUSUNJU-24 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'15.8 KAMPALA-BUSUNJU-24 HRS'!$C$107:$N$107</c:f>
              <c:numCache>
                <c:formatCode>0.0%</c:formatCode>
                <c:ptCount val="12"/>
                <c:pt idx="0">
                  <c:v>8.6715867158671592E-2</c:v>
                </c:pt>
                <c:pt idx="1">
                  <c:v>2.1217712177121772E-2</c:v>
                </c:pt>
                <c:pt idx="2">
                  <c:v>6.0885608856088562E-2</c:v>
                </c:pt>
                <c:pt idx="3">
                  <c:v>2.6752767527675275E-2</c:v>
                </c:pt>
                <c:pt idx="4">
                  <c:v>6.4575645756457566E-3</c:v>
                </c:pt>
                <c:pt idx="5">
                  <c:v>9.2250922509225092E-3</c:v>
                </c:pt>
                <c:pt idx="6">
                  <c:v>7.7490774907749083E-2</c:v>
                </c:pt>
                <c:pt idx="7">
                  <c:v>6.4575645756457566E-3</c:v>
                </c:pt>
                <c:pt idx="8">
                  <c:v>9.225092250922509E-4</c:v>
                </c:pt>
                <c:pt idx="9">
                  <c:v>4.6125461254612546E-3</c:v>
                </c:pt>
                <c:pt idx="10">
                  <c:v>0.69926199261992616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'15.8 KAMPALA-BUSUNJU-24 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'15.8 KAMPALA-BUSUNJU-24 HRS'!$C$108:$N$108</c:f>
              <c:numCache>
                <c:formatCode>0.00%</c:formatCode>
                <c:ptCount val="12"/>
                <c:pt idx="0">
                  <c:v>0.28834355828220859</c:v>
                </c:pt>
                <c:pt idx="1">
                  <c:v>7.0552147239263799E-2</c:v>
                </c:pt>
                <c:pt idx="2">
                  <c:v>0.20245398773006135</c:v>
                </c:pt>
                <c:pt idx="3">
                  <c:v>8.8957055214723926E-2</c:v>
                </c:pt>
                <c:pt idx="4">
                  <c:v>2.1472392638036811E-2</c:v>
                </c:pt>
                <c:pt idx="5">
                  <c:v>3.0674846625766871E-2</c:v>
                </c:pt>
                <c:pt idx="6">
                  <c:v>0.25766871165644173</c:v>
                </c:pt>
                <c:pt idx="7">
                  <c:v>2.1472392638036811E-2</c:v>
                </c:pt>
                <c:pt idx="8">
                  <c:v>3.0674846625766872E-3</c:v>
                </c:pt>
                <c:pt idx="9">
                  <c:v>1.5337423312883436E-2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'15.8 BUSUNJU-KAMPALA-24HRS'!$AE$9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'15.8 BUSUNJU-KAMPALA-24HRS'!$R$10:$R$33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'15.8 BUSUNJU-KAMPALA-24HRS'!$AE$10:$AE$33</c:f>
              <c:numCache>
                <c:formatCode>0</c:formatCode>
                <c:ptCount val="24"/>
                <c:pt idx="0">
                  <c:v>10</c:v>
                </c:pt>
                <c:pt idx="1">
                  <c:v>6</c:v>
                </c:pt>
                <c:pt idx="2">
                  <c:v>9</c:v>
                </c:pt>
                <c:pt idx="3">
                  <c:v>16</c:v>
                </c:pt>
                <c:pt idx="4">
                  <c:v>14</c:v>
                </c:pt>
                <c:pt idx="5">
                  <c:v>23</c:v>
                </c:pt>
                <c:pt idx="6">
                  <c:v>14</c:v>
                </c:pt>
                <c:pt idx="7">
                  <c:v>13</c:v>
                </c:pt>
                <c:pt idx="8">
                  <c:v>14</c:v>
                </c:pt>
                <c:pt idx="9">
                  <c:v>12</c:v>
                </c:pt>
                <c:pt idx="10">
                  <c:v>17</c:v>
                </c:pt>
                <c:pt idx="11">
                  <c:v>16</c:v>
                </c:pt>
                <c:pt idx="12">
                  <c:v>19</c:v>
                </c:pt>
                <c:pt idx="13">
                  <c:v>17</c:v>
                </c:pt>
                <c:pt idx="14">
                  <c:v>20</c:v>
                </c:pt>
                <c:pt idx="15">
                  <c:v>15</c:v>
                </c:pt>
                <c:pt idx="16">
                  <c:v>10</c:v>
                </c:pt>
                <c:pt idx="17">
                  <c:v>6</c:v>
                </c:pt>
                <c:pt idx="18">
                  <c:v>8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9</c:v>
                </c:pt>
                <c:pt idx="23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'15.8 BUSUNJU-KAMPALA-24HRS'!$AF$9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'15.8 BUSUNJU-KAMPALA-24HRS'!$R$10:$R$33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'15.8 BUSUNJU-KAMPALA-24HRS'!$AF$10:$AF$33</c:f>
              <c:numCache>
                <c:formatCode>0</c:formatCode>
                <c:ptCount val="24"/>
                <c:pt idx="0">
                  <c:v>53</c:v>
                </c:pt>
                <c:pt idx="1">
                  <c:v>47</c:v>
                </c:pt>
                <c:pt idx="2">
                  <c:v>60</c:v>
                </c:pt>
                <c:pt idx="3">
                  <c:v>76</c:v>
                </c:pt>
                <c:pt idx="4">
                  <c:v>68</c:v>
                </c:pt>
                <c:pt idx="5">
                  <c:v>75</c:v>
                </c:pt>
                <c:pt idx="6">
                  <c:v>57</c:v>
                </c:pt>
                <c:pt idx="7">
                  <c:v>66</c:v>
                </c:pt>
                <c:pt idx="8">
                  <c:v>66</c:v>
                </c:pt>
                <c:pt idx="9">
                  <c:v>53</c:v>
                </c:pt>
                <c:pt idx="10">
                  <c:v>77</c:v>
                </c:pt>
                <c:pt idx="11">
                  <c:v>77</c:v>
                </c:pt>
                <c:pt idx="12">
                  <c:v>65</c:v>
                </c:pt>
                <c:pt idx="13">
                  <c:v>51</c:v>
                </c:pt>
                <c:pt idx="14">
                  <c:v>35</c:v>
                </c:pt>
                <c:pt idx="15">
                  <c:v>19</c:v>
                </c:pt>
                <c:pt idx="16">
                  <c:v>13</c:v>
                </c:pt>
                <c:pt idx="17">
                  <c:v>10</c:v>
                </c:pt>
                <c:pt idx="18">
                  <c:v>8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11</c:v>
                </c:pt>
                <c:pt idx="23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932288"/>
        <c:axId val="129950848"/>
      </c:lineChart>
      <c:catAx>
        <c:axId val="129932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29950848"/>
        <c:crosses val="autoZero"/>
        <c:auto val="1"/>
        <c:lblAlgn val="ctr"/>
        <c:lblOffset val="100"/>
        <c:noMultiLvlLbl val="0"/>
      </c:catAx>
      <c:valAx>
        <c:axId val="1299508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2993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'15.8 BUSUNJU-KAMPALA-24HRS'!$C$9:$N$9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'15.8 BUSUNJU-KAMPALA-24HRS'!$C$107:$N$107</c:f>
              <c:numCache>
                <c:formatCode>0.0%</c:formatCode>
                <c:ptCount val="12"/>
                <c:pt idx="0">
                  <c:v>8.771929824561403E-2</c:v>
                </c:pt>
                <c:pt idx="1">
                  <c:v>8.771929824561403E-3</c:v>
                </c:pt>
                <c:pt idx="2">
                  <c:v>6.4327485380116955E-2</c:v>
                </c:pt>
                <c:pt idx="3">
                  <c:v>2.9239766081871343E-2</c:v>
                </c:pt>
                <c:pt idx="4">
                  <c:v>4.8732943469785572E-3</c:v>
                </c:pt>
                <c:pt idx="5">
                  <c:v>3.8986354775828458E-3</c:v>
                </c:pt>
                <c:pt idx="6">
                  <c:v>7.7972709551656916E-2</c:v>
                </c:pt>
                <c:pt idx="7">
                  <c:v>5.8479532163742687E-3</c:v>
                </c:pt>
                <c:pt idx="8">
                  <c:v>1.9493177387914229E-3</c:v>
                </c:pt>
                <c:pt idx="9">
                  <c:v>9.7465886939571145E-4</c:v>
                </c:pt>
                <c:pt idx="10">
                  <c:v>0.71247563352826515</c:v>
                </c:pt>
                <c:pt idx="11">
                  <c:v>1.9493177387914229E-3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'15.8 BUSUNJU-KAMPALA-24HRS'!$C$9:$N$9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'15.8 BUSUNJU-KAMPALA-24HRS'!$C$108:$N$108</c:f>
              <c:numCache>
                <c:formatCode>0.00%</c:formatCode>
                <c:ptCount val="12"/>
                <c:pt idx="0">
                  <c:v>0.30508474576271188</c:v>
                </c:pt>
                <c:pt idx="1">
                  <c:v>3.0508474576271188E-2</c:v>
                </c:pt>
                <c:pt idx="2">
                  <c:v>0.22372881355932203</c:v>
                </c:pt>
                <c:pt idx="3">
                  <c:v>0.10169491525423729</c:v>
                </c:pt>
                <c:pt idx="4">
                  <c:v>1.6949152542372881E-2</c:v>
                </c:pt>
                <c:pt idx="5">
                  <c:v>1.3559322033898305E-2</c:v>
                </c:pt>
                <c:pt idx="6">
                  <c:v>0.2711864406779661</c:v>
                </c:pt>
                <c:pt idx="7">
                  <c:v>2.0338983050847456E-2</c:v>
                </c:pt>
                <c:pt idx="8">
                  <c:v>6.7796610169491523E-3</c:v>
                </c:pt>
                <c:pt idx="9">
                  <c:v>3.3898305084745762E-3</c:v>
                </c:pt>
                <c:pt idx="11">
                  <c:v>6.7796610169491523E-3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'16.8 KAMPALA-BUSUNJU-24HRS'!$AE$9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'16.8 KAMPALA-BUSUNJU-24HRS'!$R$10:$R$33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'16.8 KAMPALA-BUSUNJU-24HRS'!$AE$10:$AE$33</c:f>
              <c:numCache>
                <c:formatCode>0</c:formatCode>
                <c:ptCount val="24"/>
                <c:pt idx="0">
                  <c:v>6</c:v>
                </c:pt>
                <c:pt idx="1">
                  <c:v>9</c:v>
                </c:pt>
                <c:pt idx="2">
                  <c:v>12</c:v>
                </c:pt>
                <c:pt idx="3">
                  <c:v>16</c:v>
                </c:pt>
                <c:pt idx="4">
                  <c:v>8</c:v>
                </c:pt>
                <c:pt idx="5">
                  <c:v>10</c:v>
                </c:pt>
                <c:pt idx="6">
                  <c:v>11</c:v>
                </c:pt>
                <c:pt idx="7">
                  <c:v>18</c:v>
                </c:pt>
                <c:pt idx="8">
                  <c:v>20</c:v>
                </c:pt>
                <c:pt idx="9">
                  <c:v>18</c:v>
                </c:pt>
                <c:pt idx="10">
                  <c:v>9</c:v>
                </c:pt>
                <c:pt idx="11">
                  <c:v>17</c:v>
                </c:pt>
                <c:pt idx="12">
                  <c:v>19</c:v>
                </c:pt>
                <c:pt idx="13">
                  <c:v>17</c:v>
                </c:pt>
                <c:pt idx="14">
                  <c:v>20</c:v>
                </c:pt>
                <c:pt idx="15">
                  <c:v>16</c:v>
                </c:pt>
                <c:pt idx="16">
                  <c:v>10</c:v>
                </c:pt>
                <c:pt idx="17">
                  <c:v>6</c:v>
                </c:pt>
                <c:pt idx="18">
                  <c:v>8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9</c:v>
                </c:pt>
                <c:pt idx="23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'16.8 KAMPALA-BUSUNJU-24HRS'!$AF$9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'16.8 KAMPALA-BUSUNJU-24HRS'!$R$10:$R$33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'16.8 KAMPALA-BUSUNJU-24HRS'!$AF$10:$AF$33</c:f>
              <c:numCache>
                <c:formatCode>0</c:formatCode>
                <c:ptCount val="24"/>
                <c:pt idx="0">
                  <c:v>46</c:v>
                </c:pt>
                <c:pt idx="1">
                  <c:v>76</c:v>
                </c:pt>
                <c:pt idx="2">
                  <c:v>68</c:v>
                </c:pt>
                <c:pt idx="3">
                  <c:v>81</c:v>
                </c:pt>
                <c:pt idx="4">
                  <c:v>84</c:v>
                </c:pt>
                <c:pt idx="5">
                  <c:v>63</c:v>
                </c:pt>
                <c:pt idx="6">
                  <c:v>70</c:v>
                </c:pt>
                <c:pt idx="7">
                  <c:v>63</c:v>
                </c:pt>
                <c:pt idx="8">
                  <c:v>65</c:v>
                </c:pt>
                <c:pt idx="9">
                  <c:v>76</c:v>
                </c:pt>
                <c:pt idx="10">
                  <c:v>60</c:v>
                </c:pt>
                <c:pt idx="11">
                  <c:v>74</c:v>
                </c:pt>
                <c:pt idx="12">
                  <c:v>65</c:v>
                </c:pt>
                <c:pt idx="13">
                  <c:v>51</c:v>
                </c:pt>
                <c:pt idx="14">
                  <c:v>35</c:v>
                </c:pt>
                <c:pt idx="15">
                  <c:v>20</c:v>
                </c:pt>
                <c:pt idx="16">
                  <c:v>13</c:v>
                </c:pt>
                <c:pt idx="17">
                  <c:v>10</c:v>
                </c:pt>
                <c:pt idx="18">
                  <c:v>8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11</c:v>
                </c:pt>
                <c:pt idx="23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954176"/>
        <c:axId val="131956096"/>
      </c:lineChart>
      <c:catAx>
        <c:axId val="1319541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1956096"/>
        <c:crosses val="autoZero"/>
        <c:auto val="1"/>
        <c:lblAlgn val="ctr"/>
        <c:lblOffset val="100"/>
        <c:noMultiLvlLbl val="0"/>
      </c:catAx>
      <c:valAx>
        <c:axId val="131956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1954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'16.8 KAMPALA-BUSUNJU-24HRS'!$C$9:$N$9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'16.8 KAMPALA-BUSUNJU-24HRS'!$C$107:$N$107</c:f>
              <c:numCache>
                <c:formatCode>0.0%</c:formatCode>
                <c:ptCount val="12"/>
                <c:pt idx="0">
                  <c:v>7.8630897317298803E-2</c:v>
                </c:pt>
                <c:pt idx="1">
                  <c:v>1.0175763182238668E-2</c:v>
                </c:pt>
                <c:pt idx="2">
                  <c:v>7.7705827937095281E-2</c:v>
                </c:pt>
                <c:pt idx="3">
                  <c:v>2.4976873265494911E-2</c:v>
                </c:pt>
                <c:pt idx="4">
                  <c:v>2.7752081406105457E-3</c:v>
                </c:pt>
                <c:pt idx="5">
                  <c:v>4.6253469010175763E-3</c:v>
                </c:pt>
                <c:pt idx="6">
                  <c:v>6.105457909343201E-2</c:v>
                </c:pt>
                <c:pt idx="7">
                  <c:v>5.5504162812210914E-3</c:v>
                </c:pt>
                <c:pt idx="8">
                  <c:v>9.2506938020351531E-4</c:v>
                </c:pt>
                <c:pt idx="9">
                  <c:v>1.8501387604070306E-3</c:v>
                </c:pt>
                <c:pt idx="10">
                  <c:v>0.72987974098057351</c:v>
                </c:pt>
                <c:pt idx="11">
                  <c:v>1.8501387604070306E-3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'16.8 KAMPALA-BUSUNJU-24HRS'!$C$9:$N$9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'16.8 KAMPALA-BUSUNJU-24HRS'!$C$108:$N$108</c:f>
              <c:numCache>
                <c:formatCode>0.00%</c:formatCode>
                <c:ptCount val="12"/>
                <c:pt idx="0">
                  <c:v>0.2910958904109589</c:v>
                </c:pt>
                <c:pt idx="1">
                  <c:v>3.7671232876712327E-2</c:v>
                </c:pt>
                <c:pt idx="2">
                  <c:v>0.28767123287671231</c:v>
                </c:pt>
                <c:pt idx="3">
                  <c:v>9.2465753424657529E-2</c:v>
                </c:pt>
                <c:pt idx="4">
                  <c:v>1.0273972602739725E-2</c:v>
                </c:pt>
                <c:pt idx="5">
                  <c:v>1.7123287671232876E-2</c:v>
                </c:pt>
                <c:pt idx="6">
                  <c:v>0.22602739726027396</c:v>
                </c:pt>
                <c:pt idx="7">
                  <c:v>2.0547945205479451E-2</c:v>
                </c:pt>
                <c:pt idx="8">
                  <c:v>3.4246575342465752E-3</c:v>
                </c:pt>
                <c:pt idx="9">
                  <c:v>6.8493150684931503E-3</c:v>
                </c:pt>
                <c:pt idx="11">
                  <c:v>6.8493150684931503E-3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'16.8 BUSUNJU-KAMPALA-24HRS'!$AE$9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'16.8 BUSUNJU-KAMPALA-24HRS'!$R$10:$R$33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'16.8 BUSUNJU-KAMPALA-24HRS'!$AE$10:$AE$33</c:f>
              <c:numCache>
                <c:formatCode>0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5</c:v>
                </c:pt>
                <c:pt idx="3">
                  <c:v>8</c:v>
                </c:pt>
                <c:pt idx="4">
                  <c:v>8</c:v>
                </c:pt>
                <c:pt idx="5">
                  <c:v>9</c:v>
                </c:pt>
                <c:pt idx="6">
                  <c:v>14</c:v>
                </c:pt>
                <c:pt idx="7">
                  <c:v>11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9</c:v>
                </c:pt>
                <c:pt idx="12">
                  <c:v>19</c:v>
                </c:pt>
                <c:pt idx="13">
                  <c:v>17</c:v>
                </c:pt>
                <c:pt idx="14">
                  <c:v>20</c:v>
                </c:pt>
                <c:pt idx="15">
                  <c:v>15</c:v>
                </c:pt>
                <c:pt idx="16">
                  <c:v>10</c:v>
                </c:pt>
                <c:pt idx="17">
                  <c:v>6</c:v>
                </c:pt>
                <c:pt idx="18">
                  <c:v>8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9</c:v>
                </c:pt>
                <c:pt idx="23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'16.8 BUSUNJU-KAMPALA-24HRS'!$AF$9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'16.8 BUSUNJU-KAMPALA-24HRS'!$R$10:$R$33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'16.8 BUSUNJU-KAMPALA-24HRS'!$AF$10:$AF$33</c:f>
              <c:numCache>
                <c:formatCode>0</c:formatCode>
                <c:ptCount val="24"/>
                <c:pt idx="0">
                  <c:v>42</c:v>
                </c:pt>
                <c:pt idx="1">
                  <c:v>55</c:v>
                </c:pt>
                <c:pt idx="2">
                  <c:v>52</c:v>
                </c:pt>
                <c:pt idx="3">
                  <c:v>70</c:v>
                </c:pt>
                <c:pt idx="4">
                  <c:v>84</c:v>
                </c:pt>
                <c:pt idx="5">
                  <c:v>60</c:v>
                </c:pt>
                <c:pt idx="6">
                  <c:v>69</c:v>
                </c:pt>
                <c:pt idx="7">
                  <c:v>63</c:v>
                </c:pt>
                <c:pt idx="8">
                  <c:v>58</c:v>
                </c:pt>
                <c:pt idx="9">
                  <c:v>67</c:v>
                </c:pt>
                <c:pt idx="10">
                  <c:v>70</c:v>
                </c:pt>
                <c:pt idx="11">
                  <c:v>65</c:v>
                </c:pt>
                <c:pt idx="12">
                  <c:v>70</c:v>
                </c:pt>
                <c:pt idx="13">
                  <c:v>51</c:v>
                </c:pt>
                <c:pt idx="14">
                  <c:v>35</c:v>
                </c:pt>
                <c:pt idx="15">
                  <c:v>19</c:v>
                </c:pt>
                <c:pt idx="16">
                  <c:v>13</c:v>
                </c:pt>
                <c:pt idx="17">
                  <c:v>10</c:v>
                </c:pt>
                <c:pt idx="18">
                  <c:v>8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10</c:v>
                </c:pt>
                <c:pt idx="23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568000"/>
        <c:axId val="131569920"/>
      </c:lineChart>
      <c:catAx>
        <c:axId val="1315680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1569920"/>
        <c:crosses val="autoZero"/>
        <c:auto val="1"/>
        <c:lblAlgn val="ctr"/>
        <c:lblOffset val="100"/>
        <c:noMultiLvlLbl val="0"/>
      </c:catAx>
      <c:valAx>
        <c:axId val="1315699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156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'16.8 BUSUNJU-KAMPALA-24HRS'!$C$9:$N$9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'16.8 BUSUNJU-KAMPALA-24HRS'!$C$107:$N$107</c:f>
              <c:numCache>
                <c:formatCode>0.0%</c:formatCode>
                <c:ptCount val="12"/>
                <c:pt idx="0">
                  <c:v>7.8973346495557747E-2</c:v>
                </c:pt>
                <c:pt idx="1">
                  <c:v>8.8845014807502464E-3</c:v>
                </c:pt>
                <c:pt idx="2">
                  <c:v>7.7986179664363275E-2</c:v>
                </c:pt>
                <c:pt idx="3">
                  <c:v>2.8627838104639685E-2</c:v>
                </c:pt>
                <c:pt idx="4">
                  <c:v>2.9615004935834156E-3</c:v>
                </c:pt>
                <c:pt idx="5">
                  <c:v>3.9486673247778872E-3</c:v>
                </c:pt>
                <c:pt idx="6">
                  <c:v>2.1717670286278381E-2</c:v>
                </c:pt>
                <c:pt idx="7">
                  <c:v>2.9615004935834156E-3</c:v>
                </c:pt>
                <c:pt idx="8">
                  <c:v>9.871668311944718E-4</c:v>
                </c:pt>
                <c:pt idx="9">
                  <c:v>9.871668311944718E-4</c:v>
                </c:pt>
                <c:pt idx="10">
                  <c:v>0.77196446199407698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'16.8 BUSUNJU-KAMPALA-24HRS'!$C$9:$N$9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'16.8 BUSUNJU-KAMPALA-24HRS'!$C$108:$N$108</c:f>
              <c:numCache>
                <c:formatCode>0.00%</c:formatCode>
                <c:ptCount val="12"/>
                <c:pt idx="0">
                  <c:v>0.34632034632034631</c:v>
                </c:pt>
                <c:pt idx="1">
                  <c:v>3.896103896103896E-2</c:v>
                </c:pt>
                <c:pt idx="2">
                  <c:v>0.34199134199134201</c:v>
                </c:pt>
                <c:pt idx="3">
                  <c:v>0.12554112554112554</c:v>
                </c:pt>
                <c:pt idx="4">
                  <c:v>1.2987012987012988E-2</c:v>
                </c:pt>
                <c:pt idx="5">
                  <c:v>1.7316017316017316E-2</c:v>
                </c:pt>
                <c:pt idx="6">
                  <c:v>9.5238095238095233E-2</c:v>
                </c:pt>
                <c:pt idx="7">
                  <c:v>1.2987012987012988E-2</c:v>
                </c:pt>
                <c:pt idx="8">
                  <c:v>4.329004329004329E-3</c:v>
                </c:pt>
                <c:pt idx="9">
                  <c:v>4.329004329004329E-3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'17.8 KAMPALA-BUSUNJU'!$AE$9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'17.8 KAMPALA-BUSUNJU'!$R$10:$R$21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'17.8 KAMPALA-BUSUNJU'!$AE$10:$AE$21</c:f>
              <c:numCache>
                <c:formatCode>0</c:formatCode>
                <c:ptCount val="12"/>
                <c:pt idx="0">
                  <c:v>9</c:v>
                </c:pt>
                <c:pt idx="1">
                  <c:v>12</c:v>
                </c:pt>
                <c:pt idx="2">
                  <c:v>13</c:v>
                </c:pt>
                <c:pt idx="3">
                  <c:v>17</c:v>
                </c:pt>
                <c:pt idx="4">
                  <c:v>19</c:v>
                </c:pt>
                <c:pt idx="5">
                  <c:v>19</c:v>
                </c:pt>
                <c:pt idx="6">
                  <c:v>20</c:v>
                </c:pt>
                <c:pt idx="7">
                  <c:v>13</c:v>
                </c:pt>
                <c:pt idx="8">
                  <c:v>15</c:v>
                </c:pt>
                <c:pt idx="9">
                  <c:v>19</c:v>
                </c:pt>
                <c:pt idx="10">
                  <c:v>15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'17.8 KAMPALA-BUSUNJU'!$AF$9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'17.8 KAMPALA-BUSUNJU'!$R$10:$R$21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'17.8 KAMPALA-BUSUNJU'!$AF$10:$AF$21</c:f>
              <c:numCache>
                <c:formatCode>0</c:formatCode>
                <c:ptCount val="12"/>
                <c:pt idx="0">
                  <c:v>50</c:v>
                </c:pt>
                <c:pt idx="1">
                  <c:v>51</c:v>
                </c:pt>
                <c:pt idx="2">
                  <c:v>69</c:v>
                </c:pt>
                <c:pt idx="3">
                  <c:v>64</c:v>
                </c:pt>
                <c:pt idx="4">
                  <c:v>77</c:v>
                </c:pt>
                <c:pt idx="5">
                  <c:v>82</c:v>
                </c:pt>
                <c:pt idx="6">
                  <c:v>74</c:v>
                </c:pt>
                <c:pt idx="7">
                  <c:v>71</c:v>
                </c:pt>
                <c:pt idx="8">
                  <c:v>62</c:v>
                </c:pt>
                <c:pt idx="9">
                  <c:v>80</c:v>
                </c:pt>
                <c:pt idx="10">
                  <c:v>81</c:v>
                </c:pt>
                <c:pt idx="11">
                  <c:v>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2180608"/>
        <c:axId val="132002176"/>
      </c:lineChart>
      <c:catAx>
        <c:axId val="1321806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2002176"/>
        <c:crosses val="autoZero"/>
        <c:auto val="1"/>
        <c:lblAlgn val="ctr"/>
        <c:lblOffset val="100"/>
        <c:noMultiLvlLbl val="0"/>
      </c:catAx>
      <c:valAx>
        <c:axId val="1320021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2180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'17.8 KAMPALA-BUSUNJU'!$C$9:$N$9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'17.8 KAMPALA-BUSUNJU'!$C$59:$N$59</c:f>
              <c:numCache>
                <c:formatCode>0.0%</c:formatCode>
                <c:ptCount val="12"/>
                <c:pt idx="0">
                  <c:v>7.4733096085409248E-2</c:v>
                </c:pt>
                <c:pt idx="1">
                  <c:v>0</c:v>
                </c:pt>
                <c:pt idx="2">
                  <c:v>6.2870699881376044E-2</c:v>
                </c:pt>
                <c:pt idx="3">
                  <c:v>1.542111506524318E-2</c:v>
                </c:pt>
                <c:pt idx="4">
                  <c:v>0</c:v>
                </c:pt>
                <c:pt idx="5">
                  <c:v>0</c:v>
                </c:pt>
                <c:pt idx="6">
                  <c:v>7.2360616844602613E-2</c:v>
                </c:pt>
                <c:pt idx="7">
                  <c:v>4.7449584816132862E-3</c:v>
                </c:pt>
                <c:pt idx="8">
                  <c:v>0</c:v>
                </c:pt>
                <c:pt idx="9">
                  <c:v>0</c:v>
                </c:pt>
                <c:pt idx="10">
                  <c:v>0.7698695136417556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'17.8 KAMPALA-BUSUNJU'!$S$9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'17.8 KAMPALA-BUSUNJU'!$R$10:$R$21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'17.8 KAMPALA-BUSUNJU'!$S$10:$S$21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3</c:v>
                </c:pt>
                <c:pt idx="4">
                  <c:v>7</c:v>
                </c:pt>
                <c:pt idx="5">
                  <c:v>2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'17.8 KAMPALA-BUSUNJU'!$T$9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'17.8 KAMPALA-BUSUNJU'!$R$10:$R$21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'17.8 KAMPALA-BUSUNJU'!$T$10:$T$21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'17.8 KAMPALA-BUSUNJU'!$U$9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'17.8 KAMPALA-BUSUNJU'!$U$10:$U$21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4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  <c:pt idx="6">
                  <c:v>3</c:v>
                </c:pt>
                <c:pt idx="7">
                  <c:v>2</c:v>
                </c:pt>
                <c:pt idx="8">
                  <c:v>6</c:v>
                </c:pt>
                <c:pt idx="9">
                  <c:v>8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'17.8 KAMPALA-BUSUNJU'!$V$9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'17.8 KAMPALA-BUSUNJU'!$V$10:$V$21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3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'17.8 KAMPALA-BUSUNJU'!$W$9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'17.8 KAMPALA-BUSUNJU'!$W$10:$W$21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'17.8 KAMPALA-BUSUNJU'!$X$9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'17.8 KAMPALA-BUSUNJU'!$X$10:$X$21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'17.8 KAMPALA-BUSUNJU'!$Y$9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'17.8 KAMPALA-BUSUNJU'!$Y$10:$Y$21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7</c:v>
                </c:pt>
                <c:pt idx="4">
                  <c:v>5</c:v>
                </c:pt>
                <c:pt idx="5">
                  <c:v>9</c:v>
                </c:pt>
                <c:pt idx="6">
                  <c:v>9</c:v>
                </c:pt>
                <c:pt idx="7">
                  <c:v>6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'17.8 KAMPALA-BUSUNJU'!$Z$9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'17.8 KAMPALA-BUSUNJU'!$Z$10:$Z$21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'17.8 KAMPALA-BUSUNJU'!$AA$9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'17.8 KAMPALA-BUSUNJU'!$AA$10:$AA$21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'17.8 KAMPALA-BUSUNJU'!$AB$9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'17.8 KAMPALA-BUSUNJU'!$AB$10:$AB$21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'17.8 KAMPALA-BUSUNJU'!$AC$9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'17.8 KAMPALA-BUSUNJU'!$AC$10:$AC$21</c:f>
              <c:numCache>
                <c:formatCode>0</c:formatCode>
                <c:ptCount val="12"/>
                <c:pt idx="0">
                  <c:v>41</c:v>
                </c:pt>
                <c:pt idx="1">
                  <c:v>39</c:v>
                </c:pt>
                <c:pt idx="2">
                  <c:v>56</c:v>
                </c:pt>
                <c:pt idx="3">
                  <c:v>47</c:v>
                </c:pt>
                <c:pt idx="4">
                  <c:v>58</c:v>
                </c:pt>
                <c:pt idx="5">
                  <c:v>63</c:v>
                </c:pt>
                <c:pt idx="6">
                  <c:v>54</c:v>
                </c:pt>
                <c:pt idx="7">
                  <c:v>58</c:v>
                </c:pt>
                <c:pt idx="8">
                  <c:v>47</c:v>
                </c:pt>
                <c:pt idx="9">
                  <c:v>61</c:v>
                </c:pt>
                <c:pt idx="10">
                  <c:v>66</c:v>
                </c:pt>
                <c:pt idx="11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'17.8 KAMPALA-BUSUNJU'!$AD$9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'17.8 KAMPALA-BUSUNJU'!$AD$10:$AD$21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431232"/>
        <c:axId val="132252800"/>
      </c:lineChart>
      <c:catAx>
        <c:axId val="132431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2252800"/>
        <c:crosses val="autoZero"/>
        <c:auto val="1"/>
        <c:lblAlgn val="ctr"/>
        <c:lblOffset val="100"/>
        <c:noMultiLvlLbl val="0"/>
      </c:catAx>
      <c:valAx>
        <c:axId val="13225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243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'17.8 KAMPALA-BUSUNJU'!$C$9:$N$9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'17.8 KAMPALA-BUSUNJU'!$C$60:$N$60</c:f>
              <c:numCache>
                <c:formatCode>0.00%</c:formatCode>
                <c:ptCount val="12"/>
                <c:pt idx="0">
                  <c:v>0.32474226804123713</c:v>
                </c:pt>
                <c:pt idx="1">
                  <c:v>0</c:v>
                </c:pt>
                <c:pt idx="2">
                  <c:v>0.27319587628865977</c:v>
                </c:pt>
                <c:pt idx="3">
                  <c:v>6.7010309278350513E-2</c:v>
                </c:pt>
                <c:pt idx="4">
                  <c:v>0</c:v>
                </c:pt>
                <c:pt idx="5">
                  <c:v>0</c:v>
                </c:pt>
                <c:pt idx="6">
                  <c:v>0.31443298969072164</c:v>
                </c:pt>
                <c:pt idx="7">
                  <c:v>2.0618556701030927E-2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'17.8 BUSUNJU-KAMPALA'!$AE$9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'17.8 BUSUNJU-KAMPALA'!$R$10:$R$21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'17.8 BUSUNJU-KAMPALA'!$AE$10:$AE$21</c:f>
              <c:numCache>
                <c:formatCode>0</c:formatCode>
                <c:ptCount val="12"/>
                <c:pt idx="0">
                  <c:v>5</c:v>
                </c:pt>
                <c:pt idx="1">
                  <c:v>13</c:v>
                </c:pt>
                <c:pt idx="2">
                  <c:v>10</c:v>
                </c:pt>
                <c:pt idx="3">
                  <c:v>13</c:v>
                </c:pt>
                <c:pt idx="4">
                  <c:v>11</c:v>
                </c:pt>
                <c:pt idx="5">
                  <c:v>21</c:v>
                </c:pt>
                <c:pt idx="6">
                  <c:v>4</c:v>
                </c:pt>
                <c:pt idx="7">
                  <c:v>15</c:v>
                </c:pt>
                <c:pt idx="8">
                  <c:v>14</c:v>
                </c:pt>
                <c:pt idx="9">
                  <c:v>18</c:v>
                </c:pt>
                <c:pt idx="10">
                  <c:v>18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'17.8 BUSUNJU-KAMPALA'!$AF$9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'17.8 BUSUNJU-KAMPALA'!$R$10:$R$21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'17.8 BUSUNJU-KAMPALA'!$AF$10:$AF$21</c:f>
              <c:numCache>
                <c:formatCode>0</c:formatCode>
                <c:ptCount val="12"/>
                <c:pt idx="0">
                  <c:v>34</c:v>
                </c:pt>
                <c:pt idx="1">
                  <c:v>46</c:v>
                </c:pt>
                <c:pt idx="2">
                  <c:v>63</c:v>
                </c:pt>
                <c:pt idx="3">
                  <c:v>65</c:v>
                </c:pt>
                <c:pt idx="4">
                  <c:v>72</c:v>
                </c:pt>
                <c:pt idx="5">
                  <c:v>65</c:v>
                </c:pt>
                <c:pt idx="6">
                  <c:v>69</c:v>
                </c:pt>
                <c:pt idx="7">
                  <c:v>66</c:v>
                </c:pt>
                <c:pt idx="8">
                  <c:v>54</c:v>
                </c:pt>
                <c:pt idx="9">
                  <c:v>84</c:v>
                </c:pt>
                <c:pt idx="10">
                  <c:v>82</c:v>
                </c:pt>
                <c:pt idx="11">
                  <c:v>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2683264"/>
        <c:axId val="132685184"/>
      </c:lineChart>
      <c:catAx>
        <c:axId val="1326832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2685184"/>
        <c:crosses val="autoZero"/>
        <c:auto val="1"/>
        <c:lblAlgn val="ctr"/>
        <c:lblOffset val="100"/>
        <c:noMultiLvlLbl val="0"/>
      </c:catAx>
      <c:valAx>
        <c:axId val="132685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2683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'17.8 BUSUNJU-KAMPALA'!$C$9:$N$9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'17.8 BUSUNJU-KAMPALA'!$C$59:$N$59</c:f>
              <c:numCache>
                <c:formatCode>0.0%</c:formatCode>
                <c:ptCount val="12"/>
                <c:pt idx="0">
                  <c:v>6.363636363636363E-2</c:v>
                </c:pt>
                <c:pt idx="1">
                  <c:v>0</c:v>
                </c:pt>
                <c:pt idx="2">
                  <c:v>4.9350649350649353E-2</c:v>
                </c:pt>
                <c:pt idx="3">
                  <c:v>1.6883116883116882E-2</c:v>
                </c:pt>
                <c:pt idx="4">
                  <c:v>0</c:v>
                </c:pt>
                <c:pt idx="5">
                  <c:v>0</c:v>
                </c:pt>
                <c:pt idx="6">
                  <c:v>7.1428571428571425E-2</c:v>
                </c:pt>
                <c:pt idx="7">
                  <c:v>2.5974025974025974E-3</c:v>
                </c:pt>
                <c:pt idx="8">
                  <c:v>0</c:v>
                </c:pt>
                <c:pt idx="9">
                  <c:v>0</c:v>
                </c:pt>
                <c:pt idx="10">
                  <c:v>0.79610389610389609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'17.8 BUSUNJU-KAMPALA'!$S$9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'17.8 BUSUNJU-KAMPALA'!$R$10:$R$21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'17.8 BUSUNJU-KAMPALA'!$S$10:$S$21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6</c:v>
                </c:pt>
                <c:pt idx="4">
                  <c:v>3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3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'17.8 BUSUNJU-KAMPALA'!$T$9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'17.8 BUSUNJU-KAMPALA'!$R$10:$R$21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'17.8 BUSUNJU-KAMPALA'!$T$10:$T$21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'17.8 BUSUNJU-KAMPALA'!$U$9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'17.8 BUSUNJU-KAMPALA'!$U$10:$U$21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3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7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'17.8 BUSUNJU-KAMPALA'!$V$9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'17.8 BUSUNJU-KAMPALA'!$V$10:$V$21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'17.8 BUSUNJU-KAMPALA'!$W$9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'17.8 BUSUNJU-KAMPALA'!$W$10:$W$21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'17.8 BUSUNJU-KAMPALA'!$X$9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'17.8 BUSUNJU-KAMPALA'!$X$10:$X$21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'17.8 BUSUNJU-KAMPALA'!$Y$9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'17.8 BUSUNJU-KAMPALA'!$Y$10:$Y$21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3</c:v>
                </c:pt>
                <c:pt idx="7">
                  <c:v>8</c:v>
                </c:pt>
                <c:pt idx="8">
                  <c:v>3</c:v>
                </c:pt>
                <c:pt idx="9">
                  <c:v>4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'17.8 BUSUNJU-KAMPALA'!$Z$9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'17.8 BUSUNJU-KAMPALA'!$Z$10:$Z$21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'17.8 BUSUNJU-KAMPALA'!$AA$9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'17.8 BUSUNJU-KAMPALA'!$AA$10:$AA$21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'17.8 BUSUNJU-KAMPALA'!$AB$9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'17.8 BUSUNJU-KAMPALA'!$AB$10:$AB$21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'17.8 BUSUNJU-KAMPALA'!$AC$9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'17.8 BUSUNJU-KAMPALA'!$AC$10:$AC$21</c:f>
              <c:numCache>
                <c:formatCode>0</c:formatCode>
                <c:ptCount val="12"/>
                <c:pt idx="0">
                  <c:v>29</c:v>
                </c:pt>
                <c:pt idx="1">
                  <c:v>33</c:v>
                </c:pt>
                <c:pt idx="2">
                  <c:v>53</c:v>
                </c:pt>
                <c:pt idx="3">
                  <c:v>52</c:v>
                </c:pt>
                <c:pt idx="4">
                  <c:v>61</c:v>
                </c:pt>
                <c:pt idx="5">
                  <c:v>44</c:v>
                </c:pt>
                <c:pt idx="6">
                  <c:v>65</c:v>
                </c:pt>
                <c:pt idx="7">
                  <c:v>51</c:v>
                </c:pt>
                <c:pt idx="8">
                  <c:v>40</c:v>
                </c:pt>
                <c:pt idx="9">
                  <c:v>66</c:v>
                </c:pt>
                <c:pt idx="10">
                  <c:v>64</c:v>
                </c:pt>
                <c:pt idx="11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'17.8 BUSUNJU-KAMPALA'!$AD$9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'17.8 BUSUNJU-KAMPALA'!$AD$10:$AD$21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93696"/>
        <c:axId val="132580096"/>
      </c:lineChart>
      <c:catAx>
        <c:axId val="132893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2580096"/>
        <c:crosses val="autoZero"/>
        <c:auto val="1"/>
        <c:lblAlgn val="ctr"/>
        <c:lblOffset val="100"/>
        <c:noMultiLvlLbl val="0"/>
      </c:catAx>
      <c:valAx>
        <c:axId val="132580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289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'17.8 BUSUNJU-KAMPALA'!$C$9:$N$9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'17.8 BUSUNJU-KAMPALA'!$C$60:$N$60</c:f>
              <c:numCache>
                <c:formatCode>0.00%</c:formatCode>
                <c:ptCount val="12"/>
                <c:pt idx="0">
                  <c:v>0.31210191082802546</c:v>
                </c:pt>
                <c:pt idx="1">
                  <c:v>0</c:v>
                </c:pt>
                <c:pt idx="2">
                  <c:v>0.24203821656050956</c:v>
                </c:pt>
                <c:pt idx="3">
                  <c:v>8.2802547770700632E-2</c:v>
                </c:pt>
                <c:pt idx="4">
                  <c:v>0</c:v>
                </c:pt>
                <c:pt idx="5">
                  <c:v>0</c:v>
                </c:pt>
                <c:pt idx="6">
                  <c:v>0.3503184713375796</c:v>
                </c:pt>
                <c:pt idx="7">
                  <c:v>1.2738853503184714E-2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Kampala-Busunju'!$AE$9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Kampala-Busunju'!$R$10:$R$33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Kampala-Busunju'!$AE$10:$AE$33</c:f>
              <c:numCache>
                <c:formatCode>0</c:formatCode>
                <c:ptCount val="24"/>
                <c:pt idx="0">
                  <c:v>8.1428571428571423</c:v>
                </c:pt>
                <c:pt idx="1">
                  <c:v>11.714285714285714</c:v>
                </c:pt>
                <c:pt idx="2">
                  <c:v>9.2857142857142847</c:v>
                </c:pt>
                <c:pt idx="3">
                  <c:v>12.571428571428571</c:v>
                </c:pt>
                <c:pt idx="4">
                  <c:v>12.428571428571431</c:v>
                </c:pt>
                <c:pt idx="5">
                  <c:v>15.714285714285714</c:v>
                </c:pt>
                <c:pt idx="6">
                  <c:v>14.857142857142858</c:v>
                </c:pt>
                <c:pt idx="7">
                  <c:v>11.285714285714285</c:v>
                </c:pt>
                <c:pt idx="8">
                  <c:v>14.428571428571429</c:v>
                </c:pt>
                <c:pt idx="9">
                  <c:v>13.714285714285714</c:v>
                </c:pt>
                <c:pt idx="10">
                  <c:v>14.999999999999998</c:v>
                </c:pt>
                <c:pt idx="11">
                  <c:v>15.285714285714285</c:v>
                </c:pt>
                <c:pt idx="12">
                  <c:v>19</c:v>
                </c:pt>
                <c:pt idx="13">
                  <c:v>17</c:v>
                </c:pt>
                <c:pt idx="14">
                  <c:v>20</c:v>
                </c:pt>
                <c:pt idx="15">
                  <c:v>15.5</c:v>
                </c:pt>
                <c:pt idx="16">
                  <c:v>10</c:v>
                </c:pt>
                <c:pt idx="17">
                  <c:v>6</c:v>
                </c:pt>
                <c:pt idx="18">
                  <c:v>8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9</c:v>
                </c:pt>
                <c:pt idx="23">
                  <c:v>25.5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Kampala-Busunju'!$AF$9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Kampala-Busunju'!$R$10:$R$33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Kampala-Busunju'!$AF$10:$AF$33</c:f>
              <c:numCache>
                <c:formatCode>0</c:formatCode>
                <c:ptCount val="24"/>
                <c:pt idx="0">
                  <c:v>49.142857142857139</c:v>
                </c:pt>
                <c:pt idx="1">
                  <c:v>64.857142857142861</c:v>
                </c:pt>
                <c:pt idx="2">
                  <c:v>71</c:v>
                </c:pt>
                <c:pt idx="3">
                  <c:v>71.571428571428569</c:v>
                </c:pt>
                <c:pt idx="4">
                  <c:v>77.285714285714278</c:v>
                </c:pt>
                <c:pt idx="5">
                  <c:v>78.142857142857139</c:v>
                </c:pt>
                <c:pt idx="6">
                  <c:v>65.142857142857139</c:v>
                </c:pt>
                <c:pt idx="7">
                  <c:v>67.285714285714278</c:v>
                </c:pt>
                <c:pt idx="8">
                  <c:v>68.714285714285708</c:v>
                </c:pt>
                <c:pt idx="9">
                  <c:v>72.714285714285708</c:v>
                </c:pt>
                <c:pt idx="10">
                  <c:v>78.857142857142861</c:v>
                </c:pt>
                <c:pt idx="11">
                  <c:v>77</c:v>
                </c:pt>
                <c:pt idx="12">
                  <c:v>67.5</c:v>
                </c:pt>
                <c:pt idx="13">
                  <c:v>51</c:v>
                </c:pt>
                <c:pt idx="14">
                  <c:v>35</c:v>
                </c:pt>
                <c:pt idx="15">
                  <c:v>19.5</c:v>
                </c:pt>
                <c:pt idx="16">
                  <c:v>13</c:v>
                </c:pt>
                <c:pt idx="17">
                  <c:v>10</c:v>
                </c:pt>
                <c:pt idx="18">
                  <c:v>8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10.5</c:v>
                </c:pt>
                <c:pt idx="23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108864"/>
        <c:axId val="133110784"/>
      </c:lineChart>
      <c:catAx>
        <c:axId val="1331088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3110784"/>
        <c:crosses val="autoZero"/>
        <c:auto val="1"/>
        <c:lblAlgn val="ctr"/>
        <c:lblOffset val="100"/>
        <c:noMultiLvlLbl val="0"/>
      </c:catAx>
      <c:valAx>
        <c:axId val="1331107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3108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Kampala-Busunju'!$C$9:$N$9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Kampala-Busunju'!$C$107:$N$107</c:f>
              <c:numCache>
                <c:formatCode>0.0%</c:formatCode>
                <c:ptCount val="12"/>
                <c:pt idx="0">
                  <c:v>8.6048780487804871E-2</c:v>
                </c:pt>
                <c:pt idx="1">
                  <c:v>1.0926829268292682E-2</c:v>
                </c:pt>
                <c:pt idx="2">
                  <c:v>6.6276422764227627E-2</c:v>
                </c:pt>
                <c:pt idx="3">
                  <c:v>2.5495934959349587E-2</c:v>
                </c:pt>
                <c:pt idx="4">
                  <c:v>3.1219512195121949E-3</c:v>
                </c:pt>
                <c:pt idx="5">
                  <c:v>4.878048780487804E-3</c:v>
                </c:pt>
                <c:pt idx="6">
                  <c:v>5.5934959349593492E-2</c:v>
                </c:pt>
                <c:pt idx="7">
                  <c:v>7.0243902439024383E-3</c:v>
                </c:pt>
                <c:pt idx="8">
                  <c:v>1.040650406504065E-3</c:v>
                </c:pt>
                <c:pt idx="9">
                  <c:v>1.8861788617886175E-3</c:v>
                </c:pt>
                <c:pt idx="10">
                  <c:v>0.73645528455284548</c:v>
                </c:pt>
                <c:pt idx="11">
                  <c:v>9.1056910569105689E-4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Kampala-Busunju'!$C$9:$N$9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Kampala-Busunju'!$C$108:$N$108</c:f>
              <c:numCache>
                <c:formatCode>0.00%</c:formatCode>
                <c:ptCount val="12"/>
                <c:pt idx="0">
                  <c:v>0.32650542941757155</c:v>
                </c:pt>
                <c:pt idx="1">
                  <c:v>4.1461006910167818E-2</c:v>
                </c:pt>
                <c:pt idx="2">
                  <c:v>0.25148075024679167</c:v>
                </c:pt>
                <c:pt idx="3">
                  <c:v>9.674234945705823E-2</c:v>
                </c:pt>
                <c:pt idx="4">
                  <c:v>1.1846001974333661E-2</c:v>
                </c:pt>
                <c:pt idx="5">
                  <c:v>1.8509378084896347E-2</c:v>
                </c:pt>
                <c:pt idx="6">
                  <c:v>0.21224086870681144</c:v>
                </c:pt>
                <c:pt idx="7">
                  <c:v>2.6653504442250738E-2</c:v>
                </c:pt>
                <c:pt idx="8">
                  <c:v>3.9486673247778872E-3</c:v>
                </c:pt>
                <c:pt idx="9">
                  <c:v>7.1569595261599195E-3</c:v>
                </c:pt>
                <c:pt idx="11">
                  <c:v>3.4550839091806512E-3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Busunju-Kampala'!$AE$9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Busunju-Kampala'!$R$10:$R$33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Busunju-Kampala'!$AE$10:$AE$33</c:f>
              <c:numCache>
                <c:formatCode>0</c:formatCode>
                <c:ptCount val="24"/>
                <c:pt idx="0">
                  <c:v>7.5714285714285712</c:v>
                </c:pt>
                <c:pt idx="1">
                  <c:v>8.1428571428571423</c:v>
                </c:pt>
                <c:pt idx="2">
                  <c:v>8.5714285714285712</c:v>
                </c:pt>
                <c:pt idx="3">
                  <c:v>13.857142857142858</c:v>
                </c:pt>
                <c:pt idx="4">
                  <c:v>13.428571428571427</c:v>
                </c:pt>
                <c:pt idx="5">
                  <c:v>14.714285714285714</c:v>
                </c:pt>
                <c:pt idx="6">
                  <c:v>12.571428571428571</c:v>
                </c:pt>
                <c:pt idx="7">
                  <c:v>14.142857142857142</c:v>
                </c:pt>
                <c:pt idx="8">
                  <c:v>15.142857142857142</c:v>
                </c:pt>
                <c:pt idx="9">
                  <c:v>18</c:v>
                </c:pt>
                <c:pt idx="10">
                  <c:v>14.571428571428573</c:v>
                </c:pt>
                <c:pt idx="11">
                  <c:v>14.142857142857142</c:v>
                </c:pt>
                <c:pt idx="12">
                  <c:v>19</c:v>
                </c:pt>
                <c:pt idx="13">
                  <c:v>17</c:v>
                </c:pt>
                <c:pt idx="14">
                  <c:v>20</c:v>
                </c:pt>
                <c:pt idx="15">
                  <c:v>15</c:v>
                </c:pt>
                <c:pt idx="16">
                  <c:v>10</c:v>
                </c:pt>
                <c:pt idx="17">
                  <c:v>6</c:v>
                </c:pt>
                <c:pt idx="18">
                  <c:v>8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9</c:v>
                </c:pt>
                <c:pt idx="23">
                  <c:v>22.5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Busunju-Kampala'!$AF$9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Busunju-Kampala'!$R$10:$R$33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Busunju-Kampala'!$AF$10:$AF$33</c:f>
              <c:numCache>
                <c:formatCode>0</c:formatCode>
                <c:ptCount val="24"/>
                <c:pt idx="0">
                  <c:v>44.571428571428569</c:v>
                </c:pt>
                <c:pt idx="1">
                  <c:v>59.285714285714285</c:v>
                </c:pt>
                <c:pt idx="2">
                  <c:v>66.142857142857139</c:v>
                </c:pt>
                <c:pt idx="3">
                  <c:v>72.428571428571431</c:v>
                </c:pt>
                <c:pt idx="4">
                  <c:v>72.857142857142861</c:v>
                </c:pt>
                <c:pt idx="5">
                  <c:v>72.142857142857139</c:v>
                </c:pt>
                <c:pt idx="6">
                  <c:v>72.428571428571431</c:v>
                </c:pt>
                <c:pt idx="7">
                  <c:v>68.571428571428569</c:v>
                </c:pt>
                <c:pt idx="8">
                  <c:v>70.857142857142861</c:v>
                </c:pt>
                <c:pt idx="9">
                  <c:v>72.428571428571431</c:v>
                </c:pt>
                <c:pt idx="10">
                  <c:v>76.142857142857139</c:v>
                </c:pt>
                <c:pt idx="11">
                  <c:v>73</c:v>
                </c:pt>
                <c:pt idx="12">
                  <c:v>67.5</c:v>
                </c:pt>
                <c:pt idx="13">
                  <c:v>51</c:v>
                </c:pt>
                <c:pt idx="14">
                  <c:v>35</c:v>
                </c:pt>
                <c:pt idx="15">
                  <c:v>19</c:v>
                </c:pt>
                <c:pt idx="16">
                  <c:v>13</c:v>
                </c:pt>
                <c:pt idx="17">
                  <c:v>10</c:v>
                </c:pt>
                <c:pt idx="18">
                  <c:v>8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10.5</c:v>
                </c:pt>
                <c:pt idx="23">
                  <c:v>34.5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772032"/>
        <c:axId val="133773952"/>
      </c:lineChart>
      <c:catAx>
        <c:axId val="1337720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3773952"/>
        <c:crosses val="autoZero"/>
        <c:auto val="1"/>
        <c:lblAlgn val="ctr"/>
        <c:lblOffset val="100"/>
        <c:noMultiLvlLbl val="0"/>
      </c:catAx>
      <c:valAx>
        <c:axId val="1337739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3772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Busunju-Kampala'!$C$9:$N$9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Busunju-Kampala'!$C$107:$N$107</c:f>
              <c:numCache>
                <c:formatCode>0.0%</c:formatCode>
                <c:ptCount val="12"/>
                <c:pt idx="0">
                  <c:v>8.4158087014280972E-2</c:v>
                </c:pt>
                <c:pt idx="1">
                  <c:v>8.3693125207572241E-3</c:v>
                </c:pt>
                <c:pt idx="2">
                  <c:v>6.5626037861175684E-2</c:v>
                </c:pt>
                <c:pt idx="3">
                  <c:v>2.7499169711059448E-2</c:v>
                </c:pt>
                <c:pt idx="4">
                  <c:v>2.7897708402524076E-3</c:v>
                </c:pt>
                <c:pt idx="5">
                  <c:v>3.7196944536698768E-3</c:v>
                </c:pt>
                <c:pt idx="6">
                  <c:v>6.6954500166057793E-2</c:v>
                </c:pt>
                <c:pt idx="7">
                  <c:v>4.5831949518432419E-3</c:v>
                </c:pt>
                <c:pt idx="8">
                  <c:v>1.0627698439056791E-3</c:v>
                </c:pt>
                <c:pt idx="9">
                  <c:v>9.299236134174692E-4</c:v>
                </c:pt>
                <c:pt idx="10">
                  <c:v>0.73370973098638315</c:v>
                </c:pt>
                <c:pt idx="11">
                  <c:v>5.9780803719694444E-4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Busunju-Kampala'!$C$9:$N$9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Busunju-Kampala'!$C$108:$N$108</c:f>
              <c:numCache>
                <c:formatCode>0.00%</c:formatCode>
                <c:ptCount val="12"/>
                <c:pt idx="0">
                  <c:v>0.31603891244699422</c:v>
                </c:pt>
                <c:pt idx="1">
                  <c:v>3.1429284110750806E-2</c:v>
                </c:pt>
                <c:pt idx="2">
                  <c:v>0.24644549763033172</c:v>
                </c:pt>
                <c:pt idx="3">
                  <c:v>0.10326764779246694</c:v>
                </c:pt>
                <c:pt idx="4">
                  <c:v>1.0476428036916936E-2</c:v>
                </c:pt>
                <c:pt idx="5">
                  <c:v>1.3968570715889247E-2</c:v>
                </c:pt>
                <c:pt idx="6">
                  <c:v>0.25143427288600645</c:v>
                </c:pt>
                <c:pt idx="7">
                  <c:v>1.7211274632077823E-2</c:v>
                </c:pt>
                <c:pt idx="8">
                  <c:v>3.9910202045397849E-3</c:v>
                </c:pt>
                <c:pt idx="9">
                  <c:v>3.4921426789723117E-3</c:v>
                </c:pt>
                <c:pt idx="11">
                  <c:v>2.2449488650536291E-3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Kampala-Busunju-2Dir'!$C$9:$N$9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Kampala-Busunju-2Dir'!$C$107:$N$107</c:f>
              <c:numCache>
                <c:formatCode>0.0%</c:formatCode>
                <c:ptCount val="12"/>
                <c:pt idx="0">
                  <c:v>8.5113374958922128E-2</c:v>
                </c:pt>
                <c:pt idx="1">
                  <c:v>9.6615182385803491E-3</c:v>
                </c:pt>
                <c:pt idx="2">
                  <c:v>6.5954650016431152E-2</c:v>
                </c:pt>
                <c:pt idx="3">
                  <c:v>2.6487019388761093E-2</c:v>
                </c:pt>
                <c:pt idx="4">
                  <c:v>2.9576076240552091E-3</c:v>
                </c:pt>
                <c:pt idx="5">
                  <c:v>4.3049622083470261E-3</c:v>
                </c:pt>
                <c:pt idx="6">
                  <c:v>6.1386789352612561E-2</c:v>
                </c:pt>
                <c:pt idx="7">
                  <c:v>5.8166283273085768E-3</c:v>
                </c:pt>
                <c:pt idx="8">
                  <c:v>1.0515938218862964E-3</c:v>
                </c:pt>
                <c:pt idx="9">
                  <c:v>1.4130791981597107E-3</c:v>
                </c:pt>
                <c:pt idx="10">
                  <c:v>0.73509694380545498</c:v>
                </c:pt>
                <c:pt idx="11">
                  <c:v>7.5583305948077558E-4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597054679489068E-2"/>
          <c:y val="0.13723844573776106"/>
          <c:w val="0.82880589064102184"/>
          <c:h val="0.78379493324204041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Kampala-Busunju-2Dir'!$C$9:$N$9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Kampala-Busunju-2Dir'!$C$108:$N$108</c:f>
              <c:numCache>
                <c:formatCode>0.00%</c:formatCode>
                <c:ptCount val="12"/>
                <c:pt idx="0">
                  <c:v>0.32130008683786121</c:v>
                </c:pt>
                <c:pt idx="1">
                  <c:v>3.6471901749162622E-2</c:v>
                </c:pt>
                <c:pt idx="2">
                  <c:v>0.24897655377744685</c:v>
                </c:pt>
                <c:pt idx="3">
                  <c:v>9.9987594591241749E-2</c:v>
                </c:pt>
                <c:pt idx="4">
                  <c:v>1.1164867882396722E-2</c:v>
                </c:pt>
                <c:pt idx="5">
                  <c:v>1.6251085473266341E-2</c:v>
                </c:pt>
                <c:pt idx="6">
                  <c:v>0.2317330356035231</c:v>
                </c:pt>
                <c:pt idx="7">
                  <c:v>2.1957573502046884E-2</c:v>
                </c:pt>
                <c:pt idx="8">
                  <c:v>3.9697308026299455E-3</c:v>
                </c:pt>
                <c:pt idx="9">
                  <c:v>5.3343257660339888E-3</c:v>
                </c:pt>
                <c:pt idx="11">
                  <c:v>2.8532440143902733E-3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Kampala-Busunju-2Dir'!$AE$9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Kampala-Busunju-2Dir'!$R$10:$R$33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Kampala-Busunju-2Dir'!$AE$10:$AE$33</c:f>
              <c:numCache>
                <c:formatCode>0</c:formatCode>
                <c:ptCount val="24"/>
                <c:pt idx="0">
                  <c:v>15.714285714285712</c:v>
                </c:pt>
                <c:pt idx="1">
                  <c:v>19.857142857142854</c:v>
                </c:pt>
                <c:pt idx="2">
                  <c:v>17.857142857142858</c:v>
                </c:pt>
                <c:pt idx="3">
                  <c:v>26.428571428571431</c:v>
                </c:pt>
                <c:pt idx="4">
                  <c:v>25.857142857142858</c:v>
                </c:pt>
                <c:pt idx="5">
                  <c:v>30.428571428571431</c:v>
                </c:pt>
                <c:pt idx="6">
                  <c:v>27.428571428571431</c:v>
                </c:pt>
                <c:pt idx="7">
                  <c:v>25.428571428571423</c:v>
                </c:pt>
                <c:pt idx="8">
                  <c:v>29.571428571428569</c:v>
                </c:pt>
                <c:pt idx="9">
                  <c:v>31.714285714285715</c:v>
                </c:pt>
                <c:pt idx="10">
                  <c:v>29.571428571428573</c:v>
                </c:pt>
                <c:pt idx="11">
                  <c:v>29.428571428571427</c:v>
                </c:pt>
                <c:pt idx="12">
                  <c:v>38</c:v>
                </c:pt>
                <c:pt idx="13">
                  <c:v>34</c:v>
                </c:pt>
                <c:pt idx="14">
                  <c:v>40</c:v>
                </c:pt>
                <c:pt idx="15">
                  <c:v>30.5</c:v>
                </c:pt>
                <c:pt idx="16">
                  <c:v>20</c:v>
                </c:pt>
                <c:pt idx="17">
                  <c:v>12</c:v>
                </c:pt>
                <c:pt idx="18">
                  <c:v>16</c:v>
                </c:pt>
                <c:pt idx="19">
                  <c:v>2</c:v>
                </c:pt>
                <c:pt idx="20">
                  <c:v>4</c:v>
                </c:pt>
                <c:pt idx="21">
                  <c:v>4</c:v>
                </c:pt>
                <c:pt idx="22">
                  <c:v>18</c:v>
                </c:pt>
                <c:pt idx="23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C6C-4127-8AC3-1FFE3B520633}"/>
            </c:ext>
          </c:extLst>
        </c:ser>
        <c:ser>
          <c:idx val="1"/>
          <c:order val="1"/>
          <c:tx>
            <c:strRef>
              <c:f>'Avg Week Kampala-Busunju-2Dir'!$AF$9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Kampala-Busunju-2Dir'!$R$10:$R$33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Kampala-Busunju-2Dir'!$AF$10:$AF$33</c:f>
              <c:numCache>
                <c:formatCode>0</c:formatCode>
                <c:ptCount val="24"/>
                <c:pt idx="0">
                  <c:v>93.714285714285708</c:v>
                </c:pt>
                <c:pt idx="1">
                  <c:v>124.14285714285715</c:v>
                </c:pt>
                <c:pt idx="2">
                  <c:v>137.14285714285714</c:v>
                </c:pt>
                <c:pt idx="3">
                  <c:v>144.00000000000003</c:v>
                </c:pt>
                <c:pt idx="4">
                  <c:v>150.14285714285714</c:v>
                </c:pt>
                <c:pt idx="5">
                  <c:v>150.28571428571428</c:v>
                </c:pt>
                <c:pt idx="6">
                  <c:v>137.57142857142858</c:v>
                </c:pt>
                <c:pt idx="7">
                  <c:v>135.85714285714286</c:v>
                </c:pt>
                <c:pt idx="8">
                  <c:v>139.57142857142856</c:v>
                </c:pt>
                <c:pt idx="9">
                  <c:v>145.14285714285714</c:v>
                </c:pt>
                <c:pt idx="10">
                  <c:v>155</c:v>
                </c:pt>
                <c:pt idx="11">
                  <c:v>150</c:v>
                </c:pt>
                <c:pt idx="12">
                  <c:v>135</c:v>
                </c:pt>
                <c:pt idx="13">
                  <c:v>102</c:v>
                </c:pt>
                <c:pt idx="14">
                  <c:v>70</c:v>
                </c:pt>
                <c:pt idx="15">
                  <c:v>38.5</c:v>
                </c:pt>
                <c:pt idx="16">
                  <c:v>26</c:v>
                </c:pt>
                <c:pt idx="17">
                  <c:v>20</c:v>
                </c:pt>
                <c:pt idx="18">
                  <c:v>16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21</c:v>
                </c:pt>
                <c:pt idx="23">
                  <c:v>70.5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C6C-4127-8AC3-1FFE3B520633}"/>
            </c:ext>
          </c:extLst>
        </c:ser>
        <c:ser>
          <c:idx val="5"/>
          <c:order val="2"/>
          <c:tx>
            <c:strRef>
              <c:f>'Avg Week Kampala-Busunju-2Dir'!$AC$9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Kampala-Busunju-2Dir'!$R$10:$R$33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Kampala-Busunju-2Dir'!$AC$10:$AC$33</c:f>
              <c:numCache>
                <c:formatCode>0</c:formatCode>
                <c:ptCount val="24"/>
                <c:pt idx="0">
                  <c:v>78</c:v>
                </c:pt>
                <c:pt idx="1">
                  <c:v>104.28571428571428</c:v>
                </c:pt>
                <c:pt idx="2">
                  <c:v>119.28571428571428</c:v>
                </c:pt>
                <c:pt idx="3">
                  <c:v>117.57142857142858</c:v>
                </c:pt>
                <c:pt idx="4">
                  <c:v>124.28571428571428</c:v>
                </c:pt>
                <c:pt idx="5">
                  <c:v>119.85714285714286</c:v>
                </c:pt>
                <c:pt idx="6">
                  <c:v>110.14285714285714</c:v>
                </c:pt>
                <c:pt idx="7">
                  <c:v>110.42857142857142</c:v>
                </c:pt>
                <c:pt idx="8">
                  <c:v>110</c:v>
                </c:pt>
                <c:pt idx="9">
                  <c:v>113.42857142857144</c:v>
                </c:pt>
                <c:pt idx="10">
                  <c:v>125.42857142857144</c:v>
                </c:pt>
                <c:pt idx="11">
                  <c:v>120.57142857142857</c:v>
                </c:pt>
                <c:pt idx="12">
                  <c:v>97</c:v>
                </c:pt>
                <c:pt idx="13">
                  <c:v>68</c:v>
                </c:pt>
                <c:pt idx="14">
                  <c:v>30</c:v>
                </c:pt>
                <c:pt idx="15">
                  <c:v>8</c:v>
                </c:pt>
                <c:pt idx="16">
                  <c:v>6</c:v>
                </c:pt>
                <c:pt idx="17">
                  <c:v>8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3</c:v>
                </c:pt>
                <c:pt idx="23">
                  <c:v>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6C-4127-8AC3-1FFE3B5206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505792"/>
        <c:axId val="157506944"/>
      </c:lineChart>
      <c:catAx>
        <c:axId val="157505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57506944"/>
        <c:crosses val="autoZero"/>
        <c:auto val="1"/>
        <c:lblAlgn val="ctr"/>
        <c:lblOffset val="100"/>
        <c:noMultiLvlLbl val="0"/>
      </c:catAx>
      <c:valAx>
        <c:axId val="157506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57505792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6"/>
          <c:y val="2.254314649517310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3"/>
          <c:w val="0.64701098217985931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Kampala-Busunju-2Dir'!$S$9:$AF$9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Kampala-Busunju-2Dir'!$S$41:$AF$41</c:f>
              <c:numCache>
                <c:formatCode>_(* #,##0_);_(* \(#,##0\);_(* "-"_);_(@_)</c:formatCode>
                <c:ptCount val="14"/>
                <c:pt idx="0">
                  <c:v>185</c:v>
                </c:pt>
                <c:pt idx="1">
                  <c:v>21</c:v>
                </c:pt>
                <c:pt idx="2">
                  <c:v>143.35714285714286</c:v>
                </c:pt>
                <c:pt idx="3">
                  <c:v>57.571428571428569</c:v>
                </c:pt>
                <c:pt idx="4">
                  <c:v>6.4285714285714279</c:v>
                </c:pt>
                <c:pt idx="5">
                  <c:v>9.3571428571428577</c:v>
                </c:pt>
                <c:pt idx="6">
                  <c:v>133.42857142857142</c:v>
                </c:pt>
                <c:pt idx="7">
                  <c:v>12.642857142857142</c:v>
                </c:pt>
                <c:pt idx="8">
                  <c:v>2.2857142857142856</c:v>
                </c:pt>
                <c:pt idx="9">
                  <c:v>3.0714285714285712</c:v>
                </c:pt>
                <c:pt idx="10">
                  <c:v>1597.7857142857144</c:v>
                </c:pt>
                <c:pt idx="11">
                  <c:v>1.6428571428571428</c:v>
                </c:pt>
                <c:pt idx="12">
                  <c:v>575.78571428571433</c:v>
                </c:pt>
                <c:pt idx="13">
                  <c:v>2173.5714285714284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A6-4819-A6D1-F3AB142A22E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57815168"/>
        <c:axId val="157816704"/>
      </c:barChart>
      <c:catAx>
        <c:axId val="1578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57816704"/>
        <c:crosses val="autoZero"/>
        <c:auto val="1"/>
        <c:lblAlgn val="ctr"/>
        <c:lblOffset val="100"/>
        <c:noMultiLvlLbl val="0"/>
      </c:catAx>
      <c:valAx>
        <c:axId val="15781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57815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6"/>
          <c:y val="2.254314649517310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3"/>
          <c:w val="0.64701098217985931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Kampala-Busunju-2Dir'!$S$9:$AF$9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Kampala-Busunju-2Dir'!$S$42:$AF$42</c:f>
              <c:numCache>
                <c:formatCode>0.000</c:formatCode>
                <c:ptCount val="14"/>
                <c:pt idx="0">
                  <c:v>1.989247311827957</c:v>
                </c:pt>
                <c:pt idx="1">
                  <c:v>0</c:v>
                </c:pt>
                <c:pt idx="2">
                  <c:v>1.7095400340715503</c:v>
                </c:pt>
                <c:pt idx="3">
                  <c:v>1.8235294117647058</c:v>
                </c:pt>
                <c:pt idx="4">
                  <c:v>2.6470588235294121</c:v>
                </c:pt>
                <c:pt idx="5">
                  <c:v>0</c:v>
                </c:pt>
                <c:pt idx="6">
                  <c:v>1.4920127795527158</c:v>
                </c:pt>
                <c:pt idx="7">
                  <c:v>2.4583333333333335</c:v>
                </c:pt>
                <c:pt idx="8">
                  <c:v>8</c:v>
                </c:pt>
                <c:pt idx="9">
                  <c:v>0</c:v>
                </c:pt>
                <c:pt idx="10">
                  <c:v>1.1806713818220205</c:v>
                </c:pt>
                <c:pt idx="11">
                  <c:v>0</c:v>
                </c:pt>
                <c:pt idx="12">
                  <c:v>1.8616628175519629</c:v>
                </c:pt>
                <c:pt idx="13">
                  <c:v>1.3073552156727961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82-42DC-A600-3E88D4EA2F9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57861376"/>
        <c:axId val="157862912"/>
      </c:barChart>
      <c:catAx>
        <c:axId val="15786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57862912"/>
        <c:crosses val="autoZero"/>
        <c:auto val="1"/>
        <c:lblAlgn val="ctr"/>
        <c:lblOffset val="100"/>
        <c:noMultiLvlLbl val="0"/>
      </c:catAx>
      <c:valAx>
        <c:axId val="15786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5786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7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9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153913</xdr:colOff>
      <xdr:row>7</xdr:row>
      <xdr:rowOff>221910</xdr:rowOff>
    </xdr:from>
    <xdr:to>
      <xdr:col>7</xdr:col>
      <xdr:colOff>861100</xdr:colOff>
      <xdr:row>7</xdr:row>
      <xdr:rowOff>603336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37163" y="209516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42</xdr:row>
      <xdr:rowOff>276224</xdr:rowOff>
    </xdr:from>
    <xdr:to>
      <xdr:col>27</xdr:col>
      <xdr:colOff>714374</xdr:colOff>
      <xdr:row>57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9525</xdr:rowOff>
    </xdr:from>
    <xdr:to>
      <xdr:col>23</xdr:col>
      <xdr:colOff>0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698499</xdr:colOff>
      <xdr:row>58</xdr:row>
      <xdr:rowOff>15874</xdr:rowOff>
    </xdr:from>
    <xdr:to>
      <xdr:col>31</xdr:col>
      <xdr:colOff>31750</xdr:colOff>
      <xdr:row>74</xdr:row>
      <xdr:rowOff>254000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44</xdr:row>
      <xdr:rowOff>22224</xdr:rowOff>
    </xdr:from>
    <xdr:to>
      <xdr:col>24</xdr:col>
      <xdr:colOff>444501</xdr:colOff>
      <xdr:row>57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59</xdr:row>
      <xdr:rowOff>9525</xdr:rowOff>
    </xdr:from>
    <xdr:to>
      <xdr:col>23</xdr:col>
      <xdr:colOff>0</xdr:colOff>
      <xdr:row>73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15875</xdr:colOff>
      <xdr:row>59</xdr:row>
      <xdr:rowOff>0</xdr:rowOff>
    </xdr:from>
    <xdr:to>
      <xdr:col>30</xdr:col>
      <xdr:colOff>698500</xdr:colOff>
      <xdr:row>74</xdr:row>
      <xdr:rowOff>63500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0</xdr:rowOff>
    </xdr:from>
    <xdr:to>
      <xdr:col>24</xdr:col>
      <xdr:colOff>63500</xdr:colOff>
      <xdr:row>74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2</xdr:colOff>
      <xdr:row>74</xdr:row>
      <xdr:rowOff>15873</xdr:rowOff>
    </xdr:from>
    <xdr:to>
      <xdr:col>24</xdr:col>
      <xdr:colOff>63501</xdr:colOff>
      <xdr:row>90</xdr:row>
      <xdr:rowOff>269874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</xdr:colOff>
      <xdr:row>42</xdr:row>
      <xdr:rowOff>269876</xdr:rowOff>
    </xdr:from>
    <xdr:to>
      <xdr:col>28</xdr:col>
      <xdr:colOff>0</xdr:colOff>
      <xdr:row>58</xdr:row>
      <xdr:rowOff>15876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79375</xdr:colOff>
      <xdr:row>58</xdr:row>
      <xdr:rowOff>0</xdr:rowOff>
    </xdr:from>
    <xdr:to>
      <xdr:col>31</xdr:col>
      <xdr:colOff>0</xdr:colOff>
      <xdr:row>73</xdr:row>
      <xdr:rowOff>284163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79375</xdr:colOff>
      <xdr:row>73</xdr:row>
      <xdr:rowOff>285749</xdr:rowOff>
    </xdr:from>
    <xdr:to>
      <xdr:col>31</xdr:col>
      <xdr:colOff>15875</xdr:colOff>
      <xdr:row>90</xdr:row>
      <xdr:rowOff>269874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TEWARD%20CONSULTANT/Desktop/65/Site%20046%20Access%20to%20Kakiri%20Army%20Barracks/MCC%20sheet%20-%20Kampala_Site%20046%20Access%20to%20Kakiri%20Army%20barracks_%20Busunju%20to%20Kampa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DT"/>
      <sheetName val="RD4 MCC"/>
    </sheetNames>
    <sheetDataSet>
      <sheetData sheetId="0"/>
      <sheetData sheetId="1">
        <row r="6">
          <cell r="R6">
            <v>0</v>
          </cell>
          <cell r="S6">
            <v>0</v>
          </cell>
          <cell r="T6">
            <v>0</v>
          </cell>
          <cell r="U6">
            <v>0</v>
          </cell>
        </row>
        <row r="342">
          <cell r="R342">
            <v>0</v>
          </cell>
          <cell r="S342">
            <v>0</v>
          </cell>
          <cell r="T342">
            <v>0</v>
          </cell>
          <cell r="U342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1" t="s">
        <v>96</v>
      </c>
      <c r="C3" s="60" t="s">
        <v>175</v>
      </c>
      <c r="D3" s="60"/>
      <c r="E3" s="60"/>
      <c r="F3" s="60"/>
      <c r="G3" s="60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55" t="s">
        <v>174</v>
      </c>
      <c r="H5" s="56"/>
      <c r="I5" s="14"/>
      <c r="J5" s="2" t="s">
        <v>5</v>
      </c>
      <c r="K5" s="55"/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172</v>
      </c>
      <c r="E6" s="56"/>
      <c r="F6" s="2" t="s">
        <v>2</v>
      </c>
      <c r="G6" s="55" t="s">
        <v>173</v>
      </c>
      <c r="H6" s="56"/>
      <c r="J6" s="2" t="s">
        <v>21</v>
      </c>
      <c r="K6" s="55"/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f>SUM('[1]RD4 MCC'!$R$6:$U$6)</f>
        <v>0</v>
      </c>
      <c r="M10" s="50">
        <v>5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5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2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44</v>
      </c>
      <c r="AD10" s="17">
        <f t="shared" si="2"/>
        <v>0</v>
      </c>
      <c r="AE10" s="31">
        <f t="shared" si="2"/>
        <v>3</v>
      </c>
      <c r="AF10" s="31">
        <f t="shared" si="2"/>
        <v>47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f>SUM('[1]RD4 MCC'!$R$6:$U$6)</f>
        <v>0</v>
      </c>
      <c r="M11" s="50">
        <v>16</v>
      </c>
      <c r="N11" s="50">
        <v>0</v>
      </c>
      <c r="O11" s="15">
        <f t="shared" si="0"/>
        <v>0</v>
      </c>
      <c r="P11" s="15">
        <f t="shared" si="1"/>
        <v>16</v>
      </c>
      <c r="R11" s="1" t="s">
        <v>7</v>
      </c>
      <c r="S11" s="17">
        <f t="shared" ref="S11:AF11" si="3">SUM(C14:C17)</f>
        <v>6</v>
      </c>
      <c r="T11" s="17">
        <f t="shared" si="3"/>
        <v>0</v>
      </c>
      <c r="U11" s="17">
        <f t="shared" si="3"/>
        <v>1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51</v>
      </c>
      <c r="AD11" s="17">
        <f t="shared" si="3"/>
        <v>0</v>
      </c>
      <c r="AE11" s="31">
        <f t="shared" si="3"/>
        <v>8</v>
      </c>
      <c r="AF11" s="31">
        <f t="shared" si="3"/>
        <v>59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>SUM('[1]RD4 MCC'!$R$6:$U$6)</f>
        <v>0</v>
      </c>
      <c r="M12" s="50">
        <v>8</v>
      </c>
      <c r="N12" s="50">
        <v>0</v>
      </c>
      <c r="O12" s="15">
        <f t="shared" si="0"/>
        <v>2</v>
      </c>
      <c r="P12" s="15">
        <f t="shared" si="1"/>
        <v>10</v>
      </c>
      <c r="R12" s="1" t="s">
        <v>8</v>
      </c>
      <c r="S12" s="17">
        <f t="shared" ref="S12:AF12" si="4">SUM(C18:C21)</f>
        <v>6</v>
      </c>
      <c r="T12" s="17">
        <f t="shared" si="4"/>
        <v>0</v>
      </c>
      <c r="U12" s="17">
        <f t="shared" si="4"/>
        <v>3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75</v>
      </c>
      <c r="AD12" s="17">
        <f t="shared" si="4"/>
        <v>0</v>
      </c>
      <c r="AE12" s="31">
        <f t="shared" si="4"/>
        <v>13</v>
      </c>
      <c r="AF12" s="31">
        <f t="shared" si="4"/>
        <v>88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f>SUM('[1]RD4 MCC'!$R$6:$U$6)</f>
        <v>0</v>
      </c>
      <c r="M13" s="50">
        <v>15</v>
      </c>
      <c r="N13" s="50">
        <v>0</v>
      </c>
      <c r="O13" s="15">
        <f t="shared" si="0"/>
        <v>1</v>
      </c>
      <c r="P13" s="15">
        <f t="shared" si="1"/>
        <v>16</v>
      </c>
      <c r="R13" s="1" t="s">
        <v>9</v>
      </c>
      <c r="S13" s="17">
        <f t="shared" ref="S13:AF13" si="5">SUM(C22:C25)</f>
        <v>5</v>
      </c>
      <c r="T13" s="17">
        <f t="shared" si="5"/>
        <v>0</v>
      </c>
      <c r="U13" s="17">
        <f t="shared" si="5"/>
        <v>2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73</v>
      </c>
      <c r="AD13" s="17">
        <f t="shared" si="5"/>
        <v>0</v>
      </c>
      <c r="AE13" s="31">
        <f t="shared" si="5"/>
        <v>11</v>
      </c>
      <c r="AF13" s="31">
        <f t="shared" si="5"/>
        <v>84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f>SUM('[1]RD4 MCC'!$R$6:$U$6)</f>
        <v>0</v>
      </c>
      <c r="M14" s="50">
        <v>13</v>
      </c>
      <c r="N14" s="50">
        <v>0</v>
      </c>
      <c r="O14" s="15">
        <f t="shared" si="0"/>
        <v>3</v>
      </c>
      <c r="P14" s="15">
        <f t="shared" si="1"/>
        <v>16</v>
      </c>
      <c r="R14" s="1" t="s">
        <v>10</v>
      </c>
      <c r="S14" s="17">
        <f t="shared" ref="S14:AF14" si="6">SUM(C26:C29)</f>
        <v>6</v>
      </c>
      <c r="T14" s="17">
        <f t="shared" si="6"/>
        <v>0</v>
      </c>
      <c r="U14" s="17">
        <f t="shared" si="6"/>
        <v>4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85</v>
      </c>
      <c r="AD14" s="17">
        <f t="shared" si="6"/>
        <v>0</v>
      </c>
      <c r="AE14" s="31">
        <f t="shared" si="6"/>
        <v>15</v>
      </c>
      <c r="AF14" s="31">
        <f t="shared" si="6"/>
        <v>100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f>SUM('[1]RD4 MCC'!$R$6:$U$6)</f>
        <v>0</v>
      </c>
      <c r="M15" s="50">
        <v>10</v>
      </c>
      <c r="N15" s="50">
        <v>0</v>
      </c>
      <c r="O15" s="15">
        <f t="shared" si="0"/>
        <v>2</v>
      </c>
      <c r="P15" s="15">
        <f t="shared" si="1"/>
        <v>12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4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64</v>
      </c>
      <c r="AD15" s="17">
        <f t="shared" si="7"/>
        <v>0</v>
      </c>
      <c r="AE15" s="31">
        <f t="shared" si="7"/>
        <v>13</v>
      </c>
      <c r="AF15" s="31">
        <f t="shared" si="7"/>
        <v>77</v>
      </c>
    </row>
    <row r="16" spans="2:32" ht="23.1" customHeight="1" x14ac:dyDescent="0.25">
      <c r="B16" s="23" t="s">
        <v>43</v>
      </c>
      <c r="C16" s="50">
        <v>3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f>SUM('[1]RD4 MCC'!$R$6:$U$6)</f>
        <v>0</v>
      </c>
      <c r="M16" s="50">
        <v>10</v>
      </c>
      <c r="N16" s="50">
        <v>0</v>
      </c>
      <c r="O16" s="15">
        <f t="shared" si="0"/>
        <v>3</v>
      </c>
      <c r="P16" s="15">
        <f t="shared" si="1"/>
        <v>13</v>
      </c>
      <c r="R16" s="1" t="s">
        <v>12</v>
      </c>
      <c r="S16" s="17">
        <f t="shared" ref="S16:AF16" si="8">SUM(C34:C37)</f>
        <v>3</v>
      </c>
      <c r="T16" s="17">
        <f t="shared" si="8"/>
        <v>0</v>
      </c>
      <c r="U16" s="17">
        <f t="shared" si="8"/>
        <v>6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48</v>
      </c>
      <c r="AD16" s="17">
        <f t="shared" si="8"/>
        <v>0</v>
      </c>
      <c r="AE16" s="31">
        <f t="shared" si="8"/>
        <v>11</v>
      </c>
      <c r="AF16" s="31">
        <f t="shared" si="8"/>
        <v>59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f>SUM('[1]RD4 MCC'!$R$6:$U$6)</f>
        <v>0</v>
      </c>
      <c r="M17" s="50">
        <v>18</v>
      </c>
      <c r="N17" s="50">
        <v>0</v>
      </c>
      <c r="O17" s="15">
        <f t="shared" si="0"/>
        <v>0</v>
      </c>
      <c r="P17" s="15">
        <f t="shared" si="1"/>
        <v>18</v>
      </c>
      <c r="R17" s="1" t="s">
        <v>13</v>
      </c>
      <c r="S17" s="17">
        <f t="shared" ref="S17:AF17" si="9">SUM(C38:C41)</f>
        <v>5</v>
      </c>
      <c r="T17" s="17">
        <f t="shared" si="9"/>
        <v>0</v>
      </c>
      <c r="U17" s="17">
        <f t="shared" si="9"/>
        <v>3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52</v>
      </c>
      <c r="AD17" s="17">
        <f t="shared" si="9"/>
        <v>0</v>
      </c>
      <c r="AE17" s="31">
        <f t="shared" si="9"/>
        <v>9</v>
      </c>
      <c r="AF17" s="31">
        <f t="shared" si="9"/>
        <v>61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2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f>SUM('[1]RD4 MCC'!$R$6:$U$6)</f>
        <v>0</v>
      </c>
      <c r="M18" s="50">
        <v>18</v>
      </c>
      <c r="N18" s="50">
        <v>0</v>
      </c>
      <c r="O18" s="15">
        <f t="shared" si="0"/>
        <v>4</v>
      </c>
      <c r="P18" s="15">
        <f t="shared" si="1"/>
        <v>22</v>
      </c>
      <c r="R18" s="1" t="s">
        <v>14</v>
      </c>
      <c r="S18" s="17">
        <f t="shared" ref="S18:AF18" si="10">SUM(C42:C45)</f>
        <v>5</v>
      </c>
      <c r="T18" s="17">
        <f t="shared" si="10"/>
        <v>0</v>
      </c>
      <c r="U18" s="17">
        <f t="shared" si="10"/>
        <v>6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55</v>
      </c>
      <c r="AD18" s="17">
        <f t="shared" si="10"/>
        <v>0</v>
      </c>
      <c r="AE18" s="31">
        <f t="shared" si="10"/>
        <v>13</v>
      </c>
      <c r="AF18" s="31">
        <f t="shared" si="10"/>
        <v>68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>SUM('[1]RD4 MCC'!$R$6:$U$6)</f>
        <v>0</v>
      </c>
      <c r="M19" s="50">
        <v>14</v>
      </c>
      <c r="N19" s="50">
        <v>0</v>
      </c>
      <c r="O19" s="15">
        <f t="shared" si="0"/>
        <v>1</v>
      </c>
      <c r="P19" s="15">
        <f t="shared" si="1"/>
        <v>15</v>
      </c>
      <c r="R19" s="1" t="s">
        <v>15</v>
      </c>
      <c r="S19" s="17">
        <f t="shared" ref="S19:AF19" si="11">SUM(C46:C49)</f>
        <v>4</v>
      </c>
      <c r="T19" s="17">
        <f t="shared" si="11"/>
        <v>0</v>
      </c>
      <c r="U19" s="17">
        <f t="shared" si="11"/>
        <v>0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54</v>
      </c>
      <c r="AD19" s="17">
        <f t="shared" si="11"/>
        <v>0</v>
      </c>
      <c r="AE19" s="31">
        <f t="shared" si="11"/>
        <v>5</v>
      </c>
      <c r="AF19" s="31">
        <f t="shared" si="11"/>
        <v>59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f>SUM('[1]RD4 MCC'!$R$6:$U$6)</f>
        <v>0</v>
      </c>
      <c r="M20" s="50">
        <v>22</v>
      </c>
      <c r="N20" s="50">
        <v>0</v>
      </c>
      <c r="O20" s="15">
        <f t="shared" si="0"/>
        <v>3</v>
      </c>
      <c r="P20" s="15">
        <f t="shared" si="1"/>
        <v>25</v>
      </c>
      <c r="R20" s="1" t="s">
        <v>16</v>
      </c>
      <c r="S20" s="17">
        <f t="shared" ref="S20:AF20" si="12">SUM(C50:C53)</f>
        <v>3</v>
      </c>
      <c r="T20" s="17">
        <f t="shared" si="12"/>
        <v>0</v>
      </c>
      <c r="U20" s="17">
        <f t="shared" si="12"/>
        <v>6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62</v>
      </c>
      <c r="AD20" s="17">
        <f t="shared" si="12"/>
        <v>0</v>
      </c>
      <c r="AE20" s="31">
        <f t="shared" si="12"/>
        <v>12</v>
      </c>
      <c r="AF20" s="31">
        <f t="shared" si="12"/>
        <v>74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1</v>
      </c>
      <c r="F21" s="50">
        <v>1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f>SUM('[1]RD4 MCC'!$R$6:$U$6)</f>
        <v>0</v>
      </c>
      <c r="M21" s="50">
        <v>21</v>
      </c>
      <c r="N21" s="50">
        <v>0</v>
      </c>
      <c r="O21" s="15">
        <f t="shared" si="0"/>
        <v>5</v>
      </c>
      <c r="P21" s="15">
        <f t="shared" si="1"/>
        <v>26</v>
      </c>
      <c r="R21" s="36" t="s">
        <v>20</v>
      </c>
      <c r="S21" s="34">
        <f t="shared" ref="S21:AF21" si="13">SUM(C54:C57)</f>
        <v>11</v>
      </c>
      <c r="T21" s="17">
        <f t="shared" si="13"/>
        <v>0</v>
      </c>
      <c r="U21" s="17">
        <f t="shared" si="13"/>
        <v>3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61</v>
      </c>
      <c r="AD21" s="17">
        <f t="shared" si="13"/>
        <v>0</v>
      </c>
      <c r="AE21" s="31">
        <f t="shared" si="13"/>
        <v>19</v>
      </c>
      <c r="AF21" s="31">
        <f t="shared" si="13"/>
        <v>80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f>SUM('[1]RD4 MCC'!$R$6:$U$6)</f>
        <v>0</v>
      </c>
      <c r="M22" s="50">
        <v>22</v>
      </c>
      <c r="N22" s="50">
        <v>0</v>
      </c>
      <c r="O22" s="15">
        <f t="shared" si="0"/>
        <v>2</v>
      </c>
      <c r="P22" s="15">
        <f t="shared" si="1"/>
        <v>24</v>
      </c>
      <c r="R22" s="38" t="s">
        <v>90</v>
      </c>
      <c r="S22" s="39">
        <f>MAX(S10:S12)</f>
        <v>6</v>
      </c>
      <c r="T22" s="39">
        <f t="shared" ref="T22:AF22" si="14">MAX(T10:T12)</f>
        <v>0</v>
      </c>
      <c r="U22" s="39">
        <f t="shared" si="14"/>
        <v>3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0</v>
      </c>
      <c r="Z22" s="39">
        <f t="shared" si="14"/>
        <v>2</v>
      </c>
      <c r="AA22" s="39">
        <f t="shared" si="14"/>
        <v>0</v>
      </c>
      <c r="AB22" s="39">
        <f t="shared" si="14"/>
        <v>0</v>
      </c>
      <c r="AC22" s="39">
        <f t="shared" si="14"/>
        <v>75</v>
      </c>
      <c r="AD22" s="39">
        <f t="shared" si="14"/>
        <v>0</v>
      </c>
      <c r="AE22" s="40">
        <f t="shared" si="14"/>
        <v>13</v>
      </c>
      <c r="AF22" s="40">
        <f t="shared" si="14"/>
        <v>88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f>SUM('[1]RD4 MCC'!$R$6:$U$6)</f>
        <v>0</v>
      </c>
      <c r="M23" s="50">
        <v>13</v>
      </c>
      <c r="N23" s="50">
        <v>0</v>
      </c>
      <c r="O23" s="15">
        <f t="shared" si="0"/>
        <v>4</v>
      </c>
      <c r="P23" s="15">
        <f t="shared" si="1"/>
        <v>17</v>
      </c>
      <c r="R23" s="38" t="s">
        <v>91</v>
      </c>
      <c r="S23" s="39">
        <f>MAX(S13:S18)</f>
        <v>6</v>
      </c>
      <c r="T23" s="39">
        <f t="shared" ref="T23:AF23" si="15">MAX(T13:T18)</f>
        <v>0</v>
      </c>
      <c r="U23" s="39">
        <f t="shared" si="15"/>
        <v>6</v>
      </c>
      <c r="V23" s="39">
        <f t="shared" si="15"/>
        <v>2</v>
      </c>
      <c r="W23" s="39">
        <f t="shared" si="15"/>
        <v>0</v>
      </c>
      <c r="X23" s="39">
        <f t="shared" si="15"/>
        <v>0</v>
      </c>
      <c r="Y23" s="39">
        <f t="shared" si="15"/>
        <v>1</v>
      </c>
      <c r="Z23" s="39">
        <f t="shared" si="15"/>
        <v>3</v>
      </c>
      <c r="AA23" s="39">
        <f t="shared" si="15"/>
        <v>0</v>
      </c>
      <c r="AB23" s="39">
        <f t="shared" si="15"/>
        <v>0</v>
      </c>
      <c r="AC23" s="39">
        <f t="shared" si="15"/>
        <v>85</v>
      </c>
      <c r="AD23" s="39">
        <f t="shared" si="15"/>
        <v>0</v>
      </c>
      <c r="AE23" s="40">
        <f t="shared" si="15"/>
        <v>15</v>
      </c>
      <c r="AF23" s="40">
        <f t="shared" si="15"/>
        <v>100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f>SUM('[1]RD4 MCC'!$R$6:$U$6)</f>
        <v>0</v>
      </c>
      <c r="M24" s="50">
        <v>22</v>
      </c>
      <c r="N24" s="50">
        <v>0</v>
      </c>
      <c r="O24" s="15">
        <f t="shared" si="0"/>
        <v>2</v>
      </c>
      <c r="P24" s="15">
        <f t="shared" si="1"/>
        <v>24</v>
      </c>
      <c r="R24" s="38" t="s">
        <v>92</v>
      </c>
      <c r="S24" s="39">
        <f>MAX(S19:S21)</f>
        <v>11</v>
      </c>
      <c r="T24" s="39">
        <f t="shared" ref="T24:AF24" si="16">MAX(T19:T21)</f>
        <v>0</v>
      </c>
      <c r="U24" s="39">
        <f t="shared" si="16"/>
        <v>6</v>
      </c>
      <c r="V24" s="39">
        <f t="shared" si="16"/>
        <v>2</v>
      </c>
      <c r="W24" s="39">
        <f t="shared" si="16"/>
        <v>0</v>
      </c>
      <c r="X24" s="39">
        <f t="shared" si="16"/>
        <v>0</v>
      </c>
      <c r="Y24" s="39">
        <f t="shared" si="16"/>
        <v>2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62</v>
      </c>
      <c r="AD24" s="39">
        <f t="shared" si="16"/>
        <v>0</v>
      </c>
      <c r="AE24" s="40">
        <f t="shared" si="16"/>
        <v>19</v>
      </c>
      <c r="AF24" s="40">
        <f t="shared" si="16"/>
        <v>80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f>SUM('[1]RD4 MCC'!$R$6:$U$6)</f>
        <v>0</v>
      </c>
      <c r="M25" s="50">
        <v>16</v>
      </c>
      <c r="N25" s="50">
        <v>0</v>
      </c>
      <c r="O25" s="15">
        <f t="shared" si="0"/>
        <v>3</v>
      </c>
      <c r="P25" s="15">
        <f t="shared" si="1"/>
        <v>19</v>
      </c>
      <c r="R25" s="37" t="s">
        <v>85</v>
      </c>
      <c r="S25" s="35">
        <f t="shared" ref="S25:AF25" si="17">SUM(S10:S12)</f>
        <v>13</v>
      </c>
      <c r="T25" s="16">
        <f t="shared" si="17"/>
        <v>0</v>
      </c>
      <c r="U25" s="16">
        <f t="shared" si="17"/>
        <v>6</v>
      </c>
      <c r="V25" s="16">
        <f t="shared" si="17"/>
        <v>3</v>
      </c>
      <c r="W25" s="16">
        <f t="shared" si="17"/>
        <v>0</v>
      </c>
      <c r="X25" s="16">
        <f t="shared" si="17"/>
        <v>0</v>
      </c>
      <c r="Y25" s="16">
        <f t="shared" si="17"/>
        <v>0</v>
      </c>
      <c r="Z25" s="16">
        <f t="shared" si="17"/>
        <v>2</v>
      </c>
      <c r="AA25" s="16">
        <f t="shared" si="17"/>
        <v>0</v>
      </c>
      <c r="AB25" s="16">
        <f t="shared" si="17"/>
        <v>0</v>
      </c>
      <c r="AC25" s="16">
        <f t="shared" si="17"/>
        <v>170</v>
      </c>
      <c r="AD25" s="16">
        <f t="shared" si="17"/>
        <v>0</v>
      </c>
      <c r="AE25" s="32">
        <f t="shared" si="17"/>
        <v>24</v>
      </c>
      <c r="AF25" s="32">
        <f t="shared" si="17"/>
        <v>194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f>SUM('[1]RD4 MCC'!$R$6:$U$6)</f>
        <v>0</v>
      </c>
      <c r="M26" s="50">
        <v>16</v>
      </c>
      <c r="N26" s="50">
        <v>0</v>
      </c>
      <c r="O26" s="15">
        <f t="shared" si="0"/>
        <v>4</v>
      </c>
      <c r="P26" s="15">
        <f t="shared" si="1"/>
        <v>20</v>
      </c>
      <c r="R26" s="28" t="s">
        <v>86</v>
      </c>
      <c r="S26" s="16">
        <f t="shared" ref="S26:AF26" si="18">SUM(S13:S18)</f>
        <v>28</v>
      </c>
      <c r="T26" s="16">
        <f t="shared" si="18"/>
        <v>0</v>
      </c>
      <c r="U26" s="16">
        <f t="shared" si="18"/>
        <v>25</v>
      </c>
      <c r="V26" s="16">
        <f t="shared" si="18"/>
        <v>5</v>
      </c>
      <c r="W26" s="16">
        <f t="shared" si="18"/>
        <v>0</v>
      </c>
      <c r="X26" s="16">
        <f t="shared" si="18"/>
        <v>0</v>
      </c>
      <c r="Y26" s="16">
        <f t="shared" si="18"/>
        <v>4</v>
      </c>
      <c r="Z26" s="16">
        <f t="shared" si="18"/>
        <v>10</v>
      </c>
      <c r="AA26" s="16">
        <f t="shared" si="18"/>
        <v>0</v>
      </c>
      <c r="AB26" s="16">
        <f t="shared" si="18"/>
        <v>0</v>
      </c>
      <c r="AC26" s="16">
        <f t="shared" si="18"/>
        <v>377</v>
      </c>
      <c r="AD26" s="16">
        <f t="shared" si="18"/>
        <v>0</v>
      </c>
      <c r="AE26" s="32">
        <f t="shared" si="18"/>
        <v>72</v>
      </c>
      <c r="AF26" s="32">
        <f t="shared" si="18"/>
        <v>449</v>
      </c>
    </row>
    <row r="27" spans="2:32" ht="23.1" customHeight="1" x14ac:dyDescent="0.25">
      <c r="B27" s="23" t="s">
        <v>54</v>
      </c>
      <c r="C27" s="50">
        <v>2</v>
      </c>
      <c r="D27" s="50">
        <v>0</v>
      </c>
      <c r="E27" s="50">
        <v>1</v>
      </c>
      <c r="F27" s="50">
        <v>1</v>
      </c>
      <c r="G27" s="50">
        <v>0</v>
      </c>
      <c r="H27" s="50">
        <v>0</v>
      </c>
      <c r="I27" s="50">
        <v>0</v>
      </c>
      <c r="J27" s="50">
        <v>1</v>
      </c>
      <c r="K27" s="50">
        <v>0</v>
      </c>
      <c r="L27" s="50">
        <f>SUM('[1]RD4 MCC'!$R$6:$U$6)</f>
        <v>0</v>
      </c>
      <c r="M27" s="50">
        <v>27</v>
      </c>
      <c r="N27" s="50">
        <v>0</v>
      </c>
      <c r="O27" s="15">
        <f t="shared" si="0"/>
        <v>5</v>
      </c>
      <c r="P27" s="15">
        <f t="shared" si="1"/>
        <v>32</v>
      </c>
      <c r="R27" s="29" t="s">
        <v>87</v>
      </c>
      <c r="S27" s="16">
        <f t="shared" ref="S27:AF27" si="19">SUM(S19:S21)</f>
        <v>18</v>
      </c>
      <c r="T27" s="16">
        <f t="shared" si="19"/>
        <v>0</v>
      </c>
      <c r="U27" s="16">
        <f t="shared" si="19"/>
        <v>9</v>
      </c>
      <c r="V27" s="16">
        <f t="shared" si="19"/>
        <v>3</v>
      </c>
      <c r="W27" s="16">
        <f t="shared" si="19"/>
        <v>0</v>
      </c>
      <c r="X27" s="16">
        <f t="shared" si="19"/>
        <v>0</v>
      </c>
      <c r="Y27" s="16">
        <f t="shared" si="19"/>
        <v>4</v>
      </c>
      <c r="Z27" s="16">
        <f t="shared" si="19"/>
        <v>2</v>
      </c>
      <c r="AA27" s="16">
        <f t="shared" si="19"/>
        <v>0</v>
      </c>
      <c r="AB27" s="16">
        <f t="shared" si="19"/>
        <v>0</v>
      </c>
      <c r="AC27" s="16">
        <f t="shared" si="19"/>
        <v>177</v>
      </c>
      <c r="AD27" s="16">
        <f t="shared" si="19"/>
        <v>0</v>
      </c>
      <c r="AE27" s="32">
        <f t="shared" si="19"/>
        <v>36</v>
      </c>
      <c r="AF27" s="32">
        <f t="shared" si="19"/>
        <v>213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f>SUM('[1]RD4 MCC'!$R$6:$U$6)</f>
        <v>0</v>
      </c>
      <c r="M28" s="50">
        <v>24</v>
      </c>
      <c r="N28" s="50">
        <v>0</v>
      </c>
      <c r="O28" s="15">
        <f t="shared" si="0"/>
        <v>3</v>
      </c>
      <c r="P28" s="15">
        <f t="shared" si="1"/>
        <v>27</v>
      </c>
      <c r="R28" s="5" t="s">
        <v>17</v>
      </c>
      <c r="S28" s="16">
        <f t="shared" ref="S28:AF28" si="20">SUM(S10:S21)</f>
        <v>59</v>
      </c>
      <c r="T28" s="16">
        <f t="shared" si="20"/>
        <v>0</v>
      </c>
      <c r="U28" s="16">
        <f t="shared" si="20"/>
        <v>40</v>
      </c>
      <c r="V28" s="16">
        <f t="shared" si="20"/>
        <v>11</v>
      </c>
      <c r="W28" s="16">
        <f t="shared" si="20"/>
        <v>0</v>
      </c>
      <c r="X28" s="16">
        <f t="shared" si="20"/>
        <v>0</v>
      </c>
      <c r="Y28" s="16">
        <f t="shared" si="20"/>
        <v>8</v>
      </c>
      <c r="Z28" s="16">
        <f t="shared" si="20"/>
        <v>14</v>
      </c>
      <c r="AA28" s="16">
        <f t="shared" si="20"/>
        <v>0</v>
      </c>
      <c r="AB28" s="16">
        <f t="shared" si="20"/>
        <v>0</v>
      </c>
      <c r="AC28" s="16">
        <f t="shared" si="20"/>
        <v>724</v>
      </c>
      <c r="AD28" s="16">
        <f t="shared" si="20"/>
        <v>0</v>
      </c>
      <c r="AE28" s="32">
        <f t="shared" si="20"/>
        <v>132</v>
      </c>
      <c r="AF28" s="32">
        <f t="shared" si="20"/>
        <v>856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f>SUM('[1]RD4 MCC'!$R$6:$U$6)</f>
        <v>0</v>
      </c>
      <c r="M29" s="50">
        <v>18</v>
      </c>
      <c r="N29" s="50">
        <v>0</v>
      </c>
      <c r="O29" s="15">
        <f t="shared" si="0"/>
        <v>3</v>
      </c>
      <c r="P29" s="15">
        <f t="shared" si="1"/>
        <v>21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2</v>
      </c>
      <c r="K30" s="50">
        <v>0</v>
      </c>
      <c r="L30" s="50">
        <f>SUM('[1]RD4 MCC'!$R$6:$U$6)</f>
        <v>0</v>
      </c>
      <c r="M30" s="50">
        <v>17</v>
      </c>
      <c r="N30" s="50">
        <v>0</v>
      </c>
      <c r="O30" s="15">
        <f t="shared" si="0"/>
        <v>5</v>
      </c>
      <c r="P30" s="15">
        <f t="shared" si="1"/>
        <v>22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1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f>SUM('[1]RD4 MCC'!$R$6:$U$6)</f>
        <v>0</v>
      </c>
      <c r="M31" s="50">
        <v>6</v>
      </c>
      <c r="N31" s="50">
        <v>0</v>
      </c>
      <c r="O31" s="15">
        <f t="shared" si="0"/>
        <v>2</v>
      </c>
      <c r="P31" s="15">
        <f t="shared" si="1"/>
        <v>8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f>SUM('[1]RD4 MCC'!$R$6:$U$6)</f>
        <v>0</v>
      </c>
      <c r="M32" s="50">
        <v>21</v>
      </c>
      <c r="N32" s="50">
        <v>0</v>
      </c>
      <c r="O32" s="15">
        <f t="shared" si="0"/>
        <v>3</v>
      </c>
      <c r="P32" s="15">
        <f t="shared" si="1"/>
        <v>24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1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f>SUM('[1]RD4 MCC'!$R$6:$U$6)</f>
        <v>0</v>
      </c>
      <c r="M33" s="50">
        <v>20</v>
      </c>
      <c r="N33" s="50">
        <v>0</v>
      </c>
      <c r="O33" s="15">
        <f t="shared" si="0"/>
        <v>3</v>
      </c>
      <c r="P33" s="15">
        <f t="shared" si="1"/>
        <v>23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2</v>
      </c>
      <c r="K34" s="50">
        <v>0</v>
      </c>
      <c r="L34" s="50">
        <f>SUM('[1]RD4 MCC'!$R$6:$U$6)</f>
        <v>0</v>
      </c>
      <c r="M34" s="50">
        <v>14</v>
      </c>
      <c r="N34" s="50">
        <v>0</v>
      </c>
      <c r="O34" s="15">
        <f t="shared" si="0"/>
        <v>4</v>
      </c>
      <c r="P34" s="15">
        <f t="shared" si="1"/>
        <v>18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2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f>SUM('[1]RD4 MCC'!$R$6:$U$6)</f>
        <v>0</v>
      </c>
      <c r="M35" s="50">
        <v>20</v>
      </c>
      <c r="N35" s="50">
        <v>0</v>
      </c>
      <c r="O35" s="15">
        <f t="shared" si="0"/>
        <v>4</v>
      </c>
      <c r="P35" s="15">
        <f t="shared" si="1"/>
        <v>24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f>SUM('[1]RD4 MCC'!$R$6:$U$6)</f>
        <v>0</v>
      </c>
      <c r="M36" s="50">
        <v>6</v>
      </c>
      <c r="N36" s="50">
        <v>0</v>
      </c>
      <c r="O36" s="15">
        <f t="shared" si="0"/>
        <v>2</v>
      </c>
      <c r="P36" s="15">
        <f t="shared" si="1"/>
        <v>8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f>SUM('[1]RD4 MCC'!$R$6:$U$6)</f>
        <v>0</v>
      </c>
      <c r="M37" s="50">
        <v>8</v>
      </c>
      <c r="N37" s="50">
        <v>0</v>
      </c>
      <c r="O37" s="15">
        <f t="shared" si="0"/>
        <v>1</v>
      </c>
      <c r="P37" s="15">
        <f t="shared" si="1"/>
        <v>9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f>SUM('[1]RD4 MCC'!$R$6:$U$6)</f>
        <v>0</v>
      </c>
      <c r="M38" s="50">
        <v>11</v>
      </c>
      <c r="N38" s="50">
        <v>0</v>
      </c>
      <c r="O38" s="15">
        <f t="shared" si="0"/>
        <v>3</v>
      </c>
      <c r="P38" s="15">
        <f t="shared" si="1"/>
        <v>14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f>SUM('[1]RD4 MCC'!$R$6:$U$6)</f>
        <v>0</v>
      </c>
      <c r="M39" s="50">
        <v>13</v>
      </c>
      <c r="N39" s="50">
        <v>0</v>
      </c>
      <c r="O39" s="15">
        <f t="shared" si="0"/>
        <v>0</v>
      </c>
      <c r="P39" s="15">
        <f t="shared" si="1"/>
        <v>13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f>SUM('[1]RD4 MCC'!$R$6:$U$6)</f>
        <v>0</v>
      </c>
      <c r="M40" s="50">
        <v>14</v>
      </c>
      <c r="N40" s="50">
        <v>0</v>
      </c>
      <c r="O40" s="15">
        <f t="shared" si="0"/>
        <v>2</v>
      </c>
      <c r="P40" s="15">
        <f t="shared" si="1"/>
        <v>16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2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f>SUM('[1]RD4 MCC'!$R$6:$U$6)</f>
        <v>0</v>
      </c>
      <c r="M41" s="50">
        <v>14</v>
      </c>
      <c r="N41" s="50">
        <v>0</v>
      </c>
      <c r="O41" s="15">
        <f t="shared" si="0"/>
        <v>4</v>
      </c>
      <c r="P41" s="15">
        <f t="shared" si="1"/>
        <v>18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f>SUM('[1]RD4 MCC'!$R$6:$U$6)</f>
        <v>0</v>
      </c>
      <c r="M42" s="50">
        <v>15</v>
      </c>
      <c r="N42" s="50">
        <v>0</v>
      </c>
      <c r="O42" s="15">
        <f t="shared" si="0"/>
        <v>3</v>
      </c>
      <c r="P42" s="15">
        <f t="shared" si="1"/>
        <v>18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5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f>SUM('[1]RD4 MCC'!$R$6:$U$6)</f>
        <v>0</v>
      </c>
      <c r="M43" s="50">
        <v>15</v>
      </c>
      <c r="N43" s="50">
        <v>0</v>
      </c>
      <c r="O43" s="15">
        <f t="shared" si="0"/>
        <v>6</v>
      </c>
      <c r="P43" s="15">
        <f t="shared" si="1"/>
        <v>21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f>SUM('[1]RD4 MCC'!$R$6:$U$6)</f>
        <v>0</v>
      </c>
      <c r="M44" s="50">
        <v>10</v>
      </c>
      <c r="N44" s="50">
        <v>0</v>
      </c>
      <c r="O44" s="15">
        <f t="shared" si="0"/>
        <v>2</v>
      </c>
      <c r="P44" s="15">
        <f t="shared" si="1"/>
        <v>12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f>SUM('[1]RD4 MCC'!$R$6:$U$6)</f>
        <v>0</v>
      </c>
      <c r="M45" s="50">
        <v>15</v>
      </c>
      <c r="N45" s="50">
        <v>0</v>
      </c>
      <c r="O45" s="15">
        <f t="shared" si="0"/>
        <v>2</v>
      </c>
      <c r="P45" s="15">
        <f t="shared" si="1"/>
        <v>17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f>SUM('[1]RD4 MCC'!$R$6:$U$6)</f>
        <v>0</v>
      </c>
      <c r="M46" s="50">
        <v>8</v>
      </c>
      <c r="N46" s="50">
        <v>0</v>
      </c>
      <c r="O46" s="15">
        <f t="shared" si="0"/>
        <v>2</v>
      </c>
      <c r="P46" s="15">
        <f t="shared" si="1"/>
        <v>10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f>SUM('[1]RD4 MCC'!$R$6:$U$6)</f>
        <v>0</v>
      </c>
      <c r="M47" s="50">
        <v>17</v>
      </c>
      <c r="N47" s="50">
        <v>0</v>
      </c>
      <c r="O47" s="15">
        <f t="shared" si="0"/>
        <v>1</v>
      </c>
      <c r="P47" s="15">
        <f t="shared" si="1"/>
        <v>18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f>SUM('[1]RD4 MCC'!$R$6:$U$6)</f>
        <v>0</v>
      </c>
      <c r="M48" s="50">
        <v>18</v>
      </c>
      <c r="N48" s="50">
        <v>0</v>
      </c>
      <c r="O48" s="15">
        <f t="shared" si="0"/>
        <v>1</v>
      </c>
      <c r="P48" s="15">
        <f t="shared" si="1"/>
        <v>19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f>SUM('[1]RD4 MCC'!$R$6:$U$6)</f>
        <v>0</v>
      </c>
      <c r="M49" s="50">
        <v>11</v>
      </c>
      <c r="N49" s="50">
        <v>0</v>
      </c>
      <c r="O49" s="15">
        <f t="shared" si="0"/>
        <v>1</v>
      </c>
      <c r="P49" s="15">
        <f t="shared" si="1"/>
        <v>12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f>SUM('[1]RD4 MCC'!$R$6:$U$6)</f>
        <v>0</v>
      </c>
      <c r="M50" s="50">
        <v>14</v>
      </c>
      <c r="N50" s="50">
        <v>0</v>
      </c>
      <c r="O50" s="15">
        <f t="shared" si="0"/>
        <v>5</v>
      </c>
      <c r="P50" s="15">
        <f t="shared" si="1"/>
        <v>19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3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f>SUM('[1]RD4 MCC'!$R$6:$U$6)</f>
        <v>0</v>
      </c>
      <c r="M51" s="50">
        <v>16</v>
      </c>
      <c r="N51" s="50">
        <v>0</v>
      </c>
      <c r="O51" s="15">
        <f t="shared" si="0"/>
        <v>5</v>
      </c>
      <c r="P51" s="15">
        <f t="shared" si="1"/>
        <v>21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f>SUM('[1]RD4 MCC'!$R$6:$U$6)</f>
        <v>0</v>
      </c>
      <c r="M52" s="50">
        <v>17</v>
      </c>
      <c r="N52" s="50">
        <v>0</v>
      </c>
      <c r="O52" s="15">
        <f t="shared" si="0"/>
        <v>1</v>
      </c>
      <c r="P52" s="15">
        <f t="shared" si="1"/>
        <v>18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f>SUM('[1]RD4 MCC'!$R$6:$U$6)</f>
        <v>0</v>
      </c>
      <c r="M53" s="50">
        <v>15</v>
      </c>
      <c r="N53" s="50">
        <v>0</v>
      </c>
      <c r="O53" s="15">
        <f t="shared" si="0"/>
        <v>1</v>
      </c>
      <c r="P53" s="15">
        <f t="shared" si="1"/>
        <v>16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f>SUM('[1]RD4 MCC'!$R$6:$U$6)</f>
        <v>0</v>
      </c>
      <c r="M54" s="50">
        <v>15</v>
      </c>
      <c r="N54" s="50">
        <v>0</v>
      </c>
      <c r="O54" s="15">
        <f t="shared" si="0"/>
        <v>4</v>
      </c>
      <c r="P54" s="15">
        <f t="shared" si="1"/>
        <v>19</v>
      </c>
      <c r="R54" s="8"/>
      <c r="T54"/>
    </row>
    <row r="55" spans="2:20" ht="23.1" customHeight="1" x14ac:dyDescent="0.25">
      <c r="B55" s="23" t="s">
        <v>82</v>
      </c>
      <c r="C55" s="50">
        <v>4</v>
      </c>
      <c r="D55" s="50">
        <v>0</v>
      </c>
      <c r="E55" s="50">
        <v>1</v>
      </c>
      <c r="F55" s="50">
        <v>1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f>SUM('[1]RD4 MCC'!$R$6:$U$6)</f>
        <v>0</v>
      </c>
      <c r="M55" s="50">
        <v>12</v>
      </c>
      <c r="N55" s="50">
        <v>0</v>
      </c>
      <c r="O55" s="15">
        <f t="shared" si="0"/>
        <v>7</v>
      </c>
      <c r="P55" s="15">
        <f t="shared" si="1"/>
        <v>19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f>SUM('[1]RD4 MCC'!$R$6:$U$6)</f>
        <v>0</v>
      </c>
      <c r="M56" s="50">
        <v>16</v>
      </c>
      <c r="N56" s="50">
        <v>0</v>
      </c>
      <c r="O56" s="15">
        <f t="shared" si="0"/>
        <v>5</v>
      </c>
      <c r="P56" s="15">
        <f t="shared" si="1"/>
        <v>21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f>SUM('[1]RD4 MCC'!$R$6:$U$6)</f>
        <v>0</v>
      </c>
      <c r="M57" s="50">
        <v>18</v>
      </c>
      <c r="N57" s="50">
        <v>0</v>
      </c>
      <c r="O57" s="15">
        <f t="shared" si="0"/>
        <v>3</v>
      </c>
      <c r="P57" s="15">
        <f t="shared" si="1"/>
        <v>21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59</v>
      </c>
      <c r="D58" s="16">
        <f t="shared" si="21"/>
        <v>0</v>
      </c>
      <c r="E58" s="16">
        <f t="shared" si="21"/>
        <v>40</v>
      </c>
      <c r="F58" s="16">
        <f t="shared" si="21"/>
        <v>11</v>
      </c>
      <c r="G58" s="16">
        <f t="shared" si="21"/>
        <v>0</v>
      </c>
      <c r="H58" s="16">
        <f t="shared" si="21"/>
        <v>0</v>
      </c>
      <c r="I58" s="16">
        <f t="shared" si="21"/>
        <v>8</v>
      </c>
      <c r="J58" s="16">
        <f t="shared" si="21"/>
        <v>14</v>
      </c>
      <c r="K58" s="16">
        <f t="shared" si="21"/>
        <v>0</v>
      </c>
      <c r="L58" s="16">
        <f t="shared" si="21"/>
        <v>0</v>
      </c>
      <c r="M58" s="16">
        <f t="shared" si="21"/>
        <v>724</v>
      </c>
      <c r="N58" s="16">
        <f t="shared" si="21"/>
        <v>0</v>
      </c>
      <c r="O58" s="16">
        <f t="shared" si="21"/>
        <v>132</v>
      </c>
      <c r="P58" s="16">
        <f t="shared" si="21"/>
        <v>856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6.8925233644859807E-2</v>
      </c>
      <c r="D59" s="43">
        <f t="shared" si="22"/>
        <v>0</v>
      </c>
      <c r="E59" s="43">
        <f t="shared" si="22"/>
        <v>4.6728971962616821E-2</v>
      </c>
      <c r="F59" s="43">
        <f t="shared" si="22"/>
        <v>1.2850467289719626E-2</v>
      </c>
      <c r="G59" s="43">
        <f t="shared" si="22"/>
        <v>0</v>
      </c>
      <c r="H59" s="43">
        <f t="shared" si="22"/>
        <v>0</v>
      </c>
      <c r="I59" s="43">
        <f t="shared" si="22"/>
        <v>9.3457943925233638E-3</v>
      </c>
      <c r="J59" s="43">
        <f t="shared" si="22"/>
        <v>1.6355140186915886E-2</v>
      </c>
      <c r="K59" s="43">
        <f t="shared" si="22"/>
        <v>0</v>
      </c>
      <c r="L59" s="43">
        <f t="shared" si="22"/>
        <v>0</v>
      </c>
      <c r="M59" s="43">
        <f t="shared" si="22"/>
        <v>0.84579439252336452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0.44696969696969696</v>
      </c>
      <c r="D60" s="44">
        <f t="shared" ref="D60:N60" si="23">D58/$O$58</f>
        <v>0</v>
      </c>
      <c r="E60" s="44">
        <f t="shared" si="23"/>
        <v>0.30303030303030304</v>
      </c>
      <c r="F60" s="44">
        <f t="shared" si="23"/>
        <v>8.3333333333333329E-2</v>
      </c>
      <c r="G60" s="44">
        <f t="shared" si="23"/>
        <v>0</v>
      </c>
      <c r="H60" s="44">
        <f t="shared" si="23"/>
        <v>0</v>
      </c>
      <c r="I60" s="44">
        <f t="shared" si="23"/>
        <v>6.0606060606060608E-2</v>
      </c>
      <c r="J60" s="44">
        <f t="shared" si="23"/>
        <v>0.10606060606060606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topLeftCell="A37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'11.8 KAMPALA-BUSUNJU'!C3:G3</f>
        <v>MCC-C3-STN-HOIMA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'11.8 KAMPALA-BUSUNJU'!D5</f>
        <v>11.08.19</v>
      </c>
      <c r="E5" s="3"/>
      <c r="F5" s="41" t="s">
        <v>1</v>
      </c>
      <c r="G5" s="61" t="str">
        <f>'11.8 KAMPALA-BUSUNJU'!G5:H5</f>
        <v>WAKISO</v>
      </c>
      <c r="H5" s="62"/>
      <c r="I5" s="14"/>
      <c r="J5" s="2" t="s">
        <v>5</v>
      </c>
      <c r="K5" s="61">
        <f>'11.8 KAMPALA-BUSUNJU'!K5:L5</f>
        <v>0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163</v>
      </c>
      <c r="E6" s="56"/>
      <c r="F6" s="2" t="s">
        <v>2</v>
      </c>
      <c r="G6" s="55" t="s">
        <v>162</v>
      </c>
      <c r="H6" s="56"/>
      <c r="J6" s="2" t="s">
        <v>21</v>
      </c>
      <c r="K6" s="61">
        <f>'11.8 KAMPALA-BUSUNJU'!K6:L6</f>
        <v>0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f>SUM('[1]RD4 MCC'!$R$342:$U$342)</f>
        <v>0</v>
      </c>
      <c r="M10" s="50">
        <v>12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13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0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32</v>
      </c>
      <c r="AD10" s="17">
        <f t="shared" si="2"/>
        <v>0</v>
      </c>
      <c r="AE10" s="31">
        <f t="shared" si="2"/>
        <v>6</v>
      </c>
      <c r="AF10" s="31">
        <f t="shared" si="2"/>
        <v>38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f>SUM('[1]RD4 MCC'!$R$342:$U$342)</f>
        <v>0</v>
      </c>
      <c r="M11" s="50">
        <v>5</v>
      </c>
      <c r="N11" s="50">
        <v>0</v>
      </c>
      <c r="O11" s="15">
        <f t="shared" si="0"/>
        <v>1</v>
      </c>
      <c r="P11" s="15">
        <f t="shared" si="1"/>
        <v>6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50</v>
      </c>
      <c r="AD11" s="17">
        <f t="shared" si="3"/>
        <v>0</v>
      </c>
      <c r="AE11" s="31">
        <f t="shared" si="3"/>
        <v>4</v>
      </c>
      <c r="AF11" s="31">
        <f t="shared" si="3"/>
        <v>54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>SUM('[1]RD4 MCC'!$R$342:$U$342)</f>
        <v>0</v>
      </c>
      <c r="M12" s="50">
        <v>8</v>
      </c>
      <c r="N12" s="50">
        <v>0</v>
      </c>
      <c r="O12" s="15">
        <f t="shared" si="0"/>
        <v>1</v>
      </c>
      <c r="P12" s="15">
        <f t="shared" si="1"/>
        <v>9</v>
      </c>
      <c r="R12" s="1" t="s">
        <v>8</v>
      </c>
      <c r="S12" s="17">
        <f t="shared" ref="S12:AF12" si="4">SUM(C18:C21)</f>
        <v>6</v>
      </c>
      <c r="T12" s="17">
        <f t="shared" si="4"/>
        <v>0</v>
      </c>
      <c r="U12" s="17">
        <f t="shared" si="4"/>
        <v>0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67</v>
      </c>
      <c r="AD12" s="17">
        <f t="shared" si="4"/>
        <v>0</v>
      </c>
      <c r="AE12" s="31">
        <f t="shared" si="4"/>
        <v>12</v>
      </c>
      <c r="AF12" s="31">
        <f t="shared" si="4"/>
        <v>79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f>SUM('[1]RD4 MCC'!$R$342:$U$342)</f>
        <v>0</v>
      </c>
      <c r="M13" s="50">
        <v>7</v>
      </c>
      <c r="N13" s="50">
        <v>0</v>
      </c>
      <c r="O13" s="15">
        <f t="shared" si="0"/>
        <v>3</v>
      </c>
      <c r="P13" s="15">
        <f t="shared" si="1"/>
        <v>10</v>
      </c>
      <c r="R13" s="1" t="s">
        <v>9</v>
      </c>
      <c r="S13" s="17">
        <f t="shared" ref="S13:AF13" si="5">SUM(C22:C25)</f>
        <v>4</v>
      </c>
      <c r="T13" s="17">
        <f t="shared" si="5"/>
        <v>0</v>
      </c>
      <c r="U13" s="17">
        <f t="shared" si="5"/>
        <v>5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77</v>
      </c>
      <c r="AD13" s="17">
        <f t="shared" si="5"/>
        <v>0</v>
      </c>
      <c r="AE13" s="31">
        <f t="shared" si="5"/>
        <v>15</v>
      </c>
      <c r="AF13" s="31">
        <f t="shared" si="5"/>
        <v>92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f>SUM('[1]RD4 MCC'!$R$342:$U$342)</f>
        <v>0</v>
      </c>
      <c r="M14" s="50">
        <v>10</v>
      </c>
      <c r="N14" s="50">
        <v>0</v>
      </c>
      <c r="O14" s="15">
        <f t="shared" si="0"/>
        <v>0</v>
      </c>
      <c r="P14" s="15">
        <f t="shared" si="1"/>
        <v>10</v>
      </c>
      <c r="R14" s="1" t="s">
        <v>10</v>
      </c>
      <c r="S14" s="17">
        <f t="shared" ref="S14:AF14" si="6">SUM(C26:C29)</f>
        <v>6</v>
      </c>
      <c r="T14" s="17">
        <f t="shared" si="6"/>
        <v>0</v>
      </c>
      <c r="U14" s="17">
        <f t="shared" si="6"/>
        <v>7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70</v>
      </c>
      <c r="AD14" s="17">
        <f t="shared" si="6"/>
        <v>0</v>
      </c>
      <c r="AE14" s="31">
        <f t="shared" si="6"/>
        <v>20</v>
      </c>
      <c r="AF14" s="31">
        <f t="shared" si="6"/>
        <v>90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f>SUM('[1]RD4 MCC'!$R$342:$U$342)</f>
        <v>0</v>
      </c>
      <c r="M15" s="50">
        <v>10</v>
      </c>
      <c r="N15" s="50">
        <v>0</v>
      </c>
      <c r="O15" s="15">
        <f t="shared" si="0"/>
        <v>3</v>
      </c>
      <c r="P15" s="15">
        <f t="shared" si="1"/>
        <v>13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4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67</v>
      </c>
      <c r="AD15" s="17">
        <f t="shared" si="7"/>
        <v>0</v>
      </c>
      <c r="AE15" s="31">
        <f t="shared" si="7"/>
        <v>13</v>
      </c>
      <c r="AF15" s="31">
        <f t="shared" si="7"/>
        <v>80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f>SUM('[1]RD4 MCC'!$R$342:$U$342)</f>
        <v>0</v>
      </c>
      <c r="M16" s="50">
        <v>13</v>
      </c>
      <c r="N16" s="50">
        <v>0</v>
      </c>
      <c r="O16" s="15">
        <f t="shared" si="0"/>
        <v>1</v>
      </c>
      <c r="P16" s="15">
        <f t="shared" si="1"/>
        <v>14</v>
      </c>
      <c r="R16" s="1" t="s">
        <v>12</v>
      </c>
      <c r="S16" s="17">
        <f t="shared" ref="S16:AF16" si="8">SUM(C34:C37)</f>
        <v>6</v>
      </c>
      <c r="T16" s="17">
        <f t="shared" si="8"/>
        <v>0</v>
      </c>
      <c r="U16" s="17">
        <f t="shared" si="8"/>
        <v>7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45</v>
      </c>
      <c r="AD16" s="17">
        <f t="shared" si="8"/>
        <v>0</v>
      </c>
      <c r="AE16" s="31">
        <f t="shared" si="8"/>
        <v>17</v>
      </c>
      <c r="AF16" s="31">
        <f t="shared" si="8"/>
        <v>62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f>SUM('[1]RD4 MCC'!$R$342:$U$342)</f>
        <v>0</v>
      </c>
      <c r="M17" s="50">
        <v>17</v>
      </c>
      <c r="N17" s="50">
        <v>0</v>
      </c>
      <c r="O17" s="15">
        <f t="shared" si="0"/>
        <v>0</v>
      </c>
      <c r="P17" s="15">
        <f t="shared" si="1"/>
        <v>17</v>
      </c>
      <c r="R17" s="1" t="s">
        <v>13</v>
      </c>
      <c r="S17" s="17">
        <f t="shared" ref="S17:AF17" si="9">SUM(C38:C41)</f>
        <v>4</v>
      </c>
      <c r="T17" s="17">
        <f t="shared" si="9"/>
        <v>0</v>
      </c>
      <c r="U17" s="17">
        <f t="shared" si="9"/>
        <v>7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57</v>
      </c>
      <c r="AD17" s="17">
        <f t="shared" si="9"/>
        <v>0</v>
      </c>
      <c r="AE17" s="31">
        <f t="shared" si="9"/>
        <v>12</v>
      </c>
      <c r="AF17" s="31">
        <f t="shared" si="9"/>
        <v>69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f>SUM('[1]RD4 MCC'!$R$342:$U$342)</f>
        <v>0</v>
      </c>
      <c r="M18" s="50">
        <v>15</v>
      </c>
      <c r="N18" s="50">
        <v>0</v>
      </c>
      <c r="O18" s="15">
        <f t="shared" si="0"/>
        <v>1</v>
      </c>
      <c r="P18" s="15">
        <f t="shared" si="1"/>
        <v>16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4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57</v>
      </c>
      <c r="AD18" s="17">
        <f t="shared" si="10"/>
        <v>0</v>
      </c>
      <c r="AE18" s="31">
        <f t="shared" si="10"/>
        <v>13</v>
      </c>
      <c r="AF18" s="31">
        <f t="shared" si="10"/>
        <v>70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>SUM('[1]RD4 MCC'!$R$342:$U$342)</f>
        <v>0</v>
      </c>
      <c r="M19" s="50">
        <v>16</v>
      </c>
      <c r="N19" s="50">
        <v>0</v>
      </c>
      <c r="O19" s="15">
        <f t="shared" si="0"/>
        <v>1</v>
      </c>
      <c r="P19" s="15">
        <f t="shared" si="1"/>
        <v>17</v>
      </c>
      <c r="R19" s="1" t="s">
        <v>15</v>
      </c>
      <c r="S19" s="17">
        <f t="shared" ref="S19:AF19" si="11">SUM(C46:C49)</f>
        <v>7</v>
      </c>
      <c r="T19" s="17">
        <f t="shared" si="11"/>
        <v>0</v>
      </c>
      <c r="U19" s="17">
        <f t="shared" si="11"/>
        <v>5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56</v>
      </c>
      <c r="AD19" s="17">
        <f t="shared" si="11"/>
        <v>0</v>
      </c>
      <c r="AE19" s="31">
        <f t="shared" si="11"/>
        <v>15</v>
      </c>
      <c r="AF19" s="31">
        <f t="shared" si="11"/>
        <v>71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f>SUM('[1]RD4 MCC'!$R$342:$U$342)</f>
        <v>0</v>
      </c>
      <c r="M20" s="50">
        <v>18</v>
      </c>
      <c r="N20" s="50">
        <v>0</v>
      </c>
      <c r="O20" s="15">
        <f t="shared" si="0"/>
        <v>6</v>
      </c>
      <c r="P20" s="15">
        <f t="shared" si="1"/>
        <v>24</v>
      </c>
      <c r="R20" s="1" t="s">
        <v>16</v>
      </c>
      <c r="S20" s="17">
        <f t="shared" ref="S20:AF20" si="12">SUM(C50:C53)</f>
        <v>4</v>
      </c>
      <c r="T20" s="17">
        <f t="shared" si="12"/>
        <v>0</v>
      </c>
      <c r="U20" s="17">
        <f t="shared" si="12"/>
        <v>3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66</v>
      </c>
      <c r="AD20" s="17">
        <f t="shared" si="12"/>
        <v>0</v>
      </c>
      <c r="AE20" s="31">
        <f t="shared" si="12"/>
        <v>8</v>
      </c>
      <c r="AF20" s="31">
        <f t="shared" si="12"/>
        <v>74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0</v>
      </c>
      <c r="F21" s="50">
        <v>1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f>SUM('[1]RD4 MCC'!$R$342:$U$342)</f>
        <v>0</v>
      </c>
      <c r="M21" s="50">
        <v>18</v>
      </c>
      <c r="N21" s="50">
        <v>0</v>
      </c>
      <c r="O21" s="15">
        <f t="shared" si="0"/>
        <v>4</v>
      </c>
      <c r="P21" s="15">
        <f t="shared" si="1"/>
        <v>22</v>
      </c>
      <c r="R21" s="36" t="s">
        <v>20</v>
      </c>
      <c r="S21" s="34">
        <f t="shared" ref="S21:AF21" si="13">SUM(C54:C57)</f>
        <v>11</v>
      </c>
      <c r="T21" s="17">
        <f t="shared" si="13"/>
        <v>0</v>
      </c>
      <c r="U21" s="17">
        <f t="shared" si="13"/>
        <v>4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66</v>
      </c>
      <c r="AD21" s="17">
        <f t="shared" si="13"/>
        <v>0</v>
      </c>
      <c r="AE21" s="31">
        <f t="shared" si="13"/>
        <v>18</v>
      </c>
      <c r="AF21" s="31">
        <f t="shared" si="13"/>
        <v>84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f>SUM('[1]RD4 MCC'!$R$342:$U$342)</f>
        <v>0</v>
      </c>
      <c r="M22" s="50">
        <v>22</v>
      </c>
      <c r="N22" s="50">
        <v>0</v>
      </c>
      <c r="O22" s="15">
        <f t="shared" si="0"/>
        <v>3</v>
      </c>
      <c r="P22" s="15">
        <f t="shared" si="1"/>
        <v>25</v>
      </c>
      <c r="R22" s="38" t="s">
        <v>90</v>
      </c>
      <c r="S22" s="39">
        <f>MAX(S10:S12)</f>
        <v>6</v>
      </c>
      <c r="T22" s="39">
        <f t="shared" ref="T22:AF22" si="14">MAX(T10:T12)</f>
        <v>0</v>
      </c>
      <c r="U22" s="39">
        <f t="shared" si="14"/>
        <v>1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4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67</v>
      </c>
      <c r="AD22" s="39">
        <f t="shared" si="14"/>
        <v>0</v>
      </c>
      <c r="AE22" s="40">
        <f t="shared" si="14"/>
        <v>12</v>
      </c>
      <c r="AF22" s="40">
        <f t="shared" si="14"/>
        <v>79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f>SUM('[1]RD4 MCC'!$R$342:$U$342)</f>
        <v>0</v>
      </c>
      <c r="M23" s="50">
        <v>20</v>
      </c>
      <c r="N23" s="50">
        <v>0</v>
      </c>
      <c r="O23" s="15">
        <f t="shared" si="0"/>
        <v>4</v>
      </c>
      <c r="P23" s="15">
        <f t="shared" si="1"/>
        <v>24</v>
      </c>
      <c r="R23" s="38" t="s">
        <v>91</v>
      </c>
      <c r="S23" s="39">
        <f>MAX(S13:S18)</f>
        <v>6</v>
      </c>
      <c r="T23" s="39">
        <f t="shared" ref="T23:AF23" si="15">MAX(T13:T18)</f>
        <v>0</v>
      </c>
      <c r="U23" s="39">
        <f t="shared" si="15"/>
        <v>7</v>
      </c>
      <c r="V23" s="39">
        <f t="shared" si="15"/>
        <v>3</v>
      </c>
      <c r="W23" s="39">
        <f t="shared" si="15"/>
        <v>0</v>
      </c>
      <c r="X23" s="39">
        <f t="shared" si="15"/>
        <v>0</v>
      </c>
      <c r="Y23" s="39">
        <f t="shared" si="15"/>
        <v>6</v>
      </c>
      <c r="Z23" s="39">
        <f t="shared" si="15"/>
        <v>0</v>
      </c>
      <c r="AA23" s="39">
        <f t="shared" si="15"/>
        <v>0</v>
      </c>
      <c r="AB23" s="39">
        <f t="shared" si="15"/>
        <v>0</v>
      </c>
      <c r="AC23" s="39">
        <f t="shared" si="15"/>
        <v>77</v>
      </c>
      <c r="AD23" s="39">
        <f t="shared" si="15"/>
        <v>0</v>
      </c>
      <c r="AE23" s="40">
        <f t="shared" si="15"/>
        <v>20</v>
      </c>
      <c r="AF23" s="40">
        <f t="shared" si="15"/>
        <v>92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f>SUM('[1]RD4 MCC'!$R$342:$U$342)</f>
        <v>0</v>
      </c>
      <c r="M24" s="50">
        <v>19</v>
      </c>
      <c r="N24" s="50">
        <v>0</v>
      </c>
      <c r="O24" s="15">
        <f t="shared" si="0"/>
        <v>4</v>
      </c>
      <c r="P24" s="15">
        <f t="shared" si="1"/>
        <v>23</v>
      </c>
      <c r="R24" s="38" t="s">
        <v>92</v>
      </c>
      <c r="S24" s="39">
        <f>MAX(S19:S21)</f>
        <v>11</v>
      </c>
      <c r="T24" s="39">
        <f t="shared" ref="T24:AF24" si="16">MAX(T19:T21)</f>
        <v>0</v>
      </c>
      <c r="U24" s="39">
        <f t="shared" si="16"/>
        <v>5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2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66</v>
      </c>
      <c r="AD24" s="39">
        <f t="shared" si="16"/>
        <v>0</v>
      </c>
      <c r="AE24" s="40">
        <f t="shared" si="16"/>
        <v>18</v>
      </c>
      <c r="AF24" s="40">
        <f t="shared" si="16"/>
        <v>84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3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f>SUM('[1]RD4 MCC'!$R$342:$U$342)</f>
        <v>0</v>
      </c>
      <c r="M25" s="50">
        <v>16</v>
      </c>
      <c r="N25" s="50">
        <v>0</v>
      </c>
      <c r="O25" s="15">
        <f t="shared" si="0"/>
        <v>4</v>
      </c>
      <c r="P25" s="15">
        <f t="shared" si="1"/>
        <v>20</v>
      </c>
      <c r="R25" s="37" t="s">
        <v>85</v>
      </c>
      <c r="S25" s="35">
        <f t="shared" ref="S25:AF25" si="17">SUM(S10:S12)</f>
        <v>10</v>
      </c>
      <c r="T25" s="16">
        <f t="shared" si="17"/>
        <v>0</v>
      </c>
      <c r="U25" s="16">
        <f t="shared" si="17"/>
        <v>1</v>
      </c>
      <c r="V25" s="16">
        <f t="shared" si="17"/>
        <v>4</v>
      </c>
      <c r="W25" s="16">
        <f t="shared" si="17"/>
        <v>0</v>
      </c>
      <c r="X25" s="16">
        <f t="shared" si="17"/>
        <v>0</v>
      </c>
      <c r="Y25" s="16">
        <f t="shared" si="17"/>
        <v>7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149</v>
      </c>
      <c r="AD25" s="16">
        <f t="shared" si="17"/>
        <v>0</v>
      </c>
      <c r="AE25" s="32">
        <f t="shared" si="17"/>
        <v>22</v>
      </c>
      <c r="AF25" s="32">
        <f t="shared" si="17"/>
        <v>171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f>SUM('[1]RD4 MCC'!$R$342:$U$342)</f>
        <v>0</v>
      </c>
      <c r="M26" s="50">
        <v>17</v>
      </c>
      <c r="N26" s="50">
        <v>0</v>
      </c>
      <c r="O26" s="15">
        <f t="shared" si="0"/>
        <v>2</v>
      </c>
      <c r="P26" s="15">
        <f t="shared" si="1"/>
        <v>19</v>
      </c>
      <c r="R26" s="28" t="s">
        <v>86</v>
      </c>
      <c r="S26" s="16">
        <f t="shared" ref="S26:AF26" si="18">SUM(S13:S18)</f>
        <v>28</v>
      </c>
      <c r="T26" s="16">
        <f t="shared" si="18"/>
        <v>0</v>
      </c>
      <c r="U26" s="16">
        <f t="shared" si="18"/>
        <v>34</v>
      </c>
      <c r="V26" s="16">
        <f t="shared" si="18"/>
        <v>6</v>
      </c>
      <c r="W26" s="16">
        <f t="shared" si="18"/>
        <v>0</v>
      </c>
      <c r="X26" s="16">
        <f t="shared" si="18"/>
        <v>0</v>
      </c>
      <c r="Y26" s="16">
        <f t="shared" si="18"/>
        <v>22</v>
      </c>
      <c r="Z26" s="16">
        <f t="shared" si="18"/>
        <v>0</v>
      </c>
      <c r="AA26" s="16">
        <f t="shared" si="18"/>
        <v>0</v>
      </c>
      <c r="AB26" s="16">
        <f t="shared" si="18"/>
        <v>0</v>
      </c>
      <c r="AC26" s="16">
        <f t="shared" si="18"/>
        <v>373</v>
      </c>
      <c r="AD26" s="16">
        <f t="shared" si="18"/>
        <v>0</v>
      </c>
      <c r="AE26" s="32">
        <f t="shared" si="18"/>
        <v>90</v>
      </c>
      <c r="AF26" s="32">
        <f t="shared" si="18"/>
        <v>463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3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f>SUM('[1]RD4 MCC'!$R$342:$U$342)</f>
        <v>0</v>
      </c>
      <c r="M27" s="50">
        <v>21</v>
      </c>
      <c r="N27" s="50">
        <v>0</v>
      </c>
      <c r="O27" s="15">
        <f t="shared" si="0"/>
        <v>6</v>
      </c>
      <c r="P27" s="15">
        <f t="shared" si="1"/>
        <v>27</v>
      </c>
      <c r="R27" s="29" t="s">
        <v>87</v>
      </c>
      <c r="S27" s="16">
        <f t="shared" ref="S27:AF27" si="19">SUM(S19:S21)</f>
        <v>22</v>
      </c>
      <c r="T27" s="16">
        <f t="shared" si="19"/>
        <v>0</v>
      </c>
      <c r="U27" s="16">
        <f t="shared" si="19"/>
        <v>12</v>
      </c>
      <c r="V27" s="16">
        <f t="shared" si="19"/>
        <v>3</v>
      </c>
      <c r="W27" s="16">
        <f t="shared" si="19"/>
        <v>0</v>
      </c>
      <c r="X27" s="16">
        <f t="shared" si="19"/>
        <v>0</v>
      </c>
      <c r="Y27" s="16">
        <f t="shared" si="19"/>
        <v>4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188</v>
      </c>
      <c r="AD27" s="16">
        <f t="shared" si="19"/>
        <v>0</v>
      </c>
      <c r="AE27" s="32">
        <f t="shared" si="19"/>
        <v>41</v>
      </c>
      <c r="AF27" s="32">
        <f t="shared" si="19"/>
        <v>229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f>SUM('[1]RD4 MCC'!$R$342:$U$342)</f>
        <v>0</v>
      </c>
      <c r="M28" s="50">
        <v>17</v>
      </c>
      <c r="N28" s="50">
        <v>0</v>
      </c>
      <c r="O28" s="15">
        <f t="shared" si="0"/>
        <v>6</v>
      </c>
      <c r="P28" s="15">
        <f t="shared" si="1"/>
        <v>23</v>
      </c>
      <c r="R28" s="5" t="s">
        <v>17</v>
      </c>
      <c r="S28" s="16">
        <f t="shared" ref="S28:AF28" si="20">SUM(S10:S21)</f>
        <v>60</v>
      </c>
      <c r="T28" s="16">
        <f t="shared" si="20"/>
        <v>0</v>
      </c>
      <c r="U28" s="16">
        <f t="shared" si="20"/>
        <v>47</v>
      </c>
      <c r="V28" s="16">
        <f t="shared" si="20"/>
        <v>13</v>
      </c>
      <c r="W28" s="16">
        <f t="shared" si="20"/>
        <v>0</v>
      </c>
      <c r="X28" s="16">
        <f t="shared" si="20"/>
        <v>0</v>
      </c>
      <c r="Y28" s="16">
        <f t="shared" si="20"/>
        <v>33</v>
      </c>
      <c r="Z28" s="16">
        <f t="shared" si="20"/>
        <v>0</v>
      </c>
      <c r="AA28" s="16">
        <f t="shared" si="20"/>
        <v>0</v>
      </c>
      <c r="AB28" s="16">
        <f t="shared" si="20"/>
        <v>0</v>
      </c>
      <c r="AC28" s="16">
        <f t="shared" si="20"/>
        <v>710</v>
      </c>
      <c r="AD28" s="16">
        <f t="shared" si="20"/>
        <v>0</v>
      </c>
      <c r="AE28" s="32">
        <f t="shared" si="20"/>
        <v>153</v>
      </c>
      <c r="AF28" s="32">
        <f t="shared" si="20"/>
        <v>863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3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f>SUM('[1]RD4 MCC'!$R$342:$U$342)</f>
        <v>0</v>
      </c>
      <c r="M29" s="50">
        <v>15</v>
      </c>
      <c r="N29" s="50">
        <v>0</v>
      </c>
      <c r="O29" s="15">
        <f t="shared" si="0"/>
        <v>6</v>
      </c>
      <c r="P29" s="15">
        <f t="shared" si="1"/>
        <v>21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f>SUM('[1]RD4 MCC'!$R$342:$U$342)</f>
        <v>0</v>
      </c>
      <c r="M30" s="50">
        <v>19</v>
      </c>
      <c r="N30" s="50">
        <v>0</v>
      </c>
      <c r="O30" s="15">
        <f t="shared" si="0"/>
        <v>2</v>
      </c>
      <c r="P30" s="15">
        <f t="shared" si="1"/>
        <v>21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1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f>SUM('[1]RD4 MCC'!$R$342:$U$342)</f>
        <v>0</v>
      </c>
      <c r="M31" s="50">
        <v>15</v>
      </c>
      <c r="N31" s="50">
        <v>0</v>
      </c>
      <c r="O31" s="15">
        <f t="shared" si="0"/>
        <v>5</v>
      </c>
      <c r="P31" s="15">
        <f t="shared" si="1"/>
        <v>20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f>SUM('[1]RD4 MCC'!$R$342:$U$342)</f>
        <v>0</v>
      </c>
      <c r="M32" s="50">
        <v>16</v>
      </c>
      <c r="N32" s="50">
        <v>0</v>
      </c>
      <c r="O32" s="15">
        <f t="shared" si="0"/>
        <v>1</v>
      </c>
      <c r="P32" s="15">
        <f t="shared" si="1"/>
        <v>17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3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f>SUM('[1]RD4 MCC'!$R$342:$U$342)</f>
        <v>0</v>
      </c>
      <c r="M33" s="50">
        <v>17</v>
      </c>
      <c r="N33" s="50">
        <v>0</v>
      </c>
      <c r="O33" s="15">
        <f t="shared" si="0"/>
        <v>5</v>
      </c>
      <c r="P33" s="15">
        <f t="shared" si="1"/>
        <v>22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f>SUM('[1]RD4 MCC'!$R$342:$U$342)</f>
        <v>0</v>
      </c>
      <c r="M34" s="50">
        <v>19</v>
      </c>
      <c r="N34" s="50">
        <v>0</v>
      </c>
      <c r="O34" s="15">
        <f t="shared" si="0"/>
        <v>6</v>
      </c>
      <c r="P34" s="15">
        <f t="shared" si="1"/>
        <v>25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3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f>SUM('[1]RD4 MCC'!$R$342:$U$342)</f>
        <v>0</v>
      </c>
      <c r="M35" s="50">
        <v>15</v>
      </c>
      <c r="N35" s="50">
        <v>0</v>
      </c>
      <c r="O35" s="15">
        <f t="shared" si="0"/>
        <v>4</v>
      </c>
      <c r="P35" s="15">
        <f t="shared" si="1"/>
        <v>19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f>SUM('[1]RD4 MCC'!$R$342:$U$342)</f>
        <v>0</v>
      </c>
      <c r="M36" s="50">
        <v>1</v>
      </c>
      <c r="N36" s="50">
        <v>0</v>
      </c>
      <c r="O36" s="15">
        <f t="shared" si="0"/>
        <v>2</v>
      </c>
      <c r="P36" s="15">
        <f t="shared" si="1"/>
        <v>3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f>SUM('[1]RD4 MCC'!$R$342:$U$342)</f>
        <v>0</v>
      </c>
      <c r="M37" s="50">
        <v>10</v>
      </c>
      <c r="N37" s="50">
        <v>0</v>
      </c>
      <c r="O37" s="15">
        <f t="shared" si="0"/>
        <v>5</v>
      </c>
      <c r="P37" s="15">
        <f t="shared" si="1"/>
        <v>15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f>SUM('[1]RD4 MCC'!$R$342:$U$342)</f>
        <v>0</v>
      </c>
      <c r="M38" s="50">
        <v>20</v>
      </c>
      <c r="N38" s="50">
        <v>0</v>
      </c>
      <c r="O38" s="15">
        <f t="shared" si="0"/>
        <v>3</v>
      </c>
      <c r="P38" s="15">
        <f t="shared" si="1"/>
        <v>23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3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f>SUM('[1]RD4 MCC'!$R$342:$U$342)</f>
        <v>0</v>
      </c>
      <c r="M39" s="50">
        <v>11</v>
      </c>
      <c r="N39" s="50">
        <v>0</v>
      </c>
      <c r="O39" s="15">
        <f t="shared" si="0"/>
        <v>3</v>
      </c>
      <c r="P39" s="15">
        <f t="shared" si="1"/>
        <v>14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2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f>SUM('[1]RD4 MCC'!$R$342:$U$342)</f>
        <v>0</v>
      </c>
      <c r="M40" s="50">
        <v>9</v>
      </c>
      <c r="N40" s="50">
        <v>0</v>
      </c>
      <c r="O40" s="15">
        <f t="shared" si="0"/>
        <v>4</v>
      </c>
      <c r="P40" s="15">
        <f t="shared" si="1"/>
        <v>13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f>SUM('[1]RD4 MCC'!$R$342:$U$342)</f>
        <v>0</v>
      </c>
      <c r="M41" s="50">
        <v>17</v>
      </c>
      <c r="N41" s="50">
        <v>0</v>
      </c>
      <c r="O41" s="15">
        <f t="shared" si="0"/>
        <v>2</v>
      </c>
      <c r="P41" s="15">
        <f t="shared" si="1"/>
        <v>19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3</v>
      </c>
      <c r="F42" s="50">
        <v>1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f>SUM('[1]RD4 MCC'!$R$342:$U$342)</f>
        <v>0</v>
      </c>
      <c r="M42" s="50">
        <v>16</v>
      </c>
      <c r="N42" s="50">
        <v>0</v>
      </c>
      <c r="O42" s="15">
        <f t="shared" si="0"/>
        <v>7</v>
      </c>
      <c r="P42" s="15">
        <f t="shared" si="1"/>
        <v>23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f>SUM('[1]RD4 MCC'!$R$342:$U$342)</f>
        <v>0</v>
      </c>
      <c r="M43" s="50">
        <v>14</v>
      </c>
      <c r="N43" s="50">
        <v>0</v>
      </c>
      <c r="O43" s="15">
        <f t="shared" si="0"/>
        <v>3</v>
      </c>
      <c r="P43" s="15">
        <f t="shared" si="1"/>
        <v>17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f>SUM('[1]RD4 MCC'!$R$342:$U$342)</f>
        <v>0</v>
      </c>
      <c r="M44" s="50">
        <v>12</v>
      </c>
      <c r="N44" s="50">
        <v>0</v>
      </c>
      <c r="O44" s="15">
        <f t="shared" si="0"/>
        <v>3</v>
      </c>
      <c r="P44" s="15">
        <f t="shared" si="1"/>
        <v>15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f>SUM('[1]RD4 MCC'!$R$342:$U$342)</f>
        <v>0</v>
      </c>
      <c r="M45" s="50">
        <v>15</v>
      </c>
      <c r="N45" s="50">
        <v>0</v>
      </c>
      <c r="O45" s="15">
        <f t="shared" si="0"/>
        <v>0</v>
      </c>
      <c r="P45" s="15">
        <f t="shared" si="1"/>
        <v>15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f>SUM('[1]RD4 MCC'!$R$342:$U$342)</f>
        <v>0</v>
      </c>
      <c r="M46" s="50">
        <v>9</v>
      </c>
      <c r="N46" s="50">
        <v>0</v>
      </c>
      <c r="O46" s="15">
        <f t="shared" si="0"/>
        <v>2</v>
      </c>
      <c r="P46" s="15">
        <f t="shared" si="1"/>
        <v>11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2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f>SUM('[1]RD4 MCC'!$R$342:$U$342)</f>
        <v>0</v>
      </c>
      <c r="M47" s="50">
        <v>16</v>
      </c>
      <c r="N47" s="50">
        <v>0</v>
      </c>
      <c r="O47" s="15">
        <f t="shared" si="0"/>
        <v>4</v>
      </c>
      <c r="P47" s="15">
        <f t="shared" si="1"/>
        <v>20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0</v>
      </c>
      <c r="E48" s="50">
        <v>1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f>SUM('[1]RD4 MCC'!$R$342:$U$342)</f>
        <v>0</v>
      </c>
      <c r="M48" s="50">
        <v>19</v>
      </c>
      <c r="N48" s="50">
        <v>0</v>
      </c>
      <c r="O48" s="15">
        <f t="shared" si="0"/>
        <v>5</v>
      </c>
      <c r="P48" s="15">
        <f t="shared" si="1"/>
        <v>24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f>SUM('[1]RD4 MCC'!$R$342:$U$342)</f>
        <v>0</v>
      </c>
      <c r="M49" s="50">
        <v>12</v>
      </c>
      <c r="N49" s="50">
        <v>0</v>
      </c>
      <c r="O49" s="15">
        <f t="shared" si="0"/>
        <v>4</v>
      </c>
      <c r="P49" s="15">
        <f t="shared" si="1"/>
        <v>16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f>SUM('[1]RD4 MCC'!$R$342:$U$342)</f>
        <v>0</v>
      </c>
      <c r="M50" s="50">
        <v>13</v>
      </c>
      <c r="N50" s="50">
        <v>0</v>
      </c>
      <c r="O50" s="15">
        <f t="shared" si="0"/>
        <v>0</v>
      </c>
      <c r="P50" s="15">
        <f t="shared" si="1"/>
        <v>13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2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f>SUM('[1]RD4 MCC'!$R$342:$U$342)</f>
        <v>0</v>
      </c>
      <c r="M51" s="50">
        <v>16</v>
      </c>
      <c r="N51" s="50">
        <v>0</v>
      </c>
      <c r="O51" s="15">
        <f t="shared" si="0"/>
        <v>3</v>
      </c>
      <c r="P51" s="15">
        <f t="shared" si="1"/>
        <v>19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f>SUM('[1]RD4 MCC'!$R$342:$U$342)</f>
        <v>0</v>
      </c>
      <c r="M52" s="50">
        <v>24</v>
      </c>
      <c r="N52" s="50">
        <v>0</v>
      </c>
      <c r="O52" s="15">
        <f t="shared" si="0"/>
        <v>3</v>
      </c>
      <c r="P52" s="15">
        <f t="shared" si="1"/>
        <v>27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0</v>
      </c>
      <c r="F53" s="50">
        <v>1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f>SUM('[1]RD4 MCC'!$R$342:$U$342)</f>
        <v>0</v>
      </c>
      <c r="M53" s="50">
        <v>13</v>
      </c>
      <c r="N53" s="50">
        <v>0</v>
      </c>
      <c r="O53" s="15">
        <f t="shared" si="0"/>
        <v>2</v>
      </c>
      <c r="P53" s="15">
        <f t="shared" si="1"/>
        <v>15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2</v>
      </c>
      <c r="F54" s="50">
        <v>1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f>SUM('[1]RD4 MCC'!$R$342:$U$342)</f>
        <v>0</v>
      </c>
      <c r="M54" s="50">
        <v>21</v>
      </c>
      <c r="N54" s="50">
        <v>0</v>
      </c>
      <c r="O54" s="15">
        <f t="shared" si="0"/>
        <v>8</v>
      </c>
      <c r="P54" s="15">
        <f t="shared" si="1"/>
        <v>29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2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f>SUM('[1]RD4 MCC'!$R$342:$U$342)</f>
        <v>0</v>
      </c>
      <c r="M55" s="50">
        <v>17</v>
      </c>
      <c r="N55" s="50">
        <v>0</v>
      </c>
      <c r="O55" s="15">
        <f t="shared" si="0"/>
        <v>4</v>
      </c>
      <c r="P55" s="15">
        <f t="shared" si="1"/>
        <v>21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f>SUM('[1]RD4 MCC'!$R$342:$U$342)</f>
        <v>0</v>
      </c>
      <c r="M56" s="50">
        <v>11</v>
      </c>
      <c r="N56" s="50">
        <v>0</v>
      </c>
      <c r="O56" s="15">
        <f t="shared" si="0"/>
        <v>2</v>
      </c>
      <c r="P56" s="15">
        <f t="shared" si="1"/>
        <v>13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f>SUM('[1]RD4 MCC'!$R$342:$U$342)</f>
        <v>0</v>
      </c>
      <c r="M57" s="50">
        <v>17</v>
      </c>
      <c r="N57" s="50">
        <v>0</v>
      </c>
      <c r="O57" s="15">
        <f t="shared" si="0"/>
        <v>4</v>
      </c>
      <c r="P57" s="15">
        <f t="shared" si="1"/>
        <v>21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60</v>
      </c>
      <c r="D58" s="16">
        <f t="shared" si="21"/>
        <v>0</v>
      </c>
      <c r="E58" s="16">
        <f t="shared" si="21"/>
        <v>47</v>
      </c>
      <c r="F58" s="16">
        <f t="shared" si="21"/>
        <v>13</v>
      </c>
      <c r="G58" s="16">
        <f t="shared" si="21"/>
        <v>0</v>
      </c>
      <c r="H58" s="16">
        <f t="shared" si="21"/>
        <v>0</v>
      </c>
      <c r="I58" s="16">
        <f t="shared" si="21"/>
        <v>33</v>
      </c>
      <c r="J58" s="16">
        <f t="shared" si="21"/>
        <v>0</v>
      </c>
      <c r="K58" s="16">
        <f t="shared" si="21"/>
        <v>0</v>
      </c>
      <c r="L58" s="16">
        <f t="shared" si="21"/>
        <v>0</v>
      </c>
      <c r="M58" s="16">
        <f t="shared" si="21"/>
        <v>710</v>
      </c>
      <c r="N58" s="16">
        <f t="shared" si="21"/>
        <v>0</v>
      </c>
      <c r="O58" s="16">
        <f t="shared" si="21"/>
        <v>153</v>
      </c>
      <c r="P58" s="16">
        <f t="shared" si="21"/>
        <v>863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6.9524913093858637E-2</v>
      </c>
      <c r="D59" s="43">
        <f t="shared" si="22"/>
        <v>0</v>
      </c>
      <c r="E59" s="43">
        <f t="shared" si="22"/>
        <v>5.4461181923522596E-2</v>
      </c>
      <c r="F59" s="43">
        <f t="shared" si="22"/>
        <v>1.5063731170336037E-2</v>
      </c>
      <c r="G59" s="43">
        <f t="shared" si="22"/>
        <v>0</v>
      </c>
      <c r="H59" s="43">
        <f t="shared" si="22"/>
        <v>0</v>
      </c>
      <c r="I59" s="43">
        <f t="shared" si="22"/>
        <v>3.8238702201622246E-2</v>
      </c>
      <c r="J59" s="43">
        <f t="shared" si="22"/>
        <v>0</v>
      </c>
      <c r="K59" s="43">
        <f t="shared" si="22"/>
        <v>0</v>
      </c>
      <c r="L59" s="43">
        <f t="shared" si="22"/>
        <v>0</v>
      </c>
      <c r="M59" s="43">
        <f t="shared" si="22"/>
        <v>0.82271147161066049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0.39215686274509803</v>
      </c>
      <c r="D60" s="44">
        <f t="shared" ref="D60:N60" si="23">D58/$O$58</f>
        <v>0</v>
      </c>
      <c r="E60" s="44">
        <f t="shared" si="23"/>
        <v>0.30718954248366015</v>
      </c>
      <c r="F60" s="44">
        <f t="shared" si="23"/>
        <v>8.4967320261437912E-2</v>
      </c>
      <c r="G60" s="44">
        <f t="shared" si="23"/>
        <v>0</v>
      </c>
      <c r="H60" s="44">
        <f t="shared" si="23"/>
        <v>0</v>
      </c>
      <c r="I60" s="44">
        <f t="shared" si="23"/>
        <v>0.21568627450980393</v>
      </c>
      <c r="J60" s="44">
        <f t="shared" si="23"/>
        <v>0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A19" zoomScale="60" workbookViewId="0">
      <selection activeCell="G27" sqref="G2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'11.8 KAMPALA-BUSUNJU'!C3:G3</f>
        <v>MCC-C3-STN-HOIMA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64" t="str">
        <f>'11.8 KAMPALA-BUSUNJU'!G5:H5</f>
        <v>WAKISO</v>
      </c>
      <c r="H5" s="65"/>
      <c r="I5" s="14"/>
      <c r="J5" s="2" t="s">
        <v>5</v>
      </c>
      <c r="K5" s="64">
        <f>'11.8 KAMPALA-BUSUNJU'!K5:L5</f>
        <v>0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'11.8 KAMPALA-BUSUNJU'!D6:E6</f>
        <v>KAMPALA</v>
      </c>
      <c r="E6" s="65"/>
      <c r="F6" s="2" t="s">
        <v>2</v>
      </c>
      <c r="G6" s="64" t="str">
        <f>'11.8 KAMPALA-BUSUNJU'!G6:H6</f>
        <v>BUSUNJU</v>
      </c>
      <c r="H6" s="65"/>
      <c r="J6" s="2" t="s">
        <v>21</v>
      </c>
      <c r="K6" s="64">
        <f>'11.8 KAMPALA-BUSUNJU'!K6:L6</f>
        <v>0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12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17</v>
      </c>
      <c r="R10" s="1" t="s">
        <v>6</v>
      </c>
      <c r="S10" s="17">
        <f t="shared" ref="S10:AF10" si="2">SUM(C10:C13)</f>
        <v>7</v>
      </c>
      <c r="T10" s="17">
        <f t="shared" si="2"/>
        <v>0</v>
      </c>
      <c r="U10" s="17">
        <f t="shared" si="2"/>
        <v>1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32</v>
      </c>
      <c r="AD10" s="17">
        <f t="shared" si="2"/>
        <v>0</v>
      </c>
      <c r="AE10" s="31">
        <f t="shared" si="2"/>
        <v>16</v>
      </c>
      <c r="AF10" s="31">
        <f t="shared" si="2"/>
        <v>48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3</v>
      </c>
      <c r="P11" s="15">
        <f t="shared" si="1"/>
        <v>8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3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50</v>
      </c>
      <c r="AD11" s="17">
        <f t="shared" si="3"/>
        <v>0</v>
      </c>
      <c r="AE11" s="31">
        <f t="shared" si="3"/>
        <v>12</v>
      </c>
      <c r="AF11" s="31">
        <f t="shared" si="3"/>
        <v>62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4</v>
      </c>
      <c r="P12" s="15">
        <f t="shared" si="1"/>
        <v>12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3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67</v>
      </c>
      <c r="AD12" s="17">
        <f t="shared" si="4"/>
        <v>0</v>
      </c>
      <c r="AE12" s="31">
        <f t="shared" si="4"/>
        <v>7</v>
      </c>
      <c r="AF12" s="31">
        <f t="shared" si="4"/>
        <v>74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7</v>
      </c>
      <c r="N13" s="50">
        <v>0</v>
      </c>
      <c r="O13" s="15">
        <f t="shared" si="0"/>
        <v>4</v>
      </c>
      <c r="P13" s="15">
        <f t="shared" si="1"/>
        <v>11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5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77</v>
      </c>
      <c r="AD13" s="17">
        <f t="shared" si="5"/>
        <v>0</v>
      </c>
      <c r="AE13" s="31">
        <f t="shared" si="5"/>
        <v>11</v>
      </c>
      <c r="AF13" s="31">
        <f t="shared" si="5"/>
        <v>88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10</v>
      </c>
      <c r="N14" s="50">
        <v>0</v>
      </c>
      <c r="O14" s="15">
        <f t="shared" si="0"/>
        <v>1</v>
      </c>
      <c r="P14" s="15">
        <f t="shared" si="1"/>
        <v>11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4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70</v>
      </c>
      <c r="AD14" s="17">
        <f t="shared" si="6"/>
        <v>0</v>
      </c>
      <c r="AE14" s="31">
        <f t="shared" si="6"/>
        <v>8</v>
      </c>
      <c r="AF14" s="31">
        <f t="shared" si="6"/>
        <v>78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10</v>
      </c>
      <c r="N15" s="50">
        <v>0</v>
      </c>
      <c r="O15" s="15">
        <f t="shared" si="0"/>
        <v>2</v>
      </c>
      <c r="P15" s="15">
        <f t="shared" si="1"/>
        <v>12</v>
      </c>
      <c r="R15" s="1" t="s">
        <v>11</v>
      </c>
      <c r="S15" s="17">
        <f t="shared" ref="S15:AF15" si="7">SUM(C30:C33)</f>
        <v>5</v>
      </c>
      <c r="T15" s="17">
        <f t="shared" si="7"/>
        <v>0</v>
      </c>
      <c r="U15" s="17">
        <f t="shared" si="7"/>
        <v>1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67</v>
      </c>
      <c r="AD15" s="17">
        <f t="shared" si="7"/>
        <v>0</v>
      </c>
      <c r="AE15" s="31">
        <f t="shared" si="7"/>
        <v>12</v>
      </c>
      <c r="AF15" s="31">
        <f t="shared" si="7"/>
        <v>79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1</v>
      </c>
      <c r="G16" s="50">
        <v>0</v>
      </c>
      <c r="H16" s="50">
        <v>0</v>
      </c>
      <c r="I16" s="50">
        <v>3</v>
      </c>
      <c r="J16" s="50">
        <v>0</v>
      </c>
      <c r="K16" s="50">
        <v>0</v>
      </c>
      <c r="L16" s="50">
        <v>0</v>
      </c>
      <c r="M16" s="50">
        <v>13</v>
      </c>
      <c r="N16" s="50">
        <v>0</v>
      </c>
      <c r="O16" s="15">
        <f t="shared" si="0"/>
        <v>5</v>
      </c>
      <c r="P16" s="15">
        <f t="shared" si="1"/>
        <v>18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4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45</v>
      </c>
      <c r="AD16" s="17">
        <f t="shared" si="8"/>
        <v>0</v>
      </c>
      <c r="AE16" s="31">
        <f t="shared" si="8"/>
        <v>13</v>
      </c>
      <c r="AF16" s="31">
        <f t="shared" si="8"/>
        <v>58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17</v>
      </c>
      <c r="N17" s="50">
        <v>0</v>
      </c>
      <c r="O17" s="15">
        <f t="shared" si="0"/>
        <v>4</v>
      </c>
      <c r="P17" s="15">
        <f t="shared" si="1"/>
        <v>21</v>
      </c>
      <c r="R17" s="1" t="s">
        <v>13</v>
      </c>
      <c r="S17" s="17">
        <f t="shared" ref="S17:AF17" si="9">SUM(C38:C41)</f>
        <v>6</v>
      </c>
      <c r="T17" s="17">
        <f t="shared" si="9"/>
        <v>0</v>
      </c>
      <c r="U17" s="17">
        <f t="shared" si="9"/>
        <v>1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57</v>
      </c>
      <c r="AD17" s="17">
        <f t="shared" si="9"/>
        <v>0</v>
      </c>
      <c r="AE17" s="31">
        <f t="shared" si="9"/>
        <v>8</v>
      </c>
      <c r="AF17" s="31">
        <f t="shared" si="9"/>
        <v>65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15</v>
      </c>
      <c r="N18" s="50">
        <v>0</v>
      </c>
      <c r="O18" s="15">
        <f t="shared" si="0"/>
        <v>3</v>
      </c>
      <c r="P18" s="15">
        <f t="shared" si="1"/>
        <v>18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57</v>
      </c>
      <c r="AD18" s="17">
        <f t="shared" si="10"/>
        <v>0</v>
      </c>
      <c r="AE18" s="31">
        <f t="shared" si="10"/>
        <v>4</v>
      </c>
      <c r="AF18" s="31">
        <f t="shared" si="10"/>
        <v>61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16</v>
      </c>
      <c r="N19" s="50">
        <v>0</v>
      </c>
      <c r="O19" s="15">
        <f t="shared" si="0"/>
        <v>2</v>
      </c>
      <c r="P19" s="15">
        <f t="shared" si="1"/>
        <v>18</v>
      </c>
      <c r="R19" s="1" t="s">
        <v>15</v>
      </c>
      <c r="S19" s="17">
        <f t="shared" ref="S19:AF19" si="11">SUM(C46:C49)</f>
        <v>5</v>
      </c>
      <c r="T19" s="17">
        <f t="shared" si="11"/>
        <v>0</v>
      </c>
      <c r="U19" s="17">
        <f t="shared" si="11"/>
        <v>4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56</v>
      </c>
      <c r="AD19" s="17">
        <f t="shared" si="11"/>
        <v>0</v>
      </c>
      <c r="AE19" s="31">
        <f t="shared" si="11"/>
        <v>10</v>
      </c>
      <c r="AF19" s="31">
        <f t="shared" si="11"/>
        <v>66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18</v>
      </c>
      <c r="N20" s="50">
        <v>0</v>
      </c>
      <c r="O20" s="15">
        <f t="shared" si="0"/>
        <v>1</v>
      </c>
      <c r="P20" s="15">
        <f t="shared" si="1"/>
        <v>19</v>
      </c>
      <c r="R20" s="1" t="s">
        <v>16</v>
      </c>
      <c r="S20" s="17">
        <f t="shared" ref="S20:AF20" si="12">SUM(C50:C53)</f>
        <v>3</v>
      </c>
      <c r="T20" s="17">
        <f t="shared" si="12"/>
        <v>0</v>
      </c>
      <c r="U20" s="17">
        <f t="shared" si="12"/>
        <v>6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66</v>
      </c>
      <c r="AD20" s="17">
        <f t="shared" si="12"/>
        <v>0</v>
      </c>
      <c r="AE20" s="31">
        <f t="shared" si="12"/>
        <v>12</v>
      </c>
      <c r="AF20" s="31">
        <f t="shared" si="12"/>
        <v>78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18</v>
      </c>
      <c r="N21" s="50">
        <v>0</v>
      </c>
      <c r="O21" s="15">
        <f t="shared" si="0"/>
        <v>1</v>
      </c>
      <c r="P21" s="15">
        <f t="shared" si="1"/>
        <v>19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4</v>
      </c>
      <c r="V21" s="17">
        <f t="shared" si="13"/>
        <v>1</v>
      </c>
      <c r="W21" s="17">
        <f t="shared" si="13"/>
        <v>1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66</v>
      </c>
      <c r="AD21" s="17">
        <f t="shared" si="13"/>
        <v>0</v>
      </c>
      <c r="AE21" s="31">
        <f t="shared" si="13"/>
        <v>6</v>
      </c>
      <c r="AF21" s="31">
        <f t="shared" si="13"/>
        <v>72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22</v>
      </c>
      <c r="N22" s="50">
        <v>0</v>
      </c>
      <c r="O22" s="15">
        <f t="shared" si="0"/>
        <v>3</v>
      </c>
      <c r="P22" s="15">
        <f t="shared" si="1"/>
        <v>25</v>
      </c>
      <c r="R22" s="38" t="s">
        <v>90</v>
      </c>
      <c r="S22" s="39">
        <f>MAX(S10:S12)</f>
        <v>7</v>
      </c>
      <c r="T22" s="39">
        <f t="shared" ref="T22:AF22" si="14">MAX(T10:T12)</f>
        <v>0</v>
      </c>
      <c r="U22" s="39">
        <f t="shared" si="14"/>
        <v>3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6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67</v>
      </c>
      <c r="AD22" s="39">
        <f t="shared" si="14"/>
        <v>0</v>
      </c>
      <c r="AE22" s="40">
        <f t="shared" si="14"/>
        <v>16</v>
      </c>
      <c r="AF22" s="40">
        <f t="shared" si="14"/>
        <v>74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3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20</v>
      </c>
      <c r="N23" s="50">
        <v>0</v>
      </c>
      <c r="O23" s="15">
        <f t="shared" si="0"/>
        <v>3</v>
      </c>
      <c r="P23" s="15">
        <f t="shared" si="1"/>
        <v>23</v>
      </c>
      <c r="R23" s="38" t="s">
        <v>91</v>
      </c>
      <c r="S23" s="39">
        <f>MAX(S13:S18)</f>
        <v>6</v>
      </c>
      <c r="T23" s="39">
        <f t="shared" ref="T23:AF23" si="15">MAX(T13:T18)</f>
        <v>0</v>
      </c>
      <c r="U23" s="39">
        <f t="shared" si="15"/>
        <v>5</v>
      </c>
      <c r="V23" s="39">
        <f t="shared" si="15"/>
        <v>2</v>
      </c>
      <c r="W23" s="39">
        <f t="shared" si="15"/>
        <v>0</v>
      </c>
      <c r="X23" s="39">
        <f t="shared" si="15"/>
        <v>0</v>
      </c>
      <c r="Y23" s="39">
        <f t="shared" si="15"/>
        <v>4</v>
      </c>
      <c r="Z23" s="39">
        <f t="shared" si="15"/>
        <v>0</v>
      </c>
      <c r="AA23" s="39">
        <f t="shared" si="15"/>
        <v>0</v>
      </c>
      <c r="AB23" s="39">
        <f t="shared" si="15"/>
        <v>0</v>
      </c>
      <c r="AC23" s="39">
        <f t="shared" si="15"/>
        <v>77</v>
      </c>
      <c r="AD23" s="39">
        <f t="shared" si="15"/>
        <v>0</v>
      </c>
      <c r="AE23" s="40">
        <f t="shared" si="15"/>
        <v>13</v>
      </c>
      <c r="AF23" s="40">
        <f t="shared" si="15"/>
        <v>88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2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19</v>
      </c>
      <c r="N24" s="50">
        <v>0</v>
      </c>
      <c r="O24" s="15">
        <f t="shared" si="0"/>
        <v>4</v>
      </c>
      <c r="P24" s="15">
        <f t="shared" si="1"/>
        <v>23</v>
      </c>
      <c r="R24" s="38" t="s">
        <v>92</v>
      </c>
      <c r="S24" s="39">
        <f>MAX(S19:S21)</f>
        <v>5</v>
      </c>
      <c r="T24" s="39">
        <f t="shared" ref="T24:AF24" si="16">MAX(T19:T21)</f>
        <v>0</v>
      </c>
      <c r="U24" s="39">
        <f t="shared" si="16"/>
        <v>6</v>
      </c>
      <c r="V24" s="39">
        <f t="shared" si="16"/>
        <v>3</v>
      </c>
      <c r="W24" s="39">
        <f t="shared" si="16"/>
        <v>1</v>
      </c>
      <c r="X24" s="39">
        <f t="shared" si="16"/>
        <v>0</v>
      </c>
      <c r="Y24" s="39">
        <f t="shared" si="16"/>
        <v>0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66</v>
      </c>
      <c r="AD24" s="39">
        <f t="shared" si="16"/>
        <v>0</v>
      </c>
      <c r="AE24" s="40">
        <f t="shared" si="16"/>
        <v>12</v>
      </c>
      <c r="AF24" s="40">
        <f t="shared" si="16"/>
        <v>78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16</v>
      </c>
      <c r="N25" s="50">
        <v>0</v>
      </c>
      <c r="O25" s="15">
        <f t="shared" si="0"/>
        <v>1</v>
      </c>
      <c r="P25" s="15">
        <f t="shared" si="1"/>
        <v>17</v>
      </c>
      <c r="R25" s="37" t="s">
        <v>85</v>
      </c>
      <c r="S25" s="35">
        <f t="shared" ref="S25:AF25" si="17">SUM(S10:S12)</f>
        <v>10</v>
      </c>
      <c r="T25" s="16">
        <f t="shared" si="17"/>
        <v>0</v>
      </c>
      <c r="U25" s="16">
        <f t="shared" si="17"/>
        <v>7</v>
      </c>
      <c r="V25" s="16">
        <f t="shared" si="17"/>
        <v>4</v>
      </c>
      <c r="W25" s="16">
        <f t="shared" si="17"/>
        <v>0</v>
      </c>
      <c r="X25" s="16">
        <f t="shared" si="17"/>
        <v>0</v>
      </c>
      <c r="Y25" s="16">
        <f t="shared" si="17"/>
        <v>14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149</v>
      </c>
      <c r="AD25" s="16">
        <f t="shared" si="17"/>
        <v>0</v>
      </c>
      <c r="AE25" s="32">
        <f t="shared" si="17"/>
        <v>35</v>
      </c>
      <c r="AF25" s="32">
        <f t="shared" si="17"/>
        <v>184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2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17</v>
      </c>
      <c r="N26" s="50">
        <v>0</v>
      </c>
      <c r="O26" s="15">
        <f t="shared" si="0"/>
        <v>5</v>
      </c>
      <c r="P26" s="15">
        <f t="shared" si="1"/>
        <v>22</v>
      </c>
      <c r="R26" s="28" t="s">
        <v>86</v>
      </c>
      <c r="S26" s="16">
        <f t="shared" ref="S26:AF26" si="18">SUM(S13:S18)</f>
        <v>21</v>
      </c>
      <c r="T26" s="16">
        <f t="shared" si="18"/>
        <v>0</v>
      </c>
      <c r="U26" s="16">
        <f t="shared" si="18"/>
        <v>16</v>
      </c>
      <c r="V26" s="16">
        <f t="shared" si="18"/>
        <v>7</v>
      </c>
      <c r="W26" s="16">
        <f t="shared" si="18"/>
        <v>0</v>
      </c>
      <c r="X26" s="16">
        <f t="shared" si="18"/>
        <v>0</v>
      </c>
      <c r="Y26" s="16">
        <f t="shared" si="18"/>
        <v>12</v>
      </c>
      <c r="Z26" s="16">
        <f t="shared" si="18"/>
        <v>0</v>
      </c>
      <c r="AA26" s="16">
        <f t="shared" si="18"/>
        <v>0</v>
      </c>
      <c r="AB26" s="16">
        <f t="shared" si="18"/>
        <v>0</v>
      </c>
      <c r="AC26" s="16">
        <f t="shared" si="18"/>
        <v>373</v>
      </c>
      <c r="AD26" s="16">
        <f t="shared" si="18"/>
        <v>0</v>
      </c>
      <c r="AE26" s="32">
        <f t="shared" si="18"/>
        <v>56</v>
      </c>
      <c r="AF26" s="32">
        <f t="shared" si="18"/>
        <v>429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21</v>
      </c>
      <c r="N27" s="50">
        <v>0</v>
      </c>
      <c r="O27" s="15">
        <f t="shared" si="0"/>
        <v>1</v>
      </c>
      <c r="P27" s="15">
        <f t="shared" si="1"/>
        <v>22</v>
      </c>
      <c r="R27" s="29" t="s">
        <v>87</v>
      </c>
      <c r="S27" s="16">
        <f t="shared" ref="S27:AF27" si="19">SUM(S19:S21)</f>
        <v>8</v>
      </c>
      <c r="T27" s="16">
        <f t="shared" si="19"/>
        <v>0</v>
      </c>
      <c r="U27" s="16">
        <f t="shared" si="19"/>
        <v>14</v>
      </c>
      <c r="V27" s="16">
        <f t="shared" si="19"/>
        <v>5</v>
      </c>
      <c r="W27" s="16">
        <f t="shared" si="19"/>
        <v>1</v>
      </c>
      <c r="X27" s="16">
        <f t="shared" si="19"/>
        <v>0</v>
      </c>
      <c r="Y27" s="16">
        <f t="shared" si="19"/>
        <v>0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188</v>
      </c>
      <c r="AD27" s="16">
        <f t="shared" si="19"/>
        <v>0</v>
      </c>
      <c r="AE27" s="32">
        <f t="shared" si="19"/>
        <v>28</v>
      </c>
      <c r="AF27" s="32">
        <f t="shared" si="19"/>
        <v>216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17</v>
      </c>
      <c r="N28" s="50">
        <v>0</v>
      </c>
      <c r="O28" s="15">
        <f t="shared" si="0"/>
        <v>1</v>
      </c>
      <c r="P28" s="15">
        <f t="shared" si="1"/>
        <v>18</v>
      </c>
      <c r="R28" s="5" t="s">
        <v>17</v>
      </c>
      <c r="S28" s="16">
        <f t="shared" ref="S28:AF28" si="20">SUM(S10:S21)</f>
        <v>39</v>
      </c>
      <c r="T28" s="16">
        <f t="shared" si="20"/>
        <v>0</v>
      </c>
      <c r="U28" s="16">
        <f t="shared" si="20"/>
        <v>37</v>
      </c>
      <c r="V28" s="16">
        <f t="shared" si="20"/>
        <v>16</v>
      </c>
      <c r="W28" s="16">
        <f t="shared" si="20"/>
        <v>1</v>
      </c>
      <c r="X28" s="16">
        <f t="shared" si="20"/>
        <v>0</v>
      </c>
      <c r="Y28" s="16">
        <f t="shared" si="20"/>
        <v>26</v>
      </c>
      <c r="Z28" s="16">
        <f t="shared" si="20"/>
        <v>0</v>
      </c>
      <c r="AA28" s="16">
        <f t="shared" si="20"/>
        <v>0</v>
      </c>
      <c r="AB28" s="16">
        <f t="shared" si="20"/>
        <v>0</v>
      </c>
      <c r="AC28" s="16">
        <f t="shared" si="20"/>
        <v>710</v>
      </c>
      <c r="AD28" s="16">
        <f t="shared" si="20"/>
        <v>0</v>
      </c>
      <c r="AE28" s="32">
        <f t="shared" si="20"/>
        <v>119</v>
      </c>
      <c r="AF28" s="32">
        <f t="shared" si="20"/>
        <v>829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15</v>
      </c>
      <c r="N29" s="50">
        <v>0</v>
      </c>
      <c r="O29" s="15">
        <f t="shared" si="0"/>
        <v>1</v>
      </c>
      <c r="P29" s="15">
        <f t="shared" si="1"/>
        <v>16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1</v>
      </c>
      <c r="F30" s="50">
        <v>1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19</v>
      </c>
      <c r="N30" s="50">
        <v>0</v>
      </c>
      <c r="O30" s="15">
        <f t="shared" si="0"/>
        <v>7</v>
      </c>
      <c r="P30" s="15">
        <f t="shared" si="1"/>
        <v>26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15</v>
      </c>
      <c r="N31" s="50">
        <v>0</v>
      </c>
      <c r="O31" s="15">
        <f t="shared" si="0"/>
        <v>0</v>
      </c>
      <c r="P31" s="15">
        <f t="shared" si="1"/>
        <v>15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16</v>
      </c>
      <c r="N32" s="50">
        <v>0</v>
      </c>
      <c r="O32" s="15">
        <f t="shared" si="0"/>
        <v>4</v>
      </c>
      <c r="P32" s="15">
        <f t="shared" si="1"/>
        <v>20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17</v>
      </c>
      <c r="N33" s="50">
        <v>0</v>
      </c>
      <c r="O33" s="15">
        <f t="shared" si="0"/>
        <v>1</v>
      </c>
      <c r="P33" s="15">
        <f t="shared" si="1"/>
        <v>18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19</v>
      </c>
      <c r="N34" s="50">
        <v>0</v>
      </c>
      <c r="O34" s="15">
        <f t="shared" si="0"/>
        <v>4</v>
      </c>
      <c r="P34" s="15">
        <f t="shared" si="1"/>
        <v>23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2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15</v>
      </c>
      <c r="N35" s="50">
        <v>0</v>
      </c>
      <c r="O35" s="15">
        <f t="shared" si="0"/>
        <v>3</v>
      </c>
      <c r="P35" s="15">
        <f t="shared" si="1"/>
        <v>18</v>
      </c>
    </row>
    <row r="36" spans="2:20" ht="23.1" customHeight="1" x14ac:dyDescent="0.25">
      <c r="B36" s="24" t="s">
        <v>63</v>
      </c>
      <c r="C36" s="50">
        <v>3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</v>
      </c>
      <c r="N36" s="50">
        <v>0</v>
      </c>
      <c r="O36" s="15">
        <f t="shared" si="0"/>
        <v>4</v>
      </c>
      <c r="P36" s="15">
        <f t="shared" si="1"/>
        <v>5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10</v>
      </c>
      <c r="N37" s="50">
        <v>0</v>
      </c>
      <c r="O37" s="15">
        <f t="shared" si="0"/>
        <v>2</v>
      </c>
      <c r="P37" s="15">
        <f t="shared" si="1"/>
        <v>12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20</v>
      </c>
      <c r="N38" s="50">
        <v>0</v>
      </c>
      <c r="O38" s="15">
        <f t="shared" si="0"/>
        <v>1</v>
      </c>
      <c r="P38" s="15">
        <f t="shared" si="1"/>
        <v>21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11</v>
      </c>
      <c r="N39" s="50">
        <v>0</v>
      </c>
      <c r="O39" s="15">
        <f t="shared" si="0"/>
        <v>2</v>
      </c>
      <c r="P39" s="15">
        <f t="shared" si="1"/>
        <v>13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9</v>
      </c>
      <c r="N40" s="50">
        <v>0</v>
      </c>
      <c r="O40" s="15">
        <f t="shared" si="0"/>
        <v>1</v>
      </c>
      <c r="P40" s="15">
        <f t="shared" si="1"/>
        <v>10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17</v>
      </c>
      <c r="N41" s="50">
        <v>0</v>
      </c>
      <c r="O41" s="15">
        <f t="shared" si="0"/>
        <v>4</v>
      </c>
      <c r="P41" s="15">
        <f t="shared" si="1"/>
        <v>21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16</v>
      </c>
      <c r="N42" s="50">
        <v>0</v>
      </c>
      <c r="O42" s="15">
        <f t="shared" si="0"/>
        <v>2</v>
      </c>
      <c r="P42" s="15">
        <f t="shared" si="1"/>
        <v>18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14</v>
      </c>
      <c r="N43" s="50">
        <v>0</v>
      </c>
      <c r="O43" s="15">
        <f t="shared" si="0"/>
        <v>0</v>
      </c>
      <c r="P43" s="15">
        <f t="shared" si="1"/>
        <v>14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12</v>
      </c>
      <c r="N44" s="50">
        <v>0</v>
      </c>
      <c r="O44" s="15">
        <f t="shared" si="0"/>
        <v>1</v>
      </c>
      <c r="P44" s="15">
        <f t="shared" si="1"/>
        <v>13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15</v>
      </c>
      <c r="N45" s="50">
        <v>0</v>
      </c>
      <c r="O45" s="15">
        <f t="shared" si="0"/>
        <v>1</v>
      </c>
      <c r="P45" s="15">
        <f t="shared" si="1"/>
        <v>16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3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9</v>
      </c>
      <c r="N46" s="50">
        <v>0</v>
      </c>
      <c r="O46" s="15">
        <f t="shared" si="0"/>
        <v>5</v>
      </c>
      <c r="P46" s="15">
        <f t="shared" si="1"/>
        <v>14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16</v>
      </c>
      <c r="N47" s="50">
        <v>0</v>
      </c>
      <c r="O47" s="15">
        <f t="shared" si="0"/>
        <v>0</v>
      </c>
      <c r="P47" s="15">
        <f t="shared" si="1"/>
        <v>16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19</v>
      </c>
      <c r="N48" s="50">
        <v>0</v>
      </c>
      <c r="O48" s="15">
        <f t="shared" si="0"/>
        <v>2</v>
      </c>
      <c r="P48" s="15">
        <f t="shared" si="1"/>
        <v>21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12</v>
      </c>
      <c r="N49" s="50">
        <v>0</v>
      </c>
      <c r="O49" s="15">
        <f t="shared" si="0"/>
        <v>3</v>
      </c>
      <c r="P49" s="15">
        <f t="shared" si="1"/>
        <v>15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13</v>
      </c>
      <c r="N50" s="50">
        <v>0</v>
      </c>
      <c r="O50" s="15">
        <f t="shared" si="0"/>
        <v>1</v>
      </c>
      <c r="P50" s="15">
        <f t="shared" si="1"/>
        <v>14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3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16</v>
      </c>
      <c r="N51" s="50">
        <v>0</v>
      </c>
      <c r="O51" s="15">
        <f t="shared" si="0"/>
        <v>3</v>
      </c>
      <c r="P51" s="15">
        <f t="shared" si="1"/>
        <v>19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2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24</v>
      </c>
      <c r="N52" s="50">
        <v>0</v>
      </c>
      <c r="O52" s="15">
        <f t="shared" si="0"/>
        <v>3</v>
      </c>
      <c r="P52" s="15">
        <f t="shared" si="1"/>
        <v>27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1</v>
      </c>
      <c r="F53" s="50">
        <v>3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13</v>
      </c>
      <c r="N53" s="50">
        <v>0</v>
      </c>
      <c r="O53" s="15">
        <f t="shared" si="0"/>
        <v>5</v>
      </c>
      <c r="P53" s="15">
        <f t="shared" si="1"/>
        <v>18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2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21</v>
      </c>
      <c r="N54" s="50">
        <v>0</v>
      </c>
      <c r="O54" s="15">
        <f t="shared" si="0"/>
        <v>2</v>
      </c>
      <c r="P54" s="15">
        <f t="shared" si="1"/>
        <v>23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2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17</v>
      </c>
      <c r="N55" s="50">
        <v>0</v>
      </c>
      <c r="O55" s="15">
        <f t="shared" si="0"/>
        <v>3</v>
      </c>
      <c r="P55" s="15">
        <f t="shared" si="1"/>
        <v>20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1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11</v>
      </c>
      <c r="N56" s="50">
        <v>0</v>
      </c>
      <c r="O56" s="15">
        <f t="shared" si="0"/>
        <v>1</v>
      </c>
      <c r="P56" s="15">
        <f t="shared" si="1"/>
        <v>12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17</v>
      </c>
      <c r="N57" s="50">
        <v>0</v>
      </c>
      <c r="O57" s="15">
        <f t="shared" si="0"/>
        <v>0</v>
      </c>
      <c r="P57" s="15">
        <f t="shared" si="1"/>
        <v>17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39</v>
      </c>
      <c r="D58" s="16">
        <f t="shared" si="21"/>
        <v>0</v>
      </c>
      <c r="E58" s="16">
        <f t="shared" si="21"/>
        <v>37</v>
      </c>
      <c r="F58" s="16">
        <f t="shared" si="21"/>
        <v>16</v>
      </c>
      <c r="G58" s="16">
        <f t="shared" si="21"/>
        <v>1</v>
      </c>
      <c r="H58" s="16">
        <f t="shared" si="21"/>
        <v>0</v>
      </c>
      <c r="I58" s="16">
        <f t="shared" si="21"/>
        <v>26</v>
      </c>
      <c r="J58" s="16">
        <f t="shared" si="21"/>
        <v>0</v>
      </c>
      <c r="K58" s="16">
        <f t="shared" si="21"/>
        <v>0</v>
      </c>
      <c r="L58" s="16">
        <f t="shared" si="21"/>
        <v>0</v>
      </c>
      <c r="M58" s="16">
        <f t="shared" si="21"/>
        <v>710</v>
      </c>
      <c r="N58" s="16">
        <f t="shared" si="21"/>
        <v>0</v>
      </c>
      <c r="O58" s="16">
        <f t="shared" si="21"/>
        <v>119</v>
      </c>
      <c r="P58" s="16">
        <f t="shared" si="21"/>
        <v>829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4.7044632086851626E-2</v>
      </c>
      <c r="D59" s="43">
        <f t="shared" si="22"/>
        <v>0</v>
      </c>
      <c r="E59" s="43">
        <f t="shared" si="22"/>
        <v>4.4632086851628471E-2</v>
      </c>
      <c r="F59" s="43">
        <f t="shared" si="22"/>
        <v>1.9300361881785282E-2</v>
      </c>
      <c r="G59" s="43">
        <f t="shared" si="22"/>
        <v>1.2062726176115801E-3</v>
      </c>
      <c r="H59" s="43">
        <f t="shared" si="22"/>
        <v>0</v>
      </c>
      <c r="I59" s="43">
        <f t="shared" si="22"/>
        <v>3.1363088057901084E-2</v>
      </c>
      <c r="J59" s="43">
        <f t="shared" si="22"/>
        <v>0</v>
      </c>
      <c r="K59" s="43">
        <f t="shared" si="22"/>
        <v>0</v>
      </c>
      <c r="L59" s="43">
        <f t="shared" si="22"/>
        <v>0</v>
      </c>
      <c r="M59" s="43">
        <f t="shared" si="22"/>
        <v>0.856453558504222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0.32773109243697479</v>
      </c>
      <c r="D60" s="44">
        <f t="shared" ref="D60:N60" si="23">D58/$O$58</f>
        <v>0</v>
      </c>
      <c r="E60" s="44">
        <f t="shared" si="23"/>
        <v>0.31092436974789917</v>
      </c>
      <c r="F60" s="44">
        <f t="shared" si="23"/>
        <v>0.13445378151260504</v>
      </c>
      <c r="G60" s="44">
        <f t="shared" si="23"/>
        <v>8.4033613445378148E-3</v>
      </c>
      <c r="H60" s="44">
        <f t="shared" si="23"/>
        <v>0</v>
      </c>
      <c r="I60" s="44">
        <f t="shared" si="23"/>
        <v>0.21848739495798319</v>
      </c>
      <c r="J60" s="44">
        <f t="shared" si="23"/>
        <v>0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topLeftCell="A46" zoomScale="60" workbookViewId="0">
      <selection activeCell="S57" sqref="S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'11.8 BUSUNJU-KAMPALA'!C3:G3</f>
        <v>MCC-C3-STN-HOIMA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'12.8 BUSUNJU-KAMPALA'!D5</f>
        <v>23.07.19</v>
      </c>
      <c r="E5" s="3"/>
      <c r="F5" s="41" t="s">
        <v>1</v>
      </c>
      <c r="G5" s="64" t="str">
        <f>'11.8 KAMPALA-BUSUNJU'!G5:H5</f>
        <v>WAKISO</v>
      </c>
      <c r="H5" s="65"/>
      <c r="I5" s="14"/>
      <c r="J5" s="2" t="s">
        <v>5</v>
      </c>
      <c r="K5" s="64">
        <f>'11.8 KAMPALA-BUSUNJU'!K5:L5</f>
        <v>0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'11.8 BUSUNJU-KAMPALA'!D6:E6</f>
        <v>Makindye</v>
      </c>
      <c r="E6" s="65"/>
      <c r="F6" s="2" t="s">
        <v>2</v>
      </c>
      <c r="G6" s="64" t="str">
        <f>'11.8 BUSUNJU-KAMPALA'!G6:H6</f>
        <v>Kibuye</v>
      </c>
      <c r="H6" s="65"/>
      <c r="J6" s="2" t="s">
        <v>21</v>
      </c>
      <c r="K6" s="64">
        <f>'11.8 KAMPALA-BUSUNJU'!K6:L6</f>
        <v>0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8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12</v>
      </c>
      <c r="R10" s="1" t="s">
        <v>6</v>
      </c>
      <c r="S10" s="17">
        <f t="shared" ref="S10:AF10" si="2">SUM(C10:C13)</f>
        <v>7</v>
      </c>
      <c r="T10" s="17">
        <f t="shared" si="2"/>
        <v>0</v>
      </c>
      <c r="U10" s="17">
        <f t="shared" si="2"/>
        <v>1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46</v>
      </c>
      <c r="AD10" s="17">
        <f t="shared" si="2"/>
        <v>0</v>
      </c>
      <c r="AE10" s="31">
        <f t="shared" si="2"/>
        <v>11</v>
      </c>
      <c r="AF10" s="31">
        <f t="shared" si="2"/>
        <v>57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9</v>
      </c>
      <c r="N11" s="50">
        <v>0</v>
      </c>
      <c r="O11" s="15">
        <f t="shared" si="0"/>
        <v>2</v>
      </c>
      <c r="P11" s="15">
        <f t="shared" si="1"/>
        <v>11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3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66</v>
      </c>
      <c r="AD11" s="17">
        <f t="shared" si="3"/>
        <v>0</v>
      </c>
      <c r="AE11" s="31">
        <f t="shared" si="3"/>
        <v>11</v>
      </c>
      <c r="AF11" s="31">
        <f t="shared" si="3"/>
        <v>77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15</v>
      </c>
      <c r="N12" s="50">
        <v>0</v>
      </c>
      <c r="O12" s="15">
        <f t="shared" si="0"/>
        <v>1</v>
      </c>
      <c r="P12" s="15">
        <f t="shared" si="1"/>
        <v>16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3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50</v>
      </c>
      <c r="AD12" s="17">
        <f t="shared" si="4"/>
        <v>0</v>
      </c>
      <c r="AE12" s="31">
        <f t="shared" si="4"/>
        <v>5</v>
      </c>
      <c r="AF12" s="31">
        <f t="shared" si="4"/>
        <v>55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14</v>
      </c>
      <c r="N13" s="50">
        <v>0</v>
      </c>
      <c r="O13" s="15">
        <f t="shared" si="0"/>
        <v>4</v>
      </c>
      <c r="P13" s="15">
        <f t="shared" si="1"/>
        <v>18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5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62</v>
      </c>
      <c r="AD13" s="17">
        <f t="shared" si="5"/>
        <v>0</v>
      </c>
      <c r="AE13" s="31">
        <f t="shared" si="5"/>
        <v>13</v>
      </c>
      <c r="AF13" s="31">
        <f t="shared" si="5"/>
        <v>75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17</v>
      </c>
      <c r="N14" s="50">
        <v>0</v>
      </c>
      <c r="O14" s="15">
        <f t="shared" si="0"/>
        <v>1</v>
      </c>
      <c r="P14" s="15">
        <f t="shared" si="1"/>
        <v>18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4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47</v>
      </c>
      <c r="AD14" s="17">
        <f t="shared" si="6"/>
        <v>0</v>
      </c>
      <c r="AE14" s="31">
        <f t="shared" si="6"/>
        <v>13</v>
      </c>
      <c r="AF14" s="31">
        <f t="shared" si="6"/>
        <v>60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15</v>
      </c>
      <c r="N15" s="50">
        <v>0</v>
      </c>
      <c r="O15" s="15">
        <f t="shared" si="0"/>
        <v>2</v>
      </c>
      <c r="P15" s="15">
        <f t="shared" si="1"/>
        <v>17</v>
      </c>
      <c r="R15" s="1" t="s">
        <v>11</v>
      </c>
      <c r="S15" s="17">
        <f t="shared" ref="S15:AF15" si="7">SUM(C30:C33)</f>
        <v>5</v>
      </c>
      <c r="T15" s="17">
        <f t="shared" si="7"/>
        <v>0</v>
      </c>
      <c r="U15" s="17">
        <f t="shared" si="7"/>
        <v>1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60</v>
      </c>
      <c r="AD15" s="17">
        <f t="shared" si="7"/>
        <v>0</v>
      </c>
      <c r="AE15" s="31">
        <f t="shared" si="7"/>
        <v>10</v>
      </c>
      <c r="AF15" s="31">
        <f t="shared" si="7"/>
        <v>70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1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15</v>
      </c>
      <c r="N16" s="50">
        <v>0</v>
      </c>
      <c r="O16" s="15">
        <f t="shared" si="0"/>
        <v>4</v>
      </c>
      <c r="P16" s="15">
        <f t="shared" si="1"/>
        <v>19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4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64</v>
      </c>
      <c r="AD16" s="17">
        <f t="shared" si="8"/>
        <v>0</v>
      </c>
      <c r="AE16" s="31">
        <f t="shared" si="8"/>
        <v>16</v>
      </c>
      <c r="AF16" s="31">
        <f t="shared" si="8"/>
        <v>80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19</v>
      </c>
      <c r="N17" s="50">
        <v>0</v>
      </c>
      <c r="O17" s="15">
        <f t="shared" si="0"/>
        <v>4</v>
      </c>
      <c r="P17" s="15">
        <f t="shared" si="1"/>
        <v>23</v>
      </c>
      <c r="R17" s="1" t="s">
        <v>13</v>
      </c>
      <c r="S17" s="17">
        <f t="shared" ref="S17:AF17" si="9">SUM(C38:C41)</f>
        <v>6</v>
      </c>
      <c r="T17" s="17">
        <f t="shared" si="9"/>
        <v>0</v>
      </c>
      <c r="U17" s="17">
        <f t="shared" si="9"/>
        <v>1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46</v>
      </c>
      <c r="AD17" s="17">
        <f t="shared" si="9"/>
        <v>0</v>
      </c>
      <c r="AE17" s="31">
        <f t="shared" si="9"/>
        <v>11</v>
      </c>
      <c r="AF17" s="31">
        <f t="shared" si="9"/>
        <v>57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15</v>
      </c>
      <c r="N18" s="50">
        <v>0</v>
      </c>
      <c r="O18" s="15">
        <f t="shared" si="0"/>
        <v>1</v>
      </c>
      <c r="P18" s="15">
        <f t="shared" si="1"/>
        <v>16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47</v>
      </c>
      <c r="AD18" s="17">
        <f t="shared" si="10"/>
        <v>0</v>
      </c>
      <c r="AE18" s="31">
        <f t="shared" si="10"/>
        <v>9</v>
      </c>
      <c r="AF18" s="31">
        <f t="shared" si="10"/>
        <v>56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12</v>
      </c>
      <c r="N19" s="50">
        <v>0</v>
      </c>
      <c r="O19" s="15">
        <f t="shared" si="0"/>
        <v>1</v>
      </c>
      <c r="P19" s="15">
        <f t="shared" si="1"/>
        <v>13</v>
      </c>
      <c r="R19" s="1" t="s">
        <v>15</v>
      </c>
      <c r="S19" s="17">
        <f t="shared" ref="S19:AF19" si="11">SUM(C46:C49)</f>
        <v>5</v>
      </c>
      <c r="T19" s="17">
        <f t="shared" si="11"/>
        <v>0</v>
      </c>
      <c r="U19" s="17">
        <f t="shared" si="11"/>
        <v>4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6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53</v>
      </c>
      <c r="AD19" s="17">
        <f t="shared" si="11"/>
        <v>0</v>
      </c>
      <c r="AE19" s="31">
        <f t="shared" si="11"/>
        <v>16</v>
      </c>
      <c r="AF19" s="31">
        <f t="shared" si="11"/>
        <v>69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10</v>
      </c>
      <c r="N20" s="50">
        <v>0</v>
      </c>
      <c r="O20" s="15">
        <f t="shared" si="0"/>
        <v>3</v>
      </c>
      <c r="P20" s="15">
        <f t="shared" si="1"/>
        <v>13</v>
      </c>
      <c r="R20" s="1" t="s">
        <v>16</v>
      </c>
      <c r="S20" s="17">
        <f t="shared" ref="S20:AF20" si="12">SUM(C50:C53)</f>
        <v>3</v>
      </c>
      <c r="T20" s="17">
        <f t="shared" si="12"/>
        <v>0</v>
      </c>
      <c r="U20" s="17">
        <f t="shared" si="12"/>
        <v>6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8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49</v>
      </c>
      <c r="AD20" s="17">
        <f t="shared" si="12"/>
        <v>0</v>
      </c>
      <c r="AE20" s="31">
        <f t="shared" si="12"/>
        <v>20</v>
      </c>
      <c r="AF20" s="31">
        <f t="shared" si="12"/>
        <v>69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13</v>
      </c>
      <c r="N21" s="50">
        <v>0</v>
      </c>
      <c r="O21" s="15">
        <f t="shared" si="0"/>
        <v>0</v>
      </c>
      <c r="P21" s="15">
        <f t="shared" si="1"/>
        <v>13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4</v>
      </c>
      <c r="V21" s="17">
        <f t="shared" si="13"/>
        <v>1</v>
      </c>
      <c r="W21" s="17">
        <f t="shared" si="13"/>
        <v>1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38</v>
      </c>
      <c r="AD21" s="17">
        <f t="shared" si="13"/>
        <v>0</v>
      </c>
      <c r="AE21" s="31">
        <f t="shared" si="13"/>
        <v>7</v>
      </c>
      <c r="AF21" s="31">
        <f t="shared" si="13"/>
        <v>45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13</v>
      </c>
      <c r="N22" s="50">
        <v>0</v>
      </c>
      <c r="O22" s="15">
        <f t="shared" si="0"/>
        <v>2</v>
      </c>
      <c r="P22" s="15">
        <f t="shared" si="1"/>
        <v>15</v>
      </c>
      <c r="R22" s="38" t="s">
        <v>90</v>
      </c>
      <c r="S22" s="39">
        <f>MAX(S10:S12)</f>
        <v>7</v>
      </c>
      <c r="T22" s="39">
        <f t="shared" ref="T22:AF22" si="14">MAX(T10:T12)</f>
        <v>0</v>
      </c>
      <c r="U22" s="39">
        <f t="shared" si="14"/>
        <v>3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66</v>
      </c>
      <c r="AD22" s="39">
        <f t="shared" si="14"/>
        <v>0</v>
      </c>
      <c r="AE22" s="40">
        <f t="shared" si="14"/>
        <v>11</v>
      </c>
      <c r="AF22" s="40">
        <f t="shared" si="14"/>
        <v>77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3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20</v>
      </c>
      <c r="N23" s="50">
        <v>0</v>
      </c>
      <c r="O23" s="15">
        <f t="shared" si="0"/>
        <v>5</v>
      </c>
      <c r="P23" s="15">
        <f t="shared" si="1"/>
        <v>25</v>
      </c>
      <c r="R23" s="38" t="s">
        <v>91</v>
      </c>
      <c r="S23" s="39">
        <f>MAX(S13:S18)</f>
        <v>6</v>
      </c>
      <c r="T23" s="39">
        <f t="shared" ref="T23:AF23" si="15">MAX(T13:T18)</f>
        <v>0</v>
      </c>
      <c r="U23" s="39">
        <f t="shared" si="15"/>
        <v>5</v>
      </c>
      <c r="V23" s="39">
        <f t="shared" si="15"/>
        <v>2</v>
      </c>
      <c r="W23" s="39">
        <f t="shared" si="15"/>
        <v>0</v>
      </c>
      <c r="X23" s="39">
        <f t="shared" si="15"/>
        <v>0</v>
      </c>
      <c r="Y23" s="39">
        <f t="shared" si="15"/>
        <v>7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64</v>
      </c>
      <c r="AD23" s="39">
        <f t="shared" si="15"/>
        <v>0</v>
      </c>
      <c r="AE23" s="40">
        <f t="shared" si="15"/>
        <v>16</v>
      </c>
      <c r="AF23" s="40">
        <f t="shared" si="15"/>
        <v>80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2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9</v>
      </c>
      <c r="N24" s="50">
        <v>0</v>
      </c>
      <c r="O24" s="15">
        <f t="shared" si="0"/>
        <v>4</v>
      </c>
      <c r="P24" s="15">
        <f t="shared" si="1"/>
        <v>13</v>
      </c>
      <c r="R24" s="38" t="s">
        <v>92</v>
      </c>
      <c r="S24" s="39">
        <f>MAX(S19:S21)</f>
        <v>5</v>
      </c>
      <c r="T24" s="39">
        <f t="shared" ref="T24:AF24" si="16">MAX(T19:T21)</f>
        <v>0</v>
      </c>
      <c r="U24" s="39">
        <f t="shared" si="16"/>
        <v>6</v>
      </c>
      <c r="V24" s="39">
        <f t="shared" si="16"/>
        <v>3</v>
      </c>
      <c r="W24" s="39">
        <f t="shared" si="16"/>
        <v>1</v>
      </c>
      <c r="X24" s="39">
        <f t="shared" si="16"/>
        <v>0</v>
      </c>
      <c r="Y24" s="39">
        <f t="shared" si="16"/>
        <v>8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53</v>
      </c>
      <c r="AD24" s="39">
        <f t="shared" si="16"/>
        <v>0</v>
      </c>
      <c r="AE24" s="40">
        <f t="shared" si="16"/>
        <v>20</v>
      </c>
      <c r="AF24" s="40">
        <f t="shared" si="16"/>
        <v>69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20</v>
      </c>
      <c r="N25" s="50">
        <v>0</v>
      </c>
      <c r="O25" s="15">
        <f t="shared" si="0"/>
        <v>2</v>
      </c>
      <c r="P25" s="15">
        <f t="shared" si="1"/>
        <v>22</v>
      </c>
      <c r="R25" s="37" t="s">
        <v>85</v>
      </c>
      <c r="S25" s="35">
        <f t="shared" ref="S25:AF25" si="17">SUM(S10:S12)</f>
        <v>10</v>
      </c>
      <c r="T25" s="16">
        <f t="shared" si="17"/>
        <v>0</v>
      </c>
      <c r="U25" s="16">
        <f t="shared" si="17"/>
        <v>7</v>
      </c>
      <c r="V25" s="16">
        <f t="shared" si="17"/>
        <v>4</v>
      </c>
      <c r="W25" s="16">
        <f t="shared" si="17"/>
        <v>0</v>
      </c>
      <c r="X25" s="16">
        <f t="shared" si="17"/>
        <v>0</v>
      </c>
      <c r="Y25" s="16">
        <f t="shared" si="17"/>
        <v>6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162</v>
      </c>
      <c r="AD25" s="16">
        <f t="shared" si="17"/>
        <v>0</v>
      </c>
      <c r="AE25" s="32">
        <f t="shared" si="17"/>
        <v>27</v>
      </c>
      <c r="AF25" s="32">
        <f t="shared" si="17"/>
        <v>189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2</v>
      </c>
      <c r="F26" s="50">
        <v>1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15</v>
      </c>
      <c r="N26" s="50">
        <v>0</v>
      </c>
      <c r="O26" s="15">
        <f t="shared" si="0"/>
        <v>6</v>
      </c>
      <c r="P26" s="15">
        <f t="shared" si="1"/>
        <v>21</v>
      </c>
      <c r="R26" s="28" t="s">
        <v>86</v>
      </c>
      <c r="S26" s="16">
        <f t="shared" ref="S26:AF26" si="18">SUM(S13:S18)</f>
        <v>21</v>
      </c>
      <c r="T26" s="16">
        <f t="shared" si="18"/>
        <v>0</v>
      </c>
      <c r="U26" s="16">
        <f t="shared" si="18"/>
        <v>16</v>
      </c>
      <c r="V26" s="16">
        <f t="shared" si="18"/>
        <v>7</v>
      </c>
      <c r="W26" s="16">
        <f t="shared" si="18"/>
        <v>0</v>
      </c>
      <c r="X26" s="16">
        <f t="shared" si="18"/>
        <v>0</v>
      </c>
      <c r="Y26" s="16">
        <f t="shared" si="18"/>
        <v>27</v>
      </c>
      <c r="Z26" s="16">
        <f t="shared" si="18"/>
        <v>1</v>
      </c>
      <c r="AA26" s="16">
        <f t="shared" si="18"/>
        <v>0</v>
      </c>
      <c r="AB26" s="16">
        <f t="shared" si="18"/>
        <v>0</v>
      </c>
      <c r="AC26" s="16">
        <f t="shared" si="18"/>
        <v>326</v>
      </c>
      <c r="AD26" s="16">
        <f t="shared" si="18"/>
        <v>0</v>
      </c>
      <c r="AE26" s="32">
        <f t="shared" si="18"/>
        <v>72</v>
      </c>
      <c r="AF26" s="32">
        <f t="shared" si="18"/>
        <v>398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10</v>
      </c>
      <c r="N27" s="50">
        <v>0</v>
      </c>
      <c r="O27" s="15">
        <f t="shared" si="0"/>
        <v>2</v>
      </c>
      <c r="P27" s="15">
        <f t="shared" si="1"/>
        <v>12</v>
      </c>
      <c r="R27" s="29" t="s">
        <v>87</v>
      </c>
      <c r="S27" s="16">
        <f t="shared" ref="S27:AF27" si="19">SUM(S19:S21)</f>
        <v>8</v>
      </c>
      <c r="T27" s="16">
        <f t="shared" si="19"/>
        <v>0</v>
      </c>
      <c r="U27" s="16">
        <f t="shared" si="19"/>
        <v>14</v>
      </c>
      <c r="V27" s="16">
        <f t="shared" si="19"/>
        <v>5</v>
      </c>
      <c r="W27" s="16">
        <f t="shared" si="19"/>
        <v>1</v>
      </c>
      <c r="X27" s="16">
        <f t="shared" si="19"/>
        <v>0</v>
      </c>
      <c r="Y27" s="16">
        <f t="shared" si="19"/>
        <v>15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140</v>
      </c>
      <c r="AD27" s="16">
        <f t="shared" si="19"/>
        <v>0</v>
      </c>
      <c r="AE27" s="32">
        <f t="shared" si="19"/>
        <v>43</v>
      </c>
      <c r="AF27" s="32">
        <f t="shared" si="19"/>
        <v>183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8</v>
      </c>
      <c r="N28" s="50">
        <v>0</v>
      </c>
      <c r="O28" s="15">
        <f t="shared" si="0"/>
        <v>2</v>
      </c>
      <c r="P28" s="15">
        <f t="shared" si="1"/>
        <v>10</v>
      </c>
      <c r="R28" s="5" t="s">
        <v>17</v>
      </c>
      <c r="S28" s="16">
        <f t="shared" ref="S28:AF28" si="20">SUM(S10:S21)</f>
        <v>39</v>
      </c>
      <c r="T28" s="16">
        <f t="shared" si="20"/>
        <v>0</v>
      </c>
      <c r="U28" s="16">
        <f t="shared" si="20"/>
        <v>37</v>
      </c>
      <c r="V28" s="16">
        <f t="shared" si="20"/>
        <v>16</v>
      </c>
      <c r="W28" s="16">
        <f t="shared" si="20"/>
        <v>1</v>
      </c>
      <c r="X28" s="16">
        <f t="shared" si="20"/>
        <v>0</v>
      </c>
      <c r="Y28" s="16">
        <f t="shared" si="20"/>
        <v>48</v>
      </c>
      <c r="Z28" s="16">
        <f t="shared" si="20"/>
        <v>1</v>
      </c>
      <c r="AA28" s="16">
        <f t="shared" si="20"/>
        <v>0</v>
      </c>
      <c r="AB28" s="16">
        <f t="shared" si="20"/>
        <v>0</v>
      </c>
      <c r="AC28" s="16">
        <f t="shared" si="20"/>
        <v>628</v>
      </c>
      <c r="AD28" s="16">
        <f t="shared" si="20"/>
        <v>0</v>
      </c>
      <c r="AE28" s="32">
        <f t="shared" si="20"/>
        <v>142</v>
      </c>
      <c r="AF28" s="32">
        <f t="shared" si="20"/>
        <v>770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14</v>
      </c>
      <c r="N29" s="50">
        <v>0</v>
      </c>
      <c r="O29" s="15">
        <f t="shared" si="0"/>
        <v>3</v>
      </c>
      <c r="P29" s="15">
        <f t="shared" si="1"/>
        <v>17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1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21</v>
      </c>
      <c r="N30" s="50">
        <v>0</v>
      </c>
      <c r="O30" s="15">
        <f t="shared" si="0"/>
        <v>5</v>
      </c>
      <c r="P30" s="15">
        <f t="shared" si="1"/>
        <v>26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16</v>
      </c>
      <c r="N31" s="50">
        <v>0</v>
      </c>
      <c r="O31" s="15">
        <f t="shared" si="0"/>
        <v>1</v>
      </c>
      <c r="P31" s="15">
        <f t="shared" si="1"/>
        <v>17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11</v>
      </c>
      <c r="N32" s="50">
        <v>0</v>
      </c>
      <c r="O32" s="15">
        <f t="shared" si="0"/>
        <v>2</v>
      </c>
      <c r="P32" s="15">
        <f t="shared" si="1"/>
        <v>13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12</v>
      </c>
      <c r="N33" s="50">
        <v>0</v>
      </c>
      <c r="O33" s="15">
        <f t="shared" si="0"/>
        <v>2</v>
      </c>
      <c r="P33" s="15">
        <f t="shared" si="1"/>
        <v>14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20</v>
      </c>
      <c r="N34" s="50">
        <v>0</v>
      </c>
      <c r="O34" s="15">
        <f t="shared" si="0"/>
        <v>5</v>
      </c>
      <c r="P34" s="15">
        <f t="shared" si="1"/>
        <v>25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2</v>
      </c>
      <c r="G35" s="50">
        <v>0</v>
      </c>
      <c r="H35" s="50">
        <v>0</v>
      </c>
      <c r="I35" s="50">
        <v>3</v>
      </c>
      <c r="J35" s="50">
        <v>0</v>
      </c>
      <c r="K35" s="50">
        <v>0</v>
      </c>
      <c r="L35" s="50">
        <v>0</v>
      </c>
      <c r="M35" s="50">
        <v>14</v>
      </c>
      <c r="N35" s="50">
        <v>0</v>
      </c>
      <c r="O35" s="15">
        <f t="shared" si="0"/>
        <v>5</v>
      </c>
      <c r="P35" s="15">
        <f t="shared" si="1"/>
        <v>19</v>
      </c>
    </row>
    <row r="36" spans="2:20" ht="23.1" customHeight="1" x14ac:dyDescent="0.25">
      <c r="B36" s="24" t="s">
        <v>63</v>
      </c>
      <c r="C36" s="50">
        <v>3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16</v>
      </c>
      <c r="N36" s="50">
        <v>0</v>
      </c>
      <c r="O36" s="15">
        <f t="shared" si="0"/>
        <v>4</v>
      </c>
      <c r="P36" s="15">
        <f t="shared" si="1"/>
        <v>20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14</v>
      </c>
      <c r="N37" s="50">
        <v>0</v>
      </c>
      <c r="O37" s="15">
        <f t="shared" si="0"/>
        <v>2</v>
      </c>
      <c r="P37" s="15">
        <f t="shared" si="1"/>
        <v>16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11</v>
      </c>
      <c r="N38" s="50">
        <v>0</v>
      </c>
      <c r="O38" s="15">
        <f t="shared" si="0"/>
        <v>1</v>
      </c>
      <c r="P38" s="15">
        <f t="shared" si="1"/>
        <v>12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17</v>
      </c>
      <c r="N39" s="50">
        <v>0</v>
      </c>
      <c r="O39" s="15">
        <f t="shared" si="0"/>
        <v>3</v>
      </c>
      <c r="P39" s="15">
        <f t="shared" si="1"/>
        <v>20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8</v>
      </c>
      <c r="N40" s="50">
        <v>0</v>
      </c>
      <c r="O40" s="15">
        <f t="shared" si="0"/>
        <v>1</v>
      </c>
      <c r="P40" s="15">
        <f t="shared" si="1"/>
        <v>9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10</v>
      </c>
      <c r="N41" s="50">
        <v>0</v>
      </c>
      <c r="O41" s="15">
        <f t="shared" si="0"/>
        <v>6</v>
      </c>
      <c r="P41" s="15">
        <f t="shared" si="1"/>
        <v>16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13</v>
      </c>
      <c r="N42" s="50">
        <v>0</v>
      </c>
      <c r="O42" s="15">
        <f t="shared" si="0"/>
        <v>1</v>
      </c>
      <c r="P42" s="15">
        <f t="shared" si="1"/>
        <v>14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14</v>
      </c>
      <c r="N43" s="50">
        <v>0</v>
      </c>
      <c r="O43" s="15">
        <f t="shared" si="0"/>
        <v>2</v>
      </c>
      <c r="P43" s="15">
        <f t="shared" si="1"/>
        <v>16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10</v>
      </c>
      <c r="N44" s="50">
        <v>0</v>
      </c>
      <c r="O44" s="15">
        <f t="shared" si="0"/>
        <v>4</v>
      </c>
      <c r="P44" s="15">
        <f t="shared" si="1"/>
        <v>14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10</v>
      </c>
      <c r="N45" s="50">
        <v>0</v>
      </c>
      <c r="O45" s="15">
        <f t="shared" si="0"/>
        <v>2</v>
      </c>
      <c r="P45" s="15">
        <f t="shared" si="1"/>
        <v>12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3</v>
      </c>
      <c r="F46" s="50">
        <v>0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11</v>
      </c>
      <c r="N46" s="50">
        <v>0</v>
      </c>
      <c r="O46" s="15">
        <f t="shared" si="0"/>
        <v>7</v>
      </c>
      <c r="P46" s="15">
        <f t="shared" si="1"/>
        <v>18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17</v>
      </c>
      <c r="N47" s="50">
        <v>0</v>
      </c>
      <c r="O47" s="15">
        <f t="shared" si="0"/>
        <v>0</v>
      </c>
      <c r="P47" s="15">
        <f t="shared" si="1"/>
        <v>17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14</v>
      </c>
      <c r="N48" s="50">
        <v>0</v>
      </c>
      <c r="O48" s="15">
        <f t="shared" si="0"/>
        <v>3</v>
      </c>
      <c r="P48" s="15">
        <f t="shared" si="1"/>
        <v>17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3</v>
      </c>
      <c r="J49" s="50">
        <v>0</v>
      </c>
      <c r="K49" s="50">
        <v>0</v>
      </c>
      <c r="L49" s="50">
        <v>0</v>
      </c>
      <c r="M49" s="50">
        <v>11</v>
      </c>
      <c r="N49" s="50">
        <v>0</v>
      </c>
      <c r="O49" s="15">
        <f t="shared" si="0"/>
        <v>6</v>
      </c>
      <c r="P49" s="15">
        <f t="shared" si="1"/>
        <v>17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20</v>
      </c>
      <c r="N50" s="50">
        <v>0</v>
      </c>
      <c r="O50" s="15">
        <f t="shared" si="0"/>
        <v>4</v>
      </c>
      <c r="P50" s="15">
        <f t="shared" si="1"/>
        <v>24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3</v>
      </c>
      <c r="F51" s="50">
        <v>0</v>
      </c>
      <c r="G51" s="50">
        <v>0</v>
      </c>
      <c r="H51" s="50">
        <v>0</v>
      </c>
      <c r="I51" s="50">
        <v>3</v>
      </c>
      <c r="J51" s="50">
        <v>0</v>
      </c>
      <c r="K51" s="50">
        <v>0</v>
      </c>
      <c r="L51" s="50">
        <v>0</v>
      </c>
      <c r="M51" s="50">
        <v>11</v>
      </c>
      <c r="N51" s="50">
        <v>0</v>
      </c>
      <c r="O51" s="15">
        <f t="shared" si="0"/>
        <v>6</v>
      </c>
      <c r="P51" s="15">
        <f t="shared" si="1"/>
        <v>17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2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8</v>
      </c>
      <c r="N52" s="50">
        <v>0</v>
      </c>
      <c r="O52" s="15">
        <f t="shared" si="0"/>
        <v>4</v>
      </c>
      <c r="P52" s="15">
        <f t="shared" si="1"/>
        <v>12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1</v>
      </c>
      <c r="F53" s="50">
        <v>3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10</v>
      </c>
      <c r="N53" s="50">
        <v>0</v>
      </c>
      <c r="O53" s="15">
        <f t="shared" si="0"/>
        <v>6</v>
      </c>
      <c r="P53" s="15">
        <f t="shared" si="1"/>
        <v>16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2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20</v>
      </c>
      <c r="N54" s="50">
        <v>0</v>
      </c>
      <c r="O54" s="15">
        <f t="shared" si="0"/>
        <v>3</v>
      </c>
      <c r="P54" s="15">
        <f t="shared" si="1"/>
        <v>23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2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14</v>
      </c>
      <c r="N55" s="50">
        <v>0</v>
      </c>
      <c r="O55" s="15">
        <f t="shared" si="0"/>
        <v>3</v>
      </c>
      <c r="P55" s="15">
        <f t="shared" si="1"/>
        <v>17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1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4</v>
      </c>
      <c r="N56" s="50">
        <v>0</v>
      </c>
      <c r="O56" s="15">
        <f t="shared" si="0"/>
        <v>1</v>
      </c>
      <c r="P56" s="15">
        <f t="shared" si="1"/>
        <v>5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39</v>
      </c>
      <c r="D58" s="16">
        <f t="shared" si="21"/>
        <v>0</v>
      </c>
      <c r="E58" s="16">
        <f t="shared" si="21"/>
        <v>37</v>
      </c>
      <c r="F58" s="16">
        <f t="shared" si="21"/>
        <v>16</v>
      </c>
      <c r="G58" s="16">
        <f t="shared" si="21"/>
        <v>1</v>
      </c>
      <c r="H58" s="16">
        <f t="shared" si="21"/>
        <v>0</v>
      </c>
      <c r="I58" s="16">
        <f t="shared" si="21"/>
        <v>48</v>
      </c>
      <c r="J58" s="16">
        <f t="shared" si="21"/>
        <v>1</v>
      </c>
      <c r="K58" s="16">
        <f t="shared" si="21"/>
        <v>0</v>
      </c>
      <c r="L58" s="16">
        <f t="shared" si="21"/>
        <v>0</v>
      </c>
      <c r="M58" s="16">
        <f t="shared" si="21"/>
        <v>628</v>
      </c>
      <c r="N58" s="16">
        <f t="shared" si="21"/>
        <v>0</v>
      </c>
      <c r="O58" s="16">
        <f t="shared" si="21"/>
        <v>142</v>
      </c>
      <c r="P58" s="16">
        <f t="shared" si="21"/>
        <v>770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5.0649350649350652E-2</v>
      </c>
      <c r="D59" s="43">
        <f t="shared" si="22"/>
        <v>0</v>
      </c>
      <c r="E59" s="43">
        <f t="shared" si="22"/>
        <v>4.8051948051948054E-2</v>
      </c>
      <c r="F59" s="43">
        <f t="shared" si="22"/>
        <v>2.0779220779220779E-2</v>
      </c>
      <c r="G59" s="43">
        <f t="shared" si="22"/>
        <v>1.2987012987012987E-3</v>
      </c>
      <c r="H59" s="43">
        <f t="shared" si="22"/>
        <v>0</v>
      </c>
      <c r="I59" s="43">
        <f t="shared" si="22"/>
        <v>6.2337662337662338E-2</v>
      </c>
      <c r="J59" s="43">
        <f t="shared" si="22"/>
        <v>1.2987012987012987E-3</v>
      </c>
      <c r="K59" s="43">
        <f t="shared" si="22"/>
        <v>0</v>
      </c>
      <c r="L59" s="43">
        <f t="shared" si="22"/>
        <v>0</v>
      </c>
      <c r="M59" s="43">
        <f t="shared" si="22"/>
        <v>0.81558441558441563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0.27464788732394368</v>
      </c>
      <c r="D60" s="44">
        <f t="shared" ref="D60:N60" si="23">D58/$O$58</f>
        <v>0</v>
      </c>
      <c r="E60" s="44">
        <f t="shared" si="23"/>
        <v>0.26056338028169013</v>
      </c>
      <c r="F60" s="44">
        <f t="shared" si="23"/>
        <v>0.11267605633802817</v>
      </c>
      <c r="G60" s="44">
        <f t="shared" si="23"/>
        <v>7.0422535211267607E-3</v>
      </c>
      <c r="H60" s="44">
        <f t="shared" si="23"/>
        <v>0</v>
      </c>
      <c r="I60" s="44">
        <f t="shared" si="23"/>
        <v>0.3380281690140845</v>
      </c>
      <c r="J60" s="44">
        <f t="shared" si="23"/>
        <v>7.0422535211267607E-3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topLeftCell="A31" zoomScale="60" workbookViewId="0">
      <selection activeCell="N6" sqref="N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'11.8 KAMPALA-BUSUNJU'!C3:G3</f>
        <v>MCC-C3-STN-HOIMA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64" t="str">
        <f>'11.8 KAMPALA-BUSUNJU'!G5:H5</f>
        <v>WAKISO</v>
      </c>
      <c r="H5" s="65"/>
      <c r="I5" s="14"/>
      <c r="J5" s="2" t="s">
        <v>5</v>
      </c>
      <c r="K5" s="64">
        <f>'11.8 KAMPALA-BUSUNJU'!K5:L5</f>
        <v>0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'11.8 KAMPALA-BUSUNJU'!D6:E6</f>
        <v>KAMPALA</v>
      </c>
      <c r="E6" s="65"/>
      <c r="F6" s="2" t="s">
        <v>2</v>
      </c>
      <c r="G6" s="64" t="str">
        <f>'11.8 KAMPALA-BUSUNJU'!G6:H6</f>
        <v>BUSUNJU</v>
      </c>
      <c r="H6" s="65"/>
      <c r="J6" s="2" t="s">
        <v>21</v>
      </c>
      <c r="K6" s="64">
        <f>'11.8 KAMPALA-BUSUNJU'!K6:L6</f>
        <v>0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7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11</v>
      </c>
      <c r="R10" s="1" t="s">
        <v>6</v>
      </c>
      <c r="S10" s="17">
        <f t="shared" ref="S10:AF10" si="2">SUM(C10:C13)</f>
        <v>6</v>
      </c>
      <c r="T10" s="17">
        <f t="shared" si="2"/>
        <v>0</v>
      </c>
      <c r="U10" s="17">
        <f t="shared" si="2"/>
        <v>2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40</v>
      </c>
      <c r="AD10" s="17">
        <f t="shared" si="2"/>
        <v>0</v>
      </c>
      <c r="AE10" s="31">
        <f t="shared" si="2"/>
        <v>12</v>
      </c>
      <c r="AF10" s="31">
        <f t="shared" si="2"/>
        <v>52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8</v>
      </c>
      <c r="N11" s="50">
        <v>0</v>
      </c>
      <c r="O11" s="15">
        <f t="shared" si="0"/>
        <v>0</v>
      </c>
      <c r="P11" s="15">
        <f t="shared" si="1"/>
        <v>8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3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7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67</v>
      </c>
      <c r="AD11" s="17">
        <f t="shared" si="3"/>
        <v>0</v>
      </c>
      <c r="AE11" s="31">
        <f t="shared" si="3"/>
        <v>14</v>
      </c>
      <c r="AF11" s="31">
        <f t="shared" si="3"/>
        <v>81</v>
      </c>
    </row>
    <row r="12" spans="2:32" ht="23.1" customHeight="1" x14ac:dyDescent="0.25">
      <c r="B12" s="23" t="s">
        <v>39</v>
      </c>
      <c r="C12" s="50">
        <v>3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13</v>
      </c>
      <c r="N12" s="50">
        <v>0</v>
      </c>
      <c r="O12" s="15">
        <f t="shared" si="0"/>
        <v>4</v>
      </c>
      <c r="P12" s="15">
        <f t="shared" si="1"/>
        <v>17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2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6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63</v>
      </c>
      <c r="AD12" s="17">
        <f t="shared" si="4"/>
        <v>0</v>
      </c>
      <c r="AE12" s="31">
        <f t="shared" si="4"/>
        <v>10</v>
      </c>
      <c r="AF12" s="31">
        <f t="shared" si="4"/>
        <v>73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12</v>
      </c>
      <c r="N13" s="50">
        <v>0</v>
      </c>
      <c r="O13" s="15">
        <f t="shared" si="0"/>
        <v>4</v>
      </c>
      <c r="P13" s="15">
        <f t="shared" si="1"/>
        <v>16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59</v>
      </c>
      <c r="AD13" s="17">
        <f t="shared" si="5"/>
        <v>0</v>
      </c>
      <c r="AE13" s="31">
        <f t="shared" si="5"/>
        <v>12</v>
      </c>
      <c r="AF13" s="31">
        <f t="shared" si="5"/>
        <v>71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13</v>
      </c>
      <c r="N14" s="50">
        <v>0</v>
      </c>
      <c r="O14" s="15">
        <f t="shared" si="0"/>
        <v>2</v>
      </c>
      <c r="P14" s="15">
        <f t="shared" si="1"/>
        <v>15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1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1</v>
      </c>
      <c r="AA14" s="17">
        <f t="shared" si="6"/>
        <v>1</v>
      </c>
      <c r="AB14" s="17">
        <f t="shared" si="6"/>
        <v>0</v>
      </c>
      <c r="AC14" s="17">
        <f t="shared" si="6"/>
        <v>74</v>
      </c>
      <c r="AD14" s="17">
        <f t="shared" si="6"/>
        <v>0</v>
      </c>
      <c r="AE14" s="31">
        <f t="shared" si="6"/>
        <v>12</v>
      </c>
      <c r="AF14" s="31">
        <f t="shared" si="6"/>
        <v>86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16</v>
      </c>
      <c r="N15" s="50">
        <v>0</v>
      </c>
      <c r="O15" s="15">
        <f t="shared" si="0"/>
        <v>2</v>
      </c>
      <c r="P15" s="15">
        <f t="shared" si="1"/>
        <v>18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2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8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79</v>
      </c>
      <c r="AD15" s="17">
        <f t="shared" si="7"/>
        <v>0</v>
      </c>
      <c r="AE15" s="31">
        <f t="shared" si="7"/>
        <v>17</v>
      </c>
      <c r="AF15" s="31">
        <f t="shared" si="7"/>
        <v>96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2</v>
      </c>
      <c r="F16" s="50">
        <v>1</v>
      </c>
      <c r="G16" s="50">
        <v>0</v>
      </c>
      <c r="H16" s="50">
        <v>0</v>
      </c>
      <c r="I16" s="50">
        <v>3</v>
      </c>
      <c r="J16" s="50">
        <v>0</v>
      </c>
      <c r="K16" s="50">
        <v>0</v>
      </c>
      <c r="L16" s="50">
        <v>0</v>
      </c>
      <c r="M16" s="50">
        <v>21</v>
      </c>
      <c r="N16" s="50">
        <v>0</v>
      </c>
      <c r="O16" s="15">
        <f t="shared" si="0"/>
        <v>7</v>
      </c>
      <c r="P16" s="15">
        <f t="shared" si="1"/>
        <v>28</v>
      </c>
      <c r="R16" s="1" t="s">
        <v>12</v>
      </c>
      <c r="S16" s="17">
        <f t="shared" ref="S16:AF16" si="8">SUM(C34:C37)</f>
        <v>1</v>
      </c>
      <c r="T16" s="17">
        <f t="shared" si="8"/>
        <v>0</v>
      </c>
      <c r="U16" s="17">
        <f t="shared" si="8"/>
        <v>6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64</v>
      </c>
      <c r="AD16" s="17">
        <f t="shared" si="8"/>
        <v>0</v>
      </c>
      <c r="AE16" s="31">
        <f t="shared" si="8"/>
        <v>10</v>
      </c>
      <c r="AF16" s="31">
        <f t="shared" si="8"/>
        <v>74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17</v>
      </c>
      <c r="N17" s="50">
        <v>0</v>
      </c>
      <c r="O17" s="15">
        <f t="shared" si="0"/>
        <v>3</v>
      </c>
      <c r="P17" s="15">
        <f t="shared" si="1"/>
        <v>20</v>
      </c>
      <c r="R17" s="1" t="s">
        <v>13</v>
      </c>
      <c r="S17" s="17">
        <f t="shared" ref="S17:AF17" si="9">SUM(C38:C41)</f>
        <v>5</v>
      </c>
      <c r="T17" s="17">
        <f t="shared" si="9"/>
        <v>0</v>
      </c>
      <c r="U17" s="17">
        <f t="shared" si="9"/>
        <v>4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76</v>
      </c>
      <c r="AD17" s="17">
        <f t="shared" si="9"/>
        <v>0</v>
      </c>
      <c r="AE17" s="31">
        <f t="shared" si="9"/>
        <v>15</v>
      </c>
      <c r="AF17" s="31">
        <f t="shared" si="9"/>
        <v>91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15</v>
      </c>
      <c r="N18" s="50">
        <v>0</v>
      </c>
      <c r="O18" s="15">
        <f t="shared" si="0"/>
        <v>1</v>
      </c>
      <c r="P18" s="15">
        <f t="shared" si="1"/>
        <v>16</v>
      </c>
      <c r="R18" s="1" t="s">
        <v>14</v>
      </c>
      <c r="S18" s="17">
        <f t="shared" ref="S18:AF18" si="10">SUM(C42:C45)</f>
        <v>3</v>
      </c>
      <c r="T18" s="17">
        <f t="shared" si="10"/>
        <v>0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9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82</v>
      </c>
      <c r="AD18" s="17">
        <f t="shared" si="10"/>
        <v>0</v>
      </c>
      <c r="AE18" s="31">
        <f t="shared" si="10"/>
        <v>15</v>
      </c>
      <c r="AF18" s="31">
        <f t="shared" si="10"/>
        <v>97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17</v>
      </c>
      <c r="N19" s="50">
        <v>0</v>
      </c>
      <c r="O19" s="15">
        <f t="shared" si="0"/>
        <v>2</v>
      </c>
      <c r="P19" s="15">
        <f t="shared" si="1"/>
        <v>19</v>
      </c>
      <c r="R19" s="1" t="s">
        <v>15</v>
      </c>
      <c r="S19" s="17">
        <f t="shared" ref="S19:AF19" si="11">SUM(C46:C49)</f>
        <v>4</v>
      </c>
      <c r="T19" s="17">
        <f t="shared" si="11"/>
        <v>0</v>
      </c>
      <c r="U19" s="17">
        <f t="shared" si="11"/>
        <v>8</v>
      </c>
      <c r="V19" s="17">
        <f t="shared" si="11"/>
        <v>4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87</v>
      </c>
      <c r="AD19" s="17">
        <f t="shared" si="11"/>
        <v>0</v>
      </c>
      <c r="AE19" s="31">
        <f t="shared" si="11"/>
        <v>23</v>
      </c>
      <c r="AF19" s="31">
        <f t="shared" si="11"/>
        <v>110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14</v>
      </c>
      <c r="N20" s="50">
        <v>0</v>
      </c>
      <c r="O20" s="15">
        <f t="shared" si="0"/>
        <v>2</v>
      </c>
      <c r="P20" s="15">
        <f t="shared" si="1"/>
        <v>16</v>
      </c>
      <c r="R20" s="1" t="s">
        <v>16</v>
      </c>
      <c r="S20" s="17">
        <f t="shared" ref="S20:AF20" si="12">SUM(C50:C53)</f>
        <v>12</v>
      </c>
      <c r="T20" s="17">
        <f t="shared" si="12"/>
        <v>0</v>
      </c>
      <c r="U20" s="17">
        <f t="shared" si="12"/>
        <v>9</v>
      </c>
      <c r="V20" s="17">
        <f t="shared" si="12"/>
        <v>4</v>
      </c>
      <c r="W20" s="17">
        <f t="shared" si="12"/>
        <v>0</v>
      </c>
      <c r="X20" s="17">
        <f t="shared" si="12"/>
        <v>0</v>
      </c>
      <c r="Y20" s="17">
        <f t="shared" si="12"/>
        <v>4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82</v>
      </c>
      <c r="AD20" s="17">
        <f t="shared" si="12"/>
        <v>0</v>
      </c>
      <c r="AE20" s="31">
        <f t="shared" si="12"/>
        <v>29</v>
      </c>
      <c r="AF20" s="31">
        <f t="shared" si="12"/>
        <v>111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17</v>
      </c>
      <c r="N21" s="50">
        <v>0</v>
      </c>
      <c r="O21" s="15">
        <f t="shared" si="0"/>
        <v>5</v>
      </c>
      <c r="P21" s="15">
        <f t="shared" si="1"/>
        <v>22</v>
      </c>
      <c r="R21" s="36" t="s">
        <v>20</v>
      </c>
      <c r="S21" s="34">
        <f t="shared" ref="S21:AF21" si="13">SUM(C54:C57)</f>
        <v>5</v>
      </c>
      <c r="T21" s="17">
        <f t="shared" si="13"/>
        <v>0</v>
      </c>
      <c r="U21" s="17">
        <f t="shared" si="13"/>
        <v>6</v>
      </c>
      <c r="V21" s="17">
        <f t="shared" si="13"/>
        <v>3</v>
      </c>
      <c r="W21" s="17">
        <f t="shared" si="13"/>
        <v>1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67</v>
      </c>
      <c r="AD21" s="17">
        <f t="shared" si="13"/>
        <v>0</v>
      </c>
      <c r="AE21" s="31">
        <f t="shared" si="13"/>
        <v>18</v>
      </c>
      <c r="AF21" s="31">
        <f t="shared" si="13"/>
        <v>85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13</v>
      </c>
      <c r="N22" s="50">
        <v>0</v>
      </c>
      <c r="O22" s="15">
        <f t="shared" si="0"/>
        <v>1</v>
      </c>
      <c r="P22" s="15">
        <f t="shared" si="1"/>
        <v>14</v>
      </c>
      <c r="R22" s="38" t="s">
        <v>90</v>
      </c>
      <c r="S22" s="39">
        <f>MAX(S10:S12)</f>
        <v>6</v>
      </c>
      <c r="T22" s="39">
        <f t="shared" ref="T22:AF22" si="14">MAX(T10:T12)</f>
        <v>0</v>
      </c>
      <c r="U22" s="39">
        <f t="shared" si="14"/>
        <v>3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7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67</v>
      </c>
      <c r="AD22" s="39">
        <f t="shared" si="14"/>
        <v>0</v>
      </c>
      <c r="AE22" s="40">
        <f t="shared" si="14"/>
        <v>14</v>
      </c>
      <c r="AF22" s="40">
        <f t="shared" si="14"/>
        <v>81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4</v>
      </c>
      <c r="J23" s="50">
        <v>0</v>
      </c>
      <c r="K23" s="50">
        <v>0</v>
      </c>
      <c r="L23" s="50">
        <v>0</v>
      </c>
      <c r="M23" s="50">
        <v>13</v>
      </c>
      <c r="N23" s="50">
        <v>0</v>
      </c>
      <c r="O23" s="15">
        <f t="shared" si="0"/>
        <v>6</v>
      </c>
      <c r="P23" s="15">
        <f t="shared" si="1"/>
        <v>19</v>
      </c>
      <c r="R23" s="38" t="s">
        <v>91</v>
      </c>
      <c r="S23" s="39">
        <f>MAX(S13:S18)</f>
        <v>5</v>
      </c>
      <c r="T23" s="39">
        <f t="shared" ref="T23:AF23" si="15">MAX(T13:T18)</f>
        <v>0</v>
      </c>
      <c r="U23" s="39">
        <f t="shared" si="15"/>
        <v>6</v>
      </c>
      <c r="V23" s="39">
        <f t="shared" si="15"/>
        <v>4</v>
      </c>
      <c r="W23" s="39">
        <f t="shared" si="15"/>
        <v>0</v>
      </c>
      <c r="X23" s="39">
        <f t="shared" si="15"/>
        <v>0</v>
      </c>
      <c r="Y23" s="39">
        <f t="shared" si="15"/>
        <v>9</v>
      </c>
      <c r="Z23" s="39">
        <f t="shared" si="15"/>
        <v>1</v>
      </c>
      <c r="AA23" s="39">
        <f t="shared" si="15"/>
        <v>1</v>
      </c>
      <c r="AB23" s="39">
        <f t="shared" si="15"/>
        <v>0</v>
      </c>
      <c r="AC23" s="39">
        <f t="shared" si="15"/>
        <v>82</v>
      </c>
      <c r="AD23" s="39">
        <f t="shared" si="15"/>
        <v>0</v>
      </c>
      <c r="AE23" s="40">
        <f t="shared" si="15"/>
        <v>17</v>
      </c>
      <c r="AF23" s="40">
        <f t="shared" si="15"/>
        <v>97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16</v>
      </c>
      <c r="N24" s="50">
        <v>0</v>
      </c>
      <c r="O24" s="15">
        <f t="shared" si="0"/>
        <v>3</v>
      </c>
      <c r="P24" s="15">
        <f t="shared" si="1"/>
        <v>19</v>
      </c>
      <c r="R24" s="38" t="s">
        <v>92</v>
      </c>
      <c r="S24" s="39">
        <f>MAX(S19:S21)</f>
        <v>12</v>
      </c>
      <c r="T24" s="39">
        <f t="shared" ref="T24:AF24" si="16">MAX(T19:T21)</f>
        <v>0</v>
      </c>
      <c r="U24" s="39">
        <f t="shared" si="16"/>
        <v>9</v>
      </c>
      <c r="V24" s="39">
        <f t="shared" si="16"/>
        <v>4</v>
      </c>
      <c r="W24" s="39">
        <f t="shared" si="16"/>
        <v>1</v>
      </c>
      <c r="X24" s="39">
        <f t="shared" si="16"/>
        <v>0</v>
      </c>
      <c r="Y24" s="39">
        <f t="shared" si="16"/>
        <v>7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87</v>
      </c>
      <c r="AD24" s="39">
        <f t="shared" si="16"/>
        <v>0</v>
      </c>
      <c r="AE24" s="40">
        <f t="shared" si="16"/>
        <v>29</v>
      </c>
      <c r="AF24" s="40">
        <f t="shared" si="16"/>
        <v>111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17</v>
      </c>
      <c r="N25" s="50">
        <v>0</v>
      </c>
      <c r="O25" s="15">
        <f t="shared" si="0"/>
        <v>2</v>
      </c>
      <c r="P25" s="15">
        <f t="shared" si="1"/>
        <v>19</v>
      </c>
      <c r="R25" s="37" t="s">
        <v>85</v>
      </c>
      <c r="S25" s="35">
        <f t="shared" ref="S25:AF25" si="17">SUM(S10:S12)</f>
        <v>9</v>
      </c>
      <c r="T25" s="16">
        <f t="shared" si="17"/>
        <v>0</v>
      </c>
      <c r="U25" s="16">
        <f t="shared" si="17"/>
        <v>7</v>
      </c>
      <c r="V25" s="16">
        <f t="shared" si="17"/>
        <v>3</v>
      </c>
      <c r="W25" s="16">
        <f t="shared" si="17"/>
        <v>0</v>
      </c>
      <c r="X25" s="16">
        <f t="shared" si="17"/>
        <v>0</v>
      </c>
      <c r="Y25" s="16">
        <f t="shared" si="17"/>
        <v>17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170</v>
      </c>
      <c r="AD25" s="16">
        <f t="shared" si="17"/>
        <v>0</v>
      </c>
      <c r="AE25" s="32">
        <f t="shared" si="17"/>
        <v>36</v>
      </c>
      <c r="AF25" s="32">
        <f t="shared" si="17"/>
        <v>206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4</v>
      </c>
      <c r="J26" s="50">
        <v>0</v>
      </c>
      <c r="K26" s="50">
        <v>0</v>
      </c>
      <c r="L26" s="50">
        <v>0</v>
      </c>
      <c r="M26" s="50">
        <v>17</v>
      </c>
      <c r="N26" s="50">
        <v>0</v>
      </c>
      <c r="O26" s="15">
        <f t="shared" si="0"/>
        <v>5</v>
      </c>
      <c r="P26" s="15">
        <f t="shared" si="1"/>
        <v>22</v>
      </c>
      <c r="R26" s="28" t="s">
        <v>86</v>
      </c>
      <c r="S26" s="16">
        <f t="shared" ref="S26:AF26" si="18">SUM(S13:S18)</f>
        <v>18</v>
      </c>
      <c r="T26" s="16">
        <f t="shared" si="18"/>
        <v>0</v>
      </c>
      <c r="U26" s="16">
        <f t="shared" si="18"/>
        <v>16</v>
      </c>
      <c r="V26" s="16">
        <f t="shared" si="18"/>
        <v>6</v>
      </c>
      <c r="W26" s="16">
        <f t="shared" si="18"/>
        <v>0</v>
      </c>
      <c r="X26" s="16">
        <f t="shared" si="18"/>
        <v>0</v>
      </c>
      <c r="Y26" s="16">
        <f t="shared" si="18"/>
        <v>38</v>
      </c>
      <c r="Z26" s="16">
        <f t="shared" si="18"/>
        <v>2</v>
      </c>
      <c r="AA26" s="16">
        <f t="shared" si="18"/>
        <v>1</v>
      </c>
      <c r="AB26" s="16">
        <f t="shared" si="18"/>
        <v>0</v>
      </c>
      <c r="AC26" s="16">
        <f t="shared" si="18"/>
        <v>434</v>
      </c>
      <c r="AD26" s="16">
        <f t="shared" si="18"/>
        <v>0</v>
      </c>
      <c r="AE26" s="32">
        <f t="shared" si="18"/>
        <v>81</v>
      </c>
      <c r="AF26" s="32">
        <f t="shared" si="18"/>
        <v>515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1</v>
      </c>
      <c r="J27" s="50">
        <v>1</v>
      </c>
      <c r="K27" s="50">
        <v>1</v>
      </c>
      <c r="L27" s="50">
        <v>0</v>
      </c>
      <c r="M27" s="50">
        <v>17</v>
      </c>
      <c r="N27" s="50">
        <v>0</v>
      </c>
      <c r="O27" s="15">
        <f t="shared" si="0"/>
        <v>5</v>
      </c>
      <c r="P27" s="15">
        <f t="shared" si="1"/>
        <v>22</v>
      </c>
      <c r="R27" s="29" t="s">
        <v>87</v>
      </c>
      <c r="S27" s="16">
        <f t="shared" ref="S27:AF27" si="19">SUM(S19:S21)</f>
        <v>21</v>
      </c>
      <c r="T27" s="16">
        <f t="shared" si="19"/>
        <v>0</v>
      </c>
      <c r="U27" s="16">
        <f t="shared" si="19"/>
        <v>23</v>
      </c>
      <c r="V27" s="16">
        <f t="shared" si="19"/>
        <v>11</v>
      </c>
      <c r="W27" s="16">
        <f t="shared" si="19"/>
        <v>1</v>
      </c>
      <c r="X27" s="16">
        <f t="shared" si="19"/>
        <v>0</v>
      </c>
      <c r="Y27" s="16">
        <f t="shared" si="19"/>
        <v>14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236</v>
      </c>
      <c r="AD27" s="16">
        <f t="shared" si="19"/>
        <v>0</v>
      </c>
      <c r="AE27" s="32">
        <f t="shared" si="19"/>
        <v>70</v>
      </c>
      <c r="AF27" s="32">
        <f t="shared" si="19"/>
        <v>306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27</v>
      </c>
      <c r="N28" s="50">
        <v>0</v>
      </c>
      <c r="O28" s="15">
        <f t="shared" si="0"/>
        <v>0</v>
      </c>
      <c r="P28" s="15">
        <f t="shared" si="1"/>
        <v>27</v>
      </c>
      <c r="R28" s="5" t="s">
        <v>17</v>
      </c>
      <c r="S28" s="16">
        <f t="shared" ref="S28:AF28" si="20">SUM(S10:S21)</f>
        <v>48</v>
      </c>
      <c r="T28" s="16">
        <f t="shared" si="20"/>
        <v>0</v>
      </c>
      <c r="U28" s="16">
        <f t="shared" si="20"/>
        <v>46</v>
      </c>
      <c r="V28" s="16">
        <f t="shared" si="20"/>
        <v>20</v>
      </c>
      <c r="W28" s="16">
        <f t="shared" si="20"/>
        <v>1</v>
      </c>
      <c r="X28" s="16">
        <f t="shared" si="20"/>
        <v>0</v>
      </c>
      <c r="Y28" s="16">
        <f t="shared" si="20"/>
        <v>69</v>
      </c>
      <c r="Z28" s="16">
        <f t="shared" si="20"/>
        <v>2</v>
      </c>
      <c r="AA28" s="16">
        <f t="shared" si="20"/>
        <v>1</v>
      </c>
      <c r="AB28" s="16">
        <f t="shared" si="20"/>
        <v>0</v>
      </c>
      <c r="AC28" s="16">
        <f t="shared" si="20"/>
        <v>840</v>
      </c>
      <c r="AD28" s="16">
        <f t="shared" si="20"/>
        <v>0</v>
      </c>
      <c r="AE28" s="32">
        <f t="shared" si="20"/>
        <v>187</v>
      </c>
      <c r="AF28" s="32">
        <f t="shared" si="20"/>
        <v>1027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13</v>
      </c>
      <c r="N29" s="50">
        <v>0</v>
      </c>
      <c r="O29" s="15">
        <f t="shared" si="0"/>
        <v>2</v>
      </c>
      <c r="P29" s="15">
        <f t="shared" si="1"/>
        <v>15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18</v>
      </c>
      <c r="N30" s="50">
        <v>0</v>
      </c>
      <c r="O30" s="15">
        <f t="shared" si="0"/>
        <v>3</v>
      </c>
      <c r="P30" s="15">
        <f t="shared" si="1"/>
        <v>21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16</v>
      </c>
      <c r="N31" s="50">
        <v>0</v>
      </c>
      <c r="O31" s="15">
        <f t="shared" si="0"/>
        <v>3</v>
      </c>
      <c r="P31" s="15">
        <f t="shared" si="1"/>
        <v>19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1</v>
      </c>
      <c r="F32" s="50">
        <v>1</v>
      </c>
      <c r="G32" s="50">
        <v>0</v>
      </c>
      <c r="H32" s="50">
        <v>0</v>
      </c>
      <c r="I32" s="50">
        <v>4</v>
      </c>
      <c r="J32" s="50">
        <v>0</v>
      </c>
      <c r="K32" s="50">
        <v>0</v>
      </c>
      <c r="L32" s="50">
        <v>0</v>
      </c>
      <c r="M32" s="50">
        <v>22</v>
      </c>
      <c r="N32" s="50">
        <v>0</v>
      </c>
      <c r="O32" s="15">
        <f t="shared" si="0"/>
        <v>7</v>
      </c>
      <c r="P32" s="15">
        <f t="shared" si="1"/>
        <v>29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2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23</v>
      </c>
      <c r="N33" s="50">
        <v>0</v>
      </c>
      <c r="O33" s="15">
        <f t="shared" si="0"/>
        <v>4</v>
      </c>
      <c r="P33" s="15">
        <f t="shared" si="1"/>
        <v>27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14</v>
      </c>
      <c r="N34" s="50">
        <v>0</v>
      </c>
      <c r="O34" s="15">
        <f t="shared" si="0"/>
        <v>2</v>
      </c>
      <c r="P34" s="15">
        <f t="shared" si="1"/>
        <v>16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13</v>
      </c>
      <c r="N35" s="50">
        <v>0</v>
      </c>
      <c r="O35" s="15">
        <f t="shared" si="0"/>
        <v>1</v>
      </c>
      <c r="P35" s="15">
        <f t="shared" si="1"/>
        <v>14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4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19</v>
      </c>
      <c r="N36" s="50">
        <v>0</v>
      </c>
      <c r="O36" s="15">
        <f t="shared" si="0"/>
        <v>4</v>
      </c>
      <c r="P36" s="15">
        <f t="shared" si="1"/>
        <v>23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18</v>
      </c>
      <c r="N37" s="50">
        <v>0</v>
      </c>
      <c r="O37" s="15">
        <f t="shared" si="0"/>
        <v>3</v>
      </c>
      <c r="P37" s="15">
        <f t="shared" si="1"/>
        <v>21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24</v>
      </c>
      <c r="N38" s="50">
        <v>0</v>
      </c>
      <c r="O38" s="15">
        <f t="shared" si="0"/>
        <v>3</v>
      </c>
      <c r="P38" s="15">
        <f t="shared" si="1"/>
        <v>27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2</v>
      </c>
      <c r="F39" s="50">
        <v>1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15</v>
      </c>
      <c r="N39" s="50">
        <v>0</v>
      </c>
      <c r="O39" s="15">
        <f t="shared" si="0"/>
        <v>6</v>
      </c>
      <c r="P39" s="15">
        <f t="shared" si="1"/>
        <v>21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17</v>
      </c>
      <c r="N40" s="50">
        <v>0</v>
      </c>
      <c r="O40" s="15">
        <f t="shared" si="0"/>
        <v>2</v>
      </c>
      <c r="P40" s="15">
        <f t="shared" si="1"/>
        <v>19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20</v>
      </c>
      <c r="N41" s="50">
        <v>0</v>
      </c>
      <c r="O41" s="15">
        <f t="shared" si="0"/>
        <v>4</v>
      </c>
      <c r="P41" s="15">
        <f t="shared" si="1"/>
        <v>24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19</v>
      </c>
      <c r="N42" s="50">
        <v>0</v>
      </c>
      <c r="O42" s="15">
        <f t="shared" si="0"/>
        <v>1</v>
      </c>
      <c r="P42" s="15">
        <f t="shared" si="1"/>
        <v>20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21</v>
      </c>
      <c r="N43" s="50">
        <v>0</v>
      </c>
      <c r="O43" s="15">
        <f t="shared" si="0"/>
        <v>2</v>
      </c>
      <c r="P43" s="15">
        <f t="shared" si="1"/>
        <v>23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2</v>
      </c>
      <c r="J44" s="50">
        <v>1</v>
      </c>
      <c r="K44" s="50">
        <v>0</v>
      </c>
      <c r="L44" s="50">
        <v>0</v>
      </c>
      <c r="M44" s="50">
        <v>23</v>
      </c>
      <c r="N44" s="50">
        <v>0</v>
      </c>
      <c r="O44" s="15">
        <f t="shared" si="0"/>
        <v>4</v>
      </c>
      <c r="P44" s="15">
        <f t="shared" si="1"/>
        <v>27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6</v>
      </c>
      <c r="J45" s="50">
        <v>0</v>
      </c>
      <c r="K45" s="50">
        <v>0</v>
      </c>
      <c r="L45" s="50">
        <v>0</v>
      </c>
      <c r="M45" s="50">
        <v>19</v>
      </c>
      <c r="N45" s="50">
        <v>0</v>
      </c>
      <c r="O45" s="15">
        <f t="shared" si="0"/>
        <v>8</v>
      </c>
      <c r="P45" s="15">
        <f t="shared" si="1"/>
        <v>27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21</v>
      </c>
      <c r="N46" s="50">
        <v>0</v>
      </c>
      <c r="O46" s="15">
        <f t="shared" si="0"/>
        <v>2</v>
      </c>
      <c r="P46" s="15">
        <f t="shared" si="1"/>
        <v>23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4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16</v>
      </c>
      <c r="N47" s="50">
        <v>0</v>
      </c>
      <c r="O47" s="15">
        <f t="shared" si="0"/>
        <v>6</v>
      </c>
      <c r="P47" s="15">
        <f t="shared" si="1"/>
        <v>22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2</v>
      </c>
      <c r="F48" s="50">
        <v>3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29</v>
      </c>
      <c r="N48" s="50">
        <v>0</v>
      </c>
      <c r="O48" s="15">
        <f t="shared" si="0"/>
        <v>8</v>
      </c>
      <c r="P48" s="15">
        <f t="shared" si="1"/>
        <v>37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1</v>
      </c>
      <c r="F49" s="50">
        <v>1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21</v>
      </c>
      <c r="N49" s="50">
        <v>0</v>
      </c>
      <c r="O49" s="15">
        <f t="shared" si="0"/>
        <v>7</v>
      </c>
      <c r="P49" s="15">
        <f t="shared" si="1"/>
        <v>28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5</v>
      </c>
      <c r="F50" s="50">
        <v>2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24</v>
      </c>
      <c r="N50" s="50">
        <v>0</v>
      </c>
      <c r="O50" s="15">
        <f t="shared" si="0"/>
        <v>10</v>
      </c>
      <c r="P50" s="15">
        <f t="shared" si="1"/>
        <v>34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2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19</v>
      </c>
      <c r="N51" s="50">
        <v>0</v>
      </c>
      <c r="O51" s="15">
        <f t="shared" si="0"/>
        <v>3</v>
      </c>
      <c r="P51" s="15">
        <f t="shared" si="1"/>
        <v>22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0</v>
      </c>
      <c r="E52" s="50">
        <v>1</v>
      </c>
      <c r="F52" s="50">
        <v>2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26</v>
      </c>
      <c r="N52" s="50">
        <v>0</v>
      </c>
      <c r="O52" s="15">
        <f t="shared" si="0"/>
        <v>7</v>
      </c>
      <c r="P52" s="15">
        <f t="shared" si="1"/>
        <v>33</v>
      </c>
      <c r="R52" s="8"/>
      <c r="T52"/>
    </row>
    <row r="53" spans="2:20" ht="23.1" customHeight="1" x14ac:dyDescent="0.25">
      <c r="B53" s="23" t="s">
        <v>80</v>
      </c>
      <c r="C53" s="50">
        <v>4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4</v>
      </c>
      <c r="J53" s="50">
        <v>0</v>
      </c>
      <c r="K53" s="50">
        <v>0</v>
      </c>
      <c r="L53" s="50">
        <v>0</v>
      </c>
      <c r="M53" s="50">
        <v>13</v>
      </c>
      <c r="N53" s="50">
        <v>0</v>
      </c>
      <c r="O53" s="15">
        <f t="shared" si="0"/>
        <v>9</v>
      </c>
      <c r="P53" s="15">
        <f t="shared" si="1"/>
        <v>22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16</v>
      </c>
      <c r="N54" s="50">
        <v>0</v>
      </c>
      <c r="O54" s="15">
        <f t="shared" si="0"/>
        <v>4</v>
      </c>
      <c r="P54" s="15">
        <f t="shared" si="1"/>
        <v>20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4</v>
      </c>
      <c r="F55" s="50">
        <v>1</v>
      </c>
      <c r="G55" s="50">
        <v>1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15</v>
      </c>
      <c r="N55" s="50">
        <v>0</v>
      </c>
      <c r="O55" s="15">
        <f t="shared" si="0"/>
        <v>7</v>
      </c>
      <c r="P55" s="15">
        <f t="shared" si="1"/>
        <v>22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16</v>
      </c>
      <c r="N56" s="50">
        <v>0</v>
      </c>
      <c r="O56" s="15">
        <f t="shared" si="0"/>
        <v>3</v>
      </c>
      <c r="P56" s="15">
        <f t="shared" si="1"/>
        <v>19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1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20</v>
      </c>
      <c r="N57" s="50">
        <v>0</v>
      </c>
      <c r="O57" s="15">
        <f t="shared" si="0"/>
        <v>4</v>
      </c>
      <c r="P57" s="15">
        <f t="shared" si="1"/>
        <v>24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48</v>
      </c>
      <c r="D58" s="16">
        <f t="shared" si="21"/>
        <v>0</v>
      </c>
      <c r="E58" s="16">
        <f t="shared" si="21"/>
        <v>46</v>
      </c>
      <c r="F58" s="16">
        <f t="shared" si="21"/>
        <v>20</v>
      </c>
      <c r="G58" s="16">
        <f t="shared" si="21"/>
        <v>1</v>
      </c>
      <c r="H58" s="16">
        <f t="shared" si="21"/>
        <v>0</v>
      </c>
      <c r="I58" s="16">
        <f t="shared" si="21"/>
        <v>69</v>
      </c>
      <c r="J58" s="16">
        <f t="shared" si="21"/>
        <v>2</v>
      </c>
      <c r="K58" s="16">
        <f t="shared" si="21"/>
        <v>1</v>
      </c>
      <c r="L58" s="16">
        <f t="shared" si="21"/>
        <v>0</v>
      </c>
      <c r="M58" s="16">
        <f t="shared" si="21"/>
        <v>840</v>
      </c>
      <c r="N58" s="16">
        <f t="shared" si="21"/>
        <v>0</v>
      </c>
      <c r="O58" s="16">
        <f t="shared" si="21"/>
        <v>187</v>
      </c>
      <c r="P58" s="16">
        <f t="shared" si="21"/>
        <v>1027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4.6738072054527749E-2</v>
      </c>
      <c r="D59" s="43">
        <f t="shared" si="22"/>
        <v>0</v>
      </c>
      <c r="E59" s="43">
        <f t="shared" si="22"/>
        <v>4.4790652385589096E-2</v>
      </c>
      <c r="F59" s="43">
        <f t="shared" si="22"/>
        <v>1.9474196689386564E-2</v>
      </c>
      <c r="G59" s="43">
        <f t="shared" si="22"/>
        <v>9.7370983446932818E-4</v>
      </c>
      <c r="H59" s="43">
        <f t="shared" si="22"/>
        <v>0</v>
      </c>
      <c r="I59" s="43">
        <f t="shared" si="22"/>
        <v>6.718597857838364E-2</v>
      </c>
      <c r="J59" s="43">
        <f t="shared" si="22"/>
        <v>1.9474196689386564E-3</v>
      </c>
      <c r="K59" s="43">
        <f t="shared" si="22"/>
        <v>9.7370983446932818E-4</v>
      </c>
      <c r="L59" s="43">
        <f t="shared" si="22"/>
        <v>0</v>
      </c>
      <c r="M59" s="43">
        <f t="shared" si="22"/>
        <v>0.81791626095423564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0.25668449197860965</v>
      </c>
      <c r="D60" s="44">
        <f t="shared" ref="D60:N60" si="23">D58/$O$58</f>
        <v>0</v>
      </c>
      <c r="E60" s="44">
        <f t="shared" si="23"/>
        <v>0.24598930481283424</v>
      </c>
      <c r="F60" s="44">
        <f t="shared" si="23"/>
        <v>0.10695187165775401</v>
      </c>
      <c r="G60" s="44">
        <f t="shared" si="23"/>
        <v>5.3475935828877002E-3</v>
      </c>
      <c r="H60" s="44">
        <f t="shared" si="23"/>
        <v>0</v>
      </c>
      <c r="I60" s="44">
        <f t="shared" si="23"/>
        <v>0.36898395721925131</v>
      </c>
      <c r="J60" s="44">
        <f t="shared" si="23"/>
        <v>1.06951871657754E-2</v>
      </c>
      <c r="K60" s="44">
        <f t="shared" si="23"/>
        <v>5.3475935828877002E-3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topLeftCell="A49" zoomScale="60" workbookViewId="0">
      <selection activeCell="T30" sqref="T3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'11.8 BUSUNJU-KAMPALA'!C3:G3</f>
        <v>MCC-C3-STN-HOIMA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'13.8 KAMPALA-BUSUNJU'!D5</f>
        <v>24.07.19</v>
      </c>
      <c r="E5" s="3"/>
      <c r="F5" s="41" t="s">
        <v>1</v>
      </c>
      <c r="G5" s="64" t="str">
        <f>'11.8 KAMPALA-BUSUNJU'!G5:H5</f>
        <v>WAKISO</v>
      </c>
      <c r="H5" s="65"/>
      <c r="I5" s="14"/>
      <c r="J5" s="2" t="s">
        <v>5</v>
      </c>
      <c r="K5" s="64">
        <f>'11.8 KAMPALA-BUSUNJU'!K5:L5</f>
        <v>0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'11.8 BUSUNJU-KAMPALA'!D6:E6</f>
        <v>Makindye</v>
      </c>
      <c r="E6" s="65"/>
      <c r="F6" s="2" t="s">
        <v>2</v>
      </c>
      <c r="G6" s="64" t="str">
        <f>'11.8 BUSUNJU-KAMPALA'!G6:H6</f>
        <v>Kibuye</v>
      </c>
      <c r="H6" s="65"/>
      <c r="J6" s="2" t="s">
        <v>21</v>
      </c>
      <c r="K6" s="64">
        <f>'11.8 KAMPALA-BUSUNJU'!K6:L6</f>
        <v>0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8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2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7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36</v>
      </c>
      <c r="AD10" s="17">
        <f t="shared" si="2"/>
        <v>0</v>
      </c>
      <c r="AE10" s="31">
        <f t="shared" si="2"/>
        <v>11</v>
      </c>
      <c r="AF10" s="31">
        <f t="shared" si="2"/>
        <v>47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2</v>
      </c>
      <c r="P11" s="15">
        <f t="shared" si="1"/>
        <v>5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2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51</v>
      </c>
      <c r="AD11" s="17">
        <f t="shared" si="3"/>
        <v>0</v>
      </c>
      <c r="AE11" s="31">
        <f t="shared" si="3"/>
        <v>9</v>
      </c>
      <c r="AF11" s="31">
        <f t="shared" si="3"/>
        <v>60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1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18</v>
      </c>
      <c r="N12" s="50">
        <v>0</v>
      </c>
      <c r="O12" s="15">
        <f t="shared" si="0"/>
        <v>5</v>
      </c>
      <c r="P12" s="15">
        <f t="shared" si="1"/>
        <v>23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0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61</v>
      </c>
      <c r="AD12" s="17">
        <f t="shared" si="4"/>
        <v>0</v>
      </c>
      <c r="AE12" s="31">
        <f t="shared" si="4"/>
        <v>6</v>
      </c>
      <c r="AF12" s="31">
        <f t="shared" si="4"/>
        <v>67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9</v>
      </c>
      <c r="N13" s="50">
        <v>0</v>
      </c>
      <c r="O13" s="15">
        <f t="shared" si="0"/>
        <v>2</v>
      </c>
      <c r="P13" s="15">
        <f t="shared" si="1"/>
        <v>11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58</v>
      </c>
      <c r="AD13" s="17">
        <f t="shared" si="5"/>
        <v>0</v>
      </c>
      <c r="AE13" s="31">
        <f t="shared" si="5"/>
        <v>10</v>
      </c>
      <c r="AF13" s="31">
        <f t="shared" si="5"/>
        <v>68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9</v>
      </c>
      <c r="N14" s="50">
        <v>0</v>
      </c>
      <c r="O14" s="15">
        <f t="shared" si="0"/>
        <v>2</v>
      </c>
      <c r="P14" s="15">
        <f t="shared" si="1"/>
        <v>11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1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70</v>
      </c>
      <c r="AD14" s="17">
        <f t="shared" si="6"/>
        <v>0</v>
      </c>
      <c r="AE14" s="31">
        <f t="shared" si="6"/>
        <v>12</v>
      </c>
      <c r="AF14" s="31">
        <f t="shared" si="6"/>
        <v>82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1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14</v>
      </c>
      <c r="N15" s="50">
        <v>0</v>
      </c>
      <c r="O15" s="15">
        <f t="shared" si="0"/>
        <v>5</v>
      </c>
      <c r="P15" s="15">
        <f t="shared" si="1"/>
        <v>19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5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77</v>
      </c>
      <c r="AD15" s="17">
        <f t="shared" si="7"/>
        <v>0</v>
      </c>
      <c r="AE15" s="31">
        <f t="shared" si="7"/>
        <v>14</v>
      </c>
      <c r="AF15" s="31">
        <f t="shared" si="7"/>
        <v>91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17</v>
      </c>
      <c r="N16" s="50">
        <v>0</v>
      </c>
      <c r="O16" s="15">
        <f t="shared" si="0"/>
        <v>1</v>
      </c>
      <c r="P16" s="15">
        <f t="shared" si="1"/>
        <v>18</v>
      </c>
      <c r="R16" s="1" t="s">
        <v>12</v>
      </c>
      <c r="S16" s="17">
        <f t="shared" ref="S16:AF16" si="8">SUM(C34:C37)</f>
        <v>4</v>
      </c>
      <c r="T16" s="17">
        <f t="shared" si="8"/>
        <v>0</v>
      </c>
      <c r="U16" s="17">
        <f t="shared" si="8"/>
        <v>6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99</v>
      </c>
      <c r="AD16" s="17">
        <f t="shared" si="8"/>
        <v>0</v>
      </c>
      <c r="AE16" s="31">
        <f t="shared" si="8"/>
        <v>18</v>
      </c>
      <c r="AF16" s="31">
        <f t="shared" si="8"/>
        <v>117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11</v>
      </c>
      <c r="N17" s="50">
        <v>0</v>
      </c>
      <c r="O17" s="15">
        <f t="shared" si="0"/>
        <v>1</v>
      </c>
      <c r="P17" s="15">
        <f t="shared" si="1"/>
        <v>12</v>
      </c>
      <c r="R17" s="1" t="s">
        <v>13</v>
      </c>
      <c r="S17" s="17">
        <f t="shared" ref="S17:AF17" si="9">SUM(C38:C41)</f>
        <v>6</v>
      </c>
      <c r="T17" s="17">
        <f t="shared" si="9"/>
        <v>0</v>
      </c>
      <c r="U17" s="17">
        <f t="shared" si="9"/>
        <v>0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89</v>
      </c>
      <c r="AD17" s="17">
        <f t="shared" si="9"/>
        <v>0</v>
      </c>
      <c r="AE17" s="31">
        <f t="shared" si="9"/>
        <v>16</v>
      </c>
      <c r="AF17" s="31">
        <f t="shared" si="9"/>
        <v>105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14</v>
      </c>
      <c r="N18" s="50">
        <v>0</v>
      </c>
      <c r="O18" s="15">
        <f t="shared" si="0"/>
        <v>3</v>
      </c>
      <c r="P18" s="15">
        <f t="shared" si="1"/>
        <v>17</v>
      </c>
      <c r="R18" s="1" t="s">
        <v>14</v>
      </c>
      <c r="S18" s="17">
        <f t="shared" ref="S18:AF18" si="10">SUM(C42:C45)</f>
        <v>13</v>
      </c>
      <c r="T18" s="17">
        <f t="shared" si="10"/>
        <v>0</v>
      </c>
      <c r="U18" s="17">
        <f t="shared" si="10"/>
        <v>5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92</v>
      </c>
      <c r="AD18" s="17">
        <f t="shared" si="10"/>
        <v>0</v>
      </c>
      <c r="AE18" s="31">
        <f t="shared" si="10"/>
        <v>26</v>
      </c>
      <c r="AF18" s="31">
        <f t="shared" si="10"/>
        <v>118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10</v>
      </c>
      <c r="N19" s="50">
        <v>0</v>
      </c>
      <c r="O19" s="15">
        <f t="shared" si="0"/>
        <v>2</v>
      </c>
      <c r="P19" s="15">
        <f t="shared" si="1"/>
        <v>12</v>
      </c>
      <c r="R19" s="1" t="s">
        <v>15</v>
      </c>
      <c r="S19" s="17">
        <f t="shared" ref="S19:AF19" si="11">SUM(C46:C49)</f>
        <v>10</v>
      </c>
      <c r="T19" s="17">
        <f t="shared" si="11"/>
        <v>0</v>
      </c>
      <c r="U19" s="17">
        <f t="shared" si="11"/>
        <v>11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54</v>
      </c>
      <c r="AD19" s="17">
        <f t="shared" si="11"/>
        <v>0</v>
      </c>
      <c r="AE19" s="31">
        <f t="shared" si="11"/>
        <v>31</v>
      </c>
      <c r="AF19" s="31">
        <f t="shared" si="11"/>
        <v>85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14</v>
      </c>
      <c r="N20" s="50">
        <v>0</v>
      </c>
      <c r="O20" s="15">
        <f t="shared" si="0"/>
        <v>1</v>
      </c>
      <c r="P20" s="15">
        <f t="shared" si="1"/>
        <v>15</v>
      </c>
      <c r="R20" s="1" t="s">
        <v>16</v>
      </c>
      <c r="S20" s="17">
        <f t="shared" ref="S20:AF20" si="12">SUM(C50:C53)</f>
        <v>3</v>
      </c>
      <c r="T20" s="17">
        <f t="shared" si="12"/>
        <v>0</v>
      </c>
      <c r="U20" s="17">
        <f t="shared" si="12"/>
        <v>5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4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80</v>
      </c>
      <c r="AD20" s="17">
        <f t="shared" si="12"/>
        <v>0</v>
      </c>
      <c r="AE20" s="31">
        <f t="shared" si="12"/>
        <v>13</v>
      </c>
      <c r="AF20" s="31">
        <f t="shared" si="12"/>
        <v>93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23</v>
      </c>
      <c r="N21" s="50">
        <v>0</v>
      </c>
      <c r="O21" s="15">
        <f t="shared" si="0"/>
        <v>0</v>
      </c>
      <c r="P21" s="15">
        <f t="shared" si="1"/>
        <v>23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1</v>
      </c>
      <c r="V21" s="17">
        <f t="shared" si="13"/>
        <v>4</v>
      </c>
      <c r="W21" s="17">
        <f t="shared" si="13"/>
        <v>1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73</v>
      </c>
      <c r="AD21" s="17">
        <f t="shared" si="13"/>
        <v>0</v>
      </c>
      <c r="AE21" s="31">
        <f t="shared" si="13"/>
        <v>13</v>
      </c>
      <c r="AF21" s="31">
        <f t="shared" si="13"/>
        <v>86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3</v>
      </c>
      <c r="J22" s="50">
        <v>0</v>
      </c>
      <c r="K22" s="50">
        <v>0</v>
      </c>
      <c r="L22" s="50">
        <v>0</v>
      </c>
      <c r="M22" s="50">
        <v>13</v>
      </c>
      <c r="N22" s="50">
        <v>0</v>
      </c>
      <c r="O22" s="15">
        <f t="shared" si="0"/>
        <v>3</v>
      </c>
      <c r="P22" s="15">
        <f t="shared" si="1"/>
        <v>16</v>
      </c>
      <c r="R22" s="38" t="s">
        <v>90</v>
      </c>
      <c r="S22" s="39">
        <f>MAX(S10:S12)</f>
        <v>2</v>
      </c>
      <c r="T22" s="39">
        <f t="shared" ref="T22:AF22" si="14">MAX(T10:T12)</f>
        <v>0</v>
      </c>
      <c r="U22" s="39">
        <f t="shared" si="14"/>
        <v>2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7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61</v>
      </c>
      <c r="AD22" s="39">
        <f t="shared" si="14"/>
        <v>0</v>
      </c>
      <c r="AE22" s="40">
        <f t="shared" si="14"/>
        <v>11</v>
      </c>
      <c r="AF22" s="40">
        <f t="shared" si="14"/>
        <v>67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16</v>
      </c>
      <c r="N23" s="50">
        <v>0</v>
      </c>
      <c r="O23" s="15">
        <f t="shared" si="0"/>
        <v>2</v>
      </c>
      <c r="P23" s="15">
        <f t="shared" si="1"/>
        <v>18</v>
      </c>
      <c r="R23" s="38" t="s">
        <v>91</v>
      </c>
      <c r="S23" s="39">
        <f>MAX(S13:S18)</f>
        <v>13</v>
      </c>
      <c r="T23" s="39">
        <f t="shared" ref="T23:AF23" si="15">MAX(T13:T18)</f>
        <v>0</v>
      </c>
      <c r="U23" s="39">
        <f t="shared" si="15"/>
        <v>6</v>
      </c>
      <c r="V23" s="39">
        <f t="shared" si="15"/>
        <v>3</v>
      </c>
      <c r="W23" s="39">
        <f t="shared" si="15"/>
        <v>0</v>
      </c>
      <c r="X23" s="39">
        <f t="shared" si="15"/>
        <v>0</v>
      </c>
      <c r="Y23" s="39">
        <f t="shared" si="15"/>
        <v>8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99</v>
      </c>
      <c r="AD23" s="39">
        <f t="shared" si="15"/>
        <v>0</v>
      </c>
      <c r="AE23" s="40">
        <f t="shared" si="15"/>
        <v>26</v>
      </c>
      <c r="AF23" s="40">
        <f t="shared" si="15"/>
        <v>118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11</v>
      </c>
      <c r="N24" s="50">
        <v>0</v>
      </c>
      <c r="O24" s="15">
        <f t="shared" si="0"/>
        <v>2</v>
      </c>
      <c r="P24" s="15">
        <f t="shared" si="1"/>
        <v>13</v>
      </c>
      <c r="R24" s="38" t="s">
        <v>92</v>
      </c>
      <c r="S24" s="39">
        <f>MAX(S19:S21)</f>
        <v>10</v>
      </c>
      <c r="T24" s="39">
        <f t="shared" ref="T24:AF24" si="16">MAX(T19:T21)</f>
        <v>0</v>
      </c>
      <c r="U24" s="39">
        <f t="shared" si="16"/>
        <v>11</v>
      </c>
      <c r="V24" s="39">
        <f t="shared" si="16"/>
        <v>4</v>
      </c>
      <c r="W24" s="39">
        <f t="shared" si="16"/>
        <v>1</v>
      </c>
      <c r="X24" s="39">
        <f t="shared" si="16"/>
        <v>0</v>
      </c>
      <c r="Y24" s="39">
        <f t="shared" si="16"/>
        <v>7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80</v>
      </c>
      <c r="AD24" s="39">
        <f t="shared" si="16"/>
        <v>0</v>
      </c>
      <c r="AE24" s="40">
        <f t="shared" si="16"/>
        <v>31</v>
      </c>
      <c r="AF24" s="40">
        <f t="shared" si="16"/>
        <v>93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v>0</v>
      </c>
      <c r="M25" s="50">
        <v>18</v>
      </c>
      <c r="N25" s="50">
        <v>0</v>
      </c>
      <c r="O25" s="15">
        <f t="shared" si="0"/>
        <v>3</v>
      </c>
      <c r="P25" s="15">
        <f t="shared" si="1"/>
        <v>21</v>
      </c>
      <c r="R25" s="37" t="s">
        <v>85</v>
      </c>
      <c r="S25" s="35">
        <f t="shared" ref="S25:AF25" si="17">SUM(S10:S12)</f>
        <v>5</v>
      </c>
      <c r="T25" s="16">
        <f t="shared" si="17"/>
        <v>0</v>
      </c>
      <c r="U25" s="16">
        <f t="shared" si="17"/>
        <v>4</v>
      </c>
      <c r="V25" s="16">
        <f t="shared" si="17"/>
        <v>3</v>
      </c>
      <c r="W25" s="16">
        <f t="shared" si="17"/>
        <v>0</v>
      </c>
      <c r="X25" s="16">
        <f t="shared" si="17"/>
        <v>0</v>
      </c>
      <c r="Y25" s="16">
        <f t="shared" si="17"/>
        <v>14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148</v>
      </c>
      <c r="AD25" s="16">
        <f t="shared" si="17"/>
        <v>0</v>
      </c>
      <c r="AE25" s="32">
        <f t="shared" si="17"/>
        <v>26</v>
      </c>
      <c r="AF25" s="32">
        <f t="shared" si="17"/>
        <v>174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1</v>
      </c>
      <c r="G26" s="50">
        <v>0</v>
      </c>
      <c r="H26" s="50">
        <v>0</v>
      </c>
      <c r="I26" s="50">
        <v>3</v>
      </c>
      <c r="J26" s="50">
        <v>0</v>
      </c>
      <c r="K26" s="50">
        <v>0</v>
      </c>
      <c r="L26" s="50">
        <v>0</v>
      </c>
      <c r="M26" s="50">
        <v>22</v>
      </c>
      <c r="N26" s="50">
        <v>0</v>
      </c>
      <c r="O26" s="15">
        <f t="shared" si="0"/>
        <v>4</v>
      </c>
      <c r="P26" s="15">
        <f t="shared" si="1"/>
        <v>26</v>
      </c>
      <c r="R26" s="28" t="s">
        <v>86</v>
      </c>
      <c r="S26" s="16">
        <f t="shared" ref="S26:AF26" si="18">SUM(S13:S18)</f>
        <v>30</v>
      </c>
      <c r="T26" s="16">
        <f t="shared" si="18"/>
        <v>0</v>
      </c>
      <c r="U26" s="16">
        <f t="shared" si="18"/>
        <v>18</v>
      </c>
      <c r="V26" s="16">
        <f t="shared" si="18"/>
        <v>12</v>
      </c>
      <c r="W26" s="16">
        <f t="shared" si="18"/>
        <v>0</v>
      </c>
      <c r="X26" s="16">
        <f t="shared" si="18"/>
        <v>0</v>
      </c>
      <c r="Y26" s="16">
        <f t="shared" si="18"/>
        <v>35</v>
      </c>
      <c r="Z26" s="16">
        <f t="shared" si="18"/>
        <v>1</v>
      </c>
      <c r="AA26" s="16">
        <f t="shared" si="18"/>
        <v>0</v>
      </c>
      <c r="AB26" s="16">
        <f t="shared" si="18"/>
        <v>0</v>
      </c>
      <c r="AC26" s="16">
        <f t="shared" si="18"/>
        <v>485</v>
      </c>
      <c r="AD26" s="16">
        <f t="shared" si="18"/>
        <v>0</v>
      </c>
      <c r="AE26" s="32">
        <f t="shared" si="18"/>
        <v>96</v>
      </c>
      <c r="AF26" s="32">
        <f t="shared" si="18"/>
        <v>581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15</v>
      </c>
      <c r="N27" s="50">
        <v>0</v>
      </c>
      <c r="O27" s="15">
        <f t="shared" si="0"/>
        <v>4</v>
      </c>
      <c r="P27" s="15">
        <f t="shared" si="1"/>
        <v>19</v>
      </c>
      <c r="R27" s="29" t="s">
        <v>87</v>
      </c>
      <c r="S27" s="16">
        <f t="shared" ref="S27:AF27" si="19">SUM(S19:S21)</f>
        <v>16</v>
      </c>
      <c r="T27" s="16">
        <f t="shared" si="19"/>
        <v>0</v>
      </c>
      <c r="U27" s="16">
        <f t="shared" si="19"/>
        <v>17</v>
      </c>
      <c r="V27" s="16">
        <f t="shared" si="19"/>
        <v>8</v>
      </c>
      <c r="W27" s="16">
        <f t="shared" si="19"/>
        <v>1</v>
      </c>
      <c r="X27" s="16">
        <f t="shared" si="19"/>
        <v>0</v>
      </c>
      <c r="Y27" s="16">
        <f t="shared" si="19"/>
        <v>15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207</v>
      </c>
      <c r="AD27" s="16">
        <f t="shared" si="19"/>
        <v>0</v>
      </c>
      <c r="AE27" s="32">
        <f t="shared" si="19"/>
        <v>57</v>
      </c>
      <c r="AF27" s="32">
        <f t="shared" si="19"/>
        <v>264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18</v>
      </c>
      <c r="N28" s="50">
        <v>0</v>
      </c>
      <c r="O28" s="15">
        <f t="shared" si="0"/>
        <v>2</v>
      </c>
      <c r="P28" s="15">
        <f t="shared" si="1"/>
        <v>20</v>
      </c>
      <c r="R28" s="5" t="s">
        <v>17</v>
      </c>
      <c r="S28" s="16">
        <f t="shared" ref="S28:AF28" si="20">SUM(S10:S21)</f>
        <v>51</v>
      </c>
      <c r="T28" s="16">
        <f t="shared" si="20"/>
        <v>0</v>
      </c>
      <c r="U28" s="16">
        <f t="shared" si="20"/>
        <v>39</v>
      </c>
      <c r="V28" s="16">
        <f t="shared" si="20"/>
        <v>23</v>
      </c>
      <c r="W28" s="16">
        <f t="shared" si="20"/>
        <v>1</v>
      </c>
      <c r="X28" s="16">
        <f t="shared" si="20"/>
        <v>0</v>
      </c>
      <c r="Y28" s="16">
        <f t="shared" si="20"/>
        <v>64</v>
      </c>
      <c r="Z28" s="16">
        <f t="shared" si="20"/>
        <v>1</v>
      </c>
      <c r="AA28" s="16">
        <f t="shared" si="20"/>
        <v>0</v>
      </c>
      <c r="AB28" s="16">
        <f t="shared" si="20"/>
        <v>0</v>
      </c>
      <c r="AC28" s="16">
        <f t="shared" si="20"/>
        <v>840</v>
      </c>
      <c r="AD28" s="16">
        <f t="shared" si="20"/>
        <v>0</v>
      </c>
      <c r="AE28" s="32">
        <f t="shared" si="20"/>
        <v>179</v>
      </c>
      <c r="AF28" s="32">
        <f t="shared" si="20"/>
        <v>1019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15</v>
      </c>
      <c r="N29" s="50">
        <v>0</v>
      </c>
      <c r="O29" s="15">
        <f t="shared" si="0"/>
        <v>2</v>
      </c>
      <c r="P29" s="15">
        <f t="shared" si="1"/>
        <v>17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19</v>
      </c>
      <c r="N30" s="50">
        <v>0</v>
      </c>
      <c r="O30" s="15">
        <f t="shared" si="0"/>
        <v>4</v>
      </c>
      <c r="P30" s="15">
        <f t="shared" si="1"/>
        <v>23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2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22</v>
      </c>
      <c r="N31" s="50">
        <v>0</v>
      </c>
      <c r="O31" s="15">
        <f t="shared" si="0"/>
        <v>4</v>
      </c>
      <c r="P31" s="15">
        <f t="shared" si="1"/>
        <v>26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16</v>
      </c>
      <c r="N32" s="50">
        <v>0</v>
      </c>
      <c r="O32" s="15">
        <f t="shared" si="0"/>
        <v>1</v>
      </c>
      <c r="P32" s="15">
        <f t="shared" si="1"/>
        <v>17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2</v>
      </c>
      <c r="F33" s="50">
        <v>1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20</v>
      </c>
      <c r="N33" s="50">
        <v>0</v>
      </c>
      <c r="O33" s="15">
        <f t="shared" si="0"/>
        <v>5</v>
      </c>
      <c r="P33" s="15">
        <f t="shared" si="1"/>
        <v>25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3</v>
      </c>
      <c r="F34" s="50">
        <v>0</v>
      </c>
      <c r="G34" s="50">
        <v>0</v>
      </c>
      <c r="H34" s="50">
        <v>0</v>
      </c>
      <c r="I34" s="50">
        <v>3</v>
      </c>
      <c r="J34" s="50">
        <v>0</v>
      </c>
      <c r="K34" s="50">
        <v>0</v>
      </c>
      <c r="L34" s="50">
        <v>0</v>
      </c>
      <c r="M34" s="50">
        <v>25</v>
      </c>
      <c r="N34" s="50">
        <v>0</v>
      </c>
      <c r="O34" s="15">
        <f t="shared" si="0"/>
        <v>8</v>
      </c>
      <c r="P34" s="15">
        <f t="shared" si="1"/>
        <v>33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2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20</v>
      </c>
      <c r="N35" s="50">
        <v>0</v>
      </c>
      <c r="O35" s="15">
        <f t="shared" si="0"/>
        <v>3</v>
      </c>
      <c r="P35" s="15">
        <f t="shared" si="1"/>
        <v>23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3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37</v>
      </c>
      <c r="N36" s="50">
        <v>0</v>
      </c>
      <c r="O36" s="15">
        <f t="shared" si="0"/>
        <v>4</v>
      </c>
      <c r="P36" s="15">
        <f t="shared" si="1"/>
        <v>41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17</v>
      </c>
      <c r="N37" s="50">
        <v>0</v>
      </c>
      <c r="O37" s="15">
        <f t="shared" si="0"/>
        <v>3</v>
      </c>
      <c r="P37" s="15">
        <f t="shared" si="1"/>
        <v>20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26</v>
      </c>
      <c r="N38" s="50">
        <v>0</v>
      </c>
      <c r="O38" s="15">
        <f t="shared" si="0"/>
        <v>2</v>
      </c>
      <c r="P38" s="15">
        <f t="shared" si="1"/>
        <v>28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20</v>
      </c>
      <c r="N39" s="50">
        <v>0</v>
      </c>
      <c r="O39" s="15">
        <f t="shared" si="0"/>
        <v>4</v>
      </c>
      <c r="P39" s="15">
        <f t="shared" si="1"/>
        <v>24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17</v>
      </c>
      <c r="N40" s="50">
        <v>0</v>
      </c>
      <c r="O40" s="15">
        <f t="shared" si="0"/>
        <v>5</v>
      </c>
      <c r="P40" s="15">
        <f t="shared" si="1"/>
        <v>22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0</v>
      </c>
      <c r="F41" s="50">
        <v>2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26</v>
      </c>
      <c r="N41" s="50">
        <v>0</v>
      </c>
      <c r="O41" s="15">
        <f t="shared" si="0"/>
        <v>5</v>
      </c>
      <c r="P41" s="15">
        <f t="shared" si="1"/>
        <v>31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1</v>
      </c>
      <c r="F42" s="50">
        <v>1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20</v>
      </c>
      <c r="N42" s="50">
        <v>0</v>
      </c>
      <c r="O42" s="15">
        <f t="shared" si="0"/>
        <v>6</v>
      </c>
      <c r="P42" s="15">
        <f t="shared" si="1"/>
        <v>26</v>
      </c>
    </row>
    <row r="43" spans="2:20" ht="23.1" customHeight="1" x14ac:dyDescent="0.25">
      <c r="B43" s="23" t="s">
        <v>70</v>
      </c>
      <c r="C43" s="50">
        <v>4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27</v>
      </c>
      <c r="N43" s="50">
        <v>0</v>
      </c>
      <c r="O43" s="15">
        <f t="shared" si="0"/>
        <v>5</v>
      </c>
      <c r="P43" s="15">
        <f t="shared" si="1"/>
        <v>32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3</v>
      </c>
      <c r="F44" s="50">
        <v>0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17</v>
      </c>
      <c r="N44" s="50">
        <v>0</v>
      </c>
      <c r="O44" s="15">
        <f t="shared" si="0"/>
        <v>8</v>
      </c>
      <c r="P44" s="15">
        <f t="shared" si="1"/>
        <v>25</v>
      </c>
    </row>
    <row r="45" spans="2:20" ht="23.1" customHeight="1" x14ac:dyDescent="0.25">
      <c r="B45" s="23" t="s">
        <v>72</v>
      </c>
      <c r="C45" s="50">
        <v>5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28</v>
      </c>
      <c r="N45" s="50">
        <v>0</v>
      </c>
      <c r="O45" s="15">
        <f t="shared" si="0"/>
        <v>7</v>
      </c>
      <c r="P45" s="15">
        <f t="shared" si="1"/>
        <v>35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3</v>
      </c>
      <c r="F46" s="50">
        <v>1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15</v>
      </c>
      <c r="N46" s="50">
        <v>0</v>
      </c>
      <c r="O46" s="15">
        <f t="shared" si="0"/>
        <v>9</v>
      </c>
      <c r="P46" s="15">
        <f t="shared" si="1"/>
        <v>24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3</v>
      </c>
      <c r="F47" s="50">
        <v>1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10</v>
      </c>
      <c r="N47" s="50">
        <v>0</v>
      </c>
      <c r="O47" s="15">
        <f t="shared" si="0"/>
        <v>9</v>
      </c>
      <c r="P47" s="15">
        <f t="shared" si="1"/>
        <v>19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0</v>
      </c>
      <c r="E48" s="50">
        <v>2</v>
      </c>
      <c r="F48" s="50">
        <v>1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15</v>
      </c>
      <c r="N48" s="50">
        <v>0</v>
      </c>
      <c r="O48" s="15">
        <f t="shared" si="0"/>
        <v>8</v>
      </c>
      <c r="P48" s="15">
        <f t="shared" si="1"/>
        <v>23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3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14</v>
      </c>
      <c r="N49" s="50">
        <v>0</v>
      </c>
      <c r="O49" s="15">
        <f t="shared" si="0"/>
        <v>5</v>
      </c>
      <c r="P49" s="15">
        <f t="shared" si="1"/>
        <v>19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26</v>
      </c>
      <c r="N50" s="50">
        <v>0</v>
      </c>
      <c r="O50" s="15">
        <f t="shared" si="0"/>
        <v>4</v>
      </c>
      <c r="P50" s="15">
        <f t="shared" si="1"/>
        <v>30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22</v>
      </c>
      <c r="N51" s="50">
        <v>0</v>
      </c>
      <c r="O51" s="15">
        <f t="shared" si="0"/>
        <v>4</v>
      </c>
      <c r="P51" s="15">
        <f t="shared" si="1"/>
        <v>26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19</v>
      </c>
      <c r="N52" s="50">
        <v>0</v>
      </c>
      <c r="O52" s="15">
        <f t="shared" si="0"/>
        <v>1</v>
      </c>
      <c r="P52" s="15">
        <f t="shared" si="1"/>
        <v>20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2</v>
      </c>
      <c r="F53" s="50">
        <v>1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13</v>
      </c>
      <c r="N53" s="50">
        <v>0</v>
      </c>
      <c r="O53" s="15">
        <f t="shared" si="0"/>
        <v>4</v>
      </c>
      <c r="P53" s="15">
        <f t="shared" si="1"/>
        <v>17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1</v>
      </c>
      <c r="F54" s="50">
        <v>4</v>
      </c>
      <c r="G54" s="50">
        <v>1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15</v>
      </c>
      <c r="N54" s="50">
        <v>0</v>
      </c>
      <c r="O54" s="15">
        <f t="shared" si="0"/>
        <v>7</v>
      </c>
      <c r="P54" s="15">
        <f t="shared" si="1"/>
        <v>22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21</v>
      </c>
      <c r="N55" s="50">
        <v>0</v>
      </c>
      <c r="O55" s="15">
        <f t="shared" si="0"/>
        <v>2</v>
      </c>
      <c r="P55" s="15">
        <f t="shared" si="1"/>
        <v>23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21</v>
      </c>
      <c r="N56" s="50">
        <v>0</v>
      </c>
      <c r="O56" s="15">
        <f t="shared" si="0"/>
        <v>1</v>
      </c>
      <c r="P56" s="15">
        <f t="shared" si="1"/>
        <v>22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16</v>
      </c>
      <c r="N57" s="50">
        <v>0</v>
      </c>
      <c r="O57" s="15">
        <f t="shared" si="0"/>
        <v>3</v>
      </c>
      <c r="P57" s="15">
        <f t="shared" si="1"/>
        <v>19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51</v>
      </c>
      <c r="D58" s="16">
        <f t="shared" si="21"/>
        <v>0</v>
      </c>
      <c r="E58" s="16">
        <f t="shared" si="21"/>
        <v>39</v>
      </c>
      <c r="F58" s="16">
        <f t="shared" si="21"/>
        <v>23</v>
      </c>
      <c r="G58" s="16">
        <f t="shared" si="21"/>
        <v>1</v>
      </c>
      <c r="H58" s="16">
        <f t="shared" si="21"/>
        <v>0</v>
      </c>
      <c r="I58" s="16">
        <f t="shared" si="21"/>
        <v>64</v>
      </c>
      <c r="J58" s="16">
        <f t="shared" si="21"/>
        <v>1</v>
      </c>
      <c r="K58" s="16">
        <f t="shared" si="21"/>
        <v>0</v>
      </c>
      <c r="L58" s="16">
        <f t="shared" si="21"/>
        <v>0</v>
      </c>
      <c r="M58" s="16">
        <f t="shared" si="21"/>
        <v>840</v>
      </c>
      <c r="N58" s="16">
        <f t="shared" si="21"/>
        <v>0</v>
      </c>
      <c r="O58" s="16">
        <f t="shared" si="21"/>
        <v>179</v>
      </c>
      <c r="P58" s="16">
        <f t="shared" si="21"/>
        <v>1019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5.0049067713444556E-2</v>
      </c>
      <c r="D59" s="43">
        <f t="shared" si="22"/>
        <v>0</v>
      </c>
      <c r="E59" s="43">
        <f t="shared" si="22"/>
        <v>3.8272816486751716E-2</v>
      </c>
      <c r="F59" s="43">
        <f t="shared" si="22"/>
        <v>2.2571148184494603E-2</v>
      </c>
      <c r="G59" s="43">
        <f t="shared" si="22"/>
        <v>9.813542688910696E-4</v>
      </c>
      <c r="H59" s="43">
        <f t="shared" si="22"/>
        <v>0</v>
      </c>
      <c r="I59" s="43">
        <f t="shared" si="22"/>
        <v>6.2806673209028455E-2</v>
      </c>
      <c r="J59" s="43">
        <f t="shared" si="22"/>
        <v>9.813542688910696E-4</v>
      </c>
      <c r="K59" s="43">
        <f t="shared" si="22"/>
        <v>0</v>
      </c>
      <c r="L59" s="43">
        <f t="shared" si="22"/>
        <v>0</v>
      </c>
      <c r="M59" s="43">
        <f t="shared" si="22"/>
        <v>0.82433758586849848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0.28491620111731841</v>
      </c>
      <c r="D60" s="44">
        <f t="shared" ref="D60:N60" si="23">D58/$O$58</f>
        <v>0</v>
      </c>
      <c r="E60" s="44">
        <f t="shared" si="23"/>
        <v>0.21787709497206703</v>
      </c>
      <c r="F60" s="44">
        <f t="shared" si="23"/>
        <v>0.12849162011173185</v>
      </c>
      <c r="G60" s="44">
        <f t="shared" si="23"/>
        <v>5.5865921787709499E-3</v>
      </c>
      <c r="H60" s="44">
        <f t="shared" si="23"/>
        <v>0</v>
      </c>
      <c r="I60" s="44">
        <f t="shared" si="23"/>
        <v>0.35754189944134079</v>
      </c>
      <c r="J60" s="44">
        <f t="shared" si="23"/>
        <v>5.5865921787709499E-3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topLeftCell="A7" zoomScale="60" workbookViewId="0">
      <selection activeCell="K17" sqref="K1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'11.8 KAMPALA-BUSUNJU'!C3:G3</f>
        <v>MCC-C3-STN-HOIMA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64" t="str">
        <f>'13.8 BUSUNJU-KAMPALA'!G5:H5</f>
        <v>WAKISO</v>
      </c>
      <c r="H5" s="65"/>
      <c r="I5" s="14"/>
      <c r="J5" s="2" t="s">
        <v>5</v>
      </c>
      <c r="K5" s="64">
        <f>'13.8 BUSUNJU-KAMPALA'!K5:L5</f>
        <v>0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'11.8 KAMPALA-BUSUNJU'!D6:E6</f>
        <v>KAMPALA</v>
      </c>
      <c r="E6" s="65"/>
      <c r="F6" s="2" t="s">
        <v>2</v>
      </c>
      <c r="G6" s="64" t="str">
        <f>'11.8 KAMPALA-BUSUNJU'!G6:H6</f>
        <v>BUSUNJU</v>
      </c>
      <c r="H6" s="65"/>
      <c r="J6" s="2" t="s">
        <v>21</v>
      </c>
      <c r="K6" s="64">
        <f>'13.8 BUSUNJU-KAMPALA'!K6:L6</f>
        <v>0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9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11</v>
      </c>
      <c r="R10" s="1" t="s">
        <v>6</v>
      </c>
      <c r="S10" s="17">
        <f t="shared" ref="S10:AF10" si="2">SUM(C10:C13)</f>
        <v>4</v>
      </c>
      <c r="T10" s="17">
        <f t="shared" si="2"/>
        <v>0</v>
      </c>
      <c r="U10" s="17">
        <f t="shared" si="2"/>
        <v>3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42</v>
      </c>
      <c r="AD10" s="17">
        <f t="shared" si="2"/>
        <v>0</v>
      </c>
      <c r="AE10" s="31">
        <f t="shared" si="2"/>
        <v>9</v>
      </c>
      <c r="AF10" s="31">
        <f t="shared" si="2"/>
        <v>51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13</v>
      </c>
      <c r="N11" s="50">
        <v>0</v>
      </c>
      <c r="O11" s="15">
        <f t="shared" si="0"/>
        <v>2</v>
      </c>
      <c r="P11" s="15">
        <f t="shared" si="1"/>
        <v>15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5</v>
      </c>
      <c r="V11" s="17">
        <f t="shared" si="3"/>
        <v>1</v>
      </c>
      <c r="W11" s="17">
        <f t="shared" si="3"/>
        <v>1</v>
      </c>
      <c r="X11" s="17">
        <f t="shared" si="3"/>
        <v>0</v>
      </c>
      <c r="Y11" s="17">
        <f t="shared" si="3"/>
        <v>5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60</v>
      </c>
      <c r="AD11" s="17">
        <f t="shared" si="3"/>
        <v>0</v>
      </c>
      <c r="AE11" s="31">
        <f t="shared" si="3"/>
        <v>14</v>
      </c>
      <c r="AF11" s="31">
        <f t="shared" si="3"/>
        <v>74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11</v>
      </c>
      <c r="N12" s="50">
        <v>0</v>
      </c>
      <c r="O12" s="15">
        <f t="shared" si="0"/>
        <v>2</v>
      </c>
      <c r="P12" s="15">
        <f t="shared" si="1"/>
        <v>13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64</v>
      </c>
      <c r="AD12" s="17">
        <f t="shared" si="4"/>
        <v>0</v>
      </c>
      <c r="AE12" s="31">
        <f t="shared" si="4"/>
        <v>7</v>
      </c>
      <c r="AF12" s="31">
        <f t="shared" si="4"/>
        <v>71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9</v>
      </c>
      <c r="N13" s="50">
        <v>0</v>
      </c>
      <c r="O13" s="15">
        <f t="shared" si="0"/>
        <v>3</v>
      </c>
      <c r="P13" s="15">
        <f t="shared" si="1"/>
        <v>12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4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36</v>
      </c>
      <c r="AD13" s="17">
        <f t="shared" si="5"/>
        <v>0</v>
      </c>
      <c r="AE13" s="31">
        <f t="shared" si="5"/>
        <v>8</v>
      </c>
      <c r="AF13" s="31">
        <f t="shared" si="5"/>
        <v>44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10</v>
      </c>
      <c r="N14" s="50">
        <v>0</v>
      </c>
      <c r="O14" s="15">
        <f t="shared" si="0"/>
        <v>1</v>
      </c>
      <c r="P14" s="15">
        <f t="shared" si="1"/>
        <v>11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2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42</v>
      </c>
      <c r="AD14" s="17">
        <f t="shared" si="6"/>
        <v>0</v>
      </c>
      <c r="AE14" s="31">
        <f t="shared" si="6"/>
        <v>10</v>
      </c>
      <c r="AF14" s="31">
        <f t="shared" si="6"/>
        <v>52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1</v>
      </c>
      <c r="F15" s="50">
        <v>1</v>
      </c>
      <c r="G15" s="50">
        <v>1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10</v>
      </c>
      <c r="N15" s="50">
        <v>0</v>
      </c>
      <c r="O15" s="15">
        <f t="shared" si="0"/>
        <v>4</v>
      </c>
      <c r="P15" s="15">
        <f t="shared" si="1"/>
        <v>14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6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7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51</v>
      </c>
      <c r="AD15" s="17">
        <f t="shared" si="7"/>
        <v>0</v>
      </c>
      <c r="AE15" s="31">
        <f t="shared" si="7"/>
        <v>17</v>
      </c>
      <c r="AF15" s="31">
        <f t="shared" si="7"/>
        <v>68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2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22</v>
      </c>
      <c r="N16" s="50">
        <v>0</v>
      </c>
      <c r="O16" s="15">
        <f t="shared" si="0"/>
        <v>4</v>
      </c>
      <c r="P16" s="15">
        <f t="shared" si="1"/>
        <v>26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3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42</v>
      </c>
      <c r="AD16" s="17">
        <f t="shared" si="8"/>
        <v>0</v>
      </c>
      <c r="AE16" s="31">
        <f t="shared" si="8"/>
        <v>13</v>
      </c>
      <c r="AF16" s="31">
        <f t="shared" si="8"/>
        <v>55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18</v>
      </c>
      <c r="N17" s="50">
        <v>0</v>
      </c>
      <c r="O17" s="15">
        <f t="shared" si="0"/>
        <v>5</v>
      </c>
      <c r="P17" s="15">
        <f t="shared" si="1"/>
        <v>23</v>
      </c>
      <c r="R17" s="1" t="s">
        <v>13</v>
      </c>
      <c r="S17" s="17">
        <f t="shared" ref="S17:AF17" si="9">SUM(C38:C41)</f>
        <v>4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44</v>
      </c>
      <c r="AD17" s="17">
        <f t="shared" si="9"/>
        <v>0</v>
      </c>
      <c r="AE17" s="31">
        <f t="shared" si="9"/>
        <v>10</v>
      </c>
      <c r="AF17" s="31">
        <f t="shared" si="9"/>
        <v>54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20</v>
      </c>
      <c r="N18" s="50">
        <v>0</v>
      </c>
      <c r="O18" s="15">
        <f t="shared" si="0"/>
        <v>2</v>
      </c>
      <c r="P18" s="15">
        <f t="shared" si="1"/>
        <v>22</v>
      </c>
      <c r="R18" s="1" t="s">
        <v>14</v>
      </c>
      <c r="S18" s="17">
        <f t="shared" ref="S18:AF18" si="10">SUM(C42:C45)</f>
        <v>5</v>
      </c>
      <c r="T18" s="17">
        <f t="shared" si="10"/>
        <v>0</v>
      </c>
      <c r="U18" s="17">
        <f t="shared" si="10"/>
        <v>5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52</v>
      </c>
      <c r="AD18" s="17">
        <f t="shared" si="10"/>
        <v>0</v>
      </c>
      <c r="AE18" s="31">
        <f t="shared" si="10"/>
        <v>20</v>
      </c>
      <c r="AF18" s="31">
        <f t="shared" si="10"/>
        <v>72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15</v>
      </c>
      <c r="N19" s="50">
        <v>0</v>
      </c>
      <c r="O19" s="15">
        <f t="shared" si="0"/>
        <v>1</v>
      </c>
      <c r="P19" s="15">
        <f t="shared" si="1"/>
        <v>16</v>
      </c>
      <c r="R19" s="1" t="s">
        <v>15</v>
      </c>
      <c r="S19" s="17">
        <f t="shared" ref="S19:AF19" si="11">SUM(C46:C49)</f>
        <v>4</v>
      </c>
      <c r="T19" s="17">
        <f t="shared" si="11"/>
        <v>0</v>
      </c>
      <c r="U19" s="17">
        <f t="shared" si="11"/>
        <v>5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53</v>
      </c>
      <c r="AD19" s="17">
        <f t="shared" si="11"/>
        <v>0</v>
      </c>
      <c r="AE19" s="31">
        <f t="shared" si="11"/>
        <v>14</v>
      </c>
      <c r="AF19" s="31">
        <f t="shared" si="11"/>
        <v>67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13</v>
      </c>
      <c r="N20" s="50">
        <v>0</v>
      </c>
      <c r="O20" s="15">
        <f t="shared" si="0"/>
        <v>2</v>
      </c>
      <c r="P20" s="15">
        <f t="shared" si="1"/>
        <v>15</v>
      </c>
      <c r="R20" s="1" t="s">
        <v>16</v>
      </c>
      <c r="S20" s="17">
        <f t="shared" ref="S20:AF20" si="12">SUM(C50:C53)</f>
        <v>1</v>
      </c>
      <c r="T20" s="17">
        <f t="shared" si="12"/>
        <v>0</v>
      </c>
      <c r="U20" s="17">
        <f t="shared" si="12"/>
        <v>3</v>
      </c>
      <c r="V20" s="17">
        <f t="shared" si="12"/>
        <v>4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54</v>
      </c>
      <c r="AD20" s="17">
        <f t="shared" si="12"/>
        <v>0</v>
      </c>
      <c r="AE20" s="31">
        <f t="shared" si="12"/>
        <v>14</v>
      </c>
      <c r="AF20" s="31">
        <f t="shared" si="12"/>
        <v>68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16</v>
      </c>
      <c r="N21" s="50">
        <v>0</v>
      </c>
      <c r="O21" s="15">
        <f t="shared" si="0"/>
        <v>2</v>
      </c>
      <c r="P21" s="15">
        <f t="shared" si="1"/>
        <v>18</v>
      </c>
      <c r="R21" s="36" t="s">
        <v>20</v>
      </c>
      <c r="S21" s="34">
        <f t="shared" ref="S21:AF21" si="13">SUM(C54:C57)</f>
        <v>9</v>
      </c>
      <c r="T21" s="17">
        <f t="shared" si="13"/>
        <v>0</v>
      </c>
      <c r="U21" s="17">
        <f t="shared" si="13"/>
        <v>4</v>
      </c>
      <c r="V21" s="17">
        <f t="shared" si="13"/>
        <v>1</v>
      </c>
      <c r="W21" s="17">
        <f t="shared" si="13"/>
        <v>1</v>
      </c>
      <c r="X21" s="17">
        <f t="shared" si="13"/>
        <v>0</v>
      </c>
      <c r="Y21" s="17">
        <f t="shared" si="13"/>
        <v>5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60</v>
      </c>
      <c r="AD21" s="17">
        <f t="shared" si="13"/>
        <v>0</v>
      </c>
      <c r="AE21" s="31">
        <f t="shared" si="13"/>
        <v>20</v>
      </c>
      <c r="AF21" s="31">
        <f t="shared" si="13"/>
        <v>80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9</v>
      </c>
      <c r="N22" s="50">
        <v>0</v>
      </c>
      <c r="O22" s="15">
        <f t="shared" si="0"/>
        <v>1</v>
      </c>
      <c r="P22" s="15">
        <f t="shared" si="1"/>
        <v>10</v>
      </c>
      <c r="R22" s="38" t="s">
        <v>90</v>
      </c>
      <c r="S22" s="39">
        <f>MAX(S10:S12)</f>
        <v>4</v>
      </c>
      <c r="T22" s="39">
        <f t="shared" ref="T22:AF22" si="14">MAX(T10:T12)</f>
        <v>0</v>
      </c>
      <c r="U22" s="39">
        <f t="shared" si="14"/>
        <v>5</v>
      </c>
      <c r="V22" s="39">
        <f t="shared" si="14"/>
        <v>1</v>
      </c>
      <c r="W22" s="39">
        <f t="shared" si="14"/>
        <v>1</v>
      </c>
      <c r="X22" s="39">
        <f t="shared" si="14"/>
        <v>0</v>
      </c>
      <c r="Y22" s="39">
        <f t="shared" si="14"/>
        <v>5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64</v>
      </c>
      <c r="AD22" s="39">
        <f t="shared" si="14"/>
        <v>0</v>
      </c>
      <c r="AE22" s="40">
        <f t="shared" si="14"/>
        <v>14</v>
      </c>
      <c r="AF22" s="40">
        <f t="shared" si="14"/>
        <v>74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2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8</v>
      </c>
      <c r="N23" s="50">
        <v>0</v>
      </c>
      <c r="O23" s="15">
        <f t="shared" si="0"/>
        <v>4</v>
      </c>
      <c r="P23" s="15">
        <f t="shared" si="1"/>
        <v>12</v>
      </c>
      <c r="R23" s="38" t="s">
        <v>91</v>
      </c>
      <c r="S23" s="39">
        <f>MAX(S13:S18)</f>
        <v>5</v>
      </c>
      <c r="T23" s="39">
        <f t="shared" ref="T23:AF23" si="15">MAX(T13:T18)</f>
        <v>0</v>
      </c>
      <c r="U23" s="39">
        <f t="shared" si="15"/>
        <v>6</v>
      </c>
      <c r="V23" s="39">
        <f t="shared" si="15"/>
        <v>3</v>
      </c>
      <c r="W23" s="39">
        <f t="shared" si="15"/>
        <v>0</v>
      </c>
      <c r="X23" s="39">
        <f t="shared" si="15"/>
        <v>0</v>
      </c>
      <c r="Y23" s="39">
        <f t="shared" si="15"/>
        <v>7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52</v>
      </c>
      <c r="AD23" s="39">
        <f t="shared" si="15"/>
        <v>0</v>
      </c>
      <c r="AE23" s="40">
        <f t="shared" si="15"/>
        <v>20</v>
      </c>
      <c r="AF23" s="40">
        <f t="shared" si="15"/>
        <v>72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13</v>
      </c>
      <c r="N24" s="50">
        <v>0</v>
      </c>
      <c r="O24" s="15">
        <f t="shared" si="0"/>
        <v>1</v>
      </c>
      <c r="P24" s="15">
        <f t="shared" si="1"/>
        <v>14</v>
      </c>
      <c r="R24" s="38" t="s">
        <v>92</v>
      </c>
      <c r="S24" s="39">
        <f>MAX(S19:S21)</f>
        <v>9</v>
      </c>
      <c r="T24" s="39">
        <f t="shared" ref="T24:AF24" si="16">MAX(T19:T21)</f>
        <v>0</v>
      </c>
      <c r="U24" s="39">
        <f t="shared" si="16"/>
        <v>5</v>
      </c>
      <c r="V24" s="39">
        <f t="shared" si="16"/>
        <v>4</v>
      </c>
      <c r="W24" s="39">
        <f t="shared" si="16"/>
        <v>1</v>
      </c>
      <c r="X24" s="39">
        <f t="shared" si="16"/>
        <v>0</v>
      </c>
      <c r="Y24" s="39">
        <f t="shared" si="16"/>
        <v>5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60</v>
      </c>
      <c r="AD24" s="39">
        <f t="shared" si="16"/>
        <v>0</v>
      </c>
      <c r="AE24" s="40">
        <f t="shared" si="16"/>
        <v>20</v>
      </c>
      <c r="AF24" s="40">
        <f t="shared" si="16"/>
        <v>80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6</v>
      </c>
      <c r="N25" s="50">
        <v>0</v>
      </c>
      <c r="O25" s="15">
        <f t="shared" si="0"/>
        <v>2</v>
      </c>
      <c r="P25" s="15">
        <f t="shared" si="1"/>
        <v>8</v>
      </c>
      <c r="R25" s="37" t="s">
        <v>85</v>
      </c>
      <c r="S25" s="35">
        <f t="shared" ref="S25:AF25" si="17">SUM(S10:S12)</f>
        <v>8</v>
      </c>
      <c r="T25" s="16">
        <f t="shared" si="17"/>
        <v>0</v>
      </c>
      <c r="U25" s="16">
        <f t="shared" si="17"/>
        <v>10</v>
      </c>
      <c r="V25" s="16">
        <f t="shared" si="17"/>
        <v>2</v>
      </c>
      <c r="W25" s="16">
        <f t="shared" si="17"/>
        <v>1</v>
      </c>
      <c r="X25" s="16">
        <f t="shared" si="17"/>
        <v>0</v>
      </c>
      <c r="Y25" s="16">
        <f t="shared" si="17"/>
        <v>9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166</v>
      </c>
      <c r="AD25" s="16">
        <f t="shared" si="17"/>
        <v>0</v>
      </c>
      <c r="AE25" s="32">
        <f t="shared" si="17"/>
        <v>30</v>
      </c>
      <c r="AF25" s="32">
        <f t="shared" si="17"/>
        <v>196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8</v>
      </c>
      <c r="N26" s="50">
        <v>0</v>
      </c>
      <c r="O26" s="15">
        <f t="shared" si="0"/>
        <v>3</v>
      </c>
      <c r="P26" s="15">
        <f t="shared" si="1"/>
        <v>11</v>
      </c>
      <c r="R26" s="28" t="s">
        <v>86</v>
      </c>
      <c r="S26" s="16">
        <f t="shared" ref="S26:AF26" si="18">SUM(S13:S18)</f>
        <v>23</v>
      </c>
      <c r="T26" s="16">
        <f t="shared" si="18"/>
        <v>0</v>
      </c>
      <c r="U26" s="16">
        <f t="shared" si="18"/>
        <v>20</v>
      </c>
      <c r="V26" s="16">
        <f t="shared" si="18"/>
        <v>7</v>
      </c>
      <c r="W26" s="16">
        <f t="shared" si="18"/>
        <v>0</v>
      </c>
      <c r="X26" s="16">
        <f t="shared" si="18"/>
        <v>0</v>
      </c>
      <c r="Y26" s="16">
        <f t="shared" si="18"/>
        <v>27</v>
      </c>
      <c r="Z26" s="16">
        <f t="shared" si="18"/>
        <v>1</v>
      </c>
      <c r="AA26" s="16">
        <f t="shared" si="18"/>
        <v>0</v>
      </c>
      <c r="AB26" s="16">
        <f t="shared" si="18"/>
        <v>0</v>
      </c>
      <c r="AC26" s="16">
        <f t="shared" si="18"/>
        <v>267</v>
      </c>
      <c r="AD26" s="16">
        <f t="shared" si="18"/>
        <v>0</v>
      </c>
      <c r="AE26" s="32">
        <f t="shared" si="18"/>
        <v>78</v>
      </c>
      <c r="AF26" s="32">
        <f t="shared" si="18"/>
        <v>345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9</v>
      </c>
      <c r="N27" s="50">
        <v>0</v>
      </c>
      <c r="O27" s="15">
        <f t="shared" si="0"/>
        <v>1</v>
      </c>
      <c r="P27" s="15">
        <f t="shared" si="1"/>
        <v>10</v>
      </c>
      <c r="R27" s="29" t="s">
        <v>87</v>
      </c>
      <c r="S27" s="16">
        <f t="shared" ref="S27:AF27" si="19">SUM(S19:S21)</f>
        <v>14</v>
      </c>
      <c r="T27" s="16">
        <f t="shared" si="19"/>
        <v>0</v>
      </c>
      <c r="U27" s="16">
        <f t="shared" si="19"/>
        <v>12</v>
      </c>
      <c r="V27" s="16">
        <f t="shared" si="19"/>
        <v>6</v>
      </c>
      <c r="W27" s="16">
        <f t="shared" si="19"/>
        <v>1</v>
      </c>
      <c r="X27" s="16">
        <f t="shared" si="19"/>
        <v>0</v>
      </c>
      <c r="Y27" s="16">
        <f t="shared" si="19"/>
        <v>14</v>
      </c>
      <c r="Z27" s="16">
        <f t="shared" si="19"/>
        <v>1</v>
      </c>
      <c r="AA27" s="16">
        <f t="shared" si="19"/>
        <v>0</v>
      </c>
      <c r="AB27" s="16">
        <f t="shared" si="19"/>
        <v>0</v>
      </c>
      <c r="AC27" s="16">
        <f t="shared" si="19"/>
        <v>167</v>
      </c>
      <c r="AD27" s="16">
        <f t="shared" si="19"/>
        <v>0</v>
      </c>
      <c r="AE27" s="32">
        <f t="shared" si="19"/>
        <v>48</v>
      </c>
      <c r="AF27" s="32">
        <f t="shared" si="19"/>
        <v>215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1</v>
      </c>
      <c r="F28" s="50">
        <v>2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14</v>
      </c>
      <c r="N28" s="50">
        <v>0</v>
      </c>
      <c r="O28" s="15">
        <f t="shared" si="0"/>
        <v>6</v>
      </c>
      <c r="P28" s="15">
        <f t="shared" si="1"/>
        <v>20</v>
      </c>
      <c r="R28" s="5" t="s">
        <v>17</v>
      </c>
      <c r="S28" s="16">
        <f t="shared" ref="S28:AF28" si="20">SUM(S10:S21)</f>
        <v>45</v>
      </c>
      <c r="T28" s="16">
        <f t="shared" si="20"/>
        <v>0</v>
      </c>
      <c r="U28" s="16">
        <f t="shared" si="20"/>
        <v>42</v>
      </c>
      <c r="V28" s="16">
        <f t="shared" si="20"/>
        <v>15</v>
      </c>
      <c r="W28" s="16">
        <f t="shared" si="20"/>
        <v>2</v>
      </c>
      <c r="X28" s="16">
        <f t="shared" si="20"/>
        <v>0</v>
      </c>
      <c r="Y28" s="16">
        <f t="shared" si="20"/>
        <v>50</v>
      </c>
      <c r="Z28" s="16">
        <f t="shared" si="20"/>
        <v>2</v>
      </c>
      <c r="AA28" s="16">
        <f t="shared" si="20"/>
        <v>0</v>
      </c>
      <c r="AB28" s="16">
        <f t="shared" si="20"/>
        <v>0</v>
      </c>
      <c r="AC28" s="16">
        <f t="shared" si="20"/>
        <v>600</v>
      </c>
      <c r="AD28" s="16">
        <f t="shared" si="20"/>
        <v>0</v>
      </c>
      <c r="AE28" s="32">
        <f t="shared" si="20"/>
        <v>156</v>
      </c>
      <c r="AF28" s="32">
        <f t="shared" si="20"/>
        <v>756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11</v>
      </c>
      <c r="N29" s="50">
        <v>0</v>
      </c>
      <c r="O29" s="15">
        <f t="shared" si="0"/>
        <v>0</v>
      </c>
      <c r="P29" s="15">
        <f t="shared" si="1"/>
        <v>11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3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9</v>
      </c>
      <c r="N30" s="50">
        <v>0</v>
      </c>
      <c r="O30" s="15">
        <f t="shared" si="0"/>
        <v>3</v>
      </c>
      <c r="P30" s="15">
        <f t="shared" si="1"/>
        <v>12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13</v>
      </c>
      <c r="N31" s="50">
        <v>0</v>
      </c>
      <c r="O31" s="15">
        <f t="shared" si="0"/>
        <v>3</v>
      </c>
      <c r="P31" s="15">
        <f t="shared" si="1"/>
        <v>16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2</v>
      </c>
      <c r="F32" s="50">
        <v>1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0</v>
      </c>
      <c r="M32" s="50">
        <v>12</v>
      </c>
      <c r="N32" s="50">
        <v>0</v>
      </c>
      <c r="O32" s="15">
        <f t="shared" si="0"/>
        <v>8</v>
      </c>
      <c r="P32" s="15">
        <f t="shared" si="1"/>
        <v>20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17</v>
      </c>
      <c r="N33" s="50">
        <v>0</v>
      </c>
      <c r="O33" s="15">
        <f t="shared" si="0"/>
        <v>3</v>
      </c>
      <c r="P33" s="15">
        <f t="shared" si="1"/>
        <v>20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10</v>
      </c>
      <c r="N34" s="50">
        <v>0</v>
      </c>
      <c r="O34" s="15">
        <f t="shared" si="0"/>
        <v>3</v>
      </c>
      <c r="P34" s="15">
        <f t="shared" si="1"/>
        <v>13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3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13</v>
      </c>
      <c r="N35" s="50">
        <v>0</v>
      </c>
      <c r="O35" s="15">
        <f t="shared" si="0"/>
        <v>4</v>
      </c>
      <c r="P35" s="15">
        <f t="shared" si="1"/>
        <v>17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11</v>
      </c>
      <c r="N36" s="50">
        <v>0</v>
      </c>
      <c r="O36" s="15">
        <f t="shared" si="0"/>
        <v>4</v>
      </c>
      <c r="P36" s="15">
        <f t="shared" si="1"/>
        <v>15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8</v>
      </c>
      <c r="N37" s="50">
        <v>0</v>
      </c>
      <c r="O37" s="15">
        <f t="shared" si="0"/>
        <v>2</v>
      </c>
      <c r="P37" s="15">
        <f t="shared" si="1"/>
        <v>10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13</v>
      </c>
      <c r="N38" s="50">
        <v>0</v>
      </c>
      <c r="O38" s="15">
        <f t="shared" si="0"/>
        <v>3</v>
      </c>
      <c r="P38" s="15">
        <f t="shared" si="1"/>
        <v>16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10</v>
      </c>
      <c r="N39" s="50">
        <v>0</v>
      </c>
      <c r="O39" s="15">
        <f t="shared" si="0"/>
        <v>4</v>
      </c>
      <c r="P39" s="15">
        <f t="shared" si="1"/>
        <v>14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13</v>
      </c>
      <c r="N40" s="50">
        <v>0</v>
      </c>
      <c r="O40" s="15">
        <f t="shared" si="0"/>
        <v>2</v>
      </c>
      <c r="P40" s="15">
        <f t="shared" si="1"/>
        <v>15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8</v>
      </c>
      <c r="N41" s="50">
        <v>0</v>
      </c>
      <c r="O41" s="15">
        <f t="shared" si="0"/>
        <v>1</v>
      </c>
      <c r="P41" s="15">
        <f t="shared" si="1"/>
        <v>9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1</v>
      </c>
      <c r="F42" s="50">
        <v>2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19</v>
      </c>
      <c r="N42" s="50">
        <v>0</v>
      </c>
      <c r="O42" s="15">
        <f t="shared" si="0"/>
        <v>5</v>
      </c>
      <c r="P42" s="15">
        <f t="shared" si="1"/>
        <v>24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12</v>
      </c>
      <c r="N43" s="50">
        <v>0</v>
      </c>
      <c r="O43" s="15">
        <f t="shared" si="0"/>
        <v>1</v>
      </c>
      <c r="P43" s="15">
        <f t="shared" si="1"/>
        <v>13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15</v>
      </c>
      <c r="N44" s="50">
        <v>0</v>
      </c>
      <c r="O44" s="15">
        <f t="shared" si="0"/>
        <v>5</v>
      </c>
      <c r="P44" s="15">
        <f t="shared" si="1"/>
        <v>20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3</v>
      </c>
      <c r="F45" s="50">
        <v>0</v>
      </c>
      <c r="G45" s="50">
        <v>0</v>
      </c>
      <c r="H45" s="50">
        <v>0</v>
      </c>
      <c r="I45" s="50">
        <v>4</v>
      </c>
      <c r="J45" s="50">
        <v>0</v>
      </c>
      <c r="K45" s="50">
        <v>0</v>
      </c>
      <c r="L45" s="50">
        <v>0</v>
      </c>
      <c r="M45" s="50">
        <v>6</v>
      </c>
      <c r="N45" s="50">
        <v>0</v>
      </c>
      <c r="O45" s="15">
        <f t="shared" si="0"/>
        <v>9</v>
      </c>
      <c r="P45" s="15">
        <f t="shared" si="1"/>
        <v>15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16</v>
      </c>
      <c r="N46" s="50">
        <v>0</v>
      </c>
      <c r="O46" s="15">
        <f t="shared" si="0"/>
        <v>2</v>
      </c>
      <c r="P46" s="15">
        <f t="shared" si="1"/>
        <v>18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2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8</v>
      </c>
      <c r="N47" s="50">
        <v>0</v>
      </c>
      <c r="O47" s="15">
        <f t="shared" si="0"/>
        <v>4</v>
      </c>
      <c r="P47" s="15">
        <f t="shared" si="1"/>
        <v>12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2</v>
      </c>
      <c r="F48" s="50">
        <v>0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18</v>
      </c>
      <c r="N48" s="50">
        <v>0</v>
      </c>
      <c r="O48" s="15">
        <f t="shared" si="0"/>
        <v>6</v>
      </c>
      <c r="P48" s="15">
        <f t="shared" si="1"/>
        <v>24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11</v>
      </c>
      <c r="N49" s="50">
        <v>0</v>
      </c>
      <c r="O49" s="15">
        <f t="shared" si="0"/>
        <v>2</v>
      </c>
      <c r="P49" s="15">
        <f t="shared" si="1"/>
        <v>13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15</v>
      </c>
      <c r="N50" s="50">
        <v>0</v>
      </c>
      <c r="O50" s="15">
        <f t="shared" si="0"/>
        <v>1</v>
      </c>
      <c r="P50" s="15">
        <f t="shared" si="1"/>
        <v>16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50">
        <v>1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3</v>
      </c>
      <c r="P51" s="15">
        <f t="shared" si="1"/>
        <v>8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1</v>
      </c>
      <c r="F52" s="50">
        <v>2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20</v>
      </c>
      <c r="N52" s="50">
        <v>0</v>
      </c>
      <c r="O52" s="15">
        <f t="shared" si="0"/>
        <v>6</v>
      </c>
      <c r="P52" s="15">
        <f t="shared" si="1"/>
        <v>26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2</v>
      </c>
      <c r="F53" s="50">
        <v>2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14</v>
      </c>
      <c r="N53" s="50">
        <v>0</v>
      </c>
      <c r="O53" s="15">
        <f t="shared" si="0"/>
        <v>4</v>
      </c>
      <c r="P53" s="15">
        <f t="shared" si="1"/>
        <v>18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1</v>
      </c>
      <c r="F54" s="50">
        <v>1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18</v>
      </c>
      <c r="N54" s="50">
        <v>0</v>
      </c>
      <c r="O54" s="15">
        <f t="shared" si="0"/>
        <v>4</v>
      </c>
      <c r="P54" s="15">
        <f t="shared" si="1"/>
        <v>22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1</v>
      </c>
      <c r="F55" s="50">
        <v>0</v>
      </c>
      <c r="G55" s="50">
        <v>1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9</v>
      </c>
      <c r="N55" s="50">
        <v>0</v>
      </c>
      <c r="O55" s="15">
        <f t="shared" si="0"/>
        <v>4</v>
      </c>
      <c r="P55" s="15">
        <f t="shared" si="1"/>
        <v>13</v>
      </c>
      <c r="R55" s="8"/>
      <c r="T55"/>
    </row>
    <row r="56" spans="2:20" ht="23.1" customHeight="1" x14ac:dyDescent="0.25">
      <c r="B56" s="23" t="s">
        <v>83</v>
      </c>
      <c r="C56" s="50">
        <v>5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15</v>
      </c>
      <c r="N56" s="50">
        <v>0</v>
      </c>
      <c r="O56" s="15">
        <f t="shared" si="0"/>
        <v>9</v>
      </c>
      <c r="P56" s="15">
        <f t="shared" si="1"/>
        <v>24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18</v>
      </c>
      <c r="N57" s="50">
        <v>0</v>
      </c>
      <c r="O57" s="15">
        <f t="shared" si="0"/>
        <v>3</v>
      </c>
      <c r="P57" s="15">
        <f t="shared" si="1"/>
        <v>21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45</v>
      </c>
      <c r="D58" s="16">
        <f t="shared" si="21"/>
        <v>0</v>
      </c>
      <c r="E58" s="16">
        <f t="shared" si="21"/>
        <v>42</v>
      </c>
      <c r="F58" s="16">
        <f t="shared" si="21"/>
        <v>15</v>
      </c>
      <c r="G58" s="16">
        <f t="shared" si="21"/>
        <v>2</v>
      </c>
      <c r="H58" s="16">
        <f t="shared" si="21"/>
        <v>0</v>
      </c>
      <c r="I58" s="16">
        <f t="shared" si="21"/>
        <v>50</v>
      </c>
      <c r="J58" s="16">
        <f t="shared" si="21"/>
        <v>2</v>
      </c>
      <c r="K58" s="16">
        <f t="shared" si="21"/>
        <v>0</v>
      </c>
      <c r="L58" s="16">
        <f t="shared" si="21"/>
        <v>0</v>
      </c>
      <c r="M58" s="16">
        <f t="shared" si="21"/>
        <v>600</v>
      </c>
      <c r="N58" s="16">
        <f t="shared" si="21"/>
        <v>0</v>
      </c>
      <c r="O58" s="16">
        <f t="shared" si="21"/>
        <v>156</v>
      </c>
      <c r="P58" s="16">
        <f t="shared" si="21"/>
        <v>756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5.9523809523809521E-2</v>
      </c>
      <c r="D59" s="43">
        <f t="shared" si="22"/>
        <v>0</v>
      </c>
      <c r="E59" s="43">
        <f t="shared" si="22"/>
        <v>5.5555555555555552E-2</v>
      </c>
      <c r="F59" s="43">
        <f t="shared" si="22"/>
        <v>1.984126984126984E-2</v>
      </c>
      <c r="G59" s="43">
        <f t="shared" si="22"/>
        <v>2.6455026455026454E-3</v>
      </c>
      <c r="H59" s="43">
        <f t="shared" si="22"/>
        <v>0</v>
      </c>
      <c r="I59" s="43">
        <f t="shared" si="22"/>
        <v>6.6137566137566134E-2</v>
      </c>
      <c r="J59" s="43">
        <f t="shared" si="22"/>
        <v>2.6455026455026454E-3</v>
      </c>
      <c r="K59" s="43">
        <f t="shared" si="22"/>
        <v>0</v>
      </c>
      <c r="L59" s="43">
        <f t="shared" si="22"/>
        <v>0</v>
      </c>
      <c r="M59" s="43">
        <f t="shared" si="22"/>
        <v>0.79365079365079361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0.28846153846153844</v>
      </c>
      <c r="D60" s="44">
        <f t="shared" ref="D60:N60" si="23">D58/$O$58</f>
        <v>0</v>
      </c>
      <c r="E60" s="44">
        <f t="shared" si="23"/>
        <v>0.26923076923076922</v>
      </c>
      <c r="F60" s="44">
        <f t="shared" si="23"/>
        <v>9.6153846153846159E-2</v>
      </c>
      <c r="G60" s="44">
        <f t="shared" si="23"/>
        <v>1.282051282051282E-2</v>
      </c>
      <c r="H60" s="44">
        <f t="shared" si="23"/>
        <v>0</v>
      </c>
      <c r="I60" s="44">
        <f t="shared" si="23"/>
        <v>0.32051282051282054</v>
      </c>
      <c r="J60" s="44">
        <f t="shared" si="23"/>
        <v>1.282051282051282E-2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topLeftCell="A43" zoomScale="60" workbookViewId="0">
      <selection activeCell="K38" sqref="K3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'11.8 BUSUNJU-KAMPALA'!C3:G3</f>
        <v>MCC-C3-STN-HOIMA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'14.8 KAMPALA-BUSUNJU'!D5</f>
        <v>25.07.19</v>
      </c>
      <c r="E5" s="3"/>
      <c r="F5" s="41" t="s">
        <v>1</v>
      </c>
      <c r="G5" s="64" t="str">
        <f>'14.8 KAMPALA-BUSUNJU'!G5:H5</f>
        <v>WAKISO</v>
      </c>
      <c r="H5" s="65"/>
      <c r="I5" s="14"/>
      <c r="J5" s="2" t="s">
        <v>5</v>
      </c>
      <c r="K5" s="64">
        <f>'14.8 KAMPALA-BUSUNJU'!K5:L5</f>
        <v>0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'11.8 BUSUNJU-KAMPALA'!D6:E6</f>
        <v>Makindye</v>
      </c>
      <c r="E6" s="65"/>
      <c r="F6" s="2" t="s">
        <v>2</v>
      </c>
      <c r="G6" s="64" t="str">
        <f>'11.8 BUSUNJU-KAMPALA'!G6:H6</f>
        <v>Kibuye</v>
      </c>
      <c r="H6" s="65"/>
      <c r="J6" s="2" t="s">
        <v>21</v>
      </c>
      <c r="K6" s="64">
        <f>'14.8 KAMPALA-BUSUNJU'!K6:L6</f>
        <v>0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8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10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1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33</v>
      </c>
      <c r="AD10" s="17">
        <f t="shared" si="2"/>
        <v>0</v>
      </c>
      <c r="AE10" s="31">
        <f t="shared" si="2"/>
        <v>4</v>
      </c>
      <c r="AF10" s="31">
        <f t="shared" si="2"/>
        <v>37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0</v>
      </c>
      <c r="P11" s="15">
        <f t="shared" si="1"/>
        <v>6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2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50</v>
      </c>
      <c r="AD11" s="17">
        <f t="shared" si="3"/>
        <v>0</v>
      </c>
      <c r="AE11" s="31">
        <f t="shared" si="3"/>
        <v>5</v>
      </c>
      <c r="AF11" s="31">
        <f t="shared" si="3"/>
        <v>55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12</v>
      </c>
      <c r="N12" s="50">
        <v>0</v>
      </c>
      <c r="O12" s="15">
        <f t="shared" si="0"/>
        <v>1</v>
      </c>
      <c r="P12" s="15">
        <f t="shared" si="1"/>
        <v>13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65</v>
      </c>
      <c r="AD12" s="17">
        <f t="shared" si="4"/>
        <v>0</v>
      </c>
      <c r="AE12" s="31">
        <f t="shared" si="4"/>
        <v>6</v>
      </c>
      <c r="AF12" s="31">
        <f t="shared" si="4"/>
        <v>71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7</v>
      </c>
      <c r="N13" s="50">
        <v>0</v>
      </c>
      <c r="O13" s="15">
        <f t="shared" si="0"/>
        <v>1</v>
      </c>
      <c r="P13" s="15">
        <f t="shared" si="1"/>
        <v>8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5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36</v>
      </c>
      <c r="AD13" s="17">
        <f t="shared" si="5"/>
        <v>0</v>
      </c>
      <c r="AE13" s="31">
        <f t="shared" si="5"/>
        <v>14</v>
      </c>
      <c r="AF13" s="31">
        <f t="shared" si="5"/>
        <v>50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1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8</v>
      </c>
      <c r="N14" s="50">
        <v>0</v>
      </c>
      <c r="O14" s="15">
        <f t="shared" si="0"/>
        <v>2</v>
      </c>
      <c r="P14" s="15">
        <f t="shared" si="1"/>
        <v>10</v>
      </c>
      <c r="R14" s="1" t="s">
        <v>10</v>
      </c>
      <c r="S14" s="17">
        <f t="shared" ref="S14:AF14" si="6">SUM(C26:C29)</f>
        <v>8</v>
      </c>
      <c r="T14" s="17">
        <f t="shared" si="6"/>
        <v>0</v>
      </c>
      <c r="U14" s="17">
        <f t="shared" si="6"/>
        <v>2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38</v>
      </c>
      <c r="AD14" s="17">
        <f t="shared" si="6"/>
        <v>0</v>
      </c>
      <c r="AE14" s="31">
        <f t="shared" si="6"/>
        <v>16</v>
      </c>
      <c r="AF14" s="31">
        <f t="shared" si="6"/>
        <v>54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12</v>
      </c>
      <c r="N15" s="50">
        <v>0</v>
      </c>
      <c r="O15" s="15">
        <f t="shared" si="0"/>
        <v>1</v>
      </c>
      <c r="P15" s="15">
        <f t="shared" si="1"/>
        <v>13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4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49</v>
      </c>
      <c r="AD15" s="17">
        <f t="shared" si="7"/>
        <v>0</v>
      </c>
      <c r="AE15" s="31">
        <f t="shared" si="7"/>
        <v>12</v>
      </c>
      <c r="AF15" s="31">
        <f t="shared" si="7"/>
        <v>61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15</v>
      </c>
      <c r="N16" s="50">
        <v>0</v>
      </c>
      <c r="O16" s="15">
        <f t="shared" si="0"/>
        <v>1</v>
      </c>
      <c r="P16" s="15">
        <f t="shared" si="1"/>
        <v>16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1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44</v>
      </c>
      <c r="AD16" s="17">
        <f t="shared" si="8"/>
        <v>0</v>
      </c>
      <c r="AE16" s="31">
        <f t="shared" si="8"/>
        <v>8</v>
      </c>
      <c r="AF16" s="31">
        <f t="shared" si="8"/>
        <v>52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15</v>
      </c>
      <c r="N17" s="50">
        <v>0</v>
      </c>
      <c r="O17" s="15">
        <f t="shared" si="0"/>
        <v>1</v>
      </c>
      <c r="P17" s="15">
        <f t="shared" si="1"/>
        <v>16</v>
      </c>
      <c r="R17" s="1" t="s">
        <v>13</v>
      </c>
      <c r="S17" s="17">
        <f t="shared" ref="S17:AF17" si="9">SUM(C38:C41)</f>
        <v>1</v>
      </c>
      <c r="T17" s="17">
        <f t="shared" si="9"/>
        <v>0</v>
      </c>
      <c r="U17" s="17">
        <f t="shared" si="9"/>
        <v>4</v>
      </c>
      <c r="V17" s="17">
        <f t="shared" si="9"/>
        <v>2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40</v>
      </c>
      <c r="AD17" s="17">
        <f t="shared" si="9"/>
        <v>0</v>
      </c>
      <c r="AE17" s="31">
        <f t="shared" si="9"/>
        <v>14</v>
      </c>
      <c r="AF17" s="31">
        <f t="shared" si="9"/>
        <v>54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15</v>
      </c>
      <c r="N18" s="50">
        <v>0</v>
      </c>
      <c r="O18" s="15">
        <f t="shared" si="0"/>
        <v>1</v>
      </c>
      <c r="P18" s="15">
        <f t="shared" si="1"/>
        <v>16</v>
      </c>
      <c r="R18" s="1" t="s">
        <v>14</v>
      </c>
      <c r="S18" s="17">
        <f t="shared" ref="S18:AF18" si="10">SUM(C42:C45)</f>
        <v>2</v>
      </c>
      <c r="T18" s="17">
        <f t="shared" si="10"/>
        <v>0</v>
      </c>
      <c r="U18" s="17">
        <f t="shared" si="10"/>
        <v>2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57</v>
      </c>
      <c r="AD18" s="17">
        <f t="shared" si="10"/>
        <v>0</v>
      </c>
      <c r="AE18" s="31">
        <f t="shared" si="10"/>
        <v>10</v>
      </c>
      <c r="AF18" s="31">
        <f t="shared" si="10"/>
        <v>67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14</v>
      </c>
      <c r="N19" s="50">
        <v>0</v>
      </c>
      <c r="O19" s="15">
        <f t="shared" si="0"/>
        <v>4</v>
      </c>
      <c r="P19" s="15">
        <f t="shared" si="1"/>
        <v>18</v>
      </c>
      <c r="R19" s="1" t="s">
        <v>15</v>
      </c>
      <c r="S19" s="17">
        <f t="shared" ref="S19:AF19" si="11">SUM(C46:C49)</f>
        <v>4</v>
      </c>
      <c r="T19" s="17">
        <f t="shared" si="11"/>
        <v>0</v>
      </c>
      <c r="U19" s="17">
        <f t="shared" si="11"/>
        <v>6</v>
      </c>
      <c r="V19" s="17">
        <f t="shared" si="11"/>
        <v>0</v>
      </c>
      <c r="W19" s="17">
        <f t="shared" si="11"/>
        <v>1</v>
      </c>
      <c r="X19" s="17">
        <f t="shared" si="11"/>
        <v>0</v>
      </c>
      <c r="Y19" s="17">
        <f t="shared" si="11"/>
        <v>4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53</v>
      </c>
      <c r="AD19" s="17">
        <f t="shared" si="11"/>
        <v>0</v>
      </c>
      <c r="AE19" s="31">
        <f t="shared" si="11"/>
        <v>16</v>
      </c>
      <c r="AF19" s="31">
        <f t="shared" si="11"/>
        <v>69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19</v>
      </c>
      <c r="N20" s="50">
        <v>0</v>
      </c>
      <c r="O20" s="15">
        <f t="shared" si="0"/>
        <v>1</v>
      </c>
      <c r="P20" s="15">
        <f t="shared" si="1"/>
        <v>20</v>
      </c>
      <c r="R20" s="1" t="s">
        <v>16</v>
      </c>
      <c r="S20" s="17">
        <f t="shared" ref="S20:AF20" si="12">SUM(C50:C53)</f>
        <v>4</v>
      </c>
      <c r="T20" s="17">
        <f t="shared" si="12"/>
        <v>0</v>
      </c>
      <c r="U20" s="17">
        <f t="shared" si="12"/>
        <v>2</v>
      </c>
      <c r="V20" s="17">
        <f t="shared" si="12"/>
        <v>7</v>
      </c>
      <c r="W20" s="17">
        <f t="shared" si="12"/>
        <v>0</v>
      </c>
      <c r="X20" s="17">
        <f t="shared" si="12"/>
        <v>0</v>
      </c>
      <c r="Y20" s="17">
        <f t="shared" si="12"/>
        <v>4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61</v>
      </c>
      <c r="AD20" s="17">
        <f t="shared" si="12"/>
        <v>0</v>
      </c>
      <c r="AE20" s="31">
        <f t="shared" si="12"/>
        <v>17</v>
      </c>
      <c r="AF20" s="31">
        <f t="shared" si="12"/>
        <v>78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17</v>
      </c>
      <c r="N21" s="50">
        <v>0</v>
      </c>
      <c r="O21" s="15">
        <f t="shared" si="0"/>
        <v>0</v>
      </c>
      <c r="P21" s="15">
        <f t="shared" si="1"/>
        <v>17</v>
      </c>
      <c r="R21" s="36" t="s">
        <v>20</v>
      </c>
      <c r="S21" s="34">
        <f t="shared" ref="S21:AF21" si="13">SUM(C54:C57)</f>
        <v>4</v>
      </c>
      <c r="T21" s="17">
        <f t="shared" si="13"/>
        <v>0</v>
      </c>
      <c r="U21" s="17">
        <f t="shared" si="13"/>
        <v>2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62</v>
      </c>
      <c r="AD21" s="17">
        <f t="shared" si="13"/>
        <v>0</v>
      </c>
      <c r="AE21" s="31">
        <f t="shared" si="13"/>
        <v>13</v>
      </c>
      <c r="AF21" s="31">
        <f t="shared" si="13"/>
        <v>75</v>
      </c>
    </row>
    <row r="22" spans="2:32" ht="23.1" customHeight="1" x14ac:dyDescent="0.25">
      <c r="B22" s="23" t="s">
        <v>49</v>
      </c>
      <c r="C22" s="50">
        <v>3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9</v>
      </c>
      <c r="N22" s="50">
        <v>0</v>
      </c>
      <c r="O22" s="15">
        <f t="shared" si="0"/>
        <v>4</v>
      </c>
      <c r="P22" s="15">
        <f t="shared" si="1"/>
        <v>13</v>
      </c>
      <c r="R22" s="38" t="s">
        <v>90</v>
      </c>
      <c r="S22" s="39">
        <f>MAX(S10:S12)</f>
        <v>2</v>
      </c>
      <c r="T22" s="39">
        <f t="shared" ref="T22:AF22" si="14">MAX(T10:T12)</f>
        <v>0</v>
      </c>
      <c r="U22" s="39">
        <f t="shared" si="14"/>
        <v>2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65</v>
      </c>
      <c r="AD22" s="39">
        <f t="shared" si="14"/>
        <v>0</v>
      </c>
      <c r="AE22" s="40">
        <f t="shared" si="14"/>
        <v>6</v>
      </c>
      <c r="AF22" s="40">
        <f t="shared" si="14"/>
        <v>71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1</v>
      </c>
      <c r="F23" s="50">
        <v>1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7</v>
      </c>
      <c r="N23" s="50">
        <v>0</v>
      </c>
      <c r="O23" s="15">
        <f t="shared" si="0"/>
        <v>3</v>
      </c>
      <c r="P23" s="15">
        <f t="shared" si="1"/>
        <v>10</v>
      </c>
      <c r="R23" s="38" t="s">
        <v>91</v>
      </c>
      <c r="S23" s="39">
        <f>MAX(S13:S18)</f>
        <v>8</v>
      </c>
      <c r="T23" s="39">
        <f t="shared" ref="T23:AF23" si="15">MAX(T13:T18)</f>
        <v>0</v>
      </c>
      <c r="U23" s="39">
        <f t="shared" si="15"/>
        <v>5</v>
      </c>
      <c r="V23" s="39">
        <f t="shared" si="15"/>
        <v>2</v>
      </c>
      <c r="W23" s="39">
        <f t="shared" si="15"/>
        <v>0</v>
      </c>
      <c r="X23" s="39">
        <f t="shared" si="15"/>
        <v>0</v>
      </c>
      <c r="Y23" s="39">
        <f t="shared" si="15"/>
        <v>7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57</v>
      </c>
      <c r="AD23" s="39">
        <f t="shared" si="15"/>
        <v>0</v>
      </c>
      <c r="AE23" s="40">
        <f t="shared" si="15"/>
        <v>16</v>
      </c>
      <c r="AF23" s="40">
        <f t="shared" si="15"/>
        <v>67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9</v>
      </c>
      <c r="N24" s="50">
        <v>0</v>
      </c>
      <c r="O24" s="15">
        <f t="shared" si="0"/>
        <v>3</v>
      </c>
      <c r="P24" s="15">
        <f t="shared" si="1"/>
        <v>12</v>
      </c>
      <c r="R24" s="38" t="s">
        <v>92</v>
      </c>
      <c r="S24" s="39">
        <f>MAX(S19:S21)</f>
        <v>4</v>
      </c>
      <c r="T24" s="39">
        <f t="shared" ref="T24:AF24" si="16">MAX(T19:T21)</f>
        <v>0</v>
      </c>
      <c r="U24" s="39">
        <f t="shared" si="16"/>
        <v>6</v>
      </c>
      <c r="V24" s="39">
        <f t="shared" si="16"/>
        <v>7</v>
      </c>
      <c r="W24" s="39">
        <f t="shared" si="16"/>
        <v>1</v>
      </c>
      <c r="X24" s="39">
        <f t="shared" si="16"/>
        <v>0</v>
      </c>
      <c r="Y24" s="39">
        <f t="shared" si="16"/>
        <v>6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62</v>
      </c>
      <c r="AD24" s="39">
        <f t="shared" si="16"/>
        <v>0</v>
      </c>
      <c r="AE24" s="40">
        <f t="shared" si="16"/>
        <v>17</v>
      </c>
      <c r="AF24" s="40">
        <f t="shared" si="16"/>
        <v>78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2</v>
      </c>
      <c r="F25" s="50">
        <v>1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11</v>
      </c>
      <c r="N25" s="50">
        <v>0</v>
      </c>
      <c r="O25" s="15">
        <f t="shared" si="0"/>
        <v>4</v>
      </c>
      <c r="P25" s="15">
        <f t="shared" si="1"/>
        <v>15</v>
      </c>
      <c r="R25" s="37" t="s">
        <v>85</v>
      </c>
      <c r="S25" s="35">
        <f t="shared" ref="S25:AF25" si="17">SUM(S10:S12)</f>
        <v>4</v>
      </c>
      <c r="T25" s="16">
        <f t="shared" si="17"/>
        <v>0</v>
      </c>
      <c r="U25" s="16">
        <f t="shared" si="17"/>
        <v>4</v>
      </c>
      <c r="V25" s="16">
        <f t="shared" si="17"/>
        <v>2</v>
      </c>
      <c r="W25" s="16">
        <f t="shared" si="17"/>
        <v>0</v>
      </c>
      <c r="X25" s="16">
        <f t="shared" si="17"/>
        <v>0</v>
      </c>
      <c r="Y25" s="16">
        <f t="shared" si="17"/>
        <v>5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148</v>
      </c>
      <c r="AD25" s="16">
        <f t="shared" si="17"/>
        <v>0</v>
      </c>
      <c r="AE25" s="32">
        <f t="shared" si="17"/>
        <v>15</v>
      </c>
      <c r="AF25" s="32">
        <f t="shared" si="17"/>
        <v>163</v>
      </c>
    </row>
    <row r="26" spans="2:32" ht="23.1" customHeight="1" x14ac:dyDescent="0.25">
      <c r="B26" s="23" t="s">
        <v>53</v>
      </c>
      <c r="C26" s="50">
        <v>3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11</v>
      </c>
      <c r="N26" s="50">
        <v>0</v>
      </c>
      <c r="O26" s="15">
        <f t="shared" si="0"/>
        <v>4</v>
      </c>
      <c r="P26" s="15">
        <f t="shared" si="1"/>
        <v>15</v>
      </c>
      <c r="R26" s="28" t="s">
        <v>86</v>
      </c>
      <c r="S26" s="16">
        <f t="shared" ref="S26:AF26" si="18">SUM(S13:S18)</f>
        <v>17</v>
      </c>
      <c r="T26" s="16">
        <f t="shared" si="18"/>
        <v>0</v>
      </c>
      <c r="U26" s="16">
        <f t="shared" si="18"/>
        <v>18</v>
      </c>
      <c r="V26" s="16">
        <f t="shared" si="18"/>
        <v>9</v>
      </c>
      <c r="W26" s="16">
        <f t="shared" si="18"/>
        <v>0</v>
      </c>
      <c r="X26" s="16">
        <f t="shared" si="18"/>
        <v>0</v>
      </c>
      <c r="Y26" s="16">
        <f t="shared" si="18"/>
        <v>29</v>
      </c>
      <c r="Z26" s="16">
        <f t="shared" si="18"/>
        <v>1</v>
      </c>
      <c r="AA26" s="16">
        <f t="shared" si="18"/>
        <v>0</v>
      </c>
      <c r="AB26" s="16">
        <f t="shared" si="18"/>
        <v>0</v>
      </c>
      <c r="AC26" s="16">
        <f t="shared" si="18"/>
        <v>264</v>
      </c>
      <c r="AD26" s="16">
        <f t="shared" si="18"/>
        <v>0</v>
      </c>
      <c r="AE26" s="32">
        <f t="shared" si="18"/>
        <v>74</v>
      </c>
      <c r="AF26" s="32">
        <f t="shared" si="18"/>
        <v>338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8</v>
      </c>
      <c r="N27" s="50">
        <v>0</v>
      </c>
      <c r="O27" s="15">
        <f t="shared" si="0"/>
        <v>3</v>
      </c>
      <c r="P27" s="15">
        <f t="shared" si="1"/>
        <v>11</v>
      </c>
      <c r="R27" s="29" t="s">
        <v>87</v>
      </c>
      <c r="S27" s="16">
        <f t="shared" ref="S27:AF27" si="19">SUM(S19:S21)</f>
        <v>12</v>
      </c>
      <c r="T27" s="16">
        <f t="shared" si="19"/>
        <v>0</v>
      </c>
      <c r="U27" s="16">
        <f t="shared" si="19"/>
        <v>10</v>
      </c>
      <c r="V27" s="16">
        <f t="shared" si="19"/>
        <v>7</v>
      </c>
      <c r="W27" s="16">
        <f t="shared" si="19"/>
        <v>1</v>
      </c>
      <c r="X27" s="16">
        <f t="shared" si="19"/>
        <v>0</v>
      </c>
      <c r="Y27" s="16">
        <f t="shared" si="19"/>
        <v>14</v>
      </c>
      <c r="Z27" s="16">
        <f t="shared" si="19"/>
        <v>2</v>
      </c>
      <c r="AA27" s="16">
        <f t="shared" si="19"/>
        <v>0</v>
      </c>
      <c r="AB27" s="16">
        <f t="shared" si="19"/>
        <v>0</v>
      </c>
      <c r="AC27" s="16">
        <f t="shared" si="19"/>
        <v>176</v>
      </c>
      <c r="AD27" s="16">
        <f t="shared" si="19"/>
        <v>0</v>
      </c>
      <c r="AE27" s="32">
        <f t="shared" si="19"/>
        <v>46</v>
      </c>
      <c r="AF27" s="32">
        <f t="shared" si="19"/>
        <v>222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1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12</v>
      </c>
      <c r="N28" s="50">
        <v>0</v>
      </c>
      <c r="O28" s="15">
        <f t="shared" si="0"/>
        <v>4</v>
      </c>
      <c r="P28" s="15">
        <f t="shared" si="1"/>
        <v>16</v>
      </c>
      <c r="R28" s="5" t="s">
        <v>17</v>
      </c>
      <c r="S28" s="16">
        <f t="shared" ref="S28:AF28" si="20">SUM(S10:S21)</f>
        <v>33</v>
      </c>
      <c r="T28" s="16">
        <f t="shared" si="20"/>
        <v>0</v>
      </c>
      <c r="U28" s="16">
        <f t="shared" si="20"/>
        <v>32</v>
      </c>
      <c r="V28" s="16">
        <f t="shared" si="20"/>
        <v>18</v>
      </c>
      <c r="W28" s="16">
        <f t="shared" si="20"/>
        <v>1</v>
      </c>
      <c r="X28" s="16">
        <f t="shared" si="20"/>
        <v>0</v>
      </c>
      <c r="Y28" s="16">
        <f t="shared" si="20"/>
        <v>48</v>
      </c>
      <c r="Z28" s="16">
        <f t="shared" si="20"/>
        <v>3</v>
      </c>
      <c r="AA28" s="16">
        <f t="shared" si="20"/>
        <v>0</v>
      </c>
      <c r="AB28" s="16">
        <f t="shared" si="20"/>
        <v>0</v>
      </c>
      <c r="AC28" s="16">
        <f t="shared" si="20"/>
        <v>588</v>
      </c>
      <c r="AD28" s="16">
        <f t="shared" si="20"/>
        <v>0</v>
      </c>
      <c r="AE28" s="32">
        <f t="shared" si="20"/>
        <v>135</v>
      </c>
      <c r="AF28" s="32">
        <f t="shared" si="20"/>
        <v>723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7</v>
      </c>
      <c r="N29" s="50">
        <v>0</v>
      </c>
      <c r="O29" s="15">
        <f t="shared" si="0"/>
        <v>5</v>
      </c>
      <c r="P29" s="15">
        <f t="shared" si="1"/>
        <v>12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10</v>
      </c>
      <c r="N30" s="50">
        <v>0</v>
      </c>
      <c r="O30" s="15">
        <f t="shared" si="0"/>
        <v>1</v>
      </c>
      <c r="P30" s="15">
        <f t="shared" si="1"/>
        <v>11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2</v>
      </c>
      <c r="F31" s="50">
        <v>1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9</v>
      </c>
      <c r="N31" s="50">
        <v>0</v>
      </c>
      <c r="O31" s="15">
        <f t="shared" si="0"/>
        <v>5</v>
      </c>
      <c r="P31" s="15">
        <f t="shared" si="1"/>
        <v>14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1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13</v>
      </c>
      <c r="N32" s="50">
        <v>0</v>
      </c>
      <c r="O32" s="15">
        <f t="shared" si="0"/>
        <v>3</v>
      </c>
      <c r="P32" s="15">
        <f t="shared" si="1"/>
        <v>16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2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17</v>
      </c>
      <c r="N33" s="50">
        <v>0</v>
      </c>
      <c r="O33" s="15">
        <f t="shared" si="0"/>
        <v>3</v>
      </c>
      <c r="P33" s="15">
        <f t="shared" si="1"/>
        <v>20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1</v>
      </c>
      <c r="F34" s="50">
        <v>1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15</v>
      </c>
      <c r="N34" s="50">
        <v>0</v>
      </c>
      <c r="O34" s="15">
        <f t="shared" si="0"/>
        <v>4</v>
      </c>
      <c r="P34" s="15">
        <f t="shared" si="1"/>
        <v>19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10</v>
      </c>
      <c r="N35" s="50">
        <v>0</v>
      </c>
      <c r="O35" s="15">
        <f t="shared" si="0"/>
        <v>1</v>
      </c>
      <c r="P35" s="15">
        <f t="shared" si="1"/>
        <v>11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8</v>
      </c>
      <c r="N36" s="50">
        <v>0</v>
      </c>
      <c r="O36" s="15">
        <f t="shared" si="0"/>
        <v>1</v>
      </c>
      <c r="P36" s="15">
        <f t="shared" si="1"/>
        <v>9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11</v>
      </c>
      <c r="N37" s="50">
        <v>0</v>
      </c>
      <c r="O37" s="15">
        <f t="shared" si="0"/>
        <v>2</v>
      </c>
      <c r="P37" s="15">
        <f t="shared" si="1"/>
        <v>13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2</v>
      </c>
      <c r="F38" s="50">
        <v>1</v>
      </c>
      <c r="G38" s="50">
        <v>0</v>
      </c>
      <c r="H38" s="50">
        <v>0</v>
      </c>
      <c r="I38" s="50">
        <v>4</v>
      </c>
      <c r="J38" s="50">
        <v>0</v>
      </c>
      <c r="K38" s="50">
        <v>0</v>
      </c>
      <c r="L38" s="50">
        <v>0</v>
      </c>
      <c r="M38" s="50">
        <v>11</v>
      </c>
      <c r="N38" s="50">
        <v>0</v>
      </c>
      <c r="O38" s="15">
        <f t="shared" si="0"/>
        <v>7</v>
      </c>
      <c r="P38" s="15">
        <f t="shared" si="1"/>
        <v>18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7</v>
      </c>
      <c r="N39" s="50">
        <v>0</v>
      </c>
      <c r="O39" s="15">
        <f t="shared" si="0"/>
        <v>2</v>
      </c>
      <c r="P39" s="15">
        <f t="shared" si="1"/>
        <v>9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13</v>
      </c>
      <c r="N40" s="50">
        <v>0</v>
      </c>
      <c r="O40" s="15">
        <f t="shared" si="0"/>
        <v>2</v>
      </c>
      <c r="P40" s="15">
        <f t="shared" si="1"/>
        <v>15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2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9</v>
      </c>
      <c r="N41" s="50">
        <v>0</v>
      </c>
      <c r="O41" s="15">
        <f t="shared" si="0"/>
        <v>3</v>
      </c>
      <c r="P41" s="15">
        <f t="shared" si="1"/>
        <v>12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16</v>
      </c>
      <c r="N42" s="50">
        <v>0</v>
      </c>
      <c r="O42" s="15">
        <f t="shared" si="0"/>
        <v>4</v>
      </c>
      <c r="P42" s="15">
        <f t="shared" si="1"/>
        <v>20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17</v>
      </c>
      <c r="N43" s="50">
        <v>0</v>
      </c>
      <c r="O43" s="15">
        <f t="shared" si="0"/>
        <v>0</v>
      </c>
      <c r="P43" s="15">
        <f t="shared" si="1"/>
        <v>17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10</v>
      </c>
      <c r="N44" s="50">
        <v>0</v>
      </c>
      <c r="O44" s="15">
        <f t="shared" si="0"/>
        <v>1</v>
      </c>
      <c r="P44" s="15">
        <f t="shared" si="1"/>
        <v>11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2</v>
      </c>
      <c r="F45" s="50">
        <v>1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14</v>
      </c>
      <c r="N45" s="50">
        <v>0</v>
      </c>
      <c r="O45" s="15">
        <f t="shared" si="0"/>
        <v>5</v>
      </c>
      <c r="P45" s="15">
        <f t="shared" si="1"/>
        <v>19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13</v>
      </c>
      <c r="N46" s="50">
        <v>0</v>
      </c>
      <c r="O46" s="15">
        <f t="shared" si="0"/>
        <v>4</v>
      </c>
      <c r="P46" s="15">
        <f t="shared" si="1"/>
        <v>17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15</v>
      </c>
      <c r="N47" s="50">
        <v>0</v>
      </c>
      <c r="O47" s="15">
        <f t="shared" si="0"/>
        <v>3</v>
      </c>
      <c r="P47" s="15">
        <f t="shared" si="1"/>
        <v>18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2</v>
      </c>
      <c r="F48" s="50">
        <v>0</v>
      </c>
      <c r="G48" s="50">
        <v>1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15</v>
      </c>
      <c r="N48" s="50">
        <v>0</v>
      </c>
      <c r="O48" s="15">
        <f t="shared" si="0"/>
        <v>4</v>
      </c>
      <c r="P48" s="15">
        <f t="shared" si="1"/>
        <v>19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3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10</v>
      </c>
      <c r="N49" s="50">
        <v>0</v>
      </c>
      <c r="O49" s="15">
        <f t="shared" si="0"/>
        <v>5</v>
      </c>
      <c r="P49" s="15">
        <f t="shared" si="1"/>
        <v>15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12</v>
      </c>
      <c r="N50" s="50">
        <v>0</v>
      </c>
      <c r="O50" s="15">
        <f t="shared" si="0"/>
        <v>4</v>
      </c>
      <c r="P50" s="15">
        <f t="shared" si="1"/>
        <v>16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3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13</v>
      </c>
      <c r="N51" s="50">
        <v>0</v>
      </c>
      <c r="O51" s="15">
        <f t="shared" si="0"/>
        <v>4</v>
      </c>
      <c r="P51" s="15">
        <f t="shared" si="1"/>
        <v>17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18</v>
      </c>
      <c r="N52" s="50">
        <v>0</v>
      </c>
      <c r="O52" s="15">
        <f t="shared" si="0"/>
        <v>1</v>
      </c>
      <c r="P52" s="15">
        <f t="shared" si="1"/>
        <v>19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1</v>
      </c>
      <c r="F53" s="50">
        <v>3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18</v>
      </c>
      <c r="N53" s="50">
        <v>0</v>
      </c>
      <c r="O53" s="15">
        <f t="shared" si="0"/>
        <v>8</v>
      </c>
      <c r="P53" s="15">
        <f t="shared" si="1"/>
        <v>26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20</v>
      </c>
      <c r="N54" s="50">
        <v>0</v>
      </c>
      <c r="O54" s="15">
        <f t="shared" si="0"/>
        <v>3</v>
      </c>
      <c r="P54" s="15">
        <f t="shared" si="1"/>
        <v>23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9</v>
      </c>
      <c r="N55" s="50">
        <v>0</v>
      </c>
      <c r="O55" s="15">
        <f t="shared" si="0"/>
        <v>5</v>
      </c>
      <c r="P55" s="15">
        <f t="shared" si="1"/>
        <v>14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20</v>
      </c>
      <c r="N56" s="50">
        <v>0</v>
      </c>
      <c r="O56" s="15">
        <f t="shared" si="0"/>
        <v>0</v>
      </c>
      <c r="P56" s="15">
        <f t="shared" si="1"/>
        <v>20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3</v>
      </c>
      <c r="J57" s="50">
        <v>0</v>
      </c>
      <c r="K57" s="50">
        <v>0</v>
      </c>
      <c r="L57" s="50">
        <v>0</v>
      </c>
      <c r="M57" s="50">
        <v>13</v>
      </c>
      <c r="N57" s="50">
        <v>0</v>
      </c>
      <c r="O57" s="15">
        <f t="shared" si="0"/>
        <v>5</v>
      </c>
      <c r="P57" s="15">
        <f t="shared" si="1"/>
        <v>18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33</v>
      </c>
      <c r="D58" s="16">
        <f t="shared" si="21"/>
        <v>0</v>
      </c>
      <c r="E58" s="16">
        <f t="shared" si="21"/>
        <v>32</v>
      </c>
      <c r="F58" s="16">
        <f t="shared" si="21"/>
        <v>18</v>
      </c>
      <c r="G58" s="16">
        <f t="shared" si="21"/>
        <v>1</v>
      </c>
      <c r="H58" s="16">
        <f t="shared" si="21"/>
        <v>0</v>
      </c>
      <c r="I58" s="16">
        <f t="shared" si="21"/>
        <v>48</v>
      </c>
      <c r="J58" s="16">
        <f t="shared" si="21"/>
        <v>3</v>
      </c>
      <c r="K58" s="16">
        <f t="shared" si="21"/>
        <v>0</v>
      </c>
      <c r="L58" s="16">
        <f t="shared" si="21"/>
        <v>0</v>
      </c>
      <c r="M58" s="16">
        <f t="shared" si="21"/>
        <v>588</v>
      </c>
      <c r="N58" s="16">
        <f t="shared" si="21"/>
        <v>0</v>
      </c>
      <c r="O58" s="16">
        <f t="shared" si="21"/>
        <v>135</v>
      </c>
      <c r="P58" s="16">
        <f t="shared" si="21"/>
        <v>723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4.5643153526970952E-2</v>
      </c>
      <c r="D59" s="43">
        <f t="shared" si="22"/>
        <v>0</v>
      </c>
      <c r="E59" s="43">
        <f t="shared" si="22"/>
        <v>4.4260027662517291E-2</v>
      </c>
      <c r="F59" s="43">
        <f t="shared" si="22"/>
        <v>2.4896265560165973E-2</v>
      </c>
      <c r="G59" s="43">
        <f t="shared" si="22"/>
        <v>1.3831258644536654E-3</v>
      </c>
      <c r="H59" s="43">
        <f t="shared" si="22"/>
        <v>0</v>
      </c>
      <c r="I59" s="43">
        <f t="shared" si="22"/>
        <v>6.6390041493775934E-2</v>
      </c>
      <c r="J59" s="43">
        <f t="shared" si="22"/>
        <v>4.1493775933609959E-3</v>
      </c>
      <c r="K59" s="43">
        <f t="shared" si="22"/>
        <v>0</v>
      </c>
      <c r="L59" s="43">
        <f t="shared" si="22"/>
        <v>0</v>
      </c>
      <c r="M59" s="43">
        <f t="shared" si="22"/>
        <v>0.81327800829875518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0.24444444444444444</v>
      </c>
      <c r="D60" s="44">
        <f t="shared" ref="D60:N60" si="23">D58/$O$58</f>
        <v>0</v>
      </c>
      <c r="E60" s="44">
        <f t="shared" si="23"/>
        <v>0.23703703703703705</v>
      </c>
      <c r="F60" s="44">
        <f t="shared" si="23"/>
        <v>0.13333333333333333</v>
      </c>
      <c r="G60" s="44">
        <f t="shared" si="23"/>
        <v>7.4074074074074077E-3</v>
      </c>
      <c r="H60" s="44">
        <f t="shared" si="23"/>
        <v>0</v>
      </c>
      <c r="I60" s="44">
        <f t="shared" si="23"/>
        <v>0.35555555555555557</v>
      </c>
      <c r="J60" s="44">
        <f t="shared" si="23"/>
        <v>2.2222222222222223E-2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topLeftCell="A88" zoomScale="60" workbookViewId="0">
      <selection activeCell="C58" sqref="C58:N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'11.8 KAMPALA-BUSUNJU'!C3:G3</f>
        <v>MCC-C3-STN-HOIMA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64" t="str">
        <f>'14.8 BUSUNJU-KAMPALA'!G5:H5</f>
        <v>WAKISO</v>
      </c>
      <c r="H5" s="65"/>
      <c r="I5" s="14"/>
      <c r="J5" s="2" t="s">
        <v>5</v>
      </c>
      <c r="K5" s="64">
        <f>'14.8 BUSUNJU-KAMPALA'!K5:L5</f>
        <v>0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'11.8 KAMPALA-BUSUNJU'!D6:E6</f>
        <v>KAMPALA</v>
      </c>
      <c r="E6" s="65"/>
      <c r="F6" s="2" t="s">
        <v>2</v>
      </c>
      <c r="G6" s="64" t="str">
        <f>'11.8 KAMPALA-BUSUNJU'!G6:H6</f>
        <v>BUSUNJU</v>
      </c>
      <c r="H6" s="65"/>
      <c r="J6" s="2" t="s">
        <v>21</v>
      </c>
      <c r="K6" s="64">
        <f>'14.8 BUSUNJU-KAMPALA'!K6:L6</f>
        <v>0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8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2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48</v>
      </c>
      <c r="AD10" s="17">
        <f t="shared" si="2"/>
        <v>0</v>
      </c>
      <c r="AE10" s="31">
        <f t="shared" si="2"/>
        <v>6</v>
      </c>
      <c r="AF10" s="31">
        <f t="shared" si="2"/>
        <v>54</v>
      </c>
    </row>
    <row r="11" spans="2:32" s="6" customFormat="1" ht="23.1" customHeight="1" x14ac:dyDescent="0.25">
      <c r="B11" s="45" t="s">
        <v>38</v>
      </c>
      <c r="C11" s="50">
        <v>2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14</v>
      </c>
      <c r="N11" s="50">
        <v>0</v>
      </c>
      <c r="O11" s="15">
        <f t="shared" si="0"/>
        <v>2</v>
      </c>
      <c r="P11" s="15">
        <f t="shared" si="1"/>
        <v>16</v>
      </c>
      <c r="R11" s="1" t="s">
        <v>7</v>
      </c>
      <c r="S11" s="17">
        <f t="shared" ref="S11:AF11" si="3">SUM(C14:C17)</f>
        <v>5</v>
      </c>
      <c r="T11" s="17">
        <f t="shared" si="3"/>
        <v>1</v>
      </c>
      <c r="U11" s="17">
        <f t="shared" si="3"/>
        <v>3</v>
      </c>
      <c r="V11" s="17">
        <f t="shared" si="3"/>
        <v>2</v>
      </c>
      <c r="W11" s="17">
        <f t="shared" si="3"/>
        <v>0</v>
      </c>
      <c r="X11" s="17">
        <f t="shared" si="3"/>
        <v>1</v>
      </c>
      <c r="Y11" s="17">
        <f t="shared" si="3"/>
        <v>7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52</v>
      </c>
      <c r="AD11" s="17">
        <f t="shared" si="3"/>
        <v>0</v>
      </c>
      <c r="AE11" s="31">
        <f t="shared" si="3"/>
        <v>20</v>
      </c>
      <c r="AF11" s="31">
        <f t="shared" si="3"/>
        <v>72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2</v>
      </c>
      <c r="P12" s="15">
        <f t="shared" si="1"/>
        <v>10</v>
      </c>
      <c r="R12" s="1" t="s">
        <v>8</v>
      </c>
      <c r="S12" s="17">
        <f t="shared" ref="S12:AF12" si="4">SUM(C18:C21)</f>
        <v>2</v>
      </c>
      <c r="T12" s="17">
        <f t="shared" si="4"/>
        <v>1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1</v>
      </c>
      <c r="Y12" s="17">
        <f t="shared" si="4"/>
        <v>2</v>
      </c>
      <c r="Z12" s="17">
        <f t="shared" si="4"/>
        <v>1</v>
      </c>
      <c r="AA12" s="17">
        <f t="shared" si="4"/>
        <v>0</v>
      </c>
      <c r="AB12" s="17">
        <f t="shared" si="4"/>
        <v>1</v>
      </c>
      <c r="AC12" s="17">
        <f t="shared" si="4"/>
        <v>60</v>
      </c>
      <c r="AD12" s="17">
        <f t="shared" si="4"/>
        <v>0</v>
      </c>
      <c r="AE12" s="31">
        <f t="shared" si="4"/>
        <v>10</v>
      </c>
      <c r="AF12" s="31">
        <f t="shared" si="4"/>
        <v>70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18</v>
      </c>
      <c r="N13" s="50">
        <v>0</v>
      </c>
      <c r="O13" s="15">
        <f t="shared" si="0"/>
        <v>1</v>
      </c>
      <c r="P13" s="15">
        <f t="shared" si="1"/>
        <v>19</v>
      </c>
      <c r="R13" s="1" t="s">
        <v>9</v>
      </c>
      <c r="S13" s="17">
        <f t="shared" ref="S13:AF13" si="5">SUM(C22:C25)</f>
        <v>2</v>
      </c>
      <c r="T13" s="17">
        <f t="shared" si="5"/>
        <v>3</v>
      </c>
      <c r="U13" s="17">
        <f t="shared" si="5"/>
        <v>5</v>
      </c>
      <c r="V13" s="17">
        <f t="shared" si="5"/>
        <v>0</v>
      </c>
      <c r="W13" s="17">
        <f t="shared" si="5"/>
        <v>3</v>
      </c>
      <c r="X13" s="17">
        <f t="shared" si="5"/>
        <v>2</v>
      </c>
      <c r="Y13" s="17">
        <f t="shared" si="5"/>
        <v>4</v>
      </c>
      <c r="Z13" s="17">
        <f t="shared" si="5"/>
        <v>1</v>
      </c>
      <c r="AA13" s="17">
        <f t="shared" si="5"/>
        <v>0</v>
      </c>
      <c r="AB13" s="17">
        <f t="shared" si="5"/>
        <v>1</v>
      </c>
      <c r="AC13" s="17">
        <f t="shared" si="5"/>
        <v>59</v>
      </c>
      <c r="AD13" s="17">
        <f t="shared" si="5"/>
        <v>0</v>
      </c>
      <c r="AE13" s="31">
        <f t="shared" si="5"/>
        <v>21</v>
      </c>
      <c r="AF13" s="31">
        <f t="shared" si="5"/>
        <v>80</v>
      </c>
    </row>
    <row r="14" spans="2:32" ht="23.1" customHeight="1" x14ac:dyDescent="0.25">
      <c r="B14" s="45" t="s">
        <v>41</v>
      </c>
      <c r="C14" s="50">
        <v>1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13</v>
      </c>
      <c r="N14" s="50">
        <v>0</v>
      </c>
      <c r="O14" s="15">
        <f t="shared" si="0"/>
        <v>3</v>
      </c>
      <c r="P14" s="15">
        <f t="shared" si="1"/>
        <v>16</v>
      </c>
      <c r="R14" s="1" t="s">
        <v>10</v>
      </c>
      <c r="S14" s="17">
        <f t="shared" ref="S14:AF14" si="6">SUM(C26:C29)</f>
        <v>6</v>
      </c>
      <c r="T14" s="17">
        <f t="shared" si="6"/>
        <v>0</v>
      </c>
      <c r="U14" s="17">
        <f t="shared" si="6"/>
        <v>1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49</v>
      </c>
      <c r="AD14" s="17">
        <f t="shared" si="6"/>
        <v>0</v>
      </c>
      <c r="AE14" s="31">
        <f t="shared" si="6"/>
        <v>15</v>
      </c>
      <c r="AF14" s="31">
        <f t="shared" si="6"/>
        <v>64</v>
      </c>
    </row>
    <row r="15" spans="2:32" ht="23.1" customHeight="1" x14ac:dyDescent="0.25">
      <c r="B15" s="45" t="s">
        <v>42</v>
      </c>
      <c r="C15" s="50">
        <v>2</v>
      </c>
      <c r="D15" s="50">
        <v>0</v>
      </c>
      <c r="E15" s="50">
        <v>2</v>
      </c>
      <c r="F15" s="50">
        <v>1</v>
      </c>
      <c r="G15" s="50">
        <v>0</v>
      </c>
      <c r="H15" s="50">
        <v>0</v>
      </c>
      <c r="I15" s="50">
        <v>3</v>
      </c>
      <c r="J15" s="50">
        <v>0</v>
      </c>
      <c r="K15" s="50">
        <v>0</v>
      </c>
      <c r="L15" s="50">
        <v>0</v>
      </c>
      <c r="M15" s="50">
        <v>17</v>
      </c>
      <c r="N15" s="50">
        <v>0</v>
      </c>
      <c r="O15" s="15">
        <f t="shared" si="0"/>
        <v>8</v>
      </c>
      <c r="P15" s="15">
        <f t="shared" si="1"/>
        <v>25</v>
      </c>
      <c r="R15" s="1" t="s">
        <v>11</v>
      </c>
      <c r="S15" s="17">
        <f t="shared" ref="S15:AF15" si="7">SUM(C30:C33)</f>
        <v>5</v>
      </c>
      <c r="T15" s="17">
        <f t="shared" si="7"/>
        <v>1</v>
      </c>
      <c r="U15" s="17">
        <f t="shared" si="7"/>
        <v>5</v>
      </c>
      <c r="V15" s="17">
        <f t="shared" si="7"/>
        <v>2</v>
      </c>
      <c r="W15" s="17">
        <f t="shared" si="7"/>
        <v>0</v>
      </c>
      <c r="X15" s="17">
        <f t="shared" si="7"/>
        <v>1</v>
      </c>
      <c r="Y15" s="17">
        <f t="shared" si="7"/>
        <v>8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62</v>
      </c>
      <c r="AD15" s="17">
        <f t="shared" si="7"/>
        <v>0</v>
      </c>
      <c r="AE15" s="31">
        <f t="shared" si="7"/>
        <v>23</v>
      </c>
      <c r="AF15" s="31">
        <f t="shared" si="7"/>
        <v>85</v>
      </c>
    </row>
    <row r="16" spans="2:32" ht="23.1" customHeight="1" x14ac:dyDescent="0.25">
      <c r="B16" s="45" t="s">
        <v>43</v>
      </c>
      <c r="C16" s="50">
        <v>2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12</v>
      </c>
      <c r="N16" s="50">
        <v>0</v>
      </c>
      <c r="O16" s="15">
        <f t="shared" si="0"/>
        <v>5</v>
      </c>
      <c r="P16" s="15">
        <f t="shared" si="1"/>
        <v>17</v>
      </c>
      <c r="R16" s="1" t="s">
        <v>12</v>
      </c>
      <c r="S16" s="17">
        <f t="shared" ref="S16:AF16" si="8">SUM(C34:C37)</f>
        <v>7</v>
      </c>
      <c r="T16" s="17">
        <f t="shared" si="8"/>
        <v>1</v>
      </c>
      <c r="U16" s="17">
        <f t="shared" si="8"/>
        <v>5</v>
      </c>
      <c r="V16" s="17">
        <f t="shared" si="8"/>
        <v>3</v>
      </c>
      <c r="W16" s="17">
        <f t="shared" si="8"/>
        <v>1</v>
      </c>
      <c r="X16" s="17">
        <f t="shared" si="8"/>
        <v>0</v>
      </c>
      <c r="Y16" s="17">
        <f t="shared" si="8"/>
        <v>5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44</v>
      </c>
      <c r="AD16" s="17">
        <f t="shared" si="8"/>
        <v>0</v>
      </c>
      <c r="AE16" s="31">
        <f t="shared" si="8"/>
        <v>23</v>
      </c>
      <c r="AF16" s="31">
        <f t="shared" si="8"/>
        <v>67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1</v>
      </c>
      <c r="I17" s="50">
        <v>2</v>
      </c>
      <c r="J17" s="50">
        <v>0</v>
      </c>
      <c r="K17" s="50">
        <v>0</v>
      </c>
      <c r="L17" s="50">
        <v>0</v>
      </c>
      <c r="M17" s="50">
        <v>10</v>
      </c>
      <c r="N17" s="50">
        <v>0</v>
      </c>
      <c r="O17" s="15">
        <f t="shared" si="0"/>
        <v>4</v>
      </c>
      <c r="P17" s="15">
        <f t="shared" si="1"/>
        <v>14</v>
      </c>
      <c r="R17" s="1" t="s">
        <v>13</v>
      </c>
      <c r="S17" s="17">
        <f t="shared" ref="S17:AF17" si="9">SUM(C38:C41)</f>
        <v>2</v>
      </c>
      <c r="T17" s="17">
        <f t="shared" si="9"/>
        <v>3</v>
      </c>
      <c r="U17" s="17">
        <f t="shared" si="9"/>
        <v>0</v>
      </c>
      <c r="V17" s="17">
        <f t="shared" si="9"/>
        <v>2</v>
      </c>
      <c r="W17" s="17">
        <f t="shared" si="9"/>
        <v>0</v>
      </c>
      <c r="X17" s="17">
        <f t="shared" si="9"/>
        <v>1</v>
      </c>
      <c r="Y17" s="17">
        <f t="shared" si="9"/>
        <v>5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53</v>
      </c>
      <c r="AD17" s="17">
        <f t="shared" si="9"/>
        <v>0</v>
      </c>
      <c r="AE17" s="31">
        <f t="shared" si="9"/>
        <v>13</v>
      </c>
      <c r="AF17" s="31">
        <f t="shared" si="9"/>
        <v>66</v>
      </c>
    </row>
    <row r="18" spans="2:32" ht="23.1" customHeight="1" x14ac:dyDescent="0.25">
      <c r="B18" s="45" t="s">
        <v>45</v>
      </c>
      <c r="C18" s="50">
        <v>2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1</v>
      </c>
      <c r="M18" s="50">
        <v>18</v>
      </c>
      <c r="N18" s="50">
        <v>0</v>
      </c>
      <c r="O18" s="15">
        <f t="shared" si="0"/>
        <v>4</v>
      </c>
      <c r="P18" s="15">
        <f t="shared" si="1"/>
        <v>22</v>
      </c>
      <c r="R18" s="1" t="s">
        <v>14</v>
      </c>
      <c r="S18" s="17">
        <f t="shared" ref="S18:AF18" si="10">SUM(C42:C45)</f>
        <v>6</v>
      </c>
      <c r="T18" s="17">
        <f t="shared" si="10"/>
        <v>1</v>
      </c>
      <c r="U18" s="17">
        <f t="shared" si="10"/>
        <v>6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12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38</v>
      </c>
      <c r="AD18" s="17">
        <f t="shared" si="10"/>
        <v>0</v>
      </c>
      <c r="AE18" s="31">
        <f t="shared" si="10"/>
        <v>25</v>
      </c>
      <c r="AF18" s="31">
        <f t="shared" si="10"/>
        <v>63</v>
      </c>
    </row>
    <row r="19" spans="2:32" ht="23.1" customHeight="1" x14ac:dyDescent="0.25">
      <c r="B19" s="45" t="s">
        <v>46</v>
      </c>
      <c r="C19" s="50">
        <v>0</v>
      </c>
      <c r="D19" s="50">
        <v>1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15</v>
      </c>
      <c r="N19" s="50">
        <v>0</v>
      </c>
      <c r="O19" s="15">
        <f t="shared" si="0"/>
        <v>2</v>
      </c>
      <c r="P19" s="15">
        <f t="shared" si="1"/>
        <v>17</v>
      </c>
      <c r="R19" s="1" t="s">
        <v>15</v>
      </c>
      <c r="S19" s="17">
        <f t="shared" ref="S19:AF19" si="11">SUM(C46:C49)</f>
        <v>4</v>
      </c>
      <c r="T19" s="17">
        <f t="shared" si="11"/>
        <v>2</v>
      </c>
      <c r="U19" s="17">
        <f t="shared" si="11"/>
        <v>4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46</v>
      </c>
      <c r="AD19" s="17">
        <f t="shared" si="11"/>
        <v>0</v>
      </c>
      <c r="AE19" s="31">
        <f t="shared" si="11"/>
        <v>14</v>
      </c>
      <c r="AF19" s="31">
        <f t="shared" si="11"/>
        <v>60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1</v>
      </c>
      <c r="I20" s="50">
        <v>1</v>
      </c>
      <c r="J20" s="50">
        <v>1</v>
      </c>
      <c r="K20" s="50">
        <v>0</v>
      </c>
      <c r="L20" s="50">
        <v>0</v>
      </c>
      <c r="M20" s="50">
        <v>16</v>
      </c>
      <c r="N20" s="50">
        <v>0</v>
      </c>
      <c r="O20" s="15">
        <f t="shared" si="0"/>
        <v>3</v>
      </c>
      <c r="P20" s="15">
        <f t="shared" si="1"/>
        <v>19</v>
      </c>
      <c r="R20" s="1" t="s">
        <v>16</v>
      </c>
      <c r="S20" s="17">
        <f t="shared" ref="S20:AF20" si="12">SUM(C50:C53)</f>
        <v>6</v>
      </c>
      <c r="T20" s="17">
        <f t="shared" si="12"/>
        <v>0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58</v>
      </c>
      <c r="AD20" s="17">
        <f t="shared" si="12"/>
        <v>0</v>
      </c>
      <c r="AE20" s="31">
        <f t="shared" si="12"/>
        <v>12</v>
      </c>
      <c r="AF20" s="31">
        <f t="shared" si="12"/>
        <v>70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11</v>
      </c>
      <c r="N21" s="50">
        <v>0</v>
      </c>
      <c r="O21" s="15">
        <f t="shared" si="0"/>
        <v>1</v>
      </c>
      <c r="P21" s="15">
        <f t="shared" si="1"/>
        <v>12</v>
      </c>
      <c r="R21" s="36" t="s">
        <v>20</v>
      </c>
      <c r="S21" s="34">
        <f t="shared" ref="S21:AF21" si="13">SUM(C54:C57)</f>
        <v>0</v>
      </c>
      <c r="T21" s="17">
        <f t="shared" si="13"/>
        <v>1</v>
      </c>
      <c r="U21" s="17">
        <f t="shared" si="13"/>
        <v>2</v>
      </c>
      <c r="V21" s="17">
        <f t="shared" si="13"/>
        <v>4</v>
      </c>
      <c r="W21" s="17">
        <f t="shared" si="13"/>
        <v>1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63</v>
      </c>
      <c r="AD21" s="17">
        <f t="shared" si="13"/>
        <v>0</v>
      </c>
      <c r="AE21" s="31">
        <f t="shared" si="13"/>
        <v>12</v>
      </c>
      <c r="AF21" s="31">
        <f t="shared" si="13"/>
        <v>75</v>
      </c>
    </row>
    <row r="22" spans="2:32" ht="23.1" customHeight="1" x14ac:dyDescent="0.25">
      <c r="B22" s="45" t="s">
        <v>49</v>
      </c>
      <c r="C22" s="50">
        <v>1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17</v>
      </c>
      <c r="N22" s="50">
        <v>0</v>
      </c>
      <c r="O22" s="15">
        <f t="shared" si="0"/>
        <v>3</v>
      </c>
      <c r="P22" s="15">
        <f t="shared" si="1"/>
        <v>20</v>
      </c>
      <c r="R22" s="36" t="s">
        <v>146</v>
      </c>
      <c r="S22" s="34">
        <f>SUM(C58:C61)</f>
        <v>6</v>
      </c>
      <c r="T22" s="34">
        <f t="shared" ref="T22:AF22" si="14">SUM(D58:D61)</f>
        <v>1</v>
      </c>
      <c r="U22" s="34">
        <f t="shared" si="14"/>
        <v>4</v>
      </c>
      <c r="V22" s="34">
        <f t="shared" si="14"/>
        <v>2</v>
      </c>
      <c r="W22" s="34">
        <f t="shared" si="14"/>
        <v>0</v>
      </c>
      <c r="X22" s="34">
        <f t="shared" si="14"/>
        <v>1</v>
      </c>
      <c r="Y22" s="34">
        <f t="shared" si="14"/>
        <v>5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51</v>
      </c>
      <c r="AD22" s="34">
        <f t="shared" si="14"/>
        <v>0</v>
      </c>
      <c r="AE22" s="31">
        <f t="shared" si="14"/>
        <v>19</v>
      </c>
      <c r="AF22" s="31">
        <f t="shared" si="14"/>
        <v>70</v>
      </c>
    </row>
    <row r="23" spans="2:32" ht="23.1" customHeight="1" x14ac:dyDescent="0.25">
      <c r="B23" s="45" t="s">
        <v>50</v>
      </c>
      <c r="C23" s="50">
        <v>1</v>
      </c>
      <c r="D23" s="50">
        <v>3</v>
      </c>
      <c r="E23" s="50">
        <v>1</v>
      </c>
      <c r="F23" s="50">
        <v>0</v>
      </c>
      <c r="G23" s="50">
        <v>0</v>
      </c>
      <c r="H23" s="50">
        <v>1</v>
      </c>
      <c r="I23" s="50">
        <v>0</v>
      </c>
      <c r="J23" s="50">
        <v>0</v>
      </c>
      <c r="K23" s="50">
        <v>0</v>
      </c>
      <c r="L23" s="50">
        <v>1</v>
      </c>
      <c r="M23" s="50">
        <v>11</v>
      </c>
      <c r="N23" s="50">
        <v>0</v>
      </c>
      <c r="O23" s="15">
        <f t="shared" si="0"/>
        <v>7</v>
      </c>
      <c r="P23" s="15">
        <f t="shared" si="1"/>
        <v>18</v>
      </c>
      <c r="R23" s="36" t="s">
        <v>147</v>
      </c>
      <c r="S23" s="34">
        <f>SUM(C62:C65)</f>
        <v>7</v>
      </c>
      <c r="T23" s="34">
        <f t="shared" ref="T23:AF23" si="15">SUM(D62:D65)</f>
        <v>1</v>
      </c>
      <c r="U23" s="34">
        <f t="shared" si="15"/>
        <v>5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3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34</v>
      </c>
      <c r="AD23" s="34">
        <f t="shared" si="15"/>
        <v>0</v>
      </c>
      <c r="AE23" s="31">
        <f t="shared" si="15"/>
        <v>17</v>
      </c>
      <c r="AF23" s="31">
        <f t="shared" si="15"/>
        <v>51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2</v>
      </c>
      <c r="F24" s="50">
        <v>0</v>
      </c>
      <c r="G24" s="50">
        <v>3</v>
      </c>
      <c r="H24" s="50">
        <v>1</v>
      </c>
      <c r="I24" s="50">
        <v>3</v>
      </c>
      <c r="J24" s="50">
        <v>1</v>
      </c>
      <c r="K24" s="50">
        <v>0</v>
      </c>
      <c r="L24" s="50">
        <v>0</v>
      </c>
      <c r="M24" s="50">
        <v>22</v>
      </c>
      <c r="N24" s="50">
        <v>0</v>
      </c>
      <c r="O24" s="15">
        <f t="shared" si="0"/>
        <v>10</v>
      </c>
      <c r="P24" s="15">
        <f t="shared" si="1"/>
        <v>32</v>
      </c>
      <c r="R24" s="36" t="s">
        <v>148</v>
      </c>
      <c r="S24" s="34">
        <f>SUM(C66:C69)</f>
        <v>6</v>
      </c>
      <c r="T24" s="34">
        <f t="shared" ref="T24:AF24" si="16">SUM(D66:D69)</f>
        <v>2</v>
      </c>
      <c r="U24" s="34">
        <f t="shared" si="16"/>
        <v>7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15</v>
      </c>
      <c r="AD24" s="34">
        <f t="shared" si="16"/>
        <v>0</v>
      </c>
      <c r="AE24" s="31">
        <f t="shared" si="16"/>
        <v>20</v>
      </c>
      <c r="AF24" s="31">
        <f t="shared" si="16"/>
        <v>35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9</v>
      </c>
      <c r="N25" s="50">
        <v>0</v>
      </c>
      <c r="O25" s="15">
        <f t="shared" si="0"/>
        <v>1</v>
      </c>
      <c r="P25" s="15">
        <f t="shared" si="1"/>
        <v>10</v>
      </c>
      <c r="R25" s="36" t="s">
        <v>149</v>
      </c>
      <c r="S25" s="34">
        <f>SUM(C70:C73)</f>
        <v>5</v>
      </c>
      <c r="T25" s="34">
        <f t="shared" ref="T25:AF25" si="17">SUM(D70:D73)</f>
        <v>0</v>
      </c>
      <c r="U25" s="34">
        <f t="shared" si="17"/>
        <v>3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5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4</v>
      </c>
      <c r="AD25" s="34">
        <f t="shared" si="17"/>
        <v>0</v>
      </c>
      <c r="AE25" s="31">
        <f t="shared" si="17"/>
        <v>15</v>
      </c>
      <c r="AF25" s="31">
        <f t="shared" si="17"/>
        <v>19</v>
      </c>
    </row>
    <row r="26" spans="2:32" ht="23.1" customHeight="1" x14ac:dyDescent="0.25">
      <c r="B26" s="45" t="s">
        <v>53</v>
      </c>
      <c r="C26" s="50">
        <v>3</v>
      </c>
      <c r="D26" s="50">
        <v>0</v>
      </c>
      <c r="E26" s="50">
        <v>0</v>
      </c>
      <c r="F26" s="50">
        <v>1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10</v>
      </c>
      <c r="N26" s="50">
        <v>0</v>
      </c>
      <c r="O26" s="15">
        <f t="shared" si="0"/>
        <v>5</v>
      </c>
      <c r="P26" s="15">
        <f t="shared" si="1"/>
        <v>15</v>
      </c>
      <c r="R26" s="36" t="s">
        <v>150</v>
      </c>
      <c r="S26" s="34">
        <f>SUM(C74:C77)</f>
        <v>5</v>
      </c>
      <c r="T26" s="34">
        <f t="shared" ref="T26:AF26" si="18">SUM(D74:D77)</f>
        <v>1</v>
      </c>
      <c r="U26" s="34">
        <f t="shared" si="18"/>
        <v>3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3</v>
      </c>
      <c r="AD26" s="34">
        <f t="shared" si="18"/>
        <v>0</v>
      </c>
      <c r="AE26" s="31">
        <f t="shared" si="18"/>
        <v>10</v>
      </c>
      <c r="AF26" s="31">
        <f t="shared" si="18"/>
        <v>13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2</v>
      </c>
      <c r="J27" s="50">
        <v>1</v>
      </c>
      <c r="K27" s="50">
        <v>0</v>
      </c>
      <c r="L27" s="50">
        <v>0</v>
      </c>
      <c r="M27" s="50">
        <v>15</v>
      </c>
      <c r="N27" s="50">
        <v>0</v>
      </c>
      <c r="O27" s="15">
        <f t="shared" si="0"/>
        <v>4</v>
      </c>
      <c r="P27" s="15">
        <f t="shared" si="1"/>
        <v>19</v>
      </c>
      <c r="R27" s="36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31">
        <f t="shared" si="19"/>
        <v>6</v>
      </c>
      <c r="AF27" s="31">
        <f t="shared" si="19"/>
        <v>10</v>
      </c>
    </row>
    <row r="28" spans="2:32" ht="23.1" customHeight="1" x14ac:dyDescent="0.25">
      <c r="B28" s="45" t="s">
        <v>55</v>
      </c>
      <c r="C28" s="50">
        <v>2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14</v>
      </c>
      <c r="N28" s="50">
        <v>0</v>
      </c>
      <c r="O28" s="15">
        <f t="shared" si="0"/>
        <v>3</v>
      </c>
      <c r="P28" s="15">
        <f t="shared" si="1"/>
        <v>17</v>
      </c>
      <c r="R28" s="36" t="s">
        <v>152</v>
      </c>
      <c r="S28" s="34">
        <f>SUM(C82:C85)</f>
        <v>3</v>
      </c>
      <c r="T28" s="34">
        <f t="shared" ref="T28:AF28" si="20">SUM(D82:D85)</f>
        <v>1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8</v>
      </c>
      <c r="AF28" s="31">
        <f t="shared" si="20"/>
        <v>8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10</v>
      </c>
      <c r="N29" s="50">
        <v>0</v>
      </c>
      <c r="O29" s="15">
        <f t="shared" si="0"/>
        <v>3</v>
      </c>
      <c r="P29" s="15">
        <f t="shared" si="1"/>
        <v>13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1</v>
      </c>
      <c r="AF29" s="31">
        <f t="shared" si="21"/>
        <v>2</v>
      </c>
    </row>
    <row r="30" spans="2:32" ht="23.1" customHeight="1" x14ac:dyDescent="0.25">
      <c r="B30" s="45" t="s">
        <v>57</v>
      </c>
      <c r="C30" s="50">
        <v>2</v>
      </c>
      <c r="D30" s="50">
        <v>0</v>
      </c>
      <c r="E30" s="50">
        <v>2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13</v>
      </c>
      <c r="N30" s="50">
        <v>0</v>
      </c>
      <c r="O30" s="15">
        <f t="shared" si="0"/>
        <v>5</v>
      </c>
      <c r="P30" s="15">
        <f t="shared" si="1"/>
        <v>18</v>
      </c>
      <c r="R30" s="36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2</v>
      </c>
      <c r="AF30" s="31">
        <f t="shared" si="22"/>
        <v>2</v>
      </c>
    </row>
    <row r="31" spans="2:32" ht="23.1" customHeight="1" x14ac:dyDescent="0.25">
      <c r="B31" s="46" t="s">
        <v>58</v>
      </c>
      <c r="C31" s="50">
        <v>3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1</v>
      </c>
      <c r="M31" s="50">
        <v>15</v>
      </c>
      <c r="N31" s="50">
        <v>0</v>
      </c>
      <c r="O31" s="15">
        <f t="shared" si="0"/>
        <v>7</v>
      </c>
      <c r="P31" s="15">
        <f t="shared" si="1"/>
        <v>22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1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2</v>
      </c>
      <c r="AF31" s="31">
        <f t="shared" si="23"/>
        <v>2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1</v>
      </c>
      <c r="F32" s="50">
        <v>1</v>
      </c>
      <c r="G32" s="50">
        <v>0</v>
      </c>
      <c r="H32" s="50">
        <v>1</v>
      </c>
      <c r="I32" s="50">
        <v>3</v>
      </c>
      <c r="J32" s="50">
        <v>0</v>
      </c>
      <c r="K32" s="50">
        <v>0</v>
      </c>
      <c r="L32" s="50">
        <v>0</v>
      </c>
      <c r="M32" s="50">
        <v>16</v>
      </c>
      <c r="N32" s="50">
        <v>0</v>
      </c>
      <c r="O32" s="15">
        <f t="shared" si="0"/>
        <v>6</v>
      </c>
      <c r="P32" s="15">
        <f t="shared" si="1"/>
        <v>22</v>
      </c>
      <c r="R32" s="33" t="s">
        <v>156</v>
      </c>
      <c r="S32" s="34">
        <f>SUM(C98:C101)</f>
        <v>6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1</v>
      </c>
      <c r="W32" s="34">
        <f t="shared" si="24"/>
        <v>1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</v>
      </c>
      <c r="AD32" s="34">
        <f t="shared" si="24"/>
        <v>0</v>
      </c>
      <c r="AE32" s="31">
        <f t="shared" si="24"/>
        <v>9</v>
      </c>
      <c r="AF32" s="31">
        <f t="shared" si="24"/>
        <v>10</v>
      </c>
    </row>
    <row r="33" spans="2:32" ht="23.1" customHeight="1" x14ac:dyDescent="0.25">
      <c r="B33" s="45" t="s">
        <v>60</v>
      </c>
      <c r="C33" s="50">
        <v>0</v>
      </c>
      <c r="D33" s="50">
        <v>1</v>
      </c>
      <c r="E33" s="50">
        <v>1</v>
      </c>
      <c r="F33" s="50">
        <v>0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0</v>
      </c>
      <c r="M33" s="50">
        <v>18</v>
      </c>
      <c r="N33" s="50">
        <v>0</v>
      </c>
      <c r="O33" s="15">
        <f t="shared" si="0"/>
        <v>5</v>
      </c>
      <c r="P33" s="15">
        <f t="shared" si="1"/>
        <v>23</v>
      </c>
      <c r="R33" s="33" t="s">
        <v>157</v>
      </c>
      <c r="S33" s="34">
        <f>SUM(C102:C105)</f>
        <v>5</v>
      </c>
      <c r="T33" s="34">
        <f t="shared" ref="T33:AF33" si="25">SUM(D102:D105)</f>
        <v>1</v>
      </c>
      <c r="U33" s="34">
        <f t="shared" si="25"/>
        <v>3</v>
      </c>
      <c r="V33" s="34">
        <f t="shared" si="25"/>
        <v>7</v>
      </c>
      <c r="W33" s="34">
        <f t="shared" si="25"/>
        <v>1</v>
      </c>
      <c r="X33" s="34">
        <f t="shared" si="25"/>
        <v>2</v>
      </c>
      <c r="Y33" s="34">
        <f t="shared" si="25"/>
        <v>0</v>
      </c>
      <c r="Z33" s="34">
        <f t="shared" si="25"/>
        <v>2</v>
      </c>
      <c r="AA33" s="34">
        <f t="shared" si="25"/>
        <v>1</v>
      </c>
      <c r="AB33" s="34">
        <f t="shared" si="25"/>
        <v>1</v>
      </c>
      <c r="AC33" s="34">
        <f t="shared" si="25"/>
        <v>13</v>
      </c>
      <c r="AD33" s="34">
        <f t="shared" si="25"/>
        <v>0</v>
      </c>
      <c r="AE33" s="31">
        <f t="shared" si="25"/>
        <v>23</v>
      </c>
      <c r="AF33" s="31">
        <f t="shared" si="25"/>
        <v>36</v>
      </c>
    </row>
    <row r="34" spans="2:32" ht="23.1" customHeight="1" x14ac:dyDescent="0.25">
      <c r="B34" s="46" t="s">
        <v>61</v>
      </c>
      <c r="C34" s="50">
        <v>1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12</v>
      </c>
      <c r="N34" s="50">
        <v>0</v>
      </c>
      <c r="O34" s="15">
        <f t="shared" si="0"/>
        <v>4</v>
      </c>
      <c r="P34" s="15">
        <f t="shared" si="1"/>
        <v>16</v>
      </c>
      <c r="R34" s="38" t="s">
        <v>90</v>
      </c>
      <c r="S34" s="39">
        <f t="shared" ref="S34:AF34" si="26">MAX(S10:S12)</f>
        <v>5</v>
      </c>
      <c r="T34" s="39">
        <f t="shared" si="26"/>
        <v>1</v>
      </c>
      <c r="U34" s="39">
        <f t="shared" si="26"/>
        <v>3</v>
      </c>
      <c r="V34" s="39">
        <f t="shared" si="26"/>
        <v>2</v>
      </c>
      <c r="W34" s="39">
        <f t="shared" si="26"/>
        <v>0</v>
      </c>
      <c r="X34" s="39">
        <f t="shared" si="26"/>
        <v>1</v>
      </c>
      <c r="Y34" s="39">
        <f t="shared" si="26"/>
        <v>7</v>
      </c>
      <c r="Z34" s="39">
        <f t="shared" si="26"/>
        <v>1</v>
      </c>
      <c r="AA34" s="39">
        <f t="shared" si="26"/>
        <v>0</v>
      </c>
      <c r="AB34" s="39">
        <f t="shared" si="26"/>
        <v>1</v>
      </c>
      <c r="AC34" s="39">
        <f t="shared" si="26"/>
        <v>60</v>
      </c>
      <c r="AD34" s="39">
        <f t="shared" si="26"/>
        <v>0</v>
      </c>
      <c r="AE34" s="40">
        <f t="shared" si="26"/>
        <v>20</v>
      </c>
      <c r="AF34" s="40">
        <f t="shared" si="26"/>
        <v>72</v>
      </c>
    </row>
    <row r="35" spans="2:32" ht="23.1" customHeight="1" x14ac:dyDescent="0.25">
      <c r="B35" s="46" t="s">
        <v>62</v>
      </c>
      <c r="C35" s="50">
        <v>4</v>
      </c>
      <c r="D35" s="50">
        <v>0</v>
      </c>
      <c r="E35" s="50">
        <v>2</v>
      </c>
      <c r="F35" s="50">
        <v>2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10</v>
      </c>
      <c r="N35" s="50">
        <v>0</v>
      </c>
      <c r="O35" s="15">
        <f t="shared" si="0"/>
        <v>11</v>
      </c>
      <c r="P35" s="15">
        <f t="shared" si="1"/>
        <v>21</v>
      </c>
      <c r="R35" s="38" t="s">
        <v>91</v>
      </c>
      <c r="S35" s="39">
        <f t="shared" ref="S35:AF35" si="27">MAX(S13:S18)</f>
        <v>7</v>
      </c>
      <c r="T35" s="39">
        <f t="shared" si="27"/>
        <v>3</v>
      </c>
      <c r="U35" s="39">
        <f t="shared" si="27"/>
        <v>6</v>
      </c>
      <c r="V35" s="39">
        <f t="shared" si="27"/>
        <v>3</v>
      </c>
      <c r="W35" s="39">
        <f t="shared" si="27"/>
        <v>3</v>
      </c>
      <c r="X35" s="39">
        <f t="shared" si="27"/>
        <v>2</v>
      </c>
      <c r="Y35" s="39">
        <f t="shared" si="27"/>
        <v>12</v>
      </c>
      <c r="Z35" s="39">
        <f t="shared" si="27"/>
        <v>1</v>
      </c>
      <c r="AA35" s="39">
        <f t="shared" si="27"/>
        <v>0</v>
      </c>
      <c r="AB35" s="39">
        <f t="shared" si="27"/>
        <v>1</v>
      </c>
      <c r="AC35" s="39">
        <f t="shared" si="27"/>
        <v>62</v>
      </c>
      <c r="AD35" s="39">
        <f t="shared" si="27"/>
        <v>0</v>
      </c>
      <c r="AE35" s="40">
        <f t="shared" si="27"/>
        <v>25</v>
      </c>
      <c r="AF35" s="40">
        <f t="shared" si="27"/>
        <v>85</v>
      </c>
    </row>
    <row r="36" spans="2:32" ht="23.1" customHeight="1" x14ac:dyDescent="0.25">
      <c r="B36" s="46" t="s">
        <v>63</v>
      </c>
      <c r="C36" s="50">
        <v>0</v>
      </c>
      <c r="D36" s="50">
        <v>1</v>
      </c>
      <c r="E36" s="50">
        <v>1</v>
      </c>
      <c r="F36" s="50">
        <v>1</v>
      </c>
      <c r="G36" s="50">
        <v>1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11</v>
      </c>
      <c r="N36" s="50">
        <v>0</v>
      </c>
      <c r="O36" s="15">
        <f t="shared" si="0"/>
        <v>5</v>
      </c>
      <c r="P36" s="15">
        <f t="shared" si="1"/>
        <v>16</v>
      </c>
      <c r="R36" s="38" t="s">
        <v>92</v>
      </c>
      <c r="S36" s="39">
        <f t="shared" ref="S36:AF36" si="28">MAX(S19:S21)</f>
        <v>6</v>
      </c>
      <c r="T36" s="39">
        <f t="shared" si="28"/>
        <v>2</v>
      </c>
      <c r="U36" s="39">
        <f t="shared" si="28"/>
        <v>4</v>
      </c>
      <c r="V36" s="39">
        <f t="shared" si="28"/>
        <v>4</v>
      </c>
      <c r="W36" s="39">
        <f t="shared" si="28"/>
        <v>1</v>
      </c>
      <c r="X36" s="39">
        <f t="shared" si="28"/>
        <v>0</v>
      </c>
      <c r="Y36" s="39">
        <f t="shared" si="28"/>
        <v>5</v>
      </c>
      <c r="Z36" s="39">
        <f t="shared" si="28"/>
        <v>0</v>
      </c>
      <c r="AA36" s="39">
        <f t="shared" si="28"/>
        <v>0</v>
      </c>
      <c r="AB36" s="39">
        <f t="shared" si="28"/>
        <v>0</v>
      </c>
      <c r="AC36" s="39">
        <f t="shared" si="28"/>
        <v>63</v>
      </c>
      <c r="AD36" s="39">
        <f t="shared" si="28"/>
        <v>0</v>
      </c>
      <c r="AE36" s="40">
        <f t="shared" si="28"/>
        <v>14</v>
      </c>
      <c r="AF36" s="40">
        <f t="shared" si="28"/>
        <v>75</v>
      </c>
    </row>
    <row r="37" spans="2:32" ht="23.1" customHeight="1" x14ac:dyDescent="0.25">
      <c r="B37" s="45" t="s">
        <v>64</v>
      </c>
      <c r="C37" s="50">
        <v>2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11</v>
      </c>
      <c r="N37" s="50">
        <v>0</v>
      </c>
      <c r="O37" s="15">
        <f t="shared" si="0"/>
        <v>3</v>
      </c>
      <c r="P37" s="15">
        <f t="shared" si="1"/>
        <v>14</v>
      </c>
      <c r="R37" s="37" t="s">
        <v>85</v>
      </c>
      <c r="S37" s="35">
        <f t="shared" ref="S37:AF37" si="29">SUM(S10:S12)</f>
        <v>10</v>
      </c>
      <c r="T37" s="16">
        <f t="shared" si="29"/>
        <v>2</v>
      </c>
      <c r="U37" s="16">
        <f t="shared" si="29"/>
        <v>7</v>
      </c>
      <c r="V37" s="16">
        <f t="shared" si="29"/>
        <v>2</v>
      </c>
      <c r="W37" s="16">
        <f t="shared" si="29"/>
        <v>0</v>
      </c>
      <c r="X37" s="16">
        <f t="shared" si="29"/>
        <v>2</v>
      </c>
      <c r="Y37" s="16">
        <f t="shared" si="29"/>
        <v>10</v>
      </c>
      <c r="Z37" s="16">
        <f t="shared" si="29"/>
        <v>1</v>
      </c>
      <c r="AA37" s="16">
        <f t="shared" si="29"/>
        <v>0</v>
      </c>
      <c r="AB37" s="16">
        <f t="shared" si="29"/>
        <v>2</v>
      </c>
      <c r="AC37" s="16">
        <f t="shared" si="29"/>
        <v>160</v>
      </c>
      <c r="AD37" s="16">
        <f t="shared" si="29"/>
        <v>0</v>
      </c>
      <c r="AE37" s="32">
        <f t="shared" si="29"/>
        <v>36</v>
      </c>
      <c r="AF37" s="32">
        <f t="shared" si="29"/>
        <v>196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11</v>
      </c>
      <c r="N38" s="50">
        <v>0</v>
      </c>
      <c r="O38" s="15">
        <f t="shared" si="0"/>
        <v>0</v>
      </c>
      <c r="P38" s="15">
        <f t="shared" si="1"/>
        <v>11</v>
      </c>
      <c r="R38" s="28" t="s">
        <v>86</v>
      </c>
      <c r="S38" s="16">
        <f t="shared" ref="S38:AF38" si="30">SUM(S13:S18)</f>
        <v>28</v>
      </c>
      <c r="T38" s="16">
        <f t="shared" si="30"/>
        <v>9</v>
      </c>
      <c r="U38" s="16">
        <f t="shared" si="30"/>
        <v>22</v>
      </c>
      <c r="V38" s="16">
        <f t="shared" si="30"/>
        <v>8</v>
      </c>
      <c r="W38" s="16">
        <f t="shared" si="30"/>
        <v>4</v>
      </c>
      <c r="X38" s="16">
        <f t="shared" si="30"/>
        <v>4</v>
      </c>
      <c r="Y38" s="16">
        <f t="shared" si="30"/>
        <v>40</v>
      </c>
      <c r="Z38" s="16">
        <f t="shared" si="30"/>
        <v>3</v>
      </c>
      <c r="AA38" s="16">
        <f t="shared" si="30"/>
        <v>0</v>
      </c>
      <c r="AB38" s="16">
        <f t="shared" si="30"/>
        <v>2</v>
      </c>
      <c r="AC38" s="16">
        <f t="shared" si="30"/>
        <v>305</v>
      </c>
      <c r="AD38" s="16">
        <f t="shared" si="30"/>
        <v>0</v>
      </c>
      <c r="AE38" s="32">
        <f t="shared" si="30"/>
        <v>120</v>
      </c>
      <c r="AF38" s="32">
        <f t="shared" si="30"/>
        <v>425</v>
      </c>
    </row>
    <row r="39" spans="2:32" ht="23.1" customHeight="1" x14ac:dyDescent="0.25">
      <c r="B39" s="46" t="s">
        <v>66</v>
      </c>
      <c r="C39" s="50">
        <v>1</v>
      </c>
      <c r="D39" s="50">
        <v>1</v>
      </c>
      <c r="E39" s="50">
        <v>0</v>
      </c>
      <c r="F39" s="50">
        <v>0</v>
      </c>
      <c r="G39" s="50">
        <v>0</v>
      </c>
      <c r="H39" s="50">
        <v>0</v>
      </c>
      <c r="I39" s="50">
        <v>4</v>
      </c>
      <c r="J39" s="50">
        <v>0</v>
      </c>
      <c r="K39" s="50">
        <v>0</v>
      </c>
      <c r="L39" s="50">
        <v>0</v>
      </c>
      <c r="M39" s="50">
        <v>10</v>
      </c>
      <c r="N39" s="50">
        <v>0</v>
      </c>
      <c r="O39" s="15">
        <f t="shared" si="0"/>
        <v>6</v>
      </c>
      <c r="P39" s="15">
        <f t="shared" si="1"/>
        <v>16</v>
      </c>
      <c r="R39" s="29" t="s">
        <v>87</v>
      </c>
      <c r="S39" s="16">
        <f t="shared" ref="S39:AF39" si="31">SUM(S19:S21)</f>
        <v>10</v>
      </c>
      <c r="T39" s="16">
        <f t="shared" si="31"/>
        <v>3</v>
      </c>
      <c r="U39" s="16">
        <f t="shared" si="31"/>
        <v>7</v>
      </c>
      <c r="V39" s="16">
        <f t="shared" si="31"/>
        <v>5</v>
      </c>
      <c r="W39" s="16">
        <f t="shared" si="31"/>
        <v>1</v>
      </c>
      <c r="X39" s="16">
        <f t="shared" si="31"/>
        <v>0</v>
      </c>
      <c r="Y39" s="16">
        <f t="shared" si="31"/>
        <v>12</v>
      </c>
      <c r="Z39" s="16">
        <f t="shared" si="31"/>
        <v>0</v>
      </c>
      <c r="AA39" s="16">
        <f t="shared" si="31"/>
        <v>0</v>
      </c>
      <c r="AB39" s="16">
        <f t="shared" si="31"/>
        <v>0</v>
      </c>
      <c r="AC39" s="16">
        <f t="shared" si="31"/>
        <v>167</v>
      </c>
      <c r="AD39" s="16">
        <f t="shared" si="31"/>
        <v>0</v>
      </c>
      <c r="AE39" s="32">
        <f t="shared" si="31"/>
        <v>38</v>
      </c>
      <c r="AF39" s="32">
        <f t="shared" si="31"/>
        <v>205</v>
      </c>
    </row>
    <row r="40" spans="2:32" ht="23.1" customHeight="1" x14ac:dyDescent="0.25">
      <c r="B40" s="46" t="s">
        <v>67</v>
      </c>
      <c r="C40" s="50">
        <v>1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14</v>
      </c>
      <c r="N40" s="50">
        <v>0</v>
      </c>
      <c r="O40" s="15">
        <f t="shared" si="0"/>
        <v>3</v>
      </c>
      <c r="P40" s="15">
        <f t="shared" si="1"/>
        <v>17</v>
      </c>
      <c r="R40" s="5" t="s">
        <v>17</v>
      </c>
      <c r="S40" s="16">
        <f t="shared" ref="S40:AF40" si="32">SUM(S10:S21)</f>
        <v>48</v>
      </c>
      <c r="T40" s="16">
        <f t="shared" si="32"/>
        <v>14</v>
      </c>
      <c r="U40" s="16">
        <f t="shared" si="32"/>
        <v>36</v>
      </c>
      <c r="V40" s="16">
        <f t="shared" si="32"/>
        <v>15</v>
      </c>
      <c r="W40" s="16">
        <f t="shared" si="32"/>
        <v>5</v>
      </c>
      <c r="X40" s="16">
        <f t="shared" si="32"/>
        <v>6</v>
      </c>
      <c r="Y40" s="16">
        <f t="shared" si="32"/>
        <v>62</v>
      </c>
      <c r="Z40" s="16">
        <f t="shared" si="32"/>
        <v>4</v>
      </c>
      <c r="AA40" s="16">
        <f t="shared" si="32"/>
        <v>0</v>
      </c>
      <c r="AB40" s="16">
        <f t="shared" si="32"/>
        <v>4</v>
      </c>
      <c r="AC40" s="16">
        <f t="shared" si="32"/>
        <v>632</v>
      </c>
      <c r="AD40" s="16">
        <f t="shared" si="32"/>
        <v>0</v>
      </c>
      <c r="AE40" s="32">
        <f t="shared" si="32"/>
        <v>194</v>
      </c>
      <c r="AF40" s="32">
        <f t="shared" si="32"/>
        <v>826</v>
      </c>
    </row>
    <row r="41" spans="2:32" ht="23.1" customHeight="1" x14ac:dyDescent="0.25">
      <c r="B41" s="45" t="s">
        <v>68</v>
      </c>
      <c r="C41" s="50">
        <v>0</v>
      </c>
      <c r="D41" s="50">
        <v>2</v>
      </c>
      <c r="E41" s="50">
        <v>0</v>
      </c>
      <c r="F41" s="50">
        <v>1</v>
      </c>
      <c r="G41" s="50">
        <v>0</v>
      </c>
      <c r="H41" s="50">
        <v>1</v>
      </c>
      <c r="I41" s="50">
        <v>0</v>
      </c>
      <c r="J41" s="50">
        <v>0</v>
      </c>
      <c r="K41" s="50">
        <v>0</v>
      </c>
      <c r="L41" s="50">
        <v>0</v>
      </c>
      <c r="M41" s="50">
        <v>18</v>
      </c>
      <c r="N41" s="50">
        <v>0</v>
      </c>
      <c r="O41" s="15">
        <f t="shared" si="0"/>
        <v>4</v>
      </c>
      <c r="P41" s="15">
        <f t="shared" si="1"/>
        <v>22</v>
      </c>
      <c r="R41" s="5" t="s">
        <v>159</v>
      </c>
      <c r="S41" s="16">
        <f>SUM(S10:S33)</f>
        <v>94</v>
      </c>
      <c r="T41" s="16">
        <f t="shared" ref="T41:AF41" si="33">SUM(T10:T33)</f>
        <v>23</v>
      </c>
      <c r="U41" s="16">
        <f t="shared" si="33"/>
        <v>66</v>
      </c>
      <c r="V41" s="16">
        <f t="shared" si="33"/>
        <v>29</v>
      </c>
      <c r="W41" s="16">
        <f t="shared" si="33"/>
        <v>7</v>
      </c>
      <c r="X41" s="16">
        <f t="shared" si="33"/>
        <v>10</v>
      </c>
      <c r="Y41" s="16">
        <f t="shared" si="33"/>
        <v>84</v>
      </c>
      <c r="Z41" s="16">
        <f t="shared" si="33"/>
        <v>7</v>
      </c>
      <c r="AA41" s="16">
        <f t="shared" si="33"/>
        <v>1</v>
      </c>
      <c r="AB41" s="16">
        <f t="shared" si="33"/>
        <v>5</v>
      </c>
      <c r="AC41" s="16">
        <f t="shared" si="33"/>
        <v>758</v>
      </c>
      <c r="AD41" s="16">
        <f t="shared" si="33"/>
        <v>0</v>
      </c>
      <c r="AE41" s="32">
        <f t="shared" si="33"/>
        <v>326</v>
      </c>
      <c r="AF41" s="32">
        <f t="shared" si="33"/>
        <v>1084</v>
      </c>
    </row>
    <row r="42" spans="2:32" ht="23.1" customHeight="1" x14ac:dyDescent="0.25">
      <c r="B42" s="46" t="s">
        <v>69</v>
      </c>
      <c r="C42" s="50">
        <v>2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v>0</v>
      </c>
      <c r="M42" s="50">
        <v>10</v>
      </c>
      <c r="N42" s="50">
        <v>0</v>
      </c>
      <c r="O42" s="15">
        <f t="shared" si="0"/>
        <v>7</v>
      </c>
      <c r="P42" s="15">
        <f t="shared" si="1"/>
        <v>17</v>
      </c>
      <c r="R42" s="5" t="s">
        <v>160</v>
      </c>
      <c r="S42" s="48">
        <f>S41/S40</f>
        <v>1.9583333333333333</v>
      </c>
      <c r="T42" s="48">
        <f t="shared" ref="T42:AF42" si="34">T41/T40</f>
        <v>1.6428571428571428</v>
      </c>
      <c r="U42" s="48">
        <f t="shared" si="34"/>
        <v>1.8333333333333333</v>
      </c>
      <c r="V42" s="48">
        <f t="shared" si="34"/>
        <v>1.9333333333333333</v>
      </c>
      <c r="W42" s="48">
        <f t="shared" si="34"/>
        <v>1.4</v>
      </c>
      <c r="X42" s="48">
        <f t="shared" si="34"/>
        <v>1.6666666666666667</v>
      </c>
      <c r="Y42" s="48">
        <f t="shared" si="34"/>
        <v>1.3548387096774193</v>
      </c>
      <c r="Z42" s="48">
        <f t="shared" si="34"/>
        <v>1.75</v>
      </c>
      <c r="AA42" s="48" t="e">
        <f t="shared" si="34"/>
        <v>#DIV/0!</v>
      </c>
      <c r="AB42" s="48">
        <f t="shared" si="34"/>
        <v>1.25</v>
      </c>
      <c r="AC42" s="48">
        <f t="shared" si="34"/>
        <v>1.1993670886075949</v>
      </c>
      <c r="AD42" s="48" t="e">
        <f t="shared" si="34"/>
        <v>#DIV/0!</v>
      </c>
      <c r="AE42" s="48">
        <f t="shared" si="34"/>
        <v>1.6804123711340206</v>
      </c>
      <c r="AF42" s="48">
        <f t="shared" si="34"/>
        <v>1.3123486682808716</v>
      </c>
    </row>
    <row r="43" spans="2:32" ht="23.1" customHeight="1" x14ac:dyDescent="0.25">
      <c r="B43" s="45" t="s">
        <v>70</v>
      </c>
      <c r="C43" s="50">
        <v>1</v>
      </c>
      <c r="D43" s="50">
        <v>1</v>
      </c>
      <c r="E43" s="50">
        <v>0</v>
      </c>
      <c r="F43" s="50">
        <v>0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8</v>
      </c>
      <c r="N43" s="50">
        <v>0</v>
      </c>
      <c r="O43" s="15">
        <f t="shared" si="0"/>
        <v>5</v>
      </c>
      <c r="P43" s="15">
        <f t="shared" si="1"/>
        <v>13</v>
      </c>
    </row>
    <row r="44" spans="2:32" ht="23.1" customHeight="1" x14ac:dyDescent="0.25">
      <c r="B44" s="47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12</v>
      </c>
      <c r="N44" s="50">
        <v>0</v>
      </c>
      <c r="O44" s="15">
        <f t="shared" si="0"/>
        <v>4</v>
      </c>
      <c r="P44" s="15">
        <f t="shared" si="1"/>
        <v>16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5</v>
      </c>
      <c r="F45" s="50">
        <v>0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8</v>
      </c>
      <c r="N45" s="50">
        <v>0</v>
      </c>
      <c r="O45" s="15">
        <f t="shared" si="0"/>
        <v>9</v>
      </c>
      <c r="P45" s="15">
        <f t="shared" si="1"/>
        <v>17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2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19</v>
      </c>
      <c r="N46" s="50">
        <v>0</v>
      </c>
      <c r="O46" s="15">
        <f t="shared" si="0"/>
        <v>2</v>
      </c>
      <c r="P46" s="15">
        <f t="shared" si="1"/>
        <v>21</v>
      </c>
      <c r="R46" s="8"/>
      <c r="T46"/>
    </row>
    <row r="47" spans="2:32" ht="23.1" customHeight="1" x14ac:dyDescent="0.25">
      <c r="B47" s="46" t="s">
        <v>74</v>
      </c>
      <c r="C47" s="50">
        <v>2</v>
      </c>
      <c r="D47" s="50">
        <v>0</v>
      </c>
      <c r="E47" s="50">
        <v>2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7</v>
      </c>
      <c r="N47" s="50">
        <v>0</v>
      </c>
      <c r="O47" s="15">
        <f t="shared" si="0"/>
        <v>5</v>
      </c>
      <c r="P47" s="15">
        <f t="shared" si="1"/>
        <v>12</v>
      </c>
      <c r="R47" s="8"/>
      <c r="T47"/>
    </row>
    <row r="48" spans="2:32" ht="23.1" customHeight="1" x14ac:dyDescent="0.25">
      <c r="B48" s="46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10</v>
      </c>
      <c r="N48" s="50">
        <v>0</v>
      </c>
      <c r="O48" s="15">
        <f t="shared" si="0"/>
        <v>2</v>
      </c>
      <c r="P48" s="15">
        <f t="shared" si="1"/>
        <v>12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2</v>
      </c>
      <c r="E49" s="50">
        <v>0</v>
      </c>
      <c r="F49" s="50">
        <v>1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10</v>
      </c>
      <c r="N49" s="50">
        <v>0</v>
      </c>
      <c r="O49" s="15">
        <f t="shared" si="0"/>
        <v>5</v>
      </c>
      <c r="P49" s="15">
        <f t="shared" si="1"/>
        <v>15</v>
      </c>
      <c r="R49" s="8"/>
      <c r="T49"/>
    </row>
    <row r="50" spans="2:20" ht="23.1" customHeight="1" x14ac:dyDescent="0.25">
      <c r="B50" s="46" t="s">
        <v>77</v>
      </c>
      <c r="C50" s="50">
        <v>3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10</v>
      </c>
      <c r="N50" s="50">
        <v>0</v>
      </c>
      <c r="O50" s="15">
        <f t="shared" si="0"/>
        <v>4</v>
      </c>
      <c r="P50" s="15">
        <f t="shared" si="1"/>
        <v>14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18</v>
      </c>
      <c r="N51" s="50">
        <v>0</v>
      </c>
      <c r="O51" s="15">
        <f t="shared" si="0"/>
        <v>4</v>
      </c>
      <c r="P51" s="15">
        <f t="shared" si="1"/>
        <v>22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19</v>
      </c>
      <c r="N52" s="50">
        <v>0</v>
      </c>
      <c r="O52" s="15">
        <f t="shared" si="0"/>
        <v>2</v>
      </c>
      <c r="P52" s="15">
        <f t="shared" si="1"/>
        <v>21</v>
      </c>
      <c r="R52" s="8"/>
      <c r="T52"/>
    </row>
    <row r="53" spans="2:20" ht="23.1" customHeight="1" x14ac:dyDescent="0.25">
      <c r="B53" s="45" t="s">
        <v>80</v>
      </c>
      <c r="C53" s="50">
        <v>2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11</v>
      </c>
      <c r="N53" s="50">
        <v>0</v>
      </c>
      <c r="O53" s="15">
        <f t="shared" si="0"/>
        <v>2</v>
      </c>
      <c r="P53" s="15">
        <f t="shared" si="1"/>
        <v>13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1</v>
      </c>
      <c r="E54" s="50">
        <v>0</v>
      </c>
      <c r="F54" s="50">
        <v>0</v>
      </c>
      <c r="G54" s="50">
        <v>1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15</v>
      </c>
      <c r="N54" s="50">
        <v>0</v>
      </c>
      <c r="O54" s="15">
        <f t="shared" si="0"/>
        <v>3</v>
      </c>
      <c r="P54" s="15">
        <f t="shared" si="1"/>
        <v>18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21</v>
      </c>
      <c r="N55" s="50">
        <v>0</v>
      </c>
      <c r="O55" s="15">
        <f t="shared" si="0"/>
        <v>0</v>
      </c>
      <c r="P55" s="15">
        <f t="shared" si="1"/>
        <v>21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1</v>
      </c>
      <c r="F56" s="50">
        <v>1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14</v>
      </c>
      <c r="N56" s="50">
        <v>0</v>
      </c>
      <c r="O56" s="15">
        <f t="shared" si="0"/>
        <v>4</v>
      </c>
      <c r="P56" s="15">
        <f t="shared" si="1"/>
        <v>18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1</v>
      </c>
      <c r="F57" s="50">
        <v>3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13</v>
      </c>
      <c r="N57" s="50">
        <v>0</v>
      </c>
      <c r="O57" s="15">
        <f t="shared" si="0"/>
        <v>5</v>
      </c>
      <c r="P57" s="15">
        <f t="shared" si="1"/>
        <v>18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2</v>
      </c>
      <c r="F58" s="50">
        <v>1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13</v>
      </c>
      <c r="N58" s="50">
        <v>0</v>
      </c>
      <c r="O58" s="15">
        <f t="shared" ref="O58:O105" si="35">SUM(C58:L58,N58)</f>
        <v>4</v>
      </c>
      <c r="P58" s="15">
        <f t="shared" ref="P58:P105" si="36">SUM(C58:N58)</f>
        <v>17</v>
      </c>
      <c r="R58" s="8"/>
      <c r="T58"/>
    </row>
    <row r="59" spans="2:20" ht="23.1" customHeight="1" x14ac:dyDescent="0.25">
      <c r="B59" s="45" t="s">
        <v>100</v>
      </c>
      <c r="C59" s="50">
        <v>2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16</v>
      </c>
      <c r="N59" s="50">
        <v>0</v>
      </c>
      <c r="O59" s="15">
        <f t="shared" si="35"/>
        <v>3</v>
      </c>
      <c r="P59" s="15">
        <f t="shared" si="36"/>
        <v>19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1</v>
      </c>
      <c r="E60" s="50">
        <v>0</v>
      </c>
      <c r="F60" s="50">
        <v>0</v>
      </c>
      <c r="G60" s="50">
        <v>0</v>
      </c>
      <c r="H60" s="50">
        <v>0</v>
      </c>
      <c r="I60" s="50">
        <v>2</v>
      </c>
      <c r="J60" s="50">
        <v>0</v>
      </c>
      <c r="K60" s="50">
        <v>0</v>
      </c>
      <c r="L60" s="50">
        <v>0</v>
      </c>
      <c r="M60" s="50">
        <v>12</v>
      </c>
      <c r="N60" s="50">
        <v>0</v>
      </c>
      <c r="O60" s="15">
        <f t="shared" si="35"/>
        <v>4</v>
      </c>
      <c r="P60" s="15">
        <f t="shared" si="36"/>
        <v>16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1</v>
      </c>
      <c r="F61" s="50">
        <v>1</v>
      </c>
      <c r="G61" s="50">
        <v>0</v>
      </c>
      <c r="H61" s="50">
        <v>1</v>
      </c>
      <c r="I61" s="50">
        <v>3</v>
      </c>
      <c r="J61" s="50">
        <v>0</v>
      </c>
      <c r="K61" s="50">
        <v>0</v>
      </c>
      <c r="L61" s="50">
        <v>0</v>
      </c>
      <c r="M61" s="50">
        <v>10</v>
      </c>
      <c r="N61" s="50">
        <v>0</v>
      </c>
      <c r="O61" s="15">
        <f t="shared" si="35"/>
        <v>8</v>
      </c>
      <c r="P61" s="15">
        <f t="shared" si="36"/>
        <v>18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2</v>
      </c>
      <c r="F62" s="50">
        <v>0</v>
      </c>
      <c r="G62" s="50">
        <v>0</v>
      </c>
      <c r="H62" s="50">
        <v>0</v>
      </c>
      <c r="I62" s="50">
        <v>2</v>
      </c>
      <c r="J62" s="50">
        <v>0</v>
      </c>
      <c r="K62" s="50">
        <v>0</v>
      </c>
      <c r="L62" s="50">
        <v>0</v>
      </c>
      <c r="M62" s="50">
        <v>13</v>
      </c>
      <c r="N62" s="50">
        <v>0</v>
      </c>
      <c r="O62" s="15">
        <f t="shared" si="35"/>
        <v>5</v>
      </c>
      <c r="P62" s="15">
        <f t="shared" si="36"/>
        <v>18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1</v>
      </c>
      <c r="E63" s="50">
        <v>2</v>
      </c>
      <c r="F63" s="50">
        <v>1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9</v>
      </c>
      <c r="N63" s="50">
        <v>0</v>
      </c>
      <c r="O63" s="15">
        <f t="shared" si="35"/>
        <v>6</v>
      </c>
      <c r="P63" s="15">
        <f t="shared" si="36"/>
        <v>15</v>
      </c>
      <c r="R63" s="8"/>
      <c r="T63"/>
    </row>
    <row r="64" spans="2:20" ht="23.1" customHeight="1" x14ac:dyDescent="0.25">
      <c r="B64" s="45" t="s">
        <v>109</v>
      </c>
      <c r="C64" s="50">
        <v>3</v>
      </c>
      <c r="D64" s="50">
        <v>0</v>
      </c>
      <c r="E64" s="50">
        <v>1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7</v>
      </c>
      <c r="N64" s="50">
        <v>0</v>
      </c>
      <c r="O64" s="15">
        <f t="shared" si="35"/>
        <v>4</v>
      </c>
      <c r="P64" s="15">
        <f t="shared" si="36"/>
        <v>11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5</v>
      </c>
      <c r="N65" s="50">
        <v>0</v>
      </c>
      <c r="O65" s="15">
        <f t="shared" si="35"/>
        <v>2</v>
      </c>
      <c r="P65" s="15">
        <f t="shared" si="36"/>
        <v>7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1</v>
      </c>
      <c r="E66" s="50">
        <v>1</v>
      </c>
      <c r="F66" s="50">
        <v>0</v>
      </c>
      <c r="G66" s="50">
        <v>0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6</v>
      </c>
      <c r="N66" s="50">
        <v>0</v>
      </c>
      <c r="O66" s="15">
        <f t="shared" si="35"/>
        <v>5</v>
      </c>
      <c r="P66" s="15">
        <f t="shared" si="36"/>
        <v>11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1</v>
      </c>
      <c r="E67" s="50">
        <v>3</v>
      </c>
      <c r="F67" s="50">
        <v>0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3</v>
      </c>
      <c r="N67" s="50">
        <v>0</v>
      </c>
      <c r="O67" s="15">
        <f t="shared" si="35"/>
        <v>8</v>
      </c>
      <c r="P67" s="15">
        <f t="shared" si="36"/>
        <v>11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0</v>
      </c>
      <c r="E68" s="50">
        <v>2</v>
      </c>
      <c r="F68" s="50">
        <v>1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4</v>
      </c>
      <c r="N68" s="50">
        <v>0</v>
      </c>
      <c r="O68" s="15">
        <f t="shared" si="35"/>
        <v>4</v>
      </c>
      <c r="P68" s="15">
        <f t="shared" si="36"/>
        <v>8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0</v>
      </c>
      <c r="E69" s="50">
        <v>1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2</v>
      </c>
      <c r="N69" s="50">
        <v>0</v>
      </c>
      <c r="O69" s="15">
        <f t="shared" si="35"/>
        <v>3</v>
      </c>
      <c r="P69" s="15">
        <f t="shared" si="36"/>
        <v>5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3</v>
      </c>
      <c r="J70" s="50">
        <v>1</v>
      </c>
      <c r="K70" s="50">
        <v>0</v>
      </c>
      <c r="L70" s="50">
        <v>0</v>
      </c>
      <c r="M70" s="50">
        <v>0</v>
      </c>
      <c r="N70" s="50">
        <v>0</v>
      </c>
      <c r="O70" s="15">
        <f t="shared" si="35"/>
        <v>5</v>
      </c>
      <c r="P70" s="15">
        <f t="shared" si="36"/>
        <v>5</v>
      </c>
      <c r="R70" s="8"/>
      <c r="T70"/>
    </row>
    <row r="71" spans="2:20" ht="23.1" customHeight="1" x14ac:dyDescent="0.25">
      <c r="B71" s="45" t="s">
        <v>111</v>
      </c>
      <c r="C71" s="50">
        <v>2</v>
      </c>
      <c r="D71" s="50">
        <v>0</v>
      </c>
      <c r="E71" s="50">
        <v>1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1</v>
      </c>
      <c r="N71" s="50">
        <v>0</v>
      </c>
      <c r="O71" s="15">
        <f t="shared" si="35"/>
        <v>3</v>
      </c>
      <c r="P71" s="15">
        <f t="shared" si="36"/>
        <v>4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2</v>
      </c>
      <c r="J72" s="50">
        <v>0</v>
      </c>
      <c r="K72" s="50">
        <v>0</v>
      </c>
      <c r="L72" s="50">
        <v>0</v>
      </c>
      <c r="M72" s="50">
        <v>1</v>
      </c>
      <c r="N72" s="50">
        <v>0</v>
      </c>
      <c r="O72" s="15">
        <f t="shared" si="35"/>
        <v>4</v>
      </c>
      <c r="P72" s="15">
        <f t="shared" si="36"/>
        <v>5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2</v>
      </c>
      <c r="F73" s="50">
        <v>1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</v>
      </c>
      <c r="N73" s="50">
        <v>0</v>
      </c>
      <c r="O73" s="15">
        <f t="shared" si="35"/>
        <v>3</v>
      </c>
      <c r="P73" s="15">
        <f t="shared" si="36"/>
        <v>5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2</v>
      </c>
      <c r="N74" s="50">
        <v>0</v>
      </c>
      <c r="O74" s="15">
        <f t="shared" si="35"/>
        <v>2</v>
      </c>
      <c r="P74" s="15">
        <f t="shared" si="36"/>
        <v>4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1</v>
      </c>
      <c r="P75" s="15">
        <f t="shared" si="36"/>
        <v>1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1</v>
      </c>
      <c r="F76" s="50">
        <v>0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3</v>
      </c>
      <c r="P76" s="15">
        <f t="shared" si="36"/>
        <v>4</v>
      </c>
      <c r="R76" s="8"/>
      <c r="T76"/>
    </row>
    <row r="77" spans="2:20" ht="23.1" customHeight="1" x14ac:dyDescent="0.25">
      <c r="B77" s="45" t="s">
        <v>117</v>
      </c>
      <c r="C77" s="50">
        <v>2</v>
      </c>
      <c r="D77" s="50">
        <v>1</v>
      </c>
      <c r="E77" s="50">
        <v>1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4</v>
      </c>
      <c r="P77" s="15">
        <f t="shared" si="36"/>
        <v>4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2</v>
      </c>
      <c r="N78" s="50">
        <v>0</v>
      </c>
      <c r="O78" s="15">
        <f t="shared" si="35"/>
        <v>2</v>
      </c>
      <c r="P78" s="15">
        <f t="shared" si="36"/>
        <v>4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0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1</v>
      </c>
      <c r="F81" s="50">
        <v>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15">
        <f t="shared" si="35"/>
        <v>2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1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3</v>
      </c>
      <c r="P82" s="15">
        <f t="shared" si="36"/>
        <v>3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1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2</v>
      </c>
      <c r="P84" s="15">
        <f t="shared" si="36"/>
        <v>2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1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0</v>
      </c>
      <c r="P86" s="15">
        <f t="shared" si="36"/>
        <v>1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1</v>
      </c>
      <c r="F94" s="50">
        <v>0</v>
      </c>
      <c r="G94" s="50">
        <v>0</v>
      </c>
      <c r="H94" s="50">
        <v>1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2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0</v>
      </c>
      <c r="G100" s="50">
        <v>1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2</v>
      </c>
      <c r="P100" s="15">
        <f t="shared" si="36"/>
        <v>3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1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5</v>
      </c>
      <c r="P101" s="15">
        <f t="shared" si="36"/>
        <v>5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1</v>
      </c>
      <c r="E102" s="50">
        <v>1</v>
      </c>
      <c r="F102" s="50">
        <v>1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2</v>
      </c>
      <c r="N102" s="50">
        <v>0</v>
      </c>
      <c r="O102" s="15">
        <f t="shared" si="35"/>
        <v>3</v>
      </c>
      <c r="P102" s="15">
        <f t="shared" si="36"/>
        <v>5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2</v>
      </c>
      <c r="G103" s="50">
        <v>0</v>
      </c>
      <c r="H103" s="50">
        <v>0</v>
      </c>
      <c r="I103" s="50">
        <v>0</v>
      </c>
      <c r="J103" s="50">
        <v>1</v>
      </c>
      <c r="K103" s="50">
        <v>0</v>
      </c>
      <c r="L103" s="50">
        <v>0</v>
      </c>
      <c r="M103" s="50">
        <v>3</v>
      </c>
      <c r="N103" s="50">
        <v>0</v>
      </c>
      <c r="O103" s="15">
        <f t="shared" si="35"/>
        <v>3</v>
      </c>
      <c r="P103" s="15">
        <f t="shared" si="36"/>
        <v>6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2</v>
      </c>
      <c r="F104" s="50">
        <v>2</v>
      </c>
      <c r="G104" s="50">
        <v>1</v>
      </c>
      <c r="H104" s="50">
        <v>1</v>
      </c>
      <c r="I104" s="50">
        <v>0</v>
      </c>
      <c r="J104" s="50">
        <v>0</v>
      </c>
      <c r="K104" s="50">
        <v>1</v>
      </c>
      <c r="L104" s="50">
        <v>1</v>
      </c>
      <c r="M104" s="50">
        <v>3</v>
      </c>
      <c r="N104" s="50">
        <v>0</v>
      </c>
      <c r="O104" s="15">
        <f t="shared" si="35"/>
        <v>10</v>
      </c>
      <c r="P104" s="15">
        <f t="shared" si="36"/>
        <v>13</v>
      </c>
      <c r="R104" s="8"/>
      <c r="T104"/>
    </row>
    <row r="105" spans="2:20" ht="23.1" customHeight="1" x14ac:dyDescent="0.25">
      <c r="B105" s="45" t="s">
        <v>145</v>
      </c>
      <c r="C105" s="50">
        <v>3</v>
      </c>
      <c r="D105" s="50">
        <v>0</v>
      </c>
      <c r="E105" s="50">
        <v>0</v>
      </c>
      <c r="F105" s="50">
        <v>2</v>
      </c>
      <c r="G105" s="50">
        <v>0</v>
      </c>
      <c r="H105" s="50">
        <v>1</v>
      </c>
      <c r="I105" s="50">
        <v>0</v>
      </c>
      <c r="J105" s="50">
        <v>1</v>
      </c>
      <c r="K105" s="50">
        <v>0</v>
      </c>
      <c r="L105" s="50">
        <v>0</v>
      </c>
      <c r="M105" s="50">
        <v>5</v>
      </c>
      <c r="N105" s="50">
        <v>0</v>
      </c>
      <c r="O105" s="15">
        <f t="shared" si="35"/>
        <v>7</v>
      </c>
      <c r="P105" s="15">
        <f t="shared" si="36"/>
        <v>12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94</v>
      </c>
      <c r="D106" s="16">
        <f t="shared" ref="D106:P106" si="37">SUM(D10:D105)</f>
        <v>23</v>
      </c>
      <c r="E106" s="16">
        <f t="shared" si="37"/>
        <v>66</v>
      </c>
      <c r="F106" s="16">
        <f t="shared" si="37"/>
        <v>29</v>
      </c>
      <c r="G106" s="16">
        <f t="shared" si="37"/>
        <v>7</v>
      </c>
      <c r="H106" s="16">
        <f t="shared" si="37"/>
        <v>10</v>
      </c>
      <c r="I106" s="16">
        <f t="shared" si="37"/>
        <v>84</v>
      </c>
      <c r="J106" s="16">
        <f t="shared" si="37"/>
        <v>7</v>
      </c>
      <c r="K106" s="16">
        <f t="shared" si="37"/>
        <v>1</v>
      </c>
      <c r="L106" s="16">
        <f t="shared" si="37"/>
        <v>5</v>
      </c>
      <c r="M106" s="16">
        <f t="shared" si="37"/>
        <v>758</v>
      </c>
      <c r="N106" s="16">
        <f t="shared" si="37"/>
        <v>0</v>
      </c>
      <c r="O106" s="16">
        <f t="shared" si="37"/>
        <v>326</v>
      </c>
      <c r="P106" s="16">
        <f t="shared" si="37"/>
        <v>1084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8.6715867158671592E-2</v>
      </c>
      <c r="D107" s="43">
        <f t="shared" si="38"/>
        <v>2.1217712177121772E-2</v>
      </c>
      <c r="E107" s="43">
        <f t="shared" si="38"/>
        <v>6.0885608856088562E-2</v>
      </c>
      <c r="F107" s="43">
        <f t="shared" si="38"/>
        <v>2.6752767527675275E-2</v>
      </c>
      <c r="G107" s="43">
        <f t="shared" si="38"/>
        <v>6.4575645756457566E-3</v>
      </c>
      <c r="H107" s="43">
        <f t="shared" si="38"/>
        <v>9.2250922509225092E-3</v>
      </c>
      <c r="I107" s="43">
        <f t="shared" si="38"/>
        <v>7.7490774907749083E-2</v>
      </c>
      <c r="J107" s="43">
        <f t="shared" si="38"/>
        <v>6.4575645756457566E-3</v>
      </c>
      <c r="K107" s="43">
        <f t="shared" si="38"/>
        <v>9.225092250922509E-4</v>
      </c>
      <c r="L107" s="43">
        <f t="shared" si="38"/>
        <v>4.6125461254612546E-3</v>
      </c>
      <c r="M107" s="43">
        <f t="shared" si="38"/>
        <v>0.69926199261992616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0.28834355828220859</v>
      </c>
      <c r="D108" s="44">
        <f t="shared" ref="D108:N108" si="39">D106/$O$106</f>
        <v>7.0552147239263799E-2</v>
      </c>
      <c r="E108" s="44">
        <f t="shared" si="39"/>
        <v>0.20245398773006135</v>
      </c>
      <c r="F108" s="44">
        <f t="shared" si="39"/>
        <v>8.8957055214723926E-2</v>
      </c>
      <c r="G108" s="44">
        <f t="shared" si="39"/>
        <v>2.1472392638036811E-2</v>
      </c>
      <c r="H108" s="44">
        <f t="shared" si="39"/>
        <v>3.0674846625766871E-2</v>
      </c>
      <c r="I108" s="44">
        <f t="shared" si="39"/>
        <v>0.25766871165644173</v>
      </c>
      <c r="J108" s="44">
        <f t="shared" si="39"/>
        <v>2.1472392638036811E-2</v>
      </c>
      <c r="K108" s="44">
        <f t="shared" si="39"/>
        <v>3.0674846625766872E-3</v>
      </c>
      <c r="L108" s="44">
        <f t="shared" si="39"/>
        <v>1.5337423312883436E-2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8" zoomScale="60" workbookViewId="0">
      <selection activeCell="M19" sqref="M1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'11.8 KAMPALA-BUSUNJU'!C3:G3</f>
        <v>MCC-C3-STN-HOIMA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'15.8 KAMPALA-BUSUNJU-24 HRS'!D5</f>
        <v>26.07.19</v>
      </c>
      <c r="E5" s="3"/>
      <c r="F5" s="41" t="s">
        <v>1</v>
      </c>
      <c r="G5" s="64" t="str">
        <f>'15.8 KAMPALA-BUSUNJU-24 HRS'!G5:H5</f>
        <v>WAKISO</v>
      </c>
      <c r="H5" s="65"/>
      <c r="I5" s="14"/>
      <c r="J5" s="2" t="s">
        <v>5</v>
      </c>
      <c r="K5" s="64">
        <f>'15.8 KAMPALA-BUSUNJU-24 HRS'!K5:L5</f>
        <v>0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'11.8 BUSUNJU-KAMPALA'!D6:E6</f>
        <v>Makindye</v>
      </c>
      <c r="E6" s="65"/>
      <c r="F6" s="2" t="s">
        <v>2</v>
      </c>
      <c r="G6" s="64" t="str">
        <f>'12.8 KAMPALA-BUSUNJU'!G6:H6</f>
        <v>Kibuye</v>
      </c>
      <c r="H6" s="65"/>
      <c r="J6" s="2" t="s">
        <v>21</v>
      </c>
      <c r="K6" s="64">
        <f>'15.8 KAMPALA-BUSUNJU-24 HRS'!K6:L6</f>
        <v>0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2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73" si="0">SUM(C10:L10,N10)</f>
        <v>3</v>
      </c>
      <c r="P10" s="15">
        <f t="shared" ref="P10:P73" si="1">SUM(C10:N10)</f>
        <v>9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3</v>
      </c>
      <c r="V10" s="17">
        <f t="shared" si="2"/>
        <v>1</v>
      </c>
      <c r="W10" s="17">
        <f t="shared" si="2"/>
        <v>1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43</v>
      </c>
      <c r="AD10" s="17">
        <f t="shared" si="2"/>
        <v>0</v>
      </c>
      <c r="AE10" s="31">
        <f t="shared" si="2"/>
        <v>10</v>
      </c>
      <c r="AF10" s="31">
        <f t="shared" si="2"/>
        <v>53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10</v>
      </c>
      <c r="N11" s="50">
        <v>0</v>
      </c>
      <c r="O11" s="15">
        <f t="shared" si="0"/>
        <v>2</v>
      </c>
      <c r="P11" s="15">
        <f t="shared" si="1"/>
        <v>12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0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41</v>
      </c>
      <c r="AD11" s="17">
        <f t="shared" si="3"/>
        <v>1</v>
      </c>
      <c r="AE11" s="31">
        <f t="shared" si="3"/>
        <v>6</v>
      </c>
      <c r="AF11" s="31">
        <f t="shared" si="3"/>
        <v>47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1</v>
      </c>
      <c r="F12" s="50">
        <v>0</v>
      </c>
      <c r="G12" s="50">
        <v>1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16</v>
      </c>
      <c r="N12" s="50">
        <v>0</v>
      </c>
      <c r="O12" s="15">
        <f t="shared" si="0"/>
        <v>3</v>
      </c>
      <c r="P12" s="15">
        <f t="shared" si="1"/>
        <v>19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5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51</v>
      </c>
      <c r="AD12" s="17">
        <f t="shared" si="4"/>
        <v>0</v>
      </c>
      <c r="AE12" s="31">
        <f t="shared" si="4"/>
        <v>9</v>
      </c>
      <c r="AF12" s="31">
        <f t="shared" si="4"/>
        <v>60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11</v>
      </c>
      <c r="N13" s="50">
        <v>0</v>
      </c>
      <c r="O13" s="15">
        <f t="shared" si="0"/>
        <v>2</v>
      </c>
      <c r="P13" s="15">
        <f t="shared" si="1"/>
        <v>13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7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60</v>
      </c>
      <c r="AD13" s="17">
        <f t="shared" si="5"/>
        <v>0</v>
      </c>
      <c r="AE13" s="31">
        <f t="shared" si="5"/>
        <v>16</v>
      </c>
      <c r="AF13" s="31">
        <f t="shared" si="5"/>
        <v>76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11</v>
      </c>
      <c r="N14" s="50">
        <v>0</v>
      </c>
      <c r="O14" s="15">
        <f t="shared" si="0"/>
        <v>2</v>
      </c>
      <c r="P14" s="15">
        <f t="shared" si="1"/>
        <v>13</v>
      </c>
      <c r="R14" s="1" t="s">
        <v>10</v>
      </c>
      <c r="S14" s="17">
        <f t="shared" ref="S14:AF14" si="6">SUM(C26:C29)</f>
        <v>5</v>
      </c>
      <c r="T14" s="17">
        <f t="shared" si="6"/>
        <v>0</v>
      </c>
      <c r="U14" s="17">
        <f t="shared" si="6"/>
        <v>4</v>
      </c>
      <c r="V14" s="17">
        <f t="shared" si="6"/>
        <v>0</v>
      </c>
      <c r="W14" s="17">
        <f t="shared" si="6"/>
        <v>1</v>
      </c>
      <c r="X14" s="17">
        <f t="shared" si="6"/>
        <v>0</v>
      </c>
      <c r="Y14" s="17">
        <f t="shared" si="6"/>
        <v>3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54</v>
      </c>
      <c r="AD14" s="17">
        <f t="shared" si="6"/>
        <v>0</v>
      </c>
      <c r="AE14" s="31">
        <f t="shared" si="6"/>
        <v>14</v>
      </c>
      <c r="AF14" s="31">
        <f t="shared" si="6"/>
        <v>68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8</v>
      </c>
      <c r="N15" s="50">
        <v>0</v>
      </c>
      <c r="O15" s="15">
        <f t="shared" si="0"/>
        <v>2</v>
      </c>
      <c r="P15" s="15">
        <f t="shared" si="1"/>
        <v>10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6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11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52</v>
      </c>
      <c r="AD15" s="17">
        <f t="shared" si="7"/>
        <v>0</v>
      </c>
      <c r="AE15" s="31">
        <f t="shared" si="7"/>
        <v>23</v>
      </c>
      <c r="AF15" s="31">
        <f t="shared" si="7"/>
        <v>75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10</v>
      </c>
      <c r="N16" s="50">
        <v>1</v>
      </c>
      <c r="O16" s="15">
        <f t="shared" si="0"/>
        <v>1</v>
      </c>
      <c r="P16" s="15">
        <f t="shared" si="1"/>
        <v>11</v>
      </c>
      <c r="R16" s="1" t="s">
        <v>12</v>
      </c>
      <c r="S16" s="17">
        <f t="shared" ref="S16:AF16" si="8">SUM(C34:C37)</f>
        <v>6</v>
      </c>
      <c r="T16" s="17">
        <f t="shared" si="8"/>
        <v>0</v>
      </c>
      <c r="U16" s="17">
        <f t="shared" si="8"/>
        <v>1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43</v>
      </c>
      <c r="AD16" s="17">
        <f t="shared" si="8"/>
        <v>0</v>
      </c>
      <c r="AE16" s="31">
        <f t="shared" si="8"/>
        <v>14</v>
      </c>
      <c r="AF16" s="31">
        <f t="shared" si="8"/>
        <v>57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12</v>
      </c>
      <c r="N17" s="50">
        <v>0</v>
      </c>
      <c r="O17" s="15">
        <f t="shared" si="0"/>
        <v>1</v>
      </c>
      <c r="P17" s="15">
        <f t="shared" si="1"/>
        <v>13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4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53</v>
      </c>
      <c r="AD17" s="17">
        <f t="shared" si="9"/>
        <v>0</v>
      </c>
      <c r="AE17" s="31">
        <f t="shared" si="9"/>
        <v>13</v>
      </c>
      <c r="AF17" s="31">
        <f t="shared" si="9"/>
        <v>66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13</v>
      </c>
      <c r="N18" s="50">
        <v>0</v>
      </c>
      <c r="O18" s="15">
        <f t="shared" si="0"/>
        <v>2</v>
      </c>
      <c r="P18" s="15">
        <f t="shared" si="1"/>
        <v>15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3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52</v>
      </c>
      <c r="AD18" s="17">
        <f t="shared" si="10"/>
        <v>0</v>
      </c>
      <c r="AE18" s="31">
        <f t="shared" si="10"/>
        <v>14</v>
      </c>
      <c r="AF18" s="31">
        <f t="shared" si="10"/>
        <v>66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17</v>
      </c>
      <c r="N19" s="50">
        <v>0</v>
      </c>
      <c r="O19" s="15">
        <f t="shared" si="0"/>
        <v>2</v>
      </c>
      <c r="P19" s="15">
        <f t="shared" si="1"/>
        <v>19</v>
      </c>
      <c r="R19" s="1" t="s">
        <v>15</v>
      </c>
      <c r="S19" s="17">
        <f t="shared" ref="S19:AF19" si="11">SUM(C46:C49)</f>
        <v>3</v>
      </c>
      <c r="T19" s="17">
        <f t="shared" si="11"/>
        <v>0</v>
      </c>
      <c r="U19" s="17">
        <f t="shared" si="11"/>
        <v>2</v>
      </c>
      <c r="V19" s="17">
        <f t="shared" si="11"/>
        <v>2</v>
      </c>
      <c r="W19" s="17">
        <f t="shared" si="11"/>
        <v>0</v>
      </c>
      <c r="X19" s="17">
        <f t="shared" si="11"/>
        <v>0</v>
      </c>
      <c r="Y19" s="17">
        <f t="shared" si="11"/>
        <v>5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41</v>
      </c>
      <c r="AD19" s="17">
        <f t="shared" si="11"/>
        <v>0</v>
      </c>
      <c r="AE19" s="31">
        <f t="shared" si="11"/>
        <v>12</v>
      </c>
      <c r="AF19" s="31">
        <f t="shared" si="11"/>
        <v>53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13</v>
      </c>
      <c r="N20" s="50">
        <v>0</v>
      </c>
      <c r="O20" s="15">
        <f t="shared" si="0"/>
        <v>3</v>
      </c>
      <c r="P20" s="15">
        <f t="shared" si="1"/>
        <v>16</v>
      </c>
      <c r="R20" s="1" t="s">
        <v>16</v>
      </c>
      <c r="S20" s="17">
        <f t="shared" ref="S20:AF20" si="12">SUM(C50:C53)</f>
        <v>4</v>
      </c>
      <c r="T20" s="17">
        <f t="shared" si="12"/>
        <v>0</v>
      </c>
      <c r="U20" s="17">
        <f t="shared" si="12"/>
        <v>3</v>
      </c>
      <c r="V20" s="17">
        <f t="shared" si="12"/>
        <v>1</v>
      </c>
      <c r="W20" s="17">
        <f t="shared" si="12"/>
        <v>1</v>
      </c>
      <c r="X20" s="17">
        <f t="shared" si="12"/>
        <v>0</v>
      </c>
      <c r="Y20" s="17">
        <f t="shared" si="12"/>
        <v>8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60</v>
      </c>
      <c r="AD20" s="17">
        <f t="shared" si="12"/>
        <v>0</v>
      </c>
      <c r="AE20" s="31">
        <f t="shared" si="12"/>
        <v>17</v>
      </c>
      <c r="AF20" s="31">
        <f t="shared" si="12"/>
        <v>77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8</v>
      </c>
      <c r="N21" s="50">
        <v>0</v>
      </c>
      <c r="O21" s="15">
        <f t="shared" si="0"/>
        <v>2</v>
      </c>
      <c r="P21" s="15">
        <f t="shared" si="1"/>
        <v>10</v>
      </c>
      <c r="R21" s="36" t="s">
        <v>20</v>
      </c>
      <c r="S21" s="34">
        <f t="shared" ref="S21:AF21" si="13">SUM(C54:C57)</f>
        <v>7</v>
      </c>
      <c r="T21" s="17">
        <f t="shared" si="13"/>
        <v>0</v>
      </c>
      <c r="U21" s="17">
        <f t="shared" si="13"/>
        <v>1</v>
      </c>
      <c r="V21" s="17">
        <f t="shared" si="13"/>
        <v>4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1</v>
      </c>
      <c r="AB21" s="17">
        <f t="shared" si="13"/>
        <v>0</v>
      </c>
      <c r="AC21" s="17">
        <f t="shared" si="13"/>
        <v>61</v>
      </c>
      <c r="AD21" s="17">
        <f t="shared" si="13"/>
        <v>0</v>
      </c>
      <c r="AE21" s="31">
        <f t="shared" si="13"/>
        <v>16</v>
      </c>
      <c r="AF21" s="31">
        <f t="shared" si="13"/>
        <v>77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17</v>
      </c>
      <c r="N22" s="50">
        <v>0</v>
      </c>
      <c r="O22" s="15">
        <f t="shared" si="0"/>
        <v>0</v>
      </c>
      <c r="P22" s="15">
        <f t="shared" si="1"/>
        <v>17</v>
      </c>
      <c r="R22" s="36" t="s">
        <v>146</v>
      </c>
      <c r="S22" s="34">
        <f>SUM(C58:C61)</f>
        <v>6</v>
      </c>
      <c r="T22" s="34">
        <f t="shared" ref="T22:AF22" si="14">SUM(D58:D61)</f>
        <v>1</v>
      </c>
      <c r="U22" s="34">
        <f t="shared" si="14"/>
        <v>4</v>
      </c>
      <c r="V22" s="34">
        <f t="shared" si="14"/>
        <v>2</v>
      </c>
      <c r="W22" s="34">
        <f t="shared" si="14"/>
        <v>0</v>
      </c>
      <c r="X22" s="34">
        <f t="shared" si="14"/>
        <v>1</v>
      </c>
      <c r="Y22" s="34">
        <f t="shared" si="14"/>
        <v>5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46</v>
      </c>
      <c r="AD22" s="34">
        <f t="shared" si="14"/>
        <v>0</v>
      </c>
      <c r="AE22" s="31">
        <f t="shared" si="14"/>
        <v>19</v>
      </c>
      <c r="AF22" s="31">
        <f t="shared" si="14"/>
        <v>65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5</v>
      </c>
      <c r="F23" s="50">
        <v>0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18</v>
      </c>
      <c r="N23" s="50">
        <v>0</v>
      </c>
      <c r="O23" s="15">
        <f t="shared" si="0"/>
        <v>9</v>
      </c>
      <c r="P23" s="15">
        <f t="shared" si="1"/>
        <v>27</v>
      </c>
      <c r="R23" s="36" t="s">
        <v>147</v>
      </c>
      <c r="S23" s="34">
        <f>SUM(C62:C65)</f>
        <v>7</v>
      </c>
      <c r="T23" s="34">
        <f t="shared" ref="T23:AF23" si="15">SUM(D62:D65)</f>
        <v>1</v>
      </c>
      <c r="U23" s="34">
        <f t="shared" si="15"/>
        <v>5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3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34</v>
      </c>
      <c r="AD23" s="34">
        <f t="shared" si="15"/>
        <v>0</v>
      </c>
      <c r="AE23" s="31">
        <f t="shared" si="15"/>
        <v>17</v>
      </c>
      <c r="AF23" s="31">
        <f t="shared" si="15"/>
        <v>51</v>
      </c>
    </row>
    <row r="24" spans="2:32" ht="23.1" customHeight="1" x14ac:dyDescent="0.25">
      <c r="B24" s="45" t="s">
        <v>51</v>
      </c>
      <c r="C24" s="50">
        <v>1</v>
      </c>
      <c r="D24" s="50">
        <v>0</v>
      </c>
      <c r="E24" s="50">
        <v>1</v>
      </c>
      <c r="F24" s="50">
        <v>2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14</v>
      </c>
      <c r="N24" s="50">
        <v>0</v>
      </c>
      <c r="O24" s="15">
        <f t="shared" si="0"/>
        <v>5</v>
      </c>
      <c r="P24" s="15">
        <f t="shared" si="1"/>
        <v>19</v>
      </c>
      <c r="R24" s="36" t="s">
        <v>148</v>
      </c>
      <c r="S24" s="34">
        <f>SUM(C66:C69)</f>
        <v>6</v>
      </c>
      <c r="T24" s="34">
        <f t="shared" ref="T24:AF24" si="16">SUM(D66:D69)</f>
        <v>2</v>
      </c>
      <c r="U24" s="34">
        <f t="shared" si="16"/>
        <v>7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15</v>
      </c>
      <c r="AD24" s="34">
        <f t="shared" si="16"/>
        <v>0</v>
      </c>
      <c r="AE24" s="31">
        <f t="shared" si="16"/>
        <v>20</v>
      </c>
      <c r="AF24" s="31">
        <f t="shared" si="16"/>
        <v>35</v>
      </c>
    </row>
    <row r="25" spans="2:32" ht="23.1" customHeight="1" x14ac:dyDescent="0.25">
      <c r="B25" s="45" t="s">
        <v>52</v>
      </c>
      <c r="C25" s="50">
        <v>1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11</v>
      </c>
      <c r="N25" s="50">
        <v>0</v>
      </c>
      <c r="O25" s="15">
        <f t="shared" si="0"/>
        <v>2</v>
      </c>
      <c r="P25" s="15">
        <f t="shared" si="1"/>
        <v>13</v>
      </c>
      <c r="R25" s="36" t="s">
        <v>149</v>
      </c>
      <c r="S25" s="34">
        <f>SUM(C70:C73)</f>
        <v>5</v>
      </c>
      <c r="T25" s="34">
        <f t="shared" ref="T25:AF25" si="17">SUM(D70:D73)</f>
        <v>0</v>
      </c>
      <c r="U25" s="34">
        <f t="shared" si="17"/>
        <v>3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5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4</v>
      </c>
      <c r="AD25" s="34">
        <f t="shared" si="17"/>
        <v>0</v>
      </c>
      <c r="AE25" s="31">
        <f t="shared" si="17"/>
        <v>15</v>
      </c>
      <c r="AF25" s="31">
        <f t="shared" si="17"/>
        <v>19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2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12</v>
      </c>
      <c r="N26" s="50">
        <v>0</v>
      </c>
      <c r="O26" s="15">
        <f t="shared" si="0"/>
        <v>3</v>
      </c>
      <c r="P26" s="15">
        <f t="shared" si="1"/>
        <v>15</v>
      </c>
      <c r="R26" s="36" t="s">
        <v>150</v>
      </c>
      <c r="S26" s="34">
        <f>SUM(C74:C77)</f>
        <v>5</v>
      </c>
      <c r="T26" s="34">
        <f t="shared" ref="T26:AF26" si="18">SUM(D74:D77)</f>
        <v>1</v>
      </c>
      <c r="U26" s="34">
        <f t="shared" si="18"/>
        <v>3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3</v>
      </c>
      <c r="AD26" s="34">
        <f t="shared" si="18"/>
        <v>0</v>
      </c>
      <c r="AE26" s="31">
        <f t="shared" si="18"/>
        <v>10</v>
      </c>
      <c r="AF26" s="31">
        <f t="shared" si="18"/>
        <v>13</v>
      </c>
    </row>
    <row r="27" spans="2:32" ht="23.1" customHeight="1" x14ac:dyDescent="0.25">
      <c r="B27" s="45" t="s">
        <v>54</v>
      </c>
      <c r="C27" s="50">
        <v>2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0</v>
      </c>
      <c r="M27" s="50">
        <v>14</v>
      </c>
      <c r="N27" s="50">
        <v>0</v>
      </c>
      <c r="O27" s="15">
        <f t="shared" si="0"/>
        <v>4</v>
      </c>
      <c r="P27" s="15">
        <f t="shared" si="1"/>
        <v>18</v>
      </c>
      <c r="R27" s="36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31">
        <f t="shared" si="19"/>
        <v>6</v>
      </c>
      <c r="AF27" s="31">
        <f t="shared" si="19"/>
        <v>10</v>
      </c>
    </row>
    <row r="28" spans="2:32" ht="23.1" customHeight="1" x14ac:dyDescent="0.25">
      <c r="B28" s="45" t="s">
        <v>55</v>
      </c>
      <c r="C28" s="50">
        <v>1</v>
      </c>
      <c r="D28" s="50">
        <v>0</v>
      </c>
      <c r="E28" s="50">
        <v>2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12</v>
      </c>
      <c r="N28" s="50">
        <v>0</v>
      </c>
      <c r="O28" s="15">
        <f t="shared" si="0"/>
        <v>3</v>
      </c>
      <c r="P28" s="15">
        <f t="shared" si="1"/>
        <v>15</v>
      </c>
      <c r="R28" s="36" t="s">
        <v>152</v>
      </c>
      <c r="S28" s="34">
        <f>SUM(C82:C85)</f>
        <v>3</v>
      </c>
      <c r="T28" s="34">
        <f t="shared" ref="T28:AF28" si="20">SUM(D82:D85)</f>
        <v>1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8</v>
      </c>
      <c r="AF28" s="31">
        <f t="shared" si="20"/>
        <v>8</v>
      </c>
    </row>
    <row r="29" spans="2:32" ht="23.1" customHeight="1" x14ac:dyDescent="0.25">
      <c r="B29" s="45" t="s">
        <v>56</v>
      </c>
      <c r="C29" s="50">
        <v>2</v>
      </c>
      <c r="D29" s="50">
        <v>0</v>
      </c>
      <c r="E29" s="50">
        <v>0</v>
      </c>
      <c r="F29" s="50">
        <v>0</v>
      </c>
      <c r="G29" s="50">
        <v>1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16</v>
      </c>
      <c r="N29" s="50">
        <v>0</v>
      </c>
      <c r="O29" s="15">
        <f t="shared" si="0"/>
        <v>4</v>
      </c>
      <c r="P29" s="15">
        <f t="shared" si="1"/>
        <v>20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1</v>
      </c>
      <c r="AF29" s="31">
        <f t="shared" si="21"/>
        <v>2</v>
      </c>
    </row>
    <row r="30" spans="2:32" ht="23.1" customHeight="1" x14ac:dyDescent="0.25">
      <c r="B30" s="45" t="s">
        <v>57</v>
      </c>
      <c r="C30" s="50">
        <v>2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3</v>
      </c>
      <c r="J30" s="50">
        <v>0</v>
      </c>
      <c r="K30" s="50">
        <v>0</v>
      </c>
      <c r="L30" s="50">
        <v>0</v>
      </c>
      <c r="M30" s="50">
        <v>9</v>
      </c>
      <c r="N30" s="50">
        <v>0</v>
      </c>
      <c r="O30" s="15">
        <f t="shared" si="0"/>
        <v>6</v>
      </c>
      <c r="P30" s="15">
        <f t="shared" si="1"/>
        <v>15</v>
      </c>
      <c r="R30" s="36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2</v>
      </c>
      <c r="AF30" s="31">
        <f t="shared" si="22"/>
        <v>2</v>
      </c>
    </row>
    <row r="31" spans="2:32" ht="23.1" customHeight="1" x14ac:dyDescent="0.25">
      <c r="B31" s="46" t="s">
        <v>58</v>
      </c>
      <c r="C31" s="50">
        <v>1</v>
      </c>
      <c r="D31" s="50">
        <v>0</v>
      </c>
      <c r="E31" s="50">
        <v>2</v>
      </c>
      <c r="F31" s="50">
        <v>0</v>
      </c>
      <c r="G31" s="50">
        <v>0</v>
      </c>
      <c r="H31" s="50">
        <v>0</v>
      </c>
      <c r="I31" s="50">
        <v>5</v>
      </c>
      <c r="J31" s="50">
        <v>0</v>
      </c>
      <c r="K31" s="50">
        <v>0</v>
      </c>
      <c r="L31" s="50">
        <v>0</v>
      </c>
      <c r="M31" s="50">
        <v>15</v>
      </c>
      <c r="N31" s="50">
        <v>0</v>
      </c>
      <c r="O31" s="15">
        <f t="shared" si="0"/>
        <v>8</v>
      </c>
      <c r="P31" s="15">
        <f t="shared" si="1"/>
        <v>23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1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2</v>
      </c>
      <c r="AF31" s="31">
        <f t="shared" si="23"/>
        <v>2</v>
      </c>
    </row>
    <row r="32" spans="2:32" ht="23.1" customHeight="1" x14ac:dyDescent="0.25">
      <c r="B32" s="46" t="s">
        <v>59</v>
      </c>
      <c r="C32" s="50">
        <v>1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11</v>
      </c>
      <c r="N32" s="50">
        <v>0</v>
      </c>
      <c r="O32" s="15">
        <f t="shared" si="0"/>
        <v>4</v>
      </c>
      <c r="P32" s="15">
        <f t="shared" si="1"/>
        <v>15</v>
      </c>
      <c r="R32" s="33" t="s">
        <v>156</v>
      </c>
      <c r="S32" s="34">
        <f>SUM(C98:C101)</f>
        <v>6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1</v>
      </c>
      <c r="W32" s="34">
        <f t="shared" si="24"/>
        <v>1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2</v>
      </c>
      <c r="AD32" s="34">
        <f t="shared" si="24"/>
        <v>0</v>
      </c>
      <c r="AE32" s="31">
        <f t="shared" si="24"/>
        <v>9</v>
      </c>
      <c r="AF32" s="31">
        <f t="shared" si="24"/>
        <v>11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2</v>
      </c>
      <c r="F33" s="50">
        <v>1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17</v>
      </c>
      <c r="N33" s="50">
        <v>0</v>
      </c>
      <c r="O33" s="15">
        <f t="shared" si="0"/>
        <v>5</v>
      </c>
      <c r="P33" s="15">
        <f t="shared" si="1"/>
        <v>22</v>
      </c>
      <c r="R33" s="33" t="s">
        <v>157</v>
      </c>
      <c r="S33" s="34">
        <f>SUM(C102:C105)</f>
        <v>4</v>
      </c>
      <c r="T33" s="34">
        <f t="shared" ref="T33:AF33" si="25">SUM(D102:D105)</f>
        <v>1</v>
      </c>
      <c r="U33" s="34">
        <f t="shared" si="25"/>
        <v>3</v>
      </c>
      <c r="V33" s="34">
        <f t="shared" si="25"/>
        <v>5</v>
      </c>
      <c r="W33" s="34">
        <f t="shared" si="25"/>
        <v>1</v>
      </c>
      <c r="X33" s="34">
        <f t="shared" si="25"/>
        <v>2</v>
      </c>
      <c r="Y33" s="34">
        <f t="shared" si="25"/>
        <v>0</v>
      </c>
      <c r="Z33" s="34">
        <f t="shared" si="25"/>
        <v>3</v>
      </c>
      <c r="AA33" s="34">
        <f t="shared" si="25"/>
        <v>1</v>
      </c>
      <c r="AB33" s="34">
        <f t="shared" si="25"/>
        <v>1</v>
      </c>
      <c r="AC33" s="34">
        <f t="shared" si="25"/>
        <v>11</v>
      </c>
      <c r="AD33" s="34">
        <f t="shared" si="25"/>
        <v>1</v>
      </c>
      <c r="AE33" s="31">
        <f t="shared" si="25"/>
        <v>22</v>
      </c>
      <c r="AF33" s="31">
        <f t="shared" si="25"/>
        <v>33</v>
      </c>
    </row>
    <row r="34" spans="2:32" ht="23.1" customHeight="1" x14ac:dyDescent="0.25">
      <c r="B34" s="46" t="s">
        <v>61</v>
      </c>
      <c r="C34" s="50">
        <v>3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9</v>
      </c>
      <c r="N34" s="50">
        <v>0</v>
      </c>
      <c r="O34" s="15">
        <f t="shared" si="0"/>
        <v>3</v>
      </c>
      <c r="P34" s="15">
        <f t="shared" si="1"/>
        <v>12</v>
      </c>
      <c r="R34" s="38" t="s">
        <v>90</v>
      </c>
      <c r="S34" s="39">
        <f t="shared" ref="S34:AF34" si="26">MAX(S10:S12)</f>
        <v>3</v>
      </c>
      <c r="T34" s="39">
        <f t="shared" si="26"/>
        <v>0</v>
      </c>
      <c r="U34" s="39">
        <f t="shared" si="26"/>
        <v>3</v>
      </c>
      <c r="V34" s="39">
        <f t="shared" si="26"/>
        <v>2</v>
      </c>
      <c r="W34" s="39">
        <f t="shared" si="26"/>
        <v>1</v>
      </c>
      <c r="X34" s="39">
        <f t="shared" si="26"/>
        <v>0</v>
      </c>
      <c r="Y34" s="39">
        <f t="shared" si="26"/>
        <v>5</v>
      </c>
      <c r="Z34" s="39">
        <f t="shared" si="26"/>
        <v>0</v>
      </c>
      <c r="AA34" s="39">
        <f t="shared" si="26"/>
        <v>0</v>
      </c>
      <c r="AB34" s="39">
        <f t="shared" si="26"/>
        <v>0</v>
      </c>
      <c r="AC34" s="39">
        <f t="shared" si="26"/>
        <v>51</v>
      </c>
      <c r="AD34" s="39">
        <f t="shared" si="26"/>
        <v>1</v>
      </c>
      <c r="AE34" s="40">
        <f t="shared" si="26"/>
        <v>10</v>
      </c>
      <c r="AF34" s="40">
        <f t="shared" si="26"/>
        <v>60</v>
      </c>
    </row>
    <row r="35" spans="2:32" ht="23.1" customHeight="1" x14ac:dyDescent="0.25">
      <c r="B35" s="46" t="s">
        <v>62</v>
      </c>
      <c r="C35" s="50">
        <v>1</v>
      </c>
      <c r="D35" s="50">
        <v>0</v>
      </c>
      <c r="E35" s="50">
        <v>0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10</v>
      </c>
      <c r="N35" s="50">
        <v>0</v>
      </c>
      <c r="O35" s="15">
        <f t="shared" si="0"/>
        <v>2</v>
      </c>
      <c r="P35" s="15">
        <f t="shared" si="1"/>
        <v>12</v>
      </c>
      <c r="R35" s="38" t="s">
        <v>91</v>
      </c>
      <c r="S35" s="39">
        <f t="shared" ref="S35:AF35" si="27">MAX(S13:S18)</f>
        <v>6</v>
      </c>
      <c r="T35" s="39">
        <f t="shared" si="27"/>
        <v>0</v>
      </c>
      <c r="U35" s="39">
        <f t="shared" si="27"/>
        <v>7</v>
      </c>
      <c r="V35" s="39">
        <f t="shared" si="27"/>
        <v>2</v>
      </c>
      <c r="W35" s="39">
        <f t="shared" si="27"/>
        <v>1</v>
      </c>
      <c r="X35" s="39">
        <f t="shared" si="27"/>
        <v>0</v>
      </c>
      <c r="Y35" s="39">
        <f t="shared" si="27"/>
        <v>11</v>
      </c>
      <c r="Z35" s="39">
        <f t="shared" si="27"/>
        <v>1</v>
      </c>
      <c r="AA35" s="39">
        <f t="shared" si="27"/>
        <v>0</v>
      </c>
      <c r="AB35" s="39">
        <f t="shared" si="27"/>
        <v>0</v>
      </c>
      <c r="AC35" s="39">
        <f t="shared" si="27"/>
        <v>60</v>
      </c>
      <c r="AD35" s="39">
        <f t="shared" si="27"/>
        <v>0</v>
      </c>
      <c r="AE35" s="40">
        <f t="shared" si="27"/>
        <v>23</v>
      </c>
      <c r="AF35" s="40">
        <f t="shared" si="27"/>
        <v>76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16</v>
      </c>
      <c r="N36" s="50">
        <v>0</v>
      </c>
      <c r="O36" s="15">
        <f t="shared" si="0"/>
        <v>4</v>
      </c>
      <c r="P36" s="15">
        <f t="shared" si="1"/>
        <v>20</v>
      </c>
      <c r="R36" s="38" t="s">
        <v>92</v>
      </c>
      <c r="S36" s="39">
        <f t="shared" ref="S36:AF36" si="28">MAX(S19:S21)</f>
        <v>7</v>
      </c>
      <c r="T36" s="39">
        <f t="shared" si="28"/>
        <v>0</v>
      </c>
      <c r="U36" s="39">
        <f t="shared" si="28"/>
        <v>3</v>
      </c>
      <c r="V36" s="39">
        <f t="shared" si="28"/>
        <v>4</v>
      </c>
      <c r="W36" s="39">
        <f t="shared" si="28"/>
        <v>1</v>
      </c>
      <c r="X36" s="39">
        <f t="shared" si="28"/>
        <v>0</v>
      </c>
      <c r="Y36" s="39">
        <f t="shared" si="28"/>
        <v>8</v>
      </c>
      <c r="Z36" s="39">
        <f t="shared" si="28"/>
        <v>0</v>
      </c>
      <c r="AA36" s="39">
        <f t="shared" si="28"/>
        <v>1</v>
      </c>
      <c r="AB36" s="39">
        <f t="shared" si="28"/>
        <v>0</v>
      </c>
      <c r="AC36" s="39">
        <f t="shared" si="28"/>
        <v>61</v>
      </c>
      <c r="AD36" s="39">
        <f t="shared" si="28"/>
        <v>0</v>
      </c>
      <c r="AE36" s="40">
        <f t="shared" si="28"/>
        <v>17</v>
      </c>
      <c r="AF36" s="40">
        <f t="shared" si="28"/>
        <v>77</v>
      </c>
    </row>
    <row r="37" spans="2:32" ht="23.1" customHeight="1" x14ac:dyDescent="0.25">
      <c r="B37" s="45" t="s">
        <v>64</v>
      </c>
      <c r="C37" s="50">
        <v>2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8</v>
      </c>
      <c r="N37" s="50">
        <v>0</v>
      </c>
      <c r="O37" s="15">
        <f t="shared" si="0"/>
        <v>5</v>
      </c>
      <c r="P37" s="15">
        <f t="shared" si="1"/>
        <v>13</v>
      </c>
      <c r="R37" s="37" t="s">
        <v>85</v>
      </c>
      <c r="S37" s="35">
        <f t="shared" ref="S37:AF37" si="29">SUM(S10:S12)</f>
        <v>6</v>
      </c>
      <c r="T37" s="16">
        <f t="shared" si="29"/>
        <v>0</v>
      </c>
      <c r="U37" s="16">
        <f t="shared" si="29"/>
        <v>5</v>
      </c>
      <c r="V37" s="16">
        <f t="shared" si="29"/>
        <v>3</v>
      </c>
      <c r="W37" s="16">
        <f t="shared" si="29"/>
        <v>1</v>
      </c>
      <c r="X37" s="16">
        <f t="shared" si="29"/>
        <v>0</v>
      </c>
      <c r="Y37" s="16">
        <f t="shared" si="29"/>
        <v>9</v>
      </c>
      <c r="Z37" s="16">
        <f t="shared" si="29"/>
        <v>0</v>
      </c>
      <c r="AA37" s="16">
        <f t="shared" si="29"/>
        <v>0</v>
      </c>
      <c r="AB37" s="16">
        <f t="shared" si="29"/>
        <v>0</v>
      </c>
      <c r="AC37" s="16">
        <f t="shared" si="29"/>
        <v>135</v>
      </c>
      <c r="AD37" s="16">
        <f t="shared" si="29"/>
        <v>1</v>
      </c>
      <c r="AE37" s="32">
        <f t="shared" si="29"/>
        <v>25</v>
      </c>
      <c r="AF37" s="32">
        <f t="shared" si="29"/>
        <v>160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12</v>
      </c>
      <c r="N38" s="50">
        <v>0</v>
      </c>
      <c r="O38" s="15">
        <f t="shared" si="0"/>
        <v>3</v>
      </c>
      <c r="P38" s="15">
        <f t="shared" si="1"/>
        <v>15</v>
      </c>
      <c r="R38" s="28" t="s">
        <v>86</v>
      </c>
      <c r="S38" s="16">
        <f t="shared" ref="S38:AF38" si="30">SUM(S13:S18)</f>
        <v>25</v>
      </c>
      <c r="T38" s="16">
        <f t="shared" si="30"/>
        <v>0</v>
      </c>
      <c r="U38" s="16">
        <f t="shared" si="30"/>
        <v>25</v>
      </c>
      <c r="V38" s="16">
        <f t="shared" si="30"/>
        <v>8</v>
      </c>
      <c r="W38" s="16">
        <f t="shared" si="30"/>
        <v>1</v>
      </c>
      <c r="X38" s="16">
        <f t="shared" si="30"/>
        <v>0</v>
      </c>
      <c r="Y38" s="16">
        <f t="shared" si="30"/>
        <v>33</v>
      </c>
      <c r="Z38" s="16">
        <f t="shared" si="30"/>
        <v>2</v>
      </c>
      <c r="AA38" s="16">
        <f t="shared" si="30"/>
        <v>0</v>
      </c>
      <c r="AB38" s="16">
        <f t="shared" si="30"/>
        <v>0</v>
      </c>
      <c r="AC38" s="16">
        <f t="shared" si="30"/>
        <v>314</v>
      </c>
      <c r="AD38" s="16">
        <f t="shared" si="30"/>
        <v>0</v>
      </c>
      <c r="AE38" s="32">
        <f t="shared" si="30"/>
        <v>94</v>
      </c>
      <c r="AF38" s="32">
        <f t="shared" si="30"/>
        <v>408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14</v>
      </c>
      <c r="N39" s="50">
        <v>0</v>
      </c>
      <c r="O39" s="15">
        <f t="shared" si="0"/>
        <v>5</v>
      </c>
      <c r="P39" s="15">
        <f t="shared" si="1"/>
        <v>19</v>
      </c>
      <c r="R39" s="29" t="s">
        <v>87</v>
      </c>
      <c r="S39" s="16">
        <f t="shared" ref="S39:AF39" si="31">SUM(S19:S21)</f>
        <v>14</v>
      </c>
      <c r="T39" s="16">
        <f t="shared" si="31"/>
        <v>0</v>
      </c>
      <c r="U39" s="16">
        <f t="shared" si="31"/>
        <v>6</v>
      </c>
      <c r="V39" s="16">
        <f t="shared" si="31"/>
        <v>7</v>
      </c>
      <c r="W39" s="16">
        <f t="shared" si="31"/>
        <v>1</v>
      </c>
      <c r="X39" s="16">
        <f t="shared" si="31"/>
        <v>0</v>
      </c>
      <c r="Y39" s="16">
        <f t="shared" si="31"/>
        <v>16</v>
      </c>
      <c r="Z39" s="16">
        <f t="shared" si="31"/>
        <v>0</v>
      </c>
      <c r="AA39" s="16">
        <f t="shared" si="31"/>
        <v>1</v>
      </c>
      <c r="AB39" s="16">
        <f t="shared" si="31"/>
        <v>0</v>
      </c>
      <c r="AC39" s="16">
        <f t="shared" si="31"/>
        <v>162</v>
      </c>
      <c r="AD39" s="16">
        <f t="shared" si="31"/>
        <v>0</v>
      </c>
      <c r="AE39" s="32">
        <f t="shared" si="31"/>
        <v>45</v>
      </c>
      <c r="AF39" s="32">
        <f t="shared" si="31"/>
        <v>207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2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11</v>
      </c>
      <c r="N40" s="50">
        <v>0</v>
      </c>
      <c r="O40" s="15">
        <f t="shared" si="0"/>
        <v>3</v>
      </c>
      <c r="P40" s="15">
        <f t="shared" si="1"/>
        <v>14</v>
      </c>
      <c r="R40" s="5" t="s">
        <v>17</v>
      </c>
      <c r="S40" s="16">
        <f t="shared" ref="S40:AF40" si="32">SUM(S10:S21)</f>
        <v>45</v>
      </c>
      <c r="T40" s="16">
        <f t="shared" si="32"/>
        <v>0</v>
      </c>
      <c r="U40" s="16">
        <f t="shared" si="32"/>
        <v>36</v>
      </c>
      <c r="V40" s="16">
        <f t="shared" si="32"/>
        <v>18</v>
      </c>
      <c r="W40" s="16">
        <f t="shared" si="32"/>
        <v>3</v>
      </c>
      <c r="X40" s="16">
        <f t="shared" si="32"/>
        <v>0</v>
      </c>
      <c r="Y40" s="16">
        <f t="shared" si="32"/>
        <v>58</v>
      </c>
      <c r="Z40" s="16">
        <f t="shared" si="32"/>
        <v>2</v>
      </c>
      <c r="AA40" s="16">
        <f t="shared" si="32"/>
        <v>1</v>
      </c>
      <c r="AB40" s="16">
        <f t="shared" si="32"/>
        <v>0</v>
      </c>
      <c r="AC40" s="16">
        <f t="shared" si="32"/>
        <v>611</v>
      </c>
      <c r="AD40" s="16">
        <f t="shared" si="32"/>
        <v>1</v>
      </c>
      <c r="AE40" s="32">
        <f t="shared" si="32"/>
        <v>164</v>
      </c>
      <c r="AF40" s="32">
        <f t="shared" si="32"/>
        <v>775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16</v>
      </c>
      <c r="N41" s="50">
        <v>0</v>
      </c>
      <c r="O41" s="15">
        <f t="shared" si="0"/>
        <v>2</v>
      </c>
      <c r="P41" s="15">
        <f t="shared" si="1"/>
        <v>18</v>
      </c>
      <c r="R41" s="5" t="s">
        <v>159</v>
      </c>
      <c r="S41" s="16">
        <f>SUM(S10:S33)</f>
        <v>90</v>
      </c>
      <c r="T41" s="16">
        <f t="shared" ref="T41:AF41" si="33">SUM(T10:T33)</f>
        <v>9</v>
      </c>
      <c r="U41" s="16">
        <f t="shared" si="33"/>
        <v>66</v>
      </c>
      <c r="V41" s="16">
        <f t="shared" si="33"/>
        <v>30</v>
      </c>
      <c r="W41" s="16">
        <f t="shared" si="33"/>
        <v>5</v>
      </c>
      <c r="X41" s="16">
        <f t="shared" si="33"/>
        <v>4</v>
      </c>
      <c r="Y41" s="16">
        <f t="shared" si="33"/>
        <v>80</v>
      </c>
      <c r="Z41" s="16">
        <f t="shared" si="33"/>
        <v>6</v>
      </c>
      <c r="AA41" s="16">
        <f t="shared" si="33"/>
        <v>2</v>
      </c>
      <c r="AB41" s="16">
        <f t="shared" si="33"/>
        <v>1</v>
      </c>
      <c r="AC41" s="16">
        <f t="shared" si="33"/>
        <v>731</v>
      </c>
      <c r="AD41" s="16">
        <f t="shared" si="33"/>
        <v>2</v>
      </c>
      <c r="AE41" s="32">
        <f t="shared" si="33"/>
        <v>295</v>
      </c>
      <c r="AF41" s="32">
        <f t="shared" si="33"/>
        <v>1026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13</v>
      </c>
      <c r="N42" s="50">
        <v>0</v>
      </c>
      <c r="O42" s="15">
        <f t="shared" si="0"/>
        <v>4</v>
      </c>
      <c r="P42" s="15">
        <f t="shared" si="1"/>
        <v>17</v>
      </c>
      <c r="R42" s="5" t="s">
        <v>160</v>
      </c>
      <c r="S42" s="48">
        <f>S41/S40</f>
        <v>2</v>
      </c>
      <c r="T42" s="48" t="e">
        <f t="shared" ref="T42:AF42" si="34">T41/T40</f>
        <v>#DIV/0!</v>
      </c>
      <c r="U42" s="48">
        <f t="shared" si="34"/>
        <v>1.8333333333333333</v>
      </c>
      <c r="V42" s="48">
        <f t="shared" si="34"/>
        <v>1.6666666666666667</v>
      </c>
      <c r="W42" s="48">
        <f t="shared" si="34"/>
        <v>1.6666666666666667</v>
      </c>
      <c r="X42" s="48" t="e">
        <f t="shared" si="34"/>
        <v>#DIV/0!</v>
      </c>
      <c r="Y42" s="48">
        <f t="shared" si="34"/>
        <v>1.3793103448275863</v>
      </c>
      <c r="Z42" s="48">
        <f t="shared" si="34"/>
        <v>3</v>
      </c>
      <c r="AA42" s="48">
        <f t="shared" si="34"/>
        <v>2</v>
      </c>
      <c r="AB42" s="48" t="e">
        <f t="shared" si="34"/>
        <v>#DIV/0!</v>
      </c>
      <c r="AC42" s="48">
        <f t="shared" si="34"/>
        <v>1.1963993453355155</v>
      </c>
      <c r="AD42" s="48">
        <f t="shared" si="34"/>
        <v>2</v>
      </c>
      <c r="AE42" s="48">
        <f t="shared" si="34"/>
        <v>1.7987804878048781</v>
      </c>
      <c r="AF42" s="48">
        <f t="shared" si="34"/>
        <v>1.3238709677419356</v>
      </c>
    </row>
    <row r="43" spans="2:32" ht="23.1" customHeight="1" x14ac:dyDescent="0.25">
      <c r="B43" s="45" t="s">
        <v>70</v>
      </c>
      <c r="C43" s="50">
        <v>2</v>
      </c>
      <c r="D43" s="50">
        <v>0</v>
      </c>
      <c r="E43" s="50">
        <v>2</v>
      </c>
      <c r="F43" s="50">
        <v>0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11</v>
      </c>
      <c r="N43" s="50">
        <v>0</v>
      </c>
      <c r="O43" s="15">
        <f t="shared" si="0"/>
        <v>6</v>
      </c>
      <c r="P43" s="15">
        <f t="shared" si="1"/>
        <v>17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13</v>
      </c>
      <c r="N44" s="50">
        <v>0</v>
      </c>
      <c r="O44" s="15">
        <f t="shared" si="0"/>
        <v>2</v>
      </c>
      <c r="P44" s="15">
        <f t="shared" si="1"/>
        <v>15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15</v>
      </c>
      <c r="N45" s="50">
        <v>0</v>
      </c>
      <c r="O45" s="15">
        <f t="shared" si="0"/>
        <v>2</v>
      </c>
      <c r="P45" s="15">
        <f t="shared" si="1"/>
        <v>17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1</v>
      </c>
      <c r="F46" s="50">
        <v>1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9</v>
      </c>
      <c r="N46" s="50">
        <v>0</v>
      </c>
      <c r="O46" s="15">
        <f t="shared" si="0"/>
        <v>3</v>
      </c>
      <c r="P46" s="15">
        <f t="shared" si="1"/>
        <v>12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8</v>
      </c>
      <c r="N47" s="50">
        <v>0</v>
      </c>
      <c r="O47" s="15">
        <f t="shared" si="0"/>
        <v>1</v>
      </c>
      <c r="P47" s="15">
        <f t="shared" si="1"/>
        <v>9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14</v>
      </c>
      <c r="N48" s="50">
        <v>0</v>
      </c>
      <c r="O48" s="15">
        <f t="shared" si="0"/>
        <v>3</v>
      </c>
      <c r="P48" s="15">
        <f t="shared" si="1"/>
        <v>17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10</v>
      </c>
      <c r="N49" s="50">
        <v>0</v>
      </c>
      <c r="O49" s="15">
        <f t="shared" si="0"/>
        <v>5</v>
      </c>
      <c r="P49" s="15">
        <f t="shared" si="1"/>
        <v>15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4</v>
      </c>
      <c r="J50" s="50">
        <v>0</v>
      </c>
      <c r="K50" s="50">
        <v>0</v>
      </c>
      <c r="L50" s="50">
        <v>0</v>
      </c>
      <c r="M50" s="50">
        <v>19</v>
      </c>
      <c r="N50" s="50">
        <v>0</v>
      </c>
      <c r="O50" s="15">
        <f t="shared" si="0"/>
        <v>6</v>
      </c>
      <c r="P50" s="15">
        <f t="shared" si="1"/>
        <v>25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17</v>
      </c>
      <c r="N51" s="50">
        <v>0</v>
      </c>
      <c r="O51" s="15">
        <f t="shared" si="0"/>
        <v>3</v>
      </c>
      <c r="P51" s="15">
        <f t="shared" si="1"/>
        <v>20</v>
      </c>
      <c r="R51" s="8"/>
      <c r="T51"/>
    </row>
    <row r="52" spans="2:20" ht="23.1" customHeight="1" x14ac:dyDescent="0.25">
      <c r="B52" s="46" t="s">
        <v>79</v>
      </c>
      <c r="C52" s="50">
        <v>2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13</v>
      </c>
      <c r="N52" s="50">
        <v>0</v>
      </c>
      <c r="O52" s="15">
        <f t="shared" si="0"/>
        <v>3</v>
      </c>
      <c r="P52" s="15">
        <f t="shared" si="1"/>
        <v>16</v>
      </c>
      <c r="R52" s="8"/>
      <c r="T52"/>
    </row>
    <row r="53" spans="2:20" ht="23.1" customHeight="1" x14ac:dyDescent="0.25">
      <c r="B53" s="45" t="s">
        <v>80</v>
      </c>
      <c r="C53" s="50">
        <v>2</v>
      </c>
      <c r="D53" s="50">
        <v>0</v>
      </c>
      <c r="E53" s="50">
        <v>1</v>
      </c>
      <c r="F53" s="50">
        <v>0</v>
      </c>
      <c r="G53" s="50">
        <v>1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11</v>
      </c>
      <c r="N53" s="50">
        <v>0</v>
      </c>
      <c r="O53" s="15">
        <f t="shared" si="0"/>
        <v>5</v>
      </c>
      <c r="P53" s="15">
        <f t="shared" si="1"/>
        <v>16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13</v>
      </c>
      <c r="N54" s="50">
        <v>0</v>
      </c>
      <c r="O54" s="15">
        <f t="shared" si="0"/>
        <v>3</v>
      </c>
      <c r="P54" s="15">
        <f t="shared" si="1"/>
        <v>16</v>
      </c>
      <c r="R54" s="8"/>
      <c r="T54"/>
    </row>
    <row r="55" spans="2:20" ht="23.1" customHeight="1" x14ac:dyDescent="0.25">
      <c r="B55" s="45" t="s">
        <v>82</v>
      </c>
      <c r="C55" s="50">
        <v>2</v>
      </c>
      <c r="D55" s="50">
        <v>0</v>
      </c>
      <c r="E55" s="50">
        <v>0</v>
      </c>
      <c r="F55" s="50">
        <v>2</v>
      </c>
      <c r="G55" s="50">
        <v>0</v>
      </c>
      <c r="H55" s="50">
        <v>0</v>
      </c>
      <c r="I55" s="50">
        <v>1</v>
      </c>
      <c r="J55" s="50">
        <v>0</v>
      </c>
      <c r="K55" s="50">
        <v>1</v>
      </c>
      <c r="L55" s="50">
        <v>0</v>
      </c>
      <c r="M55" s="50">
        <v>17</v>
      </c>
      <c r="N55" s="50">
        <v>0</v>
      </c>
      <c r="O55" s="15">
        <f t="shared" si="0"/>
        <v>6</v>
      </c>
      <c r="P55" s="15">
        <f t="shared" si="1"/>
        <v>23</v>
      </c>
      <c r="R55" s="8"/>
      <c r="T55"/>
    </row>
    <row r="56" spans="2:20" ht="23.1" customHeight="1" x14ac:dyDescent="0.25">
      <c r="B56" s="45" t="s">
        <v>83</v>
      </c>
      <c r="C56" s="50">
        <v>3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12</v>
      </c>
      <c r="N56" s="50">
        <v>0</v>
      </c>
      <c r="O56" s="15">
        <f t="shared" si="0"/>
        <v>4</v>
      </c>
      <c r="P56" s="15">
        <f t="shared" si="1"/>
        <v>16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19</v>
      </c>
      <c r="N57" s="50">
        <v>0</v>
      </c>
      <c r="O57" s="15">
        <f t="shared" si="0"/>
        <v>3</v>
      </c>
      <c r="P57" s="15">
        <f t="shared" si="1"/>
        <v>22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2</v>
      </c>
      <c r="F58" s="50">
        <v>1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14</v>
      </c>
      <c r="N58" s="50">
        <v>0</v>
      </c>
      <c r="O58" s="15">
        <f t="shared" si="0"/>
        <v>4</v>
      </c>
      <c r="P58" s="15">
        <f t="shared" si="1"/>
        <v>18</v>
      </c>
      <c r="R58" s="8"/>
      <c r="T58"/>
    </row>
    <row r="59" spans="2:20" ht="23.1" customHeight="1" x14ac:dyDescent="0.25">
      <c r="B59" s="45" t="s">
        <v>100</v>
      </c>
      <c r="C59" s="50">
        <v>2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11</v>
      </c>
      <c r="N59" s="50">
        <v>0</v>
      </c>
      <c r="O59" s="15">
        <f t="shared" si="0"/>
        <v>3</v>
      </c>
      <c r="P59" s="15">
        <f t="shared" si="1"/>
        <v>14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1</v>
      </c>
      <c r="E60" s="50">
        <v>0</v>
      </c>
      <c r="F60" s="50">
        <v>0</v>
      </c>
      <c r="G60" s="50">
        <v>0</v>
      </c>
      <c r="H60" s="50">
        <v>0</v>
      </c>
      <c r="I60" s="50">
        <v>2</v>
      </c>
      <c r="J60" s="50">
        <v>0</v>
      </c>
      <c r="K60" s="50">
        <v>0</v>
      </c>
      <c r="L60" s="50">
        <v>0</v>
      </c>
      <c r="M60" s="50">
        <v>12</v>
      </c>
      <c r="N60" s="50">
        <v>0</v>
      </c>
      <c r="O60" s="15">
        <f t="shared" si="0"/>
        <v>4</v>
      </c>
      <c r="P60" s="15">
        <f t="shared" si="1"/>
        <v>16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1</v>
      </c>
      <c r="F61" s="50">
        <v>1</v>
      </c>
      <c r="G61" s="50">
        <v>0</v>
      </c>
      <c r="H61" s="50">
        <v>1</v>
      </c>
      <c r="I61" s="50">
        <v>3</v>
      </c>
      <c r="J61" s="50">
        <v>0</v>
      </c>
      <c r="K61" s="50">
        <v>0</v>
      </c>
      <c r="L61" s="50">
        <v>0</v>
      </c>
      <c r="M61" s="50">
        <v>9</v>
      </c>
      <c r="N61" s="50">
        <v>0</v>
      </c>
      <c r="O61" s="15">
        <f t="shared" si="0"/>
        <v>8</v>
      </c>
      <c r="P61" s="15">
        <f t="shared" si="1"/>
        <v>17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2</v>
      </c>
      <c r="F62" s="50">
        <v>0</v>
      </c>
      <c r="G62" s="50">
        <v>0</v>
      </c>
      <c r="H62" s="50">
        <v>0</v>
      </c>
      <c r="I62" s="50">
        <v>2</v>
      </c>
      <c r="J62" s="50">
        <v>0</v>
      </c>
      <c r="K62" s="50">
        <v>0</v>
      </c>
      <c r="L62" s="50">
        <v>0</v>
      </c>
      <c r="M62" s="50">
        <v>12</v>
      </c>
      <c r="N62" s="50">
        <v>0</v>
      </c>
      <c r="O62" s="15">
        <f t="shared" si="0"/>
        <v>5</v>
      </c>
      <c r="P62" s="15">
        <f t="shared" si="1"/>
        <v>17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1</v>
      </c>
      <c r="E63" s="50">
        <v>2</v>
      </c>
      <c r="F63" s="50">
        <v>1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9</v>
      </c>
      <c r="N63" s="50">
        <v>0</v>
      </c>
      <c r="O63" s="15">
        <f t="shared" si="0"/>
        <v>6</v>
      </c>
      <c r="P63" s="15">
        <f t="shared" si="1"/>
        <v>15</v>
      </c>
      <c r="R63" s="8"/>
      <c r="T63"/>
    </row>
    <row r="64" spans="2:20" ht="23.1" customHeight="1" x14ac:dyDescent="0.25">
      <c r="B64" s="45" t="s">
        <v>109</v>
      </c>
      <c r="C64" s="50">
        <v>3</v>
      </c>
      <c r="D64" s="50">
        <v>0</v>
      </c>
      <c r="E64" s="50">
        <v>1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7</v>
      </c>
      <c r="N64" s="50">
        <v>0</v>
      </c>
      <c r="O64" s="15">
        <f t="shared" si="0"/>
        <v>4</v>
      </c>
      <c r="P64" s="15">
        <f t="shared" si="1"/>
        <v>11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6</v>
      </c>
      <c r="N65" s="50">
        <v>0</v>
      </c>
      <c r="O65" s="15">
        <f t="shared" si="0"/>
        <v>2</v>
      </c>
      <c r="P65" s="15">
        <f t="shared" si="1"/>
        <v>8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1</v>
      </c>
      <c r="E66" s="50">
        <v>1</v>
      </c>
      <c r="F66" s="50">
        <v>0</v>
      </c>
      <c r="G66" s="50">
        <v>0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6</v>
      </c>
      <c r="N66" s="50">
        <v>0</v>
      </c>
      <c r="O66" s="15">
        <f t="shared" si="0"/>
        <v>5</v>
      </c>
      <c r="P66" s="15">
        <f t="shared" si="1"/>
        <v>11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1</v>
      </c>
      <c r="E67" s="50">
        <v>3</v>
      </c>
      <c r="F67" s="50">
        <v>0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3</v>
      </c>
      <c r="N67" s="50">
        <v>0</v>
      </c>
      <c r="O67" s="15">
        <f t="shared" si="0"/>
        <v>8</v>
      </c>
      <c r="P67" s="15">
        <f t="shared" si="1"/>
        <v>11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0</v>
      </c>
      <c r="E68" s="50">
        <v>2</v>
      </c>
      <c r="F68" s="50">
        <v>1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4</v>
      </c>
      <c r="N68" s="50">
        <v>0</v>
      </c>
      <c r="O68" s="15">
        <f t="shared" si="0"/>
        <v>4</v>
      </c>
      <c r="P68" s="15">
        <f t="shared" si="1"/>
        <v>8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0</v>
      </c>
      <c r="E69" s="50">
        <v>1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2</v>
      </c>
      <c r="N69" s="50">
        <v>0</v>
      </c>
      <c r="O69" s="15">
        <f t="shared" si="0"/>
        <v>3</v>
      </c>
      <c r="P69" s="15">
        <f t="shared" si="1"/>
        <v>5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3</v>
      </c>
      <c r="J70" s="50">
        <v>1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5</v>
      </c>
      <c r="P70" s="15">
        <f t="shared" si="1"/>
        <v>5</v>
      </c>
      <c r="R70" s="8"/>
      <c r="T70"/>
    </row>
    <row r="71" spans="2:20" ht="23.1" customHeight="1" x14ac:dyDescent="0.25">
      <c r="B71" s="45" t="s">
        <v>111</v>
      </c>
      <c r="C71" s="50">
        <v>2</v>
      </c>
      <c r="D71" s="50">
        <v>0</v>
      </c>
      <c r="E71" s="50">
        <v>1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1</v>
      </c>
      <c r="N71" s="50">
        <v>0</v>
      </c>
      <c r="O71" s="15">
        <f t="shared" si="0"/>
        <v>3</v>
      </c>
      <c r="P71" s="15">
        <f t="shared" si="1"/>
        <v>4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2</v>
      </c>
      <c r="J72" s="50">
        <v>0</v>
      </c>
      <c r="K72" s="50">
        <v>0</v>
      </c>
      <c r="L72" s="50">
        <v>0</v>
      </c>
      <c r="M72" s="50">
        <v>1</v>
      </c>
      <c r="N72" s="50">
        <v>0</v>
      </c>
      <c r="O72" s="15">
        <f t="shared" si="0"/>
        <v>4</v>
      </c>
      <c r="P72" s="15">
        <f t="shared" si="1"/>
        <v>5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2</v>
      </c>
      <c r="F73" s="50">
        <v>1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</v>
      </c>
      <c r="N73" s="50">
        <v>0</v>
      </c>
      <c r="O73" s="15">
        <f t="shared" si="0"/>
        <v>3</v>
      </c>
      <c r="P73" s="15">
        <f t="shared" si="1"/>
        <v>5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2</v>
      </c>
      <c r="N74" s="50">
        <v>0</v>
      </c>
      <c r="O74" s="15">
        <f t="shared" ref="O74:O105" si="35">SUM(C74:L74,N74)</f>
        <v>2</v>
      </c>
      <c r="P74" s="15">
        <f t="shared" ref="P74:P105" si="36">SUM(C74:N74)</f>
        <v>4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1</v>
      </c>
      <c r="P75" s="15">
        <f t="shared" si="36"/>
        <v>1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1</v>
      </c>
      <c r="F76" s="50">
        <v>0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3</v>
      </c>
      <c r="P76" s="15">
        <f t="shared" si="36"/>
        <v>4</v>
      </c>
      <c r="R76" s="8"/>
      <c r="T76"/>
    </row>
    <row r="77" spans="2:20" ht="23.1" customHeight="1" x14ac:dyDescent="0.25">
      <c r="B77" s="45" t="s">
        <v>117</v>
      </c>
      <c r="C77" s="50">
        <v>2</v>
      </c>
      <c r="D77" s="50">
        <v>1</v>
      </c>
      <c r="E77" s="50">
        <v>1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4</v>
      </c>
      <c r="P77" s="15">
        <f t="shared" si="36"/>
        <v>4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2</v>
      </c>
      <c r="N78" s="50">
        <v>0</v>
      </c>
      <c r="O78" s="15">
        <f t="shared" si="35"/>
        <v>2</v>
      </c>
      <c r="P78" s="15">
        <f t="shared" si="36"/>
        <v>4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0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1</v>
      </c>
      <c r="F81" s="50">
        <v>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15">
        <f t="shared" si="35"/>
        <v>2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1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3</v>
      </c>
      <c r="P82" s="15">
        <f t="shared" si="36"/>
        <v>3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1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2</v>
      </c>
      <c r="P84" s="15">
        <f t="shared" si="36"/>
        <v>2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1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0</v>
      </c>
      <c r="P86" s="15">
        <f t="shared" si="36"/>
        <v>1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1</v>
      </c>
      <c r="F94" s="50">
        <v>0</v>
      </c>
      <c r="G94" s="50">
        <v>0</v>
      </c>
      <c r="H94" s="50">
        <v>1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2</v>
      </c>
      <c r="P98" s="15">
        <f t="shared" si="36"/>
        <v>3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0</v>
      </c>
      <c r="G100" s="50">
        <v>1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2</v>
      </c>
      <c r="P100" s="15">
        <f t="shared" si="36"/>
        <v>3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1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5</v>
      </c>
      <c r="P101" s="15">
        <f t="shared" si="36"/>
        <v>5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1</v>
      </c>
      <c r="E102" s="50">
        <v>1</v>
      </c>
      <c r="F102" s="50">
        <v>1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2</v>
      </c>
      <c r="N102" s="50">
        <v>0</v>
      </c>
      <c r="O102" s="15">
        <f t="shared" si="35"/>
        <v>3</v>
      </c>
      <c r="P102" s="15">
        <f t="shared" si="36"/>
        <v>5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0</v>
      </c>
      <c r="F103" s="50">
        <v>2</v>
      </c>
      <c r="G103" s="50">
        <v>0</v>
      </c>
      <c r="H103" s="50">
        <v>0</v>
      </c>
      <c r="I103" s="50">
        <v>0</v>
      </c>
      <c r="J103" s="50">
        <v>1</v>
      </c>
      <c r="K103" s="50">
        <v>0</v>
      </c>
      <c r="L103" s="50">
        <v>0</v>
      </c>
      <c r="M103" s="50">
        <v>2</v>
      </c>
      <c r="N103" s="50">
        <v>0</v>
      </c>
      <c r="O103" s="15">
        <f t="shared" si="35"/>
        <v>4</v>
      </c>
      <c r="P103" s="15">
        <f t="shared" si="36"/>
        <v>6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2</v>
      </c>
      <c r="F104" s="50">
        <v>1</v>
      </c>
      <c r="G104" s="50">
        <v>1</v>
      </c>
      <c r="H104" s="50">
        <v>1</v>
      </c>
      <c r="I104" s="50">
        <v>0</v>
      </c>
      <c r="J104" s="50">
        <v>1</v>
      </c>
      <c r="K104" s="50">
        <v>1</v>
      </c>
      <c r="L104" s="50">
        <v>1</v>
      </c>
      <c r="M104" s="50">
        <v>3</v>
      </c>
      <c r="N104" s="50">
        <v>0</v>
      </c>
      <c r="O104" s="15">
        <f t="shared" si="35"/>
        <v>10</v>
      </c>
      <c r="P104" s="15">
        <f t="shared" si="36"/>
        <v>13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0</v>
      </c>
      <c r="F105" s="50">
        <v>1</v>
      </c>
      <c r="G105" s="50">
        <v>0</v>
      </c>
      <c r="H105" s="50">
        <v>1</v>
      </c>
      <c r="I105" s="50">
        <v>0</v>
      </c>
      <c r="J105" s="50">
        <v>1</v>
      </c>
      <c r="K105" s="50">
        <v>0</v>
      </c>
      <c r="L105" s="50">
        <v>0</v>
      </c>
      <c r="M105" s="50">
        <v>4</v>
      </c>
      <c r="N105" s="50">
        <v>1</v>
      </c>
      <c r="O105" s="15">
        <f t="shared" si="35"/>
        <v>5</v>
      </c>
      <c r="P105" s="15">
        <f t="shared" si="36"/>
        <v>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90</v>
      </c>
      <c r="D106" s="16">
        <f t="shared" ref="D106:P106" si="37">SUM(D10:D105)</f>
        <v>9</v>
      </c>
      <c r="E106" s="16">
        <f t="shared" si="37"/>
        <v>66</v>
      </c>
      <c r="F106" s="16">
        <f t="shared" si="37"/>
        <v>30</v>
      </c>
      <c r="G106" s="16">
        <f t="shared" si="37"/>
        <v>5</v>
      </c>
      <c r="H106" s="16">
        <f t="shared" si="37"/>
        <v>4</v>
      </c>
      <c r="I106" s="16">
        <f t="shared" si="37"/>
        <v>80</v>
      </c>
      <c r="J106" s="16">
        <f t="shared" si="37"/>
        <v>6</v>
      </c>
      <c r="K106" s="16">
        <f t="shared" si="37"/>
        <v>2</v>
      </c>
      <c r="L106" s="16">
        <f t="shared" si="37"/>
        <v>1</v>
      </c>
      <c r="M106" s="16">
        <f t="shared" si="37"/>
        <v>731</v>
      </c>
      <c r="N106" s="16">
        <f t="shared" si="37"/>
        <v>2</v>
      </c>
      <c r="O106" s="16">
        <f t="shared" si="37"/>
        <v>295</v>
      </c>
      <c r="P106" s="16">
        <f t="shared" si="37"/>
        <v>1026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8.771929824561403E-2</v>
      </c>
      <c r="D107" s="43">
        <f t="shared" si="38"/>
        <v>8.771929824561403E-3</v>
      </c>
      <c r="E107" s="43">
        <f t="shared" si="38"/>
        <v>6.4327485380116955E-2</v>
      </c>
      <c r="F107" s="43">
        <f t="shared" si="38"/>
        <v>2.9239766081871343E-2</v>
      </c>
      <c r="G107" s="43">
        <f t="shared" si="38"/>
        <v>4.8732943469785572E-3</v>
      </c>
      <c r="H107" s="43">
        <f t="shared" si="38"/>
        <v>3.8986354775828458E-3</v>
      </c>
      <c r="I107" s="43">
        <f t="shared" si="38"/>
        <v>7.7972709551656916E-2</v>
      </c>
      <c r="J107" s="43">
        <f t="shared" si="38"/>
        <v>5.8479532163742687E-3</v>
      </c>
      <c r="K107" s="43">
        <f t="shared" si="38"/>
        <v>1.9493177387914229E-3</v>
      </c>
      <c r="L107" s="43">
        <f t="shared" si="38"/>
        <v>9.7465886939571145E-4</v>
      </c>
      <c r="M107" s="43">
        <f t="shared" si="38"/>
        <v>0.71247563352826515</v>
      </c>
      <c r="N107" s="43">
        <f t="shared" si="38"/>
        <v>1.9493177387914229E-3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0.30508474576271188</v>
      </c>
      <c r="D108" s="44">
        <f t="shared" ref="D108:N108" si="39">D106/$O$106</f>
        <v>3.0508474576271188E-2</v>
      </c>
      <c r="E108" s="44">
        <f t="shared" si="39"/>
        <v>0.22372881355932203</v>
      </c>
      <c r="F108" s="44">
        <f t="shared" si="39"/>
        <v>0.10169491525423729</v>
      </c>
      <c r="G108" s="44">
        <f t="shared" si="39"/>
        <v>1.6949152542372881E-2</v>
      </c>
      <c r="H108" s="44">
        <f t="shared" si="39"/>
        <v>1.3559322033898305E-2</v>
      </c>
      <c r="I108" s="44">
        <f t="shared" si="39"/>
        <v>0.2711864406779661</v>
      </c>
      <c r="J108" s="44">
        <f t="shared" si="39"/>
        <v>2.0338983050847456E-2</v>
      </c>
      <c r="K108" s="44">
        <f t="shared" si="39"/>
        <v>6.7796610169491523E-3</v>
      </c>
      <c r="L108" s="44">
        <f t="shared" si="39"/>
        <v>3.3898305084745762E-3</v>
      </c>
      <c r="M108" s="44"/>
      <c r="N108" s="44">
        <f t="shared" si="39"/>
        <v>6.7796610169491523E-3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75" zoomScale="60" workbookViewId="0">
      <selection activeCell="N72" sqref="N7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'11.8 KAMPALA-BUSUNJU'!C3:G3</f>
        <v>MCC-C3-STN-HOIMA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'16.8 BUSUNJU-KAMPALA-24HRS'!D5</f>
        <v>27.07.19</v>
      </c>
      <c r="E5" s="3"/>
      <c r="F5" s="41" t="s">
        <v>1</v>
      </c>
      <c r="G5" s="64" t="str">
        <f>'16.8 BUSUNJU-KAMPALA-24HRS'!G5:H5</f>
        <v>WAKISO</v>
      </c>
      <c r="H5" s="65"/>
      <c r="I5" s="14"/>
      <c r="J5" s="2" t="s">
        <v>5</v>
      </c>
      <c r="K5" s="64">
        <f>'16.8 BUSUNJU-KAMPALA-24HRS'!K5:L5</f>
        <v>0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'11.8 BUSUNJU-KAMPALA'!D6:E6</f>
        <v>Makindye</v>
      </c>
      <c r="E6" s="65"/>
      <c r="F6" s="2" t="s">
        <v>2</v>
      </c>
      <c r="G6" s="64" t="str">
        <f>'11.8 BUSUNJU-KAMPALA'!G6:H6</f>
        <v>Kibuye</v>
      </c>
      <c r="H6" s="65"/>
      <c r="J6" s="2" t="s">
        <v>21</v>
      </c>
      <c r="K6" s="64">
        <f>'16.8 BUSUNJU-KAMPALA-24HRS'!K6:L6</f>
        <v>0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2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13</v>
      </c>
      <c r="N10" s="50">
        <v>0</v>
      </c>
      <c r="O10" s="15">
        <f t="shared" ref="O10:O73" si="0">SUM(C10:L10,N10)</f>
        <v>2</v>
      </c>
      <c r="P10" s="15">
        <f t="shared" ref="P10:P73" si="1">SUM(C10:N10)</f>
        <v>15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4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40</v>
      </c>
      <c r="AD10" s="17">
        <f t="shared" si="2"/>
        <v>0</v>
      </c>
      <c r="AE10" s="31">
        <f t="shared" si="2"/>
        <v>6</v>
      </c>
      <c r="AF10" s="31">
        <f t="shared" si="2"/>
        <v>46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9</v>
      </c>
      <c r="N11" s="50">
        <v>0</v>
      </c>
      <c r="O11" s="15">
        <f t="shared" si="0"/>
        <v>2</v>
      </c>
      <c r="P11" s="15">
        <f t="shared" si="1"/>
        <v>11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3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67</v>
      </c>
      <c r="AD11" s="17">
        <f t="shared" si="3"/>
        <v>0</v>
      </c>
      <c r="AE11" s="31">
        <f t="shared" si="3"/>
        <v>9</v>
      </c>
      <c r="AF11" s="31">
        <f t="shared" si="3"/>
        <v>76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10</v>
      </c>
      <c r="N12" s="50">
        <v>0</v>
      </c>
      <c r="O12" s="15">
        <f t="shared" si="0"/>
        <v>1</v>
      </c>
      <c r="P12" s="15">
        <f t="shared" si="1"/>
        <v>11</v>
      </c>
      <c r="R12" s="1" t="s">
        <v>8</v>
      </c>
      <c r="S12" s="17">
        <f t="shared" ref="S12:AF12" si="4">SUM(C18:C21)</f>
        <v>4</v>
      </c>
      <c r="T12" s="17">
        <f t="shared" si="4"/>
        <v>0</v>
      </c>
      <c r="U12" s="17">
        <f t="shared" si="4"/>
        <v>5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56</v>
      </c>
      <c r="AD12" s="17">
        <f t="shared" si="4"/>
        <v>0</v>
      </c>
      <c r="AE12" s="31">
        <f t="shared" si="4"/>
        <v>12</v>
      </c>
      <c r="AF12" s="31">
        <f t="shared" si="4"/>
        <v>68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1</v>
      </c>
      <c r="P13" s="15">
        <f t="shared" si="1"/>
        <v>9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5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65</v>
      </c>
      <c r="AD13" s="17">
        <f t="shared" si="5"/>
        <v>0</v>
      </c>
      <c r="AE13" s="31">
        <f t="shared" si="5"/>
        <v>16</v>
      </c>
      <c r="AF13" s="31">
        <f t="shared" si="5"/>
        <v>81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14</v>
      </c>
      <c r="N14" s="50">
        <v>0</v>
      </c>
      <c r="O14" s="15">
        <f t="shared" si="0"/>
        <v>2</v>
      </c>
      <c r="P14" s="15">
        <f t="shared" si="1"/>
        <v>16</v>
      </c>
      <c r="R14" s="1" t="s">
        <v>10</v>
      </c>
      <c r="S14" s="17">
        <f t="shared" ref="S14:AF14" si="6">SUM(C26:C29)</f>
        <v>2</v>
      </c>
      <c r="T14" s="17">
        <f t="shared" si="6"/>
        <v>0</v>
      </c>
      <c r="U14" s="17">
        <f t="shared" si="6"/>
        <v>0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76</v>
      </c>
      <c r="AD14" s="17">
        <f t="shared" si="6"/>
        <v>0</v>
      </c>
      <c r="AE14" s="31">
        <f t="shared" si="6"/>
        <v>8</v>
      </c>
      <c r="AF14" s="31">
        <f t="shared" si="6"/>
        <v>84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2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17</v>
      </c>
      <c r="N15" s="50">
        <v>0</v>
      </c>
      <c r="O15" s="15">
        <f t="shared" si="0"/>
        <v>2</v>
      </c>
      <c r="P15" s="15">
        <f t="shared" si="1"/>
        <v>19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4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53</v>
      </c>
      <c r="AD15" s="17">
        <f t="shared" si="7"/>
        <v>0</v>
      </c>
      <c r="AE15" s="31">
        <f t="shared" si="7"/>
        <v>10</v>
      </c>
      <c r="AF15" s="31">
        <f t="shared" si="7"/>
        <v>63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2</v>
      </c>
      <c r="F16" s="50">
        <v>1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21</v>
      </c>
      <c r="N16" s="50">
        <v>0</v>
      </c>
      <c r="O16" s="15">
        <f t="shared" si="0"/>
        <v>4</v>
      </c>
      <c r="P16" s="15">
        <f t="shared" si="1"/>
        <v>25</v>
      </c>
      <c r="R16" s="1" t="s">
        <v>12</v>
      </c>
      <c r="S16" s="17">
        <f t="shared" ref="S16:AF16" si="8">SUM(C34:C37)</f>
        <v>1</v>
      </c>
      <c r="T16" s="17">
        <f t="shared" si="8"/>
        <v>0</v>
      </c>
      <c r="U16" s="17">
        <f t="shared" si="8"/>
        <v>5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59</v>
      </c>
      <c r="AD16" s="17">
        <f t="shared" si="8"/>
        <v>0</v>
      </c>
      <c r="AE16" s="31">
        <f t="shared" si="8"/>
        <v>11</v>
      </c>
      <c r="AF16" s="31">
        <f t="shared" si="8"/>
        <v>70</v>
      </c>
    </row>
    <row r="17" spans="2:32" ht="23.1" customHeight="1" x14ac:dyDescent="0.25">
      <c r="B17" s="45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15</v>
      </c>
      <c r="N17" s="50">
        <v>0</v>
      </c>
      <c r="O17" s="15">
        <f t="shared" si="0"/>
        <v>1</v>
      </c>
      <c r="P17" s="15">
        <f t="shared" si="1"/>
        <v>16</v>
      </c>
      <c r="R17" s="1" t="s">
        <v>13</v>
      </c>
      <c r="S17" s="17">
        <f t="shared" ref="S17:AF17" si="9">SUM(C38:C41)</f>
        <v>7</v>
      </c>
      <c r="T17" s="17">
        <f t="shared" si="9"/>
        <v>0</v>
      </c>
      <c r="U17" s="17">
        <f t="shared" si="9"/>
        <v>7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45</v>
      </c>
      <c r="AD17" s="17">
        <f t="shared" si="9"/>
        <v>0</v>
      </c>
      <c r="AE17" s="31">
        <f t="shared" si="9"/>
        <v>18</v>
      </c>
      <c r="AF17" s="31">
        <f t="shared" si="9"/>
        <v>63</v>
      </c>
    </row>
    <row r="18" spans="2:32" ht="23.1" customHeight="1" x14ac:dyDescent="0.25">
      <c r="B18" s="45" t="s">
        <v>45</v>
      </c>
      <c r="C18" s="50">
        <v>2</v>
      </c>
      <c r="D18" s="50">
        <v>0</v>
      </c>
      <c r="E18" s="50">
        <v>3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19</v>
      </c>
      <c r="N18" s="50">
        <v>0</v>
      </c>
      <c r="O18" s="15">
        <f t="shared" si="0"/>
        <v>6</v>
      </c>
      <c r="P18" s="15">
        <f t="shared" si="1"/>
        <v>25</v>
      </c>
      <c r="R18" s="1" t="s">
        <v>14</v>
      </c>
      <c r="S18" s="17">
        <f t="shared" ref="S18:AF18" si="10">SUM(C42:C45)</f>
        <v>7</v>
      </c>
      <c r="T18" s="17">
        <f t="shared" si="10"/>
        <v>0</v>
      </c>
      <c r="U18" s="17">
        <f t="shared" si="10"/>
        <v>7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45</v>
      </c>
      <c r="AD18" s="17">
        <f t="shared" si="10"/>
        <v>0</v>
      </c>
      <c r="AE18" s="31">
        <f t="shared" si="10"/>
        <v>20</v>
      </c>
      <c r="AF18" s="31">
        <f t="shared" si="10"/>
        <v>65</v>
      </c>
    </row>
    <row r="19" spans="2:32" ht="23.1" customHeight="1" x14ac:dyDescent="0.25">
      <c r="B19" s="45" t="s">
        <v>46</v>
      </c>
      <c r="C19" s="50">
        <v>2</v>
      </c>
      <c r="D19" s="50">
        <v>0</v>
      </c>
      <c r="E19" s="50">
        <v>2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11</v>
      </c>
      <c r="N19" s="50">
        <v>0</v>
      </c>
      <c r="O19" s="15">
        <f t="shared" si="0"/>
        <v>4</v>
      </c>
      <c r="P19" s="15">
        <f t="shared" si="1"/>
        <v>15</v>
      </c>
      <c r="R19" s="1" t="s">
        <v>15</v>
      </c>
      <c r="S19" s="17">
        <f t="shared" ref="S19:AF19" si="11">SUM(C46:C49)</f>
        <v>8</v>
      </c>
      <c r="T19" s="17">
        <f t="shared" si="11"/>
        <v>0</v>
      </c>
      <c r="U19" s="17">
        <f t="shared" si="11"/>
        <v>4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58</v>
      </c>
      <c r="AD19" s="17">
        <f t="shared" si="11"/>
        <v>0</v>
      </c>
      <c r="AE19" s="31">
        <f t="shared" si="11"/>
        <v>18</v>
      </c>
      <c r="AF19" s="31">
        <f t="shared" si="11"/>
        <v>76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15</v>
      </c>
      <c r="N20" s="50">
        <v>0</v>
      </c>
      <c r="O20" s="15">
        <f t="shared" si="0"/>
        <v>2</v>
      </c>
      <c r="P20" s="15">
        <f t="shared" si="1"/>
        <v>17</v>
      </c>
      <c r="R20" s="1" t="s">
        <v>16</v>
      </c>
      <c r="S20" s="17">
        <f t="shared" ref="S20:AF20" si="12">SUM(C50:C53)</f>
        <v>1</v>
      </c>
      <c r="T20" s="17">
        <f t="shared" si="12"/>
        <v>0</v>
      </c>
      <c r="U20" s="17">
        <f t="shared" si="12"/>
        <v>3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4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51</v>
      </c>
      <c r="AD20" s="17">
        <f t="shared" si="12"/>
        <v>0</v>
      </c>
      <c r="AE20" s="31">
        <f t="shared" si="12"/>
        <v>9</v>
      </c>
      <c r="AF20" s="31">
        <f t="shared" si="12"/>
        <v>60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11</v>
      </c>
      <c r="N21" s="50">
        <v>0</v>
      </c>
      <c r="O21" s="15">
        <f t="shared" si="0"/>
        <v>0</v>
      </c>
      <c r="P21" s="15">
        <f t="shared" si="1"/>
        <v>11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8</v>
      </c>
      <c r="V21" s="17">
        <f t="shared" si="13"/>
        <v>1</v>
      </c>
      <c r="W21" s="17">
        <f t="shared" si="13"/>
        <v>1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57</v>
      </c>
      <c r="AD21" s="17">
        <f t="shared" si="13"/>
        <v>0</v>
      </c>
      <c r="AE21" s="31">
        <f t="shared" si="13"/>
        <v>17</v>
      </c>
      <c r="AF21" s="31">
        <f t="shared" si="13"/>
        <v>74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2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15</v>
      </c>
      <c r="N22" s="50">
        <v>0</v>
      </c>
      <c r="O22" s="15">
        <f t="shared" si="0"/>
        <v>3</v>
      </c>
      <c r="P22" s="15">
        <f t="shared" si="1"/>
        <v>18</v>
      </c>
      <c r="R22" s="36" t="s">
        <v>146</v>
      </c>
      <c r="S22" s="34">
        <f>SUM(C58:C61)</f>
        <v>6</v>
      </c>
      <c r="T22" s="34">
        <f t="shared" ref="T22:AF22" si="14">SUM(D58:D61)</f>
        <v>1</v>
      </c>
      <c r="U22" s="34">
        <f t="shared" si="14"/>
        <v>4</v>
      </c>
      <c r="V22" s="34">
        <f t="shared" si="14"/>
        <v>2</v>
      </c>
      <c r="W22" s="34">
        <f t="shared" si="14"/>
        <v>0</v>
      </c>
      <c r="X22" s="34">
        <f t="shared" si="14"/>
        <v>1</v>
      </c>
      <c r="Y22" s="34">
        <f t="shared" si="14"/>
        <v>5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46</v>
      </c>
      <c r="AD22" s="34">
        <f t="shared" si="14"/>
        <v>0</v>
      </c>
      <c r="AE22" s="31">
        <f t="shared" si="14"/>
        <v>19</v>
      </c>
      <c r="AF22" s="31">
        <f t="shared" si="14"/>
        <v>65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1</v>
      </c>
      <c r="F23" s="50">
        <v>2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14</v>
      </c>
      <c r="N23" s="50">
        <v>0</v>
      </c>
      <c r="O23" s="15">
        <f t="shared" si="0"/>
        <v>5</v>
      </c>
      <c r="P23" s="15">
        <f t="shared" si="1"/>
        <v>19</v>
      </c>
      <c r="R23" s="36" t="s">
        <v>147</v>
      </c>
      <c r="S23" s="34">
        <f>SUM(C62:C65)</f>
        <v>7</v>
      </c>
      <c r="T23" s="34">
        <f t="shared" ref="T23:AF23" si="15">SUM(D62:D65)</f>
        <v>1</v>
      </c>
      <c r="U23" s="34">
        <f t="shared" si="15"/>
        <v>5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3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34</v>
      </c>
      <c r="AD23" s="34">
        <f t="shared" si="15"/>
        <v>0</v>
      </c>
      <c r="AE23" s="31">
        <f t="shared" si="15"/>
        <v>17</v>
      </c>
      <c r="AF23" s="31">
        <f t="shared" si="15"/>
        <v>51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1</v>
      </c>
      <c r="F24" s="50">
        <v>1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18</v>
      </c>
      <c r="N24" s="50">
        <v>0</v>
      </c>
      <c r="O24" s="15">
        <f t="shared" si="0"/>
        <v>4</v>
      </c>
      <c r="P24" s="15">
        <f t="shared" si="1"/>
        <v>22</v>
      </c>
      <c r="R24" s="36" t="s">
        <v>148</v>
      </c>
      <c r="S24" s="34">
        <f>SUM(C66:C69)</f>
        <v>6</v>
      </c>
      <c r="T24" s="34">
        <f t="shared" ref="T24:AF24" si="16">SUM(D66:D69)</f>
        <v>2</v>
      </c>
      <c r="U24" s="34">
        <f t="shared" si="16"/>
        <v>7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15</v>
      </c>
      <c r="AD24" s="34">
        <f t="shared" si="16"/>
        <v>0</v>
      </c>
      <c r="AE24" s="31">
        <f t="shared" si="16"/>
        <v>20</v>
      </c>
      <c r="AF24" s="31">
        <f t="shared" si="16"/>
        <v>35</v>
      </c>
    </row>
    <row r="25" spans="2:32" ht="23.1" customHeight="1" x14ac:dyDescent="0.25">
      <c r="B25" s="45" t="s">
        <v>52</v>
      </c>
      <c r="C25" s="50">
        <v>1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18</v>
      </c>
      <c r="N25" s="50">
        <v>0</v>
      </c>
      <c r="O25" s="15">
        <f t="shared" si="0"/>
        <v>4</v>
      </c>
      <c r="P25" s="15">
        <f t="shared" si="1"/>
        <v>22</v>
      </c>
      <c r="R25" s="36" t="s">
        <v>149</v>
      </c>
      <c r="S25" s="34">
        <f>SUM(C70:C73)</f>
        <v>5</v>
      </c>
      <c r="T25" s="34">
        <f t="shared" ref="T25:AF25" si="17">SUM(D70:D73)</f>
        <v>0</v>
      </c>
      <c r="U25" s="34">
        <f t="shared" si="17"/>
        <v>3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5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4</v>
      </c>
      <c r="AD25" s="34">
        <f t="shared" si="17"/>
        <v>1</v>
      </c>
      <c r="AE25" s="31">
        <f t="shared" si="17"/>
        <v>16</v>
      </c>
      <c r="AF25" s="31">
        <f t="shared" si="17"/>
        <v>20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0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16</v>
      </c>
      <c r="N26" s="50">
        <v>0</v>
      </c>
      <c r="O26" s="15">
        <f t="shared" si="0"/>
        <v>2</v>
      </c>
      <c r="P26" s="15">
        <f t="shared" si="1"/>
        <v>18</v>
      </c>
      <c r="R26" s="36" t="s">
        <v>150</v>
      </c>
      <c r="S26" s="34">
        <f>SUM(C74:C77)</f>
        <v>5</v>
      </c>
      <c r="T26" s="34">
        <f t="shared" ref="T26:AF26" si="18">SUM(D74:D77)</f>
        <v>1</v>
      </c>
      <c r="U26" s="34">
        <f t="shared" si="18"/>
        <v>3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3</v>
      </c>
      <c r="AD26" s="34">
        <f t="shared" si="18"/>
        <v>0</v>
      </c>
      <c r="AE26" s="31">
        <f t="shared" si="18"/>
        <v>10</v>
      </c>
      <c r="AF26" s="31">
        <f t="shared" si="18"/>
        <v>13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14</v>
      </c>
      <c r="N27" s="50">
        <v>0</v>
      </c>
      <c r="O27" s="15">
        <f t="shared" si="0"/>
        <v>1</v>
      </c>
      <c r="P27" s="15">
        <f t="shared" si="1"/>
        <v>15</v>
      </c>
      <c r="R27" s="36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31">
        <f t="shared" si="19"/>
        <v>6</v>
      </c>
      <c r="AF27" s="31">
        <f t="shared" si="19"/>
        <v>10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19</v>
      </c>
      <c r="N28" s="50">
        <v>0</v>
      </c>
      <c r="O28" s="15">
        <f t="shared" si="0"/>
        <v>1</v>
      </c>
      <c r="P28" s="15">
        <f t="shared" si="1"/>
        <v>20</v>
      </c>
      <c r="R28" s="36" t="s">
        <v>152</v>
      </c>
      <c r="S28" s="34">
        <f>SUM(C82:C85)</f>
        <v>3</v>
      </c>
      <c r="T28" s="34">
        <f t="shared" ref="T28:AF28" si="20">SUM(D82:D85)</f>
        <v>1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8</v>
      </c>
      <c r="AF28" s="31">
        <f t="shared" si="20"/>
        <v>8</v>
      </c>
    </row>
    <row r="29" spans="2:32" ht="23.1" customHeight="1" x14ac:dyDescent="0.25">
      <c r="B29" s="45" t="s">
        <v>56</v>
      </c>
      <c r="C29" s="50">
        <v>1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27</v>
      </c>
      <c r="N29" s="50">
        <v>0</v>
      </c>
      <c r="O29" s="15">
        <f t="shared" si="0"/>
        <v>4</v>
      </c>
      <c r="P29" s="15">
        <f t="shared" si="1"/>
        <v>31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1</v>
      </c>
      <c r="AF29" s="31">
        <f t="shared" si="21"/>
        <v>2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1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16</v>
      </c>
      <c r="N30" s="50">
        <v>0</v>
      </c>
      <c r="O30" s="15">
        <f t="shared" si="0"/>
        <v>3</v>
      </c>
      <c r="P30" s="15">
        <f t="shared" si="1"/>
        <v>19</v>
      </c>
      <c r="R30" s="36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2</v>
      </c>
      <c r="AF30" s="31">
        <f t="shared" si="22"/>
        <v>2</v>
      </c>
    </row>
    <row r="31" spans="2:32" ht="23.1" customHeight="1" x14ac:dyDescent="0.25">
      <c r="B31" s="46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14</v>
      </c>
      <c r="N31" s="50">
        <v>0</v>
      </c>
      <c r="O31" s="15">
        <f t="shared" si="0"/>
        <v>2</v>
      </c>
      <c r="P31" s="15">
        <f t="shared" si="1"/>
        <v>16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1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2</v>
      </c>
      <c r="AF31" s="31">
        <f t="shared" si="23"/>
        <v>2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10</v>
      </c>
      <c r="N32" s="50">
        <v>0</v>
      </c>
      <c r="O32" s="15">
        <f t="shared" si="0"/>
        <v>3</v>
      </c>
      <c r="P32" s="15">
        <f t="shared" si="1"/>
        <v>13</v>
      </c>
      <c r="R32" s="33" t="s">
        <v>156</v>
      </c>
      <c r="S32" s="34">
        <f>SUM(C98:C101)</f>
        <v>6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1</v>
      </c>
      <c r="W32" s="34">
        <f t="shared" si="24"/>
        <v>1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2</v>
      </c>
      <c r="AD32" s="34">
        <f t="shared" si="24"/>
        <v>0</v>
      </c>
      <c r="AE32" s="31">
        <f t="shared" si="24"/>
        <v>9</v>
      </c>
      <c r="AF32" s="31">
        <f t="shared" si="24"/>
        <v>11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13</v>
      </c>
      <c r="N33" s="50">
        <v>0</v>
      </c>
      <c r="O33" s="15">
        <f t="shared" si="0"/>
        <v>2</v>
      </c>
      <c r="P33" s="15">
        <f t="shared" si="1"/>
        <v>15</v>
      </c>
      <c r="R33" s="33" t="s">
        <v>157</v>
      </c>
      <c r="S33" s="34">
        <f>SUM(C102:C105)</f>
        <v>6</v>
      </c>
      <c r="T33" s="34">
        <f t="shared" ref="T33:AF33" si="25">SUM(D102:D105)</f>
        <v>3</v>
      </c>
      <c r="U33" s="34">
        <f t="shared" si="25"/>
        <v>2</v>
      </c>
      <c r="V33" s="34">
        <f t="shared" si="25"/>
        <v>5</v>
      </c>
      <c r="W33" s="34">
        <f t="shared" si="25"/>
        <v>1</v>
      </c>
      <c r="X33" s="34">
        <f t="shared" si="25"/>
        <v>3</v>
      </c>
      <c r="Y33" s="34">
        <f t="shared" si="25"/>
        <v>0</v>
      </c>
      <c r="Z33" s="34">
        <f t="shared" si="25"/>
        <v>4</v>
      </c>
      <c r="AA33" s="34">
        <f t="shared" si="25"/>
        <v>1</v>
      </c>
      <c r="AB33" s="34">
        <f t="shared" si="25"/>
        <v>2</v>
      </c>
      <c r="AC33" s="34">
        <f t="shared" si="25"/>
        <v>8</v>
      </c>
      <c r="AD33" s="34">
        <f t="shared" si="25"/>
        <v>1</v>
      </c>
      <c r="AE33" s="31">
        <f t="shared" si="25"/>
        <v>28</v>
      </c>
      <c r="AF33" s="31">
        <f t="shared" si="25"/>
        <v>36</v>
      </c>
    </row>
    <row r="34" spans="2:32" ht="23.1" customHeight="1" x14ac:dyDescent="0.25">
      <c r="B34" s="46" t="s">
        <v>61</v>
      </c>
      <c r="C34" s="50">
        <v>1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19</v>
      </c>
      <c r="N34" s="50">
        <v>0</v>
      </c>
      <c r="O34" s="15">
        <f t="shared" si="0"/>
        <v>2</v>
      </c>
      <c r="P34" s="15">
        <f t="shared" si="1"/>
        <v>21</v>
      </c>
      <c r="R34" s="38" t="s">
        <v>90</v>
      </c>
      <c r="S34" s="39">
        <f t="shared" ref="S34:AF34" si="26">MAX(S10:S12)</f>
        <v>4</v>
      </c>
      <c r="T34" s="39">
        <f t="shared" si="26"/>
        <v>0</v>
      </c>
      <c r="U34" s="39">
        <f t="shared" si="26"/>
        <v>5</v>
      </c>
      <c r="V34" s="39">
        <f t="shared" si="26"/>
        <v>3</v>
      </c>
      <c r="W34" s="39">
        <f t="shared" si="26"/>
        <v>0</v>
      </c>
      <c r="X34" s="39">
        <f t="shared" si="26"/>
        <v>0</v>
      </c>
      <c r="Y34" s="39">
        <f t="shared" si="26"/>
        <v>3</v>
      </c>
      <c r="Z34" s="39">
        <f t="shared" si="26"/>
        <v>0</v>
      </c>
      <c r="AA34" s="39">
        <f t="shared" si="26"/>
        <v>0</v>
      </c>
      <c r="AB34" s="39">
        <f t="shared" si="26"/>
        <v>0</v>
      </c>
      <c r="AC34" s="39">
        <f t="shared" si="26"/>
        <v>67</v>
      </c>
      <c r="AD34" s="39">
        <f t="shared" si="26"/>
        <v>0</v>
      </c>
      <c r="AE34" s="40">
        <f t="shared" si="26"/>
        <v>12</v>
      </c>
      <c r="AF34" s="40">
        <f t="shared" si="26"/>
        <v>76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2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17</v>
      </c>
      <c r="N35" s="50">
        <v>0</v>
      </c>
      <c r="O35" s="15">
        <f t="shared" si="0"/>
        <v>2</v>
      </c>
      <c r="P35" s="15">
        <f t="shared" si="1"/>
        <v>19</v>
      </c>
      <c r="R35" s="38" t="s">
        <v>91</v>
      </c>
      <c r="S35" s="39">
        <f t="shared" ref="S35:AF35" si="27">MAX(S13:S18)</f>
        <v>7</v>
      </c>
      <c r="T35" s="39">
        <f t="shared" si="27"/>
        <v>0</v>
      </c>
      <c r="U35" s="39">
        <f t="shared" si="27"/>
        <v>7</v>
      </c>
      <c r="V35" s="39">
        <f t="shared" si="27"/>
        <v>3</v>
      </c>
      <c r="W35" s="39">
        <f t="shared" si="27"/>
        <v>0</v>
      </c>
      <c r="X35" s="39">
        <f t="shared" si="27"/>
        <v>0</v>
      </c>
      <c r="Y35" s="39">
        <f t="shared" si="27"/>
        <v>6</v>
      </c>
      <c r="Z35" s="39">
        <f t="shared" si="27"/>
        <v>0</v>
      </c>
      <c r="AA35" s="39">
        <f t="shared" si="27"/>
        <v>0</v>
      </c>
      <c r="AB35" s="39">
        <f t="shared" si="27"/>
        <v>0</v>
      </c>
      <c r="AC35" s="39">
        <f t="shared" si="27"/>
        <v>76</v>
      </c>
      <c r="AD35" s="39">
        <f t="shared" si="27"/>
        <v>0</v>
      </c>
      <c r="AE35" s="40">
        <f t="shared" si="27"/>
        <v>20</v>
      </c>
      <c r="AF35" s="40">
        <f t="shared" si="27"/>
        <v>84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3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14</v>
      </c>
      <c r="N36" s="50">
        <v>0</v>
      </c>
      <c r="O36" s="15">
        <f t="shared" si="0"/>
        <v>4</v>
      </c>
      <c r="P36" s="15">
        <f t="shared" si="1"/>
        <v>18</v>
      </c>
      <c r="R36" s="38" t="s">
        <v>92</v>
      </c>
      <c r="S36" s="39">
        <f t="shared" ref="S36:AF36" si="28">MAX(S19:S21)</f>
        <v>8</v>
      </c>
      <c r="T36" s="39">
        <f t="shared" si="28"/>
        <v>0</v>
      </c>
      <c r="U36" s="39">
        <f t="shared" si="28"/>
        <v>8</v>
      </c>
      <c r="V36" s="39">
        <f t="shared" si="28"/>
        <v>1</v>
      </c>
      <c r="W36" s="39">
        <f t="shared" si="28"/>
        <v>1</v>
      </c>
      <c r="X36" s="39">
        <f t="shared" si="28"/>
        <v>0</v>
      </c>
      <c r="Y36" s="39">
        <f t="shared" si="28"/>
        <v>4</v>
      </c>
      <c r="Z36" s="39">
        <f t="shared" si="28"/>
        <v>1</v>
      </c>
      <c r="AA36" s="39">
        <f t="shared" si="28"/>
        <v>0</v>
      </c>
      <c r="AB36" s="39">
        <f t="shared" si="28"/>
        <v>0</v>
      </c>
      <c r="AC36" s="39">
        <f t="shared" si="28"/>
        <v>58</v>
      </c>
      <c r="AD36" s="39">
        <f t="shared" si="28"/>
        <v>0</v>
      </c>
      <c r="AE36" s="40">
        <f t="shared" si="28"/>
        <v>18</v>
      </c>
      <c r="AF36" s="40">
        <f t="shared" si="28"/>
        <v>76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9</v>
      </c>
      <c r="N37" s="50">
        <v>0</v>
      </c>
      <c r="O37" s="15">
        <f t="shared" si="0"/>
        <v>3</v>
      </c>
      <c r="P37" s="15">
        <f t="shared" si="1"/>
        <v>12</v>
      </c>
      <c r="R37" s="37" t="s">
        <v>85</v>
      </c>
      <c r="S37" s="35">
        <f t="shared" ref="S37:AF37" si="29">SUM(S10:S12)</f>
        <v>6</v>
      </c>
      <c r="T37" s="16">
        <f t="shared" si="29"/>
        <v>0</v>
      </c>
      <c r="U37" s="16">
        <f t="shared" si="29"/>
        <v>12</v>
      </c>
      <c r="V37" s="16">
        <f t="shared" si="29"/>
        <v>3</v>
      </c>
      <c r="W37" s="16">
        <f t="shared" si="29"/>
        <v>0</v>
      </c>
      <c r="X37" s="16">
        <f t="shared" si="29"/>
        <v>0</v>
      </c>
      <c r="Y37" s="16">
        <f t="shared" si="29"/>
        <v>6</v>
      </c>
      <c r="Z37" s="16">
        <f t="shared" si="29"/>
        <v>0</v>
      </c>
      <c r="AA37" s="16">
        <f t="shared" si="29"/>
        <v>0</v>
      </c>
      <c r="AB37" s="16">
        <f t="shared" si="29"/>
        <v>0</v>
      </c>
      <c r="AC37" s="16">
        <f t="shared" si="29"/>
        <v>163</v>
      </c>
      <c r="AD37" s="16">
        <f t="shared" si="29"/>
        <v>0</v>
      </c>
      <c r="AE37" s="32">
        <f t="shared" si="29"/>
        <v>27</v>
      </c>
      <c r="AF37" s="32">
        <f t="shared" si="29"/>
        <v>190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13</v>
      </c>
      <c r="N38" s="50">
        <v>0</v>
      </c>
      <c r="O38" s="15">
        <f t="shared" si="0"/>
        <v>3</v>
      </c>
      <c r="P38" s="15">
        <f t="shared" si="1"/>
        <v>16</v>
      </c>
      <c r="R38" s="28" t="s">
        <v>86</v>
      </c>
      <c r="S38" s="16">
        <f t="shared" ref="S38:AF38" si="30">SUM(S13:S18)</f>
        <v>20</v>
      </c>
      <c r="T38" s="16">
        <f t="shared" si="30"/>
        <v>0</v>
      </c>
      <c r="U38" s="16">
        <f t="shared" si="30"/>
        <v>28</v>
      </c>
      <c r="V38" s="16">
        <f t="shared" si="30"/>
        <v>9</v>
      </c>
      <c r="W38" s="16">
        <f t="shared" si="30"/>
        <v>0</v>
      </c>
      <c r="X38" s="16">
        <f t="shared" si="30"/>
        <v>0</v>
      </c>
      <c r="Y38" s="16">
        <f t="shared" si="30"/>
        <v>26</v>
      </c>
      <c r="Z38" s="16">
        <f t="shared" si="30"/>
        <v>0</v>
      </c>
      <c r="AA38" s="16">
        <f t="shared" si="30"/>
        <v>0</v>
      </c>
      <c r="AB38" s="16">
        <f t="shared" si="30"/>
        <v>0</v>
      </c>
      <c r="AC38" s="16">
        <f t="shared" si="30"/>
        <v>343</v>
      </c>
      <c r="AD38" s="16">
        <f t="shared" si="30"/>
        <v>0</v>
      </c>
      <c r="AE38" s="32">
        <f t="shared" si="30"/>
        <v>83</v>
      </c>
      <c r="AF38" s="32">
        <f t="shared" si="30"/>
        <v>426</v>
      </c>
    </row>
    <row r="39" spans="2:32" ht="23.1" customHeight="1" x14ac:dyDescent="0.25">
      <c r="B39" s="46" t="s">
        <v>66</v>
      </c>
      <c r="C39" s="50">
        <v>2</v>
      </c>
      <c r="D39" s="50">
        <v>0</v>
      </c>
      <c r="E39" s="50">
        <v>3</v>
      </c>
      <c r="F39" s="50">
        <v>1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11</v>
      </c>
      <c r="N39" s="50">
        <v>0</v>
      </c>
      <c r="O39" s="15">
        <f t="shared" si="0"/>
        <v>8</v>
      </c>
      <c r="P39" s="15">
        <f t="shared" si="1"/>
        <v>19</v>
      </c>
      <c r="R39" s="29" t="s">
        <v>87</v>
      </c>
      <c r="S39" s="16">
        <f t="shared" ref="S39:AF39" si="31">SUM(S19:S21)</f>
        <v>12</v>
      </c>
      <c r="T39" s="16">
        <f t="shared" si="31"/>
        <v>0</v>
      </c>
      <c r="U39" s="16">
        <f t="shared" si="31"/>
        <v>15</v>
      </c>
      <c r="V39" s="16">
        <f t="shared" si="31"/>
        <v>3</v>
      </c>
      <c r="W39" s="16">
        <f t="shared" si="31"/>
        <v>1</v>
      </c>
      <c r="X39" s="16">
        <f t="shared" si="31"/>
        <v>0</v>
      </c>
      <c r="Y39" s="16">
        <f t="shared" si="31"/>
        <v>12</v>
      </c>
      <c r="Z39" s="16">
        <f t="shared" si="31"/>
        <v>1</v>
      </c>
      <c r="AA39" s="16">
        <f t="shared" si="31"/>
        <v>0</v>
      </c>
      <c r="AB39" s="16">
        <f t="shared" si="31"/>
        <v>0</v>
      </c>
      <c r="AC39" s="16">
        <f t="shared" si="31"/>
        <v>166</v>
      </c>
      <c r="AD39" s="16">
        <f t="shared" si="31"/>
        <v>0</v>
      </c>
      <c r="AE39" s="32">
        <f t="shared" si="31"/>
        <v>44</v>
      </c>
      <c r="AF39" s="32">
        <f t="shared" si="31"/>
        <v>210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15</v>
      </c>
      <c r="N40" s="50">
        <v>0</v>
      </c>
      <c r="O40" s="15">
        <f t="shared" si="0"/>
        <v>0</v>
      </c>
      <c r="P40" s="15">
        <f t="shared" si="1"/>
        <v>15</v>
      </c>
      <c r="R40" s="5" t="s">
        <v>17</v>
      </c>
      <c r="S40" s="16">
        <f t="shared" ref="S40:AF40" si="32">SUM(S10:S21)</f>
        <v>38</v>
      </c>
      <c r="T40" s="16">
        <f t="shared" si="32"/>
        <v>0</v>
      </c>
      <c r="U40" s="16">
        <f t="shared" si="32"/>
        <v>55</v>
      </c>
      <c r="V40" s="16">
        <f t="shared" si="32"/>
        <v>15</v>
      </c>
      <c r="W40" s="16">
        <f t="shared" si="32"/>
        <v>1</v>
      </c>
      <c r="X40" s="16">
        <f t="shared" si="32"/>
        <v>0</v>
      </c>
      <c r="Y40" s="16">
        <f t="shared" si="32"/>
        <v>44</v>
      </c>
      <c r="Z40" s="16">
        <f t="shared" si="32"/>
        <v>1</v>
      </c>
      <c r="AA40" s="16">
        <f t="shared" si="32"/>
        <v>0</v>
      </c>
      <c r="AB40" s="16">
        <f t="shared" si="32"/>
        <v>0</v>
      </c>
      <c r="AC40" s="16">
        <f t="shared" si="32"/>
        <v>672</v>
      </c>
      <c r="AD40" s="16">
        <f t="shared" si="32"/>
        <v>0</v>
      </c>
      <c r="AE40" s="32">
        <f t="shared" si="32"/>
        <v>154</v>
      </c>
      <c r="AF40" s="32">
        <f t="shared" si="32"/>
        <v>826</v>
      </c>
    </row>
    <row r="41" spans="2:32" ht="23.1" customHeight="1" x14ac:dyDescent="0.25">
      <c r="B41" s="45" t="s">
        <v>68</v>
      </c>
      <c r="C41" s="50">
        <v>4</v>
      </c>
      <c r="D41" s="50">
        <v>0</v>
      </c>
      <c r="E41" s="50">
        <v>3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6</v>
      </c>
      <c r="N41" s="50">
        <v>0</v>
      </c>
      <c r="O41" s="15">
        <f t="shared" si="0"/>
        <v>7</v>
      </c>
      <c r="P41" s="15">
        <f t="shared" si="1"/>
        <v>13</v>
      </c>
      <c r="R41" s="5" t="s">
        <v>159</v>
      </c>
      <c r="S41" s="16">
        <f>SUM(S10:S33)</f>
        <v>85</v>
      </c>
      <c r="T41" s="16">
        <f t="shared" ref="T41:AF41" si="33">SUM(T10:T33)</f>
        <v>11</v>
      </c>
      <c r="U41" s="16">
        <f t="shared" si="33"/>
        <v>84</v>
      </c>
      <c r="V41" s="16">
        <f t="shared" si="33"/>
        <v>27</v>
      </c>
      <c r="W41" s="16">
        <f t="shared" si="33"/>
        <v>3</v>
      </c>
      <c r="X41" s="16">
        <f t="shared" si="33"/>
        <v>5</v>
      </c>
      <c r="Y41" s="16">
        <f t="shared" si="33"/>
        <v>66</v>
      </c>
      <c r="Z41" s="16">
        <f t="shared" si="33"/>
        <v>6</v>
      </c>
      <c r="AA41" s="16">
        <f t="shared" si="33"/>
        <v>1</v>
      </c>
      <c r="AB41" s="16">
        <f t="shared" si="33"/>
        <v>2</v>
      </c>
      <c r="AC41" s="16">
        <f t="shared" si="33"/>
        <v>789</v>
      </c>
      <c r="AD41" s="16">
        <f t="shared" si="33"/>
        <v>2</v>
      </c>
      <c r="AE41" s="32">
        <f t="shared" si="33"/>
        <v>292</v>
      </c>
      <c r="AF41" s="32">
        <f t="shared" si="33"/>
        <v>1081</v>
      </c>
    </row>
    <row r="42" spans="2:32" ht="23.1" customHeight="1" x14ac:dyDescent="0.25">
      <c r="B42" s="46" t="s">
        <v>69</v>
      </c>
      <c r="C42" s="50">
        <v>2</v>
      </c>
      <c r="D42" s="50">
        <v>0</v>
      </c>
      <c r="E42" s="50">
        <v>4</v>
      </c>
      <c r="F42" s="50">
        <v>0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16</v>
      </c>
      <c r="N42" s="50">
        <v>0</v>
      </c>
      <c r="O42" s="15">
        <f t="shared" si="0"/>
        <v>9</v>
      </c>
      <c r="P42" s="15">
        <f t="shared" si="1"/>
        <v>25</v>
      </c>
      <c r="R42" s="5" t="s">
        <v>160</v>
      </c>
      <c r="S42" s="48">
        <f>S41/S40</f>
        <v>2.236842105263158</v>
      </c>
      <c r="T42" s="48" t="e">
        <f t="shared" ref="T42:AF42" si="34">T41/T40</f>
        <v>#DIV/0!</v>
      </c>
      <c r="U42" s="48">
        <f t="shared" si="34"/>
        <v>1.5272727272727273</v>
      </c>
      <c r="V42" s="48">
        <f t="shared" si="34"/>
        <v>1.8</v>
      </c>
      <c r="W42" s="48">
        <f t="shared" si="34"/>
        <v>3</v>
      </c>
      <c r="X42" s="48" t="e">
        <f t="shared" si="34"/>
        <v>#DIV/0!</v>
      </c>
      <c r="Y42" s="48">
        <f t="shared" si="34"/>
        <v>1.5</v>
      </c>
      <c r="Z42" s="48">
        <f t="shared" si="34"/>
        <v>6</v>
      </c>
      <c r="AA42" s="48" t="e">
        <f t="shared" si="34"/>
        <v>#DIV/0!</v>
      </c>
      <c r="AB42" s="48" t="e">
        <f t="shared" si="34"/>
        <v>#DIV/0!</v>
      </c>
      <c r="AC42" s="48">
        <f t="shared" si="34"/>
        <v>1.1741071428571428</v>
      </c>
      <c r="AD42" s="48" t="e">
        <f t="shared" si="34"/>
        <v>#DIV/0!</v>
      </c>
      <c r="AE42" s="48">
        <f t="shared" si="34"/>
        <v>1.8961038961038961</v>
      </c>
      <c r="AF42" s="48">
        <f t="shared" si="34"/>
        <v>1.3087167070217918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2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14</v>
      </c>
      <c r="N43" s="50">
        <v>0</v>
      </c>
      <c r="O43" s="15">
        <f t="shared" si="0"/>
        <v>4</v>
      </c>
      <c r="P43" s="15">
        <f t="shared" si="1"/>
        <v>18</v>
      </c>
    </row>
    <row r="44" spans="2:32" ht="23.1" customHeight="1" x14ac:dyDescent="0.25">
      <c r="B44" s="47" t="s">
        <v>71</v>
      </c>
      <c r="C44" s="50">
        <v>2</v>
      </c>
      <c r="D44" s="50">
        <v>0</v>
      </c>
      <c r="E44" s="50">
        <v>1</v>
      </c>
      <c r="F44" s="50">
        <v>1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10</v>
      </c>
      <c r="N44" s="50">
        <v>0</v>
      </c>
      <c r="O44" s="15">
        <f t="shared" si="0"/>
        <v>5</v>
      </c>
      <c r="P44" s="15">
        <f t="shared" si="1"/>
        <v>15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5</v>
      </c>
      <c r="N45" s="50">
        <v>0</v>
      </c>
      <c r="O45" s="15">
        <f t="shared" si="0"/>
        <v>2</v>
      </c>
      <c r="P45" s="15">
        <f t="shared" si="1"/>
        <v>7</v>
      </c>
    </row>
    <row r="46" spans="2:32" ht="23.1" customHeight="1" x14ac:dyDescent="0.25">
      <c r="B46" s="46" t="s">
        <v>73</v>
      </c>
      <c r="C46" s="50">
        <v>4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11</v>
      </c>
      <c r="N46" s="50">
        <v>0</v>
      </c>
      <c r="O46" s="15">
        <f t="shared" si="0"/>
        <v>5</v>
      </c>
      <c r="P46" s="15">
        <f t="shared" si="1"/>
        <v>16</v>
      </c>
      <c r="R46" s="8"/>
      <c r="T46"/>
    </row>
    <row r="47" spans="2:32" ht="23.1" customHeight="1" x14ac:dyDescent="0.25">
      <c r="B47" s="46" t="s">
        <v>74</v>
      </c>
      <c r="C47" s="50">
        <v>2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17</v>
      </c>
      <c r="N47" s="50">
        <v>0</v>
      </c>
      <c r="O47" s="15">
        <f t="shared" si="0"/>
        <v>5</v>
      </c>
      <c r="P47" s="15">
        <f t="shared" si="1"/>
        <v>22</v>
      </c>
      <c r="R47" s="8"/>
      <c r="T47"/>
    </row>
    <row r="48" spans="2:32" ht="23.1" customHeight="1" x14ac:dyDescent="0.25">
      <c r="B48" s="46" t="s">
        <v>75</v>
      </c>
      <c r="C48" s="50">
        <v>2</v>
      </c>
      <c r="D48" s="50">
        <v>0</v>
      </c>
      <c r="E48" s="50">
        <v>3</v>
      </c>
      <c r="F48" s="50">
        <v>0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15</v>
      </c>
      <c r="N48" s="50">
        <v>0</v>
      </c>
      <c r="O48" s="15">
        <f t="shared" si="0"/>
        <v>7</v>
      </c>
      <c r="P48" s="15">
        <f t="shared" si="1"/>
        <v>22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0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15</v>
      </c>
      <c r="N49" s="50">
        <v>0</v>
      </c>
      <c r="O49" s="15">
        <f t="shared" si="0"/>
        <v>1</v>
      </c>
      <c r="P49" s="15">
        <f t="shared" si="1"/>
        <v>16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11</v>
      </c>
      <c r="N50" s="50">
        <v>0</v>
      </c>
      <c r="O50" s="15">
        <f t="shared" si="0"/>
        <v>2</v>
      </c>
      <c r="P50" s="15">
        <f t="shared" si="1"/>
        <v>13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17</v>
      </c>
      <c r="N51" s="50">
        <v>0</v>
      </c>
      <c r="O51" s="15">
        <f t="shared" si="0"/>
        <v>0</v>
      </c>
      <c r="P51" s="15">
        <f t="shared" si="1"/>
        <v>17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0</v>
      </c>
      <c r="E52" s="50">
        <v>3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14</v>
      </c>
      <c r="N52" s="50">
        <v>0</v>
      </c>
      <c r="O52" s="15">
        <f t="shared" si="0"/>
        <v>5</v>
      </c>
      <c r="P52" s="15">
        <f t="shared" si="1"/>
        <v>19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9</v>
      </c>
      <c r="N53" s="50">
        <v>0</v>
      </c>
      <c r="O53" s="15">
        <f t="shared" si="0"/>
        <v>2</v>
      </c>
      <c r="P53" s="15">
        <f t="shared" si="1"/>
        <v>11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5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12</v>
      </c>
      <c r="N54" s="50">
        <v>0</v>
      </c>
      <c r="O54" s="15">
        <f t="shared" si="0"/>
        <v>6</v>
      </c>
      <c r="P54" s="15">
        <f t="shared" si="1"/>
        <v>18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16</v>
      </c>
      <c r="N55" s="50">
        <v>0</v>
      </c>
      <c r="O55" s="15">
        <f t="shared" si="0"/>
        <v>1</v>
      </c>
      <c r="P55" s="15">
        <f t="shared" si="1"/>
        <v>17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1</v>
      </c>
      <c r="F56" s="50">
        <v>1</v>
      </c>
      <c r="G56" s="50">
        <v>1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13</v>
      </c>
      <c r="N56" s="50">
        <v>0</v>
      </c>
      <c r="O56" s="15">
        <f t="shared" si="0"/>
        <v>5</v>
      </c>
      <c r="P56" s="15">
        <f t="shared" si="1"/>
        <v>18</v>
      </c>
      <c r="R56" s="8"/>
      <c r="T56"/>
    </row>
    <row r="57" spans="2:20" ht="23.1" customHeight="1" x14ac:dyDescent="0.25">
      <c r="B57" s="45" t="s">
        <v>84</v>
      </c>
      <c r="C57" s="50">
        <v>3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16</v>
      </c>
      <c r="N57" s="50">
        <v>0</v>
      </c>
      <c r="O57" s="15">
        <f t="shared" si="0"/>
        <v>5</v>
      </c>
      <c r="P57" s="15">
        <f t="shared" si="1"/>
        <v>21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2</v>
      </c>
      <c r="F58" s="50">
        <v>1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14</v>
      </c>
      <c r="N58" s="50">
        <v>0</v>
      </c>
      <c r="O58" s="15">
        <f t="shared" si="0"/>
        <v>4</v>
      </c>
      <c r="P58" s="15">
        <f t="shared" si="1"/>
        <v>18</v>
      </c>
      <c r="R58" s="8"/>
      <c r="T58"/>
    </row>
    <row r="59" spans="2:20" ht="23.1" customHeight="1" x14ac:dyDescent="0.25">
      <c r="B59" s="45" t="s">
        <v>100</v>
      </c>
      <c r="C59" s="50">
        <v>2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11</v>
      </c>
      <c r="N59" s="50">
        <v>0</v>
      </c>
      <c r="O59" s="15">
        <f t="shared" si="0"/>
        <v>3</v>
      </c>
      <c r="P59" s="15">
        <f t="shared" si="1"/>
        <v>14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1</v>
      </c>
      <c r="E60" s="50">
        <v>0</v>
      </c>
      <c r="F60" s="50">
        <v>0</v>
      </c>
      <c r="G60" s="50">
        <v>0</v>
      </c>
      <c r="H60" s="50">
        <v>0</v>
      </c>
      <c r="I60" s="50">
        <v>2</v>
      </c>
      <c r="J60" s="50">
        <v>0</v>
      </c>
      <c r="K60" s="50">
        <v>0</v>
      </c>
      <c r="L60" s="50">
        <v>0</v>
      </c>
      <c r="M60" s="50">
        <v>12</v>
      </c>
      <c r="N60" s="50">
        <v>0</v>
      </c>
      <c r="O60" s="15">
        <f t="shared" si="0"/>
        <v>4</v>
      </c>
      <c r="P60" s="15">
        <f t="shared" si="1"/>
        <v>16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1</v>
      </c>
      <c r="F61" s="50">
        <v>1</v>
      </c>
      <c r="G61" s="50">
        <v>0</v>
      </c>
      <c r="H61" s="50">
        <v>1</v>
      </c>
      <c r="I61" s="50">
        <v>3</v>
      </c>
      <c r="J61" s="50">
        <v>0</v>
      </c>
      <c r="K61" s="50">
        <v>0</v>
      </c>
      <c r="L61" s="50">
        <v>0</v>
      </c>
      <c r="M61" s="50">
        <v>9</v>
      </c>
      <c r="N61" s="50">
        <v>0</v>
      </c>
      <c r="O61" s="15">
        <f t="shared" si="0"/>
        <v>8</v>
      </c>
      <c r="P61" s="15">
        <f t="shared" si="1"/>
        <v>17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2</v>
      </c>
      <c r="F62" s="50">
        <v>0</v>
      </c>
      <c r="G62" s="50">
        <v>0</v>
      </c>
      <c r="H62" s="50">
        <v>0</v>
      </c>
      <c r="I62" s="50">
        <v>2</v>
      </c>
      <c r="J62" s="50">
        <v>0</v>
      </c>
      <c r="K62" s="50">
        <v>0</v>
      </c>
      <c r="L62" s="50">
        <v>0</v>
      </c>
      <c r="M62" s="50">
        <v>12</v>
      </c>
      <c r="N62" s="50">
        <v>0</v>
      </c>
      <c r="O62" s="15">
        <f t="shared" si="0"/>
        <v>5</v>
      </c>
      <c r="P62" s="15">
        <f t="shared" si="1"/>
        <v>17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1</v>
      </c>
      <c r="E63" s="50">
        <v>2</v>
      </c>
      <c r="F63" s="50">
        <v>1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9</v>
      </c>
      <c r="N63" s="50">
        <v>0</v>
      </c>
      <c r="O63" s="15">
        <f t="shared" si="0"/>
        <v>6</v>
      </c>
      <c r="P63" s="15">
        <f t="shared" si="1"/>
        <v>15</v>
      </c>
      <c r="R63" s="8"/>
      <c r="T63"/>
    </row>
    <row r="64" spans="2:20" ht="23.1" customHeight="1" x14ac:dyDescent="0.25">
      <c r="B64" s="45" t="s">
        <v>109</v>
      </c>
      <c r="C64" s="50">
        <v>3</v>
      </c>
      <c r="D64" s="50">
        <v>0</v>
      </c>
      <c r="E64" s="50">
        <v>1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7</v>
      </c>
      <c r="N64" s="50">
        <v>0</v>
      </c>
      <c r="O64" s="15">
        <f t="shared" si="0"/>
        <v>4</v>
      </c>
      <c r="P64" s="15">
        <f t="shared" si="1"/>
        <v>11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6</v>
      </c>
      <c r="N65" s="50">
        <v>0</v>
      </c>
      <c r="O65" s="15">
        <f t="shared" si="0"/>
        <v>2</v>
      </c>
      <c r="P65" s="15">
        <f t="shared" si="1"/>
        <v>8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1</v>
      </c>
      <c r="E66" s="50">
        <v>1</v>
      </c>
      <c r="F66" s="50">
        <v>0</v>
      </c>
      <c r="G66" s="50">
        <v>0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6</v>
      </c>
      <c r="N66" s="50">
        <v>0</v>
      </c>
      <c r="O66" s="15">
        <f t="shared" si="0"/>
        <v>5</v>
      </c>
      <c r="P66" s="15">
        <f t="shared" si="1"/>
        <v>11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1</v>
      </c>
      <c r="E67" s="50">
        <v>3</v>
      </c>
      <c r="F67" s="50">
        <v>0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3</v>
      </c>
      <c r="N67" s="50">
        <v>0</v>
      </c>
      <c r="O67" s="15">
        <f t="shared" si="0"/>
        <v>8</v>
      </c>
      <c r="P67" s="15">
        <f t="shared" si="1"/>
        <v>11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0</v>
      </c>
      <c r="E68" s="50">
        <v>2</v>
      </c>
      <c r="F68" s="50">
        <v>1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4</v>
      </c>
      <c r="N68" s="50">
        <v>0</v>
      </c>
      <c r="O68" s="15">
        <f t="shared" si="0"/>
        <v>4</v>
      </c>
      <c r="P68" s="15">
        <f t="shared" si="1"/>
        <v>8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0</v>
      </c>
      <c r="E69" s="50">
        <v>1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2</v>
      </c>
      <c r="N69" s="50">
        <v>0</v>
      </c>
      <c r="O69" s="15">
        <f t="shared" si="0"/>
        <v>3</v>
      </c>
      <c r="P69" s="15">
        <f t="shared" si="1"/>
        <v>5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3</v>
      </c>
      <c r="J70" s="50">
        <v>1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5</v>
      </c>
      <c r="P70" s="15">
        <f t="shared" si="1"/>
        <v>5</v>
      </c>
      <c r="R70" s="8"/>
      <c r="T70"/>
    </row>
    <row r="71" spans="2:20" ht="23.1" customHeight="1" x14ac:dyDescent="0.25">
      <c r="B71" s="45" t="s">
        <v>111</v>
      </c>
      <c r="C71" s="50">
        <v>2</v>
      </c>
      <c r="D71" s="50">
        <v>0</v>
      </c>
      <c r="E71" s="50">
        <v>1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1</v>
      </c>
      <c r="N71" s="50">
        <v>0</v>
      </c>
      <c r="O71" s="15">
        <f t="shared" si="0"/>
        <v>3</v>
      </c>
      <c r="P71" s="15">
        <f t="shared" si="1"/>
        <v>4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2</v>
      </c>
      <c r="J72" s="50">
        <v>0</v>
      </c>
      <c r="K72" s="50">
        <v>0</v>
      </c>
      <c r="L72" s="50">
        <v>0</v>
      </c>
      <c r="M72" s="50">
        <v>1</v>
      </c>
      <c r="N72" s="50">
        <v>1</v>
      </c>
      <c r="O72" s="15">
        <f t="shared" si="0"/>
        <v>5</v>
      </c>
      <c r="P72" s="15">
        <f t="shared" si="1"/>
        <v>6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2</v>
      </c>
      <c r="F73" s="50">
        <v>1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</v>
      </c>
      <c r="N73" s="50">
        <v>0</v>
      </c>
      <c r="O73" s="15">
        <f t="shared" si="0"/>
        <v>3</v>
      </c>
      <c r="P73" s="15">
        <f t="shared" si="1"/>
        <v>5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2</v>
      </c>
      <c r="N74" s="50">
        <v>0</v>
      </c>
      <c r="O74" s="15">
        <f t="shared" ref="O74:O105" si="35">SUM(C74:L74,N74)</f>
        <v>2</v>
      </c>
      <c r="P74" s="15">
        <f t="shared" ref="P74:P105" si="36">SUM(C74:N74)</f>
        <v>4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1</v>
      </c>
      <c r="P75" s="15">
        <f t="shared" si="36"/>
        <v>1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1</v>
      </c>
      <c r="F76" s="50">
        <v>0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3</v>
      </c>
      <c r="P76" s="15">
        <f t="shared" si="36"/>
        <v>4</v>
      </c>
      <c r="R76" s="8"/>
      <c r="T76"/>
    </row>
    <row r="77" spans="2:20" ht="23.1" customHeight="1" x14ac:dyDescent="0.25">
      <c r="B77" s="45" t="s">
        <v>117</v>
      </c>
      <c r="C77" s="50">
        <v>2</v>
      </c>
      <c r="D77" s="50">
        <v>1</v>
      </c>
      <c r="E77" s="50">
        <v>1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4</v>
      </c>
      <c r="P77" s="15">
        <f t="shared" si="36"/>
        <v>4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2</v>
      </c>
      <c r="N78" s="50">
        <v>0</v>
      </c>
      <c r="O78" s="15">
        <f t="shared" si="35"/>
        <v>2</v>
      </c>
      <c r="P78" s="15">
        <f t="shared" si="36"/>
        <v>4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0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1</v>
      </c>
      <c r="F81" s="50">
        <v>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15">
        <f t="shared" si="35"/>
        <v>2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1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3</v>
      </c>
      <c r="P82" s="15">
        <f t="shared" si="36"/>
        <v>3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1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2</v>
      </c>
      <c r="P84" s="15">
        <f t="shared" si="36"/>
        <v>2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1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0</v>
      </c>
      <c r="P86" s="15">
        <f t="shared" si="36"/>
        <v>1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1</v>
      </c>
      <c r="F94" s="50">
        <v>0</v>
      </c>
      <c r="G94" s="50">
        <v>0</v>
      </c>
      <c r="H94" s="50">
        <v>1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2</v>
      </c>
      <c r="P98" s="15">
        <f t="shared" si="36"/>
        <v>3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0</v>
      </c>
      <c r="G100" s="50">
        <v>1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2</v>
      </c>
      <c r="P100" s="15">
        <f t="shared" si="36"/>
        <v>3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1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5</v>
      </c>
      <c r="P101" s="15">
        <f t="shared" si="36"/>
        <v>5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1</v>
      </c>
      <c r="E102" s="50">
        <v>1</v>
      </c>
      <c r="F102" s="50">
        <v>1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2</v>
      </c>
      <c r="N102" s="50">
        <v>0</v>
      </c>
      <c r="O102" s="15">
        <f t="shared" si="35"/>
        <v>3</v>
      </c>
      <c r="P102" s="15">
        <f t="shared" si="36"/>
        <v>5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0</v>
      </c>
      <c r="F103" s="50">
        <v>2</v>
      </c>
      <c r="G103" s="50">
        <v>0</v>
      </c>
      <c r="H103" s="50">
        <v>0</v>
      </c>
      <c r="I103" s="50">
        <v>0</v>
      </c>
      <c r="J103" s="50">
        <v>2</v>
      </c>
      <c r="K103" s="50">
        <v>0</v>
      </c>
      <c r="L103" s="50">
        <v>0</v>
      </c>
      <c r="M103" s="50">
        <v>2</v>
      </c>
      <c r="N103" s="50">
        <v>0</v>
      </c>
      <c r="O103" s="15">
        <f t="shared" si="35"/>
        <v>5</v>
      </c>
      <c r="P103" s="15">
        <f t="shared" si="36"/>
        <v>7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1</v>
      </c>
      <c r="E104" s="50">
        <v>1</v>
      </c>
      <c r="F104" s="50">
        <v>1</v>
      </c>
      <c r="G104" s="50">
        <v>1</v>
      </c>
      <c r="H104" s="50">
        <v>1</v>
      </c>
      <c r="I104" s="50">
        <v>0</v>
      </c>
      <c r="J104" s="50">
        <v>1</v>
      </c>
      <c r="K104" s="50">
        <v>1</v>
      </c>
      <c r="L104" s="50">
        <v>1</v>
      </c>
      <c r="M104" s="50">
        <v>2</v>
      </c>
      <c r="N104" s="50">
        <v>1</v>
      </c>
      <c r="O104" s="15">
        <f t="shared" si="35"/>
        <v>11</v>
      </c>
      <c r="P104" s="15">
        <f t="shared" si="36"/>
        <v>13</v>
      </c>
      <c r="R104" s="8"/>
      <c r="T104"/>
    </row>
    <row r="105" spans="2:20" ht="23.1" customHeight="1" x14ac:dyDescent="0.25">
      <c r="B105" s="45" t="s">
        <v>145</v>
      </c>
      <c r="C105" s="50">
        <v>3</v>
      </c>
      <c r="D105" s="50">
        <v>1</v>
      </c>
      <c r="E105" s="50">
        <v>0</v>
      </c>
      <c r="F105" s="50">
        <v>1</v>
      </c>
      <c r="G105" s="50">
        <v>0</v>
      </c>
      <c r="H105" s="50">
        <v>2</v>
      </c>
      <c r="I105" s="50">
        <v>0</v>
      </c>
      <c r="J105" s="50">
        <v>1</v>
      </c>
      <c r="K105" s="50">
        <v>0</v>
      </c>
      <c r="L105" s="50">
        <v>1</v>
      </c>
      <c r="M105" s="50">
        <v>2</v>
      </c>
      <c r="N105" s="50">
        <v>0</v>
      </c>
      <c r="O105" s="15">
        <f t="shared" si="35"/>
        <v>9</v>
      </c>
      <c r="P105" s="15">
        <f t="shared" si="36"/>
        <v>11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85</v>
      </c>
      <c r="D106" s="16">
        <f t="shared" ref="D106:P106" si="37">SUM(D10:D105)</f>
        <v>11</v>
      </c>
      <c r="E106" s="16">
        <f t="shared" si="37"/>
        <v>84</v>
      </c>
      <c r="F106" s="16">
        <f t="shared" si="37"/>
        <v>27</v>
      </c>
      <c r="G106" s="16">
        <f t="shared" si="37"/>
        <v>3</v>
      </c>
      <c r="H106" s="16">
        <f t="shared" si="37"/>
        <v>5</v>
      </c>
      <c r="I106" s="16">
        <f t="shared" si="37"/>
        <v>66</v>
      </c>
      <c r="J106" s="16">
        <f t="shared" si="37"/>
        <v>6</v>
      </c>
      <c r="K106" s="16">
        <f t="shared" si="37"/>
        <v>1</v>
      </c>
      <c r="L106" s="16">
        <f t="shared" si="37"/>
        <v>2</v>
      </c>
      <c r="M106" s="16">
        <f t="shared" si="37"/>
        <v>789</v>
      </c>
      <c r="N106" s="16">
        <f t="shared" si="37"/>
        <v>2</v>
      </c>
      <c r="O106" s="16">
        <f t="shared" si="37"/>
        <v>292</v>
      </c>
      <c r="P106" s="16">
        <f t="shared" si="37"/>
        <v>1081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7.8630897317298803E-2</v>
      </c>
      <c r="D107" s="43">
        <f t="shared" si="38"/>
        <v>1.0175763182238668E-2</v>
      </c>
      <c r="E107" s="43">
        <f t="shared" si="38"/>
        <v>7.7705827937095281E-2</v>
      </c>
      <c r="F107" s="43">
        <f t="shared" si="38"/>
        <v>2.4976873265494911E-2</v>
      </c>
      <c r="G107" s="43">
        <f t="shared" si="38"/>
        <v>2.7752081406105457E-3</v>
      </c>
      <c r="H107" s="43">
        <f t="shared" si="38"/>
        <v>4.6253469010175763E-3</v>
      </c>
      <c r="I107" s="43">
        <f t="shared" si="38"/>
        <v>6.105457909343201E-2</v>
      </c>
      <c r="J107" s="43">
        <f t="shared" si="38"/>
        <v>5.5504162812210914E-3</v>
      </c>
      <c r="K107" s="43">
        <f t="shared" si="38"/>
        <v>9.2506938020351531E-4</v>
      </c>
      <c r="L107" s="43">
        <f t="shared" si="38"/>
        <v>1.8501387604070306E-3</v>
      </c>
      <c r="M107" s="43">
        <f t="shared" si="38"/>
        <v>0.72987974098057351</v>
      </c>
      <c r="N107" s="43">
        <f t="shared" si="38"/>
        <v>1.8501387604070306E-3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0.2910958904109589</v>
      </c>
      <c r="D108" s="44">
        <f t="shared" ref="D108:N108" si="39">D106/$O$106</f>
        <v>3.7671232876712327E-2</v>
      </c>
      <c r="E108" s="44">
        <f t="shared" si="39"/>
        <v>0.28767123287671231</v>
      </c>
      <c r="F108" s="44">
        <f t="shared" si="39"/>
        <v>9.2465753424657529E-2</v>
      </c>
      <c r="G108" s="44">
        <f t="shared" si="39"/>
        <v>1.0273972602739725E-2</v>
      </c>
      <c r="H108" s="44">
        <f t="shared" si="39"/>
        <v>1.7123287671232876E-2</v>
      </c>
      <c r="I108" s="44">
        <f t="shared" si="39"/>
        <v>0.22602739726027396</v>
      </c>
      <c r="J108" s="44">
        <f t="shared" si="39"/>
        <v>2.0547945205479451E-2</v>
      </c>
      <c r="K108" s="44">
        <f t="shared" si="39"/>
        <v>3.4246575342465752E-3</v>
      </c>
      <c r="L108" s="44">
        <f t="shared" si="39"/>
        <v>6.8493150684931503E-3</v>
      </c>
      <c r="M108" s="44"/>
      <c r="N108" s="44">
        <f t="shared" si="39"/>
        <v>6.8493150684931503E-3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91" zoomScale="60" workbookViewId="0">
      <selection activeCell="M103" sqref="M10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'11.8 KAMPALA-BUSUNJU'!C3:G3</f>
        <v>MCC-C3-STN-HOIMA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64" t="str">
        <f>'15.8 BUSUNJU-KAMPALA-24HRS'!G5:H5</f>
        <v>WAKISO</v>
      </c>
      <c r="H5" s="65"/>
      <c r="I5" s="14"/>
      <c r="J5" s="2" t="s">
        <v>5</v>
      </c>
      <c r="K5" s="64">
        <f>'15.8 BUSUNJU-KAMPALA-24HRS'!K5:L5</f>
        <v>0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'11.8 KAMPALA-BUSUNJU'!D6:E6</f>
        <v>KAMPALA</v>
      </c>
      <c r="E6" s="65"/>
      <c r="F6" s="2" t="s">
        <v>2</v>
      </c>
      <c r="G6" s="64" t="str">
        <f>'11.8 KAMPALA-BUSUNJU'!G6:H6</f>
        <v>BUSUNJU</v>
      </c>
      <c r="H6" s="65"/>
      <c r="J6" s="2" t="s">
        <v>21</v>
      </c>
      <c r="K6" s="64">
        <f>'15.8 BUSUNJU-KAMPALA-24HRS'!K6:L6</f>
        <v>0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9</v>
      </c>
      <c r="N10" s="50">
        <v>0</v>
      </c>
      <c r="O10" s="15">
        <f t="shared" ref="O10:O73" si="0">SUM(C10:L10,N10)</f>
        <v>0</v>
      </c>
      <c r="P10" s="15">
        <f t="shared" ref="P10:P73" si="1">SUM(C10:N10)</f>
        <v>9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1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40</v>
      </c>
      <c r="AD10" s="17">
        <f t="shared" si="2"/>
        <v>0</v>
      </c>
      <c r="AE10" s="31">
        <f t="shared" si="2"/>
        <v>2</v>
      </c>
      <c r="AF10" s="31">
        <f t="shared" si="2"/>
        <v>42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11</v>
      </c>
      <c r="N11" s="50">
        <v>0</v>
      </c>
      <c r="O11" s="15">
        <f t="shared" si="0"/>
        <v>0</v>
      </c>
      <c r="P11" s="15">
        <f t="shared" si="1"/>
        <v>11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53</v>
      </c>
      <c r="AD11" s="17">
        <f t="shared" si="3"/>
        <v>0</v>
      </c>
      <c r="AE11" s="31">
        <f t="shared" si="3"/>
        <v>2</v>
      </c>
      <c r="AF11" s="31">
        <f t="shared" si="3"/>
        <v>55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12</v>
      </c>
      <c r="N12" s="50">
        <v>0</v>
      </c>
      <c r="O12" s="15">
        <f t="shared" si="0"/>
        <v>1</v>
      </c>
      <c r="P12" s="15">
        <f t="shared" si="1"/>
        <v>13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1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47</v>
      </c>
      <c r="AD12" s="17">
        <f t="shared" si="4"/>
        <v>0</v>
      </c>
      <c r="AE12" s="31">
        <f t="shared" si="4"/>
        <v>5</v>
      </c>
      <c r="AF12" s="31">
        <f t="shared" si="4"/>
        <v>52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1</v>
      </c>
      <c r="P13" s="15">
        <f t="shared" si="1"/>
        <v>9</v>
      </c>
      <c r="R13" s="1" t="s">
        <v>9</v>
      </c>
      <c r="S13" s="17">
        <f t="shared" ref="S13:AF13" si="5">SUM(C22:C25)</f>
        <v>4</v>
      </c>
      <c r="T13" s="17">
        <f t="shared" si="5"/>
        <v>0</v>
      </c>
      <c r="U13" s="17">
        <f t="shared" si="5"/>
        <v>3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62</v>
      </c>
      <c r="AD13" s="17">
        <f t="shared" si="5"/>
        <v>0</v>
      </c>
      <c r="AE13" s="31">
        <f t="shared" si="5"/>
        <v>8</v>
      </c>
      <c r="AF13" s="31">
        <f t="shared" si="5"/>
        <v>70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9</v>
      </c>
      <c r="N14" s="50">
        <v>0</v>
      </c>
      <c r="O14" s="15">
        <f t="shared" si="0"/>
        <v>0</v>
      </c>
      <c r="P14" s="15">
        <f t="shared" si="1"/>
        <v>9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3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76</v>
      </c>
      <c r="AD14" s="17">
        <f t="shared" si="6"/>
        <v>0</v>
      </c>
      <c r="AE14" s="31">
        <f t="shared" si="6"/>
        <v>8</v>
      </c>
      <c r="AF14" s="31">
        <f t="shared" si="6"/>
        <v>84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17</v>
      </c>
      <c r="N15" s="50">
        <v>0</v>
      </c>
      <c r="O15" s="15">
        <f t="shared" si="0"/>
        <v>1</v>
      </c>
      <c r="P15" s="15">
        <f t="shared" si="1"/>
        <v>18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5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51</v>
      </c>
      <c r="AD15" s="17">
        <f t="shared" si="7"/>
        <v>0</v>
      </c>
      <c r="AE15" s="31">
        <f t="shared" si="7"/>
        <v>9</v>
      </c>
      <c r="AF15" s="31">
        <f t="shared" si="7"/>
        <v>60</v>
      </c>
    </row>
    <row r="16" spans="2:32" ht="23.1" customHeight="1" x14ac:dyDescent="0.25">
      <c r="B16" s="45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13</v>
      </c>
      <c r="N16" s="50">
        <v>0</v>
      </c>
      <c r="O16" s="15">
        <f t="shared" si="0"/>
        <v>1</v>
      </c>
      <c r="P16" s="15">
        <f t="shared" si="1"/>
        <v>14</v>
      </c>
      <c r="R16" s="1" t="s">
        <v>12</v>
      </c>
      <c r="S16" s="17">
        <f t="shared" ref="S16:AF16" si="8">SUM(C34:C37)</f>
        <v>4</v>
      </c>
      <c r="T16" s="17">
        <f t="shared" si="8"/>
        <v>0</v>
      </c>
      <c r="U16" s="17">
        <f t="shared" si="8"/>
        <v>8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55</v>
      </c>
      <c r="AD16" s="17">
        <f t="shared" si="8"/>
        <v>0</v>
      </c>
      <c r="AE16" s="31">
        <f t="shared" si="8"/>
        <v>14</v>
      </c>
      <c r="AF16" s="31">
        <f t="shared" si="8"/>
        <v>69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14</v>
      </c>
      <c r="N17" s="50">
        <v>0</v>
      </c>
      <c r="O17" s="15">
        <f t="shared" si="0"/>
        <v>0</v>
      </c>
      <c r="P17" s="15">
        <f t="shared" si="1"/>
        <v>14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9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52</v>
      </c>
      <c r="AD17" s="17">
        <f t="shared" si="9"/>
        <v>0</v>
      </c>
      <c r="AE17" s="31">
        <f t="shared" si="9"/>
        <v>11</v>
      </c>
      <c r="AF17" s="31">
        <f t="shared" si="9"/>
        <v>63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13</v>
      </c>
      <c r="N18" s="50">
        <v>0</v>
      </c>
      <c r="O18" s="15">
        <f t="shared" si="0"/>
        <v>0</v>
      </c>
      <c r="P18" s="15">
        <f t="shared" si="1"/>
        <v>13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5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49</v>
      </c>
      <c r="AD18" s="17">
        <f t="shared" si="10"/>
        <v>0</v>
      </c>
      <c r="AE18" s="31">
        <f t="shared" si="10"/>
        <v>9</v>
      </c>
      <c r="AF18" s="31">
        <f t="shared" si="10"/>
        <v>58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14</v>
      </c>
      <c r="N19" s="50">
        <v>0</v>
      </c>
      <c r="O19" s="15">
        <f t="shared" si="0"/>
        <v>0</v>
      </c>
      <c r="P19" s="15">
        <f t="shared" si="1"/>
        <v>14</v>
      </c>
      <c r="R19" s="1" t="s">
        <v>15</v>
      </c>
      <c r="S19" s="17">
        <f t="shared" ref="S19:AF19" si="11">SUM(C46:C49)</f>
        <v>5</v>
      </c>
      <c r="T19" s="17">
        <f t="shared" si="11"/>
        <v>0</v>
      </c>
      <c r="U19" s="17">
        <f t="shared" si="11"/>
        <v>4</v>
      </c>
      <c r="V19" s="17">
        <f t="shared" si="11"/>
        <v>2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56</v>
      </c>
      <c r="AD19" s="17">
        <f t="shared" si="11"/>
        <v>0</v>
      </c>
      <c r="AE19" s="31">
        <f t="shared" si="11"/>
        <v>11</v>
      </c>
      <c r="AF19" s="31">
        <f t="shared" si="11"/>
        <v>67</v>
      </c>
    </row>
    <row r="20" spans="2:32" ht="23.1" customHeight="1" x14ac:dyDescent="0.25">
      <c r="B20" s="45" t="s">
        <v>47</v>
      </c>
      <c r="C20" s="50">
        <v>2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9</v>
      </c>
      <c r="N20" s="50">
        <v>0</v>
      </c>
      <c r="O20" s="15">
        <f t="shared" si="0"/>
        <v>2</v>
      </c>
      <c r="P20" s="15">
        <f t="shared" si="1"/>
        <v>11</v>
      </c>
      <c r="R20" s="1" t="s">
        <v>16</v>
      </c>
      <c r="S20" s="17">
        <f t="shared" ref="S20:AF20" si="12">SUM(C50:C53)</f>
        <v>4</v>
      </c>
      <c r="T20" s="17">
        <f t="shared" si="12"/>
        <v>0</v>
      </c>
      <c r="U20" s="17">
        <f t="shared" si="12"/>
        <v>5</v>
      </c>
      <c r="V20" s="17">
        <f t="shared" si="12"/>
        <v>2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59</v>
      </c>
      <c r="AD20" s="17">
        <f t="shared" si="12"/>
        <v>0</v>
      </c>
      <c r="AE20" s="31">
        <f t="shared" si="12"/>
        <v>11</v>
      </c>
      <c r="AF20" s="31">
        <f t="shared" si="12"/>
        <v>70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1</v>
      </c>
      <c r="F21" s="50">
        <v>2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11</v>
      </c>
      <c r="N21" s="50">
        <v>0</v>
      </c>
      <c r="O21" s="15">
        <f t="shared" si="0"/>
        <v>3</v>
      </c>
      <c r="P21" s="15">
        <f t="shared" si="1"/>
        <v>14</v>
      </c>
      <c r="R21" s="36" t="s">
        <v>20</v>
      </c>
      <c r="S21" s="34">
        <f t="shared" ref="S21:AF21" si="13">SUM(C54:C57)</f>
        <v>2</v>
      </c>
      <c r="T21" s="17">
        <f t="shared" si="13"/>
        <v>0</v>
      </c>
      <c r="U21" s="17">
        <f t="shared" si="13"/>
        <v>5</v>
      </c>
      <c r="V21" s="17">
        <f t="shared" si="13"/>
        <v>1</v>
      </c>
      <c r="W21" s="17">
        <f t="shared" si="13"/>
        <v>1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56</v>
      </c>
      <c r="AD21" s="17">
        <f t="shared" si="13"/>
        <v>0</v>
      </c>
      <c r="AE21" s="31">
        <f t="shared" si="13"/>
        <v>9</v>
      </c>
      <c r="AF21" s="31">
        <f t="shared" si="13"/>
        <v>65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1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15</v>
      </c>
      <c r="N22" s="50">
        <v>0</v>
      </c>
      <c r="O22" s="15">
        <f t="shared" si="0"/>
        <v>2</v>
      </c>
      <c r="P22" s="15">
        <f t="shared" si="1"/>
        <v>17</v>
      </c>
      <c r="R22" s="36" t="s">
        <v>146</v>
      </c>
      <c r="S22" s="34">
        <f>SUM(C58:C61)</f>
        <v>6</v>
      </c>
      <c r="T22" s="34">
        <f t="shared" ref="T22:AF22" si="14">SUM(D58:D61)</f>
        <v>1</v>
      </c>
      <c r="U22" s="34">
        <f t="shared" si="14"/>
        <v>4</v>
      </c>
      <c r="V22" s="34">
        <f t="shared" si="14"/>
        <v>2</v>
      </c>
      <c r="W22" s="34">
        <f t="shared" si="14"/>
        <v>0</v>
      </c>
      <c r="X22" s="34">
        <f t="shared" si="14"/>
        <v>1</v>
      </c>
      <c r="Y22" s="34">
        <f t="shared" si="14"/>
        <v>5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51</v>
      </c>
      <c r="AD22" s="34">
        <f t="shared" si="14"/>
        <v>0</v>
      </c>
      <c r="AE22" s="31">
        <f t="shared" si="14"/>
        <v>19</v>
      </c>
      <c r="AF22" s="31">
        <f t="shared" si="14"/>
        <v>70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14</v>
      </c>
      <c r="N23" s="50">
        <v>0</v>
      </c>
      <c r="O23" s="15">
        <f t="shared" si="0"/>
        <v>2</v>
      </c>
      <c r="P23" s="15">
        <f t="shared" si="1"/>
        <v>16</v>
      </c>
      <c r="R23" s="36" t="s">
        <v>147</v>
      </c>
      <c r="S23" s="34">
        <f>SUM(C62:C65)</f>
        <v>7</v>
      </c>
      <c r="T23" s="34">
        <f t="shared" ref="T23:AF23" si="15">SUM(D62:D65)</f>
        <v>1</v>
      </c>
      <c r="U23" s="34">
        <f t="shared" si="15"/>
        <v>5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3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34</v>
      </c>
      <c r="AD23" s="34">
        <f t="shared" si="15"/>
        <v>0</v>
      </c>
      <c r="AE23" s="31">
        <f t="shared" si="15"/>
        <v>17</v>
      </c>
      <c r="AF23" s="31">
        <f t="shared" si="15"/>
        <v>51</v>
      </c>
    </row>
    <row r="24" spans="2:32" ht="23.1" customHeight="1" x14ac:dyDescent="0.25">
      <c r="B24" s="45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10</v>
      </c>
      <c r="N24" s="50">
        <v>0</v>
      </c>
      <c r="O24" s="15">
        <f t="shared" si="0"/>
        <v>1</v>
      </c>
      <c r="P24" s="15">
        <f t="shared" si="1"/>
        <v>11</v>
      </c>
      <c r="R24" s="36" t="s">
        <v>148</v>
      </c>
      <c r="S24" s="34">
        <f>SUM(C66:C69)</f>
        <v>6</v>
      </c>
      <c r="T24" s="34">
        <f t="shared" ref="T24:AF24" si="16">SUM(D66:D69)</f>
        <v>2</v>
      </c>
      <c r="U24" s="34">
        <f t="shared" si="16"/>
        <v>7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15</v>
      </c>
      <c r="AD24" s="34">
        <f t="shared" si="16"/>
        <v>0</v>
      </c>
      <c r="AE24" s="31">
        <f t="shared" si="16"/>
        <v>20</v>
      </c>
      <c r="AF24" s="31">
        <f t="shared" si="16"/>
        <v>35</v>
      </c>
    </row>
    <row r="25" spans="2:32" ht="23.1" customHeight="1" x14ac:dyDescent="0.25">
      <c r="B25" s="45" t="s">
        <v>52</v>
      </c>
      <c r="C25" s="50">
        <v>2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23</v>
      </c>
      <c r="N25" s="50">
        <v>0</v>
      </c>
      <c r="O25" s="15">
        <f t="shared" si="0"/>
        <v>3</v>
      </c>
      <c r="P25" s="15">
        <f t="shared" si="1"/>
        <v>26</v>
      </c>
      <c r="R25" s="36" t="s">
        <v>149</v>
      </c>
      <c r="S25" s="34">
        <f>SUM(C70:C73)</f>
        <v>5</v>
      </c>
      <c r="T25" s="34">
        <f t="shared" ref="T25:AF25" si="17">SUM(D70:D73)</f>
        <v>0</v>
      </c>
      <c r="U25" s="34">
        <f t="shared" si="17"/>
        <v>3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5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4</v>
      </c>
      <c r="AD25" s="34">
        <f t="shared" si="17"/>
        <v>0</v>
      </c>
      <c r="AE25" s="31">
        <f t="shared" si="17"/>
        <v>15</v>
      </c>
      <c r="AF25" s="31">
        <f t="shared" si="17"/>
        <v>19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19</v>
      </c>
      <c r="N26" s="50">
        <v>0</v>
      </c>
      <c r="O26" s="15">
        <f t="shared" si="0"/>
        <v>3</v>
      </c>
      <c r="P26" s="15">
        <f t="shared" si="1"/>
        <v>22</v>
      </c>
      <c r="R26" s="36" t="s">
        <v>150</v>
      </c>
      <c r="S26" s="34">
        <f>SUM(C74:C77)</f>
        <v>5</v>
      </c>
      <c r="T26" s="34">
        <f t="shared" ref="T26:AF26" si="18">SUM(D74:D77)</f>
        <v>1</v>
      </c>
      <c r="U26" s="34">
        <f t="shared" si="18"/>
        <v>3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3</v>
      </c>
      <c r="AD26" s="34">
        <f t="shared" si="18"/>
        <v>0</v>
      </c>
      <c r="AE26" s="31">
        <f t="shared" si="18"/>
        <v>10</v>
      </c>
      <c r="AF26" s="31">
        <f t="shared" si="18"/>
        <v>13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2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15</v>
      </c>
      <c r="N27" s="50">
        <v>0</v>
      </c>
      <c r="O27" s="15">
        <f t="shared" si="0"/>
        <v>2</v>
      </c>
      <c r="P27" s="15">
        <f t="shared" si="1"/>
        <v>17</v>
      </c>
      <c r="R27" s="36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31">
        <f t="shared" si="19"/>
        <v>6</v>
      </c>
      <c r="AF27" s="31">
        <f t="shared" si="19"/>
        <v>10</v>
      </c>
    </row>
    <row r="28" spans="2:32" ht="23.1" customHeight="1" x14ac:dyDescent="0.25">
      <c r="B28" s="45" t="s">
        <v>55</v>
      </c>
      <c r="C28" s="50">
        <v>2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23</v>
      </c>
      <c r="N28" s="50">
        <v>0</v>
      </c>
      <c r="O28" s="15">
        <f t="shared" si="0"/>
        <v>3</v>
      </c>
      <c r="P28" s="15">
        <f t="shared" si="1"/>
        <v>26</v>
      </c>
      <c r="R28" s="36" t="s">
        <v>152</v>
      </c>
      <c r="S28" s="34">
        <f>SUM(C82:C85)</f>
        <v>3</v>
      </c>
      <c r="T28" s="34">
        <f t="shared" ref="T28:AF28" si="20">SUM(D82:D85)</f>
        <v>1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8</v>
      </c>
      <c r="AF28" s="31">
        <f t="shared" si="20"/>
        <v>8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19</v>
      </c>
      <c r="N29" s="50">
        <v>0</v>
      </c>
      <c r="O29" s="15">
        <f t="shared" si="0"/>
        <v>0</v>
      </c>
      <c r="P29" s="15">
        <f t="shared" si="1"/>
        <v>19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1</v>
      </c>
      <c r="AF29" s="31">
        <f t="shared" si="21"/>
        <v>2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2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18</v>
      </c>
      <c r="N30" s="50">
        <v>0</v>
      </c>
      <c r="O30" s="15">
        <f t="shared" si="0"/>
        <v>3</v>
      </c>
      <c r="P30" s="15">
        <f t="shared" si="1"/>
        <v>21</v>
      </c>
      <c r="R30" s="36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2</v>
      </c>
      <c r="AF30" s="31">
        <f t="shared" si="22"/>
        <v>2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2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7</v>
      </c>
      <c r="N31" s="50">
        <v>0</v>
      </c>
      <c r="O31" s="15">
        <f t="shared" si="0"/>
        <v>3</v>
      </c>
      <c r="P31" s="15">
        <f t="shared" si="1"/>
        <v>10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1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2</v>
      </c>
      <c r="AF31" s="31">
        <f t="shared" si="23"/>
        <v>2</v>
      </c>
    </row>
    <row r="32" spans="2:32" ht="23.1" customHeight="1" x14ac:dyDescent="0.25">
      <c r="B32" s="46" t="s">
        <v>59</v>
      </c>
      <c r="C32" s="50">
        <v>2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12</v>
      </c>
      <c r="N32" s="50">
        <v>0</v>
      </c>
      <c r="O32" s="15">
        <f t="shared" si="0"/>
        <v>2</v>
      </c>
      <c r="P32" s="15">
        <f t="shared" si="1"/>
        <v>14</v>
      </c>
      <c r="R32" s="33" t="s">
        <v>156</v>
      </c>
      <c r="S32" s="34">
        <f>SUM(C98:C101)</f>
        <v>6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1</v>
      </c>
      <c r="W32" s="34">
        <f t="shared" si="24"/>
        <v>1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</v>
      </c>
      <c r="AD32" s="34">
        <f t="shared" si="24"/>
        <v>0</v>
      </c>
      <c r="AE32" s="31">
        <f t="shared" si="24"/>
        <v>9</v>
      </c>
      <c r="AF32" s="31">
        <f t="shared" si="24"/>
        <v>10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14</v>
      </c>
      <c r="N33" s="50">
        <v>0</v>
      </c>
      <c r="O33" s="15">
        <f t="shared" si="0"/>
        <v>1</v>
      </c>
      <c r="P33" s="15">
        <f t="shared" si="1"/>
        <v>15</v>
      </c>
      <c r="R33" s="33" t="s">
        <v>157</v>
      </c>
      <c r="S33" s="34">
        <f>SUM(C102:C105)</f>
        <v>5</v>
      </c>
      <c r="T33" s="34">
        <f t="shared" ref="T33:AF33" si="25">SUM(D102:D105)</f>
        <v>1</v>
      </c>
      <c r="U33" s="34">
        <f t="shared" si="25"/>
        <v>3</v>
      </c>
      <c r="V33" s="34">
        <f t="shared" si="25"/>
        <v>7</v>
      </c>
      <c r="W33" s="34">
        <f t="shared" si="25"/>
        <v>1</v>
      </c>
      <c r="X33" s="34">
        <f t="shared" si="25"/>
        <v>2</v>
      </c>
      <c r="Y33" s="34">
        <f t="shared" si="25"/>
        <v>0</v>
      </c>
      <c r="Z33" s="34">
        <f t="shared" si="25"/>
        <v>2</v>
      </c>
      <c r="AA33" s="34">
        <f t="shared" si="25"/>
        <v>1</v>
      </c>
      <c r="AB33" s="34">
        <f t="shared" si="25"/>
        <v>1</v>
      </c>
      <c r="AC33" s="34">
        <f t="shared" si="25"/>
        <v>13</v>
      </c>
      <c r="AD33" s="34">
        <f t="shared" si="25"/>
        <v>0</v>
      </c>
      <c r="AE33" s="31">
        <f t="shared" si="25"/>
        <v>23</v>
      </c>
      <c r="AF33" s="31">
        <f t="shared" si="25"/>
        <v>36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2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21</v>
      </c>
      <c r="N34" s="50">
        <v>0</v>
      </c>
      <c r="O34" s="15">
        <f t="shared" si="0"/>
        <v>3</v>
      </c>
      <c r="P34" s="15">
        <f t="shared" si="1"/>
        <v>24</v>
      </c>
      <c r="R34" s="38" t="s">
        <v>90</v>
      </c>
      <c r="S34" s="39">
        <f t="shared" ref="S34:AF34" si="26">MAX(S10:S12)</f>
        <v>2</v>
      </c>
      <c r="T34" s="39">
        <f t="shared" si="26"/>
        <v>0</v>
      </c>
      <c r="U34" s="39">
        <f t="shared" si="26"/>
        <v>1</v>
      </c>
      <c r="V34" s="39">
        <f t="shared" si="26"/>
        <v>2</v>
      </c>
      <c r="W34" s="39">
        <f t="shared" si="26"/>
        <v>0</v>
      </c>
      <c r="X34" s="39">
        <f t="shared" si="26"/>
        <v>0</v>
      </c>
      <c r="Y34" s="39">
        <f t="shared" si="26"/>
        <v>0</v>
      </c>
      <c r="Z34" s="39">
        <f t="shared" si="26"/>
        <v>0</v>
      </c>
      <c r="AA34" s="39">
        <f t="shared" si="26"/>
        <v>0</v>
      </c>
      <c r="AB34" s="39">
        <f t="shared" si="26"/>
        <v>0</v>
      </c>
      <c r="AC34" s="39">
        <f t="shared" si="26"/>
        <v>53</v>
      </c>
      <c r="AD34" s="39">
        <f t="shared" si="26"/>
        <v>0</v>
      </c>
      <c r="AE34" s="40">
        <f t="shared" si="26"/>
        <v>5</v>
      </c>
      <c r="AF34" s="40">
        <f t="shared" si="26"/>
        <v>55</v>
      </c>
    </row>
    <row r="35" spans="2:32" ht="23.1" customHeight="1" x14ac:dyDescent="0.25">
      <c r="B35" s="46" t="s">
        <v>62</v>
      </c>
      <c r="C35" s="50">
        <v>1</v>
      </c>
      <c r="D35" s="50">
        <v>0</v>
      </c>
      <c r="E35" s="50">
        <v>3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15</v>
      </c>
      <c r="N35" s="50">
        <v>0</v>
      </c>
      <c r="O35" s="15">
        <f t="shared" si="0"/>
        <v>4</v>
      </c>
      <c r="P35" s="15">
        <f t="shared" si="1"/>
        <v>19</v>
      </c>
      <c r="R35" s="38" t="s">
        <v>91</v>
      </c>
      <c r="S35" s="39">
        <f t="shared" ref="S35:AF35" si="27">MAX(S13:S18)</f>
        <v>4</v>
      </c>
      <c r="T35" s="39">
        <f t="shared" si="27"/>
        <v>0</v>
      </c>
      <c r="U35" s="39">
        <f t="shared" si="27"/>
        <v>9</v>
      </c>
      <c r="V35" s="39">
        <f t="shared" si="27"/>
        <v>2</v>
      </c>
      <c r="W35" s="39">
        <f t="shared" si="27"/>
        <v>0</v>
      </c>
      <c r="X35" s="39">
        <f t="shared" si="27"/>
        <v>0</v>
      </c>
      <c r="Y35" s="39">
        <f t="shared" si="27"/>
        <v>0</v>
      </c>
      <c r="Z35" s="39">
        <f t="shared" si="27"/>
        <v>0</v>
      </c>
      <c r="AA35" s="39">
        <f t="shared" si="27"/>
        <v>0</v>
      </c>
      <c r="AB35" s="39">
        <f t="shared" si="27"/>
        <v>0</v>
      </c>
      <c r="AC35" s="39">
        <f t="shared" si="27"/>
        <v>76</v>
      </c>
      <c r="AD35" s="39">
        <f t="shared" si="27"/>
        <v>0</v>
      </c>
      <c r="AE35" s="40">
        <f t="shared" si="27"/>
        <v>14</v>
      </c>
      <c r="AF35" s="40">
        <f t="shared" si="27"/>
        <v>84</v>
      </c>
    </row>
    <row r="36" spans="2:32" ht="23.1" customHeight="1" x14ac:dyDescent="0.25">
      <c r="B36" s="46" t="s">
        <v>63</v>
      </c>
      <c r="C36" s="50">
        <v>3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9</v>
      </c>
      <c r="N36" s="50">
        <v>0</v>
      </c>
      <c r="O36" s="15">
        <f t="shared" si="0"/>
        <v>4</v>
      </c>
      <c r="P36" s="15">
        <f t="shared" si="1"/>
        <v>13</v>
      </c>
      <c r="R36" s="38" t="s">
        <v>92</v>
      </c>
      <c r="S36" s="39">
        <f t="shared" ref="S36:AF36" si="28">MAX(S19:S21)</f>
        <v>5</v>
      </c>
      <c r="T36" s="39">
        <f t="shared" si="28"/>
        <v>0</v>
      </c>
      <c r="U36" s="39">
        <f t="shared" si="28"/>
        <v>5</v>
      </c>
      <c r="V36" s="39">
        <f t="shared" si="28"/>
        <v>2</v>
      </c>
      <c r="W36" s="39">
        <f t="shared" si="28"/>
        <v>1</v>
      </c>
      <c r="X36" s="39">
        <f t="shared" si="28"/>
        <v>0</v>
      </c>
      <c r="Y36" s="39">
        <f t="shared" si="28"/>
        <v>0</v>
      </c>
      <c r="Z36" s="39">
        <f t="shared" si="28"/>
        <v>0</v>
      </c>
      <c r="AA36" s="39">
        <f t="shared" si="28"/>
        <v>0</v>
      </c>
      <c r="AB36" s="39">
        <f t="shared" si="28"/>
        <v>0</v>
      </c>
      <c r="AC36" s="39">
        <f t="shared" si="28"/>
        <v>59</v>
      </c>
      <c r="AD36" s="39">
        <f t="shared" si="28"/>
        <v>0</v>
      </c>
      <c r="AE36" s="40">
        <f t="shared" si="28"/>
        <v>11</v>
      </c>
      <c r="AF36" s="40">
        <f t="shared" si="28"/>
        <v>70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2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10</v>
      </c>
      <c r="N37" s="50">
        <v>0</v>
      </c>
      <c r="O37" s="15">
        <f t="shared" si="0"/>
        <v>3</v>
      </c>
      <c r="P37" s="15">
        <f t="shared" si="1"/>
        <v>13</v>
      </c>
      <c r="R37" s="37" t="s">
        <v>85</v>
      </c>
      <c r="S37" s="35">
        <f t="shared" ref="S37:AF37" si="29">SUM(S10:S12)</f>
        <v>4</v>
      </c>
      <c r="T37" s="16">
        <f t="shared" si="29"/>
        <v>0</v>
      </c>
      <c r="U37" s="16">
        <f t="shared" si="29"/>
        <v>2</v>
      </c>
      <c r="V37" s="16">
        <f t="shared" si="29"/>
        <v>3</v>
      </c>
      <c r="W37" s="16">
        <f t="shared" si="29"/>
        <v>0</v>
      </c>
      <c r="X37" s="16">
        <f t="shared" si="29"/>
        <v>0</v>
      </c>
      <c r="Y37" s="16">
        <f t="shared" si="29"/>
        <v>0</v>
      </c>
      <c r="Z37" s="16">
        <f t="shared" si="29"/>
        <v>0</v>
      </c>
      <c r="AA37" s="16">
        <f t="shared" si="29"/>
        <v>0</v>
      </c>
      <c r="AB37" s="16">
        <f t="shared" si="29"/>
        <v>0</v>
      </c>
      <c r="AC37" s="16">
        <f t="shared" si="29"/>
        <v>140</v>
      </c>
      <c r="AD37" s="16">
        <f t="shared" si="29"/>
        <v>0</v>
      </c>
      <c r="AE37" s="32">
        <f t="shared" si="29"/>
        <v>9</v>
      </c>
      <c r="AF37" s="32">
        <f t="shared" si="29"/>
        <v>149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3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13</v>
      </c>
      <c r="N38" s="50">
        <v>0</v>
      </c>
      <c r="O38" s="15">
        <f t="shared" si="0"/>
        <v>3</v>
      </c>
      <c r="P38" s="15">
        <f t="shared" si="1"/>
        <v>16</v>
      </c>
      <c r="R38" s="28" t="s">
        <v>86</v>
      </c>
      <c r="S38" s="16">
        <f t="shared" ref="S38:AF38" si="30">SUM(S13:S18)</f>
        <v>19</v>
      </c>
      <c r="T38" s="16">
        <f t="shared" si="30"/>
        <v>0</v>
      </c>
      <c r="U38" s="16">
        <f t="shared" si="30"/>
        <v>33</v>
      </c>
      <c r="V38" s="16">
        <f t="shared" si="30"/>
        <v>7</v>
      </c>
      <c r="W38" s="16">
        <f t="shared" si="30"/>
        <v>0</v>
      </c>
      <c r="X38" s="16">
        <f t="shared" si="30"/>
        <v>0</v>
      </c>
      <c r="Y38" s="16">
        <f t="shared" si="30"/>
        <v>0</v>
      </c>
      <c r="Z38" s="16">
        <f t="shared" si="30"/>
        <v>0</v>
      </c>
      <c r="AA38" s="16">
        <f t="shared" si="30"/>
        <v>0</v>
      </c>
      <c r="AB38" s="16">
        <f t="shared" si="30"/>
        <v>0</v>
      </c>
      <c r="AC38" s="16">
        <f t="shared" si="30"/>
        <v>345</v>
      </c>
      <c r="AD38" s="16">
        <f t="shared" si="30"/>
        <v>0</v>
      </c>
      <c r="AE38" s="32">
        <f t="shared" si="30"/>
        <v>59</v>
      </c>
      <c r="AF38" s="32">
        <f t="shared" si="30"/>
        <v>404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4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14</v>
      </c>
      <c r="N39" s="50">
        <v>0</v>
      </c>
      <c r="O39" s="15">
        <f t="shared" si="0"/>
        <v>4</v>
      </c>
      <c r="P39" s="15">
        <f t="shared" si="1"/>
        <v>18</v>
      </c>
      <c r="R39" s="29" t="s">
        <v>87</v>
      </c>
      <c r="S39" s="16">
        <f t="shared" ref="S39:AF39" si="31">SUM(S19:S21)</f>
        <v>11</v>
      </c>
      <c r="T39" s="16">
        <f t="shared" si="31"/>
        <v>0</v>
      </c>
      <c r="U39" s="16">
        <f t="shared" si="31"/>
        <v>14</v>
      </c>
      <c r="V39" s="16">
        <f t="shared" si="31"/>
        <v>5</v>
      </c>
      <c r="W39" s="16">
        <f t="shared" si="31"/>
        <v>1</v>
      </c>
      <c r="X39" s="16">
        <f t="shared" si="31"/>
        <v>0</v>
      </c>
      <c r="Y39" s="16">
        <f t="shared" si="31"/>
        <v>0</v>
      </c>
      <c r="Z39" s="16">
        <f t="shared" si="31"/>
        <v>0</v>
      </c>
      <c r="AA39" s="16">
        <f t="shared" si="31"/>
        <v>0</v>
      </c>
      <c r="AB39" s="16">
        <f t="shared" si="31"/>
        <v>0</v>
      </c>
      <c r="AC39" s="16">
        <f t="shared" si="31"/>
        <v>171</v>
      </c>
      <c r="AD39" s="16">
        <f t="shared" si="31"/>
        <v>0</v>
      </c>
      <c r="AE39" s="32">
        <f t="shared" si="31"/>
        <v>31</v>
      </c>
      <c r="AF39" s="32">
        <f t="shared" si="31"/>
        <v>202</v>
      </c>
    </row>
    <row r="40" spans="2:32" ht="23.1" customHeight="1" x14ac:dyDescent="0.25">
      <c r="B40" s="46" t="s">
        <v>67</v>
      </c>
      <c r="C40" s="50">
        <v>1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11</v>
      </c>
      <c r="N40" s="50">
        <v>0</v>
      </c>
      <c r="O40" s="15">
        <f t="shared" si="0"/>
        <v>2</v>
      </c>
      <c r="P40" s="15">
        <f t="shared" si="1"/>
        <v>13</v>
      </c>
      <c r="R40" s="5" t="s">
        <v>17</v>
      </c>
      <c r="S40" s="16">
        <f t="shared" ref="S40:AF40" si="32">SUM(S10:S21)</f>
        <v>34</v>
      </c>
      <c r="T40" s="16">
        <f t="shared" si="32"/>
        <v>0</v>
      </c>
      <c r="U40" s="16">
        <f t="shared" si="32"/>
        <v>49</v>
      </c>
      <c r="V40" s="16">
        <f t="shared" si="32"/>
        <v>15</v>
      </c>
      <c r="W40" s="16">
        <f t="shared" si="32"/>
        <v>1</v>
      </c>
      <c r="X40" s="16">
        <f t="shared" si="32"/>
        <v>0</v>
      </c>
      <c r="Y40" s="16">
        <f t="shared" si="32"/>
        <v>0</v>
      </c>
      <c r="Z40" s="16">
        <f t="shared" si="32"/>
        <v>0</v>
      </c>
      <c r="AA40" s="16">
        <f t="shared" si="32"/>
        <v>0</v>
      </c>
      <c r="AB40" s="16">
        <f t="shared" si="32"/>
        <v>0</v>
      </c>
      <c r="AC40" s="16">
        <f t="shared" si="32"/>
        <v>656</v>
      </c>
      <c r="AD40" s="16">
        <f t="shared" si="32"/>
        <v>0</v>
      </c>
      <c r="AE40" s="32">
        <f t="shared" si="32"/>
        <v>99</v>
      </c>
      <c r="AF40" s="32">
        <f t="shared" si="32"/>
        <v>755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14</v>
      </c>
      <c r="N41" s="50">
        <v>0</v>
      </c>
      <c r="O41" s="15">
        <f t="shared" si="0"/>
        <v>2</v>
      </c>
      <c r="P41" s="15">
        <f t="shared" si="1"/>
        <v>16</v>
      </c>
      <c r="R41" s="5" t="s">
        <v>159</v>
      </c>
      <c r="S41" s="16">
        <f>SUM(S10:S33)</f>
        <v>80</v>
      </c>
      <c r="T41" s="16">
        <f t="shared" ref="T41:AF41" si="33">SUM(T10:T33)</f>
        <v>9</v>
      </c>
      <c r="U41" s="16">
        <f t="shared" si="33"/>
        <v>79</v>
      </c>
      <c r="V41" s="16">
        <f t="shared" si="33"/>
        <v>29</v>
      </c>
      <c r="W41" s="16">
        <f t="shared" si="33"/>
        <v>3</v>
      </c>
      <c r="X41" s="16">
        <f t="shared" si="33"/>
        <v>4</v>
      </c>
      <c r="Y41" s="16">
        <f t="shared" si="33"/>
        <v>22</v>
      </c>
      <c r="Z41" s="16">
        <f t="shared" si="33"/>
        <v>3</v>
      </c>
      <c r="AA41" s="16">
        <f t="shared" si="33"/>
        <v>1</v>
      </c>
      <c r="AB41" s="16">
        <f t="shared" si="33"/>
        <v>1</v>
      </c>
      <c r="AC41" s="16">
        <f t="shared" si="33"/>
        <v>782</v>
      </c>
      <c r="AD41" s="16">
        <f t="shared" si="33"/>
        <v>0</v>
      </c>
      <c r="AE41" s="32">
        <f t="shared" si="33"/>
        <v>231</v>
      </c>
      <c r="AF41" s="32">
        <f t="shared" si="33"/>
        <v>1013</v>
      </c>
    </row>
    <row r="42" spans="2:32" ht="23.1" customHeight="1" x14ac:dyDescent="0.25">
      <c r="B42" s="46" t="s">
        <v>69</v>
      </c>
      <c r="C42" s="50">
        <v>2</v>
      </c>
      <c r="D42" s="50">
        <v>0</v>
      </c>
      <c r="E42" s="50">
        <v>2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14</v>
      </c>
      <c r="N42" s="50">
        <v>0</v>
      </c>
      <c r="O42" s="15">
        <f t="shared" si="0"/>
        <v>4</v>
      </c>
      <c r="P42" s="15">
        <f t="shared" si="1"/>
        <v>18</v>
      </c>
      <c r="R42" s="5" t="s">
        <v>160</v>
      </c>
      <c r="S42" s="48">
        <f>S41/S40</f>
        <v>2.3529411764705883</v>
      </c>
      <c r="T42" s="48" t="e">
        <f t="shared" ref="T42:AF42" si="34">T41/T40</f>
        <v>#DIV/0!</v>
      </c>
      <c r="U42" s="48">
        <f t="shared" si="34"/>
        <v>1.6122448979591837</v>
      </c>
      <c r="V42" s="48">
        <f t="shared" si="34"/>
        <v>1.9333333333333333</v>
      </c>
      <c r="W42" s="48">
        <f t="shared" si="34"/>
        <v>3</v>
      </c>
      <c r="X42" s="48" t="e">
        <f t="shared" si="34"/>
        <v>#DIV/0!</v>
      </c>
      <c r="Y42" s="48" t="e">
        <f t="shared" si="34"/>
        <v>#DIV/0!</v>
      </c>
      <c r="Z42" s="48" t="e">
        <f t="shared" si="34"/>
        <v>#DIV/0!</v>
      </c>
      <c r="AA42" s="48" t="e">
        <f t="shared" si="34"/>
        <v>#DIV/0!</v>
      </c>
      <c r="AB42" s="48" t="e">
        <f t="shared" si="34"/>
        <v>#DIV/0!</v>
      </c>
      <c r="AC42" s="48">
        <f t="shared" si="34"/>
        <v>1.1920731707317074</v>
      </c>
      <c r="AD42" s="48" t="e">
        <f t="shared" si="34"/>
        <v>#DIV/0!</v>
      </c>
      <c r="AE42" s="48">
        <f t="shared" si="34"/>
        <v>2.3333333333333335</v>
      </c>
      <c r="AF42" s="48">
        <f t="shared" si="34"/>
        <v>1.3417218543046359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7</v>
      </c>
      <c r="N43" s="50">
        <v>0</v>
      </c>
      <c r="O43" s="15">
        <f t="shared" si="0"/>
        <v>1</v>
      </c>
      <c r="P43" s="15">
        <f t="shared" si="1"/>
        <v>8</v>
      </c>
    </row>
    <row r="44" spans="2:32" ht="23.1" customHeight="1" x14ac:dyDescent="0.25">
      <c r="B44" s="47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14</v>
      </c>
      <c r="N44" s="50">
        <v>0</v>
      </c>
      <c r="O44" s="15">
        <f t="shared" si="0"/>
        <v>1</v>
      </c>
      <c r="P44" s="15">
        <f t="shared" si="1"/>
        <v>15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3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14</v>
      </c>
      <c r="N45" s="50">
        <v>0</v>
      </c>
      <c r="O45" s="15">
        <f t="shared" si="0"/>
        <v>3</v>
      </c>
      <c r="P45" s="15">
        <f t="shared" si="1"/>
        <v>17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10</v>
      </c>
      <c r="N46" s="50">
        <v>0</v>
      </c>
      <c r="O46" s="15">
        <f t="shared" si="0"/>
        <v>0</v>
      </c>
      <c r="P46" s="15">
        <f t="shared" si="1"/>
        <v>10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13</v>
      </c>
      <c r="N47" s="50">
        <v>0</v>
      </c>
      <c r="O47" s="15">
        <f t="shared" si="0"/>
        <v>2</v>
      </c>
      <c r="P47" s="15">
        <f t="shared" si="1"/>
        <v>15</v>
      </c>
      <c r="R47" s="8"/>
      <c r="T47"/>
    </row>
    <row r="48" spans="2:32" ht="23.1" customHeight="1" x14ac:dyDescent="0.25">
      <c r="B48" s="46" t="s">
        <v>75</v>
      </c>
      <c r="C48" s="50">
        <v>2</v>
      </c>
      <c r="D48" s="50">
        <v>0</v>
      </c>
      <c r="E48" s="50">
        <v>2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19</v>
      </c>
      <c r="N48" s="50">
        <v>0</v>
      </c>
      <c r="O48" s="15">
        <f t="shared" si="0"/>
        <v>5</v>
      </c>
      <c r="P48" s="15">
        <f t="shared" si="1"/>
        <v>24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0</v>
      </c>
      <c r="E49" s="50">
        <v>1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14</v>
      </c>
      <c r="N49" s="50">
        <v>0</v>
      </c>
      <c r="O49" s="15">
        <f t="shared" si="0"/>
        <v>4</v>
      </c>
      <c r="P49" s="15">
        <f t="shared" si="1"/>
        <v>18</v>
      </c>
      <c r="R49" s="8"/>
      <c r="T49"/>
    </row>
    <row r="50" spans="2:20" ht="23.1" customHeight="1" x14ac:dyDescent="0.25">
      <c r="B50" s="46" t="s">
        <v>77</v>
      </c>
      <c r="C50" s="50">
        <v>2</v>
      </c>
      <c r="D50" s="50">
        <v>0</v>
      </c>
      <c r="E50" s="50">
        <v>3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10</v>
      </c>
      <c r="N50" s="50">
        <v>0</v>
      </c>
      <c r="O50" s="15">
        <f t="shared" si="0"/>
        <v>5</v>
      </c>
      <c r="P50" s="15">
        <f t="shared" si="1"/>
        <v>15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2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19</v>
      </c>
      <c r="N51" s="50">
        <v>0</v>
      </c>
      <c r="O51" s="15">
        <f t="shared" si="0"/>
        <v>3</v>
      </c>
      <c r="P51" s="15">
        <f t="shared" si="1"/>
        <v>22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18</v>
      </c>
      <c r="N52" s="50">
        <v>0</v>
      </c>
      <c r="O52" s="15">
        <f t="shared" si="0"/>
        <v>2</v>
      </c>
      <c r="P52" s="15">
        <f t="shared" si="1"/>
        <v>20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12</v>
      </c>
      <c r="N53" s="50">
        <v>0</v>
      </c>
      <c r="O53" s="15">
        <f t="shared" si="0"/>
        <v>1</v>
      </c>
      <c r="P53" s="15">
        <f t="shared" si="1"/>
        <v>13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13</v>
      </c>
      <c r="N54" s="50">
        <v>0</v>
      </c>
      <c r="O54" s="15">
        <f t="shared" si="0"/>
        <v>0</v>
      </c>
      <c r="P54" s="15">
        <f t="shared" si="1"/>
        <v>13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3</v>
      </c>
      <c r="F55" s="50">
        <v>1</v>
      </c>
      <c r="G55" s="50">
        <v>1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17</v>
      </c>
      <c r="N55" s="50">
        <v>0</v>
      </c>
      <c r="O55" s="15">
        <f t="shared" si="0"/>
        <v>5</v>
      </c>
      <c r="P55" s="15">
        <f t="shared" si="1"/>
        <v>22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14</v>
      </c>
      <c r="N56" s="50">
        <v>0</v>
      </c>
      <c r="O56" s="15">
        <f t="shared" si="0"/>
        <v>3</v>
      </c>
      <c r="P56" s="15">
        <f t="shared" si="1"/>
        <v>17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12</v>
      </c>
      <c r="N57" s="50">
        <v>0</v>
      </c>
      <c r="O57" s="15">
        <f t="shared" si="0"/>
        <v>1</v>
      </c>
      <c r="P57" s="15">
        <f t="shared" si="1"/>
        <v>13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2</v>
      </c>
      <c r="F58" s="50">
        <v>1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13</v>
      </c>
      <c r="N58" s="50">
        <v>0</v>
      </c>
      <c r="O58" s="15">
        <f t="shared" si="0"/>
        <v>4</v>
      </c>
      <c r="P58" s="15">
        <f t="shared" si="1"/>
        <v>17</v>
      </c>
      <c r="R58" s="8"/>
      <c r="T58"/>
    </row>
    <row r="59" spans="2:20" ht="23.1" customHeight="1" x14ac:dyDescent="0.25">
      <c r="B59" s="45" t="s">
        <v>100</v>
      </c>
      <c r="C59" s="50">
        <v>2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16</v>
      </c>
      <c r="N59" s="50">
        <v>0</v>
      </c>
      <c r="O59" s="15">
        <f t="shared" si="0"/>
        <v>3</v>
      </c>
      <c r="P59" s="15">
        <f t="shared" si="1"/>
        <v>19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1</v>
      </c>
      <c r="E60" s="50">
        <v>0</v>
      </c>
      <c r="F60" s="50">
        <v>0</v>
      </c>
      <c r="G60" s="50">
        <v>0</v>
      </c>
      <c r="H60" s="50">
        <v>0</v>
      </c>
      <c r="I60" s="50">
        <v>2</v>
      </c>
      <c r="J60" s="50">
        <v>0</v>
      </c>
      <c r="K60" s="50">
        <v>0</v>
      </c>
      <c r="L60" s="50">
        <v>0</v>
      </c>
      <c r="M60" s="50">
        <v>12</v>
      </c>
      <c r="N60" s="50">
        <v>0</v>
      </c>
      <c r="O60" s="15">
        <f t="shared" si="0"/>
        <v>4</v>
      </c>
      <c r="P60" s="15">
        <f t="shared" si="1"/>
        <v>16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1</v>
      </c>
      <c r="F61" s="50">
        <v>1</v>
      </c>
      <c r="G61" s="50">
        <v>0</v>
      </c>
      <c r="H61" s="50">
        <v>1</v>
      </c>
      <c r="I61" s="50">
        <v>3</v>
      </c>
      <c r="J61" s="50">
        <v>0</v>
      </c>
      <c r="K61" s="50">
        <v>0</v>
      </c>
      <c r="L61" s="50">
        <v>0</v>
      </c>
      <c r="M61" s="50">
        <v>10</v>
      </c>
      <c r="N61" s="50">
        <v>0</v>
      </c>
      <c r="O61" s="15">
        <f t="shared" si="0"/>
        <v>8</v>
      </c>
      <c r="P61" s="15">
        <f t="shared" si="1"/>
        <v>18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2</v>
      </c>
      <c r="F62" s="50">
        <v>0</v>
      </c>
      <c r="G62" s="50">
        <v>0</v>
      </c>
      <c r="H62" s="50">
        <v>0</v>
      </c>
      <c r="I62" s="50">
        <v>2</v>
      </c>
      <c r="J62" s="50">
        <v>0</v>
      </c>
      <c r="K62" s="50">
        <v>0</v>
      </c>
      <c r="L62" s="50">
        <v>0</v>
      </c>
      <c r="M62" s="50">
        <v>13</v>
      </c>
      <c r="N62" s="50">
        <v>0</v>
      </c>
      <c r="O62" s="15">
        <f t="shared" si="0"/>
        <v>5</v>
      </c>
      <c r="P62" s="15">
        <f t="shared" si="1"/>
        <v>18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1</v>
      </c>
      <c r="E63" s="50">
        <v>2</v>
      </c>
      <c r="F63" s="50">
        <v>1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9</v>
      </c>
      <c r="N63" s="50">
        <v>0</v>
      </c>
      <c r="O63" s="15">
        <f t="shared" si="0"/>
        <v>6</v>
      </c>
      <c r="P63" s="15">
        <f t="shared" si="1"/>
        <v>15</v>
      </c>
      <c r="R63" s="8"/>
      <c r="T63"/>
    </row>
    <row r="64" spans="2:20" ht="23.1" customHeight="1" x14ac:dyDescent="0.25">
      <c r="B64" s="45" t="s">
        <v>109</v>
      </c>
      <c r="C64" s="50">
        <v>3</v>
      </c>
      <c r="D64" s="50">
        <v>0</v>
      </c>
      <c r="E64" s="50">
        <v>1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7</v>
      </c>
      <c r="N64" s="50">
        <v>0</v>
      </c>
      <c r="O64" s="15">
        <f t="shared" si="0"/>
        <v>4</v>
      </c>
      <c r="P64" s="15">
        <f t="shared" si="1"/>
        <v>11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5</v>
      </c>
      <c r="N65" s="50">
        <v>0</v>
      </c>
      <c r="O65" s="15">
        <f t="shared" si="0"/>
        <v>2</v>
      </c>
      <c r="P65" s="15">
        <f t="shared" si="1"/>
        <v>7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1</v>
      </c>
      <c r="E66" s="50">
        <v>1</v>
      </c>
      <c r="F66" s="50">
        <v>0</v>
      </c>
      <c r="G66" s="50">
        <v>0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6</v>
      </c>
      <c r="N66" s="50">
        <v>0</v>
      </c>
      <c r="O66" s="15">
        <f t="shared" si="0"/>
        <v>5</v>
      </c>
      <c r="P66" s="15">
        <f t="shared" si="1"/>
        <v>11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1</v>
      </c>
      <c r="E67" s="50">
        <v>3</v>
      </c>
      <c r="F67" s="50">
        <v>0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3</v>
      </c>
      <c r="N67" s="50">
        <v>0</v>
      </c>
      <c r="O67" s="15">
        <f t="shared" si="0"/>
        <v>8</v>
      </c>
      <c r="P67" s="15">
        <f t="shared" si="1"/>
        <v>11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0</v>
      </c>
      <c r="E68" s="50">
        <v>2</v>
      </c>
      <c r="F68" s="50">
        <v>1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4</v>
      </c>
      <c r="N68" s="50">
        <v>0</v>
      </c>
      <c r="O68" s="15">
        <f t="shared" si="0"/>
        <v>4</v>
      </c>
      <c r="P68" s="15">
        <f t="shared" si="1"/>
        <v>8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0</v>
      </c>
      <c r="E69" s="50">
        <v>1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2</v>
      </c>
      <c r="N69" s="50">
        <v>0</v>
      </c>
      <c r="O69" s="15">
        <f t="shared" si="0"/>
        <v>3</v>
      </c>
      <c r="P69" s="15">
        <f t="shared" si="1"/>
        <v>5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3</v>
      </c>
      <c r="J70" s="50">
        <v>1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5</v>
      </c>
      <c r="P70" s="15">
        <f t="shared" si="1"/>
        <v>5</v>
      </c>
      <c r="R70" s="8"/>
      <c r="T70"/>
    </row>
    <row r="71" spans="2:20" ht="23.1" customHeight="1" x14ac:dyDescent="0.25">
      <c r="B71" s="45" t="s">
        <v>111</v>
      </c>
      <c r="C71" s="50">
        <v>2</v>
      </c>
      <c r="D71" s="50">
        <v>0</v>
      </c>
      <c r="E71" s="50">
        <v>1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1</v>
      </c>
      <c r="N71" s="50">
        <v>0</v>
      </c>
      <c r="O71" s="15">
        <f t="shared" si="0"/>
        <v>3</v>
      </c>
      <c r="P71" s="15">
        <f t="shared" si="1"/>
        <v>4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2</v>
      </c>
      <c r="J72" s="50">
        <v>0</v>
      </c>
      <c r="K72" s="50">
        <v>0</v>
      </c>
      <c r="L72" s="50">
        <v>0</v>
      </c>
      <c r="M72" s="50">
        <v>1</v>
      </c>
      <c r="N72" s="50">
        <v>0</v>
      </c>
      <c r="O72" s="15">
        <f t="shared" si="0"/>
        <v>4</v>
      </c>
      <c r="P72" s="15">
        <f t="shared" si="1"/>
        <v>5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2</v>
      </c>
      <c r="F73" s="50">
        <v>1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</v>
      </c>
      <c r="N73" s="50">
        <v>0</v>
      </c>
      <c r="O73" s="15">
        <f t="shared" si="0"/>
        <v>3</v>
      </c>
      <c r="P73" s="15">
        <f t="shared" si="1"/>
        <v>5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2</v>
      </c>
      <c r="N74" s="50">
        <v>0</v>
      </c>
      <c r="O74" s="15">
        <f t="shared" ref="O74:O105" si="35">SUM(C74:L74,N74)</f>
        <v>2</v>
      </c>
      <c r="P74" s="15">
        <f t="shared" ref="P74:P105" si="36">SUM(C74:N74)</f>
        <v>4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1</v>
      </c>
      <c r="P75" s="15">
        <f t="shared" si="36"/>
        <v>1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1</v>
      </c>
      <c r="F76" s="50">
        <v>0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3</v>
      </c>
      <c r="P76" s="15">
        <f t="shared" si="36"/>
        <v>4</v>
      </c>
      <c r="R76" s="8"/>
      <c r="T76"/>
    </row>
    <row r="77" spans="2:20" ht="23.1" customHeight="1" x14ac:dyDescent="0.25">
      <c r="B77" s="45" t="s">
        <v>117</v>
      </c>
      <c r="C77" s="50">
        <v>2</v>
      </c>
      <c r="D77" s="50">
        <v>1</v>
      </c>
      <c r="E77" s="50">
        <v>1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4</v>
      </c>
      <c r="P77" s="15">
        <f t="shared" si="36"/>
        <v>4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2</v>
      </c>
      <c r="N78" s="50">
        <v>0</v>
      </c>
      <c r="O78" s="15">
        <f t="shared" si="35"/>
        <v>2</v>
      </c>
      <c r="P78" s="15">
        <f t="shared" si="36"/>
        <v>4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0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1</v>
      </c>
      <c r="F81" s="50">
        <v>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15">
        <f t="shared" si="35"/>
        <v>2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1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3</v>
      </c>
      <c r="P82" s="15">
        <f t="shared" si="36"/>
        <v>3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1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2</v>
      </c>
      <c r="P84" s="15">
        <f t="shared" si="36"/>
        <v>2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1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0</v>
      </c>
      <c r="P86" s="15">
        <f t="shared" si="36"/>
        <v>1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1</v>
      </c>
      <c r="F94" s="50">
        <v>0</v>
      </c>
      <c r="G94" s="50">
        <v>0</v>
      </c>
      <c r="H94" s="50">
        <v>1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2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0</v>
      </c>
      <c r="G100" s="50">
        <v>1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2</v>
      </c>
      <c r="P100" s="15">
        <f t="shared" si="36"/>
        <v>3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1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5</v>
      </c>
      <c r="P101" s="15">
        <f t="shared" si="36"/>
        <v>5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1</v>
      </c>
      <c r="E102" s="50">
        <v>1</v>
      </c>
      <c r="F102" s="50">
        <v>1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2</v>
      </c>
      <c r="N102" s="50">
        <v>0</v>
      </c>
      <c r="O102" s="15">
        <f t="shared" si="35"/>
        <v>3</v>
      </c>
      <c r="P102" s="15">
        <f t="shared" si="36"/>
        <v>5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2</v>
      </c>
      <c r="G103" s="50">
        <v>0</v>
      </c>
      <c r="H103" s="50">
        <v>0</v>
      </c>
      <c r="I103" s="50">
        <v>0</v>
      </c>
      <c r="J103" s="50">
        <v>1</v>
      </c>
      <c r="K103" s="50">
        <v>0</v>
      </c>
      <c r="L103" s="50">
        <v>0</v>
      </c>
      <c r="M103" s="50">
        <v>3</v>
      </c>
      <c r="N103" s="50">
        <v>0</v>
      </c>
      <c r="O103" s="15">
        <f t="shared" si="35"/>
        <v>3</v>
      </c>
      <c r="P103" s="15">
        <f t="shared" si="36"/>
        <v>6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2</v>
      </c>
      <c r="F104" s="50">
        <v>2</v>
      </c>
      <c r="G104" s="50">
        <v>1</v>
      </c>
      <c r="H104" s="50">
        <v>1</v>
      </c>
      <c r="I104" s="50">
        <v>0</v>
      </c>
      <c r="J104" s="50">
        <v>0</v>
      </c>
      <c r="K104" s="50">
        <v>1</v>
      </c>
      <c r="L104" s="50">
        <v>1</v>
      </c>
      <c r="M104" s="50">
        <v>3</v>
      </c>
      <c r="N104" s="50">
        <v>0</v>
      </c>
      <c r="O104" s="15">
        <f t="shared" si="35"/>
        <v>10</v>
      </c>
      <c r="P104" s="15">
        <f t="shared" si="36"/>
        <v>13</v>
      </c>
      <c r="R104" s="8"/>
      <c r="T104"/>
    </row>
    <row r="105" spans="2:20" ht="23.1" customHeight="1" x14ac:dyDescent="0.25">
      <c r="B105" s="45" t="s">
        <v>145</v>
      </c>
      <c r="C105" s="50">
        <v>3</v>
      </c>
      <c r="D105" s="50">
        <v>0</v>
      </c>
      <c r="E105" s="50">
        <v>0</v>
      </c>
      <c r="F105" s="50">
        <v>2</v>
      </c>
      <c r="G105" s="50">
        <v>0</v>
      </c>
      <c r="H105" s="50">
        <v>1</v>
      </c>
      <c r="I105" s="50">
        <v>0</v>
      </c>
      <c r="J105" s="50">
        <v>1</v>
      </c>
      <c r="K105" s="50">
        <v>0</v>
      </c>
      <c r="L105" s="50">
        <v>0</v>
      </c>
      <c r="M105" s="50">
        <v>5</v>
      </c>
      <c r="N105" s="50">
        <v>0</v>
      </c>
      <c r="O105" s="15">
        <f t="shared" si="35"/>
        <v>7</v>
      </c>
      <c r="P105" s="15">
        <f t="shared" si="36"/>
        <v>12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80</v>
      </c>
      <c r="D106" s="16">
        <f t="shared" ref="D106:P106" si="37">SUM(D10:D105)</f>
        <v>9</v>
      </c>
      <c r="E106" s="16">
        <f t="shared" si="37"/>
        <v>79</v>
      </c>
      <c r="F106" s="16">
        <f t="shared" si="37"/>
        <v>29</v>
      </c>
      <c r="G106" s="16">
        <f t="shared" si="37"/>
        <v>3</v>
      </c>
      <c r="H106" s="16">
        <f t="shared" si="37"/>
        <v>4</v>
      </c>
      <c r="I106" s="16">
        <f t="shared" si="37"/>
        <v>22</v>
      </c>
      <c r="J106" s="16">
        <f t="shared" si="37"/>
        <v>3</v>
      </c>
      <c r="K106" s="16">
        <f t="shared" si="37"/>
        <v>1</v>
      </c>
      <c r="L106" s="16">
        <f t="shared" si="37"/>
        <v>1</v>
      </c>
      <c r="M106" s="16">
        <f t="shared" si="37"/>
        <v>782</v>
      </c>
      <c r="N106" s="16">
        <f t="shared" si="37"/>
        <v>0</v>
      </c>
      <c r="O106" s="16">
        <f t="shared" si="37"/>
        <v>231</v>
      </c>
      <c r="P106" s="16">
        <f t="shared" si="37"/>
        <v>1013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7.8973346495557747E-2</v>
      </c>
      <c r="D107" s="43">
        <f t="shared" si="38"/>
        <v>8.8845014807502464E-3</v>
      </c>
      <c r="E107" s="43">
        <f t="shared" si="38"/>
        <v>7.7986179664363275E-2</v>
      </c>
      <c r="F107" s="43">
        <f t="shared" si="38"/>
        <v>2.8627838104639685E-2</v>
      </c>
      <c r="G107" s="43">
        <f t="shared" si="38"/>
        <v>2.9615004935834156E-3</v>
      </c>
      <c r="H107" s="43">
        <f t="shared" si="38"/>
        <v>3.9486673247778872E-3</v>
      </c>
      <c r="I107" s="43">
        <f t="shared" si="38"/>
        <v>2.1717670286278381E-2</v>
      </c>
      <c r="J107" s="43">
        <f t="shared" si="38"/>
        <v>2.9615004935834156E-3</v>
      </c>
      <c r="K107" s="43">
        <f t="shared" si="38"/>
        <v>9.871668311944718E-4</v>
      </c>
      <c r="L107" s="43">
        <f t="shared" si="38"/>
        <v>9.871668311944718E-4</v>
      </c>
      <c r="M107" s="43">
        <f t="shared" si="38"/>
        <v>0.77196446199407698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0.34632034632034631</v>
      </c>
      <c r="D108" s="44">
        <f t="shared" ref="D108:N108" si="39">D106/$O$106</f>
        <v>3.896103896103896E-2</v>
      </c>
      <c r="E108" s="44">
        <f t="shared" si="39"/>
        <v>0.34199134199134201</v>
      </c>
      <c r="F108" s="44">
        <f t="shared" si="39"/>
        <v>0.12554112554112554</v>
      </c>
      <c r="G108" s="44">
        <f t="shared" si="39"/>
        <v>1.2987012987012988E-2</v>
      </c>
      <c r="H108" s="44">
        <f t="shared" si="39"/>
        <v>1.7316017316017316E-2</v>
      </c>
      <c r="I108" s="44">
        <f t="shared" si="39"/>
        <v>9.5238095238095233E-2</v>
      </c>
      <c r="J108" s="44">
        <f t="shared" si="39"/>
        <v>1.2987012987012988E-2</v>
      </c>
      <c r="K108" s="44">
        <f t="shared" si="39"/>
        <v>4.329004329004329E-3</v>
      </c>
      <c r="L108" s="44">
        <f t="shared" si="39"/>
        <v>4.329004329004329E-3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topLeftCell="H52" zoomScale="60" workbookViewId="0">
      <selection activeCell="K49" sqref="K4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'11.8 KAMPALA-BUSUNJU'!C3:G3</f>
        <v>MCC-C3-STN-HOIMA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64" t="str">
        <f>'16.8 KAMPALA-BUSUNJU-24HRS'!G5:H5</f>
        <v>WAKISO</v>
      </c>
      <c r="H5" s="65"/>
      <c r="I5" s="14"/>
      <c r="J5" s="2" t="s">
        <v>5</v>
      </c>
      <c r="K5" s="64">
        <f>'16.8 KAMPALA-BUSUNJU-24HRS'!K5:L5</f>
        <v>0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'11.8 KAMPALA-BUSUNJU'!D6:E6</f>
        <v>KAMPALA</v>
      </c>
      <c r="E6" s="65"/>
      <c r="F6" s="2" t="s">
        <v>2</v>
      </c>
      <c r="G6" s="64" t="str">
        <f>'11.8 KAMPALA-BUSUNJU'!G6:H6</f>
        <v>BUSUNJU</v>
      </c>
      <c r="H6" s="65"/>
      <c r="J6" s="2" t="s">
        <v>21</v>
      </c>
      <c r="K6" s="64">
        <f>'16.8 KAMPALA-BUSUNJU-24HRS'!K6:L6</f>
        <v>0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2</v>
      </c>
      <c r="F10" s="50">
        <v>1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10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14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5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41</v>
      </c>
      <c r="AD10" s="17">
        <f t="shared" si="2"/>
        <v>0</v>
      </c>
      <c r="AE10" s="31">
        <f t="shared" si="2"/>
        <v>9</v>
      </c>
      <c r="AF10" s="31">
        <f t="shared" si="2"/>
        <v>50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9</v>
      </c>
      <c r="N11" s="50">
        <v>0</v>
      </c>
      <c r="O11" s="15">
        <f t="shared" si="0"/>
        <v>2</v>
      </c>
      <c r="P11" s="15">
        <f t="shared" si="1"/>
        <v>11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5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39</v>
      </c>
      <c r="AD11" s="17">
        <f t="shared" si="3"/>
        <v>0</v>
      </c>
      <c r="AE11" s="31">
        <f t="shared" si="3"/>
        <v>12</v>
      </c>
      <c r="AF11" s="31">
        <f t="shared" si="3"/>
        <v>51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2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11</v>
      </c>
      <c r="N12" s="50">
        <v>0</v>
      </c>
      <c r="O12" s="15">
        <f t="shared" si="0"/>
        <v>2</v>
      </c>
      <c r="P12" s="15">
        <f t="shared" si="1"/>
        <v>13</v>
      </c>
      <c r="R12" s="1" t="s">
        <v>8</v>
      </c>
      <c r="S12" s="17">
        <f t="shared" ref="S12:AF12" si="4">SUM(C18:C21)</f>
        <v>6</v>
      </c>
      <c r="T12" s="17">
        <f t="shared" si="4"/>
        <v>0</v>
      </c>
      <c r="U12" s="17">
        <f t="shared" si="4"/>
        <v>4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56</v>
      </c>
      <c r="AD12" s="17">
        <f t="shared" si="4"/>
        <v>0</v>
      </c>
      <c r="AE12" s="31">
        <f t="shared" si="4"/>
        <v>13</v>
      </c>
      <c r="AF12" s="31">
        <f t="shared" si="4"/>
        <v>69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11</v>
      </c>
      <c r="N13" s="50">
        <v>0</v>
      </c>
      <c r="O13" s="15">
        <f t="shared" si="0"/>
        <v>1</v>
      </c>
      <c r="P13" s="15">
        <f t="shared" si="1"/>
        <v>12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6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47</v>
      </c>
      <c r="AD13" s="17">
        <f t="shared" si="5"/>
        <v>0</v>
      </c>
      <c r="AE13" s="31">
        <f t="shared" si="5"/>
        <v>17</v>
      </c>
      <c r="AF13" s="31">
        <f t="shared" si="5"/>
        <v>64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12</v>
      </c>
      <c r="N14" s="50">
        <v>0</v>
      </c>
      <c r="O14" s="15">
        <f t="shared" si="0"/>
        <v>3</v>
      </c>
      <c r="P14" s="15">
        <f t="shared" si="1"/>
        <v>15</v>
      </c>
      <c r="R14" s="1" t="s">
        <v>10</v>
      </c>
      <c r="S14" s="17">
        <f t="shared" ref="S14:AF14" si="6">SUM(C26:C29)</f>
        <v>7</v>
      </c>
      <c r="T14" s="17">
        <f t="shared" si="6"/>
        <v>0</v>
      </c>
      <c r="U14" s="17">
        <f t="shared" si="6"/>
        <v>3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58</v>
      </c>
      <c r="AD14" s="17">
        <f t="shared" si="6"/>
        <v>0</v>
      </c>
      <c r="AE14" s="31">
        <f t="shared" si="6"/>
        <v>19</v>
      </c>
      <c r="AF14" s="31">
        <f t="shared" si="6"/>
        <v>77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2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9</v>
      </c>
      <c r="N15" s="50">
        <v>0</v>
      </c>
      <c r="O15" s="15">
        <f t="shared" si="0"/>
        <v>3</v>
      </c>
      <c r="P15" s="15">
        <f t="shared" si="1"/>
        <v>12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7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9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63</v>
      </c>
      <c r="AD15" s="17">
        <f t="shared" si="7"/>
        <v>0</v>
      </c>
      <c r="AE15" s="31">
        <f t="shared" si="7"/>
        <v>19</v>
      </c>
      <c r="AF15" s="31">
        <f t="shared" si="7"/>
        <v>82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8</v>
      </c>
      <c r="N16" s="50">
        <v>0</v>
      </c>
      <c r="O16" s="15">
        <f t="shared" si="0"/>
        <v>4</v>
      </c>
      <c r="P16" s="15">
        <f t="shared" si="1"/>
        <v>12</v>
      </c>
      <c r="R16" s="1" t="s">
        <v>12</v>
      </c>
      <c r="S16" s="17">
        <f t="shared" ref="S16:AF16" si="8">SUM(C34:C37)</f>
        <v>6</v>
      </c>
      <c r="T16" s="17">
        <f t="shared" si="8"/>
        <v>0</v>
      </c>
      <c r="U16" s="17">
        <f t="shared" si="8"/>
        <v>3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9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54</v>
      </c>
      <c r="AD16" s="17">
        <f t="shared" si="8"/>
        <v>0</v>
      </c>
      <c r="AE16" s="31">
        <f t="shared" si="8"/>
        <v>20</v>
      </c>
      <c r="AF16" s="31">
        <f t="shared" si="8"/>
        <v>74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10</v>
      </c>
      <c r="N17" s="50">
        <v>0</v>
      </c>
      <c r="O17" s="15">
        <f t="shared" si="0"/>
        <v>2</v>
      </c>
      <c r="P17" s="15">
        <f t="shared" si="1"/>
        <v>12</v>
      </c>
      <c r="R17" s="1" t="s">
        <v>13</v>
      </c>
      <c r="S17" s="17">
        <f t="shared" ref="S17:AF17" si="9">SUM(C38:C41)</f>
        <v>5</v>
      </c>
      <c r="T17" s="17">
        <f t="shared" si="9"/>
        <v>0</v>
      </c>
      <c r="U17" s="17">
        <f t="shared" si="9"/>
        <v>2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58</v>
      </c>
      <c r="AD17" s="17">
        <f t="shared" si="9"/>
        <v>0</v>
      </c>
      <c r="AE17" s="31">
        <f t="shared" si="9"/>
        <v>13</v>
      </c>
      <c r="AF17" s="31">
        <f t="shared" si="9"/>
        <v>71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14</v>
      </c>
      <c r="N18" s="50">
        <v>0</v>
      </c>
      <c r="O18" s="15">
        <f t="shared" si="0"/>
        <v>2</v>
      </c>
      <c r="P18" s="15">
        <f t="shared" si="1"/>
        <v>16</v>
      </c>
      <c r="R18" s="1" t="s">
        <v>14</v>
      </c>
      <c r="S18" s="17">
        <f t="shared" ref="S18:AF18" si="10">SUM(C42:C45)</f>
        <v>3</v>
      </c>
      <c r="T18" s="17">
        <f t="shared" si="10"/>
        <v>0</v>
      </c>
      <c r="U18" s="17">
        <f t="shared" si="10"/>
        <v>6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47</v>
      </c>
      <c r="AD18" s="17">
        <f t="shared" si="10"/>
        <v>0</v>
      </c>
      <c r="AE18" s="31">
        <f t="shared" si="10"/>
        <v>15</v>
      </c>
      <c r="AF18" s="31">
        <f t="shared" si="10"/>
        <v>62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18</v>
      </c>
      <c r="N19" s="50">
        <v>0</v>
      </c>
      <c r="O19" s="15">
        <f t="shared" si="0"/>
        <v>2</v>
      </c>
      <c r="P19" s="15">
        <f t="shared" si="1"/>
        <v>20</v>
      </c>
      <c r="R19" s="1" t="s">
        <v>15</v>
      </c>
      <c r="S19" s="17">
        <f t="shared" ref="S19:AF19" si="11">SUM(C46:C49)</f>
        <v>6</v>
      </c>
      <c r="T19" s="17">
        <f t="shared" si="11"/>
        <v>0</v>
      </c>
      <c r="U19" s="17">
        <f t="shared" si="11"/>
        <v>8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61</v>
      </c>
      <c r="AD19" s="17">
        <f t="shared" si="11"/>
        <v>0</v>
      </c>
      <c r="AE19" s="31">
        <f t="shared" si="11"/>
        <v>19</v>
      </c>
      <c r="AF19" s="31">
        <f t="shared" si="11"/>
        <v>80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3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13</v>
      </c>
      <c r="N20" s="50">
        <v>0</v>
      </c>
      <c r="O20" s="15">
        <f t="shared" si="0"/>
        <v>5</v>
      </c>
      <c r="P20" s="15">
        <f t="shared" si="1"/>
        <v>18</v>
      </c>
      <c r="R20" s="1" t="s">
        <v>16</v>
      </c>
      <c r="S20" s="17">
        <f t="shared" ref="S20:AF20" si="12">SUM(C50:C53)</f>
        <v>8</v>
      </c>
      <c r="T20" s="17">
        <f t="shared" si="12"/>
        <v>0</v>
      </c>
      <c r="U20" s="17">
        <f t="shared" si="12"/>
        <v>3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66</v>
      </c>
      <c r="AD20" s="17">
        <f t="shared" si="12"/>
        <v>0</v>
      </c>
      <c r="AE20" s="31">
        <f t="shared" si="12"/>
        <v>15</v>
      </c>
      <c r="AF20" s="31">
        <f t="shared" si="12"/>
        <v>81</v>
      </c>
    </row>
    <row r="21" spans="2:32" ht="23.1" customHeight="1" x14ac:dyDescent="0.25">
      <c r="B21" s="23" t="s">
        <v>48</v>
      </c>
      <c r="C21" s="50">
        <v>3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11</v>
      </c>
      <c r="N21" s="50">
        <v>0</v>
      </c>
      <c r="O21" s="15">
        <f t="shared" si="0"/>
        <v>4</v>
      </c>
      <c r="P21" s="15">
        <f t="shared" si="1"/>
        <v>15</v>
      </c>
      <c r="R21" s="36" t="s">
        <v>20</v>
      </c>
      <c r="S21" s="34">
        <f t="shared" ref="S21:AF21" si="13">SUM(C54:C57)</f>
        <v>12</v>
      </c>
      <c r="T21" s="17">
        <f t="shared" si="13"/>
        <v>0</v>
      </c>
      <c r="U21" s="17">
        <f t="shared" si="13"/>
        <v>1</v>
      </c>
      <c r="V21" s="17">
        <f t="shared" si="13"/>
        <v>3</v>
      </c>
      <c r="W21" s="17">
        <f t="shared" si="13"/>
        <v>0</v>
      </c>
      <c r="X21" s="17">
        <f t="shared" si="13"/>
        <v>0</v>
      </c>
      <c r="Y21" s="17">
        <f t="shared" si="13"/>
        <v>7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59</v>
      </c>
      <c r="AD21" s="17">
        <f t="shared" si="13"/>
        <v>0</v>
      </c>
      <c r="AE21" s="31">
        <f t="shared" si="13"/>
        <v>23</v>
      </c>
      <c r="AF21" s="31">
        <f t="shared" si="13"/>
        <v>82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3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9</v>
      </c>
      <c r="N22" s="50">
        <v>0</v>
      </c>
      <c r="O22" s="15">
        <f t="shared" si="0"/>
        <v>5</v>
      </c>
      <c r="P22" s="15">
        <f t="shared" si="1"/>
        <v>14</v>
      </c>
      <c r="R22" s="38" t="s">
        <v>90</v>
      </c>
      <c r="S22" s="39">
        <f>MAX(S10:S12)</f>
        <v>6</v>
      </c>
      <c r="T22" s="39">
        <f t="shared" ref="T22:AF22" si="14">MAX(T10:T12)</f>
        <v>0</v>
      </c>
      <c r="U22" s="39">
        <f t="shared" si="14"/>
        <v>5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56</v>
      </c>
      <c r="AD22" s="39">
        <f t="shared" si="14"/>
        <v>0</v>
      </c>
      <c r="AE22" s="40">
        <f t="shared" si="14"/>
        <v>13</v>
      </c>
      <c r="AF22" s="40">
        <f t="shared" si="14"/>
        <v>69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2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18</v>
      </c>
      <c r="N23" s="50">
        <v>0</v>
      </c>
      <c r="O23" s="15">
        <f t="shared" si="0"/>
        <v>5</v>
      </c>
      <c r="P23" s="15">
        <f t="shared" si="1"/>
        <v>23</v>
      </c>
      <c r="R23" s="38" t="s">
        <v>91</v>
      </c>
      <c r="S23" s="39">
        <f>MAX(S13:S18)</f>
        <v>7</v>
      </c>
      <c r="T23" s="39">
        <f t="shared" ref="T23:AF23" si="15">MAX(T13:T18)</f>
        <v>0</v>
      </c>
      <c r="U23" s="39">
        <f t="shared" si="15"/>
        <v>7</v>
      </c>
      <c r="V23" s="39">
        <f t="shared" si="15"/>
        <v>3</v>
      </c>
      <c r="W23" s="39">
        <f t="shared" si="15"/>
        <v>0</v>
      </c>
      <c r="X23" s="39">
        <f t="shared" si="15"/>
        <v>0</v>
      </c>
      <c r="Y23" s="39">
        <f t="shared" si="15"/>
        <v>9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63</v>
      </c>
      <c r="AD23" s="39">
        <f t="shared" si="15"/>
        <v>0</v>
      </c>
      <c r="AE23" s="40">
        <f t="shared" si="15"/>
        <v>20</v>
      </c>
      <c r="AF23" s="40">
        <f t="shared" si="15"/>
        <v>82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15</v>
      </c>
      <c r="N24" s="50">
        <v>0</v>
      </c>
      <c r="O24" s="15">
        <f t="shared" si="0"/>
        <v>2</v>
      </c>
      <c r="P24" s="15">
        <f t="shared" si="1"/>
        <v>17</v>
      </c>
      <c r="R24" s="38" t="s">
        <v>92</v>
      </c>
      <c r="S24" s="39">
        <f>MAX(S19:S21)</f>
        <v>12</v>
      </c>
      <c r="T24" s="39">
        <f t="shared" ref="T24:AF24" si="16">MAX(T19:T21)</f>
        <v>0</v>
      </c>
      <c r="U24" s="39">
        <f t="shared" si="16"/>
        <v>8</v>
      </c>
      <c r="V24" s="39">
        <f t="shared" si="16"/>
        <v>3</v>
      </c>
      <c r="W24" s="39">
        <f t="shared" si="16"/>
        <v>0</v>
      </c>
      <c r="X24" s="39">
        <f t="shared" si="16"/>
        <v>0</v>
      </c>
      <c r="Y24" s="39">
        <f t="shared" si="16"/>
        <v>7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66</v>
      </c>
      <c r="AD24" s="39">
        <f t="shared" si="16"/>
        <v>0</v>
      </c>
      <c r="AE24" s="40">
        <f t="shared" si="16"/>
        <v>23</v>
      </c>
      <c r="AF24" s="40">
        <f t="shared" si="16"/>
        <v>82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1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v>0</v>
      </c>
      <c r="M25" s="50">
        <v>5</v>
      </c>
      <c r="N25" s="50">
        <v>0</v>
      </c>
      <c r="O25" s="15">
        <f t="shared" si="0"/>
        <v>5</v>
      </c>
      <c r="P25" s="15">
        <f t="shared" si="1"/>
        <v>10</v>
      </c>
      <c r="R25" s="37" t="s">
        <v>85</v>
      </c>
      <c r="S25" s="35">
        <f t="shared" ref="S25:AF25" si="17">SUM(S10:S12)</f>
        <v>11</v>
      </c>
      <c r="T25" s="16">
        <f t="shared" si="17"/>
        <v>0</v>
      </c>
      <c r="U25" s="16">
        <f t="shared" si="17"/>
        <v>14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7</v>
      </c>
      <c r="Z25" s="16">
        <f t="shared" si="17"/>
        <v>1</v>
      </c>
      <c r="AA25" s="16">
        <f t="shared" si="17"/>
        <v>0</v>
      </c>
      <c r="AB25" s="16">
        <f t="shared" si="17"/>
        <v>0</v>
      </c>
      <c r="AC25" s="16">
        <f t="shared" si="17"/>
        <v>136</v>
      </c>
      <c r="AD25" s="16">
        <f t="shared" si="17"/>
        <v>0</v>
      </c>
      <c r="AE25" s="32">
        <f t="shared" si="17"/>
        <v>34</v>
      </c>
      <c r="AF25" s="32">
        <f t="shared" si="17"/>
        <v>170</v>
      </c>
    </row>
    <row r="26" spans="2:32" ht="23.1" customHeight="1" x14ac:dyDescent="0.25">
      <c r="B26" s="23" t="s">
        <v>53</v>
      </c>
      <c r="C26" s="50">
        <v>3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19</v>
      </c>
      <c r="N26" s="50">
        <v>0</v>
      </c>
      <c r="O26" s="15">
        <f t="shared" si="0"/>
        <v>4</v>
      </c>
      <c r="P26" s="15">
        <f t="shared" si="1"/>
        <v>23</v>
      </c>
      <c r="R26" s="28" t="s">
        <v>86</v>
      </c>
      <c r="S26" s="16">
        <f t="shared" ref="S26:AF26" si="18">SUM(S13:S18)</f>
        <v>26</v>
      </c>
      <c r="T26" s="16">
        <f t="shared" si="18"/>
        <v>0</v>
      </c>
      <c r="U26" s="16">
        <f t="shared" si="18"/>
        <v>27</v>
      </c>
      <c r="V26" s="16">
        <f t="shared" si="18"/>
        <v>7</v>
      </c>
      <c r="W26" s="16">
        <f t="shared" si="18"/>
        <v>0</v>
      </c>
      <c r="X26" s="16">
        <f t="shared" si="18"/>
        <v>0</v>
      </c>
      <c r="Y26" s="16">
        <f t="shared" si="18"/>
        <v>41</v>
      </c>
      <c r="Z26" s="16">
        <f t="shared" si="18"/>
        <v>2</v>
      </c>
      <c r="AA26" s="16">
        <f t="shared" si="18"/>
        <v>0</v>
      </c>
      <c r="AB26" s="16">
        <f t="shared" si="18"/>
        <v>0</v>
      </c>
      <c r="AC26" s="16">
        <f t="shared" si="18"/>
        <v>327</v>
      </c>
      <c r="AD26" s="16">
        <f t="shared" si="18"/>
        <v>0</v>
      </c>
      <c r="AE26" s="32">
        <f t="shared" si="18"/>
        <v>103</v>
      </c>
      <c r="AF26" s="32">
        <f t="shared" si="18"/>
        <v>430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2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11</v>
      </c>
      <c r="N27" s="50">
        <v>0</v>
      </c>
      <c r="O27" s="15">
        <f t="shared" si="0"/>
        <v>3</v>
      </c>
      <c r="P27" s="15">
        <f t="shared" si="1"/>
        <v>14</v>
      </c>
      <c r="R27" s="29" t="s">
        <v>87</v>
      </c>
      <c r="S27" s="16">
        <f t="shared" ref="S27:AF27" si="19">SUM(S19:S21)</f>
        <v>26</v>
      </c>
      <c r="T27" s="16">
        <f t="shared" si="19"/>
        <v>0</v>
      </c>
      <c r="U27" s="16">
        <f t="shared" si="19"/>
        <v>12</v>
      </c>
      <c r="V27" s="16">
        <f t="shared" si="19"/>
        <v>5</v>
      </c>
      <c r="W27" s="16">
        <f t="shared" si="19"/>
        <v>0</v>
      </c>
      <c r="X27" s="16">
        <f t="shared" si="19"/>
        <v>0</v>
      </c>
      <c r="Y27" s="16">
        <f t="shared" si="19"/>
        <v>13</v>
      </c>
      <c r="Z27" s="16">
        <f t="shared" si="19"/>
        <v>1</v>
      </c>
      <c r="AA27" s="16">
        <f t="shared" si="19"/>
        <v>0</v>
      </c>
      <c r="AB27" s="16">
        <f t="shared" si="19"/>
        <v>0</v>
      </c>
      <c r="AC27" s="16">
        <f t="shared" si="19"/>
        <v>186</v>
      </c>
      <c r="AD27" s="16">
        <f t="shared" si="19"/>
        <v>0</v>
      </c>
      <c r="AE27" s="32">
        <f t="shared" si="19"/>
        <v>57</v>
      </c>
      <c r="AF27" s="32">
        <f t="shared" si="19"/>
        <v>243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1</v>
      </c>
      <c r="F28" s="50">
        <v>3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11</v>
      </c>
      <c r="N28" s="50">
        <v>0</v>
      </c>
      <c r="O28" s="15">
        <f t="shared" si="0"/>
        <v>8</v>
      </c>
      <c r="P28" s="15">
        <f t="shared" si="1"/>
        <v>19</v>
      </c>
      <c r="R28" s="5" t="s">
        <v>17</v>
      </c>
      <c r="S28" s="16">
        <f t="shared" ref="S28:AF28" si="20">SUM(S10:S21)</f>
        <v>63</v>
      </c>
      <c r="T28" s="16">
        <f t="shared" si="20"/>
        <v>0</v>
      </c>
      <c r="U28" s="16">
        <f t="shared" si="20"/>
        <v>53</v>
      </c>
      <c r="V28" s="16">
        <f t="shared" si="20"/>
        <v>13</v>
      </c>
      <c r="W28" s="16">
        <f t="shared" si="20"/>
        <v>0</v>
      </c>
      <c r="X28" s="16">
        <f t="shared" si="20"/>
        <v>0</v>
      </c>
      <c r="Y28" s="16">
        <f t="shared" si="20"/>
        <v>61</v>
      </c>
      <c r="Z28" s="16">
        <f t="shared" si="20"/>
        <v>4</v>
      </c>
      <c r="AA28" s="16">
        <f t="shared" si="20"/>
        <v>0</v>
      </c>
      <c r="AB28" s="16">
        <f t="shared" si="20"/>
        <v>0</v>
      </c>
      <c r="AC28" s="16">
        <f t="shared" si="20"/>
        <v>649</v>
      </c>
      <c r="AD28" s="16">
        <f t="shared" si="20"/>
        <v>0</v>
      </c>
      <c r="AE28" s="32">
        <f t="shared" si="20"/>
        <v>194</v>
      </c>
      <c r="AF28" s="32">
        <f t="shared" si="20"/>
        <v>843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2</v>
      </c>
      <c r="J29" s="50">
        <v>1</v>
      </c>
      <c r="K29" s="50">
        <v>0</v>
      </c>
      <c r="L29" s="50">
        <v>0</v>
      </c>
      <c r="M29" s="50">
        <v>17</v>
      </c>
      <c r="N29" s="50">
        <v>0</v>
      </c>
      <c r="O29" s="15">
        <f t="shared" si="0"/>
        <v>4</v>
      </c>
      <c r="P29" s="15">
        <f t="shared" si="1"/>
        <v>21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12</v>
      </c>
      <c r="N30" s="50">
        <v>0</v>
      </c>
      <c r="O30" s="15">
        <f t="shared" si="0"/>
        <v>3</v>
      </c>
      <c r="P30" s="15">
        <f t="shared" si="1"/>
        <v>15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2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24</v>
      </c>
      <c r="N31" s="50">
        <v>0</v>
      </c>
      <c r="O31" s="15">
        <f t="shared" si="0"/>
        <v>3</v>
      </c>
      <c r="P31" s="15">
        <f t="shared" si="1"/>
        <v>27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3</v>
      </c>
      <c r="F32" s="50">
        <v>0</v>
      </c>
      <c r="G32" s="50">
        <v>0</v>
      </c>
      <c r="H32" s="50">
        <v>0</v>
      </c>
      <c r="I32" s="50">
        <v>4</v>
      </c>
      <c r="J32" s="50">
        <v>0</v>
      </c>
      <c r="K32" s="50">
        <v>0</v>
      </c>
      <c r="L32" s="50">
        <v>0</v>
      </c>
      <c r="M32" s="50">
        <v>10</v>
      </c>
      <c r="N32" s="50">
        <v>0</v>
      </c>
      <c r="O32" s="15">
        <f t="shared" si="0"/>
        <v>9</v>
      </c>
      <c r="P32" s="15">
        <f t="shared" si="1"/>
        <v>19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0</v>
      </c>
      <c r="M33" s="50">
        <v>17</v>
      </c>
      <c r="N33" s="50">
        <v>0</v>
      </c>
      <c r="O33" s="15">
        <f t="shared" si="0"/>
        <v>4</v>
      </c>
      <c r="P33" s="15">
        <f t="shared" si="1"/>
        <v>21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5</v>
      </c>
      <c r="J34" s="50">
        <v>0</v>
      </c>
      <c r="K34" s="50">
        <v>0</v>
      </c>
      <c r="L34" s="50">
        <v>0</v>
      </c>
      <c r="M34" s="50">
        <v>12</v>
      </c>
      <c r="N34" s="50">
        <v>0</v>
      </c>
      <c r="O34" s="15">
        <f t="shared" si="0"/>
        <v>8</v>
      </c>
      <c r="P34" s="15">
        <f t="shared" si="1"/>
        <v>20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1</v>
      </c>
      <c r="F35" s="50">
        <v>1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15</v>
      </c>
      <c r="N35" s="50">
        <v>0</v>
      </c>
      <c r="O35" s="15">
        <f t="shared" si="0"/>
        <v>4</v>
      </c>
      <c r="P35" s="15">
        <f t="shared" si="1"/>
        <v>19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11</v>
      </c>
      <c r="N36" s="50">
        <v>0</v>
      </c>
      <c r="O36" s="15">
        <f t="shared" si="0"/>
        <v>2</v>
      </c>
      <c r="P36" s="15">
        <f t="shared" si="1"/>
        <v>13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1</v>
      </c>
      <c r="F37" s="50">
        <v>1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16</v>
      </c>
      <c r="N37" s="50">
        <v>0</v>
      </c>
      <c r="O37" s="15">
        <f t="shared" si="0"/>
        <v>6</v>
      </c>
      <c r="P37" s="15">
        <f t="shared" si="1"/>
        <v>22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9</v>
      </c>
      <c r="N38" s="50">
        <v>0</v>
      </c>
      <c r="O38" s="15">
        <f t="shared" si="0"/>
        <v>2</v>
      </c>
      <c r="P38" s="15">
        <f t="shared" si="1"/>
        <v>11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21</v>
      </c>
      <c r="N39" s="50">
        <v>0</v>
      </c>
      <c r="O39" s="15">
        <f t="shared" si="0"/>
        <v>4</v>
      </c>
      <c r="P39" s="15">
        <f t="shared" si="1"/>
        <v>25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10</v>
      </c>
      <c r="N40" s="50">
        <v>0</v>
      </c>
      <c r="O40" s="15">
        <f t="shared" si="0"/>
        <v>2</v>
      </c>
      <c r="P40" s="15">
        <f t="shared" si="1"/>
        <v>12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18</v>
      </c>
      <c r="N41" s="50">
        <v>0</v>
      </c>
      <c r="O41" s="15">
        <f t="shared" si="0"/>
        <v>5</v>
      </c>
      <c r="P41" s="15">
        <f t="shared" si="1"/>
        <v>23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</v>
      </c>
      <c r="F42" s="50">
        <v>1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17</v>
      </c>
      <c r="N42" s="50">
        <v>0</v>
      </c>
      <c r="O42" s="15">
        <f t="shared" si="0"/>
        <v>5</v>
      </c>
      <c r="P42" s="15">
        <f t="shared" si="1"/>
        <v>22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2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12</v>
      </c>
      <c r="N43" s="50">
        <v>0</v>
      </c>
      <c r="O43" s="15">
        <f t="shared" si="0"/>
        <v>3</v>
      </c>
      <c r="P43" s="15">
        <f t="shared" si="1"/>
        <v>15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8</v>
      </c>
      <c r="N44" s="50">
        <v>0</v>
      </c>
      <c r="O44" s="15">
        <f t="shared" si="0"/>
        <v>1</v>
      </c>
      <c r="P44" s="15">
        <f t="shared" si="1"/>
        <v>9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3</v>
      </c>
      <c r="F45" s="50">
        <v>0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10</v>
      </c>
      <c r="N45" s="50">
        <v>0</v>
      </c>
      <c r="O45" s="15">
        <f t="shared" si="0"/>
        <v>6</v>
      </c>
      <c r="P45" s="15">
        <f t="shared" si="1"/>
        <v>16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18</v>
      </c>
      <c r="N46" s="50">
        <v>0</v>
      </c>
      <c r="O46" s="15">
        <f t="shared" si="0"/>
        <v>2</v>
      </c>
      <c r="P46" s="15">
        <f t="shared" si="1"/>
        <v>20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2</v>
      </c>
      <c r="F47" s="50">
        <v>0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10</v>
      </c>
      <c r="N47" s="50">
        <v>0</v>
      </c>
      <c r="O47" s="15">
        <f t="shared" si="0"/>
        <v>6</v>
      </c>
      <c r="P47" s="15">
        <f t="shared" si="1"/>
        <v>16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2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13</v>
      </c>
      <c r="N48" s="50">
        <v>0</v>
      </c>
      <c r="O48" s="15">
        <f t="shared" si="0"/>
        <v>5</v>
      </c>
      <c r="P48" s="15">
        <f t="shared" si="1"/>
        <v>18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3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20</v>
      </c>
      <c r="N49" s="50">
        <v>0</v>
      </c>
      <c r="O49" s="15">
        <f t="shared" si="0"/>
        <v>6</v>
      </c>
      <c r="P49" s="15">
        <f t="shared" si="1"/>
        <v>26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1</v>
      </c>
      <c r="F50" s="50">
        <v>1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20</v>
      </c>
      <c r="N50" s="50">
        <v>0</v>
      </c>
      <c r="O50" s="15">
        <f t="shared" si="0"/>
        <v>3</v>
      </c>
      <c r="P50" s="15">
        <f t="shared" si="1"/>
        <v>23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23</v>
      </c>
      <c r="N51" s="50">
        <v>0</v>
      </c>
      <c r="O51" s="15">
        <f t="shared" si="0"/>
        <v>2</v>
      </c>
      <c r="P51" s="15">
        <f t="shared" si="1"/>
        <v>25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12</v>
      </c>
      <c r="N52" s="50">
        <v>0</v>
      </c>
      <c r="O52" s="15">
        <f t="shared" si="0"/>
        <v>4</v>
      </c>
      <c r="P52" s="15">
        <f t="shared" si="1"/>
        <v>16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2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11</v>
      </c>
      <c r="N53" s="50">
        <v>0</v>
      </c>
      <c r="O53" s="15">
        <f t="shared" si="0"/>
        <v>6</v>
      </c>
      <c r="P53" s="15">
        <f t="shared" si="1"/>
        <v>17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20</v>
      </c>
      <c r="N54" s="50">
        <v>0</v>
      </c>
      <c r="O54" s="15">
        <f t="shared" si="0"/>
        <v>3</v>
      </c>
      <c r="P54" s="15">
        <f t="shared" si="1"/>
        <v>23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1</v>
      </c>
      <c r="F55" s="50">
        <v>1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22</v>
      </c>
      <c r="N55" s="50">
        <v>0</v>
      </c>
      <c r="O55" s="15">
        <f t="shared" si="0"/>
        <v>6</v>
      </c>
      <c r="P55" s="15">
        <f t="shared" si="1"/>
        <v>28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4</v>
      </c>
      <c r="J56" s="50">
        <v>0</v>
      </c>
      <c r="K56" s="50">
        <v>0</v>
      </c>
      <c r="L56" s="50">
        <v>0</v>
      </c>
      <c r="M56" s="50">
        <v>11</v>
      </c>
      <c r="N56" s="50">
        <v>0</v>
      </c>
      <c r="O56" s="15">
        <f t="shared" si="0"/>
        <v>8</v>
      </c>
      <c r="P56" s="15">
        <f t="shared" si="1"/>
        <v>19</v>
      </c>
      <c r="R56" s="8"/>
      <c r="T56"/>
    </row>
    <row r="57" spans="2:20" ht="23.1" customHeight="1" x14ac:dyDescent="0.25">
      <c r="B57" s="23" t="s">
        <v>84</v>
      </c>
      <c r="C57" s="50">
        <v>5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6</v>
      </c>
      <c r="N57" s="50">
        <v>0</v>
      </c>
      <c r="O57" s="15">
        <f t="shared" si="0"/>
        <v>6</v>
      </c>
      <c r="P57" s="15">
        <f t="shared" si="1"/>
        <v>12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63</v>
      </c>
      <c r="D58" s="16">
        <f t="shared" si="21"/>
        <v>0</v>
      </c>
      <c r="E58" s="16">
        <f t="shared" si="21"/>
        <v>53</v>
      </c>
      <c r="F58" s="16">
        <f t="shared" si="21"/>
        <v>13</v>
      </c>
      <c r="G58" s="16">
        <f t="shared" si="21"/>
        <v>0</v>
      </c>
      <c r="H58" s="16">
        <f t="shared" si="21"/>
        <v>0</v>
      </c>
      <c r="I58" s="16">
        <f t="shared" si="21"/>
        <v>61</v>
      </c>
      <c r="J58" s="16">
        <f t="shared" si="21"/>
        <v>4</v>
      </c>
      <c r="K58" s="16">
        <f t="shared" si="21"/>
        <v>0</v>
      </c>
      <c r="L58" s="16">
        <f t="shared" si="21"/>
        <v>0</v>
      </c>
      <c r="M58" s="16">
        <f t="shared" si="21"/>
        <v>649</v>
      </c>
      <c r="N58" s="16">
        <f t="shared" si="21"/>
        <v>0</v>
      </c>
      <c r="O58" s="16">
        <f t="shared" si="21"/>
        <v>194</v>
      </c>
      <c r="P58" s="16">
        <f t="shared" si="21"/>
        <v>843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7.4733096085409248E-2</v>
      </c>
      <c r="D59" s="43">
        <f t="shared" si="22"/>
        <v>0</v>
      </c>
      <c r="E59" s="43">
        <f t="shared" si="22"/>
        <v>6.2870699881376044E-2</v>
      </c>
      <c r="F59" s="43">
        <f t="shared" si="22"/>
        <v>1.542111506524318E-2</v>
      </c>
      <c r="G59" s="43">
        <f t="shared" si="22"/>
        <v>0</v>
      </c>
      <c r="H59" s="43">
        <f t="shared" si="22"/>
        <v>0</v>
      </c>
      <c r="I59" s="43">
        <f t="shared" si="22"/>
        <v>7.2360616844602613E-2</v>
      </c>
      <c r="J59" s="43">
        <f t="shared" si="22"/>
        <v>4.7449584816132862E-3</v>
      </c>
      <c r="K59" s="43">
        <f t="shared" si="22"/>
        <v>0</v>
      </c>
      <c r="L59" s="43">
        <f t="shared" si="22"/>
        <v>0</v>
      </c>
      <c r="M59" s="43">
        <f t="shared" si="22"/>
        <v>0.7698695136417556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0.32474226804123713</v>
      </c>
      <c r="D60" s="44">
        <f t="shared" ref="D60:N60" si="23">D58/$O$58</f>
        <v>0</v>
      </c>
      <c r="E60" s="44">
        <f t="shared" si="23"/>
        <v>0.27319587628865977</v>
      </c>
      <c r="F60" s="44">
        <f t="shared" si="23"/>
        <v>6.7010309278350513E-2</v>
      </c>
      <c r="G60" s="44">
        <f t="shared" si="23"/>
        <v>0</v>
      </c>
      <c r="H60" s="44">
        <f t="shared" si="23"/>
        <v>0</v>
      </c>
      <c r="I60" s="44">
        <f t="shared" si="23"/>
        <v>0.31443298969072164</v>
      </c>
      <c r="J60" s="44">
        <f t="shared" si="23"/>
        <v>2.0618556701030927E-2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H22" zoomScale="60" workbookViewId="0">
      <selection activeCell="W30" sqref="W3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'11.8 BUSUNJU-KAMPALA'!C3:G3</f>
        <v>MCC-C3-STN-HOIMA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'17.8 KAMPALA-BUSUNJU'!D5</f>
        <v>28.07.19</v>
      </c>
      <c r="E5" s="3"/>
      <c r="F5" s="41" t="s">
        <v>1</v>
      </c>
      <c r="G5" s="64" t="str">
        <f>'17.8 KAMPALA-BUSUNJU'!G5:H5</f>
        <v>WAKISO</v>
      </c>
      <c r="H5" s="65"/>
      <c r="I5" s="14"/>
      <c r="J5" s="2" t="s">
        <v>5</v>
      </c>
      <c r="K5" s="64">
        <f>'17.8 KAMPALA-BUSUNJU'!K5:L5</f>
        <v>0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'11.8 BUSUNJU-KAMPALA'!D6:E6</f>
        <v>Makindye</v>
      </c>
      <c r="E6" s="65"/>
      <c r="F6" s="2" t="s">
        <v>2</v>
      </c>
      <c r="G6" s="64" t="str">
        <f>'11.8 BUSUNJU-KAMPALA'!G6:H6</f>
        <v>Kibuye</v>
      </c>
      <c r="H6" s="65"/>
      <c r="J6" s="2" t="s">
        <v>21</v>
      </c>
      <c r="K6" s="64">
        <f>'17.8 KAMPALA-BUSUNJU'!K6:L6</f>
        <v>0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7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29</v>
      </c>
      <c r="AD10" s="17">
        <f t="shared" si="2"/>
        <v>0</v>
      </c>
      <c r="AE10" s="31">
        <f t="shared" si="2"/>
        <v>5</v>
      </c>
      <c r="AF10" s="31">
        <f t="shared" si="2"/>
        <v>34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8</v>
      </c>
      <c r="N11" s="50">
        <v>0</v>
      </c>
      <c r="O11" s="15">
        <f t="shared" si="0"/>
        <v>2</v>
      </c>
      <c r="P11" s="15">
        <f t="shared" si="1"/>
        <v>10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5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33</v>
      </c>
      <c r="AD11" s="17">
        <f t="shared" si="3"/>
        <v>0</v>
      </c>
      <c r="AE11" s="31">
        <f t="shared" si="3"/>
        <v>13</v>
      </c>
      <c r="AF11" s="31">
        <f t="shared" si="3"/>
        <v>46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7</v>
      </c>
      <c r="N12" s="50">
        <v>0</v>
      </c>
      <c r="O12" s="15">
        <f t="shared" si="0"/>
        <v>2</v>
      </c>
      <c r="P12" s="15">
        <f t="shared" si="1"/>
        <v>9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3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53</v>
      </c>
      <c r="AD12" s="17">
        <f t="shared" si="4"/>
        <v>0</v>
      </c>
      <c r="AE12" s="31">
        <f t="shared" si="4"/>
        <v>10</v>
      </c>
      <c r="AF12" s="31">
        <f t="shared" si="4"/>
        <v>63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7</v>
      </c>
      <c r="N13" s="50">
        <v>0</v>
      </c>
      <c r="O13" s="15">
        <f t="shared" si="0"/>
        <v>1</v>
      </c>
      <c r="P13" s="15">
        <f t="shared" si="1"/>
        <v>8</v>
      </c>
      <c r="R13" s="1" t="s">
        <v>9</v>
      </c>
      <c r="S13" s="17">
        <f t="shared" ref="S13:AF13" si="5">SUM(C22:C25)</f>
        <v>6</v>
      </c>
      <c r="T13" s="17">
        <f t="shared" si="5"/>
        <v>0</v>
      </c>
      <c r="U13" s="17">
        <f t="shared" si="5"/>
        <v>0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52</v>
      </c>
      <c r="AD13" s="17">
        <f t="shared" si="5"/>
        <v>0</v>
      </c>
      <c r="AE13" s="31">
        <f t="shared" si="5"/>
        <v>13</v>
      </c>
      <c r="AF13" s="31">
        <f t="shared" si="5"/>
        <v>65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9</v>
      </c>
      <c r="N14" s="50">
        <v>0</v>
      </c>
      <c r="O14" s="15">
        <f t="shared" si="0"/>
        <v>2</v>
      </c>
      <c r="P14" s="15">
        <f t="shared" si="1"/>
        <v>11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2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61</v>
      </c>
      <c r="AD14" s="17">
        <f t="shared" si="6"/>
        <v>0</v>
      </c>
      <c r="AE14" s="31">
        <f t="shared" si="6"/>
        <v>11</v>
      </c>
      <c r="AF14" s="31">
        <f t="shared" si="6"/>
        <v>72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12</v>
      </c>
      <c r="N15" s="50">
        <v>0</v>
      </c>
      <c r="O15" s="15">
        <f t="shared" si="0"/>
        <v>4</v>
      </c>
      <c r="P15" s="15">
        <f t="shared" si="1"/>
        <v>16</v>
      </c>
      <c r="R15" s="1" t="s">
        <v>11</v>
      </c>
      <c r="S15" s="17">
        <f t="shared" ref="S15:AF15" si="7">SUM(C30:C33)</f>
        <v>8</v>
      </c>
      <c r="T15" s="17">
        <f t="shared" si="7"/>
        <v>0</v>
      </c>
      <c r="U15" s="17">
        <f t="shared" si="7"/>
        <v>5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44</v>
      </c>
      <c r="AD15" s="17">
        <f t="shared" si="7"/>
        <v>0</v>
      </c>
      <c r="AE15" s="31">
        <f t="shared" si="7"/>
        <v>21</v>
      </c>
      <c r="AF15" s="31">
        <f t="shared" si="7"/>
        <v>65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3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8</v>
      </c>
      <c r="N16" s="50">
        <v>0</v>
      </c>
      <c r="O16" s="15">
        <f t="shared" si="0"/>
        <v>3</v>
      </c>
      <c r="P16" s="15">
        <f t="shared" si="1"/>
        <v>11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65</v>
      </c>
      <c r="AD16" s="17">
        <f t="shared" si="8"/>
        <v>0</v>
      </c>
      <c r="AE16" s="31">
        <f t="shared" si="8"/>
        <v>4</v>
      </c>
      <c r="AF16" s="31">
        <f t="shared" si="8"/>
        <v>69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4</v>
      </c>
      <c r="N17" s="50">
        <v>0</v>
      </c>
      <c r="O17" s="15">
        <f t="shared" si="0"/>
        <v>4</v>
      </c>
      <c r="P17" s="15">
        <f t="shared" si="1"/>
        <v>8</v>
      </c>
      <c r="R17" s="1" t="s">
        <v>13</v>
      </c>
      <c r="S17" s="17">
        <f t="shared" ref="S17:AF17" si="9">SUM(C38:C41)</f>
        <v>4</v>
      </c>
      <c r="T17" s="17">
        <f t="shared" si="9"/>
        <v>0</v>
      </c>
      <c r="U17" s="17">
        <f t="shared" si="9"/>
        <v>3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8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51</v>
      </c>
      <c r="AD17" s="17">
        <f t="shared" si="9"/>
        <v>0</v>
      </c>
      <c r="AE17" s="31">
        <f t="shared" si="9"/>
        <v>15</v>
      </c>
      <c r="AF17" s="31">
        <f t="shared" si="9"/>
        <v>66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13</v>
      </c>
      <c r="N18" s="50">
        <v>0</v>
      </c>
      <c r="O18" s="15">
        <f t="shared" si="0"/>
        <v>2</v>
      </c>
      <c r="P18" s="15">
        <f t="shared" si="1"/>
        <v>15</v>
      </c>
      <c r="R18" s="1" t="s">
        <v>14</v>
      </c>
      <c r="S18" s="17">
        <f t="shared" ref="S18:AF18" si="10">SUM(C42:C45)</f>
        <v>3</v>
      </c>
      <c r="T18" s="17">
        <f t="shared" si="10"/>
        <v>0</v>
      </c>
      <c r="U18" s="17">
        <f t="shared" si="10"/>
        <v>3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40</v>
      </c>
      <c r="AD18" s="17">
        <f t="shared" si="10"/>
        <v>0</v>
      </c>
      <c r="AE18" s="31">
        <f t="shared" si="10"/>
        <v>14</v>
      </c>
      <c r="AF18" s="31">
        <f t="shared" si="10"/>
        <v>54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3</v>
      </c>
      <c r="J19" s="50">
        <v>0</v>
      </c>
      <c r="K19" s="50">
        <v>0</v>
      </c>
      <c r="L19" s="50">
        <v>0</v>
      </c>
      <c r="M19" s="50">
        <v>11</v>
      </c>
      <c r="N19" s="50">
        <v>0</v>
      </c>
      <c r="O19" s="15">
        <f t="shared" si="0"/>
        <v>5</v>
      </c>
      <c r="P19" s="15">
        <f t="shared" si="1"/>
        <v>16</v>
      </c>
      <c r="R19" s="1" t="s">
        <v>15</v>
      </c>
      <c r="S19" s="17">
        <f t="shared" ref="S19:AF19" si="11">SUM(C46:C49)</f>
        <v>6</v>
      </c>
      <c r="T19" s="17">
        <f t="shared" si="11"/>
        <v>0</v>
      </c>
      <c r="U19" s="17">
        <f t="shared" si="11"/>
        <v>7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66</v>
      </c>
      <c r="AD19" s="17">
        <f t="shared" si="11"/>
        <v>0</v>
      </c>
      <c r="AE19" s="31">
        <f t="shared" si="11"/>
        <v>18</v>
      </c>
      <c r="AF19" s="31">
        <f t="shared" si="11"/>
        <v>84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12</v>
      </c>
      <c r="N20" s="50">
        <v>0</v>
      </c>
      <c r="O20" s="15">
        <f t="shared" si="0"/>
        <v>2</v>
      </c>
      <c r="P20" s="15">
        <f t="shared" si="1"/>
        <v>14</v>
      </c>
      <c r="R20" s="1" t="s">
        <v>16</v>
      </c>
      <c r="S20" s="17">
        <f t="shared" ref="S20:AF20" si="12">SUM(C50:C53)</f>
        <v>6</v>
      </c>
      <c r="T20" s="17">
        <f t="shared" si="12"/>
        <v>0</v>
      </c>
      <c r="U20" s="17">
        <f t="shared" si="12"/>
        <v>4</v>
      </c>
      <c r="V20" s="17">
        <f t="shared" si="12"/>
        <v>2</v>
      </c>
      <c r="W20" s="17">
        <f t="shared" si="12"/>
        <v>0</v>
      </c>
      <c r="X20" s="17">
        <f t="shared" si="12"/>
        <v>0</v>
      </c>
      <c r="Y20" s="17">
        <f t="shared" si="12"/>
        <v>6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64</v>
      </c>
      <c r="AD20" s="17">
        <f t="shared" si="12"/>
        <v>0</v>
      </c>
      <c r="AE20" s="31">
        <f t="shared" si="12"/>
        <v>18</v>
      </c>
      <c r="AF20" s="31">
        <f t="shared" si="12"/>
        <v>82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17</v>
      </c>
      <c r="N21" s="50">
        <v>0</v>
      </c>
      <c r="O21" s="15">
        <f t="shared" si="0"/>
        <v>1</v>
      </c>
      <c r="P21" s="15">
        <f t="shared" si="1"/>
        <v>18</v>
      </c>
      <c r="R21" s="36" t="s">
        <v>20</v>
      </c>
      <c r="S21" s="34">
        <f t="shared" ref="S21:AF21" si="13">SUM(C54:C57)</f>
        <v>6</v>
      </c>
      <c r="T21" s="17">
        <f t="shared" si="13"/>
        <v>0</v>
      </c>
      <c r="U21" s="17">
        <f t="shared" si="13"/>
        <v>4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55</v>
      </c>
      <c r="AD21" s="17">
        <f t="shared" si="13"/>
        <v>0</v>
      </c>
      <c r="AE21" s="31">
        <f t="shared" si="13"/>
        <v>15</v>
      </c>
      <c r="AF21" s="31">
        <f t="shared" si="13"/>
        <v>70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3</v>
      </c>
      <c r="J22" s="50">
        <v>0</v>
      </c>
      <c r="K22" s="50">
        <v>0</v>
      </c>
      <c r="L22" s="50">
        <v>0</v>
      </c>
      <c r="M22" s="50">
        <v>10</v>
      </c>
      <c r="N22" s="50">
        <v>0</v>
      </c>
      <c r="O22" s="15">
        <f t="shared" si="0"/>
        <v>4</v>
      </c>
      <c r="P22" s="15">
        <f t="shared" si="1"/>
        <v>14</v>
      </c>
      <c r="R22" s="38" t="s">
        <v>90</v>
      </c>
      <c r="S22" s="39">
        <f>MAX(S10:S12)</f>
        <v>4</v>
      </c>
      <c r="T22" s="39">
        <f t="shared" ref="T22:AF22" si="14">MAX(T10:T12)</f>
        <v>0</v>
      </c>
      <c r="U22" s="39">
        <f t="shared" si="14"/>
        <v>5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4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53</v>
      </c>
      <c r="AD22" s="39">
        <f t="shared" si="14"/>
        <v>0</v>
      </c>
      <c r="AE22" s="40">
        <f t="shared" si="14"/>
        <v>13</v>
      </c>
      <c r="AF22" s="40">
        <f t="shared" si="14"/>
        <v>63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17</v>
      </c>
      <c r="N23" s="50">
        <v>0</v>
      </c>
      <c r="O23" s="15">
        <f t="shared" si="0"/>
        <v>4</v>
      </c>
      <c r="P23" s="15">
        <f t="shared" si="1"/>
        <v>21</v>
      </c>
      <c r="R23" s="38" t="s">
        <v>91</v>
      </c>
      <c r="S23" s="39">
        <f>MAX(S13:S18)</f>
        <v>8</v>
      </c>
      <c r="T23" s="39">
        <f t="shared" ref="T23:AF23" si="15">MAX(T13:T18)</f>
        <v>0</v>
      </c>
      <c r="U23" s="39">
        <f t="shared" si="15"/>
        <v>5</v>
      </c>
      <c r="V23" s="39">
        <f t="shared" si="15"/>
        <v>4</v>
      </c>
      <c r="W23" s="39">
        <f t="shared" si="15"/>
        <v>0</v>
      </c>
      <c r="X23" s="39">
        <f t="shared" si="15"/>
        <v>0</v>
      </c>
      <c r="Y23" s="39">
        <f t="shared" si="15"/>
        <v>8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65</v>
      </c>
      <c r="AD23" s="39">
        <f t="shared" si="15"/>
        <v>0</v>
      </c>
      <c r="AE23" s="40">
        <f t="shared" si="15"/>
        <v>21</v>
      </c>
      <c r="AF23" s="40">
        <f t="shared" si="15"/>
        <v>72</v>
      </c>
    </row>
    <row r="24" spans="2:32" ht="23.1" customHeight="1" x14ac:dyDescent="0.25">
      <c r="B24" s="23" t="s">
        <v>51</v>
      </c>
      <c r="C24" s="50">
        <v>3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10</v>
      </c>
      <c r="N24" s="50">
        <v>0</v>
      </c>
      <c r="O24" s="15">
        <f t="shared" si="0"/>
        <v>3</v>
      </c>
      <c r="P24" s="15">
        <f t="shared" si="1"/>
        <v>13</v>
      </c>
      <c r="R24" s="38" t="s">
        <v>92</v>
      </c>
      <c r="S24" s="39">
        <f>MAX(S19:S21)</f>
        <v>6</v>
      </c>
      <c r="T24" s="39">
        <f t="shared" ref="T24:AF24" si="16">MAX(T19:T21)</f>
        <v>0</v>
      </c>
      <c r="U24" s="39">
        <f t="shared" si="16"/>
        <v>7</v>
      </c>
      <c r="V24" s="39">
        <f t="shared" si="16"/>
        <v>2</v>
      </c>
      <c r="W24" s="39">
        <f t="shared" si="16"/>
        <v>0</v>
      </c>
      <c r="X24" s="39">
        <f t="shared" si="16"/>
        <v>0</v>
      </c>
      <c r="Y24" s="39">
        <f t="shared" si="16"/>
        <v>6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66</v>
      </c>
      <c r="AD24" s="39">
        <f t="shared" si="16"/>
        <v>0</v>
      </c>
      <c r="AE24" s="40">
        <f t="shared" si="16"/>
        <v>18</v>
      </c>
      <c r="AF24" s="40">
        <f t="shared" si="16"/>
        <v>84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15</v>
      </c>
      <c r="N25" s="50">
        <v>0</v>
      </c>
      <c r="O25" s="15">
        <f t="shared" si="0"/>
        <v>2</v>
      </c>
      <c r="P25" s="15">
        <f t="shared" si="1"/>
        <v>17</v>
      </c>
      <c r="R25" s="37" t="s">
        <v>85</v>
      </c>
      <c r="S25" s="35">
        <f t="shared" ref="S25:AF25" si="17">SUM(S10:S12)</f>
        <v>7</v>
      </c>
      <c r="T25" s="16">
        <f t="shared" si="17"/>
        <v>0</v>
      </c>
      <c r="U25" s="16">
        <f t="shared" si="17"/>
        <v>9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11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115</v>
      </c>
      <c r="AD25" s="16">
        <f t="shared" si="17"/>
        <v>0</v>
      </c>
      <c r="AE25" s="32">
        <f t="shared" si="17"/>
        <v>28</v>
      </c>
      <c r="AF25" s="32">
        <f t="shared" si="17"/>
        <v>143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14</v>
      </c>
      <c r="N26" s="50">
        <v>0</v>
      </c>
      <c r="O26" s="15">
        <f t="shared" si="0"/>
        <v>3</v>
      </c>
      <c r="P26" s="15">
        <f t="shared" si="1"/>
        <v>17</v>
      </c>
      <c r="R26" s="28" t="s">
        <v>86</v>
      </c>
      <c r="S26" s="16">
        <f t="shared" ref="S26:AF26" si="18">SUM(S13:S18)</f>
        <v>24</v>
      </c>
      <c r="T26" s="16">
        <f t="shared" si="18"/>
        <v>0</v>
      </c>
      <c r="U26" s="16">
        <f t="shared" si="18"/>
        <v>14</v>
      </c>
      <c r="V26" s="16">
        <f t="shared" si="18"/>
        <v>8</v>
      </c>
      <c r="W26" s="16">
        <f t="shared" si="18"/>
        <v>0</v>
      </c>
      <c r="X26" s="16">
        <f t="shared" si="18"/>
        <v>0</v>
      </c>
      <c r="Y26" s="16">
        <f t="shared" si="18"/>
        <v>30</v>
      </c>
      <c r="Z26" s="16">
        <f t="shared" si="18"/>
        <v>2</v>
      </c>
      <c r="AA26" s="16">
        <f t="shared" si="18"/>
        <v>0</v>
      </c>
      <c r="AB26" s="16">
        <f t="shared" si="18"/>
        <v>0</v>
      </c>
      <c r="AC26" s="16">
        <f t="shared" si="18"/>
        <v>313</v>
      </c>
      <c r="AD26" s="16">
        <f t="shared" si="18"/>
        <v>0</v>
      </c>
      <c r="AE26" s="32">
        <f t="shared" si="18"/>
        <v>78</v>
      </c>
      <c r="AF26" s="32">
        <f t="shared" si="18"/>
        <v>391</v>
      </c>
    </row>
    <row r="27" spans="2:32" ht="23.1" customHeight="1" x14ac:dyDescent="0.25">
      <c r="B27" s="23" t="s">
        <v>54</v>
      </c>
      <c r="C27" s="50">
        <v>2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18</v>
      </c>
      <c r="N27" s="50">
        <v>0</v>
      </c>
      <c r="O27" s="15">
        <f t="shared" si="0"/>
        <v>3</v>
      </c>
      <c r="P27" s="15">
        <f t="shared" si="1"/>
        <v>21</v>
      </c>
      <c r="R27" s="29" t="s">
        <v>87</v>
      </c>
      <c r="S27" s="16">
        <f t="shared" ref="S27:AF27" si="19">SUM(S19:S21)</f>
        <v>18</v>
      </c>
      <c r="T27" s="16">
        <f t="shared" si="19"/>
        <v>0</v>
      </c>
      <c r="U27" s="16">
        <f t="shared" si="19"/>
        <v>15</v>
      </c>
      <c r="V27" s="16">
        <f t="shared" si="19"/>
        <v>4</v>
      </c>
      <c r="W27" s="16">
        <f t="shared" si="19"/>
        <v>0</v>
      </c>
      <c r="X27" s="16">
        <f t="shared" si="19"/>
        <v>0</v>
      </c>
      <c r="Y27" s="16">
        <f t="shared" si="19"/>
        <v>14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185</v>
      </c>
      <c r="AD27" s="16">
        <f t="shared" si="19"/>
        <v>0</v>
      </c>
      <c r="AE27" s="32">
        <f t="shared" si="19"/>
        <v>51</v>
      </c>
      <c r="AF27" s="32">
        <f t="shared" si="19"/>
        <v>236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14</v>
      </c>
      <c r="N28" s="50">
        <v>0</v>
      </c>
      <c r="O28" s="15">
        <f t="shared" si="0"/>
        <v>4</v>
      </c>
      <c r="P28" s="15">
        <f t="shared" si="1"/>
        <v>18</v>
      </c>
      <c r="R28" s="5" t="s">
        <v>17</v>
      </c>
      <c r="S28" s="16">
        <f t="shared" ref="S28:AF28" si="20">SUM(S10:S21)</f>
        <v>49</v>
      </c>
      <c r="T28" s="16">
        <f t="shared" si="20"/>
        <v>0</v>
      </c>
      <c r="U28" s="16">
        <f t="shared" si="20"/>
        <v>38</v>
      </c>
      <c r="V28" s="16">
        <f t="shared" si="20"/>
        <v>13</v>
      </c>
      <c r="W28" s="16">
        <f t="shared" si="20"/>
        <v>0</v>
      </c>
      <c r="X28" s="16">
        <f t="shared" si="20"/>
        <v>0</v>
      </c>
      <c r="Y28" s="16">
        <f t="shared" si="20"/>
        <v>55</v>
      </c>
      <c r="Z28" s="16">
        <f t="shared" si="20"/>
        <v>2</v>
      </c>
      <c r="AA28" s="16">
        <f t="shared" si="20"/>
        <v>0</v>
      </c>
      <c r="AB28" s="16">
        <f t="shared" si="20"/>
        <v>0</v>
      </c>
      <c r="AC28" s="16">
        <f t="shared" si="20"/>
        <v>613</v>
      </c>
      <c r="AD28" s="16">
        <f t="shared" si="20"/>
        <v>0</v>
      </c>
      <c r="AE28" s="32">
        <f t="shared" si="20"/>
        <v>157</v>
      </c>
      <c r="AF28" s="32">
        <f t="shared" si="20"/>
        <v>770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15</v>
      </c>
      <c r="N29" s="50">
        <v>0</v>
      </c>
      <c r="O29" s="15">
        <f t="shared" si="0"/>
        <v>1</v>
      </c>
      <c r="P29" s="15">
        <f t="shared" si="1"/>
        <v>16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13</v>
      </c>
      <c r="N30" s="50">
        <v>0</v>
      </c>
      <c r="O30" s="15">
        <f t="shared" si="0"/>
        <v>6</v>
      </c>
      <c r="P30" s="15">
        <f t="shared" si="1"/>
        <v>19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11</v>
      </c>
      <c r="N31" s="50">
        <v>0</v>
      </c>
      <c r="O31" s="15">
        <f t="shared" si="0"/>
        <v>3</v>
      </c>
      <c r="P31" s="15">
        <f t="shared" si="1"/>
        <v>14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3</v>
      </c>
      <c r="F32" s="50">
        <v>0</v>
      </c>
      <c r="G32" s="50">
        <v>0</v>
      </c>
      <c r="H32" s="50">
        <v>0</v>
      </c>
      <c r="I32" s="50">
        <v>3</v>
      </c>
      <c r="J32" s="50">
        <v>1</v>
      </c>
      <c r="K32" s="50">
        <v>0</v>
      </c>
      <c r="L32" s="50">
        <v>0</v>
      </c>
      <c r="M32" s="50">
        <v>10</v>
      </c>
      <c r="N32" s="50">
        <v>0</v>
      </c>
      <c r="O32" s="15">
        <f t="shared" si="0"/>
        <v>9</v>
      </c>
      <c r="P32" s="15">
        <f t="shared" si="1"/>
        <v>19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10</v>
      </c>
      <c r="N33" s="50">
        <v>0</v>
      </c>
      <c r="O33" s="15">
        <f t="shared" si="0"/>
        <v>3</v>
      </c>
      <c r="P33" s="15">
        <f t="shared" si="1"/>
        <v>13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23</v>
      </c>
      <c r="N34" s="50">
        <v>0</v>
      </c>
      <c r="O34" s="15">
        <f t="shared" si="0"/>
        <v>0</v>
      </c>
      <c r="P34" s="15">
        <f t="shared" si="1"/>
        <v>23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14</v>
      </c>
      <c r="N35" s="50">
        <v>0</v>
      </c>
      <c r="O35" s="15">
        <f t="shared" si="0"/>
        <v>1</v>
      </c>
      <c r="P35" s="15">
        <f t="shared" si="1"/>
        <v>15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8</v>
      </c>
      <c r="N36" s="50">
        <v>0</v>
      </c>
      <c r="O36" s="15">
        <f t="shared" si="0"/>
        <v>2</v>
      </c>
      <c r="P36" s="15">
        <f t="shared" si="1"/>
        <v>10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20</v>
      </c>
      <c r="N37" s="50">
        <v>0</v>
      </c>
      <c r="O37" s="15">
        <f t="shared" si="0"/>
        <v>1</v>
      </c>
      <c r="P37" s="15">
        <f t="shared" si="1"/>
        <v>21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12</v>
      </c>
      <c r="N38" s="50">
        <v>0</v>
      </c>
      <c r="O38" s="15">
        <f t="shared" si="0"/>
        <v>2</v>
      </c>
      <c r="P38" s="15">
        <f t="shared" si="1"/>
        <v>14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17</v>
      </c>
      <c r="N39" s="50">
        <v>0</v>
      </c>
      <c r="O39" s="15">
        <f t="shared" si="0"/>
        <v>6</v>
      </c>
      <c r="P39" s="15">
        <f t="shared" si="1"/>
        <v>23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11</v>
      </c>
      <c r="N40" s="50">
        <v>0</v>
      </c>
      <c r="O40" s="15">
        <f t="shared" si="0"/>
        <v>3</v>
      </c>
      <c r="P40" s="15">
        <f t="shared" si="1"/>
        <v>14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11</v>
      </c>
      <c r="N41" s="50">
        <v>0</v>
      </c>
      <c r="O41" s="15">
        <f t="shared" si="0"/>
        <v>4</v>
      </c>
      <c r="P41" s="15">
        <f t="shared" si="1"/>
        <v>15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11</v>
      </c>
      <c r="N42" s="50">
        <v>0</v>
      </c>
      <c r="O42" s="15">
        <f t="shared" si="0"/>
        <v>3</v>
      </c>
      <c r="P42" s="15">
        <f t="shared" si="1"/>
        <v>14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2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7</v>
      </c>
      <c r="N43" s="50">
        <v>0</v>
      </c>
      <c r="O43" s="15">
        <f t="shared" si="0"/>
        <v>5</v>
      </c>
      <c r="P43" s="15">
        <f t="shared" si="1"/>
        <v>12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7</v>
      </c>
      <c r="N44" s="50">
        <v>0</v>
      </c>
      <c r="O44" s="15">
        <f t="shared" si="0"/>
        <v>3</v>
      </c>
      <c r="P44" s="15">
        <f t="shared" si="1"/>
        <v>10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3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15</v>
      </c>
      <c r="N45" s="50">
        <v>0</v>
      </c>
      <c r="O45" s="15">
        <f t="shared" si="0"/>
        <v>3</v>
      </c>
      <c r="P45" s="15">
        <f t="shared" si="1"/>
        <v>18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7</v>
      </c>
      <c r="N46" s="50">
        <v>0</v>
      </c>
      <c r="O46" s="15">
        <f t="shared" si="0"/>
        <v>4</v>
      </c>
      <c r="P46" s="15">
        <f t="shared" si="1"/>
        <v>11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3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21</v>
      </c>
      <c r="N47" s="50">
        <v>0</v>
      </c>
      <c r="O47" s="15">
        <f t="shared" si="0"/>
        <v>7</v>
      </c>
      <c r="P47" s="15">
        <f t="shared" si="1"/>
        <v>28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22</v>
      </c>
      <c r="N48" s="50">
        <v>0</v>
      </c>
      <c r="O48" s="15">
        <f t="shared" si="0"/>
        <v>2</v>
      </c>
      <c r="P48" s="15">
        <f t="shared" si="1"/>
        <v>24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2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16</v>
      </c>
      <c r="N49" s="50">
        <v>0</v>
      </c>
      <c r="O49" s="15">
        <f t="shared" si="0"/>
        <v>5</v>
      </c>
      <c r="P49" s="15">
        <f t="shared" si="1"/>
        <v>21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1</v>
      </c>
      <c r="F50" s="50">
        <v>1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19</v>
      </c>
      <c r="N50" s="50">
        <v>0</v>
      </c>
      <c r="O50" s="15">
        <f t="shared" si="0"/>
        <v>4</v>
      </c>
      <c r="P50" s="15">
        <f t="shared" si="1"/>
        <v>23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15</v>
      </c>
      <c r="N51" s="50">
        <v>0</v>
      </c>
      <c r="O51" s="15">
        <f t="shared" si="0"/>
        <v>3</v>
      </c>
      <c r="P51" s="15">
        <f t="shared" si="1"/>
        <v>18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16</v>
      </c>
      <c r="N52" s="50">
        <v>0</v>
      </c>
      <c r="O52" s="15">
        <f t="shared" si="0"/>
        <v>5</v>
      </c>
      <c r="P52" s="15">
        <f t="shared" si="1"/>
        <v>21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2</v>
      </c>
      <c r="F53" s="50">
        <v>1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14</v>
      </c>
      <c r="N53" s="50">
        <v>0</v>
      </c>
      <c r="O53" s="15">
        <f t="shared" si="0"/>
        <v>6</v>
      </c>
      <c r="P53" s="15">
        <f t="shared" si="1"/>
        <v>20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15</v>
      </c>
      <c r="N54" s="50">
        <v>0</v>
      </c>
      <c r="O54" s="15">
        <f t="shared" si="0"/>
        <v>2</v>
      </c>
      <c r="P54" s="15">
        <f t="shared" si="1"/>
        <v>17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21</v>
      </c>
      <c r="N55" s="50">
        <v>0</v>
      </c>
      <c r="O55" s="15">
        <f t="shared" si="0"/>
        <v>4</v>
      </c>
      <c r="P55" s="15">
        <f t="shared" si="1"/>
        <v>25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0</v>
      </c>
      <c r="E56" s="50">
        <v>3</v>
      </c>
      <c r="F56" s="50">
        <v>1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12</v>
      </c>
      <c r="N56" s="50">
        <v>0</v>
      </c>
      <c r="O56" s="15">
        <f t="shared" si="0"/>
        <v>8</v>
      </c>
      <c r="P56" s="15">
        <f t="shared" si="1"/>
        <v>20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7</v>
      </c>
      <c r="N57" s="50">
        <v>0</v>
      </c>
      <c r="O57" s="15">
        <f t="shared" si="0"/>
        <v>1</v>
      </c>
      <c r="P57" s="15">
        <f t="shared" si="1"/>
        <v>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49</v>
      </c>
      <c r="D58" s="16">
        <f t="shared" si="21"/>
        <v>0</v>
      </c>
      <c r="E58" s="16">
        <f t="shared" si="21"/>
        <v>38</v>
      </c>
      <c r="F58" s="16">
        <f t="shared" si="21"/>
        <v>13</v>
      </c>
      <c r="G58" s="16">
        <f t="shared" si="21"/>
        <v>0</v>
      </c>
      <c r="H58" s="16">
        <f t="shared" si="21"/>
        <v>0</v>
      </c>
      <c r="I58" s="16">
        <f t="shared" si="21"/>
        <v>55</v>
      </c>
      <c r="J58" s="16">
        <f t="shared" si="21"/>
        <v>2</v>
      </c>
      <c r="K58" s="16">
        <f t="shared" si="21"/>
        <v>0</v>
      </c>
      <c r="L58" s="16">
        <f t="shared" si="21"/>
        <v>0</v>
      </c>
      <c r="M58" s="16">
        <f t="shared" si="21"/>
        <v>613</v>
      </c>
      <c r="N58" s="16">
        <f t="shared" si="21"/>
        <v>0</v>
      </c>
      <c r="O58" s="16">
        <f t="shared" si="21"/>
        <v>157</v>
      </c>
      <c r="P58" s="16">
        <f t="shared" si="21"/>
        <v>770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6.363636363636363E-2</v>
      </c>
      <c r="D59" s="43">
        <f t="shared" si="22"/>
        <v>0</v>
      </c>
      <c r="E59" s="43">
        <f t="shared" si="22"/>
        <v>4.9350649350649353E-2</v>
      </c>
      <c r="F59" s="43">
        <f t="shared" si="22"/>
        <v>1.6883116883116882E-2</v>
      </c>
      <c r="G59" s="43">
        <f t="shared" si="22"/>
        <v>0</v>
      </c>
      <c r="H59" s="43">
        <f t="shared" si="22"/>
        <v>0</v>
      </c>
      <c r="I59" s="43">
        <f t="shared" si="22"/>
        <v>7.1428571428571425E-2</v>
      </c>
      <c r="J59" s="43">
        <f t="shared" si="22"/>
        <v>2.5974025974025974E-3</v>
      </c>
      <c r="K59" s="43">
        <f t="shared" si="22"/>
        <v>0</v>
      </c>
      <c r="L59" s="43">
        <f t="shared" si="22"/>
        <v>0</v>
      </c>
      <c r="M59" s="43">
        <f t="shared" si="22"/>
        <v>0.79610389610389609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0.31210191082802546</v>
      </c>
      <c r="D60" s="44">
        <f t="shared" ref="D60:N60" si="23">D58/$O$58</f>
        <v>0</v>
      </c>
      <c r="E60" s="44">
        <f t="shared" si="23"/>
        <v>0.24203821656050956</v>
      </c>
      <c r="F60" s="44">
        <f t="shared" si="23"/>
        <v>8.2802547770700632E-2</v>
      </c>
      <c r="G60" s="44">
        <f t="shared" si="23"/>
        <v>0</v>
      </c>
      <c r="H60" s="44">
        <f t="shared" si="23"/>
        <v>0</v>
      </c>
      <c r="I60" s="44">
        <f t="shared" si="23"/>
        <v>0.3503184713375796</v>
      </c>
      <c r="J60" s="44">
        <f t="shared" si="23"/>
        <v>1.2738853503184714E-2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A88" zoomScale="60" workbookViewId="0">
      <selection activeCell="F102" sqref="F10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'17.8 BUSUNJU-KAMPALA'!C3:G3</f>
        <v>MCC-C3-STN-HOIMA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170</v>
      </c>
      <c r="E5" s="67"/>
      <c r="F5" s="41" t="s">
        <v>1</v>
      </c>
      <c r="G5" s="64" t="str">
        <f>'17.8 KAMPALA-BUSUNJU'!G5:H5</f>
        <v>WAKISO</v>
      </c>
      <c r="H5" s="65"/>
      <c r="I5" s="14"/>
      <c r="J5" s="2" t="s">
        <v>5</v>
      </c>
      <c r="K5" s="64">
        <f>'17.8 KAMPALA-BUSUNJU'!K5:L5</f>
        <v>0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'17.8 KAMPALA-BUSUNJU'!D6:E6</f>
        <v>KAMPALA</v>
      </c>
      <c r="E6" s="65"/>
      <c r="F6" s="2" t="s">
        <v>2</v>
      </c>
      <c r="G6" s="64" t="str">
        <f>'17.8 KAMPALA-BUSUNJU'!G6:H6</f>
        <v>BUSUNJU</v>
      </c>
      <c r="H6" s="65"/>
      <c r="J6" s="2" t="s">
        <v>21</v>
      </c>
      <c r="K6" s="64">
        <f>'17.8 KAMPALA-BUSUNJU'!K6:L6</f>
        <v>0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AVERAGE('11.8 KAMPALA-BUSUNJU'!C10,'12.8 BUSUNJU-KAMPALA'!C10,'13.8 KAMPALA-BUSUNJU'!C10,'14.8 KAMPALA-BUSUNJU'!C10,'15.8 KAMPALA-BUSUNJU-24 HRS'!C10,'16.8 BUSUNJU-KAMPALA-24HRS'!C10,'17.8 KAMPALA-BUSUNJU'!C10)</f>
        <v>1</v>
      </c>
      <c r="D10" s="49">
        <f>AVERAGE('11.8 KAMPALA-BUSUNJU'!D10,'12.8 BUSUNJU-KAMPALA'!D10,'13.8 KAMPALA-BUSUNJU'!D10,'14.8 KAMPALA-BUSUNJU'!D10,'15.8 KAMPALA-BUSUNJU-24 HRS'!D10,'16.8 BUSUNJU-KAMPALA-24HRS'!D10,'17.8 KAMPALA-BUSUNJU'!D10)</f>
        <v>0</v>
      </c>
      <c r="E10" s="49">
        <f>AVERAGE('11.8 KAMPALA-BUSUNJU'!E10,'12.8 BUSUNJU-KAMPALA'!E10,'13.8 KAMPALA-BUSUNJU'!E10,'14.8 KAMPALA-BUSUNJU'!E10,'15.8 KAMPALA-BUSUNJU-24 HRS'!E10,'16.8 BUSUNJU-KAMPALA-24HRS'!E10,'17.8 KAMPALA-BUSUNJU'!E10)</f>
        <v>0.5714285714285714</v>
      </c>
      <c r="F10" s="49">
        <f>AVERAGE('11.8 KAMPALA-BUSUNJU'!F10,'12.8 BUSUNJU-KAMPALA'!F10,'13.8 KAMPALA-BUSUNJU'!F10,'14.8 KAMPALA-BUSUNJU'!F10,'15.8 KAMPALA-BUSUNJU-24 HRS'!F10,'16.8 BUSUNJU-KAMPALA-24HRS'!F10,'17.8 KAMPALA-BUSUNJU'!F10)</f>
        <v>0.14285714285714285</v>
      </c>
      <c r="G10" s="49">
        <f>AVERAGE('11.8 KAMPALA-BUSUNJU'!G10,'12.8 BUSUNJU-KAMPALA'!G10,'13.8 KAMPALA-BUSUNJU'!G10,'14.8 KAMPALA-BUSUNJU'!G10,'15.8 KAMPALA-BUSUNJU-24 HRS'!G10,'16.8 BUSUNJU-KAMPALA-24HRS'!G10,'17.8 KAMPALA-BUSUNJU'!G10)</f>
        <v>0</v>
      </c>
      <c r="H10" s="49">
        <f>AVERAGE('11.8 KAMPALA-BUSUNJU'!H10,'12.8 BUSUNJU-KAMPALA'!H10,'13.8 KAMPALA-BUSUNJU'!H10,'14.8 KAMPALA-BUSUNJU'!H10,'15.8 KAMPALA-BUSUNJU-24 HRS'!H10,'16.8 BUSUNJU-KAMPALA-24HRS'!H10,'17.8 KAMPALA-BUSUNJU'!H10)</f>
        <v>0</v>
      </c>
      <c r="I10" s="49">
        <f>AVERAGE('11.8 KAMPALA-BUSUNJU'!I10,'12.8 BUSUNJU-KAMPALA'!I10,'13.8 KAMPALA-BUSUNJU'!I10,'14.8 KAMPALA-BUSUNJU'!I10,'15.8 KAMPALA-BUSUNJU-24 HRS'!I10,'16.8 BUSUNJU-KAMPALA-24HRS'!I10,'17.8 KAMPALA-BUSUNJU'!I10)</f>
        <v>0.5714285714285714</v>
      </c>
      <c r="J10" s="49">
        <f>AVERAGE('11.8 KAMPALA-BUSUNJU'!J10,'12.8 BUSUNJU-KAMPALA'!J10,'13.8 KAMPALA-BUSUNJU'!J10,'14.8 KAMPALA-BUSUNJU'!J10,'15.8 KAMPALA-BUSUNJU-24 HRS'!J10,'16.8 BUSUNJU-KAMPALA-24HRS'!J10,'17.8 KAMPALA-BUSUNJU'!J10)</f>
        <v>0</v>
      </c>
      <c r="K10" s="49">
        <f>AVERAGE('11.8 KAMPALA-BUSUNJU'!K10,'12.8 BUSUNJU-KAMPALA'!K10,'13.8 KAMPALA-BUSUNJU'!K10,'14.8 KAMPALA-BUSUNJU'!K10,'15.8 KAMPALA-BUSUNJU-24 HRS'!K10,'16.8 BUSUNJU-KAMPALA-24HRS'!K10,'17.8 KAMPALA-BUSUNJU'!K10)</f>
        <v>0</v>
      </c>
      <c r="L10" s="49">
        <f>AVERAGE('11.8 KAMPALA-BUSUNJU'!L10,'12.8 BUSUNJU-KAMPALA'!L10,'13.8 KAMPALA-BUSUNJU'!L10,'14.8 KAMPALA-BUSUNJU'!L10,'15.8 KAMPALA-BUSUNJU-24 HRS'!L10,'16.8 BUSUNJU-KAMPALA-24HRS'!L10,'17.8 KAMPALA-BUSUNJU'!L10)</f>
        <v>0</v>
      </c>
      <c r="M10" s="49">
        <f>AVERAGE('11.8 KAMPALA-BUSUNJU'!M10,'12.8 BUSUNJU-KAMPALA'!M10,'13.8 KAMPALA-BUSUNJU'!M10,'14.8 KAMPALA-BUSUNJU'!M10,'15.8 KAMPALA-BUSUNJU-24 HRS'!M10,'16.8 BUSUNJU-KAMPALA-24HRS'!M10,'17.8 KAMPALA-BUSUNJU'!M10)</f>
        <v>8.5714285714285712</v>
      </c>
      <c r="N10" s="49">
        <f>AVERAGE('11.8 KAMPALA-BUSUNJU'!N10,'12.8 BUSUNJU-KAMPALA'!N10,'13.8 KAMPALA-BUSUNJU'!N10,'14.8 KAMPALA-BUSUNJU'!N10,'15.8 KAMPALA-BUSUNJU-24 HRS'!N10,'16.8 BUSUNJU-KAMPALA-24HRS'!N10,'17.8 KAMPALA-BUSUNJU'!N10)</f>
        <v>0</v>
      </c>
      <c r="O10" s="15">
        <f t="shared" ref="O10:O58" si="0">SUM(C10:L10,N10)</f>
        <v>2.2857142857142856</v>
      </c>
      <c r="P10" s="15">
        <f t="shared" ref="P10:P58" si="1">SUM(C10:N10)</f>
        <v>10.857142857142858</v>
      </c>
      <c r="R10" s="1" t="s">
        <v>6</v>
      </c>
      <c r="S10" s="17">
        <f t="shared" ref="S10:AF10" si="2">SUM(C10:C13)</f>
        <v>3.1428571428571432</v>
      </c>
      <c r="T10" s="17">
        <f t="shared" si="2"/>
        <v>0</v>
      </c>
      <c r="U10" s="17">
        <f t="shared" si="2"/>
        <v>2.2857142857142856</v>
      </c>
      <c r="V10" s="17">
        <f t="shared" si="2"/>
        <v>0.71428571428571419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41</v>
      </c>
      <c r="AD10" s="17">
        <f t="shared" si="2"/>
        <v>0</v>
      </c>
      <c r="AE10" s="31">
        <f t="shared" si="2"/>
        <v>8.1428571428571423</v>
      </c>
      <c r="AF10" s="31">
        <f t="shared" si="2"/>
        <v>49.142857142857139</v>
      </c>
    </row>
    <row r="11" spans="2:32" s="6" customFormat="1" ht="23.1" customHeight="1" x14ac:dyDescent="0.25">
      <c r="B11" s="23" t="s">
        <v>38</v>
      </c>
      <c r="C11" s="49">
        <f>AVERAGE('11.8 KAMPALA-BUSUNJU'!C11,'12.8 BUSUNJU-KAMPALA'!C11,'13.8 KAMPALA-BUSUNJU'!C11,'14.8 KAMPALA-BUSUNJU'!C11,'15.8 KAMPALA-BUSUNJU-24 HRS'!C11,'16.8 BUSUNJU-KAMPALA-24HRS'!C11,'17.8 KAMPALA-BUSUNJU'!C11)</f>
        <v>0.7142857142857143</v>
      </c>
      <c r="D11" s="49">
        <f>AVERAGE('11.8 KAMPALA-BUSUNJU'!D11,'12.8 BUSUNJU-KAMPALA'!D11,'13.8 KAMPALA-BUSUNJU'!D11,'14.8 KAMPALA-BUSUNJU'!D11,'15.8 KAMPALA-BUSUNJU-24 HRS'!D11,'16.8 BUSUNJU-KAMPALA-24HRS'!D11,'17.8 KAMPALA-BUSUNJU'!D11)</f>
        <v>0</v>
      </c>
      <c r="E11" s="49">
        <f>AVERAGE('11.8 KAMPALA-BUSUNJU'!E11,'12.8 BUSUNJU-KAMPALA'!E11,'13.8 KAMPALA-BUSUNJU'!E11,'14.8 KAMPALA-BUSUNJU'!E11,'15.8 KAMPALA-BUSUNJU-24 HRS'!E11,'16.8 BUSUNJU-KAMPALA-24HRS'!E11,'17.8 KAMPALA-BUSUNJU'!E11)</f>
        <v>0.2857142857142857</v>
      </c>
      <c r="F11" s="49">
        <f>AVERAGE('11.8 KAMPALA-BUSUNJU'!F11,'12.8 BUSUNJU-KAMPALA'!F11,'13.8 KAMPALA-BUSUNJU'!F11,'14.8 KAMPALA-BUSUNJU'!F11,'15.8 KAMPALA-BUSUNJU-24 HRS'!F11,'16.8 BUSUNJU-KAMPALA-24HRS'!F11,'17.8 KAMPALA-BUSUNJU'!F11)</f>
        <v>0.14285714285714285</v>
      </c>
      <c r="G11" s="49">
        <f>AVERAGE('11.8 KAMPALA-BUSUNJU'!G11,'12.8 BUSUNJU-KAMPALA'!G11,'13.8 KAMPALA-BUSUNJU'!G11,'14.8 KAMPALA-BUSUNJU'!G11,'15.8 KAMPALA-BUSUNJU-24 HRS'!G11,'16.8 BUSUNJU-KAMPALA-24HRS'!G11,'17.8 KAMPALA-BUSUNJU'!G11)</f>
        <v>0</v>
      </c>
      <c r="H11" s="49">
        <f>AVERAGE('11.8 KAMPALA-BUSUNJU'!H11,'12.8 BUSUNJU-KAMPALA'!H11,'13.8 KAMPALA-BUSUNJU'!H11,'14.8 KAMPALA-BUSUNJU'!H11,'15.8 KAMPALA-BUSUNJU-24 HRS'!H11,'16.8 BUSUNJU-KAMPALA-24HRS'!H11,'17.8 KAMPALA-BUSUNJU'!H11)</f>
        <v>0</v>
      </c>
      <c r="I11" s="49">
        <f>AVERAGE('11.8 KAMPALA-BUSUNJU'!I11,'12.8 BUSUNJU-KAMPALA'!I11,'13.8 KAMPALA-BUSUNJU'!I11,'14.8 KAMPALA-BUSUNJU'!I11,'15.8 KAMPALA-BUSUNJU-24 HRS'!I11,'16.8 BUSUNJU-KAMPALA-24HRS'!I11,'17.8 KAMPALA-BUSUNJU'!I11)</f>
        <v>0.14285714285714285</v>
      </c>
      <c r="J11" s="49">
        <f>AVERAGE('11.8 KAMPALA-BUSUNJU'!J11,'12.8 BUSUNJU-KAMPALA'!J11,'13.8 KAMPALA-BUSUNJU'!J11,'14.8 KAMPALA-BUSUNJU'!J11,'15.8 KAMPALA-BUSUNJU-24 HRS'!J11,'16.8 BUSUNJU-KAMPALA-24HRS'!J11,'17.8 KAMPALA-BUSUNJU'!J11)</f>
        <v>0</v>
      </c>
      <c r="K11" s="49">
        <f>AVERAGE('11.8 KAMPALA-BUSUNJU'!K11,'12.8 BUSUNJU-KAMPALA'!K11,'13.8 KAMPALA-BUSUNJU'!K11,'14.8 KAMPALA-BUSUNJU'!K11,'15.8 KAMPALA-BUSUNJU-24 HRS'!K11,'16.8 BUSUNJU-KAMPALA-24HRS'!K11,'17.8 KAMPALA-BUSUNJU'!K11)</f>
        <v>0</v>
      </c>
      <c r="L11" s="49">
        <f>AVERAGE('11.8 KAMPALA-BUSUNJU'!L11,'12.8 BUSUNJU-KAMPALA'!L11,'13.8 KAMPALA-BUSUNJU'!L11,'14.8 KAMPALA-BUSUNJU'!L11,'15.8 KAMPALA-BUSUNJU-24 HRS'!L11,'16.8 BUSUNJU-KAMPALA-24HRS'!L11,'17.8 KAMPALA-BUSUNJU'!L11)</f>
        <v>0</v>
      </c>
      <c r="M11" s="49">
        <f>AVERAGE('11.8 KAMPALA-BUSUNJU'!M11,'12.8 BUSUNJU-KAMPALA'!M11,'13.8 KAMPALA-BUSUNJU'!M11,'14.8 KAMPALA-BUSUNJU'!M11,'15.8 KAMPALA-BUSUNJU-24 HRS'!M11,'16.8 BUSUNJU-KAMPALA-24HRS'!M11,'17.8 KAMPALA-BUSUNJU'!M11)</f>
        <v>10.857142857142858</v>
      </c>
      <c r="N11" s="49">
        <f>AVERAGE('11.8 KAMPALA-BUSUNJU'!N11,'12.8 BUSUNJU-KAMPALA'!N11,'13.8 KAMPALA-BUSUNJU'!N11,'14.8 KAMPALA-BUSUNJU'!N11,'15.8 KAMPALA-BUSUNJU-24 HRS'!N11,'16.8 BUSUNJU-KAMPALA-24HRS'!N11,'17.8 KAMPALA-BUSUNJU'!N11)</f>
        <v>0</v>
      </c>
      <c r="O11" s="15">
        <f t="shared" si="0"/>
        <v>1.2857142857142856</v>
      </c>
      <c r="P11" s="15">
        <f t="shared" si="1"/>
        <v>12.142857142857142</v>
      </c>
      <c r="R11" s="1" t="s">
        <v>7</v>
      </c>
      <c r="S11" s="17">
        <f t="shared" ref="S11:AF11" si="3">SUM(C14:C17)</f>
        <v>3.4285714285714288</v>
      </c>
      <c r="T11" s="17">
        <f t="shared" si="3"/>
        <v>0.14285714285714285</v>
      </c>
      <c r="U11" s="17">
        <f t="shared" si="3"/>
        <v>2.8571428571428568</v>
      </c>
      <c r="V11" s="17">
        <f t="shared" si="3"/>
        <v>1.1428571428571428</v>
      </c>
      <c r="W11" s="17">
        <f t="shared" si="3"/>
        <v>0.14285714285714285</v>
      </c>
      <c r="X11" s="17">
        <f t="shared" si="3"/>
        <v>0.14285714285714285</v>
      </c>
      <c r="Y11" s="17">
        <f t="shared" si="3"/>
        <v>3.7142857142857144</v>
      </c>
      <c r="Z11" s="17">
        <f t="shared" si="3"/>
        <v>0</v>
      </c>
      <c r="AA11" s="17">
        <f t="shared" si="3"/>
        <v>0</v>
      </c>
      <c r="AB11" s="17">
        <f t="shared" si="3"/>
        <v>0.14285714285714285</v>
      </c>
      <c r="AC11" s="17">
        <f t="shared" si="3"/>
        <v>53.142857142857139</v>
      </c>
      <c r="AD11" s="17">
        <f t="shared" si="3"/>
        <v>0</v>
      </c>
      <c r="AE11" s="31">
        <f t="shared" si="3"/>
        <v>11.714285714285714</v>
      </c>
      <c r="AF11" s="31">
        <f t="shared" si="3"/>
        <v>64.857142857142861</v>
      </c>
    </row>
    <row r="12" spans="2:32" ht="23.1" customHeight="1" x14ac:dyDescent="0.25">
      <c r="B12" s="23" t="s">
        <v>39</v>
      </c>
      <c r="C12" s="49">
        <f>AVERAGE('11.8 KAMPALA-BUSUNJU'!C12,'12.8 BUSUNJU-KAMPALA'!C12,'13.8 KAMPALA-BUSUNJU'!C12,'14.8 KAMPALA-BUSUNJU'!C12,'15.8 KAMPALA-BUSUNJU-24 HRS'!C12,'16.8 BUSUNJU-KAMPALA-24HRS'!C12,'17.8 KAMPALA-BUSUNJU'!C12)</f>
        <v>0.8571428571428571</v>
      </c>
      <c r="D12" s="49">
        <f>AVERAGE('11.8 KAMPALA-BUSUNJU'!D12,'12.8 BUSUNJU-KAMPALA'!D12,'13.8 KAMPALA-BUSUNJU'!D12,'14.8 KAMPALA-BUSUNJU'!D12,'15.8 KAMPALA-BUSUNJU-24 HRS'!D12,'16.8 BUSUNJU-KAMPALA-24HRS'!D12,'17.8 KAMPALA-BUSUNJU'!D12)</f>
        <v>0</v>
      </c>
      <c r="E12" s="49">
        <f>AVERAGE('11.8 KAMPALA-BUSUNJU'!E12,'12.8 BUSUNJU-KAMPALA'!E12,'13.8 KAMPALA-BUSUNJU'!E12,'14.8 KAMPALA-BUSUNJU'!E12,'15.8 KAMPALA-BUSUNJU-24 HRS'!E12,'16.8 BUSUNJU-KAMPALA-24HRS'!E12,'17.8 KAMPALA-BUSUNJU'!E12)</f>
        <v>0.8571428571428571</v>
      </c>
      <c r="F12" s="49">
        <f>AVERAGE('11.8 KAMPALA-BUSUNJU'!F12,'12.8 BUSUNJU-KAMPALA'!F12,'13.8 KAMPALA-BUSUNJU'!F12,'14.8 KAMPALA-BUSUNJU'!F12,'15.8 KAMPALA-BUSUNJU-24 HRS'!F12,'16.8 BUSUNJU-KAMPALA-24HRS'!F12,'17.8 KAMPALA-BUSUNJU'!F12)</f>
        <v>0.14285714285714285</v>
      </c>
      <c r="G12" s="49">
        <f>AVERAGE('11.8 KAMPALA-BUSUNJU'!G12,'12.8 BUSUNJU-KAMPALA'!G12,'13.8 KAMPALA-BUSUNJU'!G12,'14.8 KAMPALA-BUSUNJU'!G12,'15.8 KAMPALA-BUSUNJU-24 HRS'!G12,'16.8 BUSUNJU-KAMPALA-24HRS'!G12,'17.8 KAMPALA-BUSUNJU'!G12)</f>
        <v>0</v>
      </c>
      <c r="H12" s="49">
        <f>AVERAGE('11.8 KAMPALA-BUSUNJU'!H12,'12.8 BUSUNJU-KAMPALA'!H12,'13.8 KAMPALA-BUSUNJU'!H12,'14.8 KAMPALA-BUSUNJU'!H12,'15.8 KAMPALA-BUSUNJU-24 HRS'!H12,'16.8 BUSUNJU-KAMPALA-24HRS'!H12,'17.8 KAMPALA-BUSUNJU'!H12)</f>
        <v>0</v>
      </c>
      <c r="I12" s="49">
        <f>AVERAGE('11.8 KAMPALA-BUSUNJU'!I12,'12.8 BUSUNJU-KAMPALA'!I12,'13.8 KAMPALA-BUSUNJU'!I12,'14.8 KAMPALA-BUSUNJU'!I12,'15.8 KAMPALA-BUSUNJU-24 HRS'!I12,'16.8 BUSUNJU-KAMPALA-24HRS'!I12,'17.8 KAMPALA-BUSUNJU'!I12)</f>
        <v>0.5714285714285714</v>
      </c>
      <c r="J12" s="49">
        <f>AVERAGE('11.8 KAMPALA-BUSUNJU'!J12,'12.8 BUSUNJU-KAMPALA'!J12,'13.8 KAMPALA-BUSUNJU'!J12,'14.8 KAMPALA-BUSUNJU'!J12,'15.8 KAMPALA-BUSUNJU-24 HRS'!J12,'16.8 BUSUNJU-KAMPALA-24HRS'!J12,'17.8 KAMPALA-BUSUNJU'!J12)</f>
        <v>0</v>
      </c>
      <c r="K12" s="49">
        <f>AVERAGE('11.8 KAMPALA-BUSUNJU'!K12,'12.8 BUSUNJU-KAMPALA'!K12,'13.8 KAMPALA-BUSUNJU'!K12,'14.8 KAMPALA-BUSUNJU'!K12,'15.8 KAMPALA-BUSUNJU-24 HRS'!K12,'16.8 BUSUNJU-KAMPALA-24HRS'!K12,'17.8 KAMPALA-BUSUNJU'!K12)</f>
        <v>0</v>
      </c>
      <c r="L12" s="49">
        <f>AVERAGE('11.8 KAMPALA-BUSUNJU'!L12,'12.8 BUSUNJU-KAMPALA'!L12,'13.8 KAMPALA-BUSUNJU'!L12,'14.8 KAMPALA-BUSUNJU'!L12,'15.8 KAMPALA-BUSUNJU-24 HRS'!L12,'16.8 BUSUNJU-KAMPALA-24HRS'!L12,'17.8 KAMPALA-BUSUNJU'!L12)</f>
        <v>0</v>
      </c>
      <c r="M12" s="49">
        <f>AVERAGE('11.8 KAMPALA-BUSUNJU'!M12,'12.8 BUSUNJU-KAMPALA'!M12,'13.8 KAMPALA-BUSUNJU'!M12,'14.8 KAMPALA-BUSUNJU'!M12,'15.8 KAMPALA-BUSUNJU-24 HRS'!M12,'16.8 BUSUNJU-KAMPALA-24HRS'!M12,'17.8 KAMPALA-BUSUNJU'!M12)</f>
        <v>10.142857142857142</v>
      </c>
      <c r="N12" s="49">
        <f>AVERAGE('11.8 KAMPALA-BUSUNJU'!N12,'12.8 BUSUNJU-KAMPALA'!N12,'13.8 KAMPALA-BUSUNJU'!N12,'14.8 KAMPALA-BUSUNJU'!N12,'15.8 KAMPALA-BUSUNJU-24 HRS'!N12,'16.8 BUSUNJU-KAMPALA-24HRS'!N12,'17.8 KAMPALA-BUSUNJU'!N12)</f>
        <v>0</v>
      </c>
      <c r="O12" s="15">
        <f t="shared" si="0"/>
        <v>2.4285714285714284</v>
      </c>
      <c r="P12" s="15">
        <f t="shared" si="1"/>
        <v>12.571428571428571</v>
      </c>
      <c r="R12" s="1" t="s">
        <v>8</v>
      </c>
      <c r="S12" s="17">
        <f t="shared" ref="S12:AF12" si="4">SUM(C18:C21)</f>
        <v>2.7142857142857144</v>
      </c>
      <c r="T12" s="17">
        <f t="shared" si="4"/>
        <v>0.14285714285714285</v>
      </c>
      <c r="U12" s="17">
        <f t="shared" si="4"/>
        <v>2.4285714285714284</v>
      </c>
      <c r="V12" s="17">
        <f t="shared" si="4"/>
        <v>0.71428571428571419</v>
      </c>
      <c r="W12" s="17">
        <f t="shared" si="4"/>
        <v>0</v>
      </c>
      <c r="X12" s="17">
        <f t="shared" si="4"/>
        <v>0.14285714285714285</v>
      </c>
      <c r="Y12" s="17">
        <f t="shared" si="4"/>
        <v>2.4285714285714284</v>
      </c>
      <c r="Z12" s="17">
        <f t="shared" si="4"/>
        <v>0.5714285714285714</v>
      </c>
      <c r="AA12" s="17">
        <f t="shared" si="4"/>
        <v>0</v>
      </c>
      <c r="AB12" s="17">
        <f t="shared" si="4"/>
        <v>0.14285714285714285</v>
      </c>
      <c r="AC12" s="17">
        <f t="shared" si="4"/>
        <v>61.714285714285715</v>
      </c>
      <c r="AD12" s="17">
        <f t="shared" si="4"/>
        <v>0</v>
      </c>
      <c r="AE12" s="31">
        <f t="shared" si="4"/>
        <v>9.2857142857142847</v>
      </c>
      <c r="AF12" s="31">
        <f t="shared" si="4"/>
        <v>71</v>
      </c>
    </row>
    <row r="13" spans="2:32" ht="23.1" customHeight="1" x14ac:dyDescent="0.25">
      <c r="B13" s="23" t="s">
        <v>40</v>
      </c>
      <c r="C13" s="49">
        <f>AVERAGE('11.8 KAMPALA-BUSUNJU'!C13,'12.8 BUSUNJU-KAMPALA'!C13,'13.8 KAMPALA-BUSUNJU'!C13,'14.8 KAMPALA-BUSUNJU'!C13,'15.8 KAMPALA-BUSUNJU-24 HRS'!C13,'16.8 BUSUNJU-KAMPALA-24HRS'!C13,'17.8 KAMPALA-BUSUNJU'!C13)</f>
        <v>0.5714285714285714</v>
      </c>
      <c r="D13" s="49">
        <f>AVERAGE('11.8 KAMPALA-BUSUNJU'!D13,'12.8 BUSUNJU-KAMPALA'!D13,'13.8 KAMPALA-BUSUNJU'!D13,'14.8 KAMPALA-BUSUNJU'!D13,'15.8 KAMPALA-BUSUNJU-24 HRS'!D13,'16.8 BUSUNJU-KAMPALA-24HRS'!D13,'17.8 KAMPALA-BUSUNJU'!D13)</f>
        <v>0</v>
      </c>
      <c r="E13" s="49">
        <f>AVERAGE('11.8 KAMPALA-BUSUNJU'!E13,'12.8 BUSUNJU-KAMPALA'!E13,'13.8 KAMPALA-BUSUNJU'!E13,'14.8 KAMPALA-BUSUNJU'!E13,'15.8 KAMPALA-BUSUNJU-24 HRS'!E13,'16.8 BUSUNJU-KAMPALA-24HRS'!E13,'17.8 KAMPALA-BUSUNJU'!E13)</f>
        <v>0.5714285714285714</v>
      </c>
      <c r="F13" s="49">
        <f>AVERAGE('11.8 KAMPALA-BUSUNJU'!F13,'12.8 BUSUNJU-KAMPALA'!F13,'13.8 KAMPALA-BUSUNJU'!F13,'14.8 KAMPALA-BUSUNJU'!F13,'15.8 KAMPALA-BUSUNJU-24 HRS'!F13,'16.8 BUSUNJU-KAMPALA-24HRS'!F13,'17.8 KAMPALA-BUSUNJU'!F13)</f>
        <v>0.2857142857142857</v>
      </c>
      <c r="G13" s="49">
        <f>AVERAGE('11.8 KAMPALA-BUSUNJU'!G13,'12.8 BUSUNJU-KAMPALA'!G13,'13.8 KAMPALA-BUSUNJU'!G13,'14.8 KAMPALA-BUSUNJU'!G13,'15.8 KAMPALA-BUSUNJU-24 HRS'!G13,'16.8 BUSUNJU-KAMPALA-24HRS'!G13,'17.8 KAMPALA-BUSUNJU'!G13)</f>
        <v>0</v>
      </c>
      <c r="H13" s="49">
        <f>AVERAGE('11.8 KAMPALA-BUSUNJU'!H13,'12.8 BUSUNJU-KAMPALA'!H13,'13.8 KAMPALA-BUSUNJU'!H13,'14.8 KAMPALA-BUSUNJU'!H13,'15.8 KAMPALA-BUSUNJU-24 HRS'!H13,'16.8 BUSUNJU-KAMPALA-24HRS'!H13,'17.8 KAMPALA-BUSUNJU'!H13)</f>
        <v>0</v>
      </c>
      <c r="I13" s="49">
        <f>AVERAGE('11.8 KAMPALA-BUSUNJU'!I13,'12.8 BUSUNJU-KAMPALA'!I13,'13.8 KAMPALA-BUSUNJU'!I13,'14.8 KAMPALA-BUSUNJU'!I13,'15.8 KAMPALA-BUSUNJU-24 HRS'!I13,'16.8 BUSUNJU-KAMPALA-24HRS'!I13,'17.8 KAMPALA-BUSUNJU'!I13)</f>
        <v>0.7142857142857143</v>
      </c>
      <c r="J13" s="49">
        <f>AVERAGE('11.8 KAMPALA-BUSUNJU'!J13,'12.8 BUSUNJU-KAMPALA'!J13,'13.8 KAMPALA-BUSUNJU'!J13,'14.8 KAMPALA-BUSUNJU'!J13,'15.8 KAMPALA-BUSUNJU-24 HRS'!J13,'16.8 BUSUNJU-KAMPALA-24HRS'!J13,'17.8 KAMPALA-BUSUNJU'!J13)</f>
        <v>0</v>
      </c>
      <c r="K13" s="49">
        <f>AVERAGE('11.8 KAMPALA-BUSUNJU'!K13,'12.8 BUSUNJU-KAMPALA'!K13,'13.8 KAMPALA-BUSUNJU'!K13,'14.8 KAMPALA-BUSUNJU'!K13,'15.8 KAMPALA-BUSUNJU-24 HRS'!K13,'16.8 BUSUNJU-KAMPALA-24HRS'!K13,'17.8 KAMPALA-BUSUNJU'!K13)</f>
        <v>0</v>
      </c>
      <c r="L13" s="49">
        <f>AVERAGE('11.8 KAMPALA-BUSUNJU'!L13,'12.8 BUSUNJU-KAMPALA'!L13,'13.8 KAMPALA-BUSUNJU'!L13,'14.8 KAMPALA-BUSUNJU'!L13,'15.8 KAMPALA-BUSUNJU-24 HRS'!L13,'16.8 BUSUNJU-KAMPALA-24HRS'!L13,'17.8 KAMPALA-BUSUNJU'!L13)</f>
        <v>0</v>
      </c>
      <c r="M13" s="49">
        <f>AVERAGE('11.8 KAMPALA-BUSUNJU'!M13,'12.8 BUSUNJU-KAMPALA'!M13,'13.8 KAMPALA-BUSUNJU'!M13,'14.8 KAMPALA-BUSUNJU'!M13,'15.8 KAMPALA-BUSUNJU-24 HRS'!M13,'16.8 BUSUNJU-KAMPALA-24HRS'!M13,'17.8 KAMPALA-BUSUNJU'!M13)</f>
        <v>11.428571428571429</v>
      </c>
      <c r="N13" s="49">
        <f>AVERAGE('11.8 KAMPALA-BUSUNJU'!N13,'12.8 BUSUNJU-KAMPALA'!N13,'13.8 KAMPALA-BUSUNJU'!N13,'14.8 KAMPALA-BUSUNJU'!N13,'15.8 KAMPALA-BUSUNJU-24 HRS'!N13,'16.8 BUSUNJU-KAMPALA-24HRS'!N13,'17.8 KAMPALA-BUSUNJU'!N13)</f>
        <v>0</v>
      </c>
      <c r="O13" s="15">
        <f t="shared" si="0"/>
        <v>2.1428571428571428</v>
      </c>
      <c r="P13" s="15">
        <f t="shared" si="1"/>
        <v>13.571428571428571</v>
      </c>
      <c r="R13" s="1" t="s">
        <v>9</v>
      </c>
      <c r="S13" s="17">
        <f t="shared" ref="S13:AF13" si="5">SUM(C22:C25)</f>
        <v>2.8571428571428572</v>
      </c>
      <c r="T13" s="17">
        <f t="shared" si="5"/>
        <v>0.42857142857142855</v>
      </c>
      <c r="U13" s="17">
        <f t="shared" si="5"/>
        <v>3.7142857142857144</v>
      </c>
      <c r="V13" s="17">
        <f t="shared" si="5"/>
        <v>0.5714285714285714</v>
      </c>
      <c r="W13" s="17">
        <f t="shared" si="5"/>
        <v>0.42857142857142855</v>
      </c>
      <c r="X13" s="17">
        <f t="shared" si="5"/>
        <v>0.2857142857142857</v>
      </c>
      <c r="Y13" s="17">
        <f t="shared" si="5"/>
        <v>3.7142857142857144</v>
      </c>
      <c r="Z13" s="17">
        <f t="shared" si="5"/>
        <v>0.42857142857142855</v>
      </c>
      <c r="AA13" s="17">
        <f t="shared" si="5"/>
        <v>0</v>
      </c>
      <c r="AB13" s="17">
        <f t="shared" si="5"/>
        <v>0.14285714285714285</v>
      </c>
      <c r="AC13" s="17">
        <f t="shared" si="5"/>
        <v>59</v>
      </c>
      <c r="AD13" s="17">
        <f t="shared" si="5"/>
        <v>0</v>
      </c>
      <c r="AE13" s="31">
        <f t="shared" si="5"/>
        <v>12.571428571428571</v>
      </c>
      <c r="AF13" s="31">
        <f t="shared" si="5"/>
        <v>71.571428571428569</v>
      </c>
    </row>
    <row r="14" spans="2:32" ht="23.1" customHeight="1" x14ac:dyDescent="0.25">
      <c r="B14" s="23" t="s">
        <v>41</v>
      </c>
      <c r="C14" s="49">
        <f>AVERAGE('11.8 KAMPALA-BUSUNJU'!C14,'12.8 BUSUNJU-KAMPALA'!C14,'13.8 KAMPALA-BUSUNJU'!C14,'14.8 KAMPALA-BUSUNJU'!C14,'15.8 KAMPALA-BUSUNJU-24 HRS'!C14,'16.8 BUSUNJU-KAMPALA-24HRS'!C14,'17.8 KAMPALA-BUSUNJU'!C14)</f>
        <v>0.7142857142857143</v>
      </c>
      <c r="D14" s="49">
        <f>AVERAGE('11.8 KAMPALA-BUSUNJU'!D14,'12.8 BUSUNJU-KAMPALA'!D14,'13.8 KAMPALA-BUSUNJU'!D14,'14.8 KAMPALA-BUSUNJU'!D14,'15.8 KAMPALA-BUSUNJU-24 HRS'!D14,'16.8 BUSUNJU-KAMPALA-24HRS'!D14,'17.8 KAMPALA-BUSUNJU'!D14)</f>
        <v>0.14285714285714285</v>
      </c>
      <c r="E14" s="49">
        <f>AVERAGE('11.8 KAMPALA-BUSUNJU'!E14,'12.8 BUSUNJU-KAMPALA'!E14,'13.8 KAMPALA-BUSUNJU'!E14,'14.8 KAMPALA-BUSUNJU'!E14,'15.8 KAMPALA-BUSUNJU-24 HRS'!E14,'16.8 BUSUNJU-KAMPALA-24HRS'!E14,'17.8 KAMPALA-BUSUNJU'!E14)</f>
        <v>0.42857142857142855</v>
      </c>
      <c r="F14" s="49">
        <f>AVERAGE('11.8 KAMPALA-BUSUNJU'!F14,'12.8 BUSUNJU-KAMPALA'!F14,'13.8 KAMPALA-BUSUNJU'!F14,'14.8 KAMPALA-BUSUNJU'!F14,'15.8 KAMPALA-BUSUNJU-24 HRS'!F14,'16.8 BUSUNJU-KAMPALA-24HRS'!F14,'17.8 KAMPALA-BUSUNJU'!F14)</f>
        <v>0.2857142857142857</v>
      </c>
      <c r="G14" s="49">
        <f>AVERAGE('11.8 KAMPALA-BUSUNJU'!G14,'12.8 BUSUNJU-KAMPALA'!G14,'13.8 KAMPALA-BUSUNJU'!G14,'14.8 KAMPALA-BUSUNJU'!G14,'15.8 KAMPALA-BUSUNJU-24 HRS'!G14,'16.8 BUSUNJU-KAMPALA-24HRS'!G14,'17.8 KAMPALA-BUSUNJU'!G14)</f>
        <v>0</v>
      </c>
      <c r="H14" s="49">
        <f>AVERAGE('11.8 KAMPALA-BUSUNJU'!H14,'12.8 BUSUNJU-KAMPALA'!H14,'13.8 KAMPALA-BUSUNJU'!H14,'14.8 KAMPALA-BUSUNJU'!H14,'15.8 KAMPALA-BUSUNJU-24 HRS'!H14,'16.8 BUSUNJU-KAMPALA-24HRS'!H14,'17.8 KAMPALA-BUSUNJU'!H14)</f>
        <v>0</v>
      </c>
      <c r="I14" s="49">
        <f>AVERAGE('11.8 KAMPALA-BUSUNJU'!I14,'12.8 BUSUNJU-KAMPALA'!I14,'13.8 KAMPALA-BUSUNJU'!I14,'14.8 KAMPALA-BUSUNJU'!I14,'15.8 KAMPALA-BUSUNJU-24 HRS'!I14,'16.8 BUSUNJU-KAMPALA-24HRS'!I14,'17.8 KAMPALA-BUSUNJU'!I14)</f>
        <v>0.14285714285714285</v>
      </c>
      <c r="J14" s="49">
        <f>AVERAGE('11.8 KAMPALA-BUSUNJU'!J14,'12.8 BUSUNJU-KAMPALA'!J14,'13.8 KAMPALA-BUSUNJU'!J14,'14.8 KAMPALA-BUSUNJU'!J14,'15.8 KAMPALA-BUSUNJU-24 HRS'!J14,'16.8 BUSUNJU-KAMPALA-24HRS'!J14,'17.8 KAMPALA-BUSUNJU'!J14)</f>
        <v>0</v>
      </c>
      <c r="K14" s="49">
        <f>AVERAGE('11.8 KAMPALA-BUSUNJU'!K14,'12.8 BUSUNJU-KAMPALA'!K14,'13.8 KAMPALA-BUSUNJU'!K14,'14.8 KAMPALA-BUSUNJU'!K14,'15.8 KAMPALA-BUSUNJU-24 HRS'!K14,'16.8 BUSUNJU-KAMPALA-24HRS'!K14,'17.8 KAMPALA-BUSUNJU'!K14)</f>
        <v>0</v>
      </c>
      <c r="L14" s="49">
        <f>AVERAGE('11.8 KAMPALA-BUSUNJU'!L14,'12.8 BUSUNJU-KAMPALA'!L14,'13.8 KAMPALA-BUSUNJU'!L14,'14.8 KAMPALA-BUSUNJU'!L14,'15.8 KAMPALA-BUSUNJU-24 HRS'!L14,'16.8 BUSUNJU-KAMPALA-24HRS'!L14,'17.8 KAMPALA-BUSUNJU'!L14)</f>
        <v>0.14285714285714285</v>
      </c>
      <c r="M14" s="49">
        <f>AVERAGE('11.8 KAMPALA-BUSUNJU'!M14,'12.8 BUSUNJU-KAMPALA'!M14,'13.8 KAMPALA-BUSUNJU'!M14,'14.8 KAMPALA-BUSUNJU'!M14,'15.8 KAMPALA-BUSUNJU-24 HRS'!M14,'16.8 BUSUNJU-KAMPALA-24HRS'!M14,'17.8 KAMPALA-BUSUNJU'!M14)</f>
        <v>11.428571428571429</v>
      </c>
      <c r="N14" s="49">
        <f>AVERAGE('11.8 KAMPALA-BUSUNJU'!N14,'12.8 BUSUNJU-KAMPALA'!N14,'13.8 KAMPALA-BUSUNJU'!N14,'14.8 KAMPALA-BUSUNJU'!N14,'15.8 KAMPALA-BUSUNJU-24 HRS'!N14,'16.8 BUSUNJU-KAMPALA-24HRS'!N14,'17.8 KAMPALA-BUSUNJU'!N14)</f>
        <v>0</v>
      </c>
      <c r="O14" s="15">
        <f t="shared" si="0"/>
        <v>1.8571428571428572</v>
      </c>
      <c r="P14" s="15">
        <f t="shared" si="1"/>
        <v>13.285714285714286</v>
      </c>
      <c r="R14" s="1" t="s">
        <v>10</v>
      </c>
      <c r="S14" s="17">
        <f t="shared" ref="S14:AF14" si="6">SUM(C26:C29)</f>
        <v>4.5714285714285721</v>
      </c>
      <c r="T14" s="17">
        <f t="shared" si="6"/>
        <v>0</v>
      </c>
      <c r="U14" s="17">
        <f t="shared" si="6"/>
        <v>2.5714285714285712</v>
      </c>
      <c r="V14" s="17">
        <f t="shared" si="6"/>
        <v>1.5714285714285712</v>
      </c>
      <c r="W14" s="17">
        <f t="shared" si="6"/>
        <v>0</v>
      </c>
      <c r="X14" s="17">
        <f t="shared" si="6"/>
        <v>0</v>
      </c>
      <c r="Y14" s="17">
        <f t="shared" si="6"/>
        <v>2.7142857142857144</v>
      </c>
      <c r="Z14" s="17">
        <f t="shared" si="6"/>
        <v>0.8571428571428571</v>
      </c>
      <c r="AA14" s="17">
        <f t="shared" si="6"/>
        <v>0.14285714285714285</v>
      </c>
      <c r="AB14" s="17">
        <f t="shared" si="6"/>
        <v>0</v>
      </c>
      <c r="AC14" s="17">
        <f t="shared" si="6"/>
        <v>64.857142857142847</v>
      </c>
      <c r="AD14" s="17">
        <f t="shared" si="6"/>
        <v>0</v>
      </c>
      <c r="AE14" s="31">
        <f t="shared" si="6"/>
        <v>12.428571428571431</v>
      </c>
      <c r="AF14" s="31">
        <f t="shared" si="6"/>
        <v>77.285714285714278</v>
      </c>
    </row>
    <row r="15" spans="2:32" ht="23.1" customHeight="1" x14ac:dyDescent="0.25">
      <c r="B15" s="23" t="s">
        <v>42</v>
      </c>
      <c r="C15" s="49">
        <f>AVERAGE('11.8 KAMPALA-BUSUNJU'!C15,'12.8 BUSUNJU-KAMPALA'!C15,'13.8 KAMPALA-BUSUNJU'!C15,'14.8 KAMPALA-BUSUNJU'!C15,'15.8 KAMPALA-BUSUNJU-24 HRS'!C15,'16.8 BUSUNJU-KAMPALA-24HRS'!C15,'17.8 KAMPALA-BUSUNJU'!C15)</f>
        <v>0.7142857142857143</v>
      </c>
      <c r="D15" s="49">
        <f>AVERAGE('11.8 KAMPALA-BUSUNJU'!D15,'12.8 BUSUNJU-KAMPALA'!D15,'13.8 KAMPALA-BUSUNJU'!D15,'14.8 KAMPALA-BUSUNJU'!D15,'15.8 KAMPALA-BUSUNJU-24 HRS'!D15,'16.8 BUSUNJU-KAMPALA-24HRS'!D15,'17.8 KAMPALA-BUSUNJU'!D15)</f>
        <v>0</v>
      </c>
      <c r="E15" s="49">
        <f>AVERAGE('11.8 KAMPALA-BUSUNJU'!E15,'12.8 BUSUNJU-KAMPALA'!E15,'13.8 KAMPALA-BUSUNJU'!E15,'14.8 KAMPALA-BUSUNJU'!E15,'15.8 KAMPALA-BUSUNJU-24 HRS'!E15,'16.8 BUSUNJU-KAMPALA-24HRS'!E15,'17.8 KAMPALA-BUSUNJU'!E15)</f>
        <v>1</v>
      </c>
      <c r="F15" s="49">
        <f>AVERAGE('11.8 KAMPALA-BUSUNJU'!F15,'12.8 BUSUNJU-KAMPALA'!F15,'13.8 KAMPALA-BUSUNJU'!F15,'14.8 KAMPALA-BUSUNJU'!F15,'15.8 KAMPALA-BUSUNJU-24 HRS'!F15,'16.8 BUSUNJU-KAMPALA-24HRS'!F15,'17.8 KAMPALA-BUSUNJU'!F15)</f>
        <v>0.2857142857142857</v>
      </c>
      <c r="G15" s="49">
        <f>AVERAGE('11.8 KAMPALA-BUSUNJU'!G15,'12.8 BUSUNJU-KAMPALA'!G15,'13.8 KAMPALA-BUSUNJU'!G15,'14.8 KAMPALA-BUSUNJU'!G15,'15.8 KAMPALA-BUSUNJU-24 HRS'!G15,'16.8 BUSUNJU-KAMPALA-24HRS'!G15,'17.8 KAMPALA-BUSUNJU'!G15)</f>
        <v>0.14285714285714285</v>
      </c>
      <c r="H15" s="49">
        <f>AVERAGE('11.8 KAMPALA-BUSUNJU'!H15,'12.8 BUSUNJU-KAMPALA'!H15,'13.8 KAMPALA-BUSUNJU'!H15,'14.8 KAMPALA-BUSUNJU'!H15,'15.8 KAMPALA-BUSUNJU-24 HRS'!H15,'16.8 BUSUNJU-KAMPALA-24HRS'!H15,'17.8 KAMPALA-BUSUNJU'!H15)</f>
        <v>0</v>
      </c>
      <c r="I15" s="49">
        <f>AVERAGE('11.8 KAMPALA-BUSUNJU'!I15,'12.8 BUSUNJU-KAMPALA'!I15,'13.8 KAMPALA-BUSUNJU'!I15,'14.8 KAMPALA-BUSUNJU'!I15,'15.8 KAMPALA-BUSUNJU-24 HRS'!I15,'16.8 BUSUNJU-KAMPALA-24HRS'!I15,'17.8 KAMPALA-BUSUNJU'!I15)</f>
        <v>1</v>
      </c>
      <c r="J15" s="49">
        <f>AVERAGE('11.8 KAMPALA-BUSUNJU'!J15,'12.8 BUSUNJU-KAMPALA'!J15,'13.8 KAMPALA-BUSUNJU'!J15,'14.8 KAMPALA-BUSUNJU'!J15,'15.8 KAMPALA-BUSUNJU-24 HRS'!J15,'16.8 BUSUNJU-KAMPALA-24HRS'!J15,'17.8 KAMPALA-BUSUNJU'!J15)</f>
        <v>0</v>
      </c>
      <c r="K15" s="49">
        <f>AVERAGE('11.8 KAMPALA-BUSUNJU'!K15,'12.8 BUSUNJU-KAMPALA'!K15,'13.8 KAMPALA-BUSUNJU'!K15,'14.8 KAMPALA-BUSUNJU'!K15,'15.8 KAMPALA-BUSUNJU-24 HRS'!K15,'16.8 BUSUNJU-KAMPALA-24HRS'!K15,'17.8 KAMPALA-BUSUNJU'!K15)</f>
        <v>0</v>
      </c>
      <c r="L15" s="49">
        <f>AVERAGE('11.8 KAMPALA-BUSUNJU'!L15,'12.8 BUSUNJU-KAMPALA'!L15,'13.8 KAMPALA-BUSUNJU'!L15,'14.8 KAMPALA-BUSUNJU'!L15,'15.8 KAMPALA-BUSUNJU-24 HRS'!L15,'16.8 BUSUNJU-KAMPALA-24HRS'!L15,'17.8 KAMPALA-BUSUNJU'!L15)</f>
        <v>0</v>
      </c>
      <c r="M15" s="49">
        <f>AVERAGE('11.8 KAMPALA-BUSUNJU'!M15,'12.8 BUSUNJU-KAMPALA'!M15,'13.8 KAMPALA-BUSUNJU'!M15,'14.8 KAMPALA-BUSUNJU'!M15,'15.8 KAMPALA-BUSUNJU-24 HRS'!M15,'16.8 BUSUNJU-KAMPALA-24HRS'!M15,'17.8 KAMPALA-BUSUNJU'!M15)</f>
        <v>12.714285714285714</v>
      </c>
      <c r="N15" s="49">
        <f>AVERAGE('11.8 KAMPALA-BUSUNJU'!N15,'12.8 BUSUNJU-KAMPALA'!N15,'13.8 KAMPALA-BUSUNJU'!N15,'14.8 KAMPALA-BUSUNJU'!N15,'15.8 KAMPALA-BUSUNJU-24 HRS'!N15,'16.8 BUSUNJU-KAMPALA-24HRS'!N15,'17.8 KAMPALA-BUSUNJU'!N15)</f>
        <v>0</v>
      </c>
      <c r="O15" s="15">
        <f t="shared" si="0"/>
        <v>3.1428571428571428</v>
      </c>
      <c r="P15" s="15">
        <f t="shared" si="1"/>
        <v>15.857142857142856</v>
      </c>
      <c r="R15" s="1" t="s">
        <v>11</v>
      </c>
      <c r="S15" s="17">
        <f t="shared" ref="S15:AF15" si="7">SUM(C30:C33)</f>
        <v>3.4285714285714284</v>
      </c>
      <c r="T15" s="17">
        <f t="shared" si="7"/>
        <v>0.14285714285714285</v>
      </c>
      <c r="U15" s="17">
        <f t="shared" si="7"/>
        <v>4.2857142857142856</v>
      </c>
      <c r="V15" s="17">
        <f t="shared" si="7"/>
        <v>1.857142857142857</v>
      </c>
      <c r="W15" s="17">
        <f t="shared" si="7"/>
        <v>0</v>
      </c>
      <c r="X15" s="17">
        <f t="shared" si="7"/>
        <v>0.14285714285714285</v>
      </c>
      <c r="Y15" s="17">
        <f t="shared" si="7"/>
        <v>5.1428571428571423</v>
      </c>
      <c r="Z15" s="17">
        <f t="shared" si="7"/>
        <v>0.5714285714285714</v>
      </c>
      <c r="AA15" s="17">
        <f t="shared" si="7"/>
        <v>0</v>
      </c>
      <c r="AB15" s="17">
        <f t="shared" si="7"/>
        <v>0.14285714285714285</v>
      </c>
      <c r="AC15" s="17">
        <f t="shared" si="7"/>
        <v>62.428571428571423</v>
      </c>
      <c r="AD15" s="17">
        <f t="shared" si="7"/>
        <v>0</v>
      </c>
      <c r="AE15" s="31">
        <f t="shared" si="7"/>
        <v>15.714285714285714</v>
      </c>
      <c r="AF15" s="31">
        <f t="shared" si="7"/>
        <v>78.142857142857139</v>
      </c>
    </row>
    <row r="16" spans="2:32" ht="23.1" customHeight="1" x14ac:dyDescent="0.25">
      <c r="B16" s="23" t="s">
        <v>43</v>
      </c>
      <c r="C16" s="49">
        <f>AVERAGE('11.8 KAMPALA-BUSUNJU'!C16,'12.8 BUSUNJU-KAMPALA'!C16,'13.8 KAMPALA-BUSUNJU'!C16,'14.8 KAMPALA-BUSUNJU'!C16,'15.8 KAMPALA-BUSUNJU-24 HRS'!C16,'16.8 BUSUNJU-KAMPALA-24HRS'!C16,'17.8 KAMPALA-BUSUNJU'!C16)</f>
        <v>1.2857142857142858</v>
      </c>
      <c r="D16" s="49">
        <f>AVERAGE('11.8 KAMPALA-BUSUNJU'!D16,'12.8 BUSUNJU-KAMPALA'!D16,'13.8 KAMPALA-BUSUNJU'!D16,'14.8 KAMPALA-BUSUNJU'!D16,'15.8 KAMPALA-BUSUNJU-24 HRS'!D16,'16.8 BUSUNJU-KAMPALA-24HRS'!D16,'17.8 KAMPALA-BUSUNJU'!D16)</f>
        <v>0</v>
      </c>
      <c r="E16" s="49">
        <f>AVERAGE('11.8 KAMPALA-BUSUNJU'!E16,'12.8 BUSUNJU-KAMPALA'!E16,'13.8 KAMPALA-BUSUNJU'!E16,'14.8 KAMPALA-BUSUNJU'!E16,'15.8 KAMPALA-BUSUNJU-24 HRS'!E16,'16.8 BUSUNJU-KAMPALA-24HRS'!E16,'17.8 KAMPALA-BUSUNJU'!E16)</f>
        <v>0.8571428571428571</v>
      </c>
      <c r="F16" s="49">
        <f>AVERAGE('11.8 KAMPALA-BUSUNJU'!F16,'12.8 BUSUNJU-KAMPALA'!F16,'13.8 KAMPALA-BUSUNJU'!F16,'14.8 KAMPALA-BUSUNJU'!F16,'15.8 KAMPALA-BUSUNJU-24 HRS'!F16,'16.8 BUSUNJU-KAMPALA-24HRS'!F16,'17.8 KAMPALA-BUSUNJU'!F16)</f>
        <v>0.42857142857142855</v>
      </c>
      <c r="G16" s="49">
        <f>AVERAGE('11.8 KAMPALA-BUSUNJU'!G16,'12.8 BUSUNJU-KAMPALA'!G16,'13.8 KAMPALA-BUSUNJU'!G16,'14.8 KAMPALA-BUSUNJU'!G16,'15.8 KAMPALA-BUSUNJU-24 HRS'!G16,'16.8 BUSUNJU-KAMPALA-24HRS'!G16,'17.8 KAMPALA-BUSUNJU'!G16)</f>
        <v>0</v>
      </c>
      <c r="H16" s="49">
        <f>AVERAGE('11.8 KAMPALA-BUSUNJU'!H16,'12.8 BUSUNJU-KAMPALA'!H16,'13.8 KAMPALA-BUSUNJU'!H16,'14.8 KAMPALA-BUSUNJU'!H16,'15.8 KAMPALA-BUSUNJU-24 HRS'!H16,'16.8 BUSUNJU-KAMPALA-24HRS'!H16,'17.8 KAMPALA-BUSUNJU'!H16)</f>
        <v>0</v>
      </c>
      <c r="I16" s="49">
        <f>AVERAGE('11.8 KAMPALA-BUSUNJU'!I16,'12.8 BUSUNJU-KAMPALA'!I16,'13.8 KAMPALA-BUSUNJU'!I16,'14.8 KAMPALA-BUSUNJU'!I16,'15.8 KAMPALA-BUSUNJU-24 HRS'!I16,'16.8 BUSUNJU-KAMPALA-24HRS'!I16,'17.8 KAMPALA-BUSUNJU'!I16)</f>
        <v>1.5714285714285714</v>
      </c>
      <c r="J16" s="49">
        <f>AVERAGE('11.8 KAMPALA-BUSUNJU'!J16,'12.8 BUSUNJU-KAMPALA'!J16,'13.8 KAMPALA-BUSUNJU'!J16,'14.8 KAMPALA-BUSUNJU'!J16,'15.8 KAMPALA-BUSUNJU-24 HRS'!J16,'16.8 BUSUNJU-KAMPALA-24HRS'!J16,'17.8 KAMPALA-BUSUNJU'!J16)</f>
        <v>0</v>
      </c>
      <c r="K16" s="49">
        <f>AVERAGE('11.8 KAMPALA-BUSUNJU'!K16,'12.8 BUSUNJU-KAMPALA'!K16,'13.8 KAMPALA-BUSUNJU'!K16,'14.8 KAMPALA-BUSUNJU'!K16,'15.8 KAMPALA-BUSUNJU-24 HRS'!K16,'16.8 BUSUNJU-KAMPALA-24HRS'!K16,'17.8 KAMPALA-BUSUNJU'!K16)</f>
        <v>0</v>
      </c>
      <c r="L16" s="49">
        <f>AVERAGE('11.8 KAMPALA-BUSUNJU'!L16,'12.8 BUSUNJU-KAMPALA'!L16,'13.8 KAMPALA-BUSUNJU'!L16,'14.8 KAMPALA-BUSUNJU'!L16,'15.8 KAMPALA-BUSUNJU-24 HRS'!L16,'16.8 BUSUNJU-KAMPALA-24HRS'!L16,'17.8 KAMPALA-BUSUNJU'!L16)</f>
        <v>0</v>
      </c>
      <c r="M16" s="49">
        <f>AVERAGE('11.8 KAMPALA-BUSUNJU'!M16,'12.8 BUSUNJU-KAMPALA'!M16,'13.8 KAMPALA-BUSUNJU'!M16,'14.8 KAMPALA-BUSUNJU'!M16,'15.8 KAMPALA-BUSUNJU-24 HRS'!M16,'16.8 BUSUNJU-KAMPALA-24HRS'!M16,'17.8 KAMPALA-BUSUNJU'!M16)</f>
        <v>14.142857142857142</v>
      </c>
      <c r="N16" s="49">
        <f>AVERAGE('11.8 KAMPALA-BUSUNJU'!N16,'12.8 BUSUNJU-KAMPALA'!N16,'13.8 KAMPALA-BUSUNJU'!N16,'14.8 KAMPALA-BUSUNJU'!N16,'15.8 KAMPALA-BUSUNJU-24 HRS'!N16,'16.8 BUSUNJU-KAMPALA-24HRS'!N16,'17.8 KAMPALA-BUSUNJU'!N16)</f>
        <v>0</v>
      </c>
      <c r="O16" s="15">
        <f t="shared" si="0"/>
        <v>4.1428571428571423</v>
      </c>
      <c r="P16" s="15">
        <f t="shared" si="1"/>
        <v>18.285714285714285</v>
      </c>
      <c r="R16" s="1" t="s">
        <v>12</v>
      </c>
      <c r="S16" s="17">
        <f t="shared" ref="S16:AF16" si="8">SUM(C34:C37)</f>
        <v>4.4285714285714288</v>
      </c>
      <c r="T16" s="17">
        <f t="shared" si="8"/>
        <v>0.14285714285714285</v>
      </c>
      <c r="U16" s="17">
        <f t="shared" si="8"/>
        <v>5</v>
      </c>
      <c r="V16" s="17">
        <f t="shared" si="8"/>
        <v>1.4285714285714284</v>
      </c>
      <c r="W16" s="17">
        <f t="shared" si="8"/>
        <v>0.14285714285714285</v>
      </c>
      <c r="X16" s="17">
        <f t="shared" si="8"/>
        <v>0</v>
      </c>
      <c r="Y16" s="17">
        <f t="shared" si="8"/>
        <v>3.1428571428571428</v>
      </c>
      <c r="Z16" s="17">
        <f t="shared" si="8"/>
        <v>0.5714285714285714</v>
      </c>
      <c r="AA16" s="17">
        <f t="shared" si="8"/>
        <v>0</v>
      </c>
      <c r="AB16" s="17">
        <f t="shared" si="8"/>
        <v>0</v>
      </c>
      <c r="AC16" s="17">
        <f t="shared" si="8"/>
        <v>50.285714285714285</v>
      </c>
      <c r="AD16" s="17">
        <f t="shared" si="8"/>
        <v>0</v>
      </c>
      <c r="AE16" s="31">
        <f t="shared" si="8"/>
        <v>14.857142857142858</v>
      </c>
      <c r="AF16" s="31">
        <f t="shared" si="8"/>
        <v>65.142857142857139</v>
      </c>
    </row>
    <row r="17" spans="2:32" ht="23.1" customHeight="1" x14ac:dyDescent="0.25">
      <c r="B17" s="23" t="s">
        <v>44</v>
      </c>
      <c r="C17" s="49">
        <f>AVERAGE('11.8 KAMPALA-BUSUNJU'!C17,'12.8 BUSUNJU-KAMPALA'!C17,'13.8 KAMPALA-BUSUNJU'!C17,'14.8 KAMPALA-BUSUNJU'!C17,'15.8 KAMPALA-BUSUNJU-24 HRS'!C17,'16.8 BUSUNJU-KAMPALA-24HRS'!C17,'17.8 KAMPALA-BUSUNJU'!C17)</f>
        <v>0.7142857142857143</v>
      </c>
      <c r="D17" s="49">
        <f>AVERAGE('11.8 KAMPALA-BUSUNJU'!D17,'12.8 BUSUNJU-KAMPALA'!D17,'13.8 KAMPALA-BUSUNJU'!D17,'14.8 KAMPALA-BUSUNJU'!D17,'15.8 KAMPALA-BUSUNJU-24 HRS'!D17,'16.8 BUSUNJU-KAMPALA-24HRS'!D17,'17.8 KAMPALA-BUSUNJU'!D17)</f>
        <v>0</v>
      </c>
      <c r="E17" s="49">
        <f>AVERAGE('11.8 KAMPALA-BUSUNJU'!E17,'12.8 BUSUNJU-KAMPALA'!E17,'13.8 KAMPALA-BUSUNJU'!E17,'14.8 KAMPALA-BUSUNJU'!E17,'15.8 KAMPALA-BUSUNJU-24 HRS'!E17,'16.8 BUSUNJU-KAMPALA-24HRS'!E17,'17.8 KAMPALA-BUSUNJU'!E17)</f>
        <v>0.5714285714285714</v>
      </c>
      <c r="F17" s="49">
        <f>AVERAGE('11.8 KAMPALA-BUSUNJU'!F17,'12.8 BUSUNJU-KAMPALA'!F17,'13.8 KAMPALA-BUSUNJU'!F17,'14.8 KAMPALA-BUSUNJU'!F17,'15.8 KAMPALA-BUSUNJU-24 HRS'!F17,'16.8 BUSUNJU-KAMPALA-24HRS'!F17,'17.8 KAMPALA-BUSUNJU'!F17)</f>
        <v>0.14285714285714285</v>
      </c>
      <c r="G17" s="49">
        <f>AVERAGE('11.8 KAMPALA-BUSUNJU'!G17,'12.8 BUSUNJU-KAMPALA'!G17,'13.8 KAMPALA-BUSUNJU'!G17,'14.8 KAMPALA-BUSUNJU'!G17,'15.8 KAMPALA-BUSUNJU-24 HRS'!G17,'16.8 BUSUNJU-KAMPALA-24HRS'!G17,'17.8 KAMPALA-BUSUNJU'!G17)</f>
        <v>0</v>
      </c>
      <c r="H17" s="49">
        <f>AVERAGE('11.8 KAMPALA-BUSUNJU'!H17,'12.8 BUSUNJU-KAMPALA'!H17,'13.8 KAMPALA-BUSUNJU'!H17,'14.8 KAMPALA-BUSUNJU'!H17,'15.8 KAMPALA-BUSUNJU-24 HRS'!H17,'16.8 BUSUNJU-KAMPALA-24HRS'!H17,'17.8 KAMPALA-BUSUNJU'!H17)</f>
        <v>0.14285714285714285</v>
      </c>
      <c r="I17" s="49">
        <f>AVERAGE('11.8 KAMPALA-BUSUNJU'!I17,'12.8 BUSUNJU-KAMPALA'!I17,'13.8 KAMPALA-BUSUNJU'!I17,'14.8 KAMPALA-BUSUNJU'!I17,'15.8 KAMPALA-BUSUNJU-24 HRS'!I17,'16.8 BUSUNJU-KAMPALA-24HRS'!I17,'17.8 KAMPALA-BUSUNJU'!I17)</f>
        <v>1</v>
      </c>
      <c r="J17" s="49">
        <f>AVERAGE('11.8 KAMPALA-BUSUNJU'!J17,'12.8 BUSUNJU-KAMPALA'!J17,'13.8 KAMPALA-BUSUNJU'!J17,'14.8 KAMPALA-BUSUNJU'!J17,'15.8 KAMPALA-BUSUNJU-24 HRS'!J17,'16.8 BUSUNJU-KAMPALA-24HRS'!J17,'17.8 KAMPALA-BUSUNJU'!J17)</f>
        <v>0</v>
      </c>
      <c r="K17" s="49">
        <f>AVERAGE('11.8 KAMPALA-BUSUNJU'!K17,'12.8 BUSUNJU-KAMPALA'!K17,'13.8 KAMPALA-BUSUNJU'!K17,'14.8 KAMPALA-BUSUNJU'!K17,'15.8 KAMPALA-BUSUNJU-24 HRS'!K17,'16.8 BUSUNJU-KAMPALA-24HRS'!K17,'17.8 KAMPALA-BUSUNJU'!K17)</f>
        <v>0</v>
      </c>
      <c r="L17" s="49">
        <f>AVERAGE('11.8 KAMPALA-BUSUNJU'!L17,'12.8 BUSUNJU-KAMPALA'!L17,'13.8 KAMPALA-BUSUNJU'!L17,'14.8 KAMPALA-BUSUNJU'!L17,'15.8 KAMPALA-BUSUNJU-24 HRS'!L17,'16.8 BUSUNJU-KAMPALA-24HRS'!L17,'17.8 KAMPALA-BUSUNJU'!L17)</f>
        <v>0</v>
      </c>
      <c r="M17" s="49">
        <f>AVERAGE('11.8 KAMPALA-BUSUNJU'!M17,'12.8 BUSUNJU-KAMPALA'!M17,'13.8 KAMPALA-BUSUNJU'!M17,'14.8 KAMPALA-BUSUNJU'!M17,'15.8 KAMPALA-BUSUNJU-24 HRS'!M17,'16.8 BUSUNJU-KAMPALA-24HRS'!M17,'17.8 KAMPALA-BUSUNJU'!M17)</f>
        <v>14.857142857142858</v>
      </c>
      <c r="N17" s="49">
        <f>AVERAGE('11.8 KAMPALA-BUSUNJU'!N17,'12.8 BUSUNJU-KAMPALA'!N17,'13.8 KAMPALA-BUSUNJU'!N17,'14.8 KAMPALA-BUSUNJU'!N17,'15.8 KAMPALA-BUSUNJU-24 HRS'!N17,'16.8 BUSUNJU-KAMPALA-24HRS'!N17,'17.8 KAMPALA-BUSUNJU'!N17)</f>
        <v>0</v>
      </c>
      <c r="O17" s="15">
        <f t="shared" si="0"/>
        <v>2.5714285714285712</v>
      </c>
      <c r="P17" s="15">
        <f t="shared" si="1"/>
        <v>17.428571428571431</v>
      </c>
      <c r="R17" s="1" t="s">
        <v>13</v>
      </c>
      <c r="S17" s="17">
        <f t="shared" ref="S17:AF17" si="9">SUM(C38:C41)</f>
        <v>4.1428571428571432</v>
      </c>
      <c r="T17" s="17">
        <f t="shared" si="9"/>
        <v>0.42857142857142855</v>
      </c>
      <c r="U17" s="17">
        <f t="shared" si="9"/>
        <v>2.7142857142857144</v>
      </c>
      <c r="V17" s="17">
        <f t="shared" si="9"/>
        <v>0.5714285714285714</v>
      </c>
      <c r="W17" s="17">
        <f t="shared" si="9"/>
        <v>0</v>
      </c>
      <c r="X17" s="17">
        <f t="shared" si="9"/>
        <v>0.14285714285714285</v>
      </c>
      <c r="Y17" s="17">
        <f t="shared" si="9"/>
        <v>3.2857142857142856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56</v>
      </c>
      <c r="AD17" s="17">
        <f t="shared" si="9"/>
        <v>0</v>
      </c>
      <c r="AE17" s="31">
        <f t="shared" si="9"/>
        <v>11.285714285714285</v>
      </c>
      <c r="AF17" s="31">
        <f t="shared" si="9"/>
        <v>67.285714285714278</v>
      </c>
    </row>
    <row r="18" spans="2:32" ht="23.1" customHeight="1" x14ac:dyDescent="0.25">
      <c r="B18" s="23" t="s">
        <v>45</v>
      </c>
      <c r="C18" s="49">
        <f>AVERAGE('11.8 KAMPALA-BUSUNJU'!C18,'12.8 BUSUNJU-KAMPALA'!C18,'13.8 KAMPALA-BUSUNJU'!C18,'14.8 KAMPALA-BUSUNJU'!C18,'15.8 KAMPALA-BUSUNJU-24 HRS'!C18,'16.8 BUSUNJU-KAMPALA-24HRS'!C18,'17.8 KAMPALA-BUSUNJU'!C18)</f>
        <v>0.7142857142857143</v>
      </c>
      <c r="D18" s="49">
        <f>AVERAGE('11.8 KAMPALA-BUSUNJU'!D18,'12.8 BUSUNJU-KAMPALA'!D18,'13.8 KAMPALA-BUSUNJU'!D18,'14.8 KAMPALA-BUSUNJU'!D18,'15.8 KAMPALA-BUSUNJU-24 HRS'!D18,'16.8 BUSUNJU-KAMPALA-24HRS'!D18,'17.8 KAMPALA-BUSUNJU'!D18)</f>
        <v>0</v>
      </c>
      <c r="E18" s="49">
        <f>AVERAGE('11.8 KAMPALA-BUSUNJU'!E18,'12.8 BUSUNJU-KAMPALA'!E18,'13.8 KAMPALA-BUSUNJU'!E18,'14.8 KAMPALA-BUSUNJU'!E18,'15.8 KAMPALA-BUSUNJU-24 HRS'!E18,'16.8 BUSUNJU-KAMPALA-24HRS'!E18,'17.8 KAMPALA-BUSUNJU'!E18)</f>
        <v>0.8571428571428571</v>
      </c>
      <c r="F18" s="49">
        <f>AVERAGE('11.8 KAMPALA-BUSUNJU'!F18,'12.8 BUSUNJU-KAMPALA'!F18,'13.8 KAMPALA-BUSUNJU'!F18,'14.8 KAMPALA-BUSUNJU'!F18,'15.8 KAMPALA-BUSUNJU-24 HRS'!F18,'16.8 BUSUNJU-KAMPALA-24HRS'!F18,'17.8 KAMPALA-BUSUNJU'!F18)</f>
        <v>0.14285714285714285</v>
      </c>
      <c r="G18" s="49">
        <f>AVERAGE('11.8 KAMPALA-BUSUNJU'!G18,'12.8 BUSUNJU-KAMPALA'!G18,'13.8 KAMPALA-BUSUNJU'!G18,'14.8 KAMPALA-BUSUNJU'!G18,'15.8 KAMPALA-BUSUNJU-24 HRS'!G18,'16.8 BUSUNJU-KAMPALA-24HRS'!G18,'17.8 KAMPALA-BUSUNJU'!G18)</f>
        <v>0</v>
      </c>
      <c r="H18" s="49">
        <f>AVERAGE('11.8 KAMPALA-BUSUNJU'!H18,'12.8 BUSUNJU-KAMPALA'!H18,'13.8 KAMPALA-BUSUNJU'!H18,'14.8 KAMPALA-BUSUNJU'!H18,'15.8 KAMPALA-BUSUNJU-24 HRS'!H18,'16.8 BUSUNJU-KAMPALA-24HRS'!H18,'17.8 KAMPALA-BUSUNJU'!H18)</f>
        <v>0</v>
      </c>
      <c r="I18" s="49">
        <f>AVERAGE('11.8 KAMPALA-BUSUNJU'!I18,'12.8 BUSUNJU-KAMPALA'!I18,'13.8 KAMPALA-BUSUNJU'!I18,'14.8 KAMPALA-BUSUNJU'!I18,'15.8 KAMPALA-BUSUNJU-24 HRS'!I18,'16.8 BUSUNJU-KAMPALA-24HRS'!I18,'17.8 KAMPALA-BUSUNJU'!I18)</f>
        <v>0.42857142857142855</v>
      </c>
      <c r="J18" s="49">
        <f>AVERAGE('11.8 KAMPALA-BUSUNJU'!J18,'12.8 BUSUNJU-KAMPALA'!J18,'13.8 KAMPALA-BUSUNJU'!J18,'14.8 KAMPALA-BUSUNJU'!J18,'15.8 KAMPALA-BUSUNJU-24 HRS'!J18,'16.8 BUSUNJU-KAMPALA-24HRS'!J18,'17.8 KAMPALA-BUSUNJU'!J18)</f>
        <v>0</v>
      </c>
      <c r="K18" s="49">
        <f>AVERAGE('11.8 KAMPALA-BUSUNJU'!K18,'12.8 BUSUNJU-KAMPALA'!K18,'13.8 KAMPALA-BUSUNJU'!K18,'14.8 KAMPALA-BUSUNJU'!K18,'15.8 KAMPALA-BUSUNJU-24 HRS'!K18,'16.8 BUSUNJU-KAMPALA-24HRS'!K18,'17.8 KAMPALA-BUSUNJU'!K18)</f>
        <v>0</v>
      </c>
      <c r="L18" s="49">
        <f>AVERAGE('11.8 KAMPALA-BUSUNJU'!L18,'12.8 BUSUNJU-KAMPALA'!L18,'13.8 KAMPALA-BUSUNJU'!L18,'14.8 KAMPALA-BUSUNJU'!L18,'15.8 KAMPALA-BUSUNJU-24 HRS'!L18,'16.8 BUSUNJU-KAMPALA-24HRS'!L18,'17.8 KAMPALA-BUSUNJU'!L18)</f>
        <v>0.14285714285714285</v>
      </c>
      <c r="M18" s="49">
        <f>AVERAGE('11.8 KAMPALA-BUSUNJU'!M18,'12.8 BUSUNJU-KAMPALA'!M18,'13.8 KAMPALA-BUSUNJU'!M18,'14.8 KAMPALA-BUSUNJU'!M18,'15.8 KAMPALA-BUSUNJU-24 HRS'!M18,'16.8 BUSUNJU-KAMPALA-24HRS'!M18,'17.8 KAMPALA-BUSUNJU'!M18)</f>
        <v>16.142857142857142</v>
      </c>
      <c r="N18" s="49">
        <f>AVERAGE('11.8 KAMPALA-BUSUNJU'!N18,'12.8 BUSUNJU-KAMPALA'!N18,'13.8 KAMPALA-BUSUNJU'!N18,'14.8 KAMPALA-BUSUNJU'!N18,'15.8 KAMPALA-BUSUNJU-24 HRS'!N18,'16.8 BUSUNJU-KAMPALA-24HRS'!N18,'17.8 KAMPALA-BUSUNJU'!N18)</f>
        <v>0</v>
      </c>
      <c r="O18" s="15">
        <f t="shared" si="0"/>
        <v>2.2857142857142856</v>
      </c>
      <c r="P18" s="15">
        <f t="shared" si="1"/>
        <v>18.428571428571427</v>
      </c>
      <c r="R18" s="1" t="s">
        <v>14</v>
      </c>
      <c r="S18" s="17">
        <f t="shared" ref="S18:AF18" si="10">SUM(C42:C45)</f>
        <v>3.8571428571428568</v>
      </c>
      <c r="T18" s="17">
        <f t="shared" si="10"/>
        <v>0.14285714285714285</v>
      </c>
      <c r="U18" s="17">
        <f t="shared" si="10"/>
        <v>4.4285714285714288</v>
      </c>
      <c r="V18" s="17">
        <f t="shared" si="10"/>
        <v>0.71428571428571419</v>
      </c>
      <c r="W18" s="17">
        <f t="shared" si="10"/>
        <v>0</v>
      </c>
      <c r="X18" s="17">
        <f t="shared" si="10"/>
        <v>0</v>
      </c>
      <c r="Y18" s="17">
        <f t="shared" si="10"/>
        <v>5.1428571428571423</v>
      </c>
      <c r="Z18" s="17">
        <f t="shared" si="10"/>
        <v>0.14285714285714285</v>
      </c>
      <c r="AA18" s="17">
        <f t="shared" si="10"/>
        <v>0</v>
      </c>
      <c r="AB18" s="17">
        <f t="shared" si="10"/>
        <v>0</v>
      </c>
      <c r="AC18" s="17">
        <f t="shared" si="10"/>
        <v>54.285714285714285</v>
      </c>
      <c r="AD18" s="17">
        <f t="shared" si="10"/>
        <v>0</v>
      </c>
      <c r="AE18" s="31">
        <f t="shared" si="10"/>
        <v>14.428571428571429</v>
      </c>
      <c r="AF18" s="31">
        <f t="shared" si="10"/>
        <v>68.714285714285708</v>
      </c>
    </row>
    <row r="19" spans="2:32" ht="23.1" customHeight="1" x14ac:dyDescent="0.25">
      <c r="B19" s="23" t="s">
        <v>46</v>
      </c>
      <c r="C19" s="49">
        <f>AVERAGE('11.8 KAMPALA-BUSUNJU'!C19,'12.8 BUSUNJU-KAMPALA'!C19,'13.8 KAMPALA-BUSUNJU'!C19,'14.8 KAMPALA-BUSUNJU'!C19,'15.8 KAMPALA-BUSUNJU-24 HRS'!C19,'16.8 BUSUNJU-KAMPALA-24HRS'!C19,'17.8 KAMPALA-BUSUNJU'!C19)</f>
        <v>0.42857142857142855</v>
      </c>
      <c r="D19" s="49">
        <f>AVERAGE('11.8 KAMPALA-BUSUNJU'!D19,'12.8 BUSUNJU-KAMPALA'!D19,'13.8 KAMPALA-BUSUNJU'!D19,'14.8 KAMPALA-BUSUNJU'!D19,'15.8 KAMPALA-BUSUNJU-24 HRS'!D19,'16.8 BUSUNJU-KAMPALA-24HRS'!D19,'17.8 KAMPALA-BUSUNJU'!D19)</f>
        <v>0.14285714285714285</v>
      </c>
      <c r="E19" s="49">
        <f>AVERAGE('11.8 KAMPALA-BUSUNJU'!E19,'12.8 BUSUNJU-KAMPALA'!E19,'13.8 KAMPALA-BUSUNJU'!E19,'14.8 KAMPALA-BUSUNJU'!E19,'15.8 KAMPALA-BUSUNJU-24 HRS'!E19,'16.8 BUSUNJU-KAMPALA-24HRS'!E19,'17.8 KAMPALA-BUSUNJU'!E19)</f>
        <v>0.42857142857142855</v>
      </c>
      <c r="F19" s="49">
        <f>AVERAGE('11.8 KAMPALA-BUSUNJU'!F19,'12.8 BUSUNJU-KAMPALA'!F19,'13.8 KAMPALA-BUSUNJU'!F19,'14.8 KAMPALA-BUSUNJU'!F19,'15.8 KAMPALA-BUSUNJU-24 HRS'!F19,'16.8 BUSUNJU-KAMPALA-24HRS'!F19,'17.8 KAMPALA-BUSUNJU'!F19)</f>
        <v>0</v>
      </c>
      <c r="G19" s="49">
        <f>AVERAGE('11.8 KAMPALA-BUSUNJU'!G19,'12.8 BUSUNJU-KAMPALA'!G19,'13.8 KAMPALA-BUSUNJU'!G19,'14.8 KAMPALA-BUSUNJU'!G19,'15.8 KAMPALA-BUSUNJU-24 HRS'!G19,'16.8 BUSUNJU-KAMPALA-24HRS'!G19,'17.8 KAMPALA-BUSUNJU'!G19)</f>
        <v>0</v>
      </c>
      <c r="H19" s="49">
        <f>AVERAGE('11.8 KAMPALA-BUSUNJU'!H19,'12.8 BUSUNJU-KAMPALA'!H19,'13.8 KAMPALA-BUSUNJU'!H19,'14.8 KAMPALA-BUSUNJU'!H19,'15.8 KAMPALA-BUSUNJU-24 HRS'!H19,'16.8 BUSUNJU-KAMPALA-24HRS'!H19,'17.8 KAMPALA-BUSUNJU'!H19)</f>
        <v>0</v>
      </c>
      <c r="I19" s="49">
        <f>AVERAGE('11.8 KAMPALA-BUSUNJU'!I19,'12.8 BUSUNJU-KAMPALA'!I19,'13.8 KAMPALA-BUSUNJU'!I19,'14.8 KAMPALA-BUSUNJU'!I19,'15.8 KAMPALA-BUSUNJU-24 HRS'!I19,'16.8 BUSUNJU-KAMPALA-24HRS'!I19,'17.8 KAMPALA-BUSUNJU'!I19)</f>
        <v>0.42857142857142855</v>
      </c>
      <c r="J19" s="49">
        <f>AVERAGE('11.8 KAMPALA-BUSUNJU'!J19,'12.8 BUSUNJU-KAMPALA'!J19,'13.8 KAMPALA-BUSUNJU'!J19,'14.8 KAMPALA-BUSUNJU'!J19,'15.8 KAMPALA-BUSUNJU-24 HRS'!J19,'16.8 BUSUNJU-KAMPALA-24HRS'!J19,'17.8 KAMPALA-BUSUNJU'!J19)</f>
        <v>0</v>
      </c>
      <c r="K19" s="49">
        <f>AVERAGE('11.8 KAMPALA-BUSUNJU'!K19,'12.8 BUSUNJU-KAMPALA'!K19,'13.8 KAMPALA-BUSUNJU'!K19,'14.8 KAMPALA-BUSUNJU'!K19,'15.8 KAMPALA-BUSUNJU-24 HRS'!K19,'16.8 BUSUNJU-KAMPALA-24HRS'!K19,'17.8 KAMPALA-BUSUNJU'!K19)</f>
        <v>0</v>
      </c>
      <c r="L19" s="49">
        <f>AVERAGE('11.8 KAMPALA-BUSUNJU'!L19,'12.8 BUSUNJU-KAMPALA'!L19,'13.8 KAMPALA-BUSUNJU'!L19,'14.8 KAMPALA-BUSUNJU'!L19,'15.8 KAMPALA-BUSUNJU-24 HRS'!L19,'16.8 BUSUNJU-KAMPALA-24HRS'!L19,'17.8 KAMPALA-BUSUNJU'!L19)</f>
        <v>0</v>
      </c>
      <c r="M19" s="49">
        <f>AVERAGE('11.8 KAMPALA-BUSUNJU'!M19,'12.8 BUSUNJU-KAMPALA'!M19,'13.8 KAMPALA-BUSUNJU'!M19,'14.8 KAMPALA-BUSUNJU'!M19,'15.8 KAMPALA-BUSUNJU-24 HRS'!M19,'16.8 BUSUNJU-KAMPALA-24HRS'!M19,'17.8 KAMPALA-BUSUNJU'!M19)</f>
        <v>15.571428571428571</v>
      </c>
      <c r="N19" s="49">
        <f>AVERAGE('11.8 KAMPALA-BUSUNJU'!N19,'12.8 BUSUNJU-KAMPALA'!N19,'13.8 KAMPALA-BUSUNJU'!N19,'14.8 KAMPALA-BUSUNJU'!N19,'15.8 KAMPALA-BUSUNJU-24 HRS'!N19,'16.8 BUSUNJU-KAMPALA-24HRS'!N19,'17.8 KAMPALA-BUSUNJU'!N19)</f>
        <v>0</v>
      </c>
      <c r="O19" s="15">
        <f t="shared" si="0"/>
        <v>1.4285714285714286</v>
      </c>
      <c r="P19" s="15">
        <f t="shared" si="1"/>
        <v>17</v>
      </c>
      <c r="R19" s="1" t="s">
        <v>15</v>
      </c>
      <c r="S19" s="17">
        <f t="shared" ref="S19:AF19" si="11">SUM(C46:C49)</f>
        <v>4.5714285714285712</v>
      </c>
      <c r="T19" s="17">
        <f t="shared" si="11"/>
        <v>0.2857142857142857</v>
      </c>
      <c r="U19" s="17">
        <f t="shared" si="11"/>
        <v>4.7142857142857144</v>
      </c>
      <c r="V19" s="17">
        <f t="shared" si="11"/>
        <v>1.5714285714285714</v>
      </c>
      <c r="W19" s="17">
        <f t="shared" si="11"/>
        <v>0</v>
      </c>
      <c r="X19" s="17">
        <f t="shared" si="11"/>
        <v>0</v>
      </c>
      <c r="Y19" s="17">
        <f t="shared" si="11"/>
        <v>2.5714285714285712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59</v>
      </c>
      <c r="AD19" s="17">
        <f t="shared" si="11"/>
        <v>0</v>
      </c>
      <c r="AE19" s="31">
        <f t="shared" si="11"/>
        <v>13.714285714285714</v>
      </c>
      <c r="AF19" s="31">
        <f t="shared" si="11"/>
        <v>72.714285714285708</v>
      </c>
    </row>
    <row r="20" spans="2:32" ht="23.1" customHeight="1" x14ac:dyDescent="0.25">
      <c r="B20" s="23" t="s">
        <v>47</v>
      </c>
      <c r="C20" s="49">
        <f>AVERAGE('11.8 KAMPALA-BUSUNJU'!C20,'12.8 BUSUNJU-KAMPALA'!C20,'13.8 KAMPALA-BUSUNJU'!C20,'14.8 KAMPALA-BUSUNJU'!C20,'15.8 KAMPALA-BUSUNJU-24 HRS'!C20,'16.8 BUSUNJU-KAMPALA-24HRS'!C20,'17.8 KAMPALA-BUSUNJU'!C20)</f>
        <v>0.8571428571428571</v>
      </c>
      <c r="D20" s="49">
        <f>AVERAGE('11.8 KAMPALA-BUSUNJU'!D20,'12.8 BUSUNJU-KAMPALA'!D20,'13.8 KAMPALA-BUSUNJU'!D20,'14.8 KAMPALA-BUSUNJU'!D20,'15.8 KAMPALA-BUSUNJU-24 HRS'!D20,'16.8 BUSUNJU-KAMPALA-24HRS'!D20,'17.8 KAMPALA-BUSUNJU'!D20)</f>
        <v>0</v>
      </c>
      <c r="E20" s="49">
        <f>AVERAGE('11.8 KAMPALA-BUSUNJU'!E20,'12.8 BUSUNJU-KAMPALA'!E20,'13.8 KAMPALA-BUSUNJU'!E20,'14.8 KAMPALA-BUSUNJU'!E20,'15.8 KAMPALA-BUSUNJU-24 HRS'!E20,'16.8 BUSUNJU-KAMPALA-24HRS'!E20,'17.8 KAMPALA-BUSUNJU'!E20)</f>
        <v>0.7142857142857143</v>
      </c>
      <c r="F20" s="49">
        <f>AVERAGE('11.8 KAMPALA-BUSUNJU'!F20,'12.8 BUSUNJU-KAMPALA'!F20,'13.8 KAMPALA-BUSUNJU'!F20,'14.8 KAMPALA-BUSUNJU'!F20,'15.8 KAMPALA-BUSUNJU-24 HRS'!F20,'16.8 BUSUNJU-KAMPALA-24HRS'!F20,'17.8 KAMPALA-BUSUNJU'!F20)</f>
        <v>0.14285714285714285</v>
      </c>
      <c r="G20" s="49">
        <f>AVERAGE('11.8 KAMPALA-BUSUNJU'!G20,'12.8 BUSUNJU-KAMPALA'!G20,'13.8 KAMPALA-BUSUNJU'!G20,'14.8 KAMPALA-BUSUNJU'!G20,'15.8 KAMPALA-BUSUNJU-24 HRS'!G20,'16.8 BUSUNJU-KAMPALA-24HRS'!G20,'17.8 KAMPALA-BUSUNJU'!G20)</f>
        <v>0</v>
      </c>
      <c r="H20" s="49">
        <f>AVERAGE('11.8 KAMPALA-BUSUNJU'!H20,'12.8 BUSUNJU-KAMPALA'!H20,'13.8 KAMPALA-BUSUNJU'!H20,'14.8 KAMPALA-BUSUNJU'!H20,'15.8 KAMPALA-BUSUNJU-24 HRS'!H20,'16.8 BUSUNJU-KAMPALA-24HRS'!H20,'17.8 KAMPALA-BUSUNJU'!H20)</f>
        <v>0.14285714285714285</v>
      </c>
      <c r="I20" s="49">
        <f>AVERAGE('11.8 KAMPALA-BUSUNJU'!I20,'12.8 BUSUNJU-KAMPALA'!I20,'13.8 KAMPALA-BUSUNJU'!I20,'14.8 KAMPALA-BUSUNJU'!I20,'15.8 KAMPALA-BUSUNJU-24 HRS'!I20,'16.8 BUSUNJU-KAMPALA-24HRS'!I20,'17.8 KAMPALA-BUSUNJU'!I20)</f>
        <v>0.42857142857142855</v>
      </c>
      <c r="J20" s="49">
        <f>AVERAGE('11.8 KAMPALA-BUSUNJU'!J20,'12.8 BUSUNJU-KAMPALA'!J20,'13.8 KAMPALA-BUSUNJU'!J20,'14.8 KAMPALA-BUSUNJU'!J20,'15.8 KAMPALA-BUSUNJU-24 HRS'!J20,'16.8 BUSUNJU-KAMPALA-24HRS'!J20,'17.8 KAMPALA-BUSUNJU'!J20)</f>
        <v>0.2857142857142857</v>
      </c>
      <c r="K20" s="49">
        <f>AVERAGE('11.8 KAMPALA-BUSUNJU'!K20,'12.8 BUSUNJU-KAMPALA'!K20,'13.8 KAMPALA-BUSUNJU'!K20,'14.8 KAMPALA-BUSUNJU'!K20,'15.8 KAMPALA-BUSUNJU-24 HRS'!K20,'16.8 BUSUNJU-KAMPALA-24HRS'!K20,'17.8 KAMPALA-BUSUNJU'!K20)</f>
        <v>0</v>
      </c>
      <c r="L20" s="49">
        <f>AVERAGE('11.8 KAMPALA-BUSUNJU'!L20,'12.8 BUSUNJU-KAMPALA'!L20,'13.8 KAMPALA-BUSUNJU'!L20,'14.8 KAMPALA-BUSUNJU'!L20,'15.8 KAMPALA-BUSUNJU-24 HRS'!L20,'16.8 BUSUNJU-KAMPALA-24HRS'!L20,'17.8 KAMPALA-BUSUNJU'!L20)</f>
        <v>0</v>
      </c>
      <c r="M20" s="49">
        <f>AVERAGE('11.8 KAMPALA-BUSUNJU'!M20,'12.8 BUSUNJU-KAMPALA'!M20,'13.8 KAMPALA-BUSUNJU'!M20,'14.8 KAMPALA-BUSUNJU'!M20,'15.8 KAMPALA-BUSUNJU-24 HRS'!M20,'16.8 BUSUNJU-KAMPALA-24HRS'!M20,'17.8 KAMPALA-BUSUNJU'!M20)</f>
        <v>15</v>
      </c>
      <c r="N20" s="49">
        <f>AVERAGE('11.8 KAMPALA-BUSUNJU'!N20,'12.8 BUSUNJU-KAMPALA'!N20,'13.8 KAMPALA-BUSUNJU'!N20,'14.8 KAMPALA-BUSUNJU'!N20,'15.8 KAMPALA-BUSUNJU-24 HRS'!N20,'16.8 BUSUNJU-KAMPALA-24HRS'!N20,'17.8 KAMPALA-BUSUNJU'!N20)</f>
        <v>0</v>
      </c>
      <c r="O20" s="15">
        <f t="shared" si="0"/>
        <v>2.5714285714285712</v>
      </c>
      <c r="P20" s="15">
        <f t="shared" si="1"/>
        <v>17.571428571428569</v>
      </c>
      <c r="R20" s="1" t="s">
        <v>16</v>
      </c>
      <c r="S20" s="17">
        <f t="shared" ref="S20:AF20" si="12">SUM(C50:C53)</f>
        <v>5.2857142857142856</v>
      </c>
      <c r="T20" s="17">
        <f t="shared" si="12"/>
        <v>0</v>
      </c>
      <c r="U20" s="17">
        <f t="shared" si="12"/>
        <v>4.7142857142857144</v>
      </c>
      <c r="V20" s="17">
        <f t="shared" si="12"/>
        <v>2</v>
      </c>
      <c r="W20" s="17">
        <f t="shared" si="12"/>
        <v>0</v>
      </c>
      <c r="X20" s="17">
        <f t="shared" si="12"/>
        <v>0</v>
      </c>
      <c r="Y20" s="17">
        <f t="shared" si="12"/>
        <v>2.5714285714285716</v>
      </c>
      <c r="Z20" s="17">
        <f t="shared" si="12"/>
        <v>0.42857142857142855</v>
      </c>
      <c r="AA20" s="17">
        <f t="shared" si="12"/>
        <v>0</v>
      </c>
      <c r="AB20" s="17">
        <f t="shared" si="12"/>
        <v>0</v>
      </c>
      <c r="AC20" s="17">
        <f t="shared" si="12"/>
        <v>63.857142857142854</v>
      </c>
      <c r="AD20" s="17">
        <f t="shared" si="12"/>
        <v>0</v>
      </c>
      <c r="AE20" s="31">
        <f t="shared" si="12"/>
        <v>14.999999999999998</v>
      </c>
      <c r="AF20" s="31">
        <f t="shared" si="12"/>
        <v>78.857142857142861</v>
      </c>
    </row>
    <row r="21" spans="2:32" ht="23.1" customHeight="1" x14ac:dyDescent="0.25">
      <c r="B21" s="23" t="s">
        <v>48</v>
      </c>
      <c r="C21" s="49">
        <f>AVERAGE('11.8 KAMPALA-BUSUNJU'!C21,'12.8 BUSUNJU-KAMPALA'!C21,'13.8 KAMPALA-BUSUNJU'!C21,'14.8 KAMPALA-BUSUNJU'!C21,'15.8 KAMPALA-BUSUNJU-24 HRS'!C21,'16.8 BUSUNJU-KAMPALA-24HRS'!C21,'17.8 KAMPALA-BUSUNJU'!C21)</f>
        <v>0.7142857142857143</v>
      </c>
      <c r="D21" s="49">
        <f>AVERAGE('11.8 KAMPALA-BUSUNJU'!D21,'12.8 BUSUNJU-KAMPALA'!D21,'13.8 KAMPALA-BUSUNJU'!D21,'14.8 KAMPALA-BUSUNJU'!D21,'15.8 KAMPALA-BUSUNJU-24 HRS'!D21,'16.8 BUSUNJU-KAMPALA-24HRS'!D21,'17.8 KAMPALA-BUSUNJU'!D21)</f>
        <v>0</v>
      </c>
      <c r="E21" s="49">
        <f>AVERAGE('11.8 KAMPALA-BUSUNJU'!E21,'12.8 BUSUNJU-KAMPALA'!E21,'13.8 KAMPALA-BUSUNJU'!E21,'14.8 KAMPALA-BUSUNJU'!E21,'15.8 KAMPALA-BUSUNJU-24 HRS'!E21,'16.8 BUSUNJU-KAMPALA-24HRS'!E21,'17.8 KAMPALA-BUSUNJU'!E21)</f>
        <v>0.42857142857142855</v>
      </c>
      <c r="F21" s="49">
        <f>AVERAGE('11.8 KAMPALA-BUSUNJU'!F21,'12.8 BUSUNJU-KAMPALA'!F21,'13.8 KAMPALA-BUSUNJU'!F21,'14.8 KAMPALA-BUSUNJU'!F21,'15.8 KAMPALA-BUSUNJU-24 HRS'!F21,'16.8 BUSUNJU-KAMPALA-24HRS'!F21,'17.8 KAMPALA-BUSUNJU'!F21)</f>
        <v>0.42857142857142855</v>
      </c>
      <c r="G21" s="49">
        <f>AVERAGE('11.8 KAMPALA-BUSUNJU'!G21,'12.8 BUSUNJU-KAMPALA'!G21,'13.8 KAMPALA-BUSUNJU'!G21,'14.8 KAMPALA-BUSUNJU'!G21,'15.8 KAMPALA-BUSUNJU-24 HRS'!G21,'16.8 BUSUNJU-KAMPALA-24HRS'!G21,'17.8 KAMPALA-BUSUNJU'!G21)</f>
        <v>0</v>
      </c>
      <c r="H21" s="49">
        <f>AVERAGE('11.8 KAMPALA-BUSUNJU'!H21,'12.8 BUSUNJU-KAMPALA'!H21,'13.8 KAMPALA-BUSUNJU'!H21,'14.8 KAMPALA-BUSUNJU'!H21,'15.8 KAMPALA-BUSUNJU-24 HRS'!H21,'16.8 BUSUNJU-KAMPALA-24HRS'!H21,'17.8 KAMPALA-BUSUNJU'!H21)</f>
        <v>0</v>
      </c>
      <c r="I21" s="49">
        <f>AVERAGE('11.8 KAMPALA-BUSUNJU'!I21,'12.8 BUSUNJU-KAMPALA'!I21,'13.8 KAMPALA-BUSUNJU'!I21,'14.8 KAMPALA-BUSUNJU'!I21,'15.8 KAMPALA-BUSUNJU-24 HRS'!I21,'16.8 BUSUNJU-KAMPALA-24HRS'!I21,'17.8 KAMPALA-BUSUNJU'!I21)</f>
        <v>1.1428571428571428</v>
      </c>
      <c r="J21" s="49">
        <f>AVERAGE('11.8 KAMPALA-BUSUNJU'!J21,'12.8 BUSUNJU-KAMPALA'!J21,'13.8 KAMPALA-BUSUNJU'!J21,'14.8 KAMPALA-BUSUNJU'!J21,'15.8 KAMPALA-BUSUNJU-24 HRS'!J21,'16.8 BUSUNJU-KAMPALA-24HRS'!J21,'17.8 KAMPALA-BUSUNJU'!J21)</f>
        <v>0.2857142857142857</v>
      </c>
      <c r="K21" s="49">
        <f>AVERAGE('11.8 KAMPALA-BUSUNJU'!K21,'12.8 BUSUNJU-KAMPALA'!K21,'13.8 KAMPALA-BUSUNJU'!K21,'14.8 KAMPALA-BUSUNJU'!K21,'15.8 KAMPALA-BUSUNJU-24 HRS'!K21,'16.8 BUSUNJU-KAMPALA-24HRS'!K21,'17.8 KAMPALA-BUSUNJU'!K21)</f>
        <v>0</v>
      </c>
      <c r="L21" s="49">
        <f>AVERAGE('11.8 KAMPALA-BUSUNJU'!L21,'12.8 BUSUNJU-KAMPALA'!L21,'13.8 KAMPALA-BUSUNJU'!L21,'14.8 KAMPALA-BUSUNJU'!L21,'15.8 KAMPALA-BUSUNJU-24 HRS'!L21,'16.8 BUSUNJU-KAMPALA-24HRS'!L21,'17.8 KAMPALA-BUSUNJU'!L21)</f>
        <v>0</v>
      </c>
      <c r="M21" s="49">
        <f>AVERAGE('11.8 KAMPALA-BUSUNJU'!M21,'12.8 BUSUNJU-KAMPALA'!M21,'13.8 KAMPALA-BUSUNJU'!M21,'14.8 KAMPALA-BUSUNJU'!M21,'15.8 KAMPALA-BUSUNJU-24 HRS'!M21,'16.8 BUSUNJU-KAMPALA-24HRS'!M21,'17.8 KAMPALA-BUSUNJU'!M21)</f>
        <v>15</v>
      </c>
      <c r="N21" s="49">
        <f>AVERAGE('11.8 KAMPALA-BUSUNJU'!N21,'12.8 BUSUNJU-KAMPALA'!N21,'13.8 KAMPALA-BUSUNJU'!N21,'14.8 KAMPALA-BUSUNJU'!N21,'15.8 KAMPALA-BUSUNJU-24 HRS'!N21,'16.8 BUSUNJU-KAMPALA-24HRS'!N21,'17.8 KAMPALA-BUSUNJU'!N21)</f>
        <v>0</v>
      </c>
      <c r="O21" s="15">
        <f t="shared" si="0"/>
        <v>3</v>
      </c>
      <c r="P21" s="15">
        <f t="shared" si="1"/>
        <v>18</v>
      </c>
      <c r="R21" s="36" t="s">
        <v>20</v>
      </c>
      <c r="S21" s="34">
        <f t="shared" ref="S21:AF21" si="13">SUM(C54:C57)</f>
        <v>5.5714285714285712</v>
      </c>
      <c r="T21" s="17">
        <f t="shared" si="13"/>
        <v>0.14285714285714285</v>
      </c>
      <c r="U21" s="17">
        <f t="shared" si="13"/>
        <v>3.5714285714285712</v>
      </c>
      <c r="V21" s="17">
        <f t="shared" si="13"/>
        <v>2.1428571428571428</v>
      </c>
      <c r="W21" s="17">
        <f t="shared" si="13"/>
        <v>0.71428571428571419</v>
      </c>
      <c r="X21" s="17">
        <f t="shared" si="13"/>
        <v>0</v>
      </c>
      <c r="Y21" s="17">
        <f t="shared" si="13"/>
        <v>3</v>
      </c>
      <c r="Z21" s="17">
        <f t="shared" si="13"/>
        <v>0.14285714285714285</v>
      </c>
      <c r="AA21" s="17">
        <f t="shared" si="13"/>
        <v>0</v>
      </c>
      <c r="AB21" s="17">
        <f t="shared" si="13"/>
        <v>0</v>
      </c>
      <c r="AC21" s="17">
        <f t="shared" si="13"/>
        <v>61.714285714285722</v>
      </c>
      <c r="AD21" s="17">
        <f t="shared" si="13"/>
        <v>0</v>
      </c>
      <c r="AE21" s="31">
        <f t="shared" si="13"/>
        <v>15.285714285714285</v>
      </c>
      <c r="AF21" s="31">
        <f t="shared" si="13"/>
        <v>77</v>
      </c>
    </row>
    <row r="22" spans="2:32" ht="23.1" customHeight="1" x14ac:dyDescent="0.25">
      <c r="B22" s="23" t="s">
        <v>49</v>
      </c>
      <c r="C22" s="49">
        <f>AVERAGE('11.8 KAMPALA-BUSUNJU'!C22,'12.8 BUSUNJU-KAMPALA'!C22,'13.8 KAMPALA-BUSUNJU'!C22,'14.8 KAMPALA-BUSUNJU'!C22,'15.8 KAMPALA-BUSUNJU-24 HRS'!C22,'16.8 BUSUNJU-KAMPALA-24HRS'!C22,'17.8 KAMPALA-BUSUNJU'!C22)</f>
        <v>0.42857142857142855</v>
      </c>
      <c r="D22" s="49">
        <f>AVERAGE('11.8 KAMPALA-BUSUNJU'!D22,'12.8 BUSUNJU-KAMPALA'!D22,'13.8 KAMPALA-BUSUNJU'!D22,'14.8 KAMPALA-BUSUNJU'!D22,'15.8 KAMPALA-BUSUNJU-24 HRS'!D22,'16.8 BUSUNJU-KAMPALA-24HRS'!D22,'17.8 KAMPALA-BUSUNJU'!D22)</f>
        <v>0</v>
      </c>
      <c r="E22" s="49">
        <f>AVERAGE('11.8 KAMPALA-BUSUNJU'!E22,'12.8 BUSUNJU-KAMPALA'!E22,'13.8 KAMPALA-BUSUNJU'!E22,'14.8 KAMPALA-BUSUNJU'!E22,'15.8 KAMPALA-BUSUNJU-24 HRS'!E22,'16.8 BUSUNJU-KAMPALA-24HRS'!E22,'17.8 KAMPALA-BUSUNJU'!E22)</f>
        <v>0.8571428571428571</v>
      </c>
      <c r="F22" s="49">
        <f>AVERAGE('11.8 KAMPALA-BUSUNJU'!F22,'12.8 BUSUNJU-KAMPALA'!F22,'13.8 KAMPALA-BUSUNJU'!F22,'14.8 KAMPALA-BUSUNJU'!F22,'15.8 KAMPALA-BUSUNJU-24 HRS'!F22,'16.8 BUSUNJU-KAMPALA-24HRS'!F22,'17.8 KAMPALA-BUSUNJU'!F22)</f>
        <v>0.42857142857142855</v>
      </c>
      <c r="G22" s="49">
        <f>AVERAGE('11.8 KAMPALA-BUSUNJU'!G22,'12.8 BUSUNJU-KAMPALA'!G22,'13.8 KAMPALA-BUSUNJU'!G22,'14.8 KAMPALA-BUSUNJU'!G22,'15.8 KAMPALA-BUSUNJU-24 HRS'!G22,'16.8 BUSUNJU-KAMPALA-24HRS'!G22,'17.8 KAMPALA-BUSUNJU'!G22)</f>
        <v>0</v>
      </c>
      <c r="H22" s="49">
        <f>AVERAGE('11.8 KAMPALA-BUSUNJU'!H22,'12.8 BUSUNJU-KAMPALA'!H22,'13.8 KAMPALA-BUSUNJU'!H22,'14.8 KAMPALA-BUSUNJU'!H22,'15.8 KAMPALA-BUSUNJU-24 HRS'!H22,'16.8 BUSUNJU-KAMPALA-24HRS'!H22,'17.8 KAMPALA-BUSUNJU'!H22)</f>
        <v>0</v>
      </c>
      <c r="I22" s="49">
        <f>AVERAGE('11.8 KAMPALA-BUSUNJU'!I22,'12.8 BUSUNJU-KAMPALA'!I22,'13.8 KAMPALA-BUSUNJU'!I22,'14.8 KAMPALA-BUSUNJU'!I22,'15.8 KAMPALA-BUSUNJU-24 HRS'!I22,'16.8 BUSUNJU-KAMPALA-24HRS'!I22,'17.8 KAMPALA-BUSUNJU'!I22)</f>
        <v>0.5714285714285714</v>
      </c>
      <c r="J22" s="49">
        <f>AVERAGE('11.8 KAMPALA-BUSUNJU'!J22,'12.8 BUSUNJU-KAMPALA'!J22,'13.8 KAMPALA-BUSUNJU'!J22,'14.8 KAMPALA-BUSUNJU'!J22,'15.8 KAMPALA-BUSUNJU-24 HRS'!J22,'16.8 BUSUNJU-KAMPALA-24HRS'!J22,'17.8 KAMPALA-BUSUNJU'!J22)</f>
        <v>0.14285714285714285</v>
      </c>
      <c r="K22" s="49">
        <f>AVERAGE('11.8 KAMPALA-BUSUNJU'!K22,'12.8 BUSUNJU-KAMPALA'!K22,'13.8 KAMPALA-BUSUNJU'!K22,'14.8 KAMPALA-BUSUNJU'!K22,'15.8 KAMPALA-BUSUNJU-24 HRS'!K22,'16.8 BUSUNJU-KAMPALA-24HRS'!K22,'17.8 KAMPALA-BUSUNJU'!K22)</f>
        <v>0</v>
      </c>
      <c r="L22" s="49">
        <f>AVERAGE('11.8 KAMPALA-BUSUNJU'!L22,'12.8 BUSUNJU-KAMPALA'!L22,'13.8 KAMPALA-BUSUNJU'!L22,'14.8 KAMPALA-BUSUNJU'!L22,'15.8 KAMPALA-BUSUNJU-24 HRS'!L22,'16.8 BUSUNJU-KAMPALA-24HRS'!L22,'17.8 KAMPALA-BUSUNJU'!L22)</f>
        <v>0</v>
      </c>
      <c r="M22" s="49">
        <f>AVERAGE('11.8 KAMPALA-BUSUNJU'!M22,'12.8 BUSUNJU-KAMPALA'!M22,'13.8 KAMPALA-BUSUNJU'!M22,'14.8 KAMPALA-BUSUNJU'!M22,'15.8 KAMPALA-BUSUNJU-24 HRS'!M22,'16.8 BUSUNJU-KAMPALA-24HRS'!M22,'17.8 KAMPALA-BUSUNJU'!M22)</f>
        <v>15.285714285714286</v>
      </c>
      <c r="N22" s="49">
        <f>AVERAGE('11.8 KAMPALA-BUSUNJU'!N22,'12.8 BUSUNJU-KAMPALA'!N22,'13.8 KAMPALA-BUSUNJU'!N22,'14.8 KAMPALA-BUSUNJU'!N22,'15.8 KAMPALA-BUSUNJU-24 HRS'!N22,'16.8 BUSUNJU-KAMPALA-24HRS'!N22,'17.8 KAMPALA-BUSUNJU'!N22)</f>
        <v>0</v>
      </c>
      <c r="O22" s="15">
        <f t="shared" si="0"/>
        <v>2.4285714285714284</v>
      </c>
      <c r="P22" s="15">
        <f t="shared" si="1"/>
        <v>17.714285714285715</v>
      </c>
      <c r="R22" s="1" t="s">
        <v>146</v>
      </c>
      <c r="S22" s="34">
        <f>SUM(C58:C61)</f>
        <v>6</v>
      </c>
      <c r="T22" s="34">
        <f t="shared" ref="T22:AF22" si="14">SUM(D58:D61)</f>
        <v>1</v>
      </c>
      <c r="U22" s="34">
        <f t="shared" si="14"/>
        <v>4</v>
      </c>
      <c r="V22" s="34">
        <f t="shared" si="14"/>
        <v>2</v>
      </c>
      <c r="W22" s="34">
        <f t="shared" si="14"/>
        <v>0</v>
      </c>
      <c r="X22" s="34">
        <f t="shared" si="14"/>
        <v>1</v>
      </c>
      <c r="Y22" s="34">
        <f t="shared" si="14"/>
        <v>5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48.5</v>
      </c>
      <c r="AD22" s="34">
        <f t="shared" si="14"/>
        <v>0</v>
      </c>
      <c r="AE22" s="51">
        <f t="shared" si="14"/>
        <v>19</v>
      </c>
      <c r="AF22" s="51">
        <f t="shared" si="14"/>
        <v>67.5</v>
      </c>
    </row>
    <row r="23" spans="2:32" ht="23.1" customHeight="1" x14ac:dyDescent="0.25">
      <c r="B23" s="23" t="s">
        <v>50</v>
      </c>
      <c r="C23" s="49">
        <f>AVERAGE('11.8 KAMPALA-BUSUNJU'!C23,'12.8 BUSUNJU-KAMPALA'!C23,'13.8 KAMPALA-BUSUNJU'!C23,'14.8 KAMPALA-BUSUNJU'!C23,'15.8 KAMPALA-BUSUNJU-24 HRS'!C23,'16.8 BUSUNJU-KAMPALA-24HRS'!C23,'17.8 KAMPALA-BUSUNJU'!C23)</f>
        <v>1.1428571428571428</v>
      </c>
      <c r="D23" s="49">
        <f>AVERAGE('11.8 KAMPALA-BUSUNJU'!D23,'12.8 BUSUNJU-KAMPALA'!D23,'13.8 KAMPALA-BUSUNJU'!D23,'14.8 KAMPALA-BUSUNJU'!D23,'15.8 KAMPALA-BUSUNJU-24 HRS'!D23,'16.8 BUSUNJU-KAMPALA-24HRS'!D23,'17.8 KAMPALA-BUSUNJU'!D23)</f>
        <v>0.42857142857142855</v>
      </c>
      <c r="E23" s="49">
        <f>AVERAGE('11.8 KAMPALA-BUSUNJU'!E23,'12.8 BUSUNJU-KAMPALA'!E23,'13.8 KAMPALA-BUSUNJU'!E23,'14.8 KAMPALA-BUSUNJU'!E23,'15.8 KAMPALA-BUSUNJU-24 HRS'!E23,'16.8 BUSUNJU-KAMPALA-24HRS'!E23,'17.8 KAMPALA-BUSUNJU'!E23)</f>
        <v>1.5714285714285714</v>
      </c>
      <c r="F23" s="49">
        <f>AVERAGE('11.8 KAMPALA-BUSUNJU'!F23,'12.8 BUSUNJU-KAMPALA'!F23,'13.8 KAMPALA-BUSUNJU'!F23,'14.8 KAMPALA-BUSUNJU'!F23,'15.8 KAMPALA-BUSUNJU-24 HRS'!F23,'16.8 BUSUNJU-KAMPALA-24HRS'!F23,'17.8 KAMPALA-BUSUNJU'!F23)</f>
        <v>0</v>
      </c>
      <c r="G23" s="49">
        <f>AVERAGE('11.8 KAMPALA-BUSUNJU'!G23,'12.8 BUSUNJU-KAMPALA'!G23,'13.8 KAMPALA-BUSUNJU'!G23,'14.8 KAMPALA-BUSUNJU'!G23,'15.8 KAMPALA-BUSUNJU-24 HRS'!G23,'16.8 BUSUNJU-KAMPALA-24HRS'!G23,'17.8 KAMPALA-BUSUNJU'!G23)</f>
        <v>0</v>
      </c>
      <c r="H23" s="49">
        <f>AVERAGE('11.8 KAMPALA-BUSUNJU'!H23,'12.8 BUSUNJU-KAMPALA'!H23,'13.8 KAMPALA-BUSUNJU'!H23,'14.8 KAMPALA-BUSUNJU'!H23,'15.8 KAMPALA-BUSUNJU-24 HRS'!H23,'16.8 BUSUNJU-KAMPALA-24HRS'!H23,'17.8 KAMPALA-BUSUNJU'!H23)</f>
        <v>0.14285714285714285</v>
      </c>
      <c r="I23" s="49">
        <f>AVERAGE('11.8 KAMPALA-BUSUNJU'!I23,'12.8 BUSUNJU-KAMPALA'!I23,'13.8 KAMPALA-BUSUNJU'!I23,'14.8 KAMPALA-BUSUNJU'!I23,'15.8 KAMPALA-BUSUNJU-24 HRS'!I23,'16.8 BUSUNJU-KAMPALA-24HRS'!I23,'17.8 KAMPALA-BUSUNJU'!I23)</f>
        <v>1</v>
      </c>
      <c r="J23" s="49">
        <f>AVERAGE('11.8 KAMPALA-BUSUNJU'!J23,'12.8 BUSUNJU-KAMPALA'!J23,'13.8 KAMPALA-BUSUNJU'!J23,'14.8 KAMPALA-BUSUNJU'!J23,'15.8 KAMPALA-BUSUNJU-24 HRS'!J23,'16.8 BUSUNJU-KAMPALA-24HRS'!J23,'17.8 KAMPALA-BUSUNJU'!J23)</f>
        <v>0</v>
      </c>
      <c r="K23" s="49">
        <f>AVERAGE('11.8 KAMPALA-BUSUNJU'!K23,'12.8 BUSUNJU-KAMPALA'!K23,'13.8 KAMPALA-BUSUNJU'!K23,'14.8 KAMPALA-BUSUNJU'!K23,'15.8 KAMPALA-BUSUNJU-24 HRS'!K23,'16.8 BUSUNJU-KAMPALA-24HRS'!K23,'17.8 KAMPALA-BUSUNJU'!K23)</f>
        <v>0</v>
      </c>
      <c r="L23" s="49">
        <f>AVERAGE('11.8 KAMPALA-BUSUNJU'!L23,'12.8 BUSUNJU-KAMPALA'!L23,'13.8 KAMPALA-BUSUNJU'!L23,'14.8 KAMPALA-BUSUNJU'!L23,'15.8 KAMPALA-BUSUNJU-24 HRS'!L23,'16.8 BUSUNJU-KAMPALA-24HRS'!L23,'17.8 KAMPALA-BUSUNJU'!L23)</f>
        <v>0.14285714285714285</v>
      </c>
      <c r="M23" s="49">
        <f>AVERAGE('11.8 KAMPALA-BUSUNJU'!M23,'12.8 BUSUNJU-KAMPALA'!M23,'13.8 KAMPALA-BUSUNJU'!M23,'14.8 KAMPALA-BUSUNJU'!M23,'15.8 KAMPALA-BUSUNJU-24 HRS'!M23,'16.8 BUSUNJU-KAMPALA-24HRS'!M23,'17.8 KAMPALA-BUSUNJU'!M23)</f>
        <v>13.857142857142858</v>
      </c>
      <c r="N23" s="49">
        <f>AVERAGE('11.8 KAMPALA-BUSUNJU'!N23,'12.8 BUSUNJU-KAMPALA'!N23,'13.8 KAMPALA-BUSUNJU'!N23,'14.8 KAMPALA-BUSUNJU'!N23,'15.8 KAMPALA-BUSUNJU-24 HRS'!N23,'16.8 BUSUNJU-KAMPALA-24HRS'!N23,'17.8 KAMPALA-BUSUNJU'!N23)</f>
        <v>0</v>
      </c>
      <c r="O23" s="15">
        <f t="shared" si="0"/>
        <v>4.4285714285714288</v>
      </c>
      <c r="P23" s="15">
        <f t="shared" si="1"/>
        <v>18.285714285714285</v>
      </c>
      <c r="R23" s="1" t="s">
        <v>147</v>
      </c>
      <c r="S23" s="34">
        <f>SUM(C62:C65)</f>
        <v>7</v>
      </c>
      <c r="T23" s="34">
        <f t="shared" ref="T23:AF23" si="15">SUM(D62:D65)</f>
        <v>1</v>
      </c>
      <c r="U23" s="34">
        <f t="shared" si="15"/>
        <v>5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3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34</v>
      </c>
      <c r="AD23" s="34">
        <f t="shared" si="15"/>
        <v>0</v>
      </c>
      <c r="AE23" s="51">
        <f t="shared" si="15"/>
        <v>17</v>
      </c>
      <c r="AF23" s="51">
        <f t="shared" si="15"/>
        <v>51</v>
      </c>
    </row>
    <row r="24" spans="2:32" ht="23.1" customHeight="1" x14ac:dyDescent="0.25">
      <c r="B24" s="23" t="s">
        <v>51</v>
      </c>
      <c r="C24" s="49">
        <f>AVERAGE('11.8 KAMPALA-BUSUNJU'!C24,'12.8 BUSUNJU-KAMPALA'!C24,'13.8 KAMPALA-BUSUNJU'!C24,'14.8 KAMPALA-BUSUNJU'!C24,'15.8 KAMPALA-BUSUNJU-24 HRS'!C24,'16.8 BUSUNJU-KAMPALA-24HRS'!C24,'17.8 KAMPALA-BUSUNJU'!C24)</f>
        <v>0.5714285714285714</v>
      </c>
      <c r="D24" s="49">
        <f>AVERAGE('11.8 KAMPALA-BUSUNJU'!D24,'12.8 BUSUNJU-KAMPALA'!D24,'13.8 KAMPALA-BUSUNJU'!D24,'14.8 KAMPALA-BUSUNJU'!D24,'15.8 KAMPALA-BUSUNJU-24 HRS'!D24,'16.8 BUSUNJU-KAMPALA-24HRS'!D24,'17.8 KAMPALA-BUSUNJU'!D24)</f>
        <v>0</v>
      </c>
      <c r="E24" s="49">
        <f>AVERAGE('11.8 KAMPALA-BUSUNJU'!E24,'12.8 BUSUNJU-KAMPALA'!E24,'13.8 KAMPALA-BUSUNJU'!E24,'14.8 KAMPALA-BUSUNJU'!E24,'15.8 KAMPALA-BUSUNJU-24 HRS'!E24,'16.8 BUSUNJU-KAMPALA-24HRS'!E24,'17.8 KAMPALA-BUSUNJU'!E24)</f>
        <v>0.5714285714285714</v>
      </c>
      <c r="F24" s="49">
        <f>AVERAGE('11.8 KAMPALA-BUSUNJU'!F24,'12.8 BUSUNJU-KAMPALA'!F24,'13.8 KAMPALA-BUSUNJU'!F24,'14.8 KAMPALA-BUSUNJU'!F24,'15.8 KAMPALA-BUSUNJU-24 HRS'!F24,'16.8 BUSUNJU-KAMPALA-24HRS'!F24,'17.8 KAMPALA-BUSUNJU'!F24)</f>
        <v>0</v>
      </c>
      <c r="G24" s="49">
        <f>AVERAGE('11.8 KAMPALA-BUSUNJU'!G24,'12.8 BUSUNJU-KAMPALA'!G24,'13.8 KAMPALA-BUSUNJU'!G24,'14.8 KAMPALA-BUSUNJU'!G24,'15.8 KAMPALA-BUSUNJU-24 HRS'!G24,'16.8 BUSUNJU-KAMPALA-24HRS'!G24,'17.8 KAMPALA-BUSUNJU'!G24)</f>
        <v>0.42857142857142855</v>
      </c>
      <c r="H24" s="49">
        <f>AVERAGE('11.8 KAMPALA-BUSUNJU'!H24,'12.8 BUSUNJU-KAMPALA'!H24,'13.8 KAMPALA-BUSUNJU'!H24,'14.8 KAMPALA-BUSUNJU'!H24,'15.8 KAMPALA-BUSUNJU-24 HRS'!H24,'16.8 BUSUNJU-KAMPALA-24HRS'!H24,'17.8 KAMPALA-BUSUNJU'!H24)</f>
        <v>0.14285714285714285</v>
      </c>
      <c r="I24" s="49">
        <f>AVERAGE('11.8 KAMPALA-BUSUNJU'!I24,'12.8 BUSUNJU-KAMPALA'!I24,'13.8 KAMPALA-BUSUNJU'!I24,'14.8 KAMPALA-BUSUNJU'!I24,'15.8 KAMPALA-BUSUNJU-24 HRS'!I24,'16.8 BUSUNJU-KAMPALA-24HRS'!I24,'17.8 KAMPALA-BUSUNJU'!I24)</f>
        <v>1.2857142857142858</v>
      </c>
      <c r="J24" s="49">
        <f>AVERAGE('11.8 KAMPALA-BUSUNJU'!J24,'12.8 BUSUNJU-KAMPALA'!J24,'13.8 KAMPALA-BUSUNJU'!J24,'14.8 KAMPALA-BUSUNJU'!J24,'15.8 KAMPALA-BUSUNJU-24 HRS'!J24,'16.8 BUSUNJU-KAMPALA-24HRS'!J24,'17.8 KAMPALA-BUSUNJU'!J24)</f>
        <v>0.2857142857142857</v>
      </c>
      <c r="K24" s="49">
        <f>AVERAGE('11.8 KAMPALA-BUSUNJU'!K24,'12.8 BUSUNJU-KAMPALA'!K24,'13.8 KAMPALA-BUSUNJU'!K24,'14.8 KAMPALA-BUSUNJU'!K24,'15.8 KAMPALA-BUSUNJU-24 HRS'!K24,'16.8 BUSUNJU-KAMPALA-24HRS'!K24,'17.8 KAMPALA-BUSUNJU'!K24)</f>
        <v>0</v>
      </c>
      <c r="L24" s="49">
        <f>AVERAGE('11.8 KAMPALA-BUSUNJU'!L24,'12.8 BUSUNJU-KAMPALA'!L24,'13.8 KAMPALA-BUSUNJU'!L24,'14.8 KAMPALA-BUSUNJU'!L24,'15.8 KAMPALA-BUSUNJU-24 HRS'!L24,'16.8 BUSUNJU-KAMPALA-24HRS'!L24,'17.8 KAMPALA-BUSUNJU'!L24)</f>
        <v>0</v>
      </c>
      <c r="M24" s="49">
        <f>AVERAGE('11.8 KAMPALA-BUSUNJU'!M24,'12.8 BUSUNJU-KAMPALA'!M24,'13.8 KAMPALA-BUSUNJU'!M24,'14.8 KAMPALA-BUSUNJU'!M24,'15.8 KAMPALA-BUSUNJU-24 HRS'!M24,'16.8 BUSUNJU-KAMPALA-24HRS'!M24,'17.8 KAMPALA-BUSUNJU'!M24)</f>
        <v>16.714285714285715</v>
      </c>
      <c r="N24" s="49">
        <f>AVERAGE('11.8 KAMPALA-BUSUNJU'!N24,'12.8 BUSUNJU-KAMPALA'!N24,'13.8 KAMPALA-BUSUNJU'!N24,'14.8 KAMPALA-BUSUNJU'!N24,'15.8 KAMPALA-BUSUNJU-24 HRS'!N24,'16.8 BUSUNJU-KAMPALA-24HRS'!N24,'17.8 KAMPALA-BUSUNJU'!N24)</f>
        <v>0</v>
      </c>
      <c r="O24" s="15">
        <f t="shared" si="0"/>
        <v>3.2857142857142856</v>
      </c>
      <c r="P24" s="15">
        <f t="shared" si="1"/>
        <v>20</v>
      </c>
      <c r="R24" s="1" t="s">
        <v>148</v>
      </c>
      <c r="S24" s="34">
        <f>SUM(C66:C69)</f>
        <v>6</v>
      </c>
      <c r="T24" s="34">
        <f t="shared" ref="T24:AF24" si="16">SUM(D66:D69)</f>
        <v>2</v>
      </c>
      <c r="U24" s="34">
        <f t="shared" si="16"/>
        <v>7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15</v>
      </c>
      <c r="AD24" s="34">
        <f t="shared" si="16"/>
        <v>0</v>
      </c>
      <c r="AE24" s="51">
        <f t="shared" si="16"/>
        <v>20</v>
      </c>
      <c r="AF24" s="51">
        <f t="shared" si="16"/>
        <v>35</v>
      </c>
    </row>
    <row r="25" spans="2:32" ht="23.1" customHeight="1" x14ac:dyDescent="0.25">
      <c r="B25" s="23" t="s">
        <v>52</v>
      </c>
      <c r="C25" s="49">
        <f>AVERAGE('11.8 KAMPALA-BUSUNJU'!C25,'12.8 BUSUNJU-KAMPALA'!C25,'13.8 KAMPALA-BUSUNJU'!C25,'14.8 KAMPALA-BUSUNJU'!C25,'15.8 KAMPALA-BUSUNJU-24 HRS'!C25,'16.8 BUSUNJU-KAMPALA-24HRS'!C25,'17.8 KAMPALA-BUSUNJU'!C25)</f>
        <v>0.7142857142857143</v>
      </c>
      <c r="D25" s="49">
        <f>AVERAGE('11.8 KAMPALA-BUSUNJU'!D25,'12.8 BUSUNJU-KAMPALA'!D25,'13.8 KAMPALA-BUSUNJU'!D25,'14.8 KAMPALA-BUSUNJU'!D25,'15.8 KAMPALA-BUSUNJU-24 HRS'!D25,'16.8 BUSUNJU-KAMPALA-24HRS'!D25,'17.8 KAMPALA-BUSUNJU'!D25)</f>
        <v>0</v>
      </c>
      <c r="E25" s="49">
        <f>AVERAGE('11.8 KAMPALA-BUSUNJU'!E25,'12.8 BUSUNJU-KAMPALA'!E25,'13.8 KAMPALA-BUSUNJU'!E25,'14.8 KAMPALA-BUSUNJU'!E25,'15.8 KAMPALA-BUSUNJU-24 HRS'!E25,'16.8 BUSUNJU-KAMPALA-24HRS'!E25,'17.8 KAMPALA-BUSUNJU'!E25)</f>
        <v>0.7142857142857143</v>
      </c>
      <c r="F25" s="49">
        <f>AVERAGE('11.8 KAMPALA-BUSUNJU'!F25,'12.8 BUSUNJU-KAMPALA'!F25,'13.8 KAMPALA-BUSUNJU'!F25,'14.8 KAMPALA-BUSUNJU'!F25,'15.8 KAMPALA-BUSUNJU-24 HRS'!F25,'16.8 BUSUNJU-KAMPALA-24HRS'!F25,'17.8 KAMPALA-BUSUNJU'!F25)</f>
        <v>0.14285714285714285</v>
      </c>
      <c r="G25" s="49">
        <f>AVERAGE('11.8 KAMPALA-BUSUNJU'!G25,'12.8 BUSUNJU-KAMPALA'!G25,'13.8 KAMPALA-BUSUNJU'!G25,'14.8 KAMPALA-BUSUNJU'!G25,'15.8 KAMPALA-BUSUNJU-24 HRS'!G25,'16.8 BUSUNJU-KAMPALA-24HRS'!G25,'17.8 KAMPALA-BUSUNJU'!G25)</f>
        <v>0</v>
      </c>
      <c r="H25" s="49">
        <f>AVERAGE('11.8 KAMPALA-BUSUNJU'!H25,'12.8 BUSUNJU-KAMPALA'!H25,'13.8 KAMPALA-BUSUNJU'!H25,'14.8 KAMPALA-BUSUNJU'!H25,'15.8 KAMPALA-BUSUNJU-24 HRS'!H25,'16.8 BUSUNJU-KAMPALA-24HRS'!H25,'17.8 KAMPALA-BUSUNJU'!H25)</f>
        <v>0</v>
      </c>
      <c r="I25" s="49">
        <f>AVERAGE('11.8 KAMPALA-BUSUNJU'!I25,'12.8 BUSUNJU-KAMPALA'!I25,'13.8 KAMPALA-BUSUNJU'!I25,'14.8 KAMPALA-BUSUNJU'!I25,'15.8 KAMPALA-BUSUNJU-24 HRS'!I25,'16.8 BUSUNJU-KAMPALA-24HRS'!I25,'17.8 KAMPALA-BUSUNJU'!I25)</f>
        <v>0.8571428571428571</v>
      </c>
      <c r="J25" s="49">
        <f>AVERAGE('11.8 KAMPALA-BUSUNJU'!J25,'12.8 BUSUNJU-KAMPALA'!J25,'13.8 KAMPALA-BUSUNJU'!J25,'14.8 KAMPALA-BUSUNJU'!J25,'15.8 KAMPALA-BUSUNJU-24 HRS'!J25,'16.8 BUSUNJU-KAMPALA-24HRS'!J25,'17.8 KAMPALA-BUSUNJU'!J25)</f>
        <v>0</v>
      </c>
      <c r="K25" s="49">
        <f>AVERAGE('11.8 KAMPALA-BUSUNJU'!K25,'12.8 BUSUNJU-KAMPALA'!K25,'13.8 KAMPALA-BUSUNJU'!K25,'14.8 KAMPALA-BUSUNJU'!K25,'15.8 KAMPALA-BUSUNJU-24 HRS'!K25,'16.8 BUSUNJU-KAMPALA-24HRS'!K25,'17.8 KAMPALA-BUSUNJU'!K25)</f>
        <v>0</v>
      </c>
      <c r="L25" s="49">
        <f>AVERAGE('11.8 KAMPALA-BUSUNJU'!L25,'12.8 BUSUNJU-KAMPALA'!L25,'13.8 KAMPALA-BUSUNJU'!L25,'14.8 KAMPALA-BUSUNJU'!L25,'15.8 KAMPALA-BUSUNJU-24 HRS'!L25,'16.8 BUSUNJU-KAMPALA-24HRS'!L25,'17.8 KAMPALA-BUSUNJU'!L25)</f>
        <v>0</v>
      </c>
      <c r="M25" s="49">
        <f>AVERAGE('11.8 KAMPALA-BUSUNJU'!M25,'12.8 BUSUNJU-KAMPALA'!M25,'13.8 KAMPALA-BUSUNJU'!M25,'14.8 KAMPALA-BUSUNJU'!M25,'15.8 KAMPALA-BUSUNJU-24 HRS'!M25,'16.8 BUSUNJU-KAMPALA-24HRS'!M25,'17.8 KAMPALA-BUSUNJU'!M25)</f>
        <v>13.142857142857142</v>
      </c>
      <c r="N25" s="49">
        <f>AVERAGE('11.8 KAMPALA-BUSUNJU'!N25,'12.8 BUSUNJU-KAMPALA'!N25,'13.8 KAMPALA-BUSUNJU'!N25,'14.8 KAMPALA-BUSUNJU'!N25,'15.8 KAMPALA-BUSUNJU-24 HRS'!N25,'16.8 BUSUNJU-KAMPALA-24HRS'!N25,'17.8 KAMPALA-BUSUNJU'!N25)</f>
        <v>0</v>
      </c>
      <c r="O25" s="15">
        <f t="shared" si="0"/>
        <v>2.4285714285714284</v>
      </c>
      <c r="P25" s="15">
        <f t="shared" si="1"/>
        <v>15.571428571428571</v>
      </c>
      <c r="R25" s="1" t="s">
        <v>149</v>
      </c>
      <c r="S25" s="34">
        <f>SUM(C70:C73)</f>
        <v>5</v>
      </c>
      <c r="T25" s="34">
        <f t="shared" ref="T25:AF25" si="17">SUM(D70:D73)</f>
        <v>0</v>
      </c>
      <c r="U25" s="34">
        <f t="shared" si="17"/>
        <v>3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5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4</v>
      </c>
      <c r="AD25" s="34">
        <f t="shared" si="17"/>
        <v>0.5</v>
      </c>
      <c r="AE25" s="51">
        <f t="shared" si="17"/>
        <v>15.5</v>
      </c>
      <c r="AF25" s="51">
        <f t="shared" si="17"/>
        <v>19.5</v>
      </c>
    </row>
    <row r="26" spans="2:32" ht="23.1" customHeight="1" x14ac:dyDescent="0.25">
      <c r="B26" s="23" t="s">
        <v>53</v>
      </c>
      <c r="C26" s="49">
        <f>AVERAGE('11.8 KAMPALA-BUSUNJU'!C26,'12.8 BUSUNJU-KAMPALA'!C26,'13.8 KAMPALA-BUSUNJU'!C26,'14.8 KAMPALA-BUSUNJU'!C26,'15.8 KAMPALA-BUSUNJU-24 HRS'!C26,'16.8 BUSUNJU-KAMPALA-24HRS'!C26,'17.8 KAMPALA-BUSUNJU'!C26)</f>
        <v>2</v>
      </c>
      <c r="D26" s="49">
        <f>AVERAGE('11.8 KAMPALA-BUSUNJU'!D26,'12.8 BUSUNJU-KAMPALA'!D26,'13.8 KAMPALA-BUSUNJU'!D26,'14.8 KAMPALA-BUSUNJU'!D26,'15.8 KAMPALA-BUSUNJU-24 HRS'!D26,'16.8 BUSUNJU-KAMPALA-24HRS'!D26,'17.8 KAMPALA-BUSUNJU'!D26)</f>
        <v>0</v>
      </c>
      <c r="E26" s="49">
        <f>AVERAGE('11.8 KAMPALA-BUSUNJU'!E26,'12.8 BUSUNJU-KAMPALA'!E26,'13.8 KAMPALA-BUSUNJU'!E26,'14.8 KAMPALA-BUSUNJU'!E26,'15.8 KAMPALA-BUSUNJU-24 HRS'!E26,'16.8 BUSUNJU-KAMPALA-24HRS'!E26,'17.8 KAMPALA-BUSUNJU'!E26)</f>
        <v>0.7142857142857143</v>
      </c>
      <c r="F26" s="49">
        <f>AVERAGE('11.8 KAMPALA-BUSUNJU'!F26,'12.8 BUSUNJU-KAMPALA'!F26,'13.8 KAMPALA-BUSUNJU'!F26,'14.8 KAMPALA-BUSUNJU'!F26,'15.8 KAMPALA-BUSUNJU-24 HRS'!F26,'16.8 BUSUNJU-KAMPALA-24HRS'!F26,'17.8 KAMPALA-BUSUNJU'!F26)</f>
        <v>0.42857142857142855</v>
      </c>
      <c r="G26" s="49">
        <f>AVERAGE('11.8 KAMPALA-BUSUNJU'!G26,'12.8 BUSUNJU-KAMPALA'!G26,'13.8 KAMPALA-BUSUNJU'!G26,'14.8 KAMPALA-BUSUNJU'!G26,'15.8 KAMPALA-BUSUNJU-24 HRS'!G26,'16.8 BUSUNJU-KAMPALA-24HRS'!G26,'17.8 KAMPALA-BUSUNJU'!G26)</f>
        <v>0</v>
      </c>
      <c r="H26" s="49">
        <f>AVERAGE('11.8 KAMPALA-BUSUNJU'!H26,'12.8 BUSUNJU-KAMPALA'!H26,'13.8 KAMPALA-BUSUNJU'!H26,'14.8 KAMPALA-BUSUNJU'!H26,'15.8 KAMPALA-BUSUNJU-24 HRS'!H26,'16.8 BUSUNJU-KAMPALA-24HRS'!H26,'17.8 KAMPALA-BUSUNJU'!H26)</f>
        <v>0</v>
      </c>
      <c r="I26" s="49">
        <f>AVERAGE('11.8 KAMPALA-BUSUNJU'!I26,'12.8 BUSUNJU-KAMPALA'!I26,'13.8 KAMPALA-BUSUNJU'!I26,'14.8 KAMPALA-BUSUNJU'!I26,'15.8 KAMPALA-BUSUNJU-24 HRS'!I26,'16.8 BUSUNJU-KAMPALA-24HRS'!I26,'17.8 KAMPALA-BUSUNJU'!I26)</f>
        <v>0.8571428571428571</v>
      </c>
      <c r="J26" s="49">
        <f>AVERAGE('11.8 KAMPALA-BUSUNJU'!J26,'12.8 BUSUNJU-KAMPALA'!J26,'13.8 KAMPALA-BUSUNJU'!J26,'14.8 KAMPALA-BUSUNJU'!J26,'15.8 KAMPALA-BUSUNJU-24 HRS'!J26,'16.8 BUSUNJU-KAMPALA-24HRS'!J26,'17.8 KAMPALA-BUSUNJU'!J26)</f>
        <v>0.14285714285714285</v>
      </c>
      <c r="K26" s="49">
        <f>AVERAGE('11.8 KAMPALA-BUSUNJU'!K26,'12.8 BUSUNJU-KAMPALA'!K26,'13.8 KAMPALA-BUSUNJU'!K26,'14.8 KAMPALA-BUSUNJU'!K26,'15.8 KAMPALA-BUSUNJU-24 HRS'!K26,'16.8 BUSUNJU-KAMPALA-24HRS'!K26,'17.8 KAMPALA-BUSUNJU'!K26)</f>
        <v>0</v>
      </c>
      <c r="L26" s="49">
        <f>AVERAGE('11.8 KAMPALA-BUSUNJU'!L26,'12.8 BUSUNJU-KAMPALA'!L26,'13.8 KAMPALA-BUSUNJU'!L26,'14.8 KAMPALA-BUSUNJU'!L26,'15.8 KAMPALA-BUSUNJU-24 HRS'!L26,'16.8 BUSUNJU-KAMPALA-24HRS'!L26,'17.8 KAMPALA-BUSUNJU'!L26)</f>
        <v>0</v>
      </c>
      <c r="M26" s="49">
        <f>AVERAGE('11.8 KAMPALA-BUSUNJU'!M26,'12.8 BUSUNJU-KAMPALA'!M26,'13.8 KAMPALA-BUSUNJU'!M26,'14.8 KAMPALA-BUSUNJU'!M26,'15.8 KAMPALA-BUSUNJU-24 HRS'!M26,'16.8 BUSUNJU-KAMPALA-24HRS'!M26,'17.8 KAMPALA-BUSUNJU'!M26)</f>
        <v>15.142857142857142</v>
      </c>
      <c r="N26" s="49">
        <f>AVERAGE('11.8 KAMPALA-BUSUNJU'!N26,'12.8 BUSUNJU-KAMPALA'!N26,'13.8 KAMPALA-BUSUNJU'!N26,'14.8 KAMPALA-BUSUNJU'!N26,'15.8 KAMPALA-BUSUNJU-24 HRS'!N26,'16.8 BUSUNJU-KAMPALA-24HRS'!N26,'17.8 KAMPALA-BUSUNJU'!N26)</f>
        <v>0</v>
      </c>
      <c r="O26" s="15">
        <f t="shared" si="0"/>
        <v>4.1428571428571432</v>
      </c>
      <c r="P26" s="15">
        <f t="shared" si="1"/>
        <v>19.285714285714285</v>
      </c>
      <c r="R26" s="1" t="s">
        <v>150</v>
      </c>
      <c r="S26" s="34">
        <f>SUM(C74:C77)</f>
        <v>5</v>
      </c>
      <c r="T26" s="34">
        <f t="shared" ref="T26:AF26" si="18">SUM(D74:D77)</f>
        <v>1</v>
      </c>
      <c r="U26" s="34">
        <f t="shared" si="18"/>
        <v>3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3</v>
      </c>
      <c r="AD26" s="34">
        <f t="shared" si="18"/>
        <v>0</v>
      </c>
      <c r="AE26" s="51">
        <f t="shared" si="18"/>
        <v>10</v>
      </c>
      <c r="AF26" s="51">
        <f t="shared" si="18"/>
        <v>13</v>
      </c>
    </row>
    <row r="27" spans="2:32" ht="23.1" customHeight="1" x14ac:dyDescent="0.25">
      <c r="B27" s="23" t="s">
        <v>54</v>
      </c>
      <c r="C27" s="49">
        <f>AVERAGE('11.8 KAMPALA-BUSUNJU'!C27,'12.8 BUSUNJU-KAMPALA'!C27,'13.8 KAMPALA-BUSUNJU'!C27,'14.8 KAMPALA-BUSUNJU'!C27,'15.8 KAMPALA-BUSUNJU-24 HRS'!C27,'16.8 BUSUNJU-KAMPALA-24HRS'!C27,'17.8 KAMPALA-BUSUNJU'!C27)</f>
        <v>0.7142857142857143</v>
      </c>
      <c r="D27" s="49">
        <f>AVERAGE('11.8 KAMPALA-BUSUNJU'!D27,'12.8 BUSUNJU-KAMPALA'!D27,'13.8 KAMPALA-BUSUNJU'!D27,'14.8 KAMPALA-BUSUNJU'!D27,'15.8 KAMPALA-BUSUNJU-24 HRS'!D27,'16.8 BUSUNJU-KAMPALA-24HRS'!D27,'17.8 KAMPALA-BUSUNJU'!D27)</f>
        <v>0</v>
      </c>
      <c r="E27" s="49">
        <f>AVERAGE('11.8 KAMPALA-BUSUNJU'!E27,'12.8 BUSUNJU-KAMPALA'!E27,'13.8 KAMPALA-BUSUNJU'!E27,'14.8 KAMPALA-BUSUNJU'!E27,'15.8 KAMPALA-BUSUNJU-24 HRS'!E27,'16.8 BUSUNJU-KAMPALA-24HRS'!E27,'17.8 KAMPALA-BUSUNJU'!E27)</f>
        <v>1</v>
      </c>
      <c r="F27" s="49">
        <f>AVERAGE('11.8 KAMPALA-BUSUNJU'!F27,'12.8 BUSUNJU-KAMPALA'!F27,'13.8 KAMPALA-BUSUNJU'!F27,'14.8 KAMPALA-BUSUNJU'!F27,'15.8 KAMPALA-BUSUNJU-24 HRS'!F27,'16.8 BUSUNJU-KAMPALA-24HRS'!F27,'17.8 KAMPALA-BUSUNJU'!F27)</f>
        <v>0.14285714285714285</v>
      </c>
      <c r="G27" s="49">
        <f>AVERAGE('11.8 KAMPALA-BUSUNJU'!G27,'12.8 BUSUNJU-KAMPALA'!G27,'13.8 KAMPALA-BUSUNJU'!G27,'14.8 KAMPALA-BUSUNJU'!G27,'15.8 KAMPALA-BUSUNJU-24 HRS'!G27,'16.8 BUSUNJU-KAMPALA-24HRS'!G27,'17.8 KAMPALA-BUSUNJU'!G27)</f>
        <v>0</v>
      </c>
      <c r="H27" s="49">
        <f>AVERAGE('11.8 KAMPALA-BUSUNJU'!H27,'12.8 BUSUNJU-KAMPALA'!H27,'13.8 KAMPALA-BUSUNJU'!H27,'14.8 KAMPALA-BUSUNJU'!H27,'15.8 KAMPALA-BUSUNJU-24 HRS'!H27,'16.8 BUSUNJU-KAMPALA-24HRS'!H27,'17.8 KAMPALA-BUSUNJU'!H27)</f>
        <v>0</v>
      </c>
      <c r="I27" s="49">
        <f>AVERAGE('11.8 KAMPALA-BUSUNJU'!I27,'12.8 BUSUNJU-KAMPALA'!I27,'13.8 KAMPALA-BUSUNJU'!I27,'14.8 KAMPALA-BUSUNJU'!I27,'15.8 KAMPALA-BUSUNJU-24 HRS'!I27,'16.8 BUSUNJU-KAMPALA-24HRS'!I27,'17.8 KAMPALA-BUSUNJU'!I27)</f>
        <v>0.5714285714285714</v>
      </c>
      <c r="J27" s="49">
        <f>AVERAGE('11.8 KAMPALA-BUSUNJU'!J27,'12.8 BUSUNJU-KAMPALA'!J27,'13.8 KAMPALA-BUSUNJU'!J27,'14.8 KAMPALA-BUSUNJU'!J27,'15.8 KAMPALA-BUSUNJU-24 HRS'!J27,'16.8 BUSUNJU-KAMPALA-24HRS'!J27,'17.8 KAMPALA-BUSUNJU'!J27)</f>
        <v>0.42857142857142855</v>
      </c>
      <c r="K27" s="49">
        <f>AVERAGE('11.8 KAMPALA-BUSUNJU'!K27,'12.8 BUSUNJU-KAMPALA'!K27,'13.8 KAMPALA-BUSUNJU'!K27,'14.8 KAMPALA-BUSUNJU'!K27,'15.8 KAMPALA-BUSUNJU-24 HRS'!K27,'16.8 BUSUNJU-KAMPALA-24HRS'!K27,'17.8 KAMPALA-BUSUNJU'!K27)</f>
        <v>0.14285714285714285</v>
      </c>
      <c r="L27" s="49">
        <f>AVERAGE('11.8 KAMPALA-BUSUNJU'!L27,'12.8 BUSUNJU-KAMPALA'!L27,'13.8 KAMPALA-BUSUNJU'!L27,'14.8 KAMPALA-BUSUNJU'!L27,'15.8 KAMPALA-BUSUNJU-24 HRS'!L27,'16.8 BUSUNJU-KAMPALA-24HRS'!L27,'17.8 KAMPALA-BUSUNJU'!L27)</f>
        <v>0</v>
      </c>
      <c r="M27" s="49">
        <f>AVERAGE('11.8 KAMPALA-BUSUNJU'!M27,'12.8 BUSUNJU-KAMPALA'!M27,'13.8 KAMPALA-BUSUNJU'!M27,'14.8 KAMPALA-BUSUNJU'!M27,'15.8 KAMPALA-BUSUNJU-24 HRS'!M27,'16.8 BUSUNJU-KAMPALA-24HRS'!M27,'17.8 KAMPALA-BUSUNJU'!M27)</f>
        <v>16.428571428571427</v>
      </c>
      <c r="N27" s="49">
        <f>AVERAGE('11.8 KAMPALA-BUSUNJU'!N27,'12.8 BUSUNJU-KAMPALA'!N27,'13.8 KAMPALA-BUSUNJU'!N27,'14.8 KAMPALA-BUSUNJU'!N27,'15.8 KAMPALA-BUSUNJU-24 HRS'!N27,'16.8 BUSUNJU-KAMPALA-24HRS'!N27,'17.8 KAMPALA-BUSUNJU'!N27)</f>
        <v>0</v>
      </c>
      <c r="O27" s="15">
        <f t="shared" si="0"/>
        <v>3</v>
      </c>
      <c r="P27" s="15">
        <f t="shared" si="1"/>
        <v>19.428571428571427</v>
      </c>
      <c r="R27" s="1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51">
        <f t="shared" si="19"/>
        <v>6</v>
      </c>
      <c r="AF27" s="51">
        <f t="shared" si="19"/>
        <v>10</v>
      </c>
    </row>
    <row r="28" spans="2:32" ht="23.1" customHeight="1" x14ac:dyDescent="0.25">
      <c r="B28" s="23" t="s">
        <v>55</v>
      </c>
      <c r="C28" s="49">
        <f>AVERAGE('11.8 KAMPALA-BUSUNJU'!C28,'12.8 BUSUNJU-KAMPALA'!C28,'13.8 KAMPALA-BUSUNJU'!C28,'14.8 KAMPALA-BUSUNJU'!C28,'15.8 KAMPALA-BUSUNJU-24 HRS'!C28,'16.8 BUSUNJU-KAMPALA-24HRS'!C28,'17.8 KAMPALA-BUSUNJU'!C28)</f>
        <v>1.4285714285714286</v>
      </c>
      <c r="D28" s="49">
        <f>AVERAGE('11.8 KAMPALA-BUSUNJU'!D28,'12.8 BUSUNJU-KAMPALA'!D28,'13.8 KAMPALA-BUSUNJU'!D28,'14.8 KAMPALA-BUSUNJU'!D28,'15.8 KAMPALA-BUSUNJU-24 HRS'!D28,'16.8 BUSUNJU-KAMPALA-24HRS'!D28,'17.8 KAMPALA-BUSUNJU'!D28)</f>
        <v>0</v>
      </c>
      <c r="E28" s="49">
        <f>AVERAGE('11.8 KAMPALA-BUSUNJU'!E28,'12.8 BUSUNJU-KAMPALA'!E28,'13.8 KAMPALA-BUSUNJU'!E28,'14.8 KAMPALA-BUSUNJU'!E28,'15.8 KAMPALA-BUSUNJU-24 HRS'!E28,'16.8 BUSUNJU-KAMPALA-24HRS'!E28,'17.8 KAMPALA-BUSUNJU'!E28)</f>
        <v>0.42857142857142855</v>
      </c>
      <c r="F28" s="49">
        <f>AVERAGE('11.8 KAMPALA-BUSUNJU'!F28,'12.8 BUSUNJU-KAMPALA'!F28,'13.8 KAMPALA-BUSUNJU'!F28,'14.8 KAMPALA-BUSUNJU'!F28,'15.8 KAMPALA-BUSUNJU-24 HRS'!F28,'16.8 BUSUNJU-KAMPALA-24HRS'!F28,'17.8 KAMPALA-BUSUNJU'!F28)</f>
        <v>0.8571428571428571</v>
      </c>
      <c r="G28" s="49">
        <f>AVERAGE('11.8 KAMPALA-BUSUNJU'!G28,'12.8 BUSUNJU-KAMPALA'!G28,'13.8 KAMPALA-BUSUNJU'!G28,'14.8 KAMPALA-BUSUNJU'!G28,'15.8 KAMPALA-BUSUNJU-24 HRS'!G28,'16.8 BUSUNJU-KAMPALA-24HRS'!G28,'17.8 KAMPALA-BUSUNJU'!G28)</f>
        <v>0</v>
      </c>
      <c r="H28" s="49">
        <f>AVERAGE('11.8 KAMPALA-BUSUNJU'!H28,'12.8 BUSUNJU-KAMPALA'!H28,'13.8 KAMPALA-BUSUNJU'!H28,'14.8 KAMPALA-BUSUNJU'!H28,'15.8 KAMPALA-BUSUNJU-24 HRS'!H28,'16.8 BUSUNJU-KAMPALA-24HRS'!H28,'17.8 KAMPALA-BUSUNJU'!H28)</f>
        <v>0</v>
      </c>
      <c r="I28" s="49">
        <f>AVERAGE('11.8 KAMPALA-BUSUNJU'!I28,'12.8 BUSUNJU-KAMPALA'!I28,'13.8 KAMPALA-BUSUNJU'!I28,'14.8 KAMPALA-BUSUNJU'!I28,'15.8 KAMPALA-BUSUNJU-24 HRS'!I28,'16.8 BUSUNJU-KAMPALA-24HRS'!I28,'17.8 KAMPALA-BUSUNJU'!I28)</f>
        <v>0.7142857142857143</v>
      </c>
      <c r="J28" s="49">
        <f>AVERAGE('11.8 KAMPALA-BUSUNJU'!J28,'12.8 BUSUNJU-KAMPALA'!J28,'13.8 KAMPALA-BUSUNJU'!J28,'14.8 KAMPALA-BUSUNJU'!J28,'15.8 KAMPALA-BUSUNJU-24 HRS'!J28,'16.8 BUSUNJU-KAMPALA-24HRS'!J28,'17.8 KAMPALA-BUSUNJU'!J28)</f>
        <v>0</v>
      </c>
      <c r="K28" s="49">
        <f>AVERAGE('11.8 KAMPALA-BUSUNJU'!K28,'12.8 BUSUNJU-KAMPALA'!K28,'13.8 KAMPALA-BUSUNJU'!K28,'14.8 KAMPALA-BUSUNJU'!K28,'15.8 KAMPALA-BUSUNJU-24 HRS'!K28,'16.8 BUSUNJU-KAMPALA-24HRS'!K28,'17.8 KAMPALA-BUSUNJU'!K28)</f>
        <v>0</v>
      </c>
      <c r="L28" s="49">
        <f>AVERAGE('11.8 KAMPALA-BUSUNJU'!L28,'12.8 BUSUNJU-KAMPALA'!L28,'13.8 KAMPALA-BUSUNJU'!L28,'14.8 KAMPALA-BUSUNJU'!L28,'15.8 KAMPALA-BUSUNJU-24 HRS'!L28,'16.8 BUSUNJU-KAMPALA-24HRS'!L28,'17.8 KAMPALA-BUSUNJU'!L28)</f>
        <v>0</v>
      </c>
      <c r="M28" s="49">
        <f>AVERAGE('11.8 KAMPALA-BUSUNJU'!M28,'12.8 BUSUNJU-KAMPALA'!M28,'13.8 KAMPALA-BUSUNJU'!M28,'14.8 KAMPALA-BUSUNJU'!M28,'15.8 KAMPALA-BUSUNJU-24 HRS'!M28,'16.8 BUSUNJU-KAMPALA-24HRS'!M28,'17.8 KAMPALA-BUSUNJU'!M28)</f>
        <v>18.571428571428573</v>
      </c>
      <c r="N28" s="49">
        <f>AVERAGE('11.8 KAMPALA-BUSUNJU'!N28,'12.8 BUSUNJU-KAMPALA'!N28,'13.8 KAMPALA-BUSUNJU'!N28,'14.8 KAMPALA-BUSUNJU'!N28,'15.8 KAMPALA-BUSUNJU-24 HRS'!N28,'16.8 BUSUNJU-KAMPALA-24HRS'!N28,'17.8 KAMPALA-BUSUNJU'!N28)</f>
        <v>0</v>
      </c>
      <c r="O28" s="15">
        <f t="shared" si="0"/>
        <v>3.4285714285714288</v>
      </c>
      <c r="P28" s="15">
        <f t="shared" si="1"/>
        <v>22</v>
      </c>
      <c r="R28" s="1" t="s">
        <v>152</v>
      </c>
      <c r="S28" s="34">
        <f>SUM(C82:C85)</f>
        <v>3</v>
      </c>
      <c r="T28" s="34">
        <f t="shared" ref="T28:AF28" si="20">SUM(D82:D85)</f>
        <v>1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51">
        <f t="shared" si="20"/>
        <v>8</v>
      </c>
      <c r="AF28" s="51">
        <f t="shared" si="20"/>
        <v>8</v>
      </c>
    </row>
    <row r="29" spans="2:32" ht="23.1" customHeight="1" x14ac:dyDescent="0.25">
      <c r="B29" s="23" t="s">
        <v>56</v>
      </c>
      <c r="C29" s="49">
        <f>AVERAGE('11.8 KAMPALA-BUSUNJU'!C29,'12.8 BUSUNJU-KAMPALA'!C29,'13.8 KAMPALA-BUSUNJU'!C29,'14.8 KAMPALA-BUSUNJU'!C29,'15.8 KAMPALA-BUSUNJU-24 HRS'!C29,'16.8 BUSUNJU-KAMPALA-24HRS'!C29,'17.8 KAMPALA-BUSUNJU'!C29)</f>
        <v>0.42857142857142855</v>
      </c>
      <c r="D29" s="49">
        <f>AVERAGE('11.8 KAMPALA-BUSUNJU'!D29,'12.8 BUSUNJU-KAMPALA'!D29,'13.8 KAMPALA-BUSUNJU'!D29,'14.8 KAMPALA-BUSUNJU'!D29,'15.8 KAMPALA-BUSUNJU-24 HRS'!D29,'16.8 BUSUNJU-KAMPALA-24HRS'!D29,'17.8 KAMPALA-BUSUNJU'!D29)</f>
        <v>0</v>
      </c>
      <c r="E29" s="49">
        <f>AVERAGE('11.8 KAMPALA-BUSUNJU'!E29,'12.8 BUSUNJU-KAMPALA'!E29,'13.8 KAMPALA-BUSUNJU'!E29,'14.8 KAMPALA-BUSUNJU'!E29,'15.8 KAMPALA-BUSUNJU-24 HRS'!E29,'16.8 BUSUNJU-KAMPALA-24HRS'!E29,'17.8 KAMPALA-BUSUNJU'!E29)</f>
        <v>0.42857142857142855</v>
      </c>
      <c r="F29" s="49">
        <f>AVERAGE('11.8 KAMPALA-BUSUNJU'!F29,'12.8 BUSUNJU-KAMPALA'!F29,'13.8 KAMPALA-BUSUNJU'!F29,'14.8 KAMPALA-BUSUNJU'!F29,'15.8 KAMPALA-BUSUNJU-24 HRS'!F29,'16.8 BUSUNJU-KAMPALA-24HRS'!F29,'17.8 KAMPALA-BUSUNJU'!F29)</f>
        <v>0.14285714285714285</v>
      </c>
      <c r="G29" s="49">
        <f>AVERAGE('11.8 KAMPALA-BUSUNJU'!G29,'12.8 BUSUNJU-KAMPALA'!G29,'13.8 KAMPALA-BUSUNJU'!G29,'14.8 KAMPALA-BUSUNJU'!G29,'15.8 KAMPALA-BUSUNJU-24 HRS'!G29,'16.8 BUSUNJU-KAMPALA-24HRS'!G29,'17.8 KAMPALA-BUSUNJU'!G29)</f>
        <v>0</v>
      </c>
      <c r="H29" s="49">
        <f>AVERAGE('11.8 KAMPALA-BUSUNJU'!H29,'12.8 BUSUNJU-KAMPALA'!H29,'13.8 KAMPALA-BUSUNJU'!H29,'14.8 KAMPALA-BUSUNJU'!H29,'15.8 KAMPALA-BUSUNJU-24 HRS'!H29,'16.8 BUSUNJU-KAMPALA-24HRS'!H29,'17.8 KAMPALA-BUSUNJU'!H29)</f>
        <v>0</v>
      </c>
      <c r="I29" s="49">
        <f>AVERAGE('11.8 KAMPALA-BUSUNJU'!I29,'12.8 BUSUNJU-KAMPALA'!I29,'13.8 KAMPALA-BUSUNJU'!I29,'14.8 KAMPALA-BUSUNJU'!I29,'15.8 KAMPALA-BUSUNJU-24 HRS'!I29,'16.8 BUSUNJU-KAMPALA-24HRS'!I29,'17.8 KAMPALA-BUSUNJU'!I29)</f>
        <v>0.5714285714285714</v>
      </c>
      <c r="J29" s="49">
        <f>AVERAGE('11.8 KAMPALA-BUSUNJU'!J29,'12.8 BUSUNJU-KAMPALA'!J29,'13.8 KAMPALA-BUSUNJU'!J29,'14.8 KAMPALA-BUSUNJU'!J29,'15.8 KAMPALA-BUSUNJU-24 HRS'!J29,'16.8 BUSUNJU-KAMPALA-24HRS'!J29,'17.8 KAMPALA-BUSUNJU'!J29)</f>
        <v>0.2857142857142857</v>
      </c>
      <c r="K29" s="49">
        <f>AVERAGE('11.8 KAMPALA-BUSUNJU'!K29,'12.8 BUSUNJU-KAMPALA'!K29,'13.8 KAMPALA-BUSUNJU'!K29,'14.8 KAMPALA-BUSUNJU'!K29,'15.8 KAMPALA-BUSUNJU-24 HRS'!K29,'16.8 BUSUNJU-KAMPALA-24HRS'!K29,'17.8 KAMPALA-BUSUNJU'!K29)</f>
        <v>0</v>
      </c>
      <c r="L29" s="49">
        <f>AVERAGE('11.8 KAMPALA-BUSUNJU'!L29,'12.8 BUSUNJU-KAMPALA'!L29,'13.8 KAMPALA-BUSUNJU'!L29,'14.8 KAMPALA-BUSUNJU'!L29,'15.8 KAMPALA-BUSUNJU-24 HRS'!L29,'16.8 BUSUNJU-KAMPALA-24HRS'!L29,'17.8 KAMPALA-BUSUNJU'!L29)</f>
        <v>0</v>
      </c>
      <c r="M29" s="49">
        <f>AVERAGE('11.8 KAMPALA-BUSUNJU'!M29,'12.8 BUSUNJU-KAMPALA'!M29,'13.8 KAMPALA-BUSUNJU'!M29,'14.8 KAMPALA-BUSUNJU'!M29,'15.8 KAMPALA-BUSUNJU-24 HRS'!M29,'16.8 BUSUNJU-KAMPALA-24HRS'!M29,'17.8 KAMPALA-BUSUNJU'!M29)</f>
        <v>14.714285714285714</v>
      </c>
      <c r="N29" s="49">
        <f>AVERAGE('11.8 KAMPALA-BUSUNJU'!N29,'12.8 BUSUNJU-KAMPALA'!N29,'13.8 KAMPALA-BUSUNJU'!N29,'14.8 KAMPALA-BUSUNJU'!N29,'15.8 KAMPALA-BUSUNJU-24 HRS'!N29,'16.8 BUSUNJU-KAMPALA-24HRS'!N29,'17.8 KAMPALA-BUSUNJU'!N29)</f>
        <v>0</v>
      </c>
      <c r="O29" s="15">
        <f t="shared" si="0"/>
        <v>1.8571428571428572</v>
      </c>
      <c r="P29" s="15">
        <f t="shared" si="1"/>
        <v>16.571428571428569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51">
        <f t="shared" si="21"/>
        <v>1</v>
      </c>
      <c r="AF29" s="51">
        <f t="shared" si="21"/>
        <v>2</v>
      </c>
    </row>
    <row r="30" spans="2:32" ht="23.1" customHeight="1" x14ac:dyDescent="0.25">
      <c r="B30" s="23" t="s">
        <v>57</v>
      </c>
      <c r="C30" s="49">
        <f>AVERAGE('11.8 KAMPALA-BUSUNJU'!C30,'12.8 BUSUNJU-KAMPALA'!C30,'13.8 KAMPALA-BUSUNJU'!C30,'14.8 KAMPALA-BUSUNJU'!C30,'15.8 KAMPALA-BUSUNJU-24 HRS'!C30,'16.8 BUSUNJU-KAMPALA-24HRS'!C30,'17.8 KAMPALA-BUSUNJU'!C30)</f>
        <v>1.1428571428571428</v>
      </c>
      <c r="D30" s="49">
        <f>AVERAGE('11.8 KAMPALA-BUSUNJU'!D30,'12.8 BUSUNJU-KAMPALA'!D30,'13.8 KAMPALA-BUSUNJU'!D30,'14.8 KAMPALA-BUSUNJU'!D30,'15.8 KAMPALA-BUSUNJU-24 HRS'!D30,'16.8 BUSUNJU-KAMPALA-24HRS'!D30,'17.8 KAMPALA-BUSUNJU'!D30)</f>
        <v>0</v>
      </c>
      <c r="E30" s="49">
        <f>AVERAGE('11.8 KAMPALA-BUSUNJU'!E30,'12.8 BUSUNJU-KAMPALA'!E30,'13.8 KAMPALA-BUSUNJU'!E30,'14.8 KAMPALA-BUSUNJU'!E30,'15.8 KAMPALA-BUSUNJU-24 HRS'!E30,'16.8 BUSUNJU-KAMPALA-24HRS'!E30,'17.8 KAMPALA-BUSUNJU'!E30)</f>
        <v>1.4285714285714286</v>
      </c>
      <c r="F30" s="49">
        <f>AVERAGE('11.8 KAMPALA-BUSUNJU'!F30,'12.8 BUSUNJU-KAMPALA'!F30,'13.8 KAMPALA-BUSUNJU'!F30,'14.8 KAMPALA-BUSUNJU'!F30,'15.8 KAMPALA-BUSUNJU-24 HRS'!F30,'16.8 BUSUNJU-KAMPALA-24HRS'!F30,'17.8 KAMPALA-BUSUNJU'!F30)</f>
        <v>0.42857142857142855</v>
      </c>
      <c r="G30" s="49">
        <f>AVERAGE('11.8 KAMPALA-BUSUNJU'!G30,'12.8 BUSUNJU-KAMPALA'!G30,'13.8 KAMPALA-BUSUNJU'!G30,'14.8 KAMPALA-BUSUNJU'!G30,'15.8 KAMPALA-BUSUNJU-24 HRS'!G30,'16.8 BUSUNJU-KAMPALA-24HRS'!G30,'17.8 KAMPALA-BUSUNJU'!G30)</f>
        <v>0</v>
      </c>
      <c r="H30" s="49">
        <f>AVERAGE('11.8 KAMPALA-BUSUNJU'!H30,'12.8 BUSUNJU-KAMPALA'!H30,'13.8 KAMPALA-BUSUNJU'!H30,'14.8 KAMPALA-BUSUNJU'!H30,'15.8 KAMPALA-BUSUNJU-24 HRS'!H30,'16.8 BUSUNJU-KAMPALA-24HRS'!H30,'17.8 KAMPALA-BUSUNJU'!H30)</f>
        <v>0</v>
      </c>
      <c r="I30" s="49">
        <f>AVERAGE('11.8 KAMPALA-BUSUNJU'!I30,'12.8 BUSUNJU-KAMPALA'!I30,'13.8 KAMPALA-BUSUNJU'!I30,'14.8 KAMPALA-BUSUNJU'!I30,'15.8 KAMPALA-BUSUNJU-24 HRS'!I30,'16.8 BUSUNJU-KAMPALA-24HRS'!I30,'17.8 KAMPALA-BUSUNJU'!I30)</f>
        <v>0.7142857142857143</v>
      </c>
      <c r="J30" s="49">
        <f>AVERAGE('11.8 KAMPALA-BUSUNJU'!J30,'12.8 BUSUNJU-KAMPALA'!J30,'13.8 KAMPALA-BUSUNJU'!J30,'14.8 KAMPALA-BUSUNJU'!J30,'15.8 KAMPALA-BUSUNJU-24 HRS'!J30,'16.8 BUSUNJU-KAMPALA-24HRS'!J30,'17.8 KAMPALA-BUSUNJU'!J30)</f>
        <v>0.42857142857142855</v>
      </c>
      <c r="K30" s="49">
        <f>AVERAGE('11.8 KAMPALA-BUSUNJU'!K30,'12.8 BUSUNJU-KAMPALA'!K30,'13.8 KAMPALA-BUSUNJU'!K30,'14.8 KAMPALA-BUSUNJU'!K30,'15.8 KAMPALA-BUSUNJU-24 HRS'!K30,'16.8 BUSUNJU-KAMPALA-24HRS'!K30,'17.8 KAMPALA-BUSUNJU'!K30)</f>
        <v>0</v>
      </c>
      <c r="L30" s="49">
        <f>AVERAGE('11.8 KAMPALA-BUSUNJU'!L30,'12.8 BUSUNJU-KAMPALA'!L30,'13.8 KAMPALA-BUSUNJU'!L30,'14.8 KAMPALA-BUSUNJU'!L30,'15.8 KAMPALA-BUSUNJU-24 HRS'!L30,'16.8 BUSUNJU-KAMPALA-24HRS'!L30,'17.8 KAMPALA-BUSUNJU'!L30)</f>
        <v>0</v>
      </c>
      <c r="M30" s="49">
        <f>AVERAGE('11.8 KAMPALA-BUSUNJU'!M30,'12.8 BUSUNJU-KAMPALA'!M30,'13.8 KAMPALA-BUSUNJU'!M30,'14.8 KAMPALA-BUSUNJU'!M30,'15.8 KAMPALA-BUSUNJU-24 HRS'!M30,'16.8 BUSUNJU-KAMPALA-24HRS'!M30,'17.8 KAMPALA-BUSUNJU'!M30)</f>
        <v>15.142857142857142</v>
      </c>
      <c r="N30" s="49">
        <f>AVERAGE('11.8 KAMPALA-BUSUNJU'!N30,'12.8 BUSUNJU-KAMPALA'!N30,'13.8 KAMPALA-BUSUNJU'!N30,'14.8 KAMPALA-BUSUNJU'!N30,'15.8 KAMPALA-BUSUNJU-24 HRS'!N30,'16.8 BUSUNJU-KAMPALA-24HRS'!N30,'17.8 KAMPALA-BUSUNJU'!N30)</f>
        <v>0</v>
      </c>
      <c r="O30" s="15">
        <f t="shared" si="0"/>
        <v>4.1428571428571423</v>
      </c>
      <c r="P30" s="15">
        <f t="shared" si="1"/>
        <v>19.285714285714285</v>
      </c>
      <c r="R30" s="1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51">
        <f t="shared" si="22"/>
        <v>2</v>
      </c>
      <c r="AF30" s="51">
        <f t="shared" si="22"/>
        <v>2</v>
      </c>
    </row>
    <row r="31" spans="2:32" ht="23.1" customHeight="1" x14ac:dyDescent="0.25">
      <c r="B31" s="24" t="s">
        <v>58</v>
      </c>
      <c r="C31" s="49">
        <f>AVERAGE('11.8 KAMPALA-BUSUNJU'!C31,'12.8 BUSUNJU-KAMPALA'!C31,'13.8 KAMPALA-BUSUNJU'!C31,'14.8 KAMPALA-BUSUNJU'!C31,'15.8 KAMPALA-BUSUNJU-24 HRS'!C31,'16.8 BUSUNJU-KAMPALA-24HRS'!C31,'17.8 KAMPALA-BUSUNJU'!C31)</f>
        <v>0.5714285714285714</v>
      </c>
      <c r="D31" s="49">
        <f>AVERAGE('11.8 KAMPALA-BUSUNJU'!D31,'12.8 BUSUNJU-KAMPALA'!D31,'13.8 KAMPALA-BUSUNJU'!D31,'14.8 KAMPALA-BUSUNJU'!D31,'15.8 KAMPALA-BUSUNJU-24 HRS'!D31,'16.8 BUSUNJU-KAMPALA-24HRS'!D31,'17.8 KAMPALA-BUSUNJU'!D31)</f>
        <v>0</v>
      </c>
      <c r="E31" s="49">
        <f>AVERAGE('11.8 KAMPALA-BUSUNJU'!E31,'12.8 BUSUNJU-KAMPALA'!E31,'13.8 KAMPALA-BUSUNJU'!E31,'14.8 KAMPALA-BUSUNJU'!E31,'15.8 KAMPALA-BUSUNJU-24 HRS'!E31,'16.8 BUSUNJU-KAMPALA-24HRS'!E31,'17.8 KAMPALA-BUSUNJU'!E31)</f>
        <v>1</v>
      </c>
      <c r="F31" s="49">
        <f>AVERAGE('11.8 KAMPALA-BUSUNJU'!F31,'12.8 BUSUNJU-KAMPALA'!F31,'13.8 KAMPALA-BUSUNJU'!F31,'14.8 KAMPALA-BUSUNJU'!F31,'15.8 KAMPALA-BUSUNJU-24 HRS'!F31,'16.8 BUSUNJU-KAMPALA-24HRS'!F31,'17.8 KAMPALA-BUSUNJU'!F31)</f>
        <v>0.42857142857142855</v>
      </c>
      <c r="G31" s="49">
        <f>AVERAGE('11.8 KAMPALA-BUSUNJU'!G31,'12.8 BUSUNJU-KAMPALA'!G31,'13.8 KAMPALA-BUSUNJU'!G31,'14.8 KAMPALA-BUSUNJU'!G31,'15.8 KAMPALA-BUSUNJU-24 HRS'!G31,'16.8 BUSUNJU-KAMPALA-24HRS'!G31,'17.8 KAMPALA-BUSUNJU'!G31)</f>
        <v>0</v>
      </c>
      <c r="H31" s="49">
        <f>AVERAGE('11.8 KAMPALA-BUSUNJU'!H31,'12.8 BUSUNJU-KAMPALA'!H31,'13.8 KAMPALA-BUSUNJU'!H31,'14.8 KAMPALA-BUSUNJU'!H31,'15.8 KAMPALA-BUSUNJU-24 HRS'!H31,'16.8 BUSUNJU-KAMPALA-24HRS'!H31,'17.8 KAMPALA-BUSUNJU'!H31)</f>
        <v>0</v>
      </c>
      <c r="I31" s="49">
        <f>AVERAGE('11.8 KAMPALA-BUSUNJU'!I31,'12.8 BUSUNJU-KAMPALA'!I31,'13.8 KAMPALA-BUSUNJU'!I31,'14.8 KAMPALA-BUSUNJU'!I31,'15.8 KAMPALA-BUSUNJU-24 HRS'!I31,'16.8 BUSUNJU-KAMPALA-24HRS'!I31,'17.8 KAMPALA-BUSUNJU'!I31)</f>
        <v>0.8571428571428571</v>
      </c>
      <c r="J31" s="49">
        <f>AVERAGE('11.8 KAMPALA-BUSUNJU'!J31,'12.8 BUSUNJU-KAMPALA'!J31,'13.8 KAMPALA-BUSUNJU'!J31,'14.8 KAMPALA-BUSUNJU'!J31,'15.8 KAMPALA-BUSUNJU-24 HRS'!J31,'16.8 BUSUNJU-KAMPALA-24HRS'!J31,'17.8 KAMPALA-BUSUNJU'!J31)</f>
        <v>0</v>
      </c>
      <c r="K31" s="49">
        <f>AVERAGE('11.8 KAMPALA-BUSUNJU'!K31,'12.8 BUSUNJU-KAMPALA'!K31,'13.8 KAMPALA-BUSUNJU'!K31,'14.8 KAMPALA-BUSUNJU'!K31,'15.8 KAMPALA-BUSUNJU-24 HRS'!K31,'16.8 BUSUNJU-KAMPALA-24HRS'!K31,'17.8 KAMPALA-BUSUNJU'!K31)</f>
        <v>0</v>
      </c>
      <c r="L31" s="49">
        <f>AVERAGE('11.8 KAMPALA-BUSUNJU'!L31,'12.8 BUSUNJU-KAMPALA'!L31,'13.8 KAMPALA-BUSUNJU'!L31,'14.8 KAMPALA-BUSUNJU'!L31,'15.8 KAMPALA-BUSUNJU-24 HRS'!L31,'16.8 BUSUNJU-KAMPALA-24HRS'!L31,'17.8 KAMPALA-BUSUNJU'!L31)</f>
        <v>0.14285714285714285</v>
      </c>
      <c r="M31" s="49">
        <f>AVERAGE('11.8 KAMPALA-BUSUNJU'!M31,'12.8 BUSUNJU-KAMPALA'!M31,'13.8 KAMPALA-BUSUNJU'!M31,'14.8 KAMPALA-BUSUNJU'!M31,'15.8 KAMPALA-BUSUNJU-24 HRS'!M31,'16.8 BUSUNJU-KAMPALA-24HRS'!M31,'17.8 KAMPALA-BUSUNJU'!M31)</f>
        <v>13.714285714285714</v>
      </c>
      <c r="N31" s="49">
        <f>AVERAGE('11.8 KAMPALA-BUSUNJU'!N31,'12.8 BUSUNJU-KAMPALA'!N31,'13.8 KAMPALA-BUSUNJU'!N31,'14.8 KAMPALA-BUSUNJU'!N31,'15.8 KAMPALA-BUSUNJU-24 HRS'!N31,'16.8 BUSUNJU-KAMPALA-24HRS'!N31,'17.8 KAMPALA-BUSUNJU'!N31)</f>
        <v>0</v>
      </c>
      <c r="O31" s="15">
        <f t="shared" si="0"/>
        <v>3</v>
      </c>
      <c r="P31" s="15">
        <f t="shared" si="1"/>
        <v>16.714285714285715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1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51">
        <f t="shared" si="23"/>
        <v>2</v>
      </c>
      <c r="AF31" s="51">
        <f t="shared" si="23"/>
        <v>2</v>
      </c>
    </row>
    <row r="32" spans="2:32" ht="23.1" customHeight="1" x14ac:dyDescent="0.25">
      <c r="B32" s="24" t="s">
        <v>59</v>
      </c>
      <c r="C32" s="49">
        <f>AVERAGE('11.8 KAMPALA-BUSUNJU'!C32,'12.8 BUSUNJU-KAMPALA'!C32,'13.8 KAMPALA-BUSUNJU'!C32,'14.8 KAMPALA-BUSUNJU'!C32,'15.8 KAMPALA-BUSUNJU-24 HRS'!C32,'16.8 BUSUNJU-KAMPALA-24HRS'!C32,'17.8 KAMPALA-BUSUNJU'!C32)</f>
        <v>1.5714285714285714</v>
      </c>
      <c r="D32" s="49">
        <f>AVERAGE('11.8 KAMPALA-BUSUNJU'!D32,'12.8 BUSUNJU-KAMPALA'!D32,'13.8 KAMPALA-BUSUNJU'!D32,'14.8 KAMPALA-BUSUNJU'!D32,'15.8 KAMPALA-BUSUNJU-24 HRS'!D32,'16.8 BUSUNJU-KAMPALA-24HRS'!D32,'17.8 KAMPALA-BUSUNJU'!D32)</f>
        <v>0</v>
      </c>
      <c r="E32" s="49">
        <f>AVERAGE('11.8 KAMPALA-BUSUNJU'!E32,'12.8 BUSUNJU-KAMPALA'!E32,'13.8 KAMPALA-BUSUNJU'!E32,'14.8 KAMPALA-BUSUNJU'!E32,'15.8 KAMPALA-BUSUNJU-24 HRS'!E32,'16.8 BUSUNJU-KAMPALA-24HRS'!E32,'17.8 KAMPALA-BUSUNJU'!E32)</f>
        <v>1.1428571428571428</v>
      </c>
      <c r="F32" s="49">
        <f>AVERAGE('11.8 KAMPALA-BUSUNJU'!F32,'12.8 BUSUNJU-KAMPALA'!F32,'13.8 KAMPALA-BUSUNJU'!F32,'14.8 KAMPALA-BUSUNJU'!F32,'15.8 KAMPALA-BUSUNJU-24 HRS'!F32,'16.8 BUSUNJU-KAMPALA-24HRS'!F32,'17.8 KAMPALA-BUSUNJU'!F32)</f>
        <v>0.42857142857142855</v>
      </c>
      <c r="G32" s="49">
        <f>AVERAGE('11.8 KAMPALA-BUSUNJU'!G32,'12.8 BUSUNJU-KAMPALA'!G32,'13.8 KAMPALA-BUSUNJU'!G32,'14.8 KAMPALA-BUSUNJU'!G32,'15.8 KAMPALA-BUSUNJU-24 HRS'!G32,'16.8 BUSUNJU-KAMPALA-24HRS'!G32,'17.8 KAMPALA-BUSUNJU'!G32)</f>
        <v>0</v>
      </c>
      <c r="H32" s="49">
        <f>AVERAGE('11.8 KAMPALA-BUSUNJU'!H32,'12.8 BUSUNJU-KAMPALA'!H32,'13.8 KAMPALA-BUSUNJU'!H32,'14.8 KAMPALA-BUSUNJU'!H32,'15.8 KAMPALA-BUSUNJU-24 HRS'!H32,'16.8 BUSUNJU-KAMPALA-24HRS'!H32,'17.8 KAMPALA-BUSUNJU'!H32)</f>
        <v>0.14285714285714285</v>
      </c>
      <c r="I32" s="49">
        <f>AVERAGE('11.8 KAMPALA-BUSUNJU'!I32,'12.8 BUSUNJU-KAMPALA'!I32,'13.8 KAMPALA-BUSUNJU'!I32,'14.8 KAMPALA-BUSUNJU'!I32,'15.8 KAMPALA-BUSUNJU-24 HRS'!I32,'16.8 BUSUNJU-KAMPALA-24HRS'!I32,'17.8 KAMPALA-BUSUNJU'!I32)</f>
        <v>2.2857142857142856</v>
      </c>
      <c r="J32" s="49">
        <f>AVERAGE('11.8 KAMPALA-BUSUNJU'!J32,'12.8 BUSUNJU-KAMPALA'!J32,'13.8 KAMPALA-BUSUNJU'!J32,'14.8 KAMPALA-BUSUNJU'!J32,'15.8 KAMPALA-BUSUNJU-24 HRS'!J32,'16.8 BUSUNJU-KAMPALA-24HRS'!J32,'17.8 KAMPALA-BUSUNJU'!J32)</f>
        <v>0</v>
      </c>
      <c r="K32" s="49">
        <f>AVERAGE('11.8 KAMPALA-BUSUNJU'!K32,'12.8 BUSUNJU-KAMPALA'!K32,'13.8 KAMPALA-BUSUNJU'!K32,'14.8 KAMPALA-BUSUNJU'!K32,'15.8 KAMPALA-BUSUNJU-24 HRS'!K32,'16.8 BUSUNJU-KAMPALA-24HRS'!K32,'17.8 KAMPALA-BUSUNJU'!K32)</f>
        <v>0</v>
      </c>
      <c r="L32" s="49">
        <f>AVERAGE('11.8 KAMPALA-BUSUNJU'!L32,'12.8 BUSUNJU-KAMPALA'!L32,'13.8 KAMPALA-BUSUNJU'!L32,'14.8 KAMPALA-BUSUNJU'!L32,'15.8 KAMPALA-BUSUNJU-24 HRS'!L32,'16.8 BUSUNJU-KAMPALA-24HRS'!L32,'17.8 KAMPALA-BUSUNJU'!L32)</f>
        <v>0</v>
      </c>
      <c r="M32" s="49">
        <f>AVERAGE('11.8 KAMPALA-BUSUNJU'!M32,'12.8 BUSUNJU-KAMPALA'!M32,'13.8 KAMPALA-BUSUNJU'!M32,'14.8 KAMPALA-BUSUNJU'!M32,'15.8 KAMPALA-BUSUNJU-24 HRS'!M32,'16.8 BUSUNJU-KAMPALA-24HRS'!M32,'17.8 KAMPALA-BUSUNJU'!M32)</f>
        <v>15.571428571428571</v>
      </c>
      <c r="N32" s="49">
        <f>AVERAGE('11.8 KAMPALA-BUSUNJU'!N32,'12.8 BUSUNJU-KAMPALA'!N32,'13.8 KAMPALA-BUSUNJU'!N32,'14.8 KAMPALA-BUSUNJU'!N32,'15.8 KAMPALA-BUSUNJU-24 HRS'!N32,'16.8 BUSUNJU-KAMPALA-24HRS'!N32,'17.8 KAMPALA-BUSUNJU'!N32)</f>
        <v>0</v>
      </c>
      <c r="O32" s="15">
        <f t="shared" si="0"/>
        <v>5.5714285714285712</v>
      </c>
      <c r="P32" s="15">
        <f t="shared" si="1"/>
        <v>21.142857142857142</v>
      </c>
      <c r="R32" s="1" t="s">
        <v>156</v>
      </c>
      <c r="S32" s="34">
        <f>SUM(C98:C101)</f>
        <v>6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1</v>
      </c>
      <c r="W32" s="34">
        <f t="shared" si="24"/>
        <v>1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1.5</v>
      </c>
      <c r="AD32" s="34">
        <f t="shared" si="24"/>
        <v>0</v>
      </c>
      <c r="AE32" s="51">
        <f t="shared" si="24"/>
        <v>9</v>
      </c>
      <c r="AF32" s="51">
        <f t="shared" si="24"/>
        <v>10.5</v>
      </c>
    </row>
    <row r="33" spans="2:32" ht="23.1" customHeight="1" x14ac:dyDescent="0.25">
      <c r="B33" s="23" t="s">
        <v>60</v>
      </c>
      <c r="C33" s="49">
        <f>AVERAGE('11.8 KAMPALA-BUSUNJU'!C33,'12.8 BUSUNJU-KAMPALA'!C33,'13.8 KAMPALA-BUSUNJU'!C33,'14.8 KAMPALA-BUSUNJU'!C33,'15.8 KAMPALA-BUSUNJU-24 HRS'!C33,'16.8 BUSUNJU-KAMPALA-24HRS'!C33,'17.8 KAMPALA-BUSUNJU'!C33)</f>
        <v>0.14285714285714285</v>
      </c>
      <c r="D33" s="49">
        <f>AVERAGE('11.8 KAMPALA-BUSUNJU'!D33,'12.8 BUSUNJU-KAMPALA'!D33,'13.8 KAMPALA-BUSUNJU'!D33,'14.8 KAMPALA-BUSUNJU'!D33,'15.8 KAMPALA-BUSUNJU-24 HRS'!D33,'16.8 BUSUNJU-KAMPALA-24HRS'!D33,'17.8 KAMPALA-BUSUNJU'!D33)</f>
        <v>0.14285714285714285</v>
      </c>
      <c r="E33" s="49">
        <f>AVERAGE('11.8 KAMPALA-BUSUNJU'!E33,'12.8 BUSUNJU-KAMPALA'!E33,'13.8 KAMPALA-BUSUNJU'!E33,'14.8 KAMPALA-BUSUNJU'!E33,'15.8 KAMPALA-BUSUNJU-24 HRS'!E33,'16.8 BUSUNJU-KAMPALA-24HRS'!E33,'17.8 KAMPALA-BUSUNJU'!E33)</f>
        <v>0.7142857142857143</v>
      </c>
      <c r="F33" s="49">
        <f>AVERAGE('11.8 KAMPALA-BUSUNJU'!F33,'12.8 BUSUNJU-KAMPALA'!F33,'13.8 KAMPALA-BUSUNJU'!F33,'14.8 KAMPALA-BUSUNJU'!F33,'15.8 KAMPALA-BUSUNJU-24 HRS'!F33,'16.8 BUSUNJU-KAMPALA-24HRS'!F33,'17.8 KAMPALA-BUSUNJU'!F33)</f>
        <v>0.5714285714285714</v>
      </c>
      <c r="G33" s="49">
        <f>AVERAGE('11.8 KAMPALA-BUSUNJU'!G33,'12.8 BUSUNJU-KAMPALA'!G33,'13.8 KAMPALA-BUSUNJU'!G33,'14.8 KAMPALA-BUSUNJU'!G33,'15.8 KAMPALA-BUSUNJU-24 HRS'!G33,'16.8 BUSUNJU-KAMPALA-24HRS'!G33,'17.8 KAMPALA-BUSUNJU'!G33)</f>
        <v>0</v>
      </c>
      <c r="H33" s="49">
        <f>AVERAGE('11.8 KAMPALA-BUSUNJU'!H33,'12.8 BUSUNJU-KAMPALA'!H33,'13.8 KAMPALA-BUSUNJU'!H33,'14.8 KAMPALA-BUSUNJU'!H33,'15.8 KAMPALA-BUSUNJU-24 HRS'!H33,'16.8 BUSUNJU-KAMPALA-24HRS'!H33,'17.8 KAMPALA-BUSUNJU'!H33)</f>
        <v>0</v>
      </c>
      <c r="I33" s="49">
        <f>AVERAGE('11.8 KAMPALA-BUSUNJU'!I33,'12.8 BUSUNJU-KAMPALA'!I33,'13.8 KAMPALA-BUSUNJU'!I33,'14.8 KAMPALA-BUSUNJU'!I33,'15.8 KAMPALA-BUSUNJU-24 HRS'!I33,'16.8 BUSUNJU-KAMPALA-24HRS'!I33,'17.8 KAMPALA-BUSUNJU'!I33)</f>
        <v>1.2857142857142858</v>
      </c>
      <c r="J33" s="49">
        <f>AVERAGE('11.8 KAMPALA-BUSUNJU'!J33,'12.8 BUSUNJU-KAMPALA'!J33,'13.8 KAMPALA-BUSUNJU'!J33,'14.8 KAMPALA-BUSUNJU'!J33,'15.8 KAMPALA-BUSUNJU-24 HRS'!J33,'16.8 BUSUNJU-KAMPALA-24HRS'!J33,'17.8 KAMPALA-BUSUNJU'!J33)</f>
        <v>0.14285714285714285</v>
      </c>
      <c r="K33" s="49">
        <f>AVERAGE('11.8 KAMPALA-BUSUNJU'!K33,'12.8 BUSUNJU-KAMPALA'!K33,'13.8 KAMPALA-BUSUNJU'!K33,'14.8 KAMPALA-BUSUNJU'!K33,'15.8 KAMPALA-BUSUNJU-24 HRS'!K33,'16.8 BUSUNJU-KAMPALA-24HRS'!K33,'17.8 KAMPALA-BUSUNJU'!K33)</f>
        <v>0</v>
      </c>
      <c r="L33" s="49">
        <f>AVERAGE('11.8 KAMPALA-BUSUNJU'!L33,'12.8 BUSUNJU-KAMPALA'!L33,'13.8 KAMPALA-BUSUNJU'!L33,'14.8 KAMPALA-BUSUNJU'!L33,'15.8 KAMPALA-BUSUNJU-24 HRS'!L33,'16.8 BUSUNJU-KAMPALA-24HRS'!L33,'17.8 KAMPALA-BUSUNJU'!L33)</f>
        <v>0</v>
      </c>
      <c r="M33" s="49">
        <f>AVERAGE('11.8 KAMPALA-BUSUNJU'!M33,'12.8 BUSUNJU-KAMPALA'!M33,'13.8 KAMPALA-BUSUNJU'!M33,'14.8 KAMPALA-BUSUNJU'!M33,'15.8 KAMPALA-BUSUNJU-24 HRS'!M33,'16.8 BUSUNJU-KAMPALA-24HRS'!M33,'17.8 KAMPALA-BUSUNJU'!M33)</f>
        <v>18</v>
      </c>
      <c r="N33" s="49">
        <f>AVERAGE('11.8 KAMPALA-BUSUNJU'!N33,'12.8 BUSUNJU-KAMPALA'!N33,'13.8 KAMPALA-BUSUNJU'!N33,'14.8 KAMPALA-BUSUNJU'!N33,'15.8 KAMPALA-BUSUNJU-24 HRS'!N33,'16.8 BUSUNJU-KAMPALA-24HRS'!N33,'17.8 KAMPALA-BUSUNJU'!N33)</f>
        <v>0</v>
      </c>
      <c r="O33" s="15">
        <f t="shared" si="0"/>
        <v>3</v>
      </c>
      <c r="P33" s="15">
        <f t="shared" si="1"/>
        <v>21</v>
      </c>
      <c r="R33" s="1" t="s">
        <v>157</v>
      </c>
      <c r="S33" s="34">
        <f>SUM(C102:C105)</f>
        <v>5.5</v>
      </c>
      <c r="T33" s="34">
        <f t="shared" ref="T33:AF33" si="25">SUM(D102:D105)</f>
        <v>2</v>
      </c>
      <c r="U33" s="34">
        <f t="shared" si="25"/>
        <v>2.5</v>
      </c>
      <c r="V33" s="34">
        <f t="shared" si="25"/>
        <v>6</v>
      </c>
      <c r="W33" s="34">
        <f t="shared" si="25"/>
        <v>1</v>
      </c>
      <c r="X33" s="34">
        <f t="shared" si="25"/>
        <v>2.5</v>
      </c>
      <c r="Y33" s="34">
        <f t="shared" si="25"/>
        <v>0</v>
      </c>
      <c r="Z33" s="34">
        <f t="shared" si="25"/>
        <v>3</v>
      </c>
      <c r="AA33" s="34">
        <f t="shared" si="25"/>
        <v>1</v>
      </c>
      <c r="AB33" s="34">
        <f t="shared" si="25"/>
        <v>1.5</v>
      </c>
      <c r="AC33" s="34">
        <f t="shared" si="25"/>
        <v>10.5</v>
      </c>
      <c r="AD33" s="34">
        <f t="shared" si="25"/>
        <v>0.5</v>
      </c>
      <c r="AE33" s="51">
        <f t="shared" si="25"/>
        <v>25.5</v>
      </c>
      <c r="AF33" s="51">
        <f t="shared" si="25"/>
        <v>36</v>
      </c>
    </row>
    <row r="34" spans="2:32" ht="23.1" customHeight="1" x14ac:dyDescent="0.25">
      <c r="B34" s="24" t="s">
        <v>61</v>
      </c>
      <c r="C34" s="49">
        <f>AVERAGE('11.8 KAMPALA-BUSUNJU'!C34,'12.8 BUSUNJU-KAMPALA'!C34,'13.8 KAMPALA-BUSUNJU'!C34,'14.8 KAMPALA-BUSUNJU'!C34,'15.8 KAMPALA-BUSUNJU-24 HRS'!C34,'16.8 BUSUNJU-KAMPALA-24HRS'!C34,'17.8 KAMPALA-BUSUNJU'!C34)</f>
        <v>1</v>
      </c>
      <c r="D34" s="49">
        <f>AVERAGE('11.8 KAMPALA-BUSUNJU'!D34,'12.8 BUSUNJU-KAMPALA'!D34,'13.8 KAMPALA-BUSUNJU'!D34,'14.8 KAMPALA-BUSUNJU'!D34,'15.8 KAMPALA-BUSUNJU-24 HRS'!D34,'16.8 BUSUNJU-KAMPALA-24HRS'!D34,'17.8 KAMPALA-BUSUNJU'!D34)</f>
        <v>0</v>
      </c>
      <c r="E34" s="49">
        <f>AVERAGE('11.8 KAMPALA-BUSUNJU'!E34,'12.8 BUSUNJU-KAMPALA'!E34,'13.8 KAMPALA-BUSUNJU'!E34,'14.8 KAMPALA-BUSUNJU'!E34,'15.8 KAMPALA-BUSUNJU-24 HRS'!E34,'16.8 BUSUNJU-KAMPALA-24HRS'!E34,'17.8 KAMPALA-BUSUNJU'!E34)</f>
        <v>1.1428571428571428</v>
      </c>
      <c r="F34" s="49">
        <f>AVERAGE('11.8 KAMPALA-BUSUNJU'!F34,'12.8 BUSUNJU-KAMPALA'!F34,'13.8 KAMPALA-BUSUNJU'!F34,'14.8 KAMPALA-BUSUNJU'!F34,'15.8 KAMPALA-BUSUNJU-24 HRS'!F34,'16.8 BUSUNJU-KAMPALA-24HRS'!F34,'17.8 KAMPALA-BUSUNJU'!F34)</f>
        <v>0.14285714285714285</v>
      </c>
      <c r="G34" s="49">
        <f>AVERAGE('11.8 KAMPALA-BUSUNJU'!G34,'12.8 BUSUNJU-KAMPALA'!G34,'13.8 KAMPALA-BUSUNJU'!G34,'14.8 KAMPALA-BUSUNJU'!G34,'15.8 KAMPALA-BUSUNJU-24 HRS'!G34,'16.8 BUSUNJU-KAMPALA-24HRS'!G34,'17.8 KAMPALA-BUSUNJU'!G34)</f>
        <v>0</v>
      </c>
      <c r="H34" s="49">
        <f>AVERAGE('11.8 KAMPALA-BUSUNJU'!H34,'12.8 BUSUNJU-KAMPALA'!H34,'13.8 KAMPALA-BUSUNJU'!H34,'14.8 KAMPALA-BUSUNJU'!H34,'15.8 KAMPALA-BUSUNJU-24 HRS'!H34,'16.8 BUSUNJU-KAMPALA-24HRS'!H34,'17.8 KAMPALA-BUSUNJU'!H34)</f>
        <v>0</v>
      </c>
      <c r="I34" s="49">
        <f>AVERAGE('11.8 KAMPALA-BUSUNJU'!I34,'12.8 BUSUNJU-KAMPALA'!I34,'13.8 KAMPALA-BUSUNJU'!I34,'14.8 KAMPALA-BUSUNJU'!I34,'15.8 KAMPALA-BUSUNJU-24 HRS'!I34,'16.8 BUSUNJU-KAMPALA-24HRS'!I34,'17.8 KAMPALA-BUSUNJU'!I34)</f>
        <v>1.4285714285714286</v>
      </c>
      <c r="J34" s="49">
        <f>AVERAGE('11.8 KAMPALA-BUSUNJU'!J34,'12.8 BUSUNJU-KAMPALA'!J34,'13.8 KAMPALA-BUSUNJU'!J34,'14.8 KAMPALA-BUSUNJU'!J34,'15.8 KAMPALA-BUSUNJU-24 HRS'!J34,'16.8 BUSUNJU-KAMPALA-24HRS'!J34,'17.8 KAMPALA-BUSUNJU'!J34)</f>
        <v>0.2857142857142857</v>
      </c>
      <c r="K34" s="49">
        <f>AVERAGE('11.8 KAMPALA-BUSUNJU'!K34,'12.8 BUSUNJU-KAMPALA'!K34,'13.8 KAMPALA-BUSUNJU'!K34,'14.8 KAMPALA-BUSUNJU'!K34,'15.8 KAMPALA-BUSUNJU-24 HRS'!K34,'16.8 BUSUNJU-KAMPALA-24HRS'!K34,'17.8 KAMPALA-BUSUNJU'!K34)</f>
        <v>0</v>
      </c>
      <c r="L34" s="49">
        <f>AVERAGE('11.8 KAMPALA-BUSUNJU'!L34,'12.8 BUSUNJU-KAMPALA'!L34,'13.8 KAMPALA-BUSUNJU'!L34,'14.8 KAMPALA-BUSUNJU'!L34,'15.8 KAMPALA-BUSUNJU-24 HRS'!L34,'16.8 BUSUNJU-KAMPALA-24HRS'!L34,'17.8 KAMPALA-BUSUNJU'!L34)</f>
        <v>0</v>
      </c>
      <c r="M34" s="49">
        <f>AVERAGE('11.8 KAMPALA-BUSUNJU'!M34,'12.8 BUSUNJU-KAMPALA'!M34,'13.8 KAMPALA-BUSUNJU'!M34,'14.8 KAMPALA-BUSUNJU'!M34,'15.8 KAMPALA-BUSUNJU-24 HRS'!M34,'16.8 BUSUNJU-KAMPALA-24HRS'!M34,'17.8 KAMPALA-BUSUNJU'!M34)</f>
        <v>14.571428571428571</v>
      </c>
      <c r="N34" s="49">
        <f>AVERAGE('11.8 KAMPALA-BUSUNJU'!N34,'12.8 BUSUNJU-KAMPALA'!N34,'13.8 KAMPALA-BUSUNJU'!N34,'14.8 KAMPALA-BUSUNJU'!N34,'15.8 KAMPALA-BUSUNJU-24 HRS'!N34,'16.8 BUSUNJU-KAMPALA-24HRS'!N34,'17.8 KAMPALA-BUSUNJU'!N34)</f>
        <v>0</v>
      </c>
      <c r="O34" s="15">
        <f t="shared" si="0"/>
        <v>4</v>
      </c>
      <c r="P34" s="15">
        <f t="shared" si="1"/>
        <v>18.571428571428569</v>
      </c>
      <c r="R34" s="38" t="s">
        <v>90</v>
      </c>
      <c r="S34" s="39">
        <f t="shared" ref="S34:AF34" si="26">MAX(S10:S12)</f>
        <v>3.4285714285714288</v>
      </c>
      <c r="T34" s="39">
        <f t="shared" si="26"/>
        <v>0.14285714285714285</v>
      </c>
      <c r="U34" s="39">
        <f t="shared" si="26"/>
        <v>2.8571428571428568</v>
      </c>
      <c r="V34" s="39">
        <f t="shared" si="26"/>
        <v>1.1428571428571428</v>
      </c>
      <c r="W34" s="39">
        <f t="shared" si="26"/>
        <v>0.14285714285714285</v>
      </c>
      <c r="X34" s="39">
        <f t="shared" si="26"/>
        <v>0.14285714285714285</v>
      </c>
      <c r="Y34" s="39">
        <f t="shared" si="26"/>
        <v>3.7142857142857144</v>
      </c>
      <c r="Z34" s="39">
        <f t="shared" si="26"/>
        <v>0.5714285714285714</v>
      </c>
      <c r="AA34" s="39">
        <f t="shared" si="26"/>
        <v>0</v>
      </c>
      <c r="AB34" s="39">
        <f t="shared" si="26"/>
        <v>0.14285714285714285</v>
      </c>
      <c r="AC34" s="39">
        <f t="shared" si="26"/>
        <v>61.714285714285715</v>
      </c>
      <c r="AD34" s="39">
        <f t="shared" si="26"/>
        <v>0</v>
      </c>
      <c r="AE34" s="40">
        <f t="shared" si="26"/>
        <v>11.714285714285714</v>
      </c>
      <c r="AF34" s="40">
        <f t="shared" si="26"/>
        <v>71</v>
      </c>
    </row>
    <row r="35" spans="2:32" ht="23.1" customHeight="1" x14ac:dyDescent="0.25">
      <c r="B35" s="24" t="s">
        <v>62</v>
      </c>
      <c r="C35" s="49">
        <f>AVERAGE('11.8 KAMPALA-BUSUNJU'!C35,'12.8 BUSUNJU-KAMPALA'!C35,'13.8 KAMPALA-BUSUNJU'!C35,'14.8 KAMPALA-BUSUNJU'!C35,'15.8 KAMPALA-BUSUNJU-24 HRS'!C35,'16.8 BUSUNJU-KAMPALA-24HRS'!C35,'17.8 KAMPALA-BUSUNJU'!C35)</f>
        <v>1.2857142857142858</v>
      </c>
      <c r="D35" s="49">
        <f>AVERAGE('11.8 KAMPALA-BUSUNJU'!D35,'12.8 BUSUNJU-KAMPALA'!D35,'13.8 KAMPALA-BUSUNJU'!D35,'14.8 KAMPALA-BUSUNJU'!D35,'15.8 KAMPALA-BUSUNJU-24 HRS'!D35,'16.8 BUSUNJU-KAMPALA-24HRS'!D35,'17.8 KAMPALA-BUSUNJU'!D35)</f>
        <v>0</v>
      </c>
      <c r="E35" s="49">
        <f>AVERAGE('11.8 KAMPALA-BUSUNJU'!E35,'12.8 BUSUNJU-KAMPALA'!E35,'13.8 KAMPALA-BUSUNJU'!E35,'14.8 KAMPALA-BUSUNJU'!E35,'15.8 KAMPALA-BUSUNJU-24 HRS'!E35,'16.8 BUSUNJU-KAMPALA-24HRS'!E35,'17.8 KAMPALA-BUSUNJU'!E35)</f>
        <v>1.7142857142857142</v>
      </c>
      <c r="F35" s="49">
        <f>AVERAGE('11.8 KAMPALA-BUSUNJU'!F35,'12.8 BUSUNJU-KAMPALA'!F35,'13.8 KAMPALA-BUSUNJU'!F35,'14.8 KAMPALA-BUSUNJU'!F35,'15.8 KAMPALA-BUSUNJU-24 HRS'!F35,'16.8 BUSUNJU-KAMPALA-24HRS'!F35,'17.8 KAMPALA-BUSUNJU'!F35)</f>
        <v>0.7142857142857143</v>
      </c>
      <c r="G35" s="49">
        <f>AVERAGE('11.8 KAMPALA-BUSUNJU'!G35,'12.8 BUSUNJU-KAMPALA'!G35,'13.8 KAMPALA-BUSUNJU'!G35,'14.8 KAMPALA-BUSUNJU'!G35,'15.8 KAMPALA-BUSUNJU-24 HRS'!G35,'16.8 BUSUNJU-KAMPALA-24HRS'!G35,'17.8 KAMPALA-BUSUNJU'!G35)</f>
        <v>0</v>
      </c>
      <c r="H35" s="49">
        <f>AVERAGE('11.8 KAMPALA-BUSUNJU'!H35,'12.8 BUSUNJU-KAMPALA'!H35,'13.8 KAMPALA-BUSUNJU'!H35,'14.8 KAMPALA-BUSUNJU'!H35,'15.8 KAMPALA-BUSUNJU-24 HRS'!H35,'16.8 BUSUNJU-KAMPALA-24HRS'!H35,'17.8 KAMPALA-BUSUNJU'!H35)</f>
        <v>0</v>
      </c>
      <c r="I35" s="49">
        <f>AVERAGE('11.8 KAMPALA-BUSUNJU'!I35,'12.8 BUSUNJU-KAMPALA'!I35,'13.8 KAMPALA-BUSUNJU'!I35,'14.8 KAMPALA-BUSUNJU'!I35,'15.8 KAMPALA-BUSUNJU-24 HRS'!I35,'16.8 BUSUNJU-KAMPALA-24HRS'!I35,'17.8 KAMPALA-BUSUNJU'!I35)</f>
        <v>0.5714285714285714</v>
      </c>
      <c r="J35" s="49">
        <f>AVERAGE('11.8 KAMPALA-BUSUNJU'!J35,'12.8 BUSUNJU-KAMPALA'!J35,'13.8 KAMPALA-BUSUNJU'!J35,'14.8 KAMPALA-BUSUNJU'!J35,'15.8 KAMPALA-BUSUNJU-24 HRS'!J35,'16.8 BUSUNJU-KAMPALA-24HRS'!J35,'17.8 KAMPALA-BUSUNJU'!J35)</f>
        <v>0.14285714285714285</v>
      </c>
      <c r="K35" s="49">
        <f>AVERAGE('11.8 KAMPALA-BUSUNJU'!K35,'12.8 BUSUNJU-KAMPALA'!K35,'13.8 KAMPALA-BUSUNJU'!K35,'14.8 KAMPALA-BUSUNJU'!K35,'15.8 KAMPALA-BUSUNJU-24 HRS'!K35,'16.8 BUSUNJU-KAMPALA-24HRS'!K35,'17.8 KAMPALA-BUSUNJU'!K35)</f>
        <v>0</v>
      </c>
      <c r="L35" s="49">
        <f>AVERAGE('11.8 KAMPALA-BUSUNJU'!L35,'12.8 BUSUNJU-KAMPALA'!L35,'13.8 KAMPALA-BUSUNJU'!L35,'14.8 KAMPALA-BUSUNJU'!L35,'15.8 KAMPALA-BUSUNJU-24 HRS'!L35,'16.8 BUSUNJU-KAMPALA-24HRS'!L35,'17.8 KAMPALA-BUSUNJU'!L35)</f>
        <v>0</v>
      </c>
      <c r="M35" s="49">
        <f>AVERAGE('11.8 KAMPALA-BUSUNJU'!M35,'12.8 BUSUNJU-KAMPALA'!M35,'13.8 KAMPALA-BUSUNJU'!M35,'14.8 KAMPALA-BUSUNJU'!M35,'15.8 KAMPALA-BUSUNJU-24 HRS'!M35,'16.8 BUSUNJU-KAMPALA-24HRS'!M35,'17.8 KAMPALA-BUSUNJU'!M35)</f>
        <v>14.428571428571429</v>
      </c>
      <c r="N35" s="49">
        <f>AVERAGE('11.8 KAMPALA-BUSUNJU'!N35,'12.8 BUSUNJU-KAMPALA'!N35,'13.8 KAMPALA-BUSUNJU'!N35,'14.8 KAMPALA-BUSUNJU'!N35,'15.8 KAMPALA-BUSUNJU-24 HRS'!N35,'16.8 BUSUNJU-KAMPALA-24HRS'!N35,'17.8 KAMPALA-BUSUNJU'!N35)</f>
        <v>0</v>
      </c>
      <c r="O35" s="15">
        <f t="shared" si="0"/>
        <v>4.4285714285714288</v>
      </c>
      <c r="P35" s="15">
        <f t="shared" si="1"/>
        <v>18.857142857142858</v>
      </c>
      <c r="R35" s="38" t="s">
        <v>91</v>
      </c>
      <c r="S35" s="39">
        <f t="shared" ref="S35:AF35" si="27">MAX(S13:S18)</f>
        <v>4.5714285714285721</v>
      </c>
      <c r="T35" s="39">
        <f t="shared" si="27"/>
        <v>0.42857142857142855</v>
      </c>
      <c r="U35" s="39">
        <f t="shared" si="27"/>
        <v>5</v>
      </c>
      <c r="V35" s="39">
        <f t="shared" si="27"/>
        <v>1.857142857142857</v>
      </c>
      <c r="W35" s="39">
        <f t="shared" si="27"/>
        <v>0.42857142857142855</v>
      </c>
      <c r="X35" s="39">
        <f t="shared" si="27"/>
        <v>0.2857142857142857</v>
      </c>
      <c r="Y35" s="39">
        <f t="shared" si="27"/>
        <v>5.1428571428571423</v>
      </c>
      <c r="Z35" s="39">
        <f t="shared" si="27"/>
        <v>0.8571428571428571</v>
      </c>
      <c r="AA35" s="39">
        <f t="shared" si="27"/>
        <v>0.14285714285714285</v>
      </c>
      <c r="AB35" s="39">
        <f t="shared" si="27"/>
        <v>0.14285714285714285</v>
      </c>
      <c r="AC35" s="39">
        <f t="shared" si="27"/>
        <v>64.857142857142847</v>
      </c>
      <c r="AD35" s="39">
        <f t="shared" si="27"/>
        <v>0</v>
      </c>
      <c r="AE35" s="40">
        <f t="shared" si="27"/>
        <v>15.714285714285714</v>
      </c>
      <c r="AF35" s="40">
        <f t="shared" si="27"/>
        <v>78.142857142857139</v>
      </c>
    </row>
    <row r="36" spans="2:32" ht="23.1" customHeight="1" x14ac:dyDescent="0.25">
      <c r="B36" s="24" t="s">
        <v>63</v>
      </c>
      <c r="C36" s="49">
        <f>AVERAGE('11.8 KAMPALA-BUSUNJU'!C36,'12.8 BUSUNJU-KAMPALA'!C36,'13.8 KAMPALA-BUSUNJU'!C36,'14.8 KAMPALA-BUSUNJU'!C36,'15.8 KAMPALA-BUSUNJU-24 HRS'!C36,'16.8 BUSUNJU-KAMPALA-24HRS'!C36,'17.8 KAMPALA-BUSUNJU'!C36)</f>
        <v>1.4285714285714286</v>
      </c>
      <c r="D36" s="49">
        <f>AVERAGE('11.8 KAMPALA-BUSUNJU'!D36,'12.8 BUSUNJU-KAMPALA'!D36,'13.8 KAMPALA-BUSUNJU'!D36,'14.8 KAMPALA-BUSUNJU'!D36,'15.8 KAMPALA-BUSUNJU-24 HRS'!D36,'16.8 BUSUNJU-KAMPALA-24HRS'!D36,'17.8 KAMPALA-BUSUNJU'!D36)</f>
        <v>0.14285714285714285</v>
      </c>
      <c r="E36" s="49">
        <f>AVERAGE('11.8 KAMPALA-BUSUNJU'!E36,'12.8 BUSUNJU-KAMPALA'!E36,'13.8 KAMPALA-BUSUNJU'!E36,'14.8 KAMPALA-BUSUNJU'!E36,'15.8 KAMPALA-BUSUNJU-24 HRS'!E36,'16.8 BUSUNJU-KAMPALA-24HRS'!E36,'17.8 KAMPALA-BUSUNJU'!E36)</f>
        <v>1.1428571428571428</v>
      </c>
      <c r="F36" s="49">
        <f>AVERAGE('11.8 KAMPALA-BUSUNJU'!F36,'12.8 BUSUNJU-KAMPALA'!F36,'13.8 KAMPALA-BUSUNJU'!F36,'14.8 KAMPALA-BUSUNJU'!F36,'15.8 KAMPALA-BUSUNJU-24 HRS'!F36,'16.8 BUSUNJU-KAMPALA-24HRS'!F36,'17.8 KAMPALA-BUSUNJU'!F36)</f>
        <v>0.2857142857142857</v>
      </c>
      <c r="G36" s="49">
        <f>AVERAGE('11.8 KAMPALA-BUSUNJU'!G36,'12.8 BUSUNJU-KAMPALA'!G36,'13.8 KAMPALA-BUSUNJU'!G36,'14.8 KAMPALA-BUSUNJU'!G36,'15.8 KAMPALA-BUSUNJU-24 HRS'!G36,'16.8 BUSUNJU-KAMPALA-24HRS'!G36,'17.8 KAMPALA-BUSUNJU'!G36)</f>
        <v>0.14285714285714285</v>
      </c>
      <c r="H36" s="49">
        <f>AVERAGE('11.8 KAMPALA-BUSUNJU'!H36,'12.8 BUSUNJU-KAMPALA'!H36,'13.8 KAMPALA-BUSUNJU'!H36,'14.8 KAMPALA-BUSUNJU'!H36,'15.8 KAMPALA-BUSUNJU-24 HRS'!H36,'16.8 BUSUNJU-KAMPALA-24HRS'!H36,'17.8 KAMPALA-BUSUNJU'!H36)</f>
        <v>0</v>
      </c>
      <c r="I36" s="49">
        <f>AVERAGE('11.8 KAMPALA-BUSUNJU'!I36,'12.8 BUSUNJU-KAMPALA'!I36,'13.8 KAMPALA-BUSUNJU'!I36,'14.8 KAMPALA-BUSUNJU'!I36,'15.8 KAMPALA-BUSUNJU-24 HRS'!I36,'16.8 BUSUNJU-KAMPALA-24HRS'!I36,'17.8 KAMPALA-BUSUNJU'!I36)</f>
        <v>0.2857142857142857</v>
      </c>
      <c r="J36" s="49">
        <f>AVERAGE('11.8 KAMPALA-BUSUNJU'!J36,'12.8 BUSUNJU-KAMPALA'!J36,'13.8 KAMPALA-BUSUNJU'!J36,'14.8 KAMPALA-BUSUNJU'!J36,'15.8 KAMPALA-BUSUNJU-24 HRS'!J36,'16.8 BUSUNJU-KAMPALA-24HRS'!J36,'17.8 KAMPALA-BUSUNJU'!J36)</f>
        <v>0.14285714285714285</v>
      </c>
      <c r="K36" s="49">
        <f>AVERAGE('11.8 KAMPALA-BUSUNJU'!K36,'12.8 BUSUNJU-KAMPALA'!K36,'13.8 KAMPALA-BUSUNJU'!K36,'14.8 KAMPALA-BUSUNJU'!K36,'15.8 KAMPALA-BUSUNJU-24 HRS'!K36,'16.8 BUSUNJU-KAMPALA-24HRS'!K36,'17.8 KAMPALA-BUSUNJU'!K36)</f>
        <v>0</v>
      </c>
      <c r="L36" s="49">
        <f>AVERAGE('11.8 KAMPALA-BUSUNJU'!L36,'12.8 BUSUNJU-KAMPALA'!L36,'13.8 KAMPALA-BUSUNJU'!L36,'14.8 KAMPALA-BUSUNJU'!L36,'15.8 KAMPALA-BUSUNJU-24 HRS'!L36,'16.8 BUSUNJU-KAMPALA-24HRS'!L36,'17.8 KAMPALA-BUSUNJU'!L36)</f>
        <v>0</v>
      </c>
      <c r="M36" s="49">
        <f>AVERAGE('11.8 KAMPALA-BUSUNJU'!M36,'12.8 BUSUNJU-KAMPALA'!M36,'13.8 KAMPALA-BUSUNJU'!M36,'14.8 KAMPALA-BUSUNJU'!M36,'15.8 KAMPALA-BUSUNJU-24 HRS'!M36,'16.8 BUSUNJU-KAMPALA-24HRS'!M36,'17.8 KAMPALA-BUSUNJU'!M36)</f>
        <v>9.7142857142857135</v>
      </c>
      <c r="N36" s="49">
        <f>AVERAGE('11.8 KAMPALA-BUSUNJU'!N36,'12.8 BUSUNJU-KAMPALA'!N36,'13.8 KAMPALA-BUSUNJU'!N36,'14.8 KAMPALA-BUSUNJU'!N36,'15.8 KAMPALA-BUSUNJU-24 HRS'!N36,'16.8 BUSUNJU-KAMPALA-24HRS'!N36,'17.8 KAMPALA-BUSUNJU'!N36)</f>
        <v>0</v>
      </c>
      <c r="O36" s="15">
        <f t="shared" si="0"/>
        <v>3.5714285714285712</v>
      </c>
      <c r="P36" s="15">
        <f t="shared" si="1"/>
        <v>13.285714285714285</v>
      </c>
      <c r="R36" s="38" t="s">
        <v>92</v>
      </c>
      <c r="S36" s="39">
        <f t="shared" ref="S36:AF36" si="28">MAX(S19:S21)</f>
        <v>5.5714285714285712</v>
      </c>
      <c r="T36" s="39">
        <f t="shared" si="28"/>
        <v>0.2857142857142857</v>
      </c>
      <c r="U36" s="39">
        <f t="shared" si="28"/>
        <v>4.7142857142857144</v>
      </c>
      <c r="V36" s="39">
        <f t="shared" si="28"/>
        <v>2.1428571428571428</v>
      </c>
      <c r="W36" s="39">
        <f t="shared" si="28"/>
        <v>0.71428571428571419</v>
      </c>
      <c r="X36" s="39">
        <f t="shared" si="28"/>
        <v>0</v>
      </c>
      <c r="Y36" s="39">
        <f t="shared" si="28"/>
        <v>3</v>
      </c>
      <c r="Z36" s="39">
        <f t="shared" si="28"/>
        <v>0.42857142857142855</v>
      </c>
      <c r="AA36" s="39">
        <f t="shared" si="28"/>
        <v>0</v>
      </c>
      <c r="AB36" s="39">
        <f t="shared" si="28"/>
        <v>0</v>
      </c>
      <c r="AC36" s="39">
        <f t="shared" si="28"/>
        <v>63.857142857142854</v>
      </c>
      <c r="AD36" s="39">
        <f t="shared" si="28"/>
        <v>0</v>
      </c>
      <c r="AE36" s="40">
        <f t="shared" si="28"/>
        <v>15.285714285714285</v>
      </c>
      <c r="AF36" s="40">
        <f t="shared" si="28"/>
        <v>78.857142857142861</v>
      </c>
    </row>
    <row r="37" spans="2:32" ht="23.1" customHeight="1" x14ac:dyDescent="0.25">
      <c r="B37" s="23" t="s">
        <v>64</v>
      </c>
      <c r="C37" s="49">
        <f>AVERAGE('11.8 KAMPALA-BUSUNJU'!C37,'12.8 BUSUNJU-KAMPALA'!C37,'13.8 KAMPALA-BUSUNJU'!C37,'14.8 KAMPALA-BUSUNJU'!C37,'15.8 KAMPALA-BUSUNJU-24 HRS'!C37,'16.8 BUSUNJU-KAMPALA-24HRS'!C37,'17.8 KAMPALA-BUSUNJU'!C37)</f>
        <v>0.7142857142857143</v>
      </c>
      <c r="D37" s="49">
        <f>AVERAGE('11.8 KAMPALA-BUSUNJU'!D37,'12.8 BUSUNJU-KAMPALA'!D37,'13.8 KAMPALA-BUSUNJU'!D37,'14.8 KAMPALA-BUSUNJU'!D37,'15.8 KAMPALA-BUSUNJU-24 HRS'!D37,'16.8 BUSUNJU-KAMPALA-24HRS'!D37,'17.8 KAMPALA-BUSUNJU'!D37)</f>
        <v>0</v>
      </c>
      <c r="E37" s="49">
        <f>AVERAGE('11.8 KAMPALA-BUSUNJU'!E37,'12.8 BUSUNJU-KAMPALA'!E37,'13.8 KAMPALA-BUSUNJU'!E37,'14.8 KAMPALA-BUSUNJU'!E37,'15.8 KAMPALA-BUSUNJU-24 HRS'!E37,'16.8 BUSUNJU-KAMPALA-24HRS'!E37,'17.8 KAMPALA-BUSUNJU'!E37)</f>
        <v>1</v>
      </c>
      <c r="F37" s="49">
        <f>AVERAGE('11.8 KAMPALA-BUSUNJU'!F37,'12.8 BUSUNJU-KAMPALA'!F37,'13.8 KAMPALA-BUSUNJU'!F37,'14.8 KAMPALA-BUSUNJU'!F37,'15.8 KAMPALA-BUSUNJU-24 HRS'!F37,'16.8 BUSUNJU-KAMPALA-24HRS'!F37,'17.8 KAMPALA-BUSUNJU'!F37)</f>
        <v>0.2857142857142857</v>
      </c>
      <c r="G37" s="49">
        <f>AVERAGE('11.8 KAMPALA-BUSUNJU'!G37,'12.8 BUSUNJU-KAMPALA'!G37,'13.8 KAMPALA-BUSUNJU'!G37,'14.8 KAMPALA-BUSUNJU'!G37,'15.8 KAMPALA-BUSUNJU-24 HRS'!G37,'16.8 BUSUNJU-KAMPALA-24HRS'!G37,'17.8 KAMPALA-BUSUNJU'!G37)</f>
        <v>0</v>
      </c>
      <c r="H37" s="49">
        <f>AVERAGE('11.8 KAMPALA-BUSUNJU'!H37,'12.8 BUSUNJU-KAMPALA'!H37,'13.8 KAMPALA-BUSUNJU'!H37,'14.8 KAMPALA-BUSUNJU'!H37,'15.8 KAMPALA-BUSUNJU-24 HRS'!H37,'16.8 BUSUNJU-KAMPALA-24HRS'!H37,'17.8 KAMPALA-BUSUNJU'!H37)</f>
        <v>0</v>
      </c>
      <c r="I37" s="49">
        <f>AVERAGE('11.8 KAMPALA-BUSUNJU'!I37,'12.8 BUSUNJU-KAMPALA'!I37,'13.8 KAMPALA-BUSUNJU'!I37,'14.8 KAMPALA-BUSUNJU'!I37,'15.8 KAMPALA-BUSUNJU-24 HRS'!I37,'16.8 BUSUNJU-KAMPALA-24HRS'!I37,'17.8 KAMPALA-BUSUNJU'!I37)</f>
        <v>0.8571428571428571</v>
      </c>
      <c r="J37" s="49">
        <f>AVERAGE('11.8 KAMPALA-BUSUNJU'!J37,'12.8 BUSUNJU-KAMPALA'!J37,'13.8 KAMPALA-BUSUNJU'!J37,'14.8 KAMPALA-BUSUNJU'!J37,'15.8 KAMPALA-BUSUNJU-24 HRS'!J37,'16.8 BUSUNJU-KAMPALA-24HRS'!J37,'17.8 KAMPALA-BUSUNJU'!J37)</f>
        <v>0</v>
      </c>
      <c r="K37" s="49">
        <f>AVERAGE('11.8 KAMPALA-BUSUNJU'!K37,'12.8 BUSUNJU-KAMPALA'!K37,'13.8 KAMPALA-BUSUNJU'!K37,'14.8 KAMPALA-BUSUNJU'!K37,'15.8 KAMPALA-BUSUNJU-24 HRS'!K37,'16.8 BUSUNJU-KAMPALA-24HRS'!K37,'17.8 KAMPALA-BUSUNJU'!K37)</f>
        <v>0</v>
      </c>
      <c r="L37" s="49">
        <f>AVERAGE('11.8 KAMPALA-BUSUNJU'!L37,'12.8 BUSUNJU-KAMPALA'!L37,'13.8 KAMPALA-BUSUNJU'!L37,'14.8 KAMPALA-BUSUNJU'!L37,'15.8 KAMPALA-BUSUNJU-24 HRS'!L37,'16.8 BUSUNJU-KAMPALA-24HRS'!L37,'17.8 KAMPALA-BUSUNJU'!L37)</f>
        <v>0</v>
      </c>
      <c r="M37" s="49">
        <f>AVERAGE('11.8 KAMPALA-BUSUNJU'!M37,'12.8 BUSUNJU-KAMPALA'!M37,'13.8 KAMPALA-BUSUNJU'!M37,'14.8 KAMPALA-BUSUNJU'!M37,'15.8 KAMPALA-BUSUNJU-24 HRS'!M37,'16.8 BUSUNJU-KAMPALA-24HRS'!M37,'17.8 KAMPALA-BUSUNJU'!M37)</f>
        <v>11.571428571428571</v>
      </c>
      <c r="N37" s="49">
        <f>AVERAGE('11.8 KAMPALA-BUSUNJU'!N37,'12.8 BUSUNJU-KAMPALA'!N37,'13.8 KAMPALA-BUSUNJU'!N37,'14.8 KAMPALA-BUSUNJU'!N37,'15.8 KAMPALA-BUSUNJU-24 HRS'!N37,'16.8 BUSUNJU-KAMPALA-24HRS'!N37,'17.8 KAMPALA-BUSUNJU'!N37)</f>
        <v>0</v>
      </c>
      <c r="O37" s="15">
        <f t="shared" si="0"/>
        <v>2.8571428571428572</v>
      </c>
      <c r="P37" s="15">
        <f t="shared" si="1"/>
        <v>14.428571428571429</v>
      </c>
      <c r="R37" s="37" t="s">
        <v>85</v>
      </c>
      <c r="S37" s="35">
        <f t="shared" ref="S37:AF37" si="29">SUM(S10:S12)</f>
        <v>9.2857142857142865</v>
      </c>
      <c r="T37" s="16">
        <f t="shared" si="29"/>
        <v>0.2857142857142857</v>
      </c>
      <c r="U37" s="16">
        <f t="shared" si="29"/>
        <v>7.5714285714285712</v>
      </c>
      <c r="V37" s="16">
        <f t="shared" si="29"/>
        <v>2.5714285714285712</v>
      </c>
      <c r="W37" s="16">
        <f t="shared" si="29"/>
        <v>0.14285714285714285</v>
      </c>
      <c r="X37" s="16">
        <f t="shared" si="29"/>
        <v>0.2857142857142857</v>
      </c>
      <c r="Y37" s="16">
        <f t="shared" si="29"/>
        <v>8.1428571428571423</v>
      </c>
      <c r="Z37" s="16">
        <f t="shared" si="29"/>
        <v>0.5714285714285714</v>
      </c>
      <c r="AA37" s="16">
        <f t="shared" si="29"/>
        <v>0</v>
      </c>
      <c r="AB37" s="16">
        <f t="shared" si="29"/>
        <v>0.2857142857142857</v>
      </c>
      <c r="AC37" s="16">
        <f t="shared" si="29"/>
        <v>155.85714285714286</v>
      </c>
      <c r="AD37" s="16">
        <f t="shared" si="29"/>
        <v>0</v>
      </c>
      <c r="AE37" s="32">
        <f t="shared" si="29"/>
        <v>29.142857142857139</v>
      </c>
      <c r="AF37" s="32">
        <f t="shared" si="29"/>
        <v>185</v>
      </c>
    </row>
    <row r="38" spans="2:32" ht="23.1" customHeight="1" x14ac:dyDescent="0.25">
      <c r="B38" s="24" t="s">
        <v>65</v>
      </c>
      <c r="C38" s="49">
        <f>AVERAGE('11.8 KAMPALA-BUSUNJU'!C38,'12.8 BUSUNJU-KAMPALA'!C38,'13.8 KAMPALA-BUSUNJU'!C38,'14.8 KAMPALA-BUSUNJU'!C38,'15.8 KAMPALA-BUSUNJU-24 HRS'!C38,'16.8 BUSUNJU-KAMPALA-24HRS'!C38,'17.8 KAMPALA-BUSUNJU'!C38)</f>
        <v>0.7142857142857143</v>
      </c>
      <c r="D38" s="49">
        <f>AVERAGE('11.8 KAMPALA-BUSUNJU'!D38,'12.8 BUSUNJU-KAMPALA'!D38,'13.8 KAMPALA-BUSUNJU'!D38,'14.8 KAMPALA-BUSUNJU'!D38,'15.8 KAMPALA-BUSUNJU-24 HRS'!D38,'16.8 BUSUNJU-KAMPALA-24HRS'!D38,'17.8 KAMPALA-BUSUNJU'!D38)</f>
        <v>0</v>
      </c>
      <c r="E38" s="49">
        <f>AVERAGE('11.8 KAMPALA-BUSUNJU'!E38,'12.8 BUSUNJU-KAMPALA'!E38,'13.8 KAMPALA-BUSUNJU'!E38,'14.8 KAMPALA-BUSUNJU'!E38,'15.8 KAMPALA-BUSUNJU-24 HRS'!E38,'16.8 BUSUNJU-KAMPALA-24HRS'!E38,'17.8 KAMPALA-BUSUNJU'!E38)</f>
        <v>0.7142857142857143</v>
      </c>
      <c r="F38" s="49">
        <f>AVERAGE('11.8 KAMPALA-BUSUNJU'!F38,'12.8 BUSUNJU-KAMPALA'!F38,'13.8 KAMPALA-BUSUNJU'!F38,'14.8 KAMPALA-BUSUNJU'!F38,'15.8 KAMPALA-BUSUNJU-24 HRS'!F38,'16.8 BUSUNJU-KAMPALA-24HRS'!F38,'17.8 KAMPALA-BUSUNJU'!F38)</f>
        <v>0.14285714285714285</v>
      </c>
      <c r="G38" s="49">
        <f>AVERAGE('11.8 KAMPALA-BUSUNJU'!G38,'12.8 BUSUNJU-KAMPALA'!G38,'13.8 KAMPALA-BUSUNJU'!G38,'14.8 KAMPALA-BUSUNJU'!G38,'15.8 KAMPALA-BUSUNJU-24 HRS'!G38,'16.8 BUSUNJU-KAMPALA-24HRS'!G38,'17.8 KAMPALA-BUSUNJU'!G38)</f>
        <v>0</v>
      </c>
      <c r="H38" s="49">
        <f>AVERAGE('11.8 KAMPALA-BUSUNJU'!H38,'12.8 BUSUNJU-KAMPALA'!H38,'13.8 KAMPALA-BUSUNJU'!H38,'14.8 KAMPALA-BUSUNJU'!H38,'15.8 KAMPALA-BUSUNJU-24 HRS'!H38,'16.8 BUSUNJU-KAMPALA-24HRS'!H38,'17.8 KAMPALA-BUSUNJU'!H38)</f>
        <v>0</v>
      </c>
      <c r="I38" s="49">
        <f>AVERAGE('11.8 KAMPALA-BUSUNJU'!I38,'12.8 BUSUNJU-KAMPALA'!I38,'13.8 KAMPALA-BUSUNJU'!I38,'14.8 KAMPALA-BUSUNJU'!I38,'15.8 KAMPALA-BUSUNJU-24 HRS'!I38,'16.8 BUSUNJU-KAMPALA-24HRS'!I38,'17.8 KAMPALA-BUSUNJU'!I38)</f>
        <v>0.5714285714285714</v>
      </c>
      <c r="J38" s="49">
        <f>AVERAGE('11.8 KAMPALA-BUSUNJU'!J38,'12.8 BUSUNJU-KAMPALA'!J38,'13.8 KAMPALA-BUSUNJU'!J38,'14.8 KAMPALA-BUSUNJU'!J38,'15.8 KAMPALA-BUSUNJU-24 HRS'!J38,'16.8 BUSUNJU-KAMPALA-24HRS'!J38,'17.8 KAMPALA-BUSUNJU'!J38)</f>
        <v>0</v>
      </c>
      <c r="K38" s="49">
        <f>AVERAGE('11.8 KAMPALA-BUSUNJU'!K38,'12.8 BUSUNJU-KAMPALA'!K38,'13.8 KAMPALA-BUSUNJU'!K38,'14.8 KAMPALA-BUSUNJU'!K38,'15.8 KAMPALA-BUSUNJU-24 HRS'!K38,'16.8 BUSUNJU-KAMPALA-24HRS'!K38,'17.8 KAMPALA-BUSUNJU'!K38)</f>
        <v>0</v>
      </c>
      <c r="L38" s="49">
        <f>AVERAGE('11.8 KAMPALA-BUSUNJU'!L38,'12.8 BUSUNJU-KAMPALA'!L38,'13.8 KAMPALA-BUSUNJU'!L38,'14.8 KAMPALA-BUSUNJU'!L38,'15.8 KAMPALA-BUSUNJU-24 HRS'!L38,'16.8 BUSUNJU-KAMPALA-24HRS'!L38,'17.8 KAMPALA-BUSUNJU'!L38)</f>
        <v>0</v>
      </c>
      <c r="M38" s="49">
        <f>AVERAGE('11.8 KAMPALA-BUSUNJU'!M38,'12.8 BUSUNJU-KAMPALA'!M38,'13.8 KAMPALA-BUSUNJU'!M38,'14.8 KAMPALA-BUSUNJU'!M38,'15.8 KAMPALA-BUSUNJU-24 HRS'!M38,'16.8 BUSUNJU-KAMPALA-24HRS'!M38,'17.8 KAMPALA-BUSUNJU'!M38)</f>
        <v>14.428571428571429</v>
      </c>
      <c r="N38" s="49">
        <f>AVERAGE('11.8 KAMPALA-BUSUNJU'!N38,'12.8 BUSUNJU-KAMPALA'!N38,'13.8 KAMPALA-BUSUNJU'!N38,'14.8 KAMPALA-BUSUNJU'!N38,'15.8 KAMPALA-BUSUNJU-24 HRS'!N38,'16.8 BUSUNJU-KAMPALA-24HRS'!N38,'17.8 KAMPALA-BUSUNJU'!N38)</f>
        <v>0</v>
      </c>
      <c r="O38" s="15">
        <f t="shared" si="0"/>
        <v>2.1428571428571428</v>
      </c>
      <c r="P38" s="15">
        <f t="shared" si="1"/>
        <v>16.571428571428573</v>
      </c>
      <c r="R38" s="28" t="s">
        <v>86</v>
      </c>
      <c r="S38" s="16">
        <f t="shared" ref="S38:AF38" si="30">SUM(S13:S18)</f>
        <v>23.285714285714288</v>
      </c>
      <c r="T38" s="16">
        <f t="shared" si="30"/>
        <v>1.2857142857142856</v>
      </c>
      <c r="U38" s="16">
        <f t="shared" si="30"/>
        <v>22.714285714285715</v>
      </c>
      <c r="V38" s="16">
        <f t="shared" si="30"/>
        <v>6.7142857142857126</v>
      </c>
      <c r="W38" s="16">
        <f t="shared" si="30"/>
        <v>0.5714285714285714</v>
      </c>
      <c r="X38" s="16">
        <f t="shared" si="30"/>
        <v>0.5714285714285714</v>
      </c>
      <c r="Y38" s="16">
        <f t="shared" si="30"/>
        <v>23.142857142857142</v>
      </c>
      <c r="Z38" s="16">
        <f t="shared" si="30"/>
        <v>2.5714285714285712</v>
      </c>
      <c r="AA38" s="16">
        <f t="shared" si="30"/>
        <v>0.14285714285714285</v>
      </c>
      <c r="AB38" s="16">
        <f t="shared" si="30"/>
        <v>0.2857142857142857</v>
      </c>
      <c r="AC38" s="16">
        <f t="shared" si="30"/>
        <v>346.85714285714283</v>
      </c>
      <c r="AD38" s="16">
        <f t="shared" si="30"/>
        <v>0</v>
      </c>
      <c r="AE38" s="32">
        <f t="shared" si="30"/>
        <v>81.285714285714292</v>
      </c>
      <c r="AF38" s="32">
        <f t="shared" si="30"/>
        <v>428.14285714285711</v>
      </c>
    </row>
    <row r="39" spans="2:32" ht="23.1" customHeight="1" x14ac:dyDescent="0.25">
      <c r="B39" s="24" t="s">
        <v>66</v>
      </c>
      <c r="C39" s="49">
        <f>AVERAGE('11.8 KAMPALA-BUSUNJU'!C39,'12.8 BUSUNJU-KAMPALA'!C39,'13.8 KAMPALA-BUSUNJU'!C39,'14.8 KAMPALA-BUSUNJU'!C39,'15.8 KAMPALA-BUSUNJU-24 HRS'!C39,'16.8 BUSUNJU-KAMPALA-24HRS'!C39,'17.8 KAMPALA-BUSUNJU'!C39)</f>
        <v>1</v>
      </c>
      <c r="D39" s="49">
        <f>AVERAGE('11.8 KAMPALA-BUSUNJU'!D39,'12.8 BUSUNJU-KAMPALA'!D39,'13.8 KAMPALA-BUSUNJU'!D39,'14.8 KAMPALA-BUSUNJU'!D39,'15.8 KAMPALA-BUSUNJU-24 HRS'!D39,'16.8 BUSUNJU-KAMPALA-24HRS'!D39,'17.8 KAMPALA-BUSUNJU'!D39)</f>
        <v>0.14285714285714285</v>
      </c>
      <c r="E39" s="49">
        <f>AVERAGE('11.8 KAMPALA-BUSUNJU'!E39,'12.8 BUSUNJU-KAMPALA'!E39,'13.8 KAMPALA-BUSUNJU'!E39,'14.8 KAMPALA-BUSUNJU'!E39,'15.8 KAMPALA-BUSUNJU-24 HRS'!E39,'16.8 BUSUNJU-KAMPALA-24HRS'!E39,'17.8 KAMPALA-BUSUNJU'!E39)</f>
        <v>1.1428571428571428</v>
      </c>
      <c r="F39" s="49">
        <f>AVERAGE('11.8 KAMPALA-BUSUNJU'!F39,'12.8 BUSUNJU-KAMPALA'!F39,'13.8 KAMPALA-BUSUNJU'!F39,'14.8 KAMPALA-BUSUNJU'!F39,'15.8 KAMPALA-BUSUNJU-24 HRS'!F39,'16.8 BUSUNJU-KAMPALA-24HRS'!F39,'17.8 KAMPALA-BUSUNJU'!F39)</f>
        <v>0.14285714285714285</v>
      </c>
      <c r="G39" s="49">
        <f>AVERAGE('11.8 KAMPALA-BUSUNJU'!G39,'12.8 BUSUNJU-KAMPALA'!G39,'13.8 KAMPALA-BUSUNJU'!G39,'14.8 KAMPALA-BUSUNJU'!G39,'15.8 KAMPALA-BUSUNJU-24 HRS'!G39,'16.8 BUSUNJU-KAMPALA-24HRS'!G39,'17.8 KAMPALA-BUSUNJU'!G39)</f>
        <v>0</v>
      </c>
      <c r="H39" s="49">
        <f>AVERAGE('11.8 KAMPALA-BUSUNJU'!H39,'12.8 BUSUNJU-KAMPALA'!H39,'13.8 KAMPALA-BUSUNJU'!H39,'14.8 KAMPALA-BUSUNJU'!H39,'15.8 KAMPALA-BUSUNJU-24 HRS'!H39,'16.8 BUSUNJU-KAMPALA-24HRS'!H39,'17.8 KAMPALA-BUSUNJU'!H39)</f>
        <v>0</v>
      </c>
      <c r="I39" s="49">
        <f>AVERAGE('11.8 KAMPALA-BUSUNJU'!I39,'12.8 BUSUNJU-KAMPALA'!I39,'13.8 KAMPALA-BUSUNJU'!I39,'14.8 KAMPALA-BUSUNJU'!I39,'15.8 KAMPALA-BUSUNJU-24 HRS'!I39,'16.8 BUSUNJU-KAMPALA-24HRS'!I39,'17.8 KAMPALA-BUSUNJU'!I39)</f>
        <v>1.2857142857142858</v>
      </c>
      <c r="J39" s="49">
        <f>AVERAGE('11.8 KAMPALA-BUSUNJU'!J39,'12.8 BUSUNJU-KAMPALA'!J39,'13.8 KAMPALA-BUSUNJU'!J39,'14.8 KAMPALA-BUSUNJU'!J39,'15.8 KAMPALA-BUSUNJU-24 HRS'!J39,'16.8 BUSUNJU-KAMPALA-24HRS'!J39,'17.8 KAMPALA-BUSUNJU'!J39)</f>
        <v>0</v>
      </c>
      <c r="K39" s="49">
        <f>AVERAGE('11.8 KAMPALA-BUSUNJU'!K39,'12.8 BUSUNJU-KAMPALA'!K39,'13.8 KAMPALA-BUSUNJU'!K39,'14.8 KAMPALA-BUSUNJU'!K39,'15.8 KAMPALA-BUSUNJU-24 HRS'!K39,'16.8 BUSUNJU-KAMPALA-24HRS'!K39,'17.8 KAMPALA-BUSUNJU'!K39)</f>
        <v>0</v>
      </c>
      <c r="L39" s="49">
        <f>AVERAGE('11.8 KAMPALA-BUSUNJU'!L39,'12.8 BUSUNJU-KAMPALA'!L39,'13.8 KAMPALA-BUSUNJU'!L39,'14.8 KAMPALA-BUSUNJU'!L39,'15.8 KAMPALA-BUSUNJU-24 HRS'!L39,'16.8 BUSUNJU-KAMPALA-24HRS'!L39,'17.8 KAMPALA-BUSUNJU'!L39)</f>
        <v>0</v>
      </c>
      <c r="M39" s="49">
        <f>AVERAGE('11.8 KAMPALA-BUSUNJU'!M39,'12.8 BUSUNJU-KAMPALA'!M39,'13.8 KAMPALA-BUSUNJU'!M39,'14.8 KAMPALA-BUSUNJU'!M39,'15.8 KAMPALA-BUSUNJU-24 HRS'!M39,'16.8 BUSUNJU-KAMPALA-24HRS'!M39,'17.8 KAMPALA-BUSUNJU'!M39)</f>
        <v>13.428571428571429</v>
      </c>
      <c r="N39" s="49">
        <f>AVERAGE('11.8 KAMPALA-BUSUNJU'!N39,'12.8 BUSUNJU-KAMPALA'!N39,'13.8 KAMPALA-BUSUNJU'!N39,'14.8 KAMPALA-BUSUNJU'!N39,'15.8 KAMPALA-BUSUNJU-24 HRS'!N39,'16.8 BUSUNJU-KAMPALA-24HRS'!N39,'17.8 KAMPALA-BUSUNJU'!N39)</f>
        <v>0</v>
      </c>
      <c r="O39" s="15">
        <f t="shared" si="0"/>
        <v>3.7142857142857144</v>
      </c>
      <c r="P39" s="15">
        <f t="shared" si="1"/>
        <v>17.142857142857142</v>
      </c>
      <c r="R39" s="29" t="s">
        <v>87</v>
      </c>
      <c r="S39" s="16">
        <f t="shared" ref="S39:AF39" si="31">SUM(S19:S21)</f>
        <v>15.428571428571429</v>
      </c>
      <c r="T39" s="16">
        <f t="shared" si="31"/>
        <v>0.42857142857142855</v>
      </c>
      <c r="U39" s="16">
        <f t="shared" si="31"/>
        <v>13</v>
      </c>
      <c r="V39" s="16">
        <f t="shared" si="31"/>
        <v>5.7142857142857135</v>
      </c>
      <c r="W39" s="16">
        <f t="shared" si="31"/>
        <v>0.71428571428571419</v>
      </c>
      <c r="X39" s="16">
        <f t="shared" si="31"/>
        <v>0</v>
      </c>
      <c r="Y39" s="16">
        <f t="shared" si="31"/>
        <v>8.1428571428571423</v>
      </c>
      <c r="Z39" s="16">
        <f t="shared" si="31"/>
        <v>0.5714285714285714</v>
      </c>
      <c r="AA39" s="16">
        <f t="shared" si="31"/>
        <v>0</v>
      </c>
      <c r="AB39" s="16">
        <f t="shared" si="31"/>
        <v>0</v>
      </c>
      <c r="AC39" s="16">
        <f t="shared" si="31"/>
        <v>184.57142857142858</v>
      </c>
      <c r="AD39" s="16">
        <f t="shared" si="31"/>
        <v>0</v>
      </c>
      <c r="AE39" s="32">
        <f t="shared" si="31"/>
        <v>44</v>
      </c>
      <c r="AF39" s="32">
        <f t="shared" si="31"/>
        <v>228.57142857142856</v>
      </c>
    </row>
    <row r="40" spans="2:32" ht="23.1" customHeight="1" x14ac:dyDescent="0.25">
      <c r="B40" s="24" t="s">
        <v>67</v>
      </c>
      <c r="C40" s="49">
        <f>AVERAGE('11.8 KAMPALA-BUSUNJU'!C40,'12.8 BUSUNJU-KAMPALA'!C40,'13.8 KAMPALA-BUSUNJU'!C40,'14.8 KAMPALA-BUSUNJU'!C40,'15.8 KAMPALA-BUSUNJU-24 HRS'!C40,'16.8 BUSUNJU-KAMPALA-24HRS'!C40,'17.8 KAMPALA-BUSUNJU'!C40)</f>
        <v>0.7142857142857143</v>
      </c>
      <c r="D40" s="49">
        <f>AVERAGE('11.8 KAMPALA-BUSUNJU'!D40,'12.8 BUSUNJU-KAMPALA'!D40,'13.8 KAMPALA-BUSUNJU'!D40,'14.8 KAMPALA-BUSUNJU'!D40,'15.8 KAMPALA-BUSUNJU-24 HRS'!D40,'16.8 BUSUNJU-KAMPALA-24HRS'!D40,'17.8 KAMPALA-BUSUNJU'!D40)</f>
        <v>0</v>
      </c>
      <c r="E40" s="49">
        <f>AVERAGE('11.8 KAMPALA-BUSUNJU'!E40,'12.8 BUSUNJU-KAMPALA'!E40,'13.8 KAMPALA-BUSUNJU'!E40,'14.8 KAMPALA-BUSUNJU'!E40,'15.8 KAMPALA-BUSUNJU-24 HRS'!E40,'16.8 BUSUNJU-KAMPALA-24HRS'!E40,'17.8 KAMPALA-BUSUNJU'!E40)</f>
        <v>0.2857142857142857</v>
      </c>
      <c r="F40" s="49">
        <f>AVERAGE('11.8 KAMPALA-BUSUNJU'!F40,'12.8 BUSUNJU-KAMPALA'!F40,'13.8 KAMPALA-BUSUNJU'!F40,'14.8 KAMPALA-BUSUNJU'!F40,'15.8 KAMPALA-BUSUNJU-24 HRS'!F40,'16.8 BUSUNJU-KAMPALA-24HRS'!F40,'17.8 KAMPALA-BUSUNJU'!F40)</f>
        <v>0.14285714285714285</v>
      </c>
      <c r="G40" s="49">
        <f>AVERAGE('11.8 KAMPALA-BUSUNJU'!G40,'12.8 BUSUNJU-KAMPALA'!G40,'13.8 KAMPALA-BUSUNJU'!G40,'14.8 KAMPALA-BUSUNJU'!G40,'15.8 KAMPALA-BUSUNJU-24 HRS'!G40,'16.8 BUSUNJU-KAMPALA-24HRS'!G40,'17.8 KAMPALA-BUSUNJU'!G40)</f>
        <v>0</v>
      </c>
      <c r="H40" s="49">
        <f>AVERAGE('11.8 KAMPALA-BUSUNJU'!H40,'12.8 BUSUNJU-KAMPALA'!H40,'13.8 KAMPALA-BUSUNJU'!H40,'14.8 KAMPALA-BUSUNJU'!H40,'15.8 KAMPALA-BUSUNJU-24 HRS'!H40,'16.8 BUSUNJU-KAMPALA-24HRS'!H40,'17.8 KAMPALA-BUSUNJU'!H40)</f>
        <v>0</v>
      </c>
      <c r="I40" s="49">
        <f>AVERAGE('11.8 KAMPALA-BUSUNJU'!I40,'12.8 BUSUNJU-KAMPALA'!I40,'13.8 KAMPALA-BUSUNJU'!I40,'14.8 KAMPALA-BUSUNJU'!I40,'15.8 KAMPALA-BUSUNJU-24 HRS'!I40,'16.8 BUSUNJU-KAMPALA-24HRS'!I40,'17.8 KAMPALA-BUSUNJU'!I40)</f>
        <v>0.8571428571428571</v>
      </c>
      <c r="J40" s="49">
        <f>AVERAGE('11.8 KAMPALA-BUSUNJU'!J40,'12.8 BUSUNJU-KAMPALA'!J40,'13.8 KAMPALA-BUSUNJU'!J40,'14.8 KAMPALA-BUSUNJU'!J40,'15.8 KAMPALA-BUSUNJU-24 HRS'!J40,'16.8 BUSUNJU-KAMPALA-24HRS'!J40,'17.8 KAMPALA-BUSUNJU'!J40)</f>
        <v>0</v>
      </c>
      <c r="K40" s="49">
        <f>AVERAGE('11.8 KAMPALA-BUSUNJU'!K40,'12.8 BUSUNJU-KAMPALA'!K40,'13.8 KAMPALA-BUSUNJU'!K40,'14.8 KAMPALA-BUSUNJU'!K40,'15.8 KAMPALA-BUSUNJU-24 HRS'!K40,'16.8 BUSUNJU-KAMPALA-24HRS'!K40,'17.8 KAMPALA-BUSUNJU'!K40)</f>
        <v>0</v>
      </c>
      <c r="L40" s="49">
        <f>AVERAGE('11.8 KAMPALA-BUSUNJU'!L40,'12.8 BUSUNJU-KAMPALA'!L40,'13.8 KAMPALA-BUSUNJU'!L40,'14.8 KAMPALA-BUSUNJU'!L40,'15.8 KAMPALA-BUSUNJU-24 HRS'!L40,'16.8 BUSUNJU-KAMPALA-24HRS'!L40,'17.8 KAMPALA-BUSUNJU'!L40)</f>
        <v>0</v>
      </c>
      <c r="M40" s="49">
        <f>AVERAGE('11.8 KAMPALA-BUSUNJU'!M40,'12.8 BUSUNJU-KAMPALA'!M40,'13.8 KAMPALA-BUSUNJU'!M40,'14.8 KAMPALA-BUSUNJU'!M40,'15.8 KAMPALA-BUSUNJU-24 HRS'!M40,'16.8 BUSUNJU-KAMPALA-24HRS'!M40,'17.8 KAMPALA-BUSUNJU'!M40)</f>
        <v>12.571428571428571</v>
      </c>
      <c r="N40" s="49">
        <f>AVERAGE('11.8 KAMPALA-BUSUNJU'!N40,'12.8 BUSUNJU-KAMPALA'!N40,'13.8 KAMPALA-BUSUNJU'!N40,'14.8 KAMPALA-BUSUNJU'!N40,'15.8 KAMPALA-BUSUNJU-24 HRS'!N40,'16.8 BUSUNJU-KAMPALA-24HRS'!N40,'17.8 KAMPALA-BUSUNJU'!N40)</f>
        <v>0</v>
      </c>
      <c r="O40" s="15">
        <f t="shared" si="0"/>
        <v>2</v>
      </c>
      <c r="P40" s="15">
        <f t="shared" si="1"/>
        <v>14.571428571428571</v>
      </c>
      <c r="R40" s="5" t="s">
        <v>17</v>
      </c>
      <c r="S40" s="16">
        <f t="shared" ref="S40:AF40" si="32">SUM(S10:S21)</f>
        <v>47.999999999999993</v>
      </c>
      <c r="T40" s="16">
        <f t="shared" si="32"/>
        <v>1.9999999999999996</v>
      </c>
      <c r="U40" s="16">
        <f t="shared" si="32"/>
        <v>43.285714285714285</v>
      </c>
      <c r="V40" s="16">
        <f t="shared" si="32"/>
        <v>14.999999999999996</v>
      </c>
      <c r="W40" s="16">
        <f t="shared" si="32"/>
        <v>1.4285714285714284</v>
      </c>
      <c r="X40" s="16">
        <f t="shared" si="32"/>
        <v>0.85714285714285698</v>
      </c>
      <c r="Y40" s="16">
        <f t="shared" si="32"/>
        <v>39.428571428571423</v>
      </c>
      <c r="Z40" s="16">
        <f t="shared" si="32"/>
        <v>3.714285714285714</v>
      </c>
      <c r="AA40" s="16">
        <f t="shared" si="32"/>
        <v>0.14285714285714285</v>
      </c>
      <c r="AB40" s="16">
        <f t="shared" si="32"/>
        <v>0.5714285714285714</v>
      </c>
      <c r="AC40" s="16">
        <f t="shared" si="32"/>
        <v>687.28571428571445</v>
      </c>
      <c r="AD40" s="16">
        <f t="shared" si="32"/>
        <v>0</v>
      </c>
      <c r="AE40" s="32">
        <f t="shared" si="32"/>
        <v>154.42857142857142</v>
      </c>
      <c r="AF40" s="32">
        <f t="shared" si="32"/>
        <v>841.71428571428555</v>
      </c>
    </row>
    <row r="41" spans="2:32" ht="23.1" customHeight="1" x14ac:dyDescent="0.25">
      <c r="B41" s="23" t="s">
        <v>68</v>
      </c>
      <c r="C41" s="49">
        <f>AVERAGE('11.8 KAMPALA-BUSUNJU'!C41,'12.8 BUSUNJU-KAMPALA'!C41,'13.8 KAMPALA-BUSUNJU'!C41,'14.8 KAMPALA-BUSUNJU'!C41,'15.8 KAMPALA-BUSUNJU-24 HRS'!C41,'16.8 BUSUNJU-KAMPALA-24HRS'!C41,'17.8 KAMPALA-BUSUNJU'!C41)</f>
        <v>1.7142857142857142</v>
      </c>
      <c r="D41" s="49">
        <f>AVERAGE('11.8 KAMPALA-BUSUNJU'!D41,'12.8 BUSUNJU-KAMPALA'!D41,'13.8 KAMPALA-BUSUNJU'!D41,'14.8 KAMPALA-BUSUNJU'!D41,'15.8 KAMPALA-BUSUNJU-24 HRS'!D41,'16.8 BUSUNJU-KAMPALA-24HRS'!D41,'17.8 KAMPALA-BUSUNJU'!D41)</f>
        <v>0.2857142857142857</v>
      </c>
      <c r="E41" s="49">
        <f>AVERAGE('11.8 KAMPALA-BUSUNJU'!E41,'12.8 BUSUNJU-KAMPALA'!E41,'13.8 KAMPALA-BUSUNJU'!E41,'14.8 KAMPALA-BUSUNJU'!E41,'15.8 KAMPALA-BUSUNJU-24 HRS'!E41,'16.8 BUSUNJU-KAMPALA-24HRS'!E41,'17.8 KAMPALA-BUSUNJU'!E41)</f>
        <v>0.5714285714285714</v>
      </c>
      <c r="F41" s="49">
        <f>AVERAGE('11.8 KAMPALA-BUSUNJU'!F41,'12.8 BUSUNJU-KAMPALA'!F41,'13.8 KAMPALA-BUSUNJU'!F41,'14.8 KAMPALA-BUSUNJU'!F41,'15.8 KAMPALA-BUSUNJU-24 HRS'!F41,'16.8 BUSUNJU-KAMPALA-24HRS'!F41,'17.8 KAMPALA-BUSUNJU'!F41)</f>
        <v>0.14285714285714285</v>
      </c>
      <c r="G41" s="49">
        <f>AVERAGE('11.8 KAMPALA-BUSUNJU'!G41,'12.8 BUSUNJU-KAMPALA'!G41,'13.8 KAMPALA-BUSUNJU'!G41,'14.8 KAMPALA-BUSUNJU'!G41,'15.8 KAMPALA-BUSUNJU-24 HRS'!G41,'16.8 BUSUNJU-KAMPALA-24HRS'!G41,'17.8 KAMPALA-BUSUNJU'!G41)</f>
        <v>0</v>
      </c>
      <c r="H41" s="49">
        <f>AVERAGE('11.8 KAMPALA-BUSUNJU'!H41,'12.8 BUSUNJU-KAMPALA'!H41,'13.8 KAMPALA-BUSUNJU'!H41,'14.8 KAMPALA-BUSUNJU'!H41,'15.8 KAMPALA-BUSUNJU-24 HRS'!H41,'16.8 BUSUNJU-KAMPALA-24HRS'!H41,'17.8 KAMPALA-BUSUNJU'!H41)</f>
        <v>0.14285714285714285</v>
      </c>
      <c r="I41" s="49">
        <f>AVERAGE('11.8 KAMPALA-BUSUNJU'!I41,'12.8 BUSUNJU-KAMPALA'!I41,'13.8 KAMPALA-BUSUNJU'!I41,'14.8 KAMPALA-BUSUNJU'!I41,'15.8 KAMPALA-BUSUNJU-24 HRS'!I41,'16.8 BUSUNJU-KAMPALA-24HRS'!I41,'17.8 KAMPALA-BUSUNJU'!I41)</f>
        <v>0.5714285714285714</v>
      </c>
      <c r="J41" s="49">
        <f>AVERAGE('11.8 KAMPALA-BUSUNJU'!J41,'12.8 BUSUNJU-KAMPALA'!J41,'13.8 KAMPALA-BUSUNJU'!J41,'14.8 KAMPALA-BUSUNJU'!J41,'15.8 KAMPALA-BUSUNJU-24 HRS'!J41,'16.8 BUSUNJU-KAMPALA-24HRS'!J41,'17.8 KAMPALA-BUSUNJU'!J41)</f>
        <v>0</v>
      </c>
      <c r="K41" s="49">
        <f>AVERAGE('11.8 KAMPALA-BUSUNJU'!K41,'12.8 BUSUNJU-KAMPALA'!K41,'13.8 KAMPALA-BUSUNJU'!K41,'14.8 KAMPALA-BUSUNJU'!K41,'15.8 KAMPALA-BUSUNJU-24 HRS'!K41,'16.8 BUSUNJU-KAMPALA-24HRS'!K41,'17.8 KAMPALA-BUSUNJU'!K41)</f>
        <v>0</v>
      </c>
      <c r="L41" s="49">
        <f>AVERAGE('11.8 KAMPALA-BUSUNJU'!L41,'12.8 BUSUNJU-KAMPALA'!L41,'13.8 KAMPALA-BUSUNJU'!L41,'14.8 KAMPALA-BUSUNJU'!L41,'15.8 KAMPALA-BUSUNJU-24 HRS'!L41,'16.8 BUSUNJU-KAMPALA-24HRS'!L41,'17.8 KAMPALA-BUSUNJU'!L41)</f>
        <v>0</v>
      </c>
      <c r="M41" s="49">
        <f>AVERAGE('11.8 KAMPALA-BUSUNJU'!M41,'12.8 BUSUNJU-KAMPALA'!M41,'13.8 KAMPALA-BUSUNJU'!M41,'14.8 KAMPALA-BUSUNJU'!M41,'15.8 KAMPALA-BUSUNJU-24 HRS'!M41,'16.8 BUSUNJU-KAMPALA-24HRS'!M41,'17.8 KAMPALA-BUSUNJU'!M41)</f>
        <v>15.571428571428571</v>
      </c>
      <c r="N41" s="49">
        <f>AVERAGE('11.8 KAMPALA-BUSUNJU'!N41,'12.8 BUSUNJU-KAMPALA'!N41,'13.8 KAMPALA-BUSUNJU'!N41,'14.8 KAMPALA-BUSUNJU'!N41,'15.8 KAMPALA-BUSUNJU-24 HRS'!N41,'16.8 BUSUNJU-KAMPALA-24HRS'!N41,'17.8 KAMPALA-BUSUNJU'!N41)</f>
        <v>0</v>
      </c>
      <c r="O41" s="15">
        <f t="shared" si="0"/>
        <v>3.4285714285714279</v>
      </c>
      <c r="P41" s="15">
        <f t="shared" si="1"/>
        <v>19</v>
      </c>
      <c r="R41" s="5" t="s">
        <v>176</v>
      </c>
      <c r="S41" s="16">
        <f>SUM(S10:S33)</f>
        <v>94.5</v>
      </c>
      <c r="T41" s="16">
        <f t="shared" ref="T41:AD41" si="33">SUM(T10:T33)</f>
        <v>12</v>
      </c>
      <c r="U41" s="16">
        <f t="shared" si="33"/>
        <v>72.785714285714278</v>
      </c>
      <c r="V41" s="16">
        <f t="shared" si="33"/>
        <v>27.999999999999996</v>
      </c>
      <c r="W41" s="16">
        <f t="shared" si="33"/>
        <v>3.4285714285714284</v>
      </c>
      <c r="X41" s="16">
        <f t="shared" si="33"/>
        <v>5.3571428571428568</v>
      </c>
      <c r="Y41" s="16">
        <f t="shared" si="33"/>
        <v>61.428571428571423</v>
      </c>
      <c r="Z41" s="16">
        <f t="shared" si="33"/>
        <v>7.7142857142857135</v>
      </c>
      <c r="AA41" s="16">
        <f t="shared" si="33"/>
        <v>1.1428571428571428</v>
      </c>
      <c r="AB41" s="16">
        <f t="shared" si="33"/>
        <v>2.0714285714285712</v>
      </c>
      <c r="AC41" s="16">
        <f t="shared" si="33"/>
        <v>808.78571428571445</v>
      </c>
      <c r="AD41" s="16">
        <f t="shared" si="33"/>
        <v>1</v>
      </c>
      <c r="AE41" s="32">
        <f>SUM(AE10:AE33)</f>
        <v>289.42857142857144</v>
      </c>
      <c r="AF41" s="32">
        <f>SUM(AF10:AF33)</f>
        <v>1098.2142857142856</v>
      </c>
    </row>
    <row r="42" spans="2:32" ht="23.1" customHeight="1" x14ac:dyDescent="0.25">
      <c r="B42" s="24" t="s">
        <v>69</v>
      </c>
      <c r="C42" s="49">
        <f>AVERAGE('11.8 KAMPALA-BUSUNJU'!C42,'12.8 BUSUNJU-KAMPALA'!C42,'13.8 KAMPALA-BUSUNJU'!C42,'14.8 KAMPALA-BUSUNJU'!C42,'15.8 KAMPALA-BUSUNJU-24 HRS'!C42,'16.8 BUSUNJU-KAMPALA-24HRS'!C42,'17.8 KAMPALA-BUSUNJU'!C42)</f>
        <v>0.8571428571428571</v>
      </c>
      <c r="D42" s="49">
        <f>AVERAGE('11.8 KAMPALA-BUSUNJU'!D42,'12.8 BUSUNJU-KAMPALA'!D42,'13.8 KAMPALA-BUSUNJU'!D42,'14.8 KAMPALA-BUSUNJU'!D42,'15.8 KAMPALA-BUSUNJU-24 HRS'!D42,'16.8 BUSUNJU-KAMPALA-24HRS'!D42,'17.8 KAMPALA-BUSUNJU'!D42)</f>
        <v>0</v>
      </c>
      <c r="E42" s="49">
        <f>AVERAGE('11.8 KAMPALA-BUSUNJU'!E42,'12.8 BUSUNJU-KAMPALA'!E42,'13.8 KAMPALA-BUSUNJU'!E42,'14.8 KAMPALA-BUSUNJU'!E42,'15.8 KAMPALA-BUSUNJU-24 HRS'!E42,'16.8 BUSUNJU-KAMPALA-24HRS'!E42,'17.8 KAMPALA-BUSUNJU'!E42)</f>
        <v>0.8571428571428571</v>
      </c>
      <c r="F42" s="49">
        <f>AVERAGE('11.8 KAMPALA-BUSUNJU'!F42,'12.8 BUSUNJU-KAMPALA'!F42,'13.8 KAMPALA-BUSUNJU'!F42,'14.8 KAMPALA-BUSUNJU'!F42,'15.8 KAMPALA-BUSUNJU-24 HRS'!F42,'16.8 BUSUNJU-KAMPALA-24HRS'!F42,'17.8 KAMPALA-BUSUNJU'!F42)</f>
        <v>0.42857142857142855</v>
      </c>
      <c r="G42" s="49">
        <f>AVERAGE('11.8 KAMPALA-BUSUNJU'!G42,'12.8 BUSUNJU-KAMPALA'!G42,'13.8 KAMPALA-BUSUNJU'!G42,'14.8 KAMPALA-BUSUNJU'!G42,'15.8 KAMPALA-BUSUNJU-24 HRS'!G42,'16.8 BUSUNJU-KAMPALA-24HRS'!G42,'17.8 KAMPALA-BUSUNJU'!G42)</f>
        <v>0</v>
      </c>
      <c r="H42" s="49">
        <f>AVERAGE('11.8 KAMPALA-BUSUNJU'!H42,'12.8 BUSUNJU-KAMPALA'!H42,'13.8 KAMPALA-BUSUNJU'!H42,'14.8 KAMPALA-BUSUNJU'!H42,'15.8 KAMPALA-BUSUNJU-24 HRS'!H42,'16.8 BUSUNJU-KAMPALA-24HRS'!H42,'17.8 KAMPALA-BUSUNJU'!H42)</f>
        <v>0</v>
      </c>
      <c r="I42" s="49">
        <f>AVERAGE('11.8 KAMPALA-BUSUNJU'!I42,'12.8 BUSUNJU-KAMPALA'!I42,'13.8 KAMPALA-BUSUNJU'!I42,'14.8 KAMPALA-BUSUNJU'!I42,'15.8 KAMPALA-BUSUNJU-24 HRS'!I42,'16.8 BUSUNJU-KAMPALA-24HRS'!I42,'17.8 KAMPALA-BUSUNJU'!I42)</f>
        <v>1.7142857142857142</v>
      </c>
      <c r="J42" s="49">
        <f>AVERAGE('11.8 KAMPALA-BUSUNJU'!J42,'12.8 BUSUNJU-KAMPALA'!J42,'13.8 KAMPALA-BUSUNJU'!J42,'14.8 KAMPALA-BUSUNJU'!J42,'15.8 KAMPALA-BUSUNJU-24 HRS'!J42,'16.8 BUSUNJU-KAMPALA-24HRS'!J42,'17.8 KAMPALA-BUSUNJU'!J42)</f>
        <v>0</v>
      </c>
      <c r="K42" s="49">
        <f>AVERAGE('11.8 KAMPALA-BUSUNJU'!K42,'12.8 BUSUNJU-KAMPALA'!K42,'13.8 KAMPALA-BUSUNJU'!K42,'14.8 KAMPALA-BUSUNJU'!K42,'15.8 KAMPALA-BUSUNJU-24 HRS'!K42,'16.8 BUSUNJU-KAMPALA-24HRS'!K42,'17.8 KAMPALA-BUSUNJU'!K42)</f>
        <v>0</v>
      </c>
      <c r="L42" s="49">
        <f>AVERAGE('11.8 KAMPALA-BUSUNJU'!L42,'12.8 BUSUNJU-KAMPALA'!L42,'13.8 KAMPALA-BUSUNJU'!L42,'14.8 KAMPALA-BUSUNJU'!L42,'15.8 KAMPALA-BUSUNJU-24 HRS'!L42,'16.8 BUSUNJU-KAMPALA-24HRS'!L42,'17.8 KAMPALA-BUSUNJU'!L42)</f>
        <v>0</v>
      </c>
      <c r="M42" s="49">
        <f>AVERAGE('11.8 KAMPALA-BUSUNJU'!M42,'12.8 BUSUNJU-KAMPALA'!M42,'13.8 KAMPALA-BUSUNJU'!M42,'14.8 KAMPALA-BUSUNJU'!M42,'15.8 KAMPALA-BUSUNJU-24 HRS'!M42,'16.8 BUSUNJU-KAMPALA-24HRS'!M42,'17.8 KAMPALA-BUSUNJU'!M42)</f>
        <v>15.714285714285714</v>
      </c>
      <c r="N42" s="49">
        <f>AVERAGE('11.8 KAMPALA-BUSUNJU'!N42,'12.8 BUSUNJU-KAMPALA'!N42,'13.8 KAMPALA-BUSUNJU'!N42,'14.8 KAMPALA-BUSUNJU'!N42,'15.8 KAMPALA-BUSUNJU-24 HRS'!N42,'16.8 BUSUNJU-KAMPALA-24HRS'!N42,'17.8 KAMPALA-BUSUNJU'!N42)</f>
        <v>0</v>
      </c>
      <c r="O42" s="15">
        <f t="shared" si="0"/>
        <v>3.8571428571428568</v>
      </c>
      <c r="P42" s="15">
        <f t="shared" si="1"/>
        <v>19.571428571428569</v>
      </c>
      <c r="R42" s="5" t="s">
        <v>160</v>
      </c>
      <c r="S42" s="48">
        <f>S41/S40</f>
        <v>1.9687500000000002</v>
      </c>
      <c r="T42" s="48">
        <v>0</v>
      </c>
      <c r="U42" s="48">
        <f t="shared" ref="U42:AF42" si="34">U41/U40</f>
        <v>1.6815181518151814</v>
      </c>
      <c r="V42" s="48">
        <f t="shared" si="34"/>
        <v>1.8666666666666669</v>
      </c>
      <c r="W42" s="48">
        <f t="shared" si="34"/>
        <v>2.4000000000000004</v>
      </c>
      <c r="X42" s="48">
        <v>0</v>
      </c>
      <c r="Y42" s="48">
        <f t="shared" si="34"/>
        <v>1.5579710144927537</v>
      </c>
      <c r="Z42" s="48">
        <f t="shared" si="34"/>
        <v>2.0769230769230771</v>
      </c>
      <c r="AA42" s="48">
        <f t="shared" si="34"/>
        <v>8</v>
      </c>
      <c r="AB42" s="48">
        <v>0</v>
      </c>
      <c r="AC42" s="48">
        <f t="shared" si="34"/>
        <v>1.1767823737268759</v>
      </c>
      <c r="AD42" s="48">
        <v>0</v>
      </c>
      <c r="AE42" s="52">
        <f t="shared" si="34"/>
        <v>1.8741905642923222</v>
      </c>
      <c r="AF42" s="52">
        <f t="shared" si="34"/>
        <v>1.304735234215886</v>
      </c>
    </row>
    <row r="43" spans="2:32" ht="23.1" customHeight="1" x14ac:dyDescent="0.25">
      <c r="B43" s="23" t="s">
        <v>70</v>
      </c>
      <c r="C43" s="49">
        <f>AVERAGE('11.8 KAMPALA-BUSUNJU'!C43,'12.8 BUSUNJU-KAMPALA'!C43,'13.8 KAMPALA-BUSUNJU'!C43,'14.8 KAMPALA-BUSUNJU'!C43,'15.8 KAMPALA-BUSUNJU-24 HRS'!C43,'16.8 BUSUNJU-KAMPALA-24HRS'!C43,'17.8 KAMPALA-BUSUNJU'!C43)</f>
        <v>0.42857142857142855</v>
      </c>
      <c r="D43" s="49">
        <f>AVERAGE('11.8 KAMPALA-BUSUNJU'!D43,'12.8 BUSUNJU-KAMPALA'!D43,'13.8 KAMPALA-BUSUNJU'!D43,'14.8 KAMPALA-BUSUNJU'!D43,'15.8 KAMPALA-BUSUNJU-24 HRS'!D43,'16.8 BUSUNJU-KAMPALA-24HRS'!D43,'17.8 KAMPALA-BUSUNJU'!D43)</f>
        <v>0.14285714285714285</v>
      </c>
      <c r="E43" s="49">
        <f>AVERAGE('11.8 KAMPALA-BUSUNJU'!E43,'12.8 BUSUNJU-KAMPALA'!E43,'13.8 KAMPALA-BUSUNJU'!E43,'14.8 KAMPALA-BUSUNJU'!E43,'15.8 KAMPALA-BUSUNJU-24 HRS'!E43,'16.8 BUSUNJU-KAMPALA-24HRS'!E43,'17.8 KAMPALA-BUSUNJU'!E43)</f>
        <v>1.1428571428571428</v>
      </c>
      <c r="F43" s="49">
        <f>AVERAGE('11.8 KAMPALA-BUSUNJU'!F43,'12.8 BUSUNJU-KAMPALA'!F43,'13.8 KAMPALA-BUSUNJU'!F43,'14.8 KAMPALA-BUSUNJU'!F43,'15.8 KAMPALA-BUSUNJU-24 HRS'!F43,'16.8 BUSUNJU-KAMPALA-24HRS'!F43,'17.8 KAMPALA-BUSUNJU'!F43)</f>
        <v>0.2857142857142857</v>
      </c>
      <c r="G43" s="49">
        <f>AVERAGE('11.8 KAMPALA-BUSUNJU'!G43,'12.8 BUSUNJU-KAMPALA'!G43,'13.8 KAMPALA-BUSUNJU'!G43,'14.8 KAMPALA-BUSUNJU'!G43,'15.8 KAMPALA-BUSUNJU-24 HRS'!G43,'16.8 BUSUNJU-KAMPALA-24HRS'!G43,'17.8 KAMPALA-BUSUNJU'!G43)</f>
        <v>0</v>
      </c>
      <c r="H43" s="49">
        <f>AVERAGE('11.8 KAMPALA-BUSUNJU'!H43,'12.8 BUSUNJU-KAMPALA'!H43,'13.8 KAMPALA-BUSUNJU'!H43,'14.8 KAMPALA-BUSUNJU'!H43,'15.8 KAMPALA-BUSUNJU-24 HRS'!H43,'16.8 BUSUNJU-KAMPALA-24HRS'!H43,'17.8 KAMPALA-BUSUNJU'!H43)</f>
        <v>0</v>
      </c>
      <c r="I43" s="49">
        <f>AVERAGE('11.8 KAMPALA-BUSUNJU'!I43,'12.8 BUSUNJU-KAMPALA'!I43,'13.8 KAMPALA-BUSUNJU'!I43,'14.8 KAMPALA-BUSUNJU'!I43,'15.8 KAMPALA-BUSUNJU-24 HRS'!I43,'16.8 BUSUNJU-KAMPALA-24HRS'!I43,'17.8 KAMPALA-BUSUNJU'!I43)</f>
        <v>0.5714285714285714</v>
      </c>
      <c r="J43" s="49">
        <f>AVERAGE('11.8 KAMPALA-BUSUNJU'!J43,'12.8 BUSUNJU-KAMPALA'!J43,'13.8 KAMPALA-BUSUNJU'!J43,'14.8 KAMPALA-BUSUNJU'!J43,'15.8 KAMPALA-BUSUNJU-24 HRS'!J43,'16.8 BUSUNJU-KAMPALA-24HRS'!J43,'17.8 KAMPALA-BUSUNJU'!J43)</f>
        <v>0</v>
      </c>
      <c r="K43" s="49">
        <f>AVERAGE('11.8 KAMPALA-BUSUNJU'!K43,'12.8 BUSUNJU-KAMPALA'!K43,'13.8 KAMPALA-BUSUNJU'!K43,'14.8 KAMPALA-BUSUNJU'!K43,'15.8 KAMPALA-BUSUNJU-24 HRS'!K43,'16.8 BUSUNJU-KAMPALA-24HRS'!K43,'17.8 KAMPALA-BUSUNJU'!K43)</f>
        <v>0</v>
      </c>
      <c r="L43" s="49">
        <f>AVERAGE('11.8 KAMPALA-BUSUNJU'!L43,'12.8 BUSUNJU-KAMPALA'!L43,'13.8 KAMPALA-BUSUNJU'!L43,'14.8 KAMPALA-BUSUNJU'!L43,'15.8 KAMPALA-BUSUNJU-24 HRS'!L43,'16.8 BUSUNJU-KAMPALA-24HRS'!L43,'17.8 KAMPALA-BUSUNJU'!L43)</f>
        <v>0</v>
      </c>
      <c r="M43" s="49">
        <f>AVERAGE('11.8 KAMPALA-BUSUNJU'!M43,'12.8 BUSUNJU-KAMPALA'!M43,'13.8 KAMPALA-BUSUNJU'!M43,'14.8 KAMPALA-BUSUNJU'!M43,'15.8 KAMPALA-BUSUNJU-24 HRS'!M43,'16.8 BUSUNJU-KAMPALA-24HRS'!M43,'17.8 KAMPALA-BUSUNJU'!M43)</f>
        <v>12.714285714285714</v>
      </c>
      <c r="N43" s="49">
        <f>AVERAGE('11.8 KAMPALA-BUSUNJU'!N43,'12.8 BUSUNJU-KAMPALA'!N43,'13.8 KAMPALA-BUSUNJU'!N43,'14.8 KAMPALA-BUSUNJU'!N43,'15.8 KAMPALA-BUSUNJU-24 HRS'!N43,'16.8 BUSUNJU-KAMPALA-24HRS'!N43,'17.8 KAMPALA-BUSUNJU'!N43)</f>
        <v>0</v>
      </c>
      <c r="O43" s="15">
        <f t="shared" si="0"/>
        <v>2.5714285714285712</v>
      </c>
      <c r="P43" s="15">
        <f t="shared" si="1"/>
        <v>15.285714285714285</v>
      </c>
    </row>
    <row r="44" spans="2:32" ht="23.1" customHeight="1" x14ac:dyDescent="0.25">
      <c r="B44" s="25" t="s">
        <v>71</v>
      </c>
      <c r="C44" s="49">
        <f>AVERAGE('11.8 KAMPALA-BUSUNJU'!C44,'12.8 BUSUNJU-KAMPALA'!C44,'13.8 KAMPALA-BUSUNJU'!C44,'14.8 KAMPALA-BUSUNJU'!C44,'15.8 KAMPALA-BUSUNJU-24 HRS'!C44,'16.8 BUSUNJU-KAMPALA-24HRS'!C44,'17.8 KAMPALA-BUSUNJU'!C44)</f>
        <v>1.2857142857142858</v>
      </c>
      <c r="D44" s="49">
        <f>AVERAGE('11.8 KAMPALA-BUSUNJU'!D44,'12.8 BUSUNJU-KAMPALA'!D44,'13.8 KAMPALA-BUSUNJU'!D44,'14.8 KAMPALA-BUSUNJU'!D44,'15.8 KAMPALA-BUSUNJU-24 HRS'!D44,'16.8 BUSUNJU-KAMPALA-24HRS'!D44,'17.8 KAMPALA-BUSUNJU'!D44)</f>
        <v>0</v>
      </c>
      <c r="E44" s="49">
        <f>AVERAGE('11.8 KAMPALA-BUSUNJU'!E44,'12.8 BUSUNJU-KAMPALA'!E44,'13.8 KAMPALA-BUSUNJU'!E44,'14.8 KAMPALA-BUSUNJU'!E44,'15.8 KAMPALA-BUSUNJU-24 HRS'!E44,'16.8 BUSUNJU-KAMPALA-24HRS'!E44,'17.8 KAMPALA-BUSUNJU'!E44)</f>
        <v>0.2857142857142857</v>
      </c>
      <c r="F44" s="49">
        <f>AVERAGE('11.8 KAMPALA-BUSUNJU'!F44,'12.8 BUSUNJU-KAMPALA'!F44,'13.8 KAMPALA-BUSUNJU'!F44,'14.8 KAMPALA-BUSUNJU'!F44,'15.8 KAMPALA-BUSUNJU-24 HRS'!F44,'16.8 BUSUNJU-KAMPALA-24HRS'!F44,'17.8 KAMPALA-BUSUNJU'!F44)</f>
        <v>0</v>
      </c>
      <c r="G44" s="49">
        <f>AVERAGE('11.8 KAMPALA-BUSUNJU'!G44,'12.8 BUSUNJU-KAMPALA'!G44,'13.8 KAMPALA-BUSUNJU'!G44,'14.8 KAMPALA-BUSUNJU'!G44,'15.8 KAMPALA-BUSUNJU-24 HRS'!G44,'16.8 BUSUNJU-KAMPALA-24HRS'!G44,'17.8 KAMPALA-BUSUNJU'!G44)</f>
        <v>0</v>
      </c>
      <c r="H44" s="49">
        <f>AVERAGE('11.8 KAMPALA-BUSUNJU'!H44,'12.8 BUSUNJU-KAMPALA'!H44,'13.8 KAMPALA-BUSUNJU'!H44,'14.8 KAMPALA-BUSUNJU'!H44,'15.8 KAMPALA-BUSUNJU-24 HRS'!H44,'16.8 BUSUNJU-KAMPALA-24HRS'!H44,'17.8 KAMPALA-BUSUNJU'!H44)</f>
        <v>0</v>
      </c>
      <c r="I44" s="49">
        <f>AVERAGE('11.8 KAMPALA-BUSUNJU'!I44,'12.8 BUSUNJU-KAMPALA'!I44,'13.8 KAMPALA-BUSUNJU'!I44,'14.8 KAMPALA-BUSUNJU'!I44,'15.8 KAMPALA-BUSUNJU-24 HRS'!I44,'16.8 BUSUNJU-KAMPALA-24HRS'!I44,'17.8 KAMPALA-BUSUNJU'!I44)</f>
        <v>0.8571428571428571</v>
      </c>
      <c r="J44" s="49">
        <f>AVERAGE('11.8 KAMPALA-BUSUNJU'!J44,'12.8 BUSUNJU-KAMPALA'!J44,'13.8 KAMPALA-BUSUNJU'!J44,'14.8 KAMPALA-BUSUNJU'!J44,'15.8 KAMPALA-BUSUNJU-24 HRS'!J44,'16.8 BUSUNJU-KAMPALA-24HRS'!J44,'17.8 KAMPALA-BUSUNJU'!J44)</f>
        <v>0.14285714285714285</v>
      </c>
      <c r="K44" s="49">
        <f>AVERAGE('11.8 KAMPALA-BUSUNJU'!K44,'12.8 BUSUNJU-KAMPALA'!K44,'13.8 KAMPALA-BUSUNJU'!K44,'14.8 KAMPALA-BUSUNJU'!K44,'15.8 KAMPALA-BUSUNJU-24 HRS'!K44,'16.8 BUSUNJU-KAMPALA-24HRS'!K44,'17.8 KAMPALA-BUSUNJU'!K44)</f>
        <v>0</v>
      </c>
      <c r="L44" s="49">
        <f>AVERAGE('11.8 KAMPALA-BUSUNJU'!L44,'12.8 BUSUNJU-KAMPALA'!L44,'13.8 KAMPALA-BUSUNJU'!L44,'14.8 KAMPALA-BUSUNJU'!L44,'15.8 KAMPALA-BUSUNJU-24 HRS'!L44,'16.8 BUSUNJU-KAMPALA-24HRS'!L44,'17.8 KAMPALA-BUSUNJU'!L44)</f>
        <v>0</v>
      </c>
      <c r="M44" s="49">
        <f>AVERAGE('11.8 KAMPALA-BUSUNJU'!M44,'12.8 BUSUNJU-KAMPALA'!M44,'13.8 KAMPALA-BUSUNJU'!M44,'14.8 KAMPALA-BUSUNJU'!M44,'15.8 KAMPALA-BUSUNJU-24 HRS'!M44,'16.8 BUSUNJU-KAMPALA-24HRS'!M44,'17.8 KAMPALA-BUSUNJU'!M44)</f>
        <v>13.428571428571429</v>
      </c>
      <c r="N44" s="49">
        <f>AVERAGE('11.8 KAMPALA-BUSUNJU'!N44,'12.8 BUSUNJU-KAMPALA'!N44,'13.8 KAMPALA-BUSUNJU'!N44,'14.8 KAMPALA-BUSUNJU'!N44,'15.8 KAMPALA-BUSUNJU-24 HRS'!N44,'16.8 BUSUNJU-KAMPALA-24HRS'!N44,'17.8 KAMPALA-BUSUNJU'!N44)</f>
        <v>0</v>
      </c>
      <c r="O44" s="15">
        <f t="shared" si="0"/>
        <v>2.5714285714285716</v>
      </c>
      <c r="P44" s="15">
        <f t="shared" si="1"/>
        <v>16</v>
      </c>
    </row>
    <row r="45" spans="2:32" ht="23.1" customHeight="1" x14ac:dyDescent="0.25">
      <c r="B45" s="23" t="s">
        <v>72</v>
      </c>
      <c r="C45" s="49">
        <f>AVERAGE('11.8 KAMPALA-BUSUNJU'!C45,'12.8 BUSUNJU-KAMPALA'!C45,'13.8 KAMPALA-BUSUNJU'!C45,'14.8 KAMPALA-BUSUNJU'!C45,'15.8 KAMPALA-BUSUNJU-24 HRS'!C45,'16.8 BUSUNJU-KAMPALA-24HRS'!C45,'17.8 KAMPALA-BUSUNJU'!C45)</f>
        <v>1.2857142857142858</v>
      </c>
      <c r="D45" s="49">
        <f>AVERAGE('11.8 KAMPALA-BUSUNJU'!D45,'12.8 BUSUNJU-KAMPALA'!D45,'13.8 KAMPALA-BUSUNJU'!D45,'14.8 KAMPALA-BUSUNJU'!D45,'15.8 KAMPALA-BUSUNJU-24 HRS'!D45,'16.8 BUSUNJU-KAMPALA-24HRS'!D45,'17.8 KAMPALA-BUSUNJU'!D45)</f>
        <v>0</v>
      </c>
      <c r="E45" s="49">
        <f>AVERAGE('11.8 KAMPALA-BUSUNJU'!E45,'12.8 BUSUNJU-KAMPALA'!E45,'13.8 KAMPALA-BUSUNJU'!E45,'14.8 KAMPALA-BUSUNJU'!E45,'15.8 KAMPALA-BUSUNJU-24 HRS'!E45,'16.8 BUSUNJU-KAMPALA-24HRS'!E45,'17.8 KAMPALA-BUSUNJU'!E45)</f>
        <v>2.1428571428571428</v>
      </c>
      <c r="F45" s="49">
        <f>AVERAGE('11.8 KAMPALA-BUSUNJU'!F45,'12.8 BUSUNJU-KAMPALA'!F45,'13.8 KAMPALA-BUSUNJU'!F45,'14.8 KAMPALA-BUSUNJU'!F45,'15.8 KAMPALA-BUSUNJU-24 HRS'!F45,'16.8 BUSUNJU-KAMPALA-24HRS'!F45,'17.8 KAMPALA-BUSUNJU'!F45)</f>
        <v>0</v>
      </c>
      <c r="G45" s="49">
        <f>AVERAGE('11.8 KAMPALA-BUSUNJU'!G45,'12.8 BUSUNJU-KAMPALA'!G45,'13.8 KAMPALA-BUSUNJU'!G45,'14.8 KAMPALA-BUSUNJU'!G45,'15.8 KAMPALA-BUSUNJU-24 HRS'!G45,'16.8 BUSUNJU-KAMPALA-24HRS'!G45,'17.8 KAMPALA-BUSUNJU'!G45)</f>
        <v>0</v>
      </c>
      <c r="H45" s="49">
        <f>AVERAGE('11.8 KAMPALA-BUSUNJU'!H45,'12.8 BUSUNJU-KAMPALA'!H45,'13.8 KAMPALA-BUSUNJU'!H45,'14.8 KAMPALA-BUSUNJU'!H45,'15.8 KAMPALA-BUSUNJU-24 HRS'!H45,'16.8 BUSUNJU-KAMPALA-24HRS'!H45,'17.8 KAMPALA-BUSUNJU'!H45)</f>
        <v>0</v>
      </c>
      <c r="I45" s="49">
        <f>AVERAGE('11.8 KAMPALA-BUSUNJU'!I45,'12.8 BUSUNJU-KAMPALA'!I45,'13.8 KAMPALA-BUSUNJU'!I45,'14.8 KAMPALA-BUSUNJU'!I45,'15.8 KAMPALA-BUSUNJU-24 HRS'!I45,'16.8 BUSUNJU-KAMPALA-24HRS'!I45,'17.8 KAMPALA-BUSUNJU'!I45)</f>
        <v>2</v>
      </c>
      <c r="J45" s="49">
        <f>AVERAGE('11.8 KAMPALA-BUSUNJU'!J45,'12.8 BUSUNJU-KAMPALA'!J45,'13.8 KAMPALA-BUSUNJU'!J45,'14.8 KAMPALA-BUSUNJU'!J45,'15.8 KAMPALA-BUSUNJU-24 HRS'!J45,'16.8 BUSUNJU-KAMPALA-24HRS'!J45,'17.8 KAMPALA-BUSUNJU'!J45)</f>
        <v>0</v>
      </c>
      <c r="K45" s="49">
        <f>AVERAGE('11.8 KAMPALA-BUSUNJU'!K45,'12.8 BUSUNJU-KAMPALA'!K45,'13.8 KAMPALA-BUSUNJU'!K45,'14.8 KAMPALA-BUSUNJU'!K45,'15.8 KAMPALA-BUSUNJU-24 HRS'!K45,'16.8 BUSUNJU-KAMPALA-24HRS'!K45,'17.8 KAMPALA-BUSUNJU'!K45)</f>
        <v>0</v>
      </c>
      <c r="L45" s="49">
        <f>AVERAGE('11.8 KAMPALA-BUSUNJU'!L45,'12.8 BUSUNJU-KAMPALA'!L45,'13.8 KAMPALA-BUSUNJU'!L45,'14.8 KAMPALA-BUSUNJU'!L45,'15.8 KAMPALA-BUSUNJU-24 HRS'!L45,'16.8 BUSUNJU-KAMPALA-24HRS'!L45,'17.8 KAMPALA-BUSUNJU'!L45)</f>
        <v>0</v>
      </c>
      <c r="M45" s="49">
        <f>AVERAGE('11.8 KAMPALA-BUSUNJU'!M45,'12.8 BUSUNJU-KAMPALA'!M45,'13.8 KAMPALA-BUSUNJU'!M45,'14.8 KAMPALA-BUSUNJU'!M45,'15.8 KAMPALA-BUSUNJU-24 HRS'!M45,'16.8 BUSUNJU-KAMPALA-24HRS'!M45,'17.8 KAMPALA-BUSUNJU'!M45)</f>
        <v>12.428571428571429</v>
      </c>
      <c r="N45" s="49">
        <f>AVERAGE('11.8 KAMPALA-BUSUNJU'!N45,'12.8 BUSUNJU-KAMPALA'!N45,'13.8 KAMPALA-BUSUNJU'!N45,'14.8 KAMPALA-BUSUNJU'!N45,'15.8 KAMPALA-BUSUNJU-24 HRS'!N45,'16.8 BUSUNJU-KAMPALA-24HRS'!N45,'17.8 KAMPALA-BUSUNJU'!N45)</f>
        <v>0</v>
      </c>
      <c r="O45" s="15">
        <f t="shared" si="0"/>
        <v>5.4285714285714288</v>
      </c>
      <c r="P45" s="15">
        <f t="shared" si="1"/>
        <v>17.857142857142858</v>
      </c>
    </row>
    <row r="46" spans="2:32" ht="23.1" customHeight="1" x14ac:dyDescent="0.25">
      <c r="B46" s="24" t="s">
        <v>73</v>
      </c>
      <c r="C46" s="49">
        <f>AVERAGE('11.8 KAMPALA-BUSUNJU'!C46,'12.8 BUSUNJU-KAMPALA'!C46,'13.8 KAMPALA-BUSUNJU'!C46,'14.8 KAMPALA-BUSUNJU'!C46,'15.8 KAMPALA-BUSUNJU-24 HRS'!C46,'16.8 BUSUNJU-KAMPALA-24HRS'!C46,'17.8 KAMPALA-BUSUNJU'!C46)</f>
        <v>0.8571428571428571</v>
      </c>
      <c r="D46" s="49">
        <f>AVERAGE('11.8 KAMPALA-BUSUNJU'!D46,'12.8 BUSUNJU-KAMPALA'!D46,'13.8 KAMPALA-BUSUNJU'!D46,'14.8 KAMPALA-BUSUNJU'!D46,'15.8 KAMPALA-BUSUNJU-24 HRS'!D46,'16.8 BUSUNJU-KAMPALA-24HRS'!D46,'17.8 KAMPALA-BUSUNJU'!D46)</f>
        <v>0</v>
      </c>
      <c r="E46" s="49">
        <f>AVERAGE('11.8 KAMPALA-BUSUNJU'!E46,'12.8 BUSUNJU-KAMPALA'!E46,'13.8 KAMPALA-BUSUNJU'!E46,'14.8 KAMPALA-BUSUNJU'!E46,'15.8 KAMPALA-BUSUNJU-24 HRS'!E46,'16.8 BUSUNJU-KAMPALA-24HRS'!E46,'17.8 KAMPALA-BUSUNJU'!E46)</f>
        <v>1.1428571428571428</v>
      </c>
      <c r="F46" s="49">
        <f>AVERAGE('11.8 KAMPALA-BUSUNJU'!F46,'12.8 BUSUNJU-KAMPALA'!F46,'13.8 KAMPALA-BUSUNJU'!F46,'14.8 KAMPALA-BUSUNJU'!F46,'15.8 KAMPALA-BUSUNJU-24 HRS'!F46,'16.8 BUSUNJU-KAMPALA-24HRS'!F46,'17.8 KAMPALA-BUSUNJU'!F46)</f>
        <v>0</v>
      </c>
      <c r="G46" s="49">
        <f>AVERAGE('11.8 KAMPALA-BUSUNJU'!G46,'12.8 BUSUNJU-KAMPALA'!G46,'13.8 KAMPALA-BUSUNJU'!G46,'14.8 KAMPALA-BUSUNJU'!G46,'15.8 KAMPALA-BUSUNJU-24 HRS'!G46,'16.8 BUSUNJU-KAMPALA-24HRS'!G46,'17.8 KAMPALA-BUSUNJU'!G46)</f>
        <v>0</v>
      </c>
      <c r="H46" s="49">
        <f>AVERAGE('11.8 KAMPALA-BUSUNJU'!H46,'12.8 BUSUNJU-KAMPALA'!H46,'13.8 KAMPALA-BUSUNJU'!H46,'14.8 KAMPALA-BUSUNJU'!H46,'15.8 KAMPALA-BUSUNJU-24 HRS'!H46,'16.8 BUSUNJU-KAMPALA-24HRS'!H46,'17.8 KAMPALA-BUSUNJU'!H46)</f>
        <v>0</v>
      </c>
      <c r="I46" s="49">
        <f>AVERAGE('11.8 KAMPALA-BUSUNJU'!I46,'12.8 BUSUNJU-KAMPALA'!I46,'13.8 KAMPALA-BUSUNJU'!I46,'14.8 KAMPALA-BUSUNJU'!I46,'15.8 KAMPALA-BUSUNJU-24 HRS'!I46,'16.8 BUSUNJU-KAMPALA-24HRS'!I46,'17.8 KAMPALA-BUSUNJU'!I46)</f>
        <v>0.14285714285714285</v>
      </c>
      <c r="J46" s="49">
        <f>AVERAGE('11.8 KAMPALA-BUSUNJU'!J46,'12.8 BUSUNJU-KAMPALA'!J46,'13.8 KAMPALA-BUSUNJU'!J46,'14.8 KAMPALA-BUSUNJU'!J46,'15.8 KAMPALA-BUSUNJU-24 HRS'!J46,'16.8 BUSUNJU-KAMPALA-24HRS'!J46,'17.8 KAMPALA-BUSUNJU'!J46)</f>
        <v>0</v>
      </c>
      <c r="K46" s="49">
        <f>AVERAGE('11.8 KAMPALA-BUSUNJU'!K46,'12.8 BUSUNJU-KAMPALA'!K46,'13.8 KAMPALA-BUSUNJU'!K46,'14.8 KAMPALA-BUSUNJU'!K46,'15.8 KAMPALA-BUSUNJU-24 HRS'!K46,'16.8 BUSUNJU-KAMPALA-24HRS'!K46,'17.8 KAMPALA-BUSUNJU'!K46)</f>
        <v>0</v>
      </c>
      <c r="L46" s="49">
        <f>AVERAGE('11.8 KAMPALA-BUSUNJU'!L46,'12.8 BUSUNJU-KAMPALA'!L46,'13.8 KAMPALA-BUSUNJU'!L46,'14.8 KAMPALA-BUSUNJU'!L46,'15.8 KAMPALA-BUSUNJU-24 HRS'!L46,'16.8 BUSUNJU-KAMPALA-24HRS'!L46,'17.8 KAMPALA-BUSUNJU'!L46)</f>
        <v>0</v>
      </c>
      <c r="M46" s="49">
        <f>AVERAGE('11.8 KAMPALA-BUSUNJU'!M46,'12.8 BUSUNJU-KAMPALA'!M46,'13.8 KAMPALA-BUSUNJU'!M46,'14.8 KAMPALA-BUSUNJU'!M46,'15.8 KAMPALA-BUSUNJU-24 HRS'!M46,'16.8 BUSUNJU-KAMPALA-24HRS'!M46,'17.8 KAMPALA-BUSUNJU'!M46)</f>
        <v>14.428571428571429</v>
      </c>
      <c r="N46" s="49">
        <f>AVERAGE('11.8 KAMPALA-BUSUNJU'!N46,'12.8 BUSUNJU-KAMPALA'!N46,'13.8 KAMPALA-BUSUNJU'!N46,'14.8 KAMPALA-BUSUNJU'!N46,'15.8 KAMPALA-BUSUNJU-24 HRS'!N46,'16.8 BUSUNJU-KAMPALA-24HRS'!N46,'17.8 KAMPALA-BUSUNJU'!N46)</f>
        <v>0</v>
      </c>
      <c r="O46" s="15">
        <f t="shared" si="0"/>
        <v>2.1428571428571428</v>
      </c>
      <c r="P46" s="15">
        <f t="shared" si="1"/>
        <v>16.571428571428573</v>
      </c>
      <c r="R46" s="8"/>
      <c r="T46"/>
    </row>
    <row r="47" spans="2:32" ht="23.1" customHeight="1" x14ac:dyDescent="0.25">
      <c r="B47" s="24" t="s">
        <v>74</v>
      </c>
      <c r="C47" s="49">
        <f>AVERAGE('11.8 KAMPALA-BUSUNJU'!C47,'12.8 BUSUNJU-KAMPALA'!C47,'13.8 KAMPALA-BUSUNJU'!C47,'14.8 KAMPALA-BUSUNJU'!C47,'15.8 KAMPALA-BUSUNJU-24 HRS'!C47,'16.8 BUSUNJU-KAMPALA-24HRS'!C47,'17.8 KAMPALA-BUSUNJU'!C47)</f>
        <v>1</v>
      </c>
      <c r="D47" s="49">
        <f>AVERAGE('11.8 KAMPALA-BUSUNJU'!D47,'12.8 BUSUNJU-KAMPALA'!D47,'13.8 KAMPALA-BUSUNJU'!D47,'14.8 KAMPALA-BUSUNJU'!D47,'15.8 KAMPALA-BUSUNJU-24 HRS'!D47,'16.8 BUSUNJU-KAMPALA-24HRS'!D47,'17.8 KAMPALA-BUSUNJU'!D47)</f>
        <v>0</v>
      </c>
      <c r="E47" s="49">
        <f>AVERAGE('11.8 KAMPALA-BUSUNJU'!E47,'12.8 BUSUNJU-KAMPALA'!E47,'13.8 KAMPALA-BUSUNJU'!E47,'14.8 KAMPALA-BUSUNJU'!E47,'15.8 KAMPALA-BUSUNJU-24 HRS'!E47,'16.8 BUSUNJU-KAMPALA-24HRS'!E47,'17.8 KAMPALA-BUSUNJU'!E47)</f>
        <v>1.5714285714285714</v>
      </c>
      <c r="F47" s="49">
        <f>AVERAGE('11.8 KAMPALA-BUSUNJU'!F47,'12.8 BUSUNJU-KAMPALA'!F47,'13.8 KAMPALA-BUSUNJU'!F47,'14.8 KAMPALA-BUSUNJU'!F47,'15.8 KAMPALA-BUSUNJU-24 HRS'!F47,'16.8 BUSUNJU-KAMPALA-24HRS'!F47,'17.8 KAMPALA-BUSUNJU'!F47)</f>
        <v>0.14285714285714285</v>
      </c>
      <c r="G47" s="49">
        <f>AVERAGE('11.8 KAMPALA-BUSUNJU'!G47,'12.8 BUSUNJU-KAMPALA'!G47,'13.8 KAMPALA-BUSUNJU'!G47,'14.8 KAMPALA-BUSUNJU'!G47,'15.8 KAMPALA-BUSUNJU-24 HRS'!G47,'16.8 BUSUNJU-KAMPALA-24HRS'!G47,'17.8 KAMPALA-BUSUNJU'!G47)</f>
        <v>0</v>
      </c>
      <c r="H47" s="49">
        <f>AVERAGE('11.8 KAMPALA-BUSUNJU'!H47,'12.8 BUSUNJU-KAMPALA'!H47,'13.8 KAMPALA-BUSUNJU'!H47,'14.8 KAMPALA-BUSUNJU'!H47,'15.8 KAMPALA-BUSUNJU-24 HRS'!H47,'16.8 BUSUNJU-KAMPALA-24HRS'!H47,'17.8 KAMPALA-BUSUNJU'!H47)</f>
        <v>0</v>
      </c>
      <c r="I47" s="49">
        <f>AVERAGE('11.8 KAMPALA-BUSUNJU'!I47,'12.8 BUSUNJU-KAMPALA'!I47,'13.8 KAMPALA-BUSUNJU'!I47,'14.8 KAMPALA-BUSUNJU'!I47,'15.8 KAMPALA-BUSUNJU-24 HRS'!I47,'16.8 BUSUNJU-KAMPALA-24HRS'!I47,'17.8 KAMPALA-BUSUNJU'!I47)</f>
        <v>0.7142857142857143</v>
      </c>
      <c r="J47" s="49">
        <f>AVERAGE('11.8 KAMPALA-BUSUNJU'!J47,'12.8 BUSUNJU-KAMPALA'!J47,'13.8 KAMPALA-BUSUNJU'!J47,'14.8 KAMPALA-BUSUNJU'!J47,'15.8 KAMPALA-BUSUNJU-24 HRS'!J47,'16.8 BUSUNJU-KAMPALA-24HRS'!J47,'17.8 KAMPALA-BUSUNJU'!J47)</f>
        <v>0</v>
      </c>
      <c r="K47" s="49">
        <f>AVERAGE('11.8 KAMPALA-BUSUNJU'!K47,'12.8 BUSUNJU-KAMPALA'!K47,'13.8 KAMPALA-BUSUNJU'!K47,'14.8 KAMPALA-BUSUNJU'!K47,'15.8 KAMPALA-BUSUNJU-24 HRS'!K47,'16.8 BUSUNJU-KAMPALA-24HRS'!K47,'17.8 KAMPALA-BUSUNJU'!K47)</f>
        <v>0</v>
      </c>
      <c r="L47" s="49">
        <f>AVERAGE('11.8 KAMPALA-BUSUNJU'!L47,'12.8 BUSUNJU-KAMPALA'!L47,'13.8 KAMPALA-BUSUNJU'!L47,'14.8 KAMPALA-BUSUNJU'!L47,'15.8 KAMPALA-BUSUNJU-24 HRS'!L47,'16.8 BUSUNJU-KAMPALA-24HRS'!L47,'17.8 KAMPALA-BUSUNJU'!L47)</f>
        <v>0</v>
      </c>
      <c r="M47" s="49">
        <f>AVERAGE('11.8 KAMPALA-BUSUNJU'!M47,'12.8 BUSUNJU-KAMPALA'!M47,'13.8 KAMPALA-BUSUNJU'!M47,'14.8 KAMPALA-BUSUNJU'!M47,'15.8 KAMPALA-BUSUNJU-24 HRS'!M47,'16.8 BUSUNJU-KAMPALA-24HRS'!M47,'17.8 KAMPALA-BUSUNJU'!M47)</f>
        <v>12.428571428571429</v>
      </c>
      <c r="N47" s="49">
        <f>AVERAGE('11.8 KAMPALA-BUSUNJU'!N47,'12.8 BUSUNJU-KAMPALA'!N47,'13.8 KAMPALA-BUSUNJU'!N47,'14.8 KAMPALA-BUSUNJU'!N47,'15.8 KAMPALA-BUSUNJU-24 HRS'!N47,'16.8 BUSUNJU-KAMPALA-24HRS'!N47,'17.8 KAMPALA-BUSUNJU'!N47)</f>
        <v>0</v>
      </c>
      <c r="O47" s="15">
        <f t="shared" si="0"/>
        <v>3.4285714285714284</v>
      </c>
      <c r="P47" s="15">
        <f t="shared" si="1"/>
        <v>15.857142857142858</v>
      </c>
      <c r="R47" s="8"/>
      <c r="T47"/>
    </row>
    <row r="48" spans="2:32" ht="23.1" customHeight="1" x14ac:dyDescent="0.25">
      <c r="B48" s="24" t="s">
        <v>75</v>
      </c>
      <c r="C48" s="49">
        <f>AVERAGE('11.8 KAMPALA-BUSUNJU'!C48,'12.8 BUSUNJU-KAMPALA'!C48,'13.8 KAMPALA-BUSUNJU'!C48,'14.8 KAMPALA-BUSUNJU'!C48,'15.8 KAMPALA-BUSUNJU-24 HRS'!C48,'16.8 BUSUNJU-KAMPALA-24HRS'!C48,'17.8 KAMPALA-BUSUNJU'!C48)</f>
        <v>1</v>
      </c>
      <c r="D48" s="49">
        <f>AVERAGE('11.8 KAMPALA-BUSUNJU'!D48,'12.8 BUSUNJU-KAMPALA'!D48,'13.8 KAMPALA-BUSUNJU'!D48,'14.8 KAMPALA-BUSUNJU'!D48,'15.8 KAMPALA-BUSUNJU-24 HRS'!D48,'16.8 BUSUNJU-KAMPALA-24HRS'!D48,'17.8 KAMPALA-BUSUNJU'!D48)</f>
        <v>0</v>
      </c>
      <c r="E48" s="49">
        <f>AVERAGE('11.8 KAMPALA-BUSUNJU'!E48,'12.8 BUSUNJU-KAMPALA'!E48,'13.8 KAMPALA-BUSUNJU'!E48,'14.8 KAMPALA-BUSUNJU'!E48,'15.8 KAMPALA-BUSUNJU-24 HRS'!E48,'16.8 BUSUNJU-KAMPALA-24HRS'!E48,'17.8 KAMPALA-BUSUNJU'!E48)</f>
        <v>1.1428571428571428</v>
      </c>
      <c r="F48" s="49">
        <f>AVERAGE('11.8 KAMPALA-BUSUNJU'!F48,'12.8 BUSUNJU-KAMPALA'!F48,'13.8 KAMPALA-BUSUNJU'!F48,'14.8 KAMPALA-BUSUNJU'!F48,'15.8 KAMPALA-BUSUNJU-24 HRS'!F48,'16.8 BUSUNJU-KAMPALA-24HRS'!F48,'17.8 KAMPALA-BUSUNJU'!F48)</f>
        <v>0.8571428571428571</v>
      </c>
      <c r="G48" s="49">
        <f>AVERAGE('11.8 KAMPALA-BUSUNJU'!G48,'12.8 BUSUNJU-KAMPALA'!G48,'13.8 KAMPALA-BUSUNJU'!G48,'14.8 KAMPALA-BUSUNJU'!G48,'15.8 KAMPALA-BUSUNJU-24 HRS'!G48,'16.8 BUSUNJU-KAMPALA-24HRS'!G48,'17.8 KAMPALA-BUSUNJU'!G48)</f>
        <v>0</v>
      </c>
      <c r="H48" s="49">
        <f>AVERAGE('11.8 KAMPALA-BUSUNJU'!H48,'12.8 BUSUNJU-KAMPALA'!H48,'13.8 KAMPALA-BUSUNJU'!H48,'14.8 KAMPALA-BUSUNJU'!H48,'15.8 KAMPALA-BUSUNJU-24 HRS'!H48,'16.8 BUSUNJU-KAMPALA-24HRS'!H48,'17.8 KAMPALA-BUSUNJU'!H48)</f>
        <v>0</v>
      </c>
      <c r="I48" s="49">
        <f>AVERAGE('11.8 KAMPALA-BUSUNJU'!I48,'12.8 BUSUNJU-KAMPALA'!I48,'13.8 KAMPALA-BUSUNJU'!I48,'14.8 KAMPALA-BUSUNJU'!I48,'15.8 KAMPALA-BUSUNJU-24 HRS'!I48,'16.8 BUSUNJU-KAMPALA-24HRS'!I48,'17.8 KAMPALA-BUSUNJU'!I48)</f>
        <v>1.1428571428571428</v>
      </c>
      <c r="J48" s="49">
        <f>AVERAGE('11.8 KAMPALA-BUSUNJU'!J48,'12.8 BUSUNJU-KAMPALA'!J48,'13.8 KAMPALA-BUSUNJU'!J48,'14.8 KAMPALA-BUSUNJU'!J48,'15.8 KAMPALA-BUSUNJU-24 HRS'!J48,'16.8 BUSUNJU-KAMPALA-24HRS'!J48,'17.8 KAMPALA-BUSUNJU'!J48)</f>
        <v>0</v>
      </c>
      <c r="K48" s="49">
        <f>AVERAGE('11.8 KAMPALA-BUSUNJU'!K48,'12.8 BUSUNJU-KAMPALA'!K48,'13.8 KAMPALA-BUSUNJU'!K48,'14.8 KAMPALA-BUSUNJU'!K48,'15.8 KAMPALA-BUSUNJU-24 HRS'!K48,'16.8 BUSUNJU-KAMPALA-24HRS'!K48,'17.8 KAMPALA-BUSUNJU'!K48)</f>
        <v>0</v>
      </c>
      <c r="L48" s="49">
        <f>AVERAGE('11.8 KAMPALA-BUSUNJU'!L48,'12.8 BUSUNJU-KAMPALA'!L48,'13.8 KAMPALA-BUSUNJU'!L48,'14.8 KAMPALA-BUSUNJU'!L48,'15.8 KAMPALA-BUSUNJU-24 HRS'!L48,'16.8 BUSUNJU-KAMPALA-24HRS'!L48,'17.8 KAMPALA-BUSUNJU'!L48)</f>
        <v>0</v>
      </c>
      <c r="M48" s="49">
        <f>AVERAGE('11.8 KAMPALA-BUSUNJU'!M48,'12.8 BUSUNJU-KAMPALA'!M48,'13.8 KAMPALA-BUSUNJU'!M48,'14.8 KAMPALA-BUSUNJU'!M48,'15.8 KAMPALA-BUSUNJU-24 HRS'!M48,'16.8 BUSUNJU-KAMPALA-24HRS'!M48,'17.8 KAMPALA-BUSUNJU'!M48)</f>
        <v>18</v>
      </c>
      <c r="N48" s="49">
        <f>AVERAGE('11.8 KAMPALA-BUSUNJU'!N48,'12.8 BUSUNJU-KAMPALA'!N48,'13.8 KAMPALA-BUSUNJU'!N48,'14.8 KAMPALA-BUSUNJU'!N48,'15.8 KAMPALA-BUSUNJU-24 HRS'!N48,'16.8 BUSUNJU-KAMPALA-24HRS'!N48,'17.8 KAMPALA-BUSUNJU'!N48)</f>
        <v>0</v>
      </c>
      <c r="O48" s="15">
        <f t="shared" si="0"/>
        <v>4.1428571428571423</v>
      </c>
      <c r="P48" s="15">
        <f t="shared" si="1"/>
        <v>22.142857142857142</v>
      </c>
      <c r="R48" s="8"/>
      <c r="T48"/>
    </row>
    <row r="49" spans="2:20" ht="23.1" customHeight="1" x14ac:dyDescent="0.25">
      <c r="B49" s="23" t="s">
        <v>76</v>
      </c>
      <c r="C49" s="49">
        <f>AVERAGE('11.8 KAMPALA-BUSUNJU'!C49,'12.8 BUSUNJU-KAMPALA'!C49,'13.8 KAMPALA-BUSUNJU'!C49,'14.8 KAMPALA-BUSUNJU'!C49,'15.8 KAMPALA-BUSUNJU-24 HRS'!C49,'16.8 BUSUNJU-KAMPALA-24HRS'!C49,'17.8 KAMPALA-BUSUNJU'!C49)</f>
        <v>1.7142857142857142</v>
      </c>
      <c r="D49" s="49">
        <f>AVERAGE('11.8 KAMPALA-BUSUNJU'!D49,'12.8 BUSUNJU-KAMPALA'!D49,'13.8 KAMPALA-BUSUNJU'!D49,'14.8 KAMPALA-BUSUNJU'!D49,'15.8 KAMPALA-BUSUNJU-24 HRS'!D49,'16.8 BUSUNJU-KAMPALA-24HRS'!D49,'17.8 KAMPALA-BUSUNJU'!D49)</f>
        <v>0.2857142857142857</v>
      </c>
      <c r="E49" s="49">
        <f>AVERAGE('11.8 KAMPALA-BUSUNJU'!E49,'12.8 BUSUNJU-KAMPALA'!E49,'13.8 KAMPALA-BUSUNJU'!E49,'14.8 KAMPALA-BUSUNJU'!E49,'15.8 KAMPALA-BUSUNJU-24 HRS'!E49,'16.8 BUSUNJU-KAMPALA-24HRS'!E49,'17.8 KAMPALA-BUSUNJU'!E49)</f>
        <v>0.8571428571428571</v>
      </c>
      <c r="F49" s="49">
        <f>AVERAGE('11.8 KAMPALA-BUSUNJU'!F49,'12.8 BUSUNJU-KAMPALA'!F49,'13.8 KAMPALA-BUSUNJU'!F49,'14.8 KAMPALA-BUSUNJU'!F49,'15.8 KAMPALA-BUSUNJU-24 HRS'!F49,'16.8 BUSUNJU-KAMPALA-24HRS'!F49,'17.8 KAMPALA-BUSUNJU'!F49)</f>
        <v>0.5714285714285714</v>
      </c>
      <c r="G49" s="49">
        <f>AVERAGE('11.8 KAMPALA-BUSUNJU'!G49,'12.8 BUSUNJU-KAMPALA'!G49,'13.8 KAMPALA-BUSUNJU'!G49,'14.8 KAMPALA-BUSUNJU'!G49,'15.8 KAMPALA-BUSUNJU-24 HRS'!G49,'16.8 BUSUNJU-KAMPALA-24HRS'!G49,'17.8 KAMPALA-BUSUNJU'!G49)</f>
        <v>0</v>
      </c>
      <c r="H49" s="49">
        <f>AVERAGE('11.8 KAMPALA-BUSUNJU'!H49,'12.8 BUSUNJU-KAMPALA'!H49,'13.8 KAMPALA-BUSUNJU'!H49,'14.8 KAMPALA-BUSUNJU'!H49,'15.8 KAMPALA-BUSUNJU-24 HRS'!H49,'16.8 BUSUNJU-KAMPALA-24HRS'!H49,'17.8 KAMPALA-BUSUNJU'!H49)</f>
        <v>0</v>
      </c>
      <c r="I49" s="49">
        <f>AVERAGE('11.8 KAMPALA-BUSUNJU'!I49,'12.8 BUSUNJU-KAMPALA'!I49,'13.8 KAMPALA-BUSUNJU'!I49,'14.8 KAMPALA-BUSUNJU'!I49,'15.8 KAMPALA-BUSUNJU-24 HRS'!I49,'16.8 BUSUNJU-KAMPALA-24HRS'!I49,'17.8 KAMPALA-BUSUNJU'!I49)</f>
        <v>0.5714285714285714</v>
      </c>
      <c r="J49" s="49">
        <f>AVERAGE('11.8 KAMPALA-BUSUNJU'!J49,'12.8 BUSUNJU-KAMPALA'!J49,'13.8 KAMPALA-BUSUNJU'!J49,'14.8 KAMPALA-BUSUNJU'!J49,'15.8 KAMPALA-BUSUNJU-24 HRS'!J49,'16.8 BUSUNJU-KAMPALA-24HRS'!J49,'17.8 KAMPALA-BUSUNJU'!J49)</f>
        <v>0</v>
      </c>
      <c r="K49" s="49">
        <f>AVERAGE('11.8 KAMPALA-BUSUNJU'!K49,'12.8 BUSUNJU-KAMPALA'!K49,'13.8 KAMPALA-BUSUNJU'!K49,'14.8 KAMPALA-BUSUNJU'!K49,'15.8 KAMPALA-BUSUNJU-24 HRS'!K49,'16.8 BUSUNJU-KAMPALA-24HRS'!K49,'17.8 KAMPALA-BUSUNJU'!K49)</f>
        <v>0</v>
      </c>
      <c r="L49" s="49">
        <f>AVERAGE('11.8 KAMPALA-BUSUNJU'!L49,'12.8 BUSUNJU-KAMPALA'!L49,'13.8 KAMPALA-BUSUNJU'!L49,'14.8 KAMPALA-BUSUNJU'!L49,'15.8 KAMPALA-BUSUNJU-24 HRS'!L49,'16.8 BUSUNJU-KAMPALA-24HRS'!L49,'17.8 KAMPALA-BUSUNJU'!L49)</f>
        <v>0</v>
      </c>
      <c r="M49" s="49">
        <f>AVERAGE('11.8 KAMPALA-BUSUNJU'!M49,'12.8 BUSUNJU-KAMPALA'!M49,'13.8 KAMPALA-BUSUNJU'!M49,'14.8 KAMPALA-BUSUNJU'!M49,'15.8 KAMPALA-BUSUNJU-24 HRS'!M49,'16.8 BUSUNJU-KAMPALA-24HRS'!M49,'17.8 KAMPALA-BUSUNJU'!M49)</f>
        <v>14.142857142857142</v>
      </c>
      <c r="N49" s="49">
        <f>AVERAGE('11.8 KAMPALA-BUSUNJU'!N49,'12.8 BUSUNJU-KAMPALA'!N49,'13.8 KAMPALA-BUSUNJU'!N49,'14.8 KAMPALA-BUSUNJU'!N49,'15.8 KAMPALA-BUSUNJU-24 HRS'!N49,'16.8 BUSUNJU-KAMPALA-24HRS'!N49,'17.8 KAMPALA-BUSUNJU'!N49)</f>
        <v>0</v>
      </c>
      <c r="O49" s="15">
        <f t="shared" si="0"/>
        <v>4</v>
      </c>
      <c r="P49" s="15">
        <f t="shared" si="1"/>
        <v>18.142857142857142</v>
      </c>
      <c r="R49" s="8"/>
      <c r="T49"/>
    </row>
    <row r="50" spans="2:20" ht="23.1" customHeight="1" x14ac:dyDescent="0.25">
      <c r="B50" s="24" t="s">
        <v>77</v>
      </c>
      <c r="C50" s="49">
        <f>AVERAGE('11.8 KAMPALA-BUSUNJU'!C50,'12.8 BUSUNJU-KAMPALA'!C50,'13.8 KAMPALA-BUSUNJU'!C50,'14.8 KAMPALA-BUSUNJU'!C50,'15.8 KAMPALA-BUSUNJU-24 HRS'!C50,'16.8 BUSUNJU-KAMPALA-24HRS'!C50,'17.8 KAMPALA-BUSUNJU'!C50)</f>
        <v>1.4285714285714286</v>
      </c>
      <c r="D50" s="49">
        <f>AVERAGE('11.8 KAMPALA-BUSUNJU'!D50,'12.8 BUSUNJU-KAMPALA'!D50,'13.8 KAMPALA-BUSUNJU'!D50,'14.8 KAMPALA-BUSUNJU'!D50,'15.8 KAMPALA-BUSUNJU-24 HRS'!D50,'16.8 BUSUNJU-KAMPALA-24HRS'!D50,'17.8 KAMPALA-BUSUNJU'!D50)</f>
        <v>0</v>
      </c>
      <c r="E50" s="49">
        <f>AVERAGE('11.8 KAMPALA-BUSUNJU'!E50,'12.8 BUSUNJU-KAMPALA'!E50,'13.8 KAMPALA-BUSUNJU'!E50,'14.8 KAMPALA-BUSUNJU'!E50,'15.8 KAMPALA-BUSUNJU-24 HRS'!E50,'16.8 BUSUNJU-KAMPALA-24HRS'!E50,'17.8 KAMPALA-BUSUNJU'!E50)</f>
        <v>1.5714285714285714</v>
      </c>
      <c r="F50" s="49">
        <f>AVERAGE('11.8 KAMPALA-BUSUNJU'!F50,'12.8 BUSUNJU-KAMPALA'!F50,'13.8 KAMPALA-BUSUNJU'!F50,'14.8 KAMPALA-BUSUNJU'!F50,'15.8 KAMPALA-BUSUNJU-24 HRS'!F50,'16.8 BUSUNJU-KAMPALA-24HRS'!F50,'17.8 KAMPALA-BUSUNJU'!F50)</f>
        <v>0.42857142857142855</v>
      </c>
      <c r="G50" s="49">
        <f>AVERAGE('11.8 KAMPALA-BUSUNJU'!G50,'12.8 BUSUNJU-KAMPALA'!G50,'13.8 KAMPALA-BUSUNJU'!G50,'14.8 KAMPALA-BUSUNJU'!G50,'15.8 KAMPALA-BUSUNJU-24 HRS'!G50,'16.8 BUSUNJU-KAMPALA-24HRS'!G50,'17.8 KAMPALA-BUSUNJU'!G50)</f>
        <v>0</v>
      </c>
      <c r="H50" s="49">
        <f>AVERAGE('11.8 KAMPALA-BUSUNJU'!H50,'12.8 BUSUNJU-KAMPALA'!H50,'13.8 KAMPALA-BUSUNJU'!H50,'14.8 KAMPALA-BUSUNJU'!H50,'15.8 KAMPALA-BUSUNJU-24 HRS'!H50,'16.8 BUSUNJU-KAMPALA-24HRS'!H50,'17.8 KAMPALA-BUSUNJU'!H50)</f>
        <v>0</v>
      </c>
      <c r="I50" s="49">
        <f>AVERAGE('11.8 KAMPALA-BUSUNJU'!I50,'12.8 BUSUNJU-KAMPALA'!I50,'13.8 KAMPALA-BUSUNJU'!I50,'14.8 KAMPALA-BUSUNJU'!I50,'15.8 KAMPALA-BUSUNJU-24 HRS'!I50,'16.8 BUSUNJU-KAMPALA-24HRS'!I50,'17.8 KAMPALA-BUSUNJU'!I50)</f>
        <v>0.42857142857142855</v>
      </c>
      <c r="J50" s="49">
        <f>AVERAGE('11.8 KAMPALA-BUSUNJU'!J50,'12.8 BUSUNJU-KAMPALA'!J50,'13.8 KAMPALA-BUSUNJU'!J50,'14.8 KAMPALA-BUSUNJU'!J50,'15.8 KAMPALA-BUSUNJU-24 HRS'!J50,'16.8 BUSUNJU-KAMPALA-24HRS'!J50,'17.8 KAMPALA-BUSUNJU'!J50)</f>
        <v>0.2857142857142857</v>
      </c>
      <c r="K50" s="49">
        <f>AVERAGE('11.8 KAMPALA-BUSUNJU'!K50,'12.8 BUSUNJU-KAMPALA'!K50,'13.8 KAMPALA-BUSUNJU'!K50,'14.8 KAMPALA-BUSUNJU'!K50,'15.8 KAMPALA-BUSUNJU-24 HRS'!K50,'16.8 BUSUNJU-KAMPALA-24HRS'!K50,'17.8 KAMPALA-BUSUNJU'!K50)</f>
        <v>0</v>
      </c>
      <c r="L50" s="49">
        <f>AVERAGE('11.8 KAMPALA-BUSUNJU'!L50,'12.8 BUSUNJU-KAMPALA'!L50,'13.8 KAMPALA-BUSUNJU'!L50,'14.8 KAMPALA-BUSUNJU'!L50,'15.8 KAMPALA-BUSUNJU-24 HRS'!L50,'16.8 BUSUNJU-KAMPALA-24HRS'!L50,'17.8 KAMPALA-BUSUNJU'!L50)</f>
        <v>0</v>
      </c>
      <c r="M50" s="49">
        <f>AVERAGE('11.8 KAMPALA-BUSUNJU'!M50,'12.8 BUSUNJU-KAMPALA'!M50,'13.8 KAMPALA-BUSUNJU'!M50,'14.8 KAMPALA-BUSUNJU'!M50,'15.8 KAMPALA-BUSUNJU-24 HRS'!M50,'16.8 BUSUNJU-KAMPALA-24HRS'!M50,'17.8 KAMPALA-BUSUNJU'!M50)</f>
        <v>15.142857142857142</v>
      </c>
      <c r="N50" s="49">
        <f>AVERAGE('11.8 KAMPALA-BUSUNJU'!N50,'12.8 BUSUNJU-KAMPALA'!N50,'13.8 KAMPALA-BUSUNJU'!N50,'14.8 KAMPALA-BUSUNJU'!N50,'15.8 KAMPALA-BUSUNJU-24 HRS'!N50,'16.8 BUSUNJU-KAMPALA-24HRS'!N50,'17.8 KAMPALA-BUSUNJU'!N50)</f>
        <v>0</v>
      </c>
      <c r="O50" s="15">
        <f t="shared" si="0"/>
        <v>4.1428571428571423</v>
      </c>
      <c r="P50" s="15">
        <f t="shared" si="1"/>
        <v>19.285714285714285</v>
      </c>
      <c r="R50" s="8"/>
      <c r="T50"/>
    </row>
    <row r="51" spans="2:20" ht="23.1" customHeight="1" x14ac:dyDescent="0.25">
      <c r="B51" s="24" t="s">
        <v>78</v>
      </c>
      <c r="C51" s="49">
        <f>AVERAGE('11.8 KAMPALA-BUSUNJU'!C51,'12.8 BUSUNJU-KAMPALA'!C51,'13.8 KAMPALA-BUSUNJU'!C51,'14.8 KAMPALA-BUSUNJU'!C51,'15.8 KAMPALA-BUSUNJU-24 HRS'!C51,'16.8 BUSUNJU-KAMPALA-24HRS'!C51,'17.8 KAMPALA-BUSUNJU'!C51)</f>
        <v>0.8571428571428571</v>
      </c>
      <c r="D51" s="49">
        <f>AVERAGE('11.8 KAMPALA-BUSUNJU'!D51,'12.8 BUSUNJU-KAMPALA'!D51,'13.8 KAMPALA-BUSUNJU'!D51,'14.8 KAMPALA-BUSUNJU'!D51,'15.8 KAMPALA-BUSUNJU-24 HRS'!D51,'16.8 BUSUNJU-KAMPALA-24HRS'!D51,'17.8 KAMPALA-BUSUNJU'!D51)</f>
        <v>0</v>
      </c>
      <c r="E51" s="49">
        <f>AVERAGE('11.8 KAMPALA-BUSUNJU'!E51,'12.8 BUSUNJU-KAMPALA'!E51,'13.8 KAMPALA-BUSUNJU'!E51,'14.8 KAMPALA-BUSUNJU'!E51,'15.8 KAMPALA-BUSUNJU-24 HRS'!E51,'16.8 BUSUNJU-KAMPALA-24HRS'!E51,'17.8 KAMPALA-BUSUNJU'!E51)</f>
        <v>1.5714285714285714</v>
      </c>
      <c r="F51" s="49">
        <f>AVERAGE('11.8 KAMPALA-BUSUNJU'!F51,'12.8 BUSUNJU-KAMPALA'!F51,'13.8 KAMPALA-BUSUNJU'!F51,'14.8 KAMPALA-BUSUNJU'!F51,'15.8 KAMPALA-BUSUNJU-24 HRS'!F51,'16.8 BUSUNJU-KAMPALA-24HRS'!F51,'17.8 KAMPALA-BUSUNJU'!F51)</f>
        <v>0.14285714285714285</v>
      </c>
      <c r="G51" s="49">
        <f>AVERAGE('11.8 KAMPALA-BUSUNJU'!G51,'12.8 BUSUNJU-KAMPALA'!G51,'13.8 KAMPALA-BUSUNJU'!G51,'14.8 KAMPALA-BUSUNJU'!G51,'15.8 KAMPALA-BUSUNJU-24 HRS'!G51,'16.8 BUSUNJU-KAMPALA-24HRS'!G51,'17.8 KAMPALA-BUSUNJU'!G51)</f>
        <v>0</v>
      </c>
      <c r="H51" s="49">
        <f>AVERAGE('11.8 KAMPALA-BUSUNJU'!H51,'12.8 BUSUNJU-KAMPALA'!H51,'13.8 KAMPALA-BUSUNJU'!H51,'14.8 KAMPALA-BUSUNJU'!H51,'15.8 KAMPALA-BUSUNJU-24 HRS'!H51,'16.8 BUSUNJU-KAMPALA-24HRS'!H51,'17.8 KAMPALA-BUSUNJU'!H51)</f>
        <v>0</v>
      </c>
      <c r="I51" s="49">
        <f>AVERAGE('11.8 KAMPALA-BUSUNJU'!I51,'12.8 BUSUNJU-KAMPALA'!I51,'13.8 KAMPALA-BUSUNJU'!I51,'14.8 KAMPALA-BUSUNJU'!I51,'15.8 KAMPALA-BUSUNJU-24 HRS'!I51,'16.8 BUSUNJU-KAMPALA-24HRS'!I51,'17.8 KAMPALA-BUSUNJU'!I51)</f>
        <v>0.5714285714285714</v>
      </c>
      <c r="J51" s="49">
        <f>AVERAGE('11.8 KAMPALA-BUSUNJU'!J51,'12.8 BUSUNJU-KAMPALA'!J51,'13.8 KAMPALA-BUSUNJU'!J51,'14.8 KAMPALA-BUSUNJU'!J51,'15.8 KAMPALA-BUSUNJU-24 HRS'!J51,'16.8 BUSUNJU-KAMPALA-24HRS'!J51,'17.8 KAMPALA-BUSUNJU'!J51)</f>
        <v>0.14285714285714285</v>
      </c>
      <c r="K51" s="49">
        <f>AVERAGE('11.8 KAMPALA-BUSUNJU'!K51,'12.8 BUSUNJU-KAMPALA'!K51,'13.8 KAMPALA-BUSUNJU'!K51,'14.8 KAMPALA-BUSUNJU'!K51,'15.8 KAMPALA-BUSUNJU-24 HRS'!K51,'16.8 BUSUNJU-KAMPALA-24HRS'!K51,'17.8 KAMPALA-BUSUNJU'!K51)</f>
        <v>0</v>
      </c>
      <c r="L51" s="49">
        <f>AVERAGE('11.8 KAMPALA-BUSUNJU'!L51,'12.8 BUSUNJU-KAMPALA'!L51,'13.8 KAMPALA-BUSUNJU'!L51,'14.8 KAMPALA-BUSUNJU'!L51,'15.8 KAMPALA-BUSUNJU-24 HRS'!L51,'16.8 BUSUNJU-KAMPALA-24HRS'!L51,'17.8 KAMPALA-BUSUNJU'!L51)</f>
        <v>0</v>
      </c>
      <c r="M51" s="49">
        <f>AVERAGE('11.8 KAMPALA-BUSUNJU'!M51,'12.8 BUSUNJU-KAMPALA'!M51,'13.8 KAMPALA-BUSUNJU'!M51,'14.8 KAMPALA-BUSUNJU'!M51,'15.8 KAMPALA-BUSUNJU-24 HRS'!M51,'16.8 BUSUNJU-KAMPALA-24HRS'!M51,'17.8 KAMPALA-BUSUNJU'!M51)</f>
        <v>16.571428571428573</v>
      </c>
      <c r="N51" s="49">
        <f>AVERAGE('11.8 KAMPALA-BUSUNJU'!N51,'12.8 BUSUNJU-KAMPALA'!N51,'13.8 KAMPALA-BUSUNJU'!N51,'14.8 KAMPALA-BUSUNJU'!N51,'15.8 KAMPALA-BUSUNJU-24 HRS'!N51,'16.8 BUSUNJU-KAMPALA-24HRS'!N51,'17.8 KAMPALA-BUSUNJU'!N51)</f>
        <v>0</v>
      </c>
      <c r="O51" s="15">
        <f t="shared" si="0"/>
        <v>3.2857142857142851</v>
      </c>
      <c r="P51" s="15">
        <f t="shared" si="1"/>
        <v>19.857142857142858</v>
      </c>
      <c r="R51" s="8"/>
      <c r="T51"/>
    </row>
    <row r="52" spans="2:20" ht="23.1" customHeight="1" x14ac:dyDescent="0.25">
      <c r="B52" s="24" t="s">
        <v>79</v>
      </c>
      <c r="C52" s="49">
        <f>AVERAGE('11.8 KAMPALA-BUSUNJU'!C52,'12.8 BUSUNJU-KAMPALA'!C52,'13.8 KAMPALA-BUSUNJU'!C52,'14.8 KAMPALA-BUSUNJU'!C52,'15.8 KAMPALA-BUSUNJU-24 HRS'!C52,'16.8 BUSUNJU-KAMPALA-24HRS'!C52,'17.8 KAMPALA-BUSUNJU'!C52)</f>
        <v>1.4285714285714286</v>
      </c>
      <c r="D52" s="49">
        <f>AVERAGE('11.8 KAMPALA-BUSUNJU'!D52,'12.8 BUSUNJU-KAMPALA'!D52,'13.8 KAMPALA-BUSUNJU'!D52,'14.8 KAMPALA-BUSUNJU'!D52,'15.8 KAMPALA-BUSUNJU-24 HRS'!D52,'16.8 BUSUNJU-KAMPALA-24HRS'!D52,'17.8 KAMPALA-BUSUNJU'!D52)</f>
        <v>0</v>
      </c>
      <c r="E52" s="49">
        <f>AVERAGE('11.8 KAMPALA-BUSUNJU'!E52,'12.8 BUSUNJU-KAMPALA'!E52,'13.8 KAMPALA-BUSUNJU'!E52,'14.8 KAMPALA-BUSUNJU'!E52,'15.8 KAMPALA-BUSUNJU-24 HRS'!E52,'16.8 BUSUNJU-KAMPALA-24HRS'!E52,'17.8 KAMPALA-BUSUNJU'!E52)</f>
        <v>0.5714285714285714</v>
      </c>
      <c r="F52" s="49">
        <f>AVERAGE('11.8 KAMPALA-BUSUNJU'!F52,'12.8 BUSUNJU-KAMPALA'!F52,'13.8 KAMPALA-BUSUNJU'!F52,'14.8 KAMPALA-BUSUNJU'!F52,'15.8 KAMPALA-BUSUNJU-24 HRS'!F52,'16.8 BUSUNJU-KAMPALA-24HRS'!F52,'17.8 KAMPALA-BUSUNJU'!F52)</f>
        <v>0.7142857142857143</v>
      </c>
      <c r="G52" s="49">
        <f>AVERAGE('11.8 KAMPALA-BUSUNJU'!G52,'12.8 BUSUNJU-KAMPALA'!G52,'13.8 KAMPALA-BUSUNJU'!G52,'14.8 KAMPALA-BUSUNJU'!G52,'15.8 KAMPALA-BUSUNJU-24 HRS'!G52,'16.8 BUSUNJU-KAMPALA-24HRS'!G52,'17.8 KAMPALA-BUSUNJU'!G52)</f>
        <v>0</v>
      </c>
      <c r="H52" s="49">
        <f>AVERAGE('11.8 KAMPALA-BUSUNJU'!H52,'12.8 BUSUNJU-KAMPALA'!H52,'13.8 KAMPALA-BUSUNJU'!H52,'14.8 KAMPALA-BUSUNJU'!H52,'15.8 KAMPALA-BUSUNJU-24 HRS'!H52,'16.8 BUSUNJU-KAMPALA-24HRS'!H52,'17.8 KAMPALA-BUSUNJU'!H52)</f>
        <v>0</v>
      </c>
      <c r="I52" s="49">
        <f>AVERAGE('11.8 KAMPALA-BUSUNJU'!I52,'12.8 BUSUNJU-KAMPALA'!I52,'13.8 KAMPALA-BUSUNJU'!I52,'14.8 KAMPALA-BUSUNJU'!I52,'15.8 KAMPALA-BUSUNJU-24 HRS'!I52,'16.8 BUSUNJU-KAMPALA-24HRS'!I52,'17.8 KAMPALA-BUSUNJU'!I52)</f>
        <v>0.8571428571428571</v>
      </c>
      <c r="J52" s="49">
        <f>AVERAGE('11.8 KAMPALA-BUSUNJU'!J52,'12.8 BUSUNJU-KAMPALA'!J52,'13.8 KAMPALA-BUSUNJU'!J52,'14.8 KAMPALA-BUSUNJU'!J52,'15.8 KAMPALA-BUSUNJU-24 HRS'!J52,'16.8 BUSUNJU-KAMPALA-24HRS'!J52,'17.8 KAMPALA-BUSUNJU'!J52)</f>
        <v>0</v>
      </c>
      <c r="K52" s="49">
        <f>AVERAGE('11.8 KAMPALA-BUSUNJU'!K52,'12.8 BUSUNJU-KAMPALA'!K52,'13.8 KAMPALA-BUSUNJU'!K52,'14.8 KAMPALA-BUSUNJU'!K52,'15.8 KAMPALA-BUSUNJU-24 HRS'!K52,'16.8 BUSUNJU-KAMPALA-24HRS'!K52,'17.8 KAMPALA-BUSUNJU'!K52)</f>
        <v>0</v>
      </c>
      <c r="L52" s="49">
        <f>AVERAGE('11.8 KAMPALA-BUSUNJU'!L52,'12.8 BUSUNJU-KAMPALA'!L52,'13.8 KAMPALA-BUSUNJU'!L52,'14.8 KAMPALA-BUSUNJU'!L52,'15.8 KAMPALA-BUSUNJU-24 HRS'!L52,'16.8 BUSUNJU-KAMPALA-24HRS'!L52,'17.8 KAMPALA-BUSUNJU'!L52)</f>
        <v>0</v>
      </c>
      <c r="M52" s="49">
        <f>AVERAGE('11.8 KAMPALA-BUSUNJU'!M52,'12.8 BUSUNJU-KAMPALA'!M52,'13.8 KAMPALA-BUSUNJU'!M52,'14.8 KAMPALA-BUSUNJU'!M52,'15.8 KAMPALA-BUSUNJU-24 HRS'!M52,'16.8 BUSUNJU-KAMPALA-24HRS'!M52,'17.8 KAMPALA-BUSUNJU'!M52)</f>
        <v>19.428571428571427</v>
      </c>
      <c r="N52" s="49">
        <f>AVERAGE('11.8 KAMPALA-BUSUNJU'!N52,'12.8 BUSUNJU-KAMPALA'!N52,'13.8 KAMPALA-BUSUNJU'!N52,'14.8 KAMPALA-BUSUNJU'!N52,'15.8 KAMPALA-BUSUNJU-24 HRS'!N52,'16.8 BUSUNJU-KAMPALA-24HRS'!N52,'17.8 KAMPALA-BUSUNJU'!N52)</f>
        <v>0</v>
      </c>
      <c r="O52" s="15">
        <f t="shared" si="0"/>
        <v>3.5714285714285716</v>
      </c>
      <c r="P52" s="15">
        <f t="shared" si="1"/>
        <v>23</v>
      </c>
      <c r="R52" s="8"/>
      <c r="T52"/>
    </row>
    <row r="53" spans="2:20" ht="23.1" customHeight="1" x14ac:dyDescent="0.25">
      <c r="B53" s="23" t="s">
        <v>80</v>
      </c>
      <c r="C53" s="49">
        <f>AVERAGE('11.8 KAMPALA-BUSUNJU'!C53,'12.8 BUSUNJU-KAMPALA'!C53,'13.8 KAMPALA-BUSUNJU'!C53,'14.8 KAMPALA-BUSUNJU'!C53,'15.8 KAMPALA-BUSUNJU-24 HRS'!C53,'16.8 BUSUNJU-KAMPALA-24HRS'!C53,'17.8 KAMPALA-BUSUNJU'!C53)</f>
        <v>1.5714285714285714</v>
      </c>
      <c r="D53" s="49">
        <f>AVERAGE('11.8 KAMPALA-BUSUNJU'!D53,'12.8 BUSUNJU-KAMPALA'!D53,'13.8 KAMPALA-BUSUNJU'!D53,'14.8 KAMPALA-BUSUNJU'!D53,'15.8 KAMPALA-BUSUNJU-24 HRS'!D53,'16.8 BUSUNJU-KAMPALA-24HRS'!D53,'17.8 KAMPALA-BUSUNJU'!D53)</f>
        <v>0</v>
      </c>
      <c r="E53" s="49">
        <f>AVERAGE('11.8 KAMPALA-BUSUNJU'!E53,'12.8 BUSUNJU-KAMPALA'!E53,'13.8 KAMPALA-BUSUNJU'!E53,'14.8 KAMPALA-BUSUNJU'!E53,'15.8 KAMPALA-BUSUNJU-24 HRS'!E53,'16.8 BUSUNJU-KAMPALA-24HRS'!E53,'17.8 KAMPALA-BUSUNJU'!E53)</f>
        <v>1</v>
      </c>
      <c r="F53" s="49">
        <f>AVERAGE('11.8 KAMPALA-BUSUNJU'!F53,'12.8 BUSUNJU-KAMPALA'!F53,'13.8 KAMPALA-BUSUNJU'!F53,'14.8 KAMPALA-BUSUNJU'!F53,'15.8 KAMPALA-BUSUNJU-24 HRS'!F53,'16.8 BUSUNJU-KAMPALA-24HRS'!F53,'17.8 KAMPALA-BUSUNJU'!F53)</f>
        <v>0.7142857142857143</v>
      </c>
      <c r="G53" s="49">
        <f>AVERAGE('11.8 KAMPALA-BUSUNJU'!G53,'12.8 BUSUNJU-KAMPALA'!G53,'13.8 KAMPALA-BUSUNJU'!G53,'14.8 KAMPALA-BUSUNJU'!G53,'15.8 KAMPALA-BUSUNJU-24 HRS'!G53,'16.8 BUSUNJU-KAMPALA-24HRS'!G53,'17.8 KAMPALA-BUSUNJU'!G53)</f>
        <v>0</v>
      </c>
      <c r="H53" s="49">
        <f>AVERAGE('11.8 KAMPALA-BUSUNJU'!H53,'12.8 BUSUNJU-KAMPALA'!H53,'13.8 KAMPALA-BUSUNJU'!H53,'14.8 KAMPALA-BUSUNJU'!H53,'15.8 KAMPALA-BUSUNJU-24 HRS'!H53,'16.8 BUSUNJU-KAMPALA-24HRS'!H53,'17.8 KAMPALA-BUSUNJU'!H53)</f>
        <v>0</v>
      </c>
      <c r="I53" s="49">
        <f>AVERAGE('11.8 KAMPALA-BUSUNJU'!I53,'12.8 BUSUNJU-KAMPALA'!I53,'13.8 KAMPALA-BUSUNJU'!I53,'14.8 KAMPALA-BUSUNJU'!I53,'15.8 KAMPALA-BUSUNJU-24 HRS'!I53,'16.8 BUSUNJU-KAMPALA-24HRS'!I53,'17.8 KAMPALA-BUSUNJU'!I53)</f>
        <v>0.7142857142857143</v>
      </c>
      <c r="J53" s="49">
        <f>AVERAGE('11.8 KAMPALA-BUSUNJU'!J53,'12.8 BUSUNJU-KAMPALA'!J53,'13.8 KAMPALA-BUSUNJU'!J53,'14.8 KAMPALA-BUSUNJU'!J53,'15.8 KAMPALA-BUSUNJU-24 HRS'!J53,'16.8 BUSUNJU-KAMPALA-24HRS'!J53,'17.8 KAMPALA-BUSUNJU'!J53)</f>
        <v>0</v>
      </c>
      <c r="K53" s="49">
        <f>AVERAGE('11.8 KAMPALA-BUSUNJU'!K53,'12.8 BUSUNJU-KAMPALA'!K53,'13.8 KAMPALA-BUSUNJU'!K53,'14.8 KAMPALA-BUSUNJU'!K53,'15.8 KAMPALA-BUSUNJU-24 HRS'!K53,'16.8 BUSUNJU-KAMPALA-24HRS'!K53,'17.8 KAMPALA-BUSUNJU'!K53)</f>
        <v>0</v>
      </c>
      <c r="L53" s="49">
        <f>AVERAGE('11.8 KAMPALA-BUSUNJU'!L53,'12.8 BUSUNJU-KAMPALA'!L53,'13.8 KAMPALA-BUSUNJU'!L53,'14.8 KAMPALA-BUSUNJU'!L53,'15.8 KAMPALA-BUSUNJU-24 HRS'!L53,'16.8 BUSUNJU-KAMPALA-24HRS'!L53,'17.8 KAMPALA-BUSUNJU'!L53)</f>
        <v>0</v>
      </c>
      <c r="M53" s="49">
        <f>AVERAGE('11.8 KAMPALA-BUSUNJU'!M53,'12.8 BUSUNJU-KAMPALA'!M53,'13.8 KAMPALA-BUSUNJU'!M53,'14.8 KAMPALA-BUSUNJU'!M53,'15.8 KAMPALA-BUSUNJU-24 HRS'!M53,'16.8 BUSUNJU-KAMPALA-24HRS'!M53,'17.8 KAMPALA-BUSUNJU'!M53)</f>
        <v>12.714285714285714</v>
      </c>
      <c r="N53" s="49">
        <f>AVERAGE('11.8 KAMPALA-BUSUNJU'!N53,'12.8 BUSUNJU-KAMPALA'!N53,'13.8 KAMPALA-BUSUNJU'!N53,'14.8 KAMPALA-BUSUNJU'!N53,'15.8 KAMPALA-BUSUNJU-24 HRS'!N53,'16.8 BUSUNJU-KAMPALA-24HRS'!N53,'17.8 KAMPALA-BUSUNJU'!N53)</f>
        <v>0</v>
      </c>
      <c r="O53" s="15">
        <f t="shared" si="0"/>
        <v>4</v>
      </c>
      <c r="P53" s="15">
        <f t="shared" si="1"/>
        <v>16.714285714285715</v>
      </c>
      <c r="R53" s="8"/>
      <c r="T53"/>
    </row>
    <row r="54" spans="2:20" ht="23.1" customHeight="1" x14ac:dyDescent="0.25">
      <c r="B54" s="23" t="s">
        <v>81</v>
      </c>
      <c r="C54" s="49">
        <f>AVERAGE('11.8 KAMPALA-BUSUNJU'!C54,'12.8 BUSUNJU-KAMPALA'!C54,'13.8 KAMPALA-BUSUNJU'!C54,'14.8 KAMPALA-BUSUNJU'!C54,'15.8 KAMPALA-BUSUNJU-24 HRS'!C54,'16.8 BUSUNJU-KAMPALA-24HRS'!C54,'17.8 KAMPALA-BUSUNJU'!C54)</f>
        <v>1</v>
      </c>
      <c r="D54" s="49">
        <f>AVERAGE('11.8 KAMPALA-BUSUNJU'!D54,'12.8 BUSUNJU-KAMPALA'!D54,'13.8 KAMPALA-BUSUNJU'!D54,'14.8 KAMPALA-BUSUNJU'!D54,'15.8 KAMPALA-BUSUNJU-24 HRS'!D54,'16.8 BUSUNJU-KAMPALA-24HRS'!D54,'17.8 KAMPALA-BUSUNJU'!D54)</f>
        <v>0.14285714285714285</v>
      </c>
      <c r="E54" s="49">
        <f>AVERAGE('11.8 KAMPALA-BUSUNJU'!E54,'12.8 BUSUNJU-KAMPALA'!E54,'13.8 KAMPALA-BUSUNJU'!E54,'14.8 KAMPALA-BUSUNJU'!E54,'15.8 KAMPALA-BUSUNJU-24 HRS'!E54,'16.8 BUSUNJU-KAMPALA-24HRS'!E54,'17.8 KAMPALA-BUSUNJU'!E54)</f>
        <v>0.5714285714285714</v>
      </c>
      <c r="F54" s="49">
        <f>AVERAGE('11.8 KAMPALA-BUSUNJU'!F54,'12.8 BUSUNJU-KAMPALA'!F54,'13.8 KAMPALA-BUSUNJU'!F54,'14.8 KAMPALA-BUSUNJU'!F54,'15.8 KAMPALA-BUSUNJU-24 HRS'!F54,'16.8 BUSUNJU-KAMPALA-24HRS'!F54,'17.8 KAMPALA-BUSUNJU'!F54)</f>
        <v>0.42857142857142855</v>
      </c>
      <c r="G54" s="49">
        <f>AVERAGE('11.8 KAMPALA-BUSUNJU'!G54,'12.8 BUSUNJU-KAMPALA'!G54,'13.8 KAMPALA-BUSUNJU'!G54,'14.8 KAMPALA-BUSUNJU'!G54,'15.8 KAMPALA-BUSUNJU-24 HRS'!G54,'16.8 BUSUNJU-KAMPALA-24HRS'!G54,'17.8 KAMPALA-BUSUNJU'!G54)</f>
        <v>0.14285714285714285</v>
      </c>
      <c r="H54" s="49">
        <f>AVERAGE('11.8 KAMPALA-BUSUNJU'!H54,'12.8 BUSUNJU-KAMPALA'!H54,'13.8 KAMPALA-BUSUNJU'!H54,'14.8 KAMPALA-BUSUNJU'!H54,'15.8 KAMPALA-BUSUNJU-24 HRS'!H54,'16.8 BUSUNJU-KAMPALA-24HRS'!H54,'17.8 KAMPALA-BUSUNJU'!H54)</f>
        <v>0</v>
      </c>
      <c r="I54" s="49">
        <f>AVERAGE('11.8 KAMPALA-BUSUNJU'!I54,'12.8 BUSUNJU-KAMPALA'!I54,'13.8 KAMPALA-BUSUNJU'!I54,'14.8 KAMPALA-BUSUNJU'!I54,'15.8 KAMPALA-BUSUNJU-24 HRS'!I54,'16.8 BUSUNJU-KAMPALA-24HRS'!I54,'17.8 KAMPALA-BUSUNJU'!I54)</f>
        <v>0.42857142857142855</v>
      </c>
      <c r="J54" s="49">
        <f>AVERAGE('11.8 KAMPALA-BUSUNJU'!J54,'12.8 BUSUNJU-KAMPALA'!J54,'13.8 KAMPALA-BUSUNJU'!J54,'14.8 KAMPALA-BUSUNJU'!J54,'15.8 KAMPALA-BUSUNJU-24 HRS'!J54,'16.8 BUSUNJU-KAMPALA-24HRS'!J54,'17.8 KAMPALA-BUSUNJU'!J54)</f>
        <v>0.14285714285714285</v>
      </c>
      <c r="K54" s="49">
        <f>AVERAGE('11.8 KAMPALA-BUSUNJU'!K54,'12.8 BUSUNJU-KAMPALA'!K54,'13.8 KAMPALA-BUSUNJU'!K54,'14.8 KAMPALA-BUSUNJU'!K54,'15.8 KAMPALA-BUSUNJU-24 HRS'!K54,'16.8 BUSUNJU-KAMPALA-24HRS'!K54,'17.8 KAMPALA-BUSUNJU'!K54)</f>
        <v>0</v>
      </c>
      <c r="L54" s="49">
        <f>AVERAGE('11.8 KAMPALA-BUSUNJU'!L54,'12.8 BUSUNJU-KAMPALA'!L54,'13.8 KAMPALA-BUSUNJU'!L54,'14.8 KAMPALA-BUSUNJU'!L54,'15.8 KAMPALA-BUSUNJU-24 HRS'!L54,'16.8 BUSUNJU-KAMPALA-24HRS'!L54,'17.8 KAMPALA-BUSUNJU'!L54)</f>
        <v>0</v>
      </c>
      <c r="M54" s="49">
        <f>AVERAGE('11.8 KAMPALA-BUSUNJU'!M54,'12.8 BUSUNJU-KAMPALA'!M54,'13.8 KAMPALA-BUSUNJU'!M54,'14.8 KAMPALA-BUSUNJU'!M54,'15.8 KAMPALA-BUSUNJU-24 HRS'!M54,'16.8 BUSUNJU-KAMPALA-24HRS'!M54,'17.8 KAMPALA-BUSUNJU'!M54)</f>
        <v>16.857142857142858</v>
      </c>
      <c r="N54" s="49">
        <f>AVERAGE('11.8 KAMPALA-BUSUNJU'!N54,'12.8 BUSUNJU-KAMPALA'!N54,'13.8 KAMPALA-BUSUNJU'!N54,'14.8 KAMPALA-BUSUNJU'!N54,'15.8 KAMPALA-BUSUNJU-24 HRS'!N54,'16.8 BUSUNJU-KAMPALA-24HRS'!N54,'17.8 KAMPALA-BUSUNJU'!N54)</f>
        <v>0</v>
      </c>
      <c r="O54" s="15">
        <f t="shared" si="0"/>
        <v>2.8571428571428568</v>
      </c>
      <c r="P54" s="15">
        <f t="shared" si="1"/>
        <v>19.714285714285715</v>
      </c>
      <c r="R54" s="8"/>
      <c r="T54"/>
    </row>
    <row r="55" spans="2:20" ht="23.1" customHeight="1" x14ac:dyDescent="0.25">
      <c r="B55" s="23" t="s">
        <v>82</v>
      </c>
      <c r="C55" s="49">
        <f>AVERAGE('11.8 KAMPALA-BUSUNJU'!C55,'12.8 BUSUNJU-KAMPALA'!C55,'13.8 KAMPALA-BUSUNJU'!C55,'14.8 KAMPALA-BUSUNJU'!C55,'15.8 KAMPALA-BUSUNJU-24 HRS'!C55,'16.8 BUSUNJU-KAMPALA-24HRS'!C55,'17.8 KAMPALA-BUSUNJU'!C55)</f>
        <v>1</v>
      </c>
      <c r="D55" s="49">
        <f>AVERAGE('11.8 KAMPALA-BUSUNJU'!D55,'12.8 BUSUNJU-KAMPALA'!D55,'13.8 KAMPALA-BUSUNJU'!D55,'14.8 KAMPALA-BUSUNJU'!D55,'15.8 KAMPALA-BUSUNJU-24 HRS'!D55,'16.8 BUSUNJU-KAMPALA-24HRS'!D55,'17.8 KAMPALA-BUSUNJU'!D55)</f>
        <v>0</v>
      </c>
      <c r="E55" s="49">
        <f>AVERAGE('11.8 KAMPALA-BUSUNJU'!E55,'12.8 BUSUNJU-KAMPALA'!E55,'13.8 KAMPALA-BUSUNJU'!E55,'14.8 KAMPALA-BUSUNJU'!E55,'15.8 KAMPALA-BUSUNJU-24 HRS'!E55,'16.8 BUSUNJU-KAMPALA-24HRS'!E55,'17.8 KAMPALA-BUSUNJU'!E55)</f>
        <v>1.7142857142857142</v>
      </c>
      <c r="F55" s="49">
        <f>AVERAGE('11.8 KAMPALA-BUSUNJU'!F55,'12.8 BUSUNJU-KAMPALA'!F55,'13.8 KAMPALA-BUSUNJU'!F55,'14.8 KAMPALA-BUSUNJU'!F55,'15.8 KAMPALA-BUSUNJU-24 HRS'!F55,'16.8 BUSUNJU-KAMPALA-24HRS'!F55,'17.8 KAMPALA-BUSUNJU'!F55)</f>
        <v>0.7142857142857143</v>
      </c>
      <c r="G55" s="49">
        <f>AVERAGE('11.8 KAMPALA-BUSUNJU'!G55,'12.8 BUSUNJU-KAMPALA'!G55,'13.8 KAMPALA-BUSUNJU'!G55,'14.8 KAMPALA-BUSUNJU'!G55,'15.8 KAMPALA-BUSUNJU-24 HRS'!G55,'16.8 BUSUNJU-KAMPALA-24HRS'!G55,'17.8 KAMPALA-BUSUNJU'!G55)</f>
        <v>0.42857142857142855</v>
      </c>
      <c r="H55" s="49">
        <f>AVERAGE('11.8 KAMPALA-BUSUNJU'!H55,'12.8 BUSUNJU-KAMPALA'!H55,'13.8 KAMPALA-BUSUNJU'!H55,'14.8 KAMPALA-BUSUNJU'!H55,'15.8 KAMPALA-BUSUNJU-24 HRS'!H55,'16.8 BUSUNJU-KAMPALA-24HRS'!H55,'17.8 KAMPALA-BUSUNJU'!H55)</f>
        <v>0</v>
      </c>
      <c r="I55" s="49">
        <f>AVERAGE('11.8 KAMPALA-BUSUNJU'!I55,'12.8 BUSUNJU-KAMPALA'!I55,'13.8 KAMPALA-BUSUNJU'!I55,'14.8 KAMPALA-BUSUNJU'!I55,'15.8 KAMPALA-BUSUNJU-24 HRS'!I55,'16.8 BUSUNJU-KAMPALA-24HRS'!I55,'17.8 KAMPALA-BUSUNJU'!I55)</f>
        <v>0.7142857142857143</v>
      </c>
      <c r="J55" s="49">
        <f>AVERAGE('11.8 KAMPALA-BUSUNJU'!J55,'12.8 BUSUNJU-KAMPALA'!J55,'13.8 KAMPALA-BUSUNJU'!J55,'14.8 KAMPALA-BUSUNJU'!J55,'15.8 KAMPALA-BUSUNJU-24 HRS'!J55,'16.8 BUSUNJU-KAMPALA-24HRS'!J55,'17.8 KAMPALA-BUSUNJU'!J55)</f>
        <v>0</v>
      </c>
      <c r="K55" s="49">
        <f>AVERAGE('11.8 KAMPALA-BUSUNJU'!K55,'12.8 BUSUNJU-KAMPALA'!K55,'13.8 KAMPALA-BUSUNJU'!K55,'14.8 KAMPALA-BUSUNJU'!K55,'15.8 KAMPALA-BUSUNJU-24 HRS'!K55,'16.8 BUSUNJU-KAMPALA-24HRS'!K55,'17.8 KAMPALA-BUSUNJU'!K55)</f>
        <v>0</v>
      </c>
      <c r="L55" s="49">
        <f>AVERAGE('11.8 KAMPALA-BUSUNJU'!L55,'12.8 BUSUNJU-KAMPALA'!L55,'13.8 KAMPALA-BUSUNJU'!L55,'14.8 KAMPALA-BUSUNJU'!L55,'15.8 KAMPALA-BUSUNJU-24 HRS'!L55,'16.8 BUSUNJU-KAMPALA-24HRS'!L55,'17.8 KAMPALA-BUSUNJU'!L55)</f>
        <v>0</v>
      </c>
      <c r="M55" s="49">
        <f>AVERAGE('11.8 KAMPALA-BUSUNJU'!M55,'12.8 BUSUNJU-KAMPALA'!M55,'13.8 KAMPALA-BUSUNJU'!M55,'14.8 KAMPALA-BUSUNJU'!M55,'15.8 KAMPALA-BUSUNJU-24 HRS'!M55,'16.8 BUSUNJU-KAMPALA-24HRS'!M55,'17.8 KAMPALA-BUSUNJU'!M55)</f>
        <v>16.142857142857142</v>
      </c>
      <c r="N55" s="49">
        <f>AVERAGE('11.8 KAMPALA-BUSUNJU'!N55,'12.8 BUSUNJU-KAMPALA'!N55,'13.8 KAMPALA-BUSUNJU'!N55,'14.8 KAMPALA-BUSUNJU'!N55,'15.8 KAMPALA-BUSUNJU-24 HRS'!N55,'16.8 BUSUNJU-KAMPALA-24HRS'!N55,'17.8 KAMPALA-BUSUNJU'!N55)</f>
        <v>0</v>
      </c>
      <c r="O55" s="15">
        <f t="shared" si="0"/>
        <v>4.5714285714285712</v>
      </c>
      <c r="P55" s="15">
        <f t="shared" si="1"/>
        <v>20.714285714285715</v>
      </c>
      <c r="R55" s="8"/>
      <c r="T55"/>
    </row>
    <row r="56" spans="2:20" ht="23.1" customHeight="1" x14ac:dyDescent="0.25">
      <c r="B56" s="23" t="s">
        <v>83</v>
      </c>
      <c r="C56" s="49">
        <f>AVERAGE('11.8 KAMPALA-BUSUNJU'!C56,'12.8 BUSUNJU-KAMPALA'!C56,'13.8 KAMPALA-BUSUNJU'!C56,'14.8 KAMPALA-BUSUNJU'!C56,'15.8 KAMPALA-BUSUNJU-24 HRS'!C56,'16.8 BUSUNJU-KAMPALA-24HRS'!C56,'17.8 KAMPALA-BUSUNJU'!C56)</f>
        <v>2</v>
      </c>
      <c r="D56" s="49">
        <f>AVERAGE('11.8 KAMPALA-BUSUNJU'!D56,'12.8 BUSUNJU-KAMPALA'!D56,'13.8 KAMPALA-BUSUNJU'!D56,'14.8 KAMPALA-BUSUNJU'!D56,'15.8 KAMPALA-BUSUNJU-24 HRS'!D56,'16.8 BUSUNJU-KAMPALA-24HRS'!D56,'17.8 KAMPALA-BUSUNJU'!D56)</f>
        <v>0</v>
      </c>
      <c r="E56" s="49">
        <f>AVERAGE('11.8 KAMPALA-BUSUNJU'!E56,'12.8 BUSUNJU-KAMPALA'!E56,'13.8 KAMPALA-BUSUNJU'!E56,'14.8 KAMPALA-BUSUNJU'!E56,'15.8 KAMPALA-BUSUNJU-24 HRS'!E56,'16.8 BUSUNJU-KAMPALA-24HRS'!E56,'17.8 KAMPALA-BUSUNJU'!E56)</f>
        <v>1</v>
      </c>
      <c r="F56" s="49">
        <f>AVERAGE('11.8 KAMPALA-BUSUNJU'!F56,'12.8 BUSUNJU-KAMPALA'!F56,'13.8 KAMPALA-BUSUNJU'!F56,'14.8 KAMPALA-BUSUNJU'!F56,'15.8 KAMPALA-BUSUNJU-24 HRS'!F56,'16.8 BUSUNJU-KAMPALA-24HRS'!F56,'17.8 KAMPALA-BUSUNJU'!F56)</f>
        <v>0.2857142857142857</v>
      </c>
      <c r="G56" s="49">
        <f>AVERAGE('11.8 KAMPALA-BUSUNJU'!G56,'12.8 BUSUNJU-KAMPALA'!G56,'13.8 KAMPALA-BUSUNJU'!G56,'14.8 KAMPALA-BUSUNJU'!G56,'15.8 KAMPALA-BUSUNJU-24 HRS'!G56,'16.8 BUSUNJU-KAMPALA-24HRS'!G56,'17.8 KAMPALA-BUSUNJU'!G56)</f>
        <v>0.14285714285714285</v>
      </c>
      <c r="H56" s="49">
        <f>AVERAGE('11.8 KAMPALA-BUSUNJU'!H56,'12.8 BUSUNJU-KAMPALA'!H56,'13.8 KAMPALA-BUSUNJU'!H56,'14.8 KAMPALA-BUSUNJU'!H56,'15.8 KAMPALA-BUSUNJU-24 HRS'!H56,'16.8 BUSUNJU-KAMPALA-24HRS'!H56,'17.8 KAMPALA-BUSUNJU'!H56)</f>
        <v>0</v>
      </c>
      <c r="I56" s="49">
        <f>AVERAGE('11.8 KAMPALA-BUSUNJU'!I56,'12.8 BUSUNJU-KAMPALA'!I56,'13.8 KAMPALA-BUSUNJU'!I56,'14.8 KAMPALA-BUSUNJU'!I56,'15.8 KAMPALA-BUSUNJU-24 HRS'!I56,'16.8 BUSUNJU-KAMPALA-24HRS'!I56,'17.8 KAMPALA-BUSUNJU'!I56)</f>
        <v>1.2857142857142858</v>
      </c>
      <c r="J56" s="49">
        <f>AVERAGE('11.8 KAMPALA-BUSUNJU'!J56,'12.8 BUSUNJU-KAMPALA'!J56,'13.8 KAMPALA-BUSUNJU'!J56,'14.8 KAMPALA-BUSUNJU'!J56,'15.8 KAMPALA-BUSUNJU-24 HRS'!J56,'16.8 BUSUNJU-KAMPALA-24HRS'!J56,'17.8 KAMPALA-BUSUNJU'!J56)</f>
        <v>0</v>
      </c>
      <c r="K56" s="49">
        <f>AVERAGE('11.8 KAMPALA-BUSUNJU'!K56,'12.8 BUSUNJU-KAMPALA'!K56,'13.8 KAMPALA-BUSUNJU'!K56,'14.8 KAMPALA-BUSUNJU'!K56,'15.8 KAMPALA-BUSUNJU-24 HRS'!K56,'16.8 BUSUNJU-KAMPALA-24HRS'!K56,'17.8 KAMPALA-BUSUNJU'!K56)</f>
        <v>0</v>
      </c>
      <c r="L56" s="49">
        <f>AVERAGE('11.8 KAMPALA-BUSUNJU'!L56,'12.8 BUSUNJU-KAMPALA'!L56,'13.8 KAMPALA-BUSUNJU'!L56,'14.8 KAMPALA-BUSUNJU'!L56,'15.8 KAMPALA-BUSUNJU-24 HRS'!L56,'16.8 BUSUNJU-KAMPALA-24HRS'!L56,'17.8 KAMPALA-BUSUNJU'!L56)</f>
        <v>0</v>
      </c>
      <c r="M56" s="49">
        <f>AVERAGE('11.8 KAMPALA-BUSUNJU'!M56,'12.8 BUSUNJU-KAMPALA'!M56,'13.8 KAMPALA-BUSUNJU'!M56,'14.8 KAMPALA-BUSUNJU'!M56,'15.8 KAMPALA-BUSUNJU-24 HRS'!M56,'16.8 BUSUNJU-KAMPALA-24HRS'!M56,'17.8 KAMPALA-BUSUNJU'!M56)</f>
        <v>13.857142857142858</v>
      </c>
      <c r="N56" s="49">
        <f>AVERAGE('11.8 KAMPALA-BUSUNJU'!N56,'12.8 BUSUNJU-KAMPALA'!N56,'13.8 KAMPALA-BUSUNJU'!N56,'14.8 KAMPALA-BUSUNJU'!N56,'15.8 KAMPALA-BUSUNJU-24 HRS'!N56,'16.8 BUSUNJU-KAMPALA-24HRS'!N56,'17.8 KAMPALA-BUSUNJU'!N56)</f>
        <v>0</v>
      </c>
      <c r="O56" s="15">
        <f t="shared" si="0"/>
        <v>4.7142857142857144</v>
      </c>
      <c r="P56" s="15">
        <f t="shared" si="1"/>
        <v>18.571428571428573</v>
      </c>
      <c r="R56" s="8"/>
      <c r="T56"/>
    </row>
    <row r="57" spans="2:20" ht="23.1" customHeight="1" x14ac:dyDescent="0.25">
      <c r="B57" s="23" t="s">
        <v>84</v>
      </c>
      <c r="C57" s="49">
        <f>AVERAGE('11.8 KAMPALA-BUSUNJU'!C57,'12.8 BUSUNJU-KAMPALA'!C57,'13.8 KAMPALA-BUSUNJU'!C57,'14.8 KAMPALA-BUSUNJU'!C57,'15.8 KAMPALA-BUSUNJU-24 HRS'!C57,'16.8 BUSUNJU-KAMPALA-24HRS'!C57,'17.8 KAMPALA-BUSUNJU'!C57)</f>
        <v>1.5714285714285714</v>
      </c>
      <c r="D57" s="49">
        <f>AVERAGE('11.8 KAMPALA-BUSUNJU'!D57,'12.8 BUSUNJU-KAMPALA'!D57,'13.8 KAMPALA-BUSUNJU'!D57,'14.8 KAMPALA-BUSUNJU'!D57,'15.8 KAMPALA-BUSUNJU-24 HRS'!D57,'16.8 BUSUNJU-KAMPALA-24HRS'!D57,'17.8 KAMPALA-BUSUNJU'!D57)</f>
        <v>0</v>
      </c>
      <c r="E57" s="49">
        <f>AVERAGE('11.8 KAMPALA-BUSUNJU'!E57,'12.8 BUSUNJU-KAMPALA'!E57,'13.8 KAMPALA-BUSUNJU'!E57,'14.8 KAMPALA-BUSUNJU'!E57,'15.8 KAMPALA-BUSUNJU-24 HRS'!E57,'16.8 BUSUNJU-KAMPALA-24HRS'!E57,'17.8 KAMPALA-BUSUNJU'!E57)</f>
        <v>0.2857142857142857</v>
      </c>
      <c r="F57" s="49">
        <f>AVERAGE('11.8 KAMPALA-BUSUNJU'!F57,'12.8 BUSUNJU-KAMPALA'!F57,'13.8 KAMPALA-BUSUNJU'!F57,'14.8 KAMPALA-BUSUNJU'!F57,'15.8 KAMPALA-BUSUNJU-24 HRS'!F57,'16.8 BUSUNJU-KAMPALA-24HRS'!F57,'17.8 KAMPALA-BUSUNJU'!F57)</f>
        <v>0.7142857142857143</v>
      </c>
      <c r="G57" s="49">
        <f>AVERAGE('11.8 KAMPALA-BUSUNJU'!G57,'12.8 BUSUNJU-KAMPALA'!G57,'13.8 KAMPALA-BUSUNJU'!G57,'14.8 KAMPALA-BUSUNJU'!G57,'15.8 KAMPALA-BUSUNJU-24 HRS'!G57,'16.8 BUSUNJU-KAMPALA-24HRS'!G57,'17.8 KAMPALA-BUSUNJU'!G57)</f>
        <v>0</v>
      </c>
      <c r="H57" s="49">
        <f>AVERAGE('11.8 KAMPALA-BUSUNJU'!H57,'12.8 BUSUNJU-KAMPALA'!H57,'13.8 KAMPALA-BUSUNJU'!H57,'14.8 KAMPALA-BUSUNJU'!H57,'15.8 KAMPALA-BUSUNJU-24 HRS'!H57,'16.8 BUSUNJU-KAMPALA-24HRS'!H57,'17.8 KAMPALA-BUSUNJU'!H57)</f>
        <v>0</v>
      </c>
      <c r="I57" s="49">
        <f>AVERAGE('11.8 KAMPALA-BUSUNJU'!I57,'12.8 BUSUNJU-KAMPALA'!I57,'13.8 KAMPALA-BUSUNJU'!I57,'14.8 KAMPALA-BUSUNJU'!I57,'15.8 KAMPALA-BUSUNJU-24 HRS'!I57,'16.8 BUSUNJU-KAMPALA-24HRS'!I57,'17.8 KAMPALA-BUSUNJU'!I57)</f>
        <v>0.5714285714285714</v>
      </c>
      <c r="J57" s="49">
        <f>AVERAGE('11.8 KAMPALA-BUSUNJU'!J57,'12.8 BUSUNJU-KAMPALA'!J57,'13.8 KAMPALA-BUSUNJU'!J57,'14.8 KAMPALA-BUSUNJU'!J57,'15.8 KAMPALA-BUSUNJU-24 HRS'!J57,'16.8 BUSUNJU-KAMPALA-24HRS'!J57,'17.8 KAMPALA-BUSUNJU'!J57)</f>
        <v>0</v>
      </c>
      <c r="K57" s="49">
        <f>AVERAGE('11.8 KAMPALA-BUSUNJU'!K57,'12.8 BUSUNJU-KAMPALA'!K57,'13.8 KAMPALA-BUSUNJU'!K57,'14.8 KAMPALA-BUSUNJU'!K57,'15.8 KAMPALA-BUSUNJU-24 HRS'!K57,'16.8 BUSUNJU-KAMPALA-24HRS'!K57,'17.8 KAMPALA-BUSUNJU'!K57)</f>
        <v>0</v>
      </c>
      <c r="L57" s="49">
        <f>AVERAGE('11.8 KAMPALA-BUSUNJU'!L57,'12.8 BUSUNJU-KAMPALA'!L57,'13.8 KAMPALA-BUSUNJU'!L57,'14.8 KAMPALA-BUSUNJU'!L57,'15.8 KAMPALA-BUSUNJU-24 HRS'!L57,'16.8 BUSUNJU-KAMPALA-24HRS'!L57,'17.8 KAMPALA-BUSUNJU'!L57)</f>
        <v>0</v>
      </c>
      <c r="M57" s="49">
        <f>AVERAGE('11.8 KAMPALA-BUSUNJU'!M57,'12.8 BUSUNJU-KAMPALA'!M57,'13.8 KAMPALA-BUSUNJU'!M57,'14.8 KAMPALA-BUSUNJU'!M57,'15.8 KAMPALA-BUSUNJU-24 HRS'!M57,'16.8 BUSUNJU-KAMPALA-24HRS'!M57,'17.8 KAMPALA-BUSUNJU'!M57)</f>
        <v>14.857142857142858</v>
      </c>
      <c r="N57" s="49">
        <f>AVERAGE('11.8 KAMPALA-BUSUNJU'!N57,'12.8 BUSUNJU-KAMPALA'!N57,'13.8 KAMPALA-BUSUNJU'!N57,'14.8 KAMPALA-BUSUNJU'!N57,'15.8 KAMPALA-BUSUNJU-24 HRS'!N57,'16.8 BUSUNJU-KAMPALA-24HRS'!N57,'17.8 KAMPALA-BUSUNJU'!N57)</f>
        <v>0</v>
      </c>
      <c r="O57" s="15">
        <f t="shared" si="0"/>
        <v>3.1428571428571432</v>
      </c>
      <c r="P57" s="15">
        <f t="shared" si="1"/>
        <v>18</v>
      </c>
      <c r="R57" s="8"/>
      <c r="T57"/>
    </row>
    <row r="58" spans="2:20" ht="23.1" customHeight="1" x14ac:dyDescent="0.25">
      <c r="B58" s="23" t="s">
        <v>99</v>
      </c>
      <c r="C58" s="49">
        <f>AVERAGE('15.8 KAMPALA-BUSUNJU-24 HRS'!C58,'16.8 KAMPALA-BUSUNJU-24HRS'!C58)</f>
        <v>1</v>
      </c>
      <c r="D58" s="49">
        <f>AVERAGE('15.8 KAMPALA-BUSUNJU-24 HRS'!D58,'16.8 KAMPALA-BUSUNJU-24HRS'!D58)</f>
        <v>0</v>
      </c>
      <c r="E58" s="49">
        <f>AVERAGE('15.8 KAMPALA-BUSUNJU-24 HRS'!E58,'16.8 KAMPALA-BUSUNJU-24HRS'!E58)</f>
        <v>2</v>
      </c>
      <c r="F58" s="49">
        <f>AVERAGE('15.8 KAMPALA-BUSUNJU-24 HRS'!F58,'16.8 KAMPALA-BUSUNJU-24HRS'!F58)</f>
        <v>1</v>
      </c>
      <c r="G58" s="49">
        <f>AVERAGE('15.8 KAMPALA-BUSUNJU-24 HRS'!G58,'16.8 KAMPALA-BUSUNJU-24HRS'!G58)</f>
        <v>0</v>
      </c>
      <c r="H58" s="49">
        <f>AVERAGE('15.8 KAMPALA-BUSUNJU-24 HRS'!H58,'16.8 KAMPALA-BUSUNJU-24HRS'!H58)</f>
        <v>0</v>
      </c>
      <c r="I58" s="49">
        <f>AVERAGE('15.8 KAMPALA-BUSUNJU-24 HRS'!I58,'16.8 KAMPALA-BUSUNJU-24HRS'!I58)</f>
        <v>0</v>
      </c>
      <c r="J58" s="49">
        <f>AVERAGE('15.8 KAMPALA-BUSUNJU-24 HRS'!J58,'16.8 KAMPALA-BUSUNJU-24HRS'!J58)</f>
        <v>0</v>
      </c>
      <c r="K58" s="49">
        <f>AVERAGE('15.8 KAMPALA-BUSUNJU-24 HRS'!K58,'16.8 KAMPALA-BUSUNJU-24HRS'!K58)</f>
        <v>0</v>
      </c>
      <c r="L58" s="49">
        <f>AVERAGE('15.8 KAMPALA-BUSUNJU-24 HRS'!L58,'16.8 KAMPALA-BUSUNJU-24HRS'!L58)</f>
        <v>0</v>
      </c>
      <c r="M58" s="49">
        <f>AVERAGE('15.8 KAMPALA-BUSUNJU-24 HRS'!M58,'16.8 KAMPALA-BUSUNJU-24HRS'!M58)</f>
        <v>13.5</v>
      </c>
      <c r="N58" s="49">
        <f>AVERAGE('15.8 KAMPALA-BUSUNJU-24 HRS'!N58,'16.8 KAMPALA-BUSUNJU-24HRS'!N58)</f>
        <v>0</v>
      </c>
      <c r="O58" s="15">
        <f t="shared" si="0"/>
        <v>4</v>
      </c>
      <c r="P58" s="15">
        <f t="shared" si="1"/>
        <v>17.5</v>
      </c>
      <c r="R58" s="8"/>
      <c r="T58"/>
    </row>
    <row r="59" spans="2:20" ht="23.1" customHeight="1" x14ac:dyDescent="0.25">
      <c r="B59" s="23" t="s">
        <v>100</v>
      </c>
      <c r="C59" s="49">
        <f>AVERAGE('15.8 KAMPALA-BUSUNJU-24 HRS'!C59,'16.8 KAMPALA-BUSUNJU-24HRS'!C59)</f>
        <v>2</v>
      </c>
      <c r="D59" s="49">
        <f>AVERAGE('15.8 KAMPALA-BUSUNJU-24 HRS'!D59,'16.8 KAMPALA-BUSUNJU-24HRS'!D59)</f>
        <v>0</v>
      </c>
      <c r="E59" s="49">
        <f>AVERAGE('15.8 KAMPALA-BUSUNJU-24 HRS'!E59,'16.8 KAMPALA-BUSUNJU-24HRS'!E59)</f>
        <v>1</v>
      </c>
      <c r="F59" s="49">
        <f>AVERAGE('15.8 KAMPALA-BUSUNJU-24 HRS'!F59,'16.8 KAMPALA-BUSUNJU-24HRS'!F59)</f>
        <v>0</v>
      </c>
      <c r="G59" s="49">
        <f>AVERAGE('15.8 KAMPALA-BUSUNJU-24 HRS'!G59,'16.8 KAMPALA-BUSUNJU-24HRS'!G59)</f>
        <v>0</v>
      </c>
      <c r="H59" s="49">
        <f>AVERAGE('15.8 KAMPALA-BUSUNJU-24 HRS'!H59,'16.8 KAMPALA-BUSUNJU-24HRS'!H59)</f>
        <v>0</v>
      </c>
      <c r="I59" s="49">
        <f>AVERAGE('15.8 KAMPALA-BUSUNJU-24 HRS'!I59,'16.8 KAMPALA-BUSUNJU-24HRS'!I59)</f>
        <v>0</v>
      </c>
      <c r="J59" s="49">
        <f>AVERAGE('15.8 KAMPALA-BUSUNJU-24 HRS'!J59,'16.8 KAMPALA-BUSUNJU-24HRS'!J59)</f>
        <v>0</v>
      </c>
      <c r="K59" s="49">
        <f>AVERAGE('15.8 KAMPALA-BUSUNJU-24 HRS'!K59,'16.8 KAMPALA-BUSUNJU-24HRS'!K59)</f>
        <v>0</v>
      </c>
      <c r="L59" s="49">
        <f>AVERAGE('15.8 KAMPALA-BUSUNJU-24 HRS'!L59,'16.8 KAMPALA-BUSUNJU-24HRS'!L59)</f>
        <v>0</v>
      </c>
      <c r="M59" s="49">
        <f>AVERAGE('15.8 KAMPALA-BUSUNJU-24 HRS'!M59,'16.8 KAMPALA-BUSUNJU-24HRS'!M59)</f>
        <v>13.5</v>
      </c>
      <c r="N59" s="49">
        <f>AVERAGE('15.8 KAMPALA-BUSUNJU-24 HRS'!N59,'16.8 KAMPALA-BUSUNJU-24HRS'!N59)</f>
        <v>0</v>
      </c>
      <c r="O59" s="15">
        <f t="shared" ref="O59:O105" si="35">SUM(C59:L59,N59)</f>
        <v>3</v>
      </c>
      <c r="P59" s="15">
        <f t="shared" ref="P59:P105" si="36">SUM(C59:N59)</f>
        <v>16.5</v>
      </c>
      <c r="R59" s="8"/>
      <c r="T59"/>
    </row>
    <row r="60" spans="2:20" ht="23.1" customHeight="1" x14ac:dyDescent="0.25">
      <c r="B60" s="23" t="s">
        <v>101</v>
      </c>
      <c r="C60" s="49">
        <f>AVERAGE('15.8 KAMPALA-BUSUNJU-24 HRS'!C60,'16.8 KAMPALA-BUSUNJU-24HRS'!C60)</f>
        <v>1</v>
      </c>
      <c r="D60" s="49">
        <f>AVERAGE('15.8 KAMPALA-BUSUNJU-24 HRS'!D60,'16.8 KAMPALA-BUSUNJU-24HRS'!D60)</f>
        <v>1</v>
      </c>
      <c r="E60" s="49">
        <f>AVERAGE('15.8 KAMPALA-BUSUNJU-24 HRS'!E60,'16.8 KAMPALA-BUSUNJU-24HRS'!E60)</f>
        <v>0</v>
      </c>
      <c r="F60" s="49">
        <f>AVERAGE('15.8 KAMPALA-BUSUNJU-24 HRS'!F60,'16.8 KAMPALA-BUSUNJU-24HRS'!F60)</f>
        <v>0</v>
      </c>
      <c r="G60" s="49">
        <f>AVERAGE('15.8 KAMPALA-BUSUNJU-24 HRS'!G60,'16.8 KAMPALA-BUSUNJU-24HRS'!G60)</f>
        <v>0</v>
      </c>
      <c r="H60" s="49">
        <f>AVERAGE('15.8 KAMPALA-BUSUNJU-24 HRS'!H60,'16.8 KAMPALA-BUSUNJU-24HRS'!H60)</f>
        <v>0</v>
      </c>
      <c r="I60" s="49">
        <f>AVERAGE('15.8 KAMPALA-BUSUNJU-24 HRS'!I60,'16.8 KAMPALA-BUSUNJU-24HRS'!I60)</f>
        <v>2</v>
      </c>
      <c r="J60" s="49">
        <f>AVERAGE('15.8 KAMPALA-BUSUNJU-24 HRS'!J60,'16.8 KAMPALA-BUSUNJU-24HRS'!J60)</f>
        <v>0</v>
      </c>
      <c r="K60" s="49">
        <f>AVERAGE('15.8 KAMPALA-BUSUNJU-24 HRS'!K60,'16.8 KAMPALA-BUSUNJU-24HRS'!K60)</f>
        <v>0</v>
      </c>
      <c r="L60" s="49">
        <f>AVERAGE('15.8 KAMPALA-BUSUNJU-24 HRS'!L60,'16.8 KAMPALA-BUSUNJU-24HRS'!L60)</f>
        <v>0</v>
      </c>
      <c r="M60" s="49">
        <f>AVERAGE('15.8 KAMPALA-BUSUNJU-24 HRS'!M60,'16.8 KAMPALA-BUSUNJU-24HRS'!M60)</f>
        <v>12</v>
      </c>
      <c r="N60" s="49">
        <f>AVERAGE('15.8 KAMPALA-BUSUNJU-24 HRS'!N60,'16.8 KAMPALA-BUSUNJU-24HRS'!N60)</f>
        <v>0</v>
      </c>
      <c r="O60" s="15">
        <f t="shared" si="35"/>
        <v>4</v>
      </c>
      <c r="P60" s="15">
        <f t="shared" si="36"/>
        <v>16</v>
      </c>
      <c r="R60" s="8"/>
      <c r="T60"/>
    </row>
    <row r="61" spans="2:20" ht="23.1" customHeight="1" x14ac:dyDescent="0.25">
      <c r="B61" s="23" t="s">
        <v>102</v>
      </c>
      <c r="C61" s="49">
        <f>AVERAGE('15.8 KAMPALA-BUSUNJU-24 HRS'!C61,'16.8 KAMPALA-BUSUNJU-24HRS'!C61)</f>
        <v>2</v>
      </c>
      <c r="D61" s="49">
        <f>AVERAGE('15.8 KAMPALA-BUSUNJU-24 HRS'!D61,'16.8 KAMPALA-BUSUNJU-24HRS'!D61)</f>
        <v>0</v>
      </c>
      <c r="E61" s="49">
        <f>AVERAGE('15.8 KAMPALA-BUSUNJU-24 HRS'!E61,'16.8 KAMPALA-BUSUNJU-24HRS'!E61)</f>
        <v>1</v>
      </c>
      <c r="F61" s="49">
        <f>AVERAGE('15.8 KAMPALA-BUSUNJU-24 HRS'!F61,'16.8 KAMPALA-BUSUNJU-24HRS'!F61)</f>
        <v>1</v>
      </c>
      <c r="G61" s="49">
        <f>AVERAGE('15.8 KAMPALA-BUSUNJU-24 HRS'!G61,'16.8 KAMPALA-BUSUNJU-24HRS'!G61)</f>
        <v>0</v>
      </c>
      <c r="H61" s="49">
        <f>AVERAGE('15.8 KAMPALA-BUSUNJU-24 HRS'!H61,'16.8 KAMPALA-BUSUNJU-24HRS'!H61)</f>
        <v>1</v>
      </c>
      <c r="I61" s="49">
        <f>AVERAGE('15.8 KAMPALA-BUSUNJU-24 HRS'!I61,'16.8 KAMPALA-BUSUNJU-24HRS'!I61)</f>
        <v>3</v>
      </c>
      <c r="J61" s="49">
        <f>AVERAGE('15.8 KAMPALA-BUSUNJU-24 HRS'!J61,'16.8 KAMPALA-BUSUNJU-24HRS'!J61)</f>
        <v>0</v>
      </c>
      <c r="K61" s="49">
        <f>AVERAGE('15.8 KAMPALA-BUSUNJU-24 HRS'!K61,'16.8 KAMPALA-BUSUNJU-24HRS'!K61)</f>
        <v>0</v>
      </c>
      <c r="L61" s="49">
        <f>AVERAGE('15.8 KAMPALA-BUSUNJU-24 HRS'!L61,'16.8 KAMPALA-BUSUNJU-24HRS'!L61)</f>
        <v>0</v>
      </c>
      <c r="M61" s="49">
        <f>AVERAGE('15.8 KAMPALA-BUSUNJU-24 HRS'!M61,'16.8 KAMPALA-BUSUNJU-24HRS'!M61)</f>
        <v>9.5</v>
      </c>
      <c r="N61" s="49">
        <f>AVERAGE('15.8 KAMPALA-BUSUNJU-24 HRS'!N61,'16.8 KAMPALA-BUSUNJU-24HRS'!N61)</f>
        <v>0</v>
      </c>
      <c r="O61" s="15">
        <f t="shared" si="35"/>
        <v>8</v>
      </c>
      <c r="P61" s="15">
        <f t="shared" si="36"/>
        <v>17.5</v>
      </c>
      <c r="R61" s="8"/>
      <c r="T61"/>
    </row>
    <row r="62" spans="2:20" ht="23.1" customHeight="1" x14ac:dyDescent="0.25">
      <c r="B62" s="23" t="s">
        <v>107</v>
      </c>
      <c r="C62" s="49">
        <f>AVERAGE('15.8 KAMPALA-BUSUNJU-24 HRS'!C62,'16.8 KAMPALA-BUSUNJU-24HRS'!C62)</f>
        <v>1</v>
      </c>
      <c r="D62" s="49">
        <f>AVERAGE('15.8 KAMPALA-BUSUNJU-24 HRS'!D62,'16.8 KAMPALA-BUSUNJU-24HRS'!D62)</f>
        <v>0</v>
      </c>
      <c r="E62" s="49">
        <f>AVERAGE('15.8 KAMPALA-BUSUNJU-24 HRS'!E62,'16.8 KAMPALA-BUSUNJU-24HRS'!E62)</f>
        <v>2</v>
      </c>
      <c r="F62" s="49">
        <f>AVERAGE('15.8 KAMPALA-BUSUNJU-24 HRS'!F62,'16.8 KAMPALA-BUSUNJU-24HRS'!F62)</f>
        <v>0</v>
      </c>
      <c r="G62" s="49">
        <f>AVERAGE('15.8 KAMPALA-BUSUNJU-24 HRS'!G62,'16.8 KAMPALA-BUSUNJU-24HRS'!G62)</f>
        <v>0</v>
      </c>
      <c r="H62" s="49">
        <f>AVERAGE('15.8 KAMPALA-BUSUNJU-24 HRS'!H62,'16.8 KAMPALA-BUSUNJU-24HRS'!H62)</f>
        <v>0</v>
      </c>
      <c r="I62" s="49">
        <f>AVERAGE('15.8 KAMPALA-BUSUNJU-24 HRS'!I62,'16.8 KAMPALA-BUSUNJU-24HRS'!I62)</f>
        <v>2</v>
      </c>
      <c r="J62" s="49">
        <f>AVERAGE('15.8 KAMPALA-BUSUNJU-24 HRS'!J62,'16.8 KAMPALA-BUSUNJU-24HRS'!J62)</f>
        <v>0</v>
      </c>
      <c r="K62" s="49">
        <f>AVERAGE('15.8 KAMPALA-BUSUNJU-24 HRS'!K62,'16.8 KAMPALA-BUSUNJU-24HRS'!K62)</f>
        <v>0</v>
      </c>
      <c r="L62" s="49">
        <f>AVERAGE('15.8 KAMPALA-BUSUNJU-24 HRS'!L62,'16.8 KAMPALA-BUSUNJU-24HRS'!L62)</f>
        <v>0</v>
      </c>
      <c r="M62" s="49">
        <f>AVERAGE('15.8 KAMPALA-BUSUNJU-24 HRS'!M62,'16.8 KAMPALA-BUSUNJU-24HRS'!M62)</f>
        <v>12.5</v>
      </c>
      <c r="N62" s="49">
        <f>AVERAGE('15.8 KAMPALA-BUSUNJU-24 HRS'!N62,'16.8 KAMPALA-BUSUNJU-24HRS'!N62)</f>
        <v>0</v>
      </c>
      <c r="O62" s="15">
        <f t="shared" si="35"/>
        <v>5</v>
      </c>
      <c r="P62" s="15">
        <f t="shared" si="36"/>
        <v>17.5</v>
      </c>
      <c r="R62" s="8"/>
      <c r="T62"/>
    </row>
    <row r="63" spans="2:20" ht="23.1" customHeight="1" x14ac:dyDescent="0.25">
      <c r="B63" s="23" t="s">
        <v>108</v>
      </c>
      <c r="C63" s="49">
        <f>AVERAGE('15.8 KAMPALA-BUSUNJU-24 HRS'!C63,'16.8 KAMPALA-BUSUNJU-24HRS'!C63)</f>
        <v>2</v>
      </c>
      <c r="D63" s="49">
        <f>AVERAGE('15.8 KAMPALA-BUSUNJU-24 HRS'!D63,'16.8 KAMPALA-BUSUNJU-24HRS'!D63)</f>
        <v>1</v>
      </c>
      <c r="E63" s="49">
        <f>AVERAGE('15.8 KAMPALA-BUSUNJU-24 HRS'!E63,'16.8 KAMPALA-BUSUNJU-24HRS'!E63)</f>
        <v>2</v>
      </c>
      <c r="F63" s="49">
        <f>AVERAGE('15.8 KAMPALA-BUSUNJU-24 HRS'!F63,'16.8 KAMPALA-BUSUNJU-24HRS'!F63)</f>
        <v>1</v>
      </c>
      <c r="G63" s="49">
        <f>AVERAGE('15.8 KAMPALA-BUSUNJU-24 HRS'!G63,'16.8 KAMPALA-BUSUNJU-24HRS'!G63)</f>
        <v>0</v>
      </c>
      <c r="H63" s="49">
        <f>AVERAGE('15.8 KAMPALA-BUSUNJU-24 HRS'!H63,'16.8 KAMPALA-BUSUNJU-24HRS'!H63)</f>
        <v>0</v>
      </c>
      <c r="I63" s="49">
        <f>AVERAGE('15.8 KAMPALA-BUSUNJU-24 HRS'!I63,'16.8 KAMPALA-BUSUNJU-24HRS'!I63)</f>
        <v>0</v>
      </c>
      <c r="J63" s="49">
        <f>AVERAGE('15.8 KAMPALA-BUSUNJU-24 HRS'!J63,'16.8 KAMPALA-BUSUNJU-24HRS'!J63)</f>
        <v>0</v>
      </c>
      <c r="K63" s="49">
        <f>AVERAGE('15.8 KAMPALA-BUSUNJU-24 HRS'!K63,'16.8 KAMPALA-BUSUNJU-24HRS'!K63)</f>
        <v>0</v>
      </c>
      <c r="L63" s="49">
        <f>AVERAGE('15.8 KAMPALA-BUSUNJU-24 HRS'!L63,'16.8 KAMPALA-BUSUNJU-24HRS'!L63)</f>
        <v>0</v>
      </c>
      <c r="M63" s="49">
        <f>AVERAGE('15.8 KAMPALA-BUSUNJU-24 HRS'!M63,'16.8 KAMPALA-BUSUNJU-24HRS'!M63)</f>
        <v>9</v>
      </c>
      <c r="N63" s="49">
        <f>AVERAGE('15.8 KAMPALA-BUSUNJU-24 HRS'!N63,'16.8 KAMPALA-BUSUNJU-24HRS'!N63)</f>
        <v>0</v>
      </c>
      <c r="O63" s="15">
        <f t="shared" si="35"/>
        <v>6</v>
      </c>
      <c r="P63" s="15">
        <f t="shared" si="36"/>
        <v>15</v>
      </c>
      <c r="R63" s="8"/>
      <c r="T63"/>
    </row>
    <row r="64" spans="2:20" ht="23.1" customHeight="1" x14ac:dyDescent="0.25">
      <c r="B64" s="23" t="s">
        <v>109</v>
      </c>
      <c r="C64" s="49">
        <f>AVERAGE('15.8 KAMPALA-BUSUNJU-24 HRS'!C64,'16.8 KAMPALA-BUSUNJU-24HRS'!C64)</f>
        <v>3</v>
      </c>
      <c r="D64" s="49">
        <f>AVERAGE('15.8 KAMPALA-BUSUNJU-24 HRS'!D64,'16.8 KAMPALA-BUSUNJU-24HRS'!D64)</f>
        <v>0</v>
      </c>
      <c r="E64" s="49">
        <f>AVERAGE('15.8 KAMPALA-BUSUNJU-24 HRS'!E64,'16.8 KAMPALA-BUSUNJU-24HRS'!E64)</f>
        <v>1</v>
      </c>
      <c r="F64" s="49">
        <f>AVERAGE('15.8 KAMPALA-BUSUNJU-24 HRS'!F64,'16.8 KAMPALA-BUSUNJU-24HRS'!F64)</f>
        <v>0</v>
      </c>
      <c r="G64" s="49">
        <f>AVERAGE('15.8 KAMPALA-BUSUNJU-24 HRS'!G64,'16.8 KAMPALA-BUSUNJU-24HRS'!G64)</f>
        <v>0</v>
      </c>
      <c r="H64" s="49">
        <f>AVERAGE('15.8 KAMPALA-BUSUNJU-24 HRS'!H64,'16.8 KAMPALA-BUSUNJU-24HRS'!H64)</f>
        <v>0</v>
      </c>
      <c r="I64" s="49">
        <f>AVERAGE('15.8 KAMPALA-BUSUNJU-24 HRS'!I64,'16.8 KAMPALA-BUSUNJU-24HRS'!I64)</f>
        <v>0</v>
      </c>
      <c r="J64" s="49">
        <f>AVERAGE('15.8 KAMPALA-BUSUNJU-24 HRS'!J64,'16.8 KAMPALA-BUSUNJU-24HRS'!J64)</f>
        <v>0</v>
      </c>
      <c r="K64" s="49">
        <f>AVERAGE('15.8 KAMPALA-BUSUNJU-24 HRS'!K64,'16.8 KAMPALA-BUSUNJU-24HRS'!K64)</f>
        <v>0</v>
      </c>
      <c r="L64" s="49">
        <f>AVERAGE('15.8 KAMPALA-BUSUNJU-24 HRS'!L64,'16.8 KAMPALA-BUSUNJU-24HRS'!L64)</f>
        <v>0</v>
      </c>
      <c r="M64" s="49">
        <f>AVERAGE('15.8 KAMPALA-BUSUNJU-24 HRS'!M64,'16.8 KAMPALA-BUSUNJU-24HRS'!M64)</f>
        <v>7</v>
      </c>
      <c r="N64" s="49">
        <f>AVERAGE('15.8 KAMPALA-BUSUNJU-24 HRS'!N64,'16.8 KAMPALA-BUSUNJU-24HRS'!N64)</f>
        <v>0</v>
      </c>
      <c r="O64" s="15">
        <f t="shared" si="35"/>
        <v>4</v>
      </c>
      <c r="P64" s="15">
        <f t="shared" si="36"/>
        <v>11</v>
      </c>
      <c r="R64" s="8"/>
      <c r="T64"/>
    </row>
    <row r="65" spans="2:20" ht="23.1" customHeight="1" x14ac:dyDescent="0.25">
      <c r="B65" s="23" t="s">
        <v>158</v>
      </c>
      <c r="C65" s="49">
        <f>AVERAGE('15.8 KAMPALA-BUSUNJU-24 HRS'!C65,'16.8 KAMPALA-BUSUNJU-24HRS'!C65)</f>
        <v>1</v>
      </c>
      <c r="D65" s="49">
        <f>AVERAGE('15.8 KAMPALA-BUSUNJU-24 HRS'!D65,'16.8 KAMPALA-BUSUNJU-24HRS'!D65)</f>
        <v>0</v>
      </c>
      <c r="E65" s="49">
        <f>AVERAGE('15.8 KAMPALA-BUSUNJU-24 HRS'!E65,'16.8 KAMPALA-BUSUNJU-24HRS'!E65)</f>
        <v>0</v>
      </c>
      <c r="F65" s="49">
        <f>AVERAGE('15.8 KAMPALA-BUSUNJU-24 HRS'!F65,'16.8 KAMPALA-BUSUNJU-24HRS'!F65)</f>
        <v>0</v>
      </c>
      <c r="G65" s="49">
        <f>AVERAGE('15.8 KAMPALA-BUSUNJU-24 HRS'!G65,'16.8 KAMPALA-BUSUNJU-24HRS'!G65)</f>
        <v>0</v>
      </c>
      <c r="H65" s="49">
        <f>AVERAGE('15.8 KAMPALA-BUSUNJU-24 HRS'!H65,'16.8 KAMPALA-BUSUNJU-24HRS'!H65)</f>
        <v>0</v>
      </c>
      <c r="I65" s="49">
        <f>AVERAGE('15.8 KAMPALA-BUSUNJU-24 HRS'!I65,'16.8 KAMPALA-BUSUNJU-24HRS'!I65)</f>
        <v>1</v>
      </c>
      <c r="J65" s="49">
        <f>AVERAGE('15.8 KAMPALA-BUSUNJU-24 HRS'!J65,'16.8 KAMPALA-BUSUNJU-24HRS'!J65)</f>
        <v>0</v>
      </c>
      <c r="K65" s="49">
        <f>AVERAGE('15.8 KAMPALA-BUSUNJU-24 HRS'!K65,'16.8 KAMPALA-BUSUNJU-24HRS'!K65)</f>
        <v>0</v>
      </c>
      <c r="L65" s="49">
        <f>AVERAGE('15.8 KAMPALA-BUSUNJU-24 HRS'!L65,'16.8 KAMPALA-BUSUNJU-24HRS'!L65)</f>
        <v>0</v>
      </c>
      <c r="M65" s="49">
        <f>AVERAGE('15.8 KAMPALA-BUSUNJU-24 HRS'!M65,'16.8 KAMPALA-BUSUNJU-24HRS'!M65)</f>
        <v>5.5</v>
      </c>
      <c r="N65" s="49">
        <f>AVERAGE('15.8 KAMPALA-BUSUNJU-24 HRS'!N65,'16.8 KAMPALA-BUSUNJU-24HRS'!N65)</f>
        <v>0</v>
      </c>
      <c r="O65" s="15">
        <f t="shared" si="35"/>
        <v>2</v>
      </c>
      <c r="P65" s="15">
        <f t="shared" si="36"/>
        <v>7.5</v>
      </c>
      <c r="R65" s="8"/>
      <c r="T65"/>
    </row>
    <row r="66" spans="2:20" ht="23.1" customHeight="1" x14ac:dyDescent="0.25">
      <c r="B66" s="23" t="s">
        <v>103</v>
      </c>
      <c r="C66" s="49">
        <f>AVERAGE('15.8 KAMPALA-BUSUNJU-24 HRS'!C66,'16.8 KAMPALA-BUSUNJU-24HRS'!C66)</f>
        <v>1</v>
      </c>
      <c r="D66" s="49">
        <f>AVERAGE('15.8 KAMPALA-BUSUNJU-24 HRS'!D66,'16.8 KAMPALA-BUSUNJU-24HRS'!D66)</f>
        <v>1</v>
      </c>
      <c r="E66" s="49">
        <f>AVERAGE('15.8 KAMPALA-BUSUNJU-24 HRS'!E66,'16.8 KAMPALA-BUSUNJU-24HRS'!E66)</f>
        <v>1</v>
      </c>
      <c r="F66" s="49">
        <f>AVERAGE('15.8 KAMPALA-BUSUNJU-24 HRS'!F66,'16.8 KAMPALA-BUSUNJU-24HRS'!F66)</f>
        <v>0</v>
      </c>
      <c r="G66" s="49">
        <f>AVERAGE('15.8 KAMPALA-BUSUNJU-24 HRS'!G66,'16.8 KAMPALA-BUSUNJU-24HRS'!G66)</f>
        <v>0</v>
      </c>
      <c r="H66" s="49">
        <f>AVERAGE('15.8 KAMPALA-BUSUNJU-24 HRS'!H66,'16.8 KAMPALA-BUSUNJU-24HRS'!H66)</f>
        <v>0</v>
      </c>
      <c r="I66" s="49">
        <f>AVERAGE('15.8 KAMPALA-BUSUNJU-24 HRS'!I66,'16.8 KAMPALA-BUSUNJU-24HRS'!I66)</f>
        <v>2</v>
      </c>
      <c r="J66" s="49">
        <f>AVERAGE('15.8 KAMPALA-BUSUNJU-24 HRS'!J66,'16.8 KAMPALA-BUSUNJU-24HRS'!J66)</f>
        <v>0</v>
      </c>
      <c r="K66" s="49">
        <f>AVERAGE('15.8 KAMPALA-BUSUNJU-24 HRS'!K66,'16.8 KAMPALA-BUSUNJU-24HRS'!K66)</f>
        <v>0</v>
      </c>
      <c r="L66" s="49">
        <f>AVERAGE('15.8 KAMPALA-BUSUNJU-24 HRS'!L66,'16.8 KAMPALA-BUSUNJU-24HRS'!L66)</f>
        <v>0</v>
      </c>
      <c r="M66" s="49">
        <f>AVERAGE('15.8 KAMPALA-BUSUNJU-24 HRS'!M66,'16.8 KAMPALA-BUSUNJU-24HRS'!M66)</f>
        <v>6</v>
      </c>
      <c r="N66" s="49">
        <f>AVERAGE('15.8 KAMPALA-BUSUNJU-24 HRS'!N66,'16.8 KAMPALA-BUSUNJU-24HRS'!N66)</f>
        <v>0</v>
      </c>
      <c r="O66" s="15">
        <f t="shared" si="35"/>
        <v>5</v>
      </c>
      <c r="P66" s="15">
        <f t="shared" si="36"/>
        <v>11</v>
      </c>
      <c r="R66" s="8"/>
      <c r="T66"/>
    </row>
    <row r="67" spans="2:20" ht="23.1" customHeight="1" x14ac:dyDescent="0.25">
      <c r="B67" s="23" t="s">
        <v>104</v>
      </c>
      <c r="C67" s="49">
        <f>AVERAGE('15.8 KAMPALA-BUSUNJU-24 HRS'!C67,'16.8 KAMPALA-BUSUNJU-24HRS'!C67)</f>
        <v>2</v>
      </c>
      <c r="D67" s="49">
        <f>AVERAGE('15.8 KAMPALA-BUSUNJU-24 HRS'!D67,'16.8 KAMPALA-BUSUNJU-24HRS'!D67)</f>
        <v>1</v>
      </c>
      <c r="E67" s="49">
        <f>AVERAGE('15.8 KAMPALA-BUSUNJU-24 HRS'!E67,'16.8 KAMPALA-BUSUNJU-24HRS'!E67)</f>
        <v>3</v>
      </c>
      <c r="F67" s="49">
        <f>AVERAGE('15.8 KAMPALA-BUSUNJU-24 HRS'!F67,'16.8 KAMPALA-BUSUNJU-24HRS'!F67)</f>
        <v>0</v>
      </c>
      <c r="G67" s="49">
        <f>AVERAGE('15.8 KAMPALA-BUSUNJU-24 HRS'!G67,'16.8 KAMPALA-BUSUNJU-24HRS'!G67)</f>
        <v>0</v>
      </c>
      <c r="H67" s="49">
        <f>AVERAGE('15.8 KAMPALA-BUSUNJU-24 HRS'!H67,'16.8 KAMPALA-BUSUNJU-24HRS'!H67)</f>
        <v>0</v>
      </c>
      <c r="I67" s="49">
        <f>AVERAGE('15.8 KAMPALA-BUSUNJU-24 HRS'!I67,'16.8 KAMPALA-BUSUNJU-24HRS'!I67)</f>
        <v>2</v>
      </c>
      <c r="J67" s="49">
        <f>AVERAGE('15.8 KAMPALA-BUSUNJU-24 HRS'!J67,'16.8 KAMPALA-BUSUNJU-24HRS'!J67)</f>
        <v>0</v>
      </c>
      <c r="K67" s="49">
        <f>AVERAGE('15.8 KAMPALA-BUSUNJU-24 HRS'!K67,'16.8 KAMPALA-BUSUNJU-24HRS'!K67)</f>
        <v>0</v>
      </c>
      <c r="L67" s="49">
        <f>AVERAGE('15.8 KAMPALA-BUSUNJU-24 HRS'!L67,'16.8 KAMPALA-BUSUNJU-24HRS'!L67)</f>
        <v>0</v>
      </c>
      <c r="M67" s="49">
        <f>AVERAGE('15.8 KAMPALA-BUSUNJU-24 HRS'!M67,'16.8 KAMPALA-BUSUNJU-24HRS'!M67)</f>
        <v>3</v>
      </c>
      <c r="N67" s="49">
        <f>AVERAGE('15.8 KAMPALA-BUSUNJU-24 HRS'!N67,'16.8 KAMPALA-BUSUNJU-24HRS'!N67)</f>
        <v>0</v>
      </c>
      <c r="O67" s="15">
        <f t="shared" si="35"/>
        <v>8</v>
      </c>
      <c r="P67" s="15">
        <f t="shared" si="36"/>
        <v>11</v>
      </c>
      <c r="R67" s="8"/>
      <c r="T67"/>
    </row>
    <row r="68" spans="2:20" ht="23.1" customHeight="1" x14ac:dyDescent="0.25">
      <c r="B68" s="23" t="s">
        <v>105</v>
      </c>
      <c r="C68" s="49">
        <f>AVERAGE('15.8 KAMPALA-BUSUNJU-24 HRS'!C68,'16.8 KAMPALA-BUSUNJU-24HRS'!C68)</f>
        <v>1</v>
      </c>
      <c r="D68" s="49">
        <f>AVERAGE('15.8 KAMPALA-BUSUNJU-24 HRS'!D68,'16.8 KAMPALA-BUSUNJU-24HRS'!D68)</f>
        <v>0</v>
      </c>
      <c r="E68" s="49">
        <f>AVERAGE('15.8 KAMPALA-BUSUNJU-24 HRS'!E68,'16.8 KAMPALA-BUSUNJU-24HRS'!E68)</f>
        <v>2</v>
      </c>
      <c r="F68" s="49">
        <f>AVERAGE('15.8 KAMPALA-BUSUNJU-24 HRS'!F68,'16.8 KAMPALA-BUSUNJU-24HRS'!F68)</f>
        <v>1</v>
      </c>
      <c r="G68" s="49">
        <f>AVERAGE('15.8 KAMPALA-BUSUNJU-24 HRS'!G68,'16.8 KAMPALA-BUSUNJU-24HRS'!G68)</f>
        <v>0</v>
      </c>
      <c r="H68" s="49">
        <f>AVERAGE('15.8 KAMPALA-BUSUNJU-24 HRS'!H68,'16.8 KAMPALA-BUSUNJU-24HRS'!H68)</f>
        <v>0</v>
      </c>
      <c r="I68" s="49">
        <f>AVERAGE('15.8 KAMPALA-BUSUNJU-24 HRS'!I68,'16.8 KAMPALA-BUSUNJU-24HRS'!I68)</f>
        <v>0</v>
      </c>
      <c r="J68" s="49">
        <f>AVERAGE('15.8 KAMPALA-BUSUNJU-24 HRS'!J68,'16.8 KAMPALA-BUSUNJU-24HRS'!J68)</f>
        <v>0</v>
      </c>
      <c r="K68" s="49">
        <f>AVERAGE('15.8 KAMPALA-BUSUNJU-24 HRS'!K68,'16.8 KAMPALA-BUSUNJU-24HRS'!K68)</f>
        <v>0</v>
      </c>
      <c r="L68" s="49">
        <f>AVERAGE('15.8 KAMPALA-BUSUNJU-24 HRS'!L68,'16.8 KAMPALA-BUSUNJU-24HRS'!L68)</f>
        <v>0</v>
      </c>
      <c r="M68" s="49">
        <f>AVERAGE('15.8 KAMPALA-BUSUNJU-24 HRS'!M68,'16.8 KAMPALA-BUSUNJU-24HRS'!M68)</f>
        <v>4</v>
      </c>
      <c r="N68" s="49">
        <f>AVERAGE('15.8 KAMPALA-BUSUNJU-24 HRS'!N68,'16.8 KAMPALA-BUSUNJU-24HRS'!N68)</f>
        <v>0</v>
      </c>
      <c r="O68" s="15">
        <f t="shared" si="35"/>
        <v>4</v>
      </c>
      <c r="P68" s="15">
        <f t="shared" si="36"/>
        <v>8</v>
      </c>
      <c r="R68" s="8"/>
      <c r="T68"/>
    </row>
    <row r="69" spans="2:20" ht="23.1" customHeight="1" x14ac:dyDescent="0.25">
      <c r="B69" s="23" t="s">
        <v>106</v>
      </c>
      <c r="C69" s="49">
        <f>AVERAGE('15.8 KAMPALA-BUSUNJU-24 HRS'!C69,'16.8 KAMPALA-BUSUNJU-24HRS'!C69)</f>
        <v>2</v>
      </c>
      <c r="D69" s="49">
        <f>AVERAGE('15.8 KAMPALA-BUSUNJU-24 HRS'!D69,'16.8 KAMPALA-BUSUNJU-24HRS'!D69)</f>
        <v>0</v>
      </c>
      <c r="E69" s="49">
        <f>AVERAGE('15.8 KAMPALA-BUSUNJU-24 HRS'!E69,'16.8 KAMPALA-BUSUNJU-24HRS'!E69)</f>
        <v>1</v>
      </c>
      <c r="F69" s="49">
        <f>AVERAGE('15.8 KAMPALA-BUSUNJU-24 HRS'!F69,'16.8 KAMPALA-BUSUNJU-24HRS'!F69)</f>
        <v>0</v>
      </c>
      <c r="G69" s="49">
        <f>AVERAGE('15.8 KAMPALA-BUSUNJU-24 HRS'!G69,'16.8 KAMPALA-BUSUNJU-24HRS'!G69)</f>
        <v>0</v>
      </c>
      <c r="H69" s="49">
        <f>AVERAGE('15.8 KAMPALA-BUSUNJU-24 HRS'!H69,'16.8 KAMPALA-BUSUNJU-24HRS'!H69)</f>
        <v>0</v>
      </c>
      <c r="I69" s="49">
        <f>AVERAGE('15.8 KAMPALA-BUSUNJU-24 HRS'!I69,'16.8 KAMPALA-BUSUNJU-24HRS'!I69)</f>
        <v>0</v>
      </c>
      <c r="J69" s="49">
        <f>AVERAGE('15.8 KAMPALA-BUSUNJU-24 HRS'!J69,'16.8 KAMPALA-BUSUNJU-24HRS'!J69)</f>
        <v>0</v>
      </c>
      <c r="K69" s="49">
        <f>AVERAGE('15.8 KAMPALA-BUSUNJU-24 HRS'!K69,'16.8 KAMPALA-BUSUNJU-24HRS'!K69)</f>
        <v>0</v>
      </c>
      <c r="L69" s="49">
        <f>AVERAGE('15.8 KAMPALA-BUSUNJU-24 HRS'!L69,'16.8 KAMPALA-BUSUNJU-24HRS'!L69)</f>
        <v>0</v>
      </c>
      <c r="M69" s="49">
        <f>AVERAGE('15.8 KAMPALA-BUSUNJU-24 HRS'!M69,'16.8 KAMPALA-BUSUNJU-24HRS'!M69)</f>
        <v>2</v>
      </c>
      <c r="N69" s="49">
        <f>AVERAGE('15.8 KAMPALA-BUSUNJU-24 HRS'!N69,'16.8 KAMPALA-BUSUNJU-24HRS'!N69)</f>
        <v>0</v>
      </c>
      <c r="O69" s="15">
        <f t="shared" si="35"/>
        <v>3</v>
      </c>
      <c r="P69" s="15">
        <f t="shared" si="36"/>
        <v>5</v>
      </c>
      <c r="R69" s="8"/>
      <c r="T69"/>
    </row>
    <row r="70" spans="2:20" ht="23.1" customHeight="1" x14ac:dyDescent="0.25">
      <c r="B70" s="23" t="s">
        <v>110</v>
      </c>
      <c r="C70" s="49">
        <f>AVERAGE('15.8 KAMPALA-BUSUNJU-24 HRS'!C70,'16.8 KAMPALA-BUSUNJU-24HRS'!C70)</f>
        <v>1</v>
      </c>
      <c r="D70" s="49">
        <f>AVERAGE('15.8 KAMPALA-BUSUNJU-24 HRS'!D70,'16.8 KAMPALA-BUSUNJU-24HRS'!D70)</f>
        <v>0</v>
      </c>
      <c r="E70" s="49">
        <f>AVERAGE('15.8 KAMPALA-BUSUNJU-24 HRS'!E70,'16.8 KAMPALA-BUSUNJU-24HRS'!E70)</f>
        <v>0</v>
      </c>
      <c r="F70" s="49">
        <f>AVERAGE('15.8 KAMPALA-BUSUNJU-24 HRS'!F70,'16.8 KAMPALA-BUSUNJU-24HRS'!F70)</f>
        <v>0</v>
      </c>
      <c r="G70" s="49">
        <f>AVERAGE('15.8 KAMPALA-BUSUNJU-24 HRS'!G70,'16.8 KAMPALA-BUSUNJU-24HRS'!G70)</f>
        <v>0</v>
      </c>
      <c r="H70" s="49">
        <f>AVERAGE('15.8 KAMPALA-BUSUNJU-24 HRS'!H70,'16.8 KAMPALA-BUSUNJU-24HRS'!H70)</f>
        <v>0</v>
      </c>
      <c r="I70" s="49">
        <f>AVERAGE('15.8 KAMPALA-BUSUNJU-24 HRS'!I70,'16.8 KAMPALA-BUSUNJU-24HRS'!I70)</f>
        <v>3</v>
      </c>
      <c r="J70" s="49">
        <f>AVERAGE('15.8 KAMPALA-BUSUNJU-24 HRS'!J70,'16.8 KAMPALA-BUSUNJU-24HRS'!J70)</f>
        <v>1</v>
      </c>
      <c r="K70" s="49">
        <f>AVERAGE('15.8 KAMPALA-BUSUNJU-24 HRS'!K70,'16.8 KAMPALA-BUSUNJU-24HRS'!K70)</f>
        <v>0</v>
      </c>
      <c r="L70" s="49">
        <f>AVERAGE('15.8 KAMPALA-BUSUNJU-24 HRS'!L70,'16.8 KAMPALA-BUSUNJU-24HRS'!L70)</f>
        <v>0</v>
      </c>
      <c r="M70" s="49">
        <f>AVERAGE('15.8 KAMPALA-BUSUNJU-24 HRS'!M70,'16.8 KAMPALA-BUSUNJU-24HRS'!M70)</f>
        <v>0</v>
      </c>
      <c r="N70" s="49">
        <f>AVERAGE('15.8 KAMPALA-BUSUNJU-24 HRS'!N70,'16.8 KAMPALA-BUSUNJU-24HRS'!N70)</f>
        <v>0</v>
      </c>
      <c r="O70" s="15">
        <f t="shared" si="35"/>
        <v>5</v>
      </c>
      <c r="P70" s="15">
        <f t="shared" si="36"/>
        <v>5</v>
      </c>
      <c r="R70" s="8"/>
      <c r="T70"/>
    </row>
    <row r="71" spans="2:20" ht="23.1" customHeight="1" x14ac:dyDescent="0.25">
      <c r="B71" s="23" t="s">
        <v>111</v>
      </c>
      <c r="C71" s="49">
        <f>AVERAGE('15.8 KAMPALA-BUSUNJU-24 HRS'!C71,'16.8 KAMPALA-BUSUNJU-24HRS'!C71)</f>
        <v>2</v>
      </c>
      <c r="D71" s="49">
        <f>AVERAGE('15.8 KAMPALA-BUSUNJU-24 HRS'!D71,'16.8 KAMPALA-BUSUNJU-24HRS'!D71)</f>
        <v>0</v>
      </c>
      <c r="E71" s="49">
        <f>AVERAGE('15.8 KAMPALA-BUSUNJU-24 HRS'!E71,'16.8 KAMPALA-BUSUNJU-24HRS'!E71)</f>
        <v>1</v>
      </c>
      <c r="F71" s="49">
        <f>AVERAGE('15.8 KAMPALA-BUSUNJU-24 HRS'!F71,'16.8 KAMPALA-BUSUNJU-24HRS'!F71)</f>
        <v>0</v>
      </c>
      <c r="G71" s="49">
        <f>AVERAGE('15.8 KAMPALA-BUSUNJU-24 HRS'!G71,'16.8 KAMPALA-BUSUNJU-24HRS'!G71)</f>
        <v>0</v>
      </c>
      <c r="H71" s="49">
        <f>AVERAGE('15.8 KAMPALA-BUSUNJU-24 HRS'!H71,'16.8 KAMPALA-BUSUNJU-24HRS'!H71)</f>
        <v>0</v>
      </c>
      <c r="I71" s="49">
        <f>AVERAGE('15.8 KAMPALA-BUSUNJU-24 HRS'!I71,'16.8 KAMPALA-BUSUNJU-24HRS'!I71)</f>
        <v>0</v>
      </c>
      <c r="J71" s="49">
        <f>AVERAGE('15.8 KAMPALA-BUSUNJU-24 HRS'!J71,'16.8 KAMPALA-BUSUNJU-24HRS'!J71)</f>
        <v>0</v>
      </c>
      <c r="K71" s="49">
        <f>AVERAGE('15.8 KAMPALA-BUSUNJU-24 HRS'!K71,'16.8 KAMPALA-BUSUNJU-24HRS'!K71)</f>
        <v>0</v>
      </c>
      <c r="L71" s="49">
        <f>AVERAGE('15.8 KAMPALA-BUSUNJU-24 HRS'!L71,'16.8 KAMPALA-BUSUNJU-24HRS'!L71)</f>
        <v>0</v>
      </c>
      <c r="M71" s="49">
        <f>AVERAGE('15.8 KAMPALA-BUSUNJU-24 HRS'!M71,'16.8 KAMPALA-BUSUNJU-24HRS'!M71)</f>
        <v>1</v>
      </c>
      <c r="N71" s="49">
        <f>AVERAGE('15.8 KAMPALA-BUSUNJU-24 HRS'!N71,'16.8 KAMPALA-BUSUNJU-24HRS'!N71)</f>
        <v>0</v>
      </c>
      <c r="O71" s="15">
        <f t="shared" si="35"/>
        <v>3</v>
      </c>
      <c r="P71" s="15">
        <f t="shared" si="36"/>
        <v>4</v>
      </c>
      <c r="R71" s="8"/>
      <c r="T71"/>
    </row>
    <row r="72" spans="2:20" ht="23.1" customHeight="1" x14ac:dyDescent="0.25">
      <c r="B72" s="23" t="s">
        <v>112</v>
      </c>
      <c r="C72" s="49">
        <f>AVERAGE('15.8 KAMPALA-BUSUNJU-24 HRS'!C72,'16.8 KAMPALA-BUSUNJU-24HRS'!C72)</f>
        <v>2</v>
      </c>
      <c r="D72" s="49">
        <f>AVERAGE('15.8 KAMPALA-BUSUNJU-24 HRS'!D72,'16.8 KAMPALA-BUSUNJU-24HRS'!D72)</f>
        <v>0</v>
      </c>
      <c r="E72" s="49">
        <f>AVERAGE('15.8 KAMPALA-BUSUNJU-24 HRS'!E72,'16.8 KAMPALA-BUSUNJU-24HRS'!E72)</f>
        <v>0</v>
      </c>
      <c r="F72" s="49">
        <f>AVERAGE('15.8 KAMPALA-BUSUNJU-24 HRS'!F72,'16.8 KAMPALA-BUSUNJU-24HRS'!F72)</f>
        <v>0</v>
      </c>
      <c r="G72" s="49">
        <f>AVERAGE('15.8 KAMPALA-BUSUNJU-24 HRS'!G72,'16.8 KAMPALA-BUSUNJU-24HRS'!G72)</f>
        <v>0</v>
      </c>
      <c r="H72" s="49">
        <f>AVERAGE('15.8 KAMPALA-BUSUNJU-24 HRS'!H72,'16.8 KAMPALA-BUSUNJU-24HRS'!H72)</f>
        <v>0</v>
      </c>
      <c r="I72" s="49">
        <f>AVERAGE('15.8 KAMPALA-BUSUNJU-24 HRS'!I72,'16.8 KAMPALA-BUSUNJU-24HRS'!I72)</f>
        <v>2</v>
      </c>
      <c r="J72" s="49">
        <f>AVERAGE('15.8 KAMPALA-BUSUNJU-24 HRS'!J72,'16.8 KAMPALA-BUSUNJU-24HRS'!J72)</f>
        <v>0</v>
      </c>
      <c r="K72" s="49">
        <f>AVERAGE('15.8 KAMPALA-BUSUNJU-24 HRS'!K72,'16.8 KAMPALA-BUSUNJU-24HRS'!K72)</f>
        <v>0</v>
      </c>
      <c r="L72" s="49">
        <f>AVERAGE('15.8 KAMPALA-BUSUNJU-24 HRS'!L72,'16.8 KAMPALA-BUSUNJU-24HRS'!L72)</f>
        <v>0</v>
      </c>
      <c r="M72" s="49">
        <f>AVERAGE('15.8 KAMPALA-BUSUNJU-24 HRS'!M72,'16.8 KAMPALA-BUSUNJU-24HRS'!M72)</f>
        <v>1</v>
      </c>
      <c r="N72" s="49">
        <f>AVERAGE('15.8 KAMPALA-BUSUNJU-24 HRS'!N72,'16.8 KAMPALA-BUSUNJU-24HRS'!N72)</f>
        <v>0.5</v>
      </c>
      <c r="O72" s="15">
        <f t="shared" si="35"/>
        <v>4.5</v>
      </c>
      <c r="P72" s="15">
        <f t="shared" si="36"/>
        <v>5.5</v>
      </c>
      <c r="R72" s="8"/>
      <c r="T72"/>
    </row>
    <row r="73" spans="2:20" ht="23.1" customHeight="1" x14ac:dyDescent="0.25">
      <c r="B73" s="23" t="s">
        <v>113</v>
      </c>
      <c r="C73" s="49">
        <f>AVERAGE('15.8 KAMPALA-BUSUNJU-24 HRS'!C73,'16.8 KAMPALA-BUSUNJU-24HRS'!C73)</f>
        <v>0</v>
      </c>
      <c r="D73" s="49">
        <f>AVERAGE('15.8 KAMPALA-BUSUNJU-24 HRS'!D73,'16.8 KAMPALA-BUSUNJU-24HRS'!D73)</f>
        <v>0</v>
      </c>
      <c r="E73" s="49">
        <f>AVERAGE('15.8 KAMPALA-BUSUNJU-24 HRS'!E73,'16.8 KAMPALA-BUSUNJU-24HRS'!E73)</f>
        <v>2</v>
      </c>
      <c r="F73" s="49">
        <f>AVERAGE('15.8 KAMPALA-BUSUNJU-24 HRS'!F73,'16.8 KAMPALA-BUSUNJU-24HRS'!F73)</f>
        <v>1</v>
      </c>
      <c r="G73" s="49">
        <f>AVERAGE('15.8 KAMPALA-BUSUNJU-24 HRS'!G73,'16.8 KAMPALA-BUSUNJU-24HRS'!G73)</f>
        <v>0</v>
      </c>
      <c r="H73" s="49">
        <f>AVERAGE('15.8 KAMPALA-BUSUNJU-24 HRS'!H73,'16.8 KAMPALA-BUSUNJU-24HRS'!H73)</f>
        <v>0</v>
      </c>
      <c r="I73" s="49">
        <f>AVERAGE('15.8 KAMPALA-BUSUNJU-24 HRS'!I73,'16.8 KAMPALA-BUSUNJU-24HRS'!I73)</f>
        <v>0</v>
      </c>
      <c r="J73" s="49">
        <f>AVERAGE('15.8 KAMPALA-BUSUNJU-24 HRS'!J73,'16.8 KAMPALA-BUSUNJU-24HRS'!J73)</f>
        <v>0</v>
      </c>
      <c r="K73" s="49">
        <f>AVERAGE('15.8 KAMPALA-BUSUNJU-24 HRS'!K73,'16.8 KAMPALA-BUSUNJU-24HRS'!K73)</f>
        <v>0</v>
      </c>
      <c r="L73" s="49">
        <f>AVERAGE('15.8 KAMPALA-BUSUNJU-24 HRS'!L73,'16.8 KAMPALA-BUSUNJU-24HRS'!L73)</f>
        <v>0</v>
      </c>
      <c r="M73" s="49">
        <f>AVERAGE('15.8 KAMPALA-BUSUNJU-24 HRS'!M73,'16.8 KAMPALA-BUSUNJU-24HRS'!M73)</f>
        <v>2</v>
      </c>
      <c r="N73" s="49">
        <f>AVERAGE('15.8 KAMPALA-BUSUNJU-24 HRS'!N73,'16.8 KAMPALA-BUSUNJU-24HRS'!N73)</f>
        <v>0</v>
      </c>
      <c r="O73" s="15">
        <f t="shared" si="35"/>
        <v>3</v>
      </c>
      <c r="P73" s="15">
        <f t="shared" si="36"/>
        <v>5</v>
      </c>
      <c r="R73" s="8"/>
      <c r="T73"/>
    </row>
    <row r="74" spans="2:20" ht="23.1" customHeight="1" x14ac:dyDescent="0.25">
      <c r="B74" s="23" t="s">
        <v>114</v>
      </c>
      <c r="C74" s="49">
        <f>AVERAGE('15.8 KAMPALA-BUSUNJU-24 HRS'!C74,'16.8 KAMPALA-BUSUNJU-24HRS'!C74)</f>
        <v>1</v>
      </c>
      <c r="D74" s="49">
        <f>AVERAGE('15.8 KAMPALA-BUSUNJU-24 HRS'!D74,'16.8 KAMPALA-BUSUNJU-24HRS'!D74)</f>
        <v>0</v>
      </c>
      <c r="E74" s="49">
        <f>AVERAGE('15.8 KAMPALA-BUSUNJU-24 HRS'!E74,'16.8 KAMPALA-BUSUNJU-24HRS'!E74)</f>
        <v>1</v>
      </c>
      <c r="F74" s="49">
        <f>AVERAGE('15.8 KAMPALA-BUSUNJU-24 HRS'!F74,'16.8 KAMPALA-BUSUNJU-24HRS'!F74)</f>
        <v>0</v>
      </c>
      <c r="G74" s="49">
        <f>AVERAGE('15.8 KAMPALA-BUSUNJU-24 HRS'!G74,'16.8 KAMPALA-BUSUNJU-24HRS'!G74)</f>
        <v>0</v>
      </c>
      <c r="H74" s="49">
        <f>AVERAGE('15.8 KAMPALA-BUSUNJU-24 HRS'!H74,'16.8 KAMPALA-BUSUNJU-24HRS'!H74)</f>
        <v>0</v>
      </c>
      <c r="I74" s="49">
        <f>AVERAGE('15.8 KAMPALA-BUSUNJU-24 HRS'!I74,'16.8 KAMPALA-BUSUNJU-24HRS'!I74)</f>
        <v>0</v>
      </c>
      <c r="J74" s="49">
        <f>AVERAGE('15.8 KAMPALA-BUSUNJU-24 HRS'!J74,'16.8 KAMPALA-BUSUNJU-24HRS'!J74)</f>
        <v>0</v>
      </c>
      <c r="K74" s="49">
        <f>AVERAGE('15.8 KAMPALA-BUSUNJU-24 HRS'!K74,'16.8 KAMPALA-BUSUNJU-24HRS'!K74)</f>
        <v>0</v>
      </c>
      <c r="L74" s="49">
        <f>AVERAGE('15.8 KAMPALA-BUSUNJU-24 HRS'!L74,'16.8 KAMPALA-BUSUNJU-24HRS'!L74)</f>
        <v>0</v>
      </c>
      <c r="M74" s="49">
        <f>AVERAGE('15.8 KAMPALA-BUSUNJU-24 HRS'!M74,'16.8 KAMPALA-BUSUNJU-24HRS'!M74)</f>
        <v>2</v>
      </c>
      <c r="N74" s="49">
        <f>AVERAGE('15.8 KAMPALA-BUSUNJU-24 HRS'!N74,'16.8 KAMPALA-BUSUNJU-24HRS'!N74)</f>
        <v>0</v>
      </c>
      <c r="O74" s="15">
        <f t="shared" si="35"/>
        <v>2</v>
      </c>
      <c r="P74" s="15">
        <f t="shared" si="36"/>
        <v>4</v>
      </c>
      <c r="R74" s="8"/>
      <c r="T74"/>
    </row>
    <row r="75" spans="2:20" ht="23.1" customHeight="1" x14ac:dyDescent="0.25">
      <c r="B75" s="23" t="s">
        <v>115</v>
      </c>
      <c r="C75" s="49">
        <f>AVERAGE('15.8 KAMPALA-BUSUNJU-24 HRS'!C75,'16.8 KAMPALA-BUSUNJU-24HRS'!C75)</f>
        <v>1</v>
      </c>
      <c r="D75" s="49">
        <f>AVERAGE('15.8 KAMPALA-BUSUNJU-24 HRS'!D75,'16.8 KAMPALA-BUSUNJU-24HRS'!D75)</f>
        <v>0</v>
      </c>
      <c r="E75" s="49">
        <f>AVERAGE('15.8 KAMPALA-BUSUNJU-24 HRS'!E75,'16.8 KAMPALA-BUSUNJU-24HRS'!E75)</f>
        <v>0</v>
      </c>
      <c r="F75" s="49">
        <f>AVERAGE('15.8 KAMPALA-BUSUNJU-24 HRS'!F75,'16.8 KAMPALA-BUSUNJU-24HRS'!F75)</f>
        <v>0</v>
      </c>
      <c r="G75" s="49">
        <f>AVERAGE('15.8 KAMPALA-BUSUNJU-24 HRS'!G75,'16.8 KAMPALA-BUSUNJU-24HRS'!G75)</f>
        <v>0</v>
      </c>
      <c r="H75" s="49">
        <f>AVERAGE('15.8 KAMPALA-BUSUNJU-24 HRS'!H75,'16.8 KAMPALA-BUSUNJU-24HRS'!H75)</f>
        <v>0</v>
      </c>
      <c r="I75" s="49">
        <f>AVERAGE('15.8 KAMPALA-BUSUNJU-24 HRS'!I75,'16.8 KAMPALA-BUSUNJU-24HRS'!I75)</f>
        <v>0</v>
      </c>
      <c r="J75" s="49">
        <f>AVERAGE('15.8 KAMPALA-BUSUNJU-24 HRS'!J75,'16.8 KAMPALA-BUSUNJU-24HRS'!J75)</f>
        <v>0</v>
      </c>
      <c r="K75" s="49">
        <f>AVERAGE('15.8 KAMPALA-BUSUNJU-24 HRS'!K75,'16.8 KAMPALA-BUSUNJU-24HRS'!K75)</f>
        <v>0</v>
      </c>
      <c r="L75" s="49">
        <f>AVERAGE('15.8 KAMPALA-BUSUNJU-24 HRS'!L75,'16.8 KAMPALA-BUSUNJU-24HRS'!L75)</f>
        <v>0</v>
      </c>
      <c r="M75" s="49">
        <f>AVERAGE('15.8 KAMPALA-BUSUNJU-24 HRS'!M75,'16.8 KAMPALA-BUSUNJU-24HRS'!M75)</f>
        <v>0</v>
      </c>
      <c r="N75" s="49">
        <f>AVERAGE('15.8 KAMPALA-BUSUNJU-24 HRS'!N75,'16.8 KAMPALA-BUSUNJU-24HRS'!N75)</f>
        <v>0</v>
      </c>
      <c r="O75" s="15">
        <f t="shared" si="35"/>
        <v>1</v>
      </c>
      <c r="P75" s="15">
        <f t="shared" si="36"/>
        <v>1</v>
      </c>
      <c r="R75" s="8"/>
      <c r="T75"/>
    </row>
    <row r="76" spans="2:20" ht="23.1" customHeight="1" x14ac:dyDescent="0.25">
      <c r="B76" s="23" t="s">
        <v>116</v>
      </c>
      <c r="C76" s="49">
        <f>AVERAGE('15.8 KAMPALA-BUSUNJU-24 HRS'!C76,'16.8 KAMPALA-BUSUNJU-24HRS'!C76)</f>
        <v>1</v>
      </c>
      <c r="D76" s="49">
        <f>AVERAGE('15.8 KAMPALA-BUSUNJU-24 HRS'!D76,'16.8 KAMPALA-BUSUNJU-24HRS'!D76)</f>
        <v>0</v>
      </c>
      <c r="E76" s="49">
        <f>AVERAGE('15.8 KAMPALA-BUSUNJU-24 HRS'!E76,'16.8 KAMPALA-BUSUNJU-24HRS'!E76)</f>
        <v>1</v>
      </c>
      <c r="F76" s="49">
        <f>AVERAGE('15.8 KAMPALA-BUSUNJU-24 HRS'!F76,'16.8 KAMPALA-BUSUNJU-24HRS'!F76)</f>
        <v>0</v>
      </c>
      <c r="G76" s="49">
        <f>AVERAGE('15.8 KAMPALA-BUSUNJU-24 HRS'!G76,'16.8 KAMPALA-BUSUNJU-24HRS'!G76)</f>
        <v>0</v>
      </c>
      <c r="H76" s="49">
        <f>AVERAGE('15.8 KAMPALA-BUSUNJU-24 HRS'!H76,'16.8 KAMPALA-BUSUNJU-24HRS'!H76)</f>
        <v>0</v>
      </c>
      <c r="I76" s="49">
        <f>AVERAGE('15.8 KAMPALA-BUSUNJU-24 HRS'!I76,'16.8 KAMPALA-BUSUNJU-24HRS'!I76)</f>
        <v>1</v>
      </c>
      <c r="J76" s="49">
        <f>AVERAGE('15.8 KAMPALA-BUSUNJU-24 HRS'!J76,'16.8 KAMPALA-BUSUNJU-24HRS'!J76)</f>
        <v>0</v>
      </c>
      <c r="K76" s="49">
        <f>AVERAGE('15.8 KAMPALA-BUSUNJU-24 HRS'!K76,'16.8 KAMPALA-BUSUNJU-24HRS'!K76)</f>
        <v>0</v>
      </c>
      <c r="L76" s="49">
        <f>AVERAGE('15.8 KAMPALA-BUSUNJU-24 HRS'!L76,'16.8 KAMPALA-BUSUNJU-24HRS'!L76)</f>
        <v>0</v>
      </c>
      <c r="M76" s="49">
        <f>AVERAGE('15.8 KAMPALA-BUSUNJU-24 HRS'!M76,'16.8 KAMPALA-BUSUNJU-24HRS'!M76)</f>
        <v>1</v>
      </c>
      <c r="N76" s="49">
        <f>AVERAGE('15.8 KAMPALA-BUSUNJU-24 HRS'!N76,'16.8 KAMPALA-BUSUNJU-24HRS'!N76)</f>
        <v>0</v>
      </c>
      <c r="O76" s="15">
        <f t="shared" si="35"/>
        <v>3</v>
      </c>
      <c r="P76" s="15">
        <f t="shared" si="36"/>
        <v>4</v>
      </c>
      <c r="R76" s="8"/>
      <c r="T76"/>
    </row>
    <row r="77" spans="2:20" ht="23.1" customHeight="1" x14ac:dyDescent="0.25">
      <c r="B77" s="23" t="s">
        <v>117</v>
      </c>
      <c r="C77" s="49">
        <f>AVERAGE('15.8 KAMPALA-BUSUNJU-24 HRS'!C77,'16.8 KAMPALA-BUSUNJU-24HRS'!C77)</f>
        <v>2</v>
      </c>
      <c r="D77" s="49">
        <f>AVERAGE('15.8 KAMPALA-BUSUNJU-24 HRS'!D77,'16.8 KAMPALA-BUSUNJU-24HRS'!D77)</f>
        <v>1</v>
      </c>
      <c r="E77" s="49">
        <f>AVERAGE('15.8 KAMPALA-BUSUNJU-24 HRS'!E77,'16.8 KAMPALA-BUSUNJU-24HRS'!E77)</f>
        <v>1</v>
      </c>
      <c r="F77" s="49">
        <f>AVERAGE('15.8 KAMPALA-BUSUNJU-24 HRS'!F77,'16.8 KAMPALA-BUSUNJU-24HRS'!F77)</f>
        <v>0</v>
      </c>
      <c r="G77" s="49">
        <f>AVERAGE('15.8 KAMPALA-BUSUNJU-24 HRS'!G77,'16.8 KAMPALA-BUSUNJU-24HRS'!G77)</f>
        <v>0</v>
      </c>
      <c r="H77" s="49">
        <f>AVERAGE('15.8 KAMPALA-BUSUNJU-24 HRS'!H77,'16.8 KAMPALA-BUSUNJU-24HRS'!H77)</f>
        <v>0</v>
      </c>
      <c r="I77" s="49">
        <f>AVERAGE('15.8 KAMPALA-BUSUNJU-24 HRS'!I77,'16.8 KAMPALA-BUSUNJU-24HRS'!I77)</f>
        <v>0</v>
      </c>
      <c r="J77" s="49">
        <f>AVERAGE('15.8 KAMPALA-BUSUNJU-24 HRS'!J77,'16.8 KAMPALA-BUSUNJU-24HRS'!J77)</f>
        <v>0</v>
      </c>
      <c r="K77" s="49">
        <f>AVERAGE('15.8 KAMPALA-BUSUNJU-24 HRS'!K77,'16.8 KAMPALA-BUSUNJU-24HRS'!K77)</f>
        <v>0</v>
      </c>
      <c r="L77" s="49">
        <f>AVERAGE('15.8 KAMPALA-BUSUNJU-24 HRS'!L77,'16.8 KAMPALA-BUSUNJU-24HRS'!L77)</f>
        <v>0</v>
      </c>
      <c r="M77" s="49">
        <f>AVERAGE('15.8 KAMPALA-BUSUNJU-24 HRS'!M77,'16.8 KAMPALA-BUSUNJU-24HRS'!M77)</f>
        <v>0</v>
      </c>
      <c r="N77" s="49">
        <f>AVERAGE('15.8 KAMPALA-BUSUNJU-24 HRS'!N77,'16.8 KAMPALA-BUSUNJU-24HRS'!N77)</f>
        <v>0</v>
      </c>
      <c r="O77" s="15">
        <f t="shared" si="35"/>
        <v>4</v>
      </c>
      <c r="P77" s="15">
        <f t="shared" si="36"/>
        <v>4</v>
      </c>
      <c r="R77" s="8"/>
      <c r="T77"/>
    </row>
    <row r="78" spans="2:20" ht="23.1" customHeight="1" x14ac:dyDescent="0.25">
      <c r="B78" s="24" t="s">
        <v>118</v>
      </c>
      <c r="C78" s="49">
        <f>AVERAGE('15.8 KAMPALA-BUSUNJU-24 HRS'!C78,'16.8 KAMPALA-BUSUNJU-24HRS'!C78)</f>
        <v>1</v>
      </c>
      <c r="D78" s="49">
        <f>AVERAGE('15.8 KAMPALA-BUSUNJU-24 HRS'!D78,'16.8 KAMPALA-BUSUNJU-24HRS'!D78)</f>
        <v>0</v>
      </c>
      <c r="E78" s="49">
        <f>AVERAGE('15.8 KAMPALA-BUSUNJU-24 HRS'!E78,'16.8 KAMPALA-BUSUNJU-24HRS'!E78)</f>
        <v>0</v>
      </c>
      <c r="F78" s="49">
        <f>AVERAGE('15.8 KAMPALA-BUSUNJU-24 HRS'!F78,'16.8 KAMPALA-BUSUNJU-24HRS'!F78)</f>
        <v>0</v>
      </c>
      <c r="G78" s="49">
        <f>AVERAGE('15.8 KAMPALA-BUSUNJU-24 HRS'!G78,'16.8 KAMPALA-BUSUNJU-24HRS'!G78)</f>
        <v>0</v>
      </c>
      <c r="H78" s="49">
        <f>AVERAGE('15.8 KAMPALA-BUSUNJU-24 HRS'!H78,'16.8 KAMPALA-BUSUNJU-24HRS'!H78)</f>
        <v>0</v>
      </c>
      <c r="I78" s="49">
        <f>AVERAGE('15.8 KAMPALA-BUSUNJU-24 HRS'!I78,'16.8 KAMPALA-BUSUNJU-24HRS'!I78)</f>
        <v>1</v>
      </c>
      <c r="J78" s="49">
        <f>AVERAGE('15.8 KAMPALA-BUSUNJU-24 HRS'!J78,'16.8 KAMPALA-BUSUNJU-24HRS'!J78)</f>
        <v>0</v>
      </c>
      <c r="K78" s="49">
        <f>AVERAGE('15.8 KAMPALA-BUSUNJU-24 HRS'!K78,'16.8 KAMPALA-BUSUNJU-24HRS'!K78)</f>
        <v>0</v>
      </c>
      <c r="L78" s="49">
        <f>AVERAGE('15.8 KAMPALA-BUSUNJU-24 HRS'!L78,'16.8 KAMPALA-BUSUNJU-24HRS'!L78)</f>
        <v>0</v>
      </c>
      <c r="M78" s="49">
        <f>AVERAGE('15.8 KAMPALA-BUSUNJU-24 HRS'!M78,'16.8 KAMPALA-BUSUNJU-24HRS'!M78)</f>
        <v>2</v>
      </c>
      <c r="N78" s="49">
        <f>AVERAGE('15.8 KAMPALA-BUSUNJU-24 HRS'!N78,'16.8 KAMPALA-BUSUNJU-24HRS'!N78)</f>
        <v>0</v>
      </c>
      <c r="O78" s="15">
        <f t="shared" si="35"/>
        <v>2</v>
      </c>
      <c r="P78" s="15">
        <f t="shared" si="36"/>
        <v>4</v>
      </c>
      <c r="R78" s="8"/>
      <c r="T78"/>
    </row>
    <row r="79" spans="2:20" ht="23.1" customHeight="1" x14ac:dyDescent="0.25">
      <c r="B79" s="23" t="s">
        <v>119</v>
      </c>
      <c r="C79" s="49">
        <f>AVERAGE('15.8 KAMPALA-BUSUNJU-24 HRS'!C79,'16.8 KAMPALA-BUSUNJU-24HRS'!C79)</f>
        <v>0</v>
      </c>
      <c r="D79" s="49">
        <f>AVERAGE('15.8 KAMPALA-BUSUNJU-24 HRS'!D79,'16.8 KAMPALA-BUSUNJU-24HRS'!D79)</f>
        <v>0</v>
      </c>
      <c r="E79" s="49">
        <f>AVERAGE('15.8 KAMPALA-BUSUNJU-24 HRS'!E79,'16.8 KAMPALA-BUSUNJU-24HRS'!E79)</f>
        <v>0</v>
      </c>
      <c r="F79" s="49">
        <f>AVERAGE('15.8 KAMPALA-BUSUNJU-24 HRS'!F79,'16.8 KAMPALA-BUSUNJU-24HRS'!F79)</f>
        <v>0</v>
      </c>
      <c r="G79" s="49">
        <f>AVERAGE('15.8 KAMPALA-BUSUNJU-24 HRS'!G79,'16.8 KAMPALA-BUSUNJU-24HRS'!G79)</f>
        <v>0</v>
      </c>
      <c r="H79" s="49">
        <f>AVERAGE('15.8 KAMPALA-BUSUNJU-24 HRS'!H79,'16.8 KAMPALA-BUSUNJU-24HRS'!H79)</f>
        <v>0</v>
      </c>
      <c r="I79" s="49">
        <f>AVERAGE('15.8 KAMPALA-BUSUNJU-24 HRS'!I79,'16.8 KAMPALA-BUSUNJU-24HRS'!I79)</f>
        <v>0</v>
      </c>
      <c r="J79" s="49">
        <f>AVERAGE('15.8 KAMPALA-BUSUNJU-24 HRS'!J79,'16.8 KAMPALA-BUSUNJU-24HRS'!J79)</f>
        <v>0</v>
      </c>
      <c r="K79" s="49">
        <f>AVERAGE('15.8 KAMPALA-BUSUNJU-24 HRS'!K79,'16.8 KAMPALA-BUSUNJU-24HRS'!K79)</f>
        <v>0</v>
      </c>
      <c r="L79" s="49">
        <f>AVERAGE('15.8 KAMPALA-BUSUNJU-24 HRS'!L79,'16.8 KAMPALA-BUSUNJU-24HRS'!L79)</f>
        <v>0</v>
      </c>
      <c r="M79" s="49">
        <f>AVERAGE('15.8 KAMPALA-BUSUNJU-24 HRS'!M79,'16.8 KAMPALA-BUSUNJU-24HRS'!M79)</f>
        <v>1</v>
      </c>
      <c r="N79" s="49">
        <f>AVERAGE('15.8 KAMPALA-BUSUNJU-24 HRS'!N79,'16.8 KAMPALA-BUSUNJU-24HRS'!N79)</f>
        <v>0</v>
      </c>
      <c r="O79" s="15">
        <f t="shared" si="35"/>
        <v>0</v>
      </c>
      <c r="P79" s="15">
        <f t="shared" si="36"/>
        <v>1</v>
      </c>
      <c r="R79" s="8"/>
      <c r="T79"/>
    </row>
    <row r="80" spans="2:20" ht="23.1" customHeight="1" x14ac:dyDescent="0.25">
      <c r="B80" s="25" t="s">
        <v>120</v>
      </c>
      <c r="C80" s="49">
        <f>AVERAGE('15.8 KAMPALA-BUSUNJU-24 HRS'!C80,'16.8 KAMPALA-BUSUNJU-24HRS'!C80)</f>
        <v>1</v>
      </c>
      <c r="D80" s="49">
        <f>AVERAGE('15.8 KAMPALA-BUSUNJU-24 HRS'!D80,'16.8 KAMPALA-BUSUNJU-24HRS'!D80)</f>
        <v>0</v>
      </c>
      <c r="E80" s="49">
        <f>AVERAGE('15.8 KAMPALA-BUSUNJU-24 HRS'!E80,'16.8 KAMPALA-BUSUNJU-24HRS'!E80)</f>
        <v>1</v>
      </c>
      <c r="F80" s="49">
        <f>AVERAGE('15.8 KAMPALA-BUSUNJU-24 HRS'!F80,'16.8 KAMPALA-BUSUNJU-24HRS'!F80)</f>
        <v>0</v>
      </c>
      <c r="G80" s="49">
        <f>AVERAGE('15.8 KAMPALA-BUSUNJU-24 HRS'!G80,'16.8 KAMPALA-BUSUNJU-24HRS'!G80)</f>
        <v>0</v>
      </c>
      <c r="H80" s="49">
        <f>AVERAGE('15.8 KAMPALA-BUSUNJU-24 HRS'!H80,'16.8 KAMPALA-BUSUNJU-24HRS'!H80)</f>
        <v>0</v>
      </c>
      <c r="I80" s="49">
        <f>AVERAGE('15.8 KAMPALA-BUSUNJU-24 HRS'!I80,'16.8 KAMPALA-BUSUNJU-24HRS'!I80)</f>
        <v>0</v>
      </c>
      <c r="J80" s="49">
        <f>AVERAGE('15.8 KAMPALA-BUSUNJU-24 HRS'!J80,'16.8 KAMPALA-BUSUNJU-24HRS'!J80)</f>
        <v>0</v>
      </c>
      <c r="K80" s="49">
        <f>AVERAGE('15.8 KAMPALA-BUSUNJU-24 HRS'!K80,'16.8 KAMPALA-BUSUNJU-24HRS'!K80)</f>
        <v>0</v>
      </c>
      <c r="L80" s="49">
        <f>AVERAGE('15.8 KAMPALA-BUSUNJU-24 HRS'!L80,'16.8 KAMPALA-BUSUNJU-24HRS'!L80)</f>
        <v>0</v>
      </c>
      <c r="M80" s="49">
        <f>AVERAGE('15.8 KAMPALA-BUSUNJU-24 HRS'!M80,'16.8 KAMPALA-BUSUNJU-24HRS'!M80)</f>
        <v>0</v>
      </c>
      <c r="N80" s="49">
        <f>AVERAGE('15.8 KAMPALA-BUSUNJU-24 HRS'!N80,'16.8 KAMPALA-BUSUNJU-24HRS'!N80)</f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23" t="s">
        <v>121</v>
      </c>
      <c r="C81" s="49">
        <f>AVERAGE('15.8 KAMPALA-BUSUNJU-24 HRS'!C81,'16.8 KAMPALA-BUSUNJU-24HRS'!C81)</f>
        <v>0</v>
      </c>
      <c r="D81" s="49">
        <f>AVERAGE('15.8 KAMPALA-BUSUNJU-24 HRS'!D81,'16.8 KAMPALA-BUSUNJU-24HRS'!D81)</f>
        <v>0</v>
      </c>
      <c r="E81" s="49">
        <f>AVERAGE('15.8 KAMPALA-BUSUNJU-24 HRS'!E81,'16.8 KAMPALA-BUSUNJU-24HRS'!E81)</f>
        <v>1</v>
      </c>
      <c r="F81" s="49">
        <f>AVERAGE('15.8 KAMPALA-BUSUNJU-24 HRS'!F81,'16.8 KAMPALA-BUSUNJU-24HRS'!F81)</f>
        <v>0</v>
      </c>
      <c r="G81" s="49">
        <f>AVERAGE('15.8 KAMPALA-BUSUNJU-24 HRS'!G81,'16.8 KAMPALA-BUSUNJU-24HRS'!G81)</f>
        <v>0</v>
      </c>
      <c r="H81" s="49">
        <f>AVERAGE('15.8 KAMPALA-BUSUNJU-24 HRS'!H81,'16.8 KAMPALA-BUSUNJU-24HRS'!H81)</f>
        <v>0</v>
      </c>
      <c r="I81" s="49">
        <f>AVERAGE('15.8 KAMPALA-BUSUNJU-24 HRS'!I81,'16.8 KAMPALA-BUSUNJU-24HRS'!I81)</f>
        <v>1</v>
      </c>
      <c r="J81" s="49">
        <f>AVERAGE('15.8 KAMPALA-BUSUNJU-24 HRS'!J81,'16.8 KAMPALA-BUSUNJU-24HRS'!J81)</f>
        <v>0</v>
      </c>
      <c r="K81" s="49">
        <f>AVERAGE('15.8 KAMPALA-BUSUNJU-24 HRS'!K81,'16.8 KAMPALA-BUSUNJU-24HRS'!K81)</f>
        <v>0</v>
      </c>
      <c r="L81" s="49">
        <f>AVERAGE('15.8 KAMPALA-BUSUNJU-24 HRS'!L81,'16.8 KAMPALA-BUSUNJU-24HRS'!L81)</f>
        <v>0</v>
      </c>
      <c r="M81" s="49">
        <f>AVERAGE('15.8 KAMPALA-BUSUNJU-24 HRS'!M81,'16.8 KAMPALA-BUSUNJU-24HRS'!M81)</f>
        <v>1</v>
      </c>
      <c r="N81" s="49">
        <f>AVERAGE('15.8 KAMPALA-BUSUNJU-24 HRS'!N81,'16.8 KAMPALA-BUSUNJU-24HRS'!N81)</f>
        <v>0</v>
      </c>
      <c r="O81" s="15">
        <f t="shared" si="35"/>
        <v>2</v>
      </c>
      <c r="P81" s="15">
        <f t="shared" si="36"/>
        <v>3</v>
      </c>
      <c r="R81" s="8"/>
      <c r="T81"/>
    </row>
    <row r="82" spans="2:20" ht="23.1" customHeight="1" x14ac:dyDescent="0.25">
      <c r="B82" s="24" t="s">
        <v>122</v>
      </c>
      <c r="C82" s="49">
        <f>AVERAGE('15.8 KAMPALA-BUSUNJU-24 HRS'!C82,'16.8 KAMPALA-BUSUNJU-24HRS'!C82)</f>
        <v>1</v>
      </c>
      <c r="D82" s="49">
        <f>AVERAGE('15.8 KAMPALA-BUSUNJU-24 HRS'!D82,'16.8 KAMPALA-BUSUNJU-24HRS'!D82)</f>
        <v>1</v>
      </c>
      <c r="E82" s="49">
        <f>AVERAGE('15.8 KAMPALA-BUSUNJU-24 HRS'!E82,'16.8 KAMPALA-BUSUNJU-24HRS'!E82)</f>
        <v>0</v>
      </c>
      <c r="F82" s="49">
        <f>AVERAGE('15.8 KAMPALA-BUSUNJU-24 HRS'!F82,'16.8 KAMPALA-BUSUNJU-24HRS'!F82)</f>
        <v>0</v>
      </c>
      <c r="G82" s="49">
        <f>AVERAGE('15.8 KAMPALA-BUSUNJU-24 HRS'!G82,'16.8 KAMPALA-BUSUNJU-24HRS'!G82)</f>
        <v>0</v>
      </c>
      <c r="H82" s="49">
        <f>AVERAGE('15.8 KAMPALA-BUSUNJU-24 HRS'!H82,'16.8 KAMPALA-BUSUNJU-24HRS'!H82)</f>
        <v>0</v>
      </c>
      <c r="I82" s="49">
        <f>AVERAGE('15.8 KAMPALA-BUSUNJU-24 HRS'!I82,'16.8 KAMPALA-BUSUNJU-24HRS'!I82)</f>
        <v>1</v>
      </c>
      <c r="J82" s="49">
        <f>AVERAGE('15.8 KAMPALA-BUSUNJU-24 HRS'!J82,'16.8 KAMPALA-BUSUNJU-24HRS'!J82)</f>
        <v>0</v>
      </c>
      <c r="K82" s="49">
        <f>AVERAGE('15.8 KAMPALA-BUSUNJU-24 HRS'!K82,'16.8 KAMPALA-BUSUNJU-24HRS'!K82)</f>
        <v>0</v>
      </c>
      <c r="L82" s="49">
        <f>AVERAGE('15.8 KAMPALA-BUSUNJU-24 HRS'!L82,'16.8 KAMPALA-BUSUNJU-24HRS'!L82)</f>
        <v>0</v>
      </c>
      <c r="M82" s="49">
        <f>AVERAGE('15.8 KAMPALA-BUSUNJU-24 HRS'!M82,'16.8 KAMPALA-BUSUNJU-24HRS'!M82)</f>
        <v>0</v>
      </c>
      <c r="N82" s="49">
        <f>AVERAGE('15.8 KAMPALA-BUSUNJU-24 HRS'!N82,'16.8 KAMPALA-BUSUNJU-24HRS'!N82)</f>
        <v>0</v>
      </c>
      <c r="O82" s="15">
        <f t="shared" si="35"/>
        <v>3</v>
      </c>
      <c r="P82" s="15">
        <f t="shared" si="36"/>
        <v>3</v>
      </c>
      <c r="R82" s="8"/>
      <c r="T82"/>
    </row>
    <row r="83" spans="2:20" ht="23.1" customHeight="1" x14ac:dyDescent="0.25">
      <c r="B83" s="23" t="s">
        <v>123</v>
      </c>
      <c r="C83" s="49">
        <f>AVERAGE('15.8 KAMPALA-BUSUNJU-24 HRS'!C83,'16.8 KAMPALA-BUSUNJU-24HRS'!C83)</f>
        <v>0</v>
      </c>
      <c r="D83" s="49">
        <f>AVERAGE('15.8 KAMPALA-BUSUNJU-24 HRS'!D83,'16.8 KAMPALA-BUSUNJU-24HRS'!D83)</f>
        <v>0</v>
      </c>
      <c r="E83" s="49">
        <f>AVERAGE('15.8 KAMPALA-BUSUNJU-24 HRS'!E83,'16.8 KAMPALA-BUSUNJU-24HRS'!E83)</f>
        <v>0</v>
      </c>
      <c r="F83" s="49">
        <f>AVERAGE('15.8 KAMPALA-BUSUNJU-24 HRS'!F83,'16.8 KAMPALA-BUSUNJU-24HRS'!F83)</f>
        <v>0</v>
      </c>
      <c r="G83" s="49">
        <f>AVERAGE('15.8 KAMPALA-BUSUNJU-24 HRS'!G83,'16.8 KAMPALA-BUSUNJU-24HRS'!G83)</f>
        <v>0</v>
      </c>
      <c r="H83" s="49">
        <f>AVERAGE('15.8 KAMPALA-BUSUNJU-24 HRS'!H83,'16.8 KAMPALA-BUSUNJU-24HRS'!H83)</f>
        <v>0</v>
      </c>
      <c r="I83" s="49">
        <f>AVERAGE('15.8 KAMPALA-BUSUNJU-24 HRS'!I83,'16.8 KAMPALA-BUSUNJU-24HRS'!I83)</f>
        <v>0</v>
      </c>
      <c r="J83" s="49">
        <f>AVERAGE('15.8 KAMPALA-BUSUNJU-24 HRS'!J83,'16.8 KAMPALA-BUSUNJU-24HRS'!J83)</f>
        <v>0</v>
      </c>
      <c r="K83" s="49">
        <f>AVERAGE('15.8 KAMPALA-BUSUNJU-24 HRS'!K83,'16.8 KAMPALA-BUSUNJU-24HRS'!K83)</f>
        <v>0</v>
      </c>
      <c r="L83" s="49">
        <f>AVERAGE('15.8 KAMPALA-BUSUNJU-24 HRS'!L83,'16.8 KAMPALA-BUSUNJU-24HRS'!L83)</f>
        <v>0</v>
      </c>
      <c r="M83" s="49">
        <f>AVERAGE('15.8 KAMPALA-BUSUNJU-24 HRS'!M83,'16.8 KAMPALA-BUSUNJU-24HRS'!M83)</f>
        <v>0</v>
      </c>
      <c r="N83" s="49">
        <f>AVERAGE('15.8 KAMPALA-BUSUNJU-24 HRS'!N83,'16.8 KAMPALA-BUSUNJU-24HRS'!N83)</f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25" t="s">
        <v>124</v>
      </c>
      <c r="C84" s="49">
        <f>AVERAGE('15.8 KAMPALA-BUSUNJU-24 HRS'!C84,'16.8 KAMPALA-BUSUNJU-24HRS'!C84)</f>
        <v>1</v>
      </c>
      <c r="D84" s="49">
        <f>AVERAGE('15.8 KAMPALA-BUSUNJU-24 HRS'!D84,'16.8 KAMPALA-BUSUNJU-24HRS'!D84)</f>
        <v>0</v>
      </c>
      <c r="E84" s="49">
        <f>AVERAGE('15.8 KAMPALA-BUSUNJU-24 HRS'!E84,'16.8 KAMPALA-BUSUNJU-24HRS'!E84)</f>
        <v>1</v>
      </c>
      <c r="F84" s="49">
        <f>AVERAGE('15.8 KAMPALA-BUSUNJU-24 HRS'!F84,'16.8 KAMPALA-BUSUNJU-24HRS'!F84)</f>
        <v>0</v>
      </c>
      <c r="G84" s="49">
        <f>AVERAGE('15.8 KAMPALA-BUSUNJU-24 HRS'!G84,'16.8 KAMPALA-BUSUNJU-24HRS'!G84)</f>
        <v>0</v>
      </c>
      <c r="H84" s="49">
        <f>AVERAGE('15.8 KAMPALA-BUSUNJU-24 HRS'!H84,'16.8 KAMPALA-BUSUNJU-24HRS'!H84)</f>
        <v>0</v>
      </c>
      <c r="I84" s="49">
        <f>AVERAGE('15.8 KAMPALA-BUSUNJU-24 HRS'!I84,'16.8 KAMPALA-BUSUNJU-24HRS'!I84)</f>
        <v>0</v>
      </c>
      <c r="J84" s="49">
        <f>AVERAGE('15.8 KAMPALA-BUSUNJU-24 HRS'!J84,'16.8 KAMPALA-BUSUNJU-24HRS'!J84)</f>
        <v>0</v>
      </c>
      <c r="K84" s="49">
        <f>AVERAGE('15.8 KAMPALA-BUSUNJU-24 HRS'!K84,'16.8 KAMPALA-BUSUNJU-24HRS'!K84)</f>
        <v>0</v>
      </c>
      <c r="L84" s="49">
        <f>AVERAGE('15.8 KAMPALA-BUSUNJU-24 HRS'!L84,'16.8 KAMPALA-BUSUNJU-24HRS'!L84)</f>
        <v>0</v>
      </c>
      <c r="M84" s="49">
        <f>AVERAGE('15.8 KAMPALA-BUSUNJU-24 HRS'!M84,'16.8 KAMPALA-BUSUNJU-24HRS'!M84)</f>
        <v>0</v>
      </c>
      <c r="N84" s="49">
        <f>AVERAGE('15.8 KAMPALA-BUSUNJU-24 HRS'!N84,'16.8 KAMPALA-BUSUNJU-24HRS'!N84)</f>
        <v>0</v>
      </c>
      <c r="O84" s="15">
        <f t="shared" si="35"/>
        <v>2</v>
      </c>
      <c r="P84" s="15">
        <f t="shared" si="36"/>
        <v>2</v>
      </c>
      <c r="R84" s="8"/>
      <c r="T84"/>
    </row>
    <row r="85" spans="2:20" ht="23.1" customHeight="1" x14ac:dyDescent="0.25">
      <c r="B85" s="23" t="s">
        <v>125</v>
      </c>
      <c r="C85" s="49">
        <f>AVERAGE('15.8 KAMPALA-BUSUNJU-24 HRS'!C85,'16.8 KAMPALA-BUSUNJU-24HRS'!C85)</f>
        <v>1</v>
      </c>
      <c r="D85" s="49">
        <f>AVERAGE('15.8 KAMPALA-BUSUNJU-24 HRS'!D85,'16.8 KAMPALA-BUSUNJU-24HRS'!D85)</f>
        <v>0</v>
      </c>
      <c r="E85" s="49">
        <f>AVERAGE('15.8 KAMPALA-BUSUNJU-24 HRS'!E85,'16.8 KAMPALA-BUSUNJU-24HRS'!E85)</f>
        <v>1</v>
      </c>
      <c r="F85" s="49">
        <f>AVERAGE('15.8 KAMPALA-BUSUNJU-24 HRS'!F85,'16.8 KAMPALA-BUSUNJU-24HRS'!F85)</f>
        <v>0</v>
      </c>
      <c r="G85" s="49">
        <f>AVERAGE('15.8 KAMPALA-BUSUNJU-24 HRS'!G85,'16.8 KAMPALA-BUSUNJU-24HRS'!G85)</f>
        <v>0</v>
      </c>
      <c r="H85" s="49">
        <f>AVERAGE('15.8 KAMPALA-BUSUNJU-24 HRS'!H85,'16.8 KAMPALA-BUSUNJU-24HRS'!H85)</f>
        <v>0</v>
      </c>
      <c r="I85" s="49">
        <f>AVERAGE('15.8 KAMPALA-BUSUNJU-24 HRS'!I85,'16.8 KAMPALA-BUSUNJU-24HRS'!I85)</f>
        <v>1</v>
      </c>
      <c r="J85" s="49">
        <f>AVERAGE('15.8 KAMPALA-BUSUNJU-24 HRS'!J85,'16.8 KAMPALA-BUSUNJU-24HRS'!J85)</f>
        <v>0</v>
      </c>
      <c r="K85" s="49">
        <f>AVERAGE('15.8 KAMPALA-BUSUNJU-24 HRS'!K85,'16.8 KAMPALA-BUSUNJU-24HRS'!K85)</f>
        <v>0</v>
      </c>
      <c r="L85" s="49">
        <f>AVERAGE('15.8 KAMPALA-BUSUNJU-24 HRS'!L85,'16.8 KAMPALA-BUSUNJU-24HRS'!L85)</f>
        <v>0</v>
      </c>
      <c r="M85" s="49">
        <f>AVERAGE('15.8 KAMPALA-BUSUNJU-24 HRS'!M85,'16.8 KAMPALA-BUSUNJU-24HRS'!M85)</f>
        <v>0</v>
      </c>
      <c r="N85" s="49">
        <f>AVERAGE('15.8 KAMPALA-BUSUNJU-24 HRS'!N85,'16.8 KAMPALA-BUSUNJU-24HRS'!N85)</f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24" t="s">
        <v>126</v>
      </c>
      <c r="C86" s="49">
        <f>AVERAGE('15.8 KAMPALA-BUSUNJU-24 HRS'!C86,'16.8 KAMPALA-BUSUNJU-24HRS'!C86)</f>
        <v>0</v>
      </c>
      <c r="D86" s="49">
        <f>AVERAGE('15.8 KAMPALA-BUSUNJU-24 HRS'!D86,'16.8 KAMPALA-BUSUNJU-24HRS'!D86)</f>
        <v>0</v>
      </c>
      <c r="E86" s="49">
        <f>AVERAGE('15.8 KAMPALA-BUSUNJU-24 HRS'!E86,'16.8 KAMPALA-BUSUNJU-24HRS'!E86)</f>
        <v>0</v>
      </c>
      <c r="F86" s="49">
        <f>AVERAGE('15.8 KAMPALA-BUSUNJU-24 HRS'!F86,'16.8 KAMPALA-BUSUNJU-24HRS'!F86)</f>
        <v>0</v>
      </c>
      <c r="G86" s="49">
        <f>AVERAGE('15.8 KAMPALA-BUSUNJU-24 HRS'!G86,'16.8 KAMPALA-BUSUNJU-24HRS'!G86)</f>
        <v>0</v>
      </c>
      <c r="H86" s="49">
        <f>AVERAGE('15.8 KAMPALA-BUSUNJU-24 HRS'!H86,'16.8 KAMPALA-BUSUNJU-24HRS'!H86)</f>
        <v>0</v>
      </c>
      <c r="I86" s="49">
        <f>AVERAGE('15.8 KAMPALA-BUSUNJU-24 HRS'!I86,'16.8 KAMPALA-BUSUNJU-24HRS'!I86)</f>
        <v>0</v>
      </c>
      <c r="J86" s="49">
        <f>AVERAGE('15.8 KAMPALA-BUSUNJU-24 HRS'!J86,'16.8 KAMPALA-BUSUNJU-24HRS'!J86)</f>
        <v>0</v>
      </c>
      <c r="K86" s="49">
        <f>AVERAGE('15.8 KAMPALA-BUSUNJU-24 HRS'!K86,'16.8 KAMPALA-BUSUNJU-24HRS'!K86)</f>
        <v>0</v>
      </c>
      <c r="L86" s="49">
        <f>AVERAGE('15.8 KAMPALA-BUSUNJU-24 HRS'!L86,'16.8 KAMPALA-BUSUNJU-24HRS'!L86)</f>
        <v>0</v>
      </c>
      <c r="M86" s="49">
        <f>AVERAGE('15.8 KAMPALA-BUSUNJU-24 HRS'!M86,'16.8 KAMPALA-BUSUNJU-24HRS'!M86)</f>
        <v>1</v>
      </c>
      <c r="N86" s="49">
        <f>AVERAGE('15.8 KAMPALA-BUSUNJU-24 HRS'!N86,'16.8 KAMPALA-BUSUNJU-24HRS'!N86)</f>
        <v>0</v>
      </c>
      <c r="O86" s="15">
        <f t="shared" si="35"/>
        <v>0</v>
      </c>
      <c r="P86" s="15">
        <f t="shared" si="36"/>
        <v>1</v>
      </c>
      <c r="R86" s="8"/>
      <c r="T86"/>
    </row>
    <row r="87" spans="2:20" ht="23.1" customHeight="1" x14ac:dyDescent="0.25">
      <c r="B87" s="23" t="s">
        <v>127</v>
      </c>
      <c r="C87" s="49">
        <f>AVERAGE('15.8 KAMPALA-BUSUNJU-24 HRS'!C87,'16.8 KAMPALA-BUSUNJU-24HRS'!C87)</f>
        <v>0</v>
      </c>
      <c r="D87" s="49">
        <f>AVERAGE('15.8 KAMPALA-BUSUNJU-24 HRS'!D87,'16.8 KAMPALA-BUSUNJU-24HRS'!D87)</f>
        <v>0</v>
      </c>
      <c r="E87" s="49">
        <f>AVERAGE('15.8 KAMPALA-BUSUNJU-24 HRS'!E87,'16.8 KAMPALA-BUSUNJU-24HRS'!E87)</f>
        <v>0</v>
      </c>
      <c r="F87" s="49">
        <f>AVERAGE('15.8 KAMPALA-BUSUNJU-24 HRS'!F87,'16.8 KAMPALA-BUSUNJU-24HRS'!F87)</f>
        <v>0</v>
      </c>
      <c r="G87" s="49">
        <f>AVERAGE('15.8 KAMPALA-BUSUNJU-24 HRS'!G87,'16.8 KAMPALA-BUSUNJU-24HRS'!G87)</f>
        <v>0</v>
      </c>
      <c r="H87" s="49">
        <f>AVERAGE('15.8 KAMPALA-BUSUNJU-24 HRS'!H87,'16.8 KAMPALA-BUSUNJU-24HRS'!H87)</f>
        <v>0</v>
      </c>
      <c r="I87" s="49">
        <f>AVERAGE('15.8 KAMPALA-BUSUNJU-24 HRS'!I87,'16.8 KAMPALA-BUSUNJU-24HRS'!I87)</f>
        <v>0</v>
      </c>
      <c r="J87" s="49">
        <f>AVERAGE('15.8 KAMPALA-BUSUNJU-24 HRS'!J87,'16.8 KAMPALA-BUSUNJU-24HRS'!J87)</f>
        <v>0</v>
      </c>
      <c r="K87" s="49">
        <f>AVERAGE('15.8 KAMPALA-BUSUNJU-24 HRS'!K87,'16.8 KAMPALA-BUSUNJU-24HRS'!K87)</f>
        <v>0</v>
      </c>
      <c r="L87" s="49">
        <f>AVERAGE('15.8 KAMPALA-BUSUNJU-24 HRS'!L87,'16.8 KAMPALA-BUSUNJU-24HRS'!L87)</f>
        <v>0</v>
      </c>
      <c r="M87" s="49">
        <f>AVERAGE('15.8 KAMPALA-BUSUNJU-24 HRS'!M87,'16.8 KAMPALA-BUSUNJU-24HRS'!M87)</f>
        <v>0</v>
      </c>
      <c r="N87" s="49">
        <f>AVERAGE('15.8 KAMPALA-BUSUNJU-24 HRS'!N87,'16.8 KAMPALA-BUSUNJU-24HRS'!N87)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AVERAGE('15.8 KAMPALA-BUSUNJU-24 HRS'!C88,'16.8 KAMPALA-BUSUNJU-24HRS'!C88)</f>
        <v>0</v>
      </c>
      <c r="D88" s="49">
        <f>AVERAGE('15.8 KAMPALA-BUSUNJU-24 HRS'!D88,'16.8 KAMPALA-BUSUNJU-24HRS'!D88)</f>
        <v>0</v>
      </c>
      <c r="E88" s="49">
        <f>AVERAGE('15.8 KAMPALA-BUSUNJU-24 HRS'!E88,'16.8 KAMPALA-BUSUNJU-24HRS'!E88)</f>
        <v>0</v>
      </c>
      <c r="F88" s="49">
        <f>AVERAGE('15.8 KAMPALA-BUSUNJU-24 HRS'!F88,'16.8 KAMPALA-BUSUNJU-24HRS'!F88)</f>
        <v>0</v>
      </c>
      <c r="G88" s="49">
        <f>AVERAGE('15.8 KAMPALA-BUSUNJU-24 HRS'!G88,'16.8 KAMPALA-BUSUNJU-24HRS'!G88)</f>
        <v>0</v>
      </c>
      <c r="H88" s="49">
        <f>AVERAGE('15.8 KAMPALA-BUSUNJU-24 HRS'!H88,'16.8 KAMPALA-BUSUNJU-24HRS'!H88)</f>
        <v>0</v>
      </c>
      <c r="I88" s="49">
        <f>AVERAGE('15.8 KAMPALA-BUSUNJU-24 HRS'!I88,'16.8 KAMPALA-BUSUNJU-24HRS'!I88)</f>
        <v>0</v>
      </c>
      <c r="J88" s="49">
        <f>AVERAGE('15.8 KAMPALA-BUSUNJU-24 HRS'!J88,'16.8 KAMPALA-BUSUNJU-24HRS'!J88)</f>
        <v>0</v>
      </c>
      <c r="K88" s="49">
        <f>AVERAGE('15.8 KAMPALA-BUSUNJU-24 HRS'!K88,'16.8 KAMPALA-BUSUNJU-24HRS'!K88)</f>
        <v>0</v>
      </c>
      <c r="L88" s="49">
        <f>AVERAGE('15.8 KAMPALA-BUSUNJU-24 HRS'!L88,'16.8 KAMPALA-BUSUNJU-24HRS'!L88)</f>
        <v>0</v>
      </c>
      <c r="M88" s="49">
        <f>AVERAGE('15.8 KAMPALA-BUSUNJU-24 HRS'!M88,'16.8 KAMPALA-BUSUNJU-24HRS'!M88)</f>
        <v>0</v>
      </c>
      <c r="N88" s="49">
        <f>AVERAGE('15.8 KAMPALA-BUSUNJU-24 HRS'!N88,'16.8 KAMPALA-BUSUNJU-24HRS'!N88)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AVERAGE('15.8 KAMPALA-BUSUNJU-24 HRS'!C89,'16.8 KAMPALA-BUSUNJU-24HRS'!C89)</f>
        <v>0</v>
      </c>
      <c r="D89" s="49">
        <f>AVERAGE('15.8 KAMPALA-BUSUNJU-24 HRS'!D89,'16.8 KAMPALA-BUSUNJU-24HRS'!D89)</f>
        <v>0</v>
      </c>
      <c r="E89" s="49">
        <f>AVERAGE('15.8 KAMPALA-BUSUNJU-24 HRS'!E89,'16.8 KAMPALA-BUSUNJU-24HRS'!E89)</f>
        <v>0</v>
      </c>
      <c r="F89" s="49">
        <f>AVERAGE('15.8 KAMPALA-BUSUNJU-24 HRS'!F89,'16.8 KAMPALA-BUSUNJU-24HRS'!F89)</f>
        <v>1</v>
      </c>
      <c r="G89" s="49">
        <f>AVERAGE('15.8 KAMPALA-BUSUNJU-24 HRS'!G89,'16.8 KAMPALA-BUSUNJU-24HRS'!G89)</f>
        <v>0</v>
      </c>
      <c r="H89" s="49">
        <f>AVERAGE('15.8 KAMPALA-BUSUNJU-24 HRS'!H89,'16.8 KAMPALA-BUSUNJU-24HRS'!H89)</f>
        <v>0</v>
      </c>
      <c r="I89" s="49">
        <f>AVERAGE('15.8 KAMPALA-BUSUNJU-24 HRS'!I89,'16.8 KAMPALA-BUSUNJU-24HRS'!I89)</f>
        <v>0</v>
      </c>
      <c r="J89" s="49">
        <f>AVERAGE('15.8 KAMPALA-BUSUNJU-24 HRS'!J89,'16.8 KAMPALA-BUSUNJU-24HRS'!J89)</f>
        <v>0</v>
      </c>
      <c r="K89" s="49">
        <f>AVERAGE('15.8 KAMPALA-BUSUNJU-24 HRS'!K89,'16.8 KAMPALA-BUSUNJU-24HRS'!K89)</f>
        <v>0</v>
      </c>
      <c r="L89" s="49">
        <f>AVERAGE('15.8 KAMPALA-BUSUNJU-24 HRS'!L89,'16.8 KAMPALA-BUSUNJU-24HRS'!L89)</f>
        <v>0</v>
      </c>
      <c r="M89" s="49">
        <f>AVERAGE('15.8 KAMPALA-BUSUNJU-24 HRS'!M89,'16.8 KAMPALA-BUSUNJU-24HRS'!M89)</f>
        <v>0</v>
      </c>
      <c r="N89" s="49">
        <f>AVERAGE('15.8 KAMPALA-BUSUNJU-24 HRS'!N89,'16.8 KAMPALA-BUSUNJU-24HRS'!N89)</f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24" t="s">
        <v>130</v>
      </c>
      <c r="C90" s="49">
        <f>AVERAGE('15.8 KAMPALA-BUSUNJU-24 HRS'!C90,'16.8 KAMPALA-BUSUNJU-24HRS'!C90)</f>
        <v>0</v>
      </c>
      <c r="D90" s="49">
        <f>AVERAGE('15.8 KAMPALA-BUSUNJU-24 HRS'!D90,'16.8 KAMPALA-BUSUNJU-24HRS'!D90)</f>
        <v>1</v>
      </c>
      <c r="E90" s="49">
        <f>AVERAGE('15.8 KAMPALA-BUSUNJU-24 HRS'!E90,'16.8 KAMPALA-BUSUNJU-24HRS'!E90)</f>
        <v>0</v>
      </c>
      <c r="F90" s="49">
        <f>AVERAGE('15.8 KAMPALA-BUSUNJU-24 HRS'!F90,'16.8 KAMPALA-BUSUNJU-24HRS'!F90)</f>
        <v>0</v>
      </c>
      <c r="G90" s="49">
        <f>AVERAGE('15.8 KAMPALA-BUSUNJU-24 HRS'!G90,'16.8 KAMPALA-BUSUNJU-24HRS'!G90)</f>
        <v>0</v>
      </c>
      <c r="H90" s="49">
        <f>AVERAGE('15.8 KAMPALA-BUSUNJU-24 HRS'!H90,'16.8 KAMPALA-BUSUNJU-24HRS'!H90)</f>
        <v>0</v>
      </c>
      <c r="I90" s="49">
        <f>AVERAGE('15.8 KAMPALA-BUSUNJU-24 HRS'!I90,'16.8 KAMPALA-BUSUNJU-24HRS'!I90)</f>
        <v>0</v>
      </c>
      <c r="J90" s="49">
        <f>AVERAGE('15.8 KAMPALA-BUSUNJU-24 HRS'!J90,'16.8 KAMPALA-BUSUNJU-24HRS'!J90)</f>
        <v>0</v>
      </c>
      <c r="K90" s="49">
        <f>AVERAGE('15.8 KAMPALA-BUSUNJU-24 HRS'!K90,'16.8 KAMPALA-BUSUNJU-24HRS'!K90)</f>
        <v>0</v>
      </c>
      <c r="L90" s="49">
        <f>AVERAGE('15.8 KAMPALA-BUSUNJU-24 HRS'!L90,'16.8 KAMPALA-BUSUNJU-24HRS'!L90)</f>
        <v>0</v>
      </c>
      <c r="M90" s="49">
        <f>AVERAGE('15.8 KAMPALA-BUSUNJU-24 HRS'!M90,'16.8 KAMPALA-BUSUNJU-24HRS'!M90)</f>
        <v>0</v>
      </c>
      <c r="N90" s="49">
        <f>AVERAGE('15.8 KAMPALA-BUSUNJU-24 HRS'!N90,'16.8 KAMPALA-BUSUNJU-24HRS'!N90)</f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23" t="s">
        <v>131</v>
      </c>
      <c r="C91" s="49">
        <f>AVERAGE('15.8 KAMPALA-BUSUNJU-24 HRS'!C91,'16.8 KAMPALA-BUSUNJU-24HRS'!C91)</f>
        <v>0</v>
      </c>
      <c r="D91" s="49">
        <f>AVERAGE('15.8 KAMPALA-BUSUNJU-24 HRS'!D91,'16.8 KAMPALA-BUSUNJU-24HRS'!D91)</f>
        <v>0</v>
      </c>
      <c r="E91" s="49">
        <f>AVERAGE('15.8 KAMPALA-BUSUNJU-24 HRS'!E91,'16.8 KAMPALA-BUSUNJU-24HRS'!E91)</f>
        <v>0</v>
      </c>
      <c r="F91" s="49">
        <f>AVERAGE('15.8 KAMPALA-BUSUNJU-24 HRS'!F91,'16.8 KAMPALA-BUSUNJU-24HRS'!F91)</f>
        <v>0</v>
      </c>
      <c r="G91" s="49">
        <f>AVERAGE('15.8 KAMPALA-BUSUNJU-24 HRS'!G91,'16.8 KAMPALA-BUSUNJU-24HRS'!G91)</f>
        <v>0</v>
      </c>
      <c r="H91" s="49">
        <f>AVERAGE('15.8 KAMPALA-BUSUNJU-24 HRS'!H91,'16.8 KAMPALA-BUSUNJU-24HRS'!H91)</f>
        <v>0</v>
      </c>
      <c r="I91" s="49">
        <f>AVERAGE('15.8 KAMPALA-BUSUNJU-24 HRS'!I91,'16.8 KAMPALA-BUSUNJU-24HRS'!I91)</f>
        <v>0</v>
      </c>
      <c r="J91" s="49">
        <f>AVERAGE('15.8 KAMPALA-BUSUNJU-24 HRS'!J91,'16.8 KAMPALA-BUSUNJU-24HRS'!J91)</f>
        <v>0</v>
      </c>
      <c r="K91" s="49">
        <f>AVERAGE('15.8 KAMPALA-BUSUNJU-24 HRS'!K91,'16.8 KAMPALA-BUSUNJU-24HRS'!K91)</f>
        <v>0</v>
      </c>
      <c r="L91" s="49">
        <f>AVERAGE('15.8 KAMPALA-BUSUNJU-24 HRS'!L91,'16.8 KAMPALA-BUSUNJU-24HRS'!L91)</f>
        <v>0</v>
      </c>
      <c r="M91" s="49">
        <f>AVERAGE('15.8 KAMPALA-BUSUNJU-24 HRS'!M91,'16.8 KAMPALA-BUSUNJU-24HRS'!M91)</f>
        <v>0</v>
      </c>
      <c r="N91" s="49">
        <f>AVERAGE('15.8 KAMPALA-BUSUNJU-24 HRS'!N91,'16.8 KAMPALA-BUSUNJU-24HRS'!N91)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AVERAGE('15.8 KAMPALA-BUSUNJU-24 HRS'!C92,'16.8 KAMPALA-BUSUNJU-24HRS'!C92)</f>
        <v>1</v>
      </c>
      <c r="D92" s="49">
        <f>AVERAGE('15.8 KAMPALA-BUSUNJU-24 HRS'!D92,'16.8 KAMPALA-BUSUNJU-24HRS'!D92)</f>
        <v>0</v>
      </c>
      <c r="E92" s="49">
        <f>AVERAGE('15.8 KAMPALA-BUSUNJU-24 HRS'!E92,'16.8 KAMPALA-BUSUNJU-24HRS'!E92)</f>
        <v>0</v>
      </c>
      <c r="F92" s="49">
        <f>AVERAGE('15.8 KAMPALA-BUSUNJU-24 HRS'!F92,'16.8 KAMPALA-BUSUNJU-24HRS'!F92)</f>
        <v>0</v>
      </c>
      <c r="G92" s="49">
        <f>AVERAGE('15.8 KAMPALA-BUSUNJU-24 HRS'!G92,'16.8 KAMPALA-BUSUNJU-24HRS'!G92)</f>
        <v>0</v>
      </c>
      <c r="H92" s="49">
        <f>AVERAGE('15.8 KAMPALA-BUSUNJU-24 HRS'!H92,'16.8 KAMPALA-BUSUNJU-24HRS'!H92)</f>
        <v>0</v>
      </c>
      <c r="I92" s="49">
        <f>AVERAGE('15.8 KAMPALA-BUSUNJU-24 HRS'!I92,'16.8 KAMPALA-BUSUNJU-24HRS'!I92)</f>
        <v>0</v>
      </c>
      <c r="J92" s="49">
        <f>AVERAGE('15.8 KAMPALA-BUSUNJU-24 HRS'!J92,'16.8 KAMPALA-BUSUNJU-24HRS'!J92)</f>
        <v>0</v>
      </c>
      <c r="K92" s="49">
        <f>AVERAGE('15.8 KAMPALA-BUSUNJU-24 HRS'!K92,'16.8 KAMPALA-BUSUNJU-24HRS'!K92)</f>
        <v>0</v>
      </c>
      <c r="L92" s="49">
        <f>AVERAGE('15.8 KAMPALA-BUSUNJU-24 HRS'!L92,'16.8 KAMPALA-BUSUNJU-24HRS'!L92)</f>
        <v>0</v>
      </c>
      <c r="M92" s="49">
        <f>AVERAGE('15.8 KAMPALA-BUSUNJU-24 HRS'!M92,'16.8 KAMPALA-BUSUNJU-24HRS'!M92)</f>
        <v>0</v>
      </c>
      <c r="N92" s="49">
        <f>AVERAGE('15.8 KAMPALA-BUSUNJU-24 HRS'!N92,'16.8 KAMPALA-BUSUNJU-24HRS'!N92)</f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23" t="s">
        <v>133</v>
      </c>
      <c r="C93" s="49">
        <f>AVERAGE('15.8 KAMPALA-BUSUNJU-24 HRS'!C93,'16.8 KAMPALA-BUSUNJU-24HRS'!C93)</f>
        <v>0</v>
      </c>
      <c r="D93" s="49">
        <f>AVERAGE('15.8 KAMPALA-BUSUNJU-24 HRS'!D93,'16.8 KAMPALA-BUSUNJU-24HRS'!D93)</f>
        <v>0</v>
      </c>
      <c r="E93" s="49">
        <f>AVERAGE('15.8 KAMPALA-BUSUNJU-24 HRS'!E93,'16.8 KAMPALA-BUSUNJU-24HRS'!E93)</f>
        <v>0</v>
      </c>
      <c r="F93" s="49">
        <f>AVERAGE('15.8 KAMPALA-BUSUNJU-24 HRS'!F93,'16.8 KAMPALA-BUSUNJU-24HRS'!F93)</f>
        <v>0</v>
      </c>
      <c r="G93" s="49">
        <f>AVERAGE('15.8 KAMPALA-BUSUNJU-24 HRS'!G93,'16.8 KAMPALA-BUSUNJU-24HRS'!G93)</f>
        <v>0</v>
      </c>
      <c r="H93" s="49">
        <f>AVERAGE('15.8 KAMPALA-BUSUNJU-24 HRS'!H93,'16.8 KAMPALA-BUSUNJU-24HRS'!H93)</f>
        <v>0</v>
      </c>
      <c r="I93" s="49">
        <f>AVERAGE('15.8 KAMPALA-BUSUNJU-24 HRS'!I93,'16.8 KAMPALA-BUSUNJU-24HRS'!I93)</f>
        <v>0</v>
      </c>
      <c r="J93" s="49">
        <f>AVERAGE('15.8 KAMPALA-BUSUNJU-24 HRS'!J93,'16.8 KAMPALA-BUSUNJU-24HRS'!J93)</f>
        <v>0</v>
      </c>
      <c r="K93" s="49">
        <f>AVERAGE('15.8 KAMPALA-BUSUNJU-24 HRS'!K93,'16.8 KAMPALA-BUSUNJU-24HRS'!K93)</f>
        <v>0</v>
      </c>
      <c r="L93" s="49">
        <f>AVERAGE('15.8 KAMPALA-BUSUNJU-24 HRS'!L93,'16.8 KAMPALA-BUSUNJU-24HRS'!L93)</f>
        <v>0</v>
      </c>
      <c r="M93" s="49">
        <f>AVERAGE('15.8 KAMPALA-BUSUNJU-24 HRS'!M93,'16.8 KAMPALA-BUSUNJU-24HRS'!M93)</f>
        <v>0</v>
      </c>
      <c r="N93" s="49">
        <f>AVERAGE('15.8 KAMPALA-BUSUNJU-24 HRS'!N93,'16.8 KAMPALA-BUSUNJU-24HRS'!N93)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AVERAGE('15.8 KAMPALA-BUSUNJU-24 HRS'!C94,'16.8 KAMPALA-BUSUNJU-24HRS'!C94)</f>
        <v>0</v>
      </c>
      <c r="D94" s="49">
        <f>AVERAGE('15.8 KAMPALA-BUSUNJU-24 HRS'!D94,'16.8 KAMPALA-BUSUNJU-24HRS'!D94)</f>
        <v>0</v>
      </c>
      <c r="E94" s="49">
        <f>AVERAGE('15.8 KAMPALA-BUSUNJU-24 HRS'!E94,'16.8 KAMPALA-BUSUNJU-24HRS'!E94)</f>
        <v>1</v>
      </c>
      <c r="F94" s="49">
        <f>AVERAGE('15.8 KAMPALA-BUSUNJU-24 HRS'!F94,'16.8 KAMPALA-BUSUNJU-24HRS'!F94)</f>
        <v>0</v>
      </c>
      <c r="G94" s="49">
        <f>AVERAGE('15.8 KAMPALA-BUSUNJU-24 HRS'!G94,'16.8 KAMPALA-BUSUNJU-24HRS'!G94)</f>
        <v>0</v>
      </c>
      <c r="H94" s="49">
        <f>AVERAGE('15.8 KAMPALA-BUSUNJU-24 HRS'!H94,'16.8 KAMPALA-BUSUNJU-24HRS'!H94)</f>
        <v>1</v>
      </c>
      <c r="I94" s="49">
        <f>AVERAGE('15.8 KAMPALA-BUSUNJU-24 HRS'!I94,'16.8 KAMPALA-BUSUNJU-24HRS'!I94)</f>
        <v>0</v>
      </c>
      <c r="J94" s="49">
        <f>AVERAGE('15.8 KAMPALA-BUSUNJU-24 HRS'!J94,'16.8 KAMPALA-BUSUNJU-24HRS'!J94)</f>
        <v>0</v>
      </c>
      <c r="K94" s="49">
        <f>AVERAGE('15.8 KAMPALA-BUSUNJU-24 HRS'!K94,'16.8 KAMPALA-BUSUNJU-24HRS'!K94)</f>
        <v>0</v>
      </c>
      <c r="L94" s="49">
        <f>AVERAGE('15.8 KAMPALA-BUSUNJU-24 HRS'!L94,'16.8 KAMPALA-BUSUNJU-24HRS'!L94)</f>
        <v>0</v>
      </c>
      <c r="M94" s="49">
        <f>AVERAGE('15.8 KAMPALA-BUSUNJU-24 HRS'!M94,'16.8 KAMPALA-BUSUNJU-24HRS'!M94)</f>
        <v>0</v>
      </c>
      <c r="N94" s="49">
        <f>AVERAGE('15.8 KAMPALA-BUSUNJU-24 HRS'!N94,'16.8 KAMPALA-BUSUNJU-24HRS'!N94)</f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23" t="s">
        <v>135</v>
      </c>
      <c r="C95" s="49">
        <f>AVERAGE('15.8 KAMPALA-BUSUNJU-24 HRS'!C95,'16.8 KAMPALA-BUSUNJU-24HRS'!C95)</f>
        <v>0</v>
      </c>
      <c r="D95" s="49">
        <f>AVERAGE('15.8 KAMPALA-BUSUNJU-24 HRS'!D95,'16.8 KAMPALA-BUSUNJU-24HRS'!D95)</f>
        <v>0</v>
      </c>
      <c r="E95" s="49">
        <f>AVERAGE('15.8 KAMPALA-BUSUNJU-24 HRS'!E95,'16.8 KAMPALA-BUSUNJU-24HRS'!E95)</f>
        <v>0</v>
      </c>
      <c r="F95" s="49">
        <f>AVERAGE('15.8 KAMPALA-BUSUNJU-24 HRS'!F95,'16.8 KAMPALA-BUSUNJU-24HRS'!F95)</f>
        <v>0</v>
      </c>
      <c r="G95" s="49">
        <f>AVERAGE('15.8 KAMPALA-BUSUNJU-24 HRS'!G95,'16.8 KAMPALA-BUSUNJU-24HRS'!G95)</f>
        <v>0</v>
      </c>
      <c r="H95" s="49">
        <f>AVERAGE('15.8 KAMPALA-BUSUNJU-24 HRS'!H95,'16.8 KAMPALA-BUSUNJU-24HRS'!H95)</f>
        <v>0</v>
      </c>
      <c r="I95" s="49">
        <f>AVERAGE('15.8 KAMPALA-BUSUNJU-24 HRS'!I95,'16.8 KAMPALA-BUSUNJU-24HRS'!I95)</f>
        <v>0</v>
      </c>
      <c r="J95" s="49">
        <f>AVERAGE('15.8 KAMPALA-BUSUNJU-24 HRS'!J95,'16.8 KAMPALA-BUSUNJU-24HRS'!J95)</f>
        <v>0</v>
      </c>
      <c r="K95" s="49">
        <f>AVERAGE('15.8 KAMPALA-BUSUNJU-24 HRS'!K95,'16.8 KAMPALA-BUSUNJU-24HRS'!K95)</f>
        <v>0</v>
      </c>
      <c r="L95" s="49">
        <f>AVERAGE('15.8 KAMPALA-BUSUNJU-24 HRS'!L95,'16.8 KAMPALA-BUSUNJU-24HRS'!L95)</f>
        <v>0</v>
      </c>
      <c r="M95" s="49">
        <f>AVERAGE('15.8 KAMPALA-BUSUNJU-24 HRS'!M95,'16.8 KAMPALA-BUSUNJU-24HRS'!M95)</f>
        <v>0</v>
      </c>
      <c r="N95" s="49">
        <f>AVERAGE('15.8 KAMPALA-BUSUNJU-24 HRS'!N95,'16.8 KAMPALA-BUSUNJU-24HRS'!N95)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AVERAGE('15.8 KAMPALA-BUSUNJU-24 HRS'!C96,'16.8 KAMPALA-BUSUNJU-24HRS'!C96)</f>
        <v>0</v>
      </c>
      <c r="D96" s="49">
        <f>AVERAGE('15.8 KAMPALA-BUSUNJU-24 HRS'!D96,'16.8 KAMPALA-BUSUNJU-24HRS'!D96)</f>
        <v>0</v>
      </c>
      <c r="E96" s="49">
        <f>AVERAGE('15.8 KAMPALA-BUSUNJU-24 HRS'!E96,'16.8 KAMPALA-BUSUNJU-24HRS'!E96)</f>
        <v>0</v>
      </c>
      <c r="F96" s="49">
        <f>AVERAGE('15.8 KAMPALA-BUSUNJU-24 HRS'!F96,'16.8 KAMPALA-BUSUNJU-24HRS'!F96)</f>
        <v>0</v>
      </c>
      <c r="G96" s="49">
        <f>AVERAGE('15.8 KAMPALA-BUSUNJU-24 HRS'!G96,'16.8 KAMPALA-BUSUNJU-24HRS'!G96)</f>
        <v>0</v>
      </c>
      <c r="H96" s="49">
        <f>AVERAGE('15.8 KAMPALA-BUSUNJU-24 HRS'!H96,'16.8 KAMPALA-BUSUNJU-24HRS'!H96)</f>
        <v>0</v>
      </c>
      <c r="I96" s="49">
        <f>AVERAGE('15.8 KAMPALA-BUSUNJU-24 HRS'!I96,'16.8 KAMPALA-BUSUNJU-24HRS'!I96)</f>
        <v>0</v>
      </c>
      <c r="J96" s="49">
        <f>AVERAGE('15.8 KAMPALA-BUSUNJU-24 HRS'!J96,'16.8 KAMPALA-BUSUNJU-24HRS'!J96)</f>
        <v>0</v>
      </c>
      <c r="K96" s="49">
        <f>AVERAGE('15.8 KAMPALA-BUSUNJU-24 HRS'!K96,'16.8 KAMPALA-BUSUNJU-24HRS'!K96)</f>
        <v>0</v>
      </c>
      <c r="L96" s="49">
        <f>AVERAGE('15.8 KAMPALA-BUSUNJU-24 HRS'!L96,'16.8 KAMPALA-BUSUNJU-24HRS'!L96)</f>
        <v>0</v>
      </c>
      <c r="M96" s="49">
        <f>AVERAGE('15.8 KAMPALA-BUSUNJU-24 HRS'!M96,'16.8 KAMPALA-BUSUNJU-24HRS'!M96)</f>
        <v>0</v>
      </c>
      <c r="N96" s="49">
        <f>AVERAGE('15.8 KAMPALA-BUSUNJU-24 HRS'!N96,'16.8 KAMPALA-BUSUNJU-24HRS'!N96)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AVERAGE('15.8 KAMPALA-BUSUNJU-24 HRS'!C97,'16.8 KAMPALA-BUSUNJU-24HRS'!C97)</f>
        <v>0</v>
      </c>
      <c r="D97" s="49">
        <f>AVERAGE('15.8 KAMPALA-BUSUNJU-24 HRS'!D97,'16.8 KAMPALA-BUSUNJU-24HRS'!D97)</f>
        <v>0</v>
      </c>
      <c r="E97" s="49">
        <f>AVERAGE('15.8 KAMPALA-BUSUNJU-24 HRS'!E97,'16.8 KAMPALA-BUSUNJU-24HRS'!E97)</f>
        <v>0</v>
      </c>
      <c r="F97" s="49">
        <f>AVERAGE('15.8 KAMPALA-BUSUNJU-24 HRS'!F97,'16.8 KAMPALA-BUSUNJU-24HRS'!F97)</f>
        <v>0</v>
      </c>
      <c r="G97" s="49">
        <f>AVERAGE('15.8 KAMPALA-BUSUNJU-24 HRS'!G97,'16.8 KAMPALA-BUSUNJU-24HRS'!G97)</f>
        <v>0</v>
      </c>
      <c r="H97" s="49">
        <f>AVERAGE('15.8 KAMPALA-BUSUNJU-24 HRS'!H97,'16.8 KAMPALA-BUSUNJU-24HRS'!H97)</f>
        <v>0</v>
      </c>
      <c r="I97" s="49">
        <f>AVERAGE('15.8 KAMPALA-BUSUNJU-24 HRS'!I97,'16.8 KAMPALA-BUSUNJU-24HRS'!I97)</f>
        <v>0</v>
      </c>
      <c r="J97" s="49">
        <f>AVERAGE('15.8 KAMPALA-BUSUNJU-24 HRS'!J97,'16.8 KAMPALA-BUSUNJU-24HRS'!J97)</f>
        <v>0</v>
      </c>
      <c r="K97" s="49">
        <f>AVERAGE('15.8 KAMPALA-BUSUNJU-24 HRS'!K97,'16.8 KAMPALA-BUSUNJU-24HRS'!K97)</f>
        <v>0</v>
      </c>
      <c r="L97" s="49">
        <f>AVERAGE('15.8 KAMPALA-BUSUNJU-24 HRS'!L97,'16.8 KAMPALA-BUSUNJU-24HRS'!L97)</f>
        <v>0</v>
      </c>
      <c r="M97" s="49">
        <f>AVERAGE('15.8 KAMPALA-BUSUNJU-24 HRS'!M97,'16.8 KAMPALA-BUSUNJU-24HRS'!M97)</f>
        <v>0</v>
      </c>
      <c r="N97" s="49">
        <f>AVERAGE('15.8 KAMPALA-BUSUNJU-24 HRS'!N97,'16.8 KAMPALA-BUSUNJU-24HRS'!N97)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AVERAGE('15.8 KAMPALA-BUSUNJU-24 HRS'!C98,'16.8 KAMPALA-BUSUNJU-24HRS'!C98)</f>
        <v>2</v>
      </c>
      <c r="D98" s="49">
        <f>AVERAGE('15.8 KAMPALA-BUSUNJU-24 HRS'!D98,'16.8 KAMPALA-BUSUNJU-24HRS'!D98)</f>
        <v>0</v>
      </c>
      <c r="E98" s="49">
        <f>AVERAGE('15.8 KAMPALA-BUSUNJU-24 HRS'!E98,'16.8 KAMPALA-BUSUNJU-24HRS'!E98)</f>
        <v>0</v>
      </c>
      <c r="F98" s="49">
        <f>AVERAGE('15.8 KAMPALA-BUSUNJU-24 HRS'!F98,'16.8 KAMPALA-BUSUNJU-24HRS'!F98)</f>
        <v>0</v>
      </c>
      <c r="G98" s="49">
        <f>AVERAGE('15.8 KAMPALA-BUSUNJU-24 HRS'!G98,'16.8 KAMPALA-BUSUNJU-24HRS'!G98)</f>
        <v>0</v>
      </c>
      <c r="H98" s="49">
        <f>AVERAGE('15.8 KAMPALA-BUSUNJU-24 HRS'!H98,'16.8 KAMPALA-BUSUNJU-24HRS'!H98)</f>
        <v>0</v>
      </c>
      <c r="I98" s="49">
        <f>AVERAGE('15.8 KAMPALA-BUSUNJU-24 HRS'!I98,'16.8 KAMPALA-BUSUNJU-24HRS'!I98)</f>
        <v>0</v>
      </c>
      <c r="J98" s="49">
        <f>AVERAGE('15.8 KAMPALA-BUSUNJU-24 HRS'!J98,'16.8 KAMPALA-BUSUNJU-24HRS'!J98)</f>
        <v>0</v>
      </c>
      <c r="K98" s="49">
        <f>AVERAGE('15.8 KAMPALA-BUSUNJU-24 HRS'!K98,'16.8 KAMPALA-BUSUNJU-24HRS'!K98)</f>
        <v>0</v>
      </c>
      <c r="L98" s="49">
        <f>AVERAGE('15.8 KAMPALA-BUSUNJU-24 HRS'!L98,'16.8 KAMPALA-BUSUNJU-24HRS'!L98)</f>
        <v>0</v>
      </c>
      <c r="M98" s="49">
        <f>AVERAGE('15.8 KAMPALA-BUSUNJU-24 HRS'!M98,'16.8 KAMPALA-BUSUNJU-24HRS'!M98)</f>
        <v>0.5</v>
      </c>
      <c r="N98" s="49">
        <f>AVERAGE('15.8 KAMPALA-BUSUNJU-24 HRS'!N98,'16.8 KAMPALA-BUSUNJU-24HRS'!N98)</f>
        <v>0</v>
      </c>
      <c r="O98" s="15">
        <f t="shared" si="35"/>
        <v>2</v>
      </c>
      <c r="P98" s="15">
        <f t="shared" si="36"/>
        <v>2.5</v>
      </c>
      <c r="R98" s="8"/>
      <c r="T98"/>
    </row>
    <row r="99" spans="2:20" ht="23.1" customHeight="1" x14ac:dyDescent="0.25">
      <c r="B99" s="23" t="s">
        <v>139</v>
      </c>
      <c r="C99" s="49">
        <f>AVERAGE('15.8 KAMPALA-BUSUNJU-24 HRS'!C99,'16.8 KAMPALA-BUSUNJU-24HRS'!C99)</f>
        <v>0</v>
      </c>
      <c r="D99" s="49">
        <f>AVERAGE('15.8 KAMPALA-BUSUNJU-24 HRS'!D99,'16.8 KAMPALA-BUSUNJU-24HRS'!D99)</f>
        <v>0</v>
      </c>
      <c r="E99" s="49">
        <f>AVERAGE('15.8 KAMPALA-BUSUNJU-24 HRS'!E99,'16.8 KAMPALA-BUSUNJU-24HRS'!E99)</f>
        <v>0</v>
      </c>
      <c r="F99" s="49">
        <f>AVERAGE('15.8 KAMPALA-BUSUNJU-24 HRS'!F99,'16.8 KAMPALA-BUSUNJU-24HRS'!F99)</f>
        <v>0</v>
      </c>
      <c r="G99" s="49">
        <f>AVERAGE('15.8 KAMPALA-BUSUNJU-24 HRS'!G99,'16.8 KAMPALA-BUSUNJU-24HRS'!G99)</f>
        <v>0</v>
      </c>
      <c r="H99" s="49">
        <f>AVERAGE('15.8 KAMPALA-BUSUNJU-24 HRS'!H99,'16.8 KAMPALA-BUSUNJU-24HRS'!H99)</f>
        <v>0</v>
      </c>
      <c r="I99" s="49">
        <f>AVERAGE('15.8 KAMPALA-BUSUNJU-24 HRS'!I99,'16.8 KAMPALA-BUSUNJU-24HRS'!I99)</f>
        <v>0</v>
      </c>
      <c r="J99" s="49">
        <f>AVERAGE('15.8 KAMPALA-BUSUNJU-24 HRS'!J99,'16.8 KAMPALA-BUSUNJU-24HRS'!J99)</f>
        <v>0</v>
      </c>
      <c r="K99" s="49">
        <f>AVERAGE('15.8 KAMPALA-BUSUNJU-24 HRS'!K99,'16.8 KAMPALA-BUSUNJU-24HRS'!K99)</f>
        <v>0</v>
      </c>
      <c r="L99" s="49">
        <f>AVERAGE('15.8 KAMPALA-BUSUNJU-24 HRS'!L99,'16.8 KAMPALA-BUSUNJU-24HRS'!L99)</f>
        <v>0</v>
      </c>
      <c r="M99" s="49">
        <f>AVERAGE('15.8 KAMPALA-BUSUNJU-24 HRS'!M99,'16.8 KAMPALA-BUSUNJU-24HRS'!M99)</f>
        <v>0</v>
      </c>
      <c r="N99" s="49">
        <f>AVERAGE('15.8 KAMPALA-BUSUNJU-24 HRS'!N99,'16.8 KAMPALA-BUSUNJU-24HRS'!N99)</f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25" t="s">
        <v>140</v>
      </c>
      <c r="C100" s="49">
        <f>AVERAGE('15.8 KAMPALA-BUSUNJU-24 HRS'!C100,'16.8 KAMPALA-BUSUNJU-24HRS'!C100)</f>
        <v>1</v>
      </c>
      <c r="D100" s="49">
        <f>AVERAGE('15.8 KAMPALA-BUSUNJU-24 HRS'!D100,'16.8 KAMPALA-BUSUNJU-24HRS'!D100)</f>
        <v>0</v>
      </c>
      <c r="E100" s="49">
        <f>AVERAGE('15.8 KAMPALA-BUSUNJU-24 HRS'!E100,'16.8 KAMPALA-BUSUNJU-24HRS'!E100)</f>
        <v>0</v>
      </c>
      <c r="F100" s="49">
        <f>AVERAGE('15.8 KAMPALA-BUSUNJU-24 HRS'!F100,'16.8 KAMPALA-BUSUNJU-24HRS'!F100)</f>
        <v>0</v>
      </c>
      <c r="G100" s="49">
        <f>AVERAGE('15.8 KAMPALA-BUSUNJU-24 HRS'!G100,'16.8 KAMPALA-BUSUNJU-24HRS'!G100)</f>
        <v>1</v>
      </c>
      <c r="H100" s="49">
        <f>AVERAGE('15.8 KAMPALA-BUSUNJU-24 HRS'!H100,'16.8 KAMPALA-BUSUNJU-24HRS'!H100)</f>
        <v>0</v>
      </c>
      <c r="I100" s="49">
        <f>AVERAGE('15.8 KAMPALA-BUSUNJU-24 HRS'!I100,'16.8 KAMPALA-BUSUNJU-24HRS'!I100)</f>
        <v>0</v>
      </c>
      <c r="J100" s="49">
        <f>AVERAGE('15.8 KAMPALA-BUSUNJU-24 HRS'!J100,'16.8 KAMPALA-BUSUNJU-24HRS'!J100)</f>
        <v>0</v>
      </c>
      <c r="K100" s="49">
        <f>AVERAGE('15.8 KAMPALA-BUSUNJU-24 HRS'!K100,'16.8 KAMPALA-BUSUNJU-24HRS'!K100)</f>
        <v>0</v>
      </c>
      <c r="L100" s="49">
        <f>AVERAGE('15.8 KAMPALA-BUSUNJU-24 HRS'!L100,'16.8 KAMPALA-BUSUNJU-24HRS'!L100)</f>
        <v>0</v>
      </c>
      <c r="M100" s="49">
        <f>AVERAGE('15.8 KAMPALA-BUSUNJU-24 HRS'!M100,'16.8 KAMPALA-BUSUNJU-24HRS'!M100)</f>
        <v>1</v>
      </c>
      <c r="N100" s="49">
        <f>AVERAGE('15.8 KAMPALA-BUSUNJU-24 HRS'!N100,'16.8 KAMPALA-BUSUNJU-24HRS'!N100)</f>
        <v>0</v>
      </c>
      <c r="O100" s="15">
        <f t="shared" si="35"/>
        <v>2</v>
      </c>
      <c r="P100" s="15">
        <f t="shared" si="36"/>
        <v>3</v>
      </c>
      <c r="R100" s="8"/>
      <c r="T100"/>
    </row>
    <row r="101" spans="2:20" ht="23.1" customHeight="1" x14ac:dyDescent="0.25">
      <c r="B101" s="23" t="s">
        <v>141</v>
      </c>
      <c r="C101" s="49">
        <f>AVERAGE('15.8 KAMPALA-BUSUNJU-24 HRS'!C101,'16.8 KAMPALA-BUSUNJU-24HRS'!C101)</f>
        <v>3</v>
      </c>
      <c r="D101" s="49">
        <f>AVERAGE('15.8 KAMPALA-BUSUNJU-24 HRS'!D101,'16.8 KAMPALA-BUSUNJU-24HRS'!D101)</f>
        <v>1</v>
      </c>
      <c r="E101" s="49">
        <f>AVERAGE('15.8 KAMPALA-BUSUNJU-24 HRS'!E101,'16.8 KAMPALA-BUSUNJU-24HRS'!E101)</f>
        <v>0</v>
      </c>
      <c r="F101" s="49">
        <f>AVERAGE('15.8 KAMPALA-BUSUNJU-24 HRS'!F101,'16.8 KAMPALA-BUSUNJU-24HRS'!F101)</f>
        <v>1</v>
      </c>
      <c r="G101" s="49">
        <f>AVERAGE('15.8 KAMPALA-BUSUNJU-24 HRS'!G101,'16.8 KAMPALA-BUSUNJU-24HRS'!G101)</f>
        <v>0</v>
      </c>
      <c r="H101" s="49">
        <f>AVERAGE('15.8 KAMPALA-BUSUNJU-24 HRS'!H101,'16.8 KAMPALA-BUSUNJU-24HRS'!H101)</f>
        <v>0</v>
      </c>
      <c r="I101" s="49">
        <f>AVERAGE('15.8 KAMPALA-BUSUNJU-24 HRS'!I101,'16.8 KAMPALA-BUSUNJU-24HRS'!I101)</f>
        <v>0</v>
      </c>
      <c r="J101" s="49">
        <f>AVERAGE('15.8 KAMPALA-BUSUNJU-24 HRS'!J101,'16.8 KAMPALA-BUSUNJU-24HRS'!J101)</f>
        <v>0</v>
      </c>
      <c r="K101" s="49">
        <f>AVERAGE('15.8 KAMPALA-BUSUNJU-24 HRS'!K101,'16.8 KAMPALA-BUSUNJU-24HRS'!K101)</f>
        <v>0</v>
      </c>
      <c r="L101" s="49">
        <f>AVERAGE('15.8 KAMPALA-BUSUNJU-24 HRS'!L101,'16.8 KAMPALA-BUSUNJU-24HRS'!L101)</f>
        <v>0</v>
      </c>
      <c r="M101" s="49">
        <f>AVERAGE('15.8 KAMPALA-BUSUNJU-24 HRS'!M101,'16.8 KAMPALA-BUSUNJU-24HRS'!M101)</f>
        <v>0</v>
      </c>
      <c r="N101" s="49">
        <f>AVERAGE('15.8 KAMPALA-BUSUNJU-24 HRS'!N101,'16.8 KAMPALA-BUSUNJU-24HRS'!N101)</f>
        <v>0</v>
      </c>
      <c r="O101" s="15">
        <f t="shared" si="35"/>
        <v>5</v>
      </c>
      <c r="P101" s="15">
        <f t="shared" si="36"/>
        <v>5</v>
      </c>
      <c r="R101" s="8"/>
      <c r="T101"/>
    </row>
    <row r="102" spans="2:20" ht="23.1" customHeight="1" x14ac:dyDescent="0.25">
      <c r="B102" s="24" t="s">
        <v>142</v>
      </c>
      <c r="C102" s="49">
        <f>AVERAGE('15.8 KAMPALA-BUSUNJU-24 HRS'!C102,'16.8 KAMPALA-BUSUNJU-24HRS'!C102)</f>
        <v>0</v>
      </c>
      <c r="D102" s="49">
        <f>AVERAGE('15.8 KAMPALA-BUSUNJU-24 HRS'!D102,'16.8 KAMPALA-BUSUNJU-24HRS'!D102)</f>
        <v>1</v>
      </c>
      <c r="E102" s="49">
        <f>AVERAGE('15.8 KAMPALA-BUSUNJU-24 HRS'!E102,'16.8 KAMPALA-BUSUNJU-24HRS'!E102)</f>
        <v>1</v>
      </c>
      <c r="F102" s="49">
        <f>AVERAGE('15.8 KAMPALA-BUSUNJU-24 HRS'!F102,'16.8 KAMPALA-BUSUNJU-24HRS'!F102)</f>
        <v>1</v>
      </c>
      <c r="G102" s="49">
        <f>AVERAGE('15.8 KAMPALA-BUSUNJU-24 HRS'!G102,'16.8 KAMPALA-BUSUNJU-24HRS'!G102)</f>
        <v>0</v>
      </c>
      <c r="H102" s="49">
        <f>AVERAGE('15.8 KAMPALA-BUSUNJU-24 HRS'!H102,'16.8 KAMPALA-BUSUNJU-24HRS'!H102)</f>
        <v>0</v>
      </c>
      <c r="I102" s="49">
        <f>AVERAGE('15.8 KAMPALA-BUSUNJU-24 HRS'!I102,'16.8 KAMPALA-BUSUNJU-24HRS'!I102)</f>
        <v>0</v>
      </c>
      <c r="J102" s="49">
        <f>AVERAGE('15.8 KAMPALA-BUSUNJU-24 HRS'!J102,'16.8 KAMPALA-BUSUNJU-24HRS'!J102)</f>
        <v>0</v>
      </c>
      <c r="K102" s="49">
        <f>AVERAGE('15.8 KAMPALA-BUSUNJU-24 HRS'!K102,'16.8 KAMPALA-BUSUNJU-24HRS'!K102)</f>
        <v>0</v>
      </c>
      <c r="L102" s="49">
        <f>AVERAGE('15.8 KAMPALA-BUSUNJU-24 HRS'!L102,'16.8 KAMPALA-BUSUNJU-24HRS'!L102)</f>
        <v>0</v>
      </c>
      <c r="M102" s="49">
        <f>AVERAGE('15.8 KAMPALA-BUSUNJU-24 HRS'!M102,'16.8 KAMPALA-BUSUNJU-24HRS'!M102)</f>
        <v>2</v>
      </c>
      <c r="N102" s="49">
        <f>AVERAGE('15.8 KAMPALA-BUSUNJU-24 HRS'!N102,'16.8 KAMPALA-BUSUNJU-24HRS'!N102)</f>
        <v>0</v>
      </c>
      <c r="O102" s="15">
        <f t="shared" si="35"/>
        <v>3</v>
      </c>
      <c r="P102" s="15">
        <f t="shared" si="36"/>
        <v>5</v>
      </c>
      <c r="R102" s="8"/>
      <c r="T102"/>
    </row>
    <row r="103" spans="2:20" ht="23.1" customHeight="1" x14ac:dyDescent="0.25">
      <c r="B103" s="23" t="s">
        <v>143</v>
      </c>
      <c r="C103" s="49">
        <f>AVERAGE('15.8 KAMPALA-BUSUNJU-24 HRS'!C103,'16.8 KAMPALA-BUSUNJU-24HRS'!C103)</f>
        <v>0.5</v>
      </c>
      <c r="D103" s="49">
        <f>AVERAGE('15.8 KAMPALA-BUSUNJU-24 HRS'!D103,'16.8 KAMPALA-BUSUNJU-24HRS'!D103)</f>
        <v>0</v>
      </c>
      <c r="E103" s="49">
        <f>AVERAGE('15.8 KAMPALA-BUSUNJU-24 HRS'!E103,'16.8 KAMPALA-BUSUNJU-24HRS'!E103)</f>
        <v>0</v>
      </c>
      <c r="F103" s="49">
        <f>AVERAGE('15.8 KAMPALA-BUSUNJU-24 HRS'!F103,'16.8 KAMPALA-BUSUNJU-24HRS'!F103)</f>
        <v>2</v>
      </c>
      <c r="G103" s="49">
        <f>AVERAGE('15.8 KAMPALA-BUSUNJU-24 HRS'!G103,'16.8 KAMPALA-BUSUNJU-24HRS'!G103)</f>
        <v>0</v>
      </c>
      <c r="H103" s="49">
        <f>AVERAGE('15.8 KAMPALA-BUSUNJU-24 HRS'!H103,'16.8 KAMPALA-BUSUNJU-24HRS'!H103)</f>
        <v>0</v>
      </c>
      <c r="I103" s="49">
        <f>AVERAGE('15.8 KAMPALA-BUSUNJU-24 HRS'!I103,'16.8 KAMPALA-BUSUNJU-24HRS'!I103)</f>
        <v>0</v>
      </c>
      <c r="J103" s="49">
        <f>AVERAGE('15.8 KAMPALA-BUSUNJU-24 HRS'!J103,'16.8 KAMPALA-BUSUNJU-24HRS'!J103)</f>
        <v>1.5</v>
      </c>
      <c r="K103" s="49">
        <f>AVERAGE('15.8 KAMPALA-BUSUNJU-24 HRS'!K103,'16.8 KAMPALA-BUSUNJU-24HRS'!K103)</f>
        <v>0</v>
      </c>
      <c r="L103" s="49">
        <f>AVERAGE('15.8 KAMPALA-BUSUNJU-24 HRS'!L103,'16.8 KAMPALA-BUSUNJU-24HRS'!L103)</f>
        <v>0</v>
      </c>
      <c r="M103" s="49">
        <f>AVERAGE('15.8 KAMPALA-BUSUNJU-24 HRS'!M103,'16.8 KAMPALA-BUSUNJU-24HRS'!M103)</f>
        <v>2.5</v>
      </c>
      <c r="N103" s="49">
        <f>AVERAGE('15.8 KAMPALA-BUSUNJU-24 HRS'!N103,'16.8 KAMPALA-BUSUNJU-24HRS'!N103)</f>
        <v>0</v>
      </c>
      <c r="O103" s="15">
        <f t="shared" si="35"/>
        <v>4</v>
      </c>
      <c r="P103" s="15">
        <f t="shared" si="36"/>
        <v>6.5</v>
      </c>
      <c r="R103" s="8"/>
      <c r="T103"/>
    </row>
    <row r="104" spans="2:20" ht="23.1" customHeight="1" x14ac:dyDescent="0.25">
      <c r="B104" s="25" t="s">
        <v>144</v>
      </c>
      <c r="C104" s="49">
        <f>AVERAGE('15.8 KAMPALA-BUSUNJU-24 HRS'!C104,'16.8 KAMPALA-BUSUNJU-24HRS'!C104)</f>
        <v>2</v>
      </c>
      <c r="D104" s="49">
        <f>AVERAGE('15.8 KAMPALA-BUSUNJU-24 HRS'!D104,'16.8 KAMPALA-BUSUNJU-24HRS'!D104)</f>
        <v>0.5</v>
      </c>
      <c r="E104" s="49">
        <f>AVERAGE('15.8 KAMPALA-BUSUNJU-24 HRS'!E104,'16.8 KAMPALA-BUSUNJU-24HRS'!E104)</f>
        <v>1.5</v>
      </c>
      <c r="F104" s="49">
        <f>AVERAGE('15.8 KAMPALA-BUSUNJU-24 HRS'!F104,'16.8 KAMPALA-BUSUNJU-24HRS'!F104)</f>
        <v>1.5</v>
      </c>
      <c r="G104" s="49">
        <f>AVERAGE('15.8 KAMPALA-BUSUNJU-24 HRS'!G104,'16.8 KAMPALA-BUSUNJU-24HRS'!G104)</f>
        <v>1</v>
      </c>
      <c r="H104" s="49">
        <f>AVERAGE('15.8 KAMPALA-BUSUNJU-24 HRS'!H104,'16.8 KAMPALA-BUSUNJU-24HRS'!H104)</f>
        <v>1</v>
      </c>
      <c r="I104" s="49">
        <f>AVERAGE('15.8 KAMPALA-BUSUNJU-24 HRS'!I104,'16.8 KAMPALA-BUSUNJU-24HRS'!I104)</f>
        <v>0</v>
      </c>
      <c r="J104" s="49">
        <f>AVERAGE('15.8 KAMPALA-BUSUNJU-24 HRS'!J104,'16.8 KAMPALA-BUSUNJU-24HRS'!J104)</f>
        <v>0.5</v>
      </c>
      <c r="K104" s="49">
        <f>AVERAGE('15.8 KAMPALA-BUSUNJU-24 HRS'!K104,'16.8 KAMPALA-BUSUNJU-24HRS'!K104)</f>
        <v>1</v>
      </c>
      <c r="L104" s="49">
        <f>AVERAGE('15.8 KAMPALA-BUSUNJU-24 HRS'!L104,'16.8 KAMPALA-BUSUNJU-24HRS'!L104)</f>
        <v>1</v>
      </c>
      <c r="M104" s="49">
        <f>AVERAGE('15.8 KAMPALA-BUSUNJU-24 HRS'!M104,'16.8 KAMPALA-BUSUNJU-24HRS'!M104)</f>
        <v>2.5</v>
      </c>
      <c r="N104" s="49">
        <f>AVERAGE('15.8 KAMPALA-BUSUNJU-24 HRS'!N104,'16.8 KAMPALA-BUSUNJU-24HRS'!N104)</f>
        <v>0.5</v>
      </c>
      <c r="O104" s="15">
        <f t="shared" si="35"/>
        <v>10.5</v>
      </c>
      <c r="P104" s="15">
        <f t="shared" si="36"/>
        <v>13</v>
      </c>
      <c r="R104" s="8"/>
      <c r="T104"/>
    </row>
    <row r="105" spans="2:20" ht="23.1" customHeight="1" x14ac:dyDescent="0.25">
      <c r="B105" s="23" t="s">
        <v>145</v>
      </c>
      <c r="C105" s="49">
        <f>AVERAGE('15.8 KAMPALA-BUSUNJU-24 HRS'!C105,'16.8 KAMPALA-BUSUNJU-24HRS'!C105)</f>
        <v>3</v>
      </c>
      <c r="D105" s="49">
        <f>AVERAGE('15.8 KAMPALA-BUSUNJU-24 HRS'!D105,'16.8 KAMPALA-BUSUNJU-24HRS'!D105)</f>
        <v>0.5</v>
      </c>
      <c r="E105" s="49">
        <f>AVERAGE('15.8 KAMPALA-BUSUNJU-24 HRS'!E105,'16.8 KAMPALA-BUSUNJU-24HRS'!E105)</f>
        <v>0</v>
      </c>
      <c r="F105" s="49">
        <f>AVERAGE('15.8 KAMPALA-BUSUNJU-24 HRS'!F105,'16.8 KAMPALA-BUSUNJU-24HRS'!F105)</f>
        <v>1.5</v>
      </c>
      <c r="G105" s="49">
        <f>AVERAGE('15.8 KAMPALA-BUSUNJU-24 HRS'!G105,'16.8 KAMPALA-BUSUNJU-24HRS'!G105)</f>
        <v>0</v>
      </c>
      <c r="H105" s="49">
        <f>AVERAGE('15.8 KAMPALA-BUSUNJU-24 HRS'!H105,'16.8 KAMPALA-BUSUNJU-24HRS'!H105)</f>
        <v>1.5</v>
      </c>
      <c r="I105" s="49">
        <f>AVERAGE('15.8 KAMPALA-BUSUNJU-24 HRS'!I105,'16.8 KAMPALA-BUSUNJU-24HRS'!I105)</f>
        <v>0</v>
      </c>
      <c r="J105" s="49">
        <f>AVERAGE('15.8 KAMPALA-BUSUNJU-24 HRS'!J105,'16.8 KAMPALA-BUSUNJU-24HRS'!J105)</f>
        <v>1</v>
      </c>
      <c r="K105" s="49">
        <f>AVERAGE('15.8 KAMPALA-BUSUNJU-24 HRS'!K105,'16.8 KAMPALA-BUSUNJU-24HRS'!K105)</f>
        <v>0</v>
      </c>
      <c r="L105" s="49">
        <f>AVERAGE('15.8 KAMPALA-BUSUNJU-24 HRS'!L105,'16.8 KAMPALA-BUSUNJU-24HRS'!L105)</f>
        <v>0.5</v>
      </c>
      <c r="M105" s="49">
        <f>AVERAGE('15.8 KAMPALA-BUSUNJU-24 HRS'!M105,'16.8 KAMPALA-BUSUNJU-24HRS'!M105)</f>
        <v>3.5</v>
      </c>
      <c r="N105" s="49">
        <f>AVERAGE('15.8 KAMPALA-BUSUNJU-24 HRS'!N105,'16.8 KAMPALA-BUSUNJU-24HRS'!N105)</f>
        <v>0</v>
      </c>
      <c r="O105" s="15">
        <f t="shared" si="35"/>
        <v>8</v>
      </c>
      <c r="P105" s="15">
        <f t="shared" si="36"/>
        <v>11.5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94.5</v>
      </c>
      <c r="D106" s="16">
        <f t="shared" ref="D106:P106" si="37">SUM(D10:D105)</f>
        <v>12</v>
      </c>
      <c r="E106" s="16">
        <f t="shared" si="37"/>
        <v>72.785714285714278</v>
      </c>
      <c r="F106" s="16">
        <f t="shared" si="37"/>
        <v>27.999999999999996</v>
      </c>
      <c r="G106" s="16">
        <f t="shared" si="37"/>
        <v>3.4285714285714284</v>
      </c>
      <c r="H106" s="16">
        <f t="shared" si="37"/>
        <v>5.3571428571428568</v>
      </c>
      <c r="I106" s="16">
        <f t="shared" si="37"/>
        <v>61.428571428571431</v>
      </c>
      <c r="J106" s="16">
        <f t="shared" si="37"/>
        <v>7.7142857142857135</v>
      </c>
      <c r="K106" s="16">
        <f t="shared" si="37"/>
        <v>1.1428571428571428</v>
      </c>
      <c r="L106" s="16">
        <f t="shared" si="37"/>
        <v>2.0714285714285712</v>
      </c>
      <c r="M106" s="16">
        <f t="shared" si="37"/>
        <v>808.78571428571422</v>
      </c>
      <c r="N106" s="16">
        <f t="shared" si="37"/>
        <v>1</v>
      </c>
      <c r="O106" s="16">
        <f>SUM(O10:O105)</f>
        <v>289.42857142857144</v>
      </c>
      <c r="P106" s="16">
        <f t="shared" si="37"/>
        <v>1098.2142857142858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8.6048780487804871E-2</v>
      </c>
      <c r="D107" s="43">
        <f t="shared" si="38"/>
        <v>1.0926829268292682E-2</v>
      </c>
      <c r="E107" s="43">
        <f t="shared" si="38"/>
        <v>6.6276422764227627E-2</v>
      </c>
      <c r="F107" s="43">
        <f t="shared" si="38"/>
        <v>2.5495934959349587E-2</v>
      </c>
      <c r="G107" s="43">
        <f t="shared" si="38"/>
        <v>3.1219512195121949E-3</v>
      </c>
      <c r="H107" s="43">
        <f t="shared" si="38"/>
        <v>4.878048780487804E-3</v>
      </c>
      <c r="I107" s="43">
        <f t="shared" si="38"/>
        <v>5.5934959349593492E-2</v>
      </c>
      <c r="J107" s="43">
        <f t="shared" si="38"/>
        <v>7.0243902439024383E-3</v>
      </c>
      <c r="K107" s="43">
        <f t="shared" si="38"/>
        <v>1.040650406504065E-3</v>
      </c>
      <c r="L107" s="43">
        <f t="shared" si="38"/>
        <v>1.8861788617886175E-3</v>
      </c>
      <c r="M107" s="43">
        <f t="shared" si="38"/>
        <v>0.73645528455284548</v>
      </c>
      <c r="N107" s="43">
        <f t="shared" si="38"/>
        <v>9.1056910569105689E-4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0.32650542941757155</v>
      </c>
      <c r="D108" s="44">
        <f t="shared" ref="D108:N108" si="39">D106/$O$106</f>
        <v>4.1461006910167818E-2</v>
      </c>
      <c r="E108" s="44">
        <f t="shared" si="39"/>
        <v>0.25148075024679167</v>
      </c>
      <c r="F108" s="44">
        <f t="shared" si="39"/>
        <v>9.674234945705823E-2</v>
      </c>
      <c r="G108" s="44">
        <f t="shared" si="39"/>
        <v>1.1846001974333661E-2</v>
      </c>
      <c r="H108" s="44">
        <f t="shared" si="39"/>
        <v>1.8509378084896347E-2</v>
      </c>
      <c r="I108" s="44">
        <f t="shared" si="39"/>
        <v>0.21224086870681144</v>
      </c>
      <c r="J108" s="44">
        <f t="shared" si="39"/>
        <v>2.6653504442250738E-2</v>
      </c>
      <c r="K108" s="44">
        <f t="shared" si="39"/>
        <v>3.9486673247778872E-3</v>
      </c>
      <c r="L108" s="44">
        <f t="shared" si="39"/>
        <v>7.1569595261599195E-3</v>
      </c>
      <c r="M108" s="44"/>
      <c r="N108" s="44">
        <f t="shared" si="39"/>
        <v>3.4550839091806512E-3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A76" zoomScale="60" workbookViewId="0">
      <selection activeCell="F91" sqref="F9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'17.8 BUSUNJU-KAMPALA'!C3:G3</f>
        <v>MCC-C3-STN-HOIMA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170</v>
      </c>
      <c r="E5" s="67"/>
      <c r="F5" s="41" t="s">
        <v>1</v>
      </c>
      <c r="G5" s="64" t="str">
        <f>'17.8 BUSUNJU-KAMPALA'!G5:H5</f>
        <v>WAKISO</v>
      </c>
      <c r="H5" s="65"/>
      <c r="I5" s="14"/>
      <c r="J5" s="2" t="s">
        <v>5</v>
      </c>
      <c r="K5" s="64">
        <f>'17.8 BUSUNJU-KAMPALA'!K5:L5</f>
        <v>0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'17.8 BUSUNJU-KAMPALA'!D6:E6</f>
        <v>Makindye</v>
      </c>
      <c r="E6" s="65"/>
      <c r="F6" s="2" t="s">
        <v>2</v>
      </c>
      <c r="G6" s="64" t="str">
        <f>'17.8 BUSUNJU-KAMPALA'!G6:H6</f>
        <v>Kibuye</v>
      </c>
      <c r="H6" s="65"/>
      <c r="J6" s="2" t="s">
        <v>21</v>
      </c>
      <c r="K6" s="64">
        <f>'17.8 BUSUNJU-KAMPALA'!K6:L6</f>
        <v>0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AVERAGE('11.8 BUSUNJU-KAMPALA'!C10,'12.8 KAMPALA-BUSUNJU'!C10,'13.8 BUSUNJU-KAMPALA'!C10,'14.8 BUSUNJU-KAMPALA'!C10,'15.8 BUSUNJU-KAMPALA-24HRS'!C10,'16.8 KAMPALA-BUSUNJU-24HRS'!C10,'17.8 BUSUNJU-KAMPALA'!C10)</f>
        <v>0.8571428571428571</v>
      </c>
      <c r="D10" s="49">
        <f>AVERAGE('11.8 BUSUNJU-KAMPALA'!D10,'12.8 KAMPALA-BUSUNJU'!D10,'13.8 BUSUNJU-KAMPALA'!D10,'14.8 BUSUNJU-KAMPALA'!D10,'15.8 BUSUNJU-KAMPALA-24HRS'!D10,'16.8 KAMPALA-BUSUNJU-24HRS'!D10,'17.8 BUSUNJU-KAMPALA'!D10)</f>
        <v>0</v>
      </c>
      <c r="E10" s="49">
        <f>AVERAGE('11.8 BUSUNJU-KAMPALA'!E10,'12.8 KAMPALA-BUSUNJU'!E10,'13.8 BUSUNJU-KAMPALA'!E10,'14.8 BUSUNJU-KAMPALA'!E10,'15.8 BUSUNJU-KAMPALA-24HRS'!E10,'16.8 KAMPALA-BUSUNJU-24HRS'!E10,'17.8 BUSUNJU-KAMPALA'!E10)</f>
        <v>0.8571428571428571</v>
      </c>
      <c r="F10" s="49">
        <f>AVERAGE('11.8 BUSUNJU-KAMPALA'!F10,'12.8 KAMPALA-BUSUNJU'!F10,'13.8 BUSUNJU-KAMPALA'!F10,'14.8 BUSUNJU-KAMPALA'!F10,'15.8 BUSUNJU-KAMPALA-24HRS'!F10,'16.8 KAMPALA-BUSUNJU-24HRS'!F10,'17.8 BUSUNJU-KAMPALA'!F10)</f>
        <v>0.14285714285714285</v>
      </c>
      <c r="G10" s="49">
        <f>AVERAGE('11.8 BUSUNJU-KAMPALA'!G10,'12.8 KAMPALA-BUSUNJU'!G10,'13.8 BUSUNJU-KAMPALA'!G10,'14.8 BUSUNJU-KAMPALA'!G10,'15.8 BUSUNJU-KAMPALA-24HRS'!G10,'16.8 KAMPALA-BUSUNJU-24HRS'!G10,'17.8 BUSUNJU-KAMPALA'!G10)</f>
        <v>0</v>
      </c>
      <c r="H10" s="49">
        <f>AVERAGE('11.8 BUSUNJU-KAMPALA'!H10,'12.8 KAMPALA-BUSUNJU'!H10,'13.8 BUSUNJU-KAMPALA'!H10,'14.8 BUSUNJU-KAMPALA'!H10,'15.8 BUSUNJU-KAMPALA-24HRS'!H10,'16.8 KAMPALA-BUSUNJU-24HRS'!H10,'17.8 BUSUNJU-KAMPALA'!H10)</f>
        <v>0</v>
      </c>
      <c r="I10" s="49">
        <f>AVERAGE('11.8 BUSUNJU-KAMPALA'!I10,'12.8 KAMPALA-BUSUNJU'!I10,'13.8 BUSUNJU-KAMPALA'!I10,'14.8 BUSUNJU-KAMPALA'!I10,'15.8 BUSUNJU-KAMPALA-24HRS'!I10,'16.8 KAMPALA-BUSUNJU-24HRS'!I10,'17.8 BUSUNJU-KAMPALA'!I10)</f>
        <v>0.14285714285714285</v>
      </c>
      <c r="J10" s="49">
        <f>AVERAGE('11.8 BUSUNJU-KAMPALA'!J10,'12.8 KAMPALA-BUSUNJU'!J10,'13.8 BUSUNJU-KAMPALA'!J10,'14.8 BUSUNJU-KAMPALA'!J10,'15.8 BUSUNJU-KAMPALA-24HRS'!J10,'16.8 KAMPALA-BUSUNJU-24HRS'!J10,'17.8 BUSUNJU-KAMPALA'!J10)</f>
        <v>0</v>
      </c>
      <c r="K10" s="49">
        <f>AVERAGE('11.8 BUSUNJU-KAMPALA'!K10,'12.8 KAMPALA-BUSUNJU'!K10,'13.8 BUSUNJU-KAMPALA'!K10,'14.8 BUSUNJU-KAMPALA'!K10,'15.8 BUSUNJU-KAMPALA-24HRS'!K10,'16.8 KAMPALA-BUSUNJU-24HRS'!K10,'17.8 BUSUNJU-KAMPALA'!K10)</f>
        <v>0</v>
      </c>
      <c r="L10" s="49">
        <f>AVERAGE('11.8 BUSUNJU-KAMPALA'!L10,'12.8 KAMPALA-BUSUNJU'!L10,'13.8 BUSUNJU-KAMPALA'!L10,'14.8 BUSUNJU-KAMPALA'!L10,'15.8 BUSUNJU-KAMPALA-24HRS'!L10,'16.8 KAMPALA-BUSUNJU-24HRS'!L10,'17.8 BUSUNJU-KAMPALA'!L10)</f>
        <v>0</v>
      </c>
      <c r="M10" s="49">
        <f>AVERAGE('11.8 BUSUNJU-KAMPALA'!M10,'12.8 KAMPALA-BUSUNJU'!M10,'13.8 BUSUNJU-KAMPALA'!M10,'14.8 BUSUNJU-KAMPALA'!M10,'15.8 BUSUNJU-KAMPALA-24HRS'!M10,'16.8 KAMPALA-BUSUNJU-24HRS'!M10,'17.8 BUSUNJU-KAMPALA'!M10)</f>
        <v>8.5714285714285712</v>
      </c>
      <c r="N10" s="49">
        <f>AVERAGE('11.8 BUSUNJU-KAMPALA'!N10,'12.8 KAMPALA-BUSUNJU'!N10,'13.8 BUSUNJU-KAMPALA'!N10,'14.8 BUSUNJU-KAMPALA'!N10,'15.8 BUSUNJU-KAMPALA-24HRS'!N10,'16.8 KAMPALA-BUSUNJU-24HRS'!N10,'17.8 BUSUNJU-KAMPALA'!N10)</f>
        <v>0</v>
      </c>
      <c r="O10" s="15">
        <f t="shared" ref="O10:O58" si="0">SUM(C10:L10,N10)</f>
        <v>1.9999999999999998</v>
      </c>
      <c r="P10" s="15">
        <f t="shared" ref="P10:P58" si="1">SUM(C10:N10)</f>
        <v>10.571428571428571</v>
      </c>
      <c r="R10" s="1" t="s">
        <v>6</v>
      </c>
      <c r="S10" s="17">
        <f t="shared" ref="S10:AF10" si="2">SUM(C10:C13)</f>
        <v>2.4285714285714284</v>
      </c>
      <c r="T10" s="17">
        <f t="shared" si="2"/>
        <v>0</v>
      </c>
      <c r="U10" s="17">
        <f t="shared" si="2"/>
        <v>1.7142857142857144</v>
      </c>
      <c r="V10" s="17">
        <f t="shared" si="2"/>
        <v>0.99999999999999989</v>
      </c>
      <c r="W10" s="17">
        <f t="shared" si="2"/>
        <v>0.14285714285714285</v>
      </c>
      <c r="X10" s="17">
        <f t="shared" si="2"/>
        <v>0</v>
      </c>
      <c r="Y10" s="17">
        <f t="shared" si="2"/>
        <v>2.2857142857142856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37</v>
      </c>
      <c r="AD10" s="17">
        <f t="shared" si="2"/>
        <v>0</v>
      </c>
      <c r="AE10" s="31">
        <f t="shared" si="2"/>
        <v>7.5714285714285712</v>
      </c>
      <c r="AF10" s="31">
        <f t="shared" si="2"/>
        <v>44.571428571428569</v>
      </c>
    </row>
    <row r="11" spans="2:32" s="6" customFormat="1" ht="23.1" customHeight="1" x14ac:dyDescent="0.25">
      <c r="B11" s="23" t="s">
        <v>38</v>
      </c>
      <c r="C11" s="49">
        <f>AVERAGE('11.8 BUSUNJU-KAMPALA'!C11,'12.8 KAMPALA-BUSUNJU'!C11,'13.8 BUSUNJU-KAMPALA'!C11,'14.8 BUSUNJU-KAMPALA'!C11,'15.8 BUSUNJU-KAMPALA-24HRS'!C11,'16.8 KAMPALA-BUSUNJU-24HRS'!C11,'17.8 BUSUNJU-KAMPALA'!C11)</f>
        <v>0.5714285714285714</v>
      </c>
      <c r="D11" s="49">
        <f>AVERAGE('11.8 BUSUNJU-KAMPALA'!D11,'12.8 KAMPALA-BUSUNJU'!D11,'13.8 BUSUNJU-KAMPALA'!D11,'14.8 BUSUNJU-KAMPALA'!D11,'15.8 BUSUNJU-KAMPALA-24HRS'!D11,'16.8 KAMPALA-BUSUNJU-24HRS'!D11,'17.8 BUSUNJU-KAMPALA'!D11)</f>
        <v>0</v>
      </c>
      <c r="E11" s="49">
        <f>AVERAGE('11.8 BUSUNJU-KAMPALA'!E11,'12.8 KAMPALA-BUSUNJU'!E11,'13.8 BUSUNJU-KAMPALA'!E11,'14.8 BUSUNJU-KAMPALA'!E11,'15.8 BUSUNJU-KAMPALA-24HRS'!E11,'16.8 KAMPALA-BUSUNJU-24HRS'!E11,'17.8 BUSUNJU-KAMPALA'!E11)</f>
        <v>0.14285714285714285</v>
      </c>
      <c r="F11" s="49">
        <f>AVERAGE('11.8 BUSUNJU-KAMPALA'!F11,'12.8 KAMPALA-BUSUNJU'!F11,'13.8 BUSUNJU-KAMPALA'!F11,'14.8 BUSUNJU-KAMPALA'!F11,'15.8 BUSUNJU-KAMPALA-24HRS'!F11,'16.8 KAMPALA-BUSUNJU-24HRS'!F11,'17.8 BUSUNJU-KAMPALA'!F11)</f>
        <v>0.14285714285714285</v>
      </c>
      <c r="G11" s="49">
        <f>AVERAGE('11.8 BUSUNJU-KAMPALA'!G11,'12.8 KAMPALA-BUSUNJU'!G11,'13.8 BUSUNJU-KAMPALA'!G11,'14.8 BUSUNJU-KAMPALA'!G11,'15.8 BUSUNJU-KAMPALA-24HRS'!G11,'16.8 KAMPALA-BUSUNJU-24HRS'!G11,'17.8 BUSUNJU-KAMPALA'!G11)</f>
        <v>0</v>
      </c>
      <c r="H11" s="49">
        <f>AVERAGE('11.8 BUSUNJU-KAMPALA'!H11,'12.8 KAMPALA-BUSUNJU'!H11,'13.8 BUSUNJU-KAMPALA'!H11,'14.8 BUSUNJU-KAMPALA'!H11,'15.8 BUSUNJU-KAMPALA-24HRS'!H11,'16.8 KAMPALA-BUSUNJU-24HRS'!H11,'17.8 BUSUNJU-KAMPALA'!H11)</f>
        <v>0</v>
      </c>
      <c r="I11" s="49">
        <f>AVERAGE('11.8 BUSUNJU-KAMPALA'!I11,'12.8 KAMPALA-BUSUNJU'!I11,'13.8 BUSUNJU-KAMPALA'!I11,'14.8 BUSUNJU-KAMPALA'!I11,'15.8 BUSUNJU-KAMPALA-24HRS'!I11,'16.8 KAMPALA-BUSUNJU-24HRS'!I11,'17.8 BUSUNJU-KAMPALA'!I11)</f>
        <v>0.7142857142857143</v>
      </c>
      <c r="J11" s="49">
        <f>AVERAGE('11.8 BUSUNJU-KAMPALA'!J11,'12.8 KAMPALA-BUSUNJU'!J11,'13.8 BUSUNJU-KAMPALA'!J11,'14.8 BUSUNJU-KAMPALA'!J11,'15.8 BUSUNJU-KAMPALA-24HRS'!J11,'16.8 KAMPALA-BUSUNJU-24HRS'!J11,'17.8 BUSUNJU-KAMPALA'!J11)</f>
        <v>0</v>
      </c>
      <c r="K11" s="49">
        <f>AVERAGE('11.8 BUSUNJU-KAMPALA'!K11,'12.8 KAMPALA-BUSUNJU'!K11,'13.8 BUSUNJU-KAMPALA'!K11,'14.8 BUSUNJU-KAMPALA'!K11,'15.8 BUSUNJU-KAMPALA-24HRS'!K11,'16.8 KAMPALA-BUSUNJU-24HRS'!K11,'17.8 BUSUNJU-KAMPALA'!K11)</f>
        <v>0</v>
      </c>
      <c r="L11" s="49">
        <f>AVERAGE('11.8 BUSUNJU-KAMPALA'!L11,'12.8 KAMPALA-BUSUNJU'!L11,'13.8 BUSUNJU-KAMPALA'!L11,'14.8 BUSUNJU-KAMPALA'!L11,'15.8 BUSUNJU-KAMPALA-24HRS'!L11,'16.8 KAMPALA-BUSUNJU-24HRS'!L11,'17.8 BUSUNJU-KAMPALA'!L11)</f>
        <v>0</v>
      </c>
      <c r="M11" s="49">
        <f>AVERAGE('11.8 BUSUNJU-KAMPALA'!M11,'12.8 KAMPALA-BUSUNJU'!M11,'13.8 BUSUNJU-KAMPALA'!M11,'14.8 BUSUNJU-KAMPALA'!M11,'15.8 BUSUNJU-KAMPALA-24HRS'!M11,'16.8 KAMPALA-BUSUNJU-24HRS'!M11,'17.8 BUSUNJU-KAMPALA'!M11)</f>
        <v>7.1428571428571432</v>
      </c>
      <c r="N11" s="49">
        <f>AVERAGE('11.8 BUSUNJU-KAMPALA'!N11,'12.8 KAMPALA-BUSUNJU'!N11,'13.8 BUSUNJU-KAMPALA'!N11,'14.8 BUSUNJU-KAMPALA'!N11,'15.8 BUSUNJU-KAMPALA-24HRS'!N11,'16.8 KAMPALA-BUSUNJU-24HRS'!N11,'17.8 BUSUNJU-KAMPALA'!N11)</f>
        <v>0</v>
      </c>
      <c r="O11" s="15">
        <f t="shared" si="0"/>
        <v>1.5714285714285712</v>
      </c>
      <c r="P11" s="15">
        <f t="shared" si="1"/>
        <v>8.7142857142857153</v>
      </c>
      <c r="R11" s="1" t="s">
        <v>7</v>
      </c>
      <c r="S11" s="17">
        <f t="shared" ref="S11:AF11" si="3">SUM(C14:C17)</f>
        <v>1.8571428571428572</v>
      </c>
      <c r="T11" s="17">
        <f t="shared" si="3"/>
        <v>0</v>
      </c>
      <c r="U11" s="17">
        <f t="shared" si="3"/>
        <v>2.2857142857142856</v>
      </c>
      <c r="V11" s="17">
        <f t="shared" si="3"/>
        <v>1.2857142857142856</v>
      </c>
      <c r="W11" s="17">
        <f t="shared" si="3"/>
        <v>0</v>
      </c>
      <c r="X11" s="17">
        <f t="shared" si="3"/>
        <v>0</v>
      </c>
      <c r="Y11" s="17">
        <f t="shared" si="3"/>
        <v>2.5714285714285712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51.142857142857146</v>
      </c>
      <c r="AD11" s="17">
        <f t="shared" si="3"/>
        <v>0.14285714285714285</v>
      </c>
      <c r="AE11" s="31">
        <f t="shared" si="3"/>
        <v>8.1428571428571423</v>
      </c>
      <c r="AF11" s="31">
        <f t="shared" si="3"/>
        <v>59.285714285714285</v>
      </c>
    </row>
    <row r="12" spans="2:32" ht="23.1" customHeight="1" x14ac:dyDescent="0.25">
      <c r="B12" s="23" t="s">
        <v>39</v>
      </c>
      <c r="C12" s="49">
        <f>AVERAGE('11.8 BUSUNJU-KAMPALA'!C12,'12.8 KAMPALA-BUSUNJU'!C12,'13.8 BUSUNJU-KAMPALA'!C12,'14.8 BUSUNJU-KAMPALA'!C12,'15.8 BUSUNJU-KAMPALA-24HRS'!C12,'16.8 KAMPALA-BUSUNJU-24HRS'!C12,'17.8 BUSUNJU-KAMPALA'!C12)</f>
        <v>0.42857142857142855</v>
      </c>
      <c r="D12" s="49">
        <f>AVERAGE('11.8 BUSUNJU-KAMPALA'!D12,'12.8 KAMPALA-BUSUNJU'!D12,'13.8 BUSUNJU-KAMPALA'!D12,'14.8 BUSUNJU-KAMPALA'!D12,'15.8 BUSUNJU-KAMPALA-24HRS'!D12,'16.8 KAMPALA-BUSUNJU-24HRS'!D12,'17.8 BUSUNJU-KAMPALA'!D12)</f>
        <v>0</v>
      </c>
      <c r="E12" s="49">
        <f>AVERAGE('11.8 BUSUNJU-KAMPALA'!E12,'12.8 KAMPALA-BUSUNJU'!E12,'13.8 BUSUNJU-KAMPALA'!E12,'14.8 BUSUNJU-KAMPALA'!E12,'15.8 BUSUNJU-KAMPALA-24HRS'!E12,'16.8 KAMPALA-BUSUNJU-24HRS'!E12,'17.8 BUSUNJU-KAMPALA'!E12)</f>
        <v>0.42857142857142855</v>
      </c>
      <c r="F12" s="49">
        <f>AVERAGE('11.8 BUSUNJU-KAMPALA'!F12,'12.8 KAMPALA-BUSUNJU'!F12,'13.8 BUSUNJU-KAMPALA'!F12,'14.8 BUSUNJU-KAMPALA'!F12,'15.8 BUSUNJU-KAMPALA-24HRS'!F12,'16.8 KAMPALA-BUSUNJU-24HRS'!F12,'17.8 BUSUNJU-KAMPALA'!F12)</f>
        <v>0.42857142857142855</v>
      </c>
      <c r="G12" s="49">
        <f>AVERAGE('11.8 BUSUNJU-KAMPALA'!G12,'12.8 KAMPALA-BUSUNJU'!G12,'13.8 BUSUNJU-KAMPALA'!G12,'14.8 BUSUNJU-KAMPALA'!G12,'15.8 BUSUNJU-KAMPALA-24HRS'!G12,'16.8 KAMPALA-BUSUNJU-24HRS'!G12,'17.8 BUSUNJU-KAMPALA'!G12)</f>
        <v>0.14285714285714285</v>
      </c>
      <c r="H12" s="49">
        <f>AVERAGE('11.8 BUSUNJU-KAMPALA'!H12,'12.8 KAMPALA-BUSUNJU'!H12,'13.8 BUSUNJU-KAMPALA'!H12,'14.8 BUSUNJU-KAMPALA'!H12,'15.8 BUSUNJU-KAMPALA-24HRS'!H12,'16.8 KAMPALA-BUSUNJU-24HRS'!H12,'17.8 BUSUNJU-KAMPALA'!H12)</f>
        <v>0</v>
      </c>
      <c r="I12" s="49">
        <f>AVERAGE('11.8 BUSUNJU-KAMPALA'!I12,'12.8 KAMPALA-BUSUNJU'!I12,'13.8 BUSUNJU-KAMPALA'!I12,'14.8 BUSUNJU-KAMPALA'!I12,'15.8 BUSUNJU-KAMPALA-24HRS'!I12,'16.8 KAMPALA-BUSUNJU-24HRS'!I12,'17.8 BUSUNJU-KAMPALA'!I12)</f>
        <v>0.5714285714285714</v>
      </c>
      <c r="J12" s="49">
        <f>AVERAGE('11.8 BUSUNJU-KAMPALA'!J12,'12.8 KAMPALA-BUSUNJU'!J12,'13.8 BUSUNJU-KAMPALA'!J12,'14.8 BUSUNJU-KAMPALA'!J12,'15.8 BUSUNJU-KAMPALA-24HRS'!J12,'16.8 KAMPALA-BUSUNJU-24HRS'!J12,'17.8 BUSUNJU-KAMPALA'!J12)</f>
        <v>0</v>
      </c>
      <c r="K12" s="49">
        <f>AVERAGE('11.8 BUSUNJU-KAMPALA'!K12,'12.8 KAMPALA-BUSUNJU'!K12,'13.8 BUSUNJU-KAMPALA'!K12,'14.8 BUSUNJU-KAMPALA'!K12,'15.8 BUSUNJU-KAMPALA-24HRS'!K12,'16.8 KAMPALA-BUSUNJU-24HRS'!K12,'17.8 BUSUNJU-KAMPALA'!K12)</f>
        <v>0</v>
      </c>
      <c r="L12" s="49">
        <f>AVERAGE('11.8 BUSUNJU-KAMPALA'!L12,'12.8 KAMPALA-BUSUNJU'!L12,'13.8 BUSUNJU-KAMPALA'!L12,'14.8 BUSUNJU-KAMPALA'!L12,'15.8 BUSUNJU-KAMPALA-24HRS'!L12,'16.8 KAMPALA-BUSUNJU-24HRS'!L12,'17.8 BUSUNJU-KAMPALA'!L12)</f>
        <v>0</v>
      </c>
      <c r="M12" s="49">
        <f>AVERAGE('11.8 BUSUNJU-KAMPALA'!M12,'12.8 KAMPALA-BUSUNJU'!M12,'13.8 BUSUNJU-KAMPALA'!M12,'14.8 BUSUNJU-KAMPALA'!M12,'15.8 BUSUNJU-KAMPALA-24HRS'!M12,'16.8 KAMPALA-BUSUNJU-24HRS'!M12,'17.8 BUSUNJU-KAMPALA'!M12)</f>
        <v>12.285714285714286</v>
      </c>
      <c r="N12" s="49">
        <f>AVERAGE('11.8 BUSUNJU-KAMPALA'!N12,'12.8 KAMPALA-BUSUNJU'!N12,'13.8 BUSUNJU-KAMPALA'!N12,'14.8 BUSUNJU-KAMPALA'!N12,'15.8 BUSUNJU-KAMPALA-24HRS'!N12,'16.8 KAMPALA-BUSUNJU-24HRS'!N12,'17.8 BUSUNJU-KAMPALA'!N12)</f>
        <v>0</v>
      </c>
      <c r="O12" s="15">
        <f t="shared" si="0"/>
        <v>1.9999999999999998</v>
      </c>
      <c r="P12" s="15">
        <f t="shared" si="1"/>
        <v>14.285714285714286</v>
      </c>
      <c r="R12" s="1" t="s">
        <v>8</v>
      </c>
      <c r="S12" s="17">
        <f t="shared" ref="S12:AF12" si="4">SUM(C18:C21)</f>
        <v>2.5714285714285712</v>
      </c>
      <c r="T12" s="17">
        <f t="shared" si="4"/>
        <v>0</v>
      </c>
      <c r="U12" s="17">
        <f t="shared" si="4"/>
        <v>2</v>
      </c>
      <c r="V12" s="17">
        <f t="shared" si="4"/>
        <v>0.5714285714285714</v>
      </c>
      <c r="W12" s="17">
        <f t="shared" si="4"/>
        <v>0</v>
      </c>
      <c r="X12" s="17">
        <f t="shared" si="4"/>
        <v>0</v>
      </c>
      <c r="Y12" s="17">
        <f t="shared" si="4"/>
        <v>3.4285714285714284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57.571428571428569</v>
      </c>
      <c r="AD12" s="17">
        <f t="shared" si="4"/>
        <v>0</v>
      </c>
      <c r="AE12" s="31">
        <f t="shared" si="4"/>
        <v>8.5714285714285712</v>
      </c>
      <c r="AF12" s="31">
        <f t="shared" si="4"/>
        <v>66.142857142857139</v>
      </c>
    </row>
    <row r="13" spans="2:32" ht="23.1" customHeight="1" x14ac:dyDescent="0.25">
      <c r="B13" s="23" t="s">
        <v>40</v>
      </c>
      <c r="C13" s="49">
        <f>AVERAGE('11.8 BUSUNJU-KAMPALA'!C13,'12.8 KAMPALA-BUSUNJU'!C13,'13.8 BUSUNJU-KAMPALA'!C13,'14.8 BUSUNJU-KAMPALA'!C13,'15.8 BUSUNJU-KAMPALA-24HRS'!C13,'16.8 KAMPALA-BUSUNJU-24HRS'!C13,'17.8 BUSUNJU-KAMPALA'!C13)</f>
        <v>0.5714285714285714</v>
      </c>
      <c r="D13" s="49">
        <f>AVERAGE('11.8 BUSUNJU-KAMPALA'!D13,'12.8 KAMPALA-BUSUNJU'!D13,'13.8 BUSUNJU-KAMPALA'!D13,'14.8 BUSUNJU-KAMPALA'!D13,'15.8 BUSUNJU-KAMPALA-24HRS'!D13,'16.8 KAMPALA-BUSUNJU-24HRS'!D13,'17.8 BUSUNJU-KAMPALA'!D13)</f>
        <v>0</v>
      </c>
      <c r="E13" s="49">
        <f>AVERAGE('11.8 BUSUNJU-KAMPALA'!E13,'12.8 KAMPALA-BUSUNJU'!E13,'13.8 BUSUNJU-KAMPALA'!E13,'14.8 BUSUNJU-KAMPALA'!E13,'15.8 BUSUNJU-KAMPALA-24HRS'!E13,'16.8 KAMPALA-BUSUNJU-24HRS'!E13,'17.8 BUSUNJU-KAMPALA'!E13)</f>
        <v>0.2857142857142857</v>
      </c>
      <c r="F13" s="49">
        <f>AVERAGE('11.8 BUSUNJU-KAMPALA'!F13,'12.8 KAMPALA-BUSUNJU'!F13,'13.8 BUSUNJU-KAMPALA'!F13,'14.8 BUSUNJU-KAMPALA'!F13,'15.8 BUSUNJU-KAMPALA-24HRS'!F13,'16.8 KAMPALA-BUSUNJU-24HRS'!F13,'17.8 BUSUNJU-KAMPALA'!F13)</f>
        <v>0.2857142857142857</v>
      </c>
      <c r="G13" s="49">
        <f>AVERAGE('11.8 BUSUNJU-KAMPALA'!G13,'12.8 KAMPALA-BUSUNJU'!G13,'13.8 BUSUNJU-KAMPALA'!G13,'14.8 BUSUNJU-KAMPALA'!G13,'15.8 BUSUNJU-KAMPALA-24HRS'!G13,'16.8 KAMPALA-BUSUNJU-24HRS'!G13,'17.8 BUSUNJU-KAMPALA'!G13)</f>
        <v>0</v>
      </c>
      <c r="H13" s="49">
        <f>AVERAGE('11.8 BUSUNJU-KAMPALA'!H13,'12.8 KAMPALA-BUSUNJU'!H13,'13.8 BUSUNJU-KAMPALA'!H13,'14.8 BUSUNJU-KAMPALA'!H13,'15.8 BUSUNJU-KAMPALA-24HRS'!H13,'16.8 KAMPALA-BUSUNJU-24HRS'!H13,'17.8 BUSUNJU-KAMPALA'!H13)</f>
        <v>0</v>
      </c>
      <c r="I13" s="49">
        <f>AVERAGE('11.8 BUSUNJU-KAMPALA'!I13,'12.8 KAMPALA-BUSUNJU'!I13,'13.8 BUSUNJU-KAMPALA'!I13,'14.8 BUSUNJU-KAMPALA'!I13,'15.8 BUSUNJU-KAMPALA-24HRS'!I13,'16.8 KAMPALA-BUSUNJU-24HRS'!I13,'17.8 BUSUNJU-KAMPALA'!I13)</f>
        <v>0.8571428571428571</v>
      </c>
      <c r="J13" s="49">
        <f>AVERAGE('11.8 BUSUNJU-KAMPALA'!J13,'12.8 KAMPALA-BUSUNJU'!J13,'13.8 BUSUNJU-KAMPALA'!J13,'14.8 BUSUNJU-KAMPALA'!J13,'15.8 BUSUNJU-KAMPALA-24HRS'!J13,'16.8 KAMPALA-BUSUNJU-24HRS'!J13,'17.8 BUSUNJU-KAMPALA'!J13)</f>
        <v>0</v>
      </c>
      <c r="K13" s="49">
        <f>AVERAGE('11.8 BUSUNJU-KAMPALA'!K13,'12.8 KAMPALA-BUSUNJU'!K13,'13.8 BUSUNJU-KAMPALA'!K13,'14.8 BUSUNJU-KAMPALA'!K13,'15.8 BUSUNJU-KAMPALA-24HRS'!K13,'16.8 KAMPALA-BUSUNJU-24HRS'!K13,'17.8 BUSUNJU-KAMPALA'!K13)</f>
        <v>0</v>
      </c>
      <c r="L13" s="49">
        <f>AVERAGE('11.8 BUSUNJU-KAMPALA'!L13,'12.8 KAMPALA-BUSUNJU'!L13,'13.8 BUSUNJU-KAMPALA'!L13,'14.8 BUSUNJU-KAMPALA'!L13,'15.8 BUSUNJU-KAMPALA-24HRS'!L13,'16.8 KAMPALA-BUSUNJU-24HRS'!L13,'17.8 BUSUNJU-KAMPALA'!L13)</f>
        <v>0</v>
      </c>
      <c r="M13" s="49">
        <f>AVERAGE('11.8 BUSUNJU-KAMPALA'!M13,'12.8 KAMPALA-BUSUNJU'!M13,'13.8 BUSUNJU-KAMPALA'!M13,'14.8 BUSUNJU-KAMPALA'!M13,'15.8 BUSUNJU-KAMPALA-24HRS'!M13,'16.8 KAMPALA-BUSUNJU-24HRS'!M13,'17.8 BUSUNJU-KAMPALA'!M13)</f>
        <v>9</v>
      </c>
      <c r="N13" s="49">
        <f>AVERAGE('11.8 BUSUNJU-KAMPALA'!N13,'12.8 KAMPALA-BUSUNJU'!N13,'13.8 BUSUNJU-KAMPALA'!N13,'14.8 BUSUNJU-KAMPALA'!N13,'15.8 BUSUNJU-KAMPALA-24HRS'!N13,'16.8 KAMPALA-BUSUNJU-24HRS'!N13,'17.8 BUSUNJU-KAMPALA'!N13)</f>
        <v>0</v>
      </c>
      <c r="O13" s="15">
        <f t="shared" si="0"/>
        <v>2</v>
      </c>
      <c r="P13" s="15">
        <f t="shared" si="1"/>
        <v>11</v>
      </c>
      <c r="R13" s="1" t="s">
        <v>9</v>
      </c>
      <c r="S13" s="17">
        <f t="shared" ref="S13:AF13" si="5">SUM(C22:C25)</f>
        <v>2.8571428571428572</v>
      </c>
      <c r="T13" s="17">
        <f t="shared" si="5"/>
        <v>0</v>
      </c>
      <c r="U13" s="17">
        <f t="shared" si="5"/>
        <v>4</v>
      </c>
      <c r="V13" s="17">
        <f t="shared" si="5"/>
        <v>1.2857142857142856</v>
      </c>
      <c r="W13" s="17">
        <f t="shared" si="5"/>
        <v>0</v>
      </c>
      <c r="X13" s="17">
        <f t="shared" si="5"/>
        <v>0</v>
      </c>
      <c r="Y13" s="17">
        <f t="shared" si="5"/>
        <v>5.7142857142857144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58.571428571428569</v>
      </c>
      <c r="AD13" s="17">
        <f t="shared" si="5"/>
        <v>0</v>
      </c>
      <c r="AE13" s="31">
        <f t="shared" si="5"/>
        <v>13.857142857142858</v>
      </c>
      <c r="AF13" s="31">
        <f t="shared" si="5"/>
        <v>72.428571428571431</v>
      </c>
    </row>
    <row r="14" spans="2:32" ht="23.1" customHeight="1" x14ac:dyDescent="0.25">
      <c r="B14" s="23" t="s">
        <v>41</v>
      </c>
      <c r="C14" s="49">
        <f>AVERAGE('11.8 BUSUNJU-KAMPALA'!C14,'12.8 KAMPALA-BUSUNJU'!C14,'13.8 BUSUNJU-KAMPALA'!C14,'14.8 BUSUNJU-KAMPALA'!C14,'15.8 BUSUNJU-KAMPALA-24HRS'!C14,'16.8 KAMPALA-BUSUNJU-24HRS'!C14,'17.8 BUSUNJU-KAMPALA'!C14)</f>
        <v>0.14285714285714285</v>
      </c>
      <c r="D14" s="49">
        <f>AVERAGE('11.8 BUSUNJU-KAMPALA'!D14,'12.8 KAMPALA-BUSUNJU'!D14,'13.8 BUSUNJU-KAMPALA'!D14,'14.8 BUSUNJU-KAMPALA'!D14,'15.8 BUSUNJU-KAMPALA-24HRS'!D14,'16.8 KAMPALA-BUSUNJU-24HRS'!D14,'17.8 BUSUNJU-KAMPALA'!D14)</f>
        <v>0</v>
      </c>
      <c r="E14" s="49">
        <f>AVERAGE('11.8 BUSUNJU-KAMPALA'!E14,'12.8 KAMPALA-BUSUNJU'!E14,'13.8 BUSUNJU-KAMPALA'!E14,'14.8 BUSUNJU-KAMPALA'!E14,'15.8 BUSUNJU-KAMPALA-24HRS'!E14,'16.8 KAMPALA-BUSUNJU-24HRS'!E14,'17.8 BUSUNJU-KAMPALA'!E14)</f>
        <v>0.42857142857142855</v>
      </c>
      <c r="F14" s="49">
        <f>AVERAGE('11.8 BUSUNJU-KAMPALA'!F14,'12.8 KAMPALA-BUSUNJU'!F14,'13.8 BUSUNJU-KAMPALA'!F14,'14.8 BUSUNJU-KAMPALA'!F14,'15.8 BUSUNJU-KAMPALA-24HRS'!F14,'16.8 KAMPALA-BUSUNJU-24HRS'!F14,'17.8 BUSUNJU-KAMPALA'!F14)</f>
        <v>0.2857142857142857</v>
      </c>
      <c r="G14" s="49">
        <f>AVERAGE('11.8 BUSUNJU-KAMPALA'!G14,'12.8 KAMPALA-BUSUNJU'!G14,'13.8 BUSUNJU-KAMPALA'!G14,'14.8 BUSUNJU-KAMPALA'!G14,'15.8 BUSUNJU-KAMPALA-24HRS'!G14,'16.8 KAMPALA-BUSUNJU-24HRS'!G14,'17.8 BUSUNJU-KAMPALA'!G14)</f>
        <v>0</v>
      </c>
      <c r="H14" s="49">
        <f>AVERAGE('11.8 BUSUNJU-KAMPALA'!H14,'12.8 KAMPALA-BUSUNJU'!H14,'13.8 BUSUNJU-KAMPALA'!H14,'14.8 BUSUNJU-KAMPALA'!H14,'15.8 BUSUNJU-KAMPALA-24HRS'!H14,'16.8 KAMPALA-BUSUNJU-24HRS'!H14,'17.8 BUSUNJU-KAMPALA'!H14)</f>
        <v>0</v>
      </c>
      <c r="I14" s="49">
        <f>AVERAGE('11.8 BUSUNJU-KAMPALA'!I14,'12.8 KAMPALA-BUSUNJU'!I14,'13.8 BUSUNJU-KAMPALA'!I14,'14.8 BUSUNJU-KAMPALA'!I14,'15.8 BUSUNJU-KAMPALA-24HRS'!I14,'16.8 KAMPALA-BUSUNJU-24HRS'!I14,'17.8 BUSUNJU-KAMPALA'!I14)</f>
        <v>0.7142857142857143</v>
      </c>
      <c r="J14" s="49">
        <f>AVERAGE('11.8 BUSUNJU-KAMPALA'!J14,'12.8 KAMPALA-BUSUNJU'!J14,'13.8 BUSUNJU-KAMPALA'!J14,'14.8 BUSUNJU-KAMPALA'!J14,'15.8 BUSUNJU-KAMPALA-24HRS'!J14,'16.8 KAMPALA-BUSUNJU-24HRS'!J14,'17.8 BUSUNJU-KAMPALA'!J14)</f>
        <v>0</v>
      </c>
      <c r="K14" s="49">
        <f>AVERAGE('11.8 BUSUNJU-KAMPALA'!K14,'12.8 KAMPALA-BUSUNJU'!K14,'13.8 BUSUNJU-KAMPALA'!K14,'14.8 BUSUNJU-KAMPALA'!K14,'15.8 BUSUNJU-KAMPALA-24HRS'!K14,'16.8 KAMPALA-BUSUNJU-24HRS'!K14,'17.8 BUSUNJU-KAMPALA'!K14)</f>
        <v>0</v>
      </c>
      <c r="L14" s="49">
        <f>AVERAGE('11.8 BUSUNJU-KAMPALA'!L14,'12.8 KAMPALA-BUSUNJU'!L14,'13.8 BUSUNJU-KAMPALA'!L14,'14.8 BUSUNJU-KAMPALA'!L14,'15.8 BUSUNJU-KAMPALA-24HRS'!L14,'16.8 KAMPALA-BUSUNJU-24HRS'!L14,'17.8 BUSUNJU-KAMPALA'!L14)</f>
        <v>0</v>
      </c>
      <c r="M14" s="49">
        <f>AVERAGE('11.8 BUSUNJU-KAMPALA'!M14,'12.8 KAMPALA-BUSUNJU'!M14,'13.8 BUSUNJU-KAMPALA'!M14,'14.8 BUSUNJU-KAMPALA'!M14,'15.8 BUSUNJU-KAMPALA-24HRS'!M14,'16.8 KAMPALA-BUSUNJU-24HRS'!M14,'17.8 BUSUNJU-KAMPALA'!M14)</f>
        <v>11.142857142857142</v>
      </c>
      <c r="N14" s="49">
        <f>AVERAGE('11.8 BUSUNJU-KAMPALA'!N14,'12.8 KAMPALA-BUSUNJU'!N14,'13.8 BUSUNJU-KAMPALA'!N14,'14.8 BUSUNJU-KAMPALA'!N14,'15.8 BUSUNJU-KAMPALA-24HRS'!N14,'16.8 KAMPALA-BUSUNJU-24HRS'!N14,'17.8 BUSUNJU-KAMPALA'!N14)</f>
        <v>0</v>
      </c>
      <c r="O14" s="15">
        <f t="shared" si="0"/>
        <v>1.5714285714285714</v>
      </c>
      <c r="P14" s="15">
        <f t="shared" si="1"/>
        <v>12.714285714285714</v>
      </c>
      <c r="R14" s="1" t="s">
        <v>10</v>
      </c>
      <c r="S14" s="17">
        <f t="shared" ref="S14:AF14" si="6">SUM(C26:C29)</f>
        <v>4.2857142857142856</v>
      </c>
      <c r="T14" s="17">
        <f t="shared" si="6"/>
        <v>0</v>
      </c>
      <c r="U14" s="17">
        <f t="shared" si="6"/>
        <v>2.8571428571428568</v>
      </c>
      <c r="V14" s="17">
        <f t="shared" si="6"/>
        <v>1.7142857142857142</v>
      </c>
      <c r="W14" s="17">
        <f t="shared" si="6"/>
        <v>0.14285714285714285</v>
      </c>
      <c r="X14" s="17">
        <f t="shared" si="6"/>
        <v>0</v>
      </c>
      <c r="Y14" s="17">
        <f t="shared" si="6"/>
        <v>4.2857142857142856</v>
      </c>
      <c r="Z14" s="17">
        <f t="shared" si="6"/>
        <v>0.14285714285714285</v>
      </c>
      <c r="AA14" s="17">
        <f t="shared" si="6"/>
        <v>0</v>
      </c>
      <c r="AB14" s="17">
        <f t="shared" si="6"/>
        <v>0</v>
      </c>
      <c r="AC14" s="17">
        <f t="shared" si="6"/>
        <v>59.428571428571431</v>
      </c>
      <c r="AD14" s="17">
        <f t="shared" si="6"/>
        <v>0</v>
      </c>
      <c r="AE14" s="31">
        <f t="shared" si="6"/>
        <v>13.428571428571427</v>
      </c>
      <c r="AF14" s="31">
        <f t="shared" si="6"/>
        <v>72.857142857142861</v>
      </c>
    </row>
    <row r="15" spans="2:32" ht="23.1" customHeight="1" x14ac:dyDescent="0.25">
      <c r="B15" s="23" t="s">
        <v>42</v>
      </c>
      <c r="C15" s="49">
        <f>AVERAGE('11.8 BUSUNJU-KAMPALA'!C15,'12.8 KAMPALA-BUSUNJU'!C15,'13.8 BUSUNJU-KAMPALA'!C15,'14.8 BUSUNJU-KAMPALA'!C15,'15.8 BUSUNJU-KAMPALA-24HRS'!C15,'16.8 KAMPALA-BUSUNJU-24HRS'!C15,'17.8 BUSUNJU-KAMPALA'!C15)</f>
        <v>0.8571428571428571</v>
      </c>
      <c r="D15" s="49">
        <f>AVERAGE('11.8 BUSUNJU-KAMPALA'!D15,'12.8 KAMPALA-BUSUNJU'!D15,'13.8 BUSUNJU-KAMPALA'!D15,'14.8 BUSUNJU-KAMPALA'!D15,'15.8 BUSUNJU-KAMPALA-24HRS'!D15,'16.8 KAMPALA-BUSUNJU-24HRS'!D15,'17.8 BUSUNJU-KAMPALA'!D15)</f>
        <v>0</v>
      </c>
      <c r="E15" s="49">
        <f>AVERAGE('11.8 BUSUNJU-KAMPALA'!E15,'12.8 KAMPALA-BUSUNJU'!E15,'13.8 BUSUNJU-KAMPALA'!E15,'14.8 BUSUNJU-KAMPALA'!E15,'15.8 BUSUNJU-KAMPALA-24HRS'!E15,'16.8 KAMPALA-BUSUNJU-24HRS'!E15,'17.8 BUSUNJU-KAMPALA'!E15)</f>
        <v>0.7142857142857143</v>
      </c>
      <c r="F15" s="49">
        <f>AVERAGE('11.8 BUSUNJU-KAMPALA'!F15,'12.8 KAMPALA-BUSUNJU'!F15,'13.8 BUSUNJU-KAMPALA'!F15,'14.8 BUSUNJU-KAMPALA'!F15,'15.8 BUSUNJU-KAMPALA-24HRS'!F15,'16.8 KAMPALA-BUSUNJU-24HRS'!F15,'17.8 BUSUNJU-KAMPALA'!F15)</f>
        <v>0.5714285714285714</v>
      </c>
      <c r="G15" s="49">
        <f>AVERAGE('11.8 BUSUNJU-KAMPALA'!G15,'12.8 KAMPALA-BUSUNJU'!G15,'13.8 BUSUNJU-KAMPALA'!G15,'14.8 BUSUNJU-KAMPALA'!G15,'15.8 BUSUNJU-KAMPALA-24HRS'!G15,'16.8 KAMPALA-BUSUNJU-24HRS'!G15,'17.8 BUSUNJU-KAMPALA'!G15)</f>
        <v>0</v>
      </c>
      <c r="H15" s="49">
        <f>AVERAGE('11.8 BUSUNJU-KAMPALA'!H15,'12.8 KAMPALA-BUSUNJU'!H15,'13.8 BUSUNJU-KAMPALA'!H15,'14.8 BUSUNJU-KAMPALA'!H15,'15.8 BUSUNJU-KAMPALA-24HRS'!H15,'16.8 KAMPALA-BUSUNJU-24HRS'!H15,'17.8 BUSUNJU-KAMPALA'!H15)</f>
        <v>0</v>
      </c>
      <c r="I15" s="49">
        <f>AVERAGE('11.8 BUSUNJU-KAMPALA'!I15,'12.8 KAMPALA-BUSUNJU'!I15,'13.8 BUSUNJU-KAMPALA'!I15,'14.8 BUSUNJU-KAMPALA'!I15,'15.8 BUSUNJU-KAMPALA-24HRS'!I15,'16.8 KAMPALA-BUSUNJU-24HRS'!I15,'17.8 BUSUNJU-KAMPALA'!I15)</f>
        <v>0.5714285714285714</v>
      </c>
      <c r="J15" s="49">
        <f>AVERAGE('11.8 BUSUNJU-KAMPALA'!J15,'12.8 KAMPALA-BUSUNJU'!J15,'13.8 BUSUNJU-KAMPALA'!J15,'14.8 BUSUNJU-KAMPALA'!J15,'15.8 BUSUNJU-KAMPALA-24HRS'!J15,'16.8 KAMPALA-BUSUNJU-24HRS'!J15,'17.8 BUSUNJU-KAMPALA'!J15)</f>
        <v>0</v>
      </c>
      <c r="K15" s="49">
        <f>AVERAGE('11.8 BUSUNJU-KAMPALA'!K15,'12.8 KAMPALA-BUSUNJU'!K15,'13.8 BUSUNJU-KAMPALA'!K15,'14.8 BUSUNJU-KAMPALA'!K15,'15.8 BUSUNJU-KAMPALA-24HRS'!K15,'16.8 KAMPALA-BUSUNJU-24HRS'!K15,'17.8 BUSUNJU-KAMPALA'!K15)</f>
        <v>0</v>
      </c>
      <c r="L15" s="49">
        <f>AVERAGE('11.8 BUSUNJU-KAMPALA'!L15,'12.8 KAMPALA-BUSUNJU'!L15,'13.8 BUSUNJU-KAMPALA'!L15,'14.8 BUSUNJU-KAMPALA'!L15,'15.8 BUSUNJU-KAMPALA-24HRS'!L15,'16.8 KAMPALA-BUSUNJU-24HRS'!L15,'17.8 BUSUNJU-KAMPALA'!L15)</f>
        <v>0</v>
      </c>
      <c r="M15" s="49">
        <f>AVERAGE('11.8 BUSUNJU-KAMPALA'!M15,'12.8 KAMPALA-BUSUNJU'!M15,'13.8 BUSUNJU-KAMPALA'!M15,'14.8 BUSUNJU-KAMPALA'!M15,'15.8 BUSUNJU-KAMPALA-24HRS'!M15,'16.8 KAMPALA-BUSUNJU-24HRS'!M15,'17.8 BUSUNJU-KAMPALA'!M15)</f>
        <v>12.571428571428571</v>
      </c>
      <c r="N15" s="49">
        <f>AVERAGE('11.8 BUSUNJU-KAMPALA'!N15,'12.8 KAMPALA-BUSUNJU'!N15,'13.8 BUSUNJU-KAMPALA'!N15,'14.8 BUSUNJU-KAMPALA'!N15,'15.8 BUSUNJU-KAMPALA-24HRS'!N15,'16.8 KAMPALA-BUSUNJU-24HRS'!N15,'17.8 BUSUNJU-KAMPALA'!N15)</f>
        <v>0</v>
      </c>
      <c r="O15" s="15">
        <f t="shared" si="0"/>
        <v>2.7142857142857144</v>
      </c>
      <c r="P15" s="15">
        <f t="shared" si="1"/>
        <v>15.285714285714285</v>
      </c>
      <c r="R15" s="1" t="s">
        <v>11</v>
      </c>
      <c r="S15" s="17">
        <f t="shared" ref="S15:AF15" si="7">SUM(C30:C33)</f>
        <v>3.714285714285714</v>
      </c>
      <c r="T15" s="17">
        <f t="shared" si="7"/>
        <v>0</v>
      </c>
      <c r="U15" s="17">
        <f t="shared" si="7"/>
        <v>4.1428571428571423</v>
      </c>
      <c r="V15" s="17">
        <f t="shared" si="7"/>
        <v>1.5714285714285714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0.2857142857142857</v>
      </c>
      <c r="AA15" s="17">
        <f t="shared" si="7"/>
        <v>0</v>
      </c>
      <c r="AB15" s="17">
        <f t="shared" si="7"/>
        <v>0</v>
      </c>
      <c r="AC15" s="17">
        <f t="shared" si="7"/>
        <v>57.428571428571431</v>
      </c>
      <c r="AD15" s="17">
        <f t="shared" si="7"/>
        <v>0</v>
      </c>
      <c r="AE15" s="31">
        <f t="shared" si="7"/>
        <v>14.714285714285714</v>
      </c>
      <c r="AF15" s="31">
        <f t="shared" si="7"/>
        <v>72.142857142857139</v>
      </c>
    </row>
    <row r="16" spans="2:32" ht="23.1" customHeight="1" x14ac:dyDescent="0.25">
      <c r="B16" s="23" t="s">
        <v>43</v>
      </c>
      <c r="C16" s="49">
        <f>AVERAGE('11.8 BUSUNJU-KAMPALA'!C16,'12.8 KAMPALA-BUSUNJU'!C16,'13.8 BUSUNJU-KAMPALA'!C16,'14.8 BUSUNJU-KAMPALA'!C16,'15.8 BUSUNJU-KAMPALA-24HRS'!C16,'16.8 KAMPALA-BUSUNJU-24HRS'!C16,'17.8 BUSUNJU-KAMPALA'!C16)</f>
        <v>0.14285714285714285</v>
      </c>
      <c r="D16" s="49">
        <f>AVERAGE('11.8 BUSUNJU-KAMPALA'!D16,'12.8 KAMPALA-BUSUNJU'!D16,'13.8 BUSUNJU-KAMPALA'!D16,'14.8 BUSUNJU-KAMPALA'!D16,'15.8 BUSUNJU-KAMPALA-24HRS'!D16,'16.8 KAMPALA-BUSUNJU-24HRS'!D16,'17.8 BUSUNJU-KAMPALA'!D16)</f>
        <v>0</v>
      </c>
      <c r="E16" s="49">
        <f>AVERAGE('11.8 BUSUNJU-KAMPALA'!E16,'12.8 KAMPALA-BUSUNJU'!E16,'13.8 BUSUNJU-KAMPALA'!E16,'14.8 BUSUNJU-KAMPALA'!E16,'15.8 BUSUNJU-KAMPALA-24HRS'!E16,'16.8 KAMPALA-BUSUNJU-24HRS'!E16,'17.8 BUSUNJU-KAMPALA'!E16)</f>
        <v>0.8571428571428571</v>
      </c>
      <c r="F16" s="49">
        <f>AVERAGE('11.8 BUSUNJU-KAMPALA'!F16,'12.8 KAMPALA-BUSUNJU'!F16,'13.8 BUSUNJU-KAMPALA'!F16,'14.8 BUSUNJU-KAMPALA'!F16,'15.8 BUSUNJU-KAMPALA-24HRS'!F16,'16.8 KAMPALA-BUSUNJU-24HRS'!F16,'17.8 BUSUNJU-KAMPALA'!F16)</f>
        <v>0.2857142857142857</v>
      </c>
      <c r="G16" s="49">
        <f>AVERAGE('11.8 BUSUNJU-KAMPALA'!G16,'12.8 KAMPALA-BUSUNJU'!G16,'13.8 BUSUNJU-KAMPALA'!G16,'14.8 BUSUNJU-KAMPALA'!G16,'15.8 BUSUNJU-KAMPALA-24HRS'!G16,'16.8 KAMPALA-BUSUNJU-24HRS'!G16,'17.8 BUSUNJU-KAMPALA'!G16)</f>
        <v>0</v>
      </c>
      <c r="H16" s="49">
        <f>AVERAGE('11.8 BUSUNJU-KAMPALA'!H16,'12.8 KAMPALA-BUSUNJU'!H16,'13.8 BUSUNJU-KAMPALA'!H16,'14.8 BUSUNJU-KAMPALA'!H16,'15.8 BUSUNJU-KAMPALA-24HRS'!H16,'16.8 KAMPALA-BUSUNJU-24HRS'!H16,'17.8 BUSUNJU-KAMPALA'!H16)</f>
        <v>0</v>
      </c>
      <c r="I16" s="49">
        <f>AVERAGE('11.8 BUSUNJU-KAMPALA'!I16,'12.8 KAMPALA-BUSUNJU'!I16,'13.8 BUSUNJU-KAMPALA'!I16,'14.8 BUSUNJU-KAMPALA'!I16,'15.8 BUSUNJU-KAMPALA-24HRS'!I16,'16.8 KAMPALA-BUSUNJU-24HRS'!I16,'17.8 BUSUNJU-KAMPALA'!I16)</f>
        <v>0.7142857142857143</v>
      </c>
      <c r="J16" s="49">
        <f>AVERAGE('11.8 BUSUNJU-KAMPALA'!J16,'12.8 KAMPALA-BUSUNJU'!J16,'13.8 BUSUNJU-KAMPALA'!J16,'14.8 BUSUNJU-KAMPALA'!J16,'15.8 BUSUNJU-KAMPALA-24HRS'!J16,'16.8 KAMPALA-BUSUNJU-24HRS'!J16,'17.8 BUSUNJU-KAMPALA'!J16)</f>
        <v>0</v>
      </c>
      <c r="K16" s="49">
        <f>AVERAGE('11.8 BUSUNJU-KAMPALA'!K16,'12.8 KAMPALA-BUSUNJU'!K16,'13.8 BUSUNJU-KAMPALA'!K16,'14.8 BUSUNJU-KAMPALA'!K16,'15.8 BUSUNJU-KAMPALA-24HRS'!K16,'16.8 KAMPALA-BUSUNJU-24HRS'!K16,'17.8 BUSUNJU-KAMPALA'!K16)</f>
        <v>0</v>
      </c>
      <c r="L16" s="49">
        <f>AVERAGE('11.8 BUSUNJU-KAMPALA'!L16,'12.8 KAMPALA-BUSUNJU'!L16,'13.8 BUSUNJU-KAMPALA'!L16,'14.8 BUSUNJU-KAMPALA'!L16,'15.8 BUSUNJU-KAMPALA-24HRS'!L16,'16.8 KAMPALA-BUSUNJU-24HRS'!L16,'17.8 BUSUNJU-KAMPALA'!L16)</f>
        <v>0</v>
      </c>
      <c r="M16" s="49">
        <f>AVERAGE('11.8 BUSUNJU-KAMPALA'!M16,'12.8 KAMPALA-BUSUNJU'!M16,'13.8 BUSUNJU-KAMPALA'!M16,'14.8 BUSUNJU-KAMPALA'!M16,'15.8 BUSUNJU-KAMPALA-24HRS'!M16,'16.8 KAMPALA-BUSUNJU-24HRS'!M16,'17.8 BUSUNJU-KAMPALA'!M16)</f>
        <v>14.142857142857142</v>
      </c>
      <c r="N16" s="49">
        <f>AVERAGE('11.8 BUSUNJU-KAMPALA'!N16,'12.8 KAMPALA-BUSUNJU'!N16,'13.8 BUSUNJU-KAMPALA'!N16,'14.8 BUSUNJU-KAMPALA'!N16,'15.8 BUSUNJU-KAMPALA-24HRS'!N16,'16.8 KAMPALA-BUSUNJU-24HRS'!N16,'17.8 BUSUNJU-KAMPALA'!N16)</f>
        <v>0.14285714285714285</v>
      </c>
      <c r="O16" s="15">
        <f t="shared" si="0"/>
        <v>2.1428571428571428</v>
      </c>
      <c r="P16" s="15">
        <f t="shared" si="1"/>
        <v>16.285714285714285</v>
      </c>
      <c r="R16" s="1" t="s">
        <v>12</v>
      </c>
      <c r="S16" s="17">
        <f t="shared" ref="S16:AF16" si="8">SUM(C34:C37)</f>
        <v>3.4285714285714284</v>
      </c>
      <c r="T16" s="17">
        <f t="shared" si="8"/>
        <v>0</v>
      </c>
      <c r="U16" s="17">
        <f t="shared" si="8"/>
        <v>3.5714285714285716</v>
      </c>
      <c r="V16" s="17">
        <f t="shared" si="8"/>
        <v>1.2857142857142856</v>
      </c>
      <c r="W16" s="17">
        <f t="shared" si="8"/>
        <v>0</v>
      </c>
      <c r="X16" s="17">
        <f t="shared" si="8"/>
        <v>0</v>
      </c>
      <c r="Y16" s="17">
        <f t="shared" si="8"/>
        <v>4.1428571428571432</v>
      </c>
      <c r="Z16" s="17">
        <f t="shared" si="8"/>
        <v>0.14285714285714285</v>
      </c>
      <c r="AA16" s="17">
        <f t="shared" si="8"/>
        <v>0</v>
      </c>
      <c r="AB16" s="17">
        <f t="shared" si="8"/>
        <v>0</v>
      </c>
      <c r="AC16" s="17">
        <f t="shared" si="8"/>
        <v>59.857142857142861</v>
      </c>
      <c r="AD16" s="17">
        <f t="shared" si="8"/>
        <v>0</v>
      </c>
      <c r="AE16" s="31">
        <f t="shared" si="8"/>
        <v>12.571428571428571</v>
      </c>
      <c r="AF16" s="31">
        <f t="shared" si="8"/>
        <v>72.428571428571431</v>
      </c>
    </row>
    <row r="17" spans="2:32" ht="23.1" customHeight="1" x14ac:dyDescent="0.25">
      <c r="B17" s="23" t="s">
        <v>44</v>
      </c>
      <c r="C17" s="49">
        <f>AVERAGE('11.8 BUSUNJU-KAMPALA'!C17,'12.8 KAMPALA-BUSUNJU'!C17,'13.8 BUSUNJU-KAMPALA'!C17,'14.8 BUSUNJU-KAMPALA'!C17,'15.8 BUSUNJU-KAMPALA-24HRS'!C17,'16.8 KAMPALA-BUSUNJU-24HRS'!C17,'17.8 BUSUNJU-KAMPALA'!C17)</f>
        <v>0.7142857142857143</v>
      </c>
      <c r="D17" s="49">
        <f>AVERAGE('11.8 BUSUNJU-KAMPALA'!D17,'12.8 KAMPALA-BUSUNJU'!D17,'13.8 BUSUNJU-KAMPALA'!D17,'14.8 BUSUNJU-KAMPALA'!D17,'15.8 BUSUNJU-KAMPALA-24HRS'!D17,'16.8 KAMPALA-BUSUNJU-24HRS'!D17,'17.8 BUSUNJU-KAMPALA'!D17)</f>
        <v>0</v>
      </c>
      <c r="E17" s="49">
        <f>AVERAGE('11.8 BUSUNJU-KAMPALA'!E17,'12.8 KAMPALA-BUSUNJU'!E17,'13.8 BUSUNJU-KAMPALA'!E17,'14.8 BUSUNJU-KAMPALA'!E17,'15.8 BUSUNJU-KAMPALA-24HRS'!E17,'16.8 KAMPALA-BUSUNJU-24HRS'!E17,'17.8 BUSUNJU-KAMPALA'!E17)</f>
        <v>0.2857142857142857</v>
      </c>
      <c r="F17" s="49">
        <f>AVERAGE('11.8 BUSUNJU-KAMPALA'!F17,'12.8 KAMPALA-BUSUNJU'!F17,'13.8 BUSUNJU-KAMPALA'!F17,'14.8 BUSUNJU-KAMPALA'!F17,'15.8 BUSUNJU-KAMPALA-24HRS'!F17,'16.8 KAMPALA-BUSUNJU-24HRS'!F17,'17.8 BUSUNJU-KAMPALA'!F17)</f>
        <v>0.14285714285714285</v>
      </c>
      <c r="G17" s="49">
        <f>AVERAGE('11.8 BUSUNJU-KAMPALA'!G17,'12.8 KAMPALA-BUSUNJU'!G17,'13.8 BUSUNJU-KAMPALA'!G17,'14.8 BUSUNJU-KAMPALA'!G17,'15.8 BUSUNJU-KAMPALA-24HRS'!G17,'16.8 KAMPALA-BUSUNJU-24HRS'!G17,'17.8 BUSUNJU-KAMPALA'!G17)</f>
        <v>0</v>
      </c>
      <c r="H17" s="49">
        <f>AVERAGE('11.8 BUSUNJU-KAMPALA'!H17,'12.8 KAMPALA-BUSUNJU'!H17,'13.8 BUSUNJU-KAMPALA'!H17,'14.8 BUSUNJU-KAMPALA'!H17,'15.8 BUSUNJU-KAMPALA-24HRS'!H17,'16.8 KAMPALA-BUSUNJU-24HRS'!H17,'17.8 BUSUNJU-KAMPALA'!H17)</f>
        <v>0</v>
      </c>
      <c r="I17" s="49">
        <f>AVERAGE('11.8 BUSUNJU-KAMPALA'!I17,'12.8 KAMPALA-BUSUNJU'!I17,'13.8 BUSUNJU-KAMPALA'!I17,'14.8 BUSUNJU-KAMPALA'!I17,'15.8 BUSUNJU-KAMPALA-24HRS'!I17,'16.8 KAMPALA-BUSUNJU-24HRS'!I17,'17.8 BUSUNJU-KAMPALA'!I17)</f>
        <v>0.5714285714285714</v>
      </c>
      <c r="J17" s="49">
        <f>AVERAGE('11.8 BUSUNJU-KAMPALA'!J17,'12.8 KAMPALA-BUSUNJU'!J17,'13.8 BUSUNJU-KAMPALA'!J17,'14.8 BUSUNJU-KAMPALA'!J17,'15.8 BUSUNJU-KAMPALA-24HRS'!J17,'16.8 KAMPALA-BUSUNJU-24HRS'!J17,'17.8 BUSUNJU-KAMPALA'!J17)</f>
        <v>0</v>
      </c>
      <c r="K17" s="49">
        <f>AVERAGE('11.8 BUSUNJU-KAMPALA'!K17,'12.8 KAMPALA-BUSUNJU'!K17,'13.8 BUSUNJU-KAMPALA'!K17,'14.8 BUSUNJU-KAMPALA'!K17,'15.8 BUSUNJU-KAMPALA-24HRS'!K17,'16.8 KAMPALA-BUSUNJU-24HRS'!K17,'17.8 BUSUNJU-KAMPALA'!K17)</f>
        <v>0</v>
      </c>
      <c r="L17" s="49">
        <f>AVERAGE('11.8 BUSUNJU-KAMPALA'!L17,'12.8 KAMPALA-BUSUNJU'!L17,'13.8 BUSUNJU-KAMPALA'!L17,'14.8 BUSUNJU-KAMPALA'!L17,'15.8 BUSUNJU-KAMPALA-24HRS'!L17,'16.8 KAMPALA-BUSUNJU-24HRS'!L17,'17.8 BUSUNJU-KAMPALA'!L17)</f>
        <v>0</v>
      </c>
      <c r="M17" s="49">
        <f>AVERAGE('11.8 BUSUNJU-KAMPALA'!M17,'12.8 KAMPALA-BUSUNJU'!M17,'13.8 BUSUNJU-KAMPALA'!M17,'14.8 BUSUNJU-KAMPALA'!M17,'15.8 BUSUNJU-KAMPALA-24HRS'!M17,'16.8 KAMPALA-BUSUNJU-24HRS'!M17,'17.8 BUSUNJU-KAMPALA'!M17)</f>
        <v>13.285714285714286</v>
      </c>
      <c r="N17" s="49">
        <f>AVERAGE('11.8 BUSUNJU-KAMPALA'!N17,'12.8 KAMPALA-BUSUNJU'!N17,'13.8 BUSUNJU-KAMPALA'!N17,'14.8 BUSUNJU-KAMPALA'!N17,'15.8 BUSUNJU-KAMPALA-24HRS'!N17,'16.8 KAMPALA-BUSUNJU-24HRS'!N17,'17.8 BUSUNJU-KAMPALA'!N17)</f>
        <v>0</v>
      </c>
      <c r="O17" s="15">
        <f t="shared" si="0"/>
        <v>1.7142857142857142</v>
      </c>
      <c r="P17" s="15">
        <f t="shared" si="1"/>
        <v>15</v>
      </c>
      <c r="R17" s="1" t="s">
        <v>13</v>
      </c>
      <c r="S17" s="17">
        <f t="shared" ref="S17:AF17" si="9">SUM(C38:C41)</f>
        <v>4.4285714285714288</v>
      </c>
      <c r="T17" s="17">
        <f t="shared" si="9"/>
        <v>0</v>
      </c>
      <c r="U17" s="17">
        <f t="shared" si="9"/>
        <v>3.7142857142857144</v>
      </c>
      <c r="V17" s="17">
        <f t="shared" si="9"/>
        <v>1.2857142857142856</v>
      </c>
      <c r="W17" s="17">
        <f t="shared" si="9"/>
        <v>0</v>
      </c>
      <c r="X17" s="17">
        <f t="shared" si="9"/>
        <v>0</v>
      </c>
      <c r="Y17" s="17">
        <f t="shared" si="9"/>
        <v>4.5714285714285712</v>
      </c>
      <c r="Z17" s="17">
        <f t="shared" si="9"/>
        <v>0.14285714285714285</v>
      </c>
      <c r="AA17" s="17">
        <f t="shared" si="9"/>
        <v>0</v>
      </c>
      <c r="AB17" s="17">
        <f t="shared" si="9"/>
        <v>0</v>
      </c>
      <c r="AC17" s="17">
        <f t="shared" si="9"/>
        <v>54.428571428571431</v>
      </c>
      <c r="AD17" s="17">
        <f t="shared" si="9"/>
        <v>0</v>
      </c>
      <c r="AE17" s="31">
        <f t="shared" si="9"/>
        <v>14.142857142857142</v>
      </c>
      <c r="AF17" s="31">
        <f t="shared" si="9"/>
        <v>68.571428571428569</v>
      </c>
    </row>
    <row r="18" spans="2:32" ht="23.1" customHeight="1" x14ac:dyDescent="0.25">
      <c r="B18" s="23" t="s">
        <v>45</v>
      </c>
      <c r="C18" s="49">
        <f>AVERAGE('11.8 BUSUNJU-KAMPALA'!C18,'12.8 KAMPALA-BUSUNJU'!C18,'13.8 BUSUNJU-KAMPALA'!C18,'14.8 BUSUNJU-KAMPALA'!C18,'15.8 BUSUNJU-KAMPALA-24HRS'!C18,'16.8 KAMPALA-BUSUNJU-24HRS'!C18,'17.8 BUSUNJU-KAMPALA'!C18)</f>
        <v>0.8571428571428571</v>
      </c>
      <c r="D18" s="49">
        <f>AVERAGE('11.8 BUSUNJU-KAMPALA'!D18,'12.8 KAMPALA-BUSUNJU'!D18,'13.8 BUSUNJU-KAMPALA'!D18,'14.8 BUSUNJU-KAMPALA'!D18,'15.8 BUSUNJU-KAMPALA-24HRS'!D18,'16.8 KAMPALA-BUSUNJU-24HRS'!D18,'17.8 BUSUNJU-KAMPALA'!D18)</f>
        <v>0</v>
      </c>
      <c r="E18" s="49">
        <f>AVERAGE('11.8 BUSUNJU-KAMPALA'!E18,'12.8 KAMPALA-BUSUNJU'!E18,'13.8 BUSUNJU-KAMPALA'!E18,'14.8 BUSUNJU-KAMPALA'!E18,'15.8 BUSUNJU-KAMPALA-24HRS'!E18,'16.8 KAMPALA-BUSUNJU-24HRS'!E18,'17.8 BUSUNJU-KAMPALA'!E18)</f>
        <v>0.7142857142857143</v>
      </c>
      <c r="F18" s="49">
        <f>AVERAGE('11.8 BUSUNJU-KAMPALA'!F18,'12.8 KAMPALA-BUSUNJU'!F18,'13.8 BUSUNJU-KAMPALA'!F18,'14.8 BUSUNJU-KAMPALA'!F18,'15.8 BUSUNJU-KAMPALA-24HRS'!F18,'16.8 KAMPALA-BUSUNJU-24HRS'!F18,'17.8 BUSUNJU-KAMPALA'!F18)</f>
        <v>0.14285714285714285</v>
      </c>
      <c r="G18" s="49">
        <f>AVERAGE('11.8 BUSUNJU-KAMPALA'!G18,'12.8 KAMPALA-BUSUNJU'!G18,'13.8 BUSUNJU-KAMPALA'!G18,'14.8 BUSUNJU-KAMPALA'!G18,'15.8 BUSUNJU-KAMPALA-24HRS'!G18,'16.8 KAMPALA-BUSUNJU-24HRS'!G18,'17.8 BUSUNJU-KAMPALA'!G18)</f>
        <v>0</v>
      </c>
      <c r="H18" s="49">
        <f>AVERAGE('11.8 BUSUNJU-KAMPALA'!H18,'12.8 KAMPALA-BUSUNJU'!H18,'13.8 BUSUNJU-KAMPALA'!H18,'14.8 BUSUNJU-KAMPALA'!H18,'15.8 BUSUNJU-KAMPALA-24HRS'!H18,'16.8 KAMPALA-BUSUNJU-24HRS'!H18,'17.8 BUSUNJU-KAMPALA'!H18)</f>
        <v>0</v>
      </c>
      <c r="I18" s="49">
        <f>AVERAGE('11.8 BUSUNJU-KAMPALA'!I18,'12.8 KAMPALA-BUSUNJU'!I18,'13.8 BUSUNJU-KAMPALA'!I18,'14.8 BUSUNJU-KAMPALA'!I18,'15.8 BUSUNJU-KAMPALA-24HRS'!I18,'16.8 KAMPALA-BUSUNJU-24HRS'!I18,'17.8 BUSUNJU-KAMPALA'!I18)</f>
        <v>0.5714285714285714</v>
      </c>
      <c r="J18" s="49">
        <f>AVERAGE('11.8 BUSUNJU-KAMPALA'!J18,'12.8 KAMPALA-BUSUNJU'!J18,'13.8 BUSUNJU-KAMPALA'!J18,'14.8 BUSUNJU-KAMPALA'!J18,'15.8 BUSUNJU-KAMPALA-24HRS'!J18,'16.8 KAMPALA-BUSUNJU-24HRS'!J18,'17.8 BUSUNJU-KAMPALA'!J18)</f>
        <v>0</v>
      </c>
      <c r="K18" s="49">
        <f>AVERAGE('11.8 BUSUNJU-KAMPALA'!K18,'12.8 KAMPALA-BUSUNJU'!K18,'13.8 BUSUNJU-KAMPALA'!K18,'14.8 BUSUNJU-KAMPALA'!K18,'15.8 BUSUNJU-KAMPALA-24HRS'!K18,'16.8 KAMPALA-BUSUNJU-24HRS'!K18,'17.8 BUSUNJU-KAMPALA'!K18)</f>
        <v>0</v>
      </c>
      <c r="L18" s="49">
        <f>AVERAGE('11.8 BUSUNJU-KAMPALA'!L18,'12.8 KAMPALA-BUSUNJU'!L18,'13.8 BUSUNJU-KAMPALA'!L18,'14.8 BUSUNJU-KAMPALA'!L18,'15.8 BUSUNJU-KAMPALA-24HRS'!L18,'16.8 KAMPALA-BUSUNJU-24HRS'!L18,'17.8 BUSUNJU-KAMPALA'!L18)</f>
        <v>0</v>
      </c>
      <c r="M18" s="49">
        <f>AVERAGE('11.8 BUSUNJU-KAMPALA'!M18,'12.8 KAMPALA-BUSUNJU'!M18,'13.8 BUSUNJU-KAMPALA'!M18,'14.8 BUSUNJU-KAMPALA'!M18,'15.8 BUSUNJU-KAMPALA-24HRS'!M18,'16.8 KAMPALA-BUSUNJU-24HRS'!M18,'17.8 BUSUNJU-KAMPALA'!M18)</f>
        <v>14.857142857142858</v>
      </c>
      <c r="N18" s="49">
        <f>AVERAGE('11.8 BUSUNJU-KAMPALA'!N18,'12.8 KAMPALA-BUSUNJU'!N18,'13.8 BUSUNJU-KAMPALA'!N18,'14.8 BUSUNJU-KAMPALA'!N18,'15.8 BUSUNJU-KAMPALA-24HRS'!N18,'16.8 KAMPALA-BUSUNJU-24HRS'!N18,'17.8 BUSUNJU-KAMPALA'!N18)</f>
        <v>0</v>
      </c>
      <c r="O18" s="15">
        <f t="shared" si="0"/>
        <v>2.2857142857142856</v>
      </c>
      <c r="P18" s="15">
        <f t="shared" si="1"/>
        <v>17.142857142857142</v>
      </c>
      <c r="R18" s="1" t="s">
        <v>14</v>
      </c>
      <c r="S18" s="17">
        <f t="shared" ref="S18:AF18" si="10">SUM(C42:C45)</f>
        <v>4.8571428571428577</v>
      </c>
      <c r="T18" s="17">
        <f t="shared" si="10"/>
        <v>0</v>
      </c>
      <c r="U18" s="17">
        <f t="shared" si="10"/>
        <v>3.5714285714285712</v>
      </c>
      <c r="V18" s="17">
        <f t="shared" si="10"/>
        <v>1.2857142857142856</v>
      </c>
      <c r="W18" s="17">
        <f t="shared" si="10"/>
        <v>0</v>
      </c>
      <c r="X18" s="17">
        <f t="shared" si="10"/>
        <v>0</v>
      </c>
      <c r="Y18" s="17">
        <f t="shared" si="10"/>
        <v>5.1428571428571423</v>
      </c>
      <c r="Z18" s="17">
        <f t="shared" si="10"/>
        <v>0.2857142857142857</v>
      </c>
      <c r="AA18" s="17">
        <f t="shared" si="10"/>
        <v>0</v>
      </c>
      <c r="AB18" s="17">
        <f t="shared" si="10"/>
        <v>0</v>
      </c>
      <c r="AC18" s="17">
        <f t="shared" si="10"/>
        <v>55.714285714285715</v>
      </c>
      <c r="AD18" s="17">
        <f t="shared" si="10"/>
        <v>0</v>
      </c>
      <c r="AE18" s="31">
        <f t="shared" si="10"/>
        <v>15.142857142857142</v>
      </c>
      <c r="AF18" s="31">
        <f t="shared" si="10"/>
        <v>70.857142857142861</v>
      </c>
    </row>
    <row r="19" spans="2:32" ht="23.1" customHeight="1" x14ac:dyDescent="0.25">
      <c r="B19" s="23" t="s">
        <v>46</v>
      </c>
      <c r="C19" s="49">
        <f>AVERAGE('11.8 BUSUNJU-KAMPALA'!C19,'12.8 KAMPALA-BUSUNJU'!C19,'13.8 BUSUNJU-KAMPALA'!C19,'14.8 BUSUNJU-KAMPALA'!C19,'15.8 BUSUNJU-KAMPALA-24HRS'!C19,'16.8 KAMPALA-BUSUNJU-24HRS'!C19,'17.8 BUSUNJU-KAMPALA'!C19)</f>
        <v>1</v>
      </c>
      <c r="D19" s="49">
        <f>AVERAGE('11.8 BUSUNJU-KAMPALA'!D19,'12.8 KAMPALA-BUSUNJU'!D19,'13.8 BUSUNJU-KAMPALA'!D19,'14.8 BUSUNJU-KAMPALA'!D19,'15.8 BUSUNJU-KAMPALA-24HRS'!D19,'16.8 KAMPALA-BUSUNJU-24HRS'!D19,'17.8 BUSUNJU-KAMPALA'!D19)</f>
        <v>0</v>
      </c>
      <c r="E19" s="49">
        <f>AVERAGE('11.8 BUSUNJU-KAMPALA'!E19,'12.8 KAMPALA-BUSUNJU'!E19,'13.8 BUSUNJU-KAMPALA'!E19,'14.8 BUSUNJU-KAMPALA'!E19,'15.8 BUSUNJU-KAMPALA-24HRS'!E19,'16.8 KAMPALA-BUSUNJU-24HRS'!E19,'17.8 BUSUNJU-KAMPALA'!E19)</f>
        <v>0.7142857142857143</v>
      </c>
      <c r="F19" s="49">
        <f>AVERAGE('11.8 BUSUNJU-KAMPALA'!F19,'12.8 KAMPALA-BUSUNJU'!F19,'13.8 BUSUNJU-KAMPALA'!F19,'14.8 BUSUNJU-KAMPALA'!F19,'15.8 BUSUNJU-KAMPALA-24HRS'!F19,'16.8 KAMPALA-BUSUNJU-24HRS'!F19,'17.8 BUSUNJU-KAMPALA'!F19)</f>
        <v>0</v>
      </c>
      <c r="G19" s="49">
        <f>AVERAGE('11.8 BUSUNJU-KAMPALA'!G19,'12.8 KAMPALA-BUSUNJU'!G19,'13.8 BUSUNJU-KAMPALA'!G19,'14.8 BUSUNJU-KAMPALA'!G19,'15.8 BUSUNJU-KAMPALA-24HRS'!G19,'16.8 KAMPALA-BUSUNJU-24HRS'!G19,'17.8 BUSUNJU-KAMPALA'!G19)</f>
        <v>0</v>
      </c>
      <c r="H19" s="49">
        <f>AVERAGE('11.8 BUSUNJU-KAMPALA'!H19,'12.8 KAMPALA-BUSUNJU'!H19,'13.8 BUSUNJU-KAMPALA'!H19,'14.8 BUSUNJU-KAMPALA'!H19,'15.8 BUSUNJU-KAMPALA-24HRS'!H19,'16.8 KAMPALA-BUSUNJU-24HRS'!H19,'17.8 BUSUNJU-KAMPALA'!H19)</f>
        <v>0</v>
      </c>
      <c r="I19" s="49">
        <f>AVERAGE('11.8 BUSUNJU-KAMPALA'!I19,'12.8 KAMPALA-BUSUNJU'!I19,'13.8 BUSUNJU-KAMPALA'!I19,'14.8 BUSUNJU-KAMPALA'!I19,'15.8 BUSUNJU-KAMPALA-24HRS'!I19,'16.8 KAMPALA-BUSUNJU-24HRS'!I19,'17.8 BUSUNJU-KAMPALA'!I19)</f>
        <v>1</v>
      </c>
      <c r="J19" s="49">
        <f>AVERAGE('11.8 BUSUNJU-KAMPALA'!J19,'12.8 KAMPALA-BUSUNJU'!J19,'13.8 BUSUNJU-KAMPALA'!J19,'14.8 BUSUNJU-KAMPALA'!J19,'15.8 BUSUNJU-KAMPALA-24HRS'!J19,'16.8 KAMPALA-BUSUNJU-24HRS'!J19,'17.8 BUSUNJU-KAMPALA'!J19)</f>
        <v>0</v>
      </c>
      <c r="K19" s="49">
        <f>AVERAGE('11.8 BUSUNJU-KAMPALA'!K19,'12.8 KAMPALA-BUSUNJU'!K19,'13.8 BUSUNJU-KAMPALA'!K19,'14.8 BUSUNJU-KAMPALA'!K19,'15.8 BUSUNJU-KAMPALA-24HRS'!K19,'16.8 KAMPALA-BUSUNJU-24HRS'!K19,'17.8 BUSUNJU-KAMPALA'!K19)</f>
        <v>0</v>
      </c>
      <c r="L19" s="49">
        <f>AVERAGE('11.8 BUSUNJU-KAMPALA'!L19,'12.8 KAMPALA-BUSUNJU'!L19,'13.8 BUSUNJU-KAMPALA'!L19,'14.8 BUSUNJU-KAMPALA'!L19,'15.8 BUSUNJU-KAMPALA-24HRS'!L19,'16.8 KAMPALA-BUSUNJU-24HRS'!L19,'17.8 BUSUNJU-KAMPALA'!L19)</f>
        <v>0</v>
      </c>
      <c r="M19" s="49">
        <f>AVERAGE('11.8 BUSUNJU-KAMPALA'!M19,'12.8 KAMPALA-BUSUNJU'!M19,'13.8 BUSUNJU-KAMPALA'!M19,'14.8 BUSUNJU-KAMPALA'!M19,'15.8 BUSUNJU-KAMPALA-24HRS'!M19,'16.8 KAMPALA-BUSUNJU-24HRS'!M19,'17.8 BUSUNJU-KAMPALA'!M19)</f>
        <v>13</v>
      </c>
      <c r="N19" s="49">
        <f>AVERAGE('11.8 BUSUNJU-KAMPALA'!N19,'12.8 KAMPALA-BUSUNJU'!N19,'13.8 BUSUNJU-KAMPALA'!N19,'14.8 BUSUNJU-KAMPALA'!N19,'15.8 BUSUNJU-KAMPALA-24HRS'!N19,'16.8 KAMPALA-BUSUNJU-24HRS'!N19,'17.8 BUSUNJU-KAMPALA'!N19)</f>
        <v>0</v>
      </c>
      <c r="O19" s="15">
        <f t="shared" si="0"/>
        <v>2.7142857142857144</v>
      </c>
      <c r="P19" s="15">
        <f t="shared" si="1"/>
        <v>15.714285714285715</v>
      </c>
      <c r="R19" s="1" t="s">
        <v>15</v>
      </c>
      <c r="S19" s="17">
        <f t="shared" ref="S19:AF19" si="11">SUM(C46:C49)</f>
        <v>6.1428571428571432</v>
      </c>
      <c r="T19" s="17">
        <f t="shared" si="11"/>
        <v>0</v>
      </c>
      <c r="U19" s="17">
        <f t="shared" si="11"/>
        <v>5.5714285714285712</v>
      </c>
      <c r="V19" s="17">
        <f t="shared" si="11"/>
        <v>1.2857142857142856</v>
      </c>
      <c r="W19" s="17">
        <f t="shared" si="11"/>
        <v>0.14285714285714285</v>
      </c>
      <c r="X19" s="17">
        <f t="shared" si="11"/>
        <v>0</v>
      </c>
      <c r="Y19" s="17">
        <f t="shared" si="11"/>
        <v>4.5714285714285712</v>
      </c>
      <c r="Z19" s="17">
        <f t="shared" si="11"/>
        <v>0.2857142857142857</v>
      </c>
      <c r="AA19" s="17">
        <f t="shared" si="11"/>
        <v>0</v>
      </c>
      <c r="AB19" s="17">
        <f t="shared" si="11"/>
        <v>0</v>
      </c>
      <c r="AC19" s="17">
        <f t="shared" si="11"/>
        <v>54.428571428571423</v>
      </c>
      <c r="AD19" s="17">
        <f t="shared" si="11"/>
        <v>0</v>
      </c>
      <c r="AE19" s="31">
        <f t="shared" si="11"/>
        <v>18</v>
      </c>
      <c r="AF19" s="31">
        <f t="shared" si="11"/>
        <v>72.428571428571431</v>
      </c>
    </row>
    <row r="20" spans="2:32" ht="23.1" customHeight="1" x14ac:dyDescent="0.25">
      <c r="B20" s="23" t="s">
        <v>47</v>
      </c>
      <c r="C20" s="49">
        <f>AVERAGE('11.8 BUSUNJU-KAMPALA'!C20,'12.8 KAMPALA-BUSUNJU'!C20,'13.8 BUSUNJU-KAMPALA'!C20,'14.8 BUSUNJU-KAMPALA'!C20,'15.8 BUSUNJU-KAMPALA-24HRS'!C20,'16.8 KAMPALA-BUSUNJU-24HRS'!C20,'17.8 BUSUNJU-KAMPALA'!C20)</f>
        <v>0.42857142857142855</v>
      </c>
      <c r="D20" s="49">
        <f>AVERAGE('11.8 BUSUNJU-KAMPALA'!D20,'12.8 KAMPALA-BUSUNJU'!D20,'13.8 BUSUNJU-KAMPALA'!D20,'14.8 BUSUNJU-KAMPALA'!D20,'15.8 BUSUNJU-KAMPALA-24HRS'!D20,'16.8 KAMPALA-BUSUNJU-24HRS'!D20,'17.8 BUSUNJU-KAMPALA'!D20)</f>
        <v>0</v>
      </c>
      <c r="E20" s="49">
        <f>AVERAGE('11.8 BUSUNJU-KAMPALA'!E20,'12.8 KAMPALA-BUSUNJU'!E20,'13.8 BUSUNJU-KAMPALA'!E20,'14.8 BUSUNJU-KAMPALA'!E20,'15.8 BUSUNJU-KAMPALA-24HRS'!E20,'16.8 KAMPALA-BUSUNJU-24HRS'!E20,'17.8 BUSUNJU-KAMPALA'!E20)</f>
        <v>0.42857142857142855</v>
      </c>
      <c r="F20" s="49">
        <f>AVERAGE('11.8 BUSUNJU-KAMPALA'!F20,'12.8 KAMPALA-BUSUNJU'!F20,'13.8 BUSUNJU-KAMPALA'!F20,'14.8 BUSUNJU-KAMPALA'!F20,'15.8 BUSUNJU-KAMPALA-24HRS'!F20,'16.8 KAMPALA-BUSUNJU-24HRS'!F20,'17.8 BUSUNJU-KAMPALA'!F20)</f>
        <v>0.2857142857142857</v>
      </c>
      <c r="G20" s="49">
        <f>AVERAGE('11.8 BUSUNJU-KAMPALA'!G20,'12.8 KAMPALA-BUSUNJU'!G20,'13.8 BUSUNJU-KAMPALA'!G20,'14.8 BUSUNJU-KAMPALA'!G20,'15.8 BUSUNJU-KAMPALA-24HRS'!G20,'16.8 KAMPALA-BUSUNJU-24HRS'!G20,'17.8 BUSUNJU-KAMPALA'!G20)</f>
        <v>0</v>
      </c>
      <c r="H20" s="49">
        <f>AVERAGE('11.8 BUSUNJU-KAMPALA'!H20,'12.8 KAMPALA-BUSUNJU'!H20,'13.8 BUSUNJU-KAMPALA'!H20,'14.8 BUSUNJU-KAMPALA'!H20,'15.8 BUSUNJU-KAMPALA-24HRS'!H20,'16.8 KAMPALA-BUSUNJU-24HRS'!H20,'17.8 BUSUNJU-KAMPALA'!H20)</f>
        <v>0</v>
      </c>
      <c r="I20" s="49">
        <f>AVERAGE('11.8 BUSUNJU-KAMPALA'!I20,'12.8 KAMPALA-BUSUNJU'!I20,'13.8 BUSUNJU-KAMPALA'!I20,'14.8 BUSUNJU-KAMPALA'!I20,'15.8 BUSUNJU-KAMPALA-24HRS'!I20,'16.8 KAMPALA-BUSUNJU-24HRS'!I20,'17.8 BUSUNJU-KAMPALA'!I20)</f>
        <v>1.4285714285714286</v>
      </c>
      <c r="J20" s="49">
        <f>AVERAGE('11.8 BUSUNJU-KAMPALA'!J20,'12.8 KAMPALA-BUSUNJU'!J20,'13.8 BUSUNJU-KAMPALA'!J20,'14.8 BUSUNJU-KAMPALA'!J20,'15.8 BUSUNJU-KAMPALA-24HRS'!J20,'16.8 KAMPALA-BUSUNJU-24HRS'!J20,'17.8 BUSUNJU-KAMPALA'!J20)</f>
        <v>0</v>
      </c>
      <c r="K20" s="49">
        <f>AVERAGE('11.8 BUSUNJU-KAMPALA'!K20,'12.8 KAMPALA-BUSUNJU'!K20,'13.8 BUSUNJU-KAMPALA'!K20,'14.8 BUSUNJU-KAMPALA'!K20,'15.8 BUSUNJU-KAMPALA-24HRS'!K20,'16.8 KAMPALA-BUSUNJU-24HRS'!K20,'17.8 BUSUNJU-KAMPALA'!K20)</f>
        <v>0</v>
      </c>
      <c r="L20" s="49">
        <f>AVERAGE('11.8 BUSUNJU-KAMPALA'!L20,'12.8 KAMPALA-BUSUNJU'!L20,'13.8 BUSUNJU-KAMPALA'!L20,'14.8 BUSUNJU-KAMPALA'!L20,'15.8 BUSUNJU-KAMPALA-24HRS'!L20,'16.8 KAMPALA-BUSUNJU-24HRS'!L20,'17.8 BUSUNJU-KAMPALA'!L20)</f>
        <v>0</v>
      </c>
      <c r="M20" s="49">
        <f>AVERAGE('11.8 BUSUNJU-KAMPALA'!M20,'12.8 KAMPALA-BUSUNJU'!M20,'13.8 BUSUNJU-KAMPALA'!M20,'14.8 BUSUNJU-KAMPALA'!M20,'15.8 BUSUNJU-KAMPALA-24HRS'!M20,'16.8 KAMPALA-BUSUNJU-24HRS'!M20,'17.8 BUSUNJU-KAMPALA'!M20)</f>
        <v>14.428571428571429</v>
      </c>
      <c r="N20" s="49">
        <f>AVERAGE('11.8 BUSUNJU-KAMPALA'!N20,'12.8 KAMPALA-BUSUNJU'!N20,'13.8 BUSUNJU-KAMPALA'!N20,'14.8 BUSUNJU-KAMPALA'!N20,'15.8 BUSUNJU-KAMPALA-24HRS'!N20,'16.8 KAMPALA-BUSUNJU-24HRS'!N20,'17.8 BUSUNJU-KAMPALA'!N20)</f>
        <v>0</v>
      </c>
      <c r="O20" s="15">
        <f t="shared" si="0"/>
        <v>2.5714285714285712</v>
      </c>
      <c r="P20" s="15">
        <f t="shared" si="1"/>
        <v>17</v>
      </c>
      <c r="R20" s="1" t="s">
        <v>16</v>
      </c>
      <c r="S20" s="17">
        <f t="shared" ref="S20:AF20" si="12">SUM(C50:C53)</f>
        <v>3.5714285714285712</v>
      </c>
      <c r="T20" s="17">
        <f t="shared" si="12"/>
        <v>0</v>
      </c>
      <c r="U20" s="17">
        <f t="shared" si="12"/>
        <v>3.7142857142857144</v>
      </c>
      <c r="V20" s="17">
        <f t="shared" si="12"/>
        <v>2.2857142857142856</v>
      </c>
      <c r="W20" s="17">
        <f t="shared" si="12"/>
        <v>0.14285714285714285</v>
      </c>
      <c r="X20" s="17">
        <f t="shared" si="12"/>
        <v>0</v>
      </c>
      <c r="Y20" s="17">
        <f t="shared" si="12"/>
        <v>4.8571428571428577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61.571428571428569</v>
      </c>
      <c r="AD20" s="17">
        <f t="shared" si="12"/>
        <v>0</v>
      </c>
      <c r="AE20" s="31">
        <f t="shared" si="12"/>
        <v>14.571428571428573</v>
      </c>
      <c r="AF20" s="31">
        <f t="shared" si="12"/>
        <v>76.142857142857139</v>
      </c>
    </row>
    <row r="21" spans="2:32" ht="23.1" customHeight="1" x14ac:dyDescent="0.25">
      <c r="B21" s="23" t="s">
        <v>48</v>
      </c>
      <c r="C21" s="49">
        <f>AVERAGE('11.8 BUSUNJU-KAMPALA'!C21,'12.8 KAMPALA-BUSUNJU'!C21,'13.8 BUSUNJU-KAMPALA'!C21,'14.8 BUSUNJU-KAMPALA'!C21,'15.8 BUSUNJU-KAMPALA-24HRS'!C21,'16.8 KAMPALA-BUSUNJU-24HRS'!C21,'17.8 BUSUNJU-KAMPALA'!C21)</f>
        <v>0.2857142857142857</v>
      </c>
      <c r="D21" s="49">
        <f>AVERAGE('11.8 BUSUNJU-KAMPALA'!D21,'12.8 KAMPALA-BUSUNJU'!D21,'13.8 BUSUNJU-KAMPALA'!D21,'14.8 BUSUNJU-KAMPALA'!D21,'15.8 BUSUNJU-KAMPALA-24HRS'!D21,'16.8 KAMPALA-BUSUNJU-24HRS'!D21,'17.8 BUSUNJU-KAMPALA'!D21)</f>
        <v>0</v>
      </c>
      <c r="E21" s="49">
        <f>AVERAGE('11.8 BUSUNJU-KAMPALA'!E21,'12.8 KAMPALA-BUSUNJU'!E21,'13.8 BUSUNJU-KAMPALA'!E21,'14.8 BUSUNJU-KAMPALA'!E21,'15.8 BUSUNJU-KAMPALA-24HRS'!E21,'16.8 KAMPALA-BUSUNJU-24HRS'!E21,'17.8 BUSUNJU-KAMPALA'!E21)</f>
        <v>0.14285714285714285</v>
      </c>
      <c r="F21" s="49">
        <f>AVERAGE('11.8 BUSUNJU-KAMPALA'!F21,'12.8 KAMPALA-BUSUNJU'!F21,'13.8 BUSUNJU-KAMPALA'!F21,'14.8 BUSUNJU-KAMPALA'!F21,'15.8 BUSUNJU-KAMPALA-24HRS'!F21,'16.8 KAMPALA-BUSUNJU-24HRS'!F21,'17.8 BUSUNJU-KAMPALA'!F21)</f>
        <v>0.14285714285714285</v>
      </c>
      <c r="G21" s="49">
        <f>AVERAGE('11.8 BUSUNJU-KAMPALA'!G21,'12.8 KAMPALA-BUSUNJU'!G21,'13.8 BUSUNJU-KAMPALA'!G21,'14.8 BUSUNJU-KAMPALA'!G21,'15.8 BUSUNJU-KAMPALA-24HRS'!G21,'16.8 KAMPALA-BUSUNJU-24HRS'!G21,'17.8 BUSUNJU-KAMPALA'!G21)</f>
        <v>0</v>
      </c>
      <c r="H21" s="49">
        <f>AVERAGE('11.8 BUSUNJU-KAMPALA'!H21,'12.8 KAMPALA-BUSUNJU'!H21,'13.8 BUSUNJU-KAMPALA'!H21,'14.8 BUSUNJU-KAMPALA'!H21,'15.8 BUSUNJU-KAMPALA-24HRS'!H21,'16.8 KAMPALA-BUSUNJU-24HRS'!H21,'17.8 BUSUNJU-KAMPALA'!H21)</f>
        <v>0</v>
      </c>
      <c r="I21" s="49">
        <f>AVERAGE('11.8 BUSUNJU-KAMPALA'!I21,'12.8 KAMPALA-BUSUNJU'!I21,'13.8 BUSUNJU-KAMPALA'!I21,'14.8 BUSUNJU-KAMPALA'!I21,'15.8 BUSUNJU-KAMPALA-24HRS'!I21,'16.8 KAMPALA-BUSUNJU-24HRS'!I21,'17.8 BUSUNJU-KAMPALA'!I21)</f>
        <v>0.42857142857142855</v>
      </c>
      <c r="J21" s="49">
        <f>AVERAGE('11.8 BUSUNJU-KAMPALA'!J21,'12.8 KAMPALA-BUSUNJU'!J21,'13.8 BUSUNJU-KAMPALA'!J21,'14.8 BUSUNJU-KAMPALA'!J21,'15.8 BUSUNJU-KAMPALA-24HRS'!J21,'16.8 KAMPALA-BUSUNJU-24HRS'!J21,'17.8 BUSUNJU-KAMPALA'!J21)</f>
        <v>0</v>
      </c>
      <c r="K21" s="49">
        <f>AVERAGE('11.8 BUSUNJU-KAMPALA'!K21,'12.8 KAMPALA-BUSUNJU'!K21,'13.8 BUSUNJU-KAMPALA'!K21,'14.8 BUSUNJU-KAMPALA'!K21,'15.8 BUSUNJU-KAMPALA-24HRS'!K21,'16.8 KAMPALA-BUSUNJU-24HRS'!K21,'17.8 BUSUNJU-KAMPALA'!K21)</f>
        <v>0</v>
      </c>
      <c r="L21" s="49">
        <f>AVERAGE('11.8 BUSUNJU-KAMPALA'!L21,'12.8 KAMPALA-BUSUNJU'!L21,'13.8 BUSUNJU-KAMPALA'!L21,'14.8 BUSUNJU-KAMPALA'!L21,'15.8 BUSUNJU-KAMPALA-24HRS'!L21,'16.8 KAMPALA-BUSUNJU-24HRS'!L21,'17.8 BUSUNJU-KAMPALA'!L21)</f>
        <v>0</v>
      </c>
      <c r="M21" s="49">
        <f>AVERAGE('11.8 BUSUNJU-KAMPALA'!M21,'12.8 KAMPALA-BUSUNJU'!M21,'13.8 BUSUNJU-KAMPALA'!M21,'14.8 BUSUNJU-KAMPALA'!M21,'15.8 BUSUNJU-KAMPALA-24HRS'!M21,'16.8 KAMPALA-BUSUNJU-24HRS'!M21,'17.8 BUSUNJU-KAMPALA'!M21)</f>
        <v>15.285714285714286</v>
      </c>
      <c r="N21" s="49">
        <f>AVERAGE('11.8 BUSUNJU-KAMPALA'!N21,'12.8 KAMPALA-BUSUNJU'!N21,'13.8 BUSUNJU-KAMPALA'!N21,'14.8 BUSUNJU-KAMPALA'!N21,'15.8 BUSUNJU-KAMPALA-24HRS'!N21,'16.8 KAMPALA-BUSUNJU-24HRS'!N21,'17.8 BUSUNJU-KAMPALA'!N21)</f>
        <v>0</v>
      </c>
      <c r="O21" s="15">
        <f t="shared" si="0"/>
        <v>1</v>
      </c>
      <c r="P21" s="15">
        <f t="shared" si="1"/>
        <v>16.285714285714285</v>
      </c>
      <c r="R21" s="36" t="s">
        <v>20</v>
      </c>
      <c r="S21" s="34">
        <f t="shared" ref="S21:AF21" si="13">SUM(C54:C57)</f>
        <v>4.8571428571428568</v>
      </c>
      <c r="T21" s="17">
        <f t="shared" si="13"/>
        <v>0</v>
      </c>
      <c r="U21" s="17">
        <f t="shared" si="13"/>
        <v>3.4285714285714284</v>
      </c>
      <c r="V21" s="17">
        <f t="shared" si="13"/>
        <v>1.7142857142857142</v>
      </c>
      <c r="W21" s="17">
        <f t="shared" si="13"/>
        <v>0.42857142857142855</v>
      </c>
      <c r="X21" s="17">
        <f t="shared" si="13"/>
        <v>0</v>
      </c>
      <c r="Y21" s="17">
        <f t="shared" si="13"/>
        <v>3.4285714285714288</v>
      </c>
      <c r="Z21" s="17">
        <f t="shared" si="13"/>
        <v>0.14285714285714285</v>
      </c>
      <c r="AA21" s="17">
        <f t="shared" si="13"/>
        <v>0.14285714285714285</v>
      </c>
      <c r="AB21" s="17">
        <f t="shared" si="13"/>
        <v>0</v>
      </c>
      <c r="AC21" s="17">
        <f t="shared" si="13"/>
        <v>58.857142857142854</v>
      </c>
      <c r="AD21" s="17">
        <f t="shared" si="13"/>
        <v>0</v>
      </c>
      <c r="AE21" s="31">
        <f t="shared" si="13"/>
        <v>14.142857142857142</v>
      </c>
      <c r="AF21" s="31">
        <f t="shared" si="13"/>
        <v>73</v>
      </c>
    </row>
    <row r="22" spans="2:32" ht="23.1" customHeight="1" x14ac:dyDescent="0.25">
      <c r="B22" s="23" t="s">
        <v>49</v>
      </c>
      <c r="C22" s="49">
        <f>AVERAGE('11.8 BUSUNJU-KAMPALA'!C22,'12.8 KAMPALA-BUSUNJU'!C22,'13.8 BUSUNJU-KAMPALA'!C22,'14.8 BUSUNJU-KAMPALA'!C22,'15.8 BUSUNJU-KAMPALA-24HRS'!C22,'16.8 KAMPALA-BUSUNJU-24HRS'!C22,'17.8 BUSUNJU-KAMPALA'!C22)</f>
        <v>0.7142857142857143</v>
      </c>
      <c r="D22" s="49">
        <f>AVERAGE('11.8 BUSUNJU-KAMPALA'!D22,'12.8 KAMPALA-BUSUNJU'!D22,'13.8 BUSUNJU-KAMPALA'!D22,'14.8 BUSUNJU-KAMPALA'!D22,'15.8 BUSUNJU-KAMPALA-24HRS'!D22,'16.8 KAMPALA-BUSUNJU-24HRS'!D22,'17.8 BUSUNJU-KAMPALA'!D22)</f>
        <v>0</v>
      </c>
      <c r="E22" s="49">
        <f>AVERAGE('11.8 BUSUNJU-KAMPALA'!E22,'12.8 KAMPALA-BUSUNJU'!E22,'13.8 BUSUNJU-KAMPALA'!E22,'14.8 BUSUNJU-KAMPALA'!E22,'15.8 BUSUNJU-KAMPALA-24HRS'!E22,'16.8 KAMPALA-BUSUNJU-24HRS'!E22,'17.8 BUSUNJU-KAMPALA'!E22)</f>
        <v>0.5714285714285714</v>
      </c>
      <c r="F22" s="49">
        <f>AVERAGE('11.8 BUSUNJU-KAMPALA'!F22,'12.8 KAMPALA-BUSUNJU'!F22,'13.8 BUSUNJU-KAMPALA'!F22,'14.8 BUSUNJU-KAMPALA'!F22,'15.8 BUSUNJU-KAMPALA-24HRS'!F22,'16.8 KAMPALA-BUSUNJU-24HRS'!F22,'17.8 BUSUNJU-KAMPALA'!F22)</f>
        <v>0.14285714285714285</v>
      </c>
      <c r="G22" s="49">
        <f>AVERAGE('11.8 BUSUNJU-KAMPALA'!G22,'12.8 KAMPALA-BUSUNJU'!G22,'13.8 BUSUNJU-KAMPALA'!G22,'14.8 BUSUNJU-KAMPALA'!G22,'15.8 BUSUNJU-KAMPALA-24HRS'!G22,'16.8 KAMPALA-BUSUNJU-24HRS'!G22,'17.8 BUSUNJU-KAMPALA'!G22)</f>
        <v>0</v>
      </c>
      <c r="H22" s="49">
        <f>AVERAGE('11.8 BUSUNJU-KAMPALA'!H22,'12.8 KAMPALA-BUSUNJU'!H22,'13.8 BUSUNJU-KAMPALA'!H22,'14.8 BUSUNJU-KAMPALA'!H22,'15.8 BUSUNJU-KAMPALA-24HRS'!H22,'16.8 KAMPALA-BUSUNJU-24HRS'!H22,'17.8 BUSUNJU-KAMPALA'!H22)</f>
        <v>0</v>
      </c>
      <c r="I22" s="49">
        <f>AVERAGE('11.8 BUSUNJU-KAMPALA'!I22,'12.8 KAMPALA-BUSUNJU'!I22,'13.8 BUSUNJU-KAMPALA'!I22,'14.8 BUSUNJU-KAMPALA'!I22,'15.8 BUSUNJU-KAMPALA-24HRS'!I22,'16.8 KAMPALA-BUSUNJU-24HRS'!I22,'17.8 BUSUNJU-KAMPALA'!I22)</f>
        <v>1.2857142857142858</v>
      </c>
      <c r="J22" s="49">
        <f>AVERAGE('11.8 BUSUNJU-KAMPALA'!J22,'12.8 KAMPALA-BUSUNJU'!J22,'13.8 BUSUNJU-KAMPALA'!J22,'14.8 BUSUNJU-KAMPALA'!J22,'15.8 BUSUNJU-KAMPALA-24HRS'!J22,'16.8 KAMPALA-BUSUNJU-24HRS'!J22,'17.8 BUSUNJU-KAMPALA'!J22)</f>
        <v>0</v>
      </c>
      <c r="K22" s="49">
        <f>AVERAGE('11.8 BUSUNJU-KAMPALA'!K22,'12.8 KAMPALA-BUSUNJU'!K22,'13.8 BUSUNJU-KAMPALA'!K22,'14.8 BUSUNJU-KAMPALA'!K22,'15.8 BUSUNJU-KAMPALA-24HRS'!K22,'16.8 KAMPALA-BUSUNJU-24HRS'!K22,'17.8 BUSUNJU-KAMPALA'!K22)</f>
        <v>0</v>
      </c>
      <c r="L22" s="49">
        <f>AVERAGE('11.8 BUSUNJU-KAMPALA'!L22,'12.8 KAMPALA-BUSUNJU'!L22,'13.8 BUSUNJU-KAMPALA'!L22,'14.8 BUSUNJU-KAMPALA'!L22,'15.8 BUSUNJU-KAMPALA-24HRS'!L22,'16.8 KAMPALA-BUSUNJU-24HRS'!L22,'17.8 BUSUNJU-KAMPALA'!L22)</f>
        <v>0</v>
      </c>
      <c r="M22" s="49">
        <f>AVERAGE('11.8 BUSUNJU-KAMPALA'!M22,'12.8 KAMPALA-BUSUNJU'!M22,'13.8 BUSUNJU-KAMPALA'!M22,'14.8 BUSUNJU-KAMPALA'!M22,'15.8 BUSUNJU-KAMPALA-24HRS'!M22,'16.8 KAMPALA-BUSUNJU-24HRS'!M22,'17.8 BUSUNJU-KAMPALA'!M22)</f>
        <v>14.142857142857142</v>
      </c>
      <c r="N22" s="49">
        <f>AVERAGE('11.8 BUSUNJU-KAMPALA'!N22,'12.8 KAMPALA-BUSUNJU'!N22,'13.8 BUSUNJU-KAMPALA'!N22,'14.8 BUSUNJU-KAMPALA'!N22,'15.8 BUSUNJU-KAMPALA-24HRS'!N22,'16.8 KAMPALA-BUSUNJU-24HRS'!N22,'17.8 BUSUNJU-KAMPALA'!N22)</f>
        <v>0</v>
      </c>
      <c r="O22" s="15">
        <f t="shared" si="0"/>
        <v>2.7142857142857144</v>
      </c>
      <c r="P22" s="15">
        <f t="shared" si="1"/>
        <v>16.857142857142858</v>
      </c>
      <c r="R22" s="1" t="s">
        <v>146</v>
      </c>
      <c r="S22" s="34">
        <f>SUM(C58:C61)</f>
        <v>6</v>
      </c>
      <c r="T22" s="34">
        <f t="shared" ref="T22:AF22" si="14">SUM(D58:D61)</f>
        <v>1</v>
      </c>
      <c r="U22" s="34">
        <f t="shared" si="14"/>
        <v>4</v>
      </c>
      <c r="V22" s="34">
        <f t="shared" si="14"/>
        <v>2</v>
      </c>
      <c r="W22" s="34">
        <f t="shared" si="14"/>
        <v>0</v>
      </c>
      <c r="X22" s="34">
        <f t="shared" si="14"/>
        <v>1</v>
      </c>
      <c r="Y22" s="34">
        <f t="shared" si="14"/>
        <v>5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48.5</v>
      </c>
      <c r="AD22" s="34">
        <f t="shared" si="14"/>
        <v>0</v>
      </c>
      <c r="AE22" s="51">
        <f t="shared" si="14"/>
        <v>19</v>
      </c>
      <c r="AF22" s="51">
        <f t="shared" si="14"/>
        <v>67.5</v>
      </c>
    </row>
    <row r="23" spans="2:32" ht="23.1" customHeight="1" x14ac:dyDescent="0.25">
      <c r="B23" s="23" t="s">
        <v>50</v>
      </c>
      <c r="C23" s="49">
        <f>AVERAGE('11.8 BUSUNJU-KAMPALA'!C23,'12.8 KAMPALA-BUSUNJU'!C23,'13.8 BUSUNJU-KAMPALA'!C23,'14.8 BUSUNJU-KAMPALA'!C23,'15.8 BUSUNJU-KAMPALA-24HRS'!C23,'16.8 KAMPALA-BUSUNJU-24HRS'!C23,'17.8 BUSUNJU-KAMPALA'!C23)</f>
        <v>1</v>
      </c>
      <c r="D23" s="49">
        <f>AVERAGE('11.8 BUSUNJU-KAMPALA'!D23,'12.8 KAMPALA-BUSUNJU'!D23,'13.8 BUSUNJU-KAMPALA'!D23,'14.8 BUSUNJU-KAMPALA'!D23,'15.8 BUSUNJU-KAMPALA-24HRS'!D23,'16.8 KAMPALA-BUSUNJU-24HRS'!D23,'17.8 BUSUNJU-KAMPALA'!D23)</f>
        <v>0</v>
      </c>
      <c r="E23" s="49">
        <f>AVERAGE('11.8 BUSUNJU-KAMPALA'!E23,'12.8 KAMPALA-BUSUNJU'!E23,'13.8 BUSUNJU-KAMPALA'!E23,'14.8 BUSUNJU-KAMPALA'!E23,'15.8 BUSUNJU-KAMPALA-24HRS'!E23,'16.8 KAMPALA-BUSUNJU-24HRS'!E23,'17.8 BUSUNJU-KAMPALA'!E23)</f>
        <v>1.7142857142857142</v>
      </c>
      <c r="F23" s="49">
        <f>AVERAGE('11.8 BUSUNJU-KAMPALA'!F23,'12.8 KAMPALA-BUSUNJU'!F23,'13.8 BUSUNJU-KAMPALA'!F23,'14.8 BUSUNJU-KAMPALA'!F23,'15.8 BUSUNJU-KAMPALA-24HRS'!F23,'16.8 KAMPALA-BUSUNJU-24HRS'!F23,'17.8 BUSUNJU-KAMPALA'!F23)</f>
        <v>0.5714285714285714</v>
      </c>
      <c r="G23" s="49">
        <f>AVERAGE('11.8 BUSUNJU-KAMPALA'!G23,'12.8 KAMPALA-BUSUNJU'!G23,'13.8 BUSUNJU-KAMPALA'!G23,'14.8 BUSUNJU-KAMPALA'!G23,'15.8 BUSUNJU-KAMPALA-24HRS'!G23,'16.8 KAMPALA-BUSUNJU-24HRS'!G23,'17.8 BUSUNJU-KAMPALA'!G23)</f>
        <v>0</v>
      </c>
      <c r="H23" s="49">
        <f>AVERAGE('11.8 BUSUNJU-KAMPALA'!H23,'12.8 KAMPALA-BUSUNJU'!H23,'13.8 BUSUNJU-KAMPALA'!H23,'14.8 BUSUNJU-KAMPALA'!H23,'15.8 BUSUNJU-KAMPALA-24HRS'!H23,'16.8 KAMPALA-BUSUNJU-24HRS'!H23,'17.8 BUSUNJU-KAMPALA'!H23)</f>
        <v>0</v>
      </c>
      <c r="I23" s="49">
        <f>AVERAGE('11.8 BUSUNJU-KAMPALA'!I23,'12.8 KAMPALA-BUSUNJU'!I23,'13.8 BUSUNJU-KAMPALA'!I23,'14.8 BUSUNJU-KAMPALA'!I23,'15.8 BUSUNJU-KAMPALA-24HRS'!I23,'16.8 KAMPALA-BUSUNJU-24HRS'!I23,'17.8 BUSUNJU-KAMPALA'!I23)</f>
        <v>1.2857142857142858</v>
      </c>
      <c r="J23" s="49">
        <f>AVERAGE('11.8 BUSUNJU-KAMPALA'!J23,'12.8 KAMPALA-BUSUNJU'!J23,'13.8 BUSUNJU-KAMPALA'!J23,'14.8 BUSUNJU-KAMPALA'!J23,'15.8 BUSUNJU-KAMPALA-24HRS'!J23,'16.8 KAMPALA-BUSUNJU-24HRS'!J23,'17.8 BUSUNJU-KAMPALA'!J23)</f>
        <v>0</v>
      </c>
      <c r="K23" s="49">
        <f>AVERAGE('11.8 BUSUNJU-KAMPALA'!K23,'12.8 KAMPALA-BUSUNJU'!K23,'13.8 BUSUNJU-KAMPALA'!K23,'14.8 BUSUNJU-KAMPALA'!K23,'15.8 BUSUNJU-KAMPALA-24HRS'!K23,'16.8 KAMPALA-BUSUNJU-24HRS'!K23,'17.8 BUSUNJU-KAMPALA'!K23)</f>
        <v>0</v>
      </c>
      <c r="L23" s="49">
        <f>AVERAGE('11.8 BUSUNJU-KAMPALA'!L23,'12.8 KAMPALA-BUSUNJU'!L23,'13.8 BUSUNJU-KAMPALA'!L23,'14.8 BUSUNJU-KAMPALA'!L23,'15.8 BUSUNJU-KAMPALA-24HRS'!L23,'16.8 KAMPALA-BUSUNJU-24HRS'!L23,'17.8 BUSUNJU-KAMPALA'!L23)</f>
        <v>0</v>
      </c>
      <c r="M23" s="49">
        <f>AVERAGE('11.8 BUSUNJU-KAMPALA'!M23,'12.8 KAMPALA-BUSUNJU'!M23,'13.8 BUSUNJU-KAMPALA'!M23,'14.8 BUSUNJU-KAMPALA'!M23,'15.8 BUSUNJU-KAMPALA-24HRS'!M23,'16.8 KAMPALA-BUSUNJU-24HRS'!M23,'17.8 BUSUNJU-KAMPALA'!M23)</f>
        <v>16</v>
      </c>
      <c r="N23" s="49">
        <f>AVERAGE('11.8 BUSUNJU-KAMPALA'!N23,'12.8 KAMPALA-BUSUNJU'!N23,'13.8 BUSUNJU-KAMPALA'!N23,'14.8 BUSUNJU-KAMPALA'!N23,'15.8 BUSUNJU-KAMPALA-24HRS'!N23,'16.8 KAMPALA-BUSUNJU-24HRS'!N23,'17.8 BUSUNJU-KAMPALA'!N23)</f>
        <v>0</v>
      </c>
      <c r="O23" s="15">
        <f t="shared" si="0"/>
        <v>4.5714285714285712</v>
      </c>
      <c r="P23" s="15">
        <f t="shared" si="1"/>
        <v>20.571428571428569</v>
      </c>
      <c r="R23" s="1" t="s">
        <v>147</v>
      </c>
      <c r="S23" s="34">
        <f>SUM(C62:C65)</f>
        <v>7</v>
      </c>
      <c r="T23" s="34">
        <f t="shared" ref="T23:AF23" si="15">SUM(D62:D65)</f>
        <v>1</v>
      </c>
      <c r="U23" s="34">
        <f t="shared" si="15"/>
        <v>5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3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34</v>
      </c>
      <c r="AD23" s="34">
        <f t="shared" si="15"/>
        <v>0</v>
      </c>
      <c r="AE23" s="51">
        <f t="shared" si="15"/>
        <v>17</v>
      </c>
      <c r="AF23" s="51">
        <f t="shared" si="15"/>
        <v>51</v>
      </c>
    </row>
    <row r="24" spans="2:32" ht="23.1" customHeight="1" x14ac:dyDescent="0.25">
      <c r="B24" s="23" t="s">
        <v>51</v>
      </c>
      <c r="C24" s="49">
        <f>AVERAGE('11.8 BUSUNJU-KAMPALA'!C24,'12.8 KAMPALA-BUSUNJU'!C24,'13.8 BUSUNJU-KAMPALA'!C24,'14.8 BUSUNJU-KAMPALA'!C24,'15.8 BUSUNJU-KAMPALA-24HRS'!C24,'16.8 KAMPALA-BUSUNJU-24HRS'!C24,'17.8 BUSUNJU-KAMPALA'!C24)</f>
        <v>0.8571428571428571</v>
      </c>
      <c r="D24" s="49">
        <f>AVERAGE('11.8 BUSUNJU-KAMPALA'!D24,'12.8 KAMPALA-BUSUNJU'!D24,'13.8 BUSUNJU-KAMPALA'!D24,'14.8 BUSUNJU-KAMPALA'!D24,'15.8 BUSUNJU-KAMPALA-24HRS'!D24,'16.8 KAMPALA-BUSUNJU-24HRS'!D24,'17.8 BUSUNJU-KAMPALA'!D24)</f>
        <v>0</v>
      </c>
      <c r="E24" s="49">
        <f>AVERAGE('11.8 BUSUNJU-KAMPALA'!E24,'12.8 KAMPALA-BUSUNJU'!E24,'13.8 BUSUNJU-KAMPALA'!E24,'14.8 BUSUNJU-KAMPALA'!E24,'15.8 BUSUNJU-KAMPALA-24HRS'!E24,'16.8 KAMPALA-BUSUNJU-24HRS'!E24,'17.8 BUSUNJU-KAMPALA'!E24)</f>
        <v>0.7142857142857143</v>
      </c>
      <c r="F24" s="49">
        <f>AVERAGE('11.8 BUSUNJU-KAMPALA'!F24,'12.8 KAMPALA-BUSUNJU'!F24,'13.8 BUSUNJU-KAMPALA'!F24,'14.8 BUSUNJU-KAMPALA'!F24,'15.8 BUSUNJU-KAMPALA-24HRS'!F24,'16.8 KAMPALA-BUSUNJU-24HRS'!F24,'17.8 BUSUNJU-KAMPALA'!F24)</f>
        <v>0.42857142857142855</v>
      </c>
      <c r="G24" s="49">
        <f>AVERAGE('11.8 BUSUNJU-KAMPALA'!G24,'12.8 KAMPALA-BUSUNJU'!G24,'13.8 BUSUNJU-KAMPALA'!G24,'14.8 BUSUNJU-KAMPALA'!G24,'15.8 BUSUNJU-KAMPALA-24HRS'!G24,'16.8 KAMPALA-BUSUNJU-24HRS'!G24,'17.8 BUSUNJU-KAMPALA'!G24)</f>
        <v>0</v>
      </c>
      <c r="H24" s="49">
        <f>AVERAGE('11.8 BUSUNJU-KAMPALA'!H24,'12.8 KAMPALA-BUSUNJU'!H24,'13.8 BUSUNJU-KAMPALA'!H24,'14.8 BUSUNJU-KAMPALA'!H24,'15.8 BUSUNJU-KAMPALA-24HRS'!H24,'16.8 KAMPALA-BUSUNJU-24HRS'!H24,'17.8 BUSUNJU-KAMPALA'!H24)</f>
        <v>0</v>
      </c>
      <c r="I24" s="49">
        <f>AVERAGE('11.8 BUSUNJU-KAMPALA'!I24,'12.8 KAMPALA-BUSUNJU'!I24,'13.8 BUSUNJU-KAMPALA'!I24,'14.8 BUSUNJU-KAMPALA'!I24,'15.8 BUSUNJU-KAMPALA-24HRS'!I24,'16.8 KAMPALA-BUSUNJU-24HRS'!I24,'17.8 BUSUNJU-KAMPALA'!I24)</f>
        <v>1.5714285714285714</v>
      </c>
      <c r="J24" s="49">
        <f>AVERAGE('11.8 BUSUNJU-KAMPALA'!J24,'12.8 KAMPALA-BUSUNJU'!J24,'13.8 BUSUNJU-KAMPALA'!J24,'14.8 BUSUNJU-KAMPALA'!J24,'15.8 BUSUNJU-KAMPALA-24HRS'!J24,'16.8 KAMPALA-BUSUNJU-24HRS'!J24,'17.8 BUSUNJU-KAMPALA'!J24)</f>
        <v>0</v>
      </c>
      <c r="K24" s="49">
        <f>AVERAGE('11.8 BUSUNJU-KAMPALA'!K24,'12.8 KAMPALA-BUSUNJU'!K24,'13.8 BUSUNJU-KAMPALA'!K24,'14.8 BUSUNJU-KAMPALA'!K24,'15.8 BUSUNJU-KAMPALA-24HRS'!K24,'16.8 KAMPALA-BUSUNJU-24HRS'!K24,'17.8 BUSUNJU-KAMPALA'!K24)</f>
        <v>0</v>
      </c>
      <c r="L24" s="49">
        <f>AVERAGE('11.8 BUSUNJU-KAMPALA'!L24,'12.8 KAMPALA-BUSUNJU'!L24,'13.8 BUSUNJU-KAMPALA'!L24,'14.8 BUSUNJU-KAMPALA'!L24,'15.8 BUSUNJU-KAMPALA-24HRS'!L24,'16.8 KAMPALA-BUSUNJU-24HRS'!L24,'17.8 BUSUNJU-KAMPALA'!L24)</f>
        <v>0</v>
      </c>
      <c r="M24" s="49">
        <f>AVERAGE('11.8 BUSUNJU-KAMPALA'!M24,'12.8 KAMPALA-BUSUNJU'!M24,'13.8 BUSUNJU-KAMPALA'!M24,'14.8 BUSUNJU-KAMPALA'!M24,'15.8 BUSUNJU-KAMPALA-24HRS'!M24,'16.8 KAMPALA-BUSUNJU-24HRS'!M24,'17.8 BUSUNJU-KAMPALA'!M24)</f>
        <v>12.857142857142858</v>
      </c>
      <c r="N24" s="49">
        <f>AVERAGE('11.8 BUSUNJU-KAMPALA'!N24,'12.8 KAMPALA-BUSUNJU'!N24,'13.8 BUSUNJU-KAMPALA'!N24,'14.8 BUSUNJU-KAMPALA'!N24,'15.8 BUSUNJU-KAMPALA-24HRS'!N24,'16.8 KAMPALA-BUSUNJU-24HRS'!N24,'17.8 BUSUNJU-KAMPALA'!N24)</f>
        <v>0</v>
      </c>
      <c r="O24" s="15">
        <f t="shared" si="0"/>
        <v>3.5714285714285712</v>
      </c>
      <c r="P24" s="15">
        <f t="shared" si="1"/>
        <v>16.428571428571431</v>
      </c>
      <c r="R24" s="1" t="s">
        <v>148</v>
      </c>
      <c r="S24" s="34">
        <f>SUM(C66:C69)</f>
        <v>6</v>
      </c>
      <c r="T24" s="34">
        <f t="shared" ref="T24:AF24" si="16">SUM(D66:D69)</f>
        <v>2</v>
      </c>
      <c r="U24" s="34">
        <f t="shared" si="16"/>
        <v>7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15</v>
      </c>
      <c r="AD24" s="34">
        <f t="shared" si="16"/>
        <v>0</v>
      </c>
      <c r="AE24" s="51">
        <f t="shared" si="16"/>
        <v>20</v>
      </c>
      <c r="AF24" s="51">
        <f t="shared" si="16"/>
        <v>35</v>
      </c>
    </row>
    <row r="25" spans="2:32" ht="23.1" customHeight="1" x14ac:dyDescent="0.25">
      <c r="B25" s="23" t="s">
        <v>52</v>
      </c>
      <c r="C25" s="49">
        <f>AVERAGE('11.8 BUSUNJU-KAMPALA'!C25,'12.8 KAMPALA-BUSUNJU'!C25,'13.8 BUSUNJU-KAMPALA'!C25,'14.8 BUSUNJU-KAMPALA'!C25,'15.8 BUSUNJU-KAMPALA-24HRS'!C25,'16.8 KAMPALA-BUSUNJU-24HRS'!C25,'17.8 BUSUNJU-KAMPALA'!C25)</f>
        <v>0.2857142857142857</v>
      </c>
      <c r="D25" s="49">
        <f>AVERAGE('11.8 BUSUNJU-KAMPALA'!D25,'12.8 KAMPALA-BUSUNJU'!D25,'13.8 BUSUNJU-KAMPALA'!D25,'14.8 BUSUNJU-KAMPALA'!D25,'15.8 BUSUNJU-KAMPALA-24HRS'!D25,'16.8 KAMPALA-BUSUNJU-24HRS'!D25,'17.8 BUSUNJU-KAMPALA'!D25)</f>
        <v>0</v>
      </c>
      <c r="E25" s="49">
        <f>AVERAGE('11.8 BUSUNJU-KAMPALA'!E25,'12.8 KAMPALA-BUSUNJU'!E25,'13.8 BUSUNJU-KAMPALA'!E25,'14.8 BUSUNJU-KAMPALA'!E25,'15.8 BUSUNJU-KAMPALA-24HRS'!E25,'16.8 KAMPALA-BUSUNJU-24HRS'!E25,'17.8 BUSUNJU-KAMPALA'!E25)</f>
        <v>1</v>
      </c>
      <c r="F25" s="49">
        <f>AVERAGE('11.8 BUSUNJU-KAMPALA'!F25,'12.8 KAMPALA-BUSUNJU'!F25,'13.8 BUSUNJU-KAMPALA'!F25,'14.8 BUSUNJU-KAMPALA'!F25,'15.8 BUSUNJU-KAMPALA-24HRS'!F25,'16.8 KAMPALA-BUSUNJU-24HRS'!F25,'17.8 BUSUNJU-KAMPALA'!F25)</f>
        <v>0.14285714285714285</v>
      </c>
      <c r="G25" s="49">
        <f>AVERAGE('11.8 BUSUNJU-KAMPALA'!G25,'12.8 KAMPALA-BUSUNJU'!G25,'13.8 BUSUNJU-KAMPALA'!G25,'14.8 BUSUNJU-KAMPALA'!G25,'15.8 BUSUNJU-KAMPALA-24HRS'!G25,'16.8 KAMPALA-BUSUNJU-24HRS'!G25,'17.8 BUSUNJU-KAMPALA'!G25)</f>
        <v>0</v>
      </c>
      <c r="H25" s="49">
        <f>AVERAGE('11.8 BUSUNJU-KAMPALA'!H25,'12.8 KAMPALA-BUSUNJU'!H25,'13.8 BUSUNJU-KAMPALA'!H25,'14.8 BUSUNJU-KAMPALA'!H25,'15.8 BUSUNJU-KAMPALA-24HRS'!H25,'16.8 KAMPALA-BUSUNJU-24HRS'!H25,'17.8 BUSUNJU-KAMPALA'!H25)</f>
        <v>0</v>
      </c>
      <c r="I25" s="49">
        <f>AVERAGE('11.8 BUSUNJU-KAMPALA'!I25,'12.8 KAMPALA-BUSUNJU'!I25,'13.8 BUSUNJU-KAMPALA'!I25,'14.8 BUSUNJU-KAMPALA'!I25,'15.8 BUSUNJU-KAMPALA-24HRS'!I25,'16.8 KAMPALA-BUSUNJU-24HRS'!I25,'17.8 BUSUNJU-KAMPALA'!I25)</f>
        <v>1.5714285714285714</v>
      </c>
      <c r="J25" s="49">
        <f>AVERAGE('11.8 BUSUNJU-KAMPALA'!J25,'12.8 KAMPALA-BUSUNJU'!J25,'13.8 BUSUNJU-KAMPALA'!J25,'14.8 BUSUNJU-KAMPALA'!J25,'15.8 BUSUNJU-KAMPALA-24HRS'!J25,'16.8 KAMPALA-BUSUNJU-24HRS'!J25,'17.8 BUSUNJU-KAMPALA'!J25)</f>
        <v>0</v>
      </c>
      <c r="K25" s="49">
        <f>AVERAGE('11.8 BUSUNJU-KAMPALA'!K25,'12.8 KAMPALA-BUSUNJU'!K25,'13.8 BUSUNJU-KAMPALA'!K25,'14.8 BUSUNJU-KAMPALA'!K25,'15.8 BUSUNJU-KAMPALA-24HRS'!K25,'16.8 KAMPALA-BUSUNJU-24HRS'!K25,'17.8 BUSUNJU-KAMPALA'!K25)</f>
        <v>0</v>
      </c>
      <c r="L25" s="49">
        <f>AVERAGE('11.8 BUSUNJU-KAMPALA'!L25,'12.8 KAMPALA-BUSUNJU'!L25,'13.8 BUSUNJU-KAMPALA'!L25,'14.8 BUSUNJU-KAMPALA'!L25,'15.8 BUSUNJU-KAMPALA-24HRS'!L25,'16.8 KAMPALA-BUSUNJU-24HRS'!L25,'17.8 BUSUNJU-KAMPALA'!L25)</f>
        <v>0</v>
      </c>
      <c r="M25" s="49">
        <f>AVERAGE('11.8 BUSUNJU-KAMPALA'!M25,'12.8 KAMPALA-BUSUNJU'!M25,'13.8 BUSUNJU-KAMPALA'!M25,'14.8 BUSUNJU-KAMPALA'!M25,'15.8 BUSUNJU-KAMPALA-24HRS'!M25,'16.8 KAMPALA-BUSUNJU-24HRS'!M25,'17.8 BUSUNJU-KAMPALA'!M25)</f>
        <v>15.571428571428571</v>
      </c>
      <c r="N25" s="49">
        <f>AVERAGE('11.8 BUSUNJU-KAMPALA'!N25,'12.8 KAMPALA-BUSUNJU'!N25,'13.8 BUSUNJU-KAMPALA'!N25,'14.8 BUSUNJU-KAMPALA'!N25,'15.8 BUSUNJU-KAMPALA-24HRS'!N25,'16.8 KAMPALA-BUSUNJU-24HRS'!N25,'17.8 BUSUNJU-KAMPALA'!N25)</f>
        <v>0</v>
      </c>
      <c r="O25" s="15">
        <f t="shared" si="0"/>
        <v>3</v>
      </c>
      <c r="P25" s="15">
        <f t="shared" si="1"/>
        <v>18.571428571428569</v>
      </c>
      <c r="R25" s="1" t="s">
        <v>149</v>
      </c>
      <c r="S25" s="34">
        <f>SUM(C70:C73)</f>
        <v>5</v>
      </c>
      <c r="T25" s="34">
        <f t="shared" ref="T25:AF25" si="17">SUM(D70:D73)</f>
        <v>0</v>
      </c>
      <c r="U25" s="34">
        <f t="shared" si="17"/>
        <v>3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5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4</v>
      </c>
      <c r="AD25" s="34">
        <f t="shared" si="17"/>
        <v>0</v>
      </c>
      <c r="AE25" s="51">
        <f t="shared" si="17"/>
        <v>15</v>
      </c>
      <c r="AF25" s="51">
        <f t="shared" si="17"/>
        <v>19</v>
      </c>
    </row>
    <row r="26" spans="2:32" ht="23.1" customHeight="1" x14ac:dyDescent="0.25">
      <c r="B26" s="23" t="s">
        <v>53</v>
      </c>
      <c r="C26" s="49">
        <f>AVERAGE('11.8 BUSUNJU-KAMPALA'!C26,'12.8 KAMPALA-BUSUNJU'!C26,'13.8 BUSUNJU-KAMPALA'!C26,'14.8 BUSUNJU-KAMPALA'!C26,'15.8 BUSUNJU-KAMPALA-24HRS'!C26,'16.8 KAMPALA-BUSUNJU-24HRS'!C26,'17.8 BUSUNJU-KAMPALA'!C26)</f>
        <v>0.8571428571428571</v>
      </c>
      <c r="D26" s="49">
        <f>AVERAGE('11.8 BUSUNJU-KAMPALA'!D26,'12.8 KAMPALA-BUSUNJU'!D26,'13.8 BUSUNJU-KAMPALA'!D26,'14.8 BUSUNJU-KAMPALA'!D26,'15.8 BUSUNJU-KAMPALA-24HRS'!D26,'16.8 KAMPALA-BUSUNJU-24HRS'!D26,'17.8 BUSUNJU-KAMPALA'!D26)</f>
        <v>0</v>
      </c>
      <c r="E26" s="49">
        <f>AVERAGE('11.8 BUSUNJU-KAMPALA'!E26,'12.8 KAMPALA-BUSUNJU'!E26,'13.8 BUSUNJU-KAMPALA'!E26,'14.8 BUSUNJU-KAMPALA'!E26,'15.8 BUSUNJU-KAMPALA-24HRS'!E26,'16.8 KAMPALA-BUSUNJU-24HRS'!E26,'17.8 BUSUNJU-KAMPALA'!E26)</f>
        <v>0.7142857142857143</v>
      </c>
      <c r="F26" s="49">
        <f>AVERAGE('11.8 BUSUNJU-KAMPALA'!F26,'12.8 KAMPALA-BUSUNJU'!F26,'13.8 BUSUNJU-KAMPALA'!F26,'14.8 BUSUNJU-KAMPALA'!F26,'15.8 BUSUNJU-KAMPALA-24HRS'!F26,'16.8 KAMPALA-BUSUNJU-24HRS'!F26,'17.8 BUSUNJU-KAMPALA'!F26)</f>
        <v>0.8571428571428571</v>
      </c>
      <c r="G26" s="49">
        <f>AVERAGE('11.8 BUSUNJU-KAMPALA'!G26,'12.8 KAMPALA-BUSUNJU'!G26,'13.8 BUSUNJU-KAMPALA'!G26,'14.8 BUSUNJU-KAMPALA'!G26,'15.8 BUSUNJU-KAMPALA-24HRS'!G26,'16.8 KAMPALA-BUSUNJU-24HRS'!G26,'17.8 BUSUNJU-KAMPALA'!G26)</f>
        <v>0</v>
      </c>
      <c r="H26" s="49">
        <f>AVERAGE('11.8 BUSUNJU-KAMPALA'!H26,'12.8 KAMPALA-BUSUNJU'!H26,'13.8 BUSUNJU-KAMPALA'!H26,'14.8 BUSUNJU-KAMPALA'!H26,'15.8 BUSUNJU-KAMPALA-24HRS'!H26,'16.8 KAMPALA-BUSUNJU-24HRS'!H26,'17.8 BUSUNJU-KAMPALA'!H26)</f>
        <v>0</v>
      </c>
      <c r="I26" s="49">
        <f>AVERAGE('11.8 BUSUNJU-KAMPALA'!I26,'12.8 KAMPALA-BUSUNJU'!I26,'13.8 BUSUNJU-KAMPALA'!I26,'14.8 BUSUNJU-KAMPALA'!I26,'15.8 BUSUNJU-KAMPALA-24HRS'!I26,'16.8 KAMPALA-BUSUNJU-24HRS'!I26,'17.8 BUSUNJU-KAMPALA'!I26)</f>
        <v>1</v>
      </c>
      <c r="J26" s="49">
        <f>AVERAGE('11.8 BUSUNJU-KAMPALA'!J26,'12.8 KAMPALA-BUSUNJU'!J26,'13.8 BUSUNJU-KAMPALA'!J26,'14.8 BUSUNJU-KAMPALA'!J26,'15.8 BUSUNJU-KAMPALA-24HRS'!J26,'16.8 KAMPALA-BUSUNJU-24HRS'!J26,'17.8 BUSUNJU-KAMPALA'!J26)</f>
        <v>0</v>
      </c>
      <c r="K26" s="49">
        <f>AVERAGE('11.8 BUSUNJU-KAMPALA'!K26,'12.8 KAMPALA-BUSUNJU'!K26,'13.8 BUSUNJU-KAMPALA'!K26,'14.8 BUSUNJU-KAMPALA'!K26,'15.8 BUSUNJU-KAMPALA-24HRS'!K26,'16.8 KAMPALA-BUSUNJU-24HRS'!K26,'17.8 BUSUNJU-KAMPALA'!K26)</f>
        <v>0</v>
      </c>
      <c r="L26" s="49">
        <f>AVERAGE('11.8 BUSUNJU-KAMPALA'!L26,'12.8 KAMPALA-BUSUNJU'!L26,'13.8 BUSUNJU-KAMPALA'!L26,'14.8 BUSUNJU-KAMPALA'!L26,'15.8 BUSUNJU-KAMPALA-24HRS'!L26,'16.8 KAMPALA-BUSUNJU-24HRS'!L26,'17.8 BUSUNJU-KAMPALA'!L26)</f>
        <v>0</v>
      </c>
      <c r="M26" s="49">
        <f>AVERAGE('11.8 BUSUNJU-KAMPALA'!M26,'12.8 KAMPALA-BUSUNJU'!M26,'13.8 BUSUNJU-KAMPALA'!M26,'14.8 BUSUNJU-KAMPALA'!M26,'15.8 BUSUNJU-KAMPALA-24HRS'!M26,'16.8 KAMPALA-BUSUNJU-24HRS'!M26,'17.8 BUSUNJU-KAMPALA'!M26)</f>
        <v>15.285714285714286</v>
      </c>
      <c r="N26" s="49">
        <f>AVERAGE('11.8 BUSUNJU-KAMPALA'!N26,'12.8 KAMPALA-BUSUNJU'!N26,'13.8 BUSUNJU-KAMPALA'!N26,'14.8 BUSUNJU-KAMPALA'!N26,'15.8 BUSUNJU-KAMPALA-24HRS'!N26,'16.8 KAMPALA-BUSUNJU-24HRS'!N26,'17.8 BUSUNJU-KAMPALA'!N26)</f>
        <v>0</v>
      </c>
      <c r="O26" s="15">
        <f t="shared" si="0"/>
        <v>3.4285714285714284</v>
      </c>
      <c r="P26" s="15">
        <f t="shared" si="1"/>
        <v>18.714285714285715</v>
      </c>
      <c r="R26" s="1" t="s">
        <v>150</v>
      </c>
      <c r="S26" s="34">
        <f>SUM(C74:C77)</f>
        <v>5</v>
      </c>
      <c r="T26" s="34">
        <f t="shared" ref="T26:AF26" si="18">SUM(D74:D77)</f>
        <v>1</v>
      </c>
      <c r="U26" s="34">
        <f t="shared" si="18"/>
        <v>3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3</v>
      </c>
      <c r="AD26" s="34">
        <f t="shared" si="18"/>
        <v>0</v>
      </c>
      <c r="AE26" s="51">
        <f t="shared" si="18"/>
        <v>10</v>
      </c>
      <c r="AF26" s="51">
        <f t="shared" si="18"/>
        <v>13</v>
      </c>
    </row>
    <row r="27" spans="2:32" ht="23.1" customHeight="1" x14ac:dyDescent="0.25">
      <c r="B27" s="23" t="s">
        <v>54</v>
      </c>
      <c r="C27" s="49">
        <f>AVERAGE('11.8 BUSUNJU-KAMPALA'!C27,'12.8 KAMPALA-BUSUNJU'!C27,'13.8 BUSUNJU-KAMPALA'!C27,'14.8 BUSUNJU-KAMPALA'!C27,'15.8 BUSUNJU-KAMPALA-24HRS'!C27,'16.8 KAMPALA-BUSUNJU-24HRS'!C27,'17.8 BUSUNJU-KAMPALA'!C27)</f>
        <v>1.5714285714285714</v>
      </c>
      <c r="D27" s="49">
        <f>AVERAGE('11.8 BUSUNJU-KAMPALA'!D27,'12.8 KAMPALA-BUSUNJU'!D27,'13.8 BUSUNJU-KAMPALA'!D27,'14.8 BUSUNJU-KAMPALA'!D27,'15.8 BUSUNJU-KAMPALA-24HRS'!D27,'16.8 KAMPALA-BUSUNJU-24HRS'!D27,'17.8 BUSUNJU-KAMPALA'!D27)</f>
        <v>0</v>
      </c>
      <c r="E27" s="49">
        <f>AVERAGE('11.8 BUSUNJU-KAMPALA'!E27,'12.8 KAMPALA-BUSUNJU'!E27,'13.8 BUSUNJU-KAMPALA'!E27,'14.8 BUSUNJU-KAMPALA'!E27,'15.8 BUSUNJU-KAMPALA-24HRS'!E27,'16.8 KAMPALA-BUSUNJU-24HRS'!E27,'17.8 BUSUNJU-KAMPALA'!E27)</f>
        <v>0.8571428571428571</v>
      </c>
      <c r="F27" s="49">
        <f>AVERAGE('11.8 BUSUNJU-KAMPALA'!F27,'12.8 KAMPALA-BUSUNJU'!F27,'13.8 BUSUNJU-KAMPALA'!F27,'14.8 BUSUNJU-KAMPALA'!F27,'15.8 BUSUNJU-KAMPALA-24HRS'!F27,'16.8 KAMPALA-BUSUNJU-24HRS'!F27,'17.8 BUSUNJU-KAMPALA'!F27)</f>
        <v>0.14285714285714285</v>
      </c>
      <c r="G27" s="49">
        <f>AVERAGE('11.8 BUSUNJU-KAMPALA'!G27,'12.8 KAMPALA-BUSUNJU'!G27,'13.8 BUSUNJU-KAMPALA'!G27,'14.8 BUSUNJU-KAMPALA'!G27,'15.8 BUSUNJU-KAMPALA-24HRS'!G27,'16.8 KAMPALA-BUSUNJU-24HRS'!G27,'17.8 BUSUNJU-KAMPALA'!G27)</f>
        <v>0</v>
      </c>
      <c r="H27" s="49">
        <f>AVERAGE('11.8 BUSUNJU-KAMPALA'!H27,'12.8 KAMPALA-BUSUNJU'!H27,'13.8 BUSUNJU-KAMPALA'!H27,'14.8 BUSUNJU-KAMPALA'!H27,'15.8 BUSUNJU-KAMPALA-24HRS'!H27,'16.8 KAMPALA-BUSUNJU-24HRS'!H27,'17.8 BUSUNJU-KAMPALA'!H27)</f>
        <v>0</v>
      </c>
      <c r="I27" s="49">
        <f>AVERAGE('11.8 BUSUNJU-KAMPALA'!I27,'12.8 KAMPALA-BUSUNJU'!I27,'13.8 BUSUNJU-KAMPALA'!I27,'14.8 BUSUNJU-KAMPALA'!I27,'15.8 BUSUNJU-KAMPALA-24HRS'!I27,'16.8 KAMPALA-BUSUNJU-24HRS'!I27,'17.8 BUSUNJU-KAMPALA'!I27)</f>
        <v>0.5714285714285714</v>
      </c>
      <c r="J27" s="49">
        <f>AVERAGE('11.8 BUSUNJU-KAMPALA'!J27,'12.8 KAMPALA-BUSUNJU'!J27,'13.8 BUSUNJU-KAMPALA'!J27,'14.8 BUSUNJU-KAMPALA'!J27,'15.8 BUSUNJU-KAMPALA-24HRS'!J27,'16.8 KAMPALA-BUSUNJU-24HRS'!J27,'17.8 BUSUNJU-KAMPALA'!J27)</f>
        <v>0.14285714285714285</v>
      </c>
      <c r="K27" s="49">
        <f>AVERAGE('11.8 BUSUNJU-KAMPALA'!K27,'12.8 KAMPALA-BUSUNJU'!K27,'13.8 BUSUNJU-KAMPALA'!K27,'14.8 BUSUNJU-KAMPALA'!K27,'15.8 BUSUNJU-KAMPALA-24HRS'!K27,'16.8 KAMPALA-BUSUNJU-24HRS'!K27,'17.8 BUSUNJU-KAMPALA'!K27)</f>
        <v>0</v>
      </c>
      <c r="L27" s="49">
        <f>AVERAGE('11.8 BUSUNJU-KAMPALA'!L27,'12.8 KAMPALA-BUSUNJU'!L27,'13.8 BUSUNJU-KAMPALA'!L27,'14.8 BUSUNJU-KAMPALA'!L27,'15.8 BUSUNJU-KAMPALA-24HRS'!L27,'16.8 KAMPALA-BUSUNJU-24HRS'!L27,'17.8 BUSUNJU-KAMPALA'!L27)</f>
        <v>0</v>
      </c>
      <c r="M27" s="49">
        <f>AVERAGE('11.8 BUSUNJU-KAMPALA'!M27,'12.8 KAMPALA-BUSUNJU'!M27,'13.8 BUSUNJU-KAMPALA'!M27,'14.8 BUSUNJU-KAMPALA'!M27,'15.8 BUSUNJU-KAMPALA-24HRS'!M27,'16.8 KAMPALA-BUSUNJU-24HRS'!M27,'17.8 BUSUNJU-KAMPALA'!M27)</f>
        <v>14.285714285714286</v>
      </c>
      <c r="N27" s="49">
        <f>AVERAGE('11.8 BUSUNJU-KAMPALA'!N27,'12.8 KAMPALA-BUSUNJU'!N27,'13.8 BUSUNJU-KAMPALA'!N27,'14.8 BUSUNJU-KAMPALA'!N27,'15.8 BUSUNJU-KAMPALA-24HRS'!N27,'16.8 KAMPALA-BUSUNJU-24HRS'!N27,'17.8 BUSUNJU-KAMPALA'!N27)</f>
        <v>0</v>
      </c>
      <c r="O27" s="15">
        <f t="shared" si="0"/>
        <v>3.2857142857142851</v>
      </c>
      <c r="P27" s="15">
        <f t="shared" si="1"/>
        <v>17.571428571428573</v>
      </c>
      <c r="R27" s="1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51">
        <f t="shared" si="19"/>
        <v>6</v>
      </c>
      <c r="AF27" s="51">
        <f t="shared" si="19"/>
        <v>10</v>
      </c>
    </row>
    <row r="28" spans="2:32" ht="23.1" customHeight="1" x14ac:dyDescent="0.25">
      <c r="B28" s="23" t="s">
        <v>55</v>
      </c>
      <c r="C28" s="49">
        <f>AVERAGE('11.8 BUSUNJU-KAMPALA'!C28,'12.8 KAMPALA-BUSUNJU'!C28,'13.8 BUSUNJU-KAMPALA'!C28,'14.8 BUSUNJU-KAMPALA'!C28,'15.8 BUSUNJU-KAMPALA-24HRS'!C28,'16.8 KAMPALA-BUSUNJU-24HRS'!C28,'17.8 BUSUNJU-KAMPALA'!C28)</f>
        <v>1</v>
      </c>
      <c r="D28" s="49">
        <f>AVERAGE('11.8 BUSUNJU-KAMPALA'!D28,'12.8 KAMPALA-BUSUNJU'!D28,'13.8 BUSUNJU-KAMPALA'!D28,'14.8 BUSUNJU-KAMPALA'!D28,'15.8 BUSUNJU-KAMPALA-24HRS'!D28,'16.8 KAMPALA-BUSUNJU-24HRS'!D28,'17.8 BUSUNJU-KAMPALA'!D28)</f>
        <v>0</v>
      </c>
      <c r="E28" s="49">
        <f>AVERAGE('11.8 BUSUNJU-KAMPALA'!E28,'12.8 KAMPALA-BUSUNJU'!E28,'13.8 BUSUNJU-KAMPALA'!E28,'14.8 BUSUNJU-KAMPALA'!E28,'15.8 BUSUNJU-KAMPALA-24HRS'!E28,'16.8 KAMPALA-BUSUNJU-24HRS'!E28,'17.8 BUSUNJU-KAMPALA'!E28)</f>
        <v>0.7142857142857143</v>
      </c>
      <c r="F28" s="49">
        <f>AVERAGE('11.8 BUSUNJU-KAMPALA'!F28,'12.8 KAMPALA-BUSUNJU'!F28,'13.8 BUSUNJU-KAMPALA'!F28,'14.8 BUSUNJU-KAMPALA'!F28,'15.8 BUSUNJU-KAMPALA-24HRS'!F28,'16.8 KAMPALA-BUSUNJU-24HRS'!F28,'17.8 BUSUNJU-KAMPALA'!F28)</f>
        <v>0.2857142857142857</v>
      </c>
      <c r="G28" s="49">
        <f>AVERAGE('11.8 BUSUNJU-KAMPALA'!G28,'12.8 KAMPALA-BUSUNJU'!G28,'13.8 BUSUNJU-KAMPALA'!G28,'14.8 BUSUNJU-KAMPALA'!G28,'15.8 BUSUNJU-KAMPALA-24HRS'!G28,'16.8 KAMPALA-BUSUNJU-24HRS'!G28,'17.8 BUSUNJU-KAMPALA'!G28)</f>
        <v>0</v>
      </c>
      <c r="H28" s="49">
        <f>AVERAGE('11.8 BUSUNJU-KAMPALA'!H28,'12.8 KAMPALA-BUSUNJU'!H28,'13.8 BUSUNJU-KAMPALA'!H28,'14.8 BUSUNJU-KAMPALA'!H28,'15.8 BUSUNJU-KAMPALA-24HRS'!H28,'16.8 KAMPALA-BUSUNJU-24HRS'!H28,'17.8 BUSUNJU-KAMPALA'!H28)</f>
        <v>0</v>
      </c>
      <c r="I28" s="49">
        <f>AVERAGE('11.8 BUSUNJU-KAMPALA'!I28,'12.8 KAMPALA-BUSUNJU'!I28,'13.8 BUSUNJU-KAMPALA'!I28,'14.8 BUSUNJU-KAMPALA'!I28,'15.8 BUSUNJU-KAMPALA-24HRS'!I28,'16.8 KAMPALA-BUSUNJU-24HRS'!I28,'17.8 BUSUNJU-KAMPALA'!I28)</f>
        <v>1.1428571428571428</v>
      </c>
      <c r="J28" s="49">
        <f>AVERAGE('11.8 BUSUNJU-KAMPALA'!J28,'12.8 KAMPALA-BUSUNJU'!J28,'13.8 BUSUNJU-KAMPALA'!J28,'14.8 BUSUNJU-KAMPALA'!J28,'15.8 BUSUNJU-KAMPALA-24HRS'!J28,'16.8 KAMPALA-BUSUNJU-24HRS'!J28,'17.8 BUSUNJU-KAMPALA'!J28)</f>
        <v>0</v>
      </c>
      <c r="K28" s="49">
        <f>AVERAGE('11.8 BUSUNJU-KAMPALA'!K28,'12.8 KAMPALA-BUSUNJU'!K28,'13.8 BUSUNJU-KAMPALA'!K28,'14.8 BUSUNJU-KAMPALA'!K28,'15.8 BUSUNJU-KAMPALA-24HRS'!K28,'16.8 KAMPALA-BUSUNJU-24HRS'!K28,'17.8 BUSUNJU-KAMPALA'!K28)</f>
        <v>0</v>
      </c>
      <c r="L28" s="49">
        <f>AVERAGE('11.8 BUSUNJU-KAMPALA'!L28,'12.8 KAMPALA-BUSUNJU'!L28,'13.8 BUSUNJU-KAMPALA'!L28,'14.8 BUSUNJU-KAMPALA'!L28,'15.8 BUSUNJU-KAMPALA-24HRS'!L28,'16.8 KAMPALA-BUSUNJU-24HRS'!L28,'17.8 BUSUNJU-KAMPALA'!L28)</f>
        <v>0</v>
      </c>
      <c r="M28" s="49">
        <f>AVERAGE('11.8 BUSUNJU-KAMPALA'!M28,'12.8 KAMPALA-BUSUNJU'!M28,'13.8 BUSUNJU-KAMPALA'!M28,'14.8 BUSUNJU-KAMPALA'!M28,'15.8 BUSUNJU-KAMPALA-24HRS'!M28,'16.8 KAMPALA-BUSUNJU-24HRS'!M28,'17.8 BUSUNJU-KAMPALA'!M28)</f>
        <v>14.285714285714286</v>
      </c>
      <c r="N28" s="49">
        <f>AVERAGE('11.8 BUSUNJU-KAMPALA'!N28,'12.8 KAMPALA-BUSUNJU'!N28,'13.8 BUSUNJU-KAMPALA'!N28,'14.8 BUSUNJU-KAMPALA'!N28,'15.8 BUSUNJU-KAMPALA-24HRS'!N28,'16.8 KAMPALA-BUSUNJU-24HRS'!N28,'17.8 BUSUNJU-KAMPALA'!N28)</f>
        <v>0</v>
      </c>
      <c r="O28" s="15">
        <f t="shared" si="0"/>
        <v>3.1428571428571428</v>
      </c>
      <c r="P28" s="15">
        <f t="shared" si="1"/>
        <v>17.428571428571431</v>
      </c>
      <c r="R28" s="1" t="s">
        <v>152</v>
      </c>
      <c r="S28" s="34">
        <f>SUM(C82:C85)</f>
        <v>3</v>
      </c>
      <c r="T28" s="34">
        <f t="shared" ref="T28:AF28" si="20">SUM(D82:D85)</f>
        <v>1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51">
        <f t="shared" si="20"/>
        <v>8</v>
      </c>
      <c r="AF28" s="51">
        <f t="shared" si="20"/>
        <v>8</v>
      </c>
    </row>
    <row r="29" spans="2:32" ht="23.1" customHeight="1" x14ac:dyDescent="0.25">
      <c r="B29" s="23" t="s">
        <v>56</v>
      </c>
      <c r="C29" s="49">
        <f>AVERAGE('11.8 BUSUNJU-KAMPALA'!C29,'12.8 KAMPALA-BUSUNJU'!C29,'13.8 BUSUNJU-KAMPALA'!C29,'14.8 BUSUNJU-KAMPALA'!C29,'15.8 BUSUNJU-KAMPALA-24HRS'!C29,'16.8 KAMPALA-BUSUNJU-24HRS'!C29,'17.8 BUSUNJU-KAMPALA'!C29)</f>
        <v>0.8571428571428571</v>
      </c>
      <c r="D29" s="49">
        <f>AVERAGE('11.8 BUSUNJU-KAMPALA'!D29,'12.8 KAMPALA-BUSUNJU'!D29,'13.8 BUSUNJU-KAMPALA'!D29,'14.8 BUSUNJU-KAMPALA'!D29,'15.8 BUSUNJU-KAMPALA-24HRS'!D29,'16.8 KAMPALA-BUSUNJU-24HRS'!D29,'17.8 BUSUNJU-KAMPALA'!D29)</f>
        <v>0</v>
      </c>
      <c r="E29" s="49">
        <f>AVERAGE('11.8 BUSUNJU-KAMPALA'!E29,'12.8 KAMPALA-BUSUNJU'!E29,'13.8 BUSUNJU-KAMPALA'!E29,'14.8 BUSUNJU-KAMPALA'!E29,'15.8 BUSUNJU-KAMPALA-24HRS'!E29,'16.8 KAMPALA-BUSUNJU-24HRS'!E29,'17.8 BUSUNJU-KAMPALA'!E29)</f>
        <v>0.5714285714285714</v>
      </c>
      <c r="F29" s="49">
        <f>AVERAGE('11.8 BUSUNJU-KAMPALA'!F29,'12.8 KAMPALA-BUSUNJU'!F29,'13.8 BUSUNJU-KAMPALA'!F29,'14.8 BUSUNJU-KAMPALA'!F29,'15.8 BUSUNJU-KAMPALA-24HRS'!F29,'16.8 KAMPALA-BUSUNJU-24HRS'!F29,'17.8 BUSUNJU-KAMPALA'!F29)</f>
        <v>0.42857142857142855</v>
      </c>
      <c r="G29" s="49">
        <f>AVERAGE('11.8 BUSUNJU-KAMPALA'!G29,'12.8 KAMPALA-BUSUNJU'!G29,'13.8 BUSUNJU-KAMPALA'!G29,'14.8 BUSUNJU-KAMPALA'!G29,'15.8 BUSUNJU-KAMPALA-24HRS'!G29,'16.8 KAMPALA-BUSUNJU-24HRS'!G29,'17.8 BUSUNJU-KAMPALA'!G29)</f>
        <v>0.14285714285714285</v>
      </c>
      <c r="H29" s="49">
        <f>AVERAGE('11.8 BUSUNJU-KAMPALA'!H29,'12.8 KAMPALA-BUSUNJU'!H29,'13.8 BUSUNJU-KAMPALA'!H29,'14.8 BUSUNJU-KAMPALA'!H29,'15.8 BUSUNJU-KAMPALA-24HRS'!H29,'16.8 KAMPALA-BUSUNJU-24HRS'!H29,'17.8 BUSUNJU-KAMPALA'!H29)</f>
        <v>0</v>
      </c>
      <c r="I29" s="49">
        <f>AVERAGE('11.8 BUSUNJU-KAMPALA'!I29,'12.8 KAMPALA-BUSUNJU'!I29,'13.8 BUSUNJU-KAMPALA'!I29,'14.8 BUSUNJU-KAMPALA'!I29,'15.8 BUSUNJU-KAMPALA-24HRS'!I29,'16.8 KAMPALA-BUSUNJU-24HRS'!I29,'17.8 BUSUNJU-KAMPALA'!I29)</f>
        <v>1.5714285714285714</v>
      </c>
      <c r="J29" s="49">
        <f>AVERAGE('11.8 BUSUNJU-KAMPALA'!J29,'12.8 KAMPALA-BUSUNJU'!J29,'13.8 BUSUNJU-KAMPALA'!J29,'14.8 BUSUNJU-KAMPALA'!J29,'15.8 BUSUNJU-KAMPALA-24HRS'!J29,'16.8 KAMPALA-BUSUNJU-24HRS'!J29,'17.8 BUSUNJU-KAMPALA'!J29)</f>
        <v>0</v>
      </c>
      <c r="K29" s="49">
        <f>AVERAGE('11.8 BUSUNJU-KAMPALA'!K29,'12.8 KAMPALA-BUSUNJU'!K29,'13.8 BUSUNJU-KAMPALA'!K29,'14.8 BUSUNJU-KAMPALA'!K29,'15.8 BUSUNJU-KAMPALA-24HRS'!K29,'16.8 KAMPALA-BUSUNJU-24HRS'!K29,'17.8 BUSUNJU-KAMPALA'!K29)</f>
        <v>0</v>
      </c>
      <c r="L29" s="49">
        <f>AVERAGE('11.8 BUSUNJU-KAMPALA'!L29,'12.8 KAMPALA-BUSUNJU'!L29,'13.8 BUSUNJU-KAMPALA'!L29,'14.8 BUSUNJU-KAMPALA'!L29,'15.8 BUSUNJU-KAMPALA-24HRS'!L29,'16.8 KAMPALA-BUSUNJU-24HRS'!L29,'17.8 BUSUNJU-KAMPALA'!L29)</f>
        <v>0</v>
      </c>
      <c r="M29" s="49">
        <f>AVERAGE('11.8 BUSUNJU-KAMPALA'!M29,'12.8 KAMPALA-BUSUNJU'!M29,'13.8 BUSUNJU-KAMPALA'!M29,'14.8 BUSUNJU-KAMPALA'!M29,'15.8 BUSUNJU-KAMPALA-24HRS'!M29,'16.8 KAMPALA-BUSUNJU-24HRS'!M29,'17.8 BUSUNJU-KAMPALA'!M29)</f>
        <v>15.571428571428571</v>
      </c>
      <c r="N29" s="49">
        <f>AVERAGE('11.8 BUSUNJU-KAMPALA'!N29,'12.8 KAMPALA-BUSUNJU'!N29,'13.8 BUSUNJU-KAMPALA'!N29,'14.8 BUSUNJU-KAMPALA'!N29,'15.8 BUSUNJU-KAMPALA-24HRS'!N29,'16.8 KAMPALA-BUSUNJU-24HRS'!N29,'17.8 BUSUNJU-KAMPALA'!N29)</f>
        <v>0</v>
      </c>
      <c r="O29" s="15">
        <f t="shared" si="0"/>
        <v>3.5714285714285712</v>
      </c>
      <c r="P29" s="15">
        <f t="shared" si="1"/>
        <v>19.142857142857142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51">
        <f t="shared" si="21"/>
        <v>1</v>
      </c>
      <c r="AF29" s="51">
        <f t="shared" si="21"/>
        <v>2</v>
      </c>
    </row>
    <row r="30" spans="2:32" ht="23.1" customHeight="1" x14ac:dyDescent="0.25">
      <c r="B30" s="23" t="s">
        <v>57</v>
      </c>
      <c r="C30" s="49">
        <f>AVERAGE('11.8 BUSUNJU-KAMPALA'!C30,'12.8 KAMPALA-BUSUNJU'!C30,'13.8 BUSUNJU-KAMPALA'!C30,'14.8 BUSUNJU-KAMPALA'!C30,'15.8 BUSUNJU-KAMPALA-24HRS'!C30,'16.8 KAMPALA-BUSUNJU-24HRS'!C30,'17.8 BUSUNJU-KAMPALA'!C30)</f>
        <v>1.4285714285714286</v>
      </c>
      <c r="D30" s="49">
        <f>AVERAGE('11.8 BUSUNJU-KAMPALA'!D30,'12.8 KAMPALA-BUSUNJU'!D30,'13.8 BUSUNJU-KAMPALA'!D30,'14.8 BUSUNJU-KAMPALA'!D30,'15.8 BUSUNJU-KAMPALA-24HRS'!D30,'16.8 KAMPALA-BUSUNJU-24HRS'!D30,'17.8 BUSUNJU-KAMPALA'!D30)</f>
        <v>0</v>
      </c>
      <c r="E30" s="49">
        <f>AVERAGE('11.8 BUSUNJU-KAMPALA'!E30,'12.8 KAMPALA-BUSUNJU'!E30,'13.8 BUSUNJU-KAMPALA'!E30,'14.8 BUSUNJU-KAMPALA'!E30,'15.8 BUSUNJU-KAMPALA-24HRS'!E30,'16.8 KAMPALA-BUSUNJU-24HRS'!E30,'17.8 BUSUNJU-KAMPALA'!E30)</f>
        <v>0.42857142857142855</v>
      </c>
      <c r="F30" s="49">
        <f>AVERAGE('11.8 BUSUNJU-KAMPALA'!F30,'12.8 KAMPALA-BUSUNJU'!F30,'13.8 BUSUNJU-KAMPALA'!F30,'14.8 BUSUNJU-KAMPALA'!F30,'15.8 BUSUNJU-KAMPALA-24HRS'!F30,'16.8 KAMPALA-BUSUNJU-24HRS'!F30,'17.8 BUSUNJU-KAMPALA'!F30)</f>
        <v>0.42857142857142855</v>
      </c>
      <c r="G30" s="49">
        <f>AVERAGE('11.8 BUSUNJU-KAMPALA'!G30,'12.8 KAMPALA-BUSUNJU'!G30,'13.8 BUSUNJU-KAMPALA'!G30,'14.8 BUSUNJU-KAMPALA'!G30,'15.8 BUSUNJU-KAMPALA-24HRS'!G30,'16.8 KAMPALA-BUSUNJU-24HRS'!G30,'17.8 BUSUNJU-KAMPALA'!G30)</f>
        <v>0</v>
      </c>
      <c r="H30" s="49">
        <f>AVERAGE('11.8 BUSUNJU-KAMPALA'!H30,'12.8 KAMPALA-BUSUNJU'!H30,'13.8 BUSUNJU-KAMPALA'!H30,'14.8 BUSUNJU-KAMPALA'!H30,'15.8 BUSUNJU-KAMPALA-24HRS'!H30,'16.8 KAMPALA-BUSUNJU-24HRS'!H30,'17.8 BUSUNJU-KAMPALA'!H30)</f>
        <v>0</v>
      </c>
      <c r="I30" s="49">
        <f>AVERAGE('11.8 BUSUNJU-KAMPALA'!I30,'12.8 KAMPALA-BUSUNJU'!I30,'13.8 BUSUNJU-KAMPALA'!I30,'14.8 BUSUNJU-KAMPALA'!I30,'15.8 BUSUNJU-KAMPALA-24HRS'!I30,'16.8 KAMPALA-BUSUNJU-24HRS'!I30,'17.8 BUSUNJU-KAMPALA'!I30)</f>
        <v>1.5714285714285714</v>
      </c>
      <c r="J30" s="49">
        <f>AVERAGE('11.8 BUSUNJU-KAMPALA'!J30,'12.8 KAMPALA-BUSUNJU'!J30,'13.8 BUSUNJU-KAMPALA'!J30,'14.8 BUSUNJU-KAMPALA'!J30,'15.8 BUSUNJU-KAMPALA-24HRS'!J30,'16.8 KAMPALA-BUSUNJU-24HRS'!J30,'17.8 BUSUNJU-KAMPALA'!J30)</f>
        <v>0</v>
      </c>
      <c r="K30" s="49">
        <f>AVERAGE('11.8 BUSUNJU-KAMPALA'!K30,'12.8 KAMPALA-BUSUNJU'!K30,'13.8 BUSUNJU-KAMPALA'!K30,'14.8 BUSUNJU-KAMPALA'!K30,'15.8 BUSUNJU-KAMPALA-24HRS'!K30,'16.8 KAMPALA-BUSUNJU-24HRS'!K30,'17.8 BUSUNJU-KAMPALA'!K30)</f>
        <v>0</v>
      </c>
      <c r="L30" s="49">
        <f>AVERAGE('11.8 BUSUNJU-KAMPALA'!L30,'12.8 KAMPALA-BUSUNJU'!L30,'13.8 BUSUNJU-KAMPALA'!L30,'14.8 BUSUNJU-KAMPALA'!L30,'15.8 BUSUNJU-KAMPALA-24HRS'!L30,'16.8 KAMPALA-BUSUNJU-24HRS'!L30,'17.8 BUSUNJU-KAMPALA'!L30)</f>
        <v>0</v>
      </c>
      <c r="M30" s="49">
        <f>AVERAGE('11.8 BUSUNJU-KAMPALA'!M30,'12.8 KAMPALA-BUSUNJU'!M30,'13.8 BUSUNJU-KAMPALA'!M30,'14.8 BUSUNJU-KAMPALA'!M30,'15.8 BUSUNJU-KAMPALA-24HRS'!M30,'16.8 KAMPALA-BUSUNJU-24HRS'!M30,'17.8 BUSUNJU-KAMPALA'!M30)</f>
        <v>15.285714285714286</v>
      </c>
      <c r="N30" s="49">
        <f>AVERAGE('11.8 BUSUNJU-KAMPALA'!N30,'12.8 KAMPALA-BUSUNJU'!N30,'13.8 BUSUNJU-KAMPALA'!N30,'14.8 BUSUNJU-KAMPALA'!N30,'15.8 BUSUNJU-KAMPALA-24HRS'!N30,'16.8 KAMPALA-BUSUNJU-24HRS'!N30,'17.8 BUSUNJU-KAMPALA'!N30)</f>
        <v>0</v>
      </c>
      <c r="O30" s="15">
        <f t="shared" si="0"/>
        <v>3.8571428571428568</v>
      </c>
      <c r="P30" s="15">
        <f t="shared" si="1"/>
        <v>19.142857142857142</v>
      </c>
      <c r="R30" s="1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51">
        <f t="shared" si="22"/>
        <v>2</v>
      </c>
      <c r="AF30" s="51">
        <f t="shared" si="22"/>
        <v>2</v>
      </c>
    </row>
    <row r="31" spans="2:32" ht="23.1" customHeight="1" x14ac:dyDescent="0.25">
      <c r="B31" s="24" t="s">
        <v>58</v>
      </c>
      <c r="C31" s="49">
        <f>AVERAGE('11.8 BUSUNJU-KAMPALA'!C31,'12.8 KAMPALA-BUSUNJU'!C31,'13.8 BUSUNJU-KAMPALA'!C31,'14.8 BUSUNJU-KAMPALA'!C31,'15.8 BUSUNJU-KAMPALA-24HRS'!C31,'16.8 KAMPALA-BUSUNJU-24HRS'!C31,'17.8 BUSUNJU-KAMPALA'!C31)</f>
        <v>0.8571428571428571</v>
      </c>
      <c r="D31" s="49">
        <f>AVERAGE('11.8 BUSUNJU-KAMPALA'!D31,'12.8 KAMPALA-BUSUNJU'!D31,'13.8 BUSUNJU-KAMPALA'!D31,'14.8 BUSUNJU-KAMPALA'!D31,'15.8 BUSUNJU-KAMPALA-24HRS'!D31,'16.8 KAMPALA-BUSUNJU-24HRS'!D31,'17.8 BUSUNJU-KAMPALA'!D31)</f>
        <v>0</v>
      </c>
      <c r="E31" s="49">
        <f>AVERAGE('11.8 BUSUNJU-KAMPALA'!E31,'12.8 KAMPALA-BUSUNJU'!E31,'13.8 BUSUNJU-KAMPALA'!E31,'14.8 BUSUNJU-KAMPALA'!E31,'15.8 BUSUNJU-KAMPALA-24HRS'!E31,'16.8 KAMPALA-BUSUNJU-24HRS'!E31,'17.8 BUSUNJU-KAMPALA'!E31)</f>
        <v>1</v>
      </c>
      <c r="F31" s="49">
        <f>AVERAGE('11.8 BUSUNJU-KAMPALA'!F31,'12.8 KAMPALA-BUSUNJU'!F31,'13.8 BUSUNJU-KAMPALA'!F31,'14.8 BUSUNJU-KAMPALA'!F31,'15.8 BUSUNJU-KAMPALA-24HRS'!F31,'16.8 KAMPALA-BUSUNJU-24HRS'!F31,'17.8 BUSUNJU-KAMPALA'!F31)</f>
        <v>0.5714285714285714</v>
      </c>
      <c r="G31" s="49">
        <f>AVERAGE('11.8 BUSUNJU-KAMPALA'!G31,'12.8 KAMPALA-BUSUNJU'!G31,'13.8 BUSUNJU-KAMPALA'!G31,'14.8 BUSUNJU-KAMPALA'!G31,'15.8 BUSUNJU-KAMPALA-24HRS'!G31,'16.8 KAMPALA-BUSUNJU-24HRS'!G31,'17.8 BUSUNJU-KAMPALA'!G31)</f>
        <v>0</v>
      </c>
      <c r="H31" s="49">
        <f>AVERAGE('11.8 BUSUNJU-KAMPALA'!H31,'12.8 KAMPALA-BUSUNJU'!H31,'13.8 BUSUNJU-KAMPALA'!H31,'14.8 BUSUNJU-KAMPALA'!H31,'15.8 BUSUNJU-KAMPALA-24HRS'!H31,'16.8 KAMPALA-BUSUNJU-24HRS'!H31,'17.8 BUSUNJU-KAMPALA'!H31)</f>
        <v>0</v>
      </c>
      <c r="I31" s="49">
        <f>AVERAGE('11.8 BUSUNJU-KAMPALA'!I31,'12.8 KAMPALA-BUSUNJU'!I31,'13.8 BUSUNJU-KAMPALA'!I31,'14.8 BUSUNJU-KAMPALA'!I31,'15.8 BUSUNJU-KAMPALA-24HRS'!I31,'16.8 KAMPALA-BUSUNJU-24HRS'!I31,'17.8 BUSUNJU-KAMPALA'!I31)</f>
        <v>1.5714285714285714</v>
      </c>
      <c r="J31" s="49">
        <f>AVERAGE('11.8 BUSUNJU-KAMPALA'!J31,'12.8 KAMPALA-BUSUNJU'!J31,'13.8 BUSUNJU-KAMPALA'!J31,'14.8 BUSUNJU-KAMPALA'!J31,'15.8 BUSUNJU-KAMPALA-24HRS'!J31,'16.8 KAMPALA-BUSUNJU-24HRS'!J31,'17.8 BUSUNJU-KAMPALA'!J31)</f>
        <v>0</v>
      </c>
      <c r="K31" s="49">
        <f>AVERAGE('11.8 BUSUNJU-KAMPALA'!K31,'12.8 KAMPALA-BUSUNJU'!K31,'13.8 BUSUNJU-KAMPALA'!K31,'14.8 BUSUNJU-KAMPALA'!K31,'15.8 BUSUNJU-KAMPALA-24HRS'!K31,'16.8 KAMPALA-BUSUNJU-24HRS'!K31,'17.8 BUSUNJU-KAMPALA'!K31)</f>
        <v>0</v>
      </c>
      <c r="L31" s="49">
        <f>AVERAGE('11.8 BUSUNJU-KAMPALA'!L31,'12.8 KAMPALA-BUSUNJU'!L31,'13.8 BUSUNJU-KAMPALA'!L31,'14.8 BUSUNJU-KAMPALA'!L31,'15.8 BUSUNJU-KAMPALA-24HRS'!L31,'16.8 KAMPALA-BUSUNJU-24HRS'!L31,'17.8 BUSUNJU-KAMPALA'!L31)</f>
        <v>0</v>
      </c>
      <c r="M31" s="49">
        <f>AVERAGE('11.8 BUSUNJU-KAMPALA'!M31,'12.8 KAMPALA-BUSUNJU'!M31,'13.8 BUSUNJU-KAMPALA'!M31,'14.8 BUSUNJU-KAMPALA'!M31,'15.8 BUSUNJU-KAMPALA-24HRS'!M31,'16.8 KAMPALA-BUSUNJU-24HRS'!M31,'17.8 BUSUNJU-KAMPALA'!M31)</f>
        <v>14.571428571428571</v>
      </c>
      <c r="N31" s="49">
        <f>AVERAGE('11.8 BUSUNJU-KAMPALA'!N31,'12.8 KAMPALA-BUSUNJU'!N31,'13.8 BUSUNJU-KAMPALA'!N31,'14.8 BUSUNJU-KAMPALA'!N31,'15.8 BUSUNJU-KAMPALA-24HRS'!N31,'16.8 KAMPALA-BUSUNJU-24HRS'!N31,'17.8 BUSUNJU-KAMPALA'!N31)</f>
        <v>0</v>
      </c>
      <c r="O31" s="15">
        <f t="shared" si="0"/>
        <v>4</v>
      </c>
      <c r="P31" s="15">
        <f t="shared" si="1"/>
        <v>18.571428571428569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1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51">
        <f t="shared" si="23"/>
        <v>2</v>
      </c>
      <c r="AF31" s="51">
        <f t="shared" si="23"/>
        <v>2</v>
      </c>
    </row>
    <row r="32" spans="2:32" ht="23.1" customHeight="1" x14ac:dyDescent="0.25">
      <c r="B32" s="24" t="s">
        <v>59</v>
      </c>
      <c r="C32" s="49">
        <f>AVERAGE('11.8 BUSUNJU-KAMPALA'!C32,'12.8 KAMPALA-BUSUNJU'!C32,'13.8 BUSUNJU-KAMPALA'!C32,'14.8 BUSUNJU-KAMPALA'!C32,'15.8 BUSUNJU-KAMPALA-24HRS'!C32,'16.8 KAMPALA-BUSUNJU-24HRS'!C32,'17.8 BUSUNJU-KAMPALA'!C32)</f>
        <v>1</v>
      </c>
      <c r="D32" s="49">
        <f>AVERAGE('11.8 BUSUNJU-KAMPALA'!D32,'12.8 KAMPALA-BUSUNJU'!D32,'13.8 BUSUNJU-KAMPALA'!D32,'14.8 BUSUNJU-KAMPALA'!D32,'15.8 BUSUNJU-KAMPALA-24HRS'!D32,'16.8 KAMPALA-BUSUNJU-24HRS'!D32,'17.8 BUSUNJU-KAMPALA'!D32)</f>
        <v>0</v>
      </c>
      <c r="E32" s="49">
        <f>AVERAGE('11.8 BUSUNJU-KAMPALA'!E32,'12.8 KAMPALA-BUSUNJU'!E32,'13.8 BUSUNJU-KAMPALA'!E32,'14.8 BUSUNJU-KAMPALA'!E32,'15.8 BUSUNJU-KAMPALA-24HRS'!E32,'16.8 KAMPALA-BUSUNJU-24HRS'!E32,'17.8 BUSUNJU-KAMPALA'!E32)</f>
        <v>1.1428571428571428</v>
      </c>
      <c r="F32" s="49">
        <f>AVERAGE('11.8 BUSUNJU-KAMPALA'!F32,'12.8 KAMPALA-BUSUNJU'!F32,'13.8 BUSUNJU-KAMPALA'!F32,'14.8 BUSUNJU-KAMPALA'!F32,'15.8 BUSUNJU-KAMPALA-24HRS'!F32,'16.8 KAMPALA-BUSUNJU-24HRS'!F32,'17.8 BUSUNJU-KAMPALA'!F32)</f>
        <v>0.14285714285714285</v>
      </c>
      <c r="G32" s="49">
        <f>AVERAGE('11.8 BUSUNJU-KAMPALA'!G32,'12.8 KAMPALA-BUSUNJU'!G32,'13.8 BUSUNJU-KAMPALA'!G32,'14.8 BUSUNJU-KAMPALA'!G32,'15.8 BUSUNJU-KAMPALA-24HRS'!G32,'16.8 KAMPALA-BUSUNJU-24HRS'!G32,'17.8 BUSUNJU-KAMPALA'!G32)</f>
        <v>0</v>
      </c>
      <c r="H32" s="49">
        <f>AVERAGE('11.8 BUSUNJU-KAMPALA'!H32,'12.8 KAMPALA-BUSUNJU'!H32,'13.8 BUSUNJU-KAMPALA'!H32,'14.8 BUSUNJU-KAMPALA'!H32,'15.8 BUSUNJU-KAMPALA-24HRS'!H32,'16.8 KAMPALA-BUSUNJU-24HRS'!H32,'17.8 BUSUNJU-KAMPALA'!H32)</f>
        <v>0</v>
      </c>
      <c r="I32" s="49">
        <f>AVERAGE('11.8 BUSUNJU-KAMPALA'!I32,'12.8 KAMPALA-BUSUNJU'!I32,'13.8 BUSUNJU-KAMPALA'!I32,'14.8 BUSUNJU-KAMPALA'!I32,'15.8 BUSUNJU-KAMPALA-24HRS'!I32,'16.8 KAMPALA-BUSUNJU-24HRS'!I32,'17.8 BUSUNJU-KAMPALA'!I32)</f>
        <v>0.7142857142857143</v>
      </c>
      <c r="J32" s="49">
        <f>AVERAGE('11.8 BUSUNJU-KAMPALA'!J32,'12.8 KAMPALA-BUSUNJU'!J32,'13.8 BUSUNJU-KAMPALA'!J32,'14.8 BUSUNJU-KAMPALA'!J32,'15.8 BUSUNJU-KAMPALA-24HRS'!J32,'16.8 KAMPALA-BUSUNJU-24HRS'!J32,'17.8 BUSUNJU-KAMPALA'!J32)</f>
        <v>0.2857142857142857</v>
      </c>
      <c r="K32" s="49">
        <f>AVERAGE('11.8 BUSUNJU-KAMPALA'!K32,'12.8 KAMPALA-BUSUNJU'!K32,'13.8 BUSUNJU-KAMPALA'!K32,'14.8 BUSUNJU-KAMPALA'!K32,'15.8 BUSUNJU-KAMPALA-24HRS'!K32,'16.8 KAMPALA-BUSUNJU-24HRS'!K32,'17.8 BUSUNJU-KAMPALA'!K32)</f>
        <v>0</v>
      </c>
      <c r="L32" s="49">
        <f>AVERAGE('11.8 BUSUNJU-KAMPALA'!L32,'12.8 KAMPALA-BUSUNJU'!L32,'13.8 BUSUNJU-KAMPALA'!L32,'14.8 BUSUNJU-KAMPALA'!L32,'15.8 BUSUNJU-KAMPALA-24HRS'!L32,'16.8 KAMPALA-BUSUNJU-24HRS'!L32,'17.8 BUSUNJU-KAMPALA'!L32)</f>
        <v>0</v>
      </c>
      <c r="M32" s="49">
        <f>AVERAGE('11.8 BUSUNJU-KAMPALA'!M32,'12.8 KAMPALA-BUSUNJU'!M32,'13.8 BUSUNJU-KAMPALA'!M32,'14.8 BUSUNJU-KAMPALA'!M32,'15.8 BUSUNJU-KAMPALA-24HRS'!M32,'16.8 KAMPALA-BUSUNJU-24HRS'!M32,'17.8 BUSUNJU-KAMPALA'!M32)</f>
        <v>12.428571428571429</v>
      </c>
      <c r="N32" s="49">
        <f>AVERAGE('11.8 BUSUNJU-KAMPALA'!N32,'12.8 KAMPALA-BUSUNJU'!N32,'13.8 BUSUNJU-KAMPALA'!N32,'14.8 BUSUNJU-KAMPALA'!N32,'15.8 BUSUNJU-KAMPALA-24HRS'!N32,'16.8 KAMPALA-BUSUNJU-24HRS'!N32,'17.8 BUSUNJU-KAMPALA'!N32)</f>
        <v>0</v>
      </c>
      <c r="O32" s="15">
        <f t="shared" si="0"/>
        <v>3.2857142857142856</v>
      </c>
      <c r="P32" s="15">
        <f t="shared" si="1"/>
        <v>15.714285714285715</v>
      </c>
      <c r="R32" s="1" t="s">
        <v>156</v>
      </c>
      <c r="S32" s="34">
        <f>SUM(C98:C101)</f>
        <v>6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1</v>
      </c>
      <c r="W32" s="34">
        <f t="shared" si="24"/>
        <v>1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1.5</v>
      </c>
      <c r="AD32" s="34">
        <f t="shared" si="24"/>
        <v>0</v>
      </c>
      <c r="AE32" s="51">
        <f t="shared" si="24"/>
        <v>9</v>
      </c>
      <c r="AF32" s="51">
        <f t="shared" si="24"/>
        <v>10.5</v>
      </c>
    </row>
    <row r="33" spans="2:32" ht="23.1" customHeight="1" x14ac:dyDescent="0.25">
      <c r="B33" s="23" t="s">
        <v>60</v>
      </c>
      <c r="C33" s="49">
        <f>AVERAGE('11.8 BUSUNJU-KAMPALA'!C33,'12.8 KAMPALA-BUSUNJU'!C33,'13.8 BUSUNJU-KAMPALA'!C33,'14.8 BUSUNJU-KAMPALA'!C33,'15.8 BUSUNJU-KAMPALA-24HRS'!C33,'16.8 KAMPALA-BUSUNJU-24HRS'!C33,'17.8 BUSUNJU-KAMPALA'!C33)</f>
        <v>0.42857142857142855</v>
      </c>
      <c r="D33" s="49">
        <f>AVERAGE('11.8 BUSUNJU-KAMPALA'!D33,'12.8 KAMPALA-BUSUNJU'!D33,'13.8 BUSUNJU-KAMPALA'!D33,'14.8 BUSUNJU-KAMPALA'!D33,'15.8 BUSUNJU-KAMPALA-24HRS'!D33,'16.8 KAMPALA-BUSUNJU-24HRS'!D33,'17.8 BUSUNJU-KAMPALA'!D33)</f>
        <v>0</v>
      </c>
      <c r="E33" s="49">
        <f>AVERAGE('11.8 BUSUNJU-KAMPALA'!E33,'12.8 KAMPALA-BUSUNJU'!E33,'13.8 BUSUNJU-KAMPALA'!E33,'14.8 BUSUNJU-KAMPALA'!E33,'15.8 BUSUNJU-KAMPALA-24HRS'!E33,'16.8 KAMPALA-BUSUNJU-24HRS'!E33,'17.8 BUSUNJU-KAMPALA'!E33)</f>
        <v>1.5714285714285714</v>
      </c>
      <c r="F33" s="49">
        <f>AVERAGE('11.8 BUSUNJU-KAMPALA'!F33,'12.8 KAMPALA-BUSUNJU'!F33,'13.8 BUSUNJU-KAMPALA'!F33,'14.8 BUSUNJU-KAMPALA'!F33,'15.8 BUSUNJU-KAMPALA-24HRS'!F33,'16.8 KAMPALA-BUSUNJU-24HRS'!F33,'17.8 BUSUNJU-KAMPALA'!F33)</f>
        <v>0.42857142857142855</v>
      </c>
      <c r="G33" s="49">
        <f>AVERAGE('11.8 BUSUNJU-KAMPALA'!G33,'12.8 KAMPALA-BUSUNJU'!G33,'13.8 BUSUNJU-KAMPALA'!G33,'14.8 BUSUNJU-KAMPALA'!G33,'15.8 BUSUNJU-KAMPALA-24HRS'!G33,'16.8 KAMPALA-BUSUNJU-24HRS'!G33,'17.8 BUSUNJU-KAMPALA'!G33)</f>
        <v>0</v>
      </c>
      <c r="H33" s="49">
        <f>AVERAGE('11.8 BUSUNJU-KAMPALA'!H33,'12.8 KAMPALA-BUSUNJU'!H33,'13.8 BUSUNJU-KAMPALA'!H33,'14.8 BUSUNJU-KAMPALA'!H33,'15.8 BUSUNJU-KAMPALA-24HRS'!H33,'16.8 KAMPALA-BUSUNJU-24HRS'!H33,'17.8 BUSUNJU-KAMPALA'!H33)</f>
        <v>0</v>
      </c>
      <c r="I33" s="49">
        <f>AVERAGE('11.8 BUSUNJU-KAMPALA'!I33,'12.8 KAMPALA-BUSUNJU'!I33,'13.8 BUSUNJU-KAMPALA'!I33,'14.8 BUSUNJU-KAMPALA'!I33,'15.8 BUSUNJU-KAMPALA-24HRS'!I33,'16.8 KAMPALA-BUSUNJU-24HRS'!I33,'17.8 BUSUNJU-KAMPALA'!I33)</f>
        <v>1.1428571428571428</v>
      </c>
      <c r="J33" s="49">
        <f>AVERAGE('11.8 BUSUNJU-KAMPALA'!J33,'12.8 KAMPALA-BUSUNJU'!J33,'13.8 BUSUNJU-KAMPALA'!J33,'14.8 BUSUNJU-KAMPALA'!J33,'15.8 BUSUNJU-KAMPALA-24HRS'!J33,'16.8 KAMPALA-BUSUNJU-24HRS'!J33,'17.8 BUSUNJU-KAMPALA'!J33)</f>
        <v>0</v>
      </c>
      <c r="K33" s="49">
        <f>AVERAGE('11.8 BUSUNJU-KAMPALA'!K33,'12.8 KAMPALA-BUSUNJU'!K33,'13.8 BUSUNJU-KAMPALA'!K33,'14.8 BUSUNJU-KAMPALA'!K33,'15.8 BUSUNJU-KAMPALA-24HRS'!K33,'16.8 KAMPALA-BUSUNJU-24HRS'!K33,'17.8 BUSUNJU-KAMPALA'!K33)</f>
        <v>0</v>
      </c>
      <c r="L33" s="49">
        <f>AVERAGE('11.8 BUSUNJU-KAMPALA'!L33,'12.8 KAMPALA-BUSUNJU'!L33,'13.8 BUSUNJU-KAMPALA'!L33,'14.8 BUSUNJU-KAMPALA'!L33,'15.8 BUSUNJU-KAMPALA-24HRS'!L33,'16.8 KAMPALA-BUSUNJU-24HRS'!L33,'17.8 BUSUNJU-KAMPALA'!L33)</f>
        <v>0</v>
      </c>
      <c r="M33" s="49">
        <f>AVERAGE('11.8 BUSUNJU-KAMPALA'!M33,'12.8 KAMPALA-BUSUNJU'!M33,'13.8 BUSUNJU-KAMPALA'!M33,'14.8 BUSUNJU-KAMPALA'!M33,'15.8 BUSUNJU-KAMPALA-24HRS'!M33,'16.8 KAMPALA-BUSUNJU-24HRS'!M33,'17.8 BUSUNJU-KAMPALA'!M33)</f>
        <v>15.142857142857142</v>
      </c>
      <c r="N33" s="49">
        <f>AVERAGE('11.8 BUSUNJU-KAMPALA'!N33,'12.8 KAMPALA-BUSUNJU'!N33,'13.8 BUSUNJU-KAMPALA'!N33,'14.8 BUSUNJU-KAMPALA'!N33,'15.8 BUSUNJU-KAMPALA-24HRS'!N33,'16.8 KAMPALA-BUSUNJU-24HRS'!N33,'17.8 BUSUNJU-KAMPALA'!N33)</f>
        <v>0</v>
      </c>
      <c r="O33" s="15">
        <f t="shared" si="0"/>
        <v>3.5714285714285712</v>
      </c>
      <c r="P33" s="15">
        <f t="shared" si="1"/>
        <v>18.714285714285715</v>
      </c>
      <c r="R33" s="1" t="s">
        <v>157</v>
      </c>
      <c r="S33" s="34">
        <f>SUM(C102:C105)</f>
        <v>4.5</v>
      </c>
      <c r="T33" s="34">
        <f t="shared" ref="T33:AF33" si="25">SUM(D102:D105)</f>
        <v>1</v>
      </c>
      <c r="U33" s="34">
        <f t="shared" si="25"/>
        <v>3</v>
      </c>
      <c r="V33" s="34">
        <f t="shared" si="25"/>
        <v>6</v>
      </c>
      <c r="W33" s="34">
        <f t="shared" si="25"/>
        <v>1</v>
      </c>
      <c r="X33" s="34">
        <f t="shared" si="25"/>
        <v>2</v>
      </c>
      <c r="Y33" s="34">
        <f t="shared" si="25"/>
        <v>0</v>
      </c>
      <c r="Z33" s="34">
        <f t="shared" si="25"/>
        <v>2.5</v>
      </c>
      <c r="AA33" s="34">
        <f t="shared" si="25"/>
        <v>1</v>
      </c>
      <c r="AB33" s="34">
        <f t="shared" si="25"/>
        <v>1</v>
      </c>
      <c r="AC33" s="34">
        <f t="shared" si="25"/>
        <v>12</v>
      </c>
      <c r="AD33" s="34">
        <f t="shared" si="25"/>
        <v>0.5</v>
      </c>
      <c r="AE33" s="51">
        <f t="shared" si="25"/>
        <v>22.5</v>
      </c>
      <c r="AF33" s="51">
        <f t="shared" si="25"/>
        <v>34.5</v>
      </c>
    </row>
    <row r="34" spans="2:32" ht="23.1" customHeight="1" x14ac:dyDescent="0.25">
      <c r="B34" s="24" t="s">
        <v>61</v>
      </c>
      <c r="C34" s="49">
        <f>AVERAGE('11.8 BUSUNJU-KAMPALA'!C34,'12.8 KAMPALA-BUSUNJU'!C34,'13.8 BUSUNJU-KAMPALA'!C34,'14.8 BUSUNJU-KAMPALA'!C34,'15.8 BUSUNJU-KAMPALA-24HRS'!C34,'16.8 KAMPALA-BUSUNJU-24HRS'!C34,'17.8 BUSUNJU-KAMPALA'!C34)</f>
        <v>1.5714285714285714</v>
      </c>
      <c r="D34" s="49">
        <f>AVERAGE('11.8 BUSUNJU-KAMPALA'!D34,'12.8 KAMPALA-BUSUNJU'!D34,'13.8 BUSUNJU-KAMPALA'!D34,'14.8 BUSUNJU-KAMPALA'!D34,'15.8 BUSUNJU-KAMPALA-24HRS'!D34,'16.8 KAMPALA-BUSUNJU-24HRS'!D34,'17.8 BUSUNJU-KAMPALA'!D34)</f>
        <v>0</v>
      </c>
      <c r="E34" s="49">
        <f>AVERAGE('11.8 BUSUNJU-KAMPALA'!E34,'12.8 KAMPALA-BUSUNJU'!E34,'13.8 BUSUNJU-KAMPALA'!E34,'14.8 BUSUNJU-KAMPALA'!E34,'15.8 BUSUNJU-KAMPALA-24HRS'!E34,'16.8 KAMPALA-BUSUNJU-24HRS'!E34,'17.8 BUSUNJU-KAMPALA'!E34)</f>
        <v>1</v>
      </c>
      <c r="F34" s="49">
        <f>AVERAGE('11.8 BUSUNJU-KAMPALA'!F34,'12.8 KAMPALA-BUSUNJU'!F34,'13.8 BUSUNJU-KAMPALA'!F34,'14.8 BUSUNJU-KAMPALA'!F34,'15.8 BUSUNJU-KAMPALA-24HRS'!F34,'16.8 KAMPALA-BUSUNJU-24HRS'!F34,'17.8 BUSUNJU-KAMPALA'!F34)</f>
        <v>0.14285714285714285</v>
      </c>
      <c r="G34" s="49">
        <f>AVERAGE('11.8 BUSUNJU-KAMPALA'!G34,'12.8 KAMPALA-BUSUNJU'!G34,'13.8 BUSUNJU-KAMPALA'!G34,'14.8 BUSUNJU-KAMPALA'!G34,'15.8 BUSUNJU-KAMPALA-24HRS'!G34,'16.8 KAMPALA-BUSUNJU-24HRS'!G34,'17.8 BUSUNJU-KAMPALA'!G34)</f>
        <v>0</v>
      </c>
      <c r="H34" s="49">
        <f>AVERAGE('11.8 BUSUNJU-KAMPALA'!H34,'12.8 KAMPALA-BUSUNJU'!H34,'13.8 BUSUNJU-KAMPALA'!H34,'14.8 BUSUNJU-KAMPALA'!H34,'15.8 BUSUNJU-KAMPALA-24HRS'!H34,'16.8 KAMPALA-BUSUNJU-24HRS'!H34,'17.8 BUSUNJU-KAMPALA'!H34)</f>
        <v>0</v>
      </c>
      <c r="I34" s="49">
        <f>AVERAGE('11.8 BUSUNJU-KAMPALA'!I34,'12.8 KAMPALA-BUSUNJU'!I34,'13.8 BUSUNJU-KAMPALA'!I34,'14.8 BUSUNJU-KAMPALA'!I34,'15.8 BUSUNJU-KAMPALA-24HRS'!I34,'16.8 KAMPALA-BUSUNJU-24HRS'!I34,'17.8 BUSUNJU-KAMPALA'!I34)</f>
        <v>1.1428571428571428</v>
      </c>
      <c r="J34" s="49">
        <f>AVERAGE('11.8 BUSUNJU-KAMPALA'!J34,'12.8 KAMPALA-BUSUNJU'!J34,'13.8 BUSUNJU-KAMPALA'!J34,'14.8 BUSUNJU-KAMPALA'!J34,'15.8 BUSUNJU-KAMPALA-24HRS'!J34,'16.8 KAMPALA-BUSUNJU-24HRS'!J34,'17.8 BUSUNJU-KAMPALA'!J34)</f>
        <v>0.14285714285714285</v>
      </c>
      <c r="K34" s="49">
        <f>AVERAGE('11.8 BUSUNJU-KAMPALA'!K34,'12.8 KAMPALA-BUSUNJU'!K34,'13.8 BUSUNJU-KAMPALA'!K34,'14.8 BUSUNJU-KAMPALA'!K34,'15.8 BUSUNJU-KAMPALA-24HRS'!K34,'16.8 KAMPALA-BUSUNJU-24HRS'!K34,'17.8 BUSUNJU-KAMPALA'!K34)</f>
        <v>0</v>
      </c>
      <c r="L34" s="49">
        <f>AVERAGE('11.8 BUSUNJU-KAMPALA'!L34,'12.8 KAMPALA-BUSUNJU'!L34,'13.8 BUSUNJU-KAMPALA'!L34,'14.8 BUSUNJU-KAMPALA'!L34,'15.8 BUSUNJU-KAMPALA-24HRS'!L34,'16.8 KAMPALA-BUSUNJU-24HRS'!L34,'17.8 BUSUNJU-KAMPALA'!L34)</f>
        <v>0</v>
      </c>
      <c r="M34" s="49">
        <f>AVERAGE('11.8 BUSUNJU-KAMPALA'!M34,'12.8 KAMPALA-BUSUNJU'!M34,'13.8 BUSUNJU-KAMPALA'!M34,'14.8 BUSUNJU-KAMPALA'!M34,'15.8 BUSUNJU-KAMPALA-24HRS'!M34,'16.8 KAMPALA-BUSUNJU-24HRS'!M34,'17.8 BUSUNJU-KAMPALA'!M34)</f>
        <v>18.571428571428573</v>
      </c>
      <c r="N34" s="49">
        <f>AVERAGE('11.8 BUSUNJU-KAMPALA'!N34,'12.8 KAMPALA-BUSUNJU'!N34,'13.8 BUSUNJU-KAMPALA'!N34,'14.8 BUSUNJU-KAMPALA'!N34,'15.8 BUSUNJU-KAMPALA-24HRS'!N34,'16.8 KAMPALA-BUSUNJU-24HRS'!N34,'17.8 BUSUNJU-KAMPALA'!N34)</f>
        <v>0</v>
      </c>
      <c r="O34" s="15">
        <f t="shared" si="0"/>
        <v>3.9999999999999996</v>
      </c>
      <c r="P34" s="15">
        <f t="shared" si="1"/>
        <v>22.571428571428573</v>
      </c>
      <c r="R34" s="38" t="s">
        <v>90</v>
      </c>
      <c r="S34" s="39">
        <f t="shared" ref="S34:AF34" si="26">MAX(S10:S12)</f>
        <v>2.5714285714285712</v>
      </c>
      <c r="T34" s="39">
        <f t="shared" si="26"/>
        <v>0</v>
      </c>
      <c r="U34" s="39">
        <f t="shared" si="26"/>
        <v>2.2857142857142856</v>
      </c>
      <c r="V34" s="39">
        <f t="shared" si="26"/>
        <v>1.2857142857142856</v>
      </c>
      <c r="W34" s="39">
        <f t="shared" si="26"/>
        <v>0.14285714285714285</v>
      </c>
      <c r="X34" s="39">
        <f t="shared" si="26"/>
        <v>0</v>
      </c>
      <c r="Y34" s="39">
        <f t="shared" si="26"/>
        <v>3.4285714285714284</v>
      </c>
      <c r="Z34" s="39">
        <f t="shared" si="26"/>
        <v>0</v>
      </c>
      <c r="AA34" s="39">
        <f t="shared" si="26"/>
        <v>0</v>
      </c>
      <c r="AB34" s="39">
        <f t="shared" si="26"/>
        <v>0</v>
      </c>
      <c r="AC34" s="39">
        <f t="shared" si="26"/>
        <v>57.571428571428569</v>
      </c>
      <c r="AD34" s="39">
        <f t="shared" si="26"/>
        <v>0.14285714285714285</v>
      </c>
      <c r="AE34" s="40">
        <f t="shared" si="26"/>
        <v>8.5714285714285712</v>
      </c>
      <c r="AF34" s="40">
        <f t="shared" si="26"/>
        <v>66.142857142857139</v>
      </c>
    </row>
    <row r="35" spans="2:32" ht="23.1" customHeight="1" x14ac:dyDescent="0.25">
      <c r="B35" s="24" t="s">
        <v>62</v>
      </c>
      <c r="C35" s="49">
        <f>AVERAGE('11.8 BUSUNJU-KAMPALA'!C35,'12.8 KAMPALA-BUSUNJU'!C35,'13.8 BUSUNJU-KAMPALA'!C35,'14.8 BUSUNJU-KAMPALA'!C35,'15.8 BUSUNJU-KAMPALA-24HRS'!C35,'16.8 KAMPALA-BUSUNJU-24HRS'!C35,'17.8 BUSUNJU-KAMPALA'!C35)</f>
        <v>0.42857142857142855</v>
      </c>
      <c r="D35" s="49">
        <f>AVERAGE('11.8 BUSUNJU-KAMPALA'!D35,'12.8 KAMPALA-BUSUNJU'!D35,'13.8 BUSUNJU-KAMPALA'!D35,'14.8 BUSUNJU-KAMPALA'!D35,'15.8 BUSUNJU-KAMPALA-24HRS'!D35,'16.8 KAMPALA-BUSUNJU-24HRS'!D35,'17.8 BUSUNJU-KAMPALA'!D35)</f>
        <v>0</v>
      </c>
      <c r="E35" s="49">
        <f>AVERAGE('11.8 BUSUNJU-KAMPALA'!E35,'12.8 KAMPALA-BUSUNJU'!E35,'13.8 BUSUNJU-KAMPALA'!E35,'14.8 BUSUNJU-KAMPALA'!E35,'15.8 BUSUNJU-KAMPALA-24HRS'!E35,'16.8 KAMPALA-BUSUNJU-24HRS'!E35,'17.8 BUSUNJU-KAMPALA'!E35)</f>
        <v>1</v>
      </c>
      <c r="F35" s="49">
        <f>AVERAGE('11.8 BUSUNJU-KAMPALA'!F35,'12.8 KAMPALA-BUSUNJU'!F35,'13.8 BUSUNJU-KAMPALA'!F35,'14.8 BUSUNJU-KAMPALA'!F35,'15.8 BUSUNJU-KAMPALA-24HRS'!F35,'16.8 KAMPALA-BUSUNJU-24HRS'!F35,'17.8 BUSUNJU-KAMPALA'!F35)</f>
        <v>0.42857142857142855</v>
      </c>
      <c r="G35" s="49">
        <f>AVERAGE('11.8 BUSUNJU-KAMPALA'!G35,'12.8 KAMPALA-BUSUNJU'!G35,'13.8 BUSUNJU-KAMPALA'!G35,'14.8 BUSUNJU-KAMPALA'!G35,'15.8 BUSUNJU-KAMPALA-24HRS'!G35,'16.8 KAMPALA-BUSUNJU-24HRS'!G35,'17.8 BUSUNJU-KAMPALA'!G35)</f>
        <v>0</v>
      </c>
      <c r="H35" s="49">
        <f>AVERAGE('11.8 BUSUNJU-KAMPALA'!H35,'12.8 KAMPALA-BUSUNJU'!H35,'13.8 BUSUNJU-KAMPALA'!H35,'14.8 BUSUNJU-KAMPALA'!H35,'15.8 BUSUNJU-KAMPALA-24HRS'!H35,'16.8 KAMPALA-BUSUNJU-24HRS'!H35,'17.8 BUSUNJU-KAMPALA'!H35)</f>
        <v>0</v>
      </c>
      <c r="I35" s="49">
        <f>AVERAGE('11.8 BUSUNJU-KAMPALA'!I35,'12.8 KAMPALA-BUSUNJU'!I35,'13.8 BUSUNJU-KAMPALA'!I35,'14.8 BUSUNJU-KAMPALA'!I35,'15.8 BUSUNJU-KAMPALA-24HRS'!I35,'16.8 KAMPALA-BUSUNJU-24HRS'!I35,'17.8 BUSUNJU-KAMPALA'!I35)</f>
        <v>0.7142857142857143</v>
      </c>
      <c r="J35" s="49">
        <f>AVERAGE('11.8 BUSUNJU-KAMPALA'!J35,'12.8 KAMPALA-BUSUNJU'!J35,'13.8 BUSUNJU-KAMPALA'!J35,'14.8 BUSUNJU-KAMPALA'!J35,'15.8 BUSUNJU-KAMPALA-24HRS'!J35,'16.8 KAMPALA-BUSUNJU-24HRS'!J35,'17.8 BUSUNJU-KAMPALA'!J35)</f>
        <v>0</v>
      </c>
      <c r="K35" s="49">
        <f>AVERAGE('11.8 BUSUNJU-KAMPALA'!K35,'12.8 KAMPALA-BUSUNJU'!K35,'13.8 BUSUNJU-KAMPALA'!K35,'14.8 BUSUNJU-KAMPALA'!K35,'15.8 BUSUNJU-KAMPALA-24HRS'!K35,'16.8 KAMPALA-BUSUNJU-24HRS'!K35,'17.8 BUSUNJU-KAMPALA'!K35)</f>
        <v>0</v>
      </c>
      <c r="L35" s="49">
        <f>AVERAGE('11.8 BUSUNJU-KAMPALA'!L35,'12.8 KAMPALA-BUSUNJU'!L35,'13.8 BUSUNJU-KAMPALA'!L35,'14.8 BUSUNJU-KAMPALA'!L35,'15.8 BUSUNJU-KAMPALA-24HRS'!L35,'16.8 KAMPALA-BUSUNJU-24HRS'!L35,'17.8 BUSUNJU-KAMPALA'!L35)</f>
        <v>0</v>
      </c>
      <c r="M35" s="49">
        <f>AVERAGE('11.8 BUSUNJU-KAMPALA'!M35,'12.8 KAMPALA-BUSUNJU'!M35,'13.8 BUSUNJU-KAMPALA'!M35,'14.8 BUSUNJU-KAMPALA'!M35,'15.8 BUSUNJU-KAMPALA-24HRS'!M35,'16.8 KAMPALA-BUSUNJU-24HRS'!M35,'17.8 BUSUNJU-KAMPALA'!M35)</f>
        <v>14.285714285714286</v>
      </c>
      <c r="N35" s="49">
        <f>AVERAGE('11.8 BUSUNJU-KAMPALA'!N35,'12.8 KAMPALA-BUSUNJU'!N35,'13.8 BUSUNJU-KAMPALA'!N35,'14.8 BUSUNJU-KAMPALA'!N35,'15.8 BUSUNJU-KAMPALA-24HRS'!N35,'16.8 KAMPALA-BUSUNJU-24HRS'!N35,'17.8 BUSUNJU-KAMPALA'!N35)</f>
        <v>0</v>
      </c>
      <c r="O35" s="15">
        <f t="shared" si="0"/>
        <v>2.5714285714285716</v>
      </c>
      <c r="P35" s="15">
        <f t="shared" si="1"/>
        <v>16.857142857142858</v>
      </c>
      <c r="R35" s="38" t="s">
        <v>91</v>
      </c>
      <c r="S35" s="39">
        <f t="shared" ref="S35:AF35" si="27">MAX(S13:S18)</f>
        <v>4.8571428571428577</v>
      </c>
      <c r="T35" s="39">
        <f t="shared" si="27"/>
        <v>0</v>
      </c>
      <c r="U35" s="39">
        <f t="shared" si="27"/>
        <v>4.1428571428571423</v>
      </c>
      <c r="V35" s="39">
        <f t="shared" si="27"/>
        <v>1.7142857142857142</v>
      </c>
      <c r="W35" s="39">
        <f t="shared" si="27"/>
        <v>0.14285714285714285</v>
      </c>
      <c r="X35" s="39">
        <f t="shared" si="27"/>
        <v>0</v>
      </c>
      <c r="Y35" s="39">
        <f t="shared" si="27"/>
        <v>5.7142857142857144</v>
      </c>
      <c r="Z35" s="39">
        <f t="shared" si="27"/>
        <v>0.2857142857142857</v>
      </c>
      <c r="AA35" s="39">
        <f t="shared" si="27"/>
        <v>0</v>
      </c>
      <c r="AB35" s="39">
        <f t="shared" si="27"/>
        <v>0</v>
      </c>
      <c r="AC35" s="39">
        <f t="shared" si="27"/>
        <v>59.857142857142861</v>
      </c>
      <c r="AD35" s="39">
        <f t="shared" si="27"/>
        <v>0</v>
      </c>
      <c r="AE35" s="40">
        <f t="shared" si="27"/>
        <v>15.142857142857142</v>
      </c>
      <c r="AF35" s="40">
        <f t="shared" si="27"/>
        <v>72.857142857142861</v>
      </c>
    </row>
    <row r="36" spans="2:32" ht="23.1" customHeight="1" x14ac:dyDescent="0.25">
      <c r="B36" s="24" t="s">
        <v>63</v>
      </c>
      <c r="C36" s="49">
        <f>AVERAGE('11.8 BUSUNJU-KAMPALA'!C36,'12.8 KAMPALA-BUSUNJU'!C36,'13.8 BUSUNJU-KAMPALA'!C36,'14.8 BUSUNJU-KAMPALA'!C36,'15.8 BUSUNJU-KAMPALA-24HRS'!C36,'16.8 KAMPALA-BUSUNJU-24HRS'!C36,'17.8 BUSUNJU-KAMPALA'!C36)</f>
        <v>0.42857142857142855</v>
      </c>
      <c r="D36" s="49">
        <f>AVERAGE('11.8 BUSUNJU-KAMPALA'!D36,'12.8 KAMPALA-BUSUNJU'!D36,'13.8 BUSUNJU-KAMPALA'!D36,'14.8 BUSUNJU-KAMPALA'!D36,'15.8 BUSUNJU-KAMPALA-24HRS'!D36,'16.8 KAMPALA-BUSUNJU-24HRS'!D36,'17.8 BUSUNJU-KAMPALA'!D36)</f>
        <v>0</v>
      </c>
      <c r="E36" s="49">
        <f>AVERAGE('11.8 BUSUNJU-KAMPALA'!E36,'12.8 KAMPALA-BUSUNJU'!E36,'13.8 BUSUNJU-KAMPALA'!E36,'14.8 BUSUNJU-KAMPALA'!E36,'15.8 BUSUNJU-KAMPALA-24HRS'!E36,'16.8 KAMPALA-BUSUNJU-24HRS'!E36,'17.8 BUSUNJU-KAMPALA'!E36)</f>
        <v>0.7142857142857143</v>
      </c>
      <c r="F36" s="49">
        <f>AVERAGE('11.8 BUSUNJU-KAMPALA'!F36,'12.8 KAMPALA-BUSUNJU'!F36,'13.8 BUSUNJU-KAMPALA'!F36,'14.8 BUSUNJU-KAMPALA'!F36,'15.8 BUSUNJU-KAMPALA-24HRS'!F36,'16.8 KAMPALA-BUSUNJU-24HRS'!F36,'17.8 BUSUNJU-KAMPALA'!F36)</f>
        <v>0.5714285714285714</v>
      </c>
      <c r="G36" s="49">
        <f>AVERAGE('11.8 BUSUNJU-KAMPALA'!G36,'12.8 KAMPALA-BUSUNJU'!G36,'13.8 BUSUNJU-KAMPALA'!G36,'14.8 BUSUNJU-KAMPALA'!G36,'15.8 BUSUNJU-KAMPALA-24HRS'!G36,'16.8 KAMPALA-BUSUNJU-24HRS'!G36,'17.8 BUSUNJU-KAMPALA'!G36)</f>
        <v>0</v>
      </c>
      <c r="H36" s="49">
        <f>AVERAGE('11.8 BUSUNJU-KAMPALA'!H36,'12.8 KAMPALA-BUSUNJU'!H36,'13.8 BUSUNJU-KAMPALA'!H36,'14.8 BUSUNJU-KAMPALA'!H36,'15.8 BUSUNJU-KAMPALA-24HRS'!H36,'16.8 KAMPALA-BUSUNJU-24HRS'!H36,'17.8 BUSUNJU-KAMPALA'!H36)</f>
        <v>0</v>
      </c>
      <c r="I36" s="49">
        <f>AVERAGE('11.8 BUSUNJU-KAMPALA'!I36,'12.8 KAMPALA-BUSUNJU'!I36,'13.8 BUSUNJU-KAMPALA'!I36,'14.8 BUSUNJU-KAMPALA'!I36,'15.8 BUSUNJU-KAMPALA-24HRS'!I36,'16.8 KAMPALA-BUSUNJU-24HRS'!I36,'17.8 BUSUNJU-KAMPALA'!I36)</f>
        <v>1.2857142857142858</v>
      </c>
      <c r="J36" s="49">
        <f>AVERAGE('11.8 BUSUNJU-KAMPALA'!J36,'12.8 KAMPALA-BUSUNJU'!J36,'13.8 BUSUNJU-KAMPALA'!J36,'14.8 BUSUNJU-KAMPALA'!J36,'15.8 BUSUNJU-KAMPALA-24HRS'!J36,'16.8 KAMPALA-BUSUNJU-24HRS'!J36,'17.8 BUSUNJU-KAMPALA'!J36)</f>
        <v>0</v>
      </c>
      <c r="K36" s="49">
        <f>AVERAGE('11.8 BUSUNJU-KAMPALA'!K36,'12.8 KAMPALA-BUSUNJU'!K36,'13.8 BUSUNJU-KAMPALA'!K36,'14.8 BUSUNJU-KAMPALA'!K36,'15.8 BUSUNJU-KAMPALA-24HRS'!K36,'16.8 KAMPALA-BUSUNJU-24HRS'!K36,'17.8 BUSUNJU-KAMPALA'!K36)</f>
        <v>0</v>
      </c>
      <c r="L36" s="49">
        <f>AVERAGE('11.8 BUSUNJU-KAMPALA'!L36,'12.8 KAMPALA-BUSUNJU'!L36,'13.8 BUSUNJU-KAMPALA'!L36,'14.8 BUSUNJU-KAMPALA'!L36,'15.8 BUSUNJU-KAMPALA-24HRS'!L36,'16.8 KAMPALA-BUSUNJU-24HRS'!L36,'17.8 BUSUNJU-KAMPALA'!L36)</f>
        <v>0</v>
      </c>
      <c r="M36" s="49">
        <f>AVERAGE('11.8 BUSUNJU-KAMPALA'!M36,'12.8 KAMPALA-BUSUNJU'!M36,'13.8 BUSUNJU-KAMPALA'!M36,'14.8 BUSUNJU-KAMPALA'!M36,'15.8 BUSUNJU-KAMPALA-24HRS'!M36,'16.8 KAMPALA-BUSUNJU-24HRS'!M36,'17.8 BUSUNJU-KAMPALA'!M36)</f>
        <v>14.285714285714286</v>
      </c>
      <c r="N36" s="49">
        <f>AVERAGE('11.8 BUSUNJU-KAMPALA'!N36,'12.8 KAMPALA-BUSUNJU'!N36,'13.8 BUSUNJU-KAMPALA'!N36,'14.8 BUSUNJU-KAMPALA'!N36,'15.8 BUSUNJU-KAMPALA-24HRS'!N36,'16.8 KAMPALA-BUSUNJU-24HRS'!N36,'17.8 BUSUNJU-KAMPALA'!N36)</f>
        <v>0</v>
      </c>
      <c r="O36" s="15">
        <f t="shared" si="0"/>
        <v>3</v>
      </c>
      <c r="P36" s="15">
        <f t="shared" si="1"/>
        <v>17.285714285714285</v>
      </c>
      <c r="R36" s="38" t="s">
        <v>92</v>
      </c>
      <c r="S36" s="39">
        <f t="shared" ref="S36:AF36" si="28">MAX(S19:S21)</f>
        <v>6.1428571428571432</v>
      </c>
      <c r="T36" s="39">
        <f t="shared" si="28"/>
        <v>0</v>
      </c>
      <c r="U36" s="39">
        <f t="shared" si="28"/>
        <v>5.5714285714285712</v>
      </c>
      <c r="V36" s="39">
        <f t="shared" si="28"/>
        <v>2.2857142857142856</v>
      </c>
      <c r="W36" s="39">
        <f t="shared" si="28"/>
        <v>0.42857142857142855</v>
      </c>
      <c r="X36" s="39">
        <f t="shared" si="28"/>
        <v>0</v>
      </c>
      <c r="Y36" s="39">
        <f t="shared" si="28"/>
        <v>4.8571428571428577</v>
      </c>
      <c r="Z36" s="39">
        <f t="shared" si="28"/>
        <v>0.2857142857142857</v>
      </c>
      <c r="AA36" s="39">
        <f t="shared" si="28"/>
        <v>0.14285714285714285</v>
      </c>
      <c r="AB36" s="39">
        <f t="shared" si="28"/>
        <v>0</v>
      </c>
      <c r="AC36" s="39">
        <f t="shared" si="28"/>
        <v>61.571428571428569</v>
      </c>
      <c r="AD36" s="39">
        <f t="shared" si="28"/>
        <v>0</v>
      </c>
      <c r="AE36" s="40">
        <f t="shared" si="28"/>
        <v>18</v>
      </c>
      <c r="AF36" s="40">
        <f t="shared" si="28"/>
        <v>76.142857142857139</v>
      </c>
    </row>
    <row r="37" spans="2:32" ht="23.1" customHeight="1" x14ac:dyDescent="0.25">
      <c r="B37" s="23" t="s">
        <v>64</v>
      </c>
      <c r="C37" s="49">
        <f>AVERAGE('11.8 BUSUNJU-KAMPALA'!C37,'12.8 KAMPALA-BUSUNJU'!C37,'13.8 BUSUNJU-KAMPALA'!C37,'14.8 BUSUNJU-KAMPALA'!C37,'15.8 BUSUNJU-KAMPALA-24HRS'!C37,'16.8 KAMPALA-BUSUNJU-24HRS'!C37,'17.8 BUSUNJU-KAMPALA'!C37)</f>
        <v>1</v>
      </c>
      <c r="D37" s="49">
        <f>AVERAGE('11.8 BUSUNJU-KAMPALA'!D37,'12.8 KAMPALA-BUSUNJU'!D37,'13.8 BUSUNJU-KAMPALA'!D37,'14.8 BUSUNJU-KAMPALA'!D37,'15.8 BUSUNJU-KAMPALA-24HRS'!D37,'16.8 KAMPALA-BUSUNJU-24HRS'!D37,'17.8 BUSUNJU-KAMPALA'!D37)</f>
        <v>0</v>
      </c>
      <c r="E37" s="49">
        <f>AVERAGE('11.8 BUSUNJU-KAMPALA'!E37,'12.8 KAMPALA-BUSUNJU'!E37,'13.8 BUSUNJU-KAMPALA'!E37,'14.8 BUSUNJU-KAMPALA'!E37,'15.8 BUSUNJU-KAMPALA-24HRS'!E37,'16.8 KAMPALA-BUSUNJU-24HRS'!E37,'17.8 BUSUNJU-KAMPALA'!E37)</f>
        <v>0.8571428571428571</v>
      </c>
      <c r="F37" s="49">
        <f>AVERAGE('11.8 BUSUNJU-KAMPALA'!F37,'12.8 KAMPALA-BUSUNJU'!F37,'13.8 BUSUNJU-KAMPALA'!F37,'14.8 BUSUNJU-KAMPALA'!F37,'15.8 BUSUNJU-KAMPALA-24HRS'!F37,'16.8 KAMPALA-BUSUNJU-24HRS'!F37,'17.8 BUSUNJU-KAMPALA'!F37)</f>
        <v>0.14285714285714285</v>
      </c>
      <c r="G37" s="49">
        <f>AVERAGE('11.8 BUSUNJU-KAMPALA'!G37,'12.8 KAMPALA-BUSUNJU'!G37,'13.8 BUSUNJU-KAMPALA'!G37,'14.8 BUSUNJU-KAMPALA'!G37,'15.8 BUSUNJU-KAMPALA-24HRS'!G37,'16.8 KAMPALA-BUSUNJU-24HRS'!G37,'17.8 BUSUNJU-KAMPALA'!G37)</f>
        <v>0</v>
      </c>
      <c r="H37" s="49">
        <f>AVERAGE('11.8 BUSUNJU-KAMPALA'!H37,'12.8 KAMPALA-BUSUNJU'!H37,'13.8 BUSUNJU-KAMPALA'!H37,'14.8 BUSUNJU-KAMPALA'!H37,'15.8 BUSUNJU-KAMPALA-24HRS'!H37,'16.8 KAMPALA-BUSUNJU-24HRS'!H37,'17.8 BUSUNJU-KAMPALA'!H37)</f>
        <v>0</v>
      </c>
      <c r="I37" s="49">
        <f>AVERAGE('11.8 BUSUNJU-KAMPALA'!I37,'12.8 KAMPALA-BUSUNJU'!I37,'13.8 BUSUNJU-KAMPALA'!I37,'14.8 BUSUNJU-KAMPALA'!I37,'15.8 BUSUNJU-KAMPALA-24HRS'!I37,'16.8 KAMPALA-BUSUNJU-24HRS'!I37,'17.8 BUSUNJU-KAMPALA'!I37)</f>
        <v>1</v>
      </c>
      <c r="J37" s="49">
        <f>AVERAGE('11.8 BUSUNJU-KAMPALA'!J37,'12.8 KAMPALA-BUSUNJU'!J37,'13.8 BUSUNJU-KAMPALA'!J37,'14.8 BUSUNJU-KAMPALA'!J37,'15.8 BUSUNJU-KAMPALA-24HRS'!J37,'16.8 KAMPALA-BUSUNJU-24HRS'!J37,'17.8 BUSUNJU-KAMPALA'!J37)</f>
        <v>0</v>
      </c>
      <c r="K37" s="49">
        <f>AVERAGE('11.8 BUSUNJU-KAMPALA'!K37,'12.8 KAMPALA-BUSUNJU'!K37,'13.8 BUSUNJU-KAMPALA'!K37,'14.8 BUSUNJU-KAMPALA'!K37,'15.8 BUSUNJU-KAMPALA-24HRS'!K37,'16.8 KAMPALA-BUSUNJU-24HRS'!K37,'17.8 BUSUNJU-KAMPALA'!K37)</f>
        <v>0</v>
      </c>
      <c r="L37" s="49">
        <f>AVERAGE('11.8 BUSUNJU-KAMPALA'!L37,'12.8 KAMPALA-BUSUNJU'!L37,'13.8 BUSUNJU-KAMPALA'!L37,'14.8 BUSUNJU-KAMPALA'!L37,'15.8 BUSUNJU-KAMPALA-24HRS'!L37,'16.8 KAMPALA-BUSUNJU-24HRS'!L37,'17.8 BUSUNJU-KAMPALA'!L37)</f>
        <v>0</v>
      </c>
      <c r="M37" s="49">
        <f>AVERAGE('11.8 BUSUNJU-KAMPALA'!M37,'12.8 KAMPALA-BUSUNJU'!M37,'13.8 BUSUNJU-KAMPALA'!M37,'14.8 BUSUNJU-KAMPALA'!M37,'15.8 BUSUNJU-KAMPALA-24HRS'!M37,'16.8 KAMPALA-BUSUNJU-24HRS'!M37,'17.8 BUSUNJU-KAMPALA'!M37)</f>
        <v>12.714285714285714</v>
      </c>
      <c r="N37" s="49">
        <f>AVERAGE('11.8 BUSUNJU-KAMPALA'!N37,'12.8 KAMPALA-BUSUNJU'!N37,'13.8 BUSUNJU-KAMPALA'!N37,'14.8 BUSUNJU-KAMPALA'!N37,'15.8 BUSUNJU-KAMPALA-24HRS'!N37,'16.8 KAMPALA-BUSUNJU-24HRS'!N37,'17.8 BUSUNJU-KAMPALA'!N37)</f>
        <v>0</v>
      </c>
      <c r="O37" s="15">
        <f t="shared" si="0"/>
        <v>3</v>
      </c>
      <c r="P37" s="15">
        <f t="shared" si="1"/>
        <v>15.714285714285714</v>
      </c>
      <c r="R37" s="37" t="s">
        <v>85</v>
      </c>
      <c r="S37" s="35">
        <f t="shared" ref="S37:AF37" si="29">SUM(S10:S12)</f>
        <v>6.8571428571428568</v>
      </c>
      <c r="T37" s="16">
        <f t="shared" si="29"/>
        <v>0</v>
      </c>
      <c r="U37" s="16">
        <f t="shared" si="29"/>
        <v>6</v>
      </c>
      <c r="V37" s="16">
        <f t="shared" si="29"/>
        <v>2.8571428571428568</v>
      </c>
      <c r="W37" s="16">
        <f t="shared" si="29"/>
        <v>0.14285714285714285</v>
      </c>
      <c r="X37" s="16">
        <f t="shared" si="29"/>
        <v>0</v>
      </c>
      <c r="Y37" s="16">
        <f t="shared" si="29"/>
        <v>8.2857142857142847</v>
      </c>
      <c r="Z37" s="16">
        <f t="shared" si="29"/>
        <v>0</v>
      </c>
      <c r="AA37" s="16">
        <f t="shared" si="29"/>
        <v>0</v>
      </c>
      <c r="AB37" s="16">
        <f t="shared" si="29"/>
        <v>0</v>
      </c>
      <c r="AC37" s="16">
        <f t="shared" si="29"/>
        <v>145.71428571428572</v>
      </c>
      <c r="AD37" s="16">
        <f t="shared" si="29"/>
        <v>0.14285714285714285</v>
      </c>
      <c r="AE37" s="32">
        <f t="shared" si="29"/>
        <v>24.285714285714285</v>
      </c>
      <c r="AF37" s="32">
        <f t="shared" si="29"/>
        <v>170</v>
      </c>
    </row>
    <row r="38" spans="2:32" ht="23.1" customHeight="1" x14ac:dyDescent="0.25">
      <c r="B38" s="24" t="s">
        <v>65</v>
      </c>
      <c r="C38" s="49">
        <f>AVERAGE('11.8 BUSUNJU-KAMPALA'!C38,'12.8 KAMPALA-BUSUNJU'!C38,'13.8 BUSUNJU-KAMPALA'!C38,'14.8 BUSUNJU-KAMPALA'!C38,'15.8 BUSUNJU-KAMPALA-24HRS'!C38,'16.8 KAMPALA-BUSUNJU-24HRS'!C38,'17.8 BUSUNJU-KAMPALA'!C38)</f>
        <v>0.5714285714285714</v>
      </c>
      <c r="D38" s="49">
        <f>AVERAGE('11.8 BUSUNJU-KAMPALA'!D38,'12.8 KAMPALA-BUSUNJU'!D38,'13.8 BUSUNJU-KAMPALA'!D38,'14.8 BUSUNJU-KAMPALA'!D38,'15.8 BUSUNJU-KAMPALA-24HRS'!D38,'16.8 KAMPALA-BUSUNJU-24HRS'!D38,'17.8 BUSUNJU-KAMPALA'!D38)</f>
        <v>0</v>
      </c>
      <c r="E38" s="49">
        <f>AVERAGE('11.8 BUSUNJU-KAMPALA'!E38,'12.8 KAMPALA-BUSUNJU'!E38,'13.8 BUSUNJU-KAMPALA'!E38,'14.8 BUSUNJU-KAMPALA'!E38,'15.8 BUSUNJU-KAMPALA-24HRS'!E38,'16.8 KAMPALA-BUSUNJU-24HRS'!E38,'17.8 BUSUNJU-KAMPALA'!E38)</f>
        <v>0.7142857142857143</v>
      </c>
      <c r="F38" s="49">
        <f>AVERAGE('11.8 BUSUNJU-KAMPALA'!F38,'12.8 KAMPALA-BUSUNJU'!F38,'13.8 BUSUNJU-KAMPALA'!F38,'14.8 BUSUNJU-KAMPALA'!F38,'15.8 BUSUNJU-KAMPALA-24HRS'!F38,'16.8 KAMPALA-BUSUNJU-24HRS'!F38,'17.8 BUSUNJU-KAMPALA'!F38)</f>
        <v>0.42857142857142855</v>
      </c>
      <c r="G38" s="49">
        <f>AVERAGE('11.8 BUSUNJU-KAMPALA'!G38,'12.8 KAMPALA-BUSUNJU'!G38,'13.8 BUSUNJU-KAMPALA'!G38,'14.8 BUSUNJU-KAMPALA'!G38,'15.8 BUSUNJU-KAMPALA-24HRS'!G38,'16.8 KAMPALA-BUSUNJU-24HRS'!G38,'17.8 BUSUNJU-KAMPALA'!G38)</f>
        <v>0</v>
      </c>
      <c r="H38" s="49">
        <f>AVERAGE('11.8 BUSUNJU-KAMPALA'!H38,'12.8 KAMPALA-BUSUNJU'!H38,'13.8 BUSUNJU-KAMPALA'!H38,'14.8 BUSUNJU-KAMPALA'!H38,'15.8 BUSUNJU-KAMPALA-24HRS'!H38,'16.8 KAMPALA-BUSUNJU-24HRS'!H38,'17.8 BUSUNJU-KAMPALA'!H38)</f>
        <v>0</v>
      </c>
      <c r="I38" s="49">
        <f>AVERAGE('11.8 BUSUNJU-KAMPALA'!I38,'12.8 KAMPALA-BUSUNJU'!I38,'13.8 BUSUNJU-KAMPALA'!I38,'14.8 BUSUNJU-KAMPALA'!I38,'15.8 BUSUNJU-KAMPALA-24HRS'!I38,'16.8 KAMPALA-BUSUNJU-24HRS'!I38,'17.8 BUSUNJU-KAMPALA'!I38)</f>
        <v>1.2857142857142858</v>
      </c>
      <c r="J38" s="49">
        <f>AVERAGE('11.8 BUSUNJU-KAMPALA'!J38,'12.8 KAMPALA-BUSUNJU'!J38,'13.8 BUSUNJU-KAMPALA'!J38,'14.8 BUSUNJU-KAMPALA'!J38,'15.8 BUSUNJU-KAMPALA-24HRS'!J38,'16.8 KAMPALA-BUSUNJU-24HRS'!J38,'17.8 BUSUNJU-KAMPALA'!J38)</f>
        <v>0</v>
      </c>
      <c r="K38" s="49">
        <f>AVERAGE('11.8 BUSUNJU-KAMPALA'!K38,'12.8 KAMPALA-BUSUNJU'!K38,'13.8 BUSUNJU-KAMPALA'!K38,'14.8 BUSUNJU-KAMPALA'!K38,'15.8 BUSUNJU-KAMPALA-24HRS'!K38,'16.8 KAMPALA-BUSUNJU-24HRS'!K38,'17.8 BUSUNJU-KAMPALA'!K38)</f>
        <v>0</v>
      </c>
      <c r="L38" s="49">
        <f>AVERAGE('11.8 BUSUNJU-KAMPALA'!L38,'12.8 KAMPALA-BUSUNJU'!L38,'13.8 BUSUNJU-KAMPALA'!L38,'14.8 BUSUNJU-KAMPALA'!L38,'15.8 BUSUNJU-KAMPALA-24HRS'!L38,'16.8 KAMPALA-BUSUNJU-24HRS'!L38,'17.8 BUSUNJU-KAMPALA'!L38)</f>
        <v>0</v>
      </c>
      <c r="M38" s="49">
        <f>AVERAGE('11.8 BUSUNJU-KAMPALA'!M38,'12.8 KAMPALA-BUSUNJU'!M38,'13.8 BUSUNJU-KAMPALA'!M38,'14.8 BUSUNJU-KAMPALA'!M38,'15.8 BUSUNJU-KAMPALA-24HRS'!M38,'16.8 KAMPALA-BUSUNJU-24HRS'!M38,'17.8 BUSUNJU-KAMPALA'!M38)</f>
        <v>15</v>
      </c>
      <c r="N38" s="49">
        <f>AVERAGE('11.8 BUSUNJU-KAMPALA'!N38,'12.8 KAMPALA-BUSUNJU'!N38,'13.8 BUSUNJU-KAMPALA'!N38,'14.8 BUSUNJU-KAMPALA'!N38,'15.8 BUSUNJU-KAMPALA-24HRS'!N38,'16.8 KAMPALA-BUSUNJU-24HRS'!N38,'17.8 BUSUNJU-KAMPALA'!N38)</f>
        <v>0</v>
      </c>
      <c r="O38" s="15">
        <f t="shared" si="0"/>
        <v>3</v>
      </c>
      <c r="P38" s="15">
        <f t="shared" si="1"/>
        <v>18</v>
      </c>
      <c r="R38" s="28" t="s">
        <v>86</v>
      </c>
      <c r="S38" s="16">
        <f t="shared" ref="S38:AF38" si="30">SUM(S13:S18)</f>
        <v>23.571428571428573</v>
      </c>
      <c r="T38" s="16">
        <f t="shared" si="30"/>
        <v>0</v>
      </c>
      <c r="U38" s="16">
        <f t="shared" si="30"/>
        <v>21.857142857142854</v>
      </c>
      <c r="V38" s="16">
        <f t="shared" si="30"/>
        <v>8.428571428571427</v>
      </c>
      <c r="W38" s="16">
        <f t="shared" si="30"/>
        <v>0.14285714285714285</v>
      </c>
      <c r="X38" s="16">
        <f t="shared" si="30"/>
        <v>0</v>
      </c>
      <c r="Y38" s="16">
        <f t="shared" si="30"/>
        <v>28.857142857142858</v>
      </c>
      <c r="Z38" s="16">
        <f t="shared" si="30"/>
        <v>0.99999999999999989</v>
      </c>
      <c r="AA38" s="16">
        <f t="shared" si="30"/>
        <v>0</v>
      </c>
      <c r="AB38" s="16">
        <f t="shared" si="30"/>
        <v>0</v>
      </c>
      <c r="AC38" s="16">
        <f t="shared" si="30"/>
        <v>345.42857142857144</v>
      </c>
      <c r="AD38" s="16">
        <f t="shared" si="30"/>
        <v>0</v>
      </c>
      <c r="AE38" s="32">
        <f t="shared" si="30"/>
        <v>83.857142857142847</v>
      </c>
      <c r="AF38" s="32">
        <f t="shared" si="30"/>
        <v>429.28571428571422</v>
      </c>
    </row>
    <row r="39" spans="2:32" ht="23.1" customHeight="1" x14ac:dyDescent="0.25">
      <c r="B39" s="24" t="s">
        <v>66</v>
      </c>
      <c r="C39" s="49">
        <f>AVERAGE('11.8 BUSUNJU-KAMPALA'!C39,'12.8 KAMPALA-BUSUNJU'!C39,'13.8 BUSUNJU-KAMPALA'!C39,'14.8 BUSUNJU-KAMPALA'!C39,'15.8 BUSUNJU-KAMPALA-24HRS'!C39,'16.8 KAMPALA-BUSUNJU-24HRS'!C39,'17.8 BUSUNJU-KAMPALA'!C39)</f>
        <v>1.4285714285714286</v>
      </c>
      <c r="D39" s="49">
        <f>AVERAGE('11.8 BUSUNJU-KAMPALA'!D39,'12.8 KAMPALA-BUSUNJU'!D39,'13.8 BUSUNJU-KAMPALA'!D39,'14.8 BUSUNJU-KAMPALA'!D39,'15.8 BUSUNJU-KAMPALA-24HRS'!D39,'16.8 KAMPALA-BUSUNJU-24HRS'!D39,'17.8 BUSUNJU-KAMPALA'!D39)</f>
        <v>0</v>
      </c>
      <c r="E39" s="49">
        <f>AVERAGE('11.8 BUSUNJU-KAMPALA'!E39,'12.8 KAMPALA-BUSUNJU'!E39,'13.8 BUSUNJU-KAMPALA'!E39,'14.8 BUSUNJU-KAMPALA'!E39,'15.8 BUSUNJU-KAMPALA-24HRS'!E39,'16.8 KAMPALA-BUSUNJU-24HRS'!E39,'17.8 BUSUNJU-KAMPALA'!E39)</f>
        <v>1</v>
      </c>
      <c r="F39" s="49">
        <f>AVERAGE('11.8 BUSUNJU-KAMPALA'!F39,'12.8 KAMPALA-BUSUNJU'!F39,'13.8 BUSUNJU-KAMPALA'!F39,'14.8 BUSUNJU-KAMPALA'!F39,'15.8 BUSUNJU-KAMPALA-24HRS'!F39,'16.8 KAMPALA-BUSUNJU-24HRS'!F39,'17.8 BUSUNJU-KAMPALA'!F39)</f>
        <v>0.2857142857142857</v>
      </c>
      <c r="G39" s="49">
        <f>AVERAGE('11.8 BUSUNJU-KAMPALA'!G39,'12.8 KAMPALA-BUSUNJU'!G39,'13.8 BUSUNJU-KAMPALA'!G39,'14.8 BUSUNJU-KAMPALA'!G39,'15.8 BUSUNJU-KAMPALA-24HRS'!G39,'16.8 KAMPALA-BUSUNJU-24HRS'!G39,'17.8 BUSUNJU-KAMPALA'!G39)</f>
        <v>0</v>
      </c>
      <c r="H39" s="49">
        <f>AVERAGE('11.8 BUSUNJU-KAMPALA'!H39,'12.8 KAMPALA-BUSUNJU'!H39,'13.8 BUSUNJU-KAMPALA'!H39,'14.8 BUSUNJU-KAMPALA'!H39,'15.8 BUSUNJU-KAMPALA-24HRS'!H39,'16.8 KAMPALA-BUSUNJU-24HRS'!H39,'17.8 BUSUNJU-KAMPALA'!H39)</f>
        <v>0</v>
      </c>
      <c r="I39" s="49">
        <f>AVERAGE('11.8 BUSUNJU-KAMPALA'!I39,'12.8 KAMPALA-BUSUNJU'!I39,'13.8 BUSUNJU-KAMPALA'!I39,'14.8 BUSUNJU-KAMPALA'!I39,'15.8 BUSUNJU-KAMPALA-24HRS'!I39,'16.8 KAMPALA-BUSUNJU-24HRS'!I39,'17.8 BUSUNJU-KAMPALA'!I39)</f>
        <v>1.5714285714285714</v>
      </c>
      <c r="J39" s="49">
        <f>AVERAGE('11.8 BUSUNJU-KAMPALA'!J39,'12.8 KAMPALA-BUSUNJU'!J39,'13.8 BUSUNJU-KAMPALA'!J39,'14.8 BUSUNJU-KAMPALA'!J39,'15.8 BUSUNJU-KAMPALA-24HRS'!J39,'16.8 KAMPALA-BUSUNJU-24HRS'!J39,'17.8 BUSUNJU-KAMPALA'!J39)</f>
        <v>0.14285714285714285</v>
      </c>
      <c r="K39" s="49">
        <f>AVERAGE('11.8 BUSUNJU-KAMPALA'!K39,'12.8 KAMPALA-BUSUNJU'!K39,'13.8 BUSUNJU-KAMPALA'!K39,'14.8 BUSUNJU-KAMPALA'!K39,'15.8 BUSUNJU-KAMPALA-24HRS'!K39,'16.8 KAMPALA-BUSUNJU-24HRS'!K39,'17.8 BUSUNJU-KAMPALA'!K39)</f>
        <v>0</v>
      </c>
      <c r="L39" s="49">
        <f>AVERAGE('11.8 BUSUNJU-KAMPALA'!L39,'12.8 KAMPALA-BUSUNJU'!L39,'13.8 BUSUNJU-KAMPALA'!L39,'14.8 BUSUNJU-KAMPALA'!L39,'15.8 BUSUNJU-KAMPALA-24HRS'!L39,'16.8 KAMPALA-BUSUNJU-24HRS'!L39,'17.8 BUSUNJU-KAMPALA'!L39)</f>
        <v>0</v>
      </c>
      <c r="M39" s="49">
        <f>AVERAGE('11.8 BUSUNJU-KAMPALA'!M39,'12.8 KAMPALA-BUSUNJU'!M39,'13.8 BUSUNJU-KAMPALA'!M39,'14.8 BUSUNJU-KAMPALA'!M39,'15.8 BUSUNJU-KAMPALA-24HRS'!M39,'16.8 KAMPALA-BUSUNJU-24HRS'!M39,'17.8 BUSUNJU-KAMPALA'!M39)</f>
        <v>13.857142857142858</v>
      </c>
      <c r="N39" s="49">
        <f>AVERAGE('11.8 BUSUNJU-KAMPALA'!N39,'12.8 KAMPALA-BUSUNJU'!N39,'13.8 BUSUNJU-KAMPALA'!N39,'14.8 BUSUNJU-KAMPALA'!N39,'15.8 BUSUNJU-KAMPALA-24HRS'!N39,'16.8 KAMPALA-BUSUNJU-24HRS'!N39,'17.8 BUSUNJU-KAMPALA'!N39)</f>
        <v>0</v>
      </c>
      <c r="O39" s="15">
        <f t="shared" si="0"/>
        <v>4.4285714285714288</v>
      </c>
      <c r="P39" s="15">
        <f t="shared" si="1"/>
        <v>18.285714285714285</v>
      </c>
      <c r="R39" s="29" t="s">
        <v>87</v>
      </c>
      <c r="S39" s="16">
        <f t="shared" ref="S39:AF39" si="31">SUM(S19:S21)</f>
        <v>14.571428571428573</v>
      </c>
      <c r="T39" s="16">
        <f t="shared" si="31"/>
        <v>0</v>
      </c>
      <c r="U39" s="16">
        <f t="shared" si="31"/>
        <v>12.714285714285714</v>
      </c>
      <c r="V39" s="16">
        <f t="shared" si="31"/>
        <v>5.2857142857142856</v>
      </c>
      <c r="W39" s="16">
        <f t="shared" si="31"/>
        <v>0.71428571428571419</v>
      </c>
      <c r="X39" s="16">
        <f t="shared" si="31"/>
        <v>0</v>
      </c>
      <c r="Y39" s="16">
        <f t="shared" si="31"/>
        <v>12.857142857142858</v>
      </c>
      <c r="Z39" s="16">
        <f t="shared" si="31"/>
        <v>0.42857142857142855</v>
      </c>
      <c r="AA39" s="16">
        <f t="shared" si="31"/>
        <v>0.14285714285714285</v>
      </c>
      <c r="AB39" s="16">
        <f t="shared" si="31"/>
        <v>0</v>
      </c>
      <c r="AC39" s="16">
        <f t="shared" si="31"/>
        <v>174.85714285714286</v>
      </c>
      <c r="AD39" s="16">
        <f t="shared" si="31"/>
        <v>0</v>
      </c>
      <c r="AE39" s="32">
        <f t="shared" si="31"/>
        <v>46.714285714285708</v>
      </c>
      <c r="AF39" s="32">
        <f t="shared" si="31"/>
        <v>221.57142857142856</v>
      </c>
    </row>
    <row r="40" spans="2:32" ht="23.1" customHeight="1" x14ac:dyDescent="0.25">
      <c r="B40" s="24" t="s">
        <v>67</v>
      </c>
      <c r="C40" s="49">
        <f>AVERAGE('11.8 BUSUNJU-KAMPALA'!C40,'12.8 KAMPALA-BUSUNJU'!C40,'13.8 BUSUNJU-KAMPALA'!C40,'14.8 BUSUNJU-KAMPALA'!C40,'15.8 BUSUNJU-KAMPALA-24HRS'!C40,'16.8 KAMPALA-BUSUNJU-24HRS'!C40,'17.8 BUSUNJU-KAMPALA'!C40)</f>
        <v>0.7142857142857143</v>
      </c>
      <c r="D40" s="49">
        <f>AVERAGE('11.8 BUSUNJU-KAMPALA'!D40,'12.8 KAMPALA-BUSUNJU'!D40,'13.8 BUSUNJU-KAMPALA'!D40,'14.8 BUSUNJU-KAMPALA'!D40,'15.8 BUSUNJU-KAMPALA-24HRS'!D40,'16.8 KAMPALA-BUSUNJU-24HRS'!D40,'17.8 BUSUNJU-KAMPALA'!D40)</f>
        <v>0</v>
      </c>
      <c r="E40" s="49">
        <f>AVERAGE('11.8 BUSUNJU-KAMPALA'!E40,'12.8 KAMPALA-BUSUNJU'!E40,'13.8 BUSUNJU-KAMPALA'!E40,'14.8 BUSUNJU-KAMPALA'!E40,'15.8 BUSUNJU-KAMPALA-24HRS'!E40,'16.8 KAMPALA-BUSUNJU-24HRS'!E40,'17.8 BUSUNJU-KAMPALA'!E40)</f>
        <v>0.7142857142857143</v>
      </c>
      <c r="F40" s="49">
        <f>AVERAGE('11.8 BUSUNJU-KAMPALA'!F40,'12.8 KAMPALA-BUSUNJU'!F40,'13.8 BUSUNJU-KAMPALA'!F40,'14.8 BUSUNJU-KAMPALA'!F40,'15.8 BUSUNJU-KAMPALA-24HRS'!F40,'16.8 KAMPALA-BUSUNJU-24HRS'!F40,'17.8 BUSUNJU-KAMPALA'!F40)</f>
        <v>0.2857142857142857</v>
      </c>
      <c r="G40" s="49">
        <f>AVERAGE('11.8 BUSUNJU-KAMPALA'!G40,'12.8 KAMPALA-BUSUNJU'!G40,'13.8 BUSUNJU-KAMPALA'!G40,'14.8 BUSUNJU-KAMPALA'!G40,'15.8 BUSUNJU-KAMPALA-24HRS'!G40,'16.8 KAMPALA-BUSUNJU-24HRS'!G40,'17.8 BUSUNJU-KAMPALA'!G40)</f>
        <v>0</v>
      </c>
      <c r="H40" s="49">
        <f>AVERAGE('11.8 BUSUNJU-KAMPALA'!H40,'12.8 KAMPALA-BUSUNJU'!H40,'13.8 BUSUNJU-KAMPALA'!H40,'14.8 BUSUNJU-KAMPALA'!H40,'15.8 BUSUNJU-KAMPALA-24HRS'!H40,'16.8 KAMPALA-BUSUNJU-24HRS'!H40,'17.8 BUSUNJU-KAMPALA'!H40)</f>
        <v>0</v>
      </c>
      <c r="I40" s="49">
        <f>AVERAGE('11.8 BUSUNJU-KAMPALA'!I40,'12.8 KAMPALA-BUSUNJU'!I40,'13.8 BUSUNJU-KAMPALA'!I40,'14.8 BUSUNJU-KAMPALA'!I40,'15.8 BUSUNJU-KAMPALA-24HRS'!I40,'16.8 KAMPALA-BUSUNJU-24HRS'!I40,'17.8 BUSUNJU-KAMPALA'!I40)</f>
        <v>0.8571428571428571</v>
      </c>
      <c r="J40" s="49">
        <f>AVERAGE('11.8 BUSUNJU-KAMPALA'!J40,'12.8 KAMPALA-BUSUNJU'!J40,'13.8 BUSUNJU-KAMPALA'!J40,'14.8 BUSUNJU-KAMPALA'!J40,'15.8 BUSUNJU-KAMPALA-24HRS'!J40,'16.8 KAMPALA-BUSUNJU-24HRS'!J40,'17.8 BUSUNJU-KAMPALA'!J40)</f>
        <v>0</v>
      </c>
      <c r="K40" s="49">
        <f>AVERAGE('11.8 BUSUNJU-KAMPALA'!K40,'12.8 KAMPALA-BUSUNJU'!K40,'13.8 BUSUNJU-KAMPALA'!K40,'14.8 BUSUNJU-KAMPALA'!K40,'15.8 BUSUNJU-KAMPALA-24HRS'!K40,'16.8 KAMPALA-BUSUNJU-24HRS'!K40,'17.8 BUSUNJU-KAMPALA'!K40)</f>
        <v>0</v>
      </c>
      <c r="L40" s="49">
        <f>AVERAGE('11.8 BUSUNJU-KAMPALA'!L40,'12.8 KAMPALA-BUSUNJU'!L40,'13.8 BUSUNJU-KAMPALA'!L40,'14.8 BUSUNJU-KAMPALA'!L40,'15.8 BUSUNJU-KAMPALA-24HRS'!L40,'16.8 KAMPALA-BUSUNJU-24HRS'!L40,'17.8 BUSUNJU-KAMPALA'!L40)</f>
        <v>0</v>
      </c>
      <c r="M40" s="49">
        <f>AVERAGE('11.8 BUSUNJU-KAMPALA'!M40,'12.8 KAMPALA-BUSUNJU'!M40,'13.8 BUSUNJU-KAMPALA'!M40,'14.8 BUSUNJU-KAMPALA'!M40,'15.8 BUSUNJU-KAMPALA-24HRS'!M40,'16.8 KAMPALA-BUSUNJU-24HRS'!M40,'17.8 BUSUNJU-KAMPALA'!M40)</f>
        <v>12</v>
      </c>
      <c r="N40" s="49">
        <f>AVERAGE('11.8 BUSUNJU-KAMPALA'!N40,'12.8 KAMPALA-BUSUNJU'!N40,'13.8 BUSUNJU-KAMPALA'!N40,'14.8 BUSUNJU-KAMPALA'!N40,'15.8 BUSUNJU-KAMPALA-24HRS'!N40,'16.8 KAMPALA-BUSUNJU-24HRS'!N40,'17.8 BUSUNJU-KAMPALA'!N40)</f>
        <v>0</v>
      </c>
      <c r="O40" s="15">
        <f t="shared" si="0"/>
        <v>2.5714285714285716</v>
      </c>
      <c r="P40" s="15">
        <f t="shared" si="1"/>
        <v>14.571428571428571</v>
      </c>
      <c r="R40" s="5" t="s">
        <v>17</v>
      </c>
      <c r="S40" s="16">
        <f t="shared" ref="S40:AF40" si="32">SUM(S10:S21)</f>
        <v>44.999999999999993</v>
      </c>
      <c r="T40" s="16">
        <f t="shared" si="32"/>
        <v>0</v>
      </c>
      <c r="U40" s="16">
        <f t="shared" si="32"/>
        <v>40.571428571428577</v>
      </c>
      <c r="V40" s="16">
        <f t="shared" si="32"/>
        <v>16.571428571428569</v>
      </c>
      <c r="W40" s="16">
        <f t="shared" si="32"/>
        <v>1</v>
      </c>
      <c r="X40" s="16">
        <f t="shared" si="32"/>
        <v>0</v>
      </c>
      <c r="Y40" s="16">
        <f t="shared" si="32"/>
        <v>50</v>
      </c>
      <c r="Z40" s="16">
        <f t="shared" si="32"/>
        <v>1.4285714285714284</v>
      </c>
      <c r="AA40" s="16">
        <f t="shared" si="32"/>
        <v>0.14285714285714285</v>
      </c>
      <c r="AB40" s="16">
        <f t="shared" si="32"/>
        <v>0</v>
      </c>
      <c r="AC40" s="16">
        <f t="shared" si="32"/>
        <v>666</v>
      </c>
      <c r="AD40" s="16">
        <f t="shared" si="32"/>
        <v>0.14285714285714285</v>
      </c>
      <c r="AE40" s="32">
        <f t="shared" si="32"/>
        <v>154.85714285714283</v>
      </c>
      <c r="AF40" s="32">
        <f t="shared" si="32"/>
        <v>820.85714285714289</v>
      </c>
    </row>
    <row r="41" spans="2:32" ht="23.1" customHeight="1" x14ac:dyDescent="0.25">
      <c r="B41" s="23" t="s">
        <v>68</v>
      </c>
      <c r="C41" s="49">
        <f>AVERAGE('11.8 BUSUNJU-KAMPALA'!C41,'12.8 KAMPALA-BUSUNJU'!C41,'13.8 BUSUNJU-KAMPALA'!C41,'14.8 BUSUNJU-KAMPALA'!C41,'15.8 BUSUNJU-KAMPALA-24HRS'!C41,'16.8 KAMPALA-BUSUNJU-24HRS'!C41,'17.8 BUSUNJU-KAMPALA'!C41)</f>
        <v>1.7142857142857142</v>
      </c>
      <c r="D41" s="49">
        <f>AVERAGE('11.8 BUSUNJU-KAMPALA'!D41,'12.8 KAMPALA-BUSUNJU'!D41,'13.8 BUSUNJU-KAMPALA'!D41,'14.8 BUSUNJU-KAMPALA'!D41,'15.8 BUSUNJU-KAMPALA-24HRS'!D41,'16.8 KAMPALA-BUSUNJU-24HRS'!D41,'17.8 BUSUNJU-KAMPALA'!D41)</f>
        <v>0</v>
      </c>
      <c r="E41" s="49">
        <f>AVERAGE('11.8 BUSUNJU-KAMPALA'!E41,'12.8 KAMPALA-BUSUNJU'!E41,'13.8 BUSUNJU-KAMPALA'!E41,'14.8 BUSUNJU-KAMPALA'!E41,'15.8 BUSUNJU-KAMPALA-24HRS'!E41,'16.8 KAMPALA-BUSUNJU-24HRS'!E41,'17.8 BUSUNJU-KAMPALA'!E41)</f>
        <v>1.2857142857142858</v>
      </c>
      <c r="F41" s="49">
        <f>AVERAGE('11.8 BUSUNJU-KAMPALA'!F41,'12.8 KAMPALA-BUSUNJU'!F41,'13.8 BUSUNJU-KAMPALA'!F41,'14.8 BUSUNJU-KAMPALA'!F41,'15.8 BUSUNJU-KAMPALA-24HRS'!F41,'16.8 KAMPALA-BUSUNJU-24HRS'!F41,'17.8 BUSUNJU-KAMPALA'!F41)</f>
        <v>0.2857142857142857</v>
      </c>
      <c r="G41" s="49">
        <f>AVERAGE('11.8 BUSUNJU-KAMPALA'!G41,'12.8 KAMPALA-BUSUNJU'!G41,'13.8 BUSUNJU-KAMPALA'!G41,'14.8 BUSUNJU-KAMPALA'!G41,'15.8 BUSUNJU-KAMPALA-24HRS'!G41,'16.8 KAMPALA-BUSUNJU-24HRS'!G41,'17.8 BUSUNJU-KAMPALA'!G41)</f>
        <v>0</v>
      </c>
      <c r="H41" s="49">
        <f>AVERAGE('11.8 BUSUNJU-KAMPALA'!H41,'12.8 KAMPALA-BUSUNJU'!H41,'13.8 BUSUNJU-KAMPALA'!H41,'14.8 BUSUNJU-KAMPALA'!H41,'15.8 BUSUNJU-KAMPALA-24HRS'!H41,'16.8 KAMPALA-BUSUNJU-24HRS'!H41,'17.8 BUSUNJU-KAMPALA'!H41)</f>
        <v>0</v>
      </c>
      <c r="I41" s="49">
        <f>AVERAGE('11.8 BUSUNJU-KAMPALA'!I41,'12.8 KAMPALA-BUSUNJU'!I41,'13.8 BUSUNJU-KAMPALA'!I41,'14.8 BUSUNJU-KAMPALA'!I41,'15.8 BUSUNJU-KAMPALA-24HRS'!I41,'16.8 KAMPALA-BUSUNJU-24HRS'!I41,'17.8 BUSUNJU-KAMPALA'!I41)</f>
        <v>0.8571428571428571</v>
      </c>
      <c r="J41" s="49">
        <f>AVERAGE('11.8 BUSUNJU-KAMPALA'!J41,'12.8 KAMPALA-BUSUNJU'!J41,'13.8 BUSUNJU-KAMPALA'!J41,'14.8 BUSUNJU-KAMPALA'!J41,'15.8 BUSUNJU-KAMPALA-24HRS'!J41,'16.8 KAMPALA-BUSUNJU-24HRS'!J41,'17.8 BUSUNJU-KAMPALA'!J41)</f>
        <v>0</v>
      </c>
      <c r="K41" s="49">
        <f>AVERAGE('11.8 BUSUNJU-KAMPALA'!K41,'12.8 KAMPALA-BUSUNJU'!K41,'13.8 BUSUNJU-KAMPALA'!K41,'14.8 BUSUNJU-KAMPALA'!K41,'15.8 BUSUNJU-KAMPALA-24HRS'!K41,'16.8 KAMPALA-BUSUNJU-24HRS'!K41,'17.8 BUSUNJU-KAMPALA'!K41)</f>
        <v>0</v>
      </c>
      <c r="L41" s="49">
        <f>AVERAGE('11.8 BUSUNJU-KAMPALA'!L41,'12.8 KAMPALA-BUSUNJU'!L41,'13.8 BUSUNJU-KAMPALA'!L41,'14.8 BUSUNJU-KAMPALA'!L41,'15.8 BUSUNJU-KAMPALA-24HRS'!L41,'16.8 KAMPALA-BUSUNJU-24HRS'!L41,'17.8 BUSUNJU-KAMPALA'!L41)</f>
        <v>0</v>
      </c>
      <c r="M41" s="49">
        <f>AVERAGE('11.8 BUSUNJU-KAMPALA'!M41,'12.8 KAMPALA-BUSUNJU'!M41,'13.8 BUSUNJU-KAMPALA'!M41,'14.8 BUSUNJU-KAMPALA'!M41,'15.8 BUSUNJU-KAMPALA-24HRS'!M41,'16.8 KAMPALA-BUSUNJU-24HRS'!M41,'17.8 BUSUNJU-KAMPALA'!M41)</f>
        <v>13.571428571428571</v>
      </c>
      <c r="N41" s="49">
        <f>AVERAGE('11.8 BUSUNJU-KAMPALA'!N41,'12.8 KAMPALA-BUSUNJU'!N41,'13.8 BUSUNJU-KAMPALA'!N41,'14.8 BUSUNJU-KAMPALA'!N41,'15.8 BUSUNJU-KAMPALA-24HRS'!N41,'16.8 KAMPALA-BUSUNJU-24HRS'!N41,'17.8 BUSUNJU-KAMPALA'!N41)</f>
        <v>0</v>
      </c>
      <c r="O41" s="15">
        <f t="shared" si="0"/>
        <v>4.1428571428571423</v>
      </c>
      <c r="P41" s="15">
        <f t="shared" si="1"/>
        <v>17.714285714285715</v>
      </c>
      <c r="R41" s="5" t="s">
        <v>176</v>
      </c>
      <c r="S41" s="53">
        <f>SUM(S10:S33)</f>
        <v>90.5</v>
      </c>
      <c r="T41" s="53">
        <f t="shared" ref="T41:AD41" si="33">SUM(T10:T33)</f>
        <v>9</v>
      </c>
      <c r="U41" s="53">
        <f t="shared" si="33"/>
        <v>70.571428571428584</v>
      </c>
      <c r="V41" s="53">
        <f t="shared" si="33"/>
        <v>29.571428571428569</v>
      </c>
      <c r="W41" s="53">
        <f t="shared" si="33"/>
        <v>3</v>
      </c>
      <c r="X41" s="53">
        <f t="shared" si="33"/>
        <v>4</v>
      </c>
      <c r="Y41" s="53">
        <f t="shared" si="33"/>
        <v>72</v>
      </c>
      <c r="Z41" s="53">
        <f t="shared" si="33"/>
        <v>4.9285714285714288</v>
      </c>
      <c r="AA41" s="53">
        <f t="shared" si="33"/>
        <v>1.1428571428571428</v>
      </c>
      <c r="AB41" s="53">
        <f t="shared" si="33"/>
        <v>1</v>
      </c>
      <c r="AC41" s="53">
        <f t="shared" si="33"/>
        <v>789</v>
      </c>
      <c r="AD41" s="53">
        <f t="shared" si="33"/>
        <v>0.64285714285714279</v>
      </c>
      <c r="AE41" s="54">
        <f>SUM(AE10:AE33)</f>
        <v>286.35714285714283</v>
      </c>
      <c r="AF41" s="54">
        <f>SUM(AF10:AF33)</f>
        <v>1075.3571428571429</v>
      </c>
    </row>
    <row r="42" spans="2:32" ht="23.1" customHeight="1" x14ac:dyDescent="0.25">
      <c r="B42" s="24" t="s">
        <v>69</v>
      </c>
      <c r="C42" s="49">
        <f>AVERAGE('11.8 BUSUNJU-KAMPALA'!C42,'12.8 KAMPALA-BUSUNJU'!C42,'13.8 BUSUNJU-KAMPALA'!C42,'14.8 BUSUNJU-KAMPALA'!C42,'15.8 BUSUNJU-KAMPALA-24HRS'!C42,'16.8 KAMPALA-BUSUNJU-24HRS'!C42,'17.8 BUSUNJU-KAMPALA'!C42)</f>
        <v>1</v>
      </c>
      <c r="D42" s="49">
        <f>AVERAGE('11.8 BUSUNJU-KAMPALA'!D42,'12.8 KAMPALA-BUSUNJU'!D42,'13.8 BUSUNJU-KAMPALA'!D42,'14.8 BUSUNJU-KAMPALA'!D42,'15.8 BUSUNJU-KAMPALA-24HRS'!D42,'16.8 KAMPALA-BUSUNJU-24HRS'!D42,'17.8 BUSUNJU-KAMPALA'!D42)</f>
        <v>0</v>
      </c>
      <c r="E42" s="49">
        <f>AVERAGE('11.8 BUSUNJU-KAMPALA'!E42,'12.8 KAMPALA-BUSUNJU'!E42,'13.8 BUSUNJU-KAMPALA'!E42,'14.8 BUSUNJU-KAMPALA'!E42,'15.8 BUSUNJU-KAMPALA-24HRS'!E42,'16.8 KAMPALA-BUSUNJU-24HRS'!E42,'17.8 BUSUNJU-KAMPALA'!E42)</f>
        <v>1.2857142857142858</v>
      </c>
      <c r="F42" s="49">
        <f>AVERAGE('11.8 BUSUNJU-KAMPALA'!F42,'12.8 KAMPALA-BUSUNJU'!F42,'13.8 BUSUNJU-KAMPALA'!F42,'14.8 BUSUNJU-KAMPALA'!F42,'15.8 BUSUNJU-KAMPALA-24HRS'!F42,'16.8 KAMPALA-BUSUNJU-24HRS'!F42,'17.8 BUSUNJU-KAMPALA'!F42)</f>
        <v>0.2857142857142857</v>
      </c>
      <c r="G42" s="49">
        <f>AVERAGE('11.8 BUSUNJU-KAMPALA'!G42,'12.8 KAMPALA-BUSUNJU'!G42,'13.8 BUSUNJU-KAMPALA'!G42,'14.8 BUSUNJU-KAMPALA'!G42,'15.8 BUSUNJU-KAMPALA-24HRS'!G42,'16.8 KAMPALA-BUSUNJU-24HRS'!G42,'17.8 BUSUNJU-KAMPALA'!G42)</f>
        <v>0</v>
      </c>
      <c r="H42" s="49">
        <f>AVERAGE('11.8 BUSUNJU-KAMPALA'!H42,'12.8 KAMPALA-BUSUNJU'!H42,'13.8 BUSUNJU-KAMPALA'!H42,'14.8 BUSUNJU-KAMPALA'!H42,'15.8 BUSUNJU-KAMPALA-24HRS'!H42,'16.8 KAMPALA-BUSUNJU-24HRS'!H42,'17.8 BUSUNJU-KAMPALA'!H42)</f>
        <v>0</v>
      </c>
      <c r="I42" s="49">
        <f>AVERAGE('11.8 BUSUNJU-KAMPALA'!I42,'12.8 KAMPALA-BUSUNJU'!I42,'13.8 BUSUNJU-KAMPALA'!I42,'14.8 BUSUNJU-KAMPALA'!I42,'15.8 BUSUNJU-KAMPALA-24HRS'!I42,'16.8 KAMPALA-BUSUNJU-24HRS'!I42,'17.8 BUSUNJU-KAMPALA'!I42)</f>
        <v>2</v>
      </c>
      <c r="J42" s="49">
        <f>AVERAGE('11.8 BUSUNJU-KAMPALA'!J42,'12.8 KAMPALA-BUSUNJU'!J42,'13.8 BUSUNJU-KAMPALA'!J42,'14.8 BUSUNJU-KAMPALA'!J42,'15.8 BUSUNJU-KAMPALA-24HRS'!J42,'16.8 KAMPALA-BUSUNJU-24HRS'!J42,'17.8 BUSUNJU-KAMPALA'!J42)</f>
        <v>0.2857142857142857</v>
      </c>
      <c r="K42" s="49">
        <f>AVERAGE('11.8 BUSUNJU-KAMPALA'!K42,'12.8 KAMPALA-BUSUNJU'!K42,'13.8 BUSUNJU-KAMPALA'!K42,'14.8 BUSUNJU-KAMPALA'!K42,'15.8 BUSUNJU-KAMPALA-24HRS'!K42,'16.8 KAMPALA-BUSUNJU-24HRS'!K42,'17.8 BUSUNJU-KAMPALA'!K42)</f>
        <v>0</v>
      </c>
      <c r="L42" s="49">
        <f>AVERAGE('11.8 BUSUNJU-KAMPALA'!L42,'12.8 KAMPALA-BUSUNJU'!L42,'13.8 BUSUNJU-KAMPALA'!L42,'14.8 BUSUNJU-KAMPALA'!L42,'15.8 BUSUNJU-KAMPALA-24HRS'!L42,'16.8 KAMPALA-BUSUNJU-24HRS'!L42,'17.8 BUSUNJU-KAMPALA'!L42)</f>
        <v>0</v>
      </c>
      <c r="M42" s="49">
        <f>AVERAGE('11.8 BUSUNJU-KAMPALA'!M42,'12.8 KAMPALA-BUSUNJU'!M42,'13.8 BUSUNJU-KAMPALA'!M42,'14.8 BUSUNJU-KAMPALA'!M42,'15.8 BUSUNJU-KAMPALA-24HRS'!M42,'16.8 KAMPALA-BUSUNJU-24HRS'!M42,'17.8 BUSUNJU-KAMPALA'!M42)</f>
        <v>15</v>
      </c>
      <c r="N42" s="49">
        <f>AVERAGE('11.8 BUSUNJU-KAMPALA'!N42,'12.8 KAMPALA-BUSUNJU'!N42,'13.8 BUSUNJU-KAMPALA'!N42,'14.8 BUSUNJU-KAMPALA'!N42,'15.8 BUSUNJU-KAMPALA-24HRS'!N42,'16.8 KAMPALA-BUSUNJU-24HRS'!N42,'17.8 BUSUNJU-KAMPALA'!N42)</f>
        <v>0</v>
      </c>
      <c r="O42" s="15">
        <f t="shared" si="0"/>
        <v>4.8571428571428568</v>
      </c>
      <c r="P42" s="15">
        <f t="shared" si="1"/>
        <v>19.857142857142858</v>
      </c>
      <c r="R42" s="5" t="s">
        <v>160</v>
      </c>
      <c r="S42" s="48">
        <f>S41/S40</f>
        <v>2.0111111111111115</v>
      </c>
      <c r="T42" s="48">
        <v>0</v>
      </c>
      <c r="U42" s="48">
        <f t="shared" ref="U42:AF42" si="34">U41/U40</f>
        <v>1.73943661971831</v>
      </c>
      <c r="V42" s="48">
        <f t="shared" si="34"/>
        <v>1.7844827586206897</v>
      </c>
      <c r="W42" s="48">
        <f t="shared" si="34"/>
        <v>3</v>
      </c>
      <c r="X42" s="48">
        <v>0</v>
      </c>
      <c r="Y42" s="48">
        <f t="shared" si="34"/>
        <v>1.44</v>
      </c>
      <c r="Z42" s="48">
        <f t="shared" si="34"/>
        <v>3.4500000000000006</v>
      </c>
      <c r="AA42" s="48">
        <f t="shared" si="34"/>
        <v>8</v>
      </c>
      <c r="AB42" s="48">
        <v>0</v>
      </c>
      <c r="AC42" s="48">
        <f t="shared" si="34"/>
        <v>1.1846846846846846</v>
      </c>
      <c r="AD42" s="48">
        <v>0</v>
      </c>
      <c r="AE42" s="52">
        <f t="shared" si="34"/>
        <v>1.8491697416974171</v>
      </c>
      <c r="AF42" s="52">
        <f t="shared" si="34"/>
        <v>1.3100417681865646</v>
      </c>
    </row>
    <row r="43" spans="2:32" ht="23.1" customHeight="1" x14ac:dyDescent="0.25">
      <c r="B43" s="23" t="s">
        <v>70</v>
      </c>
      <c r="C43" s="49">
        <f>AVERAGE('11.8 BUSUNJU-KAMPALA'!C43,'12.8 KAMPALA-BUSUNJU'!C43,'13.8 BUSUNJU-KAMPALA'!C43,'14.8 BUSUNJU-KAMPALA'!C43,'15.8 BUSUNJU-KAMPALA-24HRS'!C43,'16.8 KAMPALA-BUSUNJU-24HRS'!C43,'17.8 BUSUNJU-KAMPALA'!C43)</f>
        <v>1.4285714285714286</v>
      </c>
      <c r="D43" s="49">
        <f>AVERAGE('11.8 BUSUNJU-KAMPALA'!D43,'12.8 KAMPALA-BUSUNJU'!D43,'13.8 BUSUNJU-KAMPALA'!D43,'14.8 BUSUNJU-KAMPALA'!D43,'15.8 BUSUNJU-KAMPALA-24HRS'!D43,'16.8 KAMPALA-BUSUNJU-24HRS'!D43,'17.8 BUSUNJU-KAMPALA'!D43)</f>
        <v>0</v>
      </c>
      <c r="E43" s="49">
        <f>AVERAGE('11.8 BUSUNJU-KAMPALA'!E43,'12.8 KAMPALA-BUSUNJU'!E43,'13.8 BUSUNJU-KAMPALA'!E43,'14.8 BUSUNJU-KAMPALA'!E43,'15.8 BUSUNJU-KAMPALA-24HRS'!E43,'16.8 KAMPALA-BUSUNJU-24HRS'!E43,'17.8 BUSUNJU-KAMPALA'!E43)</f>
        <v>1</v>
      </c>
      <c r="F43" s="49">
        <f>AVERAGE('11.8 BUSUNJU-KAMPALA'!F43,'12.8 KAMPALA-BUSUNJU'!F43,'13.8 BUSUNJU-KAMPALA'!F43,'14.8 BUSUNJU-KAMPALA'!F43,'15.8 BUSUNJU-KAMPALA-24HRS'!F43,'16.8 KAMPALA-BUSUNJU-24HRS'!F43,'17.8 BUSUNJU-KAMPALA'!F43)</f>
        <v>0.14285714285714285</v>
      </c>
      <c r="G43" s="49">
        <f>AVERAGE('11.8 BUSUNJU-KAMPALA'!G43,'12.8 KAMPALA-BUSUNJU'!G43,'13.8 BUSUNJU-KAMPALA'!G43,'14.8 BUSUNJU-KAMPALA'!G43,'15.8 BUSUNJU-KAMPALA-24HRS'!G43,'16.8 KAMPALA-BUSUNJU-24HRS'!G43,'17.8 BUSUNJU-KAMPALA'!G43)</f>
        <v>0</v>
      </c>
      <c r="H43" s="49">
        <f>AVERAGE('11.8 BUSUNJU-KAMPALA'!H43,'12.8 KAMPALA-BUSUNJU'!H43,'13.8 BUSUNJU-KAMPALA'!H43,'14.8 BUSUNJU-KAMPALA'!H43,'15.8 BUSUNJU-KAMPALA-24HRS'!H43,'16.8 KAMPALA-BUSUNJU-24HRS'!H43,'17.8 BUSUNJU-KAMPALA'!H43)</f>
        <v>0</v>
      </c>
      <c r="I43" s="49">
        <f>AVERAGE('11.8 BUSUNJU-KAMPALA'!I43,'12.8 KAMPALA-BUSUNJU'!I43,'13.8 BUSUNJU-KAMPALA'!I43,'14.8 BUSUNJU-KAMPALA'!I43,'15.8 BUSUNJU-KAMPALA-24HRS'!I43,'16.8 KAMPALA-BUSUNJU-24HRS'!I43,'17.8 BUSUNJU-KAMPALA'!I43)</f>
        <v>1</v>
      </c>
      <c r="J43" s="49">
        <f>AVERAGE('11.8 BUSUNJU-KAMPALA'!J43,'12.8 KAMPALA-BUSUNJU'!J43,'13.8 BUSUNJU-KAMPALA'!J43,'14.8 BUSUNJU-KAMPALA'!J43,'15.8 BUSUNJU-KAMPALA-24HRS'!J43,'16.8 KAMPALA-BUSUNJU-24HRS'!J43,'17.8 BUSUNJU-KAMPALA'!J43)</f>
        <v>0</v>
      </c>
      <c r="K43" s="49">
        <f>AVERAGE('11.8 BUSUNJU-KAMPALA'!K43,'12.8 KAMPALA-BUSUNJU'!K43,'13.8 BUSUNJU-KAMPALA'!K43,'14.8 BUSUNJU-KAMPALA'!K43,'15.8 BUSUNJU-KAMPALA-24HRS'!K43,'16.8 KAMPALA-BUSUNJU-24HRS'!K43,'17.8 BUSUNJU-KAMPALA'!K43)</f>
        <v>0</v>
      </c>
      <c r="L43" s="49">
        <f>AVERAGE('11.8 BUSUNJU-KAMPALA'!L43,'12.8 KAMPALA-BUSUNJU'!L43,'13.8 BUSUNJU-KAMPALA'!L43,'14.8 BUSUNJU-KAMPALA'!L43,'15.8 BUSUNJU-KAMPALA-24HRS'!L43,'16.8 KAMPALA-BUSUNJU-24HRS'!L43,'17.8 BUSUNJU-KAMPALA'!L43)</f>
        <v>0</v>
      </c>
      <c r="M43" s="49">
        <f>AVERAGE('11.8 BUSUNJU-KAMPALA'!M43,'12.8 KAMPALA-BUSUNJU'!M43,'13.8 BUSUNJU-KAMPALA'!M43,'14.8 BUSUNJU-KAMPALA'!M43,'15.8 BUSUNJU-KAMPALA-24HRS'!M43,'16.8 KAMPALA-BUSUNJU-24HRS'!M43,'17.8 BUSUNJU-KAMPALA'!M43)</f>
        <v>14.857142857142858</v>
      </c>
      <c r="N43" s="49">
        <f>AVERAGE('11.8 BUSUNJU-KAMPALA'!N43,'12.8 KAMPALA-BUSUNJU'!N43,'13.8 BUSUNJU-KAMPALA'!N43,'14.8 BUSUNJU-KAMPALA'!N43,'15.8 BUSUNJU-KAMPALA-24HRS'!N43,'16.8 KAMPALA-BUSUNJU-24HRS'!N43,'17.8 BUSUNJU-KAMPALA'!N43)</f>
        <v>0</v>
      </c>
      <c r="O43" s="15">
        <f t="shared" si="0"/>
        <v>3.5714285714285716</v>
      </c>
      <c r="P43" s="15">
        <f t="shared" si="1"/>
        <v>18.428571428571431</v>
      </c>
    </row>
    <row r="44" spans="2:32" ht="23.1" customHeight="1" x14ac:dyDescent="0.25">
      <c r="B44" s="25" t="s">
        <v>71</v>
      </c>
      <c r="C44" s="49">
        <f>AVERAGE('11.8 BUSUNJU-KAMPALA'!C44,'12.8 KAMPALA-BUSUNJU'!C44,'13.8 BUSUNJU-KAMPALA'!C44,'14.8 BUSUNJU-KAMPALA'!C44,'15.8 BUSUNJU-KAMPALA-24HRS'!C44,'16.8 KAMPALA-BUSUNJU-24HRS'!C44,'17.8 BUSUNJU-KAMPALA'!C44)</f>
        <v>1.1428571428571428</v>
      </c>
      <c r="D44" s="49">
        <f>AVERAGE('11.8 BUSUNJU-KAMPALA'!D44,'12.8 KAMPALA-BUSUNJU'!D44,'13.8 BUSUNJU-KAMPALA'!D44,'14.8 BUSUNJU-KAMPALA'!D44,'15.8 BUSUNJU-KAMPALA-24HRS'!D44,'16.8 KAMPALA-BUSUNJU-24HRS'!D44,'17.8 BUSUNJU-KAMPALA'!D44)</f>
        <v>0</v>
      </c>
      <c r="E44" s="49">
        <f>AVERAGE('11.8 BUSUNJU-KAMPALA'!E44,'12.8 KAMPALA-BUSUNJU'!E44,'13.8 BUSUNJU-KAMPALA'!E44,'14.8 BUSUNJU-KAMPALA'!E44,'15.8 BUSUNJU-KAMPALA-24HRS'!E44,'16.8 KAMPALA-BUSUNJU-24HRS'!E44,'17.8 BUSUNJU-KAMPALA'!E44)</f>
        <v>0.7142857142857143</v>
      </c>
      <c r="F44" s="49">
        <f>AVERAGE('11.8 BUSUNJU-KAMPALA'!F44,'12.8 KAMPALA-BUSUNJU'!F44,'13.8 BUSUNJU-KAMPALA'!F44,'14.8 BUSUNJU-KAMPALA'!F44,'15.8 BUSUNJU-KAMPALA-24HRS'!F44,'16.8 KAMPALA-BUSUNJU-24HRS'!F44,'17.8 BUSUNJU-KAMPALA'!F44)</f>
        <v>0.2857142857142857</v>
      </c>
      <c r="G44" s="49">
        <f>AVERAGE('11.8 BUSUNJU-KAMPALA'!G44,'12.8 KAMPALA-BUSUNJU'!G44,'13.8 BUSUNJU-KAMPALA'!G44,'14.8 BUSUNJU-KAMPALA'!G44,'15.8 BUSUNJU-KAMPALA-24HRS'!G44,'16.8 KAMPALA-BUSUNJU-24HRS'!G44,'17.8 BUSUNJU-KAMPALA'!G44)</f>
        <v>0</v>
      </c>
      <c r="H44" s="49">
        <f>AVERAGE('11.8 BUSUNJU-KAMPALA'!H44,'12.8 KAMPALA-BUSUNJU'!H44,'13.8 BUSUNJU-KAMPALA'!H44,'14.8 BUSUNJU-KAMPALA'!H44,'15.8 BUSUNJU-KAMPALA-24HRS'!H44,'16.8 KAMPALA-BUSUNJU-24HRS'!H44,'17.8 BUSUNJU-KAMPALA'!H44)</f>
        <v>0</v>
      </c>
      <c r="I44" s="49">
        <f>AVERAGE('11.8 BUSUNJU-KAMPALA'!I44,'12.8 KAMPALA-BUSUNJU'!I44,'13.8 BUSUNJU-KAMPALA'!I44,'14.8 BUSUNJU-KAMPALA'!I44,'15.8 BUSUNJU-KAMPALA-24HRS'!I44,'16.8 KAMPALA-BUSUNJU-24HRS'!I44,'17.8 BUSUNJU-KAMPALA'!I44)</f>
        <v>1.5714285714285714</v>
      </c>
      <c r="J44" s="49">
        <f>AVERAGE('11.8 BUSUNJU-KAMPALA'!J44,'12.8 KAMPALA-BUSUNJU'!J44,'13.8 BUSUNJU-KAMPALA'!J44,'14.8 BUSUNJU-KAMPALA'!J44,'15.8 BUSUNJU-KAMPALA-24HRS'!J44,'16.8 KAMPALA-BUSUNJU-24HRS'!J44,'17.8 BUSUNJU-KAMPALA'!J44)</f>
        <v>0</v>
      </c>
      <c r="K44" s="49">
        <f>AVERAGE('11.8 BUSUNJU-KAMPALA'!K44,'12.8 KAMPALA-BUSUNJU'!K44,'13.8 BUSUNJU-KAMPALA'!K44,'14.8 BUSUNJU-KAMPALA'!K44,'15.8 BUSUNJU-KAMPALA-24HRS'!K44,'16.8 KAMPALA-BUSUNJU-24HRS'!K44,'17.8 BUSUNJU-KAMPALA'!K44)</f>
        <v>0</v>
      </c>
      <c r="L44" s="49">
        <f>AVERAGE('11.8 BUSUNJU-KAMPALA'!L44,'12.8 KAMPALA-BUSUNJU'!L44,'13.8 BUSUNJU-KAMPALA'!L44,'14.8 BUSUNJU-KAMPALA'!L44,'15.8 BUSUNJU-KAMPALA-24HRS'!L44,'16.8 KAMPALA-BUSUNJU-24HRS'!L44,'17.8 BUSUNJU-KAMPALA'!L44)</f>
        <v>0</v>
      </c>
      <c r="M44" s="49">
        <f>AVERAGE('11.8 BUSUNJU-KAMPALA'!M44,'12.8 KAMPALA-BUSUNJU'!M44,'13.8 BUSUNJU-KAMPALA'!M44,'14.8 BUSUNJU-KAMPALA'!M44,'15.8 BUSUNJU-KAMPALA-24HRS'!M44,'16.8 KAMPALA-BUSUNJU-24HRS'!M44,'17.8 BUSUNJU-KAMPALA'!M44)</f>
        <v>11.285714285714286</v>
      </c>
      <c r="N44" s="49">
        <f>AVERAGE('11.8 BUSUNJU-KAMPALA'!N44,'12.8 KAMPALA-BUSUNJU'!N44,'13.8 BUSUNJU-KAMPALA'!N44,'14.8 BUSUNJU-KAMPALA'!N44,'15.8 BUSUNJU-KAMPALA-24HRS'!N44,'16.8 KAMPALA-BUSUNJU-24HRS'!N44,'17.8 BUSUNJU-KAMPALA'!N44)</f>
        <v>0</v>
      </c>
      <c r="O44" s="15">
        <f t="shared" si="0"/>
        <v>3.7142857142857144</v>
      </c>
      <c r="P44" s="15">
        <f t="shared" si="1"/>
        <v>15</v>
      </c>
    </row>
    <row r="45" spans="2:32" ht="23.1" customHeight="1" x14ac:dyDescent="0.25">
      <c r="B45" s="23" t="s">
        <v>72</v>
      </c>
      <c r="C45" s="49">
        <f>AVERAGE('11.8 BUSUNJU-KAMPALA'!C45,'12.8 KAMPALA-BUSUNJU'!C45,'13.8 BUSUNJU-KAMPALA'!C45,'14.8 BUSUNJU-KAMPALA'!C45,'15.8 BUSUNJU-KAMPALA-24HRS'!C45,'16.8 KAMPALA-BUSUNJU-24HRS'!C45,'17.8 BUSUNJU-KAMPALA'!C45)</f>
        <v>1.2857142857142858</v>
      </c>
      <c r="D45" s="49">
        <f>AVERAGE('11.8 BUSUNJU-KAMPALA'!D45,'12.8 KAMPALA-BUSUNJU'!D45,'13.8 BUSUNJU-KAMPALA'!D45,'14.8 BUSUNJU-KAMPALA'!D45,'15.8 BUSUNJU-KAMPALA-24HRS'!D45,'16.8 KAMPALA-BUSUNJU-24HRS'!D45,'17.8 BUSUNJU-KAMPALA'!D45)</f>
        <v>0</v>
      </c>
      <c r="E45" s="49">
        <f>AVERAGE('11.8 BUSUNJU-KAMPALA'!E45,'12.8 KAMPALA-BUSUNJU'!E45,'13.8 BUSUNJU-KAMPALA'!E45,'14.8 BUSUNJU-KAMPALA'!E45,'15.8 BUSUNJU-KAMPALA-24HRS'!E45,'16.8 KAMPALA-BUSUNJU-24HRS'!E45,'17.8 BUSUNJU-KAMPALA'!E45)</f>
        <v>0.5714285714285714</v>
      </c>
      <c r="F45" s="49">
        <f>AVERAGE('11.8 BUSUNJU-KAMPALA'!F45,'12.8 KAMPALA-BUSUNJU'!F45,'13.8 BUSUNJU-KAMPALA'!F45,'14.8 BUSUNJU-KAMPALA'!F45,'15.8 BUSUNJU-KAMPALA-24HRS'!F45,'16.8 KAMPALA-BUSUNJU-24HRS'!F45,'17.8 BUSUNJU-KAMPALA'!F45)</f>
        <v>0.5714285714285714</v>
      </c>
      <c r="G45" s="49">
        <f>AVERAGE('11.8 BUSUNJU-KAMPALA'!G45,'12.8 KAMPALA-BUSUNJU'!G45,'13.8 BUSUNJU-KAMPALA'!G45,'14.8 BUSUNJU-KAMPALA'!G45,'15.8 BUSUNJU-KAMPALA-24HRS'!G45,'16.8 KAMPALA-BUSUNJU-24HRS'!G45,'17.8 BUSUNJU-KAMPALA'!G45)</f>
        <v>0</v>
      </c>
      <c r="H45" s="49">
        <f>AVERAGE('11.8 BUSUNJU-KAMPALA'!H45,'12.8 KAMPALA-BUSUNJU'!H45,'13.8 BUSUNJU-KAMPALA'!H45,'14.8 BUSUNJU-KAMPALA'!H45,'15.8 BUSUNJU-KAMPALA-24HRS'!H45,'16.8 KAMPALA-BUSUNJU-24HRS'!H45,'17.8 BUSUNJU-KAMPALA'!H45)</f>
        <v>0</v>
      </c>
      <c r="I45" s="49">
        <f>AVERAGE('11.8 BUSUNJU-KAMPALA'!I45,'12.8 KAMPALA-BUSUNJU'!I45,'13.8 BUSUNJU-KAMPALA'!I45,'14.8 BUSUNJU-KAMPALA'!I45,'15.8 BUSUNJU-KAMPALA-24HRS'!I45,'16.8 KAMPALA-BUSUNJU-24HRS'!I45,'17.8 BUSUNJU-KAMPALA'!I45)</f>
        <v>0.5714285714285714</v>
      </c>
      <c r="J45" s="49">
        <f>AVERAGE('11.8 BUSUNJU-KAMPALA'!J45,'12.8 KAMPALA-BUSUNJU'!J45,'13.8 BUSUNJU-KAMPALA'!J45,'14.8 BUSUNJU-KAMPALA'!J45,'15.8 BUSUNJU-KAMPALA-24HRS'!J45,'16.8 KAMPALA-BUSUNJU-24HRS'!J45,'17.8 BUSUNJU-KAMPALA'!J45)</f>
        <v>0</v>
      </c>
      <c r="K45" s="49">
        <f>AVERAGE('11.8 BUSUNJU-KAMPALA'!K45,'12.8 KAMPALA-BUSUNJU'!K45,'13.8 BUSUNJU-KAMPALA'!K45,'14.8 BUSUNJU-KAMPALA'!K45,'15.8 BUSUNJU-KAMPALA-24HRS'!K45,'16.8 KAMPALA-BUSUNJU-24HRS'!K45,'17.8 BUSUNJU-KAMPALA'!K45)</f>
        <v>0</v>
      </c>
      <c r="L45" s="49">
        <f>AVERAGE('11.8 BUSUNJU-KAMPALA'!L45,'12.8 KAMPALA-BUSUNJU'!L45,'13.8 BUSUNJU-KAMPALA'!L45,'14.8 BUSUNJU-KAMPALA'!L45,'15.8 BUSUNJU-KAMPALA-24HRS'!L45,'16.8 KAMPALA-BUSUNJU-24HRS'!L45,'17.8 BUSUNJU-KAMPALA'!L45)</f>
        <v>0</v>
      </c>
      <c r="M45" s="49">
        <f>AVERAGE('11.8 BUSUNJU-KAMPALA'!M45,'12.8 KAMPALA-BUSUNJU'!M45,'13.8 BUSUNJU-KAMPALA'!M45,'14.8 BUSUNJU-KAMPALA'!M45,'15.8 BUSUNJU-KAMPALA-24HRS'!M45,'16.8 KAMPALA-BUSUNJU-24HRS'!M45,'17.8 BUSUNJU-KAMPALA'!M45)</f>
        <v>14.571428571428571</v>
      </c>
      <c r="N45" s="49">
        <f>AVERAGE('11.8 BUSUNJU-KAMPALA'!N45,'12.8 KAMPALA-BUSUNJU'!N45,'13.8 BUSUNJU-KAMPALA'!N45,'14.8 BUSUNJU-KAMPALA'!N45,'15.8 BUSUNJU-KAMPALA-24HRS'!N45,'16.8 KAMPALA-BUSUNJU-24HRS'!N45,'17.8 BUSUNJU-KAMPALA'!N45)</f>
        <v>0</v>
      </c>
      <c r="O45" s="15">
        <f t="shared" si="0"/>
        <v>3</v>
      </c>
      <c r="P45" s="15">
        <f t="shared" si="1"/>
        <v>17.571428571428569</v>
      </c>
    </row>
    <row r="46" spans="2:32" ht="23.1" customHeight="1" x14ac:dyDescent="0.25">
      <c r="B46" s="24" t="s">
        <v>73</v>
      </c>
      <c r="C46" s="49">
        <f>AVERAGE('11.8 BUSUNJU-KAMPALA'!C46,'12.8 KAMPALA-BUSUNJU'!C46,'13.8 BUSUNJU-KAMPALA'!C46,'14.8 BUSUNJU-KAMPALA'!C46,'15.8 BUSUNJU-KAMPALA-24HRS'!C46,'16.8 KAMPALA-BUSUNJU-24HRS'!C46,'17.8 BUSUNJU-KAMPALA'!C46)</f>
        <v>2</v>
      </c>
      <c r="D46" s="49">
        <f>AVERAGE('11.8 BUSUNJU-KAMPALA'!D46,'12.8 KAMPALA-BUSUNJU'!D46,'13.8 BUSUNJU-KAMPALA'!D46,'14.8 BUSUNJU-KAMPALA'!D46,'15.8 BUSUNJU-KAMPALA-24HRS'!D46,'16.8 KAMPALA-BUSUNJU-24HRS'!D46,'17.8 BUSUNJU-KAMPALA'!D46)</f>
        <v>0</v>
      </c>
      <c r="E46" s="49">
        <f>AVERAGE('11.8 BUSUNJU-KAMPALA'!E46,'12.8 KAMPALA-BUSUNJU'!E46,'13.8 BUSUNJU-KAMPALA'!E46,'14.8 BUSUNJU-KAMPALA'!E46,'15.8 BUSUNJU-KAMPALA-24HRS'!E46,'16.8 KAMPALA-BUSUNJU-24HRS'!E46,'17.8 BUSUNJU-KAMPALA'!E46)</f>
        <v>1.2857142857142858</v>
      </c>
      <c r="F46" s="49">
        <f>AVERAGE('11.8 BUSUNJU-KAMPALA'!F46,'12.8 KAMPALA-BUSUNJU'!F46,'13.8 BUSUNJU-KAMPALA'!F46,'14.8 BUSUNJU-KAMPALA'!F46,'15.8 BUSUNJU-KAMPALA-24HRS'!F46,'16.8 KAMPALA-BUSUNJU-24HRS'!F46,'17.8 BUSUNJU-KAMPALA'!F46)</f>
        <v>0.2857142857142857</v>
      </c>
      <c r="G46" s="49">
        <f>AVERAGE('11.8 BUSUNJU-KAMPALA'!G46,'12.8 KAMPALA-BUSUNJU'!G46,'13.8 BUSUNJU-KAMPALA'!G46,'14.8 BUSUNJU-KAMPALA'!G46,'15.8 BUSUNJU-KAMPALA-24HRS'!G46,'16.8 KAMPALA-BUSUNJU-24HRS'!G46,'17.8 BUSUNJU-KAMPALA'!G46)</f>
        <v>0</v>
      </c>
      <c r="H46" s="49">
        <f>AVERAGE('11.8 BUSUNJU-KAMPALA'!H46,'12.8 KAMPALA-BUSUNJU'!H46,'13.8 BUSUNJU-KAMPALA'!H46,'14.8 BUSUNJU-KAMPALA'!H46,'15.8 BUSUNJU-KAMPALA-24HRS'!H46,'16.8 KAMPALA-BUSUNJU-24HRS'!H46,'17.8 BUSUNJU-KAMPALA'!H46)</f>
        <v>0</v>
      </c>
      <c r="I46" s="49">
        <f>AVERAGE('11.8 BUSUNJU-KAMPALA'!I46,'12.8 KAMPALA-BUSUNJU'!I46,'13.8 BUSUNJU-KAMPALA'!I46,'14.8 BUSUNJU-KAMPALA'!I46,'15.8 BUSUNJU-KAMPALA-24HRS'!I46,'16.8 KAMPALA-BUSUNJU-24HRS'!I46,'17.8 BUSUNJU-KAMPALA'!I46)</f>
        <v>1.2857142857142858</v>
      </c>
      <c r="J46" s="49">
        <f>AVERAGE('11.8 BUSUNJU-KAMPALA'!J46,'12.8 KAMPALA-BUSUNJU'!J46,'13.8 BUSUNJU-KAMPALA'!J46,'14.8 BUSUNJU-KAMPALA'!J46,'15.8 BUSUNJU-KAMPALA-24HRS'!J46,'16.8 KAMPALA-BUSUNJU-24HRS'!J46,'17.8 BUSUNJU-KAMPALA'!J46)</f>
        <v>0</v>
      </c>
      <c r="K46" s="49">
        <f>AVERAGE('11.8 BUSUNJU-KAMPALA'!K46,'12.8 KAMPALA-BUSUNJU'!K46,'13.8 BUSUNJU-KAMPALA'!K46,'14.8 BUSUNJU-KAMPALA'!K46,'15.8 BUSUNJU-KAMPALA-24HRS'!K46,'16.8 KAMPALA-BUSUNJU-24HRS'!K46,'17.8 BUSUNJU-KAMPALA'!K46)</f>
        <v>0</v>
      </c>
      <c r="L46" s="49">
        <f>AVERAGE('11.8 BUSUNJU-KAMPALA'!L46,'12.8 KAMPALA-BUSUNJU'!L46,'13.8 BUSUNJU-KAMPALA'!L46,'14.8 BUSUNJU-KAMPALA'!L46,'15.8 BUSUNJU-KAMPALA-24HRS'!L46,'16.8 KAMPALA-BUSUNJU-24HRS'!L46,'17.8 BUSUNJU-KAMPALA'!L46)</f>
        <v>0</v>
      </c>
      <c r="M46" s="49">
        <f>AVERAGE('11.8 BUSUNJU-KAMPALA'!M46,'12.8 KAMPALA-BUSUNJU'!M46,'13.8 BUSUNJU-KAMPALA'!M46,'14.8 BUSUNJU-KAMPALA'!M46,'15.8 BUSUNJU-KAMPALA-24HRS'!M46,'16.8 KAMPALA-BUSUNJU-24HRS'!M46,'17.8 BUSUNJU-KAMPALA'!M46)</f>
        <v>10.714285714285714</v>
      </c>
      <c r="N46" s="49">
        <f>AVERAGE('11.8 BUSUNJU-KAMPALA'!N46,'12.8 KAMPALA-BUSUNJU'!N46,'13.8 BUSUNJU-KAMPALA'!N46,'14.8 BUSUNJU-KAMPALA'!N46,'15.8 BUSUNJU-KAMPALA-24HRS'!N46,'16.8 KAMPALA-BUSUNJU-24HRS'!N46,'17.8 BUSUNJU-KAMPALA'!N46)</f>
        <v>0</v>
      </c>
      <c r="O46" s="15">
        <f t="shared" si="0"/>
        <v>4.8571428571428568</v>
      </c>
      <c r="P46" s="15">
        <f t="shared" si="1"/>
        <v>15.571428571428569</v>
      </c>
      <c r="R46" s="8"/>
      <c r="T46"/>
    </row>
    <row r="47" spans="2:32" ht="23.1" customHeight="1" x14ac:dyDescent="0.25">
      <c r="B47" s="24" t="s">
        <v>74</v>
      </c>
      <c r="C47" s="49">
        <f>AVERAGE('11.8 BUSUNJU-KAMPALA'!C47,'12.8 KAMPALA-BUSUNJU'!C47,'13.8 BUSUNJU-KAMPALA'!C47,'14.8 BUSUNJU-KAMPALA'!C47,'15.8 BUSUNJU-KAMPALA-24HRS'!C47,'16.8 KAMPALA-BUSUNJU-24HRS'!C47,'17.8 BUSUNJU-KAMPALA'!C47)</f>
        <v>1.2857142857142858</v>
      </c>
      <c r="D47" s="49">
        <f>AVERAGE('11.8 BUSUNJU-KAMPALA'!D47,'12.8 KAMPALA-BUSUNJU'!D47,'13.8 BUSUNJU-KAMPALA'!D47,'14.8 BUSUNJU-KAMPALA'!D47,'15.8 BUSUNJU-KAMPALA-24HRS'!D47,'16.8 KAMPALA-BUSUNJU-24HRS'!D47,'17.8 BUSUNJU-KAMPALA'!D47)</f>
        <v>0</v>
      </c>
      <c r="E47" s="49">
        <f>AVERAGE('11.8 BUSUNJU-KAMPALA'!E47,'12.8 KAMPALA-BUSUNJU'!E47,'13.8 BUSUNJU-KAMPALA'!E47,'14.8 BUSUNJU-KAMPALA'!E47,'15.8 BUSUNJU-KAMPALA-24HRS'!E47,'16.8 KAMPALA-BUSUNJU-24HRS'!E47,'17.8 BUSUNJU-KAMPALA'!E47)</f>
        <v>1.4285714285714286</v>
      </c>
      <c r="F47" s="49">
        <f>AVERAGE('11.8 BUSUNJU-KAMPALA'!F47,'12.8 KAMPALA-BUSUNJU'!F47,'13.8 BUSUNJU-KAMPALA'!F47,'14.8 BUSUNJU-KAMPALA'!F47,'15.8 BUSUNJU-KAMPALA-24HRS'!F47,'16.8 KAMPALA-BUSUNJU-24HRS'!F47,'17.8 BUSUNJU-KAMPALA'!F47)</f>
        <v>0.2857142857142857</v>
      </c>
      <c r="G47" s="49">
        <f>AVERAGE('11.8 BUSUNJU-KAMPALA'!G47,'12.8 KAMPALA-BUSUNJU'!G47,'13.8 BUSUNJU-KAMPALA'!G47,'14.8 BUSUNJU-KAMPALA'!G47,'15.8 BUSUNJU-KAMPALA-24HRS'!G47,'16.8 KAMPALA-BUSUNJU-24HRS'!G47,'17.8 BUSUNJU-KAMPALA'!G47)</f>
        <v>0</v>
      </c>
      <c r="H47" s="49">
        <f>AVERAGE('11.8 BUSUNJU-KAMPALA'!H47,'12.8 KAMPALA-BUSUNJU'!H47,'13.8 BUSUNJU-KAMPALA'!H47,'14.8 BUSUNJU-KAMPALA'!H47,'15.8 BUSUNJU-KAMPALA-24HRS'!H47,'16.8 KAMPALA-BUSUNJU-24HRS'!H47,'17.8 BUSUNJU-KAMPALA'!H47)</f>
        <v>0</v>
      </c>
      <c r="I47" s="49">
        <f>AVERAGE('11.8 BUSUNJU-KAMPALA'!I47,'12.8 KAMPALA-BUSUNJU'!I47,'13.8 BUSUNJU-KAMPALA'!I47,'14.8 BUSUNJU-KAMPALA'!I47,'15.8 BUSUNJU-KAMPALA-24HRS'!I47,'16.8 KAMPALA-BUSUNJU-24HRS'!I47,'17.8 BUSUNJU-KAMPALA'!I47)</f>
        <v>1</v>
      </c>
      <c r="J47" s="49">
        <f>AVERAGE('11.8 BUSUNJU-KAMPALA'!J47,'12.8 KAMPALA-BUSUNJU'!J47,'13.8 BUSUNJU-KAMPALA'!J47,'14.8 BUSUNJU-KAMPALA'!J47,'15.8 BUSUNJU-KAMPALA-24HRS'!J47,'16.8 KAMPALA-BUSUNJU-24HRS'!J47,'17.8 BUSUNJU-KAMPALA'!J47)</f>
        <v>0.14285714285714285</v>
      </c>
      <c r="K47" s="49">
        <f>AVERAGE('11.8 BUSUNJU-KAMPALA'!K47,'12.8 KAMPALA-BUSUNJU'!K47,'13.8 BUSUNJU-KAMPALA'!K47,'14.8 BUSUNJU-KAMPALA'!K47,'15.8 BUSUNJU-KAMPALA-24HRS'!K47,'16.8 KAMPALA-BUSUNJU-24HRS'!K47,'17.8 BUSUNJU-KAMPALA'!K47)</f>
        <v>0</v>
      </c>
      <c r="L47" s="49">
        <f>AVERAGE('11.8 BUSUNJU-KAMPALA'!L47,'12.8 KAMPALA-BUSUNJU'!L47,'13.8 BUSUNJU-KAMPALA'!L47,'14.8 BUSUNJU-KAMPALA'!L47,'15.8 BUSUNJU-KAMPALA-24HRS'!L47,'16.8 KAMPALA-BUSUNJU-24HRS'!L47,'17.8 BUSUNJU-KAMPALA'!L47)</f>
        <v>0</v>
      </c>
      <c r="M47" s="49">
        <f>AVERAGE('11.8 BUSUNJU-KAMPALA'!M47,'12.8 KAMPALA-BUSUNJU'!M47,'13.8 BUSUNJU-KAMPALA'!M47,'14.8 BUSUNJU-KAMPALA'!M47,'15.8 BUSUNJU-KAMPALA-24HRS'!M47,'16.8 KAMPALA-BUSUNJU-24HRS'!M47,'17.8 BUSUNJU-KAMPALA'!M47)</f>
        <v>14.857142857142858</v>
      </c>
      <c r="N47" s="49">
        <f>AVERAGE('11.8 BUSUNJU-KAMPALA'!N47,'12.8 KAMPALA-BUSUNJU'!N47,'13.8 BUSUNJU-KAMPALA'!N47,'14.8 BUSUNJU-KAMPALA'!N47,'15.8 BUSUNJU-KAMPALA-24HRS'!N47,'16.8 KAMPALA-BUSUNJU-24HRS'!N47,'17.8 BUSUNJU-KAMPALA'!N47)</f>
        <v>0</v>
      </c>
      <c r="O47" s="15">
        <f t="shared" si="0"/>
        <v>4.1428571428571432</v>
      </c>
      <c r="P47" s="15">
        <f t="shared" si="1"/>
        <v>19</v>
      </c>
      <c r="R47" s="8"/>
      <c r="T47"/>
    </row>
    <row r="48" spans="2:32" ht="23.1" customHeight="1" x14ac:dyDescent="0.25">
      <c r="B48" s="24" t="s">
        <v>75</v>
      </c>
      <c r="C48" s="49">
        <f>AVERAGE('11.8 BUSUNJU-KAMPALA'!C48,'12.8 KAMPALA-BUSUNJU'!C48,'13.8 BUSUNJU-KAMPALA'!C48,'14.8 BUSUNJU-KAMPALA'!C48,'15.8 BUSUNJU-KAMPALA-24HRS'!C48,'16.8 KAMPALA-BUSUNJU-24HRS'!C48,'17.8 BUSUNJU-KAMPALA'!C48)</f>
        <v>1.4285714285714286</v>
      </c>
      <c r="D48" s="49">
        <f>AVERAGE('11.8 BUSUNJU-KAMPALA'!D48,'12.8 KAMPALA-BUSUNJU'!D48,'13.8 BUSUNJU-KAMPALA'!D48,'14.8 BUSUNJU-KAMPALA'!D48,'15.8 BUSUNJU-KAMPALA-24HRS'!D48,'16.8 KAMPALA-BUSUNJU-24HRS'!D48,'17.8 BUSUNJU-KAMPALA'!D48)</f>
        <v>0</v>
      </c>
      <c r="E48" s="49">
        <f>AVERAGE('11.8 BUSUNJU-KAMPALA'!E48,'12.8 KAMPALA-BUSUNJU'!E48,'13.8 BUSUNJU-KAMPALA'!E48,'14.8 BUSUNJU-KAMPALA'!E48,'15.8 BUSUNJU-KAMPALA-24HRS'!E48,'16.8 KAMPALA-BUSUNJU-24HRS'!E48,'17.8 BUSUNJU-KAMPALA'!E48)</f>
        <v>1.2857142857142858</v>
      </c>
      <c r="F48" s="49">
        <f>AVERAGE('11.8 BUSUNJU-KAMPALA'!F48,'12.8 KAMPALA-BUSUNJU'!F48,'13.8 BUSUNJU-KAMPALA'!F48,'14.8 BUSUNJU-KAMPALA'!F48,'15.8 BUSUNJU-KAMPALA-24HRS'!F48,'16.8 KAMPALA-BUSUNJU-24HRS'!F48,'17.8 BUSUNJU-KAMPALA'!F48)</f>
        <v>0.5714285714285714</v>
      </c>
      <c r="G48" s="49">
        <f>AVERAGE('11.8 BUSUNJU-KAMPALA'!G48,'12.8 KAMPALA-BUSUNJU'!G48,'13.8 BUSUNJU-KAMPALA'!G48,'14.8 BUSUNJU-KAMPALA'!G48,'15.8 BUSUNJU-KAMPALA-24HRS'!G48,'16.8 KAMPALA-BUSUNJU-24HRS'!G48,'17.8 BUSUNJU-KAMPALA'!G48)</f>
        <v>0.14285714285714285</v>
      </c>
      <c r="H48" s="49">
        <f>AVERAGE('11.8 BUSUNJU-KAMPALA'!H48,'12.8 KAMPALA-BUSUNJU'!H48,'13.8 BUSUNJU-KAMPALA'!H48,'14.8 BUSUNJU-KAMPALA'!H48,'15.8 BUSUNJU-KAMPALA-24HRS'!H48,'16.8 KAMPALA-BUSUNJU-24HRS'!H48,'17.8 BUSUNJU-KAMPALA'!H48)</f>
        <v>0</v>
      </c>
      <c r="I48" s="49">
        <f>AVERAGE('11.8 BUSUNJU-KAMPALA'!I48,'12.8 KAMPALA-BUSUNJU'!I48,'13.8 BUSUNJU-KAMPALA'!I48,'14.8 BUSUNJU-KAMPALA'!I48,'15.8 BUSUNJU-KAMPALA-24HRS'!I48,'16.8 KAMPALA-BUSUNJU-24HRS'!I48,'17.8 BUSUNJU-KAMPALA'!I48)</f>
        <v>1</v>
      </c>
      <c r="J48" s="49">
        <f>AVERAGE('11.8 BUSUNJU-KAMPALA'!J48,'12.8 KAMPALA-BUSUNJU'!J48,'13.8 BUSUNJU-KAMPALA'!J48,'14.8 BUSUNJU-KAMPALA'!J48,'15.8 BUSUNJU-KAMPALA-24HRS'!J48,'16.8 KAMPALA-BUSUNJU-24HRS'!J48,'17.8 BUSUNJU-KAMPALA'!J48)</f>
        <v>0.14285714285714285</v>
      </c>
      <c r="K48" s="49">
        <f>AVERAGE('11.8 BUSUNJU-KAMPALA'!K48,'12.8 KAMPALA-BUSUNJU'!K48,'13.8 BUSUNJU-KAMPALA'!K48,'14.8 BUSUNJU-KAMPALA'!K48,'15.8 BUSUNJU-KAMPALA-24HRS'!K48,'16.8 KAMPALA-BUSUNJU-24HRS'!K48,'17.8 BUSUNJU-KAMPALA'!K48)</f>
        <v>0</v>
      </c>
      <c r="L48" s="49">
        <f>AVERAGE('11.8 BUSUNJU-KAMPALA'!L48,'12.8 KAMPALA-BUSUNJU'!L48,'13.8 BUSUNJU-KAMPALA'!L48,'14.8 BUSUNJU-KAMPALA'!L48,'15.8 BUSUNJU-KAMPALA-24HRS'!L48,'16.8 KAMPALA-BUSUNJU-24HRS'!L48,'17.8 BUSUNJU-KAMPALA'!L48)</f>
        <v>0</v>
      </c>
      <c r="M48" s="49">
        <f>AVERAGE('11.8 BUSUNJU-KAMPALA'!M48,'12.8 KAMPALA-BUSUNJU'!M48,'13.8 BUSUNJU-KAMPALA'!M48,'14.8 BUSUNJU-KAMPALA'!M48,'15.8 BUSUNJU-KAMPALA-24HRS'!M48,'16.8 KAMPALA-BUSUNJU-24HRS'!M48,'17.8 BUSUNJU-KAMPALA'!M48)</f>
        <v>16.285714285714285</v>
      </c>
      <c r="N48" s="49">
        <f>AVERAGE('11.8 BUSUNJU-KAMPALA'!N48,'12.8 KAMPALA-BUSUNJU'!N48,'13.8 BUSUNJU-KAMPALA'!N48,'14.8 BUSUNJU-KAMPALA'!N48,'15.8 BUSUNJU-KAMPALA-24HRS'!N48,'16.8 KAMPALA-BUSUNJU-24HRS'!N48,'17.8 BUSUNJU-KAMPALA'!N48)</f>
        <v>0</v>
      </c>
      <c r="O48" s="15">
        <f t="shared" si="0"/>
        <v>4.5714285714285721</v>
      </c>
      <c r="P48" s="15">
        <f t="shared" si="1"/>
        <v>20.857142857142858</v>
      </c>
      <c r="R48" s="8"/>
      <c r="T48"/>
    </row>
    <row r="49" spans="2:20" ht="23.1" customHeight="1" x14ac:dyDescent="0.25">
      <c r="B49" s="23" t="s">
        <v>76</v>
      </c>
      <c r="C49" s="49">
        <f>AVERAGE('11.8 BUSUNJU-KAMPALA'!C49,'12.8 KAMPALA-BUSUNJU'!C49,'13.8 BUSUNJU-KAMPALA'!C49,'14.8 BUSUNJU-KAMPALA'!C49,'15.8 BUSUNJU-KAMPALA-24HRS'!C49,'16.8 KAMPALA-BUSUNJU-24HRS'!C49,'17.8 BUSUNJU-KAMPALA'!C49)</f>
        <v>1.4285714285714286</v>
      </c>
      <c r="D49" s="49">
        <f>AVERAGE('11.8 BUSUNJU-KAMPALA'!D49,'12.8 KAMPALA-BUSUNJU'!D49,'13.8 BUSUNJU-KAMPALA'!D49,'14.8 BUSUNJU-KAMPALA'!D49,'15.8 BUSUNJU-KAMPALA-24HRS'!D49,'16.8 KAMPALA-BUSUNJU-24HRS'!D49,'17.8 BUSUNJU-KAMPALA'!D49)</f>
        <v>0</v>
      </c>
      <c r="E49" s="49">
        <f>AVERAGE('11.8 BUSUNJU-KAMPALA'!E49,'12.8 KAMPALA-BUSUNJU'!E49,'13.8 BUSUNJU-KAMPALA'!E49,'14.8 BUSUNJU-KAMPALA'!E49,'15.8 BUSUNJU-KAMPALA-24HRS'!E49,'16.8 KAMPALA-BUSUNJU-24HRS'!E49,'17.8 BUSUNJU-KAMPALA'!E49)</f>
        <v>1.5714285714285714</v>
      </c>
      <c r="F49" s="49">
        <f>AVERAGE('11.8 BUSUNJU-KAMPALA'!F49,'12.8 KAMPALA-BUSUNJU'!F49,'13.8 BUSUNJU-KAMPALA'!F49,'14.8 BUSUNJU-KAMPALA'!F49,'15.8 BUSUNJU-KAMPALA-24HRS'!F49,'16.8 KAMPALA-BUSUNJU-24HRS'!F49,'17.8 BUSUNJU-KAMPALA'!F49)</f>
        <v>0.14285714285714285</v>
      </c>
      <c r="G49" s="49">
        <f>AVERAGE('11.8 BUSUNJU-KAMPALA'!G49,'12.8 KAMPALA-BUSUNJU'!G49,'13.8 BUSUNJU-KAMPALA'!G49,'14.8 BUSUNJU-KAMPALA'!G49,'15.8 BUSUNJU-KAMPALA-24HRS'!G49,'16.8 KAMPALA-BUSUNJU-24HRS'!G49,'17.8 BUSUNJU-KAMPALA'!G49)</f>
        <v>0</v>
      </c>
      <c r="H49" s="49">
        <f>AVERAGE('11.8 BUSUNJU-KAMPALA'!H49,'12.8 KAMPALA-BUSUNJU'!H49,'13.8 BUSUNJU-KAMPALA'!H49,'14.8 BUSUNJU-KAMPALA'!H49,'15.8 BUSUNJU-KAMPALA-24HRS'!H49,'16.8 KAMPALA-BUSUNJU-24HRS'!H49,'17.8 BUSUNJU-KAMPALA'!H49)</f>
        <v>0</v>
      </c>
      <c r="I49" s="49">
        <f>AVERAGE('11.8 BUSUNJU-KAMPALA'!I49,'12.8 KAMPALA-BUSUNJU'!I49,'13.8 BUSUNJU-KAMPALA'!I49,'14.8 BUSUNJU-KAMPALA'!I49,'15.8 BUSUNJU-KAMPALA-24HRS'!I49,'16.8 KAMPALA-BUSUNJU-24HRS'!I49,'17.8 BUSUNJU-KAMPALA'!I49)</f>
        <v>1.2857142857142858</v>
      </c>
      <c r="J49" s="49">
        <f>AVERAGE('11.8 BUSUNJU-KAMPALA'!J49,'12.8 KAMPALA-BUSUNJU'!J49,'13.8 BUSUNJU-KAMPALA'!J49,'14.8 BUSUNJU-KAMPALA'!J49,'15.8 BUSUNJU-KAMPALA-24HRS'!J49,'16.8 KAMPALA-BUSUNJU-24HRS'!J49,'17.8 BUSUNJU-KAMPALA'!J49)</f>
        <v>0</v>
      </c>
      <c r="K49" s="49">
        <f>AVERAGE('11.8 BUSUNJU-KAMPALA'!K49,'12.8 KAMPALA-BUSUNJU'!K49,'13.8 BUSUNJU-KAMPALA'!K49,'14.8 BUSUNJU-KAMPALA'!K49,'15.8 BUSUNJU-KAMPALA-24HRS'!K49,'16.8 KAMPALA-BUSUNJU-24HRS'!K49,'17.8 BUSUNJU-KAMPALA'!K49)</f>
        <v>0</v>
      </c>
      <c r="L49" s="49">
        <f>AVERAGE('11.8 BUSUNJU-KAMPALA'!L49,'12.8 KAMPALA-BUSUNJU'!L49,'13.8 BUSUNJU-KAMPALA'!L49,'14.8 BUSUNJU-KAMPALA'!L49,'15.8 BUSUNJU-KAMPALA-24HRS'!L49,'16.8 KAMPALA-BUSUNJU-24HRS'!L49,'17.8 BUSUNJU-KAMPALA'!L49)</f>
        <v>0</v>
      </c>
      <c r="M49" s="49">
        <f>AVERAGE('11.8 BUSUNJU-KAMPALA'!M49,'12.8 KAMPALA-BUSUNJU'!M49,'13.8 BUSUNJU-KAMPALA'!M49,'14.8 BUSUNJU-KAMPALA'!M49,'15.8 BUSUNJU-KAMPALA-24HRS'!M49,'16.8 KAMPALA-BUSUNJU-24HRS'!M49,'17.8 BUSUNJU-KAMPALA'!M49)</f>
        <v>12.571428571428571</v>
      </c>
      <c r="N49" s="49">
        <f>AVERAGE('11.8 BUSUNJU-KAMPALA'!N49,'12.8 KAMPALA-BUSUNJU'!N49,'13.8 BUSUNJU-KAMPALA'!N49,'14.8 BUSUNJU-KAMPALA'!N49,'15.8 BUSUNJU-KAMPALA-24HRS'!N49,'16.8 KAMPALA-BUSUNJU-24HRS'!N49,'17.8 BUSUNJU-KAMPALA'!N49)</f>
        <v>0</v>
      </c>
      <c r="O49" s="15">
        <f t="shared" si="0"/>
        <v>4.4285714285714288</v>
      </c>
      <c r="P49" s="15">
        <f t="shared" si="1"/>
        <v>17</v>
      </c>
      <c r="R49" s="8"/>
      <c r="T49"/>
    </row>
    <row r="50" spans="2:20" ht="23.1" customHeight="1" x14ac:dyDescent="0.25">
      <c r="B50" s="24" t="s">
        <v>77</v>
      </c>
      <c r="C50" s="49">
        <f>AVERAGE('11.8 BUSUNJU-KAMPALA'!C50,'12.8 KAMPALA-BUSUNJU'!C50,'13.8 BUSUNJU-KAMPALA'!C50,'14.8 BUSUNJU-KAMPALA'!C50,'15.8 BUSUNJU-KAMPALA-24HRS'!C50,'16.8 KAMPALA-BUSUNJU-24HRS'!C50,'17.8 BUSUNJU-KAMPALA'!C50)</f>
        <v>0.7142857142857143</v>
      </c>
      <c r="D50" s="49">
        <f>AVERAGE('11.8 BUSUNJU-KAMPALA'!D50,'12.8 KAMPALA-BUSUNJU'!D50,'13.8 BUSUNJU-KAMPALA'!D50,'14.8 BUSUNJU-KAMPALA'!D50,'15.8 BUSUNJU-KAMPALA-24HRS'!D50,'16.8 KAMPALA-BUSUNJU-24HRS'!D50,'17.8 BUSUNJU-KAMPALA'!D50)</f>
        <v>0</v>
      </c>
      <c r="E50" s="49">
        <f>AVERAGE('11.8 BUSUNJU-KAMPALA'!E50,'12.8 KAMPALA-BUSUNJU'!E50,'13.8 BUSUNJU-KAMPALA'!E50,'14.8 BUSUNJU-KAMPALA'!E50,'15.8 BUSUNJU-KAMPALA-24HRS'!E50,'16.8 KAMPALA-BUSUNJU-24HRS'!E50,'17.8 BUSUNJU-KAMPALA'!E50)</f>
        <v>0.7142857142857143</v>
      </c>
      <c r="F50" s="49">
        <f>AVERAGE('11.8 BUSUNJU-KAMPALA'!F50,'12.8 KAMPALA-BUSUNJU'!F50,'13.8 BUSUNJU-KAMPALA'!F50,'14.8 BUSUNJU-KAMPALA'!F50,'15.8 BUSUNJU-KAMPALA-24HRS'!F50,'16.8 KAMPALA-BUSUNJU-24HRS'!F50,'17.8 BUSUNJU-KAMPALA'!F50)</f>
        <v>0.14285714285714285</v>
      </c>
      <c r="G50" s="49">
        <f>AVERAGE('11.8 BUSUNJU-KAMPALA'!G50,'12.8 KAMPALA-BUSUNJU'!G50,'13.8 BUSUNJU-KAMPALA'!G50,'14.8 BUSUNJU-KAMPALA'!G50,'15.8 BUSUNJU-KAMPALA-24HRS'!G50,'16.8 KAMPALA-BUSUNJU-24HRS'!G50,'17.8 BUSUNJU-KAMPALA'!G50)</f>
        <v>0</v>
      </c>
      <c r="H50" s="49">
        <f>AVERAGE('11.8 BUSUNJU-KAMPALA'!H50,'12.8 KAMPALA-BUSUNJU'!H50,'13.8 BUSUNJU-KAMPALA'!H50,'14.8 BUSUNJU-KAMPALA'!H50,'15.8 BUSUNJU-KAMPALA-24HRS'!H50,'16.8 KAMPALA-BUSUNJU-24HRS'!H50,'17.8 BUSUNJU-KAMPALA'!H50)</f>
        <v>0</v>
      </c>
      <c r="I50" s="49">
        <f>AVERAGE('11.8 BUSUNJU-KAMPALA'!I50,'12.8 KAMPALA-BUSUNJU'!I50,'13.8 BUSUNJU-KAMPALA'!I50,'14.8 BUSUNJU-KAMPALA'!I50,'15.8 BUSUNJU-KAMPALA-24HRS'!I50,'16.8 KAMPALA-BUSUNJU-24HRS'!I50,'17.8 BUSUNJU-KAMPALA'!I50)</f>
        <v>1.8571428571428572</v>
      </c>
      <c r="J50" s="49">
        <f>AVERAGE('11.8 BUSUNJU-KAMPALA'!J50,'12.8 KAMPALA-BUSUNJU'!J50,'13.8 BUSUNJU-KAMPALA'!J50,'14.8 BUSUNJU-KAMPALA'!J50,'15.8 BUSUNJU-KAMPALA-24HRS'!J50,'16.8 KAMPALA-BUSUNJU-24HRS'!J50,'17.8 BUSUNJU-KAMPALA'!J50)</f>
        <v>0</v>
      </c>
      <c r="K50" s="49">
        <f>AVERAGE('11.8 BUSUNJU-KAMPALA'!K50,'12.8 KAMPALA-BUSUNJU'!K50,'13.8 BUSUNJU-KAMPALA'!K50,'14.8 BUSUNJU-KAMPALA'!K50,'15.8 BUSUNJU-KAMPALA-24HRS'!K50,'16.8 KAMPALA-BUSUNJU-24HRS'!K50,'17.8 BUSUNJU-KAMPALA'!K50)</f>
        <v>0</v>
      </c>
      <c r="L50" s="49">
        <f>AVERAGE('11.8 BUSUNJU-KAMPALA'!L50,'12.8 KAMPALA-BUSUNJU'!L50,'13.8 BUSUNJU-KAMPALA'!L50,'14.8 BUSUNJU-KAMPALA'!L50,'15.8 BUSUNJU-KAMPALA-24HRS'!L50,'16.8 KAMPALA-BUSUNJU-24HRS'!L50,'17.8 BUSUNJU-KAMPALA'!L50)</f>
        <v>0</v>
      </c>
      <c r="M50" s="49">
        <f>AVERAGE('11.8 BUSUNJU-KAMPALA'!M50,'12.8 KAMPALA-BUSUNJU'!M50,'13.8 BUSUNJU-KAMPALA'!M50,'14.8 BUSUNJU-KAMPALA'!M50,'15.8 BUSUNJU-KAMPALA-24HRS'!M50,'16.8 KAMPALA-BUSUNJU-24HRS'!M50,'17.8 BUSUNJU-KAMPALA'!M50)</f>
        <v>17.142857142857142</v>
      </c>
      <c r="N50" s="49">
        <f>AVERAGE('11.8 BUSUNJU-KAMPALA'!N50,'12.8 KAMPALA-BUSUNJU'!N50,'13.8 BUSUNJU-KAMPALA'!N50,'14.8 BUSUNJU-KAMPALA'!N50,'15.8 BUSUNJU-KAMPALA-24HRS'!N50,'16.8 KAMPALA-BUSUNJU-24HRS'!N50,'17.8 BUSUNJU-KAMPALA'!N50)</f>
        <v>0</v>
      </c>
      <c r="O50" s="15">
        <f t="shared" si="0"/>
        <v>3.4285714285714288</v>
      </c>
      <c r="P50" s="15">
        <f t="shared" si="1"/>
        <v>20.571428571428569</v>
      </c>
      <c r="R50" s="8"/>
      <c r="T50"/>
    </row>
    <row r="51" spans="2:20" ht="23.1" customHeight="1" x14ac:dyDescent="0.25">
      <c r="B51" s="24" t="s">
        <v>78</v>
      </c>
      <c r="C51" s="49">
        <f>AVERAGE('11.8 BUSUNJU-KAMPALA'!C51,'12.8 KAMPALA-BUSUNJU'!C51,'13.8 BUSUNJU-KAMPALA'!C51,'14.8 BUSUNJU-KAMPALA'!C51,'15.8 BUSUNJU-KAMPALA-24HRS'!C51,'16.8 KAMPALA-BUSUNJU-24HRS'!C51,'17.8 BUSUNJU-KAMPALA'!C51)</f>
        <v>0.5714285714285714</v>
      </c>
      <c r="D51" s="49">
        <f>AVERAGE('11.8 BUSUNJU-KAMPALA'!D51,'12.8 KAMPALA-BUSUNJU'!D51,'13.8 BUSUNJU-KAMPALA'!D51,'14.8 BUSUNJU-KAMPALA'!D51,'15.8 BUSUNJU-KAMPALA-24HRS'!D51,'16.8 KAMPALA-BUSUNJU-24HRS'!D51,'17.8 BUSUNJU-KAMPALA'!D51)</f>
        <v>0</v>
      </c>
      <c r="E51" s="49">
        <f>AVERAGE('11.8 BUSUNJU-KAMPALA'!E51,'12.8 KAMPALA-BUSUNJU'!E51,'13.8 BUSUNJU-KAMPALA'!E51,'14.8 BUSUNJU-KAMPALA'!E51,'15.8 BUSUNJU-KAMPALA-24HRS'!E51,'16.8 KAMPALA-BUSUNJU-24HRS'!E51,'17.8 BUSUNJU-KAMPALA'!E51)</f>
        <v>0.8571428571428571</v>
      </c>
      <c r="F51" s="49">
        <f>AVERAGE('11.8 BUSUNJU-KAMPALA'!F51,'12.8 KAMPALA-BUSUNJU'!F51,'13.8 BUSUNJU-KAMPALA'!F51,'14.8 BUSUNJU-KAMPALA'!F51,'15.8 BUSUNJU-KAMPALA-24HRS'!F51,'16.8 KAMPALA-BUSUNJU-24HRS'!F51,'17.8 BUSUNJU-KAMPALA'!F51)</f>
        <v>0.5714285714285714</v>
      </c>
      <c r="G51" s="49">
        <f>AVERAGE('11.8 BUSUNJU-KAMPALA'!G51,'12.8 KAMPALA-BUSUNJU'!G51,'13.8 BUSUNJU-KAMPALA'!G51,'14.8 BUSUNJU-KAMPALA'!G51,'15.8 BUSUNJU-KAMPALA-24HRS'!G51,'16.8 KAMPALA-BUSUNJU-24HRS'!G51,'17.8 BUSUNJU-KAMPALA'!G51)</f>
        <v>0</v>
      </c>
      <c r="H51" s="49">
        <f>AVERAGE('11.8 BUSUNJU-KAMPALA'!H51,'12.8 KAMPALA-BUSUNJU'!H51,'13.8 BUSUNJU-KAMPALA'!H51,'14.8 BUSUNJU-KAMPALA'!H51,'15.8 BUSUNJU-KAMPALA-24HRS'!H51,'16.8 KAMPALA-BUSUNJU-24HRS'!H51,'17.8 BUSUNJU-KAMPALA'!H51)</f>
        <v>0</v>
      </c>
      <c r="I51" s="49">
        <f>AVERAGE('11.8 BUSUNJU-KAMPALA'!I51,'12.8 KAMPALA-BUSUNJU'!I51,'13.8 BUSUNJU-KAMPALA'!I51,'14.8 BUSUNJU-KAMPALA'!I51,'15.8 BUSUNJU-KAMPALA-24HRS'!I51,'16.8 KAMPALA-BUSUNJU-24HRS'!I51,'17.8 BUSUNJU-KAMPALA'!I51)</f>
        <v>1.2857142857142858</v>
      </c>
      <c r="J51" s="49">
        <f>AVERAGE('11.8 BUSUNJU-KAMPALA'!J51,'12.8 KAMPALA-BUSUNJU'!J51,'13.8 BUSUNJU-KAMPALA'!J51,'14.8 BUSUNJU-KAMPALA'!J51,'15.8 BUSUNJU-KAMPALA-24HRS'!J51,'16.8 KAMPALA-BUSUNJU-24HRS'!J51,'17.8 BUSUNJU-KAMPALA'!J51)</f>
        <v>0</v>
      </c>
      <c r="K51" s="49">
        <f>AVERAGE('11.8 BUSUNJU-KAMPALA'!K51,'12.8 KAMPALA-BUSUNJU'!K51,'13.8 BUSUNJU-KAMPALA'!K51,'14.8 BUSUNJU-KAMPALA'!K51,'15.8 BUSUNJU-KAMPALA-24HRS'!K51,'16.8 KAMPALA-BUSUNJU-24HRS'!K51,'17.8 BUSUNJU-KAMPALA'!K51)</f>
        <v>0</v>
      </c>
      <c r="L51" s="49">
        <f>AVERAGE('11.8 BUSUNJU-KAMPALA'!L51,'12.8 KAMPALA-BUSUNJU'!L51,'13.8 BUSUNJU-KAMPALA'!L51,'14.8 BUSUNJU-KAMPALA'!L51,'15.8 BUSUNJU-KAMPALA-24HRS'!L51,'16.8 KAMPALA-BUSUNJU-24HRS'!L51,'17.8 BUSUNJU-KAMPALA'!L51)</f>
        <v>0</v>
      </c>
      <c r="M51" s="49">
        <f>AVERAGE('11.8 BUSUNJU-KAMPALA'!M51,'12.8 KAMPALA-BUSUNJU'!M51,'13.8 BUSUNJU-KAMPALA'!M51,'14.8 BUSUNJU-KAMPALA'!M51,'15.8 BUSUNJU-KAMPALA-24HRS'!M51,'16.8 KAMPALA-BUSUNJU-24HRS'!M51,'17.8 BUSUNJU-KAMPALA'!M51)</f>
        <v>15.857142857142858</v>
      </c>
      <c r="N51" s="49">
        <f>AVERAGE('11.8 BUSUNJU-KAMPALA'!N51,'12.8 KAMPALA-BUSUNJU'!N51,'13.8 BUSUNJU-KAMPALA'!N51,'14.8 BUSUNJU-KAMPALA'!N51,'15.8 BUSUNJU-KAMPALA-24HRS'!N51,'16.8 KAMPALA-BUSUNJU-24HRS'!N51,'17.8 BUSUNJU-KAMPALA'!N51)</f>
        <v>0</v>
      </c>
      <c r="O51" s="15">
        <f t="shared" si="0"/>
        <v>3.2857142857142856</v>
      </c>
      <c r="P51" s="15">
        <f t="shared" si="1"/>
        <v>19.142857142857142</v>
      </c>
      <c r="R51" s="8"/>
      <c r="T51"/>
    </row>
    <row r="52" spans="2:20" ht="23.1" customHeight="1" x14ac:dyDescent="0.25">
      <c r="B52" s="24" t="s">
        <v>79</v>
      </c>
      <c r="C52" s="49">
        <f>AVERAGE('11.8 BUSUNJU-KAMPALA'!C52,'12.8 KAMPALA-BUSUNJU'!C52,'13.8 BUSUNJU-KAMPALA'!C52,'14.8 BUSUNJU-KAMPALA'!C52,'15.8 BUSUNJU-KAMPALA-24HRS'!C52,'16.8 KAMPALA-BUSUNJU-24HRS'!C52,'17.8 BUSUNJU-KAMPALA'!C52)</f>
        <v>1.2857142857142858</v>
      </c>
      <c r="D52" s="49">
        <f>AVERAGE('11.8 BUSUNJU-KAMPALA'!D52,'12.8 KAMPALA-BUSUNJU'!D52,'13.8 BUSUNJU-KAMPALA'!D52,'14.8 BUSUNJU-KAMPALA'!D52,'15.8 BUSUNJU-KAMPALA-24HRS'!D52,'16.8 KAMPALA-BUSUNJU-24HRS'!D52,'17.8 BUSUNJU-KAMPALA'!D52)</f>
        <v>0</v>
      </c>
      <c r="E52" s="49">
        <f>AVERAGE('11.8 BUSUNJU-KAMPALA'!E52,'12.8 KAMPALA-BUSUNJU'!E52,'13.8 BUSUNJU-KAMPALA'!E52,'14.8 BUSUNJU-KAMPALA'!E52,'15.8 BUSUNJU-KAMPALA-24HRS'!E52,'16.8 KAMPALA-BUSUNJU-24HRS'!E52,'17.8 BUSUNJU-KAMPALA'!E52)</f>
        <v>1.1428571428571428</v>
      </c>
      <c r="F52" s="49">
        <f>AVERAGE('11.8 BUSUNJU-KAMPALA'!F52,'12.8 KAMPALA-BUSUNJU'!F52,'13.8 BUSUNJU-KAMPALA'!F52,'14.8 BUSUNJU-KAMPALA'!F52,'15.8 BUSUNJU-KAMPALA-24HRS'!F52,'16.8 KAMPALA-BUSUNJU-24HRS'!F52,'17.8 BUSUNJU-KAMPALA'!F52)</f>
        <v>0.2857142857142857</v>
      </c>
      <c r="G52" s="49">
        <f>AVERAGE('11.8 BUSUNJU-KAMPALA'!G52,'12.8 KAMPALA-BUSUNJU'!G52,'13.8 BUSUNJU-KAMPALA'!G52,'14.8 BUSUNJU-KAMPALA'!G52,'15.8 BUSUNJU-KAMPALA-24HRS'!G52,'16.8 KAMPALA-BUSUNJU-24HRS'!G52,'17.8 BUSUNJU-KAMPALA'!G52)</f>
        <v>0</v>
      </c>
      <c r="H52" s="49">
        <f>AVERAGE('11.8 BUSUNJU-KAMPALA'!H52,'12.8 KAMPALA-BUSUNJU'!H52,'13.8 BUSUNJU-KAMPALA'!H52,'14.8 BUSUNJU-KAMPALA'!H52,'15.8 BUSUNJU-KAMPALA-24HRS'!H52,'16.8 KAMPALA-BUSUNJU-24HRS'!H52,'17.8 BUSUNJU-KAMPALA'!H52)</f>
        <v>0</v>
      </c>
      <c r="I52" s="49">
        <f>AVERAGE('11.8 BUSUNJU-KAMPALA'!I52,'12.8 KAMPALA-BUSUNJU'!I52,'13.8 BUSUNJU-KAMPALA'!I52,'14.8 BUSUNJU-KAMPALA'!I52,'15.8 BUSUNJU-KAMPALA-24HRS'!I52,'16.8 KAMPALA-BUSUNJU-24HRS'!I52,'17.8 BUSUNJU-KAMPALA'!I52)</f>
        <v>0.42857142857142855</v>
      </c>
      <c r="J52" s="49">
        <f>AVERAGE('11.8 BUSUNJU-KAMPALA'!J52,'12.8 KAMPALA-BUSUNJU'!J52,'13.8 BUSUNJU-KAMPALA'!J52,'14.8 BUSUNJU-KAMPALA'!J52,'15.8 BUSUNJU-KAMPALA-24HRS'!J52,'16.8 KAMPALA-BUSUNJU-24HRS'!J52,'17.8 BUSUNJU-KAMPALA'!J52)</f>
        <v>0</v>
      </c>
      <c r="K52" s="49">
        <f>AVERAGE('11.8 BUSUNJU-KAMPALA'!K52,'12.8 KAMPALA-BUSUNJU'!K52,'13.8 BUSUNJU-KAMPALA'!K52,'14.8 BUSUNJU-KAMPALA'!K52,'15.8 BUSUNJU-KAMPALA-24HRS'!K52,'16.8 KAMPALA-BUSUNJU-24HRS'!K52,'17.8 BUSUNJU-KAMPALA'!K52)</f>
        <v>0</v>
      </c>
      <c r="L52" s="49">
        <f>AVERAGE('11.8 BUSUNJU-KAMPALA'!L52,'12.8 KAMPALA-BUSUNJU'!L52,'13.8 BUSUNJU-KAMPALA'!L52,'14.8 BUSUNJU-KAMPALA'!L52,'15.8 BUSUNJU-KAMPALA-24HRS'!L52,'16.8 KAMPALA-BUSUNJU-24HRS'!L52,'17.8 BUSUNJU-KAMPALA'!L52)</f>
        <v>0</v>
      </c>
      <c r="M52" s="49">
        <f>AVERAGE('11.8 BUSUNJU-KAMPALA'!M52,'12.8 KAMPALA-BUSUNJU'!M52,'13.8 BUSUNJU-KAMPALA'!M52,'14.8 BUSUNJU-KAMPALA'!M52,'15.8 BUSUNJU-KAMPALA-24HRS'!M52,'16.8 KAMPALA-BUSUNJU-24HRS'!M52,'17.8 BUSUNJU-KAMPALA'!M52)</f>
        <v>16</v>
      </c>
      <c r="N52" s="49">
        <f>AVERAGE('11.8 BUSUNJU-KAMPALA'!N52,'12.8 KAMPALA-BUSUNJU'!N52,'13.8 BUSUNJU-KAMPALA'!N52,'14.8 BUSUNJU-KAMPALA'!N52,'15.8 BUSUNJU-KAMPALA-24HRS'!N52,'16.8 KAMPALA-BUSUNJU-24HRS'!N52,'17.8 BUSUNJU-KAMPALA'!N52)</f>
        <v>0</v>
      </c>
      <c r="O52" s="15">
        <f t="shared" si="0"/>
        <v>3.1428571428571428</v>
      </c>
      <c r="P52" s="15">
        <f t="shared" si="1"/>
        <v>19.142857142857142</v>
      </c>
      <c r="R52" s="8"/>
      <c r="T52"/>
    </row>
    <row r="53" spans="2:20" ht="23.1" customHeight="1" x14ac:dyDescent="0.25">
      <c r="B53" s="23" t="s">
        <v>80</v>
      </c>
      <c r="C53" s="49">
        <f>AVERAGE('11.8 BUSUNJU-KAMPALA'!C53,'12.8 KAMPALA-BUSUNJU'!C53,'13.8 BUSUNJU-KAMPALA'!C53,'14.8 BUSUNJU-KAMPALA'!C53,'15.8 BUSUNJU-KAMPALA-24HRS'!C53,'16.8 KAMPALA-BUSUNJU-24HRS'!C53,'17.8 BUSUNJU-KAMPALA'!C53)</f>
        <v>1</v>
      </c>
      <c r="D53" s="49">
        <f>AVERAGE('11.8 BUSUNJU-KAMPALA'!D53,'12.8 KAMPALA-BUSUNJU'!D53,'13.8 BUSUNJU-KAMPALA'!D53,'14.8 BUSUNJU-KAMPALA'!D53,'15.8 BUSUNJU-KAMPALA-24HRS'!D53,'16.8 KAMPALA-BUSUNJU-24HRS'!D53,'17.8 BUSUNJU-KAMPALA'!D53)</f>
        <v>0</v>
      </c>
      <c r="E53" s="49">
        <f>AVERAGE('11.8 BUSUNJU-KAMPALA'!E53,'12.8 KAMPALA-BUSUNJU'!E53,'13.8 BUSUNJU-KAMPALA'!E53,'14.8 BUSUNJU-KAMPALA'!E53,'15.8 BUSUNJU-KAMPALA-24HRS'!E53,'16.8 KAMPALA-BUSUNJU-24HRS'!E53,'17.8 BUSUNJU-KAMPALA'!E53)</f>
        <v>1</v>
      </c>
      <c r="F53" s="49">
        <f>AVERAGE('11.8 BUSUNJU-KAMPALA'!F53,'12.8 KAMPALA-BUSUNJU'!F53,'13.8 BUSUNJU-KAMPALA'!F53,'14.8 BUSUNJU-KAMPALA'!F53,'15.8 BUSUNJU-KAMPALA-24HRS'!F53,'16.8 KAMPALA-BUSUNJU-24HRS'!F53,'17.8 BUSUNJU-KAMPALA'!F53)</f>
        <v>1.2857142857142858</v>
      </c>
      <c r="G53" s="49">
        <f>AVERAGE('11.8 BUSUNJU-KAMPALA'!G53,'12.8 KAMPALA-BUSUNJU'!G53,'13.8 BUSUNJU-KAMPALA'!G53,'14.8 BUSUNJU-KAMPALA'!G53,'15.8 BUSUNJU-KAMPALA-24HRS'!G53,'16.8 KAMPALA-BUSUNJU-24HRS'!G53,'17.8 BUSUNJU-KAMPALA'!G53)</f>
        <v>0.14285714285714285</v>
      </c>
      <c r="H53" s="49">
        <f>AVERAGE('11.8 BUSUNJU-KAMPALA'!H53,'12.8 KAMPALA-BUSUNJU'!H53,'13.8 BUSUNJU-KAMPALA'!H53,'14.8 BUSUNJU-KAMPALA'!H53,'15.8 BUSUNJU-KAMPALA-24HRS'!H53,'16.8 KAMPALA-BUSUNJU-24HRS'!H53,'17.8 BUSUNJU-KAMPALA'!H53)</f>
        <v>0</v>
      </c>
      <c r="I53" s="49">
        <f>AVERAGE('11.8 BUSUNJU-KAMPALA'!I53,'12.8 KAMPALA-BUSUNJU'!I53,'13.8 BUSUNJU-KAMPALA'!I53,'14.8 BUSUNJU-KAMPALA'!I53,'15.8 BUSUNJU-KAMPALA-24HRS'!I53,'16.8 KAMPALA-BUSUNJU-24HRS'!I53,'17.8 BUSUNJU-KAMPALA'!I53)</f>
        <v>1.2857142857142858</v>
      </c>
      <c r="J53" s="49">
        <f>AVERAGE('11.8 BUSUNJU-KAMPALA'!J53,'12.8 KAMPALA-BUSUNJU'!J53,'13.8 BUSUNJU-KAMPALA'!J53,'14.8 BUSUNJU-KAMPALA'!J53,'15.8 BUSUNJU-KAMPALA-24HRS'!J53,'16.8 KAMPALA-BUSUNJU-24HRS'!J53,'17.8 BUSUNJU-KAMPALA'!J53)</f>
        <v>0</v>
      </c>
      <c r="K53" s="49">
        <f>AVERAGE('11.8 BUSUNJU-KAMPALA'!K53,'12.8 KAMPALA-BUSUNJU'!K53,'13.8 BUSUNJU-KAMPALA'!K53,'14.8 BUSUNJU-KAMPALA'!K53,'15.8 BUSUNJU-KAMPALA-24HRS'!K53,'16.8 KAMPALA-BUSUNJU-24HRS'!K53,'17.8 BUSUNJU-KAMPALA'!K53)</f>
        <v>0</v>
      </c>
      <c r="L53" s="49">
        <f>AVERAGE('11.8 BUSUNJU-KAMPALA'!L53,'12.8 KAMPALA-BUSUNJU'!L53,'13.8 BUSUNJU-KAMPALA'!L53,'14.8 BUSUNJU-KAMPALA'!L53,'15.8 BUSUNJU-KAMPALA-24HRS'!L53,'16.8 KAMPALA-BUSUNJU-24HRS'!L53,'17.8 BUSUNJU-KAMPALA'!L53)</f>
        <v>0</v>
      </c>
      <c r="M53" s="49">
        <f>AVERAGE('11.8 BUSUNJU-KAMPALA'!M53,'12.8 KAMPALA-BUSUNJU'!M53,'13.8 BUSUNJU-KAMPALA'!M53,'14.8 BUSUNJU-KAMPALA'!M53,'15.8 BUSUNJU-KAMPALA-24HRS'!M53,'16.8 KAMPALA-BUSUNJU-24HRS'!M53,'17.8 BUSUNJU-KAMPALA'!M53)</f>
        <v>12.571428571428571</v>
      </c>
      <c r="N53" s="49">
        <f>AVERAGE('11.8 BUSUNJU-KAMPALA'!N53,'12.8 KAMPALA-BUSUNJU'!N53,'13.8 BUSUNJU-KAMPALA'!N53,'14.8 BUSUNJU-KAMPALA'!N53,'15.8 BUSUNJU-KAMPALA-24HRS'!N53,'16.8 KAMPALA-BUSUNJU-24HRS'!N53,'17.8 BUSUNJU-KAMPALA'!N53)</f>
        <v>0</v>
      </c>
      <c r="O53" s="15">
        <f t="shared" si="0"/>
        <v>4.7142857142857144</v>
      </c>
      <c r="P53" s="15">
        <f t="shared" si="1"/>
        <v>17.285714285714285</v>
      </c>
      <c r="R53" s="8"/>
      <c r="T53"/>
    </row>
    <row r="54" spans="2:20" ht="23.1" customHeight="1" x14ac:dyDescent="0.25">
      <c r="B54" s="23" t="s">
        <v>81</v>
      </c>
      <c r="C54" s="49">
        <f>AVERAGE('11.8 BUSUNJU-KAMPALA'!C54,'12.8 KAMPALA-BUSUNJU'!C54,'13.8 BUSUNJU-KAMPALA'!C54,'14.8 BUSUNJU-KAMPALA'!C54,'15.8 BUSUNJU-KAMPALA-24HRS'!C54,'16.8 KAMPALA-BUSUNJU-24HRS'!C54,'17.8 BUSUNJU-KAMPALA'!C54)</f>
        <v>0.8571428571428571</v>
      </c>
      <c r="D54" s="49">
        <f>AVERAGE('11.8 BUSUNJU-KAMPALA'!D54,'12.8 KAMPALA-BUSUNJU'!D54,'13.8 BUSUNJU-KAMPALA'!D54,'14.8 BUSUNJU-KAMPALA'!D54,'15.8 BUSUNJU-KAMPALA-24HRS'!D54,'16.8 KAMPALA-BUSUNJU-24HRS'!D54,'17.8 BUSUNJU-KAMPALA'!D54)</f>
        <v>0</v>
      </c>
      <c r="E54" s="49">
        <f>AVERAGE('11.8 BUSUNJU-KAMPALA'!E54,'12.8 KAMPALA-BUSUNJU'!E54,'13.8 BUSUNJU-KAMPALA'!E54,'14.8 BUSUNJU-KAMPALA'!E54,'15.8 BUSUNJU-KAMPALA-24HRS'!E54,'16.8 KAMPALA-BUSUNJU-24HRS'!E54,'17.8 BUSUNJU-KAMPALA'!E54)</f>
        <v>1.5714285714285714</v>
      </c>
      <c r="F54" s="49">
        <f>AVERAGE('11.8 BUSUNJU-KAMPALA'!F54,'12.8 KAMPALA-BUSUNJU'!F54,'13.8 BUSUNJU-KAMPALA'!F54,'14.8 BUSUNJU-KAMPALA'!F54,'15.8 BUSUNJU-KAMPALA-24HRS'!F54,'16.8 KAMPALA-BUSUNJU-24HRS'!F54,'17.8 BUSUNJU-KAMPALA'!F54)</f>
        <v>0.7142857142857143</v>
      </c>
      <c r="G54" s="49">
        <f>AVERAGE('11.8 BUSUNJU-KAMPALA'!G54,'12.8 KAMPALA-BUSUNJU'!G54,'13.8 BUSUNJU-KAMPALA'!G54,'14.8 BUSUNJU-KAMPALA'!G54,'15.8 BUSUNJU-KAMPALA-24HRS'!G54,'16.8 KAMPALA-BUSUNJU-24HRS'!G54,'17.8 BUSUNJU-KAMPALA'!G54)</f>
        <v>0.14285714285714285</v>
      </c>
      <c r="H54" s="49">
        <f>AVERAGE('11.8 BUSUNJU-KAMPALA'!H54,'12.8 KAMPALA-BUSUNJU'!H54,'13.8 BUSUNJU-KAMPALA'!H54,'14.8 BUSUNJU-KAMPALA'!H54,'15.8 BUSUNJU-KAMPALA-24HRS'!H54,'16.8 KAMPALA-BUSUNJU-24HRS'!H54,'17.8 BUSUNJU-KAMPALA'!H54)</f>
        <v>0</v>
      </c>
      <c r="I54" s="49">
        <f>AVERAGE('11.8 BUSUNJU-KAMPALA'!I54,'12.8 KAMPALA-BUSUNJU'!I54,'13.8 BUSUNJU-KAMPALA'!I54,'14.8 BUSUNJU-KAMPALA'!I54,'15.8 BUSUNJU-KAMPALA-24HRS'!I54,'16.8 KAMPALA-BUSUNJU-24HRS'!I54,'17.8 BUSUNJU-KAMPALA'!I54)</f>
        <v>1.1428571428571428</v>
      </c>
      <c r="J54" s="49">
        <f>AVERAGE('11.8 BUSUNJU-KAMPALA'!J54,'12.8 KAMPALA-BUSUNJU'!J54,'13.8 BUSUNJU-KAMPALA'!J54,'14.8 BUSUNJU-KAMPALA'!J54,'15.8 BUSUNJU-KAMPALA-24HRS'!J54,'16.8 KAMPALA-BUSUNJU-24HRS'!J54,'17.8 BUSUNJU-KAMPALA'!J54)</f>
        <v>0.14285714285714285</v>
      </c>
      <c r="K54" s="49">
        <f>AVERAGE('11.8 BUSUNJU-KAMPALA'!K54,'12.8 KAMPALA-BUSUNJU'!K54,'13.8 BUSUNJU-KAMPALA'!K54,'14.8 BUSUNJU-KAMPALA'!K54,'15.8 BUSUNJU-KAMPALA-24HRS'!K54,'16.8 KAMPALA-BUSUNJU-24HRS'!K54,'17.8 BUSUNJU-KAMPALA'!K54)</f>
        <v>0</v>
      </c>
      <c r="L54" s="49">
        <f>AVERAGE('11.8 BUSUNJU-KAMPALA'!L54,'12.8 KAMPALA-BUSUNJU'!L54,'13.8 BUSUNJU-KAMPALA'!L54,'14.8 BUSUNJU-KAMPALA'!L54,'15.8 BUSUNJU-KAMPALA-24HRS'!L54,'16.8 KAMPALA-BUSUNJU-24HRS'!L54,'17.8 BUSUNJU-KAMPALA'!L54)</f>
        <v>0</v>
      </c>
      <c r="M54" s="49">
        <f>AVERAGE('11.8 BUSUNJU-KAMPALA'!M54,'12.8 KAMPALA-BUSUNJU'!M54,'13.8 BUSUNJU-KAMPALA'!M54,'14.8 BUSUNJU-KAMPALA'!M54,'15.8 BUSUNJU-KAMPALA-24HRS'!M54,'16.8 KAMPALA-BUSUNJU-24HRS'!M54,'17.8 BUSUNJU-KAMPALA'!M54)</f>
        <v>16.571428571428573</v>
      </c>
      <c r="N54" s="49">
        <f>AVERAGE('11.8 BUSUNJU-KAMPALA'!N54,'12.8 KAMPALA-BUSUNJU'!N54,'13.8 BUSUNJU-KAMPALA'!N54,'14.8 BUSUNJU-KAMPALA'!N54,'15.8 BUSUNJU-KAMPALA-24HRS'!N54,'16.8 KAMPALA-BUSUNJU-24HRS'!N54,'17.8 BUSUNJU-KAMPALA'!N54)</f>
        <v>0</v>
      </c>
      <c r="O54" s="15">
        <f t="shared" si="0"/>
        <v>4.5714285714285721</v>
      </c>
      <c r="P54" s="15">
        <f t="shared" si="1"/>
        <v>21.142857142857146</v>
      </c>
      <c r="R54" s="8"/>
      <c r="T54"/>
    </row>
    <row r="55" spans="2:20" ht="23.1" customHeight="1" x14ac:dyDescent="0.25">
      <c r="B55" s="23" t="s">
        <v>82</v>
      </c>
      <c r="C55" s="49">
        <f>AVERAGE('11.8 BUSUNJU-KAMPALA'!C55,'12.8 KAMPALA-BUSUNJU'!C55,'13.8 BUSUNJU-KAMPALA'!C55,'14.8 BUSUNJU-KAMPALA'!C55,'15.8 BUSUNJU-KAMPALA-24HRS'!C55,'16.8 KAMPALA-BUSUNJU-24HRS'!C55,'17.8 BUSUNJU-KAMPALA'!C55)</f>
        <v>1.4285714285714286</v>
      </c>
      <c r="D55" s="49">
        <f>AVERAGE('11.8 BUSUNJU-KAMPALA'!D55,'12.8 KAMPALA-BUSUNJU'!D55,'13.8 BUSUNJU-KAMPALA'!D55,'14.8 BUSUNJU-KAMPALA'!D55,'15.8 BUSUNJU-KAMPALA-24HRS'!D55,'16.8 KAMPALA-BUSUNJU-24HRS'!D55,'17.8 BUSUNJU-KAMPALA'!D55)</f>
        <v>0</v>
      </c>
      <c r="E55" s="49">
        <f>AVERAGE('11.8 BUSUNJU-KAMPALA'!E55,'12.8 KAMPALA-BUSUNJU'!E55,'13.8 BUSUNJU-KAMPALA'!E55,'14.8 BUSUNJU-KAMPALA'!E55,'15.8 BUSUNJU-KAMPALA-24HRS'!E55,'16.8 KAMPALA-BUSUNJU-24HRS'!E55,'17.8 BUSUNJU-KAMPALA'!E55)</f>
        <v>0.8571428571428571</v>
      </c>
      <c r="F55" s="49">
        <f>AVERAGE('11.8 BUSUNJU-KAMPALA'!F55,'12.8 KAMPALA-BUSUNJU'!F55,'13.8 BUSUNJU-KAMPALA'!F55,'14.8 BUSUNJU-KAMPALA'!F55,'15.8 BUSUNJU-KAMPALA-24HRS'!F55,'16.8 KAMPALA-BUSUNJU-24HRS'!F55,'17.8 BUSUNJU-KAMPALA'!F55)</f>
        <v>0.42857142857142855</v>
      </c>
      <c r="G55" s="49">
        <f>AVERAGE('11.8 BUSUNJU-KAMPALA'!G55,'12.8 KAMPALA-BUSUNJU'!G55,'13.8 BUSUNJU-KAMPALA'!G55,'14.8 BUSUNJU-KAMPALA'!G55,'15.8 BUSUNJU-KAMPALA-24HRS'!G55,'16.8 KAMPALA-BUSUNJU-24HRS'!G55,'17.8 BUSUNJU-KAMPALA'!G55)</f>
        <v>0</v>
      </c>
      <c r="H55" s="49">
        <f>AVERAGE('11.8 BUSUNJU-KAMPALA'!H55,'12.8 KAMPALA-BUSUNJU'!H55,'13.8 BUSUNJU-KAMPALA'!H55,'14.8 BUSUNJU-KAMPALA'!H55,'15.8 BUSUNJU-KAMPALA-24HRS'!H55,'16.8 KAMPALA-BUSUNJU-24HRS'!H55,'17.8 BUSUNJU-KAMPALA'!H55)</f>
        <v>0</v>
      </c>
      <c r="I55" s="49">
        <f>AVERAGE('11.8 BUSUNJU-KAMPALA'!I55,'12.8 KAMPALA-BUSUNJU'!I55,'13.8 BUSUNJU-KAMPALA'!I55,'14.8 BUSUNJU-KAMPALA'!I55,'15.8 BUSUNJU-KAMPALA-24HRS'!I55,'16.8 KAMPALA-BUSUNJU-24HRS'!I55,'17.8 BUSUNJU-KAMPALA'!I55)</f>
        <v>0.7142857142857143</v>
      </c>
      <c r="J55" s="49">
        <f>AVERAGE('11.8 BUSUNJU-KAMPALA'!J55,'12.8 KAMPALA-BUSUNJU'!J55,'13.8 BUSUNJU-KAMPALA'!J55,'14.8 BUSUNJU-KAMPALA'!J55,'15.8 BUSUNJU-KAMPALA-24HRS'!J55,'16.8 KAMPALA-BUSUNJU-24HRS'!J55,'17.8 BUSUNJU-KAMPALA'!J55)</f>
        <v>0</v>
      </c>
      <c r="K55" s="49">
        <f>AVERAGE('11.8 BUSUNJU-KAMPALA'!K55,'12.8 KAMPALA-BUSUNJU'!K55,'13.8 BUSUNJU-KAMPALA'!K55,'14.8 BUSUNJU-KAMPALA'!K55,'15.8 BUSUNJU-KAMPALA-24HRS'!K55,'16.8 KAMPALA-BUSUNJU-24HRS'!K55,'17.8 BUSUNJU-KAMPALA'!K55)</f>
        <v>0.14285714285714285</v>
      </c>
      <c r="L55" s="49">
        <f>AVERAGE('11.8 BUSUNJU-KAMPALA'!L55,'12.8 KAMPALA-BUSUNJU'!L55,'13.8 BUSUNJU-KAMPALA'!L55,'14.8 BUSUNJU-KAMPALA'!L55,'15.8 BUSUNJU-KAMPALA-24HRS'!L55,'16.8 KAMPALA-BUSUNJU-24HRS'!L55,'17.8 BUSUNJU-KAMPALA'!L55)</f>
        <v>0</v>
      </c>
      <c r="M55" s="49">
        <f>AVERAGE('11.8 BUSUNJU-KAMPALA'!M55,'12.8 KAMPALA-BUSUNJU'!M55,'13.8 BUSUNJU-KAMPALA'!M55,'14.8 BUSUNJU-KAMPALA'!M55,'15.8 BUSUNJU-KAMPALA-24HRS'!M55,'16.8 KAMPALA-BUSUNJU-24HRS'!M55,'17.8 BUSUNJU-KAMPALA'!M55)</f>
        <v>16.428571428571427</v>
      </c>
      <c r="N55" s="49">
        <f>AVERAGE('11.8 BUSUNJU-KAMPALA'!N55,'12.8 KAMPALA-BUSUNJU'!N55,'13.8 BUSUNJU-KAMPALA'!N55,'14.8 BUSUNJU-KAMPALA'!N55,'15.8 BUSUNJU-KAMPALA-24HRS'!N55,'16.8 KAMPALA-BUSUNJU-24HRS'!N55,'17.8 BUSUNJU-KAMPALA'!N55)</f>
        <v>0</v>
      </c>
      <c r="O55" s="15">
        <f t="shared" si="0"/>
        <v>3.5714285714285712</v>
      </c>
      <c r="P55" s="15">
        <f t="shared" si="1"/>
        <v>20</v>
      </c>
      <c r="R55" s="8"/>
      <c r="T55"/>
    </row>
    <row r="56" spans="2:20" ht="23.1" customHeight="1" x14ac:dyDescent="0.25">
      <c r="B56" s="23" t="s">
        <v>83</v>
      </c>
      <c r="C56" s="49">
        <f>AVERAGE('11.8 BUSUNJU-KAMPALA'!C56,'12.8 KAMPALA-BUSUNJU'!C56,'13.8 BUSUNJU-KAMPALA'!C56,'14.8 BUSUNJU-KAMPALA'!C56,'15.8 BUSUNJU-KAMPALA-24HRS'!C56,'16.8 KAMPALA-BUSUNJU-24HRS'!C56,'17.8 BUSUNJU-KAMPALA'!C56)</f>
        <v>1.1428571428571428</v>
      </c>
      <c r="D56" s="49">
        <f>AVERAGE('11.8 BUSUNJU-KAMPALA'!D56,'12.8 KAMPALA-BUSUNJU'!D56,'13.8 BUSUNJU-KAMPALA'!D56,'14.8 BUSUNJU-KAMPALA'!D56,'15.8 BUSUNJU-KAMPALA-24HRS'!D56,'16.8 KAMPALA-BUSUNJU-24HRS'!D56,'17.8 BUSUNJU-KAMPALA'!D56)</f>
        <v>0</v>
      </c>
      <c r="E56" s="49">
        <f>AVERAGE('11.8 BUSUNJU-KAMPALA'!E56,'12.8 KAMPALA-BUSUNJU'!E56,'13.8 BUSUNJU-KAMPALA'!E56,'14.8 BUSUNJU-KAMPALA'!E56,'15.8 BUSUNJU-KAMPALA-24HRS'!E56,'16.8 KAMPALA-BUSUNJU-24HRS'!E56,'17.8 BUSUNJU-KAMPALA'!E56)</f>
        <v>0.5714285714285714</v>
      </c>
      <c r="F56" s="49">
        <f>AVERAGE('11.8 BUSUNJU-KAMPALA'!F56,'12.8 KAMPALA-BUSUNJU'!F56,'13.8 BUSUNJU-KAMPALA'!F56,'14.8 BUSUNJU-KAMPALA'!F56,'15.8 BUSUNJU-KAMPALA-24HRS'!F56,'16.8 KAMPALA-BUSUNJU-24HRS'!F56,'17.8 BUSUNJU-KAMPALA'!F56)</f>
        <v>0.42857142857142855</v>
      </c>
      <c r="G56" s="49">
        <f>AVERAGE('11.8 BUSUNJU-KAMPALA'!G56,'12.8 KAMPALA-BUSUNJU'!G56,'13.8 BUSUNJU-KAMPALA'!G56,'14.8 BUSUNJU-KAMPALA'!G56,'15.8 BUSUNJU-KAMPALA-24HRS'!G56,'16.8 KAMPALA-BUSUNJU-24HRS'!G56,'17.8 BUSUNJU-KAMPALA'!G56)</f>
        <v>0.2857142857142857</v>
      </c>
      <c r="H56" s="49">
        <f>AVERAGE('11.8 BUSUNJU-KAMPALA'!H56,'12.8 KAMPALA-BUSUNJU'!H56,'13.8 BUSUNJU-KAMPALA'!H56,'14.8 BUSUNJU-KAMPALA'!H56,'15.8 BUSUNJU-KAMPALA-24HRS'!H56,'16.8 KAMPALA-BUSUNJU-24HRS'!H56,'17.8 BUSUNJU-KAMPALA'!H56)</f>
        <v>0</v>
      </c>
      <c r="I56" s="49">
        <f>AVERAGE('11.8 BUSUNJU-KAMPALA'!I56,'12.8 KAMPALA-BUSUNJU'!I56,'13.8 BUSUNJU-KAMPALA'!I56,'14.8 BUSUNJU-KAMPALA'!I56,'15.8 BUSUNJU-KAMPALA-24HRS'!I56,'16.8 KAMPALA-BUSUNJU-24HRS'!I56,'17.8 BUSUNJU-KAMPALA'!I56)</f>
        <v>0.5714285714285714</v>
      </c>
      <c r="J56" s="49">
        <f>AVERAGE('11.8 BUSUNJU-KAMPALA'!J56,'12.8 KAMPALA-BUSUNJU'!J56,'13.8 BUSUNJU-KAMPALA'!J56,'14.8 BUSUNJU-KAMPALA'!J56,'15.8 BUSUNJU-KAMPALA-24HRS'!J56,'16.8 KAMPALA-BUSUNJU-24HRS'!J56,'17.8 BUSUNJU-KAMPALA'!J56)</f>
        <v>0</v>
      </c>
      <c r="K56" s="49">
        <f>AVERAGE('11.8 BUSUNJU-KAMPALA'!K56,'12.8 KAMPALA-BUSUNJU'!K56,'13.8 BUSUNJU-KAMPALA'!K56,'14.8 BUSUNJU-KAMPALA'!K56,'15.8 BUSUNJU-KAMPALA-24HRS'!K56,'16.8 KAMPALA-BUSUNJU-24HRS'!K56,'17.8 BUSUNJU-KAMPALA'!K56)</f>
        <v>0</v>
      </c>
      <c r="L56" s="49">
        <f>AVERAGE('11.8 BUSUNJU-KAMPALA'!L56,'12.8 KAMPALA-BUSUNJU'!L56,'13.8 BUSUNJU-KAMPALA'!L56,'14.8 BUSUNJU-KAMPALA'!L56,'15.8 BUSUNJU-KAMPALA-24HRS'!L56,'16.8 KAMPALA-BUSUNJU-24HRS'!L56,'17.8 BUSUNJU-KAMPALA'!L56)</f>
        <v>0</v>
      </c>
      <c r="M56" s="49">
        <f>AVERAGE('11.8 BUSUNJU-KAMPALA'!M56,'12.8 KAMPALA-BUSUNJU'!M56,'13.8 BUSUNJU-KAMPALA'!M56,'14.8 BUSUNJU-KAMPALA'!M56,'15.8 BUSUNJU-KAMPALA-24HRS'!M56,'16.8 KAMPALA-BUSUNJU-24HRS'!M56,'17.8 BUSUNJU-KAMPALA'!M56)</f>
        <v>13.285714285714286</v>
      </c>
      <c r="N56" s="49">
        <f>AVERAGE('11.8 BUSUNJU-KAMPALA'!N56,'12.8 KAMPALA-BUSUNJU'!N56,'13.8 BUSUNJU-KAMPALA'!N56,'14.8 BUSUNJU-KAMPALA'!N56,'15.8 BUSUNJU-KAMPALA-24HRS'!N56,'16.8 KAMPALA-BUSUNJU-24HRS'!N56,'17.8 BUSUNJU-KAMPALA'!N56)</f>
        <v>0</v>
      </c>
      <c r="O56" s="15">
        <f t="shared" si="0"/>
        <v>3</v>
      </c>
      <c r="P56" s="15">
        <f t="shared" si="1"/>
        <v>16.285714285714285</v>
      </c>
      <c r="R56" s="8"/>
      <c r="T56"/>
    </row>
    <row r="57" spans="2:20" ht="23.1" customHeight="1" x14ac:dyDescent="0.25">
      <c r="B57" s="23" t="s">
        <v>84</v>
      </c>
      <c r="C57" s="49">
        <f>AVERAGE('11.8 BUSUNJU-KAMPALA'!C57,'12.8 KAMPALA-BUSUNJU'!C57,'13.8 BUSUNJU-KAMPALA'!C57,'14.8 BUSUNJU-KAMPALA'!C57,'15.8 BUSUNJU-KAMPALA-24HRS'!C57,'16.8 KAMPALA-BUSUNJU-24HRS'!C57,'17.8 BUSUNJU-KAMPALA'!C57)</f>
        <v>1.4285714285714286</v>
      </c>
      <c r="D57" s="49">
        <f>AVERAGE('11.8 BUSUNJU-KAMPALA'!D57,'12.8 KAMPALA-BUSUNJU'!D57,'13.8 BUSUNJU-KAMPALA'!D57,'14.8 BUSUNJU-KAMPALA'!D57,'15.8 BUSUNJU-KAMPALA-24HRS'!D57,'16.8 KAMPALA-BUSUNJU-24HRS'!D57,'17.8 BUSUNJU-KAMPALA'!D57)</f>
        <v>0</v>
      </c>
      <c r="E57" s="49">
        <f>AVERAGE('11.8 BUSUNJU-KAMPALA'!E57,'12.8 KAMPALA-BUSUNJU'!E57,'13.8 BUSUNJU-KAMPALA'!E57,'14.8 BUSUNJU-KAMPALA'!E57,'15.8 BUSUNJU-KAMPALA-24HRS'!E57,'16.8 KAMPALA-BUSUNJU-24HRS'!E57,'17.8 BUSUNJU-KAMPALA'!E57)</f>
        <v>0.42857142857142855</v>
      </c>
      <c r="F57" s="49">
        <f>AVERAGE('11.8 BUSUNJU-KAMPALA'!F57,'12.8 KAMPALA-BUSUNJU'!F57,'13.8 BUSUNJU-KAMPALA'!F57,'14.8 BUSUNJU-KAMPALA'!F57,'15.8 BUSUNJU-KAMPALA-24HRS'!F57,'16.8 KAMPALA-BUSUNJU-24HRS'!F57,'17.8 BUSUNJU-KAMPALA'!F57)</f>
        <v>0.14285714285714285</v>
      </c>
      <c r="G57" s="49">
        <f>AVERAGE('11.8 BUSUNJU-KAMPALA'!G57,'12.8 KAMPALA-BUSUNJU'!G57,'13.8 BUSUNJU-KAMPALA'!G57,'14.8 BUSUNJU-KAMPALA'!G57,'15.8 BUSUNJU-KAMPALA-24HRS'!G57,'16.8 KAMPALA-BUSUNJU-24HRS'!G57,'17.8 BUSUNJU-KAMPALA'!G57)</f>
        <v>0</v>
      </c>
      <c r="H57" s="49">
        <f>AVERAGE('11.8 BUSUNJU-KAMPALA'!H57,'12.8 KAMPALA-BUSUNJU'!H57,'13.8 BUSUNJU-KAMPALA'!H57,'14.8 BUSUNJU-KAMPALA'!H57,'15.8 BUSUNJU-KAMPALA-24HRS'!H57,'16.8 KAMPALA-BUSUNJU-24HRS'!H57,'17.8 BUSUNJU-KAMPALA'!H57)</f>
        <v>0</v>
      </c>
      <c r="I57" s="49">
        <f>AVERAGE('11.8 BUSUNJU-KAMPALA'!I57,'12.8 KAMPALA-BUSUNJU'!I57,'13.8 BUSUNJU-KAMPALA'!I57,'14.8 BUSUNJU-KAMPALA'!I57,'15.8 BUSUNJU-KAMPALA-24HRS'!I57,'16.8 KAMPALA-BUSUNJU-24HRS'!I57,'17.8 BUSUNJU-KAMPALA'!I57)</f>
        <v>1</v>
      </c>
      <c r="J57" s="49">
        <f>AVERAGE('11.8 BUSUNJU-KAMPALA'!J57,'12.8 KAMPALA-BUSUNJU'!J57,'13.8 BUSUNJU-KAMPALA'!J57,'14.8 BUSUNJU-KAMPALA'!J57,'15.8 BUSUNJU-KAMPALA-24HRS'!J57,'16.8 KAMPALA-BUSUNJU-24HRS'!J57,'17.8 BUSUNJU-KAMPALA'!J57)</f>
        <v>0</v>
      </c>
      <c r="K57" s="49">
        <f>AVERAGE('11.8 BUSUNJU-KAMPALA'!K57,'12.8 KAMPALA-BUSUNJU'!K57,'13.8 BUSUNJU-KAMPALA'!K57,'14.8 BUSUNJU-KAMPALA'!K57,'15.8 BUSUNJU-KAMPALA-24HRS'!K57,'16.8 KAMPALA-BUSUNJU-24HRS'!K57,'17.8 BUSUNJU-KAMPALA'!K57)</f>
        <v>0</v>
      </c>
      <c r="L57" s="49">
        <f>AVERAGE('11.8 BUSUNJU-KAMPALA'!L57,'12.8 KAMPALA-BUSUNJU'!L57,'13.8 BUSUNJU-KAMPALA'!L57,'14.8 BUSUNJU-KAMPALA'!L57,'15.8 BUSUNJU-KAMPALA-24HRS'!L57,'16.8 KAMPALA-BUSUNJU-24HRS'!L57,'17.8 BUSUNJU-KAMPALA'!L57)</f>
        <v>0</v>
      </c>
      <c r="M57" s="49">
        <f>AVERAGE('11.8 BUSUNJU-KAMPALA'!M57,'12.8 KAMPALA-BUSUNJU'!M57,'13.8 BUSUNJU-KAMPALA'!M57,'14.8 BUSUNJU-KAMPALA'!M57,'15.8 BUSUNJU-KAMPALA-24HRS'!M57,'16.8 KAMPALA-BUSUNJU-24HRS'!M57,'17.8 BUSUNJU-KAMPALA'!M57)</f>
        <v>12.571428571428571</v>
      </c>
      <c r="N57" s="49">
        <f>AVERAGE('11.8 BUSUNJU-KAMPALA'!N57,'12.8 KAMPALA-BUSUNJU'!N57,'13.8 BUSUNJU-KAMPALA'!N57,'14.8 BUSUNJU-KAMPALA'!N57,'15.8 BUSUNJU-KAMPALA-24HRS'!N57,'16.8 KAMPALA-BUSUNJU-24HRS'!N57,'17.8 BUSUNJU-KAMPALA'!N57)</f>
        <v>0</v>
      </c>
      <c r="O57" s="15">
        <f t="shared" si="0"/>
        <v>3</v>
      </c>
      <c r="P57" s="15">
        <f t="shared" si="1"/>
        <v>15.571428571428571</v>
      </c>
      <c r="R57" s="8"/>
      <c r="T57"/>
    </row>
    <row r="58" spans="2:20" ht="23.1" customHeight="1" x14ac:dyDescent="0.25">
      <c r="B58" s="23" t="s">
        <v>99</v>
      </c>
      <c r="C58" s="49">
        <f>AVERAGE('15.8 BUSUNJU-KAMPALA-24HRS'!C58,'16.8 BUSUNJU-KAMPALA-24HRS'!C58)</f>
        <v>1</v>
      </c>
      <c r="D58" s="49">
        <f>AVERAGE('15.8 BUSUNJU-KAMPALA-24HRS'!D58,'16.8 BUSUNJU-KAMPALA-24HRS'!D58)</f>
        <v>0</v>
      </c>
      <c r="E58" s="49">
        <f>AVERAGE('15.8 BUSUNJU-KAMPALA-24HRS'!E58,'16.8 BUSUNJU-KAMPALA-24HRS'!E58)</f>
        <v>2</v>
      </c>
      <c r="F58" s="49">
        <f>AVERAGE('15.8 BUSUNJU-KAMPALA-24HRS'!F58,'16.8 BUSUNJU-KAMPALA-24HRS'!F58)</f>
        <v>1</v>
      </c>
      <c r="G58" s="49">
        <f>AVERAGE('15.8 BUSUNJU-KAMPALA-24HRS'!G58,'16.8 BUSUNJU-KAMPALA-24HRS'!G58)</f>
        <v>0</v>
      </c>
      <c r="H58" s="49">
        <f>AVERAGE('15.8 BUSUNJU-KAMPALA-24HRS'!H58,'16.8 BUSUNJU-KAMPALA-24HRS'!H58)</f>
        <v>0</v>
      </c>
      <c r="I58" s="49">
        <f>AVERAGE('15.8 BUSUNJU-KAMPALA-24HRS'!I58,'16.8 BUSUNJU-KAMPALA-24HRS'!I58)</f>
        <v>0</v>
      </c>
      <c r="J58" s="49">
        <f>AVERAGE('15.8 BUSUNJU-KAMPALA-24HRS'!J58,'16.8 BUSUNJU-KAMPALA-24HRS'!J58)</f>
        <v>0</v>
      </c>
      <c r="K58" s="49">
        <f>AVERAGE('15.8 BUSUNJU-KAMPALA-24HRS'!K58,'16.8 BUSUNJU-KAMPALA-24HRS'!K58)</f>
        <v>0</v>
      </c>
      <c r="L58" s="49">
        <f>AVERAGE('15.8 BUSUNJU-KAMPALA-24HRS'!L58,'16.8 BUSUNJU-KAMPALA-24HRS'!L58)</f>
        <v>0</v>
      </c>
      <c r="M58" s="49">
        <f>AVERAGE('15.8 BUSUNJU-KAMPALA-24HRS'!M58,'16.8 BUSUNJU-KAMPALA-24HRS'!M58)</f>
        <v>13.5</v>
      </c>
      <c r="N58" s="49">
        <f>AVERAGE('15.8 BUSUNJU-KAMPALA-24HRS'!N58,'16.8 BUSUNJU-KAMPALA-24HRS'!N58)</f>
        <v>0</v>
      </c>
      <c r="O58" s="15">
        <f t="shared" si="0"/>
        <v>4</v>
      </c>
      <c r="P58" s="15">
        <f t="shared" si="1"/>
        <v>17.5</v>
      </c>
      <c r="R58" s="8"/>
      <c r="T58"/>
    </row>
    <row r="59" spans="2:20" ht="23.1" customHeight="1" x14ac:dyDescent="0.25">
      <c r="B59" s="23" t="s">
        <v>100</v>
      </c>
      <c r="C59" s="49">
        <f>AVERAGE('15.8 BUSUNJU-KAMPALA-24HRS'!C59,'16.8 BUSUNJU-KAMPALA-24HRS'!C59)</f>
        <v>2</v>
      </c>
      <c r="D59" s="49">
        <f>AVERAGE('15.8 BUSUNJU-KAMPALA-24HRS'!D59,'16.8 BUSUNJU-KAMPALA-24HRS'!D59)</f>
        <v>0</v>
      </c>
      <c r="E59" s="49">
        <f>AVERAGE('15.8 BUSUNJU-KAMPALA-24HRS'!E59,'16.8 BUSUNJU-KAMPALA-24HRS'!E59)</f>
        <v>1</v>
      </c>
      <c r="F59" s="49">
        <f>AVERAGE('15.8 BUSUNJU-KAMPALA-24HRS'!F59,'16.8 BUSUNJU-KAMPALA-24HRS'!F59)</f>
        <v>0</v>
      </c>
      <c r="G59" s="49">
        <f>AVERAGE('15.8 BUSUNJU-KAMPALA-24HRS'!G59,'16.8 BUSUNJU-KAMPALA-24HRS'!G59)</f>
        <v>0</v>
      </c>
      <c r="H59" s="49">
        <f>AVERAGE('15.8 BUSUNJU-KAMPALA-24HRS'!H59,'16.8 BUSUNJU-KAMPALA-24HRS'!H59)</f>
        <v>0</v>
      </c>
      <c r="I59" s="49">
        <f>AVERAGE('15.8 BUSUNJU-KAMPALA-24HRS'!I59,'16.8 BUSUNJU-KAMPALA-24HRS'!I59)</f>
        <v>0</v>
      </c>
      <c r="J59" s="49">
        <f>AVERAGE('15.8 BUSUNJU-KAMPALA-24HRS'!J59,'16.8 BUSUNJU-KAMPALA-24HRS'!J59)</f>
        <v>0</v>
      </c>
      <c r="K59" s="49">
        <f>AVERAGE('15.8 BUSUNJU-KAMPALA-24HRS'!K59,'16.8 BUSUNJU-KAMPALA-24HRS'!K59)</f>
        <v>0</v>
      </c>
      <c r="L59" s="49">
        <f>AVERAGE('15.8 BUSUNJU-KAMPALA-24HRS'!L59,'16.8 BUSUNJU-KAMPALA-24HRS'!L59)</f>
        <v>0</v>
      </c>
      <c r="M59" s="49">
        <f>AVERAGE('15.8 BUSUNJU-KAMPALA-24HRS'!M59,'16.8 BUSUNJU-KAMPALA-24HRS'!M59)</f>
        <v>13.5</v>
      </c>
      <c r="N59" s="49">
        <f>AVERAGE('15.8 BUSUNJU-KAMPALA-24HRS'!N59,'16.8 BUSUNJU-KAMPALA-24HRS'!N59)</f>
        <v>0</v>
      </c>
      <c r="O59" s="15">
        <f t="shared" ref="O59:O105" si="35">SUM(C59:L59,N59)</f>
        <v>3</v>
      </c>
      <c r="P59" s="15">
        <f t="shared" ref="P59:P105" si="36">SUM(C59:N59)</f>
        <v>16.5</v>
      </c>
      <c r="R59" s="8"/>
      <c r="T59"/>
    </row>
    <row r="60" spans="2:20" ht="23.1" customHeight="1" x14ac:dyDescent="0.25">
      <c r="B60" s="23" t="s">
        <v>101</v>
      </c>
      <c r="C60" s="49">
        <f>AVERAGE('15.8 BUSUNJU-KAMPALA-24HRS'!C60,'16.8 BUSUNJU-KAMPALA-24HRS'!C60)</f>
        <v>1</v>
      </c>
      <c r="D60" s="49">
        <f>AVERAGE('15.8 BUSUNJU-KAMPALA-24HRS'!D60,'16.8 BUSUNJU-KAMPALA-24HRS'!D60)</f>
        <v>1</v>
      </c>
      <c r="E60" s="49">
        <f>AVERAGE('15.8 BUSUNJU-KAMPALA-24HRS'!E60,'16.8 BUSUNJU-KAMPALA-24HRS'!E60)</f>
        <v>0</v>
      </c>
      <c r="F60" s="49">
        <f>AVERAGE('15.8 BUSUNJU-KAMPALA-24HRS'!F60,'16.8 BUSUNJU-KAMPALA-24HRS'!F60)</f>
        <v>0</v>
      </c>
      <c r="G60" s="49">
        <f>AVERAGE('15.8 BUSUNJU-KAMPALA-24HRS'!G60,'16.8 BUSUNJU-KAMPALA-24HRS'!G60)</f>
        <v>0</v>
      </c>
      <c r="H60" s="49">
        <f>AVERAGE('15.8 BUSUNJU-KAMPALA-24HRS'!H60,'16.8 BUSUNJU-KAMPALA-24HRS'!H60)</f>
        <v>0</v>
      </c>
      <c r="I60" s="49">
        <f>AVERAGE('15.8 BUSUNJU-KAMPALA-24HRS'!I60,'16.8 BUSUNJU-KAMPALA-24HRS'!I60)</f>
        <v>2</v>
      </c>
      <c r="J60" s="49">
        <f>AVERAGE('15.8 BUSUNJU-KAMPALA-24HRS'!J60,'16.8 BUSUNJU-KAMPALA-24HRS'!J60)</f>
        <v>0</v>
      </c>
      <c r="K60" s="49">
        <f>AVERAGE('15.8 BUSUNJU-KAMPALA-24HRS'!K60,'16.8 BUSUNJU-KAMPALA-24HRS'!K60)</f>
        <v>0</v>
      </c>
      <c r="L60" s="49">
        <f>AVERAGE('15.8 BUSUNJU-KAMPALA-24HRS'!L60,'16.8 BUSUNJU-KAMPALA-24HRS'!L60)</f>
        <v>0</v>
      </c>
      <c r="M60" s="49">
        <f>AVERAGE('15.8 BUSUNJU-KAMPALA-24HRS'!M60,'16.8 BUSUNJU-KAMPALA-24HRS'!M60)</f>
        <v>12</v>
      </c>
      <c r="N60" s="49">
        <f>AVERAGE('15.8 BUSUNJU-KAMPALA-24HRS'!N60,'16.8 BUSUNJU-KAMPALA-24HRS'!N60)</f>
        <v>0</v>
      </c>
      <c r="O60" s="15">
        <f t="shared" si="35"/>
        <v>4</v>
      </c>
      <c r="P60" s="15">
        <f t="shared" si="36"/>
        <v>16</v>
      </c>
      <c r="R60" s="8"/>
      <c r="T60"/>
    </row>
    <row r="61" spans="2:20" ht="23.1" customHeight="1" x14ac:dyDescent="0.25">
      <c r="B61" s="23" t="s">
        <v>102</v>
      </c>
      <c r="C61" s="49">
        <f>AVERAGE('15.8 BUSUNJU-KAMPALA-24HRS'!C61,'16.8 BUSUNJU-KAMPALA-24HRS'!C61)</f>
        <v>2</v>
      </c>
      <c r="D61" s="49">
        <f>AVERAGE('15.8 BUSUNJU-KAMPALA-24HRS'!D61,'16.8 BUSUNJU-KAMPALA-24HRS'!D61)</f>
        <v>0</v>
      </c>
      <c r="E61" s="49">
        <f>AVERAGE('15.8 BUSUNJU-KAMPALA-24HRS'!E61,'16.8 BUSUNJU-KAMPALA-24HRS'!E61)</f>
        <v>1</v>
      </c>
      <c r="F61" s="49">
        <f>AVERAGE('15.8 BUSUNJU-KAMPALA-24HRS'!F61,'16.8 BUSUNJU-KAMPALA-24HRS'!F61)</f>
        <v>1</v>
      </c>
      <c r="G61" s="49">
        <f>AVERAGE('15.8 BUSUNJU-KAMPALA-24HRS'!G61,'16.8 BUSUNJU-KAMPALA-24HRS'!G61)</f>
        <v>0</v>
      </c>
      <c r="H61" s="49">
        <f>AVERAGE('15.8 BUSUNJU-KAMPALA-24HRS'!H61,'16.8 BUSUNJU-KAMPALA-24HRS'!H61)</f>
        <v>1</v>
      </c>
      <c r="I61" s="49">
        <f>AVERAGE('15.8 BUSUNJU-KAMPALA-24HRS'!I61,'16.8 BUSUNJU-KAMPALA-24HRS'!I61)</f>
        <v>3</v>
      </c>
      <c r="J61" s="49">
        <f>AVERAGE('15.8 BUSUNJU-KAMPALA-24HRS'!J61,'16.8 BUSUNJU-KAMPALA-24HRS'!J61)</f>
        <v>0</v>
      </c>
      <c r="K61" s="49">
        <f>AVERAGE('15.8 BUSUNJU-KAMPALA-24HRS'!K61,'16.8 BUSUNJU-KAMPALA-24HRS'!K61)</f>
        <v>0</v>
      </c>
      <c r="L61" s="49">
        <f>AVERAGE('15.8 BUSUNJU-KAMPALA-24HRS'!L61,'16.8 BUSUNJU-KAMPALA-24HRS'!L61)</f>
        <v>0</v>
      </c>
      <c r="M61" s="49">
        <f>AVERAGE('15.8 BUSUNJU-KAMPALA-24HRS'!M61,'16.8 BUSUNJU-KAMPALA-24HRS'!M61)</f>
        <v>9.5</v>
      </c>
      <c r="N61" s="49">
        <f>AVERAGE('15.8 BUSUNJU-KAMPALA-24HRS'!N61,'16.8 BUSUNJU-KAMPALA-24HRS'!N61)</f>
        <v>0</v>
      </c>
      <c r="O61" s="15">
        <f t="shared" si="35"/>
        <v>8</v>
      </c>
      <c r="P61" s="15">
        <f t="shared" si="36"/>
        <v>17.5</v>
      </c>
      <c r="R61" s="8"/>
      <c r="T61"/>
    </row>
    <row r="62" spans="2:20" ht="23.1" customHeight="1" x14ac:dyDescent="0.25">
      <c r="B62" s="23" t="s">
        <v>107</v>
      </c>
      <c r="C62" s="49">
        <f>AVERAGE('15.8 BUSUNJU-KAMPALA-24HRS'!C62,'16.8 BUSUNJU-KAMPALA-24HRS'!C62)</f>
        <v>1</v>
      </c>
      <c r="D62" s="49">
        <f>AVERAGE('15.8 BUSUNJU-KAMPALA-24HRS'!D62,'16.8 BUSUNJU-KAMPALA-24HRS'!D62)</f>
        <v>0</v>
      </c>
      <c r="E62" s="49">
        <f>AVERAGE('15.8 BUSUNJU-KAMPALA-24HRS'!E62,'16.8 BUSUNJU-KAMPALA-24HRS'!E62)</f>
        <v>2</v>
      </c>
      <c r="F62" s="49">
        <f>AVERAGE('15.8 BUSUNJU-KAMPALA-24HRS'!F62,'16.8 BUSUNJU-KAMPALA-24HRS'!F62)</f>
        <v>0</v>
      </c>
      <c r="G62" s="49">
        <f>AVERAGE('15.8 BUSUNJU-KAMPALA-24HRS'!G62,'16.8 BUSUNJU-KAMPALA-24HRS'!G62)</f>
        <v>0</v>
      </c>
      <c r="H62" s="49">
        <f>AVERAGE('15.8 BUSUNJU-KAMPALA-24HRS'!H62,'16.8 BUSUNJU-KAMPALA-24HRS'!H62)</f>
        <v>0</v>
      </c>
      <c r="I62" s="49">
        <f>AVERAGE('15.8 BUSUNJU-KAMPALA-24HRS'!I62,'16.8 BUSUNJU-KAMPALA-24HRS'!I62)</f>
        <v>2</v>
      </c>
      <c r="J62" s="49">
        <f>AVERAGE('15.8 BUSUNJU-KAMPALA-24HRS'!J62,'16.8 BUSUNJU-KAMPALA-24HRS'!J62)</f>
        <v>0</v>
      </c>
      <c r="K62" s="49">
        <f>AVERAGE('15.8 BUSUNJU-KAMPALA-24HRS'!K62,'16.8 BUSUNJU-KAMPALA-24HRS'!K62)</f>
        <v>0</v>
      </c>
      <c r="L62" s="49">
        <f>AVERAGE('15.8 BUSUNJU-KAMPALA-24HRS'!L62,'16.8 BUSUNJU-KAMPALA-24HRS'!L62)</f>
        <v>0</v>
      </c>
      <c r="M62" s="49">
        <f>AVERAGE('15.8 BUSUNJU-KAMPALA-24HRS'!M62,'16.8 BUSUNJU-KAMPALA-24HRS'!M62)</f>
        <v>12.5</v>
      </c>
      <c r="N62" s="49">
        <f>AVERAGE('15.8 BUSUNJU-KAMPALA-24HRS'!N62,'16.8 BUSUNJU-KAMPALA-24HRS'!N62)</f>
        <v>0</v>
      </c>
      <c r="O62" s="15">
        <f t="shared" si="35"/>
        <v>5</v>
      </c>
      <c r="P62" s="15">
        <f t="shared" si="36"/>
        <v>17.5</v>
      </c>
      <c r="R62" s="8"/>
      <c r="T62"/>
    </row>
    <row r="63" spans="2:20" ht="23.1" customHeight="1" x14ac:dyDescent="0.25">
      <c r="B63" s="23" t="s">
        <v>108</v>
      </c>
      <c r="C63" s="49">
        <f>AVERAGE('15.8 BUSUNJU-KAMPALA-24HRS'!C63,'16.8 BUSUNJU-KAMPALA-24HRS'!C63)</f>
        <v>2</v>
      </c>
      <c r="D63" s="49">
        <f>AVERAGE('15.8 BUSUNJU-KAMPALA-24HRS'!D63,'16.8 BUSUNJU-KAMPALA-24HRS'!D63)</f>
        <v>1</v>
      </c>
      <c r="E63" s="49">
        <f>AVERAGE('15.8 BUSUNJU-KAMPALA-24HRS'!E63,'16.8 BUSUNJU-KAMPALA-24HRS'!E63)</f>
        <v>2</v>
      </c>
      <c r="F63" s="49">
        <f>AVERAGE('15.8 BUSUNJU-KAMPALA-24HRS'!F63,'16.8 BUSUNJU-KAMPALA-24HRS'!F63)</f>
        <v>1</v>
      </c>
      <c r="G63" s="49">
        <f>AVERAGE('15.8 BUSUNJU-KAMPALA-24HRS'!G63,'16.8 BUSUNJU-KAMPALA-24HRS'!G63)</f>
        <v>0</v>
      </c>
      <c r="H63" s="49">
        <f>AVERAGE('15.8 BUSUNJU-KAMPALA-24HRS'!H63,'16.8 BUSUNJU-KAMPALA-24HRS'!H63)</f>
        <v>0</v>
      </c>
      <c r="I63" s="49">
        <f>AVERAGE('15.8 BUSUNJU-KAMPALA-24HRS'!I63,'16.8 BUSUNJU-KAMPALA-24HRS'!I63)</f>
        <v>0</v>
      </c>
      <c r="J63" s="49">
        <f>AVERAGE('15.8 BUSUNJU-KAMPALA-24HRS'!J63,'16.8 BUSUNJU-KAMPALA-24HRS'!J63)</f>
        <v>0</v>
      </c>
      <c r="K63" s="49">
        <f>AVERAGE('15.8 BUSUNJU-KAMPALA-24HRS'!K63,'16.8 BUSUNJU-KAMPALA-24HRS'!K63)</f>
        <v>0</v>
      </c>
      <c r="L63" s="49">
        <f>AVERAGE('15.8 BUSUNJU-KAMPALA-24HRS'!L63,'16.8 BUSUNJU-KAMPALA-24HRS'!L63)</f>
        <v>0</v>
      </c>
      <c r="M63" s="49">
        <f>AVERAGE('15.8 BUSUNJU-KAMPALA-24HRS'!M63,'16.8 BUSUNJU-KAMPALA-24HRS'!M63)</f>
        <v>9</v>
      </c>
      <c r="N63" s="49">
        <f>AVERAGE('15.8 BUSUNJU-KAMPALA-24HRS'!N63,'16.8 BUSUNJU-KAMPALA-24HRS'!N63)</f>
        <v>0</v>
      </c>
      <c r="O63" s="15">
        <f t="shared" si="35"/>
        <v>6</v>
      </c>
      <c r="P63" s="15">
        <f t="shared" si="36"/>
        <v>15</v>
      </c>
      <c r="R63" s="8"/>
      <c r="T63"/>
    </row>
    <row r="64" spans="2:20" ht="23.1" customHeight="1" x14ac:dyDescent="0.25">
      <c r="B64" s="23" t="s">
        <v>109</v>
      </c>
      <c r="C64" s="49">
        <f>AVERAGE('15.8 BUSUNJU-KAMPALA-24HRS'!C64,'16.8 BUSUNJU-KAMPALA-24HRS'!C64)</f>
        <v>3</v>
      </c>
      <c r="D64" s="49">
        <f>AVERAGE('15.8 BUSUNJU-KAMPALA-24HRS'!D64,'16.8 BUSUNJU-KAMPALA-24HRS'!D64)</f>
        <v>0</v>
      </c>
      <c r="E64" s="49">
        <f>AVERAGE('15.8 BUSUNJU-KAMPALA-24HRS'!E64,'16.8 BUSUNJU-KAMPALA-24HRS'!E64)</f>
        <v>1</v>
      </c>
      <c r="F64" s="49">
        <f>AVERAGE('15.8 BUSUNJU-KAMPALA-24HRS'!F64,'16.8 BUSUNJU-KAMPALA-24HRS'!F64)</f>
        <v>0</v>
      </c>
      <c r="G64" s="49">
        <f>AVERAGE('15.8 BUSUNJU-KAMPALA-24HRS'!G64,'16.8 BUSUNJU-KAMPALA-24HRS'!G64)</f>
        <v>0</v>
      </c>
      <c r="H64" s="49">
        <f>AVERAGE('15.8 BUSUNJU-KAMPALA-24HRS'!H64,'16.8 BUSUNJU-KAMPALA-24HRS'!H64)</f>
        <v>0</v>
      </c>
      <c r="I64" s="49">
        <f>AVERAGE('15.8 BUSUNJU-KAMPALA-24HRS'!I64,'16.8 BUSUNJU-KAMPALA-24HRS'!I64)</f>
        <v>0</v>
      </c>
      <c r="J64" s="49">
        <f>AVERAGE('15.8 BUSUNJU-KAMPALA-24HRS'!J64,'16.8 BUSUNJU-KAMPALA-24HRS'!J64)</f>
        <v>0</v>
      </c>
      <c r="K64" s="49">
        <f>AVERAGE('15.8 BUSUNJU-KAMPALA-24HRS'!K64,'16.8 BUSUNJU-KAMPALA-24HRS'!K64)</f>
        <v>0</v>
      </c>
      <c r="L64" s="49">
        <f>AVERAGE('15.8 BUSUNJU-KAMPALA-24HRS'!L64,'16.8 BUSUNJU-KAMPALA-24HRS'!L64)</f>
        <v>0</v>
      </c>
      <c r="M64" s="49">
        <f>AVERAGE('15.8 BUSUNJU-KAMPALA-24HRS'!M64,'16.8 BUSUNJU-KAMPALA-24HRS'!M64)</f>
        <v>7</v>
      </c>
      <c r="N64" s="49">
        <f>AVERAGE('15.8 BUSUNJU-KAMPALA-24HRS'!N64,'16.8 BUSUNJU-KAMPALA-24HRS'!N64)</f>
        <v>0</v>
      </c>
      <c r="O64" s="15">
        <f t="shared" si="35"/>
        <v>4</v>
      </c>
      <c r="P64" s="15">
        <f t="shared" si="36"/>
        <v>11</v>
      </c>
      <c r="R64" s="8"/>
      <c r="T64"/>
    </row>
    <row r="65" spans="2:20" ht="23.1" customHeight="1" x14ac:dyDescent="0.25">
      <c r="B65" s="23" t="s">
        <v>158</v>
      </c>
      <c r="C65" s="49">
        <f>AVERAGE('15.8 BUSUNJU-KAMPALA-24HRS'!C65,'16.8 BUSUNJU-KAMPALA-24HRS'!C65)</f>
        <v>1</v>
      </c>
      <c r="D65" s="49">
        <f>AVERAGE('15.8 BUSUNJU-KAMPALA-24HRS'!D65,'16.8 BUSUNJU-KAMPALA-24HRS'!D65)</f>
        <v>0</v>
      </c>
      <c r="E65" s="49">
        <f>AVERAGE('15.8 BUSUNJU-KAMPALA-24HRS'!E65,'16.8 BUSUNJU-KAMPALA-24HRS'!E65)</f>
        <v>0</v>
      </c>
      <c r="F65" s="49">
        <f>AVERAGE('15.8 BUSUNJU-KAMPALA-24HRS'!F65,'16.8 BUSUNJU-KAMPALA-24HRS'!F65)</f>
        <v>0</v>
      </c>
      <c r="G65" s="49">
        <f>AVERAGE('15.8 BUSUNJU-KAMPALA-24HRS'!G65,'16.8 BUSUNJU-KAMPALA-24HRS'!G65)</f>
        <v>0</v>
      </c>
      <c r="H65" s="49">
        <f>AVERAGE('15.8 BUSUNJU-KAMPALA-24HRS'!H65,'16.8 BUSUNJU-KAMPALA-24HRS'!H65)</f>
        <v>0</v>
      </c>
      <c r="I65" s="49">
        <f>AVERAGE('15.8 BUSUNJU-KAMPALA-24HRS'!I65,'16.8 BUSUNJU-KAMPALA-24HRS'!I65)</f>
        <v>1</v>
      </c>
      <c r="J65" s="49">
        <f>AVERAGE('15.8 BUSUNJU-KAMPALA-24HRS'!J65,'16.8 BUSUNJU-KAMPALA-24HRS'!J65)</f>
        <v>0</v>
      </c>
      <c r="K65" s="49">
        <f>AVERAGE('15.8 BUSUNJU-KAMPALA-24HRS'!K65,'16.8 BUSUNJU-KAMPALA-24HRS'!K65)</f>
        <v>0</v>
      </c>
      <c r="L65" s="49">
        <f>AVERAGE('15.8 BUSUNJU-KAMPALA-24HRS'!L65,'16.8 BUSUNJU-KAMPALA-24HRS'!L65)</f>
        <v>0</v>
      </c>
      <c r="M65" s="49">
        <f>AVERAGE('15.8 BUSUNJU-KAMPALA-24HRS'!M65,'16.8 BUSUNJU-KAMPALA-24HRS'!M65)</f>
        <v>5.5</v>
      </c>
      <c r="N65" s="49">
        <f>AVERAGE('15.8 BUSUNJU-KAMPALA-24HRS'!N65,'16.8 BUSUNJU-KAMPALA-24HRS'!N65)</f>
        <v>0</v>
      </c>
      <c r="O65" s="15">
        <f t="shared" si="35"/>
        <v>2</v>
      </c>
      <c r="P65" s="15">
        <f t="shared" si="36"/>
        <v>7.5</v>
      </c>
      <c r="R65" s="8"/>
      <c r="T65"/>
    </row>
    <row r="66" spans="2:20" ht="23.1" customHeight="1" x14ac:dyDescent="0.25">
      <c r="B66" s="23" t="s">
        <v>103</v>
      </c>
      <c r="C66" s="49">
        <f>AVERAGE('15.8 BUSUNJU-KAMPALA-24HRS'!C66,'16.8 BUSUNJU-KAMPALA-24HRS'!C66)</f>
        <v>1</v>
      </c>
      <c r="D66" s="49">
        <f>AVERAGE('15.8 BUSUNJU-KAMPALA-24HRS'!D66,'16.8 BUSUNJU-KAMPALA-24HRS'!D66)</f>
        <v>1</v>
      </c>
      <c r="E66" s="49">
        <f>AVERAGE('15.8 BUSUNJU-KAMPALA-24HRS'!E66,'16.8 BUSUNJU-KAMPALA-24HRS'!E66)</f>
        <v>1</v>
      </c>
      <c r="F66" s="49">
        <f>AVERAGE('15.8 BUSUNJU-KAMPALA-24HRS'!F66,'16.8 BUSUNJU-KAMPALA-24HRS'!F66)</f>
        <v>0</v>
      </c>
      <c r="G66" s="49">
        <f>AVERAGE('15.8 BUSUNJU-KAMPALA-24HRS'!G66,'16.8 BUSUNJU-KAMPALA-24HRS'!G66)</f>
        <v>0</v>
      </c>
      <c r="H66" s="49">
        <f>AVERAGE('15.8 BUSUNJU-KAMPALA-24HRS'!H66,'16.8 BUSUNJU-KAMPALA-24HRS'!H66)</f>
        <v>0</v>
      </c>
      <c r="I66" s="49">
        <f>AVERAGE('15.8 BUSUNJU-KAMPALA-24HRS'!I66,'16.8 BUSUNJU-KAMPALA-24HRS'!I66)</f>
        <v>2</v>
      </c>
      <c r="J66" s="49">
        <f>AVERAGE('15.8 BUSUNJU-KAMPALA-24HRS'!J66,'16.8 BUSUNJU-KAMPALA-24HRS'!J66)</f>
        <v>0</v>
      </c>
      <c r="K66" s="49">
        <f>AVERAGE('15.8 BUSUNJU-KAMPALA-24HRS'!K66,'16.8 BUSUNJU-KAMPALA-24HRS'!K66)</f>
        <v>0</v>
      </c>
      <c r="L66" s="49">
        <f>AVERAGE('15.8 BUSUNJU-KAMPALA-24HRS'!L66,'16.8 BUSUNJU-KAMPALA-24HRS'!L66)</f>
        <v>0</v>
      </c>
      <c r="M66" s="49">
        <f>AVERAGE('15.8 BUSUNJU-KAMPALA-24HRS'!M66,'16.8 BUSUNJU-KAMPALA-24HRS'!M66)</f>
        <v>6</v>
      </c>
      <c r="N66" s="49">
        <f>AVERAGE('15.8 BUSUNJU-KAMPALA-24HRS'!N66,'16.8 BUSUNJU-KAMPALA-24HRS'!N66)</f>
        <v>0</v>
      </c>
      <c r="O66" s="15">
        <f t="shared" si="35"/>
        <v>5</v>
      </c>
      <c r="P66" s="15">
        <f t="shared" si="36"/>
        <v>11</v>
      </c>
      <c r="R66" s="8"/>
      <c r="T66"/>
    </row>
    <row r="67" spans="2:20" ht="23.1" customHeight="1" x14ac:dyDescent="0.25">
      <c r="B67" s="23" t="s">
        <v>104</v>
      </c>
      <c r="C67" s="49">
        <f>AVERAGE('15.8 BUSUNJU-KAMPALA-24HRS'!C67,'16.8 BUSUNJU-KAMPALA-24HRS'!C67)</f>
        <v>2</v>
      </c>
      <c r="D67" s="49">
        <f>AVERAGE('15.8 BUSUNJU-KAMPALA-24HRS'!D67,'16.8 BUSUNJU-KAMPALA-24HRS'!D67)</f>
        <v>1</v>
      </c>
      <c r="E67" s="49">
        <f>AVERAGE('15.8 BUSUNJU-KAMPALA-24HRS'!E67,'16.8 BUSUNJU-KAMPALA-24HRS'!E67)</f>
        <v>3</v>
      </c>
      <c r="F67" s="49">
        <f>AVERAGE('15.8 BUSUNJU-KAMPALA-24HRS'!F67,'16.8 BUSUNJU-KAMPALA-24HRS'!F67)</f>
        <v>0</v>
      </c>
      <c r="G67" s="49">
        <f>AVERAGE('15.8 BUSUNJU-KAMPALA-24HRS'!G67,'16.8 BUSUNJU-KAMPALA-24HRS'!G67)</f>
        <v>0</v>
      </c>
      <c r="H67" s="49">
        <f>AVERAGE('15.8 BUSUNJU-KAMPALA-24HRS'!H67,'16.8 BUSUNJU-KAMPALA-24HRS'!H67)</f>
        <v>0</v>
      </c>
      <c r="I67" s="49">
        <f>AVERAGE('15.8 BUSUNJU-KAMPALA-24HRS'!I67,'16.8 BUSUNJU-KAMPALA-24HRS'!I67)</f>
        <v>2</v>
      </c>
      <c r="J67" s="49">
        <f>AVERAGE('15.8 BUSUNJU-KAMPALA-24HRS'!J67,'16.8 BUSUNJU-KAMPALA-24HRS'!J67)</f>
        <v>0</v>
      </c>
      <c r="K67" s="49">
        <f>AVERAGE('15.8 BUSUNJU-KAMPALA-24HRS'!K67,'16.8 BUSUNJU-KAMPALA-24HRS'!K67)</f>
        <v>0</v>
      </c>
      <c r="L67" s="49">
        <f>AVERAGE('15.8 BUSUNJU-KAMPALA-24HRS'!L67,'16.8 BUSUNJU-KAMPALA-24HRS'!L67)</f>
        <v>0</v>
      </c>
      <c r="M67" s="49">
        <f>AVERAGE('15.8 BUSUNJU-KAMPALA-24HRS'!M67,'16.8 BUSUNJU-KAMPALA-24HRS'!M67)</f>
        <v>3</v>
      </c>
      <c r="N67" s="49">
        <f>AVERAGE('15.8 BUSUNJU-KAMPALA-24HRS'!N67,'16.8 BUSUNJU-KAMPALA-24HRS'!N67)</f>
        <v>0</v>
      </c>
      <c r="O67" s="15">
        <f t="shared" si="35"/>
        <v>8</v>
      </c>
      <c r="P67" s="15">
        <f t="shared" si="36"/>
        <v>11</v>
      </c>
      <c r="R67" s="8"/>
      <c r="T67"/>
    </row>
    <row r="68" spans="2:20" ht="23.1" customHeight="1" x14ac:dyDescent="0.25">
      <c r="B68" s="23" t="s">
        <v>105</v>
      </c>
      <c r="C68" s="49">
        <f>AVERAGE('15.8 BUSUNJU-KAMPALA-24HRS'!C68,'16.8 BUSUNJU-KAMPALA-24HRS'!C68)</f>
        <v>1</v>
      </c>
      <c r="D68" s="49">
        <f>AVERAGE('15.8 BUSUNJU-KAMPALA-24HRS'!D68,'16.8 BUSUNJU-KAMPALA-24HRS'!D68)</f>
        <v>0</v>
      </c>
      <c r="E68" s="49">
        <f>AVERAGE('15.8 BUSUNJU-KAMPALA-24HRS'!E68,'16.8 BUSUNJU-KAMPALA-24HRS'!E68)</f>
        <v>2</v>
      </c>
      <c r="F68" s="49">
        <f>AVERAGE('15.8 BUSUNJU-KAMPALA-24HRS'!F68,'16.8 BUSUNJU-KAMPALA-24HRS'!F68)</f>
        <v>1</v>
      </c>
      <c r="G68" s="49">
        <f>AVERAGE('15.8 BUSUNJU-KAMPALA-24HRS'!G68,'16.8 BUSUNJU-KAMPALA-24HRS'!G68)</f>
        <v>0</v>
      </c>
      <c r="H68" s="49">
        <f>AVERAGE('15.8 BUSUNJU-KAMPALA-24HRS'!H68,'16.8 BUSUNJU-KAMPALA-24HRS'!H68)</f>
        <v>0</v>
      </c>
      <c r="I68" s="49">
        <f>AVERAGE('15.8 BUSUNJU-KAMPALA-24HRS'!I68,'16.8 BUSUNJU-KAMPALA-24HRS'!I68)</f>
        <v>0</v>
      </c>
      <c r="J68" s="49">
        <f>AVERAGE('15.8 BUSUNJU-KAMPALA-24HRS'!J68,'16.8 BUSUNJU-KAMPALA-24HRS'!J68)</f>
        <v>0</v>
      </c>
      <c r="K68" s="49">
        <f>AVERAGE('15.8 BUSUNJU-KAMPALA-24HRS'!K68,'16.8 BUSUNJU-KAMPALA-24HRS'!K68)</f>
        <v>0</v>
      </c>
      <c r="L68" s="49">
        <f>AVERAGE('15.8 BUSUNJU-KAMPALA-24HRS'!L68,'16.8 BUSUNJU-KAMPALA-24HRS'!L68)</f>
        <v>0</v>
      </c>
      <c r="M68" s="49">
        <f>AVERAGE('15.8 BUSUNJU-KAMPALA-24HRS'!M68,'16.8 BUSUNJU-KAMPALA-24HRS'!M68)</f>
        <v>4</v>
      </c>
      <c r="N68" s="49">
        <f>AVERAGE('15.8 BUSUNJU-KAMPALA-24HRS'!N68,'16.8 BUSUNJU-KAMPALA-24HRS'!N68)</f>
        <v>0</v>
      </c>
      <c r="O68" s="15">
        <f t="shared" si="35"/>
        <v>4</v>
      </c>
      <c r="P68" s="15">
        <f t="shared" si="36"/>
        <v>8</v>
      </c>
      <c r="R68" s="8"/>
      <c r="T68"/>
    </row>
    <row r="69" spans="2:20" ht="23.1" customHeight="1" x14ac:dyDescent="0.25">
      <c r="B69" s="23" t="s">
        <v>106</v>
      </c>
      <c r="C69" s="49">
        <f>AVERAGE('15.8 BUSUNJU-KAMPALA-24HRS'!C69,'16.8 BUSUNJU-KAMPALA-24HRS'!C69)</f>
        <v>2</v>
      </c>
      <c r="D69" s="49">
        <f>AVERAGE('15.8 BUSUNJU-KAMPALA-24HRS'!D69,'16.8 BUSUNJU-KAMPALA-24HRS'!D69)</f>
        <v>0</v>
      </c>
      <c r="E69" s="49">
        <f>AVERAGE('15.8 BUSUNJU-KAMPALA-24HRS'!E69,'16.8 BUSUNJU-KAMPALA-24HRS'!E69)</f>
        <v>1</v>
      </c>
      <c r="F69" s="49">
        <f>AVERAGE('15.8 BUSUNJU-KAMPALA-24HRS'!F69,'16.8 BUSUNJU-KAMPALA-24HRS'!F69)</f>
        <v>0</v>
      </c>
      <c r="G69" s="49">
        <f>AVERAGE('15.8 BUSUNJU-KAMPALA-24HRS'!G69,'16.8 BUSUNJU-KAMPALA-24HRS'!G69)</f>
        <v>0</v>
      </c>
      <c r="H69" s="49">
        <f>AVERAGE('15.8 BUSUNJU-KAMPALA-24HRS'!H69,'16.8 BUSUNJU-KAMPALA-24HRS'!H69)</f>
        <v>0</v>
      </c>
      <c r="I69" s="49">
        <f>AVERAGE('15.8 BUSUNJU-KAMPALA-24HRS'!I69,'16.8 BUSUNJU-KAMPALA-24HRS'!I69)</f>
        <v>0</v>
      </c>
      <c r="J69" s="49">
        <f>AVERAGE('15.8 BUSUNJU-KAMPALA-24HRS'!J69,'16.8 BUSUNJU-KAMPALA-24HRS'!J69)</f>
        <v>0</v>
      </c>
      <c r="K69" s="49">
        <f>AVERAGE('15.8 BUSUNJU-KAMPALA-24HRS'!K69,'16.8 BUSUNJU-KAMPALA-24HRS'!K69)</f>
        <v>0</v>
      </c>
      <c r="L69" s="49">
        <f>AVERAGE('15.8 BUSUNJU-KAMPALA-24HRS'!L69,'16.8 BUSUNJU-KAMPALA-24HRS'!L69)</f>
        <v>0</v>
      </c>
      <c r="M69" s="49">
        <f>AVERAGE('15.8 BUSUNJU-KAMPALA-24HRS'!M69,'16.8 BUSUNJU-KAMPALA-24HRS'!M69)</f>
        <v>2</v>
      </c>
      <c r="N69" s="49">
        <f>AVERAGE('15.8 BUSUNJU-KAMPALA-24HRS'!N69,'16.8 BUSUNJU-KAMPALA-24HRS'!N69)</f>
        <v>0</v>
      </c>
      <c r="O69" s="15">
        <f t="shared" si="35"/>
        <v>3</v>
      </c>
      <c r="P69" s="15">
        <f t="shared" si="36"/>
        <v>5</v>
      </c>
      <c r="R69" s="8"/>
      <c r="T69"/>
    </row>
    <row r="70" spans="2:20" ht="23.1" customHeight="1" x14ac:dyDescent="0.25">
      <c r="B70" s="23" t="s">
        <v>110</v>
      </c>
      <c r="C70" s="49">
        <f>AVERAGE('15.8 BUSUNJU-KAMPALA-24HRS'!C70,'16.8 BUSUNJU-KAMPALA-24HRS'!C70)</f>
        <v>1</v>
      </c>
      <c r="D70" s="49">
        <f>AVERAGE('15.8 BUSUNJU-KAMPALA-24HRS'!D70,'16.8 BUSUNJU-KAMPALA-24HRS'!D70)</f>
        <v>0</v>
      </c>
      <c r="E70" s="49">
        <f>AVERAGE('15.8 BUSUNJU-KAMPALA-24HRS'!E70,'16.8 BUSUNJU-KAMPALA-24HRS'!E70)</f>
        <v>0</v>
      </c>
      <c r="F70" s="49">
        <f>AVERAGE('15.8 BUSUNJU-KAMPALA-24HRS'!F70,'16.8 BUSUNJU-KAMPALA-24HRS'!F70)</f>
        <v>0</v>
      </c>
      <c r="G70" s="49">
        <f>AVERAGE('15.8 BUSUNJU-KAMPALA-24HRS'!G70,'16.8 BUSUNJU-KAMPALA-24HRS'!G70)</f>
        <v>0</v>
      </c>
      <c r="H70" s="49">
        <f>AVERAGE('15.8 BUSUNJU-KAMPALA-24HRS'!H70,'16.8 BUSUNJU-KAMPALA-24HRS'!H70)</f>
        <v>0</v>
      </c>
      <c r="I70" s="49">
        <f>AVERAGE('15.8 BUSUNJU-KAMPALA-24HRS'!I70,'16.8 BUSUNJU-KAMPALA-24HRS'!I70)</f>
        <v>3</v>
      </c>
      <c r="J70" s="49">
        <f>AVERAGE('15.8 BUSUNJU-KAMPALA-24HRS'!J70,'16.8 BUSUNJU-KAMPALA-24HRS'!J70)</f>
        <v>1</v>
      </c>
      <c r="K70" s="49">
        <f>AVERAGE('15.8 BUSUNJU-KAMPALA-24HRS'!K70,'16.8 BUSUNJU-KAMPALA-24HRS'!K70)</f>
        <v>0</v>
      </c>
      <c r="L70" s="49">
        <f>AVERAGE('15.8 BUSUNJU-KAMPALA-24HRS'!L70,'16.8 BUSUNJU-KAMPALA-24HRS'!L70)</f>
        <v>0</v>
      </c>
      <c r="M70" s="49">
        <f>AVERAGE('15.8 BUSUNJU-KAMPALA-24HRS'!M70,'16.8 BUSUNJU-KAMPALA-24HRS'!M70)</f>
        <v>0</v>
      </c>
      <c r="N70" s="49">
        <f>AVERAGE('15.8 BUSUNJU-KAMPALA-24HRS'!N70,'16.8 BUSUNJU-KAMPALA-24HRS'!N70)</f>
        <v>0</v>
      </c>
      <c r="O70" s="15">
        <f t="shared" si="35"/>
        <v>5</v>
      </c>
      <c r="P70" s="15">
        <f t="shared" si="36"/>
        <v>5</v>
      </c>
      <c r="R70" s="8"/>
      <c r="T70"/>
    </row>
    <row r="71" spans="2:20" ht="23.1" customHeight="1" x14ac:dyDescent="0.25">
      <c r="B71" s="23" t="s">
        <v>111</v>
      </c>
      <c r="C71" s="49">
        <f>AVERAGE('15.8 BUSUNJU-KAMPALA-24HRS'!C71,'16.8 BUSUNJU-KAMPALA-24HRS'!C71)</f>
        <v>2</v>
      </c>
      <c r="D71" s="49">
        <f>AVERAGE('15.8 BUSUNJU-KAMPALA-24HRS'!D71,'16.8 BUSUNJU-KAMPALA-24HRS'!D71)</f>
        <v>0</v>
      </c>
      <c r="E71" s="49">
        <f>AVERAGE('15.8 BUSUNJU-KAMPALA-24HRS'!E71,'16.8 BUSUNJU-KAMPALA-24HRS'!E71)</f>
        <v>1</v>
      </c>
      <c r="F71" s="49">
        <f>AVERAGE('15.8 BUSUNJU-KAMPALA-24HRS'!F71,'16.8 BUSUNJU-KAMPALA-24HRS'!F71)</f>
        <v>0</v>
      </c>
      <c r="G71" s="49">
        <f>AVERAGE('15.8 BUSUNJU-KAMPALA-24HRS'!G71,'16.8 BUSUNJU-KAMPALA-24HRS'!G71)</f>
        <v>0</v>
      </c>
      <c r="H71" s="49">
        <f>AVERAGE('15.8 BUSUNJU-KAMPALA-24HRS'!H71,'16.8 BUSUNJU-KAMPALA-24HRS'!H71)</f>
        <v>0</v>
      </c>
      <c r="I71" s="49">
        <f>AVERAGE('15.8 BUSUNJU-KAMPALA-24HRS'!I71,'16.8 BUSUNJU-KAMPALA-24HRS'!I71)</f>
        <v>0</v>
      </c>
      <c r="J71" s="49">
        <f>AVERAGE('15.8 BUSUNJU-KAMPALA-24HRS'!J71,'16.8 BUSUNJU-KAMPALA-24HRS'!J71)</f>
        <v>0</v>
      </c>
      <c r="K71" s="49">
        <f>AVERAGE('15.8 BUSUNJU-KAMPALA-24HRS'!K71,'16.8 BUSUNJU-KAMPALA-24HRS'!K71)</f>
        <v>0</v>
      </c>
      <c r="L71" s="49">
        <f>AVERAGE('15.8 BUSUNJU-KAMPALA-24HRS'!L71,'16.8 BUSUNJU-KAMPALA-24HRS'!L71)</f>
        <v>0</v>
      </c>
      <c r="M71" s="49">
        <f>AVERAGE('15.8 BUSUNJU-KAMPALA-24HRS'!M71,'16.8 BUSUNJU-KAMPALA-24HRS'!M71)</f>
        <v>1</v>
      </c>
      <c r="N71" s="49">
        <f>AVERAGE('15.8 BUSUNJU-KAMPALA-24HRS'!N71,'16.8 BUSUNJU-KAMPALA-24HRS'!N71)</f>
        <v>0</v>
      </c>
      <c r="O71" s="15">
        <f t="shared" si="35"/>
        <v>3</v>
      </c>
      <c r="P71" s="15">
        <f t="shared" si="36"/>
        <v>4</v>
      </c>
      <c r="R71" s="8"/>
      <c r="T71"/>
    </row>
    <row r="72" spans="2:20" ht="23.1" customHeight="1" x14ac:dyDescent="0.25">
      <c r="B72" s="23" t="s">
        <v>112</v>
      </c>
      <c r="C72" s="49">
        <f>AVERAGE('15.8 BUSUNJU-KAMPALA-24HRS'!C72,'16.8 BUSUNJU-KAMPALA-24HRS'!C72)</f>
        <v>2</v>
      </c>
      <c r="D72" s="49">
        <f>AVERAGE('15.8 BUSUNJU-KAMPALA-24HRS'!D72,'16.8 BUSUNJU-KAMPALA-24HRS'!D72)</f>
        <v>0</v>
      </c>
      <c r="E72" s="49">
        <f>AVERAGE('15.8 BUSUNJU-KAMPALA-24HRS'!E72,'16.8 BUSUNJU-KAMPALA-24HRS'!E72)</f>
        <v>0</v>
      </c>
      <c r="F72" s="49">
        <f>AVERAGE('15.8 BUSUNJU-KAMPALA-24HRS'!F72,'16.8 BUSUNJU-KAMPALA-24HRS'!F72)</f>
        <v>0</v>
      </c>
      <c r="G72" s="49">
        <f>AVERAGE('15.8 BUSUNJU-KAMPALA-24HRS'!G72,'16.8 BUSUNJU-KAMPALA-24HRS'!G72)</f>
        <v>0</v>
      </c>
      <c r="H72" s="49">
        <f>AVERAGE('15.8 BUSUNJU-KAMPALA-24HRS'!H72,'16.8 BUSUNJU-KAMPALA-24HRS'!H72)</f>
        <v>0</v>
      </c>
      <c r="I72" s="49">
        <f>AVERAGE('15.8 BUSUNJU-KAMPALA-24HRS'!I72,'16.8 BUSUNJU-KAMPALA-24HRS'!I72)</f>
        <v>2</v>
      </c>
      <c r="J72" s="49">
        <f>AVERAGE('15.8 BUSUNJU-KAMPALA-24HRS'!J72,'16.8 BUSUNJU-KAMPALA-24HRS'!J72)</f>
        <v>0</v>
      </c>
      <c r="K72" s="49">
        <f>AVERAGE('15.8 BUSUNJU-KAMPALA-24HRS'!K72,'16.8 BUSUNJU-KAMPALA-24HRS'!K72)</f>
        <v>0</v>
      </c>
      <c r="L72" s="49">
        <f>AVERAGE('15.8 BUSUNJU-KAMPALA-24HRS'!L72,'16.8 BUSUNJU-KAMPALA-24HRS'!L72)</f>
        <v>0</v>
      </c>
      <c r="M72" s="49">
        <f>AVERAGE('15.8 BUSUNJU-KAMPALA-24HRS'!M72,'16.8 BUSUNJU-KAMPALA-24HRS'!M72)</f>
        <v>1</v>
      </c>
      <c r="N72" s="49">
        <f>AVERAGE('15.8 BUSUNJU-KAMPALA-24HRS'!N72,'16.8 BUSUNJU-KAMPALA-24HRS'!N72)</f>
        <v>0</v>
      </c>
      <c r="O72" s="15">
        <f t="shared" si="35"/>
        <v>4</v>
      </c>
      <c r="P72" s="15">
        <f t="shared" si="36"/>
        <v>5</v>
      </c>
      <c r="R72" s="8"/>
      <c r="T72"/>
    </row>
    <row r="73" spans="2:20" ht="23.1" customHeight="1" x14ac:dyDescent="0.25">
      <c r="B73" s="23" t="s">
        <v>113</v>
      </c>
      <c r="C73" s="49">
        <f>AVERAGE('15.8 BUSUNJU-KAMPALA-24HRS'!C73,'16.8 BUSUNJU-KAMPALA-24HRS'!C73)</f>
        <v>0</v>
      </c>
      <c r="D73" s="49">
        <f>AVERAGE('15.8 BUSUNJU-KAMPALA-24HRS'!D73,'16.8 BUSUNJU-KAMPALA-24HRS'!D73)</f>
        <v>0</v>
      </c>
      <c r="E73" s="49">
        <f>AVERAGE('15.8 BUSUNJU-KAMPALA-24HRS'!E73,'16.8 BUSUNJU-KAMPALA-24HRS'!E73)</f>
        <v>2</v>
      </c>
      <c r="F73" s="49">
        <f>AVERAGE('15.8 BUSUNJU-KAMPALA-24HRS'!F73,'16.8 BUSUNJU-KAMPALA-24HRS'!F73)</f>
        <v>1</v>
      </c>
      <c r="G73" s="49">
        <f>AVERAGE('15.8 BUSUNJU-KAMPALA-24HRS'!G73,'16.8 BUSUNJU-KAMPALA-24HRS'!G73)</f>
        <v>0</v>
      </c>
      <c r="H73" s="49">
        <f>AVERAGE('15.8 BUSUNJU-KAMPALA-24HRS'!H73,'16.8 BUSUNJU-KAMPALA-24HRS'!H73)</f>
        <v>0</v>
      </c>
      <c r="I73" s="49">
        <f>AVERAGE('15.8 BUSUNJU-KAMPALA-24HRS'!I73,'16.8 BUSUNJU-KAMPALA-24HRS'!I73)</f>
        <v>0</v>
      </c>
      <c r="J73" s="49">
        <f>AVERAGE('15.8 BUSUNJU-KAMPALA-24HRS'!J73,'16.8 BUSUNJU-KAMPALA-24HRS'!J73)</f>
        <v>0</v>
      </c>
      <c r="K73" s="49">
        <f>AVERAGE('15.8 BUSUNJU-KAMPALA-24HRS'!K73,'16.8 BUSUNJU-KAMPALA-24HRS'!K73)</f>
        <v>0</v>
      </c>
      <c r="L73" s="49">
        <f>AVERAGE('15.8 BUSUNJU-KAMPALA-24HRS'!L73,'16.8 BUSUNJU-KAMPALA-24HRS'!L73)</f>
        <v>0</v>
      </c>
      <c r="M73" s="49">
        <f>AVERAGE('15.8 BUSUNJU-KAMPALA-24HRS'!M73,'16.8 BUSUNJU-KAMPALA-24HRS'!M73)</f>
        <v>2</v>
      </c>
      <c r="N73" s="49">
        <f>AVERAGE('15.8 BUSUNJU-KAMPALA-24HRS'!N73,'16.8 BUSUNJU-KAMPALA-24HRS'!N73)</f>
        <v>0</v>
      </c>
      <c r="O73" s="15">
        <f t="shared" si="35"/>
        <v>3</v>
      </c>
      <c r="P73" s="15">
        <f t="shared" si="36"/>
        <v>5</v>
      </c>
      <c r="R73" s="8"/>
      <c r="T73"/>
    </row>
    <row r="74" spans="2:20" ht="23.1" customHeight="1" x14ac:dyDescent="0.25">
      <c r="B74" s="23" t="s">
        <v>114</v>
      </c>
      <c r="C74" s="49">
        <f>AVERAGE('15.8 BUSUNJU-KAMPALA-24HRS'!C74,'16.8 BUSUNJU-KAMPALA-24HRS'!C74)</f>
        <v>1</v>
      </c>
      <c r="D74" s="49">
        <f>AVERAGE('15.8 BUSUNJU-KAMPALA-24HRS'!D74,'16.8 BUSUNJU-KAMPALA-24HRS'!D74)</f>
        <v>0</v>
      </c>
      <c r="E74" s="49">
        <f>AVERAGE('15.8 BUSUNJU-KAMPALA-24HRS'!E74,'16.8 BUSUNJU-KAMPALA-24HRS'!E74)</f>
        <v>1</v>
      </c>
      <c r="F74" s="49">
        <f>AVERAGE('15.8 BUSUNJU-KAMPALA-24HRS'!F74,'16.8 BUSUNJU-KAMPALA-24HRS'!F74)</f>
        <v>0</v>
      </c>
      <c r="G74" s="49">
        <f>AVERAGE('15.8 BUSUNJU-KAMPALA-24HRS'!G74,'16.8 BUSUNJU-KAMPALA-24HRS'!G74)</f>
        <v>0</v>
      </c>
      <c r="H74" s="49">
        <f>AVERAGE('15.8 BUSUNJU-KAMPALA-24HRS'!H74,'16.8 BUSUNJU-KAMPALA-24HRS'!H74)</f>
        <v>0</v>
      </c>
      <c r="I74" s="49">
        <f>AVERAGE('15.8 BUSUNJU-KAMPALA-24HRS'!I74,'16.8 BUSUNJU-KAMPALA-24HRS'!I74)</f>
        <v>0</v>
      </c>
      <c r="J74" s="49">
        <f>AVERAGE('15.8 BUSUNJU-KAMPALA-24HRS'!J74,'16.8 BUSUNJU-KAMPALA-24HRS'!J74)</f>
        <v>0</v>
      </c>
      <c r="K74" s="49">
        <f>AVERAGE('15.8 BUSUNJU-KAMPALA-24HRS'!K74,'16.8 BUSUNJU-KAMPALA-24HRS'!K74)</f>
        <v>0</v>
      </c>
      <c r="L74" s="49">
        <f>AVERAGE('15.8 BUSUNJU-KAMPALA-24HRS'!L74,'16.8 BUSUNJU-KAMPALA-24HRS'!L74)</f>
        <v>0</v>
      </c>
      <c r="M74" s="49">
        <f>AVERAGE('15.8 BUSUNJU-KAMPALA-24HRS'!M74,'16.8 BUSUNJU-KAMPALA-24HRS'!M74)</f>
        <v>2</v>
      </c>
      <c r="N74" s="49">
        <f>AVERAGE('15.8 BUSUNJU-KAMPALA-24HRS'!N74,'16.8 BUSUNJU-KAMPALA-24HRS'!N74)</f>
        <v>0</v>
      </c>
      <c r="O74" s="15">
        <f t="shared" si="35"/>
        <v>2</v>
      </c>
      <c r="P74" s="15">
        <f t="shared" si="36"/>
        <v>4</v>
      </c>
      <c r="R74" s="8"/>
      <c r="T74"/>
    </row>
    <row r="75" spans="2:20" ht="23.1" customHeight="1" x14ac:dyDescent="0.25">
      <c r="B75" s="23" t="s">
        <v>115</v>
      </c>
      <c r="C75" s="49">
        <f>AVERAGE('15.8 BUSUNJU-KAMPALA-24HRS'!C75,'16.8 BUSUNJU-KAMPALA-24HRS'!C75)</f>
        <v>1</v>
      </c>
      <c r="D75" s="49">
        <f>AVERAGE('15.8 BUSUNJU-KAMPALA-24HRS'!D75,'16.8 BUSUNJU-KAMPALA-24HRS'!D75)</f>
        <v>0</v>
      </c>
      <c r="E75" s="49">
        <f>AVERAGE('15.8 BUSUNJU-KAMPALA-24HRS'!E75,'16.8 BUSUNJU-KAMPALA-24HRS'!E75)</f>
        <v>0</v>
      </c>
      <c r="F75" s="49">
        <f>AVERAGE('15.8 BUSUNJU-KAMPALA-24HRS'!F75,'16.8 BUSUNJU-KAMPALA-24HRS'!F75)</f>
        <v>0</v>
      </c>
      <c r="G75" s="49">
        <f>AVERAGE('15.8 BUSUNJU-KAMPALA-24HRS'!G75,'16.8 BUSUNJU-KAMPALA-24HRS'!G75)</f>
        <v>0</v>
      </c>
      <c r="H75" s="49">
        <f>AVERAGE('15.8 BUSUNJU-KAMPALA-24HRS'!H75,'16.8 BUSUNJU-KAMPALA-24HRS'!H75)</f>
        <v>0</v>
      </c>
      <c r="I75" s="49">
        <f>AVERAGE('15.8 BUSUNJU-KAMPALA-24HRS'!I75,'16.8 BUSUNJU-KAMPALA-24HRS'!I75)</f>
        <v>0</v>
      </c>
      <c r="J75" s="49">
        <f>AVERAGE('15.8 BUSUNJU-KAMPALA-24HRS'!J75,'16.8 BUSUNJU-KAMPALA-24HRS'!J75)</f>
        <v>0</v>
      </c>
      <c r="K75" s="49">
        <f>AVERAGE('15.8 BUSUNJU-KAMPALA-24HRS'!K75,'16.8 BUSUNJU-KAMPALA-24HRS'!K75)</f>
        <v>0</v>
      </c>
      <c r="L75" s="49">
        <f>AVERAGE('15.8 BUSUNJU-KAMPALA-24HRS'!L75,'16.8 BUSUNJU-KAMPALA-24HRS'!L75)</f>
        <v>0</v>
      </c>
      <c r="M75" s="49">
        <f>AVERAGE('15.8 BUSUNJU-KAMPALA-24HRS'!M75,'16.8 BUSUNJU-KAMPALA-24HRS'!M75)</f>
        <v>0</v>
      </c>
      <c r="N75" s="49">
        <f>AVERAGE('15.8 BUSUNJU-KAMPALA-24HRS'!N75,'16.8 BUSUNJU-KAMPALA-24HRS'!N75)</f>
        <v>0</v>
      </c>
      <c r="O75" s="15">
        <f t="shared" si="35"/>
        <v>1</v>
      </c>
      <c r="P75" s="15">
        <f t="shared" si="36"/>
        <v>1</v>
      </c>
      <c r="R75" s="8"/>
      <c r="T75"/>
    </row>
    <row r="76" spans="2:20" ht="23.1" customHeight="1" x14ac:dyDescent="0.25">
      <c r="B76" s="23" t="s">
        <v>116</v>
      </c>
      <c r="C76" s="49">
        <f>AVERAGE('15.8 BUSUNJU-KAMPALA-24HRS'!C76,'16.8 BUSUNJU-KAMPALA-24HRS'!C76)</f>
        <v>1</v>
      </c>
      <c r="D76" s="49">
        <f>AVERAGE('15.8 BUSUNJU-KAMPALA-24HRS'!D76,'16.8 BUSUNJU-KAMPALA-24HRS'!D76)</f>
        <v>0</v>
      </c>
      <c r="E76" s="49">
        <f>AVERAGE('15.8 BUSUNJU-KAMPALA-24HRS'!E76,'16.8 BUSUNJU-KAMPALA-24HRS'!E76)</f>
        <v>1</v>
      </c>
      <c r="F76" s="49">
        <f>AVERAGE('15.8 BUSUNJU-KAMPALA-24HRS'!F76,'16.8 BUSUNJU-KAMPALA-24HRS'!F76)</f>
        <v>0</v>
      </c>
      <c r="G76" s="49">
        <f>AVERAGE('15.8 BUSUNJU-KAMPALA-24HRS'!G76,'16.8 BUSUNJU-KAMPALA-24HRS'!G76)</f>
        <v>0</v>
      </c>
      <c r="H76" s="49">
        <f>AVERAGE('15.8 BUSUNJU-KAMPALA-24HRS'!H76,'16.8 BUSUNJU-KAMPALA-24HRS'!H76)</f>
        <v>0</v>
      </c>
      <c r="I76" s="49">
        <f>AVERAGE('15.8 BUSUNJU-KAMPALA-24HRS'!I76,'16.8 BUSUNJU-KAMPALA-24HRS'!I76)</f>
        <v>1</v>
      </c>
      <c r="J76" s="49">
        <f>AVERAGE('15.8 BUSUNJU-KAMPALA-24HRS'!J76,'16.8 BUSUNJU-KAMPALA-24HRS'!J76)</f>
        <v>0</v>
      </c>
      <c r="K76" s="49">
        <f>AVERAGE('15.8 BUSUNJU-KAMPALA-24HRS'!K76,'16.8 BUSUNJU-KAMPALA-24HRS'!K76)</f>
        <v>0</v>
      </c>
      <c r="L76" s="49">
        <f>AVERAGE('15.8 BUSUNJU-KAMPALA-24HRS'!L76,'16.8 BUSUNJU-KAMPALA-24HRS'!L76)</f>
        <v>0</v>
      </c>
      <c r="M76" s="49">
        <f>AVERAGE('15.8 BUSUNJU-KAMPALA-24HRS'!M76,'16.8 BUSUNJU-KAMPALA-24HRS'!M76)</f>
        <v>1</v>
      </c>
      <c r="N76" s="49">
        <f>AVERAGE('15.8 BUSUNJU-KAMPALA-24HRS'!N76,'16.8 BUSUNJU-KAMPALA-24HRS'!N76)</f>
        <v>0</v>
      </c>
      <c r="O76" s="15">
        <f t="shared" si="35"/>
        <v>3</v>
      </c>
      <c r="P76" s="15">
        <f t="shared" si="36"/>
        <v>4</v>
      </c>
      <c r="R76" s="8"/>
      <c r="T76"/>
    </row>
    <row r="77" spans="2:20" ht="23.1" customHeight="1" x14ac:dyDescent="0.25">
      <c r="B77" s="23" t="s">
        <v>117</v>
      </c>
      <c r="C77" s="49">
        <f>AVERAGE('15.8 BUSUNJU-KAMPALA-24HRS'!C77,'16.8 BUSUNJU-KAMPALA-24HRS'!C77)</f>
        <v>2</v>
      </c>
      <c r="D77" s="49">
        <f>AVERAGE('15.8 BUSUNJU-KAMPALA-24HRS'!D77,'16.8 BUSUNJU-KAMPALA-24HRS'!D77)</f>
        <v>1</v>
      </c>
      <c r="E77" s="49">
        <f>AVERAGE('15.8 BUSUNJU-KAMPALA-24HRS'!E77,'16.8 BUSUNJU-KAMPALA-24HRS'!E77)</f>
        <v>1</v>
      </c>
      <c r="F77" s="49">
        <f>AVERAGE('15.8 BUSUNJU-KAMPALA-24HRS'!F77,'16.8 BUSUNJU-KAMPALA-24HRS'!F77)</f>
        <v>0</v>
      </c>
      <c r="G77" s="49">
        <f>AVERAGE('15.8 BUSUNJU-KAMPALA-24HRS'!G77,'16.8 BUSUNJU-KAMPALA-24HRS'!G77)</f>
        <v>0</v>
      </c>
      <c r="H77" s="49">
        <f>AVERAGE('15.8 BUSUNJU-KAMPALA-24HRS'!H77,'16.8 BUSUNJU-KAMPALA-24HRS'!H77)</f>
        <v>0</v>
      </c>
      <c r="I77" s="49">
        <f>AVERAGE('15.8 BUSUNJU-KAMPALA-24HRS'!I77,'16.8 BUSUNJU-KAMPALA-24HRS'!I77)</f>
        <v>0</v>
      </c>
      <c r="J77" s="49">
        <f>AVERAGE('15.8 BUSUNJU-KAMPALA-24HRS'!J77,'16.8 BUSUNJU-KAMPALA-24HRS'!J77)</f>
        <v>0</v>
      </c>
      <c r="K77" s="49">
        <f>AVERAGE('15.8 BUSUNJU-KAMPALA-24HRS'!K77,'16.8 BUSUNJU-KAMPALA-24HRS'!K77)</f>
        <v>0</v>
      </c>
      <c r="L77" s="49">
        <f>AVERAGE('15.8 BUSUNJU-KAMPALA-24HRS'!L77,'16.8 BUSUNJU-KAMPALA-24HRS'!L77)</f>
        <v>0</v>
      </c>
      <c r="M77" s="49">
        <f>AVERAGE('15.8 BUSUNJU-KAMPALA-24HRS'!M77,'16.8 BUSUNJU-KAMPALA-24HRS'!M77)</f>
        <v>0</v>
      </c>
      <c r="N77" s="49">
        <f>AVERAGE('15.8 BUSUNJU-KAMPALA-24HRS'!N77,'16.8 BUSUNJU-KAMPALA-24HRS'!N77)</f>
        <v>0</v>
      </c>
      <c r="O77" s="15">
        <f t="shared" si="35"/>
        <v>4</v>
      </c>
      <c r="P77" s="15">
        <f t="shared" si="36"/>
        <v>4</v>
      </c>
      <c r="R77" s="8"/>
      <c r="T77"/>
    </row>
    <row r="78" spans="2:20" ht="23.1" customHeight="1" x14ac:dyDescent="0.25">
      <c r="B78" s="24" t="s">
        <v>118</v>
      </c>
      <c r="C78" s="49">
        <f>AVERAGE('15.8 BUSUNJU-KAMPALA-24HRS'!C78,'16.8 BUSUNJU-KAMPALA-24HRS'!C78)</f>
        <v>1</v>
      </c>
      <c r="D78" s="49">
        <f>AVERAGE('15.8 BUSUNJU-KAMPALA-24HRS'!D78,'16.8 BUSUNJU-KAMPALA-24HRS'!D78)</f>
        <v>0</v>
      </c>
      <c r="E78" s="49">
        <f>AVERAGE('15.8 BUSUNJU-KAMPALA-24HRS'!E78,'16.8 BUSUNJU-KAMPALA-24HRS'!E78)</f>
        <v>0</v>
      </c>
      <c r="F78" s="49">
        <f>AVERAGE('15.8 BUSUNJU-KAMPALA-24HRS'!F78,'16.8 BUSUNJU-KAMPALA-24HRS'!F78)</f>
        <v>0</v>
      </c>
      <c r="G78" s="49">
        <f>AVERAGE('15.8 BUSUNJU-KAMPALA-24HRS'!G78,'16.8 BUSUNJU-KAMPALA-24HRS'!G78)</f>
        <v>0</v>
      </c>
      <c r="H78" s="49">
        <f>AVERAGE('15.8 BUSUNJU-KAMPALA-24HRS'!H78,'16.8 BUSUNJU-KAMPALA-24HRS'!H78)</f>
        <v>0</v>
      </c>
      <c r="I78" s="49">
        <f>AVERAGE('15.8 BUSUNJU-KAMPALA-24HRS'!I78,'16.8 BUSUNJU-KAMPALA-24HRS'!I78)</f>
        <v>1</v>
      </c>
      <c r="J78" s="49">
        <f>AVERAGE('15.8 BUSUNJU-KAMPALA-24HRS'!J78,'16.8 BUSUNJU-KAMPALA-24HRS'!J78)</f>
        <v>0</v>
      </c>
      <c r="K78" s="49">
        <f>AVERAGE('15.8 BUSUNJU-KAMPALA-24HRS'!K78,'16.8 BUSUNJU-KAMPALA-24HRS'!K78)</f>
        <v>0</v>
      </c>
      <c r="L78" s="49">
        <f>AVERAGE('15.8 BUSUNJU-KAMPALA-24HRS'!L78,'16.8 BUSUNJU-KAMPALA-24HRS'!L78)</f>
        <v>0</v>
      </c>
      <c r="M78" s="49">
        <f>AVERAGE('15.8 BUSUNJU-KAMPALA-24HRS'!M78,'16.8 BUSUNJU-KAMPALA-24HRS'!M78)</f>
        <v>2</v>
      </c>
      <c r="N78" s="49">
        <f>AVERAGE('15.8 BUSUNJU-KAMPALA-24HRS'!N78,'16.8 BUSUNJU-KAMPALA-24HRS'!N78)</f>
        <v>0</v>
      </c>
      <c r="O78" s="15">
        <f t="shared" si="35"/>
        <v>2</v>
      </c>
      <c r="P78" s="15">
        <f t="shared" si="36"/>
        <v>4</v>
      </c>
      <c r="R78" s="8"/>
      <c r="T78"/>
    </row>
    <row r="79" spans="2:20" ht="23.1" customHeight="1" x14ac:dyDescent="0.25">
      <c r="B79" s="23" t="s">
        <v>119</v>
      </c>
      <c r="C79" s="49">
        <f>AVERAGE('15.8 BUSUNJU-KAMPALA-24HRS'!C79,'16.8 BUSUNJU-KAMPALA-24HRS'!C79)</f>
        <v>0</v>
      </c>
      <c r="D79" s="49">
        <f>AVERAGE('15.8 BUSUNJU-KAMPALA-24HRS'!D79,'16.8 BUSUNJU-KAMPALA-24HRS'!D79)</f>
        <v>0</v>
      </c>
      <c r="E79" s="49">
        <f>AVERAGE('15.8 BUSUNJU-KAMPALA-24HRS'!E79,'16.8 BUSUNJU-KAMPALA-24HRS'!E79)</f>
        <v>0</v>
      </c>
      <c r="F79" s="49">
        <f>AVERAGE('15.8 BUSUNJU-KAMPALA-24HRS'!F79,'16.8 BUSUNJU-KAMPALA-24HRS'!F79)</f>
        <v>0</v>
      </c>
      <c r="G79" s="49">
        <f>AVERAGE('15.8 BUSUNJU-KAMPALA-24HRS'!G79,'16.8 BUSUNJU-KAMPALA-24HRS'!G79)</f>
        <v>0</v>
      </c>
      <c r="H79" s="49">
        <f>AVERAGE('15.8 BUSUNJU-KAMPALA-24HRS'!H79,'16.8 BUSUNJU-KAMPALA-24HRS'!H79)</f>
        <v>0</v>
      </c>
      <c r="I79" s="49">
        <f>AVERAGE('15.8 BUSUNJU-KAMPALA-24HRS'!I79,'16.8 BUSUNJU-KAMPALA-24HRS'!I79)</f>
        <v>0</v>
      </c>
      <c r="J79" s="49">
        <f>AVERAGE('15.8 BUSUNJU-KAMPALA-24HRS'!J79,'16.8 BUSUNJU-KAMPALA-24HRS'!J79)</f>
        <v>0</v>
      </c>
      <c r="K79" s="49">
        <f>AVERAGE('15.8 BUSUNJU-KAMPALA-24HRS'!K79,'16.8 BUSUNJU-KAMPALA-24HRS'!K79)</f>
        <v>0</v>
      </c>
      <c r="L79" s="49">
        <f>AVERAGE('15.8 BUSUNJU-KAMPALA-24HRS'!L79,'16.8 BUSUNJU-KAMPALA-24HRS'!L79)</f>
        <v>0</v>
      </c>
      <c r="M79" s="49">
        <f>AVERAGE('15.8 BUSUNJU-KAMPALA-24HRS'!M79,'16.8 BUSUNJU-KAMPALA-24HRS'!M79)</f>
        <v>1</v>
      </c>
      <c r="N79" s="49">
        <f>AVERAGE('15.8 BUSUNJU-KAMPALA-24HRS'!N79,'16.8 BUSUNJU-KAMPALA-24HRS'!N79)</f>
        <v>0</v>
      </c>
      <c r="O79" s="15">
        <f t="shared" si="35"/>
        <v>0</v>
      </c>
      <c r="P79" s="15">
        <f t="shared" si="36"/>
        <v>1</v>
      </c>
      <c r="R79" s="8"/>
      <c r="T79"/>
    </row>
    <row r="80" spans="2:20" ht="23.1" customHeight="1" x14ac:dyDescent="0.25">
      <c r="B80" s="25" t="s">
        <v>120</v>
      </c>
      <c r="C80" s="49">
        <f>AVERAGE('15.8 BUSUNJU-KAMPALA-24HRS'!C80,'16.8 BUSUNJU-KAMPALA-24HRS'!C80)</f>
        <v>1</v>
      </c>
      <c r="D80" s="49">
        <f>AVERAGE('15.8 BUSUNJU-KAMPALA-24HRS'!D80,'16.8 BUSUNJU-KAMPALA-24HRS'!D80)</f>
        <v>0</v>
      </c>
      <c r="E80" s="49">
        <f>AVERAGE('15.8 BUSUNJU-KAMPALA-24HRS'!E80,'16.8 BUSUNJU-KAMPALA-24HRS'!E80)</f>
        <v>1</v>
      </c>
      <c r="F80" s="49">
        <f>AVERAGE('15.8 BUSUNJU-KAMPALA-24HRS'!F80,'16.8 BUSUNJU-KAMPALA-24HRS'!F80)</f>
        <v>0</v>
      </c>
      <c r="G80" s="49">
        <f>AVERAGE('15.8 BUSUNJU-KAMPALA-24HRS'!G80,'16.8 BUSUNJU-KAMPALA-24HRS'!G80)</f>
        <v>0</v>
      </c>
      <c r="H80" s="49">
        <f>AVERAGE('15.8 BUSUNJU-KAMPALA-24HRS'!H80,'16.8 BUSUNJU-KAMPALA-24HRS'!H80)</f>
        <v>0</v>
      </c>
      <c r="I80" s="49">
        <f>AVERAGE('15.8 BUSUNJU-KAMPALA-24HRS'!I80,'16.8 BUSUNJU-KAMPALA-24HRS'!I80)</f>
        <v>0</v>
      </c>
      <c r="J80" s="49">
        <f>AVERAGE('15.8 BUSUNJU-KAMPALA-24HRS'!J80,'16.8 BUSUNJU-KAMPALA-24HRS'!J80)</f>
        <v>0</v>
      </c>
      <c r="K80" s="49">
        <f>AVERAGE('15.8 BUSUNJU-KAMPALA-24HRS'!K80,'16.8 BUSUNJU-KAMPALA-24HRS'!K80)</f>
        <v>0</v>
      </c>
      <c r="L80" s="49">
        <f>AVERAGE('15.8 BUSUNJU-KAMPALA-24HRS'!L80,'16.8 BUSUNJU-KAMPALA-24HRS'!L80)</f>
        <v>0</v>
      </c>
      <c r="M80" s="49">
        <f>AVERAGE('15.8 BUSUNJU-KAMPALA-24HRS'!M80,'16.8 BUSUNJU-KAMPALA-24HRS'!M80)</f>
        <v>0</v>
      </c>
      <c r="N80" s="49">
        <f>AVERAGE('15.8 BUSUNJU-KAMPALA-24HRS'!N80,'16.8 BUSUNJU-KAMPALA-24HRS'!N80)</f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23" t="s">
        <v>121</v>
      </c>
      <c r="C81" s="49">
        <f>AVERAGE('15.8 BUSUNJU-KAMPALA-24HRS'!C81,'16.8 BUSUNJU-KAMPALA-24HRS'!C81)</f>
        <v>0</v>
      </c>
      <c r="D81" s="49">
        <f>AVERAGE('15.8 BUSUNJU-KAMPALA-24HRS'!D81,'16.8 BUSUNJU-KAMPALA-24HRS'!D81)</f>
        <v>0</v>
      </c>
      <c r="E81" s="49">
        <f>AVERAGE('15.8 BUSUNJU-KAMPALA-24HRS'!E81,'16.8 BUSUNJU-KAMPALA-24HRS'!E81)</f>
        <v>1</v>
      </c>
      <c r="F81" s="49">
        <f>AVERAGE('15.8 BUSUNJU-KAMPALA-24HRS'!F81,'16.8 BUSUNJU-KAMPALA-24HRS'!F81)</f>
        <v>0</v>
      </c>
      <c r="G81" s="49">
        <f>AVERAGE('15.8 BUSUNJU-KAMPALA-24HRS'!G81,'16.8 BUSUNJU-KAMPALA-24HRS'!G81)</f>
        <v>0</v>
      </c>
      <c r="H81" s="49">
        <f>AVERAGE('15.8 BUSUNJU-KAMPALA-24HRS'!H81,'16.8 BUSUNJU-KAMPALA-24HRS'!H81)</f>
        <v>0</v>
      </c>
      <c r="I81" s="49">
        <f>AVERAGE('15.8 BUSUNJU-KAMPALA-24HRS'!I81,'16.8 BUSUNJU-KAMPALA-24HRS'!I81)</f>
        <v>1</v>
      </c>
      <c r="J81" s="49">
        <f>AVERAGE('15.8 BUSUNJU-KAMPALA-24HRS'!J81,'16.8 BUSUNJU-KAMPALA-24HRS'!J81)</f>
        <v>0</v>
      </c>
      <c r="K81" s="49">
        <f>AVERAGE('15.8 BUSUNJU-KAMPALA-24HRS'!K81,'16.8 BUSUNJU-KAMPALA-24HRS'!K81)</f>
        <v>0</v>
      </c>
      <c r="L81" s="49">
        <f>AVERAGE('15.8 BUSUNJU-KAMPALA-24HRS'!L81,'16.8 BUSUNJU-KAMPALA-24HRS'!L81)</f>
        <v>0</v>
      </c>
      <c r="M81" s="49">
        <f>AVERAGE('15.8 BUSUNJU-KAMPALA-24HRS'!M81,'16.8 BUSUNJU-KAMPALA-24HRS'!M81)</f>
        <v>1</v>
      </c>
      <c r="N81" s="49">
        <f>AVERAGE('15.8 BUSUNJU-KAMPALA-24HRS'!N81,'16.8 BUSUNJU-KAMPALA-24HRS'!N81)</f>
        <v>0</v>
      </c>
      <c r="O81" s="15">
        <f t="shared" si="35"/>
        <v>2</v>
      </c>
      <c r="P81" s="15">
        <f t="shared" si="36"/>
        <v>3</v>
      </c>
      <c r="R81" s="8"/>
      <c r="T81"/>
    </row>
    <row r="82" spans="2:20" ht="23.1" customHeight="1" x14ac:dyDescent="0.25">
      <c r="B82" s="24" t="s">
        <v>122</v>
      </c>
      <c r="C82" s="49">
        <f>AVERAGE('15.8 BUSUNJU-KAMPALA-24HRS'!C82,'16.8 BUSUNJU-KAMPALA-24HRS'!C82)</f>
        <v>1</v>
      </c>
      <c r="D82" s="49">
        <f>AVERAGE('15.8 BUSUNJU-KAMPALA-24HRS'!D82,'16.8 BUSUNJU-KAMPALA-24HRS'!D82)</f>
        <v>1</v>
      </c>
      <c r="E82" s="49">
        <f>AVERAGE('15.8 BUSUNJU-KAMPALA-24HRS'!E82,'16.8 BUSUNJU-KAMPALA-24HRS'!E82)</f>
        <v>0</v>
      </c>
      <c r="F82" s="49">
        <f>AVERAGE('15.8 BUSUNJU-KAMPALA-24HRS'!F82,'16.8 BUSUNJU-KAMPALA-24HRS'!F82)</f>
        <v>0</v>
      </c>
      <c r="G82" s="49">
        <f>AVERAGE('15.8 BUSUNJU-KAMPALA-24HRS'!G82,'16.8 BUSUNJU-KAMPALA-24HRS'!G82)</f>
        <v>0</v>
      </c>
      <c r="H82" s="49">
        <f>AVERAGE('15.8 BUSUNJU-KAMPALA-24HRS'!H82,'16.8 BUSUNJU-KAMPALA-24HRS'!H82)</f>
        <v>0</v>
      </c>
      <c r="I82" s="49">
        <f>AVERAGE('15.8 BUSUNJU-KAMPALA-24HRS'!I82,'16.8 BUSUNJU-KAMPALA-24HRS'!I82)</f>
        <v>1</v>
      </c>
      <c r="J82" s="49">
        <f>AVERAGE('15.8 BUSUNJU-KAMPALA-24HRS'!J82,'16.8 BUSUNJU-KAMPALA-24HRS'!J82)</f>
        <v>0</v>
      </c>
      <c r="K82" s="49">
        <f>AVERAGE('15.8 BUSUNJU-KAMPALA-24HRS'!K82,'16.8 BUSUNJU-KAMPALA-24HRS'!K82)</f>
        <v>0</v>
      </c>
      <c r="L82" s="49">
        <f>AVERAGE('15.8 BUSUNJU-KAMPALA-24HRS'!L82,'16.8 BUSUNJU-KAMPALA-24HRS'!L82)</f>
        <v>0</v>
      </c>
      <c r="M82" s="49">
        <f>AVERAGE('15.8 BUSUNJU-KAMPALA-24HRS'!M82,'16.8 BUSUNJU-KAMPALA-24HRS'!M82)</f>
        <v>0</v>
      </c>
      <c r="N82" s="49">
        <f>AVERAGE('15.8 BUSUNJU-KAMPALA-24HRS'!N82,'16.8 BUSUNJU-KAMPALA-24HRS'!N82)</f>
        <v>0</v>
      </c>
      <c r="O82" s="15">
        <f t="shared" si="35"/>
        <v>3</v>
      </c>
      <c r="P82" s="15">
        <f t="shared" si="36"/>
        <v>3</v>
      </c>
      <c r="R82" s="8"/>
      <c r="T82"/>
    </row>
    <row r="83" spans="2:20" ht="23.1" customHeight="1" x14ac:dyDescent="0.25">
      <c r="B83" s="23" t="s">
        <v>123</v>
      </c>
      <c r="C83" s="49">
        <f>AVERAGE('15.8 BUSUNJU-KAMPALA-24HRS'!C83,'16.8 BUSUNJU-KAMPALA-24HRS'!C83)</f>
        <v>0</v>
      </c>
      <c r="D83" s="49">
        <f>AVERAGE('15.8 BUSUNJU-KAMPALA-24HRS'!D83,'16.8 BUSUNJU-KAMPALA-24HRS'!D83)</f>
        <v>0</v>
      </c>
      <c r="E83" s="49">
        <f>AVERAGE('15.8 BUSUNJU-KAMPALA-24HRS'!E83,'16.8 BUSUNJU-KAMPALA-24HRS'!E83)</f>
        <v>0</v>
      </c>
      <c r="F83" s="49">
        <f>AVERAGE('15.8 BUSUNJU-KAMPALA-24HRS'!F83,'16.8 BUSUNJU-KAMPALA-24HRS'!F83)</f>
        <v>0</v>
      </c>
      <c r="G83" s="49">
        <f>AVERAGE('15.8 BUSUNJU-KAMPALA-24HRS'!G83,'16.8 BUSUNJU-KAMPALA-24HRS'!G83)</f>
        <v>0</v>
      </c>
      <c r="H83" s="49">
        <f>AVERAGE('15.8 BUSUNJU-KAMPALA-24HRS'!H83,'16.8 BUSUNJU-KAMPALA-24HRS'!H83)</f>
        <v>0</v>
      </c>
      <c r="I83" s="49">
        <f>AVERAGE('15.8 BUSUNJU-KAMPALA-24HRS'!I83,'16.8 BUSUNJU-KAMPALA-24HRS'!I83)</f>
        <v>0</v>
      </c>
      <c r="J83" s="49">
        <f>AVERAGE('15.8 BUSUNJU-KAMPALA-24HRS'!J83,'16.8 BUSUNJU-KAMPALA-24HRS'!J83)</f>
        <v>0</v>
      </c>
      <c r="K83" s="49">
        <f>AVERAGE('15.8 BUSUNJU-KAMPALA-24HRS'!K83,'16.8 BUSUNJU-KAMPALA-24HRS'!K83)</f>
        <v>0</v>
      </c>
      <c r="L83" s="49">
        <f>AVERAGE('15.8 BUSUNJU-KAMPALA-24HRS'!L83,'16.8 BUSUNJU-KAMPALA-24HRS'!L83)</f>
        <v>0</v>
      </c>
      <c r="M83" s="49">
        <f>AVERAGE('15.8 BUSUNJU-KAMPALA-24HRS'!M83,'16.8 BUSUNJU-KAMPALA-24HRS'!M83)</f>
        <v>0</v>
      </c>
      <c r="N83" s="49">
        <f>AVERAGE('15.8 BUSUNJU-KAMPALA-24HRS'!N83,'16.8 BUSUNJU-KAMPALA-24HRS'!N83)</f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25" t="s">
        <v>124</v>
      </c>
      <c r="C84" s="49">
        <f>AVERAGE('15.8 BUSUNJU-KAMPALA-24HRS'!C84,'16.8 BUSUNJU-KAMPALA-24HRS'!C84)</f>
        <v>1</v>
      </c>
      <c r="D84" s="49">
        <f>AVERAGE('15.8 BUSUNJU-KAMPALA-24HRS'!D84,'16.8 BUSUNJU-KAMPALA-24HRS'!D84)</f>
        <v>0</v>
      </c>
      <c r="E84" s="49">
        <f>AVERAGE('15.8 BUSUNJU-KAMPALA-24HRS'!E84,'16.8 BUSUNJU-KAMPALA-24HRS'!E84)</f>
        <v>1</v>
      </c>
      <c r="F84" s="49">
        <f>AVERAGE('15.8 BUSUNJU-KAMPALA-24HRS'!F84,'16.8 BUSUNJU-KAMPALA-24HRS'!F84)</f>
        <v>0</v>
      </c>
      <c r="G84" s="49">
        <f>AVERAGE('15.8 BUSUNJU-KAMPALA-24HRS'!G84,'16.8 BUSUNJU-KAMPALA-24HRS'!G84)</f>
        <v>0</v>
      </c>
      <c r="H84" s="49">
        <f>AVERAGE('15.8 BUSUNJU-KAMPALA-24HRS'!H84,'16.8 BUSUNJU-KAMPALA-24HRS'!H84)</f>
        <v>0</v>
      </c>
      <c r="I84" s="49">
        <f>AVERAGE('15.8 BUSUNJU-KAMPALA-24HRS'!I84,'16.8 BUSUNJU-KAMPALA-24HRS'!I84)</f>
        <v>0</v>
      </c>
      <c r="J84" s="49">
        <f>AVERAGE('15.8 BUSUNJU-KAMPALA-24HRS'!J84,'16.8 BUSUNJU-KAMPALA-24HRS'!J84)</f>
        <v>0</v>
      </c>
      <c r="K84" s="49">
        <f>AVERAGE('15.8 BUSUNJU-KAMPALA-24HRS'!K84,'16.8 BUSUNJU-KAMPALA-24HRS'!K84)</f>
        <v>0</v>
      </c>
      <c r="L84" s="49">
        <f>AVERAGE('15.8 BUSUNJU-KAMPALA-24HRS'!L84,'16.8 BUSUNJU-KAMPALA-24HRS'!L84)</f>
        <v>0</v>
      </c>
      <c r="M84" s="49">
        <f>AVERAGE('15.8 BUSUNJU-KAMPALA-24HRS'!M84,'16.8 BUSUNJU-KAMPALA-24HRS'!M84)</f>
        <v>0</v>
      </c>
      <c r="N84" s="49">
        <f>AVERAGE('15.8 BUSUNJU-KAMPALA-24HRS'!N84,'16.8 BUSUNJU-KAMPALA-24HRS'!N84)</f>
        <v>0</v>
      </c>
      <c r="O84" s="15">
        <f t="shared" si="35"/>
        <v>2</v>
      </c>
      <c r="P84" s="15">
        <f t="shared" si="36"/>
        <v>2</v>
      </c>
      <c r="R84" s="8"/>
      <c r="T84"/>
    </row>
    <row r="85" spans="2:20" ht="23.1" customHeight="1" x14ac:dyDescent="0.25">
      <c r="B85" s="23" t="s">
        <v>125</v>
      </c>
      <c r="C85" s="49">
        <f>AVERAGE('15.8 BUSUNJU-KAMPALA-24HRS'!C85,'16.8 BUSUNJU-KAMPALA-24HRS'!C85)</f>
        <v>1</v>
      </c>
      <c r="D85" s="49">
        <f>AVERAGE('15.8 BUSUNJU-KAMPALA-24HRS'!D85,'16.8 BUSUNJU-KAMPALA-24HRS'!D85)</f>
        <v>0</v>
      </c>
      <c r="E85" s="49">
        <f>AVERAGE('15.8 BUSUNJU-KAMPALA-24HRS'!E85,'16.8 BUSUNJU-KAMPALA-24HRS'!E85)</f>
        <v>1</v>
      </c>
      <c r="F85" s="49">
        <f>AVERAGE('15.8 BUSUNJU-KAMPALA-24HRS'!F85,'16.8 BUSUNJU-KAMPALA-24HRS'!F85)</f>
        <v>0</v>
      </c>
      <c r="G85" s="49">
        <f>AVERAGE('15.8 BUSUNJU-KAMPALA-24HRS'!G85,'16.8 BUSUNJU-KAMPALA-24HRS'!G85)</f>
        <v>0</v>
      </c>
      <c r="H85" s="49">
        <f>AVERAGE('15.8 BUSUNJU-KAMPALA-24HRS'!H85,'16.8 BUSUNJU-KAMPALA-24HRS'!H85)</f>
        <v>0</v>
      </c>
      <c r="I85" s="49">
        <f>AVERAGE('15.8 BUSUNJU-KAMPALA-24HRS'!I85,'16.8 BUSUNJU-KAMPALA-24HRS'!I85)</f>
        <v>1</v>
      </c>
      <c r="J85" s="49">
        <f>AVERAGE('15.8 BUSUNJU-KAMPALA-24HRS'!J85,'16.8 BUSUNJU-KAMPALA-24HRS'!J85)</f>
        <v>0</v>
      </c>
      <c r="K85" s="49">
        <f>AVERAGE('15.8 BUSUNJU-KAMPALA-24HRS'!K85,'16.8 BUSUNJU-KAMPALA-24HRS'!K85)</f>
        <v>0</v>
      </c>
      <c r="L85" s="49">
        <f>AVERAGE('15.8 BUSUNJU-KAMPALA-24HRS'!L85,'16.8 BUSUNJU-KAMPALA-24HRS'!L85)</f>
        <v>0</v>
      </c>
      <c r="M85" s="49">
        <f>AVERAGE('15.8 BUSUNJU-KAMPALA-24HRS'!M85,'16.8 BUSUNJU-KAMPALA-24HRS'!M85)</f>
        <v>0</v>
      </c>
      <c r="N85" s="49">
        <f>AVERAGE('15.8 BUSUNJU-KAMPALA-24HRS'!N85,'16.8 BUSUNJU-KAMPALA-24HRS'!N85)</f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24" t="s">
        <v>126</v>
      </c>
      <c r="C86" s="49">
        <f>AVERAGE('15.8 BUSUNJU-KAMPALA-24HRS'!C86,'16.8 BUSUNJU-KAMPALA-24HRS'!C86)</f>
        <v>0</v>
      </c>
      <c r="D86" s="49">
        <f>AVERAGE('15.8 BUSUNJU-KAMPALA-24HRS'!D86,'16.8 BUSUNJU-KAMPALA-24HRS'!D86)</f>
        <v>0</v>
      </c>
      <c r="E86" s="49">
        <f>AVERAGE('15.8 BUSUNJU-KAMPALA-24HRS'!E86,'16.8 BUSUNJU-KAMPALA-24HRS'!E86)</f>
        <v>0</v>
      </c>
      <c r="F86" s="49">
        <f>AVERAGE('15.8 BUSUNJU-KAMPALA-24HRS'!F86,'16.8 BUSUNJU-KAMPALA-24HRS'!F86)</f>
        <v>0</v>
      </c>
      <c r="G86" s="49">
        <f>AVERAGE('15.8 BUSUNJU-KAMPALA-24HRS'!G86,'16.8 BUSUNJU-KAMPALA-24HRS'!G86)</f>
        <v>0</v>
      </c>
      <c r="H86" s="49">
        <f>AVERAGE('15.8 BUSUNJU-KAMPALA-24HRS'!H86,'16.8 BUSUNJU-KAMPALA-24HRS'!H86)</f>
        <v>0</v>
      </c>
      <c r="I86" s="49">
        <f>AVERAGE('15.8 BUSUNJU-KAMPALA-24HRS'!I86,'16.8 BUSUNJU-KAMPALA-24HRS'!I86)</f>
        <v>0</v>
      </c>
      <c r="J86" s="49">
        <f>AVERAGE('15.8 BUSUNJU-KAMPALA-24HRS'!J86,'16.8 BUSUNJU-KAMPALA-24HRS'!J86)</f>
        <v>0</v>
      </c>
      <c r="K86" s="49">
        <f>AVERAGE('15.8 BUSUNJU-KAMPALA-24HRS'!K86,'16.8 BUSUNJU-KAMPALA-24HRS'!K86)</f>
        <v>0</v>
      </c>
      <c r="L86" s="49">
        <f>AVERAGE('15.8 BUSUNJU-KAMPALA-24HRS'!L86,'16.8 BUSUNJU-KAMPALA-24HRS'!L86)</f>
        <v>0</v>
      </c>
      <c r="M86" s="49">
        <f>AVERAGE('15.8 BUSUNJU-KAMPALA-24HRS'!M86,'16.8 BUSUNJU-KAMPALA-24HRS'!M86)</f>
        <v>1</v>
      </c>
      <c r="N86" s="49">
        <f>AVERAGE('15.8 BUSUNJU-KAMPALA-24HRS'!N86,'16.8 BUSUNJU-KAMPALA-24HRS'!N86)</f>
        <v>0</v>
      </c>
      <c r="O86" s="15">
        <f t="shared" si="35"/>
        <v>0</v>
      </c>
      <c r="P86" s="15">
        <f t="shared" si="36"/>
        <v>1</v>
      </c>
      <c r="R86" s="8"/>
      <c r="T86"/>
    </row>
    <row r="87" spans="2:20" ht="23.1" customHeight="1" x14ac:dyDescent="0.25">
      <c r="B87" s="23" t="s">
        <v>127</v>
      </c>
      <c r="C87" s="49">
        <f>AVERAGE('15.8 BUSUNJU-KAMPALA-24HRS'!C87,'16.8 BUSUNJU-KAMPALA-24HRS'!C87)</f>
        <v>0</v>
      </c>
      <c r="D87" s="49">
        <f>AVERAGE('15.8 BUSUNJU-KAMPALA-24HRS'!D87,'16.8 BUSUNJU-KAMPALA-24HRS'!D87)</f>
        <v>0</v>
      </c>
      <c r="E87" s="49">
        <f>AVERAGE('15.8 BUSUNJU-KAMPALA-24HRS'!E87,'16.8 BUSUNJU-KAMPALA-24HRS'!E87)</f>
        <v>0</v>
      </c>
      <c r="F87" s="49">
        <f>AVERAGE('15.8 BUSUNJU-KAMPALA-24HRS'!F87,'16.8 BUSUNJU-KAMPALA-24HRS'!F87)</f>
        <v>0</v>
      </c>
      <c r="G87" s="49">
        <f>AVERAGE('15.8 BUSUNJU-KAMPALA-24HRS'!G87,'16.8 BUSUNJU-KAMPALA-24HRS'!G87)</f>
        <v>0</v>
      </c>
      <c r="H87" s="49">
        <f>AVERAGE('15.8 BUSUNJU-KAMPALA-24HRS'!H87,'16.8 BUSUNJU-KAMPALA-24HRS'!H87)</f>
        <v>0</v>
      </c>
      <c r="I87" s="49">
        <f>AVERAGE('15.8 BUSUNJU-KAMPALA-24HRS'!I87,'16.8 BUSUNJU-KAMPALA-24HRS'!I87)</f>
        <v>0</v>
      </c>
      <c r="J87" s="49">
        <f>AVERAGE('15.8 BUSUNJU-KAMPALA-24HRS'!J87,'16.8 BUSUNJU-KAMPALA-24HRS'!J87)</f>
        <v>0</v>
      </c>
      <c r="K87" s="49">
        <f>AVERAGE('15.8 BUSUNJU-KAMPALA-24HRS'!K87,'16.8 BUSUNJU-KAMPALA-24HRS'!K87)</f>
        <v>0</v>
      </c>
      <c r="L87" s="49">
        <f>AVERAGE('15.8 BUSUNJU-KAMPALA-24HRS'!L87,'16.8 BUSUNJU-KAMPALA-24HRS'!L87)</f>
        <v>0</v>
      </c>
      <c r="M87" s="49">
        <f>AVERAGE('15.8 BUSUNJU-KAMPALA-24HRS'!M87,'16.8 BUSUNJU-KAMPALA-24HRS'!M87)</f>
        <v>0</v>
      </c>
      <c r="N87" s="49">
        <f>AVERAGE('15.8 BUSUNJU-KAMPALA-24HRS'!N87,'16.8 BUSUNJU-KAMPALA-24HRS'!N87)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AVERAGE('15.8 BUSUNJU-KAMPALA-24HRS'!C88,'16.8 BUSUNJU-KAMPALA-24HRS'!C88)</f>
        <v>0</v>
      </c>
      <c r="D88" s="49">
        <f>AVERAGE('15.8 BUSUNJU-KAMPALA-24HRS'!D88,'16.8 BUSUNJU-KAMPALA-24HRS'!D88)</f>
        <v>0</v>
      </c>
      <c r="E88" s="49">
        <f>AVERAGE('15.8 BUSUNJU-KAMPALA-24HRS'!E88,'16.8 BUSUNJU-KAMPALA-24HRS'!E88)</f>
        <v>0</v>
      </c>
      <c r="F88" s="49">
        <f>AVERAGE('15.8 BUSUNJU-KAMPALA-24HRS'!F88,'16.8 BUSUNJU-KAMPALA-24HRS'!F88)</f>
        <v>0</v>
      </c>
      <c r="G88" s="49">
        <f>AVERAGE('15.8 BUSUNJU-KAMPALA-24HRS'!G88,'16.8 BUSUNJU-KAMPALA-24HRS'!G88)</f>
        <v>0</v>
      </c>
      <c r="H88" s="49">
        <f>AVERAGE('15.8 BUSUNJU-KAMPALA-24HRS'!H88,'16.8 BUSUNJU-KAMPALA-24HRS'!H88)</f>
        <v>0</v>
      </c>
      <c r="I88" s="49">
        <f>AVERAGE('15.8 BUSUNJU-KAMPALA-24HRS'!I88,'16.8 BUSUNJU-KAMPALA-24HRS'!I88)</f>
        <v>0</v>
      </c>
      <c r="J88" s="49">
        <f>AVERAGE('15.8 BUSUNJU-KAMPALA-24HRS'!J88,'16.8 BUSUNJU-KAMPALA-24HRS'!J88)</f>
        <v>0</v>
      </c>
      <c r="K88" s="49">
        <f>AVERAGE('15.8 BUSUNJU-KAMPALA-24HRS'!K88,'16.8 BUSUNJU-KAMPALA-24HRS'!K88)</f>
        <v>0</v>
      </c>
      <c r="L88" s="49">
        <f>AVERAGE('15.8 BUSUNJU-KAMPALA-24HRS'!L88,'16.8 BUSUNJU-KAMPALA-24HRS'!L88)</f>
        <v>0</v>
      </c>
      <c r="M88" s="49">
        <f>AVERAGE('15.8 BUSUNJU-KAMPALA-24HRS'!M88,'16.8 BUSUNJU-KAMPALA-24HRS'!M88)</f>
        <v>0</v>
      </c>
      <c r="N88" s="49">
        <f>AVERAGE('15.8 BUSUNJU-KAMPALA-24HRS'!N88,'16.8 BUSUNJU-KAMPALA-24HRS'!N88)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AVERAGE('15.8 BUSUNJU-KAMPALA-24HRS'!C89,'16.8 BUSUNJU-KAMPALA-24HRS'!C89)</f>
        <v>0</v>
      </c>
      <c r="D89" s="49">
        <f>AVERAGE('15.8 BUSUNJU-KAMPALA-24HRS'!D89,'16.8 BUSUNJU-KAMPALA-24HRS'!D89)</f>
        <v>0</v>
      </c>
      <c r="E89" s="49">
        <f>AVERAGE('15.8 BUSUNJU-KAMPALA-24HRS'!E89,'16.8 BUSUNJU-KAMPALA-24HRS'!E89)</f>
        <v>0</v>
      </c>
      <c r="F89" s="49">
        <f>AVERAGE('15.8 BUSUNJU-KAMPALA-24HRS'!F89,'16.8 BUSUNJU-KAMPALA-24HRS'!F89)</f>
        <v>1</v>
      </c>
      <c r="G89" s="49">
        <f>AVERAGE('15.8 BUSUNJU-KAMPALA-24HRS'!G89,'16.8 BUSUNJU-KAMPALA-24HRS'!G89)</f>
        <v>0</v>
      </c>
      <c r="H89" s="49">
        <f>AVERAGE('15.8 BUSUNJU-KAMPALA-24HRS'!H89,'16.8 BUSUNJU-KAMPALA-24HRS'!H89)</f>
        <v>0</v>
      </c>
      <c r="I89" s="49">
        <f>AVERAGE('15.8 BUSUNJU-KAMPALA-24HRS'!I89,'16.8 BUSUNJU-KAMPALA-24HRS'!I89)</f>
        <v>0</v>
      </c>
      <c r="J89" s="49">
        <f>AVERAGE('15.8 BUSUNJU-KAMPALA-24HRS'!J89,'16.8 BUSUNJU-KAMPALA-24HRS'!J89)</f>
        <v>0</v>
      </c>
      <c r="K89" s="49">
        <f>AVERAGE('15.8 BUSUNJU-KAMPALA-24HRS'!K89,'16.8 BUSUNJU-KAMPALA-24HRS'!K89)</f>
        <v>0</v>
      </c>
      <c r="L89" s="49">
        <f>AVERAGE('15.8 BUSUNJU-KAMPALA-24HRS'!L89,'16.8 BUSUNJU-KAMPALA-24HRS'!L89)</f>
        <v>0</v>
      </c>
      <c r="M89" s="49">
        <f>AVERAGE('15.8 BUSUNJU-KAMPALA-24HRS'!M89,'16.8 BUSUNJU-KAMPALA-24HRS'!M89)</f>
        <v>0</v>
      </c>
      <c r="N89" s="49">
        <f>AVERAGE('15.8 BUSUNJU-KAMPALA-24HRS'!N89,'16.8 BUSUNJU-KAMPALA-24HRS'!N89)</f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24" t="s">
        <v>130</v>
      </c>
      <c r="C90" s="49">
        <f>AVERAGE('15.8 BUSUNJU-KAMPALA-24HRS'!C90,'16.8 BUSUNJU-KAMPALA-24HRS'!C90)</f>
        <v>0</v>
      </c>
      <c r="D90" s="49">
        <f>AVERAGE('15.8 BUSUNJU-KAMPALA-24HRS'!D90,'16.8 BUSUNJU-KAMPALA-24HRS'!D90)</f>
        <v>1</v>
      </c>
      <c r="E90" s="49">
        <f>AVERAGE('15.8 BUSUNJU-KAMPALA-24HRS'!E90,'16.8 BUSUNJU-KAMPALA-24HRS'!E90)</f>
        <v>0</v>
      </c>
      <c r="F90" s="49">
        <f>AVERAGE('15.8 BUSUNJU-KAMPALA-24HRS'!F90,'16.8 BUSUNJU-KAMPALA-24HRS'!F90)</f>
        <v>0</v>
      </c>
      <c r="G90" s="49">
        <f>AVERAGE('15.8 BUSUNJU-KAMPALA-24HRS'!G90,'16.8 BUSUNJU-KAMPALA-24HRS'!G90)</f>
        <v>0</v>
      </c>
      <c r="H90" s="49">
        <f>AVERAGE('15.8 BUSUNJU-KAMPALA-24HRS'!H90,'16.8 BUSUNJU-KAMPALA-24HRS'!H90)</f>
        <v>0</v>
      </c>
      <c r="I90" s="49">
        <f>AVERAGE('15.8 BUSUNJU-KAMPALA-24HRS'!I90,'16.8 BUSUNJU-KAMPALA-24HRS'!I90)</f>
        <v>0</v>
      </c>
      <c r="J90" s="49">
        <f>AVERAGE('15.8 BUSUNJU-KAMPALA-24HRS'!J90,'16.8 BUSUNJU-KAMPALA-24HRS'!J90)</f>
        <v>0</v>
      </c>
      <c r="K90" s="49">
        <f>AVERAGE('15.8 BUSUNJU-KAMPALA-24HRS'!K90,'16.8 BUSUNJU-KAMPALA-24HRS'!K90)</f>
        <v>0</v>
      </c>
      <c r="L90" s="49">
        <f>AVERAGE('15.8 BUSUNJU-KAMPALA-24HRS'!L90,'16.8 BUSUNJU-KAMPALA-24HRS'!L90)</f>
        <v>0</v>
      </c>
      <c r="M90" s="49">
        <f>AVERAGE('15.8 BUSUNJU-KAMPALA-24HRS'!M90,'16.8 BUSUNJU-KAMPALA-24HRS'!M90)</f>
        <v>0</v>
      </c>
      <c r="N90" s="49">
        <f>AVERAGE('15.8 BUSUNJU-KAMPALA-24HRS'!N90,'16.8 BUSUNJU-KAMPALA-24HRS'!N90)</f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23" t="s">
        <v>131</v>
      </c>
      <c r="C91" s="49">
        <f>AVERAGE('15.8 BUSUNJU-KAMPALA-24HRS'!C91,'16.8 BUSUNJU-KAMPALA-24HRS'!C91)</f>
        <v>0</v>
      </c>
      <c r="D91" s="49">
        <f>AVERAGE('15.8 BUSUNJU-KAMPALA-24HRS'!D91,'16.8 BUSUNJU-KAMPALA-24HRS'!D91)</f>
        <v>0</v>
      </c>
      <c r="E91" s="49">
        <f>AVERAGE('15.8 BUSUNJU-KAMPALA-24HRS'!E91,'16.8 BUSUNJU-KAMPALA-24HRS'!E91)</f>
        <v>0</v>
      </c>
      <c r="F91" s="49">
        <f>AVERAGE('15.8 BUSUNJU-KAMPALA-24HRS'!F91,'16.8 BUSUNJU-KAMPALA-24HRS'!F91)</f>
        <v>0</v>
      </c>
      <c r="G91" s="49">
        <f>AVERAGE('15.8 BUSUNJU-KAMPALA-24HRS'!G91,'16.8 BUSUNJU-KAMPALA-24HRS'!G91)</f>
        <v>0</v>
      </c>
      <c r="H91" s="49">
        <f>AVERAGE('15.8 BUSUNJU-KAMPALA-24HRS'!H91,'16.8 BUSUNJU-KAMPALA-24HRS'!H91)</f>
        <v>0</v>
      </c>
      <c r="I91" s="49">
        <f>AVERAGE('15.8 BUSUNJU-KAMPALA-24HRS'!I91,'16.8 BUSUNJU-KAMPALA-24HRS'!I91)</f>
        <v>0</v>
      </c>
      <c r="J91" s="49">
        <f>AVERAGE('15.8 BUSUNJU-KAMPALA-24HRS'!J91,'16.8 BUSUNJU-KAMPALA-24HRS'!J91)</f>
        <v>0</v>
      </c>
      <c r="K91" s="49">
        <f>AVERAGE('15.8 BUSUNJU-KAMPALA-24HRS'!K91,'16.8 BUSUNJU-KAMPALA-24HRS'!K91)</f>
        <v>0</v>
      </c>
      <c r="L91" s="49">
        <f>AVERAGE('15.8 BUSUNJU-KAMPALA-24HRS'!L91,'16.8 BUSUNJU-KAMPALA-24HRS'!L91)</f>
        <v>0</v>
      </c>
      <c r="M91" s="49">
        <f>AVERAGE('15.8 BUSUNJU-KAMPALA-24HRS'!M91,'16.8 BUSUNJU-KAMPALA-24HRS'!M91)</f>
        <v>0</v>
      </c>
      <c r="N91" s="49">
        <f>AVERAGE('15.8 BUSUNJU-KAMPALA-24HRS'!N91,'16.8 BUSUNJU-KAMPALA-24HRS'!N91)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AVERAGE('15.8 BUSUNJU-KAMPALA-24HRS'!C92,'16.8 BUSUNJU-KAMPALA-24HRS'!C92)</f>
        <v>1</v>
      </c>
      <c r="D92" s="49">
        <f>AVERAGE('15.8 BUSUNJU-KAMPALA-24HRS'!D92,'16.8 BUSUNJU-KAMPALA-24HRS'!D92)</f>
        <v>0</v>
      </c>
      <c r="E92" s="49">
        <f>AVERAGE('15.8 BUSUNJU-KAMPALA-24HRS'!E92,'16.8 BUSUNJU-KAMPALA-24HRS'!E92)</f>
        <v>0</v>
      </c>
      <c r="F92" s="49">
        <f>AVERAGE('15.8 BUSUNJU-KAMPALA-24HRS'!F92,'16.8 BUSUNJU-KAMPALA-24HRS'!F92)</f>
        <v>0</v>
      </c>
      <c r="G92" s="49">
        <f>AVERAGE('15.8 BUSUNJU-KAMPALA-24HRS'!G92,'16.8 BUSUNJU-KAMPALA-24HRS'!G92)</f>
        <v>0</v>
      </c>
      <c r="H92" s="49">
        <f>AVERAGE('15.8 BUSUNJU-KAMPALA-24HRS'!H92,'16.8 BUSUNJU-KAMPALA-24HRS'!H92)</f>
        <v>0</v>
      </c>
      <c r="I92" s="49">
        <f>AVERAGE('15.8 BUSUNJU-KAMPALA-24HRS'!I92,'16.8 BUSUNJU-KAMPALA-24HRS'!I92)</f>
        <v>0</v>
      </c>
      <c r="J92" s="49">
        <f>AVERAGE('15.8 BUSUNJU-KAMPALA-24HRS'!J92,'16.8 BUSUNJU-KAMPALA-24HRS'!J92)</f>
        <v>0</v>
      </c>
      <c r="K92" s="49">
        <f>AVERAGE('15.8 BUSUNJU-KAMPALA-24HRS'!K92,'16.8 BUSUNJU-KAMPALA-24HRS'!K92)</f>
        <v>0</v>
      </c>
      <c r="L92" s="49">
        <f>AVERAGE('15.8 BUSUNJU-KAMPALA-24HRS'!L92,'16.8 BUSUNJU-KAMPALA-24HRS'!L92)</f>
        <v>0</v>
      </c>
      <c r="M92" s="49">
        <f>AVERAGE('15.8 BUSUNJU-KAMPALA-24HRS'!M92,'16.8 BUSUNJU-KAMPALA-24HRS'!M92)</f>
        <v>0</v>
      </c>
      <c r="N92" s="49">
        <f>AVERAGE('15.8 BUSUNJU-KAMPALA-24HRS'!N92,'16.8 BUSUNJU-KAMPALA-24HRS'!N92)</f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23" t="s">
        <v>133</v>
      </c>
      <c r="C93" s="49">
        <f>AVERAGE('15.8 BUSUNJU-KAMPALA-24HRS'!C93,'16.8 BUSUNJU-KAMPALA-24HRS'!C93)</f>
        <v>0</v>
      </c>
      <c r="D93" s="49">
        <f>AVERAGE('15.8 BUSUNJU-KAMPALA-24HRS'!D93,'16.8 BUSUNJU-KAMPALA-24HRS'!D93)</f>
        <v>0</v>
      </c>
      <c r="E93" s="49">
        <f>AVERAGE('15.8 BUSUNJU-KAMPALA-24HRS'!E93,'16.8 BUSUNJU-KAMPALA-24HRS'!E93)</f>
        <v>0</v>
      </c>
      <c r="F93" s="49">
        <f>AVERAGE('15.8 BUSUNJU-KAMPALA-24HRS'!F93,'16.8 BUSUNJU-KAMPALA-24HRS'!F93)</f>
        <v>0</v>
      </c>
      <c r="G93" s="49">
        <f>AVERAGE('15.8 BUSUNJU-KAMPALA-24HRS'!G93,'16.8 BUSUNJU-KAMPALA-24HRS'!G93)</f>
        <v>0</v>
      </c>
      <c r="H93" s="49">
        <f>AVERAGE('15.8 BUSUNJU-KAMPALA-24HRS'!H93,'16.8 BUSUNJU-KAMPALA-24HRS'!H93)</f>
        <v>0</v>
      </c>
      <c r="I93" s="49">
        <f>AVERAGE('15.8 BUSUNJU-KAMPALA-24HRS'!I93,'16.8 BUSUNJU-KAMPALA-24HRS'!I93)</f>
        <v>0</v>
      </c>
      <c r="J93" s="49">
        <f>AVERAGE('15.8 BUSUNJU-KAMPALA-24HRS'!J93,'16.8 BUSUNJU-KAMPALA-24HRS'!J93)</f>
        <v>0</v>
      </c>
      <c r="K93" s="49">
        <f>AVERAGE('15.8 BUSUNJU-KAMPALA-24HRS'!K93,'16.8 BUSUNJU-KAMPALA-24HRS'!K93)</f>
        <v>0</v>
      </c>
      <c r="L93" s="49">
        <f>AVERAGE('15.8 BUSUNJU-KAMPALA-24HRS'!L93,'16.8 BUSUNJU-KAMPALA-24HRS'!L93)</f>
        <v>0</v>
      </c>
      <c r="M93" s="49">
        <f>AVERAGE('15.8 BUSUNJU-KAMPALA-24HRS'!M93,'16.8 BUSUNJU-KAMPALA-24HRS'!M93)</f>
        <v>0</v>
      </c>
      <c r="N93" s="49">
        <f>AVERAGE('15.8 BUSUNJU-KAMPALA-24HRS'!N93,'16.8 BUSUNJU-KAMPALA-24HRS'!N93)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AVERAGE('15.8 BUSUNJU-KAMPALA-24HRS'!C94,'16.8 BUSUNJU-KAMPALA-24HRS'!C94)</f>
        <v>0</v>
      </c>
      <c r="D94" s="49">
        <f>AVERAGE('15.8 BUSUNJU-KAMPALA-24HRS'!D94,'16.8 BUSUNJU-KAMPALA-24HRS'!D94)</f>
        <v>0</v>
      </c>
      <c r="E94" s="49">
        <f>AVERAGE('15.8 BUSUNJU-KAMPALA-24HRS'!E94,'16.8 BUSUNJU-KAMPALA-24HRS'!E94)</f>
        <v>1</v>
      </c>
      <c r="F94" s="49">
        <f>AVERAGE('15.8 BUSUNJU-KAMPALA-24HRS'!F94,'16.8 BUSUNJU-KAMPALA-24HRS'!F94)</f>
        <v>0</v>
      </c>
      <c r="G94" s="49">
        <f>AVERAGE('15.8 BUSUNJU-KAMPALA-24HRS'!G94,'16.8 BUSUNJU-KAMPALA-24HRS'!G94)</f>
        <v>0</v>
      </c>
      <c r="H94" s="49">
        <f>AVERAGE('15.8 BUSUNJU-KAMPALA-24HRS'!H94,'16.8 BUSUNJU-KAMPALA-24HRS'!H94)</f>
        <v>1</v>
      </c>
      <c r="I94" s="49">
        <f>AVERAGE('15.8 BUSUNJU-KAMPALA-24HRS'!I94,'16.8 BUSUNJU-KAMPALA-24HRS'!I94)</f>
        <v>0</v>
      </c>
      <c r="J94" s="49">
        <f>AVERAGE('15.8 BUSUNJU-KAMPALA-24HRS'!J94,'16.8 BUSUNJU-KAMPALA-24HRS'!J94)</f>
        <v>0</v>
      </c>
      <c r="K94" s="49">
        <f>AVERAGE('15.8 BUSUNJU-KAMPALA-24HRS'!K94,'16.8 BUSUNJU-KAMPALA-24HRS'!K94)</f>
        <v>0</v>
      </c>
      <c r="L94" s="49">
        <f>AVERAGE('15.8 BUSUNJU-KAMPALA-24HRS'!L94,'16.8 BUSUNJU-KAMPALA-24HRS'!L94)</f>
        <v>0</v>
      </c>
      <c r="M94" s="49">
        <f>AVERAGE('15.8 BUSUNJU-KAMPALA-24HRS'!M94,'16.8 BUSUNJU-KAMPALA-24HRS'!M94)</f>
        <v>0</v>
      </c>
      <c r="N94" s="49">
        <f>AVERAGE('15.8 BUSUNJU-KAMPALA-24HRS'!N94,'16.8 BUSUNJU-KAMPALA-24HRS'!N94)</f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23" t="s">
        <v>135</v>
      </c>
      <c r="C95" s="49">
        <f>AVERAGE('15.8 BUSUNJU-KAMPALA-24HRS'!C95,'16.8 BUSUNJU-KAMPALA-24HRS'!C95)</f>
        <v>0</v>
      </c>
      <c r="D95" s="49">
        <f>AVERAGE('15.8 BUSUNJU-KAMPALA-24HRS'!D95,'16.8 BUSUNJU-KAMPALA-24HRS'!D95)</f>
        <v>0</v>
      </c>
      <c r="E95" s="49">
        <f>AVERAGE('15.8 BUSUNJU-KAMPALA-24HRS'!E95,'16.8 BUSUNJU-KAMPALA-24HRS'!E95)</f>
        <v>0</v>
      </c>
      <c r="F95" s="49">
        <f>AVERAGE('15.8 BUSUNJU-KAMPALA-24HRS'!F95,'16.8 BUSUNJU-KAMPALA-24HRS'!F95)</f>
        <v>0</v>
      </c>
      <c r="G95" s="49">
        <f>AVERAGE('15.8 BUSUNJU-KAMPALA-24HRS'!G95,'16.8 BUSUNJU-KAMPALA-24HRS'!G95)</f>
        <v>0</v>
      </c>
      <c r="H95" s="49">
        <f>AVERAGE('15.8 BUSUNJU-KAMPALA-24HRS'!H95,'16.8 BUSUNJU-KAMPALA-24HRS'!H95)</f>
        <v>0</v>
      </c>
      <c r="I95" s="49">
        <f>AVERAGE('15.8 BUSUNJU-KAMPALA-24HRS'!I95,'16.8 BUSUNJU-KAMPALA-24HRS'!I95)</f>
        <v>0</v>
      </c>
      <c r="J95" s="49">
        <f>AVERAGE('15.8 BUSUNJU-KAMPALA-24HRS'!J95,'16.8 BUSUNJU-KAMPALA-24HRS'!J95)</f>
        <v>0</v>
      </c>
      <c r="K95" s="49">
        <f>AVERAGE('15.8 BUSUNJU-KAMPALA-24HRS'!K95,'16.8 BUSUNJU-KAMPALA-24HRS'!K95)</f>
        <v>0</v>
      </c>
      <c r="L95" s="49">
        <f>AVERAGE('15.8 BUSUNJU-KAMPALA-24HRS'!L95,'16.8 BUSUNJU-KAMPALA-24HRS'!L95)</f>
        <v>0</v>
      </c>
      <c r="M95" s="49">
        <f>AVERAGE('15.8 BUSUNJU-KAMPALA-24HRS'!M95,'16.8 BUSUNJU-KAMPALA-24HRS'!M95)</f>
        <v>0</v>
      </c>
      <c r="N95" s="49">
        <f>AVERAGE('15.8 BUSUNJU-KAMPALA-24HRS'!N95,'16.8 BUSUNJU-KAMPALA-24HRS'!N95)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AVERAGE('15.8 BUSUNJU-KAMPALA-24HRS'!C96,'16.8 BUSUNJU-KAMPALA-24HRS'!C96)</f>
        <v>0</v>
      </c>
      <c r="D96" s="49">
        <f>AVERAGE('15.8 BUSUNJU-KAMPALA-24HRS'!D96,'16.8 BUSUNJU-KAMPALA-24HRS'!D96)</f>
        <v>0</v>
      </c>
      <c r="E96" s="49">
        <f>AVERAGE('15.8 BUSUNJU-KAMPALA-24HRS'!E96,'16.8 BUSUNJU-KAMPALA-24HRS'!E96)</f>
        <v>0</v>
      </c>
      <c r="F96" s="49">
        <f>AVERAGE('15.8 BUSUNJU-KAMPALA-24HRS'!F96,'16.8 BUSUNJU-KAMPALA-24HRS'!F96)</f>
        <v>0</v>
      </c>
      <c r="G96" s="49">
        <f>AVERAGE('15.8 BUSUNJU-KAMPALA-24HRS'!G96,'16.8 BUSUNJU-KAMPALA-24HRS'!G96)</f>
        <v>0</v>
      </c>
      <c r="H96" s="49">
        <f>AVERAGE('15.8 BUSUNJU-KAMPALA-24HRS'!H96,'16.8 BUSUNJU-KAMPALA-24HRS'!H96)</f>
        <v>0</v>
      </c>
      <c r="I96" s="49">
        <f>AVERAGE('15.8 BUSUNJU-KAMPALA-24HRS'!I96,'16.8 BUSUNJU-KAMPALA-24HRS'!I96)</f>
        <v>0</v>
      </c>
      <c r="J96" s="49">
        <f>AVERAGE('15.8 BUSUNJU-KAMPALA-24HRS'!J96,'16.8 BUSUNJU-KAMPALA-24HRS'!J96)</f>
        <v>0</v>
      </c>
      <c r="K96" s="49">
        <f>AVERAGE('15.8 BUSUNJU-KAMPALA-24HRS'!K96,'16.8 BUSUNJU-KAMPALA-24HRS'!K96)</f>
        <v>0</v>
      </c>
      <c r="L96" s="49">
        <f>AVERAGE('15.8 BUSUNJU-KAMPALA-24HRS'!L96,'16.8 BUSUNJU-KAMPALA-24HRS'!L96)</f>
        <v>0</v>
      </c>
      <c r="M96" s="49">
        <f>AVERAGE('15.8 BUSUNJU-KAMPALA-24HRS'!M96,'16.8 BUSUNJU-KAMPALA-24HRS'!M96)</f>
        <v>0</v>
      </c>
      <c r="N96" s="49">
        <f>AVERAGE('15.8 BUSUNJU-KAMPALA-24HRS'!N96,'16.8 BUSUNJU-KAMPALA-24HRS'!N96)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AVERAGE('15.8 BUSUNJU-KAMPALA-24HRS'!C97,'16.8 BUSUNJU-KAMPALA-24HRS'!C97)</f>
        <v>0</v>
      </c>
      <c r="D97" s="49">
        <f>AVERAGE('15.8 BUSUNJU-KAMPALA-24HRS'!D97,'16.8 BUSUNJU-KAMPALA-24HRS'!D97)</f>
        <v>0</v>
      </c>
      <c r="E97" s="49">
        <f>AVERAGE('15.8 BUSUNJU-KAMPALA-24HRS'!E97,'16.8 BUSUNJU-KAMPALA-24HRS'!E97)</f>
        <v>0</v>
      </c>
      <c r="F97" s="49">
        <f>AVERAGE('15.8 BUSUNJU-KAMPALA-24HRS'!F97,'16.8 BUSUNJU-KAMPALA-24HRS'!F97)</f>
        <v>0</v>
      </c>
      <c r="G97" s="49">
        <f>AVERAGE('15.8 BUSUNJU-KAMPALA-24HRS'!G97,'16.8 BUSUNJU-KAMPALA-24HRS'!G97)</f>
        <v>0</v>
      </c>
      <c r="H97" s="49">
        <f>AVERAGE('15.8 BUSUNJU-KAMPALA-24HRS'!H97,'16.8 BUSUNJU-KAMPALA-24HRS'!H97)</f>
        <v>0</v>
      </c>
      <c r="I97" s="49">
        <f>AVERAGE('15.8 BUSUNJU-KAMPALA-24HRS'!I97,'16.8 BUSUNJU-KAMPALA-24HRS'!I97)</f>
        <v>0</v>
      </c>
      <c r="J97" s="49">
        <f>AVERAGE('15.8 BUSUNJU-KAMPALA-24HRS'!J97,'16.8 BUSUNJU-KAMPALA-24HRS'!J97)</f>
        <v>0</v>
      </c>
      <c r="K97" s="49">
        <f>AVERAGE('15.8 BUSUNJU-KAMPALA-24HRS'!K97,'16.8 BUSUNJU-KAMPALA-24HRS'!K97)</f>
        <v>0</v>
      </c>
      <c r="L97" s="49">
        <f>AVERAGE('15.8 BUSUNJU-KAMPALA-24HRS'!L97,'16.8 BUSUNJU-KAMPALA-24HRS'!L97)</f>
        <v>0</v>
      </c>
      <c r="M97" s="49">
        <f>AVERAGE('15.8 BUSUNJU-KAMPALA-24HRS'!M97,'16.8 BUSUNJU-KAMPALA-24HRS'!M97)</f>
        <v>0</v>
      </c>
      <c r="N97" s="49">
        <f>AVERAGE('15.8 BUSUNJU-KAMPALA-24HRS'!N97,'16.8 BUSUNJU-KAMPALA-24HRS'!N97)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AVERAGE('15.8 BUSUNJU-KAMPALA-24HRS'!C98,'16.8 BUSUNJU-KAMPALA-24HRS'!C98)</f>
        <v>2</v>
      </c>
      <c r="D98" s="49">
        <f>AVERAGE('15.8 BUSUNJU-KAMPALA-24HRS'!D98,'16.8 BUSUNJU-KAMPALA-24HRS'!D98)</f>
        <v>0</v>
      </c>
      <c r="E98" s="49">
        <f>AVERAGE('15.8 BUSUNJU-KAMPALA-24HRS'!E98,'16.8 BUSUNJU-KAMPALA-24HRS'!E98)</f>
        <v>0</v>
      </c>
      <c r="F98" s="49">
        <f>AVERAGE('15.8 BUSUNJU-KAMPALA-24HRS'!F98,'16.8 BUSUNJU-KAMPALA-24HRS'!F98)</f>
        <v>0</v>
      </c>
      <c r="G98" s="49">
        <f>AVERAGE('15.8 BUSUNJU-KAMPALA-24HRS'!G98,'16.8 BUSUNJU-KAMPALA-24HRS'!G98)</f>
        <v>0</v>
      </c>
      <c r="H98" s="49">
        <f>AVERAGE('15.8 BUSUNJU-KAMPALA-24HRS'!H98,'16.8 BUSUNJU-KAMPALA-24HRS'!H98)</f>
        <v>0</v>
      </c>
      <c r="I98" s="49">
        <f>AVERAGE('15.8 BUSUNJU-KAMPALA-24HRS'!I98,'16.8 BUSUNJU-KAMPALA-24HRS'!I98)</f>
        <v>0</v>
      </c>
      <c r="J98" s="49">
        <f>AVERAGE('15.8 BUSUNJU-KAMPALA-24HRS'!J98,'16.8 BUSUNJU-KAMPALA-24HRS'!J98)</f>
        <v>0</v>
      </c>
      <c r="K98" s="49">
        <f>AVERAGE('15.8 BUSUNJU-KAMPALA-24HRS'!K98,'16.8 BUSUNJU-KAMPALA-24HRS'!K98)</f>
        <v>0</v>
      </c>
      <c r="L98" s="49">
        <f>AVERAGE('15.8 BUSUNJU-KAMPALA-24HRS'!L98,'16.8 BUSUNJU-KAMPALA-24HRS'!L98)</f>
        <v>0</v>
      </c>
      <c r="M98" s="49">
        <f>AVERAGE('15.8 BUSUNJU-KAMPALA-24HRS'!M98,'16.8 BUSUNJU-KAMPALA-24HRS'!M98)</f>
        <v>0.5</v>
      </c>
      <c r="N98" s="49">
        <f>AVERAGE('15.8 BUSUNJU-KAMPALA-24HRS'!N98,'16.8 BUSUNJU-KAMPALA-24HRS'!N98)</f>
        <v>0</v>
      </c>
      <c r="O98" s="15">
        <f t="shared" si="35"/>
        <v>2</v>
      </c>
      <c r="P98" s="15">
        <f t="shared" si="36"/>
        <v>2.5</v>
      </c>
      <c r="R98" s="8"/>
      <c r="T98"/>
    </row>
    <row r="99" spans="2:20" ht="23.1" customHeight="1" x14ac:dyDescent="0.25">
      <c r="B99" s="23" t="s">
        <v>139</v>
      </c>
      <c r="C99" s="49">
        <f>AVERAGE('15.8 BUSUNJU-KAMPALA-24HRS'!C99,'16.8 BUSUNJU-KAMPALA-24HRS'!C99)</f>
        <v>0</v>
      </c>
      <c r="D99" s="49">
        <f>AVERAGE('15.8 BUSUNJU-KAMPALA-24HRS'!D99,'16.8 BUSUNJU-KAMPALA-24HRS'!D99)</f>
        <v>0</v>
      </c>
      <c r="E99" s="49">
        <f>AVERAGE('15.8 BUSUNJU-KAMPALA-24HRS'!E99,'16.8 BUSUNJU-KAMPALA-24HRS'!E99)</f>
        <v>0</v>
      </c>
      <c r="F99" s="49">
        <f>AVERAGE('15.8 BUSUNJU-KAMPALA-24HRS'!F99,'16.8 BUSUNJU-KAMPALA-24HRS'!F99)</f>
        <v>0</v>
      </c>
      <c r="G99" s="49">
        <f>AVERAGE('15.8 BUSUNJU-KAMPALA-24HRS'!G99,'16.8 BUSUNJU-KAMPALA-24HRS'!G99)</f>
        <v>0</v>
      </c>
      <c r="H99" s="49">
        <f>AVERAGE('15.8 BUSUNJU-KAMPALA-24HRS'!H99,'16.8 BUSUNJU-KAMPALA-24HRS'!H99)</f>
        <v>0</v>
      </c>
      <c r="I99" s="49">
        <f>AVERAGE('15.8 BUSUNJU-KAMPALA-24HRS'!I99,'16.8 BUSUNJU-KAMPALA-24HRS'!I99)</f>
        <v>0</v>
      </c>
      <c r="J99" s="49">
        <f>AVERAGE('15.8 BUSUNJU-KAMPALA-24HRS'!J99,'16.8 BUSUNJU-KAMPALA-24HRS'!J99)</f>
        <v>0</v>
      </c>
      <c r="K99" s="49">
        <f>AVERAGE('15.8 BUSUNJU-KAMPALA-24HRS'!K99,'16.8 BUSUNJU-KAMPALA-24HRS'!K99)</f>
        <v>0</v>
      </c>
      <c r="L99" s="49">
        <f>AVERAGE('15.8 BUSUNJU-KAMPALA-24HRS'!L99,'16.8 BUSUNJU-KAMPALA-24HRS'!L99)</f>
        <v>0</v>
      </c>
      <c r="M99" s="49">
        <f>AVERAGE('15.8 BUSUNJU-KAMPALA-24HRS'!M99,'16.8 BUSUNJU-KAMPALA-24HRS'!M99)</f>
        <v>0</v>
      </c>
      <c r="N99" s="49">
        <f>AVERAGE('15.8 BUSUNJU-KAMPALA-24HRS'!N99,'16.8 BUSUNJU-KAMPALA-24HRS'!N99)</f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25" t="s">
        <v>140</v>
      </c>
      <c r="C100" s="49">
        <f>AVERAGE('15.8 BUSUNJU-KAMPALA-24HRS'!C100,'16.8 BUSUNJU-KAMPALA-24HRS'!C100)</f>
        <v>1</v>
      </c>
      <c r="D100" s="49">
        <f>AVERAGE('15.8 BUSUNJU-KAMPALA-24HRS'!D100,'16.8 BUSUNJU-KAMPALA-24HRS'!D100)</f>
        <v>0</v>
      </c>
      <c r="E100" s="49">
        <f>AVERAGE('15.8 BUSUNJU-KAMPALA-24HRS'!E100,'16.8 BUSUNJU-KAMPALA-24HRS'!E100)</f>
        <v>0</v>
      </c>
      <c r="F100" s="49">
        <f>AVERAGE('15.8 BUSUNJU-KAMPALA-24HRS'!F100,'16.8 BUSUNJU-KAMPALA-24HRS'!F100)</f>
        <v>0</v>
      </c>
      <c r="G100" s="49">
        <f>AVERAGE('15.8 BUSUNJU-KAMPALA-24HRS'!G100,'16.8 BUSUNJU-KAMPALA-24HRS'!G100)</f>
        <v>1</v>
      </c>
      <c r="H100" s="49">
        <f>AVERAGE('15.8 BUSUNJU-KAMPALA-24HRS'!H100,'16.8 BUSUNJU-KAMPALA-24HRS'!H100)</f>
        <v>0</v>
      </c>
      <c r="I100" s="49">
        <f>AVERAGE('15.8 BUSUNJU-KAMPALA-24HRS'!I100,'16.8 BUSUNJU-KAMPALA-24HRS'!I100)</f>
        <v>0</v>
      </c>
      <c r="J100" s="49">
        <f>AVERAGE('15.8 BUSUNJU-KAMPALA-24HRS'!J100,'16.8 BUSUNJU-KAMPALA-24HRS'!J100)</f>
        <v>0</v>
      </c>
      <c r="K100" s="49">
        <f>AVERAGE('15.8 BUSUNJU-KAMPALA-24HRS'!K100,'16.8 BUSUNJU-KAMPALA-24HRS'!K100)</f>
        <v>0</v>
      </c>
      <c r="L100" s="49">
        <f>AVERAGE('15.8 BUSUNJU-KAMPALA-24HRS'!L100,'16.8 BUSUNJU-KAMPALA-24HRS'!L100)</f>
        <v>0</v>
      </c>
      <c r="M100" s="49">
        <f>AVERAGE('15.8 BUSUNJU-KAMPALA-24HRS'!M100,'16.8 BUSUNJU-KAMPALA-24HRS'!M100)</f>
        <v>1</v>
      </c>
      <c r="N100" s="49">
        <f>AVERAGE('15.8 BUSUNJU-KAMPALA-24HRS'!N100,'16.8 BUSUNJU-KAMPALA-24HRS'!N100)</f>
        <v>0</v>
      </c>
      <c r="O100" s="15">
        <f t="shared" si="35"/>
        <v>2</v>
      </c>
      <c r="P100" s="15">
        <f t="shared" si="36"/>
        <v>3</v>
      </c>
      <c r="R100" s="8"/>
      <c r="T100"/>
    </row>
    <row r="101" spans="2:20" ht="23.1" customHeight="1" x14ac:dyDescent="0.25">
      <c r="B101" s="23" t="s">
        <v>141</v>
      </c>
      <c r="C101" s="49">
        <f>AVERAGE('15.8 BUSUNJU-KAMPALA-24HRS'!C101,'16.8 BUSUNJU-KAMPALA-24HRS'!C101)</f>
        <v>3</v>
      </c>
      <c r="D101" s="49">
        <f>AVERAGE('15.8 BUSUNJU-KAMPALA-24HRS'!D101,'16.8 BUSUNJU-KAMPALA-24HRS'!D101)</f>
        <v>1</v>
      </c>
      <c r="E101" s="49">
        <f>AVERAGE('15.8 BUSUNJU-KAMPALA-24HRS'!E101,'16.8 BUSUNJU-KAMPALA-24HRS'!E101)</f>
        <v>0</v>
      </c>
      <c r="F101" s="49">
        <f>AVERAGE('15.8 BUSUNJU-KAMPALA-24HRS'!F101,'16.8 BUSUNJU-KAMPALA-24HRS'!F101)</f>
        <v>1</v>
      </c>
      <c r="G101" s="49">
        <f>AVERAGE('15.8 BUSUNJU-KAMPALA-24HRS'!G101,'16.8 BUSUNJU-KAMPALA-24HRS'!G101)</f>
        <v>0</v>
      </c>
      <c r="H101" s="49">
        <f>AVERAGE('15.8 BUSUNJU-KAMPALA-24HRS'!H101,'16.8 BUSUNJU-KAMPALA-24HRS'!H101)</f>
        <v>0</v>
      </c>
      <c r="I101" s="49">
        <f>AVERAGE('15.8 BUSUNJU-KAMPALA-24HRS'!I101,'16.8 BUSUNJU-KAMPALA-24HRS'!I101)</f>
        <v>0</v>
      </c>
      <c r="J101" s="49">
        <f>AVERAGE('15.8 BUSUNJU-KAMPALA-24HRS'!J101,'16.8 BUSUNJU-KAMPALA-24HRS'!J101)</f>
        <v>0</v>
      </c>
      <c r="K101" s="49">
        <f>AVERAGE('15.8 BUSUNJU-KAMPALA-24HRS'!K101,'16.8 BUSUNJU-KAMPALA-24HRS'!K101)</f>
        <v>0</v>
      </c>
      <c r="L101" s="49">
        <f>AVERAGE('15.8 BUSUNJU-KAMPALA-24HRS'!L101,'16.8 BUSUNJU-KAMPALA-24HRS'!L101)</f>
        <v>0</v>
      </c>
      <c r="M101" s="49">
        <f>AVERAGE('15.8 BUSUNJU-KAMPALA-24HRS'!M101,'16.8 BUSUNJU-KAMPALA-24HRS'!M101)</f>
        <v>0</v>
      </c>
      <c r="N101" s="49">
        <f>AVERAGE('15.8 BUSUNJU-KAMPALA-24HRS'!N101,'16.8 BUSUNJU-KAMPALA-24HRS'!N101)</f>
        <v>0</v>
      </c>
      <c r="O101" s="15">
        <f t="shared" si="35"/>
        <v>5</v>
      </c>
      <c r="P101" s="15">
        <f t="shared" si="36"/>
        <v>5</v>
      </c>
      <c r="R101" s="8"/>
      <c r="T101"/>
    </row>
    <row r="102" spans="2:20" ht="23.1" customHeight="1" x14ac:dyDescent="0.25">
      <c r="B102" s="24" t="s">
        <v>142</v>
      </c>
      <c r="C102" s="49">
        <f>AVERAGE('15.8 BUSUNJU-KAMPALA-24HRS'!C102,'16.8 BUSUNJU-KAMPALA-24HRS'!C102)</f>
        <v>0</v>
      </c>
      <c r="D102" s="49">
        <f>AVERAGE('15.8 BUSUNJU-KAMPALA-24HRS'!D102,'16.8 BUSUNJU-KAMPALA-24HRS'!D102)</f>
        <v>1</v>
      </c>
      <c r="E102" s="49">
        <f>AVERAGE('15.8 BUSUNJU-KAMPALA-24HRS'!E102,'16.8 BUSUNJU-KAMPALA-24HRS'!E102)</f>
        <v>1</v>
      </c>
      <c r="F102" s="49">
        <f>AVERAGE('15.8 BUSUNJU-KAMPALA-24HRS'!F102,'16.8 BUSUNJU-KAMPALA-24HRS'!F102)</f>
        <v>1</v>
      </c>
      <c r="G102" s="49">
        <f>AVERAGE('15.8 BUSUNJU-KAMPALA-24HRS'!G102,'16.8 BUSUNJU-KAMPALA-24HRS'!G102)</f>
        <v>0</v>
      </c>
      <c r="H102" s="49">
        <f>AVERAGE('15.8 BUSUNJU-KAMPALA-24HRS'!H102,'16.8 BUSUNJU-KAMPALA-24HRS'!H102)</f>
        <v>0</v>
      </c>
      <c r="I102" s="49">
        <f>AVERAGE('15.8 BUSUNJU-KAMPALA-24HRS'!I102,'16.8 BUSUNJU-KAMPALA-24HRS'!I102)</f>
        <v>0</v>
      </c>
      <c r="J102" s="49">
        <f>AVERAGE('15.8 BUSUNJU-KAMPALA-24HRS'!J102,'16.8 BUSUNJU-KAMPALA-24HRS'!J102)</f>
        <v>0</v>
      </c>
      <c r="K102" s="49">
        <f>AVERAGE('15.8 BUSUNJU-KAMPALA-24HRS'!K102,'16.8 BUSUNJU-KAMPALA-24HRS'!K102)</f>
        <v>0</v>
      </c>
      <c r="L102" s="49">
        <f>AVERAGE('15.8 BUSUNJU-KAMPALA-24HRS'!L102,'16.8 BUSUNJU-KAMPALA-24HRS'!L102)</f>
        <v>0</v>
      </c>
      <c r="M102" s="49">
        <f>AVERAGE('15.8 BUSUNJU-KAMPALA-24HRS'!M102,'16.8 BUSUNJU-KAMPALA-24HRS'!M102)</f>
        <v>2</v>
      </c>
      <c r="N102" s="49">
        <f>AVERAGE('15.8 BUSUNJU-KAMPALA-24HRS'!N102,'16.8 BUSUNJU-KAMPALA-24HRS'!N102)</f>
        <v>0</v>
      </c>
      <c r="O102" s="15">
        <f t="shared" si="35"/>
        <v>3</v>
      </c>
      <c r="P102" s="15">
        <f t="shared" si="36"/>
        <v>5</v>
      </c>
      <c r="R102" s="8"/>
      <c r="T102"/>
    </row>
    <row r="103" spans="2:20" ht="23.1" customHeight="1" x14ac:dyDescent="0.25">
      <c r="B103" s="23" t="s">
        <v>143</v>
      </c>
      <c r="C103" s="49">
        <f>AVERAGE('15.8 BUSUNJU-KAMPALA-24HRS'!C103,'16.8 BUSUNJU-KAMPALA-24HRS'!C103)</f>
        <v>0.5</v>
      </c>
      <c r="D103" s="49">
        <f>AVERAGE('15.8 BUSUNJU-KAMPALA-24HRS'!D103,'16.8 BUSUNJU-KAMPALA-24HRS'!D103)</f>
        <v>0</v>
      </c>
      <c r="E103" s="49">
        <f>AVERAGE('15.8 BUSUNJU-KAMPALA-24HRS'!E103,'16.8 BUSUNJU-KAMPALA-24HRS'!E103)</f>
        <v>0</v>
      </c>
      <c r="F103" s="49">
        <f>AVERAGE('15.8 BUSUNJU-KAMPALA-24HRS'!F103,'16.8 BUSUNJU-KAMPALA-24HRS'!F103)</f>
        <v>2</v>
      </c>
      <c r="G103" s="49">
        <f>AVERAGE('15.8 BUSUNJU-KAMPALA-24HRS'!G103,'16.8 BUSUNJU-KAMPALA-24HRS'!G103)</f>
        <v>0</v>
      </c>
      <c r="H103" s="49">
        <f>AVERAGE('15.8 BUSUNJU-KAMPALA-24HRS'!H103,'16.8 BUSUNJU-KAMPALA-24HRS'!H103)</f>
        <v>0</v>
      </c>
      <c r="I103" s="49">
        <f>AVERAGE('15.8 BUSUNJU-KAMPALA-24HRS'!I103,'16.8 BUSUNJU-KAMPALA-24HRS'!I103)</f>
        <v>0</v>
      </c>
      <c r="J103" s="49">
        <f>AVERAGE('15.8 BUSUNJU-KAMPALA-24HRS'!J103,'16.8 BUSUNJU-KAMPALA-24HRS'!J103)</f>
        <v>1</v>
      </c>
      <c r="K103" s="49">
        <f>AVERAGE('15.8 BUSUNJU-KAMPALA-24HRS'!K103,'16.8 BUSUNJU-KAMPALA-24HRS'!K103)</f>
        <v>0</v>
      </c>
      <c r="L103" s="49">
        <f>AVERAGE('15.8 BUSUNJU-KAMPALA-24HRS'!L103,'16.8 BUSUNJU-KAMPALA-24HRS'!L103)</f>
        <v>0</v>
      </c>
      <c r="M103" s="49">
        <f>AVERAGE('15.8 BUSUNJU-KAMPALA-24HRS'!M103,'16.8 BUSUNJU-KAMPALA-24HRS'!M103)</f>
        <v>2.5</v>
      </c>
      <c r="N103" s="49">
        <f>AVERAGE('15.8 BUSUNJU-KAMPALA-24HRS'!N103,'16.8 BUSUNJU-KAMPALA-24HRS'!N103)</f>
        <v>0</v>
      </c>
      <c r="O103" s="15">
        <f t="shared" si="35"/>
        <v>3.5</v>
      </c>
      <c r="P103" s="15">
        <f t="shared" si="36"/>
        <v>6</v>
      </c>
      <c r="R103" s="8"/>
      <c r="T103"/>
    </row>
    <row r="104" spans="2:20" ht="23.1" customHeight="1" x14ac:dyDescent="0.25">
      <c r="B104" s="25" t="s">
        <v>144</v>
      </c>
      <c r="C104" s="49">
        <f>AVERAGE('15.8 BUSUNJU-KAMPALA-24HRS'!C104,'16.8 BUSUNJU-KAMPALA-24HRS'!C104)</f>
        <v>2</v>
      </c>
      <c r="D104" s="49">
        <f>AVERAGE('15.8 BUSUNJU-KAMPALA-24HRS'!D104,'16.8 BUSUNJU-KAMPALA-24HRS'!D104)</f>
        <v>0</v>
      </c>
      <c r="E104" s="49">
        <f>AVERAGE('15.8 BUSUNJU-KAMPALA-24HRS'!E104,'16.8 BUSUNJU-KAMPALA-24HRS'!E104)</f>
        <v>2</v>
      </c>
      <c r="F104" s="49">
        <f>AVERAGE('15.8 BUSUNJU-KAMPALA-24HRS'!F104,'16.8 BUSUNJU-KAMPALA-24HRS'!F104)</f>
        <v>1.5</v>
      </c>
      <c r="G104" s="49">
        <f>AVERAGE('15.8 BUSUNJU-KAMPALA-24HRS'!G104,'16.8 BUSUNJU-KAMPALA-24HRS'!G104)</f>
        <v>1</v>
      </c>
      <c r="H104" s="49">
        <f>AVERAGE('15.8 BUSUNJU-KAMPALA-24HRS'!H104,'16.8 BUSUNJU-KAMPALA-24HRS'!H104)</f>
        <v>1</v>
      </c>
      <c r="I104" s="49">
        <f>AVERAGE('15.8 BUSUNJU-KAMPALA-24HRS'!I104,'16.8 BUSUNJU-KAMPALA-24HRS'!I104)</f>
        <v>0</v>
      </c>
      <c r="J104" s="49">
        <f>AVERAGE('15.8 BUSUNJU-KAMPALA-24HRS'!J104,'16.8 BUSUNJU-KAMPALA-24HRS'!J104)</f>
        <v>0.5</v>
      </c>
      <c r="K104" s="49">
        <f>AVERAGE('15.8 BUSUNJU-KAMPALA-24HRS'!K104,'16.8 BUSUNJU-KAMPALA-24HRS'!K104)</f>
        <v>1</v>
      </c>
      <c r="L104" s="49">
        <f>AVERAGE('15.8 BUSUNJU-KAMPALA-24HRS'!L104,'16.8 BUSUNJU-KAMPALA-24HRS'!L104)</f>
        <v>1</v>
      </c>
      <c r="M104" s="49">
        <f>AVERAGE('15.8 BUSUNJU-KAMPALA-24HRS'!M104,'16.8 BUSUNJU-KAMPALA-24HRS'!M104)</f>
        <v>3</v>
      </c>
      <c r="N104" s="49">
        <f>AVERAGE('15.8 BUSUNJU-KAMPALA-24HRS'!N104,'16.8 BUSUNJU-KAMPALA-24HRS'!N104)</f>
        <v>0</v>
      </c>
      <c r="O104" s="15">
        <f t="shared" si="35"/>
        <v>10</v>
      </c>
      <c r="P104" s="15">
        <f t="shared" si="36"/>
        <v>13</v>
      </c>
      <c r="R104" s="8"/>
      <c r="T104"/>
    </row>
    <row r="105" spans="2:20" ht="23.1" customHeight="1" x14ac:dyDescent="0.25">
      <c r="B105" s="23" t="s">
        <v>145</v>
      </c>
      <c r="C105" s="49">
        <f>AVERAGE('15.8 BUSUNJU-KAMPALA-24HRS'!C105,'16.8 BUSUNJU-KAMPALA-24HRS'!C105)</f>
        <v>2</v>
      </c>
      <c r="D105" s="49">
        <f>AVERAGE('15.8 BUSUNJU-KAMPALA-24HRS'!D105,'16.8 BUSUNJU-KAMPALA-24HRS'!D105)</f>
        <v>0</v>
      </c>
      <c r="E105" s="49">
        <f>AVERAGE('15.8 BUSUNJU-KAMPALA-24HRS'!E105,'16.8 BUSUNJU-KAMPALA-24HRS'!E105)</f>
        <v>0</v>
      </c>
      <c r="F105" s="49">
        <f>AVERAGE('15.8 BUSUNJU-KAMPALA-24HRS'!F105,'16.8 BUSUNJU-KAMPALA-24HRS'!F105)</f>
        <v>1.5</v>
      </c>
      <c r="G105" s="49">
        <f>AVERAGE('15.8 BUSUNJU-KAMPALA-24HRS'!G105,'16.8 BUSUNJU-KAMPALA-24HRS'!G105)</f>
        <v>0</v>
      </c>
      <c r="H105" s="49">
        <f>AVERAGE('15.8 BUSUNJU-KAMPALA-24HRS'!H105,'16.8 BUSUNJU-KAMPALA-24HRS'!H105)</f>
        <v>1</v>
      </c>
      <c r="I105" s="49">
        <f>AVERAGE('15.8 BUSUNJU-KAMPALA-24HRS'!I105,'16.8 BUSUNJU-KAMPALA-24HRS'!I105)</f>
        <v>0</v>
      </c>
      <c r="J105" s="49">
        <f>AVERAGE('15.8 BUSUNJU-KAMPALA-24HRS'!J105,'16.8 BUSUNJU-KAMPALA-24HRS'!J105)</f>
        <v>1</v>
      </c>
      <c r="K105" s="49">
        <f>AVERAGE('15.8 BUSUNJU-KAMPALA-24HRS'!K105,'16.8 BUSUNJU-KAMPALA-24HRS'!K105)</f>
        <v>0</v>
      </c>
      <c r="L105" s="49">
        <f>AVERAGE('15.8 BUSUNJU-KAMPALA-24HRS'!L105,'16.8 BUSUNJU-KAMPALA-24HRS'!L105)</f>
        <v>0</v>
      </c>
      <c r="M105" s="49">
        <f>AVERAGE('15.8 BUSUNJU-KAMPALA-24HRS'!M105,'16.8 BUSUNJU-KAMPALA-24HRS'!M105)</f>
        <v>4.5</v>
      </c>
      <c r="N105" s="49">
        <f>AVERAGE('15.8 BUSUNJU-KAMPALA-24HRS'!N105,'16.8 BUSUNJU-KAMPALA-24HRS'!N105)</f>
        <v>0.5</v>
      </c>
      <c r="O105" s="15">
        <f t="shared" si="35"/>
        <v>6</v>
      </c>
      <c r="P105" s="15">
        <f t="shared" si="36"/>
        <v>10.5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90.5</v>
      </c>
      <c r="D106" s="16">
        <f t="shared" ref="D106:P106" si="37">SUM(D10:D105)</f>
        <v>9</v>
      </c>
      <c r="E106" s="16">
        <f t="shared" si="37"/>
        <v>70.571428571428569</v>
      </c>
      <c r="F106" s="16">
        <f t="shared" si="37"/>
        <v>29.571428571428573</v>
      </c>
      <c r="G106" s="16">
        <f t="shared" si="37"/>
        <v>3</v>
      </c>
      <c r="H106" s="16">
        <f t="shared" si="37"/>
        <v>4</v>
      </c>
      <c r="I106" s="16">
        <f t="shared" si="37"/>
        <v>72</v>
      </c>
      <c r="J106" s="16">
        <f t="shared" si="37"/>
        <v>4.9285714285714288</v>
      </c>
      <c r="K106" s="16">
        <f t="shared" si="37"/>
        <v>1.1428571428571428</v>
      </c>
      <c r="L106" s="16">
        <f t="shared" si="37"/>
        <v>1</v>
      </c>
      <c r="M106" s="16">
        <f t="shared" si="37"/>
        <v>788.99999999999989</v>
      </c>
      <c r="N106" s="16">
        <f t="shared" si="37"/>
        <v>0.64285714285714279</v>
      </c>
      <c r="O106" s="16">
        <f t="shared" si="37"/>
        <v>286.35714285714289</v>
      </c>
      <c r="P106" s="16">
        <f t="shared" si="37"/>
        <v>1075.3571428571429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8.4158087014280972E-2</v>
      </c>
      <c r="D107" s="43">
        <f t="shared" si="38"/>
        <v>8.3693125207572241E-3</v>
      </c>
      <c r="E107" s="43">
        <f t="shared" si="38"/>
        <v>6.5626037861175684E-2</v>
      </c>
      <c r="F107" s="43">
        <f t="shared" si="38"/>
        <v>2.7499169711059448E-2</v>
      </c>
      <c r="G107" s="43">
        <f t="shared" si="38"/>
        <v>2.7897708402524076E-3</v>
      </c>
      <c r="H107" s="43">
        <f t="shared" si="38"/>
        <v>3.7196944536698768E-3</v>
      </c>
      <c r="I107" s="43">
        <f t="shared" si="38"/>
        <v>6.6954500166057793E-2</v>
      </c>
      <c r="J107" s="43">
        <f t="shared" si="38"/>
        <v>4.5831949518432419E-3</v>
      </c>
      <c r="K107" s="43">
        <f t="shared" si="38"/>
        <v>1.0627698439056791E-3</v>
      </c>
      <c r="L107" s="43">
        <f t="shared" si="38"/>
        <v>9.299236134174692E-4</v>
      </c>
      <c r="M107" s="43">
        <f t="shared" si="38"/>
        <v>0.73370973098638315</v>
      </c>
      <c r="N107" s="43">
        <f t="shared" si="38"/>
        <v>5.9780803719694444E-4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0.31603891244699422</v>
      </c>
      <c r="D108" s="44">
        <f t="shared" ref="D108:N108" si="39">D106/$O$106</f>
        <v>3.1429284110750806E-2</v>
      </c>
      <c r="E108" s="44">
        <f t="shared" si="39"/>
        <v>0.24644549763033172</v>
      </c>
      <c r="F108" s="44">
        <f t="shared" si="39"/>
        <v>0.10326764779246694</v>
      </c>
      <c r="G108" s="44">
        <f t="shared" si="39"/>
        <v>1.0476428036916936E-2</v>
      </c>
      <c r="H108" s="44">
        <f t="shared" si="39"/>
        <v>1.3968570715889247E-2</v>
      </c>
      <c r="I108" s="44">
        <f t="shared" si="39"/>
        <v>0.25143427288600645</v>
      </c>
      <c r="J108" s="44">
        <f t="shared" si="39"/>
        <v>1.7211274632077823E-2</v>
      </c>
      <c r="K108" s="44">
        <f t="shared" si="39"/>
        <v>3.9910202045397849E-3</v>
      </c>
      <c r="L108" s="44">
        <f t="shared" si="39"/>
        <v>3.4921426789723117E-3</v>
      </c>
      <c r="M108" s="44"/>
      <c r="N108" s="44">
        <f t="shared" si="39"/>
        <v>2.2449488650536291E-3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A6" zoomScale="55" zoomScaleSheetLayoutView="55" workbookViewId="0">
      <selection activeCell="N15" sqref="N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'17.8 BUSUNJU-KAMPALA'!C3:G3</f>
        <v>MCC-C3-STN-HOIMA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170</v>
      </c>
      <c r="E5" s="67"/>
      <c r="F5" s="41" t="s">
        <v>1</v>
      </c>
      <c r="G5" s="64" t="str">
        <f>'Avg Week Busunju-Kampala'!G5:H5</f>
        <v>WAKISO</v>
      </c>
      <c r="H5" s="65"/>
      <c r="I5" s="14"/>
      <c r="J5" s="2" t="s">
        <v>5</v>
      </c>
      <c r="K5" s="64">
        <f>'Avg Week Busunju-Kampala'!K5:L5</f>
        <v>0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8" t="s">
        <v>161</v>
      </c>
      <c r="E6" s="69"/>
      <c r="F6" s="2" t="s">
        <v>2</v>
      </c>
      <c r="G6" s="68" t="s">
        <v>161</v>
      </c>
      <c r="H6" s="69"/>
      <c r="J6" s="2" t="s">
        <v>21</v>
      </c>
      <c r="K6" s="64">
        <f>'Avg Week Busunju-Kampala'!K6:L6</f>
        <v>0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Kampala-Busunju'!C10+'Avg Week Busunju-Kampala'!C10</f>
        <v>1.8571428571428572</v>
      </c>
      <c r="D10" s="49">
        <f>'Avg Week Kampala-Busunju'!D10+'Avg Week Busunju-Kampala'!D10</f>
        <v>0</v>
      </c>
      <c r="E10" s="49">
        <f>'Avg Week Kampala-Busunju'!E10+'Avg Week Busunju-Kampala'!E10</f>
        <v>1.4285714285714284</v>
      </c>
      <c r="F10" s="49">
        <f>'Avg Week Kampala-Busunju'!F10+'Avg Week Busunju-Kampala'!F10</f>
        <v>0.2857142857142857</v>
      </c>
      <c r="G10" s="49">
        <f>'Avg Week Kampala-Busunju'!G10+'Avg Week Busunju-Kampala'!G10</f>
        <v>0</v>
      </c>
      <c r="H10" s="49">
        <f>'Avg Week Kampala-Busunju'!H10+'Avg Week Busunju-Kampala'!H10</f>
        <v>0</v>
      </c>
      <c r="I10" s="49">
        <f>'Avg Week Kampala-Busunju'!I10+'Avg Week Busunju-Kampala'!I10</f>
        <v>0.71428571428571419</v>
      </c>
      <c r="J10" s="49">
        <f>'Avg Week Kampala-Busunju'!J10+'Avg Week Busunju-Kampala'!J10</f>
        <v>0</v>
      </c>
      <c r="K10" s="49">
        <f>'Avg Week Kampala-Busunju'!K10+'Avg Week Busunju-Kampala'!K10</f>
        <v>0</v>
      </c>
      <c r="L10" s="49">
        <f>'Avg Week Kampala-Busunju'!L10+'Avg Week Busunju-Kampala'!L10</f>
        <v>0</v>
      </c>
      <c r="M10" s="49">
        <f>'Avg Week Kampala-Busunju'!M10+'Avg Week Busunju-Kampala'!M10</f>
        <v>17.142857142857142</v>
      </c>
      <c r="N10" s="49">
        <f>'Avg Week Kampala-Busunju'!N10+'Avg Week Busunju-Kampala'!N10</f>
        <v>0</v>
      </c>
      <c r="O10" s="15">
        <f t="shared" ref="O10:O58" si="0">SUM(C10:L10,N10)</f>
        <v>4.2857142857142856</v>
      </c>
      <c r="P10" s="15">
        <f t="shared" ref="P10:P57" si="1">SUM(C10:N10)</f>
        <v>21.428571428571427</v>
      </c>
      <c r="R10" s="1" t="s">
        <v>6</v>
      </c>
      <c r="S10" s="17">
        <f t="shared" ref="S10:AF10" si="2">SUM(C10:C13)</f>
        <v>5.5714285714285712</v>
      </c>
      <c r="T10" s="17">
        <f t="shared" si="2"/>
        <v>0</v>
      </c>
      <c r="U10" s="17">
        <f t="shared" si="2"/>
        <v>3.9999999999999996</v>
      </c>
      <c r="V10" s="17">
        <f t="shared" si="2"/>
        <v>1.7142857142857142</v>
      </c>
      <c r="W10" s="17">
        <f t="shared" si="2"/>
        <v>0.14285714285714285</v>
      </c>
      <c r="X10" s="17">
        <f t="shared" si="2"/>
        <v>0</v>
      </c>
      <c r="Y10" s="17">
        <f t="shared" si="2"/>
        <v>4.2857142857142856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78</v>
      </c>
      <c r="AD10" s="17">
        <f t="shared" si="2"/>
        <v>0</v>
      </c>
      <c r="AE10" s="31">
        <f t="shared" si="2"/>
        <v>15.714285714285712</v>
      </c>
      <c r="AF10" s="31">
        <f t="shared" si="2"/>
        <v>93.714285714285708</v>
      </c>
    </row>
    <row r="11" spans="2:32" s="6" customFormat="1" ht="23.1" customHeight="1" x14ac:dyDescent="0.25">
      <c r="B11" s="23" t="s">
        <v>38</v>
      </c>
      <c r="C11" s="49">
        <f>'Avg Week Kampala-Busunju'!C11+'Avg Week Busunju-Kampala'!C11</f>
        <v>1.2857142857142856</v>
      </c>
      <c r="D11" s="49">
        <f>'Avg Week Kampala-Busunju'!D11+'Avg Week Busunju-Kampala'!D11</f>
        <v>0</v>
      </c>
      <c r="E11" s="49">
        <f>'Avg Week Kampala-Busunju'!E11+'Avg Week Busunju-Kampala'!E11</f>
        <v>0.42857142857142855</v>
      </c>
      <c r="F11" s="49">
        <f>'Avg Week Kampala-Busunju'!F11+'Avg Week Busunju-Kampala'!F11</f>
        <v>0.2857142857142857</v>
      </c>
      <c r="G11" s="49">
        <f>'Avg Week Kampala-Busunju'!G11+'Avg Week Busunju-Kampala'!G11</f>
        <v>0</v>
      </c>
      <c r="H11" s="49">
        <f>'Avg Week Kampala-Busunju'!H11+'Avg Week Busunju-Kampala'!H11</f>
        <v>0</v>
      </c>
      <c r="I11" s="49">
        <f>'Avg Week Kampala-Busunju'!I11+'Avg Week Busunju-Kampala'!I11</f>
        <v>0.85714285714285721</v>
      </c>
      <c r="J11" s="49">
        <f>'Avg Week Kampala-Busunju'!J11+'Avg Week Busunju-Kampala'!J11</f>
        <v>0</v>
      </c>
      <c r="K11" s="49">
        <f>'Avg Week Kampala-Busunju'!K11+'Avg Week Busunju-Kampala'!K11</f>
        <v>0</v>
      </c>
      <c r="L11" s="49">
        <f>'Avg Week Kampala-Busunju'!L11+'Avg Week Busunju-Kampala'!L11</f>
        <v>0</v>
      </c>
      <c r="M11" s="49">
        <f>'Avg Week Kampala-Busunju'!M11+'Avg Week Busunju-Kampala'!M11</f>
        <v>18</v>
      </c>
      <c r="N11" s="49">
        <f>'Avg Week Kampala-Busunju'!N11+'Avg Week Busunju-Kampala'!N11</f>
        <v>0</v>
      </c>
      <c r="O11" s="15">
        <f t="shared" si="0"/>
        <v>2.8571428571428572</v>
      </c>
      <c r="P11" s="15">
        <f t="shared" si="1"/>
        <v>20.857142857142858</v>
      </c>
      <c r="R11" s="1" t="s">
        <v>7</v>
      </c>
      <c r="S11" s="17">
        <f t="shared" ref="S11:AF11" si="3">SUM(C14:C17)</f>
        <v>5.2857142857142865</v>
      </c>
      <c r="T11" s="17">
        <f t="shared" si="3"/>
        <v>0.14285714285714285</v>
      </c>
      <c r="U11" s="17">
        <f t="shared" si="3"/>
        <v>5.1428571428571423</v>
      </c>
      <c r="V11" s="17">
        <f t="shared" si="3"/>
        <v>2.4285714285714279</v>
      </c>
      <c r="W11" s="17">
        <f t="shared" si="3"/>
        <v>0.14285714285714285</v>
      </c>
      <c r="X11" s="17">
        <f t="shared" si="3"/>
        <v>0.14285714285714285</v>
      </c>
      <c r="Y11" s="17">
        <f t="shared" si="3"/>
        <v>6.2857142857142856</v>
      </c>
      <c r="Z11" s="17">
        <f t="shared" si="3"/>
        <v>0</v>
      </c>
      <c r="AA11" s="17">
        <f t="shared" si="3"/>
        <v>0</v>
      </c>
      <c r="AB11" s="17">
        <f t="shared" si="3"/>
        <v>0.14285714285714285</v>
      </c>
      <c r="AC11" s="17">
        <f t="shared" si="3"/>
        <v>104.28571428571428</v>
      </c>
      <c r="AD11" s="17">
        <f t="shared" si="3"/>
        <v>0.14285714285714285</v>
      </c>
      <c r="AE11" s="31">
        <f t="shared" si="3"/>
        <v>19.857142857142854</v>
      </c>
      <c r="AF11" s="31">
        <f t="shared" si="3"/>
        <v>124.14285714285715</v>
      </c>
    </row>
    <row r="12" spans="2:32" ht="23.1" customHeight="1" x14ac:dyDescent="0.25">
      <c r="B12" s="23" t="s">
        <v>39</v>
      </c>
      <c r="C12" s="49">
        <f>'Avg Week Kampala-Busunju'!C12+'Avg Week Busunju-Kampala'!C12</f>
        <v>1.2857142857142856</v>
      </c>
      <c r="D12" s="49">
        <f>'Avg Week Kampala-Busunju'!D12+'Avg Week Busunju-Kampala'!D12</f>
        <v>0</v>
      </c>
      <c r="E12" s="49">
        <f>'Avg Week Kampala-Busunju'!E12+'Avg Week Busunju-Kampala'!E12</f>
        <v>1.2857142857142856</v>
      </c>
      <c r="F12" s="49">
        <f>'Avg Week Kampala-Busunju'!F12+'Avg Week Busunju-Kampala'!F12</f>
        <v>0.5714285714285714</v>
      </c>
      <c r="G12" s="49">
        <f>'Avg Week Kampala-Busunju'!G12+'Avg Week Busunju-Kampala'!G12</f>
        <v>0.14285714285714285</v>
      </c>
      <c r="H12" s="49">
        <f>'Avg Week Kampala-Busunju'!H12+'Avg Week Busunju-Kampala'!H12</f>
        <v>0</v>
      </c>
      <c r="I12" s="49">
        <f>'Avg Week Kampala-Busunju'!I12+'Avg Week Busunju-Kampala'!I12</f>
        <v>1.1428571428571428</v>
      </c>
      <c r="J12" s="49">
        <f>'Avg Week Kampala-Busunju'!J12+'Avg Week Busunju-Kampala'!J12</f>
        <v>0</v>
      </c>
      <c r="K12" s="49">
        <f>'Avg Week Kampala-Busunju'!K12+'Avg Week Busunju-Kampala'!K12</f>
        <v>0</v>
      </c>
      <c r="L12" s="49">
        <f>'Avg Week Kampala-Busunju'!L12+'Avg Week Busunju-Kampala'!L12</f>
        <v>0</v>
      </c>
      <c r="M12" s="49">
        <f>'Avg Week Kampala-Busunju'!M12+'Avg Week Busunju-Kampala'!M12</f>
        <v>22.428571428571431</v>
      </c>
      <c r="N12" s="49">
        <f>'Avg Week Kampala-Busunju'!N12+'Avg Week Busunju-Kampala'!N12</f>
        <v>0</v>
      </c>
      <c r="O12" s="15">
        <f t="shared" si="0"/>
        <v>4.4285714285714279</v>
      </c>
      <c r="P12" s="15">
        <f t="shared" si="1"/>
        <v>26.857142857142858</v>
      </c>
      <c r="R12" s="1" t="s">
        <v>8</v>
      </c>
      <c r="S12" s="17">
        <f t="shared" ref="S12:AF12" si="4">SUM(C18:C21)</f>
        <v>5.2857142857142856</v>
      </c>
      <c r="T12" s="17">
        <f t="shared" si="4"/>
        <v>0.14285714285714285</v>
      </c>
      <c r="U12" s="17">
        <f t="shared" si="4"/>
        <v>4.4285714285714288</v>
      </c>
      <c r="V12" s="17">
        <f t="shared" si="4"/>
        <v>1.2857142857142856</v>
      </c>
      <c r="W12" s="17">
        <f t="shared" si="4"/>
        <v>0</v>
      </c>
      <c r="X12" s="17">
        <f t="shared" si="4"/>
        <v>0.14285714285714285</v>
      </c>
      <c r="Y12" s="17">
        <f t="shared" si="4"/>
        <v>5.8571428571428577</v>
      </c>
      <c r="Z12" s="17">
        <f t="shared" si="4"/>
        <v>0.5714285714285714</v>
      </c>
      <c r="AA12" s="17">
        <f t="shared" si="4"/>
        <v>0</v>
      </c>
      <c r="AB12" s="17">
        <f t="shared" si="4"/>
        <v>0.14285714285714285</v>
      </c>
      <c r="AC12" s="17">
        <f t="shared" si="4"/>
        <v>119.28571428571428</v>
      </c>
      <c r="AD12" s="17">
        <f t="shared" si="4"/>
        <v>0</v>
      </c>
      <c r="AE12" s="31">
        <f t="shared" si="4"/>
        <v>17.857142857142858</v>
      </c>
      <c r="AF12" s="31">
        <f t="shared" si="4"/>
        <v>137.14285714285714</v>
      </c>
    </row>
    <row r="13" spans="2:32" ht="23.1" customHeight="1" x14ac:dyDescent="0.25">
      <c r="B13" s="23" t="s">
        <v>40</v>
      </c>
      <c r="C13" s="49">
        <f>'Avg Week Kampala-Busunju'!C13+'Avg Week Busunju-Kampala'!C13</f>
        <v>1.1428571428571428</v>
      </c>
      <c r="D13" s="49">
        <f>'Avg Week Kampala-Busunju'!D13+'Avg Week Busunju-Kampala'!D13</f>
        <v>0</v>
      </c>
      <c r="E13" s="49">
        <f>'Avg Week Kampala-Busunju'!E13+'Avg Week Busunju-Kampala'!E13</f>
        <v>0.8571428571428571</v>
      </c>
      <c r="F13" s="49">
        <f>'Avg Week Kampala-Busunju'!F13+'Avg Week Busunju-Kampala'!F13</f>
        <v>0.5714285714285714</v>
      </c>
      <c r="G13" s="49">
        <f>'Avg Week Kampala-Busunju'!G13+'Avg Week Busunju-Kampala'!G13</f>
        <v>0</v>
      </c>
      <c r="H13" s="49">
        <f>'Avg Week Kampala-Busunju'!H13+'Avg Week Busunju-Kampala'!H13</f>
        <v>0</v>
      </c>
      <c r="I13" s="49">
        <f>'Avg Week Kampala-Busunju'!I13+'Avg Week Busunju-Kampala'!I13</f>
        <v>1.5714285714285714</v>
      </c>
      <c r="J13" s="49">
        <f>'Avg Week Kampala-Busunju'!J13+'Avg Week Busunju-Kampala'!J13</f>
        <v>0</v>
      </c>
      <c r="K13" s="49">
        <f>'Avg Week Kampala-Busunju'!K13+'Avg Week Busunju-Kampala'!K13</f>
        <v>0</v>
      </c>
      <c r="L13" s="49">
        <f>'Avg Week Kampala-Busunju'!L13+'Avg Week Busunju-Kampala'!L13</f>
        <v>0</v>
      </c>
      <c r="M13" s="49">
        <f>'Avg Week Kampala-Busunju'!M13+'Avg Week Busunju-Kampala'!M13</f>
        <v>20.428571428571431</v>
      </c>
      <c r="N13" s="49">
        <f>'Avg Week Kampala-Busunju'!N13+'Avg Week Busunju-Kampala'!N13</f>
        <v>0</v>
      </c>
      <c r="O13" s="15">
        <f t="shared" si="0"/>
        <v>4.1428571428571423</v>
      </c>
      <c r="P13" s="15">
        <f t="shared" si="1"/>
        <v>24.571428571428573</v>
      </c>
      <c r="R13" s="1" t="s">
        <v>9</v>
      </c>
      <c r="S13" s="17">
        <f t="shared" ref="S13:AF13" si="5">SUM(C22:C25)</f>
        <v>5.7142857142857135</v>
      </c>
      <c r="T13" s="17">
        <f t="shared" si="5"/>
        <v>0.42857142857142855</v>
      </c>
      <c r="U13" s="17">
        <f t="shared" si="5"/>
        <v>7.7142857142857135</v>
      </c>
      <c r="V13" s="17">
        <f t="shared" si="5"/>
        <v>1.8571428571428572</v>
      </c>
      <c r="W13" s="17">
        <f t="shared" si="5"/>
        <v>0.42857142857142855</v>
      </c>
      <c r="X13" s="17">
        <f t="shared" si="5"/>
        <v>0.2857142857142857</v>
      </c>
      <c r="Y13" s="17">
        <f t="shared" si="5"/>
        <v>9.4285714285714288</v>
      </c>
      <c r="Z13" s="17">
        <f t="shared" si="5"/>
        <v>0.42857142857142855</v>
      </c>
      <c r="AA13" s="17">
        <f t="shared" si="5"/>
        <v>0</v>
      </c>
      <c r="AB13" s="17">
        <f t="shared" si="5"/>
        <v>0.14285714285714285</v>
      </c>
      <c r="AC13" s="17">
        <f t="shared" si="5"/>
        <v>117.57142857142858</v>
      </c>
      <c r="AD13" s="17">
        <f t="shared" si="5"/>
        <v>0</v>
      </c>
      <c r="AE13" s="31">
        <f t="shared" si="5"/>
        <v>26.428571428571431</v>
      </c>
      <c r="AF13" s="31">
        <f t="shared" si="5"/>
        <v>144.00000000000003</v>
      </c>
    </row>
    <row r="14" spans="2:32" ht="23.1" customHeight="1" x14ac:dyDescent="0.25">
      <c r="B14" s="23" t="s">
        <v>41</v>
      </c>
      <c r="C14" s="49">
        <f>'Avg Week Kampala-Busunju'!C14+'Avg Week Busunju-Kampala'!C14</f>
        <v>0.85714285714285721</v>
      </c>
      <c r="D14" s="49">
        <f>'Avg Week Kampala-Busunju'!D14+'Avg Week Busunju-Kampala'!D14</f>
        <v>0.14285714285714285</v>
      </c>
      <c r="E14" s="49">
        <f>'Avg Week Kampala-Busunju'!E14+'Avg Week Busunju-Kampala'!E14</f>
        <v>0.8571428571428571</v>
      </c>
      <c r="F14" s="49">
        <f>'Avg Week Kampala-Busunju'!F14+'Avg Week Busunju-Kampala'!F14</f>
        <v>0.5714285714285714</v>
      </c>
      <c r="G14" s="49">
        <f>'Avg Week Kampala-Busunju'!G14+'Avg Week Busunju-Kampala'!G14</f>
        <v>0</v>
      </c>
      <c r="H14" s="49">
        <f>'Avg Week Kampala-Busunju'!H14+'Avg Week Busunju-Kampala'!H14</f>
        <v>0</v>
      </c>
      <c r="I14" s="49">
        <f>'Avg Week Kampala-Busunju'!I14+'Avg Week Busunju-Kampala'!I14</f>
        <v>0.85714285714285721</v>
      </c>
      <c r="J14" s="49">
        <f>'Avg Week Kampala-Busunju'!J14+'Avg Week Busunju-Kampala'!J14</f>
        <v>0</v>
      </c>
      <c r="K14" s="49">
        <f>'Avg Week Kampala-Busunju'!K14+'Avg Week Busunju-Kampala'!K14</f>
        <v>0</v>
      </c>
      <c r="L14" s="49">
        <f>'Avg Week Kampala-Busunju'!L14+'Avg Week Busunju-Kampala'!L14</f>
        <v>0.14285714285714285</v>
      </c>
      <c r="M14" s="49">
        <f>'Avg Week Kampala-Busunju'!M14+'Avg Week Busunju-Kampala'!M14</f>
        <v>22.571428571428569</v>
      </c>
      <c r="N14" s="49">
        <f>'Avg Week Kampala-Busunju'!N14+'Avg Week Busunju-Kampala'!N14</f>
        <v>0</v>
      </c>
      <c r="O14" s="15">
        <f t="shared" si="0"/>
        <v>3.4285714285714288</v>
      </c>
      <c r="P14" s="15">
        <f t="shared" si="1"/>
        <v>26</v>
      </c>
      <c r="R14" s="1" t="s">
        <v>10</v>
      </c>
      <c r="S14" s="17">
        <f t="shared" ref="S14:AF14" si="6">SUM(C26:C29)</f>
        <v>8.8571428571428577</v>
      </c>
      <c r="T14" s="17">
        <f t="shared" si="6"/>
        <v>0</v>
      </c>
      <c r="U14" s="17">
        <f t="shared" si="6"/>
        <v>5.4285714285714288</v>
      </c>
      <c r="V14" s="17">
        <f t="shared" si="6"/>
        <v>3.2857142857142856</v>
      </c>
      <c r="W14" s="17">
        <f t="shared" si="6"/>
        <v>0.14285714285714285</v>
      </c>
      <c r="X14" s="17">
        <f t="shared" si="6"/>
        <v>0</v>
      </c>
      <c r="Y14" s="17">
        <f t="shared" si="6"/>
        <v>7</v>
      </c>
      <c r="Z14" s="17">
        <f t="shared" si="6"/>
        <v>0.99999999999999989</v>
      </c>
      <c r="AA14" s="17">
        <f t="shared" si="6"/>
        <v>0.14285714285714285</v>
      </c>
      <c r="AB14" s="17">
        <f t="shared" si="6"/>
        <v>0</v>
      </c>
      <c r="AC14" s="17">
        <f t="shared" si="6"/>
        <v>124.28571428571428</v>
      </c>
      <c r="AD14" s="17">
        <f t="shared" si="6"/>
        <v>0</v>
      </c>
      <c r="AE14" s="31">
        <f t="shared" si="6"/>
        <v>25.857142857142858</v>
      </c>
      <c r="AF14" s="31">
        <f t="shared" si="6"/>
        <v>150.14285714285714</v>
      </c>
    </row>
    <row r="15" spans="2:32" ht="23.1" customHeight="1" x14ac:dyDescent="0.25">
      <c r="B15" s="23" t="s">
        <v>42</v>
      </c>
      <c r="C15" s="49">
        <f>'Avg Week Kampala-Busunju'!C15+'Avg Week Busunju-Kampala'!C15</f>
        <v>1.5714285714285714</v>
      </c>
      <c r="D15" s="49">
        <f>'Avg Week Kampala-Busunju'!D15+'Avg Week Busunju-Kampala'!D15</f>
        <v>0</v>
      </c>
      <c r="E15" s="49">
        <f>'Avg Week Kampala-Busunju'!E15+'Avg Week Busunju-Kampala'!E15</f>
        <v>1.7142857142857144</v>
      </c>
      <c r="F15" s="49">
        <f>'Avg Week Kampala-Busunju'!F15+'Avg Week Busunju-Kampala'!F15</f>
        <v>0.8571428571428571</v>
      </c>
      <c r="G15" s="49">
        <f>'Avg Week Kampala-Busunju'!G15+'Avg Week Busunju-Kampala'!G15</f>
        <v>0.14285714285714285</v>
      </c>
      <c r="H15" s="49">
        <f>'Avg Week Kampala-Busunju'!H15+'Avg Week Busunju-Kampala'!H15</f>
        <v>0</v>
      </c>
      <c r="I15" s="49">
        <f>'Avg Week Kampala-Busunju'!I15+'Avg Week Busunju-Kampala'!I15</f>
        <v>1.5714285714285714</v>
      </c>
      <c r="J15" s="49">
        <f>'Avg Week Kampala-Busunju'!J15+'Avg Week Busunju-Kampala'!J15</f>
        <v>0</v>
      </c>
      <c r="K15" s="49">
        <f>'Avg Week Kampala-Busunju'!K15+'Avg Week Busunju-Kampala'!K15</f>
        <v>0</v>
      </c>
      <c r="L15" s="49">
        <f>'Avg Week Kampala-Busunju'!L15+'Avg Week Busunju-Kampala'!L15</f>
        <v>0</v>
      </c>
      <c r="M15" s="49">
        <f>'Avg Week Kampala-Busunju'!M15+'Avg Week Busunju-Kampala'!M15</f>
        <v>25.285714285714285</v>
      </c>
      <c r="N15" s="49">
        <f>'Avg Week Kampala-Busunju'!N15+'Avg Week Busunju-Kampala'!N15</f>
        <v>0</v>
      </c>
      <c r="O15" s="15">
        <f t="shared" si="0"/>
        <v>5.8571428571428568</v>
      </c>
      <c r="P15" s="15">
        <f t="shared" si="1"/>
        <v>31.142857142857142</v>
      </c>
      <c r="R15" s="1" t="s">
        <v>11</v>
      </c>
      <c r="S15" s="17">
        <f t="shared" ref="S15:AF15" si="7">SUM(C30:C33)</f>
        <v>7.1428571428571423</v>
      </c>
      <c r="T15" s="17">
        <f t="shared" si="7"/>
        <v>0.14285714285714285</v>
      </c>
      <c r="U15" s="17">
        <f t="shared" si="7"/>
        <v>8.428571428571427</v>
      </c>
      <c r="V15" s="17">
        <f t="shared" si="7"/>
        <v>3.4285714285714288</v>
      </c>
      <c r="W15" s="17">
        <f t="shared" si="7"/>
        <v>0</v>
      </c>
      <c r="X15" s="17">
        <f t="shared" si="7"/>
        <v>0.14285714285714285</v>
      </c>
      <c r="Y15" s="17">
        <f t="shared" si="7"/>
        <v>10.142857142857142</v>
      </c>
      <c r="Z15" s="17">
        <f t="shared" si="7"/>
        <v>0.85714285714285698</v>
      </c>
      <c r="AA15" s="17">
        <f t="shared" si="7"/>
        <v>0</v>
      </c>
      <c r="AB15" s="17">
        <f t="shared" si="7"/>
        <v>0.14285714285714285</v>
      </c>
      <c r="AC15" s="17">
        <f t="shared" si="7"/>
        <v>119.85714285714286</v>
      </c>
      <c r="AD15" s="17">
        <f t="shared" si="7"/>
        <v>0</v>
      </c>
      <c r="AE15" s="31">
        <f t="shared" si="7"/>
        <v>30.428571428571431</v>
      </c>
      <c r="AF15" s="31">
        <f t="shared" si="7"/>
        <v>150.28571428571428</v>
      </c>
    </row>
    <row r="16" spans="2:32" ht="23.1" customHeight="1" x14ac:dyDescent="0.25">
      <c r="B16" s="23" t="s">
        <v>43</v>
      </c>
      <c r="C16" s="49">
        <f>'Avg Week Kampala-Busunju'!C16+'Avg Week Busunju-Kampala'!C16</f>
        <v>1.4285714285714286</v>
      </c>
      <c r="D16" s="49">
        <f>'Avg Week Kampala-Busunju'!D16+'Avg Week Busunju-Kampala'!D16</f>
        <v>0</v>
      </c>
      <c r="E16" s="49">
        <f>'Avg Week Kampala-Busunju'!E16+'Avg Week Busunju-Kampala'!E16</f>
        <v>1.7142857142857142</v>
      </c>
      <c r="F16" s="49">
        <f>'Avg Week Kampala-Busunju'!F16+'Avg Week Busunju-Kampala'!F16</f>
        <v>0.71428571428571419</v>
      </c>
      <c r="G16" s="49">
        <f>'Avg Week Kampala-Busunju'!G16+'Avg Week Busunju-Kampala'!G16</f>
        <v>0</v>
      </c>
      <c r="H16" s="49">
        <f>'Avg Week Kampala-Busunju'!H16+'Avg Week Busunju-Kampala'!H16</f>
        <v>0</v>
      </c>
      <c r="I16" s="49">
        <f>'Avg Week Kampala-Busunju'!I16+'Avg Week Busunju-Kampala'!I16</f>
        <v>2.2857142857142856</v>
      </c>
      <c r="J16" s="49">
        <f>'Avg Week Kampala-Busunju'!J16+'Avg Week Busunju-Kampala'!J16</f>
        <v>0</v>
      </c>
      <c r="K16" s="49">
        <f>'Avg Week Kampala-Busunju'!K16+'Avg Week Busunju-Kampala'!K16</f>
        <v>0</v>
      </c>
      <c r="L16" s="49">
        <f>'Avg Week Kampala-Busunju'!L16+'Avg Week Busunju-Kampala'!L16</f>
        <v>0</v>
      </c>
      <c r="M16" s="49">
        <f>'Avg Week Kampala-Busunju'!M16+'Avg Week Busunju-Kampala'!M16</f>
        <v>28.285714285714285</v>
      </c>
      <c r="N16" s="49">
        <f>'Avg Week Kampala-Busunju'!N16+'Avg Week Busunju-Kampala'!N16</f>
        <v>0.14285714285714285</v>
      </c>
      <c r="O16" s="15">
        <f t="shared" si="0"/>
        <v>6.2857142857142856</v>
      </c>
      <c r="P16" s="15">
        <f t="shared" si="1"/>
        <v>34.571428571428577</v>
      </c>
      <c r="R16" s="1" t="s">
        <v>12</v>
      </c>
      <c r="S16" s="17">
        <f t="shared" ref="S16:AF16" si="8">SUM(C34:C37)</f>
        <v>7.8571428571428568</v>
      </c>
      <c r="T16" s="17">
        <f t="shared" si="8"/>
        <v>0.14285714285714285</v>
      </c>
      <c r="U16" s="17">
        <f t="shared" si="8"/>
        <v>8.571428571428573</v>
      </c>
      <c r="V16" s="17">
        <f t="shared" si="8"/>
        <v>2.714285714285714</v>
      </c>
      <c r="W16" s="17">
        <f t="shared" si="8"/>
        <v>0.14285714285714285</v>
      </c>
      <c r="X16" s="17">
        <f t="shared" si="8"/>
        <v>0</v>
      </c>
      <c r="Y16" s="17">
        <f t="shared" si="8"/>
        <v>7.2857142857142865</v>
      </c>
      <c r="Z16" s="17">
        <f t="shared" si="8"/>
        <v>0.71428571428571419</v>
      </c>
      <c r="AA16" s="17">
        <f t="shared" si="8"/>
        <v>0</v>
      </c>
      <c r="AB16" s="17">
        <f t="shared" si="8"/>
        <v>0</v>
      </c>
      <c r="AC16" s="17">
        <f t="shared" si="8"/>
        <v>110.14285714285714</v>
      </c>
      <c r="AD16" s="17">
        <f t="shared" si="8"/>
        <v>0</v>
      </c>
      <c r="AE16" s="31">
        <f t="shared" si="8"/>
        <v>27.428571428571431</v>
      </c>
      <c r="AF16" s="31">
        <f t="shared" si="8"/>
        <v>137.57142857142858</v>
      </c>
    </row>
    <row r="17" spans="2:32" ht="23.1" customHeight="1" x14ac:dyDescent="0.25">
      <c r="B17" s="23" t="s">
        <v>44</v>
      </c>
      <c r="C17" s="49">
        <f>'Avg Week Kampala-Busunju'!C17+'Avg Week Busunju-Kampala'!C17</f>
        <v>1.4285714285714286</v>
      </c>
      <c r="D17" s="49">
        <f>'Avg Week Kampala-Busunju'!D17+'Avg Week Busunju-Kampala'!D17</f>
        <v>0</v>
      </c>
      <c r="E17" s="49">
        <f>'Avg Week Kampala-Busunju'!E17+'Avg Week Busunju-Kampala'!E17</f>
        <v>0.8571428571428571</v>
      </c>
      <c r="F17" s="49">
        <f>'Avg Week Kampala-Busunju'!F17+'Avg Week Busunju-Kampala'!F17</f>
        <v>0.2857142857142857</v>
      </c>
      <c r="G17" s="49">
        <f>'Avg Week Kampala-Busunju'!G17+'Avg Week Busunju-Kampala'!G17</f>
        <v>0</v>
      </c>
      <c r="H17" s="49">
        <f>'Avg Week Kampala-Busunju'!H17+'Avg Week Busunju-Kampala'!H17</f>
        <v>0.14285714285714285</v>
      </c>
      <c r="I17" s="49">
        <f>'Avg Week Kampala-Busunju'!I17+'Avg Week Busunju-Kampala'!I17</f>
        <v>1.5714285714285714</v>
      </c>
      <c r="J17" s="49">
        <f>'Avg Week Kampala-Busunju'!J17+'Avg Week Busunju-Kampala'!J17</f>
        <v>0</v>
      </c>
      <c r="K17" s="49">
        <f>'Avg Week Kampala-Busunju'!K17+'Avg Week Busunju-Kampala'!K17</f>
        <v>0</v>
      </c>
      <c r="L17" s="49">
        <f>'Avg Week Kampala-Busunju'!L17+'Avg Week Busunju-Kampala'!L17</f>
        <v>0</v>
      </c>
      <c r="M17" s="49">
        <f>'Avg Week Kampala-Busunju'!M17+'Avg Week Busunju-Kampala'!M17</f>
        <v>28.142857142857146</v>
      </c>
      <c r="N17" s="49">
        <f>'Avg Week Kampala-Busunju'!N17+'Avg Week Busunju-Kampala'!N17</f>
        <v>0</v>
      </c>
      <c r="O17" s="15">
        <f t="shared" si="0"/>
        <v>4.2857142857142856</v>
      </c>
      <c r="P17" s="15">
        <f t="shared" si="1"/>
        <v>32.428571428571431</v>
      </c>
      <c r="R17" s="1" t="s">
        <v>13</v>
      </c>
      <c r="S17" s="17">
        <f t="shared" ref="S17:AF17" si="9">SUM(C38:C41)</f>
        <v>8.5714285714285712</v>
      </c>
      <c r="T17" s="17">
        <f t="shared" si="9"/>
        <v>0.42857142857142855</v>
      </c>
      <c r="U17" s="17">
        <f t="shared" si="9"/>
        <v>6.4285714285714288</v>
      </c>
      <c r="V17" s="17">
        <f t="shared" si="9"/>
        <v>1.8571428571428572</v>
      </c>
      <c r="W17" s="17">
        <f t="shared" si="9"/>
        <v>0</v>
      </c>
      <c r="X17" s="17">
        <f t="shared" si="9"/>
        <v>0.14285714285714285</v>
      </c>
      <c r="Y17" s="17">
        <f t="shared" si="9"/>
        <v>7.8571428571428577</v>
      </c>
      <c r="Z17" s="17">
        <f t="shared" si="9"/>
        <v>0.14285714285714285</v>
      </c>
      <c r="AA17" s="17">
        <f t="shared" si="9"/>
        <v>0</v>
      </c>
      <c r="AB17" s="17">
        <f t="shared" si="9"/>
        <v>0</v>
      </c>
      <c r="AC17" s="17">
        <f t="shared" si="9"/>
        <v>110.42857142857142</v>
      </c>
      <c r="AD17" s="17">
        <f t="shared" si="9"/>
        <v>0</v>
      </c>
      <c r="AE17" s="31">
        <f t="shared" si="9"/>
        <v>25.428571428571423</v>
      </c>
      <c r="AF17" s="31">
        <f t="shared" si="9"/>
        <v>135.85714285714286</v>
      </c>
    </row>
    <row r="18" spans="2:32" ht="23.1" customHeight="1" x14ac:dyDescent="0.25">
      <c r="B18" s="23" t="s">
        <v>45</v>
      </c>
      <c r="C18" s="49">
        <f>'Avg Week Kampala-Busunju'!C18+'Avg Week Busunju-Kampala'!C18</f>
        <v>1.5714285714285714</v>
      </c>
      <c r="D18" s="49">
        <f>'Avg Week Kampala-Busunju'!D18+'Avg Week Busunju-Kampala'!D18</f>
        <v>0</v>
      </c>
      <c r="E18" s="49">
        <f>'Avg Week Kampala-Busunju'!E18+'Avg Week Busunju-Kampala'!E18</f>
        <v>1.5714285714285714</v>
      </c>
      <c r="F18" s="49">
        <f>'Avg Week Kampala-Busunju'!F18+'Avg Week Busunju-Kampala'!F18</f>
        <v>0.2857142857142857</v>
      </c>
      <c r="G18" s="49">
        <f>'Avg Week Kampala-Busunju'!G18+'Avg Week Busunju-Kampala'!G18</f>
        <v>0</v>
      </c>
      <c r="H18" s="49">
        <f>'Avg Week Kampala-Busunju'!H18+'Avg Week Busunju-Kampala'!H18</f>
        <v>0</v>
      </c>
      <c r="I18" s="49">
        <f>'Avg Week Kampala-Busunju'!I18+'Avg Week Busunju-Kampala'!I18</f>
        <v>1</v>
      </c>
      <c r="J18" s="49">
        <f>'Avg Week Kampala-Busunju'!J18+'Avg Week Busunju-Kampala'!J18</f>
        <v>0</v>
      </c>
      <c r="K18" s="49">
        <f>'Avg Week Kampala-Busunju'!K18+'Avg Week Busunju-Kampala'!K18</f>
        <v>0</v>
      </c>
      <c r="L18" s="49">
        <f>'Avg Week Kampala-Busunju'!L18+'Avg Week Busunju-Kampala'!L18</f>
        <v>0.14285714285714285</v>
      </c>
      <c r="M18" s="49">
        <f>'Avg Week Kampala-Busunju'!M18+'Avg Week Busunju-Kampala'!M18</f>
        <v>31</v>
      </c>
      <c r="N18" s="49">
        <f>'Avg Week Kampala-Busunju'!N18+'Avg Week Busunju-Kampala'!N18</f>
        <v>0</v>
      </c>
      <c r="O18" s="15">
        <f t="shared" si="0"/>
        <v>4.5714285714285721</v>
      </c>
      <c r="P18" s="15">
        <f t="shared" si="1"/>
        <v>35.571428571428569</v>
      </c>
      <c r="R18" s="1" t="s">
        <v>14</v>
      </c>
      <c r="S18" s="17">
        <f t="shared" ref="S18:AF18" si="10">SUM(C42:C45)</f>
        <v>8.7142857142857153</v>
      </c>
      <c r="T18" s="17">
        <f t="shared" si="10"/>
        <v>0.14285714285714285</v>
      </c>
      <c r="U18" s="17">
        <f t="shared" si="10"/>
        <v>8</v>
      </c>
      <c r="V18" s="17">
        <f t="shared" si="10"/>
        <v>1.9999999999999998</v>
      </c>
      <c r="W18" s="17">
        <f t="shared" si="10"/>
        <v>0</v>
      </c>
      <c r="X18" s="17">
        <f t="shared" si="10"/>
        <v>0</v>
      </c>
      <c r="Y18" s="17">
        <f t="shared" si="10"/>
        <v>10.285714285714285</v>
      </c>
      <c r="Z18" s="17">
        <f t="shared" si="10"/>
        <v>0.42857142857142855</v>
      </c>
      <c r="AA18" s="17">
        <f t="shared" si="10"/>
        <v>0</v>
      </c>
      <c r="AB18" s="17">
        <f t="shared" si="10"/>
        <v>0</v>
      </c>
      <c r="AC18" s="17">
        <f t="shared" si="10"/>
        <v>110</v>
      </c>
      <c r="AD18" s="17">
        <f t="shared" si="10"/>
        <v>0</v>
      </c>
      <c r="AE18" s="31">
        <f t="shared" si="10"/>
        <v>29.571428571428569</v>
      </c>
      <c r="AF18" s="31">
        <f t="shared" si="10"/>
        <v>139.57142857142856</v>
      </c>
    </row>
    <row r="19" spans="2:32" ht="23.1" customHeight="1" x14ac:dyDescent="0.25">
      <c r="B19" s="23" t="s">
        <v>46</v>
      </c>
      <c r="C19" s="49">
        <f>'Avg Week Kampala-Busunju'!C19+'Avg Week Busunju-Kampala'!C19</f>
        <v>1.4285714285714286</v>
      </c>
      <c r="D19" s="49">
        <f>'Avg Week Kampala-Busunju'!D19+'Avg Week Busunju-Kampala'!D19</f>
        <v>0.14285714285714285</v>
      </c>
      <c r="E19" s="49">
        <f>'Avg Week Kampala-Busunju'!E19+'Avg Week Busunju-Kampala'!E19</f>
        <v>1.1428571428571428</v>
      </c>
      <c r="F19" s="49">
        <f>'Avg Week Kampala-Busunju'!F19+'Avg Week Busunju-Kampala'!F19</f>
        <v>0</v>
      </c>
      <c r="G19" s="49">
        <f>'Avg Week Kampala-Busunju'!G19+'Avg Week Busunju-Kampala'!G19</f>
        <v>0</v>
      </c>
      <c r="H19" s="49">
        <f>'Avg Week Kampala-Busunju'!H19+'Avg Week Busunju-Kampala'!H19</f>
        <v>0</v>
      </c>
      <c r="I19" s="49">
        <f>'Avg Week Kampala-Busunju'!I19+'Avg Week Busunju-Kampala'!I19</f>
        <v>1.4285714285714286</v>
      </c>
      <c r="J19" s="49">
        <f>'Avg Week Kampala-Busunju'!J19+'Avg Week Busunju-Kampala'!J19</f>
        <v>0</v>
      </c>
      <c r="K19" s="49">
        <f>'Avg Week Kampala-Busunju'!K19+'Avg Week Busunju-Kampala'!K19</f>
        <v>0</v>
      </c>
      <c r="L19" s="49">
        <f>'Avg Week Kampala-Busunju'!L19+'Avg Week Busunju-Kampala'!L19</f>
        <v>0</v>
      </c>
      <c r="M19" s="49">
        <f>'Avg Week Kampala-Busunju'!M19+'Avg Week Busunju-Kampala'!M19</f>
        <v>28.571428571428569</v>
      </c>
      <c r="N19" s="49">
        <f>'Avg Week Kampala-Busunju'!N19+'Avg Week Busunju-Kampala'!N19</f>
        <v>0</v>
      </c>
      <c r="O19" s="15">
        <f t="shared" si="0"/>
        <v>4.1428571428571432</v>
      </c>
      <c r="P19" s="15">
        <f t="shared" si="1"/>
        <v>32.714285714285715</v>
      </c>
      <c r="R19" s="1" t="s">
        <v>15</v>
      </c>
      <c r="S19" s="17">
        <f t="shared" ref="S19:AF19" si="11">SUM(C46:C49)</f>
        <v>10.714285714285714</v>
      </c>
      <c r="T19" s="17">
        <f t="shared" si="11"/>
        <v>0.2857142857142857</v>
      </c>
      <c r="U19" s="17">
        <f t="shared" si="11"/>
        <v>10.285714285714286</v>
      </c>
      <c r="V19" s="17">
        <f t="shared" si="11"/>
        <v>2.8571428571428568</v>
      </c>
      <c r="W19" s="17">
        <f t="shared" si="11"/>
        <v>0.14285714285714285</v>
      </c>
      <c r="X19" s="17">
        <f t="shared" si="11"/>
        <v>0</v>
      </c>
      <c r="Y19" s="17">
        <f t="shared" si="11"/>
        <v>7.1428571428571441</v>
      </c>
      <c r="Z19" s="17">
        <f t="shared" si="11"/>
        <v>0.2857142857142857</v>
      </c>
      <c r="AA19" s="17">
        <f t="shared" si="11"/>
        <v>0</v>
      </c>
      <c r="AB19" s="17">
        <f t="shared" si="11"/>
        <v>0</v>
      </c>
      <c r="AC19" s="17">
        <f t="shared" si="11"/>
        <v>113.42857142857144</v>
      </c>
      <c r="AD19" s="17">
        <f t="shared" si="11"/>
        <v>0</v>
      </c>
      <c r="AE19" s="31">
        <f t="shared" si="11"/>
        <v>31.714285714285715</v>
      </c>
      <c r="AF19" s="31">
        <f t="shared" si="11"/>
        <v>145.14285714285714</v>
      </c>
    </row>
    <row r="20" spans="2:32" ht="23.1" customHeight="1" x14ac:dyDescent="0.25">
      <c r="B20" s="23" t="s">
        <v>47</v>
      </c>
      <c r="C20" s="49">
        <f>'Avg Week Kampala-Busunju'!C20+'Avg Week Busunju-Kampala'!C20</f>
        <v>1.2857142857142856</v>
      </c>
      <c r="D20" s="49">
        <f>'Avg Week Kampala-Busunju'!D20+'Avg Week Busunju-Kampala'!D20</f>
        <v>0</v>
      </c>
      <c r="E20" s="49">
        <f>'Avg Week Kampala-Busunju'!E20+'Avg Week Busunju-Kampala'!E20</f>
        <v>1.1428571428571428</v>
      </c>
      <c r="F20" s="49">
        <f>'Avg Week Kampala-Busunju'!F20+'Avg Week Busunju-Kampala'!F20</f>
        <v>0.42857142857142855</v>
      </c>
      <c r="G20" s="49">
        <f>'Avg Week Kampala-Busunju'!G20+'Avg Week Busunju-Kampala'!G20</f>
        <v>0</v>
      </c>
      <c r="H20" s="49">
        <f>'Avg Week Kampala-Busunju'!H20+'Avg Week Busunju-Kampala'!H20</f>
        <v>0.14285714285714285</v>
      </c>
      <c r="I20" s="49">
        <f>'Avg Week Kampala-Busunju'!I20+'Avg Week Busunju-Kampala'!I20</f>
        <v>1.8571428571428572</v>
      </c>
      <c r="J20" s="49">
        <f>'Avg Week Kampala-Busunju'!J20+'Avg Week Busunju-Kampala'!J20</f>
        <v>0.2857142857142857</v>
      </c>
      <c r="K20" s="49">
        <f>'Avg Week Kampala-Busunju'!K20+'Avg Week Busunju-Kampala'!K20</f>
        <v>0</v>
      </c>
      <c r="L20" s="49">
        <f>'Avg Week Kampala-Busunju'!L20+'Avg Week Busunju-Kampala'!L20</f>
        <v>0</v>
      </c>
      <c r="M20" s="49">
        <f>'Avg Week Kampala-Busunju'!M20+'Avg Week Busunju-Kampala'!M20</f>
        <v>29.428571428571431</v>
      </c>
      <c r="N20" s="49">
        <f>'Avg Week Kampala-Busunju'!N20+'Avg Week Busunju-Kampala'!N20</f>
        <v>0</v>
      </c>
      <c r="O20" s="15">
        <f t="shared" si="0"/>
        <v>5.1428571428571423</v>
      </c>
      <c r="P20" s="15">
        <f t="shared" si="1"/>
        <v>34.571428571428569</v>
      </c>
      <c r="R20" s="1" t="s">
        <v>16</v>
      </c>
      <c r="S20" s="17">
        <f t="shared" ref="S20:AF20" si="12">SUM(C50:C53)</f>
        <v>8.8571428571428577</v>
      </c>
      <c r="T20" s="17">
        <f t="shared" si="12"/>
        <v>0</v>
      </c>
      <c r="U20" s="17">
        <f t="shared" si="12"/>
        <v>8.428571428571427</v>
      </c>
      <c r="V20" s="17">
        <f t="shared" si="12"/>
        <v>4.2857142857142856</v>
      </c>
      <c r="W20" s="17">
        <f t="shared" si="12"/>
        <v>0.14285714285714285</v>
      </c>
      <c r="X20" s="17">
        <f t="shared" si="12"/>
        <v>0</v>
      </c>
      <c r="Y20" s="17">
        <f t="shared" si="12"/>
        <v>7.4285714285714279</v>
      </c>
      <c r="Z20" s="17">
        <f t="shared" si="12"/>
        <v>0.42857142857142855</v>
      </c>
      <c r="AA20" s="17">
        <f t="shared" si="12"/>
        <v>0</v>
      </c>
      <c r="AB20" s="17">
        <f t="shared" si="12"/>
        <v>0</v>
      </c>
      <c r="AC20" s="17">
        <f t="shared" si="12"/>
        <v>125.42857142857144</v>
      </c>
      <c r="AD20" s="17">
        <f t="shared" si="12"/>
        <v>0</v>
      </c>
      <c r="AE20" s="31">
        <f t="shared" si="12"/>
        <v>29.571428571428573</v>
      </c>
      <c r="AF20" s="31">
        <f t="shared" si="12"/>
        <v>155</v>
      </c>
    </row>
    <row r="21" spans="2:32" ht="23.1" customHeight="1" x14ac:dyDescent="0.25">
      <c r="B21" s="23" t="s">
        <v>48</v>
      </c>
      <c r="C21" s="49">
        <f>'Avg Week Kampala-Busunju'!C21+'Avg Week Busunju-Kampala'!C21</f>
        <v>1</v>
      </c>
      <c r="D21" s="49">
        <f>'Avg Week Kampala-Busunju'!D21+'Avg Week Busunju-Kampala'!D21</f>
        <v>0</v>
      </c>
      <c r="E21" s="49">
        <f>'Avg Week Kampala-Busunju'!E21+'Avg Week Busunju-Kampala'!E21</f>
        <v>0.5714285714285714</v>
      </c>
      <c r="F21" s="49">
        <f>'Avg Week Kampala-Busunju'!F21+'Avg Week Busunju-Kampala'!F21</f>
        <v>0.5714285714285714</v>
      </c>
      <c r="G21" s="49">
        <f>'Avg Week Kampala-Busunju'!G21+'Avg Week Busunju-Kampala'!G21</f>
        <v>0</v>
      </c>
      <c r="H21" s="49">
        <f>'Avg Week Kampala-Busunju'!H21+'Avg Week Busunju-Kampala'!H21</f>
        <v>0</v>
      </c>
      <c r="I21" s="49">
        <f>'Avg Week Kampala-Busunju'!I21+'Avg Week Busunju-Kampala'!I21</f>
        <v>1.5714285714285714</v>
      </c>
      <c r="J21" s="49">
        <f>'Avg Week Kampala-Busunju'!J21+'Avg Week Busunju-Kampala'!J21</f>
        <v>0.2857142857142857</v>
      </c>
      <c r="K21" s="49">
        <f>'Avg Week Kampala-Busunju'!K21+'Avg Week Busunju-Kampala'!K21</f>
        <v>0</v>
      </c>
      <c r="L21" s="49">
        <f>'Avg Week Kampala-Busunju'!L21+'Avg Week Busunju-Kampala'!L21</f>
        <v>0</v>
      </c>
      <c r="M21" s="49">
        <f>'Avg Week Kampala-Busunju'!M21+'Avg Week Busunju-Kampala'!M21</f>
        <v>30.285714285714285</v>
      </c>
      <c r="N21" s="49">
        <f>'Avg Week Kampala-Busunju'!N21+'Avg Week Busunju-Kampala'!N21</f>
        <v>0</v>
      </c>
      <c r="O21" s="15">
        <f t="shared" si="0"/>
        <v>4</v>
      </c>
      <c r="P21" s="15">
        <f t="shared" si="1"/>
        <v>34.285714285714285</v>
      </c>
      <c r="R21" s="36" t="s">
        <v>20</v>
      </c>
      <c r="S21" s="34">
        <f t="shared" ref="S21:AF21" si="13">SUM(C54:C57)</f>
        <v>10.428571428571429</v>
      </c>
      <c r="T21" s="17">
        <f t="shared" si="13"/>
        <v>0.14285714285714285</v>
      </c>
      <c r="U21" s="17">
        <f t="shared" si="13"/>
        <v>6.9999999999999991</v>
      </c>
      <c r="V21" s="17">
        <f t="shared" si="13"/>
        <v>3.8571428571428572</v>
      </c>
      <c r="W21" s="17">
        <f t="shared" si="13"/>
        <v>1.1428571428571428</v>
      </c>
      <c r="X21" s="17">
        <f t="shared" si="13"/>
        <v>0</v>
      </c>
      <c r="Y21" s="17">
        <f t="shared" si="13"/>
        <v>6.4285714285714288</v>
      </c>
      <c r="Z21" s="17">
        <f t="shared" si="13"/>
        <v>0.2857142857142857</v>
      </c>
      <c r="AA21" s="17">
        <f t="shared" si="13"/>
        <v>0.14285714285714285</v>
      </c>
      <c r="AB21" s="17">
        <f t="shared" si="13"/>
        <v>0</v>
      </c>
      <c r="AC21" s="17">
        <f t="shared" si="13"/>
        <v>120.57142857142857</v>
      </c>
      <c r="AD21" s="17">
        <f t="shared" si="13"/>
        <v>0</v>
      </c>
      <c r="AE21" s="31">
        <f t="shared" si="13"/>
        <v>29.428571428571427</v>
      </c>
      <c r="AF21" s="31">
        <f t="shared" si="13"/>
        <v>150</v>
      </c>
    </row>
    <row r="22" spans="2:32" ht="23.1" customHeight="1" x14ac:dyDescent="0.25">
      <c r="B22" s="23" t="s">
        <v>49</v>
      </c>
      <c r="C22" s="49">
        <f>'Avg Week Kampala-Busunju'!C22+'Avg Week Busunju-Kampala'!C22</f>
        <v>1.1428571428571428</v>
      </c>
      <c r="D22" s="49">
        <f>'Avg Week Kampala-Busunju'!D22+'Avg Week Busunju-Kampala'!D22</f>
        <v>0</v>
      </c>
      <c r="E22" s="49">
        <f>'Avg Week Kampala-Busunju'!E22+'Avg Week Busunju-Kampala'!E22</f>
        <v>1.4285714285714284</v>
      </c>
      <c r="F22" s="49">
        <f>'Avg Week Kampala-Busunju'!F22+'Avg Week Busunju-Kampala'!F22</f>
        <v>0.5714285714285714</v>
      </c>
      <c r="G22" s="49">
        <f>'Avg Week Kampala-Busunju'!G22+'Avg Week Busunju-Kampala'!G22</f>
        <v>0</v>
      </c>
      <c r="H22" s="49">
        <f>'Avg Week Kampala-Busunju'!H22+'Avg Week Busunju-Kampala'!H22</f>
        <v>0</v>
      </c>
      <c r="I22" s="49">
        <f>'Avg Week Kampala-Busunju'!I22+'Avg Week Busunju-Kampala'!I22</f>
        <v>1.8571428571428572</v>
      </c>
      <c r="J22" s="49">
        <f>'Avg Week Kampala-Busunju'!J22+'Avg Week Busunju-Kampala'!J22</f>
        <v>0.14285714285714285</v>
      </c>
      <c r="K22" s="49">
        <f>'Avg Week Kampala-Busunju'!K22+'Avg Week Busunju-Kampala'!K22</f>
        <v>0</v>
      </c>
      <c r="L22" s="49">
        <f>'Avg Week Kampala-Busunju'!L22+'Avg Week Busunju-Kampala'!L22</f>
        <v>0</v>
      </c>
      <c r="M22" s="49">
        <f>'Avg Week Kampala-Busunju'!M22+'Avg Week Busunju-Kampala'!M22</f>
        <v>29.428571428571431</v>
      </c>
      <c r="N22" s="49">
        <f>'Avg Week Kampala-Busunju'!N22+'Avg Week Busunju-Kampala'!N22</f>
        <v>0</v>
      </c>
      <c r="O22" s="15">
        <f t="shared" si="0"/>
        <v>5.1428571428571432</v>
      </c>
      <c r="P22" s="15">
        <f t="shared" si="1"/>
        <v>34.571428571428577</v>
      </c>
      <c r="R22" s="1" t="s">
        <v>146</v>
      </c>
      <c r="S22" s="34">
        <f>SUM(C58:C61)</f>
        <v>12</v>
      </c>
      <c r="T22" s="34">
        <f t="shared" ref="T22:AF22" si="14">SUM(D58:D61)</f>
        <v>2</v>
      </c>
      <c r="U22" s="34">
        <f t="shared" si="14"/>
        <v>8</v>
      </c>
      <c r="V22" s="34">
        <f t="shared" si="14"/>
        <v>4</v>
      </c>
      <c r="W22" s="34">
        <f t="shared" si="14"/>
        <v>0</v>
      </c>
      <c r="X22" s="34">
        <f t="shared" si="14"/>
        <v>2</v>
      </c>
      <c r="Y22" s="34">
        <f t="shared" si="14"/>
        <v>10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97</v>
      </c>
      <c r="AD22" s="34">
        <f t="shared" si="14"/>
        <v>0</v>
      </c>
      <c r="AE22" s="51">
        <f t="shared" si="14"/>
        <v>38</v>
      </c>
      <c r="AF22" s="51">
        <f t="shared" si="14"/>
        <v>135</v>
      </c>
    </row>
    <row r="23" spans="2:32" ht="23.1" customHeight="1" x14ac:dyDescent="0.25">
      <c r="B23" s="23" t="s">
        <v>50</v>
      </c>
      <c r="C23" s="49">
        <f>'Avg Week Kampala-Busunju'!C23+'Avg Week Busunju-Kampala'!C23</f>
        <v>2.1428571428571428</v>
      </c>
      <c r="D23" s="49">
        <f>'Avg Week Kampala-Busunju'!D23+'Avg Week Busunju-Kampala'!D23</f>
        <v>0.42857142857142855</v>
      </c>
      <c r="E23" s="49">
        <f>'Avg Week Kampala-Busunju'!E23+'Avg Week Busunju-Kampala'!E23</f>
        <v>3.2857142857142856</v>
      </c>
      <c r="F23" s="49">
        <f>'Avg Week Kampala-Busunju'!F23+'Avg Week Busunju-Kampala'!F23</f>
        <v>0.5714285714285714</v>
      </c>
      <c r="G23" s="49">
        <f>'Avg Week Kampala-Busunju'!G23+'Avg Week Busunju-Kampala'!G23</f>
        <v>0</v>
      </c>
      <c r="H23" s="49">
        <f>'Avg Week Kampala-Busunju'!H23+'Avg Week Busunju-Kampala'!H23</f>
        <v>0.14285714285714285</v>
      </c>
      <c r="I23" s="49">
        <f>'Avg Week Kampala-Busunju'!I23+'Avg Week Busunju-Kampala'!I23</f>
        <v>2.2857142857142856</v>
      </c>
      <c r="J23" s="49">
        <f>'Avg Week Kampala-Busunju'!J23+'Avg Week Busunju-Kampala'!J23</f>
        <v>0</v>
      </c>
      <c r="K23" s="49">
        <f>'Avg Week Kampala-Busunju'!K23+'Avg Week Busunju-Kampala'!K23</f>
        <v>0</v>
      </c>
      <c r="L23" s="49">
        <f>'Avg Week Kampala-Busunju'!L23+'Avg Week Busunju-Kampala'!L23</f>
        <v>0.14285714285714285</v>
      </c>
      <c r="M23" s="49">
        <f>'Avg Week Kampala-Busunju'!M23+'Avg Week Busunju-Kampala'!M23</f>
        <v>29.857142857142858</v>
      </c>
      <c r="N23" s="49">
        <f>'Avg Week Kampala-Busunju'!N23+'Avg Week Busunju-Kampala'!N23</f>
        <v>0</v>
      </c>
      <c r="O23" s="15">
        <f t="shared" si="0"/>
        <v>9</v>
      </c>
      <c r="P23" s="15">
        <f t="shared" si="1"/>
        <v>38.857142857142861</v>
      </c>
      <c r="R23" s="1" t="s">
        <v>147</v>
      </c>
      <c r="S23" s="34">
        <f>SUM(C62:C65)</f>
        <v>14</v>
      </c>
      <c r="T23" s="34">
        <f t="shared" ref="T23:AF23" si="15">SUM(D62:D65)</f>
        <v>2</v>
      </c>
      <c r="U23" s="34">
        <f t="shared" si="15"/>
        <v>10</v>
      </c>
      <c r="V23" s="34">
        <f t="shared" si="15"/>
        <v>2</v>
      </c>
      <c r="W23" s="34">
        <f t="shared" si="15"/>
        <v>0</v>
      </c>
      <c r="X23" s="34">
        <f t="shared" si="15"/>
        <v>0</v>
      </c>
      <c r="Y23" s="34">
        <f t="shared" si="15"/>
        <v>6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68</v>
      </c>
      <c r="AD23" s="34">
        <f t="shared" si="15"/>
        <v>0</v>
      </c>
      <c r="AE23" s="51">
        <f t="shared" si="15"/>
        <v>34</v>
      </c>
      <c r="AF23" s="51">
        <f t="shared" si="15"/>
        <v>102</v>
      </c>
    </row>
    <row r="24" spans="2:32" ht="23.1" customHeight="1" x14ac:dyDescent="0.25">
      <c r="B24" s="23" t="s">
        <v>51</v>
      </c>
      <c r="C24" s="49">
        <f>'Avg Week Kampala-Busunju'!C24+'Avg Week Busunju-Kampala'!C24</f>
        <v>1.4285714285714284</v>
      </c>
      <c r="D24" s="49">
        <f>'Avg Week Kampala-Busunju'!D24+'Avg Week Busunju-Kampala'!D24</f>
        <v>0</v>
      </c>
      <c r="E24" s="49">
        <f>'Avg Week Kampala-Busunju'!E24+'Avg Week Busunju-Kampala'!E24</f>
        <v>1.2857142857142856</v>
      </c>
      <c r="F24" s="49">
        <f>'Avg Week Kampala-Busunju'!F24+'Avg Week Busunju-Kampala'!F24</f>
        <v>0.42857142857142855</v>
      </c>
      <c r="G24" s="49">
        <f>'Avg Week Kampala-Busunju'!G24+'Avg Week Busunju-Kampala'!G24</f>
        <v>0.42857142857142855</v>
      </c>
      <c r="H24" s="49">
        <f>'Avg Week Kampala-Busunju'!H24+'Avg Week Busunju-Kampala'!H24</f>
        <v>0.14285714285714285</v>
      </c>
      <c r="I24" s="49">
        <f>'Avg Week Kampala-Busunju'!I24+'Avg Week Busunju-Kampala'!I24</f>
        <v>2.8571428571428572</v>
      </c>
      <c r="J24" s="49">
        <f>'Avg Week Kampala-Busunju'!J24+'Avg Week Busunju-Kampala'!J24</f>
        <v>0.2857142857142857</v>
      </c>
      <c r="K24" s="49">
        <f>'Avg Week Kampala-Busunju'!K24+'Avg Week Busunju-Kampala'!K24</f>
        <v>0</v>
      </c>
      <c r="L24" s="49">
        <f>'Avg Week Kampala-Busunju'!L24+'Avg Week Busunju-Kampala'!L24</f>
        <v>0</v>
      </c>
      <c r="M24" s="49">
        <f>'Avg Week Kampala-Busunju'!M24+'Avg Week Busunju-Kampala'!M24</f>
        <v>29.571428571428573</v>
      </c>
      <c r="N24" s="49">
        <f>'Avg Week Kampala-Busunju'!N24+'Avg Week Busunju-Kampala'!N24</f>
        <v>0</v>
      </c>
      <c r="O24" s="15">
        <f t="shared" si="0"/>
        <v>6.8571428571428568</v>
      </c>
      <c r="P24" s="15">
        <f t="shared" si="1"/>
        <v>36.428571428571431</v>
      </c>
      <c r="R24" s="1" t="s">
        <v>148</v>
      </c>
      <c r="S24" s="34">
        <f>SUM(C66:C69)</f>
        <v>12</v>
      </c>
      <c r="T24" s="34">
        <f t="shared" ref="T24:AF24" si="16">SUM(D66:D69)</f>
        <v>4</v>
      </c>
      <c r="U24" s="34">
        <f t="shared" si="16"/>
        <v>14</v>
      </c>
      <c r="V24" s="34">
        <f t="shared" si="16"/>
        <v>2</v>
      </c>
      <c r="W24" s="34">
        <f t="shared" si="16"/>
        <v>0</v>
      </c>
      <c r="X24" s="34">
        <f t="shared" si="16"/>
        <v>0</v>
      </c>
      <c r="Y24" s="34">
        <f t="shared" si="16"/>
        <v>8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30</v>
      </c>
      <c r="AD24" s="34">
        <f t="shared" si="16"/>
        <v>0</v>
      </c>
      <c r="AE24" s="51">
        <f t="shared" si="16"/>
        <v>40</v>
      </c>
      <c r="AF24" s="51">
        <f t="shared" si="16"/>
        <v>70</v>
      </c>
    </row>
    <row r="25" spans="2:32" ht="23.1" customHeight="1" x14ac:dyDescent="0.25">
      <c r="B25" s="23" t="s">
        <v>52</v>
      </c>
      <c r="C25" s="49">
        <f>'Avg Week Kampala-Busunju'!C25+'Avg Week Busunju-Kampala'!C25</f>
        <v>1</v>
      </c>
      <c r="D25" s="49">
        <f>'Avg Week Kampala-Busunju'!D25+'Avg Week Busunju-Kampala'!D25</f>
        <v>0</v>
      </c>
      <c r="E25" s="49">
        <f>'Avg Week Kampala-Busunju'!E25+'Avg Week Busunju-Kampala'!E25</f>
        <v>1.7142857142857144</v>
      </c>
      <c r="F25" s="49">
        <f>'Avg Week Kampala-Busunju'!F25+'Avg Week Busunju-Kampala'!F25</f>
        <v>0.2857142857142857</v>
      </c>
      <c r="G25" s="49">
        <f>'Avg Week Kampala-Busunju'!G25+'Avg Week Busunju-Kampala'!G25</f>
        <v>0</v>
      </c>
      <c r="H25" s="49">
        <f>'Avg Week Kampala-Busunju'!H25+'Avg Week Busunju-Kampala'!H25</f>
        <v>0</v>
      </c>
      <c r="I25" s="49">
        <f>'Avg Week Kampala-Busunju'!I25+'Avg Week Busunju-Kampala'!I25</f>
        <v>2.4285714285714284</v>
      </c>
      <c r="J25" s="49">
        <f>'Avg Week Kampala-Busunju'!J25+'Avg Week Busunju-Kampala'!J25</f>
        <v>0</v>
      </c>
      <c r="K25" s="49">
        <f>'Avg Week Kampala-Busunju'!K25+'Avg Week Busunju-Kampala'!K25</f>
        <v>0</v>
      </c>
      <c r="L25" s="49">
        <f>'Avg Week Kampala-Busunju'!L25+'Avg Week Busunju-Kampala'!L25</f>
        <v>0</v>
      </c>
      <c r="M25" s="49">
        <f>'Avg Week Kampala-Busunju'!M25+'Avg Week Busunju-Kampala'!M25</f>
        <v>28.714285714285715</v>
      </c>
      <c r="N25" s="49">
        <f>'Avg Week Kampala-Busunju'!N25+'Avg Week Busunju-Kampala'!N25</f>
        <v>0</v>
      </c>
      <c r="O25" s="15">
        <f t="shared" si="0"/>
        <v>5.4285714285714288</v>
      </c>
      <c r="P25" s="15">
        <f t="shared" si="1"/>
        <v>34.142857142857146</v>
      </c>
      <c r="R25" s="1" t="s">
        <v>149</v>
      </c>
      <c r="S25" s="34">
        <f>SUM(C70:C73)</f>
        <v>10</v>
      </c>
      <c r="T25" s="34">
        <f t="shared" ref="T25:AF25" si="17">SUM(D70:D73)</f>
        <v>0</v>
      </c>
      <c r="U25" s="34">
        <f t="shared" si="17"/>
        <v>6</v>
      </c>
      <c r="V25" s="34">
        <f t="shared" si="17"/>
        <v>2</v>
      </c>
      <c r="W25" s="34">
        <f t="shared" si="17"/>
        <v>0</v>
      </c>
      <c r="X25" s="34">
        <f t="shared" si="17"/>
        <v>0</v>
      </c>
      <c r="Y25" s="34">
        <f t="shared" si="17"/>
        <v>10</v>
      </c>
      <c r="Z25" s="34">
        <f t="shared" si="17"/>
        <v>2</v>
      </c>
      <c r="AA25" s="34">
        <f t="shared" si="17"/>
        <v>0</v>
      </c>
      <c r="AB25" s="34">
        <f t="shared" si="17"/>
        <v>0</v>
      </c>
      <c r="AC25" s="34">
        <f t="shared" si="17"/>
        <v>8</v>
      </c>
      <c r="AD25" s="34">
        <f t="shared" si="17"/>
        <v>0.5</v>
      </c>
      <c r="AE25" s="51">
        <f t="shared" si="17"/>
        <v>30.5</v>
      </c>
      <c r="AF25" s="51">
        <f t="shared" si="17"/>
        <v>38.5</v>
      </c>
    </row>
    <row r="26" spans="2:32" ht="23.1" customHeight="1" x14ac:dyDescent="0.25">
      <c r="B26" s="23" t="s">
        <v>53</v>
      </c>
      <c r="C26" s="49">
        <f>'Avg Week Kampala-Busunju'!C26+'Avg Week Busunju-Kampala'!C26</f>
        <v>2.8571428571428572</v>
      </c>
      <c r="D26" s="49">
        <f>'Avg Week Kampala-Busunju'!D26+'Avg Week Busunju-Kampala'!D26</f>
        <v>0</v>
      </c>
      <c r="E26" s="49">
        <f>'Avg Week Kampala-Busunju'!E26+'Avg Week Busunju-Kampala'!E26</f>
        <v>1.4285714285714286</v>
      </c>
      <c r="F26" s="49">
        <f>'Avg Week Kampala-Busunju'!F26+'Avg Week Busunju-Kampala'!F26</f>
        <v>1.2857142857142856</v>
      </c>
      <c r="G26" s="49">
        <f>'Avg Week Kampala-Busunju'!G26+'Avg Week Busunju-Kampala'!G26</f>
        <v>0</v>
      </c>
      <c r="H26" s="49">
        <f>'Avg Week Kampala-Busunju'!H26+'Avg Week Busunju-Kampala'!H26</f>
        <v>0</v>
      </c>
      <c r="I26" s="49">
        <f>'Avg Week Kampala-Busunju'!I26+'Avg Week Busunju-Kampala'!I26</f>
        <v>1.8571428571428572</v>
      </c>
      <c r="J26" s="49">
        <f>'Avg Week Kampala-Busunju'!J26+'Avg Week Busunju-Kampala'!J26</f>
        <v>0.14285714285714285</v>
      </c>
      <c r="K26" s="49">
        <f>'Avg Week Kampala-Busunju'!K26+'Avg Week Busunju-Kampala'!K26</f>
        <v>0</v>
      </c>
      <c r="L26" s="49">
        <f>'Avg Week Kampala-Busunju'!L26+'Avg Week Busunju-Kampala'!L26</f>
        <v>0</v>
      </c>
      <c r="M26" s="49">
        <f>'Avg Week Kampala-Busunju'!M26+'Avg Week Busunju-Kampala'!M26</f>
        <v>30.428571428571431</v>
      </c>
      <c r="N26" s="49">
        <f>'Avg Week Kampala-Busunju'!N26+'Avg Week Busunju-Kampala'!N26</f>
        <v>0</v>
      </c>
      <c r="O26" s="15">
        <f t="shared" si="0"/>
        <v>7.5714285714285721</v>
      </c>
      <c r="P26" s="15">
        <f t="shared" si="1"/>
        <v>38</v>
      </c>
      <c r="R26" s="1" t="s">
        <v>150</v>
      </c>
      <c r="S26" s="34">
        <f>SUM(C74:C77)</f>
        <v>10</v>
      </c>
      <c r="T26" s="34">
        <f t="shared" ref="T26:AF26" si="18">SUM(D74:D77)</f>
        <v>2</v>
      </c>
      <c r="U26" s="34">
        <f t="shared" si="18"/>
        <v>6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6</v>
      </c>
      <c r="AD26" s="34">
        <f t="shared" si="18"/>
        <v>0</v>
      </c>
      <c r="AE26" s="51">
        <f t="shared" si="18"/>
        <v>20</v>
      </c>
      <c r="AF26" s="51">
        <f t="shared" si="18"/>
        <v>26</v>
      </c>
    </row>
    <row r="27" spans="2:32" ht="23.1" customHeight="1" x14ac:dyDescent="0.25">
      <c r="B27" s="23" t="s">
        <v>54</v>
      </c>
      <c r="C27" s="49">
        <f>'Avg Week Kampala-Busunju'!C27+'Avg Week Busunju-Kampala'!C27</f>
        <v>2.2857142857142856</v>
      </c>
      <c r="D27" s="49">
        <f>'Avg Week Kampala-Busunju'!D27+'Avg Week Busunju-Kampala'!D27</f>
        <v>0</v>
      </c>
      <c r="E27" s="49">
        <f>'Avg Week Kampala-Busunju'!E27+'Avg Week Busunju-Kampala'!E27</f>
        <v>1.8571428571428572</v>
      </c>
      <c r="F27" s="49">
        <f>'Avg Week Kampala-Busunju'!F27+'Avg Week Busunju-Kampala'!F27</f>
        <v>0.2857142857142857</v>
      </c>
      <c r="G27" s="49">
        <f>'Avg Week Kampala-Busunju'!G27+'Avg Week Busunju-Kampala'!G27</f>
        <v>0</v>
      </c>
      <c r="H27" s="49">
        <f>'Avg Week Kampala-Busunju'!H27+'Avg Week Busunju-Kampala'!H27</f>
        <v>0</v>
      </c>
      <c r="I27" s="49">
        <f>'Avg Week Kampala-Busunju'!I27+'Avg Week Busunju-Kampala'!I27</f>
        <v>1.1428571428571428</v>
      </c>
      <c r="J27" s="49">
        <f>'Avg Week Kampala-Busunju'!J27+'Avg Week Busunju-Kampala'!J27</f>
        <v>0.5714285714285714</v>
      </c>
      <c r="K27" s="49">
        <f>'Avg Week Kampala-Busunju'!K27+'Avg Week Busunju-Kampala'!K27</f>
        <v>0.14285714285714285</v>
      </c>
      <c r="L27" s="49">
        <f>'Avg Week Kampala-Busunju'!L27+'Avg Week Busunju-Kampala'!L27</f>
        <v>0</v>
      </c>
      <c r="M27" s="49">
        <f>'Avg Week Kampala-Busunju'!M27+'Avg Week Busunju-Kampala'!M27</f>
        <v>30.714285714285715</v>
      </c>
      <c r="N27" s="49">
        <f>'Avg Week Kampala-Busunju'!N27+'Avg Week Busunju-Kampala'!N27</f>
        <v>0</v>
      </c>
      <c r="O27" s="15">
        <f t="shared" si="0"/>
        <v>6.2857142857142856</v>
      </c>
      <c r="P27" s="15">
        <f t="shared" si="1"/>
        <v>37</v>
      </c>
      <c r="R27" s="1" t="s">
        <v>151</v>
      </c>
      <c r="S27" s="34">
        <f>SUM(C78:C81)</f>
        <v>4</v>
      </c>
      <c r="T27" s="34">
        <f t="shared" ref="T27:AF27" si="19">SUM(D78:D81)</f>
        <v>0</v>
      </c>
      <c r="U27" s="34">
        <f t="shared" si="19"/>
        <v>4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4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8</v>
      </c>
      <c r="AD27" s="34">
        <f t="shared" si="19"/>
        <v>0</v>
      </c>
      <c r="AE27" s="51">
        <f t="shared" si="19"/>
        <v>12</v>
      </c>
      <c r="AF27" s="51">
        <f t="shared" si="19"/>
        <v>20</v>
      </c>
    </row>
    <row r="28" spans="2:32" ht="23.1" customHeight="1" x14ac:dyDescent="0.25">
      <c r="B28" s="23" t="s">
        <v>55</v>
      </c>
      <c r="C28" s="49">
        <f>'Avg Week Kampala-Busunju'!C28+'Avg Week Busunju-Kampala'!C28</f>
        <v>2.4285714285714288</v>
      </c>
      <c r="D28" s="49">
        <f>'Avg Week Kampala-Busunju'!D28+'Avg Week Busunju-Kampala'!D28</f>
        <v>0</v>
      </c>
      <c r="E28" s="49">
        <f>'Avg Week Kampala-Busunju'!E28+'Avg Week Busunju-Kampala'!E28</f>
        <v>1.1428571428571428</v>
      </c>
      <c r="F28" s="49">
        <f>'Avg Week Kampala-Busunju'!F28+'Avg Week Busunju-Kampala'!F28</f>
        <v>1.1428571428571428</v>
      </c>
      <c r="G28" s="49">
        <f>'Avg Week Kampala-Busunju'!G28+'Avg Week Busunju-Kampala'!G28</f>
        <v>0</v>
      </c>
      <c r="H28" s="49">
        <f>'Avg Week Kampala-Busunju'!H28+'Avg Week Busunju-Kampala'!H28</f>
        <v>0</v>
      </c>
      <c r="I28" s="49">
        <f>'Avg Week Kampala-Busunju'!I28+'Avg Week Busunju-Kampala'!I28</f>
        <v>1.8571428571428572</v>
      </c>
      <c r="J28" s="49">
        <f>'Avg Week Kampala-Busunju'!J28+'Avg Week Busunju-Kampala'!J28</f>
        <v>0</v>
      </c>
      <c r="K28" s="49">
        <f>'Avg Week Kampala-Busunju'!K28+'Avg Week Busunju-Kampala'!K28</f>
        <v>0</v>
      </c>
      <c r="L28" s="49">
        <f>'Avg Week Kampala-Busunju'!L28+'Avg Week Busunju-Kampala'!L28</f>
        <v>0</v>
      </c>
      <c r="M28" s="49">
        <f>'Avg Week Kampala-Busunju'!M28+'Avg Week Busunju-Kampala'!M28</f>
        <v>32.857142857142861</v>
      </c>
      <c r="N28" s="49">
        <f>'Avg Week Kampala-Busunju'!N28+'Avg Week Busunju-Kampala'!N28</f>
        <v>0</v>
      </c>
      <c r="O28" s="15">
        <f t="shared" si="0"/>
        <v>6.5714285714285712</v>
      </c>
      <c r="P28" s="15">
        <f t="shared" si="1"/>
        <v>39.428571428571431</v>
      </c>
      <c r="R28" s="1" t="s">
        <v>152</v>
      </c>
      <c r="S28" s="34">
        <f>SUM(C82:C85)</f>
        <v>6</v>
      </c>
      <c r="T28" s="34">
        <f t="shared" ref="T28:AF28" si="20">SUM(D82:D85)</f>
        <v>2</v>
      </c>
      <c r="U28" s="34">
        <f t="shared" si="20"/>
        <v>4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4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51">
        <f t="shared" si="20"/>
        <v>16</v>
      </c>
      <c r="AF28" s="51">
        <f t="shared" si="20"/>
        <v>16</v>
      </c>
    </row>
    <row r="29" spans="2:32" ht="23.1" customHeight="1" x14ac:dyDescent="0.25">
      <c r="B29" s="23" t="s">
        <v>56</v>
      </c>
      <c r="C29" s="49">
        <f>'Avg Week Kampala-Busunju'!C29+'Avg Week Busunju-Kampala'!C29</f>
        <v>1.2857142857142856</v>
      </c>
      <c r="D29" s="49">
        <f>'Avg Week Kampala-Busunju'!D29+'Avg Week Busunju-Kampala'!D29</f>
        <v>0</v>
      </c>
      <c r="E29" s="49">
        <f>'Avg Week Kampala-Busunju'!E29+'Avg Week Busunju-Kampala'!E29</f>
        <v>1</v>
      </c>
      <c r="F29" s="49">
        <f>'Avg Week Kampala-Busunju'!F29+'Avg Week Busunju-Kampala'!F29</f>
        <v>0.5714285714285714</v>
      </c>
      <c r="G29" s="49">
        <f>'Avg Week Kampala-Busunju'!G29+'Avg Week Busunju-Kampala'!G29</f>
        <v>0.14285714285714285</v>
      </c>
      <c r="H29" s="49">
        <f>'Avg Week Kampala-Busunju'!H29+'Avg Week Busunju-Kampala'!H29</f>
        <v>0</v>
      </c>
      <c r="I29" s="49">
        <f>'Avg Week Kampala-Busunju'!I29+'Avg Week Busunju-Kampala'!I29</f>
        <v>2.1428571428571428</v>
      </c>
      <c r="J29" s="49">
        <f>'Avg Week Kampala-Busunju'!J29+'Avg Week Busunju-Kampala'!J29</f>
        <v>0.2857142857142857</v>
      </c>
      <c r="K29" s="49">
        <f>'Avg Week Kampala-Busunju'!K29+'Avg Week Busunju-Kampala'!K29</f>
        <v>0</v>
      </c>
      <c r="L29" s="49">
        <f>'Avg Week Kampala-Busunju'!L29+'Avg Week Busunju-Kampala'!L29</f>
        <v>0</v>
      </c>
      <c r="M29" s="49">
        <f>'Avg Week Kampala-Busunju'!M29+'Avg Week Busunju-Kampala'!M29</f>
        <v>30.285714285714285</v>
      </c>
      <c r="N29" s="49">
        <f>'Avg Week Kampala-Busunju'!N29+'Avg Week Busunju-Kampala'!N29</f>
        <v>0</v>
      </c>
      <c r="O29" s="15">
        <f t="shared" si="0"/>
        <v>5.4285714285714279</v>
      </c>
      <c r="P29" s="15">
        <f t="shared" si="1"/>
        <v>35.714285714285715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2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2</v>
      </c>
      <c r="AD29" s="34">
        <f t="shared" si="21"/>
        <v>0</v>
      </c>
      <c r="AE29" s="51">
        <f t="shared" si="21"/>
        <v>2</v>
      </c>
      <c r="AF29" s="51">
        <f t="shared" si="21"/>
        <v>4</v>
      </c>
    </row>
    <row r="30" spans="2:32" ht="23.1" customHeight="1" x14ac:dyDescent="0.25">
      <c r="B30" s="23" t="s">
        <v>57</v>
      </c>
      <c r="C30" s="49">
        <f>'Avg Week Kampala-Busunju'!C30+'Avg Week Busunju-Kampala'!C30</f>
        <v>2.5714285714285712</v>
      </c>
      <c r="D30" s="49">
        <f>'Avg Week Kampala-Busunju'!D30+'Avg Week Busunju-Kampala'!D30</f>
        <v>0</v>
      </c>
      <c r="E30" s="49">
        <f>'Avg Week Kampala-Busunju'!E30+'Avg Week Busunju-Kampala'!E30</f>
        <v>1.8571428571428572</v>
      </c>
      <c r="F30" s="49">
        <f>'Avg Week Kampala-Busunju'!F30+'Avg Week Busunju-Kampala'!F30</f>
        <v>0.8571428571428571</v>
      </c>
      <c r="G30" s="49">
        <f>'Avg Week Kampala-Busunju'!G30+'Avg Week Busunju-Kampala'!G30</f>
        <v>0</v>
      </c>
      <c r="H30" s="49">
        <f>'Avg Week Kampala-Busunju'!H30+'Avg Week Busunju-Kampala'!H30</f>
        <v>0</v>
      </c>
      <c r="I30" s="49">
        <f>'Avg Week Kampala-Busunju'!I30+'Avg Week Busunju-Kampala'!I30</f>
        <v>2.2857142857142856</v>
      </c>
      <c r="J30" s="49">
        <f>'Avg Week Kampala-Busunju'!J30+'Avg Week Busunju-Kampala'!J30</f>
        <v>0.42857142857142855</v>
      </c>
      <c r="K30" s="49">
        <f>'Avg Week Kampala-Busunju'!K30+'Avg Week Busunju-Kampala'!K30</f>
        <v>0</v>
      </c>
      <c r="L30" s="49">
        <f>'Avg Week Kampala-Busunju'!L30+'Avg Week Busunju-Kampala'!L30</f>
        <v>0</v>
      </c>
      <c r="M30" s="49">
        <f>'Avg Week Kampala-Busunju'!M30+'Avg Week Busunju-Kampala'!M30</f>
        <v>30.428571428571431</v>
      </c>
      <c r="N30" s="49">
        <f>'Avg Week Kampala-Busunju'!N30+'Avg Week Busunju-Kampala'!N30</f>
        <v>0</v>
      </c>
      <c r="O30" s="15">
        <f t="shared" si="0"/>
        <v>8</v>
      </c>
      <c r="P30" s="15">
        <f t="shared" si="1"/>
        <v>38.428571428571431</v>
      </c>
      <c r="R30" s="1" t="s">
        <v>154</v>
      </c>
      <c r="S30" s="34">
        <f>SUM(C90:C93)</f>
        <v>2</v>
      </c>
      <c r="T30" s="34">
        <f t="shared" ref="T30:AF30" si="22">SUM(D90:D93)</f>
        <v>2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51">
        <f t="shared" si="22"/>
        <v>4</v>
      </c>
      <c r="AF30" s="51">
        <f t="shared" si="22"/>
        <v>4</v>
      </c>
    </row>
    <row r="31" spans="2:32" ht="23.1" customHeight="1" x14ac:dyDescent="0.25">
      <c r="B31" s="24" t="s">
        <v>58</v>
      </c>
      <c r="C31" s="49">
        <f>'Avg Week Kampala-Busunju'!C31+'Avg Week Busunju-Kampala'!C31</f>
        <v>1.4285714285714284</v>
      </c>
      <c r="D31" s="49">
        <f>'Avg Week Kampala-Busunju'!D31+'Avg Week Busunju-Kampala'!D31</f>
        <v>0</v>
      </c>
      <c r="E31" s="49">
        <f>'Avg Week Kampala-Busunju'!E31+'Avg Week Busunju-Kampala'!E31</f>
        <v>2</v>
      </c>
      <c r="F31" s="49">
        <f>'Avg Week Kampala-Busunju'!F31+'Avg Week Busunju-Kampala'!F31</f>
        <v>1</v>
      </c>
      <c r="G31" s="49">
        <f>'Avg Week Kampala-Busunju'!G31+'Avg Week Busunju-Kampala'!G31</f>
        <v>0</v>
      </c>
      <c r="H31" s="49">
        <f>'Avg Week Kampala-Busunju'!H31+'Avg Week Busunju-Kampala'!H31</f>
        <v>0</v>
      </c>
      <c r="I31" s="49">
        <f>'Avg Week Kampala-Busunju'!I31+'Avg Week Busunju-Kampala'!I31</f>
        <v>2.4285714285714284</v>
      </c>
      <c r="J31" s="49">
        <f>'Avg Week Kampala-Busunju'!J31+'Avg Week Busunju-Kampala'!J31</f>
        <v>0</v>
      </c>
      <c r="K31" s="49">
        <f>'Avg Week Kampala-Busunju'!K31+'Avg Week Busunju-Kampala'!K31</f>
        <v>0</v>
      </c>
      <c r="L31" s="49">
        <f>'Avg Week Kampala-Busunju'!L31+'Avg Week Busunju-Kampala'!L31</f>
        <v>0.14285714285714285</v>
      </c>
      <c r="M31" s="49">
        <f>'Avg Week Kampala-Busunju'!M31+'Avg Week Busunju-Kampala'!M31</f>
        <v>28.285714285714285</v>
      </c>
      <c r="N31" s="49">
        <f>'Avg Week Kampala-Busunju'!N31+'Avg Week Busunju-Kampala'!N31</f>
        <v>0</v>
      </c>
      <c r="O31" s="15">
        <f t="shared" si="0"/>
        <v>7.0000000000000009</v>
      </c>
      <c r="P31" s="15">
        <f t="shared" si="1"/>
        <v>35.285714285714285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2</v>
      </c>
      <c r="V31" s="34">
        <f t="shared" si="23"/>
        <v>0</v>
      </c>
      <c r="W31" s="34">
        <f t="shared" si="23"/>
        <v>0</v>
      </c>
      <c r="X31" s="34">
        <f t="shared" si="23"/>
        <v>2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51">
        <f t="shared" si="23"/>
        <v>4</v>
      </c>
      <c r="AF31" s="51">
        <f t="shared" si="23"/>
        <v>4</v>
      </c>
    </row>
    <row r="32" spans="2:32" ht="23.1" customHeight="1" x14ac:dyDescent="0.25">
      <c r="B32" s="24" t="s">
        <v>59</v>
      </c>
      <c r="C32" s="49">
        <f>'Avg Week Kampala-Busunju'!C32+'Avg Week Busunju-Kampala'!C32</f>
        <v>2.5714285714285712</v>
      </c>
      <c r="D32" s="49">
        <f>'Avg Week Kampala-Busunju'!D32+'Avg Week Busunju-Kampala'!D32</f>
        <v>0</v>
      </c>
      <c r="E32" s="49">
        <f>'Avg Week Kampala-Busunju'!E32+'Avg Week Busunju-Kampala'!E32</f>
        <v>2.2857142857142856</v>
      </c>
      <c r="F32" s="49">
        <f>'Avg Week Kampala-Busunju'!F32+'Avg Week Busunju-Kampala'!F32</f>
        <v>0.5714285714285714</v>
      </c>
      <c r="G32" s="49">
        <f>'Avg Week Kampala-Busunju'!G32+'Avg Week Busunju-Kampala'!G32</f>
        <v>0</v>
      </c>
      <c r="H32" s="49">
        <f>'Avg Week Kampala-Busunju'!H32+'Avg Week Busunju-Kampala'!H32</f>
        <v>0.14285714285714285</v>
      </c>
      <c r="I32" s="49">
        <f>'Avg Week Kampala-Busunju'!I32+'Avg Week Busunju-Kampala'!I32</f>
        <v>3</v>
      </c>
      <c r="J32" s="49">
        <f>'Avg Week Kampala-Busunju'!J32+'Avg Week Busunju-Kampala'!J32</f>
        <v>0.2857142857142857</v>
      </c>
      <c r="K32" s="49">
        <f>'Avg Week Kampala-Busunju'!K32+'Avg Week Busunju-Kampala'!K32</f>
        <v>0</v>
      </c>
      <c r="L32" s="49">
        <f>'Avg Week Kampala-Busunju'!L32+'Avg Week Busunju-Kampala'!L32</f>
        <v>0</v>
      </c>
      <c r="M32" s="49">
        <f>'Avg Week Kampala-Busunju'!M32+'Avg Week Busunju-Kampala'!M32</f>
        <v>28</v>
      </c>
      <c r="N32" s="49">
        <f>'Avg Week Kampala-Busunju'!N32+'Avg Week Busunju-Kampala'!N32</f>
        <v>0</v>
      </c>
      <c r="O32" s="15">
        <f t="shared" si="0"/>
        <v>8.8571428571428577</v>
      </c>
      <c r="P32" s="15">
        <f t="shared" si="1"/>
        <v>36.857142857142861</v>
      </c>
      <c r="R32" s="1" t="s">
        <v>156</v>
      </c>
      <c r="S32" s="34">
        <f>SUM(C98:C101)</f>
        <v>12</v>
      </c>
      <c r="T32" s="34">
        <f t="shared" ref="T32:AF32" si="24">SUM(D98:D101)</f>
        <v>2</v>
      </c>
      <c r="U32" s="34">
        <f t="shared" si="24"/>
        <v>0</v>
      </c>
      <c r="V32" s="34">
        <f t="shared" si="24"/>
        <v>2</v>
      </c>
      <c r="W32" s="34">
        <f t="shared" si="24"/>
        <v>2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51">
        <f t="shared" si="24"/>
        <v>18</v>
      </c>
      <c r="AF32" s="51">
        <f t="shared" si="24"/>
        <v>21</v>
      </c>
    </row>
    <row r="33" spans="2:32" ht="23.1" customHeight="1" x14ac:dyDescent="0.25">
      <c r="B33" s="23" t="s">
        <v>60</v>
      </c>
      <c r="C33" s="49">
        <f>'Avg Week Kampala-Busunju'!C33+'Avg Week Busunju-Kampala'!C33</f>
        <v>0.5714285714285714</v>
      </c>
      <c r="D33" s="49">
        <f>'Avg Week Kampala-Busunju'!D33+'Avg Week Busunju-Kampala'!D33</f>
        <v>0.14285714285714285</v>
      </c>
      <c r="E33" s="49">
        <f>'Avg Week Kampala-Busunju'!E33+'Avg Week Busunju-Kampala'!E33</f>
        <v>2.2857142857142856</v>
      </c>
      <c r="F33" s="49">
        <f>'Avg Week Kampala-Busunju'!F33+'Avg Week Busunju-Kampala'!F33</f>
        <v>1</v>
      </c>
      <c r="G33" s="49">
        <f>'Avg Week Kampala-Busunju'!G33+'Avg Week Busunju-Kampala'!G33</f>
        <v>0</v>
      </c>
      <c r="H33" s="49">
        <f>'Avg Week Kampala-Busunju'!H33+'Avg Week Busunju-Kampala'!H33</f>
        <v>0</v>
      </c>
      <c r="I33" s="49">
        <f>'Avg Week Kampala-Busunju'!I33+'Avg Week Busunju-Kampala'!I33</f>
        <v>2.4285714285714288</v>
      </c>
      <c r="J33" s="49">
        <f>'Avg Week Kampala-Busunju'!J33+'Avg Week Busunju-Kampala'!J33</f>
        <v>0.14285714285714285</v>
      </c>
      <c r="K33" s="49">
        <f>'Avg Week Kampala-Busunju'!K33+'Avg Week Busunju-Kampala'!K33</f>
        <v>0</v>
      </c>
      <c r="L33" s="49">
        <f>'Avg Week Kampala-Busunju'!L33+'Avg Week Busunju-Kampala'!L33</f>
        <v>0</v>
      </c>
      <c r="M33" s="49">
        <f>'Avg Week Kampala-Busunju'!M33+'Avg Week Busunju-Kampala'!M33</f>
        <v>33.142857142857139</v>
      </c>
      <c r="N33" s="49">
        <f>'Avg Week Kampala-Busunju'!N33+'Avg Week Busunju-Kampala'!N33</f>
        <v>0</v>
      </c>
      <c r="O33" s="15">
        <f t="shared" si="0"/>
        <v>6.5714285714285721</v>
      </c>
      <c r="P33" s="15">
        <f t="shared" si="1"/>
        <v>39.714285714285708</v>
      </c>
      <c r="R33" s="1" t="s">
        <v>157</v>
      </c>
      <c r="S33" s="34">
        <f>SUM(C102:C105)</f>
        <v>10</v>
      </c>
      <c r="T33" s="34">
        <f t="shared" ref="T33:AF33" si="25">SUM(D102:D105)</f>
        <v>3</v>
      </c>
      <c r="U33" s="34">
        <f t="shared" si="25"/>
        <v>5.5</v>
      </c>
      <c r="V33" s="34">
        <f t="shared" si="25"/>
        <v>12</v>
      </c>
      <c r="W33" s="34">
        <f t="shared" si="25"/>
        <v>2</v>
      </c>
      <c r="X33" s="34">
        <f t="shared" si="25"/>
        <v>4.5</v>
      </c>
      <c r="Y33" s="34">
        <f t="shared" si="25"/>
        <v>0</v>
      </c>
      <c r="Z33" s="34">
        <f t="shared" si="25"/>
        <v>5.5</v>
      </c>
      <c r="AA33" s="34">
        <f t="shared" si="25"/>
        <v>2</v>
      </c>
      <c r="AB33" s="34">
        <f t="shared" si="25"/>
        <v>2.5</v>
      </c>
      <c r="AC33" s="34">
        <f t="shared" si="25"/>
        <v>22.5</v>
      </c>
      <c r="AD33" s="34">
        <f t="shared" si="25"/>
        <v>1</v>
      </c>
      <c r="AE33" s="51">
        <f t="shared" si="25"/>
        <v>48</v>
      </c>
      <c r="AF33" s="51">
        <f t="shared" si="25"/>
        <v>70.5</v>
      </c>
    </row>
    <row r="34" spans="2:32" ht="23.1" customHeight="1" x14ac:dyDescent="0.25">
      <c r="B34" s="24" t="s">
        <v>61</v>
      </c>
      <c r="C34" s="49">
        <f>'Avg Week Kampala-Busunju'!C34+'Avg Week Busunju-Kampala'!C34</f>
        <v>2.5714285714285712</v>
      </c>
      <c r="D34" s="49">
        <f>'Avg Week Kampala-Busunju'!D34+'Avg Week Busunju-Kampala'!D34</f>
        <v>0</v>
      </c>
      <c r="E34" s="49">
        <f>'Avg Week Kampala-Busunju'!E34+'Avg Week Busunju-Kampala'!E34</f>
        <v>2.1428571428571428</v>
      </c>
      <c r="F34" s="49">
        <f>'Avg Week Kampala-Busunju'!F34+'Avg Week Busunju-Kampala'!F34</f>
        <v>0.2857142857142857</v>
      </c>
      <c r="G34" s="49">
        <f>'Avg Week Kampala-Busunju'!G34+'Avg Week Busunju-Kampala'!G34</f>
        <v>0</v>
      </c>
      <c r="H34" s="49">
        <f>'Avg Week Kampala-Busunju'!H34+'Avg Week Busunju-Kampala'!H34</f>
        <v>0</v>
      </c>
      <c r="I34" s="49">
        <f>'Avg Week Kampala-Busunju'!I34+'Avg Week Busunju-Kampala'!I34</f>
        <v>2.5714285714285712</v>
      </c>
      <c r="J34" s="49">
        <f>'Avg Week Kampala-Busunju'!J34+'Avg Week Busunju-Kampala'!J34</f>
        <v>0.42857142857142855</v>
      </c>
      <c r="K34" s="49">
        <f>'Avg Week Kampala-Busunju'!K34+'Avg Week Busunju-Kampala'!K34</f>
        <v>0</v>
      </c>
      <c r="L34" s="49">
        <f>'Avg Week Kampala-Busunju'!L34+'Avg Week Busunju-Kampala'!L34</f>
        <v>0</v>
      </c>
      <c r="M34" s="49">
        <f>'Avg Week Kampala-Busunju'!M34+'Avg Week Busunju-Kampala'!M34</f>
        <v>33.142857142857146</v>
      </c>
      <c r="N34" s="49">
        <f>'Avg Week Kampala-Busunju'!N34+'Avg Week Busunju-Kampala'!N34</f>
        <v>0</v>
      </c>
      <c r="O34" s="15">
        <f t="shared" si="0"/>
        <v>7.9999999999999991</v>
      </c>
      <c r="P34" s="15">
        <f t="shared" si="1"/>
        <v>41.142857142857146</v>
      </c>
      <c r="R34" s="38" t="s">
        <v>90</v>
      </c>
      <c r="S34" s="39">
        <f t="shared" ref="S34:AF34" si="26">MAX(S10:S12)</f>
        <v>5.5714285714285712</v>
      </c>
      <c r="T34" s="39">
        <f t="shared" si="26"/>
        <v>0.14285714285714285</v>
      </c>
      <c r="U34" s="39">
        <f t="shared" si="26"/>
        <v>5.1428571428571423</v>
      </c>
      <c r="V34" s="39">
        <f t="shared" si="26"/>
        <v>2.4285714285714279</v>
      </c>
      <c r="W34" s="39">
        <f t="shared" si="26"/>
        <v>0.14285714285714285</v>
      </c>
      <c r="X34" s="39">
        <f t="shared" si="26"/>
        <v>0.14285714285714285</v>
      </c>
      <c r="Y34" s="39">
        <f t="shared" si="26"/>
        <v>6.2857142857142856</v>
      </c>
      <c r="Z34" s="39">
        <f t="shared" si="26"/>
        <v>0.5714285714285714</v>
      </c>
      <c r="AA34" s="39">
        <f t="shared" si="26"/>
        <v>0</v>
      </c>
      <c r="AB34" s="39">
        <f t="shared" si="26"/>
        <v>0.14285714285714285</v>
      </c>
      <c r="AC34" s="39">
        <f t="shared" si="26"/>
        <v>119.28571428571428</v>
      </c>
      <c r="AD34" s="39">
        <f t="shared" si="26"/>
        <v>0.14285714285714285</v>
      </c>
      <c r="AE34" s="40">
        <f t="shared" si="26"/>
        <v>19.857142857142854</v>
      </c>
      <c r="AF34" s="40">
        <f t="shared" si="26"/>
        <v>137.14285714285714</v>
      </c>
    </row>
    <row r="35" spans="2:32" ht="23.1" customHeight="1" x14ac:dyDescent="0.25">
      <c r="B35" s="24" t="s">
        <v>62</v>
      </c>
      <c r="C35" s="49">
        <f>'Avg Week Kampala-Busunju'!C35+'Avg Week Busunju-Kampala'!C35</f>
        <v>1.7142857142857144</v>
      </c>
      <c r="D35" s="49">
        <f>'Avg Week Kampala-Busunju'!D35+'Avg Week Busunju-Kampala'!D35</f>
        <v>0</v>
      </c>
      <c r="E35" s="49">
        <f>'Avg Week Kampala-Busunju'!E35+'Avg Week Busunju-Kampala'!E35</f>
        <v>2.7142857142857144</v>
      </c>
      <c r="F35" s="49">
        <f>'Avg Week Kampala-Busunju'!F35+'Avg Week Busunju-Kampala'!F35</f>
        <v>1.1428571428571428</v>
      </c>
      <c r="G35" s="49">
        <f>'Avg Week Kampala-Busunju'!G35+'Avg Week Busunju-Kampala'!G35</f>
        <v>0</v>
      </c>
      <c r="H35" s="49">
        <f>'Avg Week Kampala-Busunju'!H35+'Avg Week Busunju-Kampala'!H35</f>
        <v>0</v>
      </c>
      <c r="I35" s="49">
        <f>'Avg Week Kampala-Busunju'!I35+'Avg Week Busunju-Kampala'!I35</f>
        <v>1.2857142857142856</v>
      </c>
      <c r="J35" s="49">
        <f>'Avg Week Kampala-Busunju'!J35+'Avg Week Busunju-Kampala'!J35</f>
        <v>0.14285714285714285</v>
      </c>
      <c r="K35" s="49">
        <f>'Avg Week Kampala-Busunju'!K35+'Avg Week Busunju-Kampala'!K35</f>
        <v>0</v>
      </c>
      <c r="L35" s="49">
        <f>'Avg Week Kampala-Busunju'!L35+'Avg Week Busunju-Kampala'!L35</f>
        <v>0</v>
      </c>
      <c r="M35" s="49">
        <f>'Avg Week Kampala-Busunju'!M35+'Avg Week Busunju-Kampala'!M35</f>
        <v>28.714285714285715</v>
      </c>
      <c r="N35" s="49">
        <f>'Avg Week Kampala-Busunju'!N35+'Avg Week Busunju-Kampala'!N35</f>
        <v>0</v>
      </c>
      <c r="O35" s="15">
        <f t="shared" si="0"/>
        <v>7</v>
      </c>
      <c r="P35" s="15">
        <f t="shared" si="1"/>
        <v>35.714285714285715</v>
      </c>
      <c r="R35" s="38" t="s">
        <v>91</v>
      </c>
      <c r="S35" s="39">
        <f t="shared" ref="S35:AF35" si="27">MAX(S13:S18)</f>
        <v>8.8571428571428577</v>
      </c>
      <c r="T35" s="39">
        <f t="shared" si="27"/>
        <v>0.42857142857142855</v>
      </c>
      <c r="U35" s="39">
        <f t="shared" si="27"/>
        <v>8.571428571428573</v>
      </c>
      <c r="V35" s="39">
        <f t="shared" si="27"/>
        <v>3.4285714285714288</v>
      </c>
      <c r="W35" s="39">
        <f t="shared" si="27"/>
        <v>0.42857142857142855</v>
      </c>
      <c r="X35" s="39">
        <f t="shared" si="27"/>
        <v>0.2857142857142857</v>
      </c>
      <c r="Y35" s="39">
        <f t="shared" si="27"/>
        <v>10.285714285714285</v>
      </c>
      <c r="Z35" s="39">
        <f t="shared" si="27"/>
        <v>0.99999999999999989</v>
      </c>
      <c r="AA35" s="39">
        <f t="shared" si="27"/>
        <v>0.14285714285714285</v>
      </c>
      <c r="AB35" s="39">
        <f t="shared" si="27"/>
        <v>0.14285714285714285</v>
      </c>
      <c r="AC35" s="39">
        <f t="shared" si="27"/>
        <v>124.28571428571428</v>
      </c>
      <c r="AD35" s="39">
        <f t="shared" si="27"/>
        <v>0</v>
      </c>
      <c r="AE35" s="40">
        <f t="shared" si="27"/>
        <v>30.428571428571431</v>
      </c>
      <c r="AF35" s="40">
        <f t="shared" si="27"/>
        <v>150.28571428571428</v>
      </c>
    </row>
    <row r="36" spans="2:32" ht="23.1" customHeight="1" x14ac:dyDescent="0.25">
      <c r="B36" s="24" t="s">
        <v>63</v>
      </c>
      <c r="C36" s="49">
        <f>'Avg Week Kampala-Busunju'!C36+'Avg Week Busunju-Kampala'!C36</f>
        <v>1.8571428571428572</v>
      </c>
      <c r="D36" s="49">
        <f>'Avg Week Kampala-Busunju'!D36+'Avg Week Busunju-Kampala'!D36</f>
        <v>0.14285714285714285</v>
      </c>
      <c r="E36" s="49">
        <f>'Avg Week Kampala-Busunju'!E36+'Avg Week Busunju-Kampala'!E36</f>
        <v>1.8571428571428572</v>
      </c>
      <c r="F36" s="49">
        <f>'Avg Week Kampala-Busunju'!F36+'Avg Week Busunju-Kampala'!F36</f>
        <v>0.8571428571428571</v>
      </c>
      <c r="G36" s="49">
        <f>'Avg Week Kampala-Busunju'!G36+'Avg Week Busunju-Kampala'!G36</f>
        <v>0.14285714285714285</v>
      </c>
      <c r="H36" s="49">
        <f>'Avg Week Kampala-Busunju'!H36+'Avg Week Busunju-Kampala'!H36</f>
        <v>0</v>
      </c>
      <c r="I36" s="49">
        <f>'Avg Week Kampala-Busunju'!I36+'Avg Week Busunju-Kampala'!I36</f>
        <v>1.5714285714285716</v>
      </c>
      <c r="J36" s="49">
        <f>'Avg Week Kampala-Busunju'!J36+'Avg Week Busunju-Kampala'!J36</f>
        <v>0.14285714285714285</v>
      </c>
      <c r="K36" s="49">
        <f>'Avg Week Kampala-Busunju'!K36+'Avg Week Busunju-Kampala'!K36</f>
        <v>0</v>
      </c>
      <c r="L36" s="49">
        <f>'Avg Week Kampala-Busunju'!L36+'Avg Week Busunju-Kampala'!L36</f>
        <v>0</v>
      </c>
      <c r="M36" s="49">
        <f>'Avg Week Kampala-Busunju'!M36+'Avg Week Busunju-Kampala'!M36</f>
        <v>24</v>
      </c>
      <c r="N36" s="49">
        <f>'Avg Week Kampala-Busunju'!N36+'Avg Week Busunju-Kampala'!N36</f>
        <v>0</v>
      </c>
      <c r="O36" s="15">
        <f t="shared" si="0"/>
        <v>6.5714285714285721</v>
      </c>
      <c r="P36" s="15">
        <f t="shared" si="1"/>
        <v>30.571428571428573</v>
      </c>
      <c r="R36" s="38" t="s">
        <v>92</v>
      </c>
      <c r="S36" s="39">
        <f t="shared" ref="S36:AF36" si="28">MAX(S19:S21)</f>
        <v>10.714285714285714</v>
      </c>
      <c r="T36" s="39">
        <f t="shared" si="28"/>
        <v>0.2857142857142857</v>
      </c>
      <c r="U36" s="39">
        <f t="shared" si="28"/>
        <v>10.285714285714286</v>
      </c>
      <c r="V36" s="39">
        <f t="shared" si="28"/>
        <v>4.2857142857142856</v>
      </c>
      <c r="W36" s="39">
        <f t="shared" si="28"/>
        <v>1.1428571428571428</v>
      </c>
      <c r="X36" s="39">
        <f t="shared" si="28"/>
        <v>0</v>
      </c>
      <c r="Y36" s="39">
        <f t="shared" si="28"/>
        <v>7.4285714285714279</v>
      </c>
      <c r="Z36" s="39">
        <f t="shared" si="28"/>
        <v>0.42857142857142855</v>
      </c>
      <c r="AA36" s="39">
        <f t="shared" si="28"/>
        <v>0.14285714285714285</v>
      </c>
      <c r="AB36" s="39">
        <f t="shared" si="28"/>
        <v>0</v>
      </c>
      <c r="AC36" s="39">
        <f t="shared" si="28"/>
        <v>125.42857142857144</v>
      </c>
      <c r="AD36" s="39">
        <f t="shared" si="28"/>
        <v>0</v>
      </c>
      <c r="AE36" s="40">
        <f t="shared" si="28"/>
        <v>31.714285714285715</v>
      </c>
      <c r="AF36" s="40">
        <f t="shared" si="28"/>
        <v>155</v>
      </c>
    </row>
    <row r="37" spans="2:32" ht="23.1" customHeight="1" x14ac:dyDescent="0.25">
      <c r="B37" s="23" t="s">
        <v>64</v>
      </c>
      <c r="C37" s="49">
        <f>'Avg Week Kampala-Busunju'!C37+'Avg Week Busunju-Kampala'!C37</f>
        <v>1.7142857142857144</v>
      </c>
      <c r="D37" s="49">
        <f>'Avg Week Kampala-Busunju'!D37+'Avg Week Busunju-Kampala'!D37</f>
        <v>0</v>
      </c>
      <c r="E37" s="49">
        <f>'Avg Week Kampala-Busunju'!E37+'Avg Week Busunju-Kampala'!E37</f>
        <v>1.8571428571428572</v>
      </c>
      <c r="F37" s="49">
        <f>'Avg Week Kampala-Busunju'!F37+'Avg Week Busunju-Kampala'!F37</f>
        <v>0.42857142857142855</v>
      </c>
      <c r="G37" s="49">
        <f>'Avg Week Kampala-Busunju'!G37+'Avg Week Busunju-Kampala'!G37</f>
        <v>0</v>
      </c>
      <c r="H37" s="49">
        <f>'Avg Week Kampala-Busunju'!H37+'Avg Week Busunju-Kampala'!H37</f>
        <v>0</v>
      </c>
      <c r="I37" s="49">
        <f>'Avg Week Kampala-Busunju'!I37+'Avg Week Busunju-Kampala'!I37</f>
        <v>1.8571428571428572</v>
      </c>
      <c r="J37" s="49">
        <f>'Avg Week Kampala-Busunju'!J37+'Avg Week Busunju-Kampala'!J37</f>
        <v>0</v>
      </c>
      <c r="K37" s="49">
        <f>'Avg Week Kampala-Busunju'!K37+'Avg Week Busunju-Kampala'!K37</f>
        <v>0</v>
      </c>
      <c r="L37" s="49">
        <f>'Avg Week Kampala-Busunju'!L37+'Avg Week Busunju-Kampala'!L37</f>
        <v>0</v>
      </c>
      <c r="M37" s="49">
        <f>'Avg Week Kampala-Busunju'!M37+'Avg Week Busunju-Kampala'!M37</f>
        <v>24.285714285714285</v>
      </c>
      <c r="N37" s="49">
        <f>'Avg Week Kampala-Busunju'!N37+'Avg Week Busunju-Kampala'!N37</f>
        <v>0</v>
      </c>
      <c r="O37" s="15">
        <f t="shared" si="0"/>
        <v>5.8571428571428577</v>
      </c>
      <c r="P37" s="15">
        <f t="shared" si="1"/>
        <v>30.142857142857142</v>
      </c>
      <c r="R37" s="37" t="s">
        <v>85</v>
      </c>
      <c r="S37" s="35">
        <f t="shared" ref="S37:AF37" si="29">SUM(S10:S12)</f>
        <v>16.142857142857142</v>
      </c>
      <c r="T37" s="16">
        <f t="shared" si="29"/>
        <v>0.2857142857142857</v>
      </c>
      <c r="U37" s="16">
        <f t="shared" si="29"/>
        <v>13.571428571428571</v>
      </c>
      <c r="V37" s="16">
        <f t="shared" si="29"/>
        <v>5.4285714285714279</v>
      </c>
      <c r="W37" s="16">
        <f t="shared" si="29"/>
        <v>0.2857142857142857</v>
      </c>
      <c r="X37" s="16">
        <f t="shared" si="29"/>
        <v>0.2857142857142857</v>
      </c>
      <c r="Y37" s="16">
        <f t="shared" si="29"/>
        <v>16.428571428571431</v>
      </c>
      <c r="Z37" s="16">
        <f t="shared" si="29"/>
        <v>0.5714285714285714</v>
      </c>
      <c r="AA37" s="16">
        <f t="shared" si="29"/>
        <v>0</v>
      </c>
      <c r="AB37" s="16">
        <f t="shared" si="29"/>
        <v>0.2857142857142857</v>
      </c>
      <c r="AC37" s="16">
        <f t="shared" si="29"/>
        <v>301.57142857142856</v>
      </c>
      <c r="AD37" s="16">
        <f t="shared" si="29"/>
        <v>0.14285714285714285</v>
      </c>
      <c r="AE37" s="32">
        <f t="shared" si="29"/>
        <v>53.428571428571431</v>
      </c>
      <c r="AF37" s="32">
        <f t="shared" si="29"/>
        <v>355</v>
      </c>
    </row>
    <row r="38" spans="2:32" ht="23.1" customHeight="1" x14ac:dyDescent="0.25">
      <c r="B38" s="24" t="s">
        <v>65</v>
      </c>
      <c r="C38" s="49">
        <f>'Avg Week Kampala-Busunju'!C38+'Avg Week Busunju-Kampala'!C38</f>
        <v>1.2857142857142856</v>
      </c>
      <c r="D38" s="49">
        <f>'Avg Week Kampala-Busunju'!D38+'Avg Week Busunju-Kampala'!D38</f>
        <v>0</v>
      </c>
      <c r="E38" s="49">
        <f>'Avg Week Kampala-Busunju'!E38+'Avg Week Busunju-Kampala'!E38</f>
        <v>1.4285714285714286</v>
      </c>
      <c r="F38" s="49">
        <f>'Avg Week Kampala-Busunju'!F38+'Avg Week Busunju-Kampala'!F38</f>
        <v>0.5714285714285714</v>
      </c>
      <c r="G38" s="49">
        <f>'Avg Week Kampala-Busunju'!G38+'Avg Week Busunju-Kampala'!G38</f>
        <v>0</v>
      </c>
      <c r="H38" s="49">
        <f>'Avg Week Kampala-Busunju'!H38+'Avg Week Busunju-Kampala'!H38</f>
        <v>0</v>
      </c>
      <c r="I38" s="49">
        <f>'Avg Week Kampala-Busunju'!I38+'Avg Week Busunju-Kampala'!I38</f>
        <v>1.8571428571428572</v>
      </c>
      <c r="J38" s="49">
        <f>'Avg Week Kampala-Busunju'!J38+'Avg Week Busunju-Kampala'!J38</f>
        <v>0</v>
      </c>
      <c r="K38" s="49">
        <f>'Avg Week Kampala-Busunju'!K38+'Avg Week Busunju-Kampala'!K38</f>
        <v>0</v>
      </c>
      <c r="L38" s="49">
        <f>'Avg Week Kampala-Busunju'!L38+'Avg Week Busunju-Kampala'!L38</f>
        <v>0</v>
      </c>
      <c r="M38" s="49">
        <f>'Avg Week Kampala-Busunju'!M38+'Avg Week Busunju-Kampala'!M38</f>
        <v>29.428571428571431</v>
      </c>
      <c r="N38" s="49">
        <f>'Avg Week Kampala-Busunju'!N38+'Avg Week Busunju-Kampala'!N38</f>
        <v>0</v>
      </c>
      <c r="O38" s="15">
        <f t="shared" si="0"/>
        <v>5.1428571428571423</v>
      </c>
      <c r="P38" s="15">
        <f t="shared" si="1"/>
        <v>34.571428571428569</v>
      </c>
      <c r="R38" s="28" t="s">
        <v>86</v>
      </c>
      <c r="S38" s="16">
        <f t="shared" ref="S38:AF38" si="30">SUM(S13:S18)</f>
        <v>46.857142857142861</v>
      </c>
      <c r="T38" s="16">
        <f t="shared" si="30"/>
        <v>1.2857142857142856</v>
      </c>
      <c r="U38" s="16">
        <f t="shared" si="30"/>
        <v>44.571428571428569</v>
      </c>
      <c r="V38" s="16">
        <f t="shared" si="30"/>
        <v>15.142857142857142</v>
      </c>
      <c r="W38" s="16">
        <f t="shared" si="30"/>
        <v>0.71428571428571419</v>
      </c>
      <c r="X38" s="16">
        <f t="shared" si="30"/>
        <v>0.5714285714285714</v>
      </c>
      <c r="Y38" s="16">
        <f t="shared" si="30"/>
        <v>52.000000000000007</v>
      </c>
      <c r="Z38" s="16">
        <f t="shared" si="30"/>
        <v>3.5714285714285712</v>
      </c>
      <c r="AA38" s="16">
        <f t="shared" si="30"/>
        <v>0.14285714285714285</v>
      </c>
      <c r="AB38" s="16">
        <f t="shared" si="30"/>
        <v>0.2857142857142857</v>
      </c>
      <c r="AC38" s="16">
        <f t="shared" si="30"/>
        <v>692.28571428571433</v>
      </c>
      <c r="AD38" s="16">
        <f t="shared" si="30"/>
        <v>0</v>
      </c>
      <c r="AE38" s="32">
        <f t="shared" si="30"/>
        <v>165.14285714285717</v>
      </c>
      <c r="AF38" s="32">
        <f t="shared" si="30"/>
        <v>857.42857142857144</v>
      </c>
    </row>
    <row r="39" spans="2:32" ht="23.1" customHeight="1" x14ac:dyDescent="0.25">
      <c r="B39" s="24" t="s">
        <v>66</v>
      </c>
      <c r="C39" s="49">
        <f>'Avg Week Kampala-Busunju'!C39+'Avg Week Busunju-Kampala'!C39</f>
        <v>2.4285714285714288</v>
      </c>
      <c r="D39" s="49">
        <f>'Avg Week Kampala-Busunju'!D39+'Avg Week Busunju-Kampala'!D39</f>
        <v>0.14285714285714285</v>
      </c>
      <c r="E39" s="49">
        <f>'Avg Week Kampala-Busunju'!E39+'Avg Week Busunju-Kampala'!E39</f>
        <v>2.1428571428571428</v>
      </c>
      <c r="F39" s="49">
        <f>'Avg Week Kampala-Busunju'!F39+'Avg Week Busunju-Kampala'!F39</f>
        <v>0.42857142857142855</v>
      </c>
      <c r="G39" s="49">
        <f>'Avg Week Kampala-Busunju'!G39+'Avg Week Busunju-Kampala'!G39</f>
        <v>0</v>
      </c>
      <c r="H39" s="49">
        <f>'Avg Week Kampala-Busunju'!H39+'Avg Week Busunju-Kampala'!H39</f>
        <v>0</v>
      </c>
      <c r="I39" s="49">
        <f>'Avg Week Kampala-Busunju'!I39+'Avg Week Busunju-Kampala'!I39</f>
        <v>2.8571428571428572</v>
      </c>
      <c r="J39" s="49">
        <f>'Avg Week Kampala-Busunju'!J39+'Avg Week Busunju-Kampala'!J39</f>
        <v>0.14285714285714285</v>
      </c>
      <c r="K39" s="49">
        <f>'Avg Week Kampala-Busunju'!K39+'Avg Week Busunju-Kampala'!K39</f>
        <v>0</v>
      </c>
      <c r="L39" s="49">
        <f>'Avg Week Kampala-Busunju'!L39+'Avg Week Busunju-Kampala'!L39</f>
        <v>0</v>
      </c>
      <c r="M39" s="49">
        <f>'Avg Week Kampala-Busunju'!M39+'Avg Week Busunju-Kampala'!M39</f>
        <v>27.285714285714285</v>
      </c>
      <c r="N39" s="49">
        <f>'Avg Week Kampala-Busunju'!N39+'Avg Week Busunju-Kampala'!N39</f>
        <v>0</v>
      </c>
      <c r="O39" s="15">
        <f t="shared" si="0"/>
        <v>8.1428571428571423</v>
      </c>
      <c r="P39" s="15">
        <f t="shared" si="1"/>
        <v>35.428571428571431</v>
      </c>
      <c r="R39" s="29" t="s">
        <v>87</v>
      </c>
      <c r="S39" s="16">
        <f t="shared" ref="S39:AF39" si="31">SUM(S19:S21)</f>
        <v>30</v>
      </c>
      <c r="T39" s="16">
        <f t="shared" si="31"/>
        <v>0.42857142857142855</v>
      </c>
      <c r="U39" s="16">
        <f t="shared" si="31"/>
        <v>25.714285714285715</v>
      </c>
      <c r="V39" s="16">
        <f t="shared" si="31"/>
        <v>11</v>
      </c>
      <c r="W39" s="16">
        <f t="shared" si="31"/>
        <v>1.4285714285714284</v>
      </c>
      <c r="X39" s="16">
        <f t="shared" si="31"/>
        <v>0</v>
      </c>
      <c r="Y39" s="16">
        <f t="shared" si="31"/>
        <v>21</v>
      </c>
      <c r="Z39" s="16">
        <f t="shared" si="31"/>
        <v>0.99999999999999989</v>
      </c>
      <c r="AA39" s="16">
        <f t="shared" si="31"/>
        <v>0.14285714285714285</v>
      </c>
      <c r="AB39" s="16">
        <f t="shared" si="31"/>
        <v>0</v>
      </c>
      <c r="AC39" s="16">
        <f t="shared" si="31"/>
        <v>359.42857142857144</v>
      </c>
      <c r="AD39" s="16">
        <f t="shared" si="31"/>
        <v>0</v>
      </c>
      <c r="AE39" s="32">
        <f t="shared" si="31"/>
        <v>90.714285714285722</v>
      </c>
      <c r="AF39" s="32">
        <f t="shared" si="31"/>
        <v>450.14285714285711</v>
      </c>
    </row>
    <row r="40" spans="2:32" ht="23.1" customHeight="1" x14ac:dyDescent="0.25">
      <c r="B40" s="24" t="s">
        <v>67</v>
      </c>
      <c r="C40" s="49">
        <f>'Avg Week Kampala-Busunju'!C40+'Avg Week Busunju-Kampala'!C40</f>
        <v>1.4285714285714286</v>
      </c>
      <c r="D40" s="49">
        <f>'Avg Week Kampala-Busunju'!D40+'Avg Week Busunju-Kampala'!D40</f>
        <v>0</v>
      </c>
      <c r="E40" s="49">
        <f>'Avg Week Kampala-Busunju'!E40+'Avg Week Busunju-Kampala'!E40</f>
        <v>1</v>
      </c>
      <c r="F40" s="49">
        <f>'Avg Week Kampala-Busunju'!F40+'Avg Week Busunju-Kampala'!F40</f>
        <v>0.42857142857142855</v>
      </c>
      <c r="G40" s="49">
        <f>'Avg Week Kampala-Busunju'!G40+'Avg Week Busunju-Kampala'!G40</f>
        <v>0</v>
      </c>
      <c r="H40" s="49">
        <f>'Avg Week Kampala-Busunju'!H40+'Avg Week Busunju-Kampala'!H40</f>
        <v>0</v>
      </c>
      <c r="I40" s="49">
        <f>'Avg Week Kampala-Busunju'!I40+'Avg Week Busunju-Kampala'!I40</f>
        <v>1.7142857142857142</v>
      </c>
      <c r="J40" s="49">
        <f>'Avg Week Kampala-Busunju'!J40+'Avg Week Busunju-Kampala'!J40</f>
        <v>0</v>
      </c>
      <c r="K40" s="49">
        <f>'Avg Week Kampala-Busunju'!K40+'Avg Week Busunju-Kampala'!K40</f>
        <v>0</v>
      </c>
      <c r="L40" s="49">
        <f>'Avg Week Kampala-Busunju'!L40+'Avg Week Busunju-Kampala'!L40</f>
        <v>0</v>
      </c>
      <c r="M40" s="49">
        <f>'Avg Week Kampala-Busunju'!M40+'Avg Week Busunju-Kampala'!M40</f>
        <v>24.571428571428569</v>
      </c>
      <c r="N40" s="49">
        <f>'Avg Week Kampala-Busunju'!N40+'Avg Week Busunju-Kampala'!N40</f>
        <v>0</v>
      </c>
      <c r="O40" s="15">
        <f t="shared" si="0"/>
        <v>4.5714285714285712</v>
      </c>
      <c r="P40" s="15">
        <f t="shared" si="1"/>
        <v>29.142857142857139</v>
      </c>
      <c r="R40" s="5" t="s">
        <v>17</v>
      </c>
      <c r="S40" s="16">
        <f t="shared" ref="S40:AF40" si="32">SUM(S10:S21)</f>
        <v>93</v>
      </c>
      <c r="T40" s="16">
        <f t="shared" si="32"/>
        <v>1.9999999999999996</v>
      </c>
      <c r="U40" s="16">
        <f t="shared" si="32"/>
        <v>83.857142857142861</v>
      </c>
      <c r="V40" s="16">
        <f t="shared" si="32"/>
        <v>31.571428571428569</v>
      </c>
      <c r="W40" s="16">
        <f t="shared" si="32"/>
        <v>2.4285714285714279</v>
      </c>
      <c r="X40" s="16">
        <f t="shared" si="32"/>
        <v>0.85714285714285698</v>
      </c>
      <c r="Y40" s="16">
        <f t="shared" si="32"/>
        <v>89.428571428571416</v>
      </c>
      <c r="Z40" s="16">
        <f t="shared" si="32"/>
        <v>5.1428571428571423</v>
      </c>
      <c r="AA40" s="16">
        <f t="shared" si="32"/>
        <v>0.2857142857142857</v>
      </c>
      <c r="AB40" s="16">
        <f t="shared" si="32"/>
        <v>0.5714285714285714</v>
      </c>
      <c r="AC40" s="16">
        <f t="shared" si="32"/>
        <v>1353.2857142857144</v>
      </c>
      <c r="AD40" s="16">
        <f t="shared" si="32"/>
        <v>0.14285714285714285</v>
      </c>
      <c r="AE40" s="32">
        <f t="shared" si="32"/>
        <v>309.28571428571433</v>
      </c>
      <c r="AF40" s="32">
        <f t="shared" si="32"/>
        <v>1662.5714285714282</v>
      </c>
    </row>
    <row r="41" spans="2:32" ht="23.1" customHeight="1" x14ac:dyDescent="0.25">
      <c r="B41" s="23" t="s">
        <v>68</v>
      </c>
      <c r="C41" s="49">
        <f>'Avg Week Kampala-Busunju'!C41+'Avg Week Busunju-Kampala'!C41</f>
        <v>3.4285714285714284</v>
      </c>
      <c r="D41" s="49">
        <f>'Avg Week Kampala-Busunju'!D41+'Avg Week Busunju-Kampala'!D41</f>
        <v>0.2857142857142857</v>
      </c>
      <c r="E41" s="49">
        <f>'Avg Week Kampala-Busunju'!E41+'Avg Week Busunju-Kampala'!E41</f>
        <v>1.8571428571428572</v>
      </c>
      <c r="F41" s="49">
        <f>'Avg Week Kampala-Busunju'!F41+'Avg Week Busunju-Kampala'!F41</f>
        <v>0.42857142857142855</v>
      </c>
      <c r="G41" s="49">
        <f>'Avg Week Kampala-Busunju'!G41+'Avg Week Busunju-Kampala'!G41</f>
        <v>0</v>
      </c>
      <c r="H41" s="49">
        <f>'Avg Week Kampala-Busunju'!H41+'Avg Week Busunju-Kampala'!H41</f>
        <v>0.14285714285714285</v>
      </c>
      <c r="I41" s="49">
        <f>'Avg Week Kampala-Busunju'!I41+'Avg Week Busunju-Kampala'!I41</f>
        <v>1.4285714285714284</v>
      </c>
      <c r="J41" s="49">
        <f>'Avg Week Kampala-Busunju'!J41+'Avg Week Busunju-Kampala'!J41</f>
        <v>0</v>
      </c>
      <c r="K41" s="49">
        <f>'Avg Week Kampala-Busunju'!K41+'Avg Week Busunju-Kampala'!K41</f>
        <v>0</v>
      </c>
      <c r="L41" s="49">
        <f>'Avg Week Kampala-Busunju'!L41+'Avg Week Busunju-Kampala'!L41</f>
        <v>0</v>
      </c>
      <c r="M41" s="49">
        <f>'Avg Week Kampala-Busunju'!M41+'Avg Week Busunju-Kampala'!M41</f>
        <v>29.142857142857142</v>
      </c>
      <c r="N41" s="49">
        <f>'Avg Week Kampala-Busunju'!N41+'Avg Week Busunju-Kampala'!N41</f>
        <v>0</v>
      </c>
      <c r="O41" s="15">
        <f t="shared" si="0"/>
        <v>7.5714285714285712</v>
      </c>
      <c r="P41" s="15">
        <f t="shared" si="1"/>
        <v>36.714285714285715</v>
      </c>
      <c r="R41" s="5" t="s">
        <v>176</v>
      </c>
      <c r="S41" s="53">
        <f>SUM(S10:S33)</f>
        <v>185</v>
      </c>
      <c r="T41" s="53">
        <f t="shared" ref="T41:AD41" si="33">SUM(T10:T33)</f>
        <v>21</v>
      </c>
      <c r="U41" s="53">
        <f t="shared" si="33"/>
        <v>143.35714285714286</v>
      </c>
      <c r="V41" s="53">
        <f t="shared" si="33"/>
        <v>57.571428571428569</v>
      </c>
      <c r="W41" s="53">
        <f t="shared" si="33"/>
        <v>6.4285714285714279</v>
      </c>
      <c r="X41" s="53">
        <f t="shared" si="33"/>
        <v>9.3571428571428577</v>
      </c>
      <c r="Y41" s="53">
        <f t="shared" si="33"/>
        <v>133.42857142857142</v>
      </c>
      <c r="Z41" s="53">
        <f t="shared" si="33"/>
        <v>12.642857142857142</v>
      </c>
      <c r="AA41" s="53">
        <f t="shared" si="33"/>
        <v>2.2857142857142856</v>
      </c>
      <c r="AB41" s="53">
        <f t="shared" si="33"/>
        <v>3.0714285714285712</v>
      </c>
      <c r="AC41" s="53">
        <f t="shared" si="33"/>
        <v>1597.7857142857144</v>
      </c>
      <c r="AD41" s="53">
        <f t="shared" si="33"/>
        <v>1.6428571428571428</v>
      </c>
      <c r="AE41" s="54">
        <f>SUM(AE10:AE33)</f>
        <v>575.78571428571433</v>
      </c>
      <c r="AF41" s="54">
        <f>SUM(AF10:AF33)</f>
        <v>2173.5714285714284</v>
      </c>
    </row>
    <row r="42" spans="2:32" ht="23.1" customHeight="1" x14ac:dyDescent="0.25">
      <c r="B42" s="24" t="s">
        <v>69</v>
      </c>
      <c r="C42" s="49">
        <f>'Avg Week Kampala-Busunju'!C42+'Avg Week Busunju-Kampala'!C42</f>
        <v>1.8571428571428572</v>
      </c>
      <c r="D42" s="49">
        <f>'Avg Week Kampala-Busunju'!D42+'Avg Week Busunju-Kampala'!D42</f>
        <v>0</v>
      </c>
      <c r="E42" s="49">
        <f>'Avg Week Kampala-Busunju'!E42+'Avg Week Busunju-Kampala'!E42</f>
        <v>2.1428571428571428</v>
      </c>
      <c r="F42" s="49">
        <f>'Avg Week Kampala-Busunju'!F42+'Avg Week Busunju-Kampala'!F42</f>
        <v>0.71428571428571419</v>
      </c>
      <c r="G42" s="49">
        <f>'Avg Week Kampala-Busunju'!G42+'Avg Week Busunju-Kampala'!G42</f>
        <v>0</v>
      </c>
      <c r="H42" s="49">
        <f>'Avg Week Kampala-Busunju'!H42+'Avg Week Busunju-Kampala'!H42</f>
        <v>0</v>
      </c>
      <c r="I42" s="49">
        <f>'Avg Week Kampala-Busunju'!I42+'Avg Week Busunju-Kampala'!I42</f>
        <v>3.7142857142857144</v>
      </c>
      <c r="J42" s="49">
        <f>'Avg Week Kampala-Busunju'!J42+'Avg Week Busunju-Kampala'!J42</f>
        <v>0.2857142857142857</v>
      </c>
      <c r="K42" s="49">
        <f>'Avg Week Kampala-Busunju'!K42+'Avg Week Busunju-Kampala'!K42</f>
        <v>0</v>
      </c>
      <c r="L42" s="49">
        <f>'Avg Week Kampala-Busunju'!L42+'Avg Week Busunju-Kampala'!L42</f>
        <v>0</v>
      </c>
      <c r="M42" s="49">
        <f>'Avg Week Kampala-Busunju'!M42+'Avg Week Busunju-Kampala'!M42</f>
        <v>30.714285714285715</v>
      </c>
      <c r="N42" s="49">
        <f>'Avg Week Kampala-Busunju'!N42+'Avg Week Busunju-Kampala'!N42</f>
        <v>0</v>
      </c>
      <c r="O42" s="15">
        <f t="shared" si="0"/>
        <v>8.7142857142857153</v>
      </c>
      <c r="P42" s="15">
        <f t="shared" si="1"/>
        <v>39.428571428571431</v>
      </c>
      <c r="R42" s="5" t="s">
        <v>160</v>
      </c>
      <c r="S42" s="48">
        <f>S41/S40</f>
        <v>1.989247311827957</v>
      </c>
      <c r="T42" s="48">
        <v>0</v>
      </c>
      <c r="U42" s="48">
        <f t="shared" ref="U42:AF42" si="34">U41/U40</f>
        <v>1.7095400340715503</v>
      </c>
      <c r="V42" s="48">
        <f t="shared" si="34"/>
        <v>1.8235294117647058</v>
      </c>
      <c r="W42" s="48">
        <f t="shared" si="34"/>
        <v>2.6470588235294121</v>
      </c>
      <c r="X42" s="48">
        <v>0</v>
      </c>
      <c r="Y42" s="48">
        <f t="shared" si="34"/>
        <v>1.4920127795527158</v>
      </c>
      <c r="Z42" s="48">
        <f t="shared" si="34"/>
        <v>2.4583333333333335</v>
      </c>
      <c r="AA42" s="48">
        <f t="shared" si="34"/>
        <v>8</v>
      </c>
      <c r="AB42" s="48">
        <v>0</v>
      </c>
      <c r="AC42" s="48">
        <f t="shared" si="34"/>
        <v>1.1806713818220205</v>
      </c>
      <c r="AD42" s="48">
        <v>0</v>
      </c>
      <c r="AE42" s="52">
        <f t="shared" si="34"/>
        <v>1.8616628175519629</v>
      </c>
      <c r="AF42" s="52">
        <f t="shared" si="34"/>
        <v>1.3073552156727961</v>
      </c>
    </row>
    <row r="43" spans="2:32" ht="23.1" customHeight="1" x14ac:dyDescent="0.25">
      <c r="B43" s="23" t="s">
        <v>70</v>
      </c>
      <c r="C43" s="49">
        <f>'Avg Week Kampala-Busunju'!C43+'Avg Week Busunju-Kampala'!C43</f>
        <v>1.8571428571428572</v>
      </c>
      <c r="D43" s="49">
        <f>'Avg Week Kampala-Busunju'!D43+'Avg Week Busunju-Kampala'!D43</f>
        <v>0.14285714285714285</v>
      </c>
      <c r="E43" s="49">
        <f>'Avg Week Kampala-Busunju'!E43+'Avg Week Busunju-Kampala'!E43</f>
        <v>2.1428571428571428</v>
      </c>
      <c r="F43" s="49">
        <f>'Avg Week Kampala-Busunju'!F43+'Avg Week Busunju-Kampala'!F43</f>
        <v>0.42857142857142855</v>
      </c>
      <c r="G43" s="49">
        <f>'Avg Week Kampala-Busunju'!G43+'Avg Week Busunju-Kampala'!G43</f>
        <v>0</v>
      </c>
      <c r="H43" s="49">
        <f>'Avg Week Kampala-Busunju'!H43+'Avg Week Busunju-Kampala'!H43</f>
        <v>0</v>
      </c>
      <c r="I43" s="49">
        <f>'Avg Week Kampala-Busunju'!I43+'Avg Week Busunju-Kampala'!I43</f>
        <v>1.5714285714285714</v>
      </c>
      <c r="J43" s="49">
        <f>'Avg Week Kampala-Busunju'!J43+'Avg Week Busunju-Kampala'!J43</f>
        <v>0</v>
      </c>
      <c r="K43" s="49">
        <f>'Avg Week Kampala-Busunju'!K43+'Avg Week Busunju-Kampala'!K43</f>
        <v>0</v>
      </c>
      <c r="L43" s="49">
        <f>'Avg Week Kampala-Busunju'!L43+'Avg Week Busunju-Kampala'!L43</f>
        <v>0</v>
      </c>
      <c r="M43" s="49">
        <f>'Avg Week Kampala-Busunju'!M43+'Avg Week Busunju-Kampala'!M43</f>
        <v>27.571428571428569</v>
      </c>
      <c r="N43" s="49">
        <f>'Avg Week Kampala-Busunju'!N43+'Avg Week Busunju-Kampala'!N43</f>
        <v>0</v>
      </c>
      <c r="O43" s="15">
        <f t="shared" si="0"/>
        <v>6.1428571428571423</v>
      </c>
      <c r="P43" s="15">
        <f t="shared" si="1"/>
        <v>33.714285714285708</v>
      </c>
    </row>
    <row r="44" spans="2:32" ht="23.1" customHeight="1" x14ac:dyDescent="0.25">
      <c r="B44" s="25" t="s">
        <v>71</v>
      </c>
      <c r="C44" s="49">
        <f>'Avg Week Kampala-Busunju'!C44+'Avg Week Busunju-Kampala'!C44</f>
        <v>2.4285714285714288</v>
      </c>
      <c r="D44" s="49">
        <f>'Avg Week Kampala-Busunju'!D44+'Avg Week Busunju-Kampala'!D44</f>
        <v>0</v>
      </c>
      <c r="E44" s="49">
        <f>'Avg Week Kampala-Busunju'!E44+'Avg Week Busunju-Kampala'!E44</f>
        <v>1</v>
      </c>
      <c r="F44" s="49">
        <f>'Avg Week Kampala-Busunju'!F44+'Avg Week Busunju-Kampala'!F44</f>
        <v>0.2857142857142857</v>
      </c>
      <c r="G44" s="49">
        <f>'Avg Week Kampala-Busunju'!G44+'Avg Week Busunju-Kampala'!G44</f>
        <v>0</v>
      </c>
      <c r="H44" s="49">
        <f>'Avg Week Kampala-Busunju'!H44+'Avg Week Busunju-Kampala'!H44</f>
        <v>0</v>
      </c>
      <c r="I44" s="49">
        <f>'Avg Week Kampala-Busunju'!I44+'Avg Week Busunju-Kampala'!I44</f>
        <v>2.4285714285714284</v>
      </c>
      <c r="J44" s="49">
        <f>'Avg Week Kampala-Busunju'!J44+'Avg Week Busunju-Kampala'!J44</f>
        <v>0.14285714285714285</v>
      </c>
      <c r="K44" s="49">
        <f>'Avg Week Kampala-Busunju'!K44+'Avg Week Busunju-Kampala'!K44</f>
        <v>0</v>
      </c>
      <c r="L44" s="49">
        <f>'Avg Week Kampala-Busunju'!L44+'Avg Week Busunju-Kampala'!L44</f>
        <v>0</v>
      </c>
      <c r="M44" s="49">
        <f>'Avg Week Kampala-Busunju'!M44+'Avg Week Busunju-Kampala'!M44</f>
        <v>24.714285714285715</v>
      </c>
      <c r="N44" s="49">
        <f>'Avg Week Kampala-Busunju'!N44+'Avg Week Busunju-Kampala'!N44</f>
        <v>0</v>
      </c>
      <c r="O44" s="15">
        <f t="shared" si="0"/>
        <v>6.2857142857142856</v>
      </c>
      <c r="P44" s="15">
        <f t="shared" si="1"/>
        <v>31</v>
      </c>
    </row>
    <row r="45" spans="2:32" ht="23.1" customHeight="1" x14ac:dyDescent="0.25">
      <c r="B45" s="23" t="s">
        <v>72</v>
      </c>
      <c r="C45" s="49">
        <f>'Avg Week Kampala-Busunju'!C45+'Avg Week Busunju-Kampala'!C45</f>
        <v>2.5714285714285716</v>
      </c>
      <c r="D45" s="49">
        <f>'Avg Week Kampala-Busunju'!D45+'Avg Week Busunju-Kampala'!D45</f>
        <v>0</v>
      </c>
      <c r="E45" s="49">
        <f>'Avg Week Kampala-Busunju'!E45+'Avg Week Busunju-Kampala'!E45</f>
        <v>2.7142857142857144</v>
      </c>
      <c r="F45" s="49">
        <f>'Avg Week Kampala-Busunju'!F45+'Avg Week Busunju-Kampala'!F45</f>
        <v>0.5714285714285714</v>
      </c>
      <c r="G45" s="49">
        <f>'Avg Week Kampala-Busunju'!G45+'Avg Week Busunju-Kampala'!G45</f>
        <v>0</v>
      </c>
      <c r="H45" s="49">
        <f>'Avg Week Kampala-Busunju'!H45+'Avg Week Busunju-Kampala'!H45</f>
        <v>0</v>
      </c>
      <c r="I45" s="49">
        <f>'Avg Week Kampala-Busunju'!I45+'Avg Week Busunju-Kampala'!I45</f>
        <v>2.5714285714285712</v>
      </c>
      <c r="J45" s="49">
        <f>'Avg Week Kampala-Busunju'!J45+'Avg Week Busunju-Kampala'!J45</f>
        <v>0</v>
      </c>
      <c r="K45" s="49">
        <f>'Avg Week Kampala-Busunju'!K45+'Avg Week Busunju-Kampala'!K45</f>
        <v>0</v>
      </c>
      <c r="L45" s="49">
        <f>'Avg Week Kampala-Busunju'!L45+'Avg Week Busunju-Kampala'!L45</f>
        <v>0</v>
      </c>
      <c r="M45" s="49">
        <f>'Avg Week Kampala-Busunju'!M45+'Avg Week Busunju-Kampala'!M45</f>
        <v>27</v>
      </c>
      <c r="N45" s="49">
        <f>'Avg Week Kampala-Busunju'!N45+'Avg Week Busunju-Kampala'!N45</f>
        <v>0</v>
      </c>
      <c r="O45" s="15">
        <f t="shared" si="0"/>
        <v>8.4285714285714288</v>
      </c>
      <c r="P45" s="15">
        <f t="shared" si="1"/>
        <v>35.428571428571431</v>
      </c>
    </row>
    <row r="46" spans="2:32" ht="23.1" customHeight="1" x14ac:dyDescent="0.25">
      <c r="B46" s="24" t="s">
        <v>73</v>
      </c>
      <c r="C46" s="49">
        <f>'Avg Week Kampala-Busunju'!C46+'Avg Week Busunju-Kampala'!C46</f>
        <v>2.8571428571428572</v>
      </c>
      <c r="D46" s="49">
        <f>'Avg Week Kampala-Busunju'!D46+'Avg Week Busunju-Kampala'!D46</f>
        <v>0</v>
      </c>
      <c r="E46" s="49">
        <f>'Avg Week Kampala-Busunju'!E46+'Avg Week Busunju-Kampala'!E46</f>
        <v>2.4285714285714288</v>
      </c>
      <c r="F46" s="49">
        <f>'Avg Week Kampala-Busunju'!F46+'Avg Week Busunju-Kampala'!F46</f>
        <v>0.2857142857142857</v>
      </c>
      <c r="G46" s="49">
        <f>'Avg Week Kampala-Busunju'!G46+'Avg Week Busunju-Kampala'!G46</f>
        <v>0</v>
      </c>
      <c r="H46" s="49">
        <f>'Avg Week Kampala-Busunju'!H46+'Avg Week Busunju-Kampala'!H46</f>
        <v>0</v>
      </c>
      <c r="I46" s="49">
        <f>'Avg Week Kampala-Busunju'!I46+'Avg Week Busunju-Kampala'!I46</f>
        <v>1.4285714285714286</v>
      </c>
      <c r="J46" s="49">
        <f>'Avg Week Kampala-Busunju'!J46+'Avg Week Busunju-Kampala'!J46</f>
        <v>0</v>
      </c>
      <c r="K46" s="49">
        <f>'Avg Week Kampala-Busunju'!K46+'Avg Week Busunju-Kampala'!K46</f>
        <v>0</v>
      </c>
      <c r="L46" s="49">
        <f>'Avg Week Kampala-Busunju'!L46+'Avg Week Busunju-Kampala'!L46</f>
        <v>0</v>
      </c>
      <c r="M46" s="49">
        <f>'Avg Week Kampala-Busunju'!M46+'Avg Week Busunju-Kampala'!M46</f>
        <v>25.142857142857142</v>
      </c>
      <c r="N46" s="49">
        <f>'Avg Week Kampala-Busunju'!N46+'Avg Week Busunju-Kampala'!N46</f>
        <v>0</v>
      </c>
      <c r="O46" s="15">
        <f t="shared" si="0"/>
        <v>7.0000000000000009</v>
      </c>
      <c r="P46" s="15">
        <f t="shared" si="1"/>
        <v>32.142857142857146</v>
      </c>
      <c r="R46" s="8"/>
      <c r="T46"/>
    </row>
    <row r="47" spans="2:32" ht="23.1" customHeight="1" x14ac:dyDescent="0.25">
      <c r="B47" s="24" t="s">
        <v>74</v>
      </c>
      <c r="C47" s="49">
        <f>'Avg Week Kampala-Busunju'!C47+'Avg Week Busunju-Kampala'!C47</f>
        <v>2.2857142857142856</v>
      </c>
      <c r="D47" s="49">
        <f>'Avg Week Kampala-Busunju'!D47+'Avg Week Busunju-Kampala'!D47</f>
        <v>0</v>
      </c>
      <c r="E47" s="49">
        <f>'Avg Week Kampala-Busunju'!E47+'Avg Week Busunju-Kampala'!E47</f>
        <v>3</v>
      </c>
      <c r="F47" s="49">
        <f>'Avg Week Kampala-Busunju'!F47+'Avg Week Busunju-Kampala'!F47</f>
        <v>0.42857142857142855</v>
      </c>
      <c r="G47" s="49">
        <f>'Avg Week Kampala-Busunju'!G47+'Avg Week Busunju-Kampala'!G47</f>
        <v>0</v>
      </c>
      <c r="H47" s="49">
        <f>'Avg Week Kampala-Busunju'!H47+'Avg Week Busunju-Kampala'!H47</f>
        <v>0</v>
      </c>
      <c r="I47" s="49">
        <f>'Avg Week Kampala-Busunju'!I47+'Avg Week Busunju-Kampala'!I47</f>
        <v>1.7142857142857144</v>
      </c>
      <c r="J47" s="49">
        <f>'Avg Week Kampala-Busunju'!J47+'Avg Week Busunju-Kampala'!J47</f>
        <v>0.14285714285714285</v>
      </c>
      <c r="K47" s="49">
        <f>'Avg Week Kampala-Busunju'!K47+'Avg Week Busunju-Kampala'!K47</f>
        <v>0</v>
      </c>
      <c r="L47" s="49">
        <f>'Avg Week Kampala-Busunju'!L47+'Avg Week Busunju-Kampala'!L47</f>
        <v>0</v>
      </c>
      <c r="M47" s="49">
        <f>'Avg Week Kampala-Busunju'!M47+'Avg Week Busunju-Kampala'!M47</f>
        <v>27.285714285714285</v>
      </c>
      <c r="N47" s="49">
        <f>'Avg Week Kampala-Busunju'!N47+'Avg Week Busunju-Kampala'!N47</f>
        <v>0</v>
      </c>
      <c r="O47" s="15">
        <f t="shared" si="0"/>
        <v>7.5714285714285721</v>
      </c>
      <c r="P47" s="15">
        <f t="shared" si="1"/>
        <v>34.857142857142854</v>
      </c>
      <c r="R47" s="8"/>
      <c r="T47"/>
    </row>
    <row r="48" spans="2:32" ht="23.1" customHeight="1" x14ac:dyDescent="0.25">
      <c r="B48" s="24" t="s">
        <v>75</v>
      </c>
      <c r="C48" s="49">
        <f>'Avg Week Kampala-Busunju'!C48+'Avg Week Busunju-Kampala'!C48</f>
        <v>2.4285714285714288</v>
      </c>
      <c r="D48" s="49">
        <f>'Avg Week Kampala-Busunju'!D48+'Avg Week Busunju-Kampala'!D48</f>
        <v>0</v>
      </c>
      <c r="E48" s="49">
        <f>'Avg Week Kampala-Busunju'!E48+'Avg Week Busunju-Kampala'!E48</f>
        <v>2.4285714285714288</v>
      </c>
      <c r="F48" s="49">
        <f>'Avg Week Kampala-Busunju'!F48+'Avg Week Busunju-Kampala'!F48</f>
        <v>1.4285714285714284</v>
      </c>
      <c r="G48" s="49">
        <f>'Avg Week Kampala-Busunju'!G48+'Avg Week Busunju-Kampala'!G48</f>
        <v>0.14285714285714285</v>
      </c>
      <c r="H48" s="49">
        <f>'Avg Week Kampala-Busunju'!H48+'Avg Week Busunju-Kampala'!H48</f>
        <v>0</v>
      </c>
      <c r="I48" s="49">
        <f>'Avg Week Kampala-Busunju'!I48+'Avg Week Busunju-Kampala'!I48</f>
        <v>2.1428571428571428</v>
      </c>
      <c r="J48" s="49">
        <f>'Avg Week Kampala-Busunju'!J48+'Avg Week Busunju-Kampala'!J48</f>
        <v>0.14285714285714285</v>
      </c>
      <c r="K48" s="49">
        <f>'Avg Week Kampala-Busunju'!K48+'Avg Week Busunju-Kampala'!K48</f>
        <v>0</v>
      </c>
      <c r="L48" s="49">
        <f>'Avg Week Kampala-Busunju'!L48+'Avg Week Busunju-Kampala'!L48</f>
        <v>0</v>
      </c>
      <c r="M48" s="49">
        <f>'Avg Week Kampala-Busunju'!M48+'Avg Week Busunju-Kampala'!M48</f>
        <v>34.285714285714285</v>
      </c>
      <c r="N48" s="49">
        <f>'Avg Week Kampala-Busunju'!N48+'Avg Week Busunju-Kampala'!N48</f>
        <v>0</v>
      </c>
      <c r="O48" s="15">
        <f t="shared" si="0"/>
        <v>8.7142857142857153</v>
      </c>
      <c r="P48" s="15">
        <f t="shared" si="1"/>
        <v>43</v>
      </c>
      <c r="R48" s="8"/>
      <c r="T48"/>
    </row>
    <row r="49" spans="2:20" ht="23.1" customHeight="1" x14ac:dyDescent="0.25">
      <c r="B49" s="23" t="s">
        <v>76</v>
      </c>
      <c r="C49" s="49">
        <f>'Avg Week Kampala-Busunju'!C49+'Avg Week Busunju-Kampala'!C49</f>
        <v>3.1428571428571428</v>
      </c>
      <c r="D49" s="49">
        <f>'Avg Week Kampala-Busunju'!D49+'Avg Week Busunju-Kampala'!D49</f>
        <v>0.2857142857142857</v>
      </c>
      <c r="E49" s="49">
        <f>'Avg Week Kampala-Busunju'!E49+'Avg Week Busunju-Kampala'!E49</f>
        <v>2.4285714285714284</v>
      </c>
      <c r="F49" s="49">
        <f>'Avg Week Kampala-Busunju'!F49+'Avg Week Busunju-Kampala'!F49</f>
        <v>0.71428571428571419</v>
      </c>
      <c r="G49" s="49">
        <f>'Avg Week Kampala-Busunju'!G49+'Avg Week Busunju-Kampala'!G49</f>
        <v>0</v>
      </c>
      <c r="H49" s="49">
        <f>'Avg Week Kampala-Busunju'!H49+'Avg Week Busunju-Kampala'!H49</f>
        <v>0</v>
      </c>
      <c r="I49" s="49">
        <f>'Avg Week Kampala-Busunju'!I49+'Avg Week Busunju-Kampala'!I49</f>
        <v>1.8571428571428572</v>
      </c>
      <c r="J49" s="49">
        <f>'Avg Week Kampala-Busunju'!J49+'Avg Week Busunju-Kampala'!J49</f>
        <v>0</v>
      </c>
      <c r="K49" s="49">
        <f>'Avg Week Kampala-Busunju'!K49+'Avg Week Busunju-Kampala'!K49</f>
        <v>0</v>
      </c>
      <c r="L49" s="49">
        <f>'Avg Week Kampala-Busunju'!L49+'Avg Week Busunju-Kampala'!L49</f>
        <v>0</v>
      </c>
      <c r="M49" s="49">
        <f>'Avg Week Kampala-Busunju'!M49+'Avg Week Busunju-Kampala'!M49</f>
        <v>26.714285714285715</v>
      </c>
      <c r="N49" s="49">
        <f>'Avg Week Kampala-Busunju'!N49+'Avg Week Busunju-Kampala'!N49</f>
        <v>0</v>
      </c>
      <c r="O49" s="15">
        <f t="shared" si="0"/>
        <v>8.4285714285714288</v>
      </c>
      <c r="P49" s="15">
        <f t="shared" si="1"/>
        <v>35.142857142857146</v>
      </c>
      <c r="R49" s="8"/>
      <c r="T49"/>
    </row>
    <row r="50" spans="2:20" ht="23.1" customHeight="1" x14ac:dyDescent="0.25">
      <c r="B50" s="24" t="s">
        <v>77</v>
      </c>
      <c r="C50" s="49">
        <f>'Avg Week Kampala-Busunju'!C50+'Avg Week Busunju-Kampala'!C50</f>
        <v>2.1428571428571428</v>
      </c>
      <c r="D50" s="49">
        <f>'Avg Week Kampala-Busunju'!D50+'Avg Week Busunju-Kampala'!D50</f>
        <v>0</v>
      </c>
      <c r="E50" s="49">
        <f>'Avg Week Kampala-Busunju'!E50+'Avg Week Busunju-Kampala'!E50</f>
        <v>2.2857142857142856</v>
      </c>
      <c r="F50" s="49">
        <f>'Avg Week Kampala-Busunju'!F50+'Avg Week Busunju-Kampala'!F50</f>
        <v>0.5714285714285714</v>
      </c>
      <c r="G50" s="49">
        <f>'Avg Week Kampala-Busunju'!G50+'Avg Week Busunju-Kampala'!G50</f>
        <v>0</v>
      </c>
      <c r="H50" s="49">
        <f>'Avg Week Kampala-Busunju'!H50+'Avg Week Busunju-Kampala'!H50</f>
        <v>0</v>
      </c>
      <c r="I50" s="49">
        <f>'Avg Week Kampala-Busunju'!I50+'Avg Week Busunju-Kampala'!I50</f>
        <v>2.2857142857142856</v>
      </c>
      <c r="J50" s="49">
        <f>'Avg Week Kampala-Busunju'!J50+'Avg Week Busunju-Kampala'!J50</f>
        <v>0.2857142857142857</v>
      </c>
      <c r="K50" s="49">
        <f>'Avg Week Kampala-Busunju'!K50+'Avg Week Busunju-Kampala'!K50</f>
        <v>0</v>
      </c>
      <c r="L50" s="49">
        <f>'Avg Week Kampala-Busunju'!L50+'Avg Week Busunju-Kampala'!L50</f>
        <v>0</v>
      </c>
      <c r="M50" s="49">
        <f>'Avg Week Kampala-Busunju'!M50+'Avg Week Busunju-Kampala'!M50</f>
        <v>32.285714285714285</v>
      </c>
      <c r="N50" s="49">
        <f>'Avg Week Kampala-Busunju'!N50+'Avg Week Busunju-Kampala'!N50</f>
        <v>0</v>
      </c>
      <c r="O50" s="15">
        <f t="shared" si="0"/>
        <v>7.5714285714285712</v>
      </c>
      <c r="P50" s="15">
        <f t="shared" si="1"/>
        <v>39.857142857142854</v>
      </c>
      <c r="R50" s="8"/>
      <c r="T50"/>
    </row>
    <row r="51" spans="2:20" ht="23.1" customHeight="1" x14ac:dyDescent="0.25">
      <c r="B51" s="24" t="s">
        <v>78</v>
      </c>
      <c r="C51" s="49">
        <f>'Avg Week Kampala-Busunju'!C51+'Avg Week Busunju-Kampala'!C51</f>
        <v>1.4285714285714284</v>
      </c>
      <c r="D51" s="49">
        <f>'Avg Week Kampala-Busunju'!D51+'Avg Week Busunju-Kampala'!D51</f>
        <v>0</v>
      </c>
      <c r="E51" s="49">
        <f>'Avg Week Kampala-Busunju'!E51+'Avg Week Busunju-Kampala'!E51</f>
        <v>2.4285714285714284</v>
      </c>
      <c r="F51" s="49">
        <f>'Avg Week Kampala-Busunju'!F51+'Avg Week Busunju-Kampala'!F51</f>
        <v>0.71428571428571419</v>
      </c>
      <c r="G51" s="49">
        <f>'Avg Week Kampala-Busunju'!G51+'Avg Week Busunju-Kampala'!G51</f>
        <v>0</v>
      </c>
      <c r="H51" s="49">
        <f>'Avg Week Kampala-Busunju'!H51+'Avg Week Busunju-Kampala'!H51</f>
        <v>0</v>
      </c>
      <c r="I51" s="49">
        <f>'Avg Week Kampala-Busunju'!I51+'Avg Week Busunju-Kampala'!I51</f>
        <v>1.8571428571428572</v>
      </c>
      <c r="J51" s="49">
        <f>'Avg Week Kampala-Busunju'!J51+'Avg Week Busunju-Kampala'!J51</f>
        <v>0.14285714285714285</v>
      </c>
      <c r="K51" s="49">
        <f>'Avg Week Kampala-Busunju'!K51+'Avg Week Busunju-Kampala'!K51</f>
        <v>0</v>
      </c>
      <c r="L51" s="49">
        <f>'Avg Week Kampala-Busunju'!L51+'Avg Week Busunju-Kampala'!L51</f>
        <v>0</v>
      </c>
      <c r="M51" s="49">
        <f>'Avg Week Kampala-Busunju'!M51+'Avg Week Busunju-Kampala'!M51</f>
        <v>32.428571428571431</v>
      </c>
      <c r="N51" s="49">
        <f>'Avg Week Kampala-Busunju'!N51+'Avg Week Busunju-Kampala'!N51</f>
        <v>0</v>
      </c>
      <c r="O51" s="15">
        <f t="shared" si="0"/>
        <v>6.5714285714285721</v>
      </c>
      <c r="P51" s="15">
        <f t="shared" si="1"/>
        <v>39</v>
      </c>
      <c r="R51" s="8"/>
      <c r="T51"/>
    </row>
    <row r="52" spans="2:20" ht="23.1" customHeight="1" x14ac:dyDescent="0.25">
      <c r="B52" s="24" t="s">
        <v>79</v>
      </c>
      <c r="C52" s="49">
        <f>'Avg Week Kampala-Busunju'!C52+'Avg Week Busunju-Kampala'!C52</f>
        <v>2.7142857142857144</v>
      </c>
      <c r="D52" s="49">
        <f>'Avg Week Kampala-Busunju'!D52+'Avg Week Busunju-Kampala'!D52</f>
        <v>0</v>
      </c>
      <c r="E52" s="49">
        <f>'Avg Week Kampala-Busunju'!E52+'Avg Week Busunju-Kampala'!E52</f>
        <v>1.7142857142857142</v>
      </c>
      <c r="F52" s="49">
        <f>'Avg Week Kampala-Busunju'!F52+'Avg Week Busunju-Kampala'!F52</f>
        <v>1</v>
      </c>
      <c r="G52" s="49">
        <f>'Avg Week Kampala-Busunju'!G52+'Avg Week Busunju-Kampala'!G52</f>
        <v>0</v>
      </c>
      <c r="H52" s="49">
        <f>'Avg Week Kampala-Busunju'!H52+'Avg Week Busunju-Kampala'!H52</f>
        <v>0</v>
      </c>
      <c r="I52" s="49">
        <f>'Avg Week Kampala-Busunju'!I52+'Avg Week Busunju-Kampala'!I52</f>
        <v>1.2857142857142856</v>
      </c>
      <c r="J52" s="49">
        <f>'Avg Week Kampala-Busunju'!J52+'Avg Week Busunju-Kampala'!J52</f>
        <v>0</v>
      </c>
      <c r="K52" s="49">
        <f>'Avg Week Kampala-Busunju'!K52+'Avg Week Busunju-Kampala'!K52</f>
        <v>0</v>
      </c>
      <c r="L52" s="49">
        <f>'Avg Week Kampala-Busunju'!L52+'Avg Week Busunju-Kampala'!L52</f>
        <v>0</v>
      </c>
      <c r="M52" s="49">
        <f>'Avg Week Kampala-Busunju'!M52+'Avg Week Busunju-Kampala'!M52</f>
        <v>35.428571428571431</v>
      </c>
      <c r="N52" s="49">
        <f>'Avg Week Kampala-Busunju'!N52+'Avg Week Busunju-Kampala'!N52</f>
        <v>0</v>
      </c>
      <c r="O52" s="15">
        <f t="shared" si="0"/>
        <v>6.7142857142857144</v>
      </c>
      <c r="P52" s="15">
        <f t="shared" si="1"/>
        <v>42.142857142857146</v>
      </c>
      <c r="R52" s="8"/>
      <c r="T52"/>
    </row>
    <row r="53" spans="2:20" ht="23.1" customHeight="1" x14ac:dyDescent="0.25">
      <c r="B53" s="23" t="s">
        <v>80</v>
      </c>
      <c r="C53" s="49">
        <f>'Avg Week Kampala-Busunju'!C53+'Avg Week Busunju-Kampala'!C53</f>
        <v>2.5714285714285712</v>
      </c>
      <c r="D53" s="49">
        <f>'Avg Week Kampala-Busunju'!D53+'Avg Week Busunju-Kampala'!D53</f>
        <v>0</v>
      </c>
      <c r="E53" s="49">
        <f>'Avg Week Kampala-Busunju'!E53+'Avg Week Busunju-Kampala'!E53</f>
        <v>2</v>
      </c>
      <c r="F53" s="49">
        <f>'Avg Week Kampala-Busunju'!F53+'Avg Week Busunju-Kampala'!F53</f>
        <v>2</v>
      </c>
      <c r="G53" s="49">
        <f>'Avg Week Kampala-Busunju'!G53+'Avg Week Busunju-Kampala'!G53</f>
        <v>0.14285714285714285</v>
      </c>
      <c r="H53" s="49">
        <f>'Avg Week Kampala-Busunju'!H53+'Avg Week Busunju-Kampala'!H53</f>
        <v>0</v>
      </c>
      <c r="I53" s="49">
        <f>'Avg Week Kampala-Busunju'!I53+'Avg Week Busunju-Kampala'!I53</f>
        <v>2</v>
      </c>
      <c r="J53" s="49">
        <f>'Avg Week Kampala-Busunju'!J53+'Avg Week Busunju-Kampala'!J53</f>
        <v>0</v>
      </c>
      <c r="K53" s="49">
        <f>'Avg Week Kampala-Busunju'!K53+'Avg Week Busunju-Kampala'!K53</f>
        <v>0</v>
      </c>
      <c r="L53" s="49">
        <f>'Avg Week Kampala-Busunju'!L53+'Avg Week Busunju-Kampala'!L53</f>
        <v>0</v>
      </c>
      <c r="M53" s="49">
        <f>'Avg Week Kampala-Busunju'!M53+'Avg Week Busunju-Kampala'!M53</f>
        <v>25.285714285714285</v>
      </c>
      <c r="N53" s="49">
        <f>'Avg Week Kampala-Busunju'!N53+'Avg Week Busunju-Kampala'!N53</f>
        <v>0</v>
      </c>
      <c r="O53" s="15">
        <f t="shared" si="0"/>
        <v>8.7142857142857153</v>
      </c>
      <c r="P53" s="15">
        <f t="shared" si="1"/>
        <v>34</v>
      </c>
      <c r="R53" s="8"/>
      <c r="T53"/>
    </row>
    <row r="54" spans="2:20" ht="23.1" customHeight="1" x14ac:dyDescent="0.25">
      <c r="B54" s="23" t="s">
        <v>81</v>
      </c>
      <c r="C54" s="49">
        <f>'Avg Week Kampala-Busunju'!C54+'Avg Week Busunju-Kampala'!C54</f>
        <v>1.8571428571428572</v>
      </c>
      <c r="D54" s="49">
        <f>'Avg Week Kampala-Busunju'!D54+'Avg Week Busunju-Kampala'!D54</f>
        <v>0.14285714285714285</v>
      </c>
      <c r="E54" s="49">
        <f>'Avg Week Kampala-Busunju'!E54+'Avg Week Busunju-Kampala'!E54</f>
        <v>2.1428571428571428</v>
      </c>
      <c r="F54" s="49">
        <f>'Avg Week Kampala-Busunju'!F54+'Avg Week Busunju-Kampala'!F54</f>
        <v>1.1428571428571428</v>
      </c>
      <c r="G54" s="49">
        <f>'Avg Week Kampala-Busunju'!G54+'Avg Week Busunju-Kampala'!G54</f>
        <v>0.2857142857142857</v>
      </c>
      <c r="H54" s="49">
        <f>'Avg Week Kampala-Busunju'!H54+'Avg Week Busunju-Kampala'!H54</f>
        <v>0</v>
      </c>
      <c r="I54" s="49">
        <f>'Avg Week Kampala-Busunju'!I54+'Avg Week Busunju-Kampala'!I54</f>
        <v>1.5714285714285714</v>
      </c>
      <c r="J54" s="49">
        <f>'Avg Week Kampala-Busunju'!J54+'Avg Week Busunju-Kampala'!J54</f>
        <v>0.2857142857142857</v>
      </c>
      <c r="K54" s="49">
        <f>'Avg Week Kampala-Busunju'!K54+'Avg Week Busunju-Kampala'!K54</f>
        <v>0</v>
      </c>
      <c r="L54" s="49">
        <f>'Avg Week Kampala-Busunju'!L54+'Avg Week Busunju-Kampala'!L54</f>
        <v>0</v>
      </c>
      <c r="M54" s="49">
        <f>'Avg Week Kampala-Busunju'!M54+'Avg Week Busunju-Kampala'!M54</f>
        <v>33.428571428571431</v>
      </c>
      <c r="N54" s="49">
        <f>'Avg Week Kampala-Busunju'!N54+'Avg Week Busunju-Kampala'!N54</f>
        <v>0</v>
      </c>
      <c r="O54" s="15">
        <f t="shared" si="0"/>
        <v>7.428571428571427</v>
      </c>
      <c r="P54" s="15">
        <f t="shared" si="1"/>
        <v>40.857142857142861</v>
      </c>
      <c r="R54" s="8"/>
      <c r="T54"/>
    </row>
    <row r="55" spans="2:20" ht="23.1" customHeight="1" x14ac:dyDescent="0.25">
      <c r="B55" s="23" t="s">
        <v>82</v>
      </c>
      <c r="C55" s="49">
        <f>'Avg Week Kampala-Busunju'!C55+'Avg Week Busunju-Kampala'!C55</f>
        <v>2.4285714285714288</v>
      </c>
      <c r="D55" s="49">
        <f>'Avg Week Kampala-Busunju'!D55+'Avg Week Busunju-Kampala'!D55</f>
        <v>0</v>
      </c>
      <c r="E55" s="49">
        <f>'Avg Week Kampala-Busunju'!E55+'Avg Week Busunju-Kampala'!E55</f>
        <v>2.5714285714285712</v>
      </c>
      <c r="F55" s="49">
        <f>'Avg Week Kampala-Busunju'!F55+'Avg Week Busunju-Kampala'!F55</f>
        <v>1.1428571428571428</v>
      </c>
      <c r="G55" s="49">
        <f>'Avg Week Kampala-Busunju'!G55+'Avg Week Busunju-Kampala'!G55</f>
        <v>0.42857142857142855</v>
      </c>
      <c r="H55" s="49">
        <f>'Avg Week Kampala-Busunju'!H55+'Avg Week Busunju-Kampala'!H55</f>
        <v>0</v>
      </c>
      <c r="I55" s="49">
        <f>'Avg Week Kampala-Busunju'!I55+'Avg Week Busunju-Kampala'!I55</f>
        <v>1.4285714285714286</v>
      </c>
      <c r="J55" s="49">
        <f>'Avg Week Kampala-Busunju'!J55+'Avg Week Busunju-Kampala'!J55</f>
        <v>0</v>
      </c>
      <c r="K55" s="49">
        <f>'Avg Week Kampala-Busunju'!K55+'Avg Week Busunju-Kampala'!K55</f>
        <v>0.14285714285714285</v>
      </c>
      <c r="L55" s="49">
        <f>'Avg Week Kampala-Busunju'!L55+'Avg Week Busunju-Kampala'!L55</f>
        <v>0</v>
      </c>
      <c r="M55" s="49">
        <f>'Avg Week Kampala-Busunju'!M55+'Avg Week Busunju-Kampala'!M55</f>
        <v>32.571428571428569</v>
      </c>
      <c r="N55" s="49">
        <f>'Avg Week Kampala-Busunju'!N55+'Avg Week Busunju-Kampala'!N55</f>
        <v>0</v>
      </c>
      <c r="O55" s="15">
        <f t="shared" si="0"/>
        <v>8.1428571428571423</v>
      </c>
      <c r="P55" s="15">
        <f t="shared" si="1"/>
        <v>40.714285714285708</v>
      </c>
      <c r="R55" s="8"/>
      <c r="T55"/>
    </row>
    <row r="56" spans="2:20" ht="23.1" customHeight="1" x14ac:dyDescent="0.25">
      <c r="B56" s="23" t="s">
        <v>83</v>
      </c>
      <c r="C56" s="49">
        <f>'Avg Week Kampala-Busunju'!C56+'Avg Week Busunju-Kampala'!C56</f>
        <v>3.1428571428571428</v>
      </c>
      <c r="D56" s="49">
        <f>'Avg Week Kampala-Busunju'!D56+'Avg Week Busunju-Kampala'!D56</f>
        <v>0</v>
      </c>
      <c r="E56" s="49">
        <f>'Avg Week Kampala-Busunju'!E56+'Avg Week Busunju-Kampala'!E56</f>
        <v>1.5714285714285714</v>
      </c>
      <c r="F56" s="49">
        <f>'Avg Week Kampala-Busunju'!F56+'Avg Week Busunju-Kampala'!F56</f>
        <v>0.71428571428571419</v>
      </c>
      <c r="G56" s="49">
        <f>'Avg Week Kampala-Busunju'!G56+'Avg Week Busunju-Kampala'!G56</f>
        <v>0.42857142857142855</v>
      </c>
      <c r="H56" s="49">
        <f>'Avg Week Kampala-Busunju'!H56+'Avg Week Busunju-Kampala'!H56</f>
        <v>0</v>
      </c>
      <c r="I56" s="49">
        <f>'Avg Week Kampala-Busunju'!I56+'Avg Week Busunju-Kampala'!I56</f>
        <v>1.8571428571428572</v>
      </c>
      <c r="J56" s="49">
        <f>'Avg Week Kampala-Busunju'!J56+'Avg Week Busunju-Kampala'!J56</f>
        <v>0</v>
      </c>
      <c r="K56" s="49">
        <f>'Avg Week Kampala-Busunju'!K56+'Avg Week Busunju-Kampala'!K56</f>
        <v>0</v>
      </c>
      <c r="L56" s="49">
        <f>'Avg Week Kampala-Busunju'!L56+'Avg Week Busunju-Kampala'!L56</f>
        <v>0</v>
      </c>
      <c r="M56" s="49">
        <f>'Avg Week Kampala-Busunju'!M56+'Avg Week Busunju-Kampala'!M56</f>
        <v>27.142857142857146</v>
      </c>
      <c r="N56" s="49">
        <f>'Avg Week Kampala-Busunju'!N56+'Avg Week Busunju-Kampala'!N56</f>
        <v>0</v>
      </c>
      <c r="O56" s="15">
        <f t="shared" si="0"/>
        <v>7.7142857142857153</v>
      </c>
      <c r="P56" s="15">
        <f t="shared" si="1"/>
        <v>34.857142857142861</v>
      </c>
      <c r="R56" s="8"/>
      <c r="T56"/>
    </row>
    <row r="57" spans="2:20" ht="23.1" customHeight="1" x14ac:dyDescent="0.25">
      <c r="B57" s="23" t="s">
        <v>84</v>
      </c>
      <c r="C57" s="49">
        <f>'Avg Week Kampala-Busunju'!C57+'Avg Week Busunju-Kampala'!C57</f>
        <v>3</v>
      </c>
      <c r="D57" s="49">
        <f>'Avg Week Kampala-Busunju'!D57+'Avg Week Busunju-Kampala'!D57</f>
        <v>0</v>
      </c>
      <c r="E57" s="49">
        <f>'Avg Week Kampala-Busunju'!E57+'Avg Week Busunju-Kampala'!E57</f>
        <v>0.71428571428571419</v>
      </c>
      <c r="F57" s="49">
        <f>'Avg Week Kampala-Busunju'!F57+'Avg Week Busunju-Kampala'!F57</f>
        <v>0.85714285714285721</v>
      </c>
      <c r="G57" s="49">
        <f>'Avg Week Kampala-Busunju'!G57+'Avg Week Busunju-Kampala'!G57</f>
        <v>0</v>
      </c>
      <c r="H57" s="49">
        <f>'Avg Week Kampala-Busunju'!H57+'Avg Week Busunju-Kampala'!H57</f>
        <v>0</v>
      </c>
      <c r="I57" s="49">
        <f>'Avg Week Kampala-Busunju'!I57+'Avg Week Busunju-Kampala'!I57</f>
        <v>1.5714285714285714</v>
      </c>
      <c r="J57" s="49">
        <f>'Avg Week Kampala-Busunju'!J57+'Avg Week Busunju-Kampala'!J57</f>
        <v>0</v>
      </c>
      <c r="K57" s="49">
        <f>'Avg Week Kampala-Busunju'!K57+'Avg Week Busunju-Kampala'!K57</f>
        <v>0</v>
      </c>
      <c r="L57" s="49">
        <f>'Avg Week Kampala-Busunju'!L57+'Avg Week Busunju-Kampala'!L57</f>
        <v>0</v>
      </c>
      <c r="M57" s="49">
        <f>'Avg Week Kampala-Busunju'!M57+'Avg Week Busunju-Kampala'!M57</f>
        <v>27.428571428571431</v>
      </c>
      <c r="N57" s="49">
        <f>'Avg Week Kampala-Busunju'!N57+'Avg Week Busunju-Kampala'!N57</f>
        <v>0</v>
      </c>
      <c r="O57" s="15">
        <f t="shared" si="0"/>
        <v>6.1428571428571423</v>
      </c>
      <c r="P57" s="15">
        <f t="shared" si="1"/>
        <v>33.571428571428569</v>
      </c>
      <c r="R57" s="8"/>
      <c r="T57"/>
    </row>
    <row r="58" spans="2:20" ht="23.1" customHeight="1" x14ac:dyDescent="0.25">
      <c r="B58" s="23" t="s">
        <v>99</v>
      </c>
      <c r="C58" s="49">
        <f>'Avg Week Kampala-Busunju'!C58+'Avg Week Busunju-Kampala'!C58</f>
        <v>2</v>
      </c>
      <c r="D58" s="49">
        <f>'Avg Week Kampala-Busunju'!D58+'Avg Week Busunju-Kampala'!D58</f>
        <v>0</v>
      </c>
      <c r="E58" s="49">
        <f>'Avg Week Kampala-Busunju'!E58+'Avg Week Busunju-Kampala'!E58</f>
        <v>4</v>
      </c>
      <c r="F58" s="49">
        <f>'Avg Week Kampala-Busunju'!F58+'Avg Week Busunju-Kampala'!F58</f>
        <v>2</v>
      </c>
      <c r="G58" s="49">
        <f>'Avg Week Kampala-Busunju'!G58+'Avg Week Busunju-Kampala'!G58</f>
        <v>0</v>
      </c>
      <c r="H58" s="49">
        <f>'Avg Week Kampala-Busunju'!H58+'Avg Week Busunju-Kampala'!H58</f>
        <v>0</v>
      </c>
      <c r="I58" s="49">
        <f>'Avg Week Kampala-Busunju'!I58+'Avg Week Busunju-Kampala'!I58</f>
        <v>0</v>
      </c>
      <c r="J58" s="49">
        <f>'Avg Week Kampala-Busunju'!J58+'Avg Week Busunju-Kampala'!J58</f>
        <v>0</v>
      </c>
      <c r="K58" s="49">
        <f>'Avg Week Kampala-Busunju'!K58+'Avg Week Busunju-Kampala'!K58</f>
        <v>0</v>
      </c>
      <c r="L58" s="49">
        <f>'Avg Week Kampala-Busunju'!L58+'Avg Week Busunju-Kampala'!L58</f>
        <v>0</v>
      </c>
      <c r="M58" s="49">
        <f>'Avg Week Kampala-Busunju'!M58+'Avg Week Busunju-Kampala'!M58</f>
        <v>27</v>
      </c>
      <c r="N58" s="49">
        <f>'Avg Week Kampala-Busunju'!N58+'Avg Week Busunju-Kampala'!N58</f>
        <v>0</v>
      </c>
      <c r="O58" s="15">
        <f t="shared" si="0"/>
        <v>8</v>
      </c>
      <c r="P58" s="15">
        <f t="shared" ref="P58" si="35">SUM(C58:N58)</f>
        <v>35</v>
      </c>
      <c r="R58" s="8"/>
      <c r="T58"/>
    </row>
    <row r="59" spans="2:20" ht="23.1" customHeight="1" x14ac:dyDescent="0.25">
      <c r="B59" s="23" t="s">
        <v>100</v>
      </c>
      <c r="C59" s="49">
        <f>'Avg Week Kampala-Busunju'!C59+'Avg Week Busunju-Kampala'!C59</f>
        <v>4</v>
      </c>
      <c r="D59" s="49">
        <f>'Avg Week Kampala-Busunju'!D59+'Avg Week Busunju-Kampala'!D59</f>
        <v>0</v>
      </c>
      <c r="E59" s="49">
        <f>'Avg Week Kampala-Busunju'!E59+'Avg Week Busunju-Kampala'!E59</f>
        <v>2</v>
      </c>
      <c r="F59" s="49">
        <f>'Avg Week Kampala-Busunju'!F59+'Avg Week Busunju-Kampala'!F59</f>
        <v>0</v>
      </c>
      <c r="G59" s="49">
        <f>'Avg Week Kampala-Busunju'!G59+'Avg Week Busunju-Kampala'!G59</f>
        <v>0</v>
      </c>
      <c r="H59" s="49">
        <f>'Avg Week Kampala-Busunju'!H59+'Avg Week Busunju-Kampala'!H59</f>
        <v>0</v>
      </c>
      <c r="I59" s="49">
        <f>'Avg Week Kampala-Busunju'!I59+'Avg Week Busunju-Kampala'!I59</f>
        <v>0</v>
      </c>
      <c r="J59" s="49">
        <f>'Avg Week Kampala-Busunju'!J59+'Avg Week Busunju-Kampala'!J59</f>
        <v>0</v>
      </c>
      <c r="K59" s="49">
        <f>'Avg Week Kampala-Busunju'!K59+'Avg Week Busunju-Kampala'!K59</f>
        <v>0</v>
      </c>
      <c r="L59" s="49">
        <f>'Avg Week Kampala-Busunju'!L59+'Avg Week Busunju-Kampala'!L59</f>
        <v>0</v>
      </c>
      <c r="M59" s="49">
        <f>'Avg Week Kampala-Busunju'!M59+'Avg Week Busunju-Kampala'!M59</f>
        <v>27</v>
      </c>
      <c r="N59" s="49">
        <f>'Avg Week Kampala-Busunju'!N59+'Avg Week Busunju-Kampala'!N59</f>
        <v>0</v>
      </c>
      <c r="O59" s="15">
        <f t="shared" ref="O59:O105" si="36">SUM(C59:L59,N59)</f>
        <v>6</v>
      </c>
      <c r="P59" s="15">
        <f t="shared" ref="P59:P105" si="37">SUM(C59:N59)</f>
        <v>33</v>
      </c>
      <c r="R59" s="8"/>
      <c r="T59"/>
    </row>
    <row r="60" spans="2:20" ht="23.1" customHeight="1" x14ac:dyDescent="0.25">
      <c r="B60" s="23" t="s">
        <v>101</v>
      </c>
      <c r="C60" s="49">
        <f>'Avg Week Kampala-Busunju'!C60+'Avg Week Busunju-Kampala'!C60</f>
        <v>2</v>
      </c>
      <c r="D60" s="49">
        <f>'Avg Week Kampala-Busunju'!D60+'Avg Week Busunju-Kampala'!D60</f>
        <v>2</v>
      </c>
      <c r="E60" s="49">
        <f>'Avg Week Kampala-Busunju'!E60+'Avg Week Busunju-Kampala'!E60</f>
        <v>0</v>
      </c>
      <c r="F60" s="49">
        <f>'Avg Week Kampala-Busunju'!F60+'Avg Week Busunju-Kampala'!F60</f>
        <v>0</v>
      </c>
      <c r="G60" s="49">
        <f>'Avg Week Kampala-Busunju'!G60+'Avg Week Busunju-Kampala'!G60</f>
        <v>0</v>
      </c>
      <c r="H60" s="49">
        <f>'Avg Week Kampala-Busunju'!H60+'Avg Week Busunju-Kampala'!H60</f>
        <v>0</v>
      </c>
      <c r="I60" s="49">
        <f>'Avg Week Kampala-Busunju'!I60+'Avg Week Busunju-Kampala'!I60</f>
        <v>4</v>
      </c>
      <c r="J60" s="49">
        <f>'Avg Week Kampala-Busunju'!J60+'Avg Week Busunju-Kampala'!J60</f>
        <v>0</v>
      </c>
      <c r="K60" s="49">
        <f>'Avg Week Kampala-Busunju'!K60+'Avg Week Busunju-Kampala'!K60</f>
        <v>0</v>
      </c>
      <c r="L60" s="49">
        <f>'Avg Week Kampala-Busunju'!L60+'Avg Week Busunju-Kampala'!L60</f>
        <v>0</v>
      </c>
      <c r="M60" s="49">
        <f>'Avg Week Kampala-Busunju'!M60+'Avg Week Busunju-Kampala'!M60</f>
        <v>24</v>
      </c>
      <c r="N60" s="49">
        <f>'Avg Week Kampala-Busunju'!N60+'Avg Week Busunju-Kampala'!N60</f>
        <v>0</v>
      </c>
      <c r="O60" s="15">
        <f t="shared" si="36"/>
        <v>8</v>
      </c>
      <c r="P60" s="15">
        <f t="shared" si="37"/>
        <v>32</v>
      </c>
      <c r="R60" s="8"/>
      <c r="T60"/>
    </row>
    <row r="61" spans="2:20" ht="23.1" customHeight="1" x14ac:dyDescent="0.25">
      <c r="B61" s="23" t="s">
        <v>102</v>
      </c>
      <c r="C61" s="49">
        <f>'Avg Week Kampala-Busunju'!C61+'Avg Week Busunju-Kampala'!C61</f>
        <v>4</v>
      </c>
      <c r="D61" s="49">
        <f>'Avg Week Kampala-Busunju'!D61+'Avg Week Busunju-Kampala'!D61</f>
        <v>0</v>
      </c>
      <c r="E61" s="49">
        <f>'Avg Week Kampala-Busunju'!E61+'Avg Week Busunju-Kampala'!E61</f>
        <v>2</v>
      </c>
      <c r="F61" s="49">
        <f>'Avg Week Kampala-Busunju'!F61+'Avg Week Busunju-Kampala'!F61</f>
        <v>2</v>
      </c>
      <c r="G61" s="49">
        <f>'Avg Week Kampala-Busunju'!G61+'Avg Week Busunju-Kampala'!G61</f>
        <v>0</v>
      </c>
      <c r="H61" s="49">
        <f>'Avg Week Kampala-Busunju'!H61+'Avg Week Busunju-Kampala'!H61</f>
        <v>2</v>
      </c>
      <c r="I61" s="49">
        <f>'Avg Week Kampala-Busunju'!I61+'Avg Week Busunju-Kampala'!I61</f>
        <v>6</v>
      </c>
      <c r="J61" s="49">
        <f>'Avg Week Kampala-Busunju'!J61+'Avg Week Busunju-Kampala'!J61</f>
        <v>0</v>
      </c>
      <c r="K61" s="49">
        <f>'Avg Week Kampala-Busunju'!K61+'Avg Week Busunju-Kampala'!K61</f>
        <v>0</v>
      </c>
      <c r="L61" s="49">
        <f>'Avg Week Kampala-Busunju'!L61+'Avg Week Busunju-Kampala'!L61</f>
        <v>0</v>
      </c>
      <c r="M61" s="49">
        <f>'Avg Week Kampala-Busunju'!M61+'Avg Week Busunju-Kampala'!M61</f>
        <v>19</v>
      </c>
      <c r="N61" s="49">
        <f>'Avg Week Kampala-Busunju'!N61+'Avg Week Busunju-Kampala'!N61</f>
        <v>0</v>
      </c>
      <c r="O61" s="15">
        <f t="shared" si="36"/>
        <v>16</v>
      </c>
      <c r="P61" s="15">
        <f t="shared" si="37"/>
        <v>35</v>
      </c>
      <c r="R61" s="8"/>
      <c r="T61"/>
    </row>
    <row r="62" spans="2:20" ht="23.1" customHeight="1" x14ac:dyDescent="0.25">
      <c r="B62" s="23" t="s">
        <v>107</v>
      </c>
      <c r="C62" s="49">
        <f>'Avg Week Kampala-Busunju'!C62+'Avg Week Busunju-Kampala'!C62</f>
        <v>2</v>
      </c>
      <c r="D62" s="49">
        <f>'Avg Week Kampala-Busunju'!D62+'Avg Week Busunju-Kampala'!D62</f>
        <v>0</v>
      </c>
      <c r="E62" s="49">
        <f>'Avg Week Kampala-Busunju'!E62+'Avg Week Busunju-Kampala'!E62</f>
        <v>4</v>
      </c>
      <c r="F62" s="49">
        <f>'Avg Week Kampala-Busunju'!F62+'Avg Week Busunju-Kampala'!F62</f>
        <v>0</v>
      </c>
      <c r="G62" s="49">
        <f>'Avg Week Kampala-Busunju'!G62+'Avg Week Busunju-Kampala'!G62</f>
        <v>0</v>
      </c>
      <c r="H62" s="49">
        <f>'Avg Week Kampala-Busunju'!H62+'Avg Week Busunju-Kampala'!H62</f>
        <v>0</v>
      </c>
      <c r="I62" s="49">
        <f>'Avg Week Kampala-Busunju'!I62+'Avg Week Busunju-Kampala'!I62</f>
        <v>4</v>
      </c>
      <c r="J62" s="49">
        <f>'Avg Week Kampala-Busunju'!J62+'Avg Week Busunju-Kampala'!J62</f>
        <v>0</v>
      </c>
      <c r="K62" s="49">
        <f>'Avg Week Kampala-Busunju'!K62+'Avg Week Busunju-Kampala'!K62</f>
        <v>0</v>
      </c>
      <c r="L62" s="49">
        <f>'Avg Week Kampala-Busunju'!L62+'Avg Week Busunju-Kampala'!L62</f>
        <v>0</v>
      </c>
      <c r="M62" s="49">
        <f>'Avg Week Kampala-Busunju'!M62+'Avg Week Busunju-Kampala'!M62</f>
        <v>25</v>
      </c>
      <c r="N62" s="49">
        <f>'Avg Week Kampala-Busunju'!N62+'Avg Week Busunju-Kampala'!N62</f>
        <v>0</v>
      </c>
      <c r="O62" s="15">
        <f t="shared" si="36"/>
        <v>10</v>
      </c>
      <c r="P62" s="15">
        <f t="shared" si="37"/>
        <v>35</v>
      </c>
      <c r="R62" s="8"/>
      <c r="T62"/>
    </row>
    <row r="63" spans="2:20" ht="23.1" customHeight="1" x14ac:dyDescent="0.25">
      <c r="B63" s="23" t="s">
        <v>108</v>
      </c>
      <c r="C63" s="49">
        <f>'Avg Week Kampala-Busunju'!C63+'Avg Week Busunju-Kampala'!C63</f>
        <v>4</v>
      </c>
      <c r="D63" s="49">
        <f>'Avg Week Kampala-Busunju'!D63+'Avg Week Busunju-Kampala'!D63</f>
        <v>2</v>
      </c>
      <c r="E63" s="49">
        <f>'Avg Week Kampala-Busunju'!E63+'Avg Week Busunju-Kampala'!E63</f>
        <v>4</v>
      </c>
      <c r="F63" s="49">
        <f>'Avg Week Kampala-Busunju'!F63+'Avg Week Busunju-Kampala'!F63</f>
        <v>2</v>
      </c>
      <c r="G63" s="49">
        <f>'Avg Week Kampala-Busunju'!G63+'Avg Week Busunju-Kampala'!G63</f>
        <v>0</v>
      </c>
      <c r="H63" s="49">
        <f>'Avg Week Kampala-Busunju'!H63+'Avg Week Busunju-Kampala'!H63</f>
        <v>0</v>
      </c>
      <c r="I63" s="49">
        <f>'Avg Week Kampala-Busunju'!I63+'Avg Week Busunju-Kampala'!I63</f>
        <v>0</v>
      </c>
      <c r="J63" s="49">
        <f>'Avg Week Kampala-Busunju'!J63+'Avg Week Busunju-Kampala'!J63</f>
        <v>0</v>
      </c>
      <c r="K63" s="49">
        <f>'Avg Week Kampala-Busunju'!K63+'Avg Week Busunju-Kampala'!K63</f>
        <v>0</v>
      </c>
      <c r="L63" s="49">
        <f>'Avg Week Kampala-Busunju'!L63+'Avg Week Busunju-Kampala'!L63</f>
        <v>0</v>
      </c>
      <c r="M63" s="49">
        <f>'Avg Week Kampala-Busunju'!M63+'Avg Week Busunju-Kampala'!M63</f>
        <v>18</v>
      </c>
      <c r="N63" s="49">
        <f>'Avg Week Kampala-Busunju'!N63+'Avg Week Busunju-Kampala'!N63</f>
        <v>0</v>
      </c>
      <c r="O63" s="15">
        <f t="shared" si="36"/>
        <v>12</v>
      </c>
      <c r="P63" s="15">
        <f t="shared" si="37"/>
        <v>30</v>
      </c>
      <c r="R63" s="8"/>
      <c r="T63"/>
    </row>
    <row r="64" spans="2:20" ht="23.1" customHeight="1" x14ac:dyDescent="0.25">
      <c r="B64" s="23" t="s">
        <v>109</v>
      </c>
      <c r="C64" s="49">
        <f>'Avg Week Kampala-Busunju'!C64+'Avg Week Busunju-Kampala'!C64</f>
        <v>6</v>
      </c>
      <c r="D64" s="49">
        <f>'Avg Week Kampala-Busunju'!D64+'Avg Week Busunju-Kampala'!D64</f>
        <v>0</v>
      </c>
      <c r="E64" s="49">
        <f>'Avg Week Kampala-Busunju'!E64+'Avg Week Busunju-Kampala'!E64</f>
        <v>2</v>
      </c>
      <c r="F64" s="49">
        <f>'Avg Week Kampala-Busunju'!F64+'Avg Week Busunju-Kampala'!F64</f>
        <v>0</v>
      </c>
      <c r="G64" s="49">
        <f>'Avg Week Kampala-Busunju'!G64+'Avg Week Busunju-Kampala'!G64</f>
        <v>0</v>
      </c>
      <c r="H64" s="49">
        <f>'Avg Week Kampala-Busunju'!H64+'Avg Week Busunju-Kampala'!H64</f>
        <v>0</v>
      </c>
      <c r="I64" s="49">
        <f>'Avg Week Kampala-Busunju'!I64+'Avg Week Busunju-Kampala'!I64</f>
        <v>0</v>
      </c>
      <c r="J64" s="49">
        <f>'Avg Week Kampala-Busunju'!J64+'Avg Week Busunju-Kampala'!J64</f>
        <v>0</v>
      </c>
      <c r="K64" s="49">
        <f>'Avg Week Kampala-Busunju'!K64+'Avg Week Busunju-Kampala'!K64</f>
        <v>0</v>
      </c>
      <c r="L64" s="49">
        <f>'Avg Week Kampala-Busunju'!L64+'Avg Week Busunju-Kampala'!L64</f>
        <v>0</v>
      </c>
      <c r="M64" s="49">
        <f>'Avg Week Kampala-Busunju'!M64+'Avg Week Busunju-Kampala'!M64</f>
        <v>14</v>
      </c>
      <c r="N64" s="49">
        <f>'Avg Week Kampala-Busunju'!N64+'Avg Week Busunju-Kampala'!N64</f>
        <v>0</v>
      </c>
      <c r="O64" s="15">
        <f t="shared" si="36"/>
        <v>8</v>
      </c>
      <c r="P64" s="15">
        <f t="shared" si="37"/>
        <v>22</v>
      </c>
      <c r="R64" s="8"/>
      <c r="T64"/>
    </row>
    <row r="65" spans="2:20" ht="23.1" customHeight="1" x14ac:dyDescent="0.25">
      <c r="B65" s="23" t="s">
        <v>158</v>
      </c>
      <c r="C65" s="49">
        <f>'Avg Week Kampala-Busunju'!C65+'Avg Week Busunju-Kampala'!C65</f>
        <v>2</v>
      </c>
      <c r="D65" s="49">
        <f>'Avg Week Kampala-Busunju'!D65+'Avg Week Busunju-Kampala'!D65</f>
        <v>0</v>
      </c>
      <c r="E65" s="49">
        <f>'Avg Week Kampala-Busunju'!E65+'Avg Week Busunju-Kampala'!E65</f>
        <v>0</v>
      </c>
      <c r="F65" s="49">
        <f>'Avg Week Kampala-Busunju'!F65+'Avg Week Busunju-Kampala'!F65</f>
        <v>0</v>
      </c>
      <c r="G65" s="49">
        <f>'Avg Week Kampala-Busunju'!G65+'Avg Week Busunju-Kampala'!G65</f>
        <v>0</v>
      </c>
      <c r="H65" s="49">
        <f>'Avg Week Kampala-Busunju'!H65+'Avg Week Busunju-Kampala'!H65</f>
        <v>0</v>
      </c>
      <c r="I65" s="49">
        <f>'Avg Week Kampala-Busunju'!I65+'Avg Week Busunju-Kampala'!I65</f>
        <v>2</v>
      </c>
      <c r="J65" s="49">
        <f>'Avg Week Kampala-Busunju'!J65+'Avg Week Busunju-Kampala'!J65</f>
        <v>0</v>
      </c>
      <c r="K65" s="49">
        <f>'Avg Week Kampala-Busunju'!K65+'Avg Week Busunju-Kampala'!K65</f>
        <v>0</v>
      </c>
      <c r="L65" s="49">
        <f>'Avg Week Kampala-Busunju'!L65+'Avg Week Busunju-Kampala'!L65</f>
        <v>0</v>
      </c>
      <c r="M65" s="49">
        <f>'Avg Week Kampala-Busunju'!M65+'Avg Week Busunju-Kampala'!M65</f>
        <v>11</v>
      </c>
      <c r="N65" s="49">
        <f>'Avg Week Kampala-Busunju'!N65+'Avg Week Busunju-Kampala'!N65</f>
        <v>0</v>
      </c>
      <c r="O65" s="15">
        <f t="shared" si="36"/>
        <v>4</v>
      </c>
      <c r="P65" s="15">
        <f t="shared" si="37"/>
        <v>15</v>
      </c>
      <c r="R65" s="8"/>
      <c r="T65"/>
    </row>
    <row r="66" spans="2:20" ht="23.1" customHeight="1" x14ac:dyDescent="0.25">
      <c r="B66" s="23" t="s">
        <v>103</v>
      </c>
      <c r="C66" s="49">
        <f>'Avg Week Kampala-Busunju'!C66+'Avg Week Busunju-Kampala'!C66</f>
        <v>2</v>
      </c>
      <c r="D66" s="49">
        <f>'Avg Week Kampala-Busunju'!D66+'Avg Week Busunju-Kampala'!D66</f>
        <v>2</v>
      </c>
      <c r="E66" s="49">
        <f>'Avg Week Kampala-Busunju'!E66+'Avg Week Busunju-Kampala'!E66</f>
        <v>2</v>
      </c>
      <c r="F66" s="49">
        <f>'Avg Week Kampala-Busunju'!F66+'Avg Week Busunju-Kampala'!F66</f>
        <v>0</v>
      </c>
      <c r="G66" s="49">
        <f>'Avg Week Kampala-Busunju'!G66+'Avg Week Busunju-Kampala'!G66</f>
        <v>0</v>
      </c>
      <c r="H66" s="49">
        <f>'Avg Week Kampala-Busunju'!H66+'Avg Week Busunju-Kampala'!H66</f>
        <v>0</v>
      </c>
      <c r="I66" s="49">
        <f>'Avg Week Kampala-Busunju'!I66+'Avg Week Busunju-Kampala'!I66</f>
        <v>4</v>
      </c>
      <c r="J66" s="49">
        <f>'Avg Week Kampala-Busunju'!J66+'Avg Week Busunju-Kampala'!J66</f>
        <v>0</v>
      </c>
      <c r="K66" s="49">
        <f>'Avg Week Kampala-Busunju'!K66+'Avg Week Busunju-Kampala'!K66</f>
        <v>0</v>
      </c>
      <c r="L66" s="49">
        <f>'Avg Week Kampala-Busunju'!L66+'Avg Week Busunju-Kampala'!L66</f>
        <v>0</v>
      </c>
      <c r="M66" s="49">
        <f>'Avg Week Kampala-Busunju'!M66+'Avg Week Busunju-Kampala'!M66</f>
        <v>12</v>
      </c>
      <c r="N66" s="49">
        <f>'Avg Week Kampala-Busunju'!N66+'Avg Week Busunju-Kampala'!N66</f>
        <v>0</v>
      </c>
      <c r="O66" s="15">
        <f t="shared" si="36"/>
        <v>10</v>
      </c>
      <c r="P66" s="15">
        <f t="shared" si="37"/>
        <v>22</v>
      </c>
      <c r="R66" s="8"/>
      <c r="T66"/>
    </row>
    <row r="67" spans="2:20" ht="23.1" customHeight="1" x14ac:dyDescent="0.25">
      <c r="B67" s="23" t="s">
        <v>104</v>
      </c>
      <c r="C67" s="49">
        <f>'Avg Week Kampala-Busunju'!C67+'Avg Week Busunju-Kampala'!C67</f>
        <v>4</v>
      </c>
      <c r="D67" s="49">
        <f>'Avg Week Kampala-Busunju'!D67+'Avg Week Busunju-Kampala'!D67</f>
        <v>2</v>
      </c>
      <c r="E67" s="49">
        <f>'Avg Week Kampala-Busunju'!E67+'Avg Week Busunju-Kampala'!E67</f>
        <v>6</v>
      </c>
      <c r="F67" s="49">
        <f>'Avg Week Kampala-Busunju'!F67+'Avg Week Busunju-Kampala'!F67</f>
        <v>0</v>
      </c>
      <c r="G67" s="49">
        <f>'Avg Week Kampala-Busunju'!G67+'Avg Week Busunju-Kampala'!G67</f>
        <v>0</v>
      </c>
      <c r="H67" s="49">
        <f>'Avg Week Kampala-Busunju'!H67+'Avg Week Busunju-Kampala'!H67</f>
        <v>0</v>
      </c>
      <c r="I67" s="49">
        <f>'Avg Week Kampala-Busunju'!I67+'Avg Week Busunju-Kampala'!I67</f>
        <v>4</v>
      </c>
      <c r="J67" s="49">
        <f>'Avg Week Kampala-Busunju'!J67+'Avg Week Busunju-Kampala'!J67</f>
        <v>0</v>
      </c>
      <c r="K67" s="49">
        <f>'Avg Week Kampala-Busunju'!K67+'Avg Week Busunju-Kampala'!K67</f>
        <v>0</v>
      </c>
      <c r="L67" s="49">
        <f>'Avg Week Kampala-Busunju'!L67+'Avg Week Busunju-Kampala'!L67</f>
        <v>0</v>
      </c>
      <c r="M67" s="49">
        <f>'Avg Week Kampala-Busunju'!M67+'Avg Week Busunju-Kampala'!M67</f>
        <v>6</v>
      </c>
      <c r="N67" s="49">
        <f>'Avg Week Kampala-Busunju'!N67+'Avg Week Busunju-Kampala'!N67</f>
        <v>0</v>
      </c>
      <c r="O67" s="15">
        <f t="shared" si="36"/>
        <v>16</v>
      </c>
      <c r="P67" s="15">
        <f t="shared" si="37"/>
        <v>22</v>
      </c>
      <c r="R67" s="8"/>
      <c r="T67"/>
    </row>
    <row r="68" spans="2:20" ht="23.1" customHeight="1" x14ac:dyDescent="0.25">
      <c r="B68" s="23" t="s">
        <v>105</v>
      </c>
      <c r="C68" s="49">
        <f>'Avg Week Kampala-Busunju'!C68+'Avg Week Busunju-Kampala'!C68</f>
        <v>2</v>
      </c>
      <c r="D68" s="49">
        <f>'Avg Week Kampala-Busunju'!D68+'Avg Week Busunju-Kampala'!D68</f>
        <v>0</v>
      </c>
      <c r="E68" s="49">
        <f>'Avg Week Kampala-Busunju'!E68+'Avg Week Busunju-Kampala'!E68</f>
        <v>4</v>
      </c>
      <c r="F68" s="49">
        <f>'Avg Week Kampala-Busunju'!F68+'Avg Week Busunju-Kampala'!F68</f>
        <v>2</v>
      </c>
      <c r="G68" s="49">
        <f>'Avg Week Kampala-Busunju'!G68+'Avg Week Busunju-Kampala'!G68</f>
        <v>0</v>
      </c>
      <c r="H68" s="49">
        <f>'Avg Week Kampala-Busunju'!H68+'Avg Week Busunju-Kampala'!H68</f>
        <v>0</v>
      </c>
      <c r="I68" s="49">
        <f>'Avg Week Kampala-Busunju'!I68+'Avg Week Busunju-Kampala'!I68</f>
        <v>0</v>
      </c>
      <c r="J68" s="49">
        <f>'Avg Week Kampala-Busunju'!J68+'Avg Week Busunju-Kampala'!J68</f>
        <v>0</v>
      </c>
      <c r="K68" s="49">
        <f>'Avg Week Kampala-Busunju'!K68+'Avg Week Busunju-Kampala'!K68</f>
        <v>0</v>
      </c>
      <c r="L68" s="49">
        <f>'Avg Week Kampala-Busunju'!L68+'Avg Week Busunju-Kampala'!L68</f>
        <v>0</v>
      </c>
      <c r="M68" s="49">
        <f>'Avg Week Kampala-Busunju'!M68+'Avg Week Busunju-Kampala'!M68</f>
        <v>8</v>
      </c>
      <c r="N68" s="49">
        <f>'Avg Week Kampala-Busunju'!N68+'Avg Week Busunju-Kampala'!N68</f>
        <v>0</v>
      </c>
      <c r="O68" s="15">
        <f t="shared" si="36"/>
        <v>8</v>
      </c>
      <c r="P68" s="15">
        <f t="shared" si="37"/>
        <v>16</v>
      </c>
      <c r="R68" s="8"/>
      <c r="T68"/>
    </row>
    <row r="69" spans="2:20" ht="23.1" customHeight="1" x14ac:dyDescent="0.25">
      <c r="B69" s="23" t="s">
        <v>106</v>
      </c>
      <c r="C69" s="49">
        <f>'Avg Week Kampala-Busunju'!C69+'Avg Week Busunju-Kampala'!C69</f>
        <v>4</v>
      </c>
      <c r="D69" s="49">
        <f>'Avg Week Kampala-Busunju'!D69+'Avg Week Busunju-Kampala'!D69</f>
        <v>0</v>
      </c>
      <c r="E69" s="49">
        <f>'Avg Week Kampala-Busunju'!E69+'Avg Week Busunju-Kampala'!E69</f>
        <v>2</v>
      </c>
      <c r="F69" s="49">
        <f>'Avg Week Kampala-Busunju'!F69+'Avg Week Busunju-Kampala'!F69</f>
        <v>0</v>
      </c>
      <c r="G69" s="49">
        <f>'Avg Week Kampala-Busunju'!G69+'Avg Week Busunju-Kampala'!G69</f>
        <v>0</v>
      </c>
      <c r="H69" s="49">
        <f>'Avg Week Kampala-Busunju'!H69+'Avg Week Busunju-Kampala'!H69</f>
        <v>0</v>
      </c>
      <c r="I69" s="49">
        <f>'Avg Week Kampala-Busunju'!I69+'Avg Week Busunju-Kampala'!I69</f>
        <v>0</v>
      </c>
      <c r="J69" s="49">
        <f>'Avg Week Kampala-Busunju'!J69+'Avg Week Busunju-Kampala'!J69</f>
        <v>0</v>
      </c>
      <c r="K69" s="49">
        <f>'Avg Week Kampala-Busunju'!K69+'Avg Week Busunju-Kampala'!K69</f>
        <v>0</v>
      </c>
      <c r="L69" s="49">
        <f>'Avg Week Kampala-Busunju'!L69+'Avg Week Busunju-Kampala'!L69</f>
        <v>0</v>
      </c>
      <c r="M69" s="49">
        <f>'Avg Week Kampala-Busunju'!M69+'Avg Week Busunju-Kampala'!M69</f>
        <v>4</v>
      </c>
      <c r="N69" s="49">
        <f>'Avg Week Kampala-Busunju'!N69+'Avg Week Busunju-Kampala'!N69</f>
        <v>0</v>
      </c>
      <c r="O69" s="15">
        <f t="shared" si="36"/>
        <v>6</v>
      </c>
      <c r="P69" s="15">
        <f t="shared" si="37"/>
        <v>10</v>
      </c>
      <c r="R69" s="8"/>
      <c r="T69"/>
    </row>
    <row r="70" spans="2:20" ht="23.1" customHeight="1" x14ac:dyDescent="0.25">
      <c r="B70" s="23" t="s">
        <v>110</v>
      </c>
      <c r="C70" s="49">
        <f>'Avg Week Kampala-Busunju'!C70+'Avg Week Busunju-Kampala'!C70</f>
        <v>2</v>
      </c>
      <c r="D70" s="49">
        <f>'Avg Week Kampala-Busunju'!D70+'Avg Week Busunju-Kampala'!D70</f>
        <v>0</v>
      </c>
      <c r="E70" s="49">
        <f>'Avg Week Kampala-Busunju'!E70+'Avg Week Busunju-Kampala'!E70</f>
        <v>0</v>
      </c>
      <c r="F70" s="49">
        <f>'Avg Week Kampala-Busunju'!F70+'Avg Week Busunju-Kampala'!F70</f>
        <v>0</v>
      </c>
      <c r="G70" s="49">
        <f>'Avg Week Kampala-Busunju'!G70+'Avg Week Busunju-Kampala'!G70</f>
        <v>0</v>
      </c>
      <c r="H70" s="49">
        <f>'Avg Week Kampala-Busunju'!H70+'Avg Week Busunju-Kampala'!H70</f>
        <v>0</v>
      </c>
      <c r="I70" s="49">
        <f>'Avg Week Kampala-Busunju'!I70+'Avg Week Busunju-Kampala'!I70</f>
        <v>6</v>
      </c>
      <c r="J70" s="49">
        <f>'Avg Week Kampala-Busunju'!J70+'Avg Week Busunju-Kampala'!J70</f>
        <v>2</v>
      </c>
      <c r="K70" s="49">
        <f>'Avg Week Kampala-Busunju'!K70+'Avg Week Busunju-Kampala'!K70</f>
        <v>0</v>
      </c>
      <c r="L70" s="49">
        <f>'Avg Week Kampala-Busunju'!L70+'Avg Week Busunju-Kampala'!L70</f>
        <v>0</v>
      </c>
      <c r="M70" s="49">
        <f>'Avg Week Kampala-Busunju'!M70+'Avg Week Busunju-Kampala'!M70</f>
        <v>0</v>
      </c>
      <c r="N70" s="49">
        <f>'Avg Week Kampala-Busunju'!N70+'Avg Week Busunju-Kampala'!N70</f>
        <v>0</v>
      </c>
      <c r="O70" s="15">
        <f t="shared" si="36"/>
        <v>10</v>
      </c>
      <c r="P70" s="15">
        <f t="shared" si="37"/>
        <v>10</v>
      </c>
      <c r="R70" s="8"/>
      <c r="T70"/>
    </row>
    <row r="71" spans="2:20" ht="23.1" customHeight="1" x14ac:dyDescent="0.25">
      <c r="B71" s="23" t="s">
        <v>111</v>
      </c>
      <c r="C71" s="49">
        <f>'Avg Week Kampala-Busunju'!C71+'Avg Week Busunju-Kampala'!C71</f>
        <v>4</v>
      </c>
      <c r="D71" s="49">
        <f>'Avg Week Kampala-Busunju'!D71+'Avg Week Busunju-Kampala'!D71</f>
        <v>0</v>
      </c>
      <c r="E71" s="49">
        <f>'Avg Week Kampala-Busunju'!E71+'Avg Week Busunju-Kampala'!E71</f>
        <v>2</v>
      </c>
      <c r="F71" s="49">
        <f>'Avg Week Kampala-Busunju'!F71+'Avg Week Busunju-Kampala'!F71</f>
        <v>0</v>
      </c>
      <c r="G71" s="49">
        <f>'Avg Week Kampala-Busunju'!G71+'Avg Week Busunju-Kampala'!G71</f>
        <v>0</v>
      </c>
      <c r="H71" s="49">
        <f>'Avg Week Kampala-Busunju'!H71+'Avg Week Busunju-Kampala'!H71</f>
        <v>0</v>
      </c>
      <c r="I71" s="49">
        <f>'Avg Week Kampala-Busunju'!I71+'Avg Week Busunju-Kampala'!I71</f>
        <v>0</v>
      </c>
      <c r="J71" s="49">
        <f>'Avg Week Kampala-Busunju'!J71+'Avg Week Busunju-Kampala'!J71</f>
        <v>0</v>
      </c>
      <c r="K71" s="49">
        <f>'Avg Week Kampala-Busunju'!K71+'Avg Week Busunju-Kampala'!K71</f>
        <v>0</v>
      </c>
      <c r="L71" s="49">
        <f>'Avg Week Kampala-Busunju'!L71+'Avg Week Busunju-Kampala'!L71</f>
        <v>0</v>
      </c>
      <c r="M71" s="49">
        <f>'Avg Week Kampala-Busunju'!M71+'Avg Week Busunju-Kampala'!M71</f>
        <v>2</v>
      </c>
      <c r="N71" s="49">
        <f>'Avg Week Kampala-Busunju'!N71+'Avg Week Busunju-Kampala'!N71</f>
        <v>0</v>
      </c>
      <c r="O71" s="15">
        <f t="shared" si="36"/>
        <v>6</v>
      </c>
      <c r="P71" s="15">
        <f t="shared" si="37"/>
        <v>8</v>
      </c>
      <c r="R71" s="8"/>
      <c r="T71"/>
    </row>
    <row r="72" spans="2:20" ht="23.1" customHeight="1" x14ac:dyDescent="0.25">
      <c r="B72" s="23" t="s">
        <v>112</v>
      </c>
      <c r="C72" s="49">
        <f>'Avg Week Kampala-Busunju'!C72+'Avg Week Busunju-Kampala'!C72</f>
        <v>4</v>
      </c>
      <c r="D72" s="49">
        <f>'Avg Week Kampala-Busunju'!D72+'Avg Week Busunju-Kampala'!D72</f>
        <v>0</v>
      </c>
      <c r="E72" s="49">
        <f>'Avg Week Kampala-Busunju'!E72+'Avg Week Busunju-Kampala'!E72</f>
        <v>0</v>
      </c>
      <c r="F72" s="49">
        <f>'Avg Week Kampala-Busunju'!F72+'Avg Week Busunju-Kampala'!F72</f>
        <v>0</v>
      </c>
      <c r="G72" s="49">
        <f>'Avg Week Kampala-Busunju'!G72+'Avg Week Busunju-Kampala'!G72</f>
        <v>0</v>
      </c>
      <c r="H72" s="49">
        <f>'Avg Week Kampala-Busunju'!H72+'Avg Week Busunju-Kampala'!H72</f>
        <v>0</v>
      </c>
      <c r="I72" s="49">
        <f>'Avg Week Kampala-Busunju'!I72+'Avg Week Busunju-Kampala'!I72</f>
        <v>4</v>
      </c>
      <c r="J72" s="49">
        <f>'Avg Week Kampala-Busunju'!J72+'Avg Week Busunju-Kampala'!J72</f>
        <v>0</v>
      </c>
      <c r="K72" s="49">
        <f>'Avg Week Kampala-Busunju'!K72+'Avg Week Busunju-Kampala'!K72</f>
        <v>0</v>
      </c>
      <c r="L72" s="49">
        <f>'Avg Week Kampala-Busunju'!L72+'Avg Week Busunju-Kampala'!L72</f>
        <v>0</v>
      </c>
      <c r="M72" s="49">
        <f>'Avg Week Kampala-Busunju'!M72+'Avg Week Busunju-Kampala'!M72</f>
        <v>2</v>
      </c>
      <c r="N72" s="49">
        <f>'Avg Week Kampala-Busunju'!N72+'Avg Week Busunju-Kampala'!N72</f>
        <v>0.5</v>
      </c>
      <c r="O72" s="15">
        <f t="shared" si="36"/>
        <v>8.5</v>
      </c>
      <c r="P72" s="15">
        <f t="shared" si="37"/>
        <v>10.5</v>
      </c>
      <c r="R72" s="8"/>
      <c r="T72"/>
    </row>
    <row r="73" spans="2:20" ht="23.1" customHeight="1" x14ac:dyDescent="0.25">
      <c r="B73" s="23" t="s">
        <v>113</v>
      </c>
      <c r="C73" s="49">
        <f>'Avg Week Kampala-Busunju'!C73+'Avg Week Busunju-Kampala'!C73</f>
        <v>0</v>
      </c>
      <c r="D73" s="49">
        <f>'Avg Week Kampala-Busunju'!D73+'Avg Week Busunju-Kampala'!D73</f>
        <v>0</v>
      </c>
      <c r="E73" s="49">
        <f>'Avg Week Kampala-Busunju'!E73+'Avg Week Busunju-Kampala'!E73</f>
        <v>4</v>
      </c>
      <c r="F73" s="49">
        <f>'Avg Week Kampala-Busunju'!F73+'Avg Week Busunju-Kampala'!F73</f>
        <v>2</v>
      </c>
      <c r="G73" s="49">
        <f>'Avg Week Kampala-Busunju'!G73+'Avg Week Busunju-Kampala'!G73</f>
        <v>0</v>
      </c>
      <c r="H73" s="49">
        <f>'Avg Week Kampala-Busunju'!H73+'Avg Week Busunju-Kampala'!H73</f>
        <v>0</v>
      </c>
      <c r="I73" s="49">
        <f>'Avg Week Kampala-Busunju'!I73+'Avg Week Busunju-Kampala'!I73</f>
        <v>0</v>
      </c>
      <c r="J73" s="49">
        <f>'Avg Week Kampala-Busunju'!J73+'Avg Week Busunju-Kampala'!J73</f>
        <v>0</v>
      </c>
      <c r="K73" s="49">
        <f>'Avg Week Kampala-Busunju'!K73+'Avg Week Busunju-Kampala'!K73</f>
        <v>0</v>
      </c>
      <c r="L73" s="49">
        <f>'Avg Week Kampala-Busunju'!L73+'Avg Week Busunju-Kampala'!L73</f>
        <v>0</v>
      </c>
      <c r="M73" s="49">
        <f>'Avg Week Kampala-Busunju'!M73+'Avg Week Busunju-Kampala'!M73</f>
        <v>4</v>
      </c>
      <c r="N73" s="49">
        <f>'Avg Week Kampala-Busunju'!N73+'Avg Week Busunju-Kampala'!N73</f>
        <v>0</v>
      </c>
      <c r="O73" s="15">
        <f t="shared" si="36"/>
        <v>6</v>
      </c>
      <c r="P73" s="15">
        <f t="shared" si="37"/>
        <v>10</v>
      </c>
      <c r="R73" s="8"/>
      <c r="T73"/>
    </row>
    <row r="74" spans="2:20" ht="23.1" customHeight="1" x14ac:dyDescent="0.25">
      <c r="B74" s="23" t="s">
        <v>114</v>
      </c>
      <c r="C74" s="49">
        <f>'Avg Week Kampala-Busunju'!C74+'Avg Week Busunju-Kampala'!C74</f>
        <v>2</v>
      </c>
      <c r="D74" s="49">
        <f>'Avg Week Kampala-Busunju'!D74+'Avg Week Busunju-Kampala'!D74</f>
        <v>0</v>
      </c>
      <c r="E74" s="49">
        <f>'Avg Week Kampala-Busunju'!E74+'Avg Week Busunju-Kampala'!E74</f>
        <v>2</v>
      </c>
      <c r="F74" s="49">
        <f>'Avg Week Kampala-Busunju'!F74+'Avg Week Busunju-Kampala'!F74</f>
        <v>0</v>
      </c>
      <c r="G74" s="49">
        <f>'Avg Week Kampala-Busunju'!G74+'Avg Week Busunju-Kampala'!G74</f>
        <v>0</v>
      </c>
      <c r="H74" s="49">
        <f>'Avg Week Kampala-Busunju'!H74+'Avg Week Busunju-Kampala'!H74</f>
        <v>0</v>
      </c>
      <c r="I74" s="49">
        <f>'Avg Week Kampala-Busunju'!I74+'Avg Week Busunju-Kampala'!I74</f>
        <v>0</v>
      </c>
      <c r="J74" s="49">
        <f>'Avg Week Kampala-Busunju'!J74+'Avg Week Busunju-Kampala'!J74</f>
        <v>0</v>
      </c>
      <c r="K74" s="49">
        <f>'Avg Week Kampala-Busunju'!K74+'Avg Week Busunju-Kampala'!K74</f>
        <v>0</v>
      </c>
      <c r="L74" s="49">
        <f>'Avg Week Kampala-Busunju'!L74+'Avg Week Busunju-Kampala'!L74</f>
        <v>0</v>
      </c>
      <c r="M74" s="49">
        <f>'Avg Week Kampala-Busunju'!M74+'Avg Week Busunju-Kampala'!M74</f>
        <v>4</v>
      </c>
      <c r="N74" s="49">
        <f>'Avg Week Kampala-Busunju'!N74+'Avg Week Busunju-Kampala'!N74</f>
        <v>0</v>
      </c>
      <c r="O74" s="15">
        <f t="shared" si="36"/>
        <v>4</v>
      </c>
      <c r="P74" s="15">
        <f t="shared" si="37"/>
        <v>8</v>
      </c>
      <c r="R74" s="8"/>
      <c r="T74"/>
    </row>
    <row r="75" spans="2:20" ht="23.1" customHeight="1" x14ac:dyDescent="0.25">
      <c r="B75" s="23" t="s">
        <v>115</v>
      </c>
      <c r="C75" s="49">
        <f>'Avg Week Kampala-Busunju'!C75+'Avg Week Busunju-Kampala'!C75</f>
        <v>2</v>
      </c>
      <c r="D75" s="49">
        <f>'Avg Week Kampala-Busunju'!D75+'Avg Week Busunju-Kampala'!D75</f>
        <v>0</v>
      </c>
      <c r="E75" s="49">
        <f>'Avg Week Kampala-Busunju'!E75+'Avg Week Busunju-Kampala'!E75</f>
        <v>0</v>
      </c>
      <c r="F75" s="49">
        <f>'Avg Week Kampala-Busunju'!F75+'Avg Week Busunju-Kampala'!F75</f>
        <v>0</v>
      </c>
      <c r="G75" s="49">
        <f>'Avg Week Kampala-Busunju'!G75+'Avg Week Busunju-Kampala'!G75</f>
        <v>0</v>
      </c>
      <c r="H75" s="49">
        <f>'Avg Week Kampala-Busunju'!H75+'Avg Week Busunju-Kampala'!H75</f>
        <v>0</v>
      </c>
      <c r="I75" s="49">
        <f>'Avg Week Kampala-Busunju'!I75+'Avg Week Busunju-Kampala'!I75</f>
        <v>0</v>
      </c>
      <c r="J75" s="49">
        <f>'Avg Week Kampala-Busunju'!J75+'Avg Week Busunju-Kampala'!J75</f>
        <v>0</v>
      </c>
      <c r="K75" s="49">
        <f>'Avg Week Kampala-Busunju'!K75+'Avg Week Busunju-Kampala'!K75</f>
        <v>0</v>
      </c>
      <c r="L75" s="49">
        <f>'Avg Week Kampala-Busunju'!L75+'Avg Week Busunju-Kampala'!L75</f>
        <v>0</v>
      </c>
      <c r="M75" s="49">
        <f>'Avg Week Kampala-Busunju'!M75+'Avg Week Busunju-Kampala'!M75</f>
        <v>0</v>
      </c>
      <c r="N75" s="49">
        <f>'Avg Week Kampala-Busunju'!N75+'Avg Week Busunju-Kampala'!N75</f>
        <v>0</v>
      </c>
      <c r="O75" s="15">
        <f t="shared" si="36"/>
        <v>2</v>
      </c>
      <c r="P75" s="15">
        <f t="shared" si="37"/>
        <v>2</v>
      </c>
      <c r="R75" s="8"/>
      <c r="T75"/>
    </row>
    <row r="76" spans="2:20" ht="23.1" customHeight="1" x14ac:dyDescent="0.25">
      <c r="B76" s="23" t="s">
        <v>116</v>
      </c>
      <c r="C76" s="49">
        <f>'Avg Week Kampala-Busunju'!C76+'Avg Week Busunju-Kampala'!C76</f>
        <v>2</v>
      </c>
      <c r="D76" s="49">
        <f>'Avg Week Kampala-Busunju'!D76+'Avg Week Busunju-Kampala'!D76</f>
        <v>0</v>
      </c>
      <c r="E76" s="49">
        <f>'Avg Week Kampala-Busunju'!E76+'Avg Week Busunju-Kampala'!E76</f>
        <v>2</v>
      </c>
      <c r="F76" s="49">
        <f>'Avg Week Kampala-Busunju'!F76+'Avg Week Busunju-Kampala'!F76</f>
        <v>0</v>
      </c>
      <c r="G76" s="49">
        <f>'Avg Week Kampala-Busunju'!G76+'Avg Week Busunju-Kampala'!G76</f>
        <v>0</v>
      </c>
      <c r="H76" s="49">
        <f>'Avg Week Kampala-Busunju'!H76+'Avg Week Busunju-Kampala'!H76</f>
        <v>0</v>
      </c>
      <c r="I76" s="49">
        <f>'Avg Week Kampala-Busunju'!I76+'Avg Week Busunju-Kampala'!I76</f>
        <v>2</v>
      </c>
      <c r="J76" s="49">
        <f>'Avg Week Kampala-Busunju'!J76+'Avg Week Busunju-Kampala'!J76</f>
        <v>0</v>
      </c>
      <c r="K76" s="49">
        <f>'Avg Week Kampala-Busunju'!K76+'Avg Week Busunju-Kampala'!K76</f>
        <v>0</v>
      </c>
      <c r="L76" s="49">
        <f>'Avg Week Kampala-Busunju'!L76+'Avg Week Busunju-Kampala'!L76</f>
        <v>0</v>
      </c>
      <c r="M76" s="49">
        <f>'Avg Week Kampala-Busunju'!M76+'Avg Week Busunju-Kampala'!M76</f>
        <v>2</v>
      </c>
      <c r="N76" s="49">
        <f>'Avg Week Kampala-Busunju'!N76+'Avg Week Busunju-Kampala'!N76</f>
        <v>0</v>
      </c>
      <c r="O76" s="15">
        <f t="shared" si="36"/>
        <v>6</v>
      </c>
      <c r="P76" s="15">
        <f t="shared" si="37"/>
        <v>8</v>
      </c>
      <c r="R76" s="8"/>
      <c r="T76"/>
    </row>
    <row r="77" spans="2:20" ht="23.1" customHeight="1" x14ac:dyDescent="0.25">
      <c r="B77" s="23" t="s">
        <v>117</v>
      </c>
      <c r="C77" s="49">
        <f>'Avg Week Kampala-Busunju'!C77+'Avg Week Busunju-Kampala'!C77</f>
        <v>4</v>
      </c>
      <c r="D77" s="49">
        <f>'Avg Week Kampala-Busunju'!D77+'Avg Week Busunju-Kampala'!D77</f>
        <v>2</v>
      </c>
      <c r="E77" s="49">
        <f>'Avg Week Kampala-Busunju'!E77+'Avg Week Busunju-Kampala'!E77</f>
        <v>2</v>
      </c>
      <c r="F77" s="49">
        <f>'Avg Week Kampala-Busunju'!F77+'Avg Week Busunju-Kampala'!F77</f>
        <v>0</v>
      </c>
      <c r="G77" s="49">
        <f>'Avg Week Kampala-Busunju'!G77+'Avg Week Busunju-Kampala'!G77</f>
        <v>0</v>
      </c>
      <c r="H77" s="49">
        <f>'Avg Week Kampala-Busunju'!H77+'Avg Week Busunju-Kampala'!H77</f>
        <v>0</v>
      </c>
      <c r="I77" s="49">
        <f>'Avg Week Kampala-Busunju'!I77+'Avg Week Busunju-Kampala'!I77</f>
        <v>0</v>
      </c>
      <c r="J77" s="49">
        <f>'Avg Week Kampala-Busunju'!J77+'Avg Week Busunju-Kampala'!J77</f>
        <v>0</v>
      </c>
      <c r="K77" s="49">
        <f>'Avg Week Kampala-Busunju'!K77+'Avg Week Busunju-Kampala'!K77</f>
        <v>0</v>
      </c>
      <c r="L77" s="49">
        <f>'Avg Week Kampala-Busunju'!L77+'Avg Week Busunju-Kampala'!L77</f>
        <v>0</v>
      </c>
      <c r="M77" s="49">
        <f>'Avg Week Kampala-Busunju'!M77+'Avg Week Busunju-Kampala'!M77</f>
        <v>0</v>
      </c>
      <c r="N77" s="49">
        <f>'Avg Week Kampala-Busunju'!N77+'Avg Week Busunju-Kampala'!N77</f>
        <v>0</v>
      </c>
      <c r="O77" s="15">
        <f t="shared" si="36"/>
        <v>8</v>
      </c>
      <c r="P77" s="15">
        <f t="shared" si="37"/>
        <v>8</v>
      </c>
      <c r="R77" s="8"/>
      <c r="T77"/>
    </row>
    <row r="78" spans="2:20" ht="23.1" customHeight="1" x14ac:dyDescent="0.25">
      <c r="B78" s="24" t="s">
        <v>118</v>
      </c>
      <c r="C78" s="49">
        <f>'Avg Week Kampala-Busunju'!C78+'Avg Week Busunju-Kampala'!C78</f>
        <v>2</v>
      </c>
      <c r="D78" s="49">
        <f>'Avg Week Kampala-Busunju'!D78+'Avg Week Busunju-Kampala'!D78</f>
        <v>0</v>
      </c>
      <c r="E78" s="49">
        <f>'Avg Week Kampala-Busunju'!E78+'Avg Week Busunju-Kampala'!E78</f>
        <v>0</v>
      </c>
      <c r="F78" s="49">
        <f>'Avg Week Kampala-Busunju'!F78+'Avg Week Busunju-Kampala'!F78</f>
        <v>0</v>
      </c>
      <c r="G78" s="49">
        <f>'Avg Week Kampala-Busunju'!G78+'Avg Week Busunju-Kampala'!G78</f>
        <v>0</v>
      </c>
      <c r="H78" s="49">
        <f>'Avg Week Kampala-Busunju'!H78+'Avg Week Busunju-Kampala'!H78</f>
        <v>0</v>
      </c>
      <c r="I78" s="49">
        <f>'Avg Week Kampala-Busunju'!I78+'Avg Week Busunju-Kampala'!I78</f>
        <v>2</v>
      </c>
      <c r="J78" s="49">
        <f>'Avg Week Kampala-Busunju'!J78+'Avg Week Busunju-Kampala'!J78</f>
        <v>0</v>
      </c>
      <c r="K78" s="49">
        <f>'Avg Week Kampala-Busunju'!K78+'Avg Week Busunju-Kampala'!K78</f>
        <v>0</v>
      </c>
      <c r="L78" s="49">
        <f>'Avg Week Kampala-Busunju'!L78+'Avg Week Busunju-Kampala'!L78</f>
        <v>0</v>
      </c>
      <c r="M78" s="49">
        <f>'Avg Week Kampala-Busunju'!M78+'Avg Week Busunju-Kampala'!M78</f>
        <v>4</v>
      </c>
      <c r="N78" s="49">
        <f>'Avg Week Kampala-Busunju'!N78+'Avg Week Busunju-Kampala'!N78</f>
        <v>0</v>
      </c>
      <c r="O78" s="15">
        <f t="shared" si="36"/>
        <v>4</v>
      </c>
      <c r="P78" s="15">
        <f t="shared" si="37"/>
        <v>8</v>
      </c>
      <c r="R78" s="8"/>
      <c r="T78"/>
    </row>
    <row r="79" spans="2:20" ht="23.1" customHeight="1" x14ac:dyDescent="0.25">
      <c r="B79" s="23" t="s">
        <v>119</v>
      </c>
      <c r="C79" s="49">
        <f>'Avg Week Kampala-Busunju'!C79+'Avg Week Busunju-Kampala'!C79</f>
        <v>0</v>
      </c>
      <c r="D79" s="49">
        <f>'Avg Week Kampala-Busunju'!D79+'Avg Week Busunju-Kampala'!D79</f>
        <v>0</v>
      </c>
      <c r="E79" s="49">
        <f>'Avg Week Kampala-Busunju'!E79+'Avg Week Busunju-Kampala'!E79</f>
        <v>0</v>
      </c>
      <c r="F79" s="49">
        <f>'Avg Week Kampala-Busunju'!F79+'Avg Week Busunju-Kampala'!F79</f>
        <v>0</v>
      </c>
      <c r="G79" s="49">
        <f>'Avg Week Kampala-Busunju'!G79+'Avg Week Busunju-Kampala'!G79</f>
        <v>0</v>
      </c>
      <c r="H79" s="49">
        <f>'Avg Week Kampala-Busunju'!H79+'Avg Week Busunju-Kampala'!H79</f>
        <v>0</v>
      </c>
      <c r="I79" s="49">
        <f>'Avg Week Kampala-Busunju'!I79+'Avg Week Busunju-Kampala'!I79</f>
        <v>0</v>
      </c>
      <c r="J79" s="49">
        <f>'Avg Week Kampala-Busunju'!J79+'Avg Week Busunju-Kampala'!J79</f>
        <v>0</v>
      </c>
      <c r="K79" s="49">
        <f>'Avg Week Kampala-Busunju'!K79+'Avg Week Busunju-Kampala'!K79</f>
        <v>0</v>
      </c>
      <c r="L79" s="49">
        <f>'Avg Week Kampala-Busunju'!L79+'Avg Week Busunju-Kampala'!L79</f>
        <v>0</v>
      </c>
      <c r="M79" s="49">
        <f>'Avg Week Kampala-Busunju'!M79+'Avg Week Busunju-Kampala'!M79</f>
        <v>2</v>
      </c>
      <c r="N79" s="49">
        <f>'Avg Week Kampala-Busunju'!N79+'Avg Week Busunju-Kampala'!N79</f>
        <v>0</v>
      </c>
      <c r="O79" s="15">
        <f t="shared" si="36"/>
        <v>0</v>
      </c>
      <c r="P79" s="15">
        <f t="shared" si="37"/>
        <v>2</v>
      </c>
      <c r="R79" s="8"/>
      <c r="T79"/>
    </row>
    <row r="80" spans="2:20" ht="23.1" customHeight="1" x14ac:dyDescent="0.25">
      <c r="B80" s="25" t="s">
        <v>120</v>
      </c>
      <c r="C80" s="49">
        <f>'Avg Week Kampala-Busunju'!C80+'Avg Week Busunju-Kampala'!C80</f>
        <v>2</v>
      </c>
      <c r="D80" s="49">
        <f>'Avg Week Kampala-Busunju'!D80+'Avg Week Busunju-Kampala'!D80</f>
        <v>0</v>
      </c>
      <c r="E80" s="49">
        <f>'Avg Week Kampala-Busunju'!E80+'Avg Week Busunju-Kampala'!E80</f>
        <v>2</v>
      </c>
      <c r="F80" s="49">
        <f>'Avg Week Kampala-Busunju'!F80+'Avg Week Busunju-Kampala'!F80</f>
        <v>0</v>
      </c>
      <c r="G80" s="49">
        <f>'Avg Week Kampala-Busunju'!G80+'Avg Week Busunju-Kampala'!G80</f>
        <v>0</v>
      </c>
      <c r="H80" s="49">
        <f>'Avg Week Kampala-Busunju'!H80+'Avg Week Busunju-Kampala'!H80</f>
        <v>0</v>
      </c>
      <c r="I80" s="49">
        <f>'Avg Week Kampala-Busunju'!I80+'Avg Week Busunju-Kampala'!I80</f>
        <v>0</v>
      </c>
      <c r="J80" s="49">
        <f>'Avg Week Kampala-Busunju'!J80+'Avg Week Busunju-Kampala'!J80</f>
        <v>0</v>
      </c>
      <c r="K80" s="49">
        <f>'Avg Week Kampala-Busunju'!K80+'Avg Week Busunju-Kampala'!K80</f>
        <v>0</v>
      </c>
      <c r="L80" s="49">
        <f>'Avg Week Kampala-Busunju'!L80+'Avg Week Busunju-Kampala'!L80</f>
        <v>0</v>
      </c>
      <c r="M80" s="49">
        <f>'Avg Week Kampala-Busunju'!M80+'Avg Week Busunju-Kampala'!M80</f>
        <v>0</v>
      </c>
      <c r="N80" s="49">
        <f>'Avg Week Kampala-Busunju'!N80+'Avg Week Busunju-Kampala'!N80</f>
        <v>0</v>
      </c>
      <c r="O80" s="15">
        <f t="shared" si="36"/>
        <v>4</v>
      </c>
      <c r="P80" s="15">
        <f t="shared" si="37"/>
        <v>4</v>
      </c>
      <c r="R80" s="8"/>
      <c r="T80"/>
    </row>
    <row r="81" spans="2:20" ht="23.1" customHeight="1" x14ac:dyDescent="0.25">
      <c r="B81" s="23" t="s">
        <v>121</v>
      </c>
      <c r="C81" s="49">
        <f>'Avg Week Kampala-Busunju'!C81+'Avg Week Busunju-Kampala'!C81</f>
        <v>0</v>
      </c>
      <c r="D81" s="49">
        <f>'Avg Week Kampala-Busunju'!D81+'Avg Week Busunju-Kampala'!D81</f>
        <v>0</v>
      </c>
      <c r="E81" s="49">
        <f>'Avg Week Kampala-Busunju'!E81+'Avg Week Busunju-Kampala'!E81</f>
        <v>2</v>
      </c>
      <c r="F81" s="49">
        <f>'Avg Week Kampala-Busunju'!F81+'Avg Week Busunju-Kampala'!F81</f>
        <v>0</v>
      </c>
      <c r="G81" s="49">
        <f>'Avg Week Kampala-Busunju'!G81+'Avg Week Busunju-Kampala'!G81</f>
        <v>0</v>
      </c>
      <c r="H81" s="49">
        <f>'Avg Week Kampala-Busunju'!H81+'Avg Week Busunju-Kampala'!H81</f>
        <v>0</v>
      </c>
      <c r="I81" s="49">
        <f>'Avg Week Kampala-Busunju'!I81+'Avg Week Busunju-Kampala'!I81</f>
        <v>2</v>
      </c>
      <c r="J81" s="49">
        <f>'Avg Week Kampala-Busunju'!J81+'Avg Week Busunju-Kampala'!J81</f>
        <v>0</v>
      </c>
      <c r="K81" s="49">
        <f>'Avg Week Kampala-Busunju'!K81+'Avg Week Busunju-Kampala'!K81</f>
        <v>0</v>
      </c>
      <c r="L81" s="49">
        <f>'Avg Week Kampala-Busunju'!L81+'Avg Week Busunju-Kampala'!L81</f>
        <v>0</v>
      </c>
      <c r="M81" s="49">
        <f>'Avg Week Kampala-Busunju'!M81+'Avg Week Busunju-Kampala'!M81</f>
        <v>2</v>
      </c>
      <c r="N81" s="49">
        <f>'Avg Week Kampala-Busunju'!N81+'Avg Week Busunju-Kampala'!N81</f>
        <v>0</v>
      </c>
      <c r="O81" s="15">
        <f t="shared" si="36"/>
        <v>4</v>
      </c>
      <c r="P81" s="15">
        <f t="shared" si="37"/>
        <v>6</v>
      </c>
      <c r="R81" s="8"/>
      <c r="T81"/>
    </row>
    <row r="82" spans="2:20" ht="23.1" customHeight="1" x14ac:dyDescent="0.25">
      <c r="B82" s="24" t="s">
        <v>122</v>
      </c>
      <c r="C82" s="49">
        <f>'Avg Week Kampala-Busunju'!C82+'Avg Week Busunju-Kampala'!C82</f>
        <v>2</v>
      </c>
      <c r="D82" s="49">
        <f>'Avg Week Kampala-Busunju'!D82+'Avg Week Busunju-Kampala'!D82</f>
        <v>2</v>
      </c>
      <c r="E82" s="49">
        <f>'Avg Week Kampala-Busunju'!E82+'Avg Week Busunju-Kampala'!E82</f>
        <v>0</v>
      </c>
      <c r="F82" s="49">
        <f>'Avg Week Kampala-Busunju'!F82+'Avg Week Busunju-Kampala'!F82</f>
        <v>0</v>
      </c>
      <c r="G82" s="49">
        <f>'Avg Week Kampala-Busunju'!G82+'Avg Week Busunju-Kampala'!G82</f>
        <v>0</v>
      </c>
      <c r="H82" s="49">
        <f>'Avg Week Kampala-Busunju'!H82+'Avg Week Busunju-Kampala'!H82</f>
        <v>0</v>
      </c>
      <c r="I82" s="49">
        <f>'Avg Week Kampala-Busunju'!I82+'Avg Week Busunju-Kampala'!I82</f>
        <v>2</v>
      </c>
      <c r="J82" s="49">
        <f>'Avg Week Kampala-Busunju'!J82+'Avg Week Busunju-Kampala'!J82</f>
        <v>0</v>
      </c>
      <c r="K82" s="49">
        <f>'Avg Week Kampala-Busunju'!K82+'Avg Week Busunju-Kampala'!K82</f>
        <v>0</v>
      </c>
      <c r="L82" s="49">
        <f>'Avg Week Kampala-Busunju'!L82+'Avg Week Busunju-Kampala'!L82</f>
        <v>0</v>
      </c>
      <c r="M82" s="49">
        <f>'Avg Week Kampala-Busunju'!M82+'Avg Week Busunju-Kampala'!M82</f>
        <v>0</v>
      </c>
      <c r="N82" s="49">
        <f>'Avg Week Kampala-Busunju'!N82+'Avg Week Busunju-Kampala'!N82</f>
        <v>0</v>
      </c>
      <c r="O82" s="15">
        <f t="shared" si="36"/>
        <v>6</v>
      </c>
      <c r="P82" s="15">
        <f t="shared" si="37"/>
        <v>6</v>
      </c>
      <c r="R82" s="8"/>
      <c r="T82"/>
    </row>
    <row r="83" spans="2:20" ht="23.1" customHeight="1" x14ac:dyDescent="0.25">
      <c r="B83" s="23" t="s">
        <v>123</v>
      </c>
      <c r="C83" s="49">
        <f>'Avg Week Kampala-Busunju'!C83+'Avg Week Busunju-Kampala'!C83</f>
        <v>0</v>
      </c>
      <c r="D83" s="49">
        <f>'Avg Week Kampala-Busunju'!D83+'Avg Week Busunju-Kampala'!D83</f>
        <v>0</v>
      </c>
      <c r="E83" s="49">
        <f>'Avg Week Kampala-Busunju'!E83+'Avg Week Busunju-Kampala'!E83</f>
        <v>0</v>
      </c>
      <c r="F83" s="49">
        <f>'Avg Week Kampala-Busunju'!F83+'Avg Week Busunju-Kampala'!F83</f>
        <v>0</v>
      </c>
      <c r="G83" s="49">
        <f>'Avg Week Kampala-Busunju'!G83+'Avg Week Busunju-Kampala'!G83</f>
        <v>0</v>
      </c>
      <c r="H83" s="49">
        <f>'Avg Week Kampala-Busunju'!H83+'Avg Week Busunju-Kampala'!H83</f>
        <v>0</v>
      </c>
      <c r="I83" s="49">
        <f>'Avg Week Kampala-Busunju'!I83+'Avg Week Busunju-Kampala'!I83</f>
        <v>0</v>
      </c>
      <c r="J83" s="49">
        <f>'Avg Week Kampala-Busunju'!J83+'Avg Week Busunju-Kampala'!J83</f>
        <v>0</v>
      </c>
      <c r="K83" s="49">
        <f>'Avg Week Kampala-Busunju'!K83+'Avg Week Busunju-Kampala'!K83</f>
        <v>0</v>
      </c>
      <c r="L83" s="49">
        <f>'Avg Week Kampala-Busunju'!L83+'Avg Week Busunju-Kampala'!L83</f>
        <v>0</v>
      </c>
      <c r="M83" s="49">
        <f>'Avg Week Kampala-Busunju'!M83+'Avg Week Busunju-Kampala'!M83</f>
        <v>0</v>
      </c>
      <c r="N83" s="49">
        <f>'Avg Week Kampala-Busunju'!N83+'Avg Week Busunju-Kampala'!N83</f>
        <v>0</v>
      </c>
      <c r="O83" s="15">
        <f t="shared" si="36"/>
        <v>0</v>
      </c>
      <c r="P83" s="15">
        <f t="shared" si="37"/>
        <v>0</v>
      </c>
      <c r="R83" s="8"/>
      <c r="T83"/>
    </row>
    <row r="84" spans="2:20" ht="23.1" customHeight="1" x14ac:dyDescent="0.25">
      <c r="B84" s="25" t="s">
        <v>124</v>
      </c>
      <c r="C84" s="49">
        <f>'Avg Week Kampala-Busunju'!C84+'Avg Week Busunju-Kampala'!C84</f>
        <v>2</v>
      </c>
      <c r="D84" s="49">
        <f>'Avg Week Kampala-Busunju'!D84+'Avg Week Busunju-Kampala'!D84</f>
        <v>0</v>
      </c>
      <c r="E84" s="49">
        <f>'Avg Week Kampala-Busunju'!E84+'Avg Week Busunju-Kampala'!E84</f>
        <v>2</v>
      </c>
      <c r="F84" s="49">
        <f>'Avg Week Kampala-Busunju'!F84+'Avg Week Busunju-Kampala'!F84</f>
        <v>0</v>
      </c>
      <c r="G84" s="49">
        <f>'Avg Week Kampala-Busunju'!G84+'Avg Week Busunju-Kampala'!G84</f>
        <v>0</v>
      </c>
      <c r="H84" s="49">
        <f>'Avg Week Kampala-Busunju'!H84+'Avg Week Busunju-Kampala'!H84</f>
        <v>0</v>
      </c>
      <c r="I84" s="49">
        <f>'Avg Week Kampala-Busunju'!I84+'Avg Week Busunju-Kampala'!I84</f>
        <v>0</v>
      </c>
      <c r="J84" s="49">
        <f>'Avg Week Kampala-Busunju'!J84+'Avg Week Busunju-Kampala'!J84</f>
        <v>0</v>
      </c>
      <c r="K84" s="49">
        <f>'Avg Week Kampala-Busunju'!K84+'Avg Week Busunju-Kampala'!K84</f>
        <v>0</v>
      </c>
      <c r="L84" s="49">
        <f>'Avg Week Kampala-Busunju'!L84+'Avg Week Busunju-Kampala'!L84</f>
        <v>0</v>
      </c>
      <c r="M84" s="49">
        <f>'Avg Week Kampala-Busunju'!M84+'Avg Week Busunju-Kampala'!M84</f>
        <v>0</v>
      </c>
      <c r="N84" s="49">
        <f>'Avg Week Kampala-Busunju'!N84+'Avg Week Busunju-Kampala'!N84</f>
        <v>0</v>
      </c>
      <c r="O84" s="15">
        <f t="shared" si="36"/>
        <v>4</v>
      </c>
      <c r="P84" s="15">
        <f t="shared" si="37"/>
        <v>4</v>
      </c>
      <c r="R84" s="8"/>
      <c r="T84"/>
    </row>
    <row r="85" spans="2:20" ht="23.1" customHeight="1" x14ac:dyDescent="0.25">
      <c r="B85" s="23" t="s">
        <v>125</v>
      </c>
      <c r="C85" s="49">
        <f>'Avg Week Kampala-Busunju'!C85+'Avg Week Busunju-Kampala'!C85</f>
        <v>2</v>
      </c>
      <c r="D85" s="49">
        <f>'Avg Week Kampala-Busunju'!D85+'Avg Week Busunju-Kampala'!D85</f>
        <v>0</v>
      </c>
      <c r="E85" s="49">
        <f>'Avg Week Kampala-Busunju'!E85+'Avg Week Busunju-Kampala'!E85</f>
        <v>2</v>
      </c>
      <c r="F85" s="49">
        <f>'Avg Week Kampala-Busunju'!F85+'Avg Week Busunju-Kampala'!F85</f>
        <v>0</v>
      </c>
      <c r="G85" s="49">
        <f>'Avg Week Kampala-Busunju'!G85+'Avg Week Busunju-Kampala'!G85</f>
        <v>0</v>
      </c>
      <c r="H85" s="49">
        <f>'Avg Week Kampala-Busunju'!H85+'Avg Week Busunju-Kampala'!H85</f>
        <v>0</v>
      </c>
      <c r="I85" s="49">
        <f>'Avg Week Kampala-Busunju'!I85+'Avg Week Busunju-Kampala'!I85</f>
        <v>2</v>
      </c>
      <c r="J85" s="49">
        <f>'Avg Week Kampala-Busunju'!J85+'Avg Week Busunju-Kampala'!J85</f>
        <v>0</v>
      </c>
      <c r="K85" s="49">
        <f>'Avg Week Kampala-Busunju'!K85+'Avg Week Busunju-Kampala'!K85</f>
        <v>0</v>
      </c>
      <c r="L85" s="49">
        <f>'Avg Week Kampala-Busunju'!L85+'Avg Week Busunju-Kampala'!L85</f>
        <v>0</v>
      </c>
      <c r="M85" s="49">
        <f>'Avg Week Kampala-Busunju'!M85+'Avg Week Busunju-Kampala'!M85</f>
        <v>0</v>
      </c>
      <c r="N85" s="49">
        <f>'Avg Week Kampala-Busunju'!N85+'Avg Week Busunju-Kampala'!N85</f>
        <v>0</v>
      </c>
      <c r="O85" s="15">
        <f t="shared" si="36"/>
        <v>6</v>
      </c>
      <c r="P85" s="15">
        <f t="shared" si="37"/>
        <v>6</v>
      </c>
      <c r="R85" s="8"/>
      <c r="T85"/>
    </row>
    <row r="86" spans="2:20" ht="23.1" customHeight="1" x14ac:dyDescent="0.25">
      <c r="B86" s="24" t="s">
        <v>126</v>
      </c>
      <c r="C86" s="49">
        <f>'Avg Week Kampala-Busunju'!C86+'Avg Week Busunju-Kampala'!C86</f>
        <v>0</v>
      </c>
      <c r="D86" s="49">
        <f>'Avg Week Kampala-Busunju'!D86+'Avg Week Busunju-Kampala'!D86</f>
        <v>0</v>
      </c>
      <c r="E86" s="49">
        <f>'Avg Week Kampala-Busunju'!E86+'Avg Week Busunju-Kampala'!E86</f>
        <v>0</v>
      </c>
      <c r="F86" s="49">
        <f>'Avg Week Kampala-Busunju'!F86+'Avg Week Busunju-Kampala'!F86</f>
        <v>0</v>
      </c>
      <c r="G86" s="49">
        <f>'Avg Week Kampala-Busunju'!G86+'Avg Week Busunju-Kampala'!G86</f>
        <v>0</v>
      </c>
      <c r="H86" s="49">
        <f>'Avg Week Kampala-Busunju'!H86+'Avg Week Busunju-Kampala'!H86</f>
        <v>0</v>
      </c>
      <c r="I86" s="49">
        <f>'Avg Week Kampala-Busunju'!I86+'Avg Week Busunju-Kampala'!I86</f>
        <v>0</v>
      </c>
      <c r="J86" s="49">
        <f>'Avg Week Kampala-Busunju'!J86+'Avg Week Busunju-Kampala'!J86</f>
        <v>0</v>
      </c>
      <c r="K86" s="49">
        <f>'Avg Week Kampala-Busunju'!K86+'Avg Week Busunju-Kampala'!K86</f>
        <v>0</v>
      </c>
      <c r="L86" s="49">
        <f>'Avg Week Kampala-Busunju'!L86+'Avg Week Busunju-Kampala'!L86</f>
        <v>0</v>
      </c>
      <c r="M86" s="49">
        <f>'Avg Week Kampala-Busunju'!M86+'Avg Week Busunju-Kampala'!M86</f>
        <v>2</v>
      </c>
      <c r="N86" s="49">
        <f>'Avg Week Kampala-Busunju'!N86+'Avg Week Busunju-Kampala'!N86</f>
        <v>0</v>
      </c>
      <c r="O86" s="15">
        <f t="shared" si="36"/>
        <v>0</v>
      </c>
      <c r="P86" s="15">
        <f t="shared" si="37"/>
        <v>2</v>
      </c>
      <c r="R86" s="8"/>
      <c r="T86"/>
    </row>
    <row r="87" spans="2:20" ht="23.1" customHeight="1" x14ac:dyDescent="0.25">
      <c r="B87" s="23" t="s">
        <v>127</v>
      </c>
      <c r="C87" s="49">
        <f>'Avg Week Kampala-Busunju'!C87+'Avg Week Busunju-Kampala'!C87</f>
        <v>0</v>
      </c>
      <c r="D87" s="49">
        <f>'Avg Week Kampala-Busunju'!D87+'Avg Week Busunju-Kampala'!D87</f>
        <v>0</v>
      </c>
      <c r="E87" s="49">
        <f>'Avg Week Kampala-Busunju'!E87+'Avg Week Busunju-Kampala'!E87</f>
        <v>0</v>
      </c>
      <c r="F87" s="49">
        <f>'Avg Week Kampala-Busunju'!F87+'Avg Week Busunju-Kampala'!F87</f>
        <v>0</v>
      </c>
      <c r="G87" s="49">
        <f>'Avg Week Kampala-Busunju'!G87+'Avg Week Busunju-Kampala'!G87</f>
        <v>0</v>
      </c>
      <c r="H87" s="49">
        <f>'Avg Week Kampala-Busunju'!H87+'Avg Week Busunju-Kampala'!H87</f>
        <v>0</v>
      </c>
      <c r="I87" s="49">
        <f>'Avg Week Kampala-Busunju'!I87+'Avg Week Busunju-Kampala'!I87</f>
        <v>0</v>
      </c>
      <c r="J87" s="49">
        <f>'Avg Week Kampala-Busunju'!J87+'Avg Week Busunju-Kampala'!J87</f>
        <v>0</v>
      </c>
      <c r="K87" s="49">
        <f>'Avg Week Kampala-Busunju'!K87+'Avg Week Busunju-Kampala'!K87</f>
        <v>0</v>
      </c>
      <c r="L87" s="49">
        <f>'Avg Week Kampala-Busunju'!L87+'Avg Week Busunju-Kampala'!L87</f>
        <v>0</v>
      </c>
      <c r="M87" s="49">
        <f>'Avg Week Kampala-Busunju'!M87+'Avg Week Busunju-Kampala'!M87</f>
        <v>0</v>
      </c>
      <c r="N87" s="49">
        <f>'Avg Week Kampala-Busunju'!N87+'Avg Week Busunju-Kampala'!N87</f>
        <v>0</v>
      </c>
      <c r="O87" s="15">
        <f t="shared" si="36"/>
        <v>0</v>
      </c>
      <c r="P87" s="15">
        <f t="shared" si="37"/>
        <v>0</v>
      </c>
      <c r="R87" s="8"/>
      <c r="T87"/>
    </row>
    <row r="88" spans="2:20" ht="23.1" customHeight="1" x14ac:dyDescent="0.25">
      <c r="B88" s="25" t="s">
        <v>128</v>
      </c>
      <c r="C88" s="49">
        <f>'Avg Week Kampala-Busunju'!C88+'Avg Week Busunju-Kampala'!C88</f>
        <v>0</v>
      </c>
      <c r="D88" s="49">
        <f>'Avg Week Kampala-Busunju'!D88+'Avg Week Busunju-Kampala'!D88</f>
        <v>0</v>
      </c>
      <c r="E88" s="49">
        <f>'Avg Week Kampala-Busunju'!E88+'Avg Week Busunju-Kampala'!E88</f>
        <v>0</v>
      </c>
      <c r="F88" s="49">
        <f>'Avg Week Kampala-Busunju'!F88+'Avg Week Busunju-Kampala'!F88</f>
        <v>0</v>
      </c>
      <c r="G88" s="49">
        <f>'Avg Week Kampala-Busunju'!G88+'Avg Week Busunju-Kampala'!G88</f>
        <v>0</v>
      </c>
      <c r="H88" s="49">
        <f>'Avg Week Kampala-Busunju'!H88+'Avg Week Busunju-Kampala'!H88</f>
        <v>0</v>
      </c>
      <c r="I88" s="49">
        <f>'Avg Week Kampala-Busunju'!I88+'Avg Week Busunju-Kampala'!I88</f>
        <v>0</v>
      </c>
      <c r="J88" s="49">
        <f>'Avg Week Kampala-Busunju'!J88+'Avg Week Busunju-Kampala'!J88</f>
        <v>0</v>
      </c>
      <c r="K88" s="49">
        <f>'Avg Week Kampala-Busunju'!K88+'Avg Week Busunju-Kampala'!K88</f>
        <v>0</v>
      </c>
      <c r="L88" s="49">
        <f>'Avg Week Kampala-Busunju'!L88+'Avg Week Busunju-Kampala'!L88</f>
        <v>0</v>
      </c>
      <c r="M88" s="49">
        <f>'Avg Week Kampala-Busunju'!M88+'Avg Week Busunju-Kampala'!M88</f>
        <v>0</v>
      </c>
      <c r="N88" s="49">
        <f>'Avg Week Kampala-Busunju'!N88+'Avg Week Busunju-Kampala'!N88</f>
        <v>0</v>
      </c>
      <c r="O88" s="15">
        <f t="shared" si="36"/>
        <v>0</v>
      </c>
      <c r="P88" s="15">
        <f t="shared" si="37"/>
        <v>0</v>
      </c>
      <c r="R88" s="8"/>
      <c r="T88"/>
    </row>
    <row r="89" spans="2:20" ht="23.1" customHeight="1" x14ac:dyDescent="0.25">
      <c r="B89" s="23" t="s">
        <v>129</v>
      </c>
      <c r="C89" s="49">
        <f>'Avg Week Kampala-Busunju'!C89+'Avg Week Busunju-Kampala'!C89</f>
        <v>0</v>
      </c>
      <c r="D89" s="49">
        <f>'Avg Week Kampala-Busunju'!D89+'Avg Week Busunju-Kampala'!D89</f>
        <v>0</v>
      </c>
      <c r="E89" s="49">
        <f>'Avg Week Kampala-Busunju'!E89+'Avg Week Busunju-Kampala'!E89</f>
        <v>0</v>
      </c>
      <c r="F89" s="49">
        <f>'Avg Week Kampala-Busunju'!F89+'Avg Week Busunju-Kampala'!F89</f>
        <v>2</v>
      </c>
      <c r="G89" s="49">
        <f>'Avg Week Kampala-Busunju'!G89+'Avg Week Busunju-Kampala'!G89</f>
        <v>0</v>
      </c>
      <c r="H89" s="49">
        <f>'Avg Week Kampala-Busunju'!H89+'Avg Week Busunju-Kampala'!H89</f>
        <v>0</v>
      </c>
      <c r="I89" s="49">
        <f>'Avg Week Kampala-Busunju'!I89+'Avg Week Busunju-Kampala'!I89</f>
        <v>0</v>
      </c>
      <c r="J89" s="49">
        <f>'Avg Week Kampala-Busunju'!J89+'Avg Week Busunju-Kampala'!J89</f>
        <v>0</v>
      </c>
      <c r="K89" s="49">
        <f>'Avg Week Kampala-Busunju'!K89+'Avg Week Busunju-Kampala'!K89</f>
        <v>0</v>
      </c>
      <c r="L89" s="49">
        <f>'Avg Week Kampala-Busunju'!L89+'Avg Week Busunju-Kampala'!L89</f>
        <v>0</v>
      </c>
      <c r="M89" s="49">
        <f>'Avg Week Kampala-Busunju'!M89+'Avg Week Busunju-Kampala'!M89</f>
        <v>0</v>
      </c>
      <c r="N89" s="49">
        <f>'Avg Week Kampala-Busunju'!N89+'Avg Week Busunju-Kampala'!N89</f>
        <v>0</v>
      </c>
      <c r="O89" s="15">
        <f t="shared" si="36"/>
        <v>2</v>
      </c>
      <c r="P89" s="15">
        <f t="shared" si="37"/>
        <v>2</v>
      </c>
      <c r="R89" s="8"/>
      <c r="T89"/>
    </row>
    <row r="90" spans="2:20" ht="23.1" customHeight="1" x14ac:dyDescent="0.25">
      <c r="B90" s="24" t="s">
        <v>130</v>
      </c>
      <c r="C90" s="49">
        <f>'Avg Week Kampala-Busunju'!C90+'Avg Week Busunju-Kampala'!C90</f>
        <v>0</v>
      </c>
      <c r="D90" s="49">
        <f>'Avg Week Kampala-Busunju'!D90+'Avg Week Busunju-Kampala'!D90</f>
        <v>2</v>
      </c>
      <c r="E90" s="49">
        <f>'Avg Week Kampala-Busunju'!E90+'Avg Week Busunju-Kampala'!E90</f>
        <v>0</v>
      </c>
      <c r="F90" s="49">
        <f>'Avg Week Kampala-Busunju'!F90+'Avg Week Busunju-Kampala'!F90</f>
        <v>0</v>
      </c>
      <c r="G90" s="49">
        <f>'Avg Week Kampala-Busunju'!G90+'Avg Week Busunju-Kampala'!G90</f>
        <v>0</v>
      </c>
      <c r="H90" s="49">
        <f>'Avg Week Kampala-Busunju'!H90+'Avg Week Busunju-Kampala'!H90</f>
        <v>0</v>
      </c>
      <c r="I90" s="49">
        <f>'Avg Week Kampala-Busunju'!I90+'Avg Week Busunju-Kampala'!I90</f>
        <v>0</v>
      </c>
      <c r="J90" s="49">
        <f>'Avg Week Kampala-Busunju'!J90+'Avg Week Busunju-Kampala'!J90</f>
        <v>0</v>
      </c>
      <c r="K90" s="49">
        <f>'Avg Week Kampala-Busunju'!K90+'Avg Week Busunju-Kampala'!K90</f>
        <v>0</v>
      </c>
      <c r="L90" s="49">
        <f>'Avg Week Kampala-Busunju'!L90+'Avg Week Busunju-Kampala'!L90</f>
        <v>0</v>
      </c>
      <c r="M90" s="49">
        <f>'Avg Week Kampala-Busunju'!M90+'Avg Week Busunju-Kampala'!M90</f>
        <v>0</v>
      </c>
      <c r="N90" s="49">
        <f>'Avg Week Kampala-Busunju'!N90+'Avg Week Busunju-Kampala'!N90</f>
        <v>0</v>
      </c>
      <c r="O90" s="15">
        <f t="shared" si="36"/>
        <v>2</v>
      </c>
      <c r="P90" s="15">
        <f t="shared" si="37"/>
        <v>2</v>
      </c>
      <c r="R90" s="8"/>
      <c r="T90"/>
    </row>
    <row r="91" spans="2:20" ht="23.1" customHeight="1" x14ac:dyDescent="0.25">
      <c r="B91" s="23" t="s">
        <v>131</v>
      </c>
      <c r="C91" s="49">
        <f>'Avg Week Kampala-Busunju'!C91+'Avg Week Busunju-Kampala'!C91</f>
        <v>0</v>
      </c>
      <c r="D91" s="49">
        <f>'Avg Week Kampala-Busunju'!D91+'Avg Week Busunju-Kampala'!D91</f>
        <v>0</v>
      </c>
      <c r="E91" s="49">
        <f>'Avg Week Kampala-Busunju'!E91+'Avg Week Busunju-Kampala'!E91</f>
        <v>0</v>
      </c>
      <c r="F91" s="49">
        <f>'Avg Week Kampala-Busunju'!F91+'Avg Week Busunju-Kampala'!F91</f>
        <v>0</v>
      </c>
      <c r="G91" s="49">
        <f>'Avg Week Kampala-Busunju'!G91+'Avg Week Busunju-Kampala'!G91</f>
        <v>0</v>
      </c>
      <c r="H91" s="49">
        <f>'Avg Week Kampala-Busunju'!H91+'Avg Week Busunju-Kampala'!H91</f>
        <v>0</v>
      </c>
      <c r="I91" s="49">
        <f>'Avg Week Kampala-Busunju'!I91+'Avg Week Busunju-Kampala'!I91</f>
        <v>0</v>
      </c>
      <c r="J91" s="49">
        <f>'Avg Week Kampala-Busunju'!J91+'Avg Week Busunju-Kampala'!J91</f>
        <v>0</v>
      </c>
      <c r="K91" s="49">
        <f>'Avg Week Kampala-Busunju'!K91+'Avg Week Busunju-Kampala'!K91</f>
        <v>0</v>
      </c>
      <c r="L91" s="49">
        <f>'Avg Week Kampala-Busunju'!L91+'Avg Week Busunju-Kampala'!L91</f>
        <v>0</v>
      </c>
      <c r="M91" s="49">
        <f>'Avg Week Kampala-Busunju'!M91+'Avg Week Busunju-Kampala'!M91</f>
        <v>0</v>
      </c>
      <c r="N91" s="49">
        <f>'Avg Week Kampala-Busunju'!N91+'Avg Week Busunju-Kampala'!N91</f>
        <v>0</v>
      </c>
      <c r="O91" s="15">
        <f t="shared" si="36"/>
        <v>0</v>
      </c>
      <c r="P91" s="15">
        <f t="shared" si="37"/>
        <v>0</v>
      </c>
      <c r="R91" s="8"/>
      <c r="T91"/>
    </row>
    <row r="92" spans="2:20" ht="23.1" customHeight="1" x14ac:dyDescent="0.25">
      <c r="B92" s="25" t="s">
        <v>132</v>
      </c>
      <c r="C92" s="49">
        <f>'Avg Week Kampala-Busunju'!C92+'Avg Week Busunju-Kampala'!C92</f>
        <v>2</v>
      </c>
      <c r="D92" s="49">
        <f>'Avg Week Kampala-Busunju'!D92+'Avg Week Busunju-Kampala'!D92</f>
        <v>0</v>
      </c>
      <c r="E92" s="49">
        <f>'Avg Week Kampala-Busunju'!E92+'Avg Week Busunju-Kampala'!E92</f>
        <v>0</v>
      </c>
      <c r="F92" s="49">
        <f>'Avg Week Kampala-Busunju'!F92+'Avg Week Busunju-Kampala'!F92</f>
        <v>0</v>
      </c>
      <c r="G92" s="49">
        <f>'Avg Week Kampala-Busunju'!G92+'Avg Week Busunju-Kampala'!G92</f>
        <v>0</v>
      </c>
      <c r="H92" s="49">
        <f>'Avg Week Kampala-Busunju'!H92+'Avg Week Busunju-Kampala'!H92</f>
        <v>0</v>
      </c>
      <c r="I92" s="49">
        <f>'Avg Week Kampala-Busunju'!I92+'Avg Week Busunju-Kampala'!I92</f>
        <v>0</v>
      </c>
      <c r="J92" s="49">
        <f>'Avg Week Kampala-Busunju'!J92+'Avg Week Busunju-Kampala'!J92</f>
        <v>0</v>
      </c>
      <c r="K92" s="49">
        <f>'Avg Week Kampala-Busunju'!K92+'Avg Week Busunju-Kampala'!K92</f>
        <v>0</v>
      </c>
      <c r="L92" s="49">
        <f>'Avg Week Kampala-Busunju'!L92+'Avg Week Busunju-Kampala'!L92</f>
        <v>0</v>
      </c>
      <c r="M92" s="49">
        <f>'Avg Week Kampala-Busunju'!M92+'Avg Week Busunju-Kampala'!M92</f>
        <v>0</v>
      </c>
      <c r="N92" s="49">
        <f>'Avg Week Kampala-Busunju'!N92+'Avg Week Busunju-Kampala'!N92</f>
        <v>0</v>
      </c>
      <c r="O92" s="15">
        <f t="shared" si="36"/>
        <v>2</v>
      </c>
      <c r="P92" s="15">
        <f t="shared" si="37"/>
        <v>2</v>
      </c>
      <c r="R92" s="8"/>
      <c r="T92"/>
    </row>
    <row r="93" spans="2:20" ht="23.1" customHeight="1" x14ac:dyDescent="0.25">
      <c r="B93" s="23" t="s">
        <v>133</v>
      </c>
      <c r="C93" s="49">
        <f>'Avg Week Kampala-Busunju'!C93+'Avg Week Busunju-Kampala'!C93</f>
        <v>0</v>
      </c>
      <c r="D93" s="49">
        <f>'Avg Week Kampala-Busunju'!D93+'Avg Week Busunju-Kampala'!D93</f>
        <v>0</v>
      </c>
      <c r="E93" s="49">
        <f>'Avg Week Kampala-Busunju'!E93+'Avg Week Busunju-Kampala'!E93</f>
        <v>0</v>
      </c>
      <c r="F93" s="49">
        <f>'Avg Week Kampala-Busunju'!F93+'Avg Week Busunju-Kampala'!F93</f>
        <v>0</v>
      </c>
      <c r="G93" s="49">
        <f>'Avg Week Kampala-Busunju'!G93+'Avg Week Busunju-Kampala'!G93</f>
        <v>0</v>
      </c>
      <c r="H93" s="49">
        <f>'Avg Week Kampala-Busunju'!H93+'Avg Week Busunju-Kampala'!H93</f>
        <v>0</v>
      </c>
      <c r="I93" s="49">
        <f>'Avg Week Kampala-Busunju'!I93+'Avg Week Busunju-Kampala'!I93</f>
        <v>0</v>
      </c>
      <c r="J93" s="49">
        <f>'Avg Week Kampala-Busunju'!J93+'Avg Week Busunju-Kampala'!J93</f>
        <v>0</v>
      </c>
      <c r="K93" s="49">
        <f>'Avg Week Kampala-Busunju'!K93+'Avg Week Busunju-Kampala'!K93</f>
        <v>0</v>
      </c>
      <c r="L93" s="49">
        <f>'Avg Week Kampala-Busunju'!L93+'Avg Week Busunju-Kampala'!L93</f>
        <v>0</v>
      </c>
      <c r="M93" s="49">
        <f>'Avg Week Kampala-Busunju'!M93+'Avg Week Busunju-Kampala'!M93</f>
        <v>0</v>
      </c>
      <c r="N93" s="49">
        <f>'Avg Week Kampala-Busunju'!N93+'Avg Week Busunju-Kampala'!N93</f>
        <v>0</v>
      </c>
      <c r="O93" s="15">
        <f t="shared" si="36"/>
        <v>0</v>
      </c>
      <c r="P93" s="15">
        <f t="shared" si="37"/>
        <v>0</v>
      </c>
      <c r="R93" s="8"/>
      <c r="T93"/>
    </row>
    <row r="94" spans="2:20" ht="23.1" customHeight="1" x14ac:dyDescent="0.25">
      <c r="B94" s="24" t="s">
        <v>134</v>
      </c>
      <c r="C94" s="49">
        <f>'Avg Week Kampala-Busunju'!C94+'Avg Week Busunju-Kampala'!C94</f>
        <v>0</v>
      </c>
      <c r="D94" s="49">
        <f>'Avg Week Kampala-Busunju'!D94+'Avg Week Busunju-Kampala'!D94</f>
        <v>0</v>
      </c>
      <c r="E94" s="49">
        <f>'Avg Week Kampala-Busunju'!E94+'Avg Week Busunju-Kampala'!E94</f>
        <v>2</v>
      </c>
      <c r="F94" s="49">
        <f>'Avg Week Kampala-Busunju'!F94+'Avg Week Busunju-Kampala'!F94</f>
        <v>0</v>
      </c>
      <c r="G94" s="49">
        <f>'Avg Week Kampala-Busunju'!G94+'Avg Week Busunju-Kampala'!G94</f>
        <v>0</v>
      </c>
      <c r="H94" s="49">
        <f>'Avg Week Kampala-Busunju'!H94+'Avg Week Busunju-Kampala'!H94</f>
        <v>2</v>
      </c>
      <c r="I94" s="49">
        <f>'Avg Week Kampala-Busunju'!I94+'Avg Week Busunju-Kampala'!I94</f>
        <v>0</v>
      </c>
      <c r="J94" s="49">
        <f>'Avg Week Kampala-Busunju'!J94+'Avg Week Busunju-Kampala'!J94</f>
        <v>0</v>
      </c>
      <c r="K94" s="49">
        <f>'Avg Week Kampala-Busunju'!K94+'Avg Week Busunju-Kampala'!K94</f>
        <v>0</v>
      </c>
      <c r="L94" s="49">
        <f>'Avg Week Kampala-Busunju'!L94+'Avg Week Busunju-Kampala'!L94</f>
        <v>0</v>
      </c>
      <c r="M94" s="49">
        <f>'Avg Week Kampala-Busunju'!M94+'Avg Week Busunju-Kampala'!M94</f>
        <v>0</v>
      </c>
      <c r="N94" s="49">
        <f>'Avg Week Kampala-Busunju'!N94+'Avg Week Busunju-Kampala'!N94</f>
        <v>0</v>
      </c>
      <c r="O94" s="15">
        <f t="shared" si="36"/>
        <v>4</v>
      </c>
      <c r="P94" s="15">
        <f t="shared" si="37"/>
        <v>4</v>
      </c>
      <c r="R94" s="8"/>
      <c r="T94"/>
    </row>
    <row r="95" spans="2:20" ht="23.1" customHeight="1" x14ac:dyDescent="0.25">
      <c r="B95" s="23" t="s">
        <v>135</v>
      </c>
      <c r="C95" s="49">
        <f>'Avg Week Kampala-Busunju'!C95+'Avg Week Busunju-Kampala'!C95</f>
        <v>0</v>
      </c>
      <c r="D95" s="49">
        <f>'Avg Week Kampala-Busunju'!D95+'Avg Week Busunju-Kampala'!D95</f>
        <v>0</v>
      </c>
      <c r="E95" s="49">
        <f>'Avg Week Kampala-Busunju'!E95+'Avg Week Busunju-Kampala'!E95</f>
        <v>0</v>
      </c>
      <c r="F95" s="49">
        <f>'Avg Week Kampala-Busunju'!F95+'Avg Week Busunju-Kampala'!F95</f>
        <v>0</v>
      </c>
      <c r="G95" s="49">
        <f>'Avg Week Kampala-Busunju'!G95+'Avg Week Busunju-Kampala'!G95</f>
        <v>0</v>
      </c>
      <c r="H95" s="49">
        <f>'Avg Week Kampala-Busunju'!H95+'Avg Week Busunju-Kampala'!H95</f>
        <v>0</v>
      </c>
      <c r="I95" s="49">
        <f>'Avg Week Kampala-Busunju'!I95+'Avg Week Busunju-Kampala'!I95</f>
        <v>0</v>
      </c>
      <c r="J95" s="49">
        <f>'Avg Week Kampala-Busunju'!J95+'Avg Week Busunju-Kampala'!J95</f>
        <v>0</v>
      </c>
      <c r="K95" s="49">
        <f>'Avg Week Kampala-Busunju'!K95+'Avg Week Busunju-Kampala'!K95</f>
        <v>0</v>
      </c>
      <c r="L95" s="49">
        <f>'Avg Week Kampala-Busunju'!L95+'Avg Week Busunju-Kampala'!L95</f>
        <v>0</v>
      </c>
      <c r="M95" s="49">
        <f>'Avg Week Kampala-Busunju'!M95+'Avg Week Busunju-Kampala'!M95</f>
        <v>0</v>
      </c>
      <c r="N95" s="49">
        <f>'Avg Week Kampala-Busunju'!N95+'Avg Week Busunju-Kampala'!N95</f>
        <v>0</v>
      </c>
      <c r="O95" s="15">
        <f t="shared" si="36"/>
        <v>0</v>
      </c>
      <c r="P95" s="15">
        <f t="shared" si="37"/>
        <v>0</v>
      </c>
      <c r="R95" s="8"/>
      <c r="T95"/>
    </row>
    <row r="96" spans="2:20" ht="23.1" customHeight="1" x14ac:dyDescent="0.25">
      <c r="B96" s="25" t="s">
        <v>136</v>
      </c>
      <c r="C96" s="49">
        <f>'Avg Week Kampala-Busunju'!C96+'Avg Week Busunju-Kampala'!C96</f>
        <v>0</v>
      </c>
      <c r="D96" s="49">
        <f>'Avg Week Kampala-Busunju'!D96+'Avg Week Busunju-Kampala'!D96</f>
        <v>0</v>
      </c>
      <c r="E96" s="49">
        <f>'Avg Week Kampala-Busunju'!E96+'Avg Week Busunju-Kampala'!E96</f>
        <v>0</v>
      </c>
      <c r="F96" s="49">
        <f>'Avg Week Kampala-Busunju'!F96+'Avg Week Busunju-Kampala'!F96</f>
        <v>0</v>
      </c>
      <c r="G96" s="49">
        <f>'Avg Week Kampala-Busunju'!G96+'Avg Week Busunju-Kampala'!G96</f>
        <v>0</v>
      </c>
      <c r="H96" s="49">
        <f>'Avg Week Kampala-Busunju'!H96+'Avg Week Busunju-Kampala'!H96</f>
        <v>0</v>
      </c>
      <c r="I96" s="49">
        <f>'Avg Week Kampala-Busunju'!I96+'Avg Week Busunju-Kampala'!I96</f>
        <v>0</v>
      </c>
      <c r="J96" s="49">
        <f>'Avg Week Kampala-Busunju'!J96+'Avg Week Busunju-Kampala'!J96</f>
        <v>0</v>
      </c>
      <c r="K96" s="49">
        <f>'Avg Week Kampala-Busunju'!K96+'Avg Week Busunju-Kampala'!K96</f>
        <v>0</v>
      </c>
      <c r="L96" s="49">
        <f>'Avg Week Kampala-Busunju'!L96+'Avg Week Busunju-Kampala'!L96</f>
        <v>0</v>
      </c>
      <c r="M96" s="49">
        <f>'Avg Week Kampala-Busunju'!M96+'Avg Week Busunju-Kampala'!M96</f>
        <v>0</v>
      </c>
      <c r="N96" s="49">
        <f>'Avg Week Kampala-Busunju'!N96+'Avg Week Busunju-Kampala'!N96</f>
        <v>0</v>
      </c>
      <c r="O96" s="15">
        <f t="shared" si="36"/>
        <v>0</v>
      </c>
      <c r="P96" s="15">
        <f t="shared" si="37"/>
        <v>0</v>
      </c>
      <c r="R96" s="8"/>
      <c r="T96"/>
    </row>
    <row r="97" spans="2:20" ht="23.1" customHeight="1" x14ac:dyDescent="0.25">
      <c r="B97" s="23" t="s">
        <v>137</v>
      </c>
      <c r="C97" s="49">
        <f>'Avg Week Kampala-Busunju'!C97+'Avg Week Busunju-Kampala'!C97</f>
        <v>0</v>
      </c>
      <c r="D97" s="49">
        <f>'Avg Week Kampala-Busunju'!D97+'Avg Week Busunju-Kampala'!D97</f>
        <v>0</v>
      </c>
      <c r="E97" s="49">
        <f>'Avg Week Kampala-Busunju'!E97+'Avg Week Busunju-Kampala'!E97</f>
        <v>0</v>
      </c>
      <c r="F97" s="49">
        <f>'Avg Week Kampala-Busunju'!F97+'Avg Week Busunju-Kampala'!F97</f>
        <v>0</v>
      </c>
      <c r="G97" s="49">
        <f>'Avg Week Kampala-Busunju'!G97+'Avg Week Busunju-Kampala'!G97</f>
        <v>0</v>
      </c>
      <c r="H97" s="49">
        <f>'Avg Week Kampala-Busunju'!H97+'Avg Week Busunju-Kampala'!H97</f>
        <v>0</v>
      </c>
      <c r="I97" s="49">
        <f>'Avg Week Kampala-Busunju'!I97+'Avg Week Busunju-Kampala'!I97</f>
        <v>0</v>
      </c>
      <c r="J97" s="49">
        <f>'Avg Week Kampala-Busunju'!J97+'Avg Week Busunju-Kampala'!J97</f>
        <v>0</v>
      </c>
      <c r="K97" s="49">
        <f>'Avg Week Kampala-Busunju'!K97+'Avg Week Busunju-Kampala'!K97</f>
        <v>0</v>
      </c>
      <c r="L97" s="49">
        <f>'Avg Week Kampala-Busunju'!L97+'Avg Week Busunju-Kampala'!L97</f>
        <v>0</v>
      </c>
      <c r="M97" s="49">
        <f>'Avg Week Kampala-Busunju'!M97+'Avg Week Busunju-Kampala'!M97</f>
        <v>0</v>
      </c>
      <c r="N97" s="49">
        <f>'Avg Week Kampala-Busunju'!N97+'Avg Week Busunju-Kampala'!N97</f>
        <v>0</v>
      </c>
      <c r="O97" s="15">
        <f t="shared" si="36"/>
        <v>0</v>
      </c>
      <c r="P97" s="15">
        <f t="shared" si="37"/>
        <v>0</v>
      </c>
      <c r="R97" s="8"/>
      <c r="T97"/>
    </row>
    <row r="98" spans="2:20" ht="23.1" customHeight="1" x14ac:dyDescent="0.25">
      <c r="B98" s="24" t="s">
        <v>138</v>
      </c>
      <c r="C98" s="49">
        <f>'Avg Week Kampala-Busunju'!C98+'Avg Week Busunju-Kampala'!C98</f>
        <v>4</v>
      </c>
      <c r="D98" s="49">
        <f>'Avg Week Kampala-Busunju'!D98+'Avg Week Busunju-Kampala'!D98</f>
        <v>0</v>
      </c>
      <c r="E98" s="49">
        <f>'Avg Week Kampala-Busunju'!E98+'Avg Week Busunju-Kampala'!E98</f>
        <v>0</v>
      </c>
      <c r="F98" s="49">
        <f>'Avg Week Kampala-Busunju'!F98+'Avg Week Busunju-Kampala'!F98</f>
        <v>0</v>
      </c>
      <c r="G98" s="49">
        <f>'Avg Week Kampala-Busunju'!G98+'Avg Week Busunju-Kampala'!G98</f>
        <v>0</v>
      </c>
      <c r="H98" s="49">
        <f>'Avg Week Kampala-Busunju'!H98+'Avg Week Busunju-Kampala'!H98</f>
        <v>0</v>
      </c>
      <c r="I98" s="49">
        <f>'Avg Week Kampala-Busunju'!I98+'Avg Week Busunju-Kampala'!I98</f>
        <v>0</v>
      </c>
      <c r="J98" s="49">
        <f>'Avg Week Kampala-Busunju'!J98+'Avg Week Busunju-Kampala'!J98</f>
        <v>0</v>
      </c>
      <c r="K98" s="49">
        <f>'Avg Week Kampala-Busunju'!K98+'Avg Week Busunju-Kampala'!K98</f>
        <v>0</v>
      </c>
      <c r="L98" s="49">
        <f>'Avg Week Kampala-Busunju'!L98+'Avg Week Busunju-Kampala'!L98</f>
        <v>0</v>
      </c>
      <c r="M98" s="49">
        <f>'Avg Week Kampala-Busunju'!M98+'Avg Week Busunju-Kampala'!M98</f>
        <v>1</v>
      </c>
      <c r="N98" s="49">
        <f>'Avg Week Kampala-Busunju'!N98+'Avg Week Busunju-Kampala'!N98</f>
        <v>0</v>
      </c>
      <c r="O98" s="15">
        <f t="shared" si="36"/>
        <v>4</v>
      </c>
      <c r="P98" s="15">
        <f t="shared" si="37"/>
        <v>5</v>
      </c>
      <c r="R98" s="8"/>
      <c r="T98"/>
    </row>
    <row r="99" spans="2:20" ht="23.1" customHeight="1" x14ac:dyDescent="0.25">
      <c r="B99" s="23" t="s">
        <v>139</v>
      </c>
      <c r="C99" s="49">
        <f>'Avg Week Kampala-Busunju'!C99+'Avg Week Busunju-Kampala'!C99</f>
        <v>0</v>
      </c>
      <c r="D99" s="49">
        <f>'Avg Week Kampala-Busunju'!D99+'Avg Week Busunju-Kampala'!D99</f>
        <v>0</v>
      </c>
      <c r="E99" s="49">
        <f>'Avg Week Kampala-Busunju'!E99+'Avg Week Busunju-Kampala'!E99</f>
        <v>0</v>
      </c>
      <c r="F99" s="49">
        <f>'Avg Week Kampala-Busunju'!F99+'Avg Week Busunju-Kampala'!F99</f>
        <v>0</v>
      </c>
      <c r="G99" s="49">
        <f>'Avg Week Kampala-Busunju'!G99+'Avg Week Busunju-Kampala'!G99</f>
        <v>0</v>
      </c>
      <c r="H99" s="49">
        <f>'Avg Week Kampala-Busunju'!H99+'Avg Week Busunju-Kampala'!H99</f>
        <v>0</v>
      </c>
      <c r="I99" s="49">
        <f>'Avg Week Kampala-Busunju'!I99+'Avg Week Busunju-Kampala'!I99</f>
        <v>0</v>
      </c>
      <c r="J99" s="49">
        <f>'Avg Week Kampala-Busunju'!J99+'Avg Week Busunju-Kampala'!J99</f>
        <v>0</v>
      </c>
      <c r="K99" s="49">
        <f>'Avg Week Kampala-Busunju'!K99+'Avg Week Busunju-Kampala'!K99</f>
        <v>0</v>
      </c>
      <c r="L99" s="49">
        <f>'Avg Week Kampala-Busunju'!L99+'Avg Week Busunju-Kampala'!L99</f>
        <v>0</v>
      </c>
      <c r="M99" s="49">
        <f>'Avg Week Kampala-Busunju'!M99+'Avg Week Busunju-Kampala'!M99</f>
        <v>0</v>
      </c>
      <c r="N99" s="49">
        <f>'Avg Week Kampala-Busunju'!N99+'Avg Week Busunju-Kampala'!N99</f>
        <v>0</v>
      </c>
      <c r="O99" s="15">
        <f t="shared" si="36"/>
        <v>0</v>
      </c>
      <c r="P99" s="15">
        <f t="shared" si="37"/>
        <v>0</v>
      </c>
      <c r="R99" s="8"/>
      <c r="T99"/>
    </row>
    <row r="100" spans="2:20" ht="23.1" customHeight="1" x14ac:dyDescent="0.25">
      <c r="B100" s="25" t="s">
        <v>140</v>
      </c>
      <c r="C100" s="49">
        <f>'Avg Week Kampala-Busunju'!C100+'Avg Week Busunju-Kampala'!C100</f>
        <v>2</v>
      </c>
      <c r="D100" s="49">
        <f>'Avg Week Kampala-Busunju'!D100+'Avg Week Busunju-Kampala'!D100</f>
        <v>0</v>
      </c>
      <c r="E100" s="49">
        <f>'Avg Week Kampala-Busunju'!E100+'Avg Week Busunju-Kampala'!E100</f>
        <v>0</v>
      </c>
      <c r="F100" s="49">
        <f>'Avg Week Kampala-Busunju'!F100+'Avg Week Busunju-Kampala'!F100</f>
        <v>0</v>
      </c>
      <c r="G100" s="49">
        <f>'Avg Week Kampala-Busunju'!G100+'Avg Week Busunju-Kampala'!G100</f>
        <v>2</v>
      </c>
      <c r="H100" s="49">
        <f>'Avg Week Kampala-Busunju'!H100+'Avg Week Busunju-Kampala'!H100</f>
        <v>0</v>
      </c>
      <c r="I100" s="49">
        <f>'Avg Week Kampala-Busunju'!I100+'Avg Week Busunju-Kampala'!I100</f>
        <v>0</v>
      </c>
      <c r="J100" s="49">
        <f>'Avg Week Kampala-Busunju'!J100+'Avg Week Busunju-Kampala'!J100</f>
        <v>0</v>
      </c>
      <c r="K100" s="49">
        <f>'Avg Week Kampala-Busunju'!K100+'Avg Week Busunju-Kampala'!K100</f>
        <v>0</v>
      </c>
      <c r="L100" s="49">
        <f>'Avg Week Kampala-Busunju'!L100+'Avg Week Busunju-Kampala'!L100</f>
        <v>0</v>
      </c>
      <c r="M100" s="49">
        <f>'Avg Week Kampala-Busunju'!M100+'Avg Week Busunju-Kampala'!M100</f>
        <v>2</v>
      </c>
      <c r="N100" s="49">
        <f>'Avg Week Kampala-Busunju'!N100+'Avg Week Busunju-Kampala'!N100</f>
        <v>0</v>
      </c>
      <c r="O100" s="15">
        <f t="shared" si="36"/>
        <v>4</v>
      </c>
      <c r="P100" s="15">
        <f t="shared" si="37"/>
        <v>6</v>
      </c>
      <c r="R100" s="8"/>
      <c r="T100"/>
    </row>
    <row r="101" spans="2:20" ht="23.1" customHeight="1" x14ac:dyDescent="0.25">
      <c r="B101" s="23" t="s">
        <v>141</v>
      </c>
      <c r="C101" s="49">
        <f>'Avg Week Kampala-Busunju'!C101+'Avg Week Busunju-Kampala'!C101</f>
        <v>6</v>
      </c>
      <c r="D101" s="49">
        <f>'Avg Week Kampala-Busunju'!D101+'Avg Week Busunju-Kampala'!D101</f>
        <v>2</v>
      </c>
      <c r="E101" s="49">
        <f>'Avg Week Kampala-Busunju'!E101+'Avg Week Busunju-Kampala'!E101</f>
        <v>0</v>
      </c>
      <c r="F101" s="49">
        <f>'Avg Week Kampala-Busunju'!F101+'Avg Week Busunju-Kampala'!F101</f>
        <v>2</v>
      </c>
      <c r="G101" s="49">
        <f>'Avg Week Kampala-Busunju'!G101+'Avg Week Busunju-Kampala'!G101</f>
        <v>0</v>
      </c>
      <c r="H101" s="49">
        <f>'Avg Week Kampala-Busunju'!H101+'Avg Week Busunju-Kampala'!H101</f>
        <v>0</v>
      </c>
      <c r="I101" s="49">
        <f>'Avg Week Kampala-Busunju'!I101+'Avg Week Busunju-Kampala'!I101</f>
        <v>0</v>
      </c>
      <c r="J101" s="49">
        <f>'Avg Week Kampala-Busunju'!J101+'Avg Week Busunju-Kampala'!J101</f>
        <v>0</v>
      </c>
      <c r="K101" s="49">
        <f>'Avg Week Kampala-Busunju'!K101+'Avg Week Busunju-Kampala'!K101</f>
        <v>0</v>
      </c>
      <c r="L101" s="49">
        <f>'Avg Week Kampala-Busunju'!L101+'Avg Week Busunju-Kampala'!L101</f>
        <v>0</v>
      </c>
      <c r="M101" s="49">
        <f>'Avg Week Kampala-Busunju'!M101+'Avg Week Busunju-Kampala'!M101</f>
        <v>0</v>
      </c>
      <c r="N101" s="49">
        <f>'Avg Week Kampala-Busunju'!N101+'Avg Week Busunju-Kampala'!N101</f>
        <v>0</v>
      </c>
      <c r="O101" s="15">
        <f t="shared" si="36"/>
        <v>10</v>
      </c>
      <c r="P101" s="15">
        <f t="shared" si="37"/>
        <v>10</v>
      </c>
      <c r="R101" s="8"/>
      <c r="T101"/>
    </row>
    <row r="102" spans="2:20" ht="23.1" customHeight="1" x14ac:dyDescent="0.25">
      <c r="B102" s="24" t="s">
        <v>142</v>
      </c>
      <c r="C102" s="49">
        <f>'Avg Week Kampala-Busunju'!C102+'Avg Week Busunju-Kampala'!C102</f>
        <v>0</v>
      </c>
      <c r="D102" s="49">
        <f>'Avg Week Kampala-Busunju'!D102+'Avg Week Busunju-Kampala'!D102</f>
        <v>2</v>
      </c>
      <c r="E102" s="49">
        <f>'Avg Week Kampala-Busunju'!E102+'Avg Week Busunju-Kampala'!E102</f>
        <v>2</v>
      </c>
      <c r="F102" s="49">
        <f>'Avg Week Kampala-Busunju'!F102+'Avg Week Busunju-Kampala'!F102</f>
        <v>2</v>
      </c>
      <c r="G102" s="49">
        <f>'Avg Week Kampala-Busunju'!G102+'Avg Week Busunju-Kampala'!G102</f>
        <v>0</v>
      </c>
      <c r="H102" s="49">
        <f>'Avg Week Kampala-Busunju'!H102+'Avg Week Busunju-Kampala'!H102</f>
        <v>0</v>
      </c>
      <c r="I102" s="49">
        <f>'Avg Week Kampala-Busunju'!I102+'Avg Week Busunju-Kampala'!I102</f>
        <v>0</v>
      </c>
      <c r="J102" s="49">
        <f>'Avg Week Kampala-Busunju'!J102+'Avg Week Busunju-Kampala'!J102</f>
        <v>0</v>
      </c>
      <c r="K102" s="49">
        <f>'Avg Week Kampala-Busunju'!K102+'Avg Week Busunju-Kampala'!K102</f>
        <v>0</v>
      </c>
      <c r="L102" s="49">
        <f>'Avg Week Kampala-Busunju'!L102+'Avg Week Busunju-Kampala'!L102</f>
        <v>0</v>
      </c>
      <c r="M102" s="49">
        <f>'Avg Week Kampala-Busunju'!M102+'Avg Week Busunju-Kampala'!M102</f>
        <v>4</v>
      </c>
      <c r="N102" s="49">
        <f>'Avg Week Kampala-Busunju'!N102+'Avg Week Busunju-Kampala'!N102</f>
        <v>0</v>
      </c>
      <c r="O102" s="15">
        <f t="shared" si="36"/>
        <v>6</v>
      </c>
      <c r="P102" s="15">
        <f t="shared" si="37"/>
        <v>10</v>
      </c>
      <c r="R102" s="8"/>
      <c r="T102"/>
    </row>
    <row r="103" spans="2:20" ht="23.1" customHeight="1" x14ac:dyDescent="0.25">
      <c r="B103" s="23" t="s">
        <v>143</v>
      </c>
      <c r="C103" s="49">
        <f>'Avg Week Kampala-Busunju'!C103+'Avg Week Busunju-Kampala'!C103</f>
        <v>1</v>
      </c>
      <c r="D103" s="49">
        <f>'Avg Week Kampala-Busunju'!D103+'Avg Week Busunju-Kampala'!D103</f>
        <v>0</v>
      </c>
      <c r="E103" s="49">
        <f>'Avg Week Kampala-Busunju'!E103+'Avg Week Busunju-Kampala'!E103</f>
        <v>0</v>
      </c>
      <c r="F103" s="49">
        <f>'Avg Week Kampala-Busunju'!F103+'Avg Week Busunju-Kampala'!F103</f>
        <v>4</v>
      </c>
      <c r="G103" s="49">
        <f>'Avg Week Kampala-Busunju'!G103+'Avg Week Busunju-Kampala'!G103</f>
        <v>0</v>
      </c>
      <c r="H103" s="49">
        <f>'Avg Week Kampala-Busunju'!H103+'Avg Week Busunju-Kampala'!H103</f>
        <v>0</v>
      </c>
      <c r="I103" s="49">
        <f>'Avg Week Kampala-Busunju'!I103+'Avg Week Busunju-Kampala'!I103</f>
        <v>0</v>
      </c>
      <c r="J103" s="49">
        <f>'Avg Week Kampala-Busunju'!J103+'Avg Week Busunju-Kampala'!J103</f>
        <v>2.5</v>
      </c>
      <c r="K103" s="49">
        <f>'Avg Week Kampala-Busunju'!K103+'Avg Week Busunju-Kampala'!K103</f>
        <v>0</v>
      </c>
      <c r="L103" s="49">
        <f>'Avg Week Kampala-Busunju'!L103+'Avg Week Busunju-Kampala'!L103</f>
        <v>0</v>
      </c>
      <c r="M103" s="49">
        <f>'Avg Week Kampala-Busunju'!M103+'Avg Week Busunju-Kampala'!M103</f>
        <v>5</v>
      </c>
      <c r="N103" s="49">
        <f>'Avg Week Kampala-Busunju'!N103+'Avg Week Busunju-Kampala'!N103</f>
        <v>0</v>
      </c>
      <c r="O103" s="15">
        <f t="shared" si="36"/>
        <v>7.5</v>
      </c>
      <c r="P103" s="15">
        <f t="shared" si="37"/>
        <v>12.5</v>
      </c>
      <c r="R103" s="8"/>
      <c r="T103"/>
    </row>
    <row r="104" spans="2:20" ht="23.1" customHeight="1" x14ac:dyDescent="0.25">
      <c r="B104" s="25" t="s">
        <v>144</v>
      </c>
      <c r="C104" s="49">
        <f>'Avg Week Kampala-Busunju'!C104+'Avg Week Busunju-Kampala'!C104</f>
        <v>4</v>
      </c>
      <c r="D104" s="49">
        <f>'Avg Week Kampala-Busunju'!D104+'Avg Week Busunju-Kampala'!D104</f>
        <v>0.5</v>
      </c>
      <c r="E104" s="49">
        <f>'Avg Week Kampala-Busunju'!E104+'Avg Week Busunju-Kampala'!E104</f>
        <v>3.5</v>
      </c>
      <c r="F104" s="49">
        <f>'Avg Week Kampala-Busunju'!F104+'Avg Week Busunju-Kampala'!F104</f>
        <v>3</v>
      </c>
      <c r="G104" s="49">
        <f>'Avg Week Kampala-Busunju'!G104+'Avg Week Busunju-Kampala'!G104</f>
        <v>2</v>
      </c>
      <c r="H104" s="49">
        <f>'Avg Week Kampala-Busunju'!H104+'Avg Week Busunju-Kampala'!H104</f>
        <v>2</v>
      </c>
      <c r="I104" s="49">
        <f>'Avg Week Kampala-Busunju'!I104+'Avg Week Busunju-Kampala'!I104</f>
        <v>0</v>
      </c>
      <c r="J104" s="49">
        <f>'Avg Week Kampala-Busunju'!J104+'Avg Week Busunju-Kampala'!J104</f>
        <v>1</v>
      </c>
      <c r="K104" s="49">
        <f>'Avg Week Kampala-Busunju'!K104+'Avg Week Busunju-Kampala'!K104</f>
        <v>2</v>
      </c>
      <c r="L104" s="49">
        <f>'Avg Week Kampala-Busunju'!L104+'Avg Week Busunju-Kampala'!L104</f>
        <v>2</v>
      </c>
      <c r="M104" s="49">
        <f>'Avg Week Kampala-Busunju'!M104+'Avg Week Busunju-Kampala'!M104</f>
        <v>5.5</v>
      </c>
      <c r="N104" s="49">
        <f>'Avg Week Kampala-Busunju'!N104+'Avg Week Busunju-Kampala'!N104</f>
        <v>0.5</v>
      </c>
      <c r="O104" s="15">
        <f t="shared" si="36"/>
        <v>20.5</v>
      </c>
      <c r="P104" s="15">
        <f t="shared" si="37"/>
        <v>26</v>
      </c>
      <c r="R104" s="8"/>
      <c r="T104"/>
    </row>
    <row r="105" spans="2:20" ht="23.1" customHeight="1" x14ac:dyDescent="0.25">
      <c r="B105" s="23" t="s">
        <v>145</v>
      </c>
      <c r="C105" s="49">
        <f>'Avg Week Kampala-Busunju'!C105+'Avg Week Busunju-Kampala'!C105</f>
        <v>5</v>
      </c>
      <c r="D105" s="49">
        <f>'Avg Week Kampala-Busunju'!D105+'Avg Week Busunju-Kampala'!D105</f>
        <v>0.5</v>
      </c>
      <c r="E105" s="49">
        <f>'Avg Week Kampala-Busunju'!E105+'Avg Week Busunju-Kampala'!E105</f>
        <v>0</v>
      </c>
      <c r="F105" s="49">
        <f>'Avg Week Kampala-Busunju'!F105+'Avg Week Busunju-Kampala'!F105</f>
        <v>3</v>
      </c>
      <c r="G105" s="49">
        <f>'Avg Week Kampala-Busunju'!G105+'Avg Week Busunju-Kampala'!G105</f>
        <v>0</v>
      </c>
      <c r="H105" s="49">
        <f>'Avg Week Kampala-Busunju'!H105+'Avg Week Busunju-Kampala'!H105</f>
        <v>2.5</v>
      </c>
      <c r="I105" s="49">
        <f>'Avg Week Kampala-Busunju'!I105+'Avg Week Busunju-Kampala'!I105</f>
        <v>0</v>
      </c>
      <c r="J105" s="49">
        <f>'Avg Week Kampala-Busunju'!J105+'Avg Week Busunju-Kampala'!J105</f>
        <v>2</v>
      </c>
      <c r="K105" s="49">
        <f>'Avg Week Kampala-Busunju'!K105+'Avg Week Busunju-Kampala'!K105</f>
        <v>0</v>
      </c>
      <c r="L105" s="49">
        <f>'Avg Week Kampala-Busunju'!L105+'Avg Week Busunju-Kampala'!L105</f>
        <v>0.5</v>
      </c>
      <c r="M105" s="49">
        <f>'Avg Week Kampala-Busunju'!M105+'Avg Week Busunju-Kampala'!M105</f>
        <v>8</v>
      </c>
      <c r="N105" s="49">
        <f>'Avg Week Kampala-Busunju'!N105+'Avg Week Busunju-Kampala'!N105</f>
        <v>0.5</v>
      </c>
      <c r="O105" s="15">
        <f t="shared" si="36"/>
        <v>14</v>
      </c>
      <c r="P105" s="15">
        <f t="shared" si="37"/>
        <v>22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185</v>
      </c>
      <c r="D106" s="16">
        <f t="shared" ref="D106:P106" si="38">SUM(D10:D105)</f>
        <v>21</v>
      </c>
      <c r="E106" s="16">
        <f t="shared" si="38"/>
        <v>143.35714285714283</v>
      </c>
      <c r="F106" s="16">
        <f t="shared" si="38"/>
        <v>57.571428571428569</v>
      </c>
      <c r="G106" s="16">
        <f t="shared" si="38"/>
        <v>6.4285714285714288</v>
      </c>
      <c r="H106" s="16">
        <f t="shared" si="38"/>
        <v>9.3571428571428577</v>
      </c>
      <c r="I106" s="16">
        <f t="shared" si="38"/>
        <v>133.42857142857144</v>
      </c>
      <c r="J106" s="16">
        <f t="shared" si="38"/>
        <v>12.642857142857142</v>
      </c>
      <c r="K106" s="16">
        <f t="shared" si="38"/>
        <v>2.2857142857142856</v>
      </c>
      <c r="L106" s="16">
        <f t="shared" si="38"/>
        <v>3.0714285714285712</v>
      </c>
      <c r="M106" s="16">
        <f t="shared" si="38"/>
        <v>1597.7857142857138</v>
      </c>
      <c r="N106" s="16">
        <f t="shared" si="38"/>
        <v>1.6428571428571428</v>
      </c>
      <c r="O106" s="16">
        <f t="shared" si="38"/>
        <v>575.78571428571445</v>
      </c>
      <c r="P106" s="16">
        <f t="shared" si="38"/>
        <v>2173.5714285714284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9">C106/$P$106</f>
        <v>8.5113374958922128E-2</v>
      </c>
      <c r="D107" s="43">
        <f t="shared" si="39"/>
        <v>9.6615182385803491E-3</v>
      </c>
      <c r="E107" s="43">
        <f t="shared" si="39"/>
        <v>6.5954650016431152E-2</v>
      </c>
      <c r="F107" s="43">
        <f t="shared" si="39"/>
        <v>2.6487019388761093E-2</v>
      </c>
      <c r="G107" s="43">
        <f t="shared" si="39"/>
        <v>2.9576076240552091E-3</v>
      </c>
      <c r="H107" s="43">
        <f t="shared" si="39"/>
        <v>4.3049622083470261E-3</v>
      </c>
      <c r="I107" s="43">
        <f t="shared" si="39"/>
        <v>6.1386789352612561E-2</v>
      </c>
      <c r="J107" s="43">
        <f t="shared" si="39"/>
        <v>5.8166283273085768E-3</v>
      </c>
      <c r="K107" s="43">
        <f t="shared" si="39"/>
        <v>1.0515938218862964E-3</v>
      </c>
      <c r="L107" s="43">
        <f t="shared" si="39"/>
        <v>1.4130791981597107E-3</v>
      </c>
      <c r="M107" s="43">
        <f t="shared" si="39"/>
        <v>0.73509694380545498</v>
      </c>
      <c r="N107" s="43">
        <f t="shared" si="39"/>
        <v>7.5583305948077558E-4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0.32130008683786121</v>
      </c>
      <c r="D108" s="44">
        <f t="shared" ref="D108:N108" si="40">D106/$O$106</f>
        <v>3.6471901749162622E-2</v>
      </c>
      <c r="E108" s="44">
        <f t="shared" si="40"/>
        <v>0.24897655377744685</v>
      </c>
      <c r="F108" s="44">
        <f t="shared" si="40"/>
        <v>9.9987594591241749E-2</v>
      </c>
      <c r="G108" s="44">
        <f t="shared" si="40"/>
        <v>1.1164867882396722E-2</v>
      </c>
      <c r="H108" s="44">
        <f t="shared" si="40"/>
        <v>1.6251085473266341E-2</v>
      </c>
      <c r="I108" s="44">
        <f t="shared" si="40"/>
        <v>0.2317330356035231</v>
      </c>
      <c r="J108" s="44">
        <f t="shared" si="40"/>
        <v>2.1957573502046884E-2</v>
      </c>
      <c r="K108" s="44">
        <f t="shared" si="40"/>
        <v>3.9697308026299455E-3</v>
      </c>
      <c r="L108" s="44">
        <f t="shared" si="40"/>
        <v>5.3343257660339888E-3</v>
      </c>
      <c r="M108" s="44"/>
      <c r="N108" s="44">
        <f t="shared" si="40"/>
        <v>2.8532440143902733E-3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11.8 KAMPALA-BUSUNJU</vt:lpstr>
      <vt:lpstr>11.8 BUSUNJU-KAMPALA</vt:lpstr>
      <vt:lpstr>12.8 BUSUNJU-KAMPALA</vt:lpstr>
      <vt:lpstr>12.8 KAMPALA-BUSUNJU</vt:lpstr>
      <vt:lpstr>13.8 KAMPALA-BUSUNJU</vt:lpstr>
      <vt:lpstr>13.8 BUSUNJU-KAMPALA</vt:lpstr>
      <vt:lpstr>14.8 KAMPALA-BUSUNJU</vt:lpstr>
      <vt:lpstr>14.8 BUSUNJU-KAMPALA</vt:lpstr>
      <vt:lpstr>15.8 KAMPALA-BUSUNJU-24 HRS</vt:lpstr>
      <vt:lpstr>15.8 BUSUNJU-KAMPALA-24HRS</vt:lpstr>
      <vt:lpstr>16.8 KAMPALA-BUSUNJU-24HRS</vt:lpstr>
      <vt:lpstr>16.8 BUSUNJU-KAMPALA-24HRS</vt:lpstr>
      <vt:lpstr>17.8 KAMPALA-BUSUNJU</vt:lpstr>
      <vt:lpstr>17.8 BUSUNJU-KAMPALA</vt:lpstr>
      <vt:lpstr>Avg Week Kampala-Busunju</vt:lpstr>
      <vt:lpstr>Avg Week Busunju-Kampala</vt:lpstr>
      <vt:lpstr>Avg Week Kampala-Busunju-2Dir</vt:lpstr>
      <vt:lpstr>'11.8 BUSUNJU-KAMPALA'!Print_Area</vt:lpstr>
      <vt:lpstr>'11.8 KAMPALA-BUSUNJU'!Print_Area</vt:lpstr>
      <vt:lpstr>'12.8 BUSUNJU-KAMPALA'!Print_Area</vt:lpstr>
      <vt:lpstr>'12.8 KAMPALA-BUSUNJU'!Print_Area</vt:lpstr>
      <vt:lpstr>'13.8 BUSUNJU-KAMPALA'!Print_Area</vt:lpstr>
      <vt:lpstr>'13.8 KAMPALA-BUSUNJU'!Print_Area</vt:lpstr>
      <vt:lpstr>'14.8 BUSUNJU-KAMPALA'!Print_Area</vt:lpstr>
      <vt:lpstr>'14.8 KAMPALA-BUSUNJU'!Print_Area</vt:lpstr>
      <vt:lpstr>'15.8 BUSUNJU-KAMPALA-24HRS'!Print_Area</vt:lpstr>
      <vt:lpstr>'15.8 KAMPALA-BUSUNJU-24 HRS'!Print_Area</vt:lpstr>
      <vt:lpstr>'16.8 BUSUNJU-KAMPALA-24HRS'!Print_Area</vt:lpstr>
      <vt:lpstr>'16.8 KAMPALA-BUSUNJU-24HRS'!Print_Area</vt:lpstr>
      <vt:lpstr>'17.8 BUSUNJU-KAMPALA'!Print_Area</vt:lpstr>
      <vt:lpstr>'17.8 KAMPALA-BUSUNJU'!Print_Area</vt:lpstr>
      <vt:lpstr>'Avg Week Busunju-Kampala'!Print_Area</vt:lpstr>
      <vt:lpstr>'Avg Week Kampala-Busunju'!Print_Area</vt:lpstr>
      <vt:lpstr>'Avg Week Kampala-Busunju-2Dir'!Print_Area</vt:lpstr>
      <vt:lpstr>'11.8 BUSUNJU-KAMPALA'!Print_Titles</vt:lpstr>
      <vt:lpstr>'11.8 KAMPALA-BUSUNJU'!Print_Titles</vt:lpstr>
      <vt:lpstr>'12.8 BUSUNJU-KAMPALA'!Print_Titles</vt:lpstr>
      <vt:lpstr>'12.8 KAMPALA-BUSUNJU'!Print_Titles</vt:lpstr>
      <vt:lpstr>'13.8 BUSUNJU-KAMPALA'!Print_Titles</vt:lpstr>
      <vt:lpstr>'13.8 KAMPALA-BUSUNJU'!Print_Titles</vt:lpstr>
      <vt:lpstr>'14.8 BUSUNJU-KAMPALA'!Print_Titles</vt:lpstr>
      <vt:lpstr>'14.8 KAMPALA-BUSUNJU'!Print_Titles</vt:lpstr>
      <vt:lpstr>'15.8 BUSUNJU-KAMPALA-24HRS'!Print_Titles</vt:lpstr>
      <vt:lpstr>'15.8 KAMPALA-BUSUNJU-24 HRS'!Print_Titles</vt:lpstr>
      <vt:lpstr>'16.8 BUSUNJU-KAMPALA-24HRS'!Print_Titles</vt:lpstr>
      <vt:lpstr>'16.8 KAMPALA-BUSUNJU-24HRS'!Print_Titles</vt:lpstr>
      <vt:lpstr>'17.8 BUSUNJU-KAMPALA'!Print_Titles</vt:lpstr>
      <vt:lpstr>'17.8 KAMPALA-BUSUNJU'!Print_Titles</vt:lpstr>
      <vt:lpstr>'Avg Week Busunju-Kampala'!Print_Titles</vt:lpstr>
      <vt:lpstr>'Avg Week Kampala-Busunju'!Print_Titles</vt:lpstr>
      <vt:lpstr>'Avg Week Kampala-Busunju-2Dir'!Print_Titles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2020-04-07T05:43:50Z</dcterms:modified>
</cp:coreProperties>
</file>