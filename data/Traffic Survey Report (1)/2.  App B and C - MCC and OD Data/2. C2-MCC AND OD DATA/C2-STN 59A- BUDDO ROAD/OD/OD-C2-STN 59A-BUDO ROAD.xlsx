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2019-11-25-Steward Conslutancy Ltd\2019-11-25-Projects\23-07-2019-EDMP Project\EDMP REPORT\EDMP Edits-_V4.0\C2-RW\C2-STN 59A- BUDDO ROAD\OD\"/>
    </mc:Choice>
  </mc:AlternateContent>
  <xr:revisionPtr revIDLastSave="0" documentId="13_ncr:1_{F887ED6C-4864-4D37-A01E-ADDEFC22DCC3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Analysis" sheetId="41" r:id="rId1"/>
    <sheet name="ALL DATA" sheetId="3" r:id="rId2"/>
    <sheet name="RSI FORM" sheetId="4" state="hidden" r:id="rId3"/>
    <sheet name="Zones " sheetId="40" r:id="rId4"/>
    <sheet name="11.10 KITEMU-BUDDO" sheetId="37" r:id="rId5"/>
    <sheet name="12.10 BUDDO-KITEMU" sheetId="38" r:id="rId6"/>
    <sheet name="12.10 KITEMU-BUDDO" sheetId="39" r:id="rId7"/>
    <sheet name="Key" sheetId="5" r:id="rId8"/>
  </sheets>
  <externalReferences>
    <externalReference r:id="rId9"/>
  </externalReferences>
  <definedNames>
    <definedName name="_xlnm._FilterDatabase" localSheetId="4" hidden="1">'11.10 KITEMU-BUDDO'!$B$9:$AB$105</definedName>
    <definedName name="_xlnm._FilterDatabase" localSheetId="5" hidden="1">'12.10 BUDDO-KITEMU'!$B$9:$AB$105</definedName>
    <definedName name="_xlnm._FilterDatabase" localSheetId="6" hidden="1">'12.10 KITEMU-BUDDO'!$B$9:$AB$105</definedName>
    <definedName name="_xlnm._FilterDatabase" localSheetId="1" hidden="1">'ALL DATA'!$AA$1:$AA$562</definedName>
    <definedName name="_xlnm._FilterDatabase" localSheetId="3" hidden="1">'Zones '!$A$1:$N$2066</definedName>
    <definedName name="Dist">'ALL DATA'!$S:$S</definedName>
    <definedName name="Jtime">'ALL DATA'!$T:$T</definedName>
    <definedName name="Tripfreq">'ALL DATA'!$U:$U</definedName>
    <definedName name="Veh">'ALL DATA'!$D:$D</definedName>
    <definedName name="Veh_Type" localSheetId="4">'11.10 KITEMU-BUDDO'!$D$9:$D$37</definedName>
    <definedName name="Veh_Type" localSheetId="6">'12.10 KITEMU-BUDDO'!$D$9:$D$37</definedName>
    <definedName name="Veh_Type" localSheetId="3">'[1]25.07 BUSEGA-NATEETE'!$D:$D</definedName>
    <definedName name="Veh_Type">'ALL DATA'!$D$9:$D$37</definedName>
    <definedName name="zones" localSheetId="3">#REF!</definedName>
    <definedName name="zones">#REF!</definedName>
    <definedName name="Zones_Ndeke" localSheetId="3">#REF!</definedName>
    <definedName name="Zones_Ndek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Y66" i="41" l="1"/>
  <c r="X66" i="41"/>
  <c r="W66" i="41"/>
  <c r="V66" i="41"/>
  <c r="U66" i="41"/>
  <c r="T66" i="41"/>
  <c r="S66" i="41"/>
  <c r="R66" i="41"/>
  <c r="Y65" i="41"/>
  <c r="X65" i="41"/>
  <c r="W65" i="41"/>
  <c r="V65" i="41"/>
  <c r="U65" i="41"/>
  <c r="T65" i="41"/>
  <c r="S65" i="41"/>
  <c r="R65" i="41"/>
  <c r="Y64" i="41"/>
  <c r="X64" i="41"/>
  <c r="W64" i="41"/>
  <c r="V64" i="41"/>
  <c r="U64" i="41"/>
  <c r="T64" i="41"/>
  <c r="S64" i="41"/>
  <c r="R64" i="41"/>
  <c r="Y63" i="41"/>
  <c r="X63" i="41"/>
  <c r="W63" i="41"/>
  <c r="V63" i="41"/>
  <c r="U63" i="41"/>
  <c r="T63" i="41"/>
  <c r="S63" i="41"/>
  <c r="R63" i="41"/>
  <c r="Y62" i="41"/>
  <c r="X62" i="41"/>
  <c r="W62" i="41"/>
  <c r="V62" i="41"/>
  <c r="U62" i="41"/>
  <c r="T62" i="41"/>
  <c r="S62" i="41"/>
  <c r="R62" i="41"/>
  <c r="Y61" i="41"/>
  <c r="X61" i="41"/>
  <c r="W61" i="41"/>
  <c r="V61" i="41"/>
  <c r="U61" i="41"/>
  <c r="T61" i="41"/>
  <c r="S61" i="41"/>
  <c r="R61" i="41"/>
  <c r="Y60" i="41"/>
  <c r="X60" i="41"/>
  <c r="W60" i="41"/>
  <c r="V60" i="41"/>
  <c r="U60" i="41"/>
  <c r="T60" i="41"/>
  <c r="S60" i="41"/>
  <c r="R60" i="41"/>
  <c r="Y59" i="41"/>
  <c r="X59" i="41"/>
  <c r="W59" i="41"/>
  <c r="V59" i="41"/>
  <c r="U59" i="41"/>
  <c r="T59" i="41"/>
  <c r="S59" i="41"/>
  <c r="R59" i="41"/>
  <c r="Y55" i="41" s="1"/>
  <c r="Y76" i="41"/>
  <c r="X76" i="41"/>
  <c r="W76" i="41"/>
  <c r="V76" i="41"/>
  <c r="U76" i="41"/>
  <c r="T76" i="41"/>
  <c r="S76" i="41"/>
  <c r="R76" i="41"/>
  <c r="Y75" i="41"/>
  <c r="X75" i="41"/>
  <c r="W75" i="41"/>
  <c r="V75" i="41"/>
  <c r="U75" i="41"/>
  <c r="T75" i="41"/>
  <c r="S75" i="41"/>
  <c r="R75" i="41"/>
  <c r="Y74" i="41"/>
  <c r="X74" i="41"/>
  <c r="W74" i="41"/>
  <c r="V74" i="41"/>
  <c r="U74" i="41"/>
  <c r="T74" i="41"/>
  <c r="S74" i="41"/>
  <c r="R74" i="41"/>
  <c r="Y73" i="41"/>
  <c r="X73" i="41"/>
  <c r="W73" i="41"/>
  <c r="V73" i="41"/>
  <c r="U73" i="41"/>
  <c r="T73" i="41"/>
  <c r="S73" i="41"/>
  <c r="R73" i="41"/>
  <c r="Y72" i="41"/>
  <c r="X72" i="41"/>
  <c r="W72" i="41"/>
  <c r="V72" i="41"/>
  <c r="U72" i="41"/>
  <c r="T72" i="41"/>
  <c r="S72" i="41"/>
  <c r="R72" i="41"/>
  <c r="Y71" i="41"/>
  <c r="X71" i="41"/>
  <c r="W71" i="41"/>
  <c r="V71" i="41"/>
  <c r="U71" i="41"/>
  <c r="T71" i="41"/>
  <c r="S71" i="41"/>
  <c r="R71" i="41"/>
  <c r="Y70" i="41"/>
  <c r="X70" i="41"/>
  <c r="W70" i="41"/>
  <c r="V70" i="41"/>
  <c r="U70" i="41"/>
  <c r="T70" i="41"/>
  <c r="S70" i="41"/>
  <c r="R70" i="41"/>
  <c r="Y69" i="41"/>
  <c r="X69" i="41"/>
  <c r="W69" i="41"/>
  <c r="V69" i="41"/>
  <c r="U69" i="41"/>
  <c r="T69" i="41"/>
  <c r="S69" i="41"/>
  <c r="R69" i="41"/>
  <c r="S48" i="41" l="1"/>
  <c r="W49" i="41"/>
  <c r="S50" i="41"/>
  <c r="W50" i="41"/>
  <c r="S51" i="41"/>
  <c r="W51" i="41"/>
  <c r="S52" i="41"/>
  <c r="W52" i="41"/>
  <c r="S53" i="41"/>
  <c r="W53" i="41"/>
  <c r="S54" i="41"/>
  <c r="W54" i="41"/>
  <c r="S55" i="41"/>
  <c r="W55" i="41"/>
  <c r="R48" i="41"/>
  <c r="R49" i="41"/>
  <c r="V50" i="41"/>
  <c r="V51" i="41"/>
  <c r="V52" i="41"/>
  <c r="R53" i="41"/>
  <c r="R54" i="41"/>
  <c r="R55" i="41"/>
  <c r="V55" i="41"/>
  <c r="S49" i="41"/>
  <c r="T48" i="41"/>
  <c r="X48" i="41"/>
  <c r="T49" i="41"/>
  <c r="X49" i="41"/>
  <c r="T50" i="41"/>
  <c r="X50" i="41"/>
  <c r="T51" i="41"/>
  <c r="X51" i="41"/>
  <c r="T52" i="41"/>
  <c r="X52" i="41"/>
  <c r="T53" i="41"/>
  <c r="X53" i="41"/>
  <c r="T54" i="41"/>
  <c r="X54" i="41"/>
  <c r="T55" i="41"/>
  <c r="X55" i="41"/>
  <c r="V48" i="41"/>
  <c r="V49" i="41"/>
  <c r="R50" i="41"/>
  <c r="R51" i="41"/>
  <c r="R52" i="41"/>
  <c r="V53" i="41"/>
  <c r="V54" i="41"/>
  <c r="W48" i="41"/>
  <c r="U48" i="41"/>
  <c r="Y48" i="41"/>
  <c r="U49" i="41"/>
  <c r="Y49" i="41"/>
  <c r="U50" i="41"/>
  <c r="Y50" i="41"/>
  <c r="U51" i="41"/>
  <c r="Y51" i="41"/>
  <c r="U52" i="41"/>
  <c r="Y52" i="41"/>
  <c r="U53" i="41"/>
  <c r="Y53" i="41"/>
  <c r="U54" i="41"/>
  <c r="Y54" i="41"/>
  <c r="U55" i="41"/>
  <c r="C70" i="41"/>
  <c r="C68" i="41"/>
  <c r="C67" i="41"/>
  <c r="C66" i="41"/>
  <c r="C65" i="41"/>
  <c r="C63" i="41"/>
  <c r="C62" i="41"/>
  <c r="C61" i="41"/>
  <c r="C60" i="41"/>
  <c r="C42" i="41"/>
  <c r="C16" i="41"/>
  <c r="C15" i="41"/>
  <c r="C14" i="41"/>
  <c r="C13" i="41"/>
  <c r="C12" i="41"/>
  <c r="C11" i="41"/>
  <c r="C10" i="41"/>
  <c r="C9" i="41"/>
  <c r="C8" i="41"/>
  <c r="C7" i="41"/>
  <c r="C6" i="41"/>
  <c r="C5" i="41"/>
  <c r="C88" i="41"/>
  <c r="C87" i="41"/>
  <c r="D87" i="41" s="1"/>
  <c r="E87" i="41" s="1"/>
  <c r="C86" i="41"/>
  <c r="C85" i="41"/>
  <c r="C84" i="41"/>
  <c r="C83" i="41"/>
  <c r="D83" i="41" s="1"/>
  <c r="E83" i="41" s="1"/>
  <c r="C82" i="41"/>
  <c r="C81" i="41"/>
  <c r="C80" i="41"/>
  <c r="D80" i="41" s="1"/>
  <c r="E80" i="41" s="1"/>
  <c r="O28" i="41"/>
  <c r="O27" i="41"/>
  <c r="O26" i="41"/>
  <c r="O25" i="41"/>
  <c r="O24" i="41"/>
  <c r="O23" i="41"/>
  <c r="O15" i="41"/>
  <c r="O14" i="41"/>
  <c r="O13" i="41"/>
  <c r="O12" i="41"/>
  <c r="O11" i="41"/>
  <c r="O10" i="41"/>
  <c r="O9" i="41"/>
  <c r="P10" i="41" s="1"/>
  <c r="Q10" i="41" s="1"/>
  <c r="O8" i="41"/>
  <c r="O7" i="41"/>
  <c r="O6" i="41"/>
  <c r="O5" i="41"/>
  <c r="P5" i="41" s="1"/>
  <c r="Q5" i="41" s="1"/>
  <c r="D84" i="41" l="1"/>
  <c r="E84" i="41" s="1"/>
  <c r="D88" i="41"/>
  <c r="E88" i="41" s="1"/>
  <c r="P11" i="41"/>
  <c r="Q11" i="41" s="1"/>
  <c r="P15" i="41"/>
  <c r="Q15" i="41" s="1"/>
  <c r="D81" i="41"/>
  <c r="E81" i="41" s="1"/>
  <c r="D85" i="41"/>
  <c r="E85" i="41" s="1"/>
  <c r="C17" i="41"/>
  <c r="D9" i="41" s="1"/>
  <c r="P14" i="41"/>
  <c r="Q14" i="41" s="1"/>
  <c r="P13" i="41"/>
  <c r="Q13" i="41" s="1"/>
  <c r="P7" i="41"/>
  <c r="Q7" i="41" s="1"/>
  <c r="D82" i="41"/>
  <c r="E82" i="41" s="1"/>
  <c r="D86" i="41"/>
  <c r="E86" i="41" s="1"/>
  <c r="D15" i="41"/>
  <c r="D12" i="41"/>
  <c r="D6" i="41"/>
  <c r="C29" i="41"/>
  <c r="D7" i="41"/>
  <c r="D11" i="41"/>
  <c r="P12" i="41"/>
  <c r="Q12" i="41" s="1"/>
  <c r="P6" i="41"/>
  <c r="Q6" i="41" s="1"/>
  <c r="P9" i="41"/>
  <c r="Q9" i="41" s="1"/>
  <c r="D5" i="41"/>
  <c r="O29" i="41"/>
  <c r="P23" i="41" s="1"/>
  <c r="P8" i="41"/>
  <c r="Q8" i="41" s="1"/>
  <c r="D16" i="41" l="1"/>
  <c r="D14" i="41"/>
  <c r="D13" i="41"/>
  <c r="D8" i="41"/>
  <c r="D10" i="41"/>
  <c r="P26" i="41"/>
  <c r="C44" i="41"/>
  <c r="P25" i="41"/>
  <c r="P24" i="41"/>
  <c r="P28" i="41"/>
  <c r="P27" i="41"/>
  <c r="C43" i="41" l="1"/>
  <c r="D43" i="41" s="1"/>
  <c r="D42" i="41"/>
  <c r="D3" i="40" l="1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122" i="40"/>
  <c r="D123" i="40"/>
  <c r="D124" i="40"/>
  <c r="D125" i="40"/>
  <c r="D126" i="40"/>
  <c r="D127" i="40"/>
  <c r="D128" i="40"/>
  <c r="D129" i="40"/>
  <c r="D130" i="40"/>
  <c r="D131" i="40"/>
  <c r="D132" i="40"/>
  <c r="D133" i="40"/>
  <c r="D134" i="40"/>
  <c r="D135" i="40"/>
  <c r="D136" i="40"/>
  <c r="D137" i="40"/>
  <c r="D138" i="40"/>
  <c r="D139" i="40"/>
  <c r="D140" i="40"/>
  <c r="D141" i="40"/>
  <c r="D142" i="40"/>
  <c r="D143" i="40"/>
  <c r="D144" i="40"/>
  <c r="D145" i="40"/>
  <c r="D146" i="40"/>
  <c r="D147" i="40"/>
  <c r="D148" i="40"/>
  <c r="D149" i="40"/>
  <c r="D150" i="40"/>
  <c r="D151" i="40"/>
  <c r="D152" i="40"/>
  <c r="D153" i="40"/>
  <c r="D154" i="40"/>
  <c r="D155" i="40"/>
  <c r="D156" i="40"/>
  <c r="D157" i="40"/>
  <c r="D158" i="40"/>
  <c r="D159" i="40"/>
  <c r="D160" i="40"/>
  <c r="D161" i="40"/>
  <c r="D162" i="40"/>
  <c r="D163" i="40"/>
  <c r="D164" i="40"/>
  <c r="D165" i="40"/>
  <c r="D166" i="40"/>
  <c r="D167" i="40"/>
  <c r="D168" i="40"/>
  <c r="D169" i="40"/>
  <c r="D170" i="40"/>
  <c r="D171" i="40"/>
  <c r="D172" i="40"/>
  <c r="D173" i="40"/>
  <c r="D174" i="40"/>
  <c r="D175" i="40"/>
  <c r="D176" i="40"/>
  <c r="D177" i="40"/>
  <c r="D178" i="40"/>
  <c r="D179" i="40"/>
  <c r="D180" i="40"/>
  <c r="D181" i="40"/>
  <c r="D182" i="40"/>
  <c r="D183" i="40"/>
  <c r="D184" i="40"/>
  <c r="D185" i="40"/>
  <c r="D186" i="40"/>
  <c r="D187" i="40"/>
  <c r="D188" i="40"/>
  <c r="D189" i="40"/>
  <c r="D190" i="40"/>
  <c r="D191" i="40"/>
  <c r="D192" i="40"/>
  <c r="D193" i="40"/>
  <c r="D194" i="40"/>
  <c r="D195" i="40"/>
  <c r="D196" i="40"/>
  <c r="D197" i="40"/>
  <c r="D198" i="40"/>
  <c r="D199" i="40"/>
  <c r="D200" i="40"/>
  <c r="D201" i="40"/>
  <c r="D202" i="40"/>
  <c r="D203" i="40"/>
  <c r="D204" i="40"/>
  <c r="D205" i="40"/>
  <c r="D206" i="40"/>
  <c r="D207" i="40"/>
  <c r="D208" i="40"/>
  <c r="D209" i="40"/>
  <c r="D210" i="40"/>
  <c r="D211" i="40"/>
  <c r="D212" i="40"/>
  <c r="D213" i="40"/>
  <c r="D214" i="40"/>
  <c r="D215" i="40"/>
  <c r="D216" i="40"/>
  <c r="D217" i="40"/>
  <c r="D218" i="40"/>
  <c r="D219" i="40"/>
  <c r="D220" i="40"/>
  <c r="D221" i="40"/>
  <c r="D222" i="40"/>
  <c r="D223" i="40"/>
  <c r="D224" i="40"/>
  <c r="D225" i="40"/>
  <c r="D226" i="40"/>
  <c r="D227" i="40"/>
  <c r="D228" i="40"/>
  <c r="D229" i="40"/>
  <c r="D230" i="40"/>
  <c r="D231" i="40"/>
  <c r="D232" i="40"/>
  <c r="D233" i="40"/>
  <c r="D234" i="40"/>
  <c r="D235" i="40"/>
  <c r="D236" i="40"/>
  <c r="D237" i="40"/>
  <c r="D238" i="40"/>
  <c r="D239" i="40"/>
  <c r="D240" i="40"/>
  <c r="D241" i="40"/>
  <c r="D242" i="40"/>
  <c r="D243" i="40"/>
  <c r="D244" i="40"/>
  <c r="D245" i="40"/>
  <c r="D246" i="40"/>
  <c r="D247" i="40"/>
  <c r="D248" i="40"/>
  <c r="D249" i="40"/>
  <c r="D250" i="40"/>
  <c r="D251" i="40"/>
  <c r="D252" i="40"/>
  <c r="D253" i="40"/>
  <c r="D254" i="40"/>
  <c r="D255" i="40"/>
  <c r="D256" i="40"/>
  <c r="D257" i="40"/>
  <c r="D258" i="40"/>
  <c r="D259" i="40"/>
  <c r="D260" i="40"/>
  <c r="D261" i="40"/>
  <c r="D262" i="40"/>
  <c r="D263" i="40"/>
  <c r="D264" i="40"/>
  <c r="D265" i="40"/>
  <c r="D266" i="40"/>
  <c r="D267" i="40"/>
  <c r="D268" i="40"/>
  <c r="D269" i="40"/>
  <c r="D270" i="40"/>
  <c r="D271" i="40"/>
  <c r="D272" i="40"/>
  <c r="D273" i="40"/>
  <c r="D274" i="40"/>
  <c r="D275" i="40"/>
  <c r="D276" i="40"/>
  <c r="D277" i="40"/>
  <c r="D278" i="40"/>
  <c r="D279" i="40"/>
  <c r="D280" i="40"/>
  <c r="D281" i="40"/>
  <c r="D282" i="40"/>
  <c r="D283" i="40"/>
  <c r="D284" i="40"/>
  <c r="D285" i="40"/>
  <c r="D286" i="40"/>
  <c r="D287" i="40"/>
  <c r="D288" i="40"/>
  <c r="D289" i="40"/>
  <c r="D290" i="40"/>
  <c r="D291" i="40"/>
  <c r="D292" i="40"/>
  <c r="D293" i="40"/>
  <c r="D294" i="40"/>
  <c r="D295" i="40"/>
  <c r="D296" i="40"/>
  <c r="D297" i="40"/>
  <c r="D298" i="40"/>
  <c r="D299" i="40"/>
  <c r="D300" i="40"/>
  <c r="D301" i="40"/>
  <c r="D302" i="40"/>
  <c r="D303" i="40"/>
  <c r="D304" i="40"/>
  <c r="D305" i="40"/>
  <c r="D306" i="40"/>
  <c r="D307" i="40"/>
  <c r="D308" i="40"/>
  <c r="D309" i="40"/>
  <c r="D310" i="40"/>
  <c r="D311" i="40"/>
  <c r="D312" i="40"/>
  <c r="D313" i="40"/>
  <c r="D314" i="40"/>
  <c r="D315" i="40"/>
  <c r="D316" i="40"/>
  <c r="D317" i="40"/>
  <c r="D318" i="40"/>
  <c r="D319" i="40"/>
  <c r="D320" i="40"/>
  <c r="D321" i="40"/>
  <c r="D322" i="40"/>
  <c r="D323" i="40"/>
  <c r="D324" i="40"/>
  <c r="D325" i="40"/>
  <c r="D326" i="40"/>
  <c r="D327" i="40"/>
  <c r="D328" i="40"/>
  <c r="D329" i="40"/>
  <c r="D330" i="40"/>
  <c r="D331" i="40"/>
  <c r="D332" i="40"/>
  <c r="D333" i="40"/>
  <c r="D334" i="40"/>
  <c r="D335" i="40"/>
  <c r="D336" i="40"/>
  <c r="D337" i="40"/>
  <c r="D338" i="40"/>
  <c r="D339" i="40"/>
  <c r="D340" i="40"/>
  <c r="D341" i="40"/>
  <c r="D342" i="40"/>
  <c r="D343" i="40"/>
  <c r="D344" i="40"/>
  <c r="D345" i="40"/>
  <c r="D346" i="40"/>
  <c r="D347" i="40"/>
  <c r="D348" i="40"/>
  <c r="D349" i="40"/>
  <c r="D350" i="40"/>
  <c r="D351" i="40"/>
  <c r="D352" i="40"/>
  <c r="D353" i="40"/>
  <c r="D354" i="40"/>
  <c r="D355" i="40"/>
  <c r="D356" i="40"/>
  <c r="D357" i="40"/>
  <c r="D358" i="40"/>
  <c r="D359" i="40"/>
  <c r="D360" i="40"/>
  <c r="D361" i="40"/>
  <c r="D362" i="40"/>
  <c r="D363" i="40"/>
  <c r="D364" i="40"/>
  <c r="D365" i="40"/>
  <c r="D366" i="40"/>
  <c r="D367" i="40"/>
  <c r="D368" i="40"/>
  <c r="D369" i="40"/>
  <c r="D370" i="40"/>
  <c r="D371" i="40"/>
  <c r="D372" i="40"/>
  <c r="D373" i="40"/>
  <c r="D374" i="40"/>
  <c r="D375" i="40"/>
  <c r="D376" i="40"/>
  <c r="D377" i="40"/>
  <c r="D378" i="40"/>
  <c r="D379" i="40"/>
  <c r="D380" i="40"/>
  <c r="D381" i="40"/>
  <c r="D382" i="40"/>
  <c r="D383" i="40"/>
  <c r="D384" i="40"/>
  <c r="D385" i="40"/>
  <c r="D386" i="40"/>
  <c r="D387" i="40"/>
  <c r="D388" i="40"/>
  <c r="D389" i="40"/>
  <c r="D390" i="40"/>
  <c r="D391" i="40"/>
  <c r="D392" i="40"/>
  <c r="D393" i="40"/>
  <c r="D394" i="40"/>
  <c r="D395" i="40"/>
  <c r="D396" i="40"/>
  <c r="D397" i="40"/>
  <c r="D398" i="40"/>
  <c r="D399" i="40"/>
  <c r="D400" i="40"/>
  <c r="D401" i="40"/>
  <c r="D402" i="40"/>
  <c r="D403" i="40"/>
  <c r="D404" i="40"/>
  <c r="D405" i="40"/>
  <c r="D406" i="40"/>
  <c r="D407" i="40"/>
  <c r="D408" i="40"/>
  <c r="D409" i="40"/>
  <c r="D410" i="40"/>
  <c r="D411" i="40"/>
  <c r="D412" i="40"/>
  <c r="D413" i="40"/>
  <c r="D414" i="40"/>
  <c r="D415" i="40"/>
  <c r="D416" i="40"/>
  <c r="D417" i="40"/>
  <c r="D418" i="40"/>
  <c r="D419" i="40"/>
  <c r="D420" i="40"/>
  <c r="D421" i="40"/>
  <c r="D422" i="40"/>
  <c r="D423" i="40"/>
  <c r="D424" i="40"/>
  <c r="D425" i="40"/>
  <c r="D426" i="40"/>
  <c r="D427" i="40"/>
  <c r="D428" i="40"/>
  <c r="D429" i="40"/>
  <c r="D430" i="40"/>
  <c r="D431" i="40"/>
  <c r="D432" i="40"/>
  <c r="D433" i="40"/>
  <c r="D434" i="40"/>
  <c r="D435" i="40"/>
  <c r="D436" i="40"/>
  <c r="D437" i="40"/>
  <c r="D438" i="40"/>
  <c r="D439" i="40"/>
  <c r="D440" i="40"/>
  <c r="D441" i="40"/>
  <c r="D442" i="40"/>
  <c r="D443" i="40"/>
  <c r="D444" i="40"/>
  <c r="D445" i="40"/>
  <c r="D446" i="40"/>
  <c r="D447" i="40"/>
  <c r="D448" i="40"/>
  <c r="D449" i="40"/>
  <c r="D450" i="40"/>
  <c r="D451" i="40"/>
  <c r="D452" i="40"/>
  <c r="D453" i="40"/>
  <c r="D454" i="40"/>
  <c r="D455" i="40"/>
  <c r="D456" i="40"/>
  <c r="D457" i="40"/>
  <c r="D458" i="40"/>
  <c r="D459" i="40"/>
  <c r="D460" i="40"/>
  <c r="D461" i="40"/>
  <c r="D462" i="40"/>
  <c r="D463" i="40"/>
  <c r="D464" i="40"/>
  <c r="D465" i="40"/>
  <c r="D466" i="40"/>
  <c r="D467" i="40"/>
  <c r="D468" i="40"/>
  <c r="D469" i="40"/>
  <c r="D470" i="40"/>
  <c r="D471" i="40"/>
  <c r="D472" i="40"/>
  <c r="D473" i="40"/>
  <c r="D474" i="40"/>
  <c r="D475" i="40"/>
  <c r="D476" i="40"/>
  <c r="D477" i="40"/>
  <c r="D478" i="40"/>
  <c r="D479" i="40"/>
  <c r="D480" i="40"/>
  <c r="D481" i="40"/>
  <c r="D482" i="40"/>
  <c r="D483" i="40"/>
  <c r="D484" i="40"/>
  <c r="D485" i="40"/>
  <c r="D486" i="40"/>
  <c r="D487" i="40"/>
  <c r="D488" i="40"/>
  <c r="D489" i="40"/>
  <c r="D490" i="40"/>
  <c r="D491" i="40"/>
  <c r="D492" i="40"/>
  <c r="D493" i="40"/>
  <c r="D494" i="40"/>
  <c r="D495" i="40"/>
  <c r="D496" i="40"/>
  <c r="D497" i="40"/>
  <c r="D498" i="40"/>
  <c r="D499" i="40"/>
  <c r="D500" i="40"/>
  <c r="D501" i="40"/>
  <c r="D502" i="40"/>
  <c r="D503" i="40"/>
  <c r="D504" i="40"/>
  <c r="D505" i="40"/>
  <c r="D506" i="40"/>
  <c r="D507" i="40"/>
  <c r="D508" i="40"/>
  <c r="D509" i="40"/>
  <c r="D510" i="40"/>
  <c r="D511" i="40"/>
  <c r="D512" i="40"/>
  <c r="D513" i="40"/>
  <c r="D514" i="40"/>
  <c r="D515" i="40"/>
  <c r="D516" i="40"/>
  <c r="D517" i="40"/>
  <c r="D518" i="40"/>
  <c r="D519" i="40"/>
  <c r="D520" i="40"/>
  <c r="D521" i="40"/>
  <c r="D522" i="40"/>
  <c r="D523" i="40"/>
  <c r="D524" i="40"/>
  <c r="D525" i="40"/>
  <c r="D526" i="40"/>
  <c r="D527" i="40"/>
  <c r="D528" i="40"/>
  <c r="D529" i="40"/>
  <c r="D530" i="40"/>
  <c r="D531" i="40"/>
  <c r="D532" i="40"/>
  <c r="D533" i="40"/>
  <c r="D534" i="40"/>
  <c r="D535" i="40"/>
  <c r="D536" i="40"/>
  <c r="D537" i="40"/>
  <c r="D538" i="40"/>
  <c r="D539" i="40"/>
  <c r="D540" i="40"/>
  <c r="D541" i="40"/>
  <c r="D542" i="40"/>
  <c r="D543" i="40"/>
  <c r="D544" i="40"/>
  <c r="D545" i="40"/>
  <c r="D546" i="40"/>
  <c r="D547" i="40"/>
  <c r="D548" i="40"/>
  <c r="D549" i="40"/>
  <c r="D550" i="40"/>
  <c r="D551" i="40"/>
  <c r="D552" i="40"/>
  <c r="D553" i="40"/>
  <c r="D554" i="40"/>
  <c r="D555" i="40"/>
  <c r="D556" i="40"/>
  <c r="D557" i="40"/>
  <c r="D558" i="40"/>
  <c r="D559" i="40"/>
  <c r="D560" i="40"/>
  <c r="D561" i="40"/>
  <c r="D562" i="40"/>
  <c r="D563" i="40"/>
  <c r="D564" i="40"/>
  <c r="D565" i="40"/>
  <c r="D566" i="40"/>
  <c r="D567" i="40"/>
  <c r="D568" i="40"/>
  <c r="D569" i="40"/>
  <c r="D570" i="40"/>
  <c r="D571" i="40"/>
  <c r="D572" i="40"/>
  <c r="D573" i="40"/>
  <c r="D574" i="40"/>
  <c r="D575" i="40"/>
  <c r="D576" i="40"/>
  <c r="D577" i="40"/>
  <c r="D578" i="40"/>
  <c r="D579" i="40"/>
  <c r="D580" i="40"/>
  <c r="D581" i="40"/>
  <c r="D582" i="40"/>
  <c r="D583" i="40"/>
  <c r="D584" i="40"/>
  <c r="D585" i="40"/>
  <c r="D586" i="40"/>
  <c r="D587" i="40"/>
  <c r="D588" i="40"/>
  <c r="D589" i="40"/>
  <c r="D590" i="40"/>
  <c r="D591" i="40"/>
  <c r="D592" i="40"/>
  <c r="D593" i="40"/>
  <c r="D594" i="40"/>
  <c r="D595" i="40"/>
  <c r="D596" i="40"/>
  <c r="D597" i="40"/>
  <c r="D598" i="40"/>
  <c r="D599" i="40"/>
  <c r="D600" i="40"/>
  <c r="D601" i="40"/>
  <c r="D602" i="40"/>
  <c r="D603" i="40"/>
  <c r="D604" i="40"/>
  <c r="D605" i="40"/>
  <c r="D606" i="40"/>
  <c r="D607" i="40"/>
  <c r="D608" i="40"/>
  <c r="D609" i="40"/>
  <c r="D610" i="40"/>
  <c r="D611" i="40"/>
  <c r="D612" i="40"/>
  <c r="D613" i="40"/>
  <c r="D614" i="40"/>
  <c r="D615" i="40"/>
  <c r="D616" i="40"/>
  <c r="D617" i="40"/>
  <c r="D618" i="40"/>
  <c r="D619" i="40"/>
  <c r="D620" i="40"/>
  <c r="D621" i="40"/>
  <c r="D622" i="40"/>
  <c r="D623" i="40"/>
  <c r="D624" i="40"/>
  <c r="D625" i="40"/>
  <c r="D626" i="40"/>
  <c r="D627" i="40"/>
  <c r="D628" i="40"/>
  <c r="D629" i="40"/>
  <c r="D630" i="40"/>
  <c r="D631" i="40"/>
  <c r="D632" i="40"/>
  <c r="D633" i="40"/>
  <c r="D634" i="40"/>
  <c r="D635" i="40"/>
  <c r="D636" i="40"/>
  <c r="D637" i="40"/>
  <c r="D638" i="40"/>
  <c r="D639" i="40"/>
  <c r="D640" i="40"/>
  <c r="D641" i="40"/>
  <c r="D642" i="40"/>
  <c r="D643" i="40"/>
  <c r="D644" i="40"/>
  <c r="D645" i="40"/>
  <c r="D646" i="40"/>
  <c r="D647" i="40"/>
  <c r="D648" i="40"/>
  <c r="D649" i="40"/>
  <c r="D650" i="40"/>
  <c r="D651" i="40"/>
  <c r="D652" i="40"/>
  <c r="D653" i="40"/>
  <c r="D654" i="40"/>
  <c r="D655" i="40"/>
  <c r="D656" i="40"/>
  <c r="D657" i="40"/>
  <c r="D658" i="40"/>
  <c r="D659" i="40"/>
  <c r="D660" i="40"/>
  <c r="D661" i="40"/>
  <c r="D662" i="40"/>
  <c r="D663" i="40"/>
  <c r="D664" i="40"/>
  <c r="D665" i="40"/>
  <c r="D666" i="40"/>
  <c r="D667" i="40"/>
  <c r="D668" i="40"/>
  <c r="D669" i="40"/>
  <c r="D670" i="40"/>
  <c r="D671" i="40"/>
  <c r="D672" i="40"/>
  <c r="D673" i="40"/>
  <c r="D674" i="40"/>
  <c r="D675" i="40"/>
  <c r="D676" i="40"/>
  <c r="D677" i="40"/>
  <c r="D678" i="40"/>
  <c r="D679" i="40"/>
  <c r="D680" i="40"/>
  <c r="D681" i="40"/>
  <c r="D682" i="40"/>
  <c r="D683" i="40"/>
  <c r="D684" i="40"/>
  <c r="D685" i="40"/>
  <c r="D686" i="40"/>
  <c r="D687" i="40"/>
  <c r="D688" i="40"/>
  <c r="D689" i="40"/>
  <c r="D690" i="40"/>
  <c r="D691" i="40"/>
  <c r="D692" i="40"/>
  <c r="D693" i="40"/>
  <c r="D694" i="40"/>
  <c r="D695" i="40"/>
  <c r="D696" i="40"/>
  <c r="D697" i="40"/>
  <c r="D698" i="40"/>
  <c r="D699" i="40"/>
  <c r="D700" i="40"/>
  <c r="D701" i="40"/>
  <c r="D702" i="40"/>
  <c r="D703" i="40"/>
  <c r="D704" i="40"/>
  <c r="D705" i="40"/>
  <c r="D706" i="40"/>
  <c r="D707" i="40"/>
  <c r="D708" i="40"/>
  <c r="D709" i="40"/>
  <c r="D710" i="40"/>
  <c r="D711" i="40"/>
  <c r="D712" i="40"/>
  <c r="D713" i="40"/>
  <c r="D714" i="40"/>
  <c r="D715" i="40"/>
  <c r="D716" i="40"/>
  <c r="D717" i="40"/>
  <c r="D718" i="40"/>
  <c r="D719" i="40"/>
  <c r="D720" i="40"/>
  <c r="D721" i="40"/>
  <c r="D722" i="40"/>
  <c r="D723" i="40"/>
  <c r="D724" i="40"/>
  <c r="D725" i="40"/>
  <c r="D726" i="40"/>
  <c r="D727" i="40"/>
  <c r="D728" i="40"/>
  <c r="D729" i="40"/>
  <c r="D730" i="40"/>
  <c r="D731" i="40"/>
  <c r="D732" i="40"/>
  <c r="D733" i="40"/>
  <c r="D734" i="40"/>
  <c r="D735" i="40"/>
  <c r="D736" i="40"/>
  <c r="D737" i="40"/>
  <c r="D738" i="40"/>
  <c r="D739" i="40"/>
  <c r="D740" i="40"/>
  <c r="D741" i="40"/>
  <c r="D742" i="40"/>
  <c r="D743" i="40"/>
  <c r="D744" i="40"/>
  <c r="D745" i="40"/>
  <c r="D746" i="40"/>
  <c r="D747" i="40"/>
  <c r="D748" i="40"/>
  <c r="D749" i="40"/>
  <c r="D750" i="40"/>
  <c r="D751" i="40"/>
  <c r="D752" i="40"/>
  <c r="D753" i="40"/>
  <c r="D754" i="40"/>
  <c r="D755" i="40"/>
  <c r="D756" i="40"/>
  <c r="D757" i="40"/>
  <c r="D758" i="40"/>
  <c r="D759" i="40"/>
  <c r="D760" i="40"/>
  <c r="D761" i="40"/>
  <c r="D762" i="40"/>
  <c r="D763" i="40"/>
  <c r="D764" i="40"/>
  <c r="D765" i="40"/>
  <c r="D766" i="40"/>
  <c r="D767" i="40"/>
  <c r="D768" i="40"/>
  <c r="D769" i="40"/>
  <c r="D770" i="40"/>
  <c r="D771" i="40"/>
  <c r="D772" i="40"/>
  <c r="D773" i="40"/>
  <c r="D774" i="40"/>
  <c r="D775" i="40"/>
  <c r="D776" i="40"/>
  <c r="D777" i="40"/>
  <c r="D778" i="40"/>
  <c r="D779" i="40"/>
  <c r="D780" i="40"/>
  <c r="D781" i="40"/>
  <c r="D782" i="40"/>
  <c r="D783" i="40"/>
  <c r="D784" i="40"/>
  <c r="D785" i="40"/>
  <c r="D786" i="40"/>
  <c r="D787" i="40"/>
  <c r="D788" i="40"/>
  <c r="D789" i="40"/>
  <c r="D790" i="40"/>
  <c r="D791" i="40"/>
  <c r="D792" i="40"/>
  <c r="D793" i="40"/>
  <c r="D794" i="40"/>
  <c r="D795" i="40"/>
  <c r="D796" i="40"/>
  <c r="D797" i="40"/>
  <c r="D798" i="40"/>
  <c r="D799" i="40"/>
  <c r="D800" i="40"/>
  <c r="D801" i="40"/>
  <c r="D802" i="40"/>
  <c r="D803" i="40"/>
  <c r="D804" i="40"/>
  <c r="D805" i="40"/>
  <c r="D806" i="40"/>
  <c r="D807" i="40"/>
  <c r="D808" i="40"/>
  <c r="D809" i="40"/>
  <c r="D810" i="40"/>
  <c r="D811" i="40"/>
  <c r="D812" i="40"/>
  <c r="D813" i="40"/>
  <c r="D814" i="40"/>
  <c r="D815" i="40"/>
  <c r="D816" i="40"/>
  <c r="D817" i="40"/>
  <c r="D818" i="40"/>
  <c r="D819" i="40"/>
  <c r="D820" i="40"/>
  <c r="D821" i="40"/>
  <c r="D822" i="40"/>
  <c r="D823" i="40"/>
  <c r="D824" i="40"/>
  <c r="D825" i="40"/>
  <c r="D826" i="40"/>
  <c r="D827" i="40"/>
  <c r="D828" i="40"/>
  <c r="D829" i="40"/>
  <c r="D830" i="40"/>
  <c r="D831" i="40"/>
  <c r="D832" i="40"/>
  <c r="D833" i="40"/>
  <c r="D834" i="40"/>
  <c r="D835" i="40"/>
  <c r="D836" i="40"/>
  <c r="D837" i="40"/>
  <c r="D838" i="40"/>
  <c r="D839" i="40"/>
  <c r="D840" i="40"/>
  <c r="D841" i="40"/>
  <c r="D842" i="40"/>
  <c r="D843" i="40"/>
  <c r="D844" i="40"/>
  <c r="D845" i="40"/>
  <c r="D846" i="40"/>
  <c r="D847" i="40"/>
  <c r="D848" i="40"/>
  <c r="D849" i="40"/>
  <c r="D850" i="40"/>
  <c r="D851" i="40"/>
  <c r="D852" i="40"/>
  <c r="D853" i="40"/>
  <c r="D854" i="40"/>
  <c r="D855" i="40"/>
  <c r="D856" i="40"/>
  <c r="D857" i="40"/>
  <c r="D858" i="40"/>
  <c r="D859" i="40"/>
  <c r="D860" i="40"/>
  <c r="D861" i="40"/>
  <c r="D862" i="40"/>
  <c r="D863" i="40"/>
  <c r="D864" i="40"/>
  <c r="D865" i="40"/>
  <c r="D866" i="40"/>
  <c r="D867" i="40"/>
  <c r="D868" i="40"/>
  <c r="D869" i="40"/>
  <c r="D870" i="40"/>
  <c r="D871" i="40"/>
  <c r="D872" i="40"/>
  <c r="D873" i="40"/>
  <c r="D874" i="40"/>
  <c r="D875" i="40"/>
  <c r="D876" i="40"/>
  <c r="D877" i="40"/>
  <c r="D878" i="40"/>
  <c r="D879" i="40"/>
  <c r="D880" i="40"/>
  <c r="D881" i="40"/>
  <c r="D882" i="40"/>
  <c r="D883" i="40"/>
  <c r="D884" i="40"/>
  <c r="D885" i="40"/>
  <c r="D886" i="40"/>
  <c r="D887" i="40"/>
  <c r="D888" i="40"/>
  <c r="D889" i="40"/>
  <c r="D890" i="40"/>
  <c r="D891" i="40"/>
  <c r="D892" i="40"/>
  <c r="D893" i="40"/>
  <c r="D894" i="40"/>
  <c r="D895" i="40"/>
  <c r="D896" i="40"/>
  <c r="D897" i="40"/>
  <c r="D898" i="40"/>
  <c r="D899" i="40"/>
  <c r="D900" i="40"/>
  <c r="D901" i="40"/>
  <c r="D902" i="40"/>
  <c r="D903" i="40"/>
  <c r="D904" i="40"/>
  <c r="D905" i="40"/>
  <c r="D906" i="40"/>
  <c r="D907" i="40"/>
  <c r="D908" i="40"/>
  <c r="D909" i="40"/>
  <c r="D910" i="40"/>
  <c r="D911" i="40"/>
  <c r="D912" i="40"/>
  <c r="D913" i="40"/>
  <c r="D914" i="40"/>
  <c r="D915" i="40"/>
  <c r="D916" i="40"/>
  <c r="D917" i="40"/>
  <c r="D918" i="40"/>
  <c r="D919" i="40"/>
  <c r="D920" i="40"/>
  <c r="D921" i="40"/>
  <c r="D922" i="40"/>
  <c r="D923" i="40"/>
  <c r="D924" i="40"/>
  <c r="D925" i="40"/>
  <c r="D926" i="40"/>
  <c r="D927" i="40"/>
  <c r="D928" i="40"/>
  <c r="D929" i="40"/>
  <c r="D930" i="40"/>
  <c r="D931" i="40"/>
  <c r="D932" i="40"/>
  <c r="D933" i="40"/>
  <c r="D934" i="40"/>
  <c r="D935" i="40"/>
  <c r="D936" i="40"/>
  <c r="D937" i="40"/>
  <c r="D938" i="40"/>
  <c r="D939" i="40"/>
  <c r="D940" i="40"/>
  <c r="D941" i="40"/>
  <c r="D942" i="40"/>
  <c r="D943" i="40"/>
  <c r="D944" i="40"/>
  <c r="D945" i="40"/>
  <c r="D946" i="40"/>
  <c r="D947" i="40"/>
  <c r="D948" i="40"/>
  <c r="D949" i="40"/>
  <c r="D950" i="40"/>
  <c r="D951" i="40"/>
  <c r="D952" i="40"/>
  <c r="D953" i="40"/>
  <c r="D954" i="40"/>
  <c r="D955" i="40"/>
  <c r="D956" i="40"/>
  <c r="D957" i="40"/>
  <c r="D958" i="40"/>
  <c r="D959" i="40"/>
  <c r="D960" i="40"/>
  <c r="D961" i="40"/>
  <c r="D962" i="40"/>
  <c r="D963" i="40"/>
  <c r="D964" i="40"/>
  <c r="D965" i="40"/>
  <c r="D966" i="40"/>
  <c r="D967" i="40"/>
  <c r="D968" i="40"/>
  <c r="D969" i="40"/>
  <c r="D970" i="40"/>
  <c r="D971" i="40"/>
  <c r="D972" i="40"/>
  <c r="D973" i="40"/>
  <c r="D974" i="40"/>
  <c r="D975" i="40"/>
  <c r="D976" i="40"/>
  <c r="D977" i="40"/>
  <c r="D978" i="40"/>
  <c r="D979" i="40"/>
  <c r="D980" i="40"/>
  <c r="D981" i="40"/>
  <c r="D982" i="40"/>
  <c r="D983" i="40"/>
  <c r="D984" i="40"/>
  <c r="D985" i="40"/>
  <c r="D986" i="40"/>
  <c r="D987" i="40"/>
  <c r="D988" i="40"/>
  <c r="D989" i="40"/>
  <c r="D990" i="40"/>
  <c r="D991" i="40"/>
  <c r="D992" i="40"/>
  <c r="D993" i="40"/>
  <c r="D994" i="40"/>
  <c r="D995" i="40"/>
  <c r="D996" i="40"/>
  <c r="D997" i="40"/>
  <c r="D998" i="40"/>
  <c r="D999" i="40"/>
  <c r="D1000" i="40"/>
  <c r="D1001" i="40"/>
  <c r="D1002" i="40"/>
  <c r="D1003" i="40"/>
  <c r="D1004" i="40"/>
  <c r="D1005" i="40"/>
  <c r="D1006" i="40"/>
  <c r="D1007" i="40"/>
  <c r="D1008" i="40"/>
  <c r="D1009" i="40"/>
  <c r="D1010" i="40"/>
  <c r="D1011" i="40"/>
  <c r="D1012" i="40"/>
  <c r="D1013" i="40"/>
  <c r="D1014" i="40"/>
  <c r="D1015" i="40"/>
  <c r="D1016" i="40"/>
  <c r="D1017" i="40"/>
  <c r="D1018" i="40"/>
  <c r="D1019" i="40"/>
  <c r="D1020" i="40"/>
  <c r="D1021" i="40"/>
  <c r="D1022" i="40"/>
  <c r="D1023" i="40"/>
  <c r="D1024" i="40"/>
  <c r="D1025" i="40"/>
  <c r="D1026" i="40"/>
  <c r="D1027" i="40"/>
  <c r="D1028" i="40"/>
  <c r="D1029" i="40"/>
  <c r="D1030" i="40"/>
  <c r="D1031" i="40"/>
  <c r="D1032" i="40"/>
  <c r="D1033" i="40"/>
  <c r="D1034" i="40"/>
  <c r="D1035" i="40"/>
  <c r="D1036" i="40"/>
  <c r="D1037" i="40"/>
  <c r="D1038" i="40"/>
  <c r="D1039" i="40"/>
  <c r="D1040" i="40"/>
  <c r="D1041" i="40"/>
  <c r="D1042" i="40"/>
  <c r="D1043" i="40"/>
  <c r="D1044" i="40"/>
  <c r="D1045" i="40"/>
  <c r="D1046" i="40"/>
  <c r="D1047" i="40"/>
  <c r="D1048" i="40"/>
  <c r="D1049" i="40"/>
  <c r="D1050" i="40"/>
  <c r="D1051" i="40"/>
  <c r="D1052" i="40"/>
  <c r="D1053" i="40"/>
  <c r="D1054" i="40"/>
  <c r="D1055" i="40"/>
  <c r="D1056" i="40"/>
  <c r="D1057" i="40"/>
  <c r="D1058" i="40"/>
  <c r="D1059" i="40"/>
  <c r="D1060" i="40"/>
  <c r="D1061" i="40"/>
  <c r="D1062" i="40"/>
  <c r="D1063" i="40"/>
  <c r="D1064" i="40"/>
  <c r="D1065" i="40"/>
  <c r="D1066" i="40"/>
  <c r="D1067" i="40"/>
  <c r="D1068" i="40"/>
  <c r="D1069" i="40"/>
  <c r="D1070" i="40"/>
  <c r="D1071" i="40"/>
  <c r="D1072" i="40"/>
  <c r="D1073" i="40"/>
  <c r="D1074" i="40"/>
  <c r="D1075" i="40"/>
  <c r="D1076" i="40"/>
  <c r="D1077" i="40"/>
  <c r="D1078" i="40"/>
  <c r="D1079" i="40"/>
  <c r="D1080" i="40"/>
  <c r="D1081" i="40"/>
  <c r="D1082" i="40"/>
  <c r="D1083" i="40"/>
  <c r="D1084" i="40"/>
  <c r="D1085" i="40"/>
  <c r="D1086" i="40"/>
  <c r="D1087" i="40"/>
  <c r="D1088" i="40"/>
  <c r="D1089" i="40"/>
  <c r="D1090" i="40"/>
  <c r="D1091" i="40"/>
  <c r="D1092" i="40"/>
  <c r="D1093" i="40"/>
  <c r="D1094" i="40"/>
  <c r="D1095" i="40"/>
  <c r="D1096" i="40"/>
  <c r="D1097" i="40"/>
  <c r="D1098" i="40"/>
  <c r="D1099" i="40"/>
  <c r="D1100" i="40"/>
  <c r="D1101" i="40"/>
  <c r="D1102" i="40"/>
  <c r="D1103" i="40"/>
  <c r="D1104" i="40"/>
  <c r="D1105" i="40"/>
  <c r="D1106" i="40"/>
  <c r="D1107" i="40"/>
  <c r="D1108" i="40"/>
  <c r="D1109" i="40"/>
  <c r="D1110" i="40"/>
  <c r="D1111" i="40"/>
  <c r="D1112" i="40"/>
  <c r="D1113" i="40"/>
  <c r="D1114" i="40"/>
  <c r="D1115" i="40"/>
  <c r="D1116" i="40"/>
  <c r="D1117" i="40"/>
  <c r="D1118" i="40"/>
  <c r="D1119" i="40"/>
  <c r="D1120" i="40"/>
  <c r="D1121" i="40"/>
  <c r="D1122" i="40"/>
  <c r="D1123" i="40"/>
  <c r="D1124" i="40"/>
  <c r="D1125" i="40"/>
  <c r="D1126" i="40"/>
  <c r="D1127" i="40"/>
  <c r="D1128" i="40"/>
  <c r="D1129" i="40"/>
  <c r="D1130" i="40"/>
  <c r="D1131" i="40"/>
  <c r="D1132" i="40"/>
  <c r="D1133" i="40"/>
  <c r="D1134" i="40"/>
  <c r="D1135" i="40"/>
  <c r="D1136" i="40"/>
  <c r="D1137" i="40"/>
  <c r="D1138" i="40"/>
  <c r="D1139" i="40"/>
  <c r="D1140" i="40"/>
  <c r="D1141" i="40"/>
  <c r="D1142" i="40"/>
  <c r="D1143" i="40"/>
  <c r="D1144" i="40"/>
  <c r="D1145" i="40"/>
  <c r="D1146" i="40"/>
  <c r="D1147" i="40"/>
  <c r="D1148" i="40"/>
  <c r="D1149" i="40"/>
  <c r="D1150" i="40"/>
  <c r="D1151" i="40"/>
  <c r="D1152" i="40"/>
  <c r="D1153" i="40"/>
  <c r="D1154" i="40"/>
  <c r="D1155" i="40"/>
  <c r="D1156" i="40"/>
  <c r="D1157" i="40"/>
  <c r="D1158" i="40"/>
  <c r="D1159" i="40"/>
  <c r="D1160" i="40"/>
  <c r="D1161" i="40"/>
  <c r="D1162" i="40"/>
  <c r="D1163" i="40"/>
  <c r="D1164" i="40"/>
  <c r="D1165" i="40"/>
  <c r="D1166" i="40"/>
  <c r="D1167" i="40"/>
  <c r="D1168" i="40"/>
  <c r="D1169" i="40"/>
  <c r="D1170" i="40"/>
  <c r="D1171" i="40"/>
  <c r="D1172" i="40"/>
  <c r="D1173" i="40"/>
  <c r="D1174" i="40"/>
  <c r="D1175" i="40"/>
  <c r="D1176" i="40"/>
  <c r="D1177" i="40"/>
  <c r="D1178" i="40"/>
  <c r="D1179" i="40"/>
  <c r="D1180" i="40"/>
  <c r="D1181" i="40"/>
  <c r="D1182" i="40"/>
  <c r="D1183" i="40"/>
  <c r="D1184" i="40"/>
  <c r="D1185" i="40"/>
  <c r="D1186" i="40"/>
  <c r="D1187" i="40"/>
  <c r="D1188" i="40"/>
  <c r="D1189" i="40"/>
  <c r="D1190" i="40"/>
  <c r="D1191" i="40"/>
  <c r="D1192" i="40"/>
  <c r="D1193" i="40"/>
  <c r="D1194" i="40"/>
  <c r="D1195" i="40"/>
  <c r="D1196" i="40"/>
  <c r="D1197" i="40"/>
  <c r="D1198" i="40"/>
  <c r="D1199" i="40"/>
  <c r="D1200" i="40"/>
  <c r="D1201" i="40"/>
  <c r="D1202" i="40"/>
  <c r="D1203" i="40"/>
  <c r="D1204" i="40"/>
  <c r="D1205" i="40"/>
  <c r="D1206" i="40"/>
  <c r="D1207" i="40"/>
  <c r="D1208" i="40"/>
  <c r="D1209" i="40"/>
  <c r="D1210" i="40"/>
  <c r="D1211" i="40"/>
  <c r="D1212" i="40"/>
  <c r="D1213" i="40"/>
  <c r="D1214" i="40"/>
  <c r="D1215" i="40"/>
  <c r="D1216" i="40"/>
  <c r="D1217" i="40"/>
  <c r="D1218" i="40"/>
  <c r="D1219" i="40"/>
  <c r="D1220" i="40"/>
  <c r="D1221" i="40"/>
  <c r="D1222" i="40"/>
  <c r="D1223" i="40"/>
  <c r="D1224" i="40"/>
  <c r="D1225" i="40"/>
  <c r="D1226" i="40"/>
  <c r="D1227" i="40"/>
  <c r="D1228" i="40"/>
  <c r="D1229" i="40"/>
  <c r="D1230" i="40"/>
  <c r="D1231" i="40"/>
  <c r="D1232" i="40"/>
  <c r="D1233" i="40"/>
  <c r="D1234" i="40"/>
  <c r="D1235" i="40"/>
  <c r="D1236" i="40"/>
  <c r="D1237" i="40"/>
  <c r="D1238" i="40"/>
  <c r="D1239" i="40"/>
  <c r="D1240" i="40"/>
  <c r="D1241" i="40"/>
  <c r="D1242" i="40"/>
  <c r="D1243" i="40"/>
  <c r="D1244" i="40"/>
  <c r="D1245" i="40"/>
  <c r="D1246" i="40"/>
  <c r="D1247" i="40"/>
  <c r="D1248" i="40"/>
  <c r="D1249" i="40"/>
  <c r="D1250" i="40"/>
  <c r="D1251" i="40"/>
  <c r="D1252" i="40"/>
  <c r="D1253" i="40"/>
  <c r="D1254" i="40"/>
  <c r="D1255" i="40"/>
  <c r="D1256" i="40"/>
  <c r="D1257" i="40"/>
  <c r="D1258" i="40"/>
  <c r="D1259" i="40"/>
  <c r="D1260" i="40"/>
  <c r="D1261" i="40"/>
  <c r="D1262" i="40"/>
  <c r="D1263" i="40"/>
  <c r="D1264" i="40"/>
  <c r="D1265" i="40"/>
  <c r="D1266" i="40"/>
  <c r="D1267" i="40"/>
  <c r="D1268" i="40"/>
  <c r="D1269" i="40"/>
  <c r="D1270" i="40"/>
  <c r="D1271" i="40"/>
  <c r="D1272" i="40"/>
  <c r="D1273" i="40"/>
  <c r="D1274" i="40"/>
  <c r="D1275" i="40"/>
  <c r="D1276" i="40"/>
  <c r="D1277" i="40"/>
  <c r="D1278" i="40"/>
  <c r="D1279" i="40"/>
  <c r="D1280" i="40"/>
  <c r="D1281" i="40"/>
  <c r="D1282" i="40"/>
  <c r="D1283" i="40"/>
  <c r="D1284" i="40"/>
  <c r="D1285" i="40"/>
  <c r="D1286" i="40"/>
  <c r="D1287" i="40"/>
  <c r="D1288" i="40"/>
  <c r="D1289" i="40"/>
  <c r="D1290" i="40"/>
  <c r="D1291" i="40"/>
  <c r="D1292" i="40"/>
  <c r="D1293" i="40"/>
  <c r="D1294" i="40"/>
  <c r="D1295" i="40"/>
  <c r="D1296" i="40"/>
  <c r="D1297" i="40"/>
  <c r="D1298" i="40"/>
  <c r="D1299" i="40"/>
  <c r="D1300" i="40"/>
  <c r="D1301" i="40"/>
  <c r="D1302" i="40"/>
  <c r="D1303" i="40"/>
  <c r="D1304" i="40"/>
  <c r="D1305" i="40"/>
  <c r="D1306" i="40"/>
  <c r="D1307" i="40"/>
  <c r="D1308" i="40"/>
  <c r="D1309" i="40"/>
  <c r="D1310" i="40"/>
  <c r="D1311" i="40"/>
  <c r="D1312" i="40"/>
  <c r="D1313" i="40"/>
  <c r="D1314" i="40"/>
  <c r="D1315" i="40"/>
  <c r="D1316" i="40"/>
  <c r="D1317" i="40"/>
  <c r="D1318" i="40"/>
  <c r="D1319" i="40"/>
  <c r="D1320" i="40"/>
  <c r="D1321" i="40"/>
  <c r="D1322" i="40"/>
  <c r="D1323" i="40"/>
  <c r="D1324" i="40"/>
  <c r="D1325" i="40"/>
  <c r="D1326" i="40"/>
  <c r="D1327" i="40"/>
  <c r="D1328" i="40"/>
  <c r="D1329" i="40"/>
  <c r="D1330" i="40"/>
  <c r="D1331" i="40"/>
  <c r="D1332" i="40"/>
  <c r="D1333" i="40"/>
  <c r="D1334" i="40"/>
  <c r="D1335" i="40"/>
  <c r="D1336" i="40"/>
  <c r="D1337" i="40"/>
  <c r="D1338" i="40"/>
  <c r="D1339" i="40"/>
  <c r="D1340" i="40"/>
  <c r="D1341" i="40"/>
  <c r="D1342" i="40"/>
  <c r="D1343" i="40"/>
  <c r="D1344" i="40"/>
  <c r="D1345" i="40"/>
  <c r="D1346" i="40"/>
  <c r="D1347" i="40"/>
  <c r="D1348" i="40"/>
  <c r="D1349" i="40"/>
  <c r="D1350" i="40"/>
  <c r="D1351" i="40"/>
  <c r="D1352" i="40"/>
  <c r="D1353" i="40"/>
  <c r="D1354" i="40"/>
  <c r="D1355" i="40"/>
  <c r="D1356" i="40"/>
  <c r="D1357" i="40"/>
  <c r="D1358" i="40"/>
  <c r="D1359" i="40"/>
  <c r="D1360" i="40"/>
  <c r="D1361" i="40"/>
  <c r="D1362" i="40"/>
  <c r="D1363" i="40"/>
  <c r="D1364" i="40"/>
  <c r="D1365" i="40"/>
  <c r="D1366" i="40"/>
  <c r="D1367" i="40"/>
  <c r="D1368" i="40"/>
  <c r="D1369" i="40"/>
  <c r="D1370" i="40"/>
  <c r="D1371" i="40"/>
  <c r="D1372" i="40"/>
  <c r="D1373" i="40"/>
  <c r="D1374" i="40"/>
  <c r="D1375" i="40"/>
  <c r="D1376" i="40"/>
  <c r="D1377" i="40"/>
  <c r="D1378" i="40"/>
  <c r="D1379" i="40"/>
  <c r="D1380" i="40"/>
  <c r="D1381" i="40"/>
  <c r="D1382" i="40"/>
  <c r="D1383" i="40"/>
  <c r="D1384" i="40"/>
  <c r="D1385" i="40"/>
  <c r="D1386" i="40"/>
  <c r="D1387" i="40"/>
  <c r="D1388" i="40"/>
  <c r="D1389" i="40"/>
  <c r="D1390" i="40"/>
  <c r="D1391" i="40"/>
  <c r="D1392" i="40"/>
  <c r="D1393" i="40"/>
  <c r="D1394" i="40"/>
  <c r="D1395" i="40"/>
  <c r="D1396" i="40"/>
  <c r="D1397" i="40"/>
  <c r="D1398" i="40"/>
  <c r="D1399" i="40"/>
  <c r="D1400" i="40"/>
  <c r="D1401" i="40"/>
  <c r="D1402" i="40"/>
  <c r="D1403" i="40"/>
  <c r="D1404" i="40"/>
  <c r="D1405" i="40"/>
  <c r="D1406" i="40"/>
  <c r="D1407" i="40"/>
  <c r="D1408" i="40"/>
  <c r="D1409" i="40"/>
  <c r="D1410" i="40"/>
  <c r="D1411" i="40"/>
  <c r="D1412" i="40"/>
  <c r="D1413" i="40"/>
  <c r="D1414" i="40"/>
  <c r="D1415" i="40"/>
  <c r="D1416" i="40"/>
  <c r="D1417" i="40"/>
  <c r="D1418" i="40"/>
  <c r="D1419" i="40"/>
  <c r="D1420" i="40"/>
  <c r="D1421" i="40"/>
  <c r="D1422" i="40"/>
  <c r="D1423" i="40"/>
  <c r="D1424" i="40"/>
  <c r="D1425" i="40"/>
  <c r="D1426" i="40"/>
  <c r="D1427" i="40"/>
  <c r="D1428" i="40"/>
  <c r="D1429" i="40"/>
  <c r="D1430" i="40"/>
  <c r="D1431" i="40"/>
  <c r="D1432" i="40"/>
  <c r="D1433" i="40"/>
  <c r="D1434" i="40"/>
  <c r="D1435" i="40"/>
  <c r="D1436" i="40"/>
  <c r="D1437" i="40"/>
  <c r="D1438" i="40"/>
  <c r="D1439" i="40"/>
  <c r="D1440" i="40"/>
  <c r="D1441" i="40"/>
  <c r="D1442" i="40"/>
  <c r="D1443" i="40"/>
  <c r="D1444" i="40"/>
  <c r="D1445" i="40"/>
  <c r="D1446" i="40"/>
  <c r="D1447" i="40"/>
  <c r="D1448" i="40"/>
  <c r="D1449" i="40"/>
  <c r="D1450" i="40"/>
  <c r="D1451" i="40"/>
  <c r="D1452" i="40"/>
  <c r="D1453" i="40"/>
  <c r="D1454" i="40"/>
  <c r="D1455" i="40"/>
  <c r="D1456" i="40"/>
  <c r="D1457" i="40"/>
  <c r="D1458" i="40"/>
  <c r="D1459" i="40"/>
  <c r="D1460" i="40"/>
  <c r="D1461" i="40"/>
  <c r="D1462" i="40"/>
  <c r="D1463" i="40"/>
  <c r="D1464" i="40"/>
  <c r="D1465" i="40"/>
  <c r="D1466" i="40"/>
  <c r="D1467" i="40"/>
  <c r="D1468" i="40"/>
  <c r="D1469" i="40"/>
  <c r="D1470" i="40"/>
  <c r="D1471" i="40"/>
  <c r="D1472" i="40"/>
  <c r="D1473" i="40"/>
  <c r="D1474" i="40"/>
  <c r="D1475" i="40"/>
  <c r="D1476" i="40"/>
  <c r="D1477" i="40"/>
  <c r="D1478" i="40"/>
  <c r="D1479" i="40"/>
  <c r="D1480" i="40"/>
  <c r="D1481" i="40"/>
  <c r="D1482" i="40"/>
  <c r="D1483" i="40"/>
  <c r="D1484" i="40"/>
  <c r="D1485" i="40"/>
  <c r="D1486" i="40"/>
  <c r="D1487" i="40"/>
  <c r="D1488" i="40"/>
  <c r="D1489" i="40"/>
  <c r="D1490" i="40"/>
  <c r="D1491" i="40"/>
  <c r="D1492" i="40"/>
  <c r="D1493" i="40"/>
  <c r="D1494" i="40"/>
  <c r="D1495" i="40"/>
  <c r="D1496" i="40"/>
  <c r="D1497" i="40"/>
  <c r="D1498" i="40"/>
  <c r="D1499" i="40"/>
  <c r="D1500" i="40"/>
  <c r="D1501" i="40"/>
  <c r="D1502" i="40"/>
  <c r="D1503" i="40"/>
  <c r="D1504" i="40"/>
  <c r="D1505" i="40"/>
  <c r="D1506" i="40"/>
  <c r="D1507" i="40"/>
  <c r="D1508" i="40"/>
  <c r="D1509" i="40"/>
  <c r="D1510" i="40"/>
  <c r="D1511" i="40"/>
  <c r="D1512" i="40"/>
  <c r="D1513" i="40"/>
  <c r="D1514" i="40"/>
  <c r="D1515" i="40"/>
  <c r="D1516" i="40"/>
  <c r="D1517" i="40"/>
  <c r="D1518" i="40"/>
  <c r="D1519" i="40"/>
  <c r="D1520" i="40"/>
  <c r="D1521" i="40"/>
  <c r="D1522" i="40"/>
  <c r="D1523" i="40"/>
  <c r="D1524" i="40"/>
  <c r="D1525" i="40"/>
  <c r="D1526" i="40"/>
  <c r="D1527" i="40"/>
  <c r="D1528" i="40"/>
  <c r="D1529" i="40"/>
  <c r="D1530" i="40"/>
  <c r="D1531" i="40"/>
  <c r="D1532" i="40"/>
  <c r="D1533" i="40"/>
  <c r="D1534" i="40"/>
  <c r="D1535" i="40"/>
  <c r="D1536" i="40"/>
  <c r="D1537" i="40"/>
  <c r="D1538" i="40"/>
  <c r="D1539" i="40"/>
  <c r="D1540" i="40"/>
  <c r="D1541" i="40"/>
  <c r="D1542" i="40"/>
  <c r="D1543" i="40"/>
  <c r="D1544" i="40"/>
  <c r="D1545" i="40"/>
  <c r="D1546" i="40"/>
  <c r="D1547" i="40"/>
  <c r="D1548" i="40"/>
  <c r="D1549" i="40"/>
  <c r="D1550" i="40"/>
  <c r="D1551" i="40"/>
  <c r="D1552" i="40"/>
  <c r="D1553" i="40"/>
  <c r="D1554" i="40"/>
  <c r="D1555" i="40"/>
  <c r="D1556" i="40"/>
  <c r="D1557" i="40"/>
  <c r="D1558" i="40"/>
  <c r="D1559" i="40"/>
  <c r="D1560" i="40"/>
  <c r="D1561" i="40"/>
  <c r="D1562" i="40"/>
  <c r="D1563" i="40"/>
  <c r="D1564" i="40"/>
  <c r="D1565" i="40"/>
  <c r="D1566" i="40"/>
  <c r="D1567" i="40"/>
  <c r="D1568" i="40"/>
  <c r="D1569" i="40"/>
  <c r="D1570" i="40"/>
  <c r="D1571" i="40"/>
  <c r="D1572" i="40"/>
  <c r="D1573" i="40"/>
  <c r="D1574" i="40"/>
  <c r="D1575" i="40"/>
  <c r="D1576" i="40"/>
  <c r="D1577" i="40"/>
  <c r="D1578" i="40"/>
  <c r="D1579" i="40"/>
  <c r="D1580" i="40"/>
  <c r="D1581" i="40"/>
  <c r="D1582" i="40"/>
  <c r="D1583" i="40"/>
  <c r="D1584" i="40"/>
  <c r="D1585" i="40"/>
  <c r="D1586" i="40"/>
  <c r="D1587" i="40"/>
  <c r="D1588" i="40"/>
  <c r="D1589" i="40"/>
  <c r="D1590" i="40"/>
  <c r="D1591" i="40"/>
  <c r="D1592" i="40"/>
  <c r="D1593" i="40"/>
  <c r="D1594" i="40"/>
  <c r="D1595" i="40"/>
  <c r="D1596" i="40"/>
  <c r="D1597" i="40"/>
  <c r="D1598" i="40"/>
  <c r="D1599" i="40"/>
  <c r="D1600" i="40"/>
  <c r="D1601" i="40"/>
  <c r="D1602" i="40"/>
  <c r="D1603" i="40"/>
  <c r="D1604" i="40"/>
  <c r="D1605" i="40"/>
  <c r="D1606" i="40"/>
  <c r="D1607" i="40"/>
  <c r="D1608" i="40"/>
  <c r="D1609" i="40"/>
  <c r="D1610" i="40"/>
  <c r="D1611" i="40"/>
  <c r="D1612" i="40"/>
  <c r="D1613" i="40"/>
  <c r="D1614" i="40"/>
  <c r="D1615" i="40"/>
  <c r="D1616" i="40"/>
  <c r="D1617" i="40"/>
  <c r="D1618" i="40"/>
  <c r="D1619" i="40"/>
  <c r="D1620" i="40"/>
  <c r="D1621" i="40"/>
  <c r="D1622" i="40"/>
  <c r="D1623" i="40"/>
  <c r="D1624" i="40"/>
  <c r="D1625" i="40"/>
  <c r="D1626" i="40"/>
  <c r="D1627" i="40"/>
  <c r="D1628" i="40"/>
  <c r="D1629" i="40"/>
  <c r="D1630" i="40"/>
  <c r="D1631" i="40"/>
  <c r="D1632" i="40"/>
  <c r="D1633" i="40"/>
  <c r="D1634" i="40"/>
  <c r="D1635" i="40"/>
  <c r="D1636" i="40"/>
  <c r="D1637" i="40"/>
  <c r="D1638" i="40"/>
  <c r="D1639" i="40"/>
  <c r="D1640" i="40"/>
  <c r="D1641" i="40"/>
  <c r="D1642" i="40"/>
  <c r="D1643" i="40"/>
  <c r="D1644" i="40"/>
  <c r="D1645" i="40"/>
  <c r="D1646" i="40"/>
  <c r="D1647" i="40"/>
  <c r="D1648" i="40"/>
  <c r="D1649" i="40"/>
  <c r="D1650" i="40"/>
  <c r="D1651" i="40"/>
  <c r="D1652" i="40"/>
  <c r="D1653" i="40"/>
  <c r="D1654" i="40"/>
  <c r="D1655" i="40"/>
  <c r="D1656" i="40"/>
  <c r="D1657" i="40"/>
  <c r="D1658" i="40"/>
  <c r="D1659" i="40"/>
  <c r="D1660" i="40"/>
  <c r="D1661" i="40"/>
  <c r="D1662" i="40"/>
  <c r="D1663" i="40"/>
  <c r="D1664" i="40"/>
  <c r="D1665" i="40"/>
  <c r="D1666" i="40"/>
  <c r="D1667" i="40"/>
  <c r="D1668" i="40"/>
  <c r="D1669" i="40"/>
  <c r="D1670" i="40"/>
  <c r="D1671" i="40"/>
  <c r="D1672" i="40"/>
  <c r="D1673" i="40"/>
  <c r="D1674" i="40"/>
  <c r="D1675" i="40"/>
  <c r="D1676" i="40"/>
  <c r="D1677" i="40"/>
  <c r="D1678" i="40"/>
  <c r="D1679" i="40"/>
  <c r="D1680" i="40"/>
  <c r="D1681" i="40"/>
  <c r="D1682" i="40"/>
  <c r="D1683" i="40"/>
  <c r="D1684" i="40"/>
  <c r="D1685" i="40"/>
  <c r="D1686" i="40"/>
  <c r="D1687" i="40"/>
  <c r="D1688" i="40"/>
  <c r="D1689" i="40"/>
  <c r="D1690" i="40"/>
  <c r="D1691" i="40"/>
  <c r="D1692" i="40"/>
  <c r="D1693" i="40"/>
  <c r="D1694" i="40"/>
  <c r="D1695" i="40"/>
  <c r="D1696" i="40"/>
  <c r="D1697" i="40"/>
  <c r="D1698" i="40"/>
  <c r="D1699" i="40"/>
  <c r="D1700" i="40"/>
  <c r="D1701" i="40"/>
  <c r="D1702" i="40"/>
  <c r="D1703" i="40"/>
  <c r="D1704" i="40"/>
  <c r="D1705" i="40"/>
  <c r="D1706" i="40"/>
  <c r="D1707" i="40"/>
  <c r="D1708" i="40"/>
  <c r="D1709" i="40"/>
  <c r="D1710" i="40"/>
  <c r="D1711" i="40"/>
  <c r="D1712" i="40"/>
  <c r="D1713" i="40"/>
  <c r="D1714" i="40"/>
  <c r="D1715" i="40"/>
  <c r="D1716" i="40"/>
  <c r="D1717" i="40"/>
  <c r="D1718" i="40"/>
  <c r="D1719" i="40"/>
  <c r="D1720" i="40"/>
  <c r="D1721" i="40"/>
  <c r="D1722" i="40"/>
  <c r="D1723" i="40"/>
  <c r="D1724" i="40"/>
  <c r="D1725" i="40"/>
  <c r="D1726" i="40"/>
  <c r="D1727" i="40"/>
  <c r="D1728" i="40"/>
  <c r="D1729" i="40"/>
  <c r="D1730" i="40"/>
  <c r="D1731" i="40"/>
  <c r="D1732" i="40"/>
  <c r="D1733" i="40"/>
  <c r="D1734" i="40"/>
  <c r="D1735" i="40"/>
  <c r="D1736" i="40"/>
  <c r="D1737" i="40"/>
  <c r="D1738" i="40"/>
  <c r="D1739" i="40"/>
  <c r="D1740" i="40"/>
  <c r="D1741" i="40"/>
  <c r="D1742" i="40"/>
  <c r="D1743" i="40"/>
  <c r="D1744" i="40"/>
  <c r="D1745" i="40"/>
  <c r="D1746" i="40"/>
  <c r="D1747" i="40"/>
  <c r="D1748" i="40"/>
  <c r="D1749" i="40"/>
  <c r="D1750" i="40"/>
  <c r="D1751" i="40"/>
  <c r="D1752" i="40"/>
  <c r="D1753" i="40"/>
  <c r="D1754" i="40"/>
  <c r="D1755" i="40"/>
  <c r="D1756" i="40"/>
  <c r="D1757" i="40"/>
  <c r="D1758" i="40"/>
  <c r="D1759" i="40"/>
  <c r="D1760" i="40"/>
  <c r="D1761" i="40"/>
  <c r="D1762" i="40"/>
  <c r="D1763" i="40"/>
  <c r="D1764" i="40"/>
  <c r="D1765" i="40"/>
  <c r="D1766" i="40"/>
  <c r="D1767" i="40"/>
  <c r="D1768" i="40"/>
  <c r="D1769" i="40"/>
  <c r="D1770" i="40"/>
  <c r="D1771" i="40"/>
  <c r="D1772" i="40"/>
  <c r="D1773" i="40"/>
  <c r="D1774" i="40"/>
  <c r="D1775" i="40"/>
  <c r="D1776" i="40"/>
  <c r="D1777" i="40"/>
  <c r="D1778" i="40"/>
  <c r="D1779" i="40"/>
  <c r="D1780" i="40"/>
  <c r="D1781" i="40"/>
  <c r="D1782" i="40"/>
  <c r="D1783" i="40"/>
  <c r="D1784" i="40"/>
  <c r="D1785" i="40"/>
  <c r="D1786" i="40"/>
  <c r="D1787" i="40"/>
  <c r="D1788" i="40"/>
  <c r="D1789" i="40"/>
  <c r="D1790" i="40"/>
  <c r="D1791" i="40"/>
  <c r="D1792" i="40"/>
  <c r="D1793" i="40"/>
  <c r="D1794" i="40"/>
  <c r="D1795" i="40"/>
  <c r="D1796" i="40"/>
  <c r="D1797" i="40"/>
  <c r="D1798" i="40"/>
  <c r="D1799" i="40"/>
  <c r="D1800" i="40"/>
  <c r="D1801" i="40"/>
  <c r="D1802" i="40"/>
  <c r="D1803" i="40"/>
  <c r="D1804" i="40"/>
  <c r="D1805" i="40"/>
  <c r="D1806" i="40"/>
  <c r="D1807" i="40"/>
  <c r="D1808" i="40"/>
  <c r="D1809" i="40"/>
  <c r="D1810" i="40"/>
  <c r="D1811" i="40"/>
  <c r="D1812" i="40"/>
  <c r="D1813" i="40"/>
  <c r="D1814" i="40"/>
  <c r="D1815" i="40"/>
  <c r="D1816" i="40"/>
  <c r="D1817" i="40"/>
  <c r="D1818" i="40"/>
  <c r="D1819" i="40"/>
  <c r="D1820" i="40"/>
  <c r="D1821" i="40"/>
  <c r="D1822" i="40"/>
  <c r="D1823" i="40"/>
  <c r="D1824" i="40"/>
  <c r="D1825" i="40"/>
  <c r="D1826" i="40"/>
  <c r="D1827" i="40"/>
  <c r="D1828" i="40"/>
  <c r="D1829" i="40"/>
  <c r="D1830" i="40"/>
  <c r="D1831" i="40"/>
  <c r="D1832" i="40"/>
  <c r="D1833" i="40"/>
  <c r="D1834" i="40"/>
  <c r="D1835" i="40"/>
  <c r="D1836" i="40"/>
  <c r="D1837" i="40"/>
  <c r="D1838" i="40"/>
  <c r="D1839" i="40"/>
  <c r="D1840" i="40"/>
  <c r="D1841" i="40"/>
  <c r="D1842" i="40"/>
  <c r="D1843" i="40"/>
  <c r="D1844" i="40"/>
  <c r="D1845" i="40"/>
  <c r="D1846" i="40"/>
  <c r="D1847" i="40"/>
  <c r="D1848" i="40"/>
  <c r="D1849" i="40"/>
  <c r="D1850" i="40"/>
  <c r="D1851" i="40"/>
  <c r="D1852" i="40"/>
  <c r="D1853" i="40"/>
  <c r="D1854" i="40"/>
  <c r="D1855" i="40"/>
  <c r="D1856" i="40"/>
  <c r="D1857" i="40"/>
  <c r="D1858" i="40"/>
  <c r="D1859" i="40"/>
  <c r="D1860" i="40"/>
  <c r="D1861" i="40"/>
  <c r="D1862" i="40"/>
  <c r="D1863" i="40"/>
  <c r="D1864" i="40"/>
  <c r="D1865" i="40"/>
  <c r="D1866" i="40"/>
  <c r="D1867" i="40"/>
  <c r="D1868" i="40"/>
  <c r="D1869" i="40"/>
  <c r="D1870" i="40"/>
  <c r="D1871" i="40"/>
  <c r="D1872" i="40"/>
  <c r="D1873" i="40"/>
  <c r="D1874" i="40"/>
  <c r="D1875" i="40"/>
  <c r="D1876" i="40"/>
  <c r="D1877" i="40"/>
  <c r="D1878" i="40"/>
  <c r="D1879" i="40"/>
  <c r="D1880" i="40"/>
  <c r="D1881" i="40"/>
  <c r="D1882" i="40"/>
  <c r="D1883" i="40"/>
  <c r="D1884" i="40"/>
  <c r="D1885" i="40"/>
  <c r="D1886" i="40"/>
  <c r="D1887" i="40"/>
  <c r="D1888" i="40"/>
  <c r="D1889" i="40"/>
  <c r="D1890" i="40"/>
  <c r="D1891" i="40"/>
  <c r="D1892" i="40"/>
  <c r="D1893" i="40"/>
  <c r="D1894" i="40"/>
  <c r="D1895" i="40"/>
  <c r="D1896" i="40"/>
  <c r="D1897" i="40"/>
  <c r="D1898" i="40"/>
  <c r="D1899" i="40"/>
  <c r="D1900" i="40"/>
  <c r="D1901" i="40"/>
  <c r="D1902" i="40"/>
  <c r="D1903" i="40"/>
  <c r="D1904" i="40"/>
  <c r="D1905" i="40"/>
  <c r="D1906" i="40"/>
  <c r="D1907" i="40"/>
  <c r="D1908" i="40"/>
  <c r="D1909" i="40"/>
  <c r="D1910" i="40"/>
  <c r="D1911" i="40"/>
  <c r="D1912" i="40"/>
  <c r="D1913" i="40"/>
  <c r="D1914" i="40"/>
  <c r="D1915" i="40"/>
  <c r="D1916" i="40"/>
  <c r="D1917" i="40"/>
  <c r="D1918" i="40"/>
  <c r="D1919" i="40"/>
  <c r="D1920" i="40"/>
  <c r="D1921" i="40"/>
  <c r="D1922" i="40"/>
  <c r="D1923" i="40"/>
  <c r="D1924" i="40"/>
  <c r="D1925" i="40"/>
  <c r="D1926" i="40"/>
  <c r="D1927" i="40"/>
  <c r="D1928" i="40"/>
  <c r="D1929" i="40"/>
  <c r="D1930" i="40"/>
  <c r="D1931" i="40"/>
  <c r="D1932" i="40"/>
  <c r="D1933" i="40"/>
  <c r="D1934" i="40"/>
  <c r="D1935" i="40"/>
  <c r="D1936" i="40"/>
  <c r="D1937" i="40"/>
  <c r="D1938" i="40"/>
  <c r="D1939" i="40"/>
  <c r="D1940" i="40"/>
  <c r="D1941" i="40"/>
  <c r="D1942" i="40"/>
  <c r="D1943" i="40"/>
  <c r="D1944" i="40"/>
  <c r="D1945" i="40"/>
  <c r="D1946" i="40"/>
  <c r="D1947" i="40"/>
  <c r="D1948" i="40"/>
  <c r="D1949" i="40"/>
  <c r="D1950" i="40"/>
  <c r="D1951" i="40"/>
  <c r="D1952" i="40"/>
  <c r="D1953" i="40"/>
  <c r="D1954" i="40"/>
  <c r="D1955" i="40"/>
  <c r="D1956" i="40"/>
  <c r="D1957" i="40"/>
  <c r="D1958" i="40"/>
  <c r="D1959" i="40"/>
  <c r="D1960" i="40"/>
  <c r="D1961" i="40"/>
  <c r="D1962" i="40"/>
  <c r="D1963" i="40"/>
  <c r="D1964" i="40"/>
  <c r="D1965" i="40"/>
  <c r="D1966" i="40"/>
  <c r="D1967" i="40"/>
  <c r="D1968" i="40"/>
  <c r="D1969" i="40"/>
  <c r="D1970" i="40"/>
  <c r="D1971" i="40"/>
  <c r="D1972" i="40"/>
  <c r="D1973" i="40"/>
  <c r="D1974" i="40"/>
  <c r="D1975" i="40"/>
  <c r="D1976" i="40"/>
  <c r="D1977" i="40"/>
  <c r="D1978" i="40"/>
  <c r="D1979" i="40"/>
  <c r="D1980" i="40"/>
  <c r="D1981" i="40"/>
  <c r="D1982" i="40"/>
  <c r="D1983" i="40"/>
  <c r="D1984" i="40"/>
  <c r="D1985" i="40"/>
  <c r="D1986" i="40"/>
  <c r="D1987" i="40"/>
  <c r="D1988" i="40"/>
  <c r="D1989" i="40"/>
  <c r="D1990" i="40"/>
  <c r="D1991" i="40"/>
  <c r="D1992" i="40"/>
  <c r="D1993" i="40"/>
  <c r="D1994" i="40"/>
  <c r="D1995" i="40"/>
  <c r="D1996" i="40"/>
  <c r="D1997" i="40"/>
  <c r="D1998" i="40"/>
  <c r="D1999" i="40"/>
  <c r="D2000" i="40"/>
  <c r="D2001" i="40"/>
  <c r="D2002" i="40"/>
  <c r="D2003" i="40"/>
  <c r="D2004" i="40"/>
  <c r="D2005" i="40"/>
  <c r="D2006" i="40"/>
  <c r="D2007" i="40"/>
  <c r="D2008" i="40"/>
  <c r="D2009" i="40"/>
  <c r="D2010" i="40"/>
  <c r="D2011" i="40"/>
  <c r="D2012" i="40"/>
  <c r="D2013" i="40"/>
  <c r="D2014" i="40"/>
  <c r="D2015" i="40"/>
  <c r="D2016" i="40"/>
  <c r="D2017" i="40"/>
  <c r="D2018" i="40"/>
  <c r="D2019" i="40"/>
  <c r="D2020" i="40"/>
  <c r="D2021" i="40"/>
  <c r="D2022" i="40"/>
  <c r="D2023" i="40"/>
  <c r="D2024" i="40"/>
  <c r="D2025" i="40"/>
  <c r="D2026" i="40"/>
  <c r="D2027" i="40"/>
  <c r="D2029" i="40"/>
  <c r="D2030" i="40"/>
  <c r="D2031" i="40"/>
  <c r="D2032" i="40"/>
  <c r="D2033" i="40"/>
  <c r="D2034" i="40"/>
  <c r="D2035" i="40"/>
  <c r="D2036" i="40"/>
  <c r="D2037" i="40"/>
  <c r="D2038" i="40"/>
  <c r="D2039" i="40"/>
  <c r="D2040" i="40"/>
  <c r="D2041" i="40"/>
  <c r="D2042" i="40"/>
  <c r="D2043" i="40"/>
  <c r="D2044" i="40"/>
  <c r="D2045" i="40"/>
  <c r="D2046" i="40"/>
  <c r="D2047" i="40"/>
  <c r="D2048" i="40"/>
  <c r="D2049" i="40"/>
  <c r="D2050" i="40"/>
  <c r="D2051" i="40"/>
  <c r="D2052" i="40"/>
  <c r="D2053" i="40"/>
  <c r="D2054" i="40"/>
  <c r="D2055" i="40"/>
  <c r="D2056" i="40"/>
  <c r="AB190" i="3" l="1"/>
  <c r="AB191" i="3"/>
  <c r="AB192" i="3"/>
  <c r="AB193" i="3"/>
  <c r="AB194" i="3"/>
  <c r="AB195" i="3"/>
  <c r="AB196" i="3"/>
  <c r="AB197" i="3"/>
  <c r="AB198" i="3"/>
  <c r="AB199" i="3"/>
  <c r="AB200" i="3"/>
  <c r="AB201" i="3"/>
  <c r="AB202" i="3"/>
  <c r="AB203" i="3"/>
  <c r="AB204" i="3"/>
  <c r="AB205" i="3"/>
  <c r="AB206" i="3"/>
  <c r="AB207" i="3"/>
  <c r="AB208" i="3"/>
  <c r="AB209" i="3"/>
  <c r="AB210" i="3"/>
  <c r="AB211" i="3"/>
  <c r="AB212" i="3"/>
  <c r="AB213" i="3"/>
  <c r="AB214" i="3"/>
  <c r="AB215" i="3"/>
  <c r="AB216" i="3"/>
  <c r="AB217" i="3"/>
  <c r="AB218" i="3"/>
  <c r="AB219" i="3"/>
  <c r="AB220" i="3"/>
  <c r="AB221" i="3"/>
  <c r="AB222" i="3"/>
  <c r="AB223" i="3"/>
  <c r="AB224" i="3"/>
  <c r="AB225" i="3"/>
  <c r="AB226" i="3"/>
  <c r="AB227" i="3"/>
  <c r="AB228" i="3"/>
  <c r="AB229" i="3"/>
  <c r="AB230" i="3"/>
  <c r="AB231" i="3"/>
  <c r="AB232" i="3"/>
  <c r="AB233" i="3"/>
  <c r="AB234" i="3"/>
  <c r="AB235" i="3"/>
  <c r="AB236" i="3"/>
  <c r="AB237" i="3"/>
  <c r="AB238" i="3"/>
  <c r="AB239" i="3"/>
  <c r="AB240" i="3"/>
  <c r="AB241" i="3"/>
  <c r="AB242" i="3"/>
  <c r="AB243" i="3"/>
  <c r="AB244" i="3"/>
  <c r="AB245" i="3"/>
  <c r="AB246" i="3"/>
  <c r="AB247" i="3"/>
  <c r="AB248" i="3"/>
  <c r="AB249" i="3"/>
  <c r="AB250" i="3"/>
  <c r="AB251" i="3"/>
  <c r="AB252" i="3"/>
  <c r="AB253" i="3"/>
  <c r="AB254" i="3"/>
  <c r="AB255" i="3"/>
  <c r="AB256" i="3"/>
  <c r="AB257" i="3"/>
  <c r="AB258" i="3"/>
  <c r="AB259" i="3"/>
  <c r="AB260" i="3"/>
  <c r="AB261" i="3"/>
  <c r="AB262" i="3"/>
  <c r="AB263" i="3"/>
  <c r="AB264" i="3"/>
  <c r="AB265" i="3"/>
  <c r="AB266" i="3"/>
  <c r="AB267" i="3"/>
  <c r="AB268" i="3"/>
  <c r="AB269" i="3"/>
  <c r="AB270" i="3"/>
  <c r="AB271" i="3"/>
  <c r="AB272" i="3"/>
  <c r="AB273" i="3"/>
  <c r="AB274" i="3"/>
  <c r="AB275" i="3"/>
  <c r="AB276" i="3"/>
  <c r="AB277" i="3"/>
  <c r="AB278" i="3"/>
  <c r="AB279" i="3"/>
  <c r="AB280" i="3"/>
  <c r="AB281" i="3"/>
  <c r="AB282" i="3"/>
  <c r="AB283" i="3"/>
  <c r="AB284" i="3"/>
  <c r="AB285" i="3"/>
  <c r="AB286" i="3"/>
  <c r="AB287" i="3"/>
  <c r="AB288" i="3"/>
  <c r="AB289" i="3"/>
  <c r="AB290" i="3"/>
  <c r="AB291" i="3"/>
  <c r="AB292" i="3"/>
  <c r="AB293" i="3"/>
  <c r="AB294" i="3"/>
  <c r="AB295" i="3"/>
  <c r="AB296" i="3"/>
  <c r="AB297" i="3"/>
  <c r="AB298" i="3"/>
  <c r="AB299" i="3"/>
  <c r="AB300" i="3"/>
  <c r="AB301" i="3"/>
  <c r="AB302" i="3"/>
  <c r="AB303" i="3"/>
  <c r="AB304" i="3"/>
  <c r="AB305" i="3"/>
  <c r="AB306" i="3"/>
  <c r="AB307" i="3"/>
  <c r="AB308" i="3"/>
  <c r="AB309" i="3"/>
  <c r="AB310" i="3"/>
  <c r="AB311" i="3"/>
  <c r="AB312" i="3"/>
  <c r="AB313" i="3"/>
  <c r="AB314" i="3"/>
  <c r="AB315" i="3"/>
  <c r="AB316" i="3"/>
  <c r="AB317" i="3"/>
  <c r="AB318" i="3"/>
  <c r="AB319" i="3"/>
  <c r="AB320" i="3"/>
  <c r="AB321" i="3"/>
  <c r="AB322" i="3"/>
  <c r="AB323" i="3"/>
  <c r="AB324" i="3"/>
  <c r="AB325" i="3"/>
  <c r="AB326" i="3"/>
  <c r="AB327" i="3"/>
  <c r="AB328" i="3"/>
  <c r="AB329" i="3"/>
  <c r="AB330" i="3"/>
  <c r="AB331" i="3"/>
  <c r="AB332" i="3"/>
  <c r="AB333" i="3"/>
  <c r="AB334" i="3"/>
  <c r="AB335" i="3"/>
  <c r="AB336" i="3"/>
  <c r="AB337" i="3"/>
  <c r="AB338" i="3"/>
  <c r="AB339" i="3"/>
  <c r="AB340" i="3"/>
  <c r="AB341" i="3"/>
  <c r="AB342" i="3"/>
  <c r="AB343" i="3"/>
  <c r="AB344" i="3"/>
  <c r="AB345" i="3"/>
  <c r="AB346" i="3"/>
  <c r="AB347" i="3"/>
  <c r="AB348" i="3"/>
  <c r="AB349" i="3"/>
  <c r="AB350" i="3"/>
  <c r="AB351" i="3"/>
  <c r="AB352" i="3"/>
  <c r="AB353" i="3"/>
  <c r="AB354" i="3"/>
  <c r="AB355" i="3"/>
  <c r="AB356" i="3"/>
  <c r="AB357" i="3"/>
  <c r="AB358" i="3"/>
  <c r="AB359" i="3"/>
  <c r="AB360" i="3"/>
  <c r="AB361" i="3"/>
  <c r="AB362" i="3"/>
  <c r="AB363" i="3"/>
  <c r="AB364" i="3"/>
  <c r="AB365" i="3"/>
  <c r="AB366" i="3"/>
  <c r="AB367" i="3"/>
  <c r="AB368" i="3"/>
  <c r="AB369" i="3"/>
  <c r="AB370" i="3"/>
  <c r="AB371" i="3"/>
  <c r="AB372" i="3"/>
  <c r="AB373" i="3"/>
  <c r="AB374" i="3"/>
  <c r="AB375" i="3"/>
  <c r="AB376" i="3"/>
  <c r="AB377" i="3"/>
  <c r="AB378" i="3"/>
  <c r="AB379" i="3"/>
  <c r="AB380" i="3"/>
  <c r="AB381" i="3"/>
  <c r="AB382" i="3"/>
  <c r="AB383" i="3"/>
  <c r="AB384" i="3"/>
  <c r="AB385" i="3"/>
  <c r="AB386" i="3"/>
  <c r="AB387" i="3"/>
  <c r="AB388" i="3"/>
  <c r="AB389" i="3"/>
  <c r="AB390" i="3"/>
  <c r="AB391" i="3"/>
  <c r="AB392" i="3"/>
  <c r="AB393" i="3"/>
  <c r="AB394" i="3"/>
  <c r="AB395" i="3"/>
  <c r="AB396" i="3"/>
  <c r="AB397" i="3"/>
  <c r="AB398" i="3"/>
  <c r="AB399" i="3"/>
  <c r="AB400" i="3"/>
  <c r="AB401" i="3"/>
  <c r="AB402" i="3"/>
  <c r="AB403" i="3"/>
  <c r="AB404" i="3"/>
  <c r="AB405" i="3"/>
  <c r="AB406" i="3"/>
  <c r="AB407" i="3"/>
  <c r="AB408" i="3"/>
  <c r="AB409" i="3"/>
  <c r="AB410" i="3"/>
  <c r="AB411" i="3"/>
  <c r="AB412" i="3"/>
  <c r="AB413" i="3"/>
  <c r="AB414" i="3"/>
  <c r="AB415" i="3"/>
  <c r="AB416" i="3"/>
  <c r="AB417" i="3"/>
  <c r="AB418" i="3"/>
  <c r="AB419" i="3"/>
  <c r="AB420" i="3"/>
  <c r="AB421" i="3"/>
  <c r="AB422" i="3"/>
  <c r="AB423" i="3"/>
  <c r="AB424" i="3"/>
  <c r="AB425" i="3"/>
  <c r="AB426" i="3"/>
  <c r="AB427" i="3"/>
  <c r="AB428" i="3"/>
  <c r="AB429" i="3"/>
  <c r="AB430" i="3"/>
  <c r="AB431" i="3"/>
  <c r="AB432" i="3"/>
  <c r="AB433" i="3"/>
  <c r="AB434" i="3"/>
  <c r="AB435" i="3"/>
  <c r="AB436" i="3"/>
  <c r="AB437" i="3"/>
  <c r="AB438" i="3"/>
  <c r="AB439" i="3"/>
  <c r="AB440" i="3"/>
  <c r="AB441" i="3"/>
  <c r="AB442" i="3"/>
  <c r="AB443" i="3"/>
  <c r="AB444" i="3"/>
  <c r="AB445" i="3"/>
  <c r="AB446" i="3"/>
  <c r="AB447" i="3"/>
  <c r="AB448" i="3"/>
  <c r="AB449" i="3"/>
  <c r="AB450" i="3"/>
  <c r="AB451" i="3"/>
  <c r="AB452" i="3"/>
  <c r="AB453" i="3"/>
  <c r="AB454" i="3"/>
  <c r="AB455" i="3"/>
  <c r="AB456" i="3"/>
  <c r="AB457" i="3"/>
  <c r="AB458" i="3"/>
  <c r="AB459" i="3"/>
  <c r="AB460" i="3"/>
  <c r="AB461" i="3"/>
  <c r="AB462" i="3"/>
  <c r="AB463" i="3"/>
  <c r="AB464" i="3"/>
  <c r="AB465" i="3"/>
  <c r="AB466" i="3"/>
  <c r="AB467" i="3"/>
  <c r="AB468" i="3"/>
  <c r="AB469" i="3"/>
  <c r="AB470" i="3"/>
  <c r="AB471" i="3"/>
  <c r="AB472" i="3"/>
  <c r="AB473" i="3"/>
  <c r="AB474" i="3"/>
  <c r="AB475" i="3"/>
  <c r="AB476" i="3"/>
  <c r="AB477" i="3"/>
  <c r="AB478" i="3"/>
  <c r="AB479" i="3"/>
  <c r="AB480" i="3"/>
  <c r="AB481" i="3"/>
  <c r="AB482" i="3"/>
  <c r="AB483" i="3"/>
  <c r="AB484" i="3"/>
  <c r="AB485" i="3"/>
  <c r="AB486" i="3"/>
  <c r="AB487" i="3"/>
  <c r="AB488" i="3"/>
  <c r="AB489" i="3"/>
  <c r="AB490" i="3"/>
  <c r="AB491" i="3"/>
  <c r="AB492" i="3"/>
  <c r="AB493" i="3"/>
  <c r="AB494" i="3"/>
  <c r="AB495" i="3"/>
  <c r="AB496" i="3"/>
  <c r="AB497" i="3"/>
  <c r="AB498" i="3"/>
  <c r="AB499" i="3"/>
  <c r="AB500" i="3"/>
  <c r="AB501" i="3"/>
  <c r="AB502" i="3"/>
  <c r="AB503" i="3"/>
  <c r="AB504" i="3"/>
  <c r="AB505" i="3"/>
  <c r="AB506" i="3"/>
  <c r="AB507" i="3"/>
  <c r="AB508" i="3"/>
  <c r="AB509" i="3"/>
  <c r="AB510" i="3"/>
  <c r="AB511" i="3"/>
  <c r="AB512" i="3"/>
  <c r="AB513" i="3"/>
  <c r="AB514" i="3"/>
  <c r="AB515" i="3"/>
  <c r="AB516" i="3"/>
  <c r="AB517" i="3"/>
  <c r="AB518" i="3"/>
  <c r="AB519" i="3"/>
  <c r="AB520" i="3"/>
  <c r="AB521" i="3"/>
  <c r="AB522" i="3"/>
  <c r="AB523" i="3"/>
  <c r="AB524" i="3"/>
  <c r="AB525" i="3"/>
  <c r="AB526" i="3"/>
  <c r="AB527" i="3"/>
  <c r="AB528" i="3"/>
  <c r="AB529" i="3"/>
  <c r="AB530" i="3"/>
  <c r="AB531" i="3"/>
  <c r="AB532" i="3"/>
  <c r="AB533" i="3"/>
  <c r="AB534" i="3"/>
  <c r="AB535" i="3"/>
  <c r="AB536" i="3"/>
  <c r="AB537" i="3"/>
  <c r="AB538" i="3"/>
  <c r="AB539" i="3"/>
  <c r="AB540" i="3"/>
  <c r="AB541" i="3"/>
  <c r="AB542" i="3"/>
  <c r="AB543" i="3"/>
  <c r="AB544" i="3"/>
  <c r="AB545" i="3"/>
  <c r="AB546" i="3"/>
  <c r="AB547" i="3"/>
  <c r="AB548" i="3"/>
  <c r="AB549" i="3"/>
  <c r="AB550" i="3"/>
  <c r="AB551" i="3"/>
  <c r="AB552" i="3"/>
  <c r="AB553" i="3"/>
  <c r="AB554" i="3"/>
  <c r="AB555" i="3"/>
  <c r="AB556" i="3"/>
  <c r="AB557" i="3"/>
  <c r="AB558" i="3"/>
  <c r="AB559" i="3"/>
  <c r="AB560" i="3"/>
  <c r="AB561" i="3"/>
  <c r="AB562" i="3"/>
  <c r="AB189" i="3"/>
  <c r="AA467" i="3"/>
  <c r="AA468" i="3"/>
  <c r="AA469" i="3"/>
  <c r="AA470" i="3"/>
  <c r="AA471" i="3"/>
  <c r="AA472" i="3"/>
  <c r="AA473" i="3"/>
  <c r="AA474" i="3"/>
  <c r="AA475" i="3"/>
  <c r="AA476" i="3"/>
  <c r="AA477" i="3"/>
  <c r="AA478" i="3"/>
  <c r="AA479" i="3"/>
  <c r="AA480" i="3"/>
  <c r="AA481" i="3"/>
  <c r="AA482" i="3"/>
  <c r="AA483" i="3"/>
  <c r="AA484" i="3"/>
  <c r="AA485" i="3"/>
  <c r="AA486" i="3"/>
  <c r="AA487" i="3"/>
  <c r="AA488" i="3"/>
  <c r="AA489" i="3"/>
  <c r="AA490" i="3"/>
  <c r="AA491" i="3"/>
  <c r="AA492" i="3"/>
  <c r="AA493" i="3"/>
  <c r="AA494" i="3"/>
  <c r="AA495" i="3"/>
  <c r="AA496" i="3"/>
  <c r="AA497" i="3"/>
  <c r="AA498" i="3"/>
  <c r="AA499" i="3"/>
  <c r="AA500" i="3"/>
  <c r="AA501" i="3"/>
  <c r="AA502" i="3"/>
  <c r="AA503" i="3"/>
  <c r="AA504" i="3"/>
  <c r="AA505" i="3"/>
  <c r="AA506" i="3"/>
  <c r="AA507" i="3"/>
  <c r="AA508" i="3"/>
  <c r="AA509" i="3"/>
  <c r="AA510" i="3"/>
  <c r="AA511" i="3"/>
  <c r="AA512" i="3"/>
  <c r="AA513" i="3"/>
  <c r="AA514" i="3"/>
  <c r="AA515" i="3"/>
  <c r="AA516" i="3"/>
  <c r="AA517" i="3"/>
  <c r="AA518" i="3"/>
  <c r="AA519" i="3"/>
  <c r="AA520" i="3"/>
  <c r="AA521" i="3"/>
  <c r="AA522" i="3"/>
  <c r="AA523" i="3"/>
  <c r="AA524" i="3"/>
  <c r="AA525" i="3"/>
  <c r="AA526" i="3"/>
  <c r="AA527" i="3"/>
  <c r="AA528" i="3"/>
  <c r="AA529" i="3"/>
  <c r="AA530" i="3"/>
  <c r="AA531" i="3"/>
  <c r="AA532" i="3"/>
  <c r="AA533" i="3"/>
  <c r="AA534" i="3"/>
  <c r="AA535" i="3"/>
  <c r="AA536" i="3"/>
  <c r="AA537" i="3"/>
  <c r="AA538" i="3"/>
  <c r="AA539" i="3"/>
  <c r="AA540" i="3"/>
  <c r="AA541" i="3"/>
  <c r="AA542" i="3"/>
  <c r="AA543" i="3"/>
  <c r="AA544" i="3"/>
  <c r="AA545" i="3"/>
  <c r="AA546" i="3"/>
  <c r="AA547" i="3"/>
  <c r="AA548" i="3"/>
  <c r="AA549" i="3"/>
  <c r="AA550" i="3"/>
  <c r="AA551" i="3"/>
  <c r="AA552" i="3"/>
  <c r="AA553" i="3"/>
  <c r="AA554" i="3"/>
  <c r="AA555" i="3"/>
  <c r="AA556" i="3"/>
  <c r="AA557" i="3"/>
  <c r="AA558" i="3"/>
  <c r="AA559" i="3"/>
  <c r="AA560" i="3"/>
  <c r="AA561" i="3"/>
  <c r="AA562" i="3"/>
  <c r="AA466" i="3"/>
  <c r="AA322" i="3"/>
  <c r="AA323" i="3"/>
  <c r="AA324" i="3"/>
  <c r="AA325" i="3"/>
  <c r="AA326" i="3"/>
  <c r="AA327" i="3"/>
  <c r="AA328" i="3"/>
  <c r="AA329" i="3"/>
  <c r="AA330" i="3"/>
  <c r="AA331" i="3"/>
  <c r="AA332" i="3"/>
  <c r="AA333" i="3"/>
  <c r="AA334" i="3"/>
  <c r="AA335" i="3"/>
  <c r="AA336" i="3"/>
  <c r="AA337" i="3"/>
  <c r="AA338" i="3"/>
  <c r="AA339" i="3"/>
  <c r="AA340" i="3"/>
  <c r="AA341" i="3"/>
  <c r="AA342" i="3"/>
  <c r="AA343" i="3"/>
  <c r="AA344" i="3"/>
  <c r="AA345" i="3"/>
  <c r="AA346" i="3"/>
  <c r="AA347" i="3"/>
  <c r="AA348" i="3"/>
  <c r="AA349" i="3"/>
  <c r="AA350" i="3"/>
  <c r="AA351" i="3"/>
  <c r="AA352" i="3"/>
  <c r="AA353" i="3"/>
  <c r="AA354" i="3"/>
  <c r="AA355" i="3"/>
  <c r="AA356" i="3"/>
  <c r="AA357" i="3"/>
  <c r="AA358" i="3"/>
  <c r="AA359" i="3"/>
  <c r="AA360" i="3"/>
  <c r="AA361" i="3"/>
  <c r="AA362" i="3"/>
  <c r="AA363" i="3"/>
  <c r="AA364" i="3"/>
  <c r="AA365" i="3"/>
  <c r="AA366" i="3"/>
  <c r="AA367" i="3"/>
  <c r="AA368" i="3"/>
  <c r="AA369" i="3"/>
  <c r="AA370" i="3"/>
  <c r="AA371" i="3"/>
  <c r="AA372" i="3"/>
  <c r="AA373" i="3"/>
  <c r="AA374" i="3"/>
  <c r="AA375" i="3"/>
  <c r="AA376" i="3"/>
  <c r="AA377" i="3"/>
  <c r="AA378" i="3"/>
  <c r="AA379" i="3"/>
  <c r="AA380" i="3"/>
  <c r="AA381" i="3"/>
  <c r="AA382" i="3"/>
  <c r="AA383" i="3"/>
  <c r="AA384" i="3"/>
  <c r="AA385" i="3"/>
  <c r="AA386" i="3"/>
  <c r="AA387" i="3"/>
  <c r="AA388" i="3"/>
  <c r="AA389" i="3"/>
  <c r="AA390" i="3"/>
  <c r="AA391" i="3"/>
  <c r="AA392" i="3"/>
  <c r="AA393" i="3"/>
  <c r="AA394" i="3"/>
  <c r="AA395" i="3"/>
  <c r="AA396" i="3"/>
  <c r="AA397" i="3"/>
  <c r="AA398" i="3"/>
  <c r="AA399" i="3"/>
  <c r="AA400" i="3"/>
  <c r="AA401" i="3"/>
  <c r="AA402" i="3"/>
  <c r="AA403" i="3"/>
  <c r="AA404" i="3"/>
  <c r="AA405" i="3"/>
  <c r="AA406" i="3"/>
  <c r="AA407" i="3"/>
  <c r="AA408" i="3"/>
  <c r="AA409" i="3"/>
  <c r="AA410" i="3"/>
  <c r="AA411" i="3"/>
  <c r="AA412" i="3"/>
  <c r="AA413" i="3"/>
  <c r="AA414" i="3"/>
  <c r="AA415" i="3"/>
  <c r="AA416" i="3"/>
  <c r="AA417" i="3"/>
  <c r="AA418" i="3"/>
  <c r="AA419" i="3"/>
  <c r="AA420" i="3"/>
  <c r="AA421" i="3"/>
  <c r="AA422" i="3"/>
  <c r="AA423" i="3"/>
  <c r="AA424" i="3"/>
  <c r="AA425" i="3"/>
  <c r="AA426" i="3"/>
  <c r="AA427" i="3"/>
  <c r="AA428" i="3"/>
  <c r="AA429" i="3"/>
  <c r="AA430" i="3"/>
  <c r="AA431" i="3"/>
  <c r="AA432" i="3"/>
  <c r="AA433" i="3"/>
  <c r="AA434" i="3"/>
  <c r="AA435" i="3"/>
  <c r="AA436" i="3"/>
  <c r="AA437" i="3"/>
  <c r="AA438" i="3"/>
  <c r="AA439" i="3"/>
  <c r="AA440" i="3"/>
  <c r="AA441" i="3"/>
  <c r="AA442" i="3"/>
  <c r="AA443" i="3"/>
  <c r="AA444" i="3"/>
  <c r="AA445" i="3"/>
  <c r="AA446" i="3"/>
  <c r="AA447" i="3"/>
  <c r="AA448" i="3"/>
  <c r="AA449" i="3"/>
  <c r="AA450" i="3"/>
  <c r="AA451" i="3"/>
  <c r="AA452" i="3"/>
  <c r="AA453" i="3"/>
  <c r="AA454" i="3"/>
  <c r="AA455" i="3"/>
  <c r="AA456" i="3"/>
  <c r="AA457" i="3"/>
  <c r="AA458" i="3"/>
  <c r="AA459" i="3"/>
  <c r="AA460" i="3"/>
  <c r="AA461" i="3"/>
  <c r="AA462" i="3"/>
  <c r="AA463" i="3"/>
  <c r="AA464" i="3"/>
  <c r="AA465" i="3"/>
  <c r="AA321" i="3"/>
  <c r="AA190" i="3"/>
  <c r="AA191" i="3"/>
  <c r="AA192" i="3"/>
  <c r="AA193" i="3"/>
  <c r="AA194" i="3"/>
  <c r="AA195" i="3"/>
  <c r="AA196" i="3"/>
  <c r="AA197" i="3"/>
  <c r="AA198" i="3"/>
  <c r="AA199" i="3"/>
  <c r="AA200" i="3"/>
  <c r="AA201" i="3"/>
  <c r="AA202" i="3"/>
  <c r="AA203" i="3"/>
  <c r="AA204" i="3"/>
  <c r="AA205" i="3"/>
  <c r="AA206" i="3"/>
  <c r="AA207" i="3"/>
  <c r="AA208" i="3"/>
  <c r="AA209" i="3"/>
  <c r="AA210" i="3"/>
  <c r="AA211" i="3"/>
  <c r="AA212" i="3"/>
  <c r="AA213" i="3"/>
  <c r="AA214" i="3"/>
  <c r="AA215" i="3"/>
  <c r="AA216" i="3"/>
  <c r="AA217" i="3"/>
  <c r="AA218" i="3"/>
  <c r="AA219" i="3"/>
  <c r="AA220" i="3"/>
  <c r="AA221" i="3"/>
  <c r="AA222" i="3"/>
  <c r="AA223" i="3"/>
  <c r="AA224" i="3"/>
  <c r="AA225" i="3"/>
  <c r="AA226" i="3"/>
  <c r="AA227" i="3"/>
  <c r="AA228" i="3"/>
  <c r="AA229" i="3"/>
  <c r="AA230" i="3"/>
  <c r="AA231" i="3"/>
  <c r="AA232" i="3"/>
  <c r="AA233" i="3"/>
  <c r="AA234" i="3"/>
  <c r="AA235" i="3"/>
  <c r="AA236" i="3"/>
  <c r="AA237" i="3"/>
  <c r="AA238" i="3"/>
  <c r="AA239" i="3"/>
  <c r="AA240" i="3"/>
  <c r="AA241" i="3"/>
  <c r="AA242" i="3"/>
  <c r="AA243" i="3"/>
  <c r="AA244" i="3"/>
  <c r="AA245" i="3"/>
  <c r="AA246" i="3"/>
  <c r="AA247" i="3"/>
  <c r="AA248" i="3"/>
  <c r="AA249" i="3"/>
  <c r="AA250" i="3"/>
  <c r="AA251" i="3"/>
  <c r="AA252" i="3"/>
  <c r="AA253" i="3"/>
  <c r="AA254" i="3"/>
  <c r="AA255" i="3"/>
  <c r="AA256" i="3"/>
  <c r="AA257" i="3"/>
  <c r="AA258" i="3"/>
  <c r="AA259" i="3"/>
  <c r="AA260" i="3"/>
  <c r="AA261" i="3"/>
  <c r="AA262" i="3"/>
  <c r="AA263" i="3"/>
  <c r="AA264" i="3"/>
  <c r="AA265" i="3"/>
  <c r="AA266" i="3"/>
  <c r="AA267" i="3"/>
  <c r="AA268" i="3"/>
  <c r="AA269" i="3"/>
  <c r="AA270" i="3"/>
  <c r="AA271" i="3"/>
  <c r="AA272" i="3"/>
  <c r="AA273" i="3"/>
  <c r="AA274" i="3"/>
  <c r="AA275" i="3"/>
  <c r="AA276" i="3"/>
  <c r="AA277" i="3"/>
  <c r="AA278" i="3"/>
  <c r="AA279" i="3"/>
  <c r="AA280" i="3"/>
  <c r="AA281" i="3"/>
  <c r="AA282" i="3"/>
  <c r="AA283" i="3"/>
  <c r="AA284" i="3"/>
  <c r="AA285" i="3"/>
  <c r="AA286" i="3"/>
  <c r="AA287" i="3"/>
  <c r="AA288" i="3"/>
  <c r="AA289" i="3"/>
  <c r="AA290" i="3"/>
  <c r="AA291" i="3"/>
  <c r="AA292" i="3"/>
  <c r="AA293" i="3"/>
  <c r="AA294" i="3"/>
  <c r="AA295" i="3"/>
  <c r="AA296" i="3"/>
  <c r="AA297" i="3"/>
  <c r="AA298" i="3"/>
  <c r="AA299" i="3"/>
  <c r="AA300" i="3"/>
  <c r="AA301" i="3"/>
  <c r="AA302" i="3"/>
  <c r="AA303" i="3"/>
  <c r="AA304" i="3"/>
  <c r="AA305" i="3"/>
  <c r="AA306" i="3"/>
  <c r="AA307" i="3"/>
  <c r="AA308" i="3"/>
  <c r="AA309" i="3"/>
  <c r="AA310" i="3"/>
  <c r="AA311" i="3"/>
  <c r="AA312" i="3"/>
  <c r="AA313" i="3"/>
  <c r="AA314" i="3"/>
  <c r="AA315" i="3"/>
  <c r="AA316" i="3"/>
  <c r="AA317" i="3"/>
  <c r="AA318" i="3"/>
  <c r="AA319" i="3"/>
  <c r="AA320" i="3"/>
  <c r="AA18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AB79" i="3"/>
  <c r="AB80" i="3"/>
  <c r="AB81" i="3"/>
  <c r="AB82" i="3"/>
  <c r="AB83" i="3"/>
  <c r="AB84" i="3"/>
  <c r="AB85" i="3"/>
  <c r="AB86" i="3"/>
  <c r="AB87" i="3"/>
  <c r="AB88" i="3"/>
  <c r="AB89" i="3"/>
  <c r="AB90" i="3"/>
  <c r="AB91" i="3"/>
  <c r="AB92" i="3"/>
  <c r="AB93" i="3"/>
  <c r="AB94" i="3"/>
  <c r="AB95" i="3"/>
  <c r="AB96" i="3"/>
  <c r="AB97" i="3"/>
  <c r="AB98" i="3"/>
  <c r="AB99" i="3"/>
  <c r="AB100" i="3"/>
  <c r="AB101" i="3"/>
  <c r="AB102" i="3"/>
  <c r="AB103" i="3"/>
  <c r="AB104" i="3"/>
  <c r="AB105" i="3"/>
  <c r="AB106" i="3"/>
  <c r="AB107" i="3"/>
  <c r="AB108" i="3"/>
  <c r="AB109" i="3"/>
  <c r="AB110" i="3"/>
  <c r="AB111" i="3"/>
  <c r="AB112" i="3"/>
  <c r="AB113" i="3"/>
  <c r="AB114" i="3"/>
  <c r="AB115" i="3"/>
  <c r="AB116" i="3"/>
  <c r="AB117" i="3"/>
  <c r="AB118" i="3"/>
  <c r="AB119" i="3"/>
  <c r="AB120" i="3"/>
  <c r="AB121" i="3"/>
  <c r="AB122" i="3"/>
  <c r="AB123" i="3"/>
  <c r="AB124" i="3"/>
  <c r="AB125" i="3"/>
  <c r="AB126" i="3"/>
  <c r="AB127" i="3"/>
  <c r="AB128" i="3"/>
  <c r="AB129" i="3"/>
  <c r="AB130" i="3"/>
  <c r="AB131" i="3"/>
  <c r="AB132" i="3"/>
  <c r="AB133" i="3"/>
  <c r="AB134" i="3"/>
  <c r="AB135" i="3"/>
  <c r="AB136" i="3"/>
  <c r="AB137" i="3"/>
  <c r="AB138" i="3"/>
  <c r="AB139" i="3"/>
  <c r="AB140" i="3"/>
  <c r="AB141" i="3"/>
  <c r="AB142" i="3"/>
  <c r="AB143" i="3"/>
  <c r="AB144" i="3"/>
  <c r="AB145" i="3"/>
  <c r="AB146" i="3"/>
  <c r="AB147" i="3"/>
  <c r="AB148" i="3"/>
  <c r="AB149" i="3"/>
  <c r="AB150" i="3"/>
  <c r="AB151" i="3"/>
  <c r="AB152" i="3"/>
  <c r="AB153" i="3"/>
  <c r="AB154" i="3"/>
  <c r="AB155" i="3"/>
  <c r="AB156" i="3"/>
  <c r="AB157" i="3"/>
  <c r="AB158" i="3"/>
  <c r="AB159" i="3"/>
  <c r="AB160" i="3"/>
  <c r="AB161" i="3"/>
  <c r="AB162" i="3"/>
  <c r="AB163" i="3"/>
  <c r="AB164" i="3"/>
  <c r="AB165" i="3"/>
  <c r="AB166" i="3"/>
  <c r="AB167" i="3"/>
  <c r="AB168" i="3"/>
  <c r="AB169" i="3"/>
  <c r="AB170" i="3"/>
  <c r="AB171" i="3"/>
  <c r="AB172" i="3"/>
  <c r="AB173" i="3"/>
  <c r="AB174" i="3"/>
  <c r="AB175" i="3"/>
  <c r="AB176" i="3"/>
  <c r="AB177" i="3"/>
  <c r="AB178" i="3"/>
  <c r="AB179" i="3"/>
  <c r="AB180" i="3"/>
  <c r="AB181" i="3"/>
  <c r="AB182" i="3"/>
  <c r="AB183" i="3"/>
  <c r="AB184" i="3"/>
  <c r="AB185" i="3"/>
  <c r="AB186" i="3"/>
  <c r="AB187" i="3"/>
  <c r="AB188" i="3"/>
  <c r="AB9" i="3"/>
  <c r="AA10" i="3"/>
  <c r="AA11" i="3"/>
  <c r="AA12" i="3"/>
  <c r="AA13" i="3"/>
  <c r="AA14" i="3"/>
  <c r="AA15" i="3"/>
  <c r="AA16" i="3"/>
  <c r="AA17" i="3"/>
  <c r="AA18" i="3"/>
  <c r="AA19" i="3"/>
  <c r="AA20" i="3"/>
  <c r="AA21" i="3"/>
  <c r="AA22" i="3"/>
  <c r="AA23" i="3"/>
  <c r="AA24" i="3"/>
  <c r="AA25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0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5" i="3"/>
  <c r="AA76" i="3"/>
  <c r="AA77" i="3"/>
  <c r="AA78" i="3"/>
  <c r="AA79" i="3"/>
  <c r="AA80" i="3"/>
  <c r="AA81" i="3"/>
  <c r="AA82" i="3"/>
  <c r="AA83" i="3"/>
  <c r="AA84" i="3"/>
  <c r="AA85" i="3"/>
  <c r="AA86" i="3"/>
  <c r="AA87" i="3"/>
  <c r="AA88" i="3"/>
  <c r="AA89" i="3"/>
  <c r="AA90" i="3"/>
  <c r="AA91" i="3"/>
  <c r="AA92" i="3"/>
  <c r="AA93" i="3"/>
  <c r="AA94" i="3"/>
  <c r="AA95" i="3"/>
  <c r="AA96" i="3"/>
  <c r="AA97" i="3"/>
  <c r="AA98" i="3"/>
  <c r="AA99" i="3"/>
  <c r="AA100" i="3"/>
  <c r="AA101" i="3"/>
  <c r="AA102" i="3"/>
  <c r="AA103" i="3"/>
  <c r="AA104" i="3"/>
  <c r="AA105" i="3"/>
  <c r="AA106" i="3"/>
  <c r="AA107" i="3"/>
  <c r="AA108" i="3"/>
  <c r="AA109" i="3"/>
  <c r="AA110" i="3"/>
  <c r="AA111" i="3"/>
  <c r="AA112" i="3"/>
  <c r="AA113" i="3"/>
  <c r="AA114" i="3"/>
  <c r="AA115" i="3"/>
  <c r="AA116" i="3"/>
  <c r="AA117" i="3"/>
  <c r="AA118" i="3"/>
  <c r="AA119" i="3"/>
  <c r="AA120" i="3"/>
  <c r="AA121" i="3"/>
  <c r="AA122" i="3"/>
  <c r="AA123" i="3"/>
  <c r="AA124" i="3"/>
  <c r="AA125" i="3"/>
  <c r="AA126" i="3"/>
  <c r="AA127" i="3"/>
  <c r="AA128" i="3"/>
  <c r="AA129" i="3"/>
  <c r="AA130" i="3"/>
  <c r="AA131" i="3"/>
  <c r="AA132" i="3"/>
  <c r="AA133" i="3"/>
  <c r="AA134" i="3"/>
  <c r="AA135" i="3"/>
  <c r="AA136" i="3"/>
  <c r="AA137" i="3"/>
  <c r="AA138" i="3"/>
  <c r="AA139" i="3"/>
  <c r="AA140" i="3"/>
  <c r="AA141" i="3"/>
  <c r="AA142" i="3"/>
  <c r="AA143" i="3"/>
  <c r="AA144" i="3"/>
  <c r="AA145" i="3"/>
  <c r="AA146" i="3"/>
  <c r="AA147" i="3"/>
  <c r="AA148" i="3"/>
  <c r="AA149" i="3"/>
  <c r="AA150" i="3"/>
  <c r="AA151" i="3"/>
  <c r="AA152" i="3"/>
  <c r="AA153" i="3"/>
  <c r="AA154" i="3"/>
  <c r="AA155" i="3"/>
  <c r="AA156" i="3"/>
  <c r="AA157" i="3"/>
  <c r="AA158" i="3"/>
  <c r="AA159" i="3"/>
  <c r="AA160" i="3"/>
  <c r="AA161" i="3"/>
  <c r="AA162" i="3"/>
  <c r="AA163" i="3"/>
  <c r="AA164" i="3"/>
  <c r="AA165" i="3"/>
  <c r="AA166" i="3"/>
  <c r="AA167" i="3"/>
  <c r="AA168" i="3"/>
  <c r="AA169" i="3"/>
  <c r="AA170" i="3"/>
  <c r="AA171" i="3"/>
  <c r="AA172" i="3"/>
  <c r="AA173" i="3"/>
  <c r="AA174" i="3"/>
  <c r="AA175" i="3"/>
  <c r="AA176" i="3"/>
  <c r="AA177" i="3"/>
  <c r="AA178" i="3"/>
  <c r="AA179" i="3"/>
  <c r="AA180" i="3"/>
  <c r="AA181" i="3"/>
  <c r="AA182" i="3"/>
  <c r="AA183" i="3"/>
  <c r="AA184" i="3"/>
  <c r="AA185" i="3"/>
  <c r="AA186" i="3"/>
  <c r="AA187" i="3"/>
  <c r="AA188" i="3"/>
  <c r="AA9" i="3"/>
  <c r="E917" i="40"/>
  <c r="E916" i="40"/>
  <c r="E915" i="40"/>
  <c r="E914" i="40"/>
  <c r="E911" i="40"/>
  <c r="E910" i="40"/>
  <c r="E909" i="40"/>
  <c r="E908" i="40"/>
  <c r="E907" i="40"/>
  <c r="E903" i="40"/>
  <c r="E897" i="40"/>
  <c r="E896" i="40"/>
  <c r="E895" i="40"/>
  <c r="E894" i="40"/>
  <c r="E893" i="40"/>
  <c r="E892" i="40"/>
  <c r="E891" i="40"/>
  <c r="E890" i="40"/>
  <c r="E888" i="40"/>
  <c r="E886" i="40"/>
  <c r="E885" i="40"/>
  <c r="E883" i="40"/>
  <c r="E882" i="40"/>
  <c r="E880" i="40"/>
  <c r="E879" i="40"/>
  <c r="E875" i="40"/>
  <c r="E868" i="40"/>
  <c r="E866" i="40"/>
  <c r="E865" i="40"/>
  <c r="E860" i="40"/>
  <c r="E854" i="40"/>
  <c r="E852" i="40"/>
  <c r="E844" i="40"/>
  <c r="E842" i="40"/>
  <c r="E840" i="40"/>
  <c r="E837" i="40"/>
  <c r="E835" i="40"/>
  <c r="E827" i="40"/>
  <c r="E822" i="40"/>
  <c r="E820" i="40"/>
  <c r="E814" i="40"/>
  <c r="E811" i="40"/>
  <c r="E810" i="40"/>
  <c r="E808" i="40"/>
  <c r="E806" i="40"/>
  <c r="E805" i="40"/>
  <c r="E793" i="40"/>
  <c r="E787" i="40"/>
  <c r="E786" i="40"/>
  <c r="E785" i="40"/>
  <c r="E781" i="40"/>
  <c r="E780" i="40"/>
  <c r="E779" i="40"/>
  <c r="E775" i="40"/>
  <c r="E772" i="40"/>
  <c r="E771" i="40"/>
  <c r="E768" i="40"/>
  <c r="E767" i="40"/>
  <c r="E763" i="40"/>
  <c r="E757" i="40"/>
  <c r="E755" i="40"/>
  <c r="E747" i="40"/>
  <c r="E743" i="40"/>
  <c r="E742" i="40"/>
  <c r="E728" i="40"/>
  <c r="E727" i="40"/>
  <c r="E725" i="40"/>
  <c r="E724" i="40"/>
  <c r="E722" i="40"/>
  <c r="E721" i="40"/>
  <c r="E712" i="40"/>
  <c r="E704" i="40"/>
  <c r="E696" i="40"/>
  <c r="E693" i="40"/>
  <c r="E692" i="40"/>
  <c r="E567" i="40"/>
  <c r="E565" i="40"/>
  <c r="E563" i="40"/>
  <c r="E562" i="40"/>
  <c r="E559" i="40"/>
  <c r="E558" i="40"/>
  <c r="E557" i="40"/>
  <c r="E556" i="40"/>
  <c r="E553" i="40"/>
  <c r="E552" i="40"/>
  <c r="D2" i="40"/>
  <c r="Q562" i="3" l="1"/>
  <c r="K562" i="3"/>
  <c r="Q561" i="3"/>
  <c r="K561" i="3"/>
  <c r="Q560" i="3"/>
  <c r="K560" i="3"/>
  <c r="Q559" i="3"/>
  <c r="K559" i="3"/>
  <c r="Q558" i="3"/>
  <c r="K558" i="3"/>
  <c r="Q557" i="3"/>
  <c r="K557" i="3"/>
  <c r="Q556" i="3"/>
  <c r="K556" i="3"/>
  <c r="Q555" i="3"/>
  <c r="K555" i="3"/>
  <c r="Q554" i="3"/>
  <c r="K554" i="3"/>
  <c r="Q553" i="3"/>
  <c r="K553" i="3"/>
  <c r="Q552" i="3"/>
  <c r="K552" i="3"/>
  <c r="Q551" i="3"/>
  <c r="K551" i="3"/>
  <c r="Q550" i="3"/>
  <c r="K550" i="3"/>
  <c r="Q549" i="3"/>
  <c r="K549" i="3"/>
  <c r="Q548" i="3"/>
  <c r="K548" i="3"/>
  <c r="Q547" i="3"/>
  <c r="K547" i="3"/>
  <c r="Q546" i="3"/>
  <c r="K546" i="3"/>
  <c r="Q545" i="3"/>
  <c r="K545" i="3"/>
  <c r="Q544" i="3"/>
  <c r="K544" i="3"/>
  <c r="Q543" i="3"/>
  <c r="K543" i="3"/>
  <c r="Q542" i="3"/>
  <c r="K542" i="3"/>
  <c r="Q541" i="3"/>
  <c r="K541" i="3"/>
  <c r="Q540" i="3"/>
  <c r="K540" i="3"/>
  <c r="Q539" i="3"/>
  <c r="K539" i="3"/>
  <c r="Q538" i="3"/>
  <c r="K538" i="3"/>
  <c r="Q537" i="3"/>
  <c r="K537" i="3"/>
  <c r="Q536" i="3"/>
  <c r="K536" i="3"/>
  <c r="Q535" i="3"/>
  <c r="K535" i="3"/>
  <c r="Q534" i="3"/>
  <c r="K534" i="3"/>
  <c r="Q533" i="3"/>
  <c r="K533" i="3"/>
  <c r="Q532" i="3"/>
  <c r="K532" i="3"/>
  <c r="Q531" i="3"/>
  <c r="K531" i="3"/>
  <c r="Q530" i="3"/>
  <c r="K530" i="3"/>
  <c r="Q529" i="3"/>
  <c r="K529" i="3"/>
  <c r="Q528" i="3"/>
  <c r="K528" i="3"/>
  <c r="Q527" i="3"/>
  <c r="K527" i="3"/>
  <c r="Q526" i="3"/>
  <c r="K526" i="3"/>
  <c r="Q525" i="3"/>
  <c r="K525" i="3"/>
  <c r="Q524" i="3"/>
  <c r="K524" i="3"/>
  <c r="Q523" i="3"/>
  <c r="K523" i="3"/>
  <c r="Q522" i="3"/>
  <c r="K522" i="3"/>
  <c r="Q521" i="3"/>
  <c r="K521" i="3"/>
  <c r="Q520" i="3"/>
  <c r="K520" i="3"/>
  <c r="Q519" i="3"/>
  <c r="K519" i="3"/>
  <c r="Q518" i="3"/>
  <c r="K518" i="3"/>
  <c r="Q517" i="3"/>
  <c r="K517" i="3"/>
  <c r="Q516" i="3"/>
  <c r="K516" i="3"/>
  <c r="Q515" i="3"/>
  <c r="K515" i="3"/>
  <c r="Q514" i="3"/>
  <c r="K514" i="3"/>
  <c r="Q513" i="3"/>
  <c r="K513" i="3"/>
  <c r="Q512" i="3"/>
  <c r="K512" i="3"/>
  <c r="Q511" i="3"/>
  <c r="K511" i="3"/>
  <c r="Q510" i="3"/>
  <c r="K510" i="3"/>
  <c r="Q509" i="3"/>
  <c r="K509" i="3"/>
  <c r="Q508" i="3"/>
  <c r="K508" i="3"/>
  <c r="Q507" i="3"/>
  <c r="K507" i="3"/>
  <c r="Q506" i="3"/>
  <c r="K506" i="3"/>
  <c r="Q505" i="3"/>
  <c r="K505" i="3"/>
  <c r="Q504" i="3"/>
  <c r="K504" i="3"/>
  <c r="Q503" i="3"/>
  <c r="K503" i="3"/>
  <c r="Q502" i="3"/>
  <c r="K502" i="3"/>
  <c r="Q501" i="3"/>
  <c r="K501" i="3"/>
  <c r="Q500" i="3"/>
  <c r="K500" i="3"/>
  <c r="Q499" i="3"/>
  <c r="K499" i="3"/>
  <c r="Q498" i="3"/>
  <c r="K498" i="3"/>
  <c r="Q497" i="3"/>
  <c r="K497" i="3"/>
  <c r="Q496" i="3"/>
  <c r="K496" i="3"/>
  <c r="Q495" i="3"/>
  <c r="K495" i="3"/>
  <c r="Q494" i="3"/>
  <c r="K494" i="3"/>
  <c r="Q493" i="3"/>
  <c r="K493" i="3"/>
  <c r="Q492" i="3"/>
  <c r="K492" i="3"/>
  <c r="Q491" i="3"/>
  <c r="K491" i="3"/>
  <c r="Q490" i="3"/>
  <c r="K490" i="3"/>
  <c r="Q489" i="3"/>
  <c r="K489" i="3"/>
  <c r="Q488" i="3"/>
  <c r="K488" i="3"/>
  <c r="Q487" i="3"/>
  <c r="K487" i="3"/>
  <c r="Q486" i="3"/>
  <c r="K486" i="3"/>
  <c r="Q485" i="3"/>
  <c r="K485" i="3"/>
  <c r="Q484" i="3"/>
  <c r="K484" i="3"/>
  <c r="Q483" i="3"/>
  <c r="K483" i="3"/>
  <c r="Q482" i="3"/>
  <c r="K482" i="3"/>
  <c r="Q481" i="3"/>
  <c r="K481" i="3"/>
  <c r="Q480" i="3"/>
  <c r="K480" i="3"/>
  <c r="Q479" i="3"/>
  <c r="K479" i="3"/>
  <c r="Q478" i="3"/>
  <c r="K478" i="3"/>
  <c r="Q477" i="3"/>
  <c r="K477" i="3"/>
  <c r="Q476" i="3"/>
  <c r="K476" i="3"/>
  <c r="Q475" i="3"/>
  <c r="K475" i="3"/>
  <c r="Q474" i="3"/>
  <c r="K474" i="3"/>
  <c r="Q473" i="3"/>
  <c r="K473" i="3"/>
  <c r="Q472" i="3"/>
  <c r="K472" i="3"/>
  <c r="Q471" i="3"/>
  <c r="K471" i="3"/>
  <c r="Q470" i="3"/>
  <c r="K470" i="3"/>
  <c r="Q469" i="3"/>
  <c r="K469" i="3"/>
  <c r="Q468" i="3"/>
  <c r="K468" i="3"/>
  <c r="Q467" i="3"/>
  <c r="K467" i="3"/>
  <c r="Q466" i="3"/>
  <c r="K466" i="3"/>
  <c r="Q465" i="3"/>
  <c r="K465" i="3"/>
  <c r="Q464" i="3"/>
  <c r="K464" i="3"/>
  <c r="Q463" i="3"/>
  <c r="K463" i="3"/>
  <c r="Q462" i="3"/>
  <c r="K462" i="3"/>
  <c r="Q461" i="3"/>
  <c r="K461" i="3"/>
  <c r="Q460" i="3"/>
  <c r="K460" i="3"/>
  <c r="Q459" i="3"/>
  <c r="K459" i="3"/>
  <c r="Q458" i="3"/>
  <c r="K458" i="3"/>
  <c r="Q457" i="3"/>
  <c r="K457" i="3"/>
  <c r="Q456" i="3"/>
  <c r="K456" i="3"/>
  <c r="Q455" i="3"/>
  <c r="K455" i="3"/>
  <c r="Q454" i="3"/>
  <c r="K454" i="3"/>
  <c r="Q453" i="3"/>
  <c r="K453" i="3"/>
  <c r="Q452" i="3"/>
  <c r="K452" i="3"/>
  <c r="Q451" i="3"/>
  <c r="K451" i="3"/>
  <c r="Q450" i="3"/>
  <c r="K450" i="3"/>
  <c r="Q449" i="3"/>
  <c r="K449" i="3"/>
  <c r="Q448" i="3"/>
  <c r="K448" i="3"/>
  <c r="Q447" i="3"/>
  <c r="K447" i="3"/>
  <c r="Q446" i="3"/>
  <c r="K446" i="3"/>
  <c r="Q445" i="3"/>
  <c r="K445" i="3"/>
  <c r="Q444" i="3"/>
  <c r="K444" i="3"/>
  <c r="Q443" i="3"/>
  <c r="K443" i="3"/>
  <c r="Q442" i="3"/>
  <c r="K442" i="3"/>
  <c r="Q441" i="3"/>
  <c r="K441" i="3"/>
  <c r="Q440" i="3"/>
  <c r="K440" i="3"/>
  <c r="Q439" i="3"/>
  <c r="K439" i="3"/>
  <c r="Q438" i="3"/>
  <c r="K438" i="3"/>
  <c r="Q437" i="3"/>
  <c r="K437" i="3"/>
  <c r="Q436" i="3"/>
  <c r="K436" i="3"/>
  <c r="Q435" i="3"/>
  <c r="K435" i="3"/>
  <c r="Q434" i="3"/>
  <c r="K434" i="3"/>
  <c r="Q433" i="3"/>
  <c r="K433" i="3"/>
  <c r="Q432" i="3"/>
  <c r="K432" i="3"/>
  <c r="Q431" i="3"/>
  <c r="K431" i="3"/>
  <c r="Q430" i="3"/>
  <c r="K430" i="3"/>
  <c r="Q429" i="3"/>
  <c r="K429" i="3"/>
  <c r="Q428" i="3"/>
  <c r="K428" i="3"/>
  <c r="Q427" i="3"/>
  <c r="K427" i="3"/>
  <c r="Q426" i="3"/>
  <c r="K426" i="3"/>
  <c r="Q425" i="3"/>
  <c r="K425" i="3"/>
  <c r="Q424" i="3"/>
  <c r="K424" i="3"/>
  <c r="Q423" i="3"/>
  <c r="K423" i="3"/>
  <c r="Q422" i="3"/>
  <c r="K422" i="3"/>
  <c r="Q421" i="3"/>
  <c r="K421" i="3"/>
  <c r="Q420" i="3"/>
  <c r="K420" i="3"/>
  <c r="Q419" i="3"/>
  <c r="K419" i="3"/>
  <c r="Q418" i="3"/>
  <c r="K418" i="3"/>
  <c r="Q417" i="3"/>
  <c r="K417" i="3"/>
  <c r="Q416" i="3"/>
  <c r="K416" i="3"/>
  <c r="Q415" i="3"/>
  <c r="K415" i="3"/>
  <c r="Q414" i="3"/>
  <c r="K414" i="3"/>
  <c r="Q413" i="3"/>
  <c r="K413" i="3"/>
  <c r="Q412" i="3"/>
  <c r="K412" i="3"/>
  <c r="Q411" i="3"/>
  <c r="K411" i="3"/>
  <c r="Q410" i="3"/>
  <c r="K410" i="3"/>
  <c r="Q409" i="3"/>
  <c r="K409" i="3"/>
  <c r="Q408" i="3"/>
  <c r="K408" i="3"/>
  <c r="Q407" i="3"/>
  <c r="K407" i="3"/>
  <c r="Q406" i="3"/>
  <c r="K406" i="3"/>
  <c r="Q405" i="3"/>
  <c r="K405" i="3"/>
  <c r="Q404" i="3"/>
  <c r="K404" i="3"/>
  <c r="Q403" i="3"/>
  <c r="K403" i="3"/>
  <c r="Q402" i="3"/>
  <c r="K402" i="3"/>
  <c r="Q401" i="3"/>
  <c r="K401" i="3"/>
  <c r="Q400" i="3"/>
  <c r="K400" i="3"/>
  <c r="Q399" i="3"/>
  <c r="K399" i="3"/>
  <c r="Q398" i="3"/>
  <c r="K398" i="3"/>
  <c r="Q397" i="3"/>
  <c r="K397" i="3"/>
  <c r="Q396" i="3"/>
  <c r="K396" i="3"/>
  <c r="Q395" i="3"/>
  <c r="K395" i="3"/>
  <c r="Q394" i="3"/>
  <c r="K394" i="3"/>
  <c r="Q393" i="3"/>
  <c r="K393" i="3"/>
  <c r="Q392" i="3"/>
  <c r="K392" i="3"/>
  <c r="Q391" i="3"/>
  <c r="K391" i="3"/>
  <c r="Q390" i="3"/>
  <c r="K390" i="3"/>
  <c r="Q389" i="3"/>
  <c r="K389" i="3"/>
  <c r="Q388" i="3"/>
  <c r="K388" i="3"/>
  <c r="Q387" i="3"/>
  <c r="K387" i="3"/>
  <c r="Q386" i="3"/>
  <c r="K386" i="3"/>
  <c r="Q385" i="3"/>
  <c r="K385" i="3"/>
  <c r="Q384" i="3"/>
  <c r="K384" i="3"/>
  <c r="Q383" i="3"/>
  <c r="K383" i="3"/>
  <c r="Q382" i="3"/>
  <c r="K382" i="3"/>
  <c r="Q381" i="3"/>
  <c r="K381" i="3"/>
  <c r="Q380" i="3"/>
  <c r="K380" i="3"/>
  <c r="Q379" i="3"/>
  <c r="K379" i="3"/>
  <c r="Q378" i="3"/>
  <c r="K378" i="3"/>
  <c r="Q377" i="3"/>
  <c r="K377" i="3"/>
  <c r="Q376" i="3"/>
  <c r="K376" i="3"/>
  <c r="Q375" i="3"/>
  <c r="K375" i="3"/>
  <c r="Q374" i="3"/>
  <c r="K374" i="3"/>
  <c r="Q373" i="3"/>
  <c r="K373" i="3"/>
  <c r="Q372" i="3"/>
  <c r="K372" i="3"/>
  <c r="Q371" i="3"/>
  <c r="K371" i="3"/>
  <c r="Q370" i="3"/>
  <c r="K370" i="3"/>
  <c r="Q369" i="3"/>
  <c r="K369" i="3"/>
  <c r="Q368" i="3"/>
  <c r="K368" i="3"/>
  <c r="Q367" i="3"/>
  <c r="K367" i="3"/>
  <c r="Q366" i="3"/>
  <c r="K366" i="3"/>
  <c r="Q365" i="3"/>
  <c r="K365" i="3"/>
  <c r="Q364" i="3"/>
  <c r="K364" i="3"/>
  <c r="Q363" i="3"/>
  <c r="K363" i="3"/>
  <c r="Q362" i="3"/>
  <c r="K362" i="3"/>
  <c r="Q361" i="3"/>
  <c r="K361" i="3"/>
  <c r="Q360" i="3"/>
  <c r="K360" i="3"/>
  <c r="Q359" i="3"/>
  <c r="K359" i="3"/>
  <c r="Q358" i="3"/>
  <c r="K358" i="3"/>
  <c r="Q357" i="3"/>
  <c r="K357" i="3"/>
  <c r="Q356" i="3"/>
  <c r="K356" i="3"/>
  <c r="Q355" i="3"/>
  <c r="K355" i="3"/>
  <c r="Q354" i="3"/>
  <c r="K354" i="3"/>
  <c r="Q353" i="3"/>
  <c r="K353" i="3"/>
  <c r="Q352" i="3"/>
  <c r="K352" i="3"/>
  <c r="Q351" i="3"/>
  <c r="K351" i="3"/>
  <c r="Q350" i="3"/>
  <c r="K350" i="3"/>
  <c r="Q349" i="3"/>
  <c r="K349" i="3"/>
  <c r="Q348" i="3"/>
  <c r="K348" i="3"/>
  <c r="Q347" i="3"/>
  <c r="K347" i="3"/>
  <c r="Q346" i="3"/>
  <c r="K346" i="3"/>
  <c r="Q345" i="3"/>
  <c r="K345" i="3"/>
  <c r="Q344" i="3"/>
  <c r="K344" i="3"/>
  <c r="Q343" i="3"/>
  <c r="K343" i="3"/>
  <c r="Q342" i="3"/>
  <c r="K342" i="3"/>
  <c r="Q341" i="3"/>
  <c r="K341" i="3"/>
  <c r="Q340" i="3"/>
  <c r="K340" i="3"/>
  <c r="Q339" i="3"/>
  <c r="K339" i="3"/>
  <c r="Q338" i="3"/>
  <c r="K338" i="3"/>
  <c r="Q337" i="3"/>
  <c r="K337" i="3"/>
  <c r="Q336" i="3"/>
  <c r="K336" i="3"/>
  <c r="Q335" i="3"/>
  <c r="K335" i="3"/>
  <c r="Q334" i="3"/>
  <c r="K334" i="3"/>
  <c r="Q333" i="3"/>
  <c r="K333" i="3"/>
  <c r="Q332" i="3"/>
  <c r="K332" i="3"/>
  <c r="Q331" i="3"/>
  <c r="K331" i="3"/>
  <c r="Q330" i="3"/>
  <c r="K330" i="3"/>
  <c r="Q329" i="3"/>
  <c r="K329" i="3"/>
  <c r="Q328" i="3"/>
  <c r="K328" i="3"/>
  <c r="Q327" i="3"/>
  <c r="K327" i="3"/>
  <c r="Q326" i="3"/>
  <c r="K326" i="3"/>
  <c r="Q325" i="3"/>
  <c r="K325" i="3"/>
  <c r="Q324" i="3"/>
  <c r="K324" i="3"/>
  <c r="Q323" i="3"/>
  <c r="K323" i="3"/>
  <c r="Q322" i="3"/>
  <c r="K322" i="3"/>
  <c r="Q321" i="3"/>
  <c r="K321" i="3"/>
  <c r="Q320" i="3"/>
  <c r="K320" i="3"/>
  <c r="Q319" i="3"/>
  <c r="K319" i="3"/>
  <c r="Q318" i="3"/>
  <c r="K318" i="3"/>
  <c r="Q317" i="3"/>
  <c r="K317" i="3"/>
  <c r="Q316" i="3"/>
  <c r="K316" i="3"/>
  <c r="Q315" i="3"/>
  <c r="K315" i="3"/>
  <c r="Q314" i="3"/>
  <c r="K314" i="3"/>
  <c r="Q313" i="3"/>
  <c r="K313" i="3"/>
  <c r="Q312" i="3"/>
  <c r="K312" i="3"/>
  <c r="Q311" i="3"/>
  <c r="K311" i="3"/>
  <c r="Q310" i="3"/>
  <c r="K310" i="3"/>
  <c r="Q309" i="3"/>
  <c r="K309" i="3"/>
  <c r="Q308" i="3"/>
  <c r="K308" i="3"/>
  <c r="Q307" i="3"/>
  <c r="K307" i="3"/>
  <c r="Q306" i="3"/>
  <c r="K306" i="3"/>
  <c r="Q305" i="3"/>
  <c r="K305" i="3"/>
  <c r="Q304" i="3"/>
  <c r="K304" i="3"/>
  <c r="Q303" i="3"/>
  <c r="K303" i="3"/>
  <c r="Q302" i="3"/>
  <c r="K302" i="3"/>
  <c r="Q301" i="3"/>
  <c r="K301" i="3"/>
  <c r="Q300" i="3"/>
  <c r="K300" i="3"/>
  <c r="Q299" i="3"/>
  <c r="K299" i="3"/>
  <c r="Q298" i="3"/>
  <c r="K298" i="3"/>
  <c r="Q297" i="3"/>
  <c r="K297" i="3"/>
  <c r="Q296" i="3"/>
  <c r="K296" i="3"/>
  <c r="Q295" i="3"/>
  <c r="K295" i="3"/>
  <c r="Q294" i="3"/>
  <c r="K294" i="3"/>
  <c r="Q293" i="3"/>
  <c r="K293" i="3"/>
  <c r="Q292" i="3"/>
  <c r="K292" i="3"/>
  <c r="Q291" i="3"/>
  <c r="K291" i="3"/>
  <c r="Q290" i="3"/>
  <c r="K290" i="3"/>
  <c r="Q289" i="3"/>
  <c r="K289" i="3"/>
  <c r="Q288" i="3"/>
  <c r="K288" i="3"/>
  <c r="Q287" i="3"/>
  <c r="K287" i="3"/>
  <c r="Q286" i="3"/>
  <c r="K286" i="3"/>
  <c r="Q285" i="3"/>
  <c r="K285" i="3"/>
  <c r="Q284" i="3"/>
  <c r="K284" i="3"/>
  <c r="Q283" i="3"/>
  <c r="K283" i="3"/>
  <c r="Q282" i="3"/>
  <c r="K282" i="3"/>
  <c r="Q281" i="3"/>
  <c r="K281" i="3"/>
  <c r="Q280" i="3"/>
  <c r="K280" i="3"/>
  <c r="Q279" i="3"/>
  <c r="K279" i="3"/>
  <c r="Q278" i="3"/>
  <c r="K278" i="3"/>
  <c r="Q277" i="3"/>
  <c r="K277" i="3"/>
  <c r="Q276" i="3"/>
  <c r="K276" i="3"/>
  <c r="Q275" i="3"/>
  <c r="K275" i="3"/>
  <c r="Q274" i="3"/>
  <c r="K274" i="3"/>
  <c r="Q273" i="3"/>
  <c r="K273" i="3"/>
  <c r="Q272" i="3"/>
  <c r="K272" i="3"/>
  <c r="Q271" i="3"/>
  <c r="K271" i="3"/>
  <c r="Q270" i="3"/>
  <c r="K270" i="3"/>
  <c r="Q269" i="3"/>
  <c r="K269" i="3"/>
  <c r="Q268" i="3"/>
  <c r="K268" i="3"/>
  <c r="Q267" i="3"/>
  <c r="K267" i="3"/>
  <c r="Q266" i="3"/>
  <c r="K266" i="3"/>
  <c r="Q265" i="3"/>
  <c r="K265" i="3"/>
  <c r="Q264" i="3"/>
  <c r="K264" i="3"/>
  <c r="Q263" i="3"/>
  <c r="K263" i="3"/>
  <c r="Q262" i="3"/>
  <c r="K262" i="3"/>
  <c r="Q261" i="3"/>
  <c r="K261" i="3"/>
  <c r="Q260" i="3"/>
  <c r="K260" i="3"/>
  <c r="Q259" i="3"/>
  <c r="K259" i="3"/>
  <c r="Q258" i="3"/>
  <c r="K258" i="3"/>
  <c r="Q257" i="3"/>
  <c r="K257" i="3"/>
  <c r="Q256" i="3"/>
  <c r="K256" i="3"/>
  <c r="Q255" i="3"/>
  <c r="K255" i="3"/>
  <c r="Q254" i="3"/>
  <c r="K254" i="3"/>
  <c r="Q253" i="3"/>
  <c r="K253" i="3"/>
  <c r="Q252" i="3"/>
  <c r="K252" i="3"/>
  <c r="Q251" i="3"/>
  <c r="K251" i="3"/>
  <c r="Q250" i="3"/>
  <c r="K250" i="3"/>
  <c r="Q249" i="3"/>
  <c r="K249" i="3"/>
  <c r="Q248" i="3"/>
  <c r="K248" i="3"/>
  <c r="Q247" i="3"/>
  <c r="K247" i="3"/>
  <c r="Q246" i="3"/>
  <c r="K246" i="3"/>
  <c r="Q245" i="3"/>
  <c r="K245" i="3"/>
  <c r="Q244" i="3"/>
  <c r="K244" i="3"/>
  <c r="Q243" i="3"/>
  <c r="K243" i="3"/>
  <c r="Q242" i="3"/>
  <c r="K242" i="3"/>
  <c r="Q241" i="3"/>
  <c r="K241" i="3"/>
  <c r="Q240" i="3"/>
  <c r="K240" i="3"/>
  <c r="Q239" i="3"/>
  <c r="K239" i="3"/>
  <c r="Q238" i="3"/>
  <c r="K238" i="3"/>
  <c r="Q237" i="3"/>
  <c r="K237" i="3"/>
  <c r="Q236" i="3"/>
  <c r="K236" i="3"/>
  <c r="Q235" i="3"/>
  <c r="K235" i="3"/>
  <c r="Q234" i="3"/>
  <c r="K234" i="3"/>
  <c r="Q233" i="3"/>
  <c r="K233" i="3"/>
  <c r="Q232" i="3"/>
  <c r="K232" i="3"/>
  <c r="Q231" i="3"/>
  <c r="K231" i="3"/>
  <c r="Q230" i="3"/>
  <c r="K230" i="3"/>
  <c r="Q229" i="3"/>
  <c r="K229" i="3"/>
  <c r="Q228" i="3"/>
  <c r="K228" i="3"/>
  <c r="Q227" i="3"/>
  <c r="K227" i="3"/>
  <c r="Q226" i="3"/>
  <c r="K226" i="3"/>
  <c r="Q225" i="3"/>
  <c r="K225" i="3"/>
  <c r="Q224" i="3"/>
  <c r="K224" i="3"/>
  <c r="Q223" i="3"/>
  <c r="K223" i="3"/>
  <c r="Q222" i="3"/>
  <c r="K222" i="3"/>
  <c r="Q221" i="3"/>
  <c r="K221" i="3"/>
  <c r="Q220" i="3"/>
  <c r="K220" i="3"/>
  <c r="Q219" i="3"/>
  <c r="K219" i="3"/>
  <c r="Q218" i="3"/>
  <c r="K218" i="3"/>
  <c r="Q217" i="3"/>
  <c r="K217" i="3"/>
  <c r="Q216" i="3"/>
  <c r="K216" i="3"/>
  <c r="Q215" i="3"/>
  <c r="K215" i="3"/>
  <c r="Q214" i="3"/>
  <c r="K214" i="3"/>
  <c r="Q213" i="3"/>
  <c r="K213" i="3"/>
  <c r="Q212" i="3"/>
  <c r="K212" i="3"/>
  <c r="Q211" i="3"/>
  <c r="K211" i="3"/>
  <c r="Q210" i="3"/>
  <c r="K210" i="3"/>
  <c r="Q209" i="3"/>
  <c r="K209" i="3"/>
  <c r="Q208" i="3"/>
  <c r="K208" i="3"/>
  <c r="Q207" i="3"/>
  <c r="K207" i="3"/>
  <c r="Q206" i="3"/>
  <c r="K206" i="3"/>
  <c r="Q205" i="3"/>
  <c r="K205" i="3"/>
  <c r="Q204" i="3"/>
  <c r="K204" i="3"/>
  <c r="Q203" i="3"/>
  <c r="K203" i="3"/>
  <c r="Q202" i="3"/>
  <c r="K202" i="3"/>
  <c r="Q201" i="3"/>
  <c r="K201" i="3"/>
  <c r="Q200" i="3"/>
  <c r="K200" i="3"/>
  <c r="Q199" i="3"/>
  <c r="K199" i="3"/>
  <c r="Q198" i="3"/>
  <c r="K198" i="3"/>
  <c r="Q197" i="3"/>
  <c r="K197" i="3"/>
  <c r="Q196" i="3"/>
  <c r="K196" i="3"/>
  <c r="Q195" i="3"/>
  <c r="K195" i="3"/>
  <c r="Q194" i="3"/>
  <c r="K194" i="3"/>
  <c r="Q193" i="3"/>
  <c r="K193" i="3"/>
  <c r="Q192" i="3"/>
  <c r="K192" i="3"/>
  <c r="Q191" i="3"/>
  <c r="K191" i="3"/>
  <c r="Q190" i="3"/>
  <c r="K190" i="3"/>
  <c r="Q189" i="3"/>
  <c r="K189" i="3"/>
  <c r="R189" i="3" l="1"/>
  <c r="R191" i="3"/>
  <c r="R192" i="3"/>
  <c r="R193" i="3"/>
  <c r="R195" i="3"/>
  <c r="R196" i="3"/>
  <c r="R197" i="3"/>
  <c r="R199" i="3"/>
  <c r="R200" i="3"/>
  <c r="R201" i="3"/>
  <c r="R203" i="3"/>
  <c r="R204" i="3"/>
  <c r="R205" i="3"/>
  <c r="R207" i="3"/>
  <c r="R208" i="3"/>
  <c r="R209" i="3"/>
  <c r="R211" i="3"/>
  <c r="R212" i="3"/>
  <c r="R213" i="3"/>
  <c r="R215" i="3"/>
  <c r="R216" i="3"/>
  <c r="R217" i="3"/>
  <c r="R219" i="3"/>
  <c r="R220" i="3"/>
  <c r="R221" i="3"/>
  <c r="R223" i="3"/>
  <c r="R224" i="3"/>
  <c r="R225" i="3"/>
  <c r="R227" i="3"/>
  <c r="R228" i="3"/>
  <c r="R229" i="3"/>
  <c r="R231" i="3"/>
  <c r="R232" i="3"/>
  <c r="R233" i="3"/>
  <c r="R235" i="3"/>
  <c r="R236" i="3"/>
  <c r="R237" i="3"/>
  <c r="R239" i="3"/>
  <c r="R240" i="3"/>
  <c r="R241" i="3"/>
  <c r="R243" i="3"/>
  <c r="R244" i="3"/>
  <c r="R245" i="3"/>
  <c r="R247" i="3"/>
  <c r="R248" i="3"/>
  <c r="R249" i="3"/>
  <c r="R251" i="3"/>
  <c r="R252" i="3"/>
  <c r="R253" i="3"/>
  <c r="R255" i="3"/>
  <c r="R256" i="3"/>
  <c r="R257" i="3"/>
  <c r="R259" i="3"/>
  <c r="R260" i="3"/>
  <c r="R261" i="3"/>
  <c r="R263" i="3"/>
  <c r="R264" i="3"/>
  <c r="R265" i="3"/>
  <c r="R267" i="3"/>
  <c r="R268" i="3"/>
  <c r="R269" i="3"/>
  <c r="R271" i="3"/>
  <c r="R272" i="3"/>
  <c r="R273" i="3"/>
  <c r="R275" i="3"/>
  <c r="R276" i="3"/>
  <c r="R277" i="3"/>
  <c r="R279" i="3"/>
  <c r="R280" i="3"/>
  <c r="R281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190" i="3"/>
  <c r="R194" i="3"/>
  <c r="R198" i="3"/>
  <c r="R202" i="3"/>
  <c r="R206" i="3"/>
  <c r="R210" i="3"/>
  <c r="R214" i="3"/>
  <c r="R218" i="3"/>
  <c r="R222" i="3"/>
  <c r="R226" i="3"/>
  <c r="R230" i="3"/>
  <c r="R234" i="3"/>
  <c r="R238" i="3"/>
  <c r="R242" i="3"/>
  <c r="R246" i="3"/>
  <c r="R250" i="3"/>
  <c r="R254" i="3"/>
  <c r="R258" i="3"/>
  <c r="R262" i="3"/>
  <c r="R266" i="3"/>
  <c r="R270" i="3"/>
  <c r="R274" i="3"/>
  <c r="R278" i="3"/>
  <c r="R282" i="3"/>
  <c r="Q95" i="39"/>
  <c r="Q80" i="38" l="1"/>
  <c r="Q188" i="3"/>
  <c r="K188" i="3"/>
  <c r="Q187" i="3"/>
  <c r="K187" i="3"/>
  <c r="Q186" i="3"/>
  <c r="K186" i="3"/>
  <c r="Q185" i="3"/>
  <c r="K185" i="3"/>
  <c r="Q184" i="3"/>
  <c r="K184" i="3"/>
  <c r="Q183" i="3"/>
  <c r="K183" i="3"/>
  <c r="Q182" i="3"/>
  <c r="K182" i="3"/>
  <c r="Q181" i="3"/>
  <c r="K181" i="3"/>
  <c r="Q180" i="3"/>
  <c r="K180" i="3"/>
  <c r="Q179" i="3"/>
  <c r="K179" i="3"/>
  <c r="Q178" i="3"/>
  <c r="K178" i="3"/>
  <c r="Q177" i="3"/>
  <c r="K177" i="3"/>
  <c r="Q176" i="3"/>
  <c r="K176" i="3"/>
  <c r="Q175" i="3"/>
  <c r="K175" i="3"/>
  <c r="Q174" i="3"/>
  <c r="K174" i="3"/>
  <c r="Q173" i="3"/>
  <c r="K173" i="3"/>
  <c r="Q172" i="3"/>
  <c r="K172" i="3"/>
  <c r="Q171" i="3"/>
  <c r="K171" i="3"/>
  <c r="Q170" i="3"/>
  <c r="K170" i="3"/>
  <c r="Q169" i="3"/>
  <c r="K169" i="3"/>
  <c r="Q168" i="3"/>
  <c r="K168" i="3"/>
  <c r="Q167" i="3"/>
  <c r="K167" i="3"/>
  <c r="Q166" i="3"/>
  <c r="K166" i="3"/>
  <c r="Q165" i="3"/>
  <c r="K165" i="3"/>
  <c r="Q164" i="3"/>
  <c r="K164" i="3"/>
  <c r="Q163" i="3"/>
  <c r="K163" i="3"/>
  <c r="Q162" i="3"/>
  <c r="K162" i="3"/>
  <c r="Q161" i="3"/>
  <c r="K161" i="3"/>
  <c r="Q160" i="3"/>
  <c r="K160" i="3"/>
  <c r="Q159" i="3"/>
  <c r="K159" i="3"/>
  <c r="Q158" i="3"/>
  <c r="K158" i="3"/>
  <c r="Q157" i="3"/>
  <c r="K157" i="3"/>
  <c r="Q156" i="3"/>
  <c r="K156" i="3"/>
  <c r="Q155" i="3"/>
  <c r="K155" i="3"/>
  <c r="Q154" i="3"/>
  <c r="K154" i="3"/>
  <c r="Q153" i="3"/>
  <c r="K153" i="3"/>
  <c r="Q152" i="3"/>
  <c r="K152" i="3"/>
  <c r="Q151" i="3"/>
  <c r="K151" i="3"/>
  <c r="Q150" i="3"/>
  <c r="K150" i="3"/>
  <c r="Q149" i="3"/>
  <c r="K149" i="3"/>
  <c r="Q48" i="38"/>
  <c r="K48" i="38"/>
  <c r="Q47" i="38"/>
  <c r="K47" i="38"/>
  <c r="Q46" i="38"/>
  <c r="K46" i="38"/>
  <c r="Q45" i="38"/>
  <c r="K45" i="38"/>
  <c r="Q44" i="38"/>
  <c r="K44" i="38"/>
  <c r="Q43" i="38"/>
  <c r="K43" i="38"/>
  <c r="Q42" i="38"/>
  <c r="K42" i="38"/>
  <c r="Q41" i="38"/>
  <c r="K41" i="38"/>
  <c r="Q40" i="38"/>
  <c r="K40" i="38"/>
  <c r="Q39" i="38"/>
  <c r="K39" i="38"/>
  <c r="Q38" i="38"/>
  <c r="K38" i="38"/>
  <c r="Q37" i="38"/>
  <c r="K37" i="38"/>
  <c r="Q36" i="38"/>
  <c r="K36" i="38"/>
  <c r="Q35" i="38"/>
  <c r="K35" i="38"/>
  <c r="Q34" i="38"/>
  <c r="K34" i="38"/>
  <c r="Q33" i="38"/>
  <c r="K33" i="38"/>
  <c r="Q32" i="38"/>
  <c r="K32" i="38"/>
  <c r="Q31" i="38"/>
  <c r="K31" i="38"/>
  <c r="Q30" i="38"/>
  <c r="K30" i="38"/>
  <c r="Q29" i="38"/>
  <c r="K29" i="38"/>
  <c r="Q28" i="38"/>
  <c r="K28" i="38"/>
  <c r="Q27" i="38"/>
  <c r="K27" i="38"/>
  <c r="Q26" i="38"/>
  <c r="K26" i="38"/>
  <c r="Q25" i="38"/>
  <c r="K25" i="38"/>
  <c r="Q24" i="38"/>
  <c r="K24" i="38"/>
  <c r="Q23" i="38"/>
  <c r="K23" i="38"/>
  <c r="Q22" i="38"/>
  <c r="K22" i="38"/>
  <c r="Q21" i="38"/>
  <c r="K21" i="38"/>
  <c r="Q20" i="38"/>
  <c r="K20" i="38"/>
  <c r="Q19" i="38"/>
  <c r="K19" i="38"/>
  <c r="Q18" i="38"/>
  <c r="K18" i="38"/>
  <c r="Q17" i="38"/>
  <c r="K17" i="38"/>
  <c r="Q16" i="38"/>
  <c r="K16" i="38"/>
  <c r="Q15" i="38"/>
  <c r="K15" i="38"/>
  <c r="Q14" i="38"/>
  <c r="K14" i="38"/>
  <c r="Q13" i="38"/>
  <c r="K13" i="38"/>
  <c r="Q12" i="38"/>
  <c r="K12" i="38"/>
  <c r="Q11" i="38"/>
  <c r="K11" i="38"/>
  <c r="Q10" i="38"/>
  <c r="K10" i="38"/>
  <c r="Q9" i="38"/>
  <c r="K9" i="38"/>
  <c r="Q53" i="37"/>
  <c r="R14" i="38" l="1"/>
  <c r="R18" i="38"/>
  <c r="R22" i="38"/>
  <c r="R26" i="38"/>
  <c r="R30" i="38"/>
  <c r="R34" i="38"/>
  <c r="R46" i="38"/>
  <c r="R12" i="38"/>
  <c r="R20" i="38"/>
  <c r="R24" i="38"/>
  <c r="R28" i="38"/>
  <c r="R32" i="38"/>
  <c r="R36" i="38"/>
  <c r="R40" i="38"/>
  <c r="R44" i="38"/>
  <c r="R9" i="38"/>
  <c r="R11" i="38"/>
  <c r="R13" i="38"/>
  <c r="R15" i="38"/>
  <c r="R17" i="38"/>
  <c r="R19" i="38"/>
  <c r="R21" i="38"/>
  <c r="R23" i="38"/>
  <c r="R25" i="38"/>
  <c r="R27" i="38"/>
  <c r="R29" i="38"/>
  <c r="R31" i="38"/>
  <c r="R33" i="38"/>
  <c r="R35" i="38"/>
  <c r="R37" i="38"/>
  <c r="R39" i="38"/>
  <c r="R41" i="38"/>
  <c r="R43" i="38"/>
  <c r="R45" i="38"/>
  <c r="R47" i="38"/>
  <c r="R48" i="38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42" i="38"/>
  <c r="R38" i="38"/>
  <c r="R16" i="38"/>
  <c r="R10" i="38"/>
  <c r="Q32" i="3"/>
  <c r="K38" i="3" l="1"/>
  <c r="Q38" i="3"/>
  <c r="K39" i="3"/>
  <c r="Q39" i="3"/>
  <c r="K40" i="3"/>
  <c r="Q40" i="3"/>
  <c r="K41" i="3"/>
  <c r="Q41" i="3"/>
  <c r="K42" i="3"/>
  <c r="Q42" i="3"/>
  <c r="K43" i="3"/>
  <c r="Q43" i="3"/>
  <c r="K44" i="3"/>
  <c r="Q44" i="3"/>
  <c r="K45" i="3"/>
  <c r="Q45" i="3"/>
  <c r="K46" i="3"/>
  <c r="Q46" i="3"/>
  <c r="K47" i="3"/>
  <c r="Q47" i="3"/>
  <c r="K48" i="3"/>
  <c r="Q48" i="3"/>
  <c r="K49" i="3"/>
  <c r="Q49" i="3"/>
  <c r="K50" i="3"/>
  <c r="Q50" i="3"/>
  <c r="K51" i="3"/>
  <c r="Q51" i="3"/>
  <c r="K52" i="3"/>
  <c r="Q52" i="3"/>
  <c r="K53" i="3"/>
  <c r="Q53" i="3"/>
  <c r="K54" i="3"/>
  <c r="Q54" i="3"/>
  <c r="K55" i="3"/>
  <c r="Q55" i="3"/>
  <c r="K56" i="3"/>
  <c r="Q56" i="3"/>
  <c r="K57" i="3"/>
  <c r="Q57" i="3"/>
  <c r="K58" i="3"/>
  <c r="Q58" i="3"/>
  <c r="K59" i="3"/>
  <c r="Q59" i="3"/>
  <c r="K60" i="3"/>
  <c r="Q60" i="3"/>
  <c r="K61" i="3"/>
  <c r="Q61" i="3"/>
  <c r="K62" i="3"/>
  <c r="Q62" i="3"/>
  <c r="K63" i="3"/>
  <c r="Q63" i="3"/>
  <c r="K64" i="3"/>
  <c r="Q64" i="3"/>
  <c r="K65" i="3"/>
  <c r="Q65" i="3"/>
  <c r="K66" i="3"/>
  <c r="Q66" i="3"/>
  <c r="K67" i="3"/>
  <c r="Q67" i="3"/>
  <c r="K68" i="3"/>
  <c r="Q68" i="3"/>
  <c r="K69" i="3"/>
  <c r="Q69" i="3"/>
  <c r="K70" i="3"/>
  <c r="Q70" i="3"/>
  <c r="K71" i="3"/>
  <c r="Q71" i="3"/>
  <c r="K72" i="3"/>
  <c r="Q72" i="3"/>
  <c r="K73" i="3"/>
  <c r="Q73" i="3"/>
  <c r="K74" i="3"/>
  <c r="Q74" i="3"/>
  <c r="K75" i="3"/>
  <c r="Q75" i="3"/>
  <c r="K76" i="3"/>
  <c r="Q76" i="3"/>
  <c r="K77" i="3"/>
  <c r="Q77" i="3"/>
  <c r="K78" i="3"/>
  <c r="Q78" i="3"/>
  <c r="K79" i="3"/>
  <c r="Q79" i="3"/>
  <c r="K80" i="3"/>
  <c r="Q80" i="3"/>
  <c r="K81" i="3"/>
  <c r="Q81" i="3"/>
  <c r="K82" i="3"/>
  <c r="Q82" i="3"/>
  <c r="K83" i="3"/>
  <c r="Q83" i="3"/>
  <c r="K84" i="3"/>
  <c r="Q84" i="3"/>
  <c r="K85" i="3"/>
  <c r="Q85" i="3"/>
  <c r="K86" i="3"/>
  <c r="Q86" i="3"/>
  <c r="K87" i="3"/>
  <c r="Q87" i="3"/>
  <c r="K88" i="3"/>
  <c r="Q88" i="3"/>
  <c r="K89" i="3"/>
  <c r="Q89" i="3"/>
  <c r="K90" i="3"/>
  <c r="Q90" i="3"/>
  <c r="K91" i="3"/>
  <c r="Q91" i="3"/>
  <c r="K92" i="3"/>
  <c r="Q92" i="3"/>
  <c r="K93" i="3"/>
  <c r="Q93" i="3"/>
  <c r="K94" i="3"/>
  <c r="Q94" i="3"/>
  <c r="K95" i="3"/>
  <c r="Q95" i="3"/>
  <c r="K96" i="3"/>
  <c r="Q96" i="3"/>
  <c r="K97" i="3"/>
  <c r="Q97" i="3"/>
  <c r="K98" i="3"/>
  <c r="Q98" i="3"/>
  <c r="K99" i="3"/>
  <c r="Q99" i="3"/>
  <c r="K100" i="3"/>
  <c r="Q100" i="3"/>
  <c r="K101" i="3"/>
  <c r="Q101" i="3"/>
  <c r="K102" i="3"/>
  <c r="Q102" i="3"/>
  <c r="K103" i="3"/>
  <c r="Q103" i="3"/>
  <c r="K104" i="3"/>
  <c r="Q104" i="3"/>
  <c r="K105" i="3"/>
  <c r="Q105" i="3"/>
  <c r="K106" i="3"/>
  <c r="Q106" i="3"/>
  <c r="K107" i="3"/>
  <c r="Q107" i="3"/>
  <c r="K108" i="3"/>
  <c r="Q108" i="3"/>
  <c r="K109" i="3"/>
  <c r="Q109" i="3"/>
  <c r="K110" i="3"/>
  <c r="Q110" i="3"/>
  <c r="K111" i="3"/>
  <c r="Q111" i="3"/>
  <c r="K112" i="3"/>
  <c r="Q112" i="3"/>
  <c r="K113" i="3"/>
  <c r="Q113" i="3"/>
  <c r="K114" i="3"/>
  <c r="Q114" i="3"/>
  <c r="K115" i="3"/>
  <c r="Q115" i="3"/>
  <c r="K116" i="3"/>
  <c r="Q116" i="3"/>
  <c r="K117" i="3"/>
  <c r="Q117" i="3"/>
  <c r="K118" i="3"/>
  <c r="Q118" i="3"/>
  <c r="K119" i="3"/>
  <c r="Q119" i="3"/>
  <c r="K120" i="3"/>
  <c r="Q120" i="3"/>
  <c r="K121" i="3"/>
  <c r="Q121" i="3"/>
  <c r="K122" i="3"/>
  <c r="Q122" i="3"/>
  <c r="K123" i="3"/>
  <c r="Q123" i="3"/>
  <c r="K124" i="3"/>
  <c r="Q124" i="3"/>
  <c r="K125" i="3"/>
  <c r="Q125" i="3"/>
  <c r="K126" i="3"/>
  <c r="Q126" i="3"/>
  <c r="K127" i="3"/>
  <c r="Q127" i="3"/>
  <c r="K128" i="3"/>
  <c r="Q128" i="3"/>
  <c r="K129" i="3"/>
  <c r="Q129" i="3"/>
  <c r="K130" i="3"/>
  <c r="Q130" i="3"/>
  <c r="K131" i="3"/>
  <c r="Q131" i="3"/>
  <c r="K132" i="3"/>
  <c r="Q132" i="3"/>
  <c r="K133" i="3"/>
  <c r="Q133" i="3"/>
  <c r="K134" i="3"/>
  <c r="Q134" i="3"/>
  <c r="K135" i="3"/>
  <c r="Q135" i="3"/>
  <c r="K136" i="3"/>
  <c r="Q136" i="3"/>
  <c r="K137" i="3"/>
  <c r="Q137" i="3"/>
  <c r="K138" i="3"/>
  <c r="Q138" i="3"/>
  <c r="K139" i="3"/>
  <c r="Q139" i="3"/>
  <c r="K140" i="3"/>
  <c r="Q140" i="3"/>
  <c r="K141" i="3"/>
  <c r="Q141" i="3"/>
  <c r="K142" i="3"/>
  <c r="Q142" i="3"/>
  <c r="K143" i="3"/>
  <c r="Q143" i="3"/>
  <c r="K144" i="3"/>
  <c r="Q144" i="3"/>
  <c r="K145" i="3"/>
  <c r="Q145" i="3"/>
  <c r="K146" i="3"/>
  <c r="Q146" i="3"/>
  <c r="K147" i="3"/>
  <c r="Q147" i="3"/>
  <c r="K148" i="3"/>
  <c r="Q148" i="3"/>
  <c r="K38" i="39"/>
  <c r="Q38" i="39"/>
  <c r="K39" i="39"/>
  <c r="Q39" i="39"/>
  <c r="K40" i="39"/>
  <c r="Q40" i="39"/>
  <c r="K41" i="39"/>
  <c r="Q41" i="39"/>
  <c r="K42" i="39"/>
  <c r="Q42" i="39"/>
  <c r="K43" i="39"/>
  <c r="Q43" i="39"/>
  <c r="K44" i="39"/>
  <c r="Q44" i="39"/>
  <c r="K45" i="39"/>
  <c r="Q45" i="39"/>
  <c r="K46" i="39"/>
  <c r="Q46" i="39"/>
  <c r="K47" i="39"/>
  <c r="Q47" i="39"/>
  <c r="K48" i="39"/>
  <c r="Q48" i="39"/>
  <c r="K49" i="39"/>
  <c r="Q49" i="39"/>
  <c r="K50" i="39"/>
  <c r="Q50" i="39"/>
  <c r="K51" i="39"/>
  <c r="Q51" i="39"/>
  <c r="K52" i="39"/>
  <c r="Q52" i="39"/>
  <c r="K53" i="39"/>
  <c r="Q53" i="39"/>
  <c r="K54" i="39"/>
  <c r="Q54" i="39"/>
  <c r="K55" i="39"/>
  <c r="Q55" i="39"/>
  <c r="K56" i="39"/>
  <c r="Q56" i="39"/>
  <c r="K57" i="39"/>
  <c r="Q57" i="39"/>
  <c r="K58" i="39"/>
  <c r="Q58" i="39"/>
  <c r="K59" i="39"/>
  <c r="Q59" i="39"/>
  <c r="K60" i="39"/>
  <c r="Q60" i="39"/>
  <c r="K61" i="39"/>
  <c r="Q61" i="39"/>
  <c r="K62" i="39"/>
  <c r="Q62" i="39"/>
  <c r="K63" i="39"/>
  <c r="Q63" i="39"/>
  <c r="K64" i="39"/>
  <c r="Q64" i="39"/>
  <c r="K65" i="39"/>
  <c r="Q65" i="39"/>
  <c r="R65" i="39" s="1"/>
  <c r="K66" i="39"/>
  <c r="Q66" i="39"/>
  <c r="K67" i="39"/>
  <c r="Q67" i="39"/>
  <c r="K68" i="39"/>
  <c r="Q68" i="39"/>
  <c r="K69" i="39"/>
  <c r="Q69" i="39"/>
  <c r="R69" i="39" s="1"/>
  <c r="K70" i="39"/>
  <c r="Q70" i="39"/>
  <c r="K71" i="39"/>
  <c r="Q71" i="39"/>
  <c r="K72" i="39"/>
  <c r="Q72" i="39"/>
  <c r="K73" i="39"/>
  <c r="Q73" i="39"/>
  <c r="R73" i="39" s="1"/>
  <c r="K74" i="39"/>
  <c r="Q74" i="39"/>
  <c r="R74" i="39" s="1"/>
  <c r="K75" i="39"/>
  <c r="Q75" i="39"/>
  <c r="K76" i="39"/>
  <c r="Q76" i="39"/>
  <c r="K77" i="39"/>
  <c r="Q77" i="39"/>
  <c r="R77" i="39" s="1"/>
  <c r="K78" i="39"/>
  <c r="Q78" i="39"/>
  <c r="R78" i="39" s="1"/>
  <c r="K79" i="39"/>
  <c r="Q79" i="39"/>
  <c r="K80" i="39"/>
  <c r="Q80" i="39"/>
  <c r="K81" i="39"/>
  <c r="Q81" i="39"/>
  <c r="R81" i="39" s="1"/>
  <c r="K82" i="39"/>
  <c r="Q82" i="39"/>
  <c r="K83" i="39"/>
  <c r="Q83" i="39"/>
  <c r="K84" i="39"/>
  <c r="Q84" i="39"/>
  <c r="K85" i="39"/>
  <c r="Q85" i="39"/>
  <c r="R85" i="39" s="1"/>
  <c r="K86" i="39"/>
  <c r="Q86" i="39"/>
  <c r="K87" i="39"/>
  <c r="Q87" i="39"/>
  <c r="K88" i="39"/>
  <c r="Q88" i="39"/>
  <c r="K89" i="39"/>
  <c r="Q89" i="39"/>
  <c r="R89" i="39" s="1"/>
  <c r="K90" i="39"/>
  <c r="Q90" i="39"/>
  <c r="R90" i="39" s="1"/>
  <c r="K91" i="39"/>
  <c r="Q91" i="39"/>
  <c r="K92" i="39"/>
  <c r="Q92" i="39"/>
  <c r="K93" i="39"/>
  <c r="Q93" i="39"/>
  <c r="R93" i="39" s="1"/>
  <c r="K94" i="39"/>
  <c r="Q94" i="39"/>
  <c r="K95" i="39"/>
  <c r="R95" i="39" s="1"/>
  <c r="K96" i="39"/>
  <c r="Q96" i="39"/>
  <c r="K97" i="39"/>
  <c r="Q97" i="39"/>
  <c r="K98" i="39"/>
  <c r="Q98" i="39"/>
  <c r="K99" i="39"/>
  <c r="Q99" i="39"/>
  <c r="K100" i="39"/>
  <c r="Q100" i="39"/>
  <c r="K101" i="39"/>
  <c r="Q101" i="39"/>
  <c r="K102" i="39"/>
  <c r="Q102" i="39"/>
  <c r="K103" i="39"/>
  <c r="Q103" i="39"/>
  <c r="K104" i="39"/>
  <c r="Q104" i="39"/>
  <c r="K105" i="39"/>
  <c r="R105" i="39" s="1"/>
  <c r="Q105" i="39"/>
  <c r="K49" i="38"/>
  <c r="Q49" i="38"/>
  <c r="K50" i="38"/>
  <c r="Q50" i="38"/>
  <c r="K51" i="38"/>
  <c r="Q51" i="38"/>
  <c r="K52" i="38"/>
  <c r="Q52" i="38"/>
  <c r="K53" i="38"/>
  <c r="Q53" i="38"/>
  <c r="K54" i="38"/>
  <c r="Q54" i="38"/>
  <c r="K55" i="38"/>
  <c r="Q55" i="38"/>
  <c r="K56" i="38"/>
  <c r="Q56" i="38"/>
  <c r="K57" i="38"/>
  <c r="Q57" i="38"/>
  <c r="K58" i="38"/>
  <c r="Q58" i="38"/>
  <c r="K59" i="38"/>
  <c r="Q59" i="38"/>
  <c r="K60" i="38"/>
  <c r="Q60" i="38"/>
  <c r="K61" i="38"/>
  <c r="Q61" i="38"/>
  <c r="K62" i="38"/>
  <c r="Q62" i="38"/>
  <c r="K63" i="38"/>
  <c r="Q63" i="38"/>
  <c r="K64" i="38"/>
  <c r="Q64" i="38"/>
  <c r="K65" i="38"/>
  <c r="Q65" i="38"/>
  <c r="K66" i="38"/>
  <c r="Q66" i="38"/>
  <c r="K67" i="38"/>
  <c r="Q67" i="38"/>
  <c r="K68" i="38"/>
  <c r="Q68" i="38"/>
  <c r="K69" i="38"/>
  <c r="Q69" i="38"/>
  <c r="K70" i="38"/>
  <c r="Q70" i="38"/>
  <c r="K71" i="38"/>
  <c r="Q71" i="38"/>
  <c r="K72" i="38"/>
  <c r="Q72" i="38"/>
  <c r="K73" i="38"/>
  <c r="Q73" i="38"/>
  <c r="K74" i="38"/>
  <c r="Q74" i="38"/>
  <c r="K75" i="38"/>
  <c r="Q75" i="38"/>
  <c r="K76" i="38"/>
  <c r="Q76" i="38"/>
  <c r="K77" i="38"/>
  <c r="Q77" i="38"/>
  <c r="K78" i="38"/>
  <c r="Q78" i="38"/>
  <c r="K79" i="38"/>
  <c r="Q79" i="38"/>
  <c r="K80" i="38"/>
  <c r="K81" i="38"/>
  <c r="Q81" i="38"/>
  <c r="K82" i="38"/>
  <c r="Q82" i="38"/>
  <c r="K83" i="38"/>
  <c r="Q83" i="38"/>
  <c r="K84" i="38"/>
  <c r="Q84" i="38"/>
  <c r="K85" i="38"/>
  <c r="Q85" i="38"/>
  <c r="K86" i="38"/>
  <c r="Q86" i="38"/>
  <c r="K87" i="38"/>
  <c r="Q87" i="38"/>
  <c r="K88" i="38"/>
  <c r="Q88" i="38"/>
  <c r="K89" i="38"/>
  <c r="Q89" i="38"/>
  <c r="K90" i="38"/>
  <c r="Q90" i="38"/>
  <c r="K91" i="38"/>
  <c r="Q91" i="38"/>
  <c r="K92" i="38"/>
  <c r="Q92" i="38"/>
  <c r="K93" i="38"/>
  <c r="Q93" i="38"/>
  <c r="K94" i="38"/>
  <c r="Q94" i="38"/>
  <c r="K95" i="38"/>
  <c r="Q95" i="38"/>
  <c r="K96" i="38"/>
  <c r="Q96" i="38"/>
  <c r="K97" i="38"/>
  <c r="Q97" i="38"/>
  <c r="K98" i="38"/>
  <c r="Q98" i="38"/>
  <c r="K99" i="38"/>
  <c r="Q99" i="38"/>
  <c r="K100" i="38"/>
  <c r="Q100" i="38"/>
  <c r="K101" i="38"/>
  <c r="Q101" i="38"/>
  <c r="K102" i="38"/>
  <c r="Q102" i="38"/>
  <c r="K103" i="38"/>
  <c r="Q103" i="38"/>
  <c r="K104" i="38"/>
  <c r="Q104" i="38"/>
  <c r="K105" i="38"/>
  <c r="Q105" i="38"/>
  <c r="K106" i="38"/>
  <c r="Q106" i="38"/>
  <c r="K107" i="38"/>
  <c r="Q107" i="38"/>
  <c r="K108" i="38"/>
  <c r="Q108" i="38"/>
  <c r="K109" i="38"/>
  <c r="Q109" i="38"/>
  <c r="K110" i="38"/>
  <c r="Q110" i="38"/>
  <c r="K111" i="38"/>
  <c r="Q111" i="38"/>
  <c r="K112" i="38"/>
  <c r="Q112" i="38"/>
  <c r="K113" i="38"/>
  <c r="Q113" i="38"/>
  <c r="K114" i="38"/>
  <c r="Q114" i="38"/>
  <c r="K115" i="38"/>
  <c r="Q115" i="38"/>
  <c r="K116" i="38"/>
  <c r="Q116" i="38"/>
  <c r="K117" i="38"/>
  <c r="Q117" i="38"/>
  <c r="K118" i="38"/>
  <c r="Q118" i="38"/>
  <c r="K119" i="38"/>
  <c r="Q119" i="38"/>
  <c r="K120" i="38"/>
  <c r="Q120" i="38"/>
  <c r="K121" i="38"/>
  <c r="Q121" i="38"/>
  <c r="K122" i="38"/>
  <c r="Q122" i="38"/>
  <c r="K123" i="38"/>
  <c r="Q123" i="38"/>
  <c r="K124" i="38"/>
  <c r="Q124" i="38"/>
  <c r="K125" i="38"/>
  <c r="Q125" i="38"/>
  <c r="K126" i="38"/>
  <c r="Q126" i="38"/>
  <c r="K127" i="38"/>
  <c r="Q127" i="38"/>
  <c r="K128" i="38"/>
  <c r="Q128" i="38"/>
  <c r="K129" i="38"/>
  <c r="Q129" i="38"/>
  <c r="K130" i="38"/>
  <c r="Q130" i="38"/>
  <c r="K131" i="38"/>
  <c r="Q131" i="38"/>
  <c r="K132" i="38"/>
  <c r="Q132" i="38"/>
  <c r="K133" i="38"/>
  <c r="Q133" i="38"/>
  <c r="K134" i="38"/>
  <c r="Q134" i="38"/>
  <c r="K135" i="38"/>
  <c r="Q135" i="38"/>
  <c r="K136" i="38"/>
  <c r="Q136" i="38"/>
  <c r="K137" i="38"/>
  <c r="Q137" i="38"/>
  <c r="K138" i="38"/>
  <c r="Q138" i="38"/>
  <c r="K139" i="38"/>
  <c r="Q139" i="38"/>
  <c r="K140" i="38"/>
  <c r="Q140" i="38"/>
  <c r="K141" i="38"/>
  <c r="Q141" i="38"/>
  <c r="K142" i="38"/>
  <c r="Q142" i="38"/>
  <c r="K143" i="38"/>
  <c r="Q143" i="38"/>
  <c r="K144" i="38"/>
  <c r="Q144" i="38"/>
  <c r="K145" i="38"/>
  <c r="Q145" i="38"/>
  <c r="K146" i="38"/>
  <c r="Q146" i="38"/>
  <c r="K147" i="38"/>
  <c r="Q147" i="38"/>
  <c r="K148" i="38"/>
  <c r="Q148" i="38"/>
  <c r="K149" i="38"/>
  <c r="Q149" i="38"/>
  <c r="K150" i="38"/>
  <c r="Q150" i="38"/>
  <c r="K151" i="38"/>
  <c r="Q151" i="38"/>
  <c r="K152" i="38"/>
  <c r="Q152" i="38"/>
  <c r="K153" i="38"/>
  <c r="Q153" i="38"/>
  <c r="Q38" i="37"/>
  <c r="Q39" i="37"/>
  <c r="Q40" i="37"/>
  <c r="Q41" i="37"/>
  <c r="Q42" i="37"/>
  <c r="Q43" i="37"/>
  <c r="Q44" i="37"/>
  <c r="Q45" i="37"/>
  <c r="Q46" i="37"/>
  <c r="Q47" i="37"/>
  <c r="Q48" i="37"/>
  <c r="Q49" i="37"/>
  <c r="Q50" i="37"/>
  <c r="Q51" i="37"/>
  <c r="Q52" i="37"/>
  <c r="Q54" i="37"/>
  <c r="Q55" i="37"/>
  <c r="Q56" i="37"/>
  <c r="Q57" i="37"/>
  <c r="Q58" i="37"/>
  <c r="Q59" i="37"/>
  <c r="Q60" i="37"/>
  <c r="Q61" i="37"/>
  <c r="Q62" i="37"/>
  <c r="Q63" i="37"/>
  <c r="Q64" i="37"/>
  <c r="Q65" i="37"/>
  <c r="Q66" i="37"/>
  <c r="Q67" i="37"/>
  <c r="Q68" i="37"/>
  <c r="Q69" i="37"/>
  <c r="Q70" i="37"/>
  <c r="Q71" i="37"/>
  <c r="Q72" i="37"/>
  <c r="Q73" i="37"/>
  <c r="Q74" i="37"/>
  <c r="Q75" i="37"/>
  <c r="Q76" i="37"/>
  <c r="Q77" i="37"/>
  <c r="Q78" i="37"/>
  <c r="Q79" i="37"/>
  <c r="Q80" i="37"/>
  <c r="Q81" i="37"/>
  <c r="Q82" i="37"/>
  <c r="Q83" i="37"/>
  <c r="Q84" i="37"/>
  <c r="Q85" i="37"/>
  <c r="Q86" i="37"/>
  <c r="Q87" i="37"/>
  <c r="Q88" i="37"/>
  <c r="Q89" i="37"/>
  <c r="Q90" i="37"/>
  <c r="Q91" i="37"/>
  <c r="Q92" i="37"/>
  <c r="Q93" i="37"/>
  <c r="Q94" i="37"/>
  <c r="Q95" i="37"/>
  <c r="Q96" i="37"/>
  <c r="Q97" i="37"/>
  <c r="Q98" i="37"/>
  <c r="Q99" i="37"/>
  <c r="Q100" i="37"/>
  <c r="Q101" i="37"/>
  <c r="Q102" i="37"/>
  <c r="Q103" i="37"/>
  <c r="Q104" i="37"/>
  <c r="Q105" i="37"/>
  <c r="Q106" i="37"/>
  <c r="Q107" i="37"/>
  <c r="Q108" i="37"/>
  <c r="Q109" i="37"/>
  <c r="Q110" i="37"/>
  <c r="Q111" i="37"/>
  <c r="Q112" i="37"/>
  <c r="Q113" i="37"/>
  <c r="Q114" i="37"/>
  <c r="Q115" i="37"/>
  <c r="Q116" i="37"/>
  <c r="Q117" i="37"/>
  <c r="Q118" i="37"/>
  <c r="Q119" i="37"/>
  <c r="Q120" i="37"/>
  <c r="Q121" i="37"/>
  <c r="Q122" i="37"/>
  <c r="Q123" i="37"/>
  <c r="Q124" i="37"/>
  <c r="Q125" i="37"/>
  <c r="Q126" i="37"/>
  <c r="Q127" i="37"/>
  <c r="Q128" i="37"/>
  <c r="Q129" i="37"/>
  <c r="Q130" i="37"/>
  <c r="Q131" i="37"/>
  <c r="Q132" i="37"/>
  <c r="Q133" i="37"/>
  <c r="Q134" i="37"/>
  <c r="Q135" i="37"/>
  <c r="Q136" i="37"/>
  <c r="Q137" i="37"/>
  <c r="Q138" i="37"/>
  <c r="Q139" i="37"/>
  <c r="Q140" i="37"/>
  <c r="K38" i="37"/>
  <c r="K39" i="37"/>
  <c r="K40" i="37"/>
  <c r="K41" i="37"/>
  <c r="R41" i="37" s="1"/>
  <c r="K42" i="37"/>
  <c r="K43" i="37"/>
  <c r="K44" i="37"/>
  <c r="R44" i="37" s="1"/>
  <c r="K45" i="37"/>
  <c r="K46" i="37"/>
  <c r="K47" i="37"/>
  <c r="K48" i="37"/>
  <c r="R48" i="37" s="1"/>
  <c r="K49" i="37"/>
  <c r="K50" i="37"/>
  <c r="K51" i="37"/>
  <c r="K52" i="37"/>
  <c r="R52" i="37" s="1"/>
  <c r="K53" i="37"/>
  <c r="R53" i="37" s="1"/>
  <c r="K54" i="37"/>
  <c r="K55" i="37"/>
  <c r="K56" i="37"/>
  <c r="K57" i="37"/>
  <c r="R57" i="37" s="1"/>
  <c r="K58" i="37"/>
  <c r="K59" i="37"/>
  <c r="K60" i="37"/>
  <c r="K61" i="37"/>
  <c r="R61" i="37" s="1"/>
  <c r="K62" i="37"/>
  <c r="K63" i="37"/>
  <c r="K64" i="37"/>
  <c r="K65" i="37"/>
  <c r="R65" i="37" s="1"/>
  <c r="K66" i="37"/>
  <c r="K67" i="37"/>
  <c r="K68" i="37"/>
  <c r="K69" i="37"/>
  <c r="R69" i="37" s="1"/>
  <c r="K70" i="37"/>
  <c r="K71" i="37"/>
  <c r="K72" i="37"/>
  <c r="K73" i="37"/>
  <c r="R73" i="37" s="1"/>
  <c r="K74" i="37"/>
  <c r="K75" i="37"/>
  <c r="K76" i="37"/>
  <c r="K77" i="37"/>
  <c r="R77" i="37" s="1"/>
  <c r="K78" i="37"/>
  <c r="K79" i="37"/>
  <c r="K80" i="37"/>
  <c r="K81" i="37"/>
  <c r="K82" i="37"/>
  <c r="K83" i="37"/>
  <c r="K84" i="37"/>
  <c r="K85" i="37"/>
  <c r="R85" i="37" s="1"/>
  <c r="K86" i="37"/>
  <c r="K87" i="37"/>
  <c r="K88" i="37"/>
  <c r="K89" i="37"/>
  <c r="K90" i="37"/>
  <c r="K91" i="37"/>
  <c r="K92" i="37"/>
  <c r="K93" i="37"/>
  <c r="R93" i="37" s="1"/>
  <c r="K94" i="37"/>
  <c r="K95" i="37"/>
  <c r="K96" i="37"/>
  <c r="K97" i="37"/>
  <c r="K98" i="37"/>
  <c r="K99" i="37"/>
  <c r="K100" i="37"/>
  <c r="K101" i="37"/>
  <c r="R101" i="37" s="1"/>
  <c r="K102" i="37"/>
  <c r="K103" i="37"/>
  <c r="K104" i="37"/>
  <c r="K105" i="37"/>
  <c r="R105" i="37" s="1"/>
  <c r="K106" i="37"/>
  <c r="K107" i="37"/>
  <c r="K108" i="37"/>
  <c r="K109" i="37"/>
  <c r="R109" i="37" s="1"/>
  <c r="K110" i="37"/>
  <c r="K111" i="37"/>
  <c r="K112" i="37"/>
  <c r="K113" i="37"/>
  <c r="R113" i="37" s="1"/>
  <c r="K114" i="37"/>
  <c r="K115" i="37"/>
  <c r="K116" i="37"/>
  <c r="K117" i="37"/>
  <c r="R117" i="37" s="1"/>
  <c r="K118" i="37"/>
  <c r="K119" i="37"/>
  <c r="K120" i="37"/>
  <c r="K121" i="37"/>
  <c r="R121" i="37" s="1"/>
  <c r="K122" i="37"/>
  <c r="K123" i="37"/>
  <c r="K124" i="37"/>
  <c r="K125" i="37"/>
  <c r="R125" i="37" s="1"/>
  <c r="K126" i="37"/>
  <c r="K127" i="37"/>
  <c r="K128" i="37"/>
  <c r="K129" i="37"/>
  <c r="K130" i="37"/>
  <c r="K131" i="37"/>
  <c r="K132" i="37"/>
  <c r="K133" i="37"/>
  <c r="R133" i="37" s="1"/>
  <c r="K134" i="37"/>
  <c r="K135" i="37"/>
  <c r="K136" i="37"/>
  <c r="K137" i="37"/>
  <c r="K138" i="37"/>
  <c r="K139" i="37"/>
  <c r="K140" i="37"/>
  <c r="R49" i="38" l="1"/>
  <c r="R45" i="37"/>
  <c r="R92" i="39"/>
  <c r="R84" i="39"/>
  <c r="R80" i="39"/>
  <c r="R76" i="39"/>
  <c r="R72" i="39"/>
  <c r="R68" i="39"/>
  <c r="R91" i="39"/>
  <c r="R87" i="39"/>
  <c r="R83" i="39"/>
  <c r="R79" i="39"/>
  <c r="R75" i="39"/>
  <c r="R71" i="39"/>
  <c r="R67" i="39"/>
  <c r="R63" i="39"/>
  <c r="R47" i="39"/>
  <c r="R47" i="37"/>
  <c r="R39" i="37"/>
  <c r="R61" i="39"/>
  <c r="R101" i="3"/>
  <c r="R89" i="3"/>
  <c r="R69" i="3"/>
  <c r="R68" i="3"/>
  <c r="R67" i="3"/>
  <c r="R66" i="3"/>
  <c r="R135" i="37"/>
  <c r="R127" i="37"/>
  <c r="R123" i="37"/>
  <c r="R119" i="37"/>
  <c r="R115" i="37"/>
  <c r="R111" i="37"/>
  <c r="R103" i="37"/>
  <c r="R95" i="37"/>
  <c r="R91" i="37"/>
  <c r="R87" i="37"/>
  <c r="R83" i="37"/>
  <c r="R79" i="37"/>
  <c r="R75" i="37"/>
  <c r="R71" i="37"/>
  <c r="R67" i="37"/>
  <c r="R63" i="37"/>
  <c r="R59" i="37"/>
  <c r="R55" i="37"/>
  <c r="R117" i="3"/>
  <c r="R63" i="3"/>
  <c r="R38" i="37"/>
  <c r="R53" i="39"/>
  <c r="R43" i="39"/>
  <c r="R66" i="39"/>
  <c r="R62" i="39"/>
  <c r="R56" i="39"/>
  <c r="R120" i="3"/>
  <c r="R118" i="3"/>
  <c r="R59" i="39"/>
  <c r="R57" i="39"/>
  <c r="R55" i="39"/>
  <c r="R141" i="3"/>
  <c r="R129" i="3"/>
  <c r="R123" i="3"/>
  <c r="R121" i="3"/>
  <c r="R119" i="3"/>
  <c r="R45" i="39"/>
  <c r="R65" i="3"/>
  <c r="R51" i="39"/>
  <c r="R50" i="39"/>
  <c r="R49" i="39"/>
  <c r="R48" i="39"/>
  <c r="R41" i="39"/>
  <c r="R39" i="39"/>
  <c r="R38" i="39"/>
  <c r="R103" i="39"/>
  <c r="R101" i="39"/>
  <c r="R100" i="39"/>
  <c r="R99" i="39"/>
  <c r="R97" i="39"/>
  <c r="R52" i="39"/>
  <c r="R42" i="39"/>
  <c r="R81" i="38"/>
  <c r="R153" i="38"/>
  <c r="R150" i="38"/>
  <c r="R149" i="38"/>
  <c r="R147" i="38"/>
  <c r="R146" i="38"/>
  <c r="R145" i="38"/>
  <c r="R143" i="38"/>
  <c r="R142" i="38"/>
  <c r="R141" i="38"/>
  <c r="R139" i="38"/>
  <c r="R138" i="38"/>
  <c r="R137" i="38"/>
  <c r="R135" i="38"/>
  <c r="R134" i="38"/>
  <c r="R133" i="38"/>
  <c r="R129" i="38"/>
  <c r="R127" i="38"/>
  <c r="R126" i="38"/>
  <c r="R125" i="38"/>
  <c r="R123" i="38"/>
  <c r="R122" i="38"/>
  <c r="R121" i="38"/>
  <c r="R119" i="38"/>
  <c r="R117" i="38"/>
  <c r="R115" i="38"/>
  <c r="R113" i="38"/>
  <c r="R111" i="38"/>
  <c r="R110" i="38"/>
  <c r="R109" i="38"/>
  <c r="R107" i="38"/>
  <c r="R106" i="38"/>
  <c r="R105" i="38"/>
  <c r="R103" i="38"/>
  <c r="R102" i="38"/>
  <c r="R101" i="38"/>
  <c r="R99" i="38"/>
  <c r="R98" i="38"/>
  <c r="R97" i="38"/>
  <c r="R95" i="38"/>
  <c r="R93" i="38"/>
  <c r="R91" i="38"/>
  <c r="R90" i="38"/>
  <c r="R89" i="38"/>
  <c r="R87" i="38"/>
  <c r="R85" i="38"/>
  <c r="R83" i="38"/>
  <c r="R82" i="38"/>
  <c r="R79" i="38"/>
  <c r="R78" i="38"/>
  <c r="R77" i="38"/>
  <c r="R75" i="38"/>
  <c r="R74" i="38"/>
  <c r="R73" i="38"/>
  <c r="R71" i="38"/>
  <c r="R70" i="38"/>
  <c r="R69" i="38"/>
  <c r="R65" i="38"/>
  <c r="R61" i="38"/>
  <c r="R59" i="38"/>
  <c r="R58" i="38"/>
  <c r="R57" i="38"/>
  <c r="R55" i="38"/>
  <c r="R54" i="38"/>
  <c r="R53" i="38"/>
  <c r="R50" i="38"/>
  <c r="R140" i="37"/>
  <c r="R136" i="37"/>
  <c r="R132" i="37"/>
  <c r="R124" i="37"/>
  <c r="R116" i="37"/>
  <c r="R108" i="37"/>
  <c r="R100" i="37"/>
  <c r="R92" i="37"/>
  <c r="R84" i="37"/>
  <c r="R76" i="37"/>
  <c r="R68" i="37"/>
  <c r="R60" i="37"/>
  <c r="R128" i="37"/>
  <c r="R82" i="37"/>
  <c r="R74" i="37"/>
  <c r="R66" i="37"/>
  <c r="R64" i="37"/>
  <c r="R58" i="37"/>
  <c r="R139" i="37"/>
  <c r="R137" i="37"/>
  <c r="R51" i="37"/>
  <c r="R138" i="37"/>
  <c r="R50" i="37"/>
  <c r="R145" i="3"/>
  <c r="R143" i="3"/>
  <c r="R107" i="3"/>
  <c r="R105" i="3"/>
  <c r="R104" i="3"/>
  <c r="R103" i="3"/>
  <c r="R102" i="3"/>
  <c r="R41" i="3"/>
  <c r="R39" i="3"/>
  <c r="R147" i="3"/>
  <c r="R131" i="3"/>
  <c r="R109" i="3"/>
  <c r="R91" i="3"/>
  <c r="R54" i="3"/>
  <c r="R53" i="3"/>
  <c r="R52" i="3"/>
  <c r="R51" i="3"/>
  <c r="R49" i="3"/>
  <c r="R43" i="3"/>
  <c r="R134" i="37"/>
  <c r="R131" i="37"/>
  <c r="R130" i="37"/>
  <c r="R129" i="37"/>
  <c r="R104" i="39"/>
  <c r="R102" i="39"/>
  <c r="R98" i="39"/>
  <c r="R96" i="39"/>
  <c r="R94" i="39"/>
  <c r="R88" i="39"/>
  <c r="R86" i="39"/>
  <c r="R82" i="39"/>
  <c r="R70" i="39"/>
  <c r="R64" i="39"/>
  <c r="R60" i="39"/>
  <c r="R58" i="39"/>
  <c r="R54" i="39"/>
  <c r="R46" i="39"/>
  <c r="R44" i="39"/>
  <c r="R40" i="39"/>
  <c r="R151" i="38"/>
  <c r="R131" i="38"/>
  <c r="R130" i="38"/>
  <c r="R118" i="38"/>
  <c r="R114" i="38"/>
  <c r="R94" i="38"/>
  <c r="R86" i="38"/>
  <c r="R67" i="38"/>
  <c r="R66" i="38"/>
  <c r="R63" i="38"/>
  <c r="R62" i="38"/>
  <c r="R51" i="38"/>
  <c r="R152" i="38"/>
  <c r="R148" i="38"/>
  <c r="R144" i="38"/>
  <c r="R140" i="38"/>
  <c r="R136" i="38"/>
  <c r="R132" i="38"/>
  <c r="R128" i="38"/>
  <c r="R124" i="38"/>
  <c r="R120" i="38"/>
  <c r="R116" i="38"/>
  <c r="R112" i="38"/>
  <c r="R108" i="38"/>
  <c r="R104" i="38"/>
  <c r="R100" i="38"/>
  <c r="R96" i="38"/>
  <c r="R92" i="38"/>
  <c r="R88" i="38"/>
  <c r="R84" i="38"/>
  <c r="R80" i="38"/>
  <c r="R76" i="38"/>
  <c r="R72" i="38"/>
  <c r="R68" i="38"/>
  <c r="R64" i="38"/>
  <c r="R60" i="38"/>
  <c r="R56" i="38"/>
  <c r="R52" i="38"/>
  <c r="R139" i="3"/>
  <c r="R138" i="3"/>
  <c r="R137" i="3"/>
  <c r="R136" i="3"/>
  <c r="R135" i="3"/>
  <c r="R133" i="3"/>
  <c r="R132" i="3"/>
  <c r="R127" i="3"/>
  <c r="R125" i="3"/>
  <c r="R116" i="3"/>
  <c r="R115" i="3"/>
  <c r="R114" i="3"/>
  <c r="R113" i="3"/>
  <c r="R112" i="3"/>
  <c r="R111" i="3"/>
  <c r="R110" i="3"/>
  <c r="R106" i="3"/>
  <c r="R99" i="3"/>
  <c r="R97" i="3"/>
  <c r="R96" i="3"/>
  <c r="R95" i="3"/>
  <c r="R94" i="3"/>
  <c r="R93" i="3"/>
  <c r="R88" i="3"/>
  <c r="R87" i="3"/>
  <c r="R85" i="3"/>
  <c r="R83" i="3"/>
  <c r="R82" i="3"/>
  <c r="R81" i="3"/>
  <c r="R80" i="3"/>
  <c r="R79" i="3"/>
  <c r="R78" i="3"/>
  <c r="R77" i="3"/>
  <c r="R76" i="3"/>
  <c r="R75" i="3"/>
  <c r="R74" i="3"/>
  <c r="R73" i="3"/>
  <c r="R72" i="3"/>
  <c r="R71" i="3"/>
  <c r="R70" i="3"/>
  <c r="R62" i="3"/>
  <c r="R61" i="3"/>
  <c r="R59" i="3"/>
  <c r="R58" i="3"/>
  <c r="R57" i="3"/>
  <c r="R56" i="3"/>
  <c r="R55" i="3"/>
  <c r="R48" i="3"/>
  <c r="R47" i="3"/>
  <c r="R45" i="3"/>
  <c r="R44" i="3"/>
  <c r="R40" i="3"/>
  <c r="R126" i="37"/>
  <c r="R122" i="37"/>
  <c r="R120" i="37"/>
  <c r="R118" i="37"/>
  <c r="R114" i="37"/>
  <c r="R112" i="37"/>
  <c r="R110" i="37"/>
  <c r="R107" i="37"/>
  <c r="R106" i="37"/>
  <c r="R104" i="37"/>
  <c r="R102" i="37"/>
  <c r="R99" i="37"/>
  <c r="R98" i="37"/>
  <c r="R97" i="37"/>
  <c r="R96" i="37"/>
  <c r="R94" i="37"/>
  <c r="R90" i="37"/>
  <c r="R89" i="37"/>
  <c r="R88" i="37"/>
  <c r="R86" i="37"/>
  <c r="R81" i="37"/>
  <c r="R80" i="37"/>
  <c r="R78" i="37"/>
  <c r="R72" i="37"/>
  <c r="R70" i="37"/>
  <c r="R62" i="37"/>
  <c r="R56" i="37"/>
  <c r="R54" i="37"/>
  <c r="R49" i="37"/>
  <c r="R46" i="37"/>
  <c r="R43" i="37"/>
  <c r="R42" i="37"/>
  <c r="R40" i="37"/>
  <c r="R148" i="3"/>
  <c r="R146" i="3"/>
  <c r="R144" i="3"/>
  <c r="R142" i="3"/>
  <c r="R140" i="3"/>
  <c r="R134" i="3"/>
  <c r="R130" i="3"/>
  <c r="R128" i="3"/>
  <c r="R126" i="3"/>
  <c r="R124" i="3"/>
  <c r="R122" i="3"/>
  <c r="R108" i="3"/>
  <c r="R100" i="3"/>
  <c r="R98" i="3"/>
  <c r="R92" i="3"/>
  <c r="R90" i="3"/>
  <c r="R86" i="3"/>
  <c r="R84" i="3"/>
  <c r="R64" i="3"/>
  <c r="R60" i="3"/>
  <c r="R50" i="3"/>
  <c r="R46" i="3"/>
  <c r="R42" i="3"/>
  <c r="R38" i="3"/>
  <c r="AB4" i="38"/>
  <c r="AB4" i="39" s="1"/>
  <c r="Z4" i="38"/>
  <c r="Z4" i="39" s="1"/>
  <c r="W4" i="38"/>
  <c r="W4" i="39" s="1"/>
  <c r="F4" i="38"/>
  <c r="F4" i="39" s="1"/>
  <c r="Q37" i="39"/>
  <c r="K37" i="39"/>
  <c r="Q36" i="39"/>
  <c r="K36" i="39"/>
  <c r="Q35" i="39"/>
  <c r="K35" i="39"/>
  <c r="Q34" i="39"/>
  <c r="K34" i="39"/>
  <c r="Q33" i="39"/>
  <c r="K33" i="39"/>
  <c r="Q32" i="39"/>
  <c r="K32" i="39"/>
  <c r="Q31" i="39"/>
  <c r="K31" i="39"/>
  <c r="Q30" i="39"/>
  <c r="K30" i="39"/>
  <c r="Q29" i="39"/>
  <c r="K29" i="39"/>
  <c r="Q28" i="39"/>
  <c r="K28" i="39"/>
  <c r="Q27" i="39"/>
  <c r="K27" i="39"/>
  <c r="Q26" i="39"/>
  <c r="K26" i="39"/>
  <c r="Q25" i="39"/>
  <c r="K25" i="39"/>
  <c r="Q24" i="39"/>
  <c r="K24" i="39"/>
  <c r="Q23" i="39"/>
  <c r="K23" i="39"/>
  <c r="Q22" i="39"/>
  <c r="K22" i="39"/>
  <c r="Q21" i="39"/>
  <c r="K21" i="39"/>
  <c r="Q20" i="39"/>
  <c r="K20" i="39"/>
  <c r="Q19" i="39"/>
  <c r="K19" i="39"/>
  <c r="Q18" i="39"/>
  <c r="K18" i="39"/>
  <c r="Q17" i="39"/>
  <c r="K17" i="39"/>
  <c r="Q16" i="39"/>
  <c r="K16" i="39"/>
  <c r="Q15" i="39"/>
  <c r="K15" i="39"/>
  <c r="Q14" i="39"/>
  <c r="K14" i="39"/>
  <c r="Q13" i="39"/>
  <c r="K13" i="39"/>
  <c r="Q12" i="39"/>
  <c r="K12" i="39"/>
  <c r="Q11" i="39"/>
  <c r="K11" i="39"/>
  <c r="Q10" i="39"/>
  <c r="K10" i="39"/>
  <c r="Q9" i="39"/>
  <c r="K9" i="39"/>
  <c r="C4" i="39"/>
  <c r="AB4" i="37"/>
  <c r="Z4" i="37"/>
  <c r="W4" i="37"/>
  <c r="F4" i="37"/>
  <c r="C4" i="37"/>
  <c r="Q37" i="37"/>
  <c r="K37" i="37"/>
  <c r="Q36" i="37"/>
  <c r="K36" i="37"/>
  <c r="Q35" i="37"/>
  <c r="K35" i="37"/>
  <c r="Q34" i="37"/>
  <c r="K34" i="37"/>
  <c r="Q33" i="37"/>
  <c r="K33" i="37"/>
  <c r="Q32" i="37"/>
  <c r="K32" i="37"/>
  <c r="Q31" i="37"/>
  <c r="K31" i="37"/>
  <c r="Q30" i="37"/>
  <c r="K30" i="37"/>
  <c r="Q29" i="37"/>
  <c r="K29" i="37"/>
  <c r="Q28" i="37"/>
  <c r="K28" i="37"/>
  <c r="Q27" i="37"/>
  <c r="K27" i="37"/>
  <c r="Q26" i="37"/>
  <c r="K26" i="37"/>
  <c r="Q25" i="37"/>
  <c r="K25" i="37"/>
  <c r="Q24" i="37"/>
  <c r="K24" i="37"/>
  <c r="Q23" i="37"/>
  <c r="K23" i="37"/>
  <c r="Q22" i="37"/>
  <c r="K22" i="37"/>
  <c r="Q21" i="37"/>
  <c r="K21" i="37"/>
  <c r="Q20" i="37"/>
  <c r="K20" i="37"/>
  <c r="Q19" i="37"/>
  <c r="K19" i="37"/>
  <c r="Q18" i="37"/>
  <c r="K18" i="37"/>
  <c r="Q17" i="37"/>
  <c r="K17" i="37"/>
  <c r="Q16" i="37"/>
  <c r="K16" i="37"/>
  <c r="Q15" i="37"/>
  <c r="K15" i="37"/>
  <c r="Q14" i="37"/>
  <c r="K14" i="37"/>
  <c r="Q13" i="37"/>
  <c r="K13" i="37"/>
  <c r="Q12" i="37"/>
  <c r="K12" i="37"/>
  <c r="Q11" i="37"/>
  <c r="K11" i="37"/>
  <c r="Q10" i="37"/>
  <c r="K10" i="37"/>
  <c r="Q9" i="37"/>
  <c r="K9" i="37"/>
  <c r="Q10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3" i="3"/>
  <c r="Q34" i="3"/>
  <c r="Q35" i="3"/>
  <c r="Q36" i="3"/>
  <c r="Q37" i="3"/>
  <c r="Q9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9" i="3"/>
  <c r="K10" i="3"/>
  <c r="Q11" i="3"/>
  <c r="R22" i="39" l="1"/>
  <c r="R34" i="39"/>
  <c r="R32" i="39"/>
  <c r="R30" i="39"/>
  <c r="R28" i="39"/>
  <c r="R26" i="39"/>
  <c r="R24" i="39"/>
  <c r="R20" i="39"/>
  <c r="R18" i="39"/>
  <c r="R16" i="39"/>
  <c r="R14" i="39"/>
  <c r="R12" i="39"/>
  <c r="R10" i="39"/>
  <c r="R37" i="37"/>
  <c r="R33" i="37"/>
  <c r="R31" i="37"/>
  <c r="R29" i="37"/>
  <c r="R27" i="37"/>
  <c r="R25" i="37"/>
  <c r="R9" i="39"/>
  <c r="R11" i="39"/>
  <c r="R13" i="39"/>
  <c r="R15" i="39"/>
  <c r="R17" i="39"/>
  <c r="R19" i="39"/>
  <c r="R21" i="39"/>
  <c r="R23" i="39"/>
  <c r="R25" i="39"/>
  <c r="R27" i="39"/>
  <c r="R29" i="39"/>
  <c r="R31" i="39"/>
  <c r="R33" i="39"/>
  <c r="R35" i="39"/>
  <c r="R37" i="39"/>
  <c r="R26" i="37"/>
  <c r="R28" i="37"/>
  <c r="R30" i="37"/>
  <c r="R32" i="37"/>
  <c r="R36" i="37"/>
  <c r="R36" i="39"/>
  <c r="R34" i="37"/>
  <c r="R35" i="37"/>
  <c r="R10" i="37"/>
  <c r="R11" i="37"/>
  <c r="R14" i="37"/>
  <c r="R15" i="37"/>
  <c r="R17" i="37"/>
  <c r="R19" i="37"/>
  <c r="R21" i="37"/>
  <c r="R24" i="37"/>
  <c r="R9" i="37"/>
  <c r="R12" i="37"/>
  <c r="R13" i="37"/>
  <c r="R16" i="37"/>
  <c r="R18" i="37"/>
  <c r="R20" i="37"/>
  <c r="R22" i="37"/>
  <c r="R23" i="37"/>
  <c r="R33" i="3"/>
  <c r="R25" i="3"/>
  <c r="R37" i="3"/>
  <c r="R35" i="3"/>
  <c r="R31" i="3"/>
  <c r="R29" i="3"/>
  <c r="R27" i="3"/>
  <c r="R23" i="3"/>
  <c r="R19" i="3"/>
  <c r="R17" i="3"/>
  <c r="R15" i="3"/>
  <c r="R13" i="3"/>
  <c r="R11" i="3"/>
  <c r="R21" i="3"/>
  <c r="R34" i="3"/>
  <c r="R30" i="3"/>
  <c r="R26" i="3"/>
  <c r="R22" i="3"/>
  <c r="R18" i="3"/>
  <c r="R14" i="3"/>
  <c r="R10" i="3"/>
  <c r="R36" i="3"/>
  <c r="R32" i="3"/>
  <c r="R28" i="3"/>
  <c r="R24" i="3"/>
  <c r="R20" i="3"/>
  <c r="R16" i="3"/>
  <c r="R12" i="3"/>
  <c r="R9" i="3"/>
  <c r="C25" i="41" l="1"/>
  <c r="D25" i="41" s="1"/>
  <c r="C24" i="41"/>
  <c r="C27" i="41"/>
  <c r="D27" i="41" s="1"/>
  <c r="C26" i="41"/>
  <c r="D26" i="41" s="1"/>
  <c r="C28" i="41" l="1"/>
  <c r="D28" i="41" s="1"/>
  <c r="D24" i="41"/>
</calcChain>
</file>

<file path=xl/sharedStrings.xml><?xml version="1.0" encoding="utf-8"?>
<sst xmlns="http://schemas.openxmlformats.org/spreadsheetml/2006/main" count="12846" uniqueCount="2975">
  <si>
    <t>Feasibility Study and Detailed Design of Kampala - Jinja Highway</t>
  </si>
  <si>
    <t>Roadside OD Interview Survey</t>
  </si>
  <si>
    <t>Date:</t>
  </si>
  <si>
    <t>Interviewer:</t>
  </si>
  <si>
    <t>Survey Station:</t>
  </si>
  <si>
    <t>Direction:</t>
  </si>
  <si>
    <t>Coded By:</t>
  </si>
  <si>
    <t>Chkd By:</t>
  </si>
  <si>
    <t>Time Period</t>
  </si>
  <si>
    <t>Veh_Type</t>
  </si>
  <si>
    <t>Veh_Other</t>
  </si>
  <si>
    <t>Occupancy</t>
  </si>
  <si>
    <t>Origin_Address</t>
  </si>
  <si>
    <t>Village/Town</t>
  </si>
  <si>
    <t>City/Country</t>
  </si>
  <si>
    <t>Origin_Purpose</t>
  </si>
  <si>
    <t>Origin_other</t>
  </si>
  <si>
    <t>Destination_Address</t>
  </si>
  <si>
    <t>Destination_Purpose</t>
  </si>
  <si>
    <t>Destination_Other</t>
  </si>
  <si>
    <t>Origin_Zone</t>
  </si>
  <si>
    <t>Dest_Zone</t>
  </si>
  <si>
    <t>AM</t>
  </si>
  <si>
    <t>Bukoto</t>
  </si>
  <si>
    <t>Kla, Ug</t>
  </si>
  <si>
    <t>Kla</t>
  </si>
  <si>
    <t>Blank</t>
  </si>
  <si>
    <t>WTP</t>
  </si>
  <si>
    <t>Bweyogerere</t>
  </si>
  <si>
    <t>Bweyogerere-Kireka</t>
  </si>
  <si>
    <t>Entebbe</t>
  </si>
  <si>
    <t>Kiwanga</t>
  </si>
  <si>
    <t>Yes</t>
  </si>
  <si>
    <t>Vehicle Type</t>
  </si>
  <si>
    <t>Time</t>
  </si>
  <si>
    <t>No. Occupants</t>
  </si>
  <si>
    <t>Kasese</t>
  </si>
  <si>
    <t>Bwera</t>
  </si>
  <si>
    <t>Bushenyi</t>
  </si>
  <si>
    <t>Masaka</t>
  </si>
  <si>
    <t>Rukungiri</t>
  </si>
  <si>
    <t>Sheema</t>
  </si>
  <si>
    <t>Rwanda</t>
  </si>
  <si>
    <t>Ibanda</t>
  </si>
  <si>
    <t>Kamwenge</t>
  </si>
  <si>
    <t>Mitooma</t>
  </si>
  <si>
    <t>Ntungamo</t>
  </si>
  <si>
    <t>Isingiro</t>
  </si>
  <si>
    <t>Bunyaruguru</t>
  </si>
  <si>
    <t>Kenya</t>
  </si>
  <si>
    <t>Kyamuhunga</t>
  </si>
  <si>
    <t>Kichwamba</t>
  </si>
  <si>
    <t>Tanzania</t>
  </si>
  <si>
    <t>Kisenyi</t>
  </si>
  <si>
    <t>DRC</t>
  </si>
  <si>
    <t>Ishasha</t>
  </si>
  <si>
    <t>Rubaare</t>
  </si>
  <si>
    <t>Veh_Reg_No.</t>
  </si>
  <si>
    <t>District</t>
  </si>
  <si>
    <t>Country</t>
  </si>
  <si>
    <t>Origin_Establish</t>
  </si>
  <si>
    <t>Destination_Establish</t>
  </si>
  <si>
    <t>Trip_Frequency</t>
  </si>
  <si>
    <t>Goods_Type</t>
  </si>
  <si>
    <t>Would You Use Xpressways?</t>
  </si>
  <si>
    <t>GOODS VEHICLES ONLY</t>
  </si>
  <si>
    <t>Road Name:</t>
  </si>
  <si>
    <t>Direction From:</t>
  </si>
  <si>
    <t>Direction To:</t>
  </si>
  <si>
    <t>Interviewers:</t>
  </si>
  <si>
    <t>Supervisor:</t>
  </si>
  <si>
    <t>Village or Town</t>
  </si>
  <si>
    <t>Car</t>
  </si>
  <si>
    <t>Station Wagon</t>
  </si>
  <si>
    <t>Pickups</t>
  </si>
  <si>
    <t>Minibus, matatu</t>
  </si>
  <si>
    <t xml:space="preserve">Medium bus </t>
  </si>
  <si>
    <t>Large Bus</t>
  </si>
  <si>
    <t xml:space="preserve">Light Truck </t>
  </si>
  <si>
    <t xml:space="preserve">Medium Truck </t>
  </si>
  <si>
    <t xml:space="preserve">Heavy truck </t>
  </si>
  <si>
    <t xml:space="preserve">Truck Trailer </t>
  </si>
  <si>
    <t>Tractors</t>
  </si>
  <si>
    <t>Motor cycles</t>
  </si>
  <si>
    <t>Establishment Type</t>
  </si>
  <si>
    <t xml:space="preserve">Residential </t>
  </si>
  <si>
    <t>Office</t>
  </si>
  <si>
    <t>Factory</t>
  </si>
  <si>
    <t>Educational Facility</t>
  </si>
  <si>
    <t>Hospital</t>
  </si>
  <si>
    <t>Bus / Taxi Park</t>
  </si>
  <si>
    <t>Wholesale shopping</t>
  </si>
  <si>
    <t>Boda boda stage</t>
  </si>
  <si>
    <t>Farm</t>
  </si>
  <si>
    <t>Construction Site</t>
  </si>
  <si>
    <t>Retail Shop/Market</t>
  </si>
  <si>
    <t>Warehouse</t>
  </si>
  <si>
    <t>Harbour</t>
  </si>
  <si>
    <t>Timber Centre</t>
  </si>
  <si>
    <t>Quarry</t>
  </si>
  <si>
    <t>Others (to be specified)</t>
  </si>
  <si>
    <t>Origin / Destination Purpose</t>
  </si>
  <si>
    <t>Home</t>
  </si>
  <si>
    <t>Work</t>
  </si>
  <si>
    <t>Study</t>
  </si>
  <si>
    <t>Commercial</t>
  </si>
  <si>
    <t>Tourism</t>
  </si>
  <si>
    <t>Leisure/Social</t>
  </si>
  <si>
    <t>Others</t>
  </si>
  <si>
    <t>Trip Frequency</t>
  </si>
  <si>
    <t>more than 2 times every day</t>
  </si>
  <si>
    <t>Daily (Up and Down)</t>
  </si>
  <si>
    <t>2/3 times a week</t>
  </si>
  <si>
    <t>Once a week</t>
  </si>
  <si>
    <t>Once a month</t>
  </si>
  <si>
    <t>Once in a while</t>
  </si>
  <si>
    <t>Goods Type</t>
  </si>
  <si>
    <t>Food crop (Maize,rice,wheat etc)</t>
  </si>
  <si>
    <t>Cash Crops (coffee,tea etc)</t>
  </si>
  <si>
    <t>Perishable (fish,milk,tea etc)</t>
  </si>
  <si>
    <t>Construction Material (cement,
gravel,stones,gravel,pipes)</t>
  </si>
  <si>
    <t>Metal/machinery</t>
  </si>
  <si>
    <t>Forestry products (timber &amp; charcoal)</t>
  </si>
  <si>
    <t>Fuels (any petroleum products)</t>
  </si>
  <si>
    <t>Chemical Products (fertilizer,paints)</t>
  </si>
  <si>
    <t>Livestock (cows,goats,camel etc)</t>
  </si>
  <si>
    <t>Household retail products 
(beverage,oil,sugar,salt,flour)</t>
  </si>
  <si>
    <t>Empty</t>
  </si>
  <si>
    <t>Others (Pl specify)</t>
  </si>
  <si>
    <t>Consultancy services for Preparation of Expressway Development Master Plan (EDMP) for Uganda</t>
  </si>
  <si>
    <t>Origin-Purpose Desc</t>
  </si>
  <si>
    <t>Destination_Purpose Desc</t>
  </si>
  <si>
    <t>Journey_Purpose</t>
  </si>
  <si>
    <t>Approx_Journey Time (Hrs)</t>
  </si>
  <si>
    <t>Approx_Distance (Km)</t>
  </si>
  <si>
    <t>Goods_Quantity (Ton)</t>
  </si>
  <si>
    <t>Goods_Value (UGXm)</t>
  </si>
  <si>
    <t>Pay How Much? (UGX)</t>
  </si>
  <si>
    <t>Vehicle Types</t>
  </si>
  <si>
    <t>Journey Purpose</t>
  </si>
  <si>
    <t>Home-Work</t>
  </si>
  <si>
    <t>Home-Study</t>
  </si>
  <si>
    <t>Work-Home</t>
  </si>
  <si>
    <t>Work-Work</t>
  </si>
  <si>
    <t>Total</t>
  </si>
  <si>
    <t>Expressway Use</t>
  </si>
  <si>
    <t>No</t>
  </si>
  <si>
    <t>11.10.19</t>
  </si>
  <si>
    <t>BUDO ROAD</t>
  </si>
  <si>
    <t xml:space="preserve">BUDO </t>
  </si>
  <si>
    <t>KITEMU</t>
  </si>
  <si>
    <t>MASINDE DENIS</t>
  </si>
  <si>
    <t>FLORENCE</t>
  </si>
  <si>
    <t>DAVID</t>
  </si>
  <si>
    <t>UAR 569K</t>
  </si>
  <si>
    <t>KIVU</t>
  </si>
  <si>
    <t>WAKISO</t>
  </si>
  <si>
    <t>UGA</t>
  </si>
  <si>
    <t>Y</t>
  </si>
  <si>
    <t>UAN 230V</t>
  </si>
  <si>
    <t>KISOZI</t>
  </si>
  <si>
    <t>UAV 413Y</t>
  </si>
  <si>
    <t>NSANGI</t>
  </si>
  <si>
    <t>UAZ 102R</t>
  </si>
  <si>
    <t>KYENGERA</t>
  </si>
  <si>
    <t>UAK 278H</t>
  </si>
  <si>
    <t>MAYA</t>
  </si>
  <si>
    <t>UAM 951M</t>
  </si>
  <si>
    <t>UAH 181W</t>
  </si>
  <si>
    <t>UAW 890Y</t>
  </si>
  <si>
    <t>UAV 367A</t>
  </si>
  <si>
    <t>UAR 403A</t>
  </si>
  <si>
    <t>UAP 133Q</t>
  </si>
  <si>
    <t>UAS 790P</t>
  </si>
  <si>
    <t>UAP 213K</t>
  </si>
  <si>
    <t>UAH 825V</t>
  </si>
  <si>
    <t>UAV 940V</t>
  </si>
  <si>
    <t>KATENDE</t>
  </si>
  <si>
    <t>UAX 625M</t>
  </si>
  <si>
    <t>KIBEJJA</t>
  </si>
  <si>
    <t>UAP 230J</t>
  </si>
  <si>
    <t>UAP 203R</t>
  </si>
  <si>
    <t>UAJ 208H</t>
  </si>
  <si>
    <t>UAB 906V</t>
  </si>
  <si>
    <t>UAS 941F</t>
  </si>
  <si>
    <t>UBE 579X</t>
  </si>
  <si>
    <t>GAYAZA ROAD</t>
  </si>
  <si>
    <t>KAMPALA</t>
  </si>
  <si>
    <t>GAYAZA</t>
  </si>
  <si>
    <t>UAU 398L</t>
  </si>
  <si>
    <t>UBF 172F</t>
  </si>
  <si>
    <t>UAR 926A</t>
  </si>
  <si>
    <t>UAZ 181N</t>
  </si>
  <si>
    <t>UAW 609Q</t>
  </si>
  <si>
    <t>NABINGO</t>
  </si>
  <si>
    <t>UAV193V</t>
  </si>
  <si>
    <t>NDEJJE</t>
  </si>
  <si>
    <t>MASAKA</t>
  </si>
  <si>
    <t>UBE 808F</t>
  </si>
  <si>
    <t>UAM 048J</t>
  </si>
  <si>
    <t>UAV 770X</t>
  </si>
  <si>
    <t>GOMBA</t>
  </si>
  <si>
    <t>UAN 462Z</t>
  </si>
  <si>
    <t>UBB 410B</t>
  </si>
  <si>
    <t>KAJJANSI</t>
  </si>
  <si>
    <t>UAT 389L</t>
  </si>
  <si>
    <t>UAR 842A</t>
  </si>
  <si>
    <t>BUDDO</t>
  </si>
  <si>
    <t>UAV 205M</t>
  </si>
  <si>
    <t>UAS 953S</t>
  </si>
  <si>
    <t>UBB 641K</t>
  </si>
  <si>
    <t>UAP 372A</t>
  </si>
  <si>
    <t>UAN 678A</t>
  </si>
  <si>
    <t>UAT 588J</t>
  </si>
  <si>
    <t>UBB 913E</t>
  </si>
  <si>
    <t>ENTEBBE</t>
  </si>
  <si>
    <t>NAMAGOMA</t>
  </si>
  <si>
    <t>UAM 447M</t>
  </si>
  <si>
    <t>UAU 112M</t>
  </si>
  <si>
    <t>UAK 628B</t>
  </si>
  <si>
    <t>NICAN RESORT</t>
  </si>
  <si>
    <t>UBD 819Z</t>
  </si>
  <si>
    <t>NAKILEBE</t>
  </si>
  <si>
    <t>UBD 868K</t>
  </si>
  <si>
    <t>MPIGI</t>
  </si>
  <si>
    <t>UAK 249J</t>
  </si>
  <si>
    <t>NAGALABE</t>
  </si>
  <si>
    <t>SSEBABULE</t>
  </si>
  <si>
    <t>UAZ 564K</t>
  </si>
  <si>
    <t>UBA 965D</t>
  </si>
  <si>
    <t>UAT 600D</t>
  </si>
  <si>
    <t>UAJ 813D</t>
  </si>
  <si>
    <t>MENGO</t>
  </si>
  <si>
    <t>UBA 437L</t>
  </si>
  <si>
    <t>UAZ 671L</t>
  </si>
  <si>
    <t>UAW 186K</t>
  </si>
  <si>
    <t>UAT 034E</t>
  </si>
  <si>
    <t>UAT 686N</t>
  </si>
  <si>
    <t>ZZANA</t>
  </si>
  <si>
    <t>UAQ 391G</t>
  </si>
  <si>
    <t>UAT 341V</t>
  </si>
  <si>
    <t>UBF 875F</t>
  </si>
  <si>
    <t>UAK 035Q</t>
  </si>
  <si>
    <t>UBE 131S</t>
  </si>
  <si>
    <t>UAN 393F</t>
  </si>
  <si>
    <t>NDEEBA</t>
  </si>
  <si>
    <t>UAK 269K</t>
  </si>
  <si>
    <t>NATEETE</t>
  </si>
  <si>
    <t>BULOBA</t>
  </si>
  <si>
    <t>UAE 977R</t>
  </si>
  <si>
    <t>KASENGE</t>
  </si>
  <si>
    <t>UAU 907B</t>
  </si>
  <si>
    <t>UAT 530U</t>
  </si>
  <si>
    <t>UAQ 085K</t>
  </si>
  <si>
    <t>UAZ 766W</t>
  </si>
  <si>
    <t>UAG 292N</t>
  </si>
  <si>
    <t>UBB 080D</t>
  </si>
  <si>
    <t>UBA 433A</t>
  </si>
  <si>
    <t>UAW 131A</t>
  </si>
  <si>
    <t>MATUGA</t>
  </si>
  <si>
    <t>UAX 772Y</t>
  </si>
  <si>
    <t>UAP 997M</t>
  </si>
  <si>
    <t>UAK 471P</t>
  </si>
  <si>
    <t>BURO</t>
  </si>
  <si>
    <t>UBA 363S</t>
  </si>
  <si>
    <t>UAW 437X</t>
  </si>
  <si>
    <t>UBD 605B</t>
  </si>
  <si>
    <t>UAR 312P</t>
  </si>
  <si>
    <t>UAU 867R</t>
  </si>
  <si>
    <t>UAL 286J</t>
  </si>
  <si>
    <t>UAT 947E</t>
  </si>
  <si>
    <t>UAW 696T</t>
  </si>
  <si>
    <t>UAX 318R</t>
  </si>
  <si>
    <t>UBC 712E</t>
  </si>
  <si>
    <t>UAR 567G</t>
  </si>
  <si>
    <t>UAL 432K</t>
  </si>
  <si>
    <t>UAW 628E</t>
  </si>
  <si>
    <t>UAP 155H</t>
  </si>
  <si>
    <t>UES 443N</t>
  </si>
  <si>
    <t>UAN 674D</t>
  </si>
  <si>
    <t>UAY 343P</t>
  </si>
  <si>
    <t>UAZ 475Y</t>
  </si>
  <si>
    <t>UBF 247S</t>
  </si>
  <si>
    <t>UAU 227S</t>
  </si>
  <si>
    <t>UAT 325K</t>
  </si>
  <si>
    <t>UAR 457N</t>
  </si>
  <si>
    <t>UAN 540F</t>
  </si>
  <si>
    <t>WAWOKOTTA</t>
  </si>
  <si>
    <t>UDW 332N</t>
  </si>
  <si>
    <t>UAT 303V</t>
  </si>
  <si>
    <t>UAG 0730Z</t>
  </si>
  <si>
    <t>UAM  371L</t>
  </si>
  <si>
    <t>UDS 9533S</t>
  </si>
  <si>
    <t>UEL 608B</t>
  </si>
  <si>
    <t>UEE 833T</t>
  </si>
  <si>
    <t>UDF 782M</t>
  </si>
  <si>
    <t>UBD 207J</t>
  </si>
  <si>
    <t>UDD 667N</t>
  </si>
  <si>
    <t>UAL 045K</t>
  </si>
  <si>
    <t>UES 775J</t>
  </si>
  <si>
    <t>UAS 452G</t>
  </si>
  <si>
    <t>KISENYI</t>
  </si>
  <si>
    <t>UDD 336N</t>
  </si>
  <si>
    <t>UET 039J</t>
  </si>
  <si>
    <t>UEJ 225Q</t>
  </si>
  <si>
    <t>KIBUYE</t>
  </si>
  <si>
    <t>UBF 046K</t>
  </si>
  <si>
    <t>UBB 670D</t>
  </si>
  <si>
    <t>KINAWA</t>
  </si>
  <si>
    <t>UAV 633U</t>
  </si>
  <si>
    <t>UAW 225R</t>
  </si>
  <si>
    <t>UES 119T</t>
  </si>
  <si>
    <t>UDD 381L</t>
  </si>
  <si>
    <t>UAV 722M</t>
  </si>
  <si>
    <t>UEN 768B</t>
  </si>
  <si>
    <t>UET 216H</t>
  </si>
  <si>
    <t>UBT 706K</t>
  </si>
  <si>
    <t>UEL 086F</t>
  </si>
  <si>
    <t>UAK 114Y</t>
  </si>
  <si>
    <t>UAU 379T</t>
  </si>
  <si>
    <t>UAU 349C</t>
  </si>
  <si>
    <t>UAJ 788N</t>
  </si>
  <si>
    <t>UET 922M</t>
  </si>
  <si>
    <t>UEJ 520N</t>
  </si>
  <si>
    <t>UAT 099K</t>
  </si>
  <si>
    <t>UAT 754K</t>
  </si>
  <si>
    <t>UEE 331K</t>
  </si>
  <si>
    <t>UAP 467J</t>
  </si>
  <si>
    <t>UAP 617N</t>
  </si>
  <si>
    <t>UAK 328W</t>
  </si>
  <si>
    <t>UAX 109X</t>
  </si>
  <si>
    <t>UAP 700B</t>
  </si>
  <si>
    <t>UAM 780X</t>
  </si>
  <si>
    <t>KIMBEJJA</t>
  </si>
  <si>
    <t>UAH 648U</t>
  </si>
  <si>
    <t>UAS 954T</t>
  </si>
  <si>
    <t>UAW 283W</t>
  </si>
  <si>
    <t>MUTUKULA</t>
  </si>
  <si>
    <t>UAQ 301U</t>
  </si>
  <si>
    <t>BUSEGA</t>
  </si>
  <si>
    <t>UBF 278K</t>
  </si>
  <si>
    <t>UAT 423T</t>
  </si>
  <si>
    <t>MAKINDYE</t>
  </si>
  <si>
    <t>UAW 517B</t>
  </si>
  <si>
    <t>KAMENGO</t>
  </si>
  <si>
    <t>KALUNGU</t>
  </si>
  <si>
    <t>UAT 585A</t>
  </si>
  <si>
    <t>UAX 575R</t>
  </si>
  <si>
    <t>UBE 390R</t>
  </si>
  <si>
    <t>UBE 277E</t>
  </si>
  <si>
    <t>HOIMA</t>
  </si>
  <si>
    <t>UBB 161D</t>
  </si>
  <si>
    <t>NABBINGO</t>
  </si>
  <si>
    <t>UBD 947P</t>
  </si>
  <si>
    <t>UBB 023P</t>
  </si>
  <si>
    <t>UAT 015P</t>
  </si>
  <si>
    <t>UBB 925R</t>
  </si>
  <si>
    <t>UAL 552Y</t>
  </si>
  <si>
    <t>UAR 672B</t>
  </si>
  <si>
    <t>UAG 225H</t>
  </si>
  <si>
    <t>UAJ 522M</t>
  </si>
  <si>
    <t>UAY 469H</t>
  </si>
  <si>
    <t>UAH 732F</t>
  </si>
  <si>
    <t>UAZ 476B</t>
  </si>
  <si>
    <t>NAKAWUKA</t>
  </si>
  <si>
    <t>UAZ 331T</t>
  </si>
  <si>
    <t>UAT 908V</t>
  </si>
  <si>
    <t>UAW 446Z</t>
  </si>
  <si>
    <t>UAM 589H</t>
  </si>
  <si>
    <t>UBC 438R</t>
  </si>
  <si>
    <t>UAH 862K</t>
  </si>
  <si>
    <t>UAY 754K</t>
  </si>
  <si>
    <t>UBA 243P</t>
  </si>
  <si>
    <t>UAQ 454K</t>
  </si>
  <si>
    <t>UBC 106D</t>
  </si>
  <si>
    <t>UAP 595X</t>
  </si>
  <si>
    <t>UAL 269F</t>
  </si>
  <si>
    <t>UAJ 519J</t>
  </si>
  <si>
    <t>UAN 478N</t>
  </si>
  <si>
    <t>UBE 551E</t>
  </si>
  <si>
    <t>NAKAWA</t>
  </si>
  <si>
    <t>UAW 790L</t>
  </si>
  <si>
    <t>UAV 127S</t>
  </si>
  <si>
    <t>UAH 854H</t>
  </si>
  <si>
    <t>UBF 069P</t>
  </si>
  <si>
    <t>N</t>
  </si>
  <si>
    <t>UAH 118W</t>
  </si>
  <si>
    <t>UAS 120W</t>
  </si>
  <si>
    <t>UAK 378B</t>
  </si>
  <si>
    <t>UAP 461T</t>
  </si>
  <si>
    <t>UBD 886D</t>
  </si>
  <si>
    <t>UAJ 117R</t>
  </si>
  <si>
    <t>UAJ 538Z</t>
  </si>
  <si>
    <t>UAJ 023M</t>
  </si>
  <si>
    <t>UAM 328Z</t>
  </si>
  <si>
    <t>UBB 823R</t>
  </si>
  <si>
    <t>UDC 970J</t>
  </si>
  <si>
    <t>UAS 683T</t>
  </si>
  <si>
    <t>UAR 015A</t>
  </si>
  <si>
    <t>UAP 899P</t>
  </si>
  <si>
    <t>UBB 572R</t>
  </si>
  <si>
    <t>UAR 505B</t>
  </si>
  <si>
    <t>UAH 538T</t>
  </si>
  <si>
    <t>UAS 194S</t>
  </si>
  <si>
    <t>KIGOTI</t>
  </si>
  <si>
    <t>UAP 654T</t>
  </si>
  <si>
    <t>UBE 746A</t>
  </si>
  <si>
    <t>UBB 461T</t>
  </si>
  <si>
    <t>UAZ 448Q</t>
  </si>
  <si>
    <t>UBF 222B</t>
  </si>
  <si>
    <t>UAT 286T</t>
  </si>
  <si>
    <t>UAV 093D</t>
  </si>
  <si>
    <t>UBA 94R</t>
  </si>
  <si>
    <t>UBF 570T</t>
  </si>
  <si>
    <t>UBW 770D</t>
  </si>
  <si>
    <t>UAJ 018N</t>
  </si>
  <si>
    <t>UBA 986H</t>
  </si>
  <si>
    <t>UAT 585L</t>
  </si>
  <si>
    <t>UAT 385L</t>
  </si>
  <si>
    <t>NSAMBYA</t>
  </si>
  <si>
    <t>UBD 908J</t>
  </si>
  <si>
    <t>UBA 409N</t>
  </si>
  <si>
    <t>UAY 502N</t>
  </si>
  <si>
    <t>UBB 080B</t>
  </si>
  <si>
    <t>UAJ 219V</t>
  </si>
  <si>
    <t>UAT 123J</t>
  </si>
  <si>
    <t>UAM 084J</t>
  </si>
  <si>
    <t>UBB 361J</t>
  </si>
  <si>
    <t>UAK 387Y</t>
  </si>
  <si>
    <t>UAU 676N</t>
  </si>
  <si>
    <t>KITEBI</t>
  </si>
  <si>
    <t>UAV 117N</t>
  </si>
  <si>
    <t>UBF 813Y</t>
  </si>
  <si>
    <t>UBE 655A</t>
  </si>
  <si>
    <t>UAT 316N</t>
  </si>
  <si>
    <t>UAW 637Y</t>
  </si>
  <si>
    <t>UAE 384Y</t>
  </si>
  <si>
    <t>UAB 581J</t>
  </si>
  <si>
    <t>UAK 264P</t>
  </si>
  <si>
    <t>UBA 567K</t>
  </si>
  <si>
    <t>UBA 252K</t>
  </si>
  <si>
    <t>UAG 675Y</t>
  </si>
  <si>
    <t>NASAGA</t>
  </si>
  <si>
    <t>KASENYI</t>
  </si>
  <si>
    <t>UAW 658E</t>
  </si>
  <si>
    <t>UAP 832A</t>
  </si>
  <si>
    <t>UDK 132U</t>
  </si>
  <si>
    <t>UAJ 549G</t>
  </si>
  <si>
    <t>UAX 380D</t>
  </si>
  <si>
    <t>CHIMBE</t>
  </si>
  <si>
    <t>UAS 037B</t>
  </si>
  <si>
    <t>KAKUGABE</t>
  </si>
  <si>
    <t>UBD 371Y</t>
  </si>
  <si>
    <t>NDAHURA JOHN, CLAIRE</t>
  </si>
  <si>
    <t>12.10.19</t>
  </si>
  <si>
    <t>UAW 203X</t>
  </si>
  <si>
    <t>UAH 338Q</t>
  </si>
  <si>
    <t>UBA 514A</t>
  </si>
  <si>
    <t>UAV 025F</t>
  </si>
  <si>
    <t>UAR 212R</t>
  </si>
  <si>
    <t>UAX 582T</t>
  </si>
  <si>
    <t>UAK 999U</t>
  </si>
  <si>
    <t>UAP 971D</t>
  </si>
  <si>
    <t>UAX 860X</t>
  </si>
  <si>
    <t>UAK 650X</t>
  </si>
  <si>
    <t>UAX 880J</t>
  </si>
  <si>
    <t>NAMASUBA</t>
  </si>
  <si>
    <t>UAU 177V</t>
  </si>
  <si>
    <t>UAP 166S</t>
  </si>
  <si>
    <t>UAU 671S</t>
  </si>
  <si>
    <t>UAJ 945T</t>
  </si>
  <si>
    <t>UAU 747T</t>
  </si>
  <si>
    <t>UAW 616X</t>
  </si>
  <si>
    <t>KATABI</t>
  </si>
  <si>
    <t>UAH 440S</t>
  </si>
  <si>
    <t>UAX 971K</t>
  </si>
  <si>
    <t>SSD 543AF</t>
  </si>
  <si>
    <t>UAD 564K</t>
  </si>
  <si>
    <t>UAW 638W</t>
  </si>
  <si>
    <t>UBE 818C</t>
  </si>
  <si>
    <t>UAX 550J</t>
  </si>
  <si>
    <t>UG 5341W</t>
  </si>
  <si>
    <t>UBD 063X</t>
  </si>
  <si>
    <t>UBE 561W</t>
  </si>
  <si>
    <t>UAJ 848C</t>
  </si>
  <si>
    <t>NALUKOLONGO</t>
  </si>
  <si>
    <t>UBA 470F</t>
  </si>
  <si>
    <t>UBE 363F</t>
  </si>
  <si>
    <t>UAQ 158Z</t>
  </si>
  <si>
    <t>UAV 703G</t>
  </si>
  <si>
    <t>UAG 414K</t>
  </si>
  <si>
    <t>UAV 066B</t>
  </si>
  <si>
    <t>UAW 312H</t>
  </si>
  <si>
    <t>UBE 856N</t>
  </si>
  <si>
    <t>UAN 947R</t>
  </si>
  <si>
    <t>UBF 713H</t>
  </si>
  <si>
    <t>UAU 318H</t>
  </si>
  <si>
    <t>UBE 106R</t>
  </si>
  <si>
    <t>UAJ 318K</t>
  </si>
  <si>
    <t>UAR 141V</t>
  </si>
  <si>
    <t>UAZ 786B</t>
  </si>
  <si>
    <t>UAU 683U</t>
  </si>
  <si>
    <t>UG 4266M</t>
  </si>
  <si>
    <t>UAG 522A</t>
  </si>
  <si>
    <t>UAB 612H</t>
  </si>
  <si>
    <t>UAR 753R</t>
  </si>
  <si>
    <t>UAW 146J</t>
  </si>
  <si>
    <t>UBE 745B</t>
  </si>
  <si>
    <t>UBB 830G</t>
  </si>
  <si>
    <t>UAX 250V</t>
  </si>
  <si>
    <t>BUNAMWAYA</t>
  </si>
  <si>
    <t>UBB 344S</t>
  </si>
  <si>
    <t>UAY 177V</t>
  </si>
  <si>
    <t>UAU 989L</t>
  </si>
  <si>
    <t>UBD 431Z</t>
  </si>
  <si>
    <t>UAG 151J</t>
  </si>
  <si>
    <t>UBF 445E</t>
  </si>
  <si>
    <t>UAK 381Y</t>
  </si>
  <si>
    <t>UAX 564C</t>
  </si>
  <si>
    <t>UAW 030M</t>
  </si>
  <si>
    <t>UBD 097P</t>
  </si>
  <si>
    <t>UAU 051P</t>
  </si>
  <si>
    <t>UAA 112C</t>
  </si>
  <si>
    <t>UAV 777V</t>
  </si>
  <si>
    <t>UBE 362V</t>
  </si>
  <si>
    <t>UAX 010J</t>
  </si>
  <si>
    <t>UAX 005G</t>
  </si>
  <si>
    <t>KABASADA</t>
  </si>
  <si>
    <t>UBE 623Q</t>
  </si>
  <si>
    <t>UAH 598L</t>
  </si>
  <si>
    <t>UAH 402G</t>
  </si>
  <si>
    <t>UBE 720Z</t>
  </si>
  <si>
    <t>UAP 354Y</t>
  </si>
  <si>
    <t>UEJ 904K</t>
  </si>
  <si>
    <t>UEU 573U</t>
  </si>
  <si>
    <t>UAP 076H</t>
  </si>
  <si>
    <t>UEG 158X</t>
  </si>
  <si>
    <t>UEX 291C</t>
  </si>
  <si>
    <t>UBA 443K</t>
  </si>
  <si>
    <t>UBA 363J</t>
  </si>
  <si>
    <t>UBE 002S</t>
  </si>
  <si>
    <t>UBA 077N</t>
  </si>
  <si>
    <t>UBA 989Y</t>
  </si>
  <si>
    <t>UBD 390F</t>
  </si>
  <si>
    <t>UAR 505D</t>
  </si>
  <si>
    <t>KATWE</t>
  </si>
  <si>
    <t>UAK 712Y</t>
  </si>
  <si>
    <t>UAT 125S</t>
  </si>
  <si>
    <t>MUKIKAJJO</t>
  </si>
  <si>
    <t>UEJ 642J</t>
  </si>
  <si>
    <t>UBE 802B</t>
  </si>
  <si>
    <t>UEV 208Q</t>
  </si>
  <si>
    <t>UAP 432G</t>
  </si>
  <si>
    <t>UAY 272S</t>
  </si>
  <si>
    <t>UDY 375Y</t>
  </si>
  <si>
    <t>UEA 675L</t>
  </si>
  <si>
    <t>UEE 166B</t>
  </si>
  <si>
    <t>UAY 836W</t>
  </si>
  <si>
    <t>UEF 409Y</t>
  </si>
  <si>
    <t>UBF 014U</t>
  </si>
  <si>
    <t>UAS 273H</t>
  </si>
  <si>
    <t>NGALABI</t>
  </si>
  <si>
    <t>UAJ 648H</t>
  </si>
  <si>
    <t>UBD 594H</t>
  </si>
  <si>
    <t>NABAGALA</t>
  </si>
  <si>
    <t>UAU 406L</t>
  </si>
  <si>
    <t>KIREKA</t>
  </si>
  <si>
    <t>UBB 609E</t>
  </si>
  <si>
    <t>UAD 409Y</t>
  </si>
  <si>
    <t>UBE 020S</t>
  </si>
  <si>
    <t>UAQ 582G</t>
  </si>
  <si>
    <t>LUGALA</t>
  </si>
  <si>
    <t>UAS 699T</t>
  </si>
  <si>
    <t>UAR 890K</t>
  </si>
  <si>
    <t>UBB 472J</t>
  </si>
  <si>
    <t>UBC 479J</t>
  </si>
  <si>
    <t>UAY 085N</t>
  </si>
  <si>
    <t>UEH 868B</t>
  </si>
  <si>
    <t>UAP 340F</t>
  </si>
  <si>
    <t>UAH 032X</t>
  </si>
  <si>
    <t>UBA 274J</t>
  </si>
  <si>
    <t>KASOZI</t>
  </si>
  <si>
    <t>UAZ 671K</t>
  </si>
  <si>
    <t>UBE 491H</t>
  </si>
  <si>
    <t>UBA 894X</t>
  </si>
  <si>
    <t>UAW 731K</t>
  </si>
  <si>
    <t>UAY 025E</t>
  </si>
  <si>
    <t>UAT 720H</t>
  </si>
  <si>
    <t>UEO 840T</t>
  </si>
  <si>
    <t>UEL 102Y</t>
  </si>
  <si>
    <t>UAW 535W</t>
  </si>
  <si>
    <t>UDW 619E</t>
  </si>
  <si>
    <t>UEO 869T</t>
  </si>
  <si>
    <t>UBE 365M</t>
  </si>
  <si>
    <t>UAK 980S</t>
  </si>
  <si>
    <t>UBD 293L</t>
  </si>
  <si>
    <t>UET 225L</t>
  </si>
  <si>
    <t>UAV 594V</t>
  </si>
  <si>
    <t>NAMAGAMBA</t>
  </si>
  <si>
    <t>KIBENJA</t>
  </si>
  <si>
    <t>UAT 226K</t>
  </si>
  <si>
    <t>UAP 075V</t>
  </si>
  <si>
    <t>UBA 672T</t>
  </si>
  <si>
    <t>UBF 472J</t>
  </si>
  <si>
    <t>UAX 701Q</t>
  </si>
  <si>
    <t>UAA 182K</t>
  </si>
  <si>
    <t>UBB 232C</t>
  </si>
  <si>
    <t>UAX 888P</t>
  </si>
  <si>
    <t>UAQ 406G</t>
  </si>
  <si>
    <t>UBF 236J</t>
  </si>
  <si>
    <t>UAZ 088J</t>
  </si>
  <si>
    <t>UAY 713B</t>
  </si>
  <si>
    <t>UAU 095U</t>
  </si>
  <si>
    <t>UAM 987U</t>
  </si>
  <si>
    <t>FREEDOM CITY</t>
  </si>
  <si>
    <t>UAM 494M</t>
  </si>
  <si>
    <t>UAW 981M</t>
  </si>
  <si>
    <t>UAT 194M</t>
  </si>
  <si>
    <t>UAD 687G</t>
  </si>
  <si>
    <t>UAP 508Y</t>
  </si>
  <si>
    <t>UAU 201J</t>
  </si>
  <si>
    <t>UAY 474L</t>
  </si>
  <si>
    <t>UBE 188T</t>
  </si>
  <si>
    <t>UAZ 076Z</t>
  </si>
  <si>
    <t>UAQ 094G</t>
  </si>
  <si>
    <t>UBD 240B</t>
  </si>
  <si>
    <t>BUWAMA</t>
  </si>
  <si>
    <t>UBA 745T</t>
  </si>
  <si>
    <t>KABASANDA</t>
  </si>
  <si>
    <t>UAX 138Y</t>
  </si>
  <si>
    <t>UAS 124S</t>
  </si>
  <si>
    <t>UAH 736S</t>
  </si>
  <si>
    <t>UAN 550P</t>
  </si>
  <si>
    <t>UAT 042W</t>
  </si>
  <si>
    <t>UAU 044D</t>
  </si>
  <si>
    <t>UAZ 178A</t>
  </si>
  <si>
    <t>UAT 711Y</t>
  </si>
  <si>
    <t>UBA 877R</t>
  </si>
  <si>
    <t>UAU 332R</t>
  </si>
  <si>
    <t>UBF 390L</t>
  </si>
  <si>
    <t>UAW 658P</t>
  </si>
  <si>
    <t>UAV 729B</t>
  </si>
  <si>
    <t>UBA 783X</t>
  </si>
  <si>
    <t>UBE 990A</t>
  </si>
  <si>
    <t>UBE 878H</t>
  </si>
  <si>
    <t>CLAIR, JOHN</t>
  </si>
  <si>
    <t>UAX 518G</t>
  </si>
  <si>
    <t>UAW 040E</t>
  </si>
  <si>
    <t>UAV 918W</t>
  </si>
  <si>
    <t>UBA 448W</t>
  </si>
  <si>
    <t>KAYABWE</t>
  </si>
  <si>
    <t>UBF 731F</t>
  </si>
  <si>
    <t>UBB 273F</t>
  </si>
  <si>
    <t>UBB 266R</t>
  </si>
  <si>
    <t>KIKAJJO</t>
  </si>
  <si>
    <t>UBE 302Q</t>
  </si>
  <si>
    <t>UAV 215R</t>
  </si>
  <si>
    <t>UAT 235Q</t>
  </si>
  <si>
    <t>JUMBA</t>
  </si>
  <si>
    <t>UAG 313C</t>
  </si>
  <si>
    <t>UAX 752X</t>
  </si>
  <si>
    <t>UAB 389N</t>
  </si>
  <si>
    <t>UAN 814D</t>
  </si>
  <si>
    <t>UAV 323Q</t>
  </si>
  <si>
    <t>UAP 449P</t>
  </si>
  <si>
    <t>UBB 322T</t>
  </si>
  <si>
    <t>UBB 593M</t>
  </si>
  <si>
    <t>UAK 269D</t>
  </si>
  <si>
    <t>UAY 836Y</t>
  </si>
  <si>
    <t>UAW 433Y</t>
  </si>
  <si>
    <t>UAP 295H</t>
  </si>
  <si>
    <t>UAZ 745C</t>
  </si>
  <si>
    <t>MUKONO</t>
  </si>
  <si>
    <t>MOKONO</t>
  </si>
  <si>
    <t>KBS 156S</t>
  </si>
  <si>
    <t>BUTAMBALA</t>
  </si>
  <si>
    <t>UBD 652E</t>
  </si>
  <si>
    <t>UAL 553U</t>
  </si>
  <si>
    <t>UAP 494P</t>
  </si>
  <si>
    <t>UAX 581Y</t>
  </si>
  <si>
    <t>UBB 372F</t>
  </si>
  <si>
    <t>UBA 484W</t>
  </si>
  <si>
    <t>UAV 918Y</t>
  </si>
  <si>
    <t>RWELA</t>
  </si>
  <si>
    <t>NYENDO</t>
  </si>
  <si>
    <t>UAY 512G</t>
  </si>
  <si>
    <t>NSANG</t>
  </si>
  <si>
    <t>UBD 752P</t>
  </si>
  <si>
    <t>UBB 259B</t>
  </si>
  <si>
    <t>NAKASERO</t>
  </si>
  <si>
    <t>UBA 146M</t>
  </si>
  <si>
    <t>LWERA</t>
  </si>
  <si>
    <t>UBC 269C</t>
  </si>
  <si>
    <t>UAP 384P</t>
  </si>
  <si>
    <t>UAA 133L</t>
  </si>
  <si>
    <t>UAF 671Z</t>
  </si>
  <si>
    <t>NSAGO</t>
  </si>
  <si>
    <t>UAW 562W</t>
  </si>
  <si>
    <t>UAK 590F</t>
  </si>
  <si>
    <t>UBB 268P</t>
  </si>
  <si>
    <t>UBD 114J</t>
  </si>
  <si>
    <t>UAY 423L</t>
  </si>
  <si>
    <t>UAW 215R</t>
  </si>
  <si>
    <t>UAQ 060Q</t>
  </si>
  <si>
    <t>KYOTERA</t>
  </si>
  <si>
    <t>UAL 265L</t>
  </si>
  <si>
    <t>UAT 125T</t>
  </si>
  <si>
    <t>UAT 747Y</t>
  </si>
  <si>
    <t>UAD 125S</t>
  </si>
  <si>
    <t>UAB 321V</t>
  </si>
  <si>
    <t>UAJ 287F</t>
  </si>
  <si>
    <t>UAZ 684Z</t>
  </si>
  <si>
    <t>UAL 675K</t>
  </si>
  <si>
    <t>UAW 409P</t>
  </si>
  <si>
    <t>UAH 318K</t>
  </si>
  <si>
    <t>UBB 604G</t>
  </si>
  <si>
    <t>UBA 942Y</t>
  </si>
  <si>
    <t>UBE 748D</t>
  </si>
  <si>
    <t>UBD 146M</t>
  </si>
  <si>
    <t>BULENGA</t>
  </si>
  <si>
    <t>UAS 232R</t>
  </si>
  <si>
    <t>UAR 847R</t>
  </si>
  <si>
    <t>UAT 104N</t>
  </si>
  <si>
    <t>UAR 011R</t>
  </si>
  <si>
    <t>UBA 334R</t>
  </si>
  <si>
    <t>UBC 299L</t>
  </si>
  <si>
    <t>NSOZI</t>
  </si>
  <si>
    <t>UAS 346W</t>
  </si>
  <si>
    <t>UBB 174W</t>
  </si>
  <si>
    <t>NKOZI</t>
  </si>
  <si>
    <t>UBB 172K</t>
  </si>
  <si>
    <t>UAJ 014T</t>
  </si>
  <si>
    <t>UBD 114L</t>
  </si>
  <si>
    <t>UBD 114W</t>
  </si>
  <si>
    <t>UAS 964Y</t>
  </si>
  <si>
    <t>UAR 869U</t>
  </si>
  <si>
    <t>KALERWE</t>
  </si>
  <si>
    <t>UAG 105G</t>
  </si>
  <si>
    <t>UAY 382F</t>
  </si>
  <si>
    <t>KASANJJE</t>
  </si>
  <si>
    <t>UAT 839T</t>
  </si>
  <si>
    <t>UAG 585X</t>
  </si>
  <si>
    <t>UAH 649H</t>
  </si>
  <si>
    <t>KAWEMPE</t>
  </si>
  <si>
    <t>UBA 360B</t>
  </si>
  <si>
    <t>UAZ 111H</t>
  </si>
  <si>
    <t>KITANTE</t>
  </si>
  <si>
    <t>UAT 779Z</t>
  </si>
  <si>
    <t>UAX 551V</t>
  </si>
  <si>
    <t>BULWANYI</t>
  </si>
  <si>
    <t>NALUMAYA</t>
  </si>
  <si>
    <t>UAP 909X</t>
  </si>
  <si>
    <t>UAZ 908B</t>
  </si>
  <si>
    <t>UAU 743Y</t>
  </si>
  <si>
    <t>SEGUKU</t>
  </si>
  <si>
    <t>UAS 345Q</t>
  </si>
  <si>
    <t>UAN 354Y</t>
  </si>
  <si>
    <t>UAT 669Y</t>
  </si>
  <si>
    <t>UAS 713Y</t>
  </si>
  <si>
    <t>UAY 504K</t>
  </si>
  <si>
    <t>MBUYA</t>
  </si>
  <si>
    <t>UAY 175Y</t>
  </si>
  <si>
    <t>LUKAYA</t>
  </si>
  <si>
    <t>UAX 141C</t>
  </si>
  <si>
    <t>UAB 023B</t>
  </si>
  <si>
    <t>UBD 156U</t>
  </si>
  <si>
    <t>UBD 156J</t>
  </si>
  <si>
    <t>UAV 223Q</t>
  </si>
  <si>
    <t>UAV 289C</t>
  </si>
  <si>
    <t>UAF 432H</t>
  </si>
  <si>
    <t>UBA 841B</t>
  </si>
  <si>
    <t>CHINAWA</t>
  </si>
  <si>
    <t>UBE 586W</t>
  </si>
  <si>
    <t>Bakole Deo</t>
  </si>
  <si>
    <t>ZONE NAME</t>
  </si>
  <si>
    <t>DISTRICT</t>
  </si>
  <si>
    <t>COUNTY</t>
  </si>
  <si>
    <t>SUBCOUNTY</t>
  </si>
  <si>
    <t>Parish</t>
  </si>
  <si>
    <t>ZONE No.</t>
  </si>
  <si>
    <t>Abim</t>
  </si>
  <si>
    <t>Labwor</t>
  </si>
  <si>
    <t>Abim Town Council</t>
  </si>
  <si>
    <t>Alerek</t>
  </si>
  <si>
    <t>Lotukei</t>
  </si>
  <si>
    <t>Morulem</t>
  </si>
  <si>
    <t>Nyakwae</t>
  </si>
  <si>
    <t>Adjumani Town Council</t>
  </si>
  <si>
    <t>Adjumani</t>
  </si>
  <si>
    <t>East Moyo</t>
  </si>
  <si>
    <t>ADJUMANI</t>
  </si>
  <si>
    <t>Adropi</t>
  </si>
  <si>
    <t>Arinyapi</t>
  </si>
  <si>
    <t>Ciforo</t>
  </si>
  <si>
    <t>Dzaipi</t>
  </si>
  <si>
    <t>Itirikwa</t>
  </si>
  <si>
    <t>Ofua</t>
  </si>
  <si>
    <t>Pacara</t>
  </si>
  <si>
    <t>Pakele</t>
  </si>
  <si>
    <t>Ukusijoni</t>
  </si>
  <si>
    <t>Adilang</t>
  </si>
  <si>
    <t>Agago</t>
  </si>
  <si>
    <t>Agago Town Council</t>
  </si>
  <si>
    <t>Arum</t>
  </si>
  <si>
    <t>Kalongo Town Council</t>
  </si>
  <si>
    <t>Kotomol</t>
  </si>
  <si>
    <t>Lamiyo</t>
  </si>
  <si>
    <t>Lapono</t>
  </si>
  <si>
    <t>Lira Palwo</t>
  </si>
  <si>
    <t>LIIRA</t>
  </si>
  <si>
    <t>Lokole</t>
  </si>
  <si>
    <t>Omiya Pacwa</t>
  </si>
  <si>
    <t>Omot</t>
  </si>
  <si>
    <t>Paimol</t>
  </si>
  <si>
    <t>Parabongo</t>
  </si>
  <si>
    <t>Patongo</t>
  </si>
  <si>
    <t>Patongo Town Council</t>
  </si>
  <si>
    <t>Wol</t>
  </si>
  <si>
    <t>Abako</t>
  </si>
  <si>
    <t>Alebtong</t>
  </si>
  <si>
    <t>Moroto</t>
  </si>
  <si>
    <t>Abia</t>
  </si>
  <si>
    <t>Akura</t>
  </si>
  <si>
    <t>Alebtong Town Council</t>
  </si>
  <si>
    <t>Aloi</t>
  </si>
  <si>
    <t>Amugu</t>
  </si>
  <si>
    <t>Apala</t>
  </si>
  <si>
    <t>Awei</t>
  </si>
  <si>
    <t>Omoro</t>
  </si>
  <si>
    <t>Agikdak</t>
  </si>
  <si>
    <t>Amolatar</t>
  </si>
  <si>
    <t>Kioga</t>
  </si>
  <si>
    <t>Agwingiri</t>
  </si>
  <si>
    <t>Akwon</t>
  </si>
  <si>
    <t>Amolatar Town Council</t>
  </si>
  <si>
    <t>Aputi</t>
  </si>
  <si>
    <t>Arwotcek</t>
  </si>
  <si>
    <t>Awelo</t>
  </si>
  <si>
    <t>Etam</t>
  </si>
  <si>
    <t>Muntu</t>
  </si>
  <si>
    <t>Namasale</t>
  </si>
  <si>
    <t>Namasale Town Council</t>
  </si>
  <si>
    <t>Amudat</t>
  </si>
  <si>
    <t>Pokot</t>
  </si>
  <si>
    <t>Amudat Town Council</t>
  </si>
  <si>
    <t>Karita</t>
  </si>
  <si>
    <t>Loroo</t>
  </si>
  <si>
    <t>Abarilela</t>
  </si>
  <si>
    <t>Amuria</t>
  </si>
  <si>
    <t>Acowa</t>
  </si>
  <si>
    <t>Kapelebyong</t>
  </si>
  <si>
    <t>Akeriau</t>
  </si>
  <si>
    <t>Akoromit</t>
  </si>
  <si>
    <t>Amuria Town Council</t>
  </si>
  <si>
    <t>Apeduru</t>
  </si>
  <si>
    <t>Asamuk</t>
  </si>
  <si>
    <t>Kuju</t>
  </si>
  <si>
    <t>Morungatuny</t>
  </si>
  <si>
    <t>Obalanga</t>
  </si>
  <si>
    <t>Ogolai</t>
  </si>
  <si>
    <t>Okungur</t>
  </si>
  <si>
    <t>Orungo</t>
  </si>
  <si>
    <t>Wera</t>
  </si>
  <si>
    <t>Willa</t>
  </si>
  <si>
    <t>Amuru</t>
  </si>
  <si>
    <t>Kilak</t>
  </si>
  <si>
    <t>Amuru Town Council</t>
  </si>
  <si>
    <t>Attiak</t>
  </si>
  <si>
    <t>Lamogi</t>
  </si>
  <si>
    <t>Pabo</t>
  </si>
  <si>
    <t>Abongomola</t>
  </si>
  <si>
    <t>Apac</t>
  </si>
  <si>
    <t>Kwania</t>
  </si>
  <si>
    <t>Aduku</t>
  </si>
  <si>
    <t>Aduku Town Council</t>
  </si>
  <si>
    <t>Akokoro</t>
  </si>
  <si>
    <t>Maruzi</t>
  </si>
  <si>
    <t>Apac Muicipality</t>
  </si>
  <si>
    <t>Apac Municipality</t>
  </si>
  <si>
    <t>APAC</t>
  </si>
  <si>
    <t>Chawente</t>
  </si>
  <si>
    <t>Chegere</t>
  </si>
  <si>
    <t>Ibuje</t>
  </si>
  <si>
    <t>Inomo</t>
  </si>
  <si>
    <t>Nambieso</t>
  </si>
  <si>
    <t>Adumi</t>
  </si>
  <si>
    <t>Arua</t>
  </si>
  <si>
    <t>Ayivu</t>
  </si>
  <si>
    <t>Aii-Vu</t>
  </si>
  <si>
    <t>Terego</t>
  </si>
  <si>
    <t>Ajia</t>
  </si>
  <si>
    <t>Vurra</t>
  </si>
  <si>
    <t>Anyiribu</t>
  </si>
  <si>
    <t>Madi Okollo</t>
  </si>
  <si>
    <t>Arivu</t>
  </si>
  <si>
    <t>Aroi</t>
  </si>
  <si>
    <t>Arua Municipality</t>
  </si>
  <si>
    <t>ARUA</t>
  </si>
  <si>
    <t>ARUA TOWN</t>
  </si>
  <si>
    <t>Ayivuni</t>
  </si>
  <si>
    <t>Bileafe</t>
  </si>
  <si>
    <t>Dadamu</t>
  </si>
  <si>
    <t>Ewanga</t>
  </si>
  <si>
    <t>Katrini</t>
  </si>
  <si>
    <t>Logiri</t>
  </si>
  <si>
    <t>Manibe</t>
  </si>
  <si>
    <t>Odupi</t>
  </si>
  <si>
    <t>Offaka</t>
  </si>
  <si>
    <t>Ogoko</t>
  </si>
  <si>
    <t>Okollo</t>
  </si>
  <si>
    <t>Oluko</t>
  </si>
  <si>
    <t>Omugo</t>
  </si>
  <si>
    <t>Pajulu</t>
  </si>
  <si>
    <t>Pawor</t>
  </si>
  <si>
    <t>Rhino Camp</t>
  </si>
  <si>
    <t>Rigbo</t>
  </si>
  <si>
    <t>Uleppi</t>
  </si>
  <si>
    <t>Uriama</t>
  </si>
  <si>
    <t>Budaka</t>
  </si>
  <si>
    <t>Budaka Town Council</t>
  </si>
  <si>
    <t>Iki-Iki</t>
  </si>
  <si>
    <t>Kachomo</t>
  </si>
  <si>
    <t>Kaderuna</t>
  </si>
  <si>
    <t>Kakule</t>
  </si>
  <si>
    <t>Kameruka</t>
  </si>
  <si>
    <t>Kamonkoli</t>
  </si>
  <si>
    <t>Katiira</t>
  </si>
  <si>
    <t>Lyama</t>
  </si>
  <si>
    <t>Mugiti</t>
  </si>
  <si>
    <t>Naboa</t>
  </si>
  <si>
    <t>Nansanga</t>
  </si>
  <si>
    <t>Bubiita</t>
  </si>
  <si>
    <t>Bududa</t>
  </si>
  <si>
    <t>Manjiya</t>
  </si>
  <si>
    <t>Bududa Town Council</t>
  </si>
  <si>
    <t>Bukalasi</t>
  </si>
  <si>
    <t>Bukibokolo</t>
  </si>
  <si>
    <t>Bukigai</t>
  </si>
  <si>
    <t>Bulucheke</t>
  </si>
  <si>
    <t>Bumasheti</t>
  </si>
  <si>
    <t>Bumayoka</t>
  </si>
  <si>
    <t>Bushika</t>
  </si>
  <si>
    <t>Bushiribo</t>
  </si>
  <si>
    <t>Bushiyi</t>
  </si>
  <si>
    <t>Buwali</t>
  </si>
  <si>
    <t>Nabweya</t>
  </si>
  <si>
    <t>Nakatsi</t>
  </si>
  <si>
    <t>Nalwanza</t>
  </si>
  <si>
    <t>Budhaya</t>
  </si>
  <si>
    <t>Bugiri</t>
  </si>
  <si>
    <t>Bukooli North</t>
  </si>
  <si>
    <t>Bugiri Municipality</t>
  </si>
  <si>
    <t>Bulesa</t>
  </si>
  <si>
    <t>Bulidha</t>
  </si>
  <si>
    <t>Buluguyi</t>
  </si>
  <si>
    <t>Buwunga-Bugiri</t>
  </si>
  <si>
    <t>Iwemba</t>
  </si>
  <si>
    <t>Kapyanga</t>
  </si>
  <si>
    <t>Muterere</t>
  </si>
  <si>
    <t>Nabukalu</t>
  </si>
  <si>
    <t>Nankoma</t>
  </si>
  <si>
    <t>Bihanga-Buhweju</t>
  </si>
  <si>
    <t>Buhweju</t>
  </si>
  <si>
    <t>Bitsya</t>
  </si>
  <si>
    <t>Burere</t>
  </si>
  <si>
    <t>Engaju</t>
  </si>
  <si>
    <t>Karungu</t>
  </si>
  <si>
    <t>Nsiika Town Council</t>
  </si>
  <si>
    <t>Nyakishana</t>
  </si>
  <si>
    <t>Rwengwe</t>
  </si>
  <si>
    <t>Buikwe</t>
  </si>
  <si>
    <t>Buikwe Town Council</t>
  </si>
  <si>
    <t>Lugazi Municipality</t>
  </si>
  <si>
    <t>LUGAZI</t>
  </si>
  <si>
    <t>Kawolo</t>
  </si>
  <si>
    <t>Najja</t>
  </si>
  <si>
    <t>Najja road</t>
  </si>
  <si>
    <t>Ngogwe</t>
  </si>
  <si>
    <t>Njeru Municipality</t>
  </si>
  <si>
    <t>Nkokonjeru Town Council</t>
  </si>
  <si>
    <t>Nkokonjeru</t>
  </si>
  <si>
    <t>Ssi-Bukunja</t>
  </si>
  <si>
    <t>Bukedea</t>
  </si>
  <si>
    <t>Bukedea Town Council</t>
  </si>
  <si>
    <t>Kachumbala</t>
  </si>
  <si>
    <t>Kidongole</t>
  </si>
  <si>
    <t>Kolir</t>
  </si>
  <si>
    <t>Malera</t>
  </si>
  <si>
    <t>Bigasa</t>
  </si>
  <si>
    <t>Bukomansimbi</t>
  </si>
  <si>
    <t>Bukomansimbi Town Council</t>
  </si>
  <si>
    <t>BUKOMANSIMBI</t>
  </si>
  <si>
    <t>Butenga</t>
  </si>
  <si>
    <t>Kibinge</t>
  </si>
  <si>
    <t>Kitanda</t>
  </si>
  <si>
    <t>Bukwo</t>
  </si>
  <si>
    <t>Kongasis</t>
  </si>
  <si>
    <t>Bukwo Town Council</t>
  </si>
  <si>
    <t>Chepkwasta</t>
  </si>
  <si>
    <t>Chesower</t>
  </si>
  <si>
    <t>Kabei</t>
  </si>
  <si>
    <t>Kamet</t>
  </si>
  <si>
    <t>Kaptererwo</t>
  </si>
  <si>
    <t>Kortek</t>
  </si>
  <si>
    <t>Riwo</t>
  </si>
  <si>
    <t>Senendet</t>
  </si>
  <si>
    <t>Suam</t>
  </si>
  <si>
    <t>Tulel</t>
  </si>
  <si>
    <t>Buginyanya</t>
  </si>
  <si>
    <t>Bulambuli</t>
  </si>
  <si>
    <t>Bukhalu</t>
  </si>
  <si>
    <t>Bulaago</t>
  </si>
  <si>
    <t>Bulambuli Town Council</t>
  </si>
  <si>
    <t>Bulegeni</t>
  </si>
  <si>
    <t>Bulegeni Town Council</t>
  </si>
  <si>
    <t>Buluganya</t>
  </si>
  <si>
    <t>Bumasobo</t>
  </si>
  <si>
    <t>Bumugibole</t>
  </si>
  <si>
    <t>Bunambutye</t>
  </si>
  <si>
    <t>Bwikhonge</t>
  </si>
  <si>
    <t>Kamu</t>
  </si>
  <si>
    <t>Lusha</t>
  </si>
  <si>
    <t>Masiira</t>
  </si>
  <si>
    <t>Muyembe</t>
  </si>
  <si>
    <t>Nabbongo</t>
  </si>
  <si>
    <t>Namisuni</t>
  </si>
  <si>
    <t>Simu</t>
  </si>
  <si>
    <t>Sisiyi</t>
  </si>
  <si>
    <t>Biiso</t>
  </si>
  <si>
    <t>Buliisa</t>
  </si>
  <si>
    <t>Buliisa Town Council</t>
  </si>
  <si>
    <t>Butiaba</t>
  </si>
  <si>
    <t>Kigwera</t>
  </si>
  <si>
    <t>Kihungya</t>
  </si>
  <si>
    <t>Ngwedo</t>
  </si>
  <si>
    <t>Bubandi</t>
  </si>
  <si>
    <t>Bundibugyo</t>
  </si>
  <si>
    <t>Bwamba</t>
  </si>
  <si>
    <t>Bubukwanga</t>
  </si>
  <si>
    <t>Bukonzo</t>
  </si>
  <si>
    <t>Bughendera</t>
  </si>
  <si>
    <t>Bundibugyo Town Council</t>
  </si>
  <si>
    <t>Bundingoma</t>
  </si>
  <si>
    <t>Burondo</t>
  </si>
  <si>
    <t>Busaru</t>
  </si>
  <si>
    <t>Harugale</t>
  </si>
  <si>
    <t>Kagugu</t>
  </si>
  <si>
    <t>Kasitu</t>
  </si>
  <si>
    <t>Kirumya</t>
  </si>
  <si>
    <t>Kisubba</t>
  </si>
  <si>
    <t>Mirambi</t>
  </si>
  <si>
    <t>Nduguto</t>
  </si>
  <si>
    <t>Ngamba</t>
  </si>
  <si>
    <t>Ntandi Town Council</t>
  </si>
  <si>
    <t>Ntotoro</t>
  </si>
  <si>
    <t>Nyahuka Town Council</t>
  </si>
  <si>
    <t>Sindila</t>
  </si>
  <si>
    <t>Tokwe</t>
  </si>
  <si>
    <t>Buheesi</t>
  </si>
  <si>
    <t>Bunyangabu</t>
  </si>
  <si>
    <t>Buheesi Town Council</t>
  </si>
  <si>
    <t>Kabonero</t>
  </si>
  <si>
    <t>Katebwa</t>
  </si>
  <si>
    <t>Kibiito</t>
  </si>
  <si>
    <t>Kibiito Town Council</t>
  </si>
  <si>
    <t>Kisomoro</t>
  </si>
  <si>
    <t>Kyamukube Town Council</t>
  </si>
  <si>
    <t>Rubona Town Council</t>
  </si>
  <si>
    <t>Rwimi</t>
  </si>
  <si>
    <t>Rwimi Town Council</t>
  </si>
  <si>
    <t>Bitooma</t>
  </si>
  <si>
    <t>Igara</t>
  </si>
  <si>
    <t>Bumbaire</t>
  </si>
  <si>
    <t>Bushenyi-Ishaka Municipality</t>
  </si>
  <si>
    <t>Ibaare</t>
  </si>
  <si>
    <t>Kakanju</t>
  </si>
  <si>
    <t>Kyabugimbi</t>
  </si>
  <si>
    <t>Kyamuhunga Town Council</t>
  </si>
  <si>
    <t>Kyeizooba</t>
  </si>
  <si>
    <t>Nyabubare</t>
  </si>
  <si>
    <t>Ruhumuro</t>
  </si>
  <si>
    <t>Buhehe</t>
  </si>
  <si>
    <t>Busia</t>
  </si>
  <si>
    <t>Samia-Bugwe</t>
  </si>
  <si>
    <t>Bulumbi</t>
  </si>
  <si>
    <t>Busia Municipality</t>
  </si>
  <si>
    <t>Busime</t>
  </si>
  <si>
    <t>Busitema</t>
  </si>
  <si>
    <t>Buteba</t>
  </si>
  <si>
    <t>Buyanga-Busia</t>
  </si>
  <si>
    <t>Dabani</t>
  </si>
  <si>
    <t>Lumino</t>
  </si>
  <si>
    <t>Lunyo</t>
  </si>
  <si>
    <t>Majanji</t>
  </si>
  <si>
    <t>Masaba-Busia</t>
  </si>
  <si>
    <t>Masafu</t>
  </si>
  <si>
    <t>Masinya</t>
  </si>
  <si>
    <t>Sikuda</t>
  </si>
  <si>
    <t>Budumba</t>
  </si>
  <si>
    <t>Butaleja</t>
  </si>
  <si>
    <t>Bunyole</t>
  </si>
  <si>
    <t>Busaba</t>
  </si>
  <si>
    <t>Busabi</t>
  </si>
  <si>
    <t>Busolwe</t>
  </si>
  <si>
    <t>Busolwe Town Council</t>
  </si>
  <si>
    <t>Butaleja Town Council</t>
  </si>
  <si>
    <t>Himutu</t>
  </si>
  <si>
    <t>Kachonga</t>
  </si>
  <si>
    <t>Mazimasa</t>
  </si>
  <si>
    <t>Nawanjofu</t>
  </si>
  <si>
    <t>Naweyo</t>
  </si>
  <si>
    <t>Budde</t>
  </si>
  <si>
    <t>Butambala</t>
  </si>
  <si>
    <t>Bulo</t>
  </si>
  <si>
    <t>Gombe Town Council</t>
  </si>
  <si>
    <t>Kalamba</t>
  </si>
  <si>
    <t>Kibibi</t>
  </si>
  <si>
    <t>Ngando</t>
  </si>
  <si>
    <t>Butebo</t>
  </si>
  <si>
    <t>Butebo Town Council</t>
  </si>
  <si>
    <t>Kabwangasi</t>
  </si>
  <si>
    <t>Kakoro</t>
  </si>
  <si>
    <t>Kanginima</t>
  </si>
  <si>
    <t>Kibale</t>
  </si>
  <si>
    <t>KIBALE TOWN</t>
  </si>
  <si>
    <t>Opwateta</t>
  </si>
  <si>
    <t>Petete</t>
  </si>
  <si>
    <t>Bugaya-Buvuma</t>
  </si>
  <si>
    <t>Buvuma</t>
  </si>
  <si>
    <t>Buvuma Island</t>
  </si>
  <si>
    <t>Busamuzi</t>
  </si>
  <si>
    <t>Buvuma Town Council</t>
  </si>
  <si>
    <t>Buwooya</t>
  </si>
  <si>
    <t>Bweema</t>
  </si>
  <si>
    <t>Lubya</t>
  </si>
  <si>
    <t>Lwajje</t>
  </si>
  <si>
    <t>Lyabaana</t>
  </si>
  <si>
    <t>Nairambi</t>
  </si>
  <si>
    <t>Bugaya-Buyende</t>
  </si>
  <si>
    <t>Buyende</t>
  </si>
  <si>
    <t>Budiope</t>
  </si>
  <si>
    <t>Buyende Town Council</t>
  </si>
  <si>
    <t>Kagulu</t>
  </si>
  <si>
    <t>Kidera</t>
  </si>
  <si>
    <t>Nkondo</t>
  </si>
  <si>
    <t>Adeknino</t>
  </si>
  <si>
    <t>Dokolo</t>
  </si>
  <si>
    <t>Adok</t>
  </si>
  <si>
    <t>Agwata</t>
  </si>
  <si>
    <t>Amwoma</t>
  </si>
  <si>
    <t>Batta</t>
  </si>
  <si>
    <t>Dokolo Tc</t>
  </si>
  <si>
    <t>Kangai</t>
  </si>
  <si>
    <t>Kwera</t>
  </si>
  <si>
    <t>Okwalongwen</t>
  </si>
  <si>
    <t>Okwongodul</t>
  </si>
  <si>
    <t>Kabulasoke</t>
  </si>
  <si>
    <t>Gomba</t>
  </si>
  <si>
    <t>Kanoni Town Council</t>
  </si>
  <si>
    <t>Kyegonza</t>
  </si>
  <si>
    <t>Maddu</t>
  </si>
  <si>
    <t>Mpenja</t>
  </si>
  <si>
    <t>Awach</t>
  </si>
  <si>
    <t>Gulu</t>
  </si>
  <si>
    <t>Aswa</t>
  </si>
  <si>
    <t>Bungatira</t>
  </si>
  <si>
    <t>Gulu Municipality</t>
  </si>
  <si>
    <t>GULU</t>
  </si>
  <si>
    <t>GULU TOWN</t>
  </si>
  <si>
    <t>Paicho</t>
  </si>
  <si>
    <t>Unyama</t>
  </si>
  <si>
    <t>Bugambe</t>
  </si>
  <si>
    <t>Hoima</t>
  </si>
  <si>
    <t>Buhaguzi</t>
  </si>
  <si>
    <t>Buhanika</t>
  </si>
  <si>
    <t>Bugahya</t>
  </si>
  <si>
    <t>Buhimba</t>
  </si>
  <si>
    <t>Hoima Municipality</t>
  </si>
  <si>
    <t xml:space="preserve">Hoima </t>
  </si>
  <si>
    <t>Kabwoya</t>
  </si>
  <si>
    <t>Kigorobya</t>
  </si>
  <si>
    <t>Kigorobya Town Council</t>
  </si>
  <si>
    <t>Kitoba</t>
  </si>
  <si>
    <t>Kiziranfumbi</t>
  </si>
  <si>
    <t>Kyabigambire</t>
  </si>
  <si>
    <t>Kyangwali</t>
  </si>
  <si>
    <t>Ibanda Municipality</t>
  </si>
  <si>
    <t>Igorora Town Council</t>
  </si>
  <si>
    <t>Ishongororo</t>
  </si>
  <si>
    <t>Ishongororo Town Council</t>
  </si>
  <si>
    <t>Kagango Division-Ibanda</t>
  </si>
  <si>
    <t>Keihangara</t>
  </si>
  <si>
    <t>Kicuzi</t>
  </si>
  <si>
    <t>Kijongo</t>
  </si>
  <si>
    <t>Kikyenkye</t>
  </si>
  <si>
    <t>Nyamarebe</t>
  </si>
  <si>
    <t>Rukiri</t>
  </si>
  <si>
    <t>Rushango Town Council</t>
  </si>
  <si>
    <t>Bulamogi</t>
  </si>
  <si>
    <t>Iganga</t>
  </si>
  <si>
    <t>Kigulu</t>
  </si>
  <si>
    <t>Busembatia Town Council</t>
  </si>
  <si>
    <t>Bugweri</t>
  </si>
  <si>
    <t>Buyanga-Iganga</t>
  </si>
  <si>
    <t>Ibulanku</t>
  </si>
  <si>
    <t>Iganga Municipality</t>
  </si>
  <si>
    <t>YIGANGA</t>
  </si>
  <si>
    <t>IGANGA</t>
  </si>
  <si>
    <t>IGANGA TOWN</t>
  </si>
  <si>
    <t>Igombe</t>
  </si>
  <si>
    <t>Makuutu</t>
  </si>
  <si>
    <t>Nabitende</t>
  </si>
  <si>
    <t>Nakalama</t>
  </si>
  <si>
    <t>Nakigo</t>
  </si>
  <si>
    <t>Namalemba</t>
  </si>
  <si>
    <t>Nambale</t>
  </si>
  <si>
    <t>Namungalwe</t>
  </si>
  <si>
    <t>Nawandala</t>
  </si>
  <si>
    <t>Nawanyingi</t>
  </si>
  <si>
    <t>Birere</t>
  </si>
  <si>
    <t>Endiinzi</t>
  </si>
  <si>
    <t>Bukanga</t>
  </si>
  <si>
    <t>Endiinzi Town Council</t>
  </si>
  <si>
    <t>Isingiro Town Council</t>
  </si>
  <si>
    <t>ISINGIRO</t>
  </si>
  <si>
    <t>Kaberebere Town Council</t>
  </si>
  <si>
    <t>Kabingo</t>
  </si>
  <si>
    <t>Kabuyanda</t>
  </si>
  <si>
    <t>Kabuyanda Town Council</t>
  </si>
  <si>
    <t>Kakamba-Isingiro</t>
  </si>
  <si>
    <t>Kikagate</t>
  </si>
  <si>
    <t>Masha</t>
  </si>
  <si>
    <t>Mbaare</t>
  </si>
  <si>
    <t>Nakivale Refugee Camp</t>
  </si>
  <si>
    <t>Ngarama</t>
  </si>
  <si>
    <t>Nyakitunda</t>
  </si>
  <si>
    <t>Nyamuyanja</t>
  </si>
  <si>
    <t>Oruchinga Refugee Camp</t>
  </si>
  <si>
    <t>Ruborogota</t>
  </si>
  <si>
    <t>Rugaaga</t>
  </si>
  <si>
    <t>Rushasha</t>
  </si>
  <si>
    <t>Budondo</t>
  </si>
  <si>
    <t>Jinja</t>
  </si>
  <si>
    <t>Kagoma</t>
  </si>
  <si>
    <t>MAGANJO</t>
  </si>
  <si>
    <t>Maganjjo</t>
  </si>
  <si>
    <t>Bugembe Town Council</t>
  </si>
  <si>
    <t>Butembe</t>
  </si>
  <si>
    <t>BUGEMBE</t>
  </si>
  <si>
    <t>Busedde</t>
  </si>
  <si>
    <t>Butagaya</t>
  </si>
  <si>
    <t>Buwenge</t>
  </si>
  <si>
    <t>Buwenge Town Council</t>
  </si>
  <si>
    <t>Buyengo</t>
  </si>
  <si>
    <t>Jinja Municipality</t>
  </si>
  <si>
    <t>JINJA</t>
  </si>
  <si>
    <t>JINJA TOWN</t>
  </si>
  <si>
    <t>NILE BREWERIES</t>
  </si>
  <si>
    <t>Kakira Town Council</t>
  </si>
  <si>
    <t>KAKIRA</t>
  </si>
  <si>
    <t>Mafubira</t>
  </si>
  <si>
    <t>Kaabong East</t>
  </si>
  <si>
    <t>Kaabong</t>
  </si>
  <si>
    <t>Dodoth</t>
  </si>
  <si>
    <t>Kaabong Town Council</t>
  </si>
  <si>
    <t>Kaabong West</t>
  </si>
  <si>
    <t>Kalapata</t>
  </si>
  <si>
    <t>Kamion</t>
  </si>
  <si>
    <t>Kapedo</t>
  </si>
  <si>
    <t>Kathile</t>
  </si>
  <si>
    <t>Kawalakol</t>
  </si>
  <si>
    <t>Lobalangit</t>
  </si>
  <si>
    <t>Lodiko</t>
  </si>
  <si>
    <t>Lolelia</t>
  </si>
  <si>
    <t>Loyoro</t>
  </si>
  <si>
    <t>Napore Karenga</t>
  </si>
  <si>
    <t>Sidok</t>
  </si>
  <si>
    <t>Buhara</t>
  </si>
  <si>
    <t>Kabale</t>
  </si>
  <si>
    <t>Ndorwa</t>
  </si>
  <si>
    <t>Butanda</t>
  </si>
  <si>
    <t>Kabale Municipality</t>
  </si>
  <si>
    <t>town</t>
  </si>
  <si>
    <t>KABALE</t>
  </si>
  <si>
    <t>KABALE BUGOZI</t>
  </si>
  <si>
    <t>Kaharo</t>
  </si>
  <si>
    <t>Kamuganguzi</t>
  </si>
  <si>
    <t>Katuna Town Council</t>
  </si>
  <si>
    <t>Kitumba</t>
  </si>
  <si>
    <t xml:space="preserve">Kitumba </t>
  </si>
  <si>
    <t>Kyanamira</t>
  </si>
  <si>
    <t>Maziba</t>
  </si>
  <si>
    <t>Rubaya-Kabale</t>
  </si>
  <si>
    <t>Ryakirimira Town Council</t>
  </si>
  <si>
    <t>Bukuuku</t>
  </si>
  <si>
    <t>Kabarole</t>
  </si>
  <si>
    <t>Burahya</t>
  </si>
  <si>
    <t>Busoro</t>
  </si>
  <si>
    <t>Fort Portal Municipality</t>
  </si>
  <si>
    <t>FORTPOTAL</t>
  </si>
  <si>
    <t>Fortportal</t>
  </si>
  <si>
    <t>Hakibaale</t>
  </si>
  <si>
    <t>Karago Town Council</t>
  </si>
  <si>
    <t>Karambi-Kabarole</t>
  </si>
  <si>
    <t>Karangura</t>
  </si>
  <si>
    <t>Kasenda</t>
  </si>
  <si>
    <t>Kicwamba</t>
  </si>
  <si>
    <t>Kijura Town Council</t>
  </si>
  <si>
    <t>Kiko Town Council</t>
  </si>
  <si>
    <t>Mugusu</t>
  </si>
  <si>
    <t>Mugusu Town Council</t>
  </si>
  <si>
    <t>Ruteete-Kabarole</t>
  </si>
  <si>
    <t>Alwa</t>
  </si>
  <si>
    <t>Kaberamaido</t>
  </si>
  <si>
    <t>Anyara</t>
  </si>
  <si>
    <t>Kalaki</t>
  </si>
  <si>
    <t>Apapai</t>
  </si>
  <si>
    <t>Aperkira</t>
  </si>
  <si>
    <t>Bululu</t>
  </si>
  <si>
    <t>Kaberamaido Town Council</t>
  </si>
  <si>
    <t>Kakure</t>
  </si>
  <si>
    <t>Kobulubulu</t>
  </si>
  <si>
    <t>Ochero</t>
  </si>
  <si>
    <t>Otuboi</t>
  </si>
  <si>
    <t>Burora</t>
  </si>
  <si>
    <t>Kagadi</t>
  </si>
  <si>
    <t>Buyaga</t>
  </si>
  <si>
    <t>Bwikara</t>
  </si>
  <si>
    <t>Kabamba</t>
  </si>
  <si>
    <t>Kagadi Town Council</t>
  </si>
  <si>
    <t>Kiryanga</t>
  </si>
  <si>
    <t>Kyakabadiima</t>
  </si>
  <si>
    <t>Kyanaisoke</t>
  </si>
  <si>
    <t>Kyaterekera</t>
  </si>
  <si>
    <t>Kyenzige</t>
  </si>
  <si>
    <t>Mabaale</t>
  </si>
  <si>
    <t>Mpeefu</t>
  </si>
  <si>
    <t>Muhorro</t>
  </si>
  <si>
    <t>Muhorro Town Council</t>
  </si>
  <si>
    <t>Ndaiga</t>
  </si>
  <si>
    <t>Paacwa</t>
  </si>
  <si>
    <t>Rugashari</t>
  </si>
  <si>
    <t>Ruteete-Kagadi</t>
  </si>
  <si>
    <t>Birembo</t>
  </si>
  <si>
    <t>Kakumiro</t>
  </si>
  <si>
    <t>Bugangaizi</t>
  </si>
  <si>
    <t>Bwanswa</t>
  </si>
  <si>
    <t>Kakindo</t>
  </si>
  <si>
    <t>Kakumiro Town Council</t>
  </si>
  <si>
    <t>KAKUMIRO</t>
  </si>
  <si>
    <t>Kasambya-Kakumiro</t>
  </si>
  <si>
    <t>Kikwaya</t>
  </si>
  <si>
    <t>Kisiita</t>
  </si>
  <si>
    <t>Kitaihuka</t>
  </si>
  <si>
    <t>Mpasaana</t>
  </si>
  <si>
    <t>Nalweyo</t>
  </si>
  <si>
    <t>Nkooko</t>
  </si>
  <si>
    <t>Bubeke</t>
  </si>
  <si>
    <t>Kalangala</t>
  </si>
  <si>
    <t>Kyamuswa</t>
  </si>
  <si>
    <t>Bufumira</t>
  </si>
  <si>
    <t>Bujumba</t>
  </si>
  <si>
    <t>Kalangala Town Council</t>
  </si>
  <si>
    <t>Mazinga</t>
  </si>
  <si>
    <t>Mugoye</t>
  </si>
  <si>
    <t>Budomero</t>
  </si>
  <si>
    <t>Kaliro</t>
  </si>
  <si>
    <t>Bukamba</t>
  </si>
  <si>
    <t>Bumanya</t>
  </si>
  <si>
    <t>Buyinda</t>
  </si>
  <si>
    <t>Gadumire</t>
  </si>
  <si>
    <t>Kaliro Town Council</t>
  </si>
  <si>
    <t>Kasokwe</t>
  </si>
  <si>
    <t>Kisinda</t>
  </si>
  <si>
    <t>Namugongo-Kaliro</t>
  </si>
  <si>
    <t>Namwiwa</t>
  </si>
  <si>
    <t>Nansololo</t>
  </si>
  <si>
    <t>Nawaikoke</t>
  </si>
  <si>
    <t>Bukulula</t>
  </si>
  <si>
    <t>Kalungu</t>
  </si>
  <si>
    <t>Kalungu Town Council</t>
  </si>
  <si>
    <t>Kyamulibwa</t>
  </si>
  <si>
    <t>Kyamulibwa Town Council</t>
  </si>
  <si>
    <t>Lukaya Town Council</t>
  </si>
  <si>
    <t>BIRONGO</t>
  </si>
  <si>
    <t>Lwabenge</t>
  </si>
  <si>
    <t>Banda</t>
  </si>
  <si>
    <t>Kampala</t>
  </si>
  <si>
    <t>KCCA</t>
  </si>
  <si>
    <t>Bugolobi</t>
  </si>
  <si>
    <t>KITINTALE</t>
  </si>
  <si>
    <t xml:space="preserve"> KINTALE</t>
  </si>
  <si>
    <t>Bukasa</t>
  </si>
  <si>
    <t>Bukesa</t>
  </si>
  <si>
    <t>Busega</t>
  </si>
  <si>
    <t xml:space="preserve">BUSEGA </t>
  </si>
  <si>
    <t xml:space="preserve">MASAKA ROAD </t>
  </si>
  <si>
    <t>Butabika</t>
  </si>
  <si>
    <t>Buziga</t>
  </si>
  <si>
    <t>Buzigga</t>
  </si>
  <si>
    <t>Bwaise</t>
  </si>
  <si>
    <t>BWAISE</t>
  </si>
  <si>
    <t>Civic Centre</t>
  </si>
  <si>
    <t xml:space="preserve">KAMPALA </t>
  </si>
  <si>
    <t>KAMPALA CITY</t>
  </si>
  <si>
    <t>TOWN CITY</t>
  </si>
  <si>
    <t>City Center</t>
  </si>
  <si>
    <t>KAMPALA TOWN</t>
  </si>
  <si>
    <t>KAMPALA ROAD</t>
  </si>
  <si>
    <t>TOWN CENTER</t>
  </si>
  <si>
    <t>SHERATON HOTEL</t>
  </si>
  <si>
    <t>SERENA KAMPALA</t>
  </si>
  <si>
    <t>SERENA</t>
  </si>
  <si>
    <t>CITY TYRES</t>
  </si>
  <si>
    <t>KISEKKA MARKET</t>
  </si>
  <si>
    <t>City centre</t>
  </si>
  <si>
    <t>Clock tower</t>
  </si>
  <si>
    <t>CLOCKTOWER</t>
  </si>
  <si>
    <t>CTYSQUARE</t>
  </si>
  <si>
    <t>Ultima hospital</t>
  </si>
  <si>
    <t>NALULE</t>
  </si>
  <si>
    <t>NAMAYIBA</t>
  </si>
  <si>
    <t>NAMAYIMBA</t>
  </si>
  <si>
    <t>NAMAYIBA PARK</t>
  </si>
  <si>
    <t>WORKERS HOUSE</t>
  </si>
  <si>
    <t>Shoprite</t>
  </si>
  <si>
    <t>LUGOGO</t>
  </si>
  <si>
    <t>KATI KATI</t>
  </si>
  <si>
    <t>Wava water</t>
  </si>
  <si>
    <t xml:space="preserve">Mini price </t>
  </si>
  <si>
    <t>Ben kiwanuka</t>
  </si>
  <si>
    <t>BENKIWANKA</t>
  </si>
  <si>
    <t>SAHSEN PLAZA</t>
  </si>
  <si>
    <t>OWINO</t>
  </si>
  <si>
    <t>TOWN</t>
  </si>
  <si>
    <t>PAL.AVENUE</t>
  </si>
  <si>
    <t>PALIARMENT</t>
  </si>
  <si>
    <t>PALIAMENT</t>
  </si>
  <si>
    <t>UGANDA BAATI</t>
  </si>
  <si>
    <t>Central</t>
  </si>
  <si>
    <t>ARUA PARK</t>
  </si>
  <si>
    <t>ARUAPARK</t>
  </si>
  <si>
    <t>Zai plaza</t>
  </si>
  <si>
    <t>Old taxi park</t>
  </si>
  <si>
    <t>OLDPARK</t>
  </si>
  <si>
    <t>Kikuubo</t>
  </si>
  <si>
    <t>Commercial plaza</t>
  </si>
  <si>
    <t>William street</t>
  </si>
  <si>
    <t>TWIN TOWER</t>
  </si>
  <si>
    <t>WAKISEKA</t>
  </si>
  <si>
    <t>KISEKA</t>
  </si>
  <si>
    <t>MABIRIZI</t>
  </si>
  <si>
    <t>KISOZI HOUSE</t>
  </si>
  <si>
    <t>Africana</t>
  </si>
  <si>
    <t>CONTAINER VILLAGE</t>
  </si>
  <si>
    <t>City parents</t>
  </si>
  <si>
    <t>Mega supermarket</t>
  </si>
  <si>
    <t>Sir Apollo</t>
  </si>
  <si>
    <t>SIR APPOLO</t>
  </si>
  <si>
    <t>SIR APOLLO KAGGWA</t>
  </si>
  <si>
    <t xml:space="preserve">SIR APOLLO KAGGWA ROAD </t>
  </si>
  <si>
    <t>City square</t>
  </si>
  <si>
    <t>CITYSQUARE</t>
  </si>
  <si>
    <t>CITY OIL</t>
  </si>
  <si>
    <t>POLICE HEADQUATERS</t>
  </si>
  <si>
    <t>JINJA RD.</t>
  </si>
  <si>
    <t>YUSUF LULE</t>
  </si>
  <si>
    <t>Bank of Baroda</t>
  </si>
  <si>
    <t>Kafumbe road</t>
  </si>
  <si>
    <t>BUGANDAROAD</t>
  </si>
  <si>
    <t>BUGANDA ROAD</t>
  </si>
  <si>
    <t>NORTHERN BYPASS</t>
  </si>
  <si>
    <t>NORTHERN BY PASS</t>
  </si>
  <si>
    <t>MUKWANO</t>
  </si>
  <si>
    <t>Mukwano arcade</t>
  </si>
  <si>
    <t>QUEENS WAY</t>
  </si>
  <si>
    <t xml:space="preserve">Speke road </t>
  </si>
  <si>
    <t>CENTRAL POLICE STATION</t>
  </si>
  <si>
    <t>KIKUBO</t>
  </si>
  <si>
    <t>Nakivubo</t>
  </si>
  <si>
    <t>Nassa</t>
  </si>
  <si>
    <t>NASHA</t>
  </si>
  <si>
    <t>Nasser</t>
  </si>
  <si>
    <t xml:space="preserve">NASSER </t>
  </si>
  <si>
    <t>HAM PLAZA</t>
  </si>
  <si>
    <t>GOLF CLUB</t>
  </si>
  <si>
    <t>NASSER ROAD</t>
  </si>
  <si>
    <t>BOMBO ROAD</t>
  </si>
  <si>
    <t>TOWN CITY CENTRE</t>
  </si>
  <si>
    <t>ENTEBBE ROAD</t>
  </si>
  <si>
    <t>Entebbe Rd</t>
  </si>
  <si>
    <t>ENERGY CENTRE</t>
  </si>
  <si>
    <t>Nkurumah</t>
  </si>
  <si>
    <t>Lumumba Avenue</t>
  </si>
  <si>
    <t xml:space="preserve">Lumumba </t>
  </si>
  <si>
    <t>LUMUMBA</t>
  </si>
  <si>
    <t>LUWUUM STREET</t>
  </si>
  <si>
    <t>PARLIAMENT AVENUE</t>
  </si>
  <si>
    <t>CEMENTERS</t>
  </si>
  <si>
    <t>Usafi</t>
  </si>
  <si>
    <t>WATOTO</t>
  </si>
  <si>
    <t>MAPEERA</t>
  </si>
  <si>
    <t>HARM TOWER</t>
  </si>
  <si>
    <t>Galilaya</t>
  </si>
  <si>
    <t>SIX STREET</t>
  </si>
  <si>
    <t>GAZALAND</t>
  </si>
  <si>
    <t>La bonita</t>
  </si>
  <si>
    <t>NATIONAL THEATRE</t>
  </si>
  <si>
    <t>RESORT HOTEL</t>
  </si>
  <si>
    <t>GARDEN CITY</t>
  </si>
  <si>
    <t>MULWANA</t>
  </si>
  <si>
    <t>Magistrate court</t>
  </si>
  <si>
    <t>HANINGTON ROAD</t>
  </si>
  <si>
    <t>Jinja road</t>
  </si>
  <si>
    <t>Charm Tower</t>
  </si>
  <si>
    <t>New taxi park</t>
  </si>
  <si>
    <t>NEWPARK</t>
  </si>
  <si>
    <t>NEWTAXI PARK</t>
  </si>
  <si>
    <t>NEW TAX PARK</t>
  </si>
  <si>
    <t>TAXI PARK</t>
  </si>
  <si>
    <t>LUFULA STAGE</t>
  </si>
  <si>
    <t>EQUITORIAL HOTEL</t>
  </si>
  <si>
    <t>PARK</t>
  </si>
  <si>
    <t>DE WITTON</t>
  </si>
  <si>
    <t>Mini price</t>
  </si>
  <si>
    <t>MINIPRICE</t>
  </si>
  <si>
    <t>Gaba</t>
  </si>
  <si>
    <t xml:space="preserve"> BUZIGA</t>
  </si>
  <si>
    <t>KASANGA</t>
  </si>
  <si>
    <t>Munyonyo</t>
  </si>
  <si>
    <t>Muyoyo</t>
  </si>
  <si>
    <t>Busaabala</t>
  </si>
  <si>
    <t>Busabaala</t>
  </si>
  <si>
    <t>BUSABALA</t>
  </si>
  <si>
    <t>GANGU</t>
  </si>
  <si>
    <t>KIBIRI</t>
  </si>
  <si>
    <t>Kazi</t>
  </si>
  <si>
    <t>Ggaba</t>
  </si>
  <si>
    <t xml:space="preserve">Bunga  </t>
  </si>
  <si>
    <t>BUNGA</t>
  </si>
  <si>
    <t>Kiruddu</t>
  </si>
  <si>
    <t>KILUDDU</t>
  </si>
  <si>
    <t>Kirundu</t>
  </si>
  <si>
    <t>Kirudu</t>
  </si>
  <si>
    <t>KIRUDU HOSPITAL</t>
  </si>
  <si>
    <t>Industrial Area</t>
  </si>
  <si>
    <t>INDUSTRIAL AREA</t>
  </si>
  <si>
    <t>IDUSTRAL AREA</t>
  </si>
  <si>
    <t>Iindustrial area</t>
  </si>
  <si>
    <t>Industrial Street</t>
  </si>
  <si>
    <t xml:space="preserve">SIXTH STEET </t>
  </si>
  <si>
    <t>SEVENTH STREET</t>
  </si>
  <si>
    <t>NAMUWONGO</t>
  </si>
  <si>
    <t>NEW VISSION</t>
  </si>
  <si>
    <t>Itek</t>
  </si>
  <si>
    <t>Kabalagala</t>
  </si>
  <si>
    <t>Muyenga</t>
  </si>
  <si>
    <t>Kabowa</t>
  </si>
  <si>
    <t>Wankulukuku</t>
  </si>
  <si>
    <t>Kagugube</t>
  </si>
  <si>
    <t>Kamwokya</t>
  </si>
  <si>
    <t>MUESEUM</t>
  </si>
  <si>
    <t>MUSEUM</t>
  </si>
  <si>
    <t>Hillside</t>
  </si>
  <si>
    <t>British embassy</t>
  </si>
  <si>
    <t>ACACIA</t>
  </si>
  <si>
    <t>ACCACIA</t>
  </si>
  <si>
    <t>ACACIA MALL</t>
  </si>
  <si>
    <t>Kisementi</t>
  </si>
  <si>
    <t>Lohanna</t>
  </si>
  <si>
    <t>KAMOKYA</t>
  </si>
  <si>
    <t>Mawanda</t>
  </si>
  <si>
    <t>MAWANDA RD</t>
  </si>
  <si>
    <t>Kansanga</t>
  </si>
  <si>
    <t>Kanyanya</t>
  </si>
  <si>
    <t>Kanyaya</t>
  </si>
  <si>
    <t>Kayaya</t>
  </si>
  <si>
    <t>TUULA</t>
  </si>
  <si>
    <t>Kasubi</t>
  </si>
  <si>
    <t>KASSUB</t>
  </si>
  <si>
    <t>KILOKOLE</t>
  </si>
  <si>
    <t>KIROKORE</t>
  </si>
  <si>
    <t>Bulanga</t>
  </si>
  <si>
    <t>NAMUNGONA</t>
  </si>
  <si>
    <t>NAMUGONA</t>
  </si>
  <si>
    <t>NAMUNGOONA</t>
  </si>
  <si>
    <t>Katwe</t>
  </si>
  <si>
    <t>KABUSU</t>
  </si>
  <si>
    <t>Kawempe</t>
  </si>
  <si>
    <t>KAWEMPE HOSPITAL</t>
  </si>
  <si>
    <t>TICK HOTEL</t>
  </si>
  <si>
    <t>TULA</t>
  </si>
  <si>
    <t>Tula Kawempe</t>
  </si>
  <si>
    <t xml:space="preserve">TULA ROAD </t>
  </si>
  <si>
    <t>Kazo Angola</t>
  </si>
  <si>
    <t>Kazzo</t>
  </si>
  <si>
    <t>Kaazo</t>
  </si>
  <si>
    <t>ANGOLA</t>
  </si>
  <si>
    <t>Kibuli</t>
  </si>
  <si>
    <t>Kibuye</t>
  </si>
  <si>
    <t xml:space="preserve">KIBUYE </t>
  </si>
  <si>
    <t>KOBIL</t>
  </si>
  <si>
    <t>Kikaaya</t>
  </si>
  <si>
    <t xml:space="preserve">Kisenyi </t>
  </si>
  <si>
    <t>Kibwa</t>
  </si>
  <si>
    <t>Kisugu</t>
  </si>
  <si>
    <t>KABONA</t>
  </si>
  <si>
    <t>MBOGO</t>
  </si>
  <si>
    <t>KAWEMBE MBOGO</t>
  </si>
  <si>
    <t>Kiswa</t>
  </si>
  <si>
    <t>Kiwatule</t>
  </si>
  <si>
    <t>Kololo</t>
  </si>
  <si>
    <t>WAMPEWO ANVENU</t>
  </si>
  <si>
    <t>Wampeewo</t>
  </si>
  <si>
    <t>WAMPEWO</t>
  </si>
  <si>
    <t>Komamboga</t>
  </si>
  <si>
    <t>Kyambogo</t>
  </si>
  <si>
    <t>Kyanja</t>
  </si>
  <si>
    <t>KITETIKA</t>
  </si>
  <si>
    <t>Kumamboga</t>
  </si>
  <si>
    <t>KISASI</t>
  </si>
  <si>
    <t>Kisaasi</t>
  </si>
  <si>
    <t>KULAMBIRO</t>
  </si>
  <si>
    <t>Kyebando</t>
  </si>
  <si>
    <t>DELTA KYEBANDO</t>
  </si>
  <si>
    <t>NSOOBA KYEBANDO</t>
  </si>
  <si>
    <t>Nsoba</t>
  </si>
  <si>
    <t>Nsooba</t>
  </si>
  <si>
    <t>Kalerwe</t>
  </si>
  <si>
    <t>Kalewre</t>
  </si>
  <si>
    <t>Kalerwe market</t>
  </si>
  <si>
    <t>Mabule</t>
  </si>
  <si>
    <t>Manbule</t>
  </si>
  <si>
    <t>Mambure</t>
  </si>
  <si>
    <t>Mambule</t>
  </si>
  <si>
    <t>Lubaga</t>
  </si>
  <si>
    <t>Rubaga</t>
  </si>
  <si>
    <t>RUBAGA HOSPITAL</t>
  </si>
  <si>
    <t>MASANAFU</t>
  </si>
  <si>
    <t>Lukuli</t>
  </si>
  <si>
    <t>Lungujja</t>
  </si>
  <si>
    <t>LUNGUJA</t>
  </si>
  <si>
    <t>Wakaliga</t>
  </si>
  <si>
    <t>Luwafu</t>
  </si>
  <si>
    <t>Lyati stage</t>
  </si>
  <si>
    <t>Lwasa stage</t>
  </si>
  <si>
    <t>LUWASA</t>
  </si>
  <si>
    <t>Kulwasa</t>
  </si>
  <si>
    <t>Katuba stage</t>
  </si>
  <si>
    <t>Luzira</t>
  </si>
  <si>
    <t>LUZIRA</t>
  </si>
  <si>
    <t>Luzira Prisons</t>
  </si>
  <si>
    <t xml:space="preserve">LUZIRA </t>
  </si>
  <si>
    <t>PORT BELL ROAD</t>
  </si>
  <si>
    <t>KIROMBE</t>
  </si>
  <si>
    <t>Kunya</t>
  </si>
  <si>
    <t>Makerere</t>
  </si>
  <si>
    <t>KIYINDI</t>
  </si>
  <si>
    <t>BBIRA</t>
  </si>
  <si>
    <t>Bira</t>
  </si>
  <si>
    <t>KAVULE</t>
  </si>
  <si>
    <t>KIKONI</t>
  </si>
  <si>
    <t>KIKONI MAKERERE</t>
  </si>
  <si>
    <t>KALULWE</t>
  </si>
  <si>
    <t>Makerere University</t>
  </si>
  <si>
    <t>MAKERERE COLLEGE</t>
  </si>
  <si>
    <t>Makindye</t>
  </si>
  <si>
    <t>MAKYINDYE</t>
  </si>
  <si>
    <t>KIZUNGU</t>
  </si>
  <si>
    <t>Mbuya</t>
  </si>
  <si>
    <t>MBUYA POLICE</t>
  </si>
  <si>
    <t>Mengo</t>
  </si>
  <si>
    <t>MENGO HOSPITAL</t>
  </si>
  <si>
    <t>Mpererwe</t>
  </si>
  <si>
    <t>MPERELWE</t>
  </si>
  <si>
    <t>MPERWRWE</t>
  </si>
  <si>
    <t>MPELERWE</t>
  </si>
  <si>
    <t>Namere</t>
  </si>
  <si>
    <t>NAMERE MPELERWE</t>
  </si>
  <si>
    <t>KATALEMWA</t>
  </si>
  <si>
    <t>KATEMWA</t>
  </si>
  <si>
    <t>Mulago</t>
  </si>
  <si>
    <t>KIUBIRI MULAGO</t>
  </si>
  <si>
    <t>Mutundwe</t>
  </si>
  <si>
    <t>NALUMUNYE</t>
  </si>
  <si>
    <t>Nyanama</t>
  </si>
  <si>
    <t>MOVIT (LTD)</t>
  </si>
  <si>
    <t>NALUKONGO</t>
  </si>
  <si>
    <t>Mutungo</t>
  </si>
  <si>
    <t>Mutungo Binna</t>
  </si>
  <si>
    <t>KITIKO</t>
  </si>
  <si>
    <t>MUTUNGA</t>
  </si>
  <si>
    <t>BINA</t>
  </si>
  <si>
    <t>Nabisunsa</t>
  </si>
  <si>
    <t>Naguru</t>
  </si>
  <si>
    <t>Nagulu</t>
  </si>
  <si>
    <t>Najjanankumbi</t>
  </si>
  <si>
    <t>NAJANANKUBI</t>
  </si>
  <si>
    <t>NAJJANAKUMBI</t>
  </si>
  <si>
    <t>NAJANANKUMBI</t>
  </si>
  <si>
    <t>SITELLA</t>
  </si>
  <si>
    <t>Freedom city</t>
  </si>
  <si>
    <t>Zana</t>
  </si>
  <si>
    <t>Nakasero</t>
  </si>
  <si>
    <t>MEAT PACK</t>
  </si>
  <si>
    <t>RWENZORI COURTS</t>
  </si>
  <si>
    <t>FAIRWAY</t>
  </si>
  <si>
    <t>Nakawa</t>
  </si>
  <si>
    <t>Nakawa Institute</t>
  </si>
  <si>
    <t>Kinawataka</t>
  </si>
  <si>
    <t>Nakivubo Shauriyaako</t>
  </si>
  <si>
    <t>Namirembe</t>
  </si>
  <si>
    <t>NAMIREMBE ROAD</t>
  </si>
  <si>
    <t>Bakuli</t>
  </si>
  <si>
    <t>Nankulabye</t>
  </si>
  <si>
    <t>NAKULABYE</t>
  </si>
  <si>
    <t>Nateete</t>
  </si>
  <si>
    <t>NATETEE</t>
  </si>
  <si>
    <t>Natete</t>
  </si>
  <si>
    <t>Ndeeba</t>
  </si>
  <si>
    <t>Ndeba</t>
  </si>
  <si>
    <t>Nsambya</t>
  </si>
  <si>
    <t>Nsabya</t>
  </si>
  <si>
    <t>Nsambya Police Barracks</t>
  </si>
  <si>
    <t>Nsambya Railway</t>
  </si>
  <si>
    <t>Ntinda</t>
  </si>
  <si>
    <t>UNEBU</t>
  </si>
  <si>
    <t>NALYA</t>
  </si>
  <si>
    <t>Naalya</t>
  </si>
  <si>
    <t>NALYA ESTATE</t>
  </si>
  <si>
    <t>Wazalendo</t>
  </si>
  <si>
    <t>Old Kampala</t>
  </si>
  <si>
    <t>OLDKAMPALA</t>
  </si>
  <si>
    <t>Old Park</t>
  </si>
  <si>
    <t>NAMYIBA</t>
  </si>
  <si>
    <t>Salaama</t>
  </si>
  <si>
    <t>Salama</t>
  </si>
  <si>
    <t>Mayanja</t>
  </si>
  <si>
    <t>Kyamula</t>
  </si>
  <si>
    <t>St Ponsiano</t>
  </si>
  <si>
    <t>Muswangali</t>
  </si>
  <si>
    <t>Kulekana</t>
  </si>
  <si>
    <t>Upk</t>
  </si>
  <si>
    <t>Upper Estate</t>
  </si>
  <si>
    <t>Wabigalo</t>
  </si>
  <si>
    <t>Wandegeya</t>
  </si>
  <si>
    <t>WANDEKEYA</t>
  </si>
  <si>
    <t>KIRA ROAD</t>
  </si>
  <si>
    <t>PUBLIC SERVICE WANDEGEYA</t>
  </si>
  <si>
    <t>KUBIRI</t>
  </si>
  <si>
    <t>KUBIIRI</t>
  </si>
  <si>
    <t>Balawoli</t>
  </si>
  <si>
    <t>Kamuli</t>
  </si>
  <si>
    <t>Bugabula</t>
  </si>
  <si>
    <t>Bugulumbya</t>
  </si>
  <si>
    <t>Buzaaya</t>
  </si>
  <si>
    <t>Bulopa</t>
  </si>
  <si>
    <t>Butansi</t>
  </si>
  <si>
    <t>Kamuli Municipality</t>
  </si>
  <si>
    <t>KAMULI TOWN</t>
  </si>
  <si>
    <t>Kisozi</t>
  </si>
  <si>
    <t>Kitayunjwa</t>
  </si>
  <si>
    <t>Mbulamuti</t>
  </si>
  <si>
    <t>Nabwigulu</t>
  </si>
  <si>
    <t>Namasagali</t>
  </si>
  <si>
    <t>Namwendwa</t>
  </si>
  <si>
    <t>Nawanyago</t>
  </si>
  <si>
    <t>LUMULI</t>
  </si>
  <si>
    <t>KIRORO</t>
  </si>
  <si>
    <t>Wankole</t>
  </si>
  <si>
    <t>Biguli</t>
  </si>
  <si>
    <t>Bihanga-Kamwenge</t>
  </si>
  <si>
    <t>Buhanda</t>
  </si>
  <si>
    <t>Kitagwenda</t>
  </si>
  <si>
    <t>Busiriba</t>
  </si>
  <si>
    <t>Bwizi</t>
  </si>
  <si>
    <t>Kabambiro</t>
  </si>
  <si>
    <t>Kahunge</t>
  </si>
  <si>
    <t>Kamwenge Town Council</t>
  </si>
  <si>
    <t>Kanara-Kamwenge</t>
  </si>
  <si>
    <t>Kicheche</t>
  </si>
  <si>
    <t>Mahyoro</t>
  </si>
  <si>
    <t>Nkoma</t>
  </si>
  <si>
    <t>Ntara</t>
  </si>
  <si>
    <t>Nyabbani</t>
  </si>
  <si>
    <t>Rwamwanja Refugee Camp</t>
  </si>
  <si>
    <t>Butogota Town Council</t>
  </si>
  <si>
    <t>Kanungu</t>
  </si>
  <si>
    <t>Kinkiizi</t>
  </si>
  <si>
    <t>Kambuga</t>
  </si>
  <si>
    <t>Kambuga Town Council</t>
  </si>
  <si>
    <t>Kanungu Town Council</t>
  </si>
  <si>
    <t>KANUNGU</t>
  </si>
  <si>
    <t>Kanyantorogo</t>
  </si>
  <si>
    <t>Katete</t>
  </si>
  <si>
    <t>Kayonza-Kanungu</t>
  </si>
  <si>
    <t>Kihihi</t>
  </si>
  <si>
    <t>Kihiihi Town Council</t>
  </si>
  <si>
    <t>Kinaaba</t>
  </si>
  <si>
    <t>Kirima</t>
  </si>
  <si>
    <t>Mpungu</t>
  </si>
  <si>
    <t>Nyakinoni</t>
  </si>
  <si>
    <t>Nyamirama</t>
  </si>
  <si>
    <t>Nyanga</t>
  </si>
  <si>
    <t>Rugyeyo</t>
  </si>
  <si>
    <t>Rutenga</t>
  </si>
  <si>
    <t>Amukol</t>
  </si>
  <si>
    <t>Kapchorwa</t>
  </si>
  <si>
    <t>Tingey</t>
  </si>
  <si>
    <t>Chema</t>
  </si>
  <si>
    <t>Chepterech</t>
  </si>
  <si>
    <t>Gamogo</t>
  </si>
  <si>
    <t>Kabeywa</t>
  </si>
  <si>
    <t>Kapchorwa Municipality</t>
  </si>
  <si>
    <t>Kapsinda</t>
  </si>
  <si>
    <t>Kaptanya</t>
  </si>
  <si>
    <t>Kaserem</t>
  </si>
  <si>
    <t>Kawowo</t>
  </si>
  <si>
    <t>Munarya</t>
  </si>
  <si>
    <t>Sipi</t>
  </si>
  <si>
    <t>Bugoye</t>
  </si>
  <si>
    <t>Busongora</t>
  </si>
  <si>
    <t>Buhuhira</t>
  </si>
  <si>
    <t>Bwesumbu</t>
  </si>
  <si>
    <t>Hima Town Council</t>
  </si>
  <si>
    <t>Ihandiro</t>
  </si>
  <si>
    <t>Isango</t>
  </si>
  <si>
    <t>Karambi-Kasese</t>
  </si>
  <si>
    <t>Karusandara</t>
  </si>
  <si>
    <t>Kasese Municipality</t>
  </si>
  <si>
    <t>KASESE</t>
  </si>
  <si>
    <t>QUEEN ELIZABETH N.PARK</t>
  </si>
  <si>
    <t>Katwe Kabatoro Town Council</t>
  </si>
  <si>
    <t>Kilembe</t>
  </si>
  <si>
    <t>Kisinga</t>
  </si>
  <si>
    <t>Kisinga Town Council</t>
  </si>
  <si>
    <t>Kitholhu</t>
  </si>
  <si>
    <t>Kitswamba</t>
  </si>
  <si>
    <t>Kyabarungira</t>
  </si>
  <si>
    <t>Kyarumba</t>
  </si>
  <si>
    <t>Kyondo</t>
  </si>
  <si>
    <t>Lake Katwe</t>
  </si>
  <si>
    <t>Mahango</t>
  </si>
  <si>
    <t>Maliba</t>
  </si>
  <si>
    <t>Mpondwe-Lhubiriha</t>
  </si>
  <si>
    <t>Muhokya</t>
  </si>
  <si>
    <t>Munkunyu</t>
  </si>
  <si>
    <t>Nyakatonzi</t>
  </si>
  <si>
    <t>Nyakiyumbu</t>
  </si>
  <si>
    <t>Rukoki</t>
  </si>
  <si>
    <t>Kapujan</t>
  </si>
  <si>
    <t>Katakwi</t>
  </si>
  <si>
    <t>Toroma</t>
  </si>
  <si>
    <t>Usuk</t>
  </si>
  <si>
    <t>Katakwi Town Council</t>
  </si>
  <si>
    <t>NAKAPIRIPIRITI</t>
  </si>
  <si>
    <t>Magoro</t>
  </si>
  <si>
    <t>Ngariam</t>
  </si>
  <si>
    <t>Omodoi</t>
  </si>
  <si>
    <t>Ongongoja</t>
  </si>
  <si>
    <t>Palam</t>
  </si>
  <si>
    <t>Bbaale</t>
  </si>
  <si>
    <t>Kayunga</t>
  </si>
  <si>
    <t>Busaana</t>
  </si>
  <si>
    <t>Ntenjeru</t>
  </si>
  <si>
    <t>Galiraya</t>
  </si>
  <si>
    <t>Kangulumira</t>
  </si>
  <si>
    <t>Kayonza-Kayunga</t>
  </si>
  <si>
    <t>Kayunga Town Council</t>
  </si>
  <si>
    <t>KAYUNGA HOSPITAL</t>
  </si>
  <si>
    <t>KALAGI</t>
  </si>
  <si>
    <t>BUKOLOTO</t>
  </si>
  <si>
    <t>Bugerere</t>
  </si>
  <si>
    <t>Bugelele</t>
  </si>
  <si>
    <t>Kitimbwa</t>
  </si>
  <si>
    <t>Nazigo</t>
  </si>
  <si>
    <t>Bubango</t>
  </si>
  <si>
    <t>Kibaale</t>
  </si>
  <si>
    <t>Buyanja</t>
  </si>
  <si>
    <t>Bwamiramira</t>
  </si>
  <si>
    <t>Kabasekende</t>
  </si>
  <si>
    <t>Kasimbi</t>
  </si>
  <si>
    <t>Kibaale Town Council</t>
  </si>
  <si>
    <t>Matale</t>
  </si>
  <si>
    <t>Mugarama</t>
  </si>
  <si>
    <t>Nyamarunda</t>
  </si>
  <si>
    <t>Nyamarwa</t>
  </si>
  <si>
    <t>Bukomero</t>
  </si>
  <si>
    <t>Kiboga</t>
  </si>
  <si>
    <t>Bukomero Town Council</t>
  </si>
  <si>
    <t>KATERA</t>
  </si>
  <si>
    <t>Ddwaniro-Kiboga</t>
  </si>
  <si>
    <t>Kapeke</t>
  </si>
  <si>
    <t>Kibiga</t>
  </si>
  <si>
    <t>Kiboga Town Council</t>
  </si>
  <si>
    <t>Lwamata</t>
  </si>
  <si>
    <t>Muwanga</t>
  </si>
  <si>
    <t>Bulangira</t>
  </si>
  <si>
    <t>Kibuku</t>
  </si>
  <si>
    <t>Buseta</t>
  </si>
  <si>
    <t>Kabweri</t>
  </si>
  <si>
    <t>Kadama</t>
  </si>
  <si>
    <t>Kagumu</t>
  </si>
  <si>
    <t>Kasasira</t>
  </si>
  <si>
    <t>Kibuku Town Council</t>
  </si>
  <si>
    <t>Kirika</t>
  </si>
  <si>
    <t>Tirinyi</t>
  </si>
  <si>
    <t>Buremba</t>
  </si>
  <si>
    <t>Kiruhura</t>
  </si>
  <si>
    <t>Kazo</t>
  </si>
  <si>
    <t>Burunga</t>
  </si>
  <si>
    <t>Engari</t>
  </si>
  <si>
    <t>Kanoni</t>
  </si>
  <si>
    <t>Kanyaryeru</t>
  </si>
  <si>
    <t>Nyabushozi</t>
  </si>
  <si>
    <t>Kashongi</t>
  </si>
  <si>
    <t xml:space="preserve">KAZO </t>
  </si>
  <si>
    <t>KAWALA</t>
  </si>
  <si>
    <t>KAWAALA</t>
  </si>
  <si>
    <t>Kazo Town Council</t>
  </si>
  <si>
    <t>Kenshunga</t>
  </si>
  <si>
    <t>Kikaatsi</t>
  </si>
  <si>
    <t>Kinoni-Kiruhura</t>
  </si>
  <si>
    <t>Kiruhura Town Council</t>
  </si>
  <si>
    <t>Kitura</t>
  </si>
  <si>
    <t>Nkungu</t>
  </si>
  <si>
    <t>Nyakashashara</t>
  </si>
  <si>
    <t>Rwemikoma</t>
  </si>
  <si>
    <t>Sanga</t>
  </si>
  <si>
    <t>Sanga Town Council</t>
  </si>
  <si>
    <t>Bweyale Town Council</t>
  </si>
  <si>
    <t>Kiryandongo</t>
  </si>
  <si>
    <t>Kibanda</t>
  </si>
  <si>
    <t>Kigumba</t>
  </si>
  <si>
    <t>Kigumba Town Council</t>
  </si>
  <si>
    <t>Kiryandongo Refugee Camp</t>
  </si>
  <si>
    <t>Kiryandongo Town Council</t>
  </si>
  <si>
    <t>KIRYANDO</t>
  </si>
  <si>
    <t>KIRINYABIGO</t>
  </si>
  <si>
    <t>KILYADONGO</t>
  </si>
  <si>
    <t>Masindi Port</t>
  </si>
  <si>
    <t>MASINDI</t>
  </si>
  <si>
    <t>Mutunda</t>
  </si>
  <si>
    <t>Bukimbiri</t>
  </si>
  <si>
    <t>Kisoro</t>
  </si>
  <si>
    <t>Bufumbira</t>
  </si>
  <si>
    <t>Busanza</t>
  </si>
  <si>
    <t>Chahi</t>
  </si>
  <si>
    <t>Kanaba</t>
  </si>
  <si>
    <t>Kirundo</t>
  </si>
  <si>
    <t>Kisoro Municipality</t>
  </si>
  <si>
    <t>Muramba</t>
  </si>
  <si>
    <t>Murora</t>
  </si>
  <si>
    <t>Nyabwishenya</t>
  </si>
  <si>
    <t>Nyakabande</t>
  </si>
  <si>
    <t>Nyakinama</t>
  </si>
  <si>
    <t>Nyarubuye</t>
  </si>
  <si>
    <t>Nyarusiza</t>
  </si>
  <si>
    <t>Nyundo</t>
  </si>
  <si>
    <t>Rubuguri Town Council</t>
  </si>
  <si>
    <t>Kitgum Matidi</t>
  </si>
  <si>
    <t>Kitgum</t>
  </si>
  <si>
    <t>Chua</t>
  </si>
  <si>
    <t>Kitgum Municipality</t>
  </si>
  <si>
    <t>KITGUM</t>
  </si>
  <si>
    <t>Labongo Akwang</t>
  </si>
  <si>
    <t>Labongo Amida</t>
  </si>
  <si>
    <t>Labongo Layamo</t>
  </si>
  <si>
    <t>Lagoro</t>
  </si>
  <si>
    <t>Mucwini</t>
  </si>
  <si>
    <t>Namokora</t>
  </si>
  <si>
    <t>Omiya Anyima</t>
  </si>
  <si>
    <t>Orom</t>
  </si>
  <si>
    <t>Abuku</t>
  </si>
  <si>
    <t>Koboko</t>
  </si>
  <si>
    <t>Dranya</t>
  </si>
  <si>
    <t>Koboko Municipality</t>
  </si>
  <si>
    <t>Kuluba</t>
  </si>
  <si>
    <t>Lobule</t>
  </si>
  <si>
    <t>Ludara</t>
  </si>
  <si>
    <t>Midia</t>
  </si>
  <si>
    <t>Aboke</t>
  </si>
  <si>
    <t>Kole</t>
  </si>
  <si>
    <t>Akalo</t>
  </si>
  <si>
    <t>Alito</t>
  </si>
  <si>
    <t>Ayer</t>
  </si>
  <si>
    <t>Bala</t>
  </si>
  <si>
    <t>Kole Town Council</t>
  </si>
  <si>
    <t>Okwerodot</t>
  </si>
  <si>
    <t>Kacheri</t>
  </si>
  <si>
    <t>Kotido</t>
  </si>
  <si>
    <t>Jie</t>
  </si>
  <si>
    <t>Kotido Municipality</t>
  </si>
  <si>
    <t>Nakapelimoru</t>
  </si>
  <si>
    <t>Panyangara</t>
  </si>
  <si>
    <t>Rengen</t>
  </si>
  <si>
    <t>Atutur</t>
  </si>
  <si>
    <t>Kumi</t>
  </si>
  <si>
    <t>Kanyum</t>
  </si>
  <si>
    <t>Kumi Municipality</t>
  </si>
  <si>
    <t>Mukongoro</t>
  </si>
  <si>
    <t>Nyero</t>
  </si>
  <si>
    <t>Ongino</t>
  </si>
  <si>
    <t>Benet</t>
  </si>
  <si>
    <t>Kween</t>
  </si>
  <si>
    <t>Binyiny</t>
  </si>
  <si>
    <t>Binyiny Town Council</t>
  </si>
  <si>
    <t>Kaproron</t>
  </si>
  <si>
    <t>Kaptoyoy</t>
  </si>
  <si>
    <t>Kaptum</t>
  </si>
  <si>
    <t>Kiriki</t>
  </si>
  <si>
    <t>Kitawoi</t>
  </si>
  <si>
    <t>Kwanyiy</t>
  </si>
  <si>
    <t>Kwosir</t>
  </si>
  <si>
    <t>Moyok</t>
  </si>
  <si>
    <t>Ngenge</t>
  </si>
  <si>
    <t>Bananywa</t>
  </si>
  <si>
    <t>Kyankwanzi</t>
  </si>
  <si>
    <t>Butemba</t>
  </si>
  <si>
    <t>Butemba Town Council</t>
  </si>
  <si>
    <t>Byerima</t>
  </si>
  <si>
    <t>Gayaza</t>
  </si>
  <si>
    <t>KUMBUZI</t>
  </si>
  <si>
    <t>Kobil Gayaza Road</t>
  </si>
  <si>
    <t>MUKITI GAYAZA ROAD</t>
  </si>
  <si>
    <t>Manyangwa</t>
  </si>
  <si>
    <t>MAYAGWA</t>
  </si>
  <si>
    <t>MAYANGWA</t>
  </si>
  <si>
    <t>MANYANGWA GAYAZA</t>
  </si>
  <si>
    <t>Busika</t>
  </si>
  <si>
    <t>Busiika</t>
  </si>
  <si>
    <t>Lusanja</t>
  </si>
  <si>
    <t>LUSAJA</t>
  </si>
  <si>
    <t>Lusanje</t>
  </si>
  <si>
    <t>MAGERE</t>
  </si>
  <si>
    <t>KIWENDA</t>
  </si>
  <si>
    <t>MAGEJE GAYAZA</t>
  </si>
  <si>
    <t>Kyankwanzi Town Council</t>
  </si>
  <si>
    <t>Mulagi</t>
  </si>
  <si>
    <t>Nkandwa</t>
  </si>
  <si>
    <t>Ntwetwe</t>
  </si>
  <si>
    <t>Ntwetwe Town Council</t>
  </si>
  <si>
    <t>Wattuba</t>
  </si>
  <si>
    <t>Hapuuyo</t>
  </si>
  <si>
    <t>Kyegegwa</t>
  </si>
  <si>
    <t>Kyaka</t>
  </si>
  <si>
    <t>Kabweza Kyegegwa</t>
  </si>
  <si>
    <t>Kakabara</t>
  </si>
  <si>
    <t>Kasule</t>
  </si>
  <si>
    <t>Kyaka Ii Refugee Camp</t>
  </si>
  <si>
    <t>Kyegegwa Town Council</t>
  </si>
  <si>
    <t>KYEGEGWA</t>
  </si>
  <si>
    <t>Mpara</t>
  </si>
  <si>
    <t>Ruyonza</t>
  </si>
  <si>
    <t>Rwentuha</t>
  </si>
  <si>
    <t>Bufunjo</t>
  </si>
  <si>
    <t>Kyenjojo</t>
  </si>
  <si>
    <t>Mwenge</t>
  </si>
  <si>
    <t>Bugaaki</t>
  </si>
  <si>
    <t>Butiiti</t>
  </si>
  <si>
    <t>Butunduzi</t>
  </si>
  <si>
    <t>Butunduzi Town Council</t>
  </si>
  <si>
    <t>Katooke</t>
  </si>
  <si>
    <t>KATOKE</t>
  </si>
  <si>
    <t>Katooke Town Council</t>
  </si>
  <si>
    <t>Kigaraale</t>
  </si>
  <si>
    <t>Kihuura</t>
  </si>
  <si>
    <t>Kisojo</t>
  </si>
  <si>
    <t>Kyarusozi</t>
  </si>
  <si>
    <t>Kyarusozi Town Council</t>
  </si>
  <si>
    <t>Kyenjojo Town Council</t>
  </si>
  <si>
    <t>Nyabuharwa</t>
  </si>
  <si>
    <t>Nyankwanzi</t>
  </si>
  <si>
    <t>Nyantungo</t>
  </si>
  <si>
    <t>Kabira</t>
  </si>
  <si>
    <t>Kyotera</t>
  </si>
  <si>
    <t>Kalisizo</t>
  </si>
  <si>
    <t>Kalisizo Town Council</t>
  </si>
  <si>
    <t>Kasasa</t>
  </si>
  <si>
    <t>Kooki</t>
  </si>
  <si>
    <t>Kirumba</t>
  </si>
  <si>
    <t>Kyebe</t>
  </si>
  <si>
    <t>Kyotera Town Council</t>
  </si>
  <si>
    <t>Lutete</t>
  </si>
  <si>
    <t>Luttete</t>
  </si>
  <si>
    <t>Lwankoni</t>
  </si>
  <si>
    <t>Nabigasa</t>
  </si>
  <si>
    <t>Agoro</t>
  </si>
  <si>
    <t>Lamwo</t>
  </si>
  <si>
    <t>Lamwo Town Council</t>
  </si>
  <si>
    <t>Lokung</t>
  </si>
  <si>
    <t>Madi Opei</t>
  </si>
  <si>
    <t>Padibe</t>
  </si>
  <si>
    <t>Palabek</t>
  </si>
  <si>
    <t>Paloga</t>
  </si>
  <si>
    <t>Adekokwok</t>
  </si>
  <si>
    <t>Lira</t>
  </si>
  <si>
    <t>Erute</t>
  </si>
  <si>
    <t>Agali</t>
  </si>
  <si>
    <t>Agweng</t>
  </si>
  <si>
    <t>Amach</t>
  </si>
  <si>
    <t>Aromo</t>
  </si>
  <si>
    <t>Barr</t>
  </si>
  <si>
    <t>Lira Municipality</t>
  </si>
  <si>
    <t>Ngetta</t>
  </si>
  <si>
    <t>Ogur</t>
  </si>
  <si>
    <t>Luuka</t>
  </si>
  <si>
    <t>Bukooma</t>
  </si>
  <si>
    <t>Bulongo</t>
  </si>
  <si>
    <t>Ikumbya</t>
  </si>
  <si>
    <t>Irongo</t>
  </si>
  <si>
    <t>Luuka Town Council</t>
  </si>
  <si>
    <t>Nawampiti</t>
  </si>
  <si>
    <t>Waibuga</t>
  </si>
  <si>
    <t>Bamunanika</t>
  </si>
  <si>
    <t>Luwero</t>
  </si>
  <si>
    <t>Bombo Town Council</t>
  </si>
  <si>
    <t>Katikamu</t>
  </si>
  <si>
    <t>BOMBO</t>
  </si>
  <si>
    <t>BOMBO R.D</t>
  </si>
  <si>
    <t>BOMBO POLICE</t>
  </si>
  <si>
    <t>KETI FALAWO</t>
  </si>
  <si>
    <t>BOMBO BARRACKS</t>
  </si>
  <si>
    <t>BUWAMBO</t>
  </si>
  <si>
    <t>Butuntumula</t>
  </si>
  <si>
    <t>Kalagala</t>
  </si>
  <si>
    <t>Kamira</t>
  </si>
  <si>
    <t>Kikyusa</t>
  </si>
  <si>
    <t>LUWEER0</t>
  </si>
  <si>
    <t>Luwero Town Council</t>
  </si>
  <si>
    <t>LUWERO TOWN</t>
  </si>
  <si>
    <t>Luweero</t>
  </si>
  <si>
    <t>LUKOMERA</t>
  </si>
  <si>
    <t>Makulubita</t>
  </si>
  <si>
    <t>Nyimbwa</t>
  </si>
  <si>
    <t>Wobulenzi Town Council</t>
  </si>
  <si>
    <t>WOBULEZI</t>
  </si>
  <si>
    <t>WOBULENZI</t>
  </si>
  <si>
    <t>WOBULENZO</t>
  </si>
  <si>
    <t>Zirobwe</t>
  </si>
  <si>
    <t>ZILOBWE</t>
  </si>
  <si>
    <t>Kisekka</t>
  </si>
  <si>
    <t>Lwengo</t>
  </si>
  <si>
    <t>Kkingo</t>
  </si>
  <si>
    <t>Kyazanga</t>
  </si>
  <si>
    <t>Kyazanga Town Council</t>
  </si>
  <si>
    <t>Lwengo Town Council</t>
  </si>
  <si>
    <t>Malongo-Lwengo</t>
  </si>
  <si>
    <t>Ndagwe</t>
  </si>
  <si>
    <t>Kaliiro</t>
  </si>
  <si>
    <t>Lyantonde</t>
  </si>
  <si>
    <t>Kabula</t>
  </si>
  <si>
    <t>Kasagama</t>
  </si>
  <si>
    <t>Kinuuka</t>
  </si>
  <si>
    <t>Lyantonde Town Council</t>
  </si>
  <si>
    <t>LAKE MBURO</t>
  </si>
  <si>
    <t>Mpumudde-Lyantonde</t>
  </si>
  <si>
    <t>Bugobero</t>
  </si>
  <si>
    <t>Manafwa</t>
  </si>
  <si>
    <t>Bubulo</t>
  </si>
  <si>
    <t>Bukhofu</t>
  </si>
  <si>
    <t>Bukusu</t>
  </si>
  <si>
    <t>Bunabwana</t>
  </si>
  <si>
    <t>Bunyinza Town Council</t>
  </si>
  <si>
    <t>Busukuya</t>
  </si>
  <si>
    <t>Butiru</t>
  </si>
  <si>
    <t>Butta</t>
  </si>
  <si>
    <t>Buwagogo</t>
  </si>
  <si>
    <t>Buwangani Town Council</t>
  </si>
  <si>
    <t>Kaato</t>
  </si>
  <si>
    <t>Khabutoola</t>
  </si>
  <si>
    <t>Manafwa Town Council</t>
  </si>
  <si>
    <t>Nalondo</t>
  </si>
  <si>
    <t>Sibanga</t>
  </si>
  <si>
    <t>Sisuni</t>
  </si>
  <si>
    <t>Weswa</t>
  </si>
  <si>
    <t>Kijomoro</t>
  </si>
  <si>
    <t>Maracha</t>
  </si>
  <si>
    <t>Maracha Town Council</t>
  </si>
  <si>
    <t>Nyadri</t>
  </si>
  <si>
    <t>Oleba</t>
  </si>
  <si>
    <t>Oluffe</t>
  </si>
  <si>
    <t>Oluvu</t>
  </si>
  <si>
    <t>Tara</t>
  </si>
  <si>
    <t>Yivu</t>
  </si>
  <si>
    <t>Bukakata</t>
  </si>
  <si>
    <t>NABUGABO</t>
  </si>
  <si>
    <t>Buwunga-Masaka</t>
  </si>
  <si>
    <t>Kabonera</t>
  </si>
  <si>
    <t>Kyanamukaaka</t>
  </si>
  <si>
    <t>Kyesiiga</t>
  </si>
  <si>
    <t>Masaka Municipality</t>
  </si>
  <si>
    <t>MASAKA TOWN</t>
  </si>
  <si>
    <t>Masaka Road</t>
  </si>
  <si>
    <t>MBIRIZI</t>
  </si>
  <si>
    <t>RWERA</t>
  </si>
  <si>
    <t>Luwera</t>
  </si>
  <si>
    <t>Mukungwe</t>
  </si>
  <si>
    <t>Budongo</t>
  </si>
  <si>
    <t>Masindi</t>
  </si>
  <si>
    <t>Bujenje</t>
  </si>
  <si>
    <t>Bwijanga</t>
  </si>
  <si>
    <t>Kimengo</t>
  </si>
  <si>
    <t>Buruli</t>
  </si>
  <si>
    <t>Masindi Municipality</t>
  </si>
  <si>
    <t>Miirya</t>
  </si>
  <si>
    <t>Pakanyi</t>
  </si>
  <si>
    <t>Baitambogwe</t>
  </si>
  <si>
    <t>Mayuge</t>
  </si>
  <si>
    <t>Bunya</t>
  </si>
  <si>
    <t>Bukabooli</t>
  </si>
  <si>
    <t>Bukatube</t>
  </si>
  <si>
    <t>Busakira</t>
  </si>
  <si>
    <t>Buwaaya</t>
  </si>
  <si>
    <t>Imanyiro</t>
  </si>
  <si>
    <t>Jaguzi</t>
  </si>
  <si>
    <t>Kigandalo</t>
  </si>
  <si>
    <t>Kityerera</t>
  </si>
  <si>
    <t>Magamaga Town Council</t>
  </si>
  <si>
    <t>Malongo-Mayuge</t>
  </si>
  <si>
    <t>Mayuge Town Council</t>
  </si>
  <si>
    <t>Mpungwe</t>
  </si>
  <si>
    <t>Wairasa</t>
  </si>
  <si>
    <t>Bubyangu</t>
  </si>
  <si>
    <t>Mbale</t>
  </si>
  <si>
    <t>Bungokho</t>
  </si>
  <si>
    <t>Budwale</t>
  </si>
  <si>
    <t>Bufumbo</t>
  </si>
  <si>
    <t>Bukasakya</t>
  </si>
  <si>
    <t>Bukiende</t>
  </si>
  <si>
    <t>Bukonde</t>
  </si>
  <si>
    <t>Bumasikye</t>
  </si>
  <si>
    <t>Bumbobi</t>
  </si>
  <si>
    <t>BUGEMA</t>
  </si>
  <si>
    <t>Bungokho Mutoto</t>
  </si>
  <si>
    <t>Busano</t>
  </si>
  <si>
    <t>Busiu</t>
  </si>
  <si>
    <t>Busiu Town Council</t>
  </si>
  <si>
    <t>Busoba</t>
  </si>
  <si>
    <t>Lukhonge</t>
  </si>
  <si>
    <t>Lwasso</t>
  </si>
  <si>
    <t>Mbale Municipality</t>
  </si>
  <si>
    <t>MBALE TOWN</t>
  </si>
  <si>
    <t>MBALE</t>
  </si>
  <si>
    <t>Nabumali Town Council</t>
  </si>
  <si>
    <t>Nakaloke</t>
  </si>
  <si>
    <t>Nakaloke Town Council</t>
  </si>
  <si>
    <t>Namanyonyi</t>
  </si>
  <si>
    <t>Nyondo</t>
  </si>
  <si>
    <t>Wanale</t>
  </si>
  <si>
    <t>Bubaare-Mbarara</t>
  </si>
  <si>
    <t>Mbarara</t>
  </si>
  <si>
    <t>Kashari</t>
  </si>
  <si>
    <t>Bugamba</t>
  </si>
  <si>
    <t>Rwampara</t>
  </si>
  <si>
    <t>Bukiro</t>
  </si>
  <si>
    <t>Kagongi</t>
  </si>
  <si>
    <t>Kashare</t>
  </si>
  <si>
    <t>Mbarara Municipality</t>
  </si>
  <si>
    <t xml:space="preserve">Mbarara   </t>
  </si>
  <si>
    <t>MBARARA</t>
  </si>
  <si>
    <t>MBARARA TOWN</t>
  </si>
  <si>
    <t>Mwizi</t>
  </si>
  <si>
    <t>RWAMPALA</t>
  </si>
  <si>
    <t>Ndeija</t>
  </si>
  <si>
    <t>Rubaya-Mbarara</t>
  </si>
  <si>
    <t>Rubindi</t>
  </si>
  <si>
    <t>Rugando</t>
  </si>
  <si>
    <t>Rwanyamahembe</t>
  </si>
  <si>
    <t>Bitereko</t>
  </si>
  <si>
    <t>Ruhinda</t>
  </si>
  <si>
    <t>Kanyabwanga</t>
  </si>
  <si>
    <t>Kashenshero</t>
  </si>
  <si>
    <t>Kashenshero Town Council</t>
  </si>
  <si>
    <t>Katenga</t>
  </si>
  <si>
    <t>Kiyanga</t>
  </si>
  <si>
    <t>Mayanga</t>
  </si>
  <si>
    <t>Mitooma Town Council</t>
  </si>
  <si>
    <t>Mutara</t>
  </si>
  <si>
    <t>Rurehe</t>
  </si>
  <si>
    <t>Bbanda</t>
  </si>
  <si>
    <t>Mityana</t>
  </si>
  <si>
    <t>Busujju</t>
  </si>
  <si>
    <t>Bulera</t>
  </si>
  <si>
    <t>Busimbi Division</t>
  </si>
  <si>
    <t>Mityana Municipality</t>
  </si>
  <si>
    <t>Busunju Town Council</t>
  </si>
  <si>
    <t>BUSUNJU</t>
  </si>
  <si>
    <t>Butayunja</t>
  </si>
  <si>
    <t>Kakindu</t>
  </si>
  <si>
    <t>Kalangaalo</t>
  </si>
  <si>
    <t>Kikandwa</t>
  </si>
  <si>
    <t>Maanyi</t>
  </si>
  <si>
    <t>Malangala</t>
  </si>
  <si>
    <t>MIITYANA TOWN</t>
  </si>
  <si>
    <t>MITYANA TOWN</t>
  </si>
  <si>
    <t>MITYANA</t>
  </si>
  <si>
    <t xml:space="preserve">Mityana  </t>
  </si>
  <si>
    <t>BUWALULA</t>
  </si>
  <si>
    <t>Namungo</t>
  </si>
  <si>
    <t>Ssekanyonyi</t>
  </si>
  <si>
    <t>Katikekile</t>
  </si>
  <si>
    <t>Matheniko</t>
  </si>
  <si>
    <t>Moroto Municipality</t>
  </si>
  <si>
    <t>MOROTO</t>
  </si>
  <si>
    <t>Nadunget</t>
  </si>
  <si>
    <t>Rupa</t>
  </si>
  <si>
    <t>Tapac</t>
  </si>
  <si>
    <t>Aliba</t>
  </si>
  <si>
    <t>Moyo</t>
  </si>
  <si>
    <t>Obongi</t>
  </si>
  <si>
    <t>Difule</t>
  </si>
  <si>
    <t>West Moyo</t>
  </si>
  <si>
    <t>Gimara</t>
  </si>
  <si>
    <t>Itula</t>
  </si>
  <si>
    <t>Laropi</t>
  </si>
  <si>
    <t>Lefori</t>
  </si>
  <si>
    <t>Metu</t>
  </si>
  <si>
    <t>Moyo Town Council</t>
  </si>
  <si>
    <t>Buwama</t>
  </si>
  <si>
    <t>Mpigi</t>
  </si>
  <si>
    <t>Mawokota</t>
  </si>
  <si>
    <t>Kammengo</t>
  </si>
  <si>
    <t>Kiringente</t>
  </si>
  <si>
    <t>Kituntu</t>
  </si>
  <si>
    <t>Mpigi Town Council</t>
  </si>
  <si>
    <t>MPIGI TOWN</t>
  </si>
  <si>
    <t>Muduuma</t>
  </si>
  <si>
    <t>Nkozi</t>
  </si>
  <si>
    <t>Bagezza</t>
  </si>
  <si>
    <t>Mubende</t>
  </si>
  <si>
    <t>Kasambya</t>
  </si>
  <si>
    <t>Bukuya</t>
  </si>
  <si>
    <t>Kassanda</t>
  </si>
  <si>
    <t>Butoloogo</t>
  </si>
  <si>
    <t>Buwekula</t>
  </si>
  <si>
    <t>Kalwana</t>
  </si>
  <si>
    <t>Kasambya-Mubende</t>
  </si>
  <si>
    <t>Kibalinga</t>
  </si>
  <si>
    <t>Kiganda</t>
  </si>
  <si>
    <t>Kigando</t>
  </si>
  <si>
    <t>Kitenga</t>
  </si>
  <si>
    <t>Kitumbi</t>
  </si>
  <si>
    <t>Kiyuni</t>
  </si>
  <si>
    <t>Madudu</t>
  </si>
  <si>
    <t>Makokoto</t>
  </si>
  <si>
    <t>Manyogaseka</t>
  </si>
  <si>
    <t>Mubende Municipality</t>
  </si>
  <si>
    <t xml:space="preserve">Mubende  </t>
  </si>
  <si>
    <t>MUBENDE</t>
  </si>
  <si>
    <t>Myanzi</t>
  </si>
  <si>
    <t>Nabingoola</t>
  </si>
  <si>
    <t>KABIMBIRI</t>
  </si>
  <si>
    <t>Kasawo</t>
  </si>
  <si>
    <t>Mukono</t>
  </si>
  <si>
    <t>Nakifuma</t>
  </si>
  <si>
    <t>Kimenyedde</t>
  </si>
  <si>
    <t>Koome Island</t>
  </si>
  <si>
    <t>Kyampisi</t>
  </si>
  <si>
    <t>Mpatta</t>
  </si>
  <si>
    <t>Mpunge</t>
  </si>
  <si>
    <t>Mukono Municipality</t>
  </si>
  <si>
    <t>MUKONO TOWN</t>
  </si>
  <si>
    <t>MUKONO KALAJI</t>
  </si>
  <si>
    <t>MUKONO UCU</t>
  </si>
  <si>
    <t>MPOMA</t>
  </si>
  <si>
    <t>BUKERERE</t>
  </si>
  <si>
    <t>NAGALAMA</t>
  </si>
  <si>
    <t>BIYINZIKA FACTORY</t>
  </si>
  <si>
    <t>Namilyango</t>
  </si>
  <si>
    <t>NAMAGUNGA</t>
  </si>
  <si>
    <t>NAMANVE</t>
  </si>
  <si>
    <t xml:space="preserve">NAMANVE </t>
  </si>
  <si>
    <t>AZAM NAMANVE</t>
  </si>
  <si>
    <t>INDUSTRIAL AREA NAMANVE</t>
  </si>
  <si>
    <t>NAMATABA</t>
  </si>
  <si>
    <t>MBALALA</t>
  </si>
  <si>
    <t>Namawojoro</t>
  </si>
  <si>
    <t>Nabbaale</t>
  </si>
  <si>
    <t>Nagojje</t>
  </si>
  <si>
    <t>Nakisunga</t>
  </si>
  <si>
    <t>Nama</t>
  </si>
  <si>
    <t>KATOSI</t>
  </si>
  <si>
    <t>Ntunda</t>
  </si>
  <si>
    <t>Seeta Namuganga</t>
  </si>
  <si>
    <t>SEETA</t>
  </si>
  <si>
    <t>Kakomongole</t>
  </si>
  <si>
    <t>Nakapiripirit</t>
  </si>
  <si>
    <t>Chekwii</t>
  </si>
  <si>
    <t>Lolachat</t>
  </si>
  <si>
    <t>Pian</t>
  </si>
  <si>
    <t>Loregae</t>
  </si>
  <si>
    <t>Lorengedwat</t>
  </si>
  <si>
    <t>Moruita</t>
  </si>
  <si>
    <t>Nabilatuk</t>
  </si>
  <si>
    <t>Nakapiripirit Town Council</t>
  </si>
  <si>
    <t>Namalu</t>
  </si>
  <si>
    <t>Butalangu Town Council</t>
  </si>
  <si>
    <t>Nakaseke</t>
  </si>
  <si>
    <t>Kapeeka</t>
  </si>
  <si>
    <t>Kasangombe</t>
  </si>
  <si>
    <t>Kikamulo</t>
  </si>
  <si>
    <t>Kinoni-Nakaseke</t>
  </si>
  <si>
    <t>Kinyogoga</t>
  </si>
  <si>
    <t>Kito</t>
  </si>
  <si>
    <t>Kiwoko Town Council</t>
  </si>
  <si>
    <t>Nakaseke Town Council</t>
  </si>
  <si>
    <t>NAKASEKE TOWN</t>
  </si>
  <si>
    <t>Ngoma Town Council</t>
  </si>
  <si>
    <t>NGOMA</t>
  </si>
  <si>
    <t xml:space="preserve">NGOMA </t>
  </si>
  <si>
    <t>Ngoma-Nakaseke</t>
  </si>
  <si>
    <t>KAPEKA</t>
  </si>
  <si>
    <t>SEMUTO KAPEKA</t>
  </si>
  <si>
    <t>Semuto</t>
  </si>
  <si>
    <t>Ssemuto</t>
  </si>
  <si>
    <t>SEMUTO TOWN</t>
  </si>
  <si>
    <t>Semuto Town Council</t>
  </si>
  <si>
    <t>GOBELO</t>
  </si>
  <si>
    <t>Wakyato</t>
  </si>
  <si>
    <t>Kakooge</t>
  </si>
  <si>
    <t>Nakasongola</t>
  </si>
  <si>
    <t>Kakooge Town Council</t>
  </si>
  <si>
    <t>NAKASONGOLA</t>
  </si>
  <si>
    <t>NAKASONGOLA TOWN</t>
  </si>
  <si>
    <t>Kalongo</t>
  </si>
  <si>
    <t>Kalungi</t>
  </si>
  <si>
    <t>Lwabiyata</t>
  </si>
  <si>
    <t>Lwampanga</t>
  </si>
  <si>
    <t>LWAMPAMGA</t>
  </si>
  <si>
    <t>Migeera Town Council</t>
  </si>
  <si>
    <t>MIGERA</t>
  </si>
  <si>
    <t>Nabisweera</t>
  </si>
  <si>
    <t>Nakasongola Town Council</t>
  </si>
  <si>
    <t>Nakitoma</t>
  </si>
  <si>
    <t>Wabinyonyi</t>
  </si>
  <si>
    <t>Namayingo</t>
  </si>
  <si>
    <t>Bukooli</t>
  </si>
  <si>
    <t>Buhemba</t>
  </si>
  <si>
    <t>Bukana</t>
  </si>
  <si>
    <t>Buswale</t>
  </si>
  <si>
    <t>Buyinja</t>
  </si>
  <si>
    <t>Lolwe</t>
  </si>
  <si>
    <t>Mutumba</t>
  </si>
  <si>
    <t>Namayingo Town Council</t>
  </si>
  <si>
    <t>Sigulu Island</t>
  </si>
  <si>
    <t>Bubutu</t>
  </si>
  <si>
    <t>Namisindwa</t>
  </si>
  <si>
    <t>Bukhabusi</t>
  </si>
  <si>
    <t>Bukhaweka</t>
  </si>
  <si>
    <t>Bukiabi</t>
  </si>
  <si>
    <t>Bukokho</t>
  </si>
  <si>
    <t>Bumbo</t>
  </si>
  <si>
    <t>Bumwoni</t>
  </si>
  <si>
    <t>Bupoto</t>
  </si>
  <si>
    <t>Buwabwala</t>
  </si>
  <si>
    <t>Lwakhakha Town Council</t>
  </si>
  <si>
    <t>Magale</t>
  </si>
  <si>
    <t>Magale Town Council</t>
  </si>
  <si>
    <t>Mukoto</t>
  </si>
  <si>
    <t>Namabya</t>
  </si>
  <si>
    <t>Namboko</t>
  </si>
  <si>
    <t>Namisindwa Town Council</t>
  </si>
  <si>
    <t>Tsekululu</t>
  </si>
  <si>
    <t>Bulange</t>
  </si>
  <si>
    <t>Namutumba</t>
  </si>
  <si>
    <t>Busiki</t>
  </si>
  <si>
    <t>Ivukula</t>
  </si>
  <si>
    <t>Magada</t>
  </si>
  <si>
    <t>Nabweyo</t>
  </si>
  <si>
    <t>Namutumba Town Council</t>
  </si>
  <si>
    <t>BUSEMBATYA</t>
  </si>
  <si>
    <t>Nangonde</t>
  </si>
  <si>
    <t>Nsinze</t>
  </si>
  <si>
    <t>Iriiri</t>
  </si>
  <si>
    <t>Napak</t>
  </si>
  <si>
    <t>Bokora</t>
  </si>
  <si>
    <t>Lokopo</t>
  </si>
  <si>
    <t>Lopeei</t>
  </si>
  <si>
    <t>Lorengecora</t>
  </si>
  <si>
    <t>Lotome</t>
  </si>
  <si>
    <t>Matany</t>
  </si>
  <si>
    <t>Napak Town Council</t>
  </si>
  <si>
    <t>Ngoleriet</t>
  </si>
  <si>
    <t>Akworo</t>
  </si>
  <si>
    <t>Nebbi</t>
  </si>
  <si>
    <t>Padyere</t>
  </si>
  <si>
    <t>Atego</t>
  </si>
  <si>
    <t>Erussi</t>
  </si>
  <si>
    <t>Kucwiny</t>
  </si>
  <si>
    <t>Ndhew</t>
  </si>
  <si>
    <t>Nebbi Municipality</t>
  </si>
  <si>
    <t>Nyaravur</t>
  </si>
  <si>
    <t>Parombo</t>
  </si>
  <si>
    <t>Kapir</t>
  </si>
  <si>
    <t>Ngora</t>
  </si>
  <si>
    <t>Kobwin</t>
  </si>
  <si>
    <t>Mukura</t>
  </si>
  <si>
    <t>Ngora Town Council</t>
  </si>
  <si>
    <t>Butungama</t>
  </si>
  <si>
    <t>Ntoroko</t>
  </si>
  <si>
    <t>Bweramule</t>
  </si>
  <si>
    <t>Kanara Town Council</t>
  </si>
  <si>
    <t>Kanara-Ntoroko</t>
  </si>
  <si>
    <t>Karugutu</t>
  </si>
  <si>
    <t>Karugutu Town Council</t>
  </si>
  <si>
    <t>Kibuuku Town Council</t>
  </si>
  <si>
    <t>Nombe</t>
  </si>
  <si>
    <t>Rwebisengo</t>
  </si>
  <si>
    <t>Rwebisengo Town Council</t>
  </si>
  <si>
    <t>Bwongyera</t>
  </si>
  <si>
    <t>Kajara</t>
  </si>
  <si>
    <t>Ihunga</t>
  </si>
  <si>
    <t>Itojo</t>
  </si>
  <si>
    <t>Ruhaama</t>
  </si>
  <si>
    <t>Kagarama Town Council</t>
  </si>
  <si>
    <t>Kayonza-Ntungamo</t>
  </si>
  <si>
    <t>Rushenyi</t>
  </si>
  <si>
    <t>Kibatsi</t>
  </si>
  <si>
    <t>Kitwe Town Council</t>
  </si>
  <si>
    <t>Ngoma-Ntungamo</t>
  </si>
  <si>
    <t>Ntungamo Municipality</t>
  </si>
  <si>
    <t>Nyabihoko</t>
  </si>
  <si>
    <t>Nyakyera</t>
  </si>
  <si>
    <t>Rubaare Town Council</t>
  </si>
  <si>
    <t>Rugarama-Ntungamo</t>
  </si>
  <si>
    <t>Rukoni East</t>
  </si>
  <si>
    <t>Rukoni West</t>
  </si>
  <si>
    <t>Rwashamaire Town Council</t>
  </si>
  <si>
    <t>Rweikiniro</t>
  </si>
  <si>
    <t>Alero</t>
  </si>
  <si>
    <t>Nwoya</t>
  </si>
  <si>
    <t>Anaka Payira</t>
  </si>
  <si>
    <t>Anaka Town Council</t>
  </si>
  <si>
    <t>Koch-Goma</t>
  </si>
  <si>
    <t>Purongo</t>
  </si>
  <si>
    <t>Bobi</t>
  </si>
  <si>
    <t>Koro</t>
  </si>
  <si>
    <t>Lakwana</t>
  </si>
  <si>
    <t>Lalogi</t>
  </si>
  <si>
    <t>Odek</t>
  </si>
  <si>
    <t>Omoro Town Council</t>
  </si>
  <si>
    <t>Ongako</t>
  </si>
  <si>
    <t>Adwari</t>
  </si>
  <si>
    <t>Otuke</t>
  </si>
  <si>
    <t>Alango</t>
  </si>
  <si>
    <t>Ogor</t>
  </si>
  <si>
    <t>Ogwette</t>
  </si>
  <si>
    <t>Okwang</t>
  </si>
  <si>
    <t>Olilim</t>
  </si>
  <si>
    <t>Orum</t>
  </si>
  <si>
    <t>Otuke Town Council</t>
  </si>
  <si>
    <t>Aber</t>
  </si>
  <si>
    <t>Oyam</t>
  </si>
  <si>
    <t>Abok</t>
  </si>
  <si>
    <t>Acaba</t>
  </si>
  <si>
    <t>Aleka</t>
  </si>
  <si>
    <t>Iceme</t>
  </si>
  <si>
    <t>Kamdini</t>
  </si>
  <si>
    <t>Loro</t>
  </si>
  <si>
    <t>Minakulu</t>
  </si>
  <si>
    <t>Myene</t>
  </si>
  <si>
    <t>Ngai</t>
  </si>
  <si>
    <t>Otwal</t>
  </si>
  <si>
    <t>Oyam Town Council</t>
  </si>
  <si>
    <t>Acholibur</t>
  </si>
  <si>
    <t>Pader</t>
  </si>
  <si>
    <t>Aruu</t>
  </si>
  <si>
    <t>Angagura</t>
  </si>
  <si>
    <t>Atanga</t>
  </si>
  <si>
    <t>Awere</t>
  </si>
  <si>
    <t>Laguti</t>
  </si>
  <si>
    <t>Lapul</t>
  </si>
  <si>
    <t>Latanya</t>
  </si>
  <si>
    <t>Ogom</t>
  </si>
  <si>
    <t>Pader Town Council</t>
  </si>
  <si>
    <t>Pajule</t>
  </si>
  <si>
    <t>Puranga</t>
  </si>
  <si>
    <t>Alwi</t>
  </si>
  <si>
    <t>Pakwach</t>
  </si>
  <si>
    <t>Jonam</t>
  </si>
  <si>
    <t>Pakwach Town Council</t>
  </si>
  <si>
    <t>Panyango</t>
  </si>
  <si>
    <t>Panyimur</t>
  </si>
  <si>
    <t>Wadelai</t>
  </si>
  <si>
    <t>Agule</t>
  </si>
  <si>
    <t>Pallisa</t>
  </si>
  <si>
    <t>Akisim</t>
  </si>
  <si>
    <t>Apopong</t>
  </si>
  <si>
    <t>Chelekura</t>
  </si>
  <si>
    <t>Gogonyo</t>
  </si>
  <si>
    <t>Kameke</t>
  </si>
  <si>
    <t>Kamuge</t>
  </si>
  <si>
    <t>Kasodo</t>
  </si>
  <si>
    <t>Olok</t>
  </si>
  <si>
    <t>Pallisa Town Council</t>
  </si>
  <si>
    <t>Puti-Puti</t>
  </si>
  <si>
    <t>Byakabanda</t>
  </si>
  <si>
    <t>Rakai</t>
  </si>
  <si>
    <t>Ddwaniro-Rakai</t>
  </si>
  <si>
    <t>Kacheera</t>
  </si>
  <si>
    <t>Kagamba</t>
  </si>
  <si>
    <t>Kakuuto</t>
  </si>
  <si>
    <t>Kifamba</t>
  </si>
  <si>
    <t>Kiziba</t>
  </si>
  <si>
    <t>KIKONGE</t>
  </si>
  <si>
    <t>GOBERO</t>
  </si>
  <si>
    <t>Kyalulangira</t>
  </si>
  <si>
    <t>Lwamaggwa</t>
  </si>
  <si>
    <t>Lwanda</t>
  </si>
  <si>
    <t>Rakai Town Council</t>
  </si>
  <si>
    <t>Bubaare-Rubanda</t>
  </si>
  <si>
    <t>Rubanda</t>
  </si>
  <si>
    <t>Bufundi</t>
  </si>
  <si>
    <t>Hamurwa</t>
  </si>
  <si>
    <t>Hamurwa Town Council</t>
  </si>
  <si>
    <t>Ikumba</t>
  </si>
  <si>
    <t>Muko</t>
  </si>
  <si>
    <t>Nyamweru</t>
  </si>
  <si>
    <t>Rubanda Town Council</t>
  </si>
  <si>
    <t>Ruhija</t>
  </si>
  <si>
    <t>Katanda</t>
  </si>
  <si>
    <t>Rubirizi</t>
  </si>
  <si>
    <t>Katerera</t>
  </si>
  <si>
    <t>Katerera Town Council</t>
  </si>
  <si>
    <t>Katunguru</t>
  </si>
  <si>
    <t>Kirugu</t>
  </si>
  <si>
    <t>Kyabakara</t>
  </si>
  <si>
    <t>Magambo</t>
  </si>
  <si>
    <t>Rubiriziri Town Council</t>
  </si>
  <si>
    <t>Rutoto</t>
  </si>
  <si>
    <t>Ryeru</t>
  </si>
  <si>
    <t>Bukinda</t>
  </si>
  <si>
    <t>Rukiga</t>
  </si>
  <si>
    <t>Kamwezi</t>
  </si>
  <si>
    <t>Kashambya</t>
  </si>
  <si>
    <t>Mparo Town Council</t>
  </si>
  <si>
    <t>Muhanga Town Council</t>
  </si>
  <si>
    <t>Rwamucucu</t>
  </si>
  <si>
    <t>Bugangari</t>
  </si>
  <si>
    <t>Rujumbura</t>
  </si>
  <si>
    <t>Buhunga</t>
  </si>
  <si>
    <t>Rubabo</t>
  </si>
  <si>
    <t>Buyanja Town Council</t>
  </si>
  <si>
    <t>Bwambara</t>
  </si>
  <si>
    <t>Kebisoni</t>
  </si>
  <si>
    <t>Kebisoni Town Council</t>
  </si>
  <si>
    <t>Nyakagyeme</t>
  </si>
  <si>
    <t>Nyakishenyi</t>
  </si>
  <si>
    <t>Nyarushanje</t>
  </si>
  <si>
    <t>Rukungiri Municipality</t>
  </si>
  <si>
    <t xml:space="preserve">Rukungiri </t>
  </si>
  <si>
    <t>Atiira</t>
  </si>
  <si>
    <t>Serere</t>
  </si>
  <si>
    <t>Bugondo</t>
  </si>
  <si>
    <t>Kasilo</t>
  </si>
  <si>
    <t>Kadungulu</t>
  </si>
  <si>
    <t>Kasilo Town Council</t>
  </si>
  <si>
    <t>Kateta</t>
  </si>
  <si>
    <t>Kyere</t>
  </si>
  <si>
    <t>Labori</t>
  </si>
  <si>
    <t>Olio</t>
  </si>
  <si>
    <t>Pingire</t>
  </si>
  <si>
    <t>Serere Town Council</t>
  </si>
  <si>
    <t>SERERE</t>
  </si>
  <si>
    <t>Bugongi Town Council</t>
  </si>
  <si>
    <t>Kagango Division-Sheema</t>
  </si>
  <si>
    <t>Sheema Municipality</t>
  </si>
  <si>
    <t>Kakindo Town Council</t>
  </si>
  <si>
    <t>Kasaana</t>
  </si>
  <si>
    <t>KASANA</t>
  </si>
  <si>
    <t>Kigarama</t>
  </si>
  <si>
    <t>Kitagata</t>
  </si>
  <si>
    <t>Kyangyenyi</t>
  </si>
  <si>
    <t>Masheruka</t>
  </si>
  <si>
    <t>Rugarama-Sheema</t>
  </si>
  <si>
    <t>Shuuku</t>
  </si>
  <si>
    <t>Shuuku Town Council</t>
  </si>
  <si>
    <t>Budadiri Town Council</t>
  </si>
  <si>
    <t>Sironko</t>
  </si>
  <si>
    <t>Budadiri</t>
  </si>
  <si>
    <t>Bugitimwa</t>
  </si>
  <si>
    <t>Buhugu</t>
  </si>
  <si>
    <t>Bukhulo</t>
  </si>
  <si>
    <t>Bukiise</t>
  </si>
  <si>
    <t>Bukiyi</t>
  </si>
  <si>
    <t>Bukyabo</t>
  </si>
  <si>
    <t>Bukyambi</t>
  </si>
  <si>
    <t>Bumalimba</t>
  </si>
  <si>
    <t>Bumasifwa</t>
  </si>
  <si>
    <t>Bunyafa</t>
  </si>
  <si>
    <t>Busulani</t>
  </si>
  <si>
    <t>Butandiga</t>
  </si>
  <si>
    <t>Buteza</t>
  </si>
  <si>
    <t>Buwalasi</t>
  </si>
  <si>
    <t>Buwasa</t>
  </si>
  <si>
    <t>Buyobo</t>
  </si>
  <si>
    <t>Masaba-Sironko</t>
  </si>
  <si>
    <t>Nalusala</t>
  </si>
  <si>
    <t>Sironko Town Council</t>
  </si>
  <si>
    <t>Zesui</t>
  </si>
  <si>
    <t>Arapai</t>
  </si>
  <si>
    <t>Soroti</t>
  </si>
  <si>
    <t>Asuret</t>
  </si>
  <si>
    <t>Gweri</t>
  </si>
  <si>
    <t>Kamuda</t>
  </si>
  <si>
    <t>Katine</t>
  </si>
  <si>
    <t>SOROTI TOWN</t>
  </si>
  <si>
    <t>Soroti Municipality</t>
  </si>
  <si>
    <t>Tubur</t>
  </si>
  <si>
    <t>Lugusulu</t>
  </si>
  <si>
    <t>Ssembabule</t>
  </si>
  <si>
    <t>Mawogola</t>
  </si>
  <si>
    <t>Lwebitakuli</t>
  </si>
  <si>
    <t>Lwemiyaga</t>
  </si>
  <si>
    <t>Mateete</t>
  </si>
  <si>
    <t>Mateete Town Council</t>
  </si>
  <si>
    <t>Mijwala</t>
  </si>
  <si>
    <t>Ntuusi</t>
  </si>
  <si>
    <t>Sembabule Town Council</t>
  </si>
  <si>
    <t>Iyolwa</t>
  </si>
  <si>
    <t>Tororo</t>
  </si>
  <si>
    <t>West Budama</t>
  </si>
  <si>
    <t>Kirewa</t>
  </si>
  <si>
    <t>Kisoko</t>
  </si>
  <si>
    <t>Kwapa</t>
  </si>
  <si>
    <t>Magola</t>
  </si>
  <si>
    <t>Malaba Town Council</t>
  </si>
  <si>
    <t>Lubowa</t>
  </si>
  <si>
    <t>LUGOBA</t>
  </si>
  <si>
    <t>LUBOGA</t>
  </si>
  <si>
    <t>Bunamwaya</t>
  </si>
  <si>
    <t>Mella</t>
  </si>
  <si>
    <t>Merikit</t>
  </si>
  <si>
    <t>Molo</t>
  </si>
  <si>
    <t>Mukuju</t>
  </si>
  <si>
    <t>Mulanda</t>
  </si>
  <si>
    <t>Nabuyoga</t>
  </si>
  <si>
    <t>Nagongera</t>
  </si>
  <si>
    <t>Nagongera Town Council</t>
  </si>
  <si>
    <t>Osukuru</t>
  </si>
  <si>
    <t>Paya</t>
  </si>
  <si>
    <t>Petta</t>
  </si>
  <si>
    <t>Rubongi</t>
  </si>
  <si>
    <t>Sop-Sop</t>
  </si>
  <si>
    <t>Tororo Municipality</t>
  </si>
  <si>
    <t>TORORO</t>
  </si>
  <si>
    <t>Tororo cement</t>
  </si>
  <si>
    <t>Wakiso</t>
  </si>
  <si>
    <t>Makindye Ssabagabo Municipality</t>
  </si>
  <si>
    <t>Namasuba</t>
  </si>
  <si>
    <t>LIGHT ACADEMY</t>
  </si>
  <si>
    <t>Bussi</t>
  </si>
  <si>
    <t>Busiro</t>
  </si>
  <si>
    <t>Busukuma</t>
  </si>
  <si>
    <t>Nansana Municipality</t>
  </si>
  <si>
    <t>Ganda</t>
  </si>
  <si>
    <t>Kira Municipality</t>
  </si>
  <si>
    <t>BWEYOGERE</t>
  </si>
  <si>
    <t>Namboole</t>
  </si>
  <si>
    <t>NAMAMBOLE STAGE</t>
  </si>
  <si>
    <t>Butto</t>
  </si>
  <si>
    <t>KAZINGA</t>
  </si>
  <si>
    <t>KIWANGA</t>
  </si>
  <si>
    <t>KIRINYA</t>
  </si>
  <si>
    <t>Entebbe Airport</t>
  </si>
  <si>
    <t>Entebbe Municipality</t>
  </si>
  <si>
    <t>AIRPORT</t>
  </si>
  <si>
    <t>MAKIWOGO</t>
  </si>
  <si>
    <t>KIWAFU</t>
  </si>
  <si>
    <t>NSAMIZI</t>
  </si>
  <si>
    <t>BUGONGA</t>
  </si>
  <si>
    <t>BUNONO</t>
  </si>
  <si>
    <t>KITUBULU</t>
  </si>
  <si>
    <t>KIGUNGU</t>
  </si>
  <si>
    <t>NAKIWOGO</t>
  </si>
  <si>
    <t>BAYITA</t>
  </si>
  <si>
    <t>ABAITA ABABIRI</t>
  </si>
  <si>
    <t>LWAMUTUNDWE</t>
  </si>
  <si>
    <t>LUGONJJO</t>
  </si>
  <si>
    <t>BWEYA</t>
  </si>
  <si>
    <t>NKUMBA</t>
  </si>
  <si>
    <t>GARUGA</t>
  </si>
  <si>
    <t>LUTEMBE</t>
  </si>
  <si>
    <t>KISUBI</t>
  </si>
  <si>
    <t>MPALA</t>
  </si>
  <si>
    <t>KAWUKU</t>
  </si>
  <si>
    <t>KITORO</t>
  </si>
  <si>
    <t>NAMULANDA</t>
  </si>
  <si>
    <t>BWEBAJA</t>
  </si>
  <si>
    <t>Gombe</t>
  </si>
  <si>
    <t>Buwambu</t>
  </si>
  <si>
    <t>MATUGGA</t>
  </si>
  <si>
    <t>Katende</t>
  </si>
  <si>
    <t>Kajjansi Town Council</t>
  </si>
  <si>
    <t>Kajjansi</t>
  </si>
  <si>
    <t>KAJANSI</t>
  </si>
  <si>
    <t>Seguku</t>
  </si>
  <si>
    <t>Lweza</t>
  </si>
  <si>
    <t>KIGO</t>
  </si>
  <si>
    <t>MIREMBE VILLAS</t>
  </si>
  <si>
    <t>Kitende</t>
  </si>
  <si>
    <t>Katale</t>
  </si>
  <si>
    <t>Kitala</t>
  </si>
  <si>
    <t>BWEBAJJA</t>
  </si>
  <si>
    <t>TAIBA</t>
  </si>
  <si>
    <t>Kakiri</t>
  </si>
  <si>
    <t>Kakiri Town Council</t>
  </si>
  <si>
    <t>Kasangati Town Council</t>
  </si>
  <si>
    <t>Kyadondo</t>
  </si>
  <si>
    <t>Kitezi</t>
  </si>
  <si>
    <t>Kiteezi</t>
  </si>
  <si>
    <t xml:space="preserve">MATUGA </t>
  </si>
  <si>
    <t>Kasangati</t>
  </si>
  <si>
    <t>KAWANDA</t>
  </si>
  <si>
    <t>KILINYABINGO</t>
  </si>
  <si>
    <t>KAGOMA</t>
  </si>
  <si>
    <t>Kasanje</t>
  </si>
  <si>
    <t>Katabi Town Council</t>
  </si>
  <si>
    <t>Kira</t>
  </si>
  <si>
    <t>KIIRA</t>
  </si>
  <si>
    <t>Bulindo</t>
  </si>
  <si>
    <t xml:space="preserve">BUWATE </t>
  </si>
  <si>
    <t>KYALIWAJALA</t>
  </si>
  <si>
    <t>Kyaliwajjala</t>
  </si>
  <si>
    <t>MBALWA</t>
  </si>
  <si>
    <t>NAJERA</t>
  </si>
  <si>
    <t>NAJJERA</t>
  </si>
  <si>
    <t>Najela</t>
  </si>
  <si>
    <t>WAMALA</t>
  </si>
  <si>
    <t>Kireka</t>
  </si>
  <si>
    <t>KAMULI ROAD</t>
  </si>
  <si>
    <t>Kyengera Town Council</t>
  </si>
  <si>
    <t xml:space="preserve">Kyengera   </t>
  </si>
  <si>
    <t xml:space="preserve">KINGS COLLEGE BUDDO </t>
  </si>
  <si>
    <t>BUDO</t>
  </si>
  <si>
    <t>Kabojja</t>
  </si>
  <si>
    <t>Nabbingo</t>
  </si>
  <si>
    <t>Namagooma</t>
  </si>
  <si>
    <t>Masajja</t>
  </si>
  <si>
    <t>Masuliita</t>
  </si>
  <si>
    <t>Masulita Town Council</t>
  </si>
  <si>
    <t>MASULITA</t>
  </si>
  <si>
    <t>Mende</t>
  </si>
  <si>
    <t>Nabweru</t>
  </si>
  <si>
    <t>MABWERA</t>
  </si>
  <si>
    <t>NABWERU</t>
  </si>
  <si>
    <t>MAGAJJO</t>
  </si>
  <si>
    <t>LUBIJI</t>
  </si>
  <si>
    <t>LUBIGI</t>
  </si>
  <si>
    <t>Namayumba</t>
  </si>
  <si>
    <t>Namayumba Town Council</t>
  </si>
  <si>
    <t>Namugongo</t>
  </si>
  <si>
    <t>Ssonde</t>
  </si>
  <si>
    <t>Nansana</t>
  </si>
  <si>
    <t>NANSANA</t>
  </si>
  <si>
    <t>YESU AMALA NANSANA</t>
  </si>
  <si>
    <t>NALUVULE</t>
  </si>
  <si>
    <t>Ndejje</t>
  </si>
  <si>
    <t>Ndejja</t>
  </si>
  <si>
    <t>NDEJJE ENTEBBE ROAD</t>
  </si>
  <si>
    <t>LUBUGUMU</t>
  </si>
  <si>
    <t>KANAABA</t>
  </si>
  <si>
    <t>WAKISO TOWN</t>
  </si>
  <si>
    <t>waakiso</t>
  </si>
  <si>
    <t>NAMUSERA WAKISO</t>
  </si>
  <si>
    <t>Bulenga</t>
  </si>
  <si>
    <t>KAKOOLA</t>
  </si>
  <si>
    <t>Buloba</t>
  </si>
  <si>
    <t>Sentema</t>
  </si>
  <si>
    <t>NAKUWADDE</t>
  </si>
  <si>
    <t>BUJUKO</t>
  </si>
  <si>
    <t>BUJJUKO</t>
  </si>
  <si>
    <t>Wakiso Town Council</t>
  </si>
  <si>
    <t>Apo</t>
  </si>
  <si>
    <t>Yumbe</t>
  </si>
  <si>
    <t>Aringa</t>
  </si>
  <si>
    <t>Ariwa</t>
  </si>
  <si>
    <t>Drajini</t>
  </si>
  <si>
    <t>Kei</t>
  </si>
  <si>
    <t>Kerwa</t>
  </si>
  <si>
    <t>Kochi</t>
  </si>
  <si>
    <t>Kululu</t>
  </si>
  <si>
    <t>Kuru</t>
  </si>
  <si>
    <t>Lodonga</t>
  </si>
  <si>
    <t>Midigo</t>
  </si>
  <si>
    <t>Odravu</t>
  </si>
  <si>
    <t>Romogi</t>
  </si>
  <si>
    <t>Yumbe Town Council</t>
  </si>
  <si>
    <t>YUMBE</t>
  </si>
  <si>
    <t>Abanga</t>
  </si>
  <si>
    <t>Zombo</t>
  </si>
  <si>
    <t>Okoro</t>
  </si>
  <si>
    <t>Atyak</t>
  </si>
  <si>
    <t>Jangokoro</t>
  </si>
  <si>
    <t>Kango</t>
  </si>
  <si>
    <t>Nyapea</t>
  </si>
  <si>
    <t>Paidha</t>
  </si>
  <si>
    <t>PANDHA</t>
  </si>
  <si>
    <t>Paidha Town Council</t>
  </si>
  <si>
    <t>Warr</t>
  </si>
  <si>
    <t>Zeu</t>
  </si>
  <si>
    <t>Zombo Town Council</t>
  </si>
  <si>
    <t>BORDER POSTS</t>
  </si>
  <si>
    <t xml:space="preserve">Malaba </t>
  </si>
  <si>
    <t>NAIROBI</t>
  </si>
  <si>
    <t>NAIROBI CENTER</t>
  </si>
  <si>
    <t>NAKULU</t>
  </si>
  <si>
    <t>KISUMU</t>
  </si>
  <si>
    <t>Mombasa</t>
  </si>
  <si>
    <t>Mutukula</t>
  </si>
  <si>
    <t>TANZANIA</t>
  </si>
  <si>
    <t>Katuna</t>
  </si>
  <si>
    <t>RWANDA</t>
  </si>
  <si>
    <t>Cyanika</t>
  </si>
  <si>
    <t>Kiyumba</t>
  </si>
  <si>
    <t>Bunagana</t>
  </si>
  <si>
    <t>Mpondwe</t>
  </si>
  <si>
    <t>Goli</t>
  </si>
  <si>
    <t>Sauli Mwoyo</t>
  </si>
  <si>
    <t>Elegu</t>
  </si>
  <si>
    <t xml:space="preserve">South Sudan </t>
  </si>
  <si>
    <t>Nimule</t>
  </si>
  <si>
    <t>SUDAN</t>
  </si>
  <si>
    <t>JUBA</t>
  </si>
  <si>
    <t>Mirama Hills</t>
  </si>
  <si>
    <t>Oraba</t>
  </si>
  <si>
    <t>Padea</t>
  </si>
  <si>
    <t>ZANA</t>
  </si>
  <si>
    <t>KASANJE</t>
  </si>
  <si>
    <t>KITEZI</t>
  </si>
  <si>
    <t>kitezi</t>
  </si>
  <si>
    <t>KINAWATAKA</t>
  </si>
  <si>
    <t>WAKISO TOWN COUNCIL</t>
  </si>
  <si>
    <t>NAMAYUMBA</t>
  </si>
  <si>
    <t>Vehicle OD Sample Proportions</t>
  </si>
  <si>
    <t>Average Journey Time</t>
  </si>
  <si>
    <t>OD Sample</t>
  </si>
  <si>
    <t>OD Sample, %</t>
  </si>
  <si>
    <t>Journey Time Range (Hrs)</t>
  </si>
  <si>
    <t>Cummu-lative</t>
  </si>
  <si>
    <t>No of Vehicles</t>
  </si>
  <si>
    <t>No. of Vehicles, %</t>
  </si>
  <si>
    <t>0-0.25</t>
  </si>
  <si>
    <t>0.25-0.50</t>
  </si>
  <si>
    <t>0.50-0.75</t>
  </si>
  <si>
    <t>0.75-1.00</t>
  </si>
  <si>
    <t>1.00-1.50</t>
  </si>
  <si>
    <t>1.5-2.0</t>
  </si>
  <si>
    <t>2.0-3.0</t>
  </si>
  <si>
    <t>3.0-5.0</t>
  </si>
  <si>
    <t>5.0-7.5</t>
  </si>
  <si>
    <t>7.5-10</t>
  </si>
  <si>
    <t>Over 10</t>
  </si>
  <si>
    <t>Purpose</t>
  </si>
  <si>
    <t>Respondents</t>
  </si>
  <si>
    <t>Percent</t>
  </si>
  <si>
    <t>More than 2 times every day</t>
  </si>
  <si>
    <t>Response</t>
  </si>
  <si>
    <t>Number</t>
  </si>
  <si>
    <t>Willingness to Pay</t>
  </si>
  <si>
    <t>Average Price</t>
  </si>
  <si>
    <t>Average Trip Length</t>
  </si>
  <si>
    <t>Trip Length Range</t>
  </si>
  <si>
    <t>Cumm-ulative</t>
  </si>
  <si>
    <t>Percentage</t>
  </si>
  <si>
    <t>0-1</t>
  </si>
  <si>
    <t>1-2.5</t>
  </si>
  <si>
    <t>2.5-5.0</t>
  </si>
  <si>
    <t>5.0-10.0</t>
  </si>
  <si>
    <t>10.0-20.0</t>
  </si>
  <si>
    <t>20.0-50.0</t>
  </si>
  <si>
    <t>50.0-100.0</t>
  </si>
  <si>
    <t>100.0-250.0</t>
  </si>
  <si>
    <t>Over 250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</si>
</sst>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h:mm;@"/>
    <numFmt numFmtId="166" formatCode="0.0"/>
    <numFmt numFmtId="167" formatCode="_(* #,##0_);_(* \(#,##0\);_(* &quot;-&quot;??_);_(@_)"/>
    <numFmt numFmtId="168" formatCode="0.0%"/>
  </numFmts>
  <fonts count="16"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u/>
      <sz val="11"/>
      <name val="Arial"/>
      <family val="2"/>
    </font>
    <font>
      <b/>
      <sz val="9"/>
      <name val="Arial"/>
      <family val="2"/>
    </font>
    <font>
      <sz val="10"/>
      <color rgb="FFFF0000"/>
      <name val="Arial"/>
      <family val="2"/>
    </font>
    <font>
      <sz val="10"/>
      <name val="Times New Roman"/>
      <family val="1"/>
    </font>
    <font>
      <b/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1"/>
      <color theme="1"/>
      <name val="Calibri"/>
      <family val="2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0" fillId="0" borderId="0"/>
    <xf numFmtId="0" fontId="12" fillId="0" borderId="0"/>
    <xf numFmtId="0" fontId="14" fillId="0" borderId="0">
      <alignment vertical="center"/>
    </xf>
    <xf numFmtId="164" fontId="5" fillId="0" borderId="0" applyFont="0" applyFill="0" applyBorder="0" applyAlignment="0" applyProtection="0"/>
  </cellStyleXfs>
  <cellXfs count="140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/>
    <xf numFmtId="0" fontId="4" fillId="0" borderId="0" xfId="0" applyFont="1" applyBorder="1" applyAlignment="1">
      <alignment horizontal="left" vertical="center"/>
    </xf>
    <xf numFmtId="0" fontId="0" fillId="0" borderId="0" xfId="0" applyBorder="1"/>
    <xf numFmtId="1" fontId="5" fillId="0" borderId="2" xfId="0" applyNumberFormat="1" applyFont="1" applyBorder="1"/>
    <xf numFmtId="1" fontId="0" fillId="0" borderId="2" xfId="0" applyNumberFormat="1" applyBorder="1"/>
    <xf numFmtId="1" fontId="5" fillId="0" borderId="2" xfId="0" applyNumberFormat="1" applyFont="1" applyBorder="1" applyAlignment="1">
      <alignment horizontal="center"/>
    </xf>
    <xf numFmtId="0" fontId="0" fillId="0" borderId="2" xfId="0" applyBorder="1"/>
    <xf numFmtId="1" fontId="5" fillId="0" borderId="3" xfId="0" applyNumberFormat="1" applyFont="1" applyBorder="1"/>
    <xf numFmtId="1" fontId="0" fillId="0" borderId="3" xfId="0" applyNumberFormat="1" applyBorder="1"/>
    <xf numFmtId="1" fontId="5" fillId="0" borderId="3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vertical="center" wrapText="1"/>
    </xf>
    <xf numFmtId="0" fontId="5" fillId="0" borderId="0" xfId="0" applyFont="1"/>
    <xf numFmtId="14" fontId="4" fillId="0" borderId="1" xfId="0" applyNumberFormat="1" applyFont="1" applyBorder="1" applyAlignment="1">
      <alignment vertical="center"/>
    </xf>
    <xf numFmtId="1" fontId="9" fillId="0" borderId="2" xfId="0" applyNumberFormat="1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vertical="center" wrapText="1"/>
    </xf>
    <xf numFmtId="0" fontId="5" fillId="0" borderId="2" xfId="0" applyFont="1" applyBorder="1"/>
    <xf numFmtId="0" fontId="8" fillId="0" borderId="0" xfId="0" applyFont="1" applyAlignment="1">
      <alignment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vertical="center"/>
    </xf>
    <xf numFmtId="1" fontId="1" fillId="0" borderId="3" xfId="0" applyNumberFormat="1" applyFont="1" applyBorder="1" applyAlignment="1">
      <alignment vertical="center" wrapText="1"/>
    </xf>
    <xf numFmtId="1" fontId="1" fillId="0" borderId="7" xfId="0" applyNumberFormat="1" applyFont="1" applyBorder="1" applyAlignment="1">
      <alignment vertical="center" wrapText="1"/>
    </xf>
    <xf numFmtId="20" fontId="8" fillId="2" borderId="2" xfId="0" applyNumberFormat="1" applyFont="1" applyFill="1" applyBorder="1" applyAlignment="1">
      <alignment vertical="center"/>
    </xf>
    <xf numFmtId="0" fontId="8" fillId="0" borderId="0" xfId="0" applyFont="1" applyBorder="1" applyAlignment="1">
      <alignment horizontal="right" vertical="center"/>
    </xf>
    <xf numFmtId="0" fontId="5" fillId="0" borderId="0" xfId="0" applyFont="1" applyBorder="1"/>
    <xf numFmtId="0" fontId="1" fillId="0" borderId="0" xfId="0" applyFont="1" applyBorder="1" applyAlignment="1">
      <alignment vertical="center"/>
    </xf>
    <xf numFmtId="0" fontId="1" fillId="0" borderId="0" xfId="0" applyFont="1" applyBorder="1" applyAlignment="1">
      <alignment vertical="center" wrapText="1"/>
    </xf>
    <xf numFmtId="0" fontId="1" fillId="0" borderId="0" xfId="0" applyFont="1" applyAlignment="1">
      <alignment vertical="center"/>
    </xf>
    <xf numFmtId="0" fontId="5" fillId="0" borderId="0" xfId="0" applyFont="1" applyAlignment="1"/>
    <xf numFmtId="20" fontId="8" fillId="0" borderId="2" xfId="0" applyNumberFormat="1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165" fontId="5" fillId="3" borderId="2" xfId="0" applyNumberFormat="1" applyFon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wrapText="1"/>
    </xf>
    <xf numFmtId="1" fontId="5" fillId="3" borderId="2" xfId="0" applyNumberFormat="1" applyFont="1" applyFill="1" applyBorder="1" applyAlignment="1">
      <alignment horizontal="center"/>
    </xf>
    <xf numFmtId="0" fontId="5" fillId="3" borderId="2" xfId="0" applyFont="1" applyFill="1" applyBorder="1"/>
    <xf numFmtId="1" fontId="0" fillId="3" borderId="2" xfId="0" applyNumberFormat="1" applyFill="1" applyBorder="1" applyAlignment="1">
      <alignment horizontal="center" wrapText="1"/>
    </xf>
    <xf numFmtId="1" fontId="0" fillId="3" borderId="2" xfId="0" applyNumberFormat="1" applyFill="1" applyBorder="1" applyAlignment="1">
      <alignment horizontal="center"/>
    </xf>
    <xf numFmtId="1" fontId="5" fillId="3" borderId="2" xfId="0" applyNumberFormat="1" applyFont="1" applyFill="1" applyBorder="1" applyAlignment="1">
      <alignment horizontal="center" vertical="center"/>
    </xf>
    <xf numFmtId="1" fontId="0" fillId="3" borderId="2" xfId="0" applyNumberFormat="1" applyFill="1" applyBorder="1" applyAlignment="1">
      <alignment horizontal="center" vertical="center"/>
    </xf>
    <xf numFmtId="165" fontId="0" fillId="3" borderId="2" xfId="0" applyNumberFormat="1" applyFill="1" applyBorder="1" applyAlignment="1">
      <alignment horizontal="center"/>
    </xf>
    <xf numFmtId="165" fontId="0" fillId="3" borderId="8" xfId="0" applyNumberFormat="1" applyFill="1" applyBorder="1" applyAlignment="1">
      <alignment horizontal="center"/>
    </xf>
    <xf numFmtId="1" fontId="0" fillId="3" borderId="8" xfId="0" applyNumberFormat="1" applyFill="1" applyBorder="1" applyAlignment="1">
      <alignment horizontal="center" wrapText="1"/>
    </xf>
    <xf numFmtId="1" fontId="0" fillId="3" borderId="3" xfId="0" applyNumberFormat="1" applyFill="1" applyBorder="1"/>
    <xf numFmtId="166" fontId="5" fillId="3" borderId="2" xfId="0" applyNumberFormat="1" applyFont="1" applyFill="1" applyBorder="1"/>
    <xf numFmtId="0" fontId="5" fillId="3" borderId="2" xfId="0" applyFont="1" applyFill="1" applyBorder="1" applyAlignment="1">
      <alignment horizontal="center"/>
    </xf>
    <xf numFmtId="167" fontId="5" fillId="3" borderId="2" xfId="1" applyNumberFormat="1" applyFont="1" applyFill="1" applyBorder="1"/>
    <xf numFmtId="20" fontId="8" fillId="3" borderId="2" xfId="0" applyNumberFormat="1" applyFont="1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0" borderId="2" xfId="0" applyFont="1" applyFill="1" applyBorder="1"/>
    <xf numFmtId="0" fontId="1" fillId="4" borderId="0" xfId="0" applyFont="1" applyFill="1"/>
    <xf numFmtId="0" fontId="0" fillId="4" borderId="0" xfId="0" applyFill="1"/>
    <xf numFmtId="0" fontId="14" fillId="0" borderId="0" xfId="5" applyFill="1" applyBorder="1">
      <alignment vertical="center"/>
    </xf>
    <xf numFmtId="0" fontId="13" fillId="0" borderId="0" xfId="4" applyFont="1" applyFill="1" applyBorder="1" applyAlignment="1">
      <alignment horizontal="center"/>
    </xf>
    <xf numFmtId="0" fontId="11" fillId="0" borderId="0" xfId="5" applyFont="1" applyFill="1" applyBorder="1">
      <alignment vertical="center"/>
    </xf>
    <xf numFmtId="0" fontId="12" fillId="0" borderId="0" xfId="4" applyFill="1" applyBorder="1" applyAlignment="1">
      <alignment wrapText="1"/>
    </xf>
    <xf numFmtId="0" fontId="12" fillId="0" borderId="0" xfId="4" applyFill="1" applyBorder="1" applyAlignment="1">
      <alignment horizontal="left" vertical="center" wrapText="1"/>
    </xf>
    <xf numFmtId="0" fontId="15" fillId="0" borderId="0" xfId="5" applyFont="1" applyFill="1" applyBorder="1">
      <alignment vertical="center"/>
    </xf>
    <xf numFmtId="0" fontId="13" fillId="5" borderId="0" xfId="4" applyFont="1" applyFill="1" applyBorder="1" applyAlignment="1">
      <alignment wrapText="1"/>
    </xf>
    <xf numFmtId="0" fontId="15" fillId="5" borderId="0" xfId="5" applyFont="1" applyFill="1" applyBorder="1">
      <alignment vertical="center"/>
    </xf>
    <xf numFmtId="0" fontId="14" fillId="5" borderId="0" xfId="5" applyFill="1" applyBorder="1">
      <alignment vertical="center"/>
    </xf>
    <xf numFmtId="0" fontId="3" fillId="0" borderId="0" xfId="0" applyFont="1"/>
    <xf numFmtId="0" fontId="1" fillId="6" borderId="0" xfId="0" applyFont="1" applyFill="1" applyAlignment="1">
      <alignment vertical="center" wrapText="1"/>
    </xf>
    <xf numFmtId="0" fontId="1" fillId="7" borderId="2" xfId="0" applyFont="1" applyFill="1" applyBorder="1" applyAlignment="1">
      <alignment vertical="center" wrapText="1"/>
    </xf>
    <xf numFmtId="0" fontId="1" fillId="7" borderId="2" xfId="0" applyFont="1" applyFill="1" applyBorder="1" applyAlignment="1">
      <alignment wrapText="1"/>
    </xf>
    <xf numFmtId="0" fontId="0" fillId="8" borderId="2" xfId="0" applyFill="1" applyBorder="1" applyAlignment="1">
      <alignment horizontal="left"/>
    </xf>
    <xf numFmtId="0" fontId="0" fillId="8" borderId="2" xfId="0" applyFill="1" applyBorder="1"/>
    <xf numFmtId="168" fontId="0" fillId="8" borderId="2" xfId="2" applyNumberFormat="1" applyFont="1" applyFill="1" applyBorder="1"/>
    <xf numFmtId="0" fontId="0" fillId="9" borderId="2" xfId="0" applyFill="1" applyBorder="1" applyAlignment="1">
      <alignment horizontal="left"/>
    </xf>
    <xf numFmtId="167" fontId="0" fillId="9" borderId="2" xfId="6" applyNumberFormat="1" applyFont="1" applyFill="1" applyBorder="1"/>
    <xf numFmtId="167" fontId="0" fillId="9" borderId="2" xfId="0" applyNumberFormat="1" applyFill="1" applyBorder="1"/>
    <xf numFmtId="168" fontId="0" fillId="9" borderId="2" xfId="2" applyNumberFormat="1" applyFont="1" applyFill="1" applyBorder="1"/>
    <xf numFmtId="0" fontId="1" fillId="8" borderId="2" xfId="0" applyFont="1" applyFill="1" applyBorder="1"/>
    <xf numFmtId="0" fontId="1" fillId="10" borderId="2" xfId="0" applyFont="1" applyFill="1" applyBorder="1" applyAlignment="1">
      <alignment vertical="center" wrapText="1"/>
    </xf>
    <xf numFmtId="0" fontId="1" fillId="10" borderId="2" xfId="0" applyFont="1" applyFill="1" applyBorder="1" applyAlignment="1">
      <alignment wrapText="1"/>
    </xf>
    <xf numFmtId="0" fontId="1" fillId="11" borderId="0" xfId="0" applyFont="1" applyFill="1"/>
    <xf numFmtId="0" fontId="5" fillId="8" borderId="2" xfId="0" applyFont="1" applyFill="1" applyBorder="1"/>
    <xf numFmtId="167" fontId="0" fillId="8" borderId="2" xfId="6" applyNumberFormat="1" applyFont="1" applyFill="1" applyBorder="1"/>
    <xf numFmtId="0" fontId="5" fillId="12" borderId="2" xfId="0" applyFont="1" applyFill="1" applyBorder="1"/>
    <xf numFmtId="0" fontId="0" fillId="12" borderId="2" xfId="0" applyFill="1" applyBorder="1"/>
    <xf numFmtId="168" fontId="0" fillId="12" borderId="2" xfId="2" applyNumberFormat="1" applyFont="1" applyFill="1" applyBorder="1"/>
    <xf numFmtId="0" fontId="1" fillId="12" borderId="2" xfId="0" applyFont="1" applyFill="1" applyBorder="1"/>
    <xf numFmtId="167" fontId="1" fillId="8" borderId="2" xfId="6" applyNumberFormat="1" applyFont="1" applyFill="1" applyBorder="1"/>
    <xf numFmtId="0" fontId="1" fillId="7" borderId="0" xfId="0" applyFont="1" applyFill="1"/>
    <xf numFmtId="0" fontId="5" fillId="9" borderId="2" xfId="0" applyFont="1" applyFill="1" applyBorder="1"/>
    <xf numFmtId="0" fontId="0" fillId="9" borderId="2" xfId="0" applyFill="1" applyBorder="1"/>
    <xf numFmtId="0" fontId="1" fillId="9" borderId="2" xfId="0" applyFont="1" applyFill="1" applyBorder="1"/>
    <xf numFmtId="0" fontId="1" fillId="13" borderId="2" xfId="0" applyFont="1" applyFill="1" applyBorder="1" applyAlignment="1">
      <alignment vertical="center"/>
    </xf>
    <xf numFmtId="0" fontId="5" fillId="13" borderId="2" xfId="0" applyFont="1" applyFill="1" applyBorder="1" applyAlignment="1">
      <alignment wrapText="1"/>
    </xf>
    <xf numFmtId="0" fontId="1" fillId="14" borderId="2" xfId="0" applyFont="1" applyFill="1" applyBorder="1" applyAlignment="1">
      <alignment wrapText="1"/>
    </xf>
    <xf numFmtId="0" fontId="1" fillId="14" borderId="2" xfId="0" applyFont="1" applyFill="1" applyBorder="1" applyAlignment="1">
      <alignment horizontal="center" vertical="center" wrapText="1"/>
    </xf>
    <xf numFmtId="0" fontId="1" fillId="14" borderId="2" xfId="0" applyFont="1" applyFill="1" applyBorder="1" applyAlignment="1">
      <alignment vertical="center" wrapText="1"/>
    </xf>
    <xf numFmtId="0" fontId="1" fillId="14" borderId="2" xfId="0" applyFont="1" applyFill="1" applyBorder="1" applyAlignment="1">
      <alignment vertical="center"/>
    </xf>
    <xf numFmtId="0" fontId="0" fillId="15" borderId="2" xfId="0" applyFill="1" applyBorder="1" applyAlignment="1">
      <alignment horizontal="left"/>
    </xf>
    <xf numFmtId="167" fontId="0" fillId="15" borderId="2" xfId="6" applyNumberFormat="1" applyFont="1" applyFill="1" applyBorder="1"/>
    <xf numFmtId="167" fontId="0" fillId="15" borderId="2" xfId="0" applyNumberFormat="1" applyFill="1" applyBorder="1"/>
    <xf numFmtId="168" fontId="0" fillId="15" borderId="2" xfId="2" applyNumberFormat="1" applyFont="1" applyFill="1" applyBorder="1"/>
    <xf numFmtId="0" fontId="3" fillId="0" borderId="0" xfId="0" applyFont="1" applyAlignment="1">
      <alignment horizontal="center" vertical="center"/>
    </xf>
    <xf numFmtId="1" fontId="1" fillId="0" borderId="9" xfId="0" applyNumberFormat="1" applyFont="1" applyBorder="1" applyAlignment="1">
      <alignment horizontal="center" vertical="center" wrapText="1"/>
    </xf>
    <xf numFmtId="1" fontId="1" fillId="0" borderId="8" xfId="0" applyNumberFormat="1" applyFont="1" applyBorder="1" applyAlignment="1">
      <alignment horizontal="center" vertical="center" wrapText="1"/>
    </xf>
    <xf numFmtId="1" fontId="1" fillId="0" borderId="11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1" fillId="0" borderId="10" xfId="0" applyNumberFormat="1" applyFont="1" applyBorder="1" applyAlignment="1">
      <alignment horizontal="center" vertical="center" wrapText="1"/>
    </xf>
    <xf numFmtId="1" fontId="1" fillId="0" borderId="0" xfId="0" applyNumberFormat="1" applyFont="1" applyBorder="1" applyAlignment="1">
      <alignment horizontal="center" vertical="center" wrapText="1"/>
    </xf>
    <xf numFmtId="1" fontId="1" fillId="0" borderId="21" xfId="0" applyNumberFormat="1" applyFont="1" applyBorder="1" applyAlignment="1">
      <alignment horizontal="center" vertical="center" wrapText="1"/>
    </xf>
    <xf numFmtId="1" fontId="1" fillId="0" borderId="22" xfId="0" applyNumberFormat="1" applyFont="1" applyBorder="1" applyAlignment="1">
      <alignment horizontal="center" vertical="center" wrapText="1"/>
    </xf>
    <xf numFmtId="1" fontId="1" fillId="0" borderId="23" xfId="0" applyNumberFormat="1" applyFont="1" applyBorder="1" applyAlignment="1">
      <alignment horizontal="center" vertical="center" wrapText="1"/>
    </xf>
    <xf numFmtId="0" fontId="8" fillId="3" borderId="21" xfId="0" applyFont="1" applyFill="1" applyBorder="1" applyAlignment="1">
      <alignment horizontal="center" vertical="center"/>
    </xf>
    <xf numFmtId="0" fontId="8" fillId="3" borderId="23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" fontId="1" fillId="0" borderId="19" xfId="0" applyNumberFormat="1" applyFont="1" applyBorder="1" applyAlignment="1">
      <alignment horizontal="center" vertical="center" wrapText="1"/>
    </xf>
    <xf numFmtId="1" fontId="1" fillId="0" borderId="20" xfId="0" applyNumberFormat="1" applyFont="1" applyBorder="1" applyAlignment="1">
      <alignment horizontal="center" vertical="center" wrapText="1"/>
    </xf>
    <xf numFmtId="1" fontId="1" fillId="0" borderId="18" xfId="0" applyNumberFormat="1" applyFont="1" applyBorder="1" applyAlignment="1">
      <alignment horizontal="center" vertical="center" wrapText="1"/>
    </xf>
    <xf numFmtId="1" fontId="1" fillId="0" borderId="7" xfId="0" applyNumberFormat="1" applyFont="1" applyBorder="1" applyAlignment="1">
      <alignment horizontal="center" vertical="center" wrapText="1"/>
    </xf>
    <xf numFmtId="1" fontId="1" fillId="0" borderId="12" xfId="0" applyNumberFormat="1" applyFont="1" applyBorder="1" applyAlignment="1">
      <alignment horizontal="center" vertical="center" wrapText="1"/>
    </xf>
    <xf numFmtId="1" fontId="1" fillId="0" borderId="13" xfId="0" applyNumberFormat="1" applyFont="1" applyBorder="1" applyAlignment="1">
      <alignment horizontal="center" vertical="center" wrapText="1"/>
    </xf>
    <xf numFmtId="1" fontId="1" fillId="0" borderId="14" xfId="0" applyNumberFormat="1" applyFont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center" vertical="center" wrapText="1"/>
    </xf>
    <xf numFmtId="1" fontId="1" fillId="0" borderId="16" xfId="0" applyNumberFormat="1" applyFont="1" applyBorder="1" applyAlignment="1">
      <alignment horizontal="center" vertical="center" wrapText="1"/>
    </xf>
    <xf numFmtId="1" fontId="1" fillId="0" borderId="6" xfId="0" applyNumberFormat="1" applyFont="1" applyBorder="1" applyAlignment="1">
      <alignment horizontal="center" vertical="center" wrapText="1"/>
    </xf>
    <xf numFmtId="1" fontId="1" fillId="0" borderId="17" xfId="0" applyNumberFormat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1" fontId="1" fillId="0" borderId="5" xfId="0" applyNumberFormat="1" applyFont="1" applyBorder="1" applyAlignment="1">
      <alignment horizontal="center" vertical="center" wrapText="1"/>
    </xf>
    <xf numFmtId="0" fontId="8" fillId="0" borderId="21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center" vertical="center"/>
    </xf>
    <xf numFmtId="0" fontId="1" fillId="10" borderId="2" xfId="0" applyFont="1" applyFill="1" applyBorder="1"/>
    <xf numFmtId="0" fontId="0" fillId="10" borderId="2" xfId="0" applyFill="1" applyBorder="1"/>
    <xf numFmtId="168" fontId="0" fillId="16" borderId="2" xfId="2" applyNumberFormat="1" applyFont="1" applyFill="1" applyBorder="1"/>
    <xf numFmtId="0" fontId="0" fillId="0" borderId="0" xfId="0" applyAlignment="1">
      <alignment horizontal="center"/>
    </xf>
  </cellXfs>
  <cellStyles count="7">
    <cellStyle name="Comma" xfId="1" builtinId="3"/>
    <cellStyle name="Comma 2" xfId="6" xr:uid="{299F212B-9FF0-441D-B60E-10BBB5D10B94}"/>
    <cellStyle name="Normal" xfId="0" builtinId="0"/>
    <cellStyle name="Normal 2" xfId="3" xr:uid="{00000000-0005-0000-0000-000002000000}"/>
    <cellStyle name="Normal 3 2" xfId="5" xr:uid="{00000000-0005-0000-0000-000003000000}"/>
    <cellStyle name="Normal_Indicators_12" xfId="4" xr:uid="{00000000-0005-0000-0000-000004000000}"/>
    <cellStyle name="Percent 2" xfId="2" xr:uid="{00000000-0005-0000-0000-000006000000}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Vehicle Proportions in OD Sample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14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976-4CAD-A385-564F37B76376}"/>
              </c:ext>
            </c:extLst>
          </c:dPt>
          <c:dPt>
            <c:idx val="1"/>
            <c:bubble3D val="0"/>
            <c:explosion val="17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976-4CAD-A385-564F37B76376}"/>
              </c:ext>
            </c:extLst>
          </c:dPt>
          <c:dPt>
            <c:idx val="2"/>
            <c:bubble3D val="0"/>
            <c:explosion val="1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976-4CAD-A385-564F37B76376}"/>
              </c:ext>
            </c:extLst>
          </c:dPt>
          <c:dPt>
            <c:idx val="3"/>
            <c:bubble3D val="0"/>
            <c:explosion val="11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976-4CAD-A385-564F37B76376}"/>
              </c:ext>
            </c:extLst>
          </c:dPt>
          <c:dPt>
            <c:idx val="4"/>
            <c:bubble3D val="0"/>
            <c:explosion val="9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976-4CAD-A385-564F37B76376}"/>
              </c:ext>
            </c:extLst>
          </c:dPt>
          <c:dPt>
            <c:idx val="5"/>
            <c:bubble3D val="0"/>
            <c:explosion val="1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976-4CAD-A385-564F37B76376}"/>
              </c:ext>
            </c:extLst>
          </c:dPt>
          <c:dPt>
            <c:idx val="6"/>
            <c:bubble3D val="0"/>
            <c:explosion val="15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976-4CAD-A385-564F37B76376}"/>
              </c:ext>
            </c:extLst>
          </c:dPt>
          <c:dPt>
            <c:idx val="7"/>
            <c:bubble3D val="0"/>
            <c:explosion val="13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976-4CAD-A385-564F37B76376}"/>
              </c:ext>
            </c:extLst>
          </c:dPt>
          <c:dPt>
            <c:idx val="8"/>
            <c:bubble3D val="0"/>
            <c:explosion val="9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976-4CAD-A385-564F37B7637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976-4CAD-A385-564F37B76376}"/>
              </c:ext>
            </c:extLst>
          </c:dPt>
          <c:dPt>
            <c:idx val="10"/>
            <c:bubble3D val="0"/>
            <c:explosion val="1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976-4CAD-A385-564F37B76376}"/>
              </c:ext>
            </c:extLst>
          </c:dPt>
          <c:dPt>
            <c:idx val="11"/>
            <c:bubble3D val="0"/>
            <c:explosion val="15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976-4CAD-A385-564F37B76376}"/>
              </c:ext>
            </c:extLst>
          </c:dPt>
          <c:dLbls>
            <c:dLbl>
              <c:idx val="8"/>
              <c:layout>
                <c:manualLayout>
                  <c:x val="2.3719378827646545E-3"/>
                  <c:y val="4.9697069116360452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976-4CAD-A385-564F37B7637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Analysis!$B$5:$B$16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Analysis!$C$5:$C$16</c:f>
              <c:numCache>
                <c:formatCode>General</c:formatCode>
                <c:ptCount val="12"/>
                <c:pt idx="0">
                  <c:v>299</c:v>
                </c:pt>
                <c:pt idx="1">
                  <c:v>59</c:v>
                </c:pt>
                <c:pt idx="2">
                  <c:v>37</c:v>
                </c:pt>
                <c:pt idx="3">
                  <c:v>60</c:v>
                </c:pt>
                <c:pt idx="4">
                  <c:v>0</c:v>
                </c:pt>
                <c:pt idx="5">
                  <c:v>4</c:v>
                </c:pt>
                <c:pt idx="6">
                  <c:v>42</c:v>
                </c:pt>
                <c:pt idx="7">
                  <c:v>11</c:v>
                </c:pt>
                <c:pt idx="8">
                  <c:v>8</c:v>
                </c:pt>
                <c:pt idx="9">
                  <c:v>0</c:v>
                </c:pt>
                <c:pt idx="10">
                  <c:v>34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976-4CAD-A385-564F37B763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Purpose Proportions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3.4830007572595474E-2"/>
          <c:y val="0.23102917633221154"/>
          <c:w val="0.95203034050608182"/>
          <c:h val="0.6915047566854764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4A8-4B6E-8F67-CCAC23CE80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4A8-4B6E-8F67-CCAC23CE802A}"/>
              </c:ext>
            </c:extLst>
          </c:dPt>
          <c:dPt>
            <c:idx val="2"/>
            <c:bubble3D val="0"/>
            <c:explosion val="2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4A8-4B6E-8F67-CCAC23CE80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4A8-4B6E-8F67-CCAC23CE802A}"/>
              </c:ext>
            </c:extLst>
          </c:dPt>
          <c:dPt>
            <c:idx val="4"/>
            <c:bubble3D val="0"/>
            <c:explosion val="1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4A8-4B6E-8F67-CCAC23CE802A}"/>
              </c:ext>
            </c:extLst>
          </c:dPt>
          <c:dLbls>
            <c:dLbl>
              <c:idx val="0"/>
              <c:layout>
                <c:manualLayout>
                  <c:x val="-0.24566885389326334"/>
                  <c:y val="6.48694954797317E-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4A8-4B6E-8F67-CCAC23CE802A}"/>
                </c:ext>
              </c:extLst>
            </c:dLbl>
            <c:dLbl>
              <c:idx val="1"/>
              <c:layout>
                <c:manualLayout>
                  <c:x val="-0.12087346894138228"/>
                  <c:y val="-8.5893482064741913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4A8-4B6E-8F67-CCAC23CE802A}"/>
                </c:ext>
              </c:extLst>
            </c:dLbl>
            <c:dLbl>
              <c:idx val="2"/>
              <c:layout>
                <c:manualLayout>
                  <c:x val="0.147621719160105"/>
                  <c:y val="-2.9575678040244968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4A8-4B6E-8F67-CCAC23CE802A}"/>
                </c:ext>
              </c:extLst>
            </c:dLbl>
            <c:dLbl>
              <c:idx val="3"/>
              <c:layout>
                <c:manualLayout>
                  <c:x val="0.14976793525809273"/>
                  <c:y val="5.9194736074657334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4A8-4B6E-8F67-CCAC23CE80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Analysis!$B$24:$B$28</c:f>
              <c:strCache>
                <c:ptCount val="5"/>
                <c:pt idx="0">
                  <c:v>Home-Work</c:v>
                </c:pt>
                <c:pt idx="1">
                  <c:v>Home-Study</c:v>
                </c:pt>
                <c:pt idx="2">
                  <c:v>Work-Home</c:v>
                </c:pt>
                <c:pt idx="3">
                  <c:v>Work-Work</c:v>
                </c:pt>
                <c:pt idx="4">
                  <c:v>Others</c:v>
                </c:pt>
              </c:strCache>
            </c:strRef>
          </c:cat>
          <c:val>
            <c:numRef>
              <c:f>Analysis!$C$24:$C$28</c:f>
              <c:numCache>
                <c:formatCode>General</c:formatCode>
                <c:ptCount val="5"/>
                <c:pt idx="0">
                  <c:v>135</c:v>
                </c:pt>
                <c:pt idx="1">
                  <c:v>0</c:v>
                </c:pt>
                <c:pt idx="2">
                  <c:v>134</c:v>
                </c:pt>
                <c:pt idx="3">
                  <c:v>62</c:v>
                </c:pt>
                <c:pt idx="4">
                  <c:v>223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4A8-4B6E-8F67-CCAC23CE802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Potential Use of Expressways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Analysis!$B$42:$B$43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Analysis!$D$42:$D$43</c:f>
              <c:numCache>
                <c:formatCode>0.0%</c:formatCode>
                <c:ptCount val="2"/>
                <c:pt idx="0">
                  <c:v>0.9873646209386282</c:v>
                </c:pt>
                <c:pt idx="1">
                  <c:v>1.263537906137184E-2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CF-47BB-A08B-318CB2C85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3975664"/>
        <c:axId val="223978408"/>
      </c:barChart>
      <c:catAx>
        <c:axId val="2239756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Responses</a:t>
                </a:r>
              </a:p>
            </c:rich>
          </c:tx>
          <c:layout>
            <c:manualLayout>
              <c:xMode val="edge"/>
              <c:yMode val="edge"/>
              <c:x val="0.45628605497419872"/>
              <c:y val="0.892569262175561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8408"/>
        <c:crosses val="autoZero"/>
        <c:auto val="1"/>
        <c:lblAlgn val="ctr"/>
        <c:lblOffset val="100"/>
        <c:noMultiLvlLbl val="0"/>
      </c:catAx>
      <c:valAx>
        <c:axId val="22397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Proportion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23975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4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User</a:t>
            </a:r>
            <a:r>
              <a:rPr lang="en-US" sz="1400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Charges Public is  Willing to Pay (UGX)</a:t>
            </a:r>
            <a:endPara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Analysis!$B$60:$B$71</c:f>
              <c:strCache>
                <c:ptCount val="12"/>
                <c:pt idx="0">
                  <c:v>Car</c:v>
                </c:pt>
                <c:pt idx="1">
                  <c:v>Station Wagon</c:v>
                </c:pt>
                <c:pt idx="2">
                  <c:v>Pickups</c:v>
                </c:pt>
                <c:pt idx="3">
                  <c:v>Minibus, matatu</c:v>
                </c:pt>
                <c:pt idx="4">
                  <c:v>Medium bus </c:v>
                </c:pt>
                <c:pt idx="5">
                  <c:v>Large Bus</c:v>
                </c:pt>
                <c:pt idx="6">
                  <c:v>Light Truck </c:v>
                </c:pt>
                <c:pt idx="7">
                  <c:v>Medium Truck </c:v>
                </c:pt>
                <c:pt idx="8">
                  <c:v>Heavy truck </c:v>
                </c:pt>
                <c:pt idx="9">
                  <c:v>Truck Trailer </c:v>
                </c:pt>
                <c:pt idx="10">
                  <c:v>Motor cycles</c:v>
                </c:pt>
                <c:pt idx="11">
                  <c:v>Tractors</c:v>
                </c:pt>
              </c:strCache>
            </c:strRef>
          </c:cat>
          <c:val>
            <c:numRef>
              <c:f>Analysis!$C$60:$C$71</c:f>
              <c:numCache>
                <c:formatCode>_(* #,##0_);_(* \(#,##0\);_(* "-"??_);_(@_)</c:formatCode>
                <c:ptCount val="12"/>
                <c:pt idx="0">
                  <c:v>1776.9759450171821</c:v>
                </c:pt>
                <c:pt idx="1">
                  <c:v>2250</c:v>
                </c:pt>
                <c:pt idx="2">
                  <c:v>1518.918918918919</c:v>
                </c:pt>
                <c:pt idx="3">
                  <c:v>2096.6101694915255</c:v>
                </c:pt>
                <c:pt idx="4">
                  <c:v>0</c:v>
                </c:pt>
                <c:pt idx="5">
                  <c:v>2750</c:v>
                </c:pt>
                <c:pt idx="6">
                  <c:v>1825</c:v>
                </c:pt>
                <c:pt idx="7">
                  <c:v>818.18181818181813</c:v>
                </c:pt>
                <c:pt idx="8">
                  <c:v>1187.5</c:v>
                </c:pt>
                <c:pt idx="9">
                  <c:v>0</c:v>
                </c:pt>
                <c:pt idx="10">
                  <c:v>2848.4848484848485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C2-4000-9887-50859911881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290562352"/>
        <c:axId val="290557256"/>
      </c:barChart>
      <c:catAx>
        <c:axId val="29056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57256"/>
        <c:crosses val="autoZero"/>
        <c:auto val="1"/>
        <c:lblAlgn val="ctr"/>
        <c:lblOffset val="100"/>
        <c:noMultiLvlLbl val="0"/>
      </c:catAx>
      <c:valAx>
        <c:axId val="290557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User</a:t>
                </a:r>
                <a:r>
                  <a:rPr lang="en-US" sz="1100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</a:t>
                </a:r>
                <a:r>
                  <a:rPr lang="en-US" sz="11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Charges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290562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Trip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Length 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Analysis!$B$80:$B$88</c:f>
              <c:strCache>
                <c:ptCount val="9"/>
                <c:pt idx="0">
                  <c:v>0-1</c:v>
                </c:pt>
                <c:pt idx="1">
                  <c:v>1-2.5</c:v>
                </c:pt>
                <c:pt idx="2">
                  <c:v>2.5-5.0</c:v>
                </c:pt>
                <c:pt idx="3">
                  <c:v>5.0-10.0</c:v>
                </c:pt>
                <c:pt idx="4">
                  <c:v>10.0-20.0</c:v>
                </c:pt>
                <c:pt idx="5">
                  <c:v>20.0-50.0</c:v>
                </c:pt>
                <c:pt idx="6">
                  <c:v>50.0-100.0</c:v>
                </c:pt>
                <c:pt idx="7">
                  <c:v>100.0-250.0</c:v>
                </c:pt>
                <c:pt idx="8">
                  <c:v>Over 250</c:v>
                </c:pt>
              </c:strCache>
            </c:strRef>
          </c:cat>
          <c:val>
            <c:numRef>
              <c:f>Analysis!$D$80:$D$88</c:f>
              <c:numCache>
                <c:formatCode>_(* #,##0_);_(* \(#,##0\);_(* "-"??_);_(@_)</c:formatCode>
                <c:ptCount val="9"/>
                <c:pt idx="0">
                  <c:v>66</c:v>
                </c:pt>
                <c:pt idx="1">
                  <c:v>63</c:v>
                </c:pt>
                <c:pt idx="2">
                  <c:v>113</c:v>
                </c:pt>
                <c:pt idx="3">
                  <c:v>86</c:v>
                </c:pt>
                <c:pt idx="4">
                  <c:v>87</c:v>
                </c:pt>
                <c:pt idx="5">
                  <c:v>71</c:v>
                </c:pt>
                <c:pt idx="6">
                  <c:v>15</c:v>
                </c:pt>
                <c:pt idx="7">
                  <c:v>50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C5-4394-8BB4-F9700E50C3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Trip Length Range (Km)</a:t>
                </a:r>
              </a:p>
            </c:rich>
          </c:tx>
          <c:layout>
            <c:manualLayout>
              <c:xMode val="edge"/>
              <c:yMode val="edge"/>
              <c:x val="0.31803001153329596"/>
              <c:y val="0.9224050957045003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Journey Time 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Distribution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G"/>
        </a:p>
      </c:txPr>
    </c:title>
    <c:autoTitleDeleted val="0"/>
    <c:plotArea>
      <c:layout>
        <c:manualLayout>
          <c:layoutTarget val="inner"/>
          <c:xMode val="edge"/>
          <c:yMode val="edge"/>
          <c:x val="0.14096969097175119"/>
          <c:y val="0.14556451612903226"/>
          <c:w val="0.83274596510861532"/>
          <c:h val="0.5417068834137668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Analysis!$N$5:$N$15</c:f>
              <c:strCache>
                <c:ptCount val="11"/>
                <c:pt idx="0">
                  <c:v>0-0.25</c:v>
                </c:pt>
                <c:pt idx="1">
                  <c:v>0.25-0.50</c:v>
                </c:pt>
                <c:pt idx="2">
                  <c:v>0.50-0.75</c:v>
                </c:pt>
                <c:pt idx="3">
                  <c:v>0.75-1.00</c:v>
                </c:pt>
                <c:pt idx="4">
                  <c:v>1.00-1.50</c:v>
                </c:pt>
                <c:pt idx="5">
                  <c:v>1.5-2.0</c:v>
                </c:pt>
                <c:pt idx="6">
                  <c:v>2.0-3.0</c:v>
                </c:pt>
                <c:pt idx="7">
                  <c:v>3.0-5.0</c:v>
                </c:pt>
                <c:pt idx="8">
                  <c:v>5.0-7.5</c:v>
                </c:pt>
                <c:pt idx="9">
                  <c:v>7.5-10</c:v>
                </c:pt>
                <c:pt idx="10">
                  <c:v>Over 10</c:v>
                </c:pt>
              </c:strCache>
            </c:strRef>
          </c:cat>
          <c:val>
            <c:numRef>
              <c:f>Analysis!$P$5:$P$15</c:f>
              <c:numCache>
                <c:formatCode>_(* #,##0_);_(* \(#,##0\);_(* "-"??_);_(@_)</c:formatCode>
                <c:ptCount val="11"/>
                <c:pt idx="0">
                  <c:v>116</c:v>
                </c:pt>
                <c:pt idx="1">
                  <c:v>137</c:v>
                </c:pt>
                <c:pt idx="2">
                  <c:v>38</c:v>
                </c:pt>
                <c:pt idx="3">
                  <c:v>107</c:v>
                </c:pt>
                <c:pt idx="4">
                  <c:v>36</c:v>
                </c:pt>
                <c:pt idx="5">
                  <c:v>65</c:v>
                </c:pt>
                <c:pt idx="6">
                  <c:v>37</c:v>
                </c:pt>
                <c:pt idx="7">
                  <c:v>10</c:v>
                </c:pt>
                <c:pt idx="8">
                  <c:v>2</c:v>
                </c:pt>
                <c:pt idx="9">
                  <c:v>1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A8-474A-844D-CD92EEE32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433477640"/>
        <c:axId val="433481576"/>
      </c:barChart>
      <c:catAx>
        <c:axId val="433477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Journey Time Range (Hrs)</a:t>
                </a:r>
              </a:p>
            </c:rich>
          </c:tx>
          <c:layout>
            <c:manualLayout>
              <c:xMode val="edge"/>
              <c:yMode val="edge"/>
              <c:x val="0.38143813555383671"/>
              <c:y val="0.9264700279400558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81576"/>
        <c:crosses val="autoZero"/>
        <c:auto val="1"/>
        <c:lblAlgn val="ctr"/>
        <c:lblOffset val="100"/>
        <c:noMultiLvlLbl val="0"/>
      </c:catAx>
      <c:valAx>
        <c:axId val="433481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1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No.</a:t>
                </a:r>
                <a:r>
                  <a:rPr lang="en-US" sz="11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of Vehicles</a:t>
                </a:r>
                <a:endParaRPr lang="en-US" sz="11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n-UG"/>
            </a:p>
          </c:txPr>
        </c:title>
        <c:numFmt formatCode="_(* #,##0_);_(* \(#,##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G"/>
          </a:p>
        </c:txPr>
        <c:crossAx val="433477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Trip Frequency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G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explosion val="8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523-4D10-AA83-CD290D9FC856}"/>
              </c:ext>
            </c:extLst>
          </c:dPt>
          <c:dPt>
            <c:idx val="1"/>
            <c:bubble3D val="0"/>
            <c:explosion val="4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523-4D10-AA83-CD290D9FC856}"/>
              </c:ext>
            </c:extLst>
          </c:dPt>
          <c:dPt>
            <c:idx val="2"/>
            <c:bubble3D val="0"/>
            <c:explosion val="4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523-4D10-AA83-CD290D9FC856}"/>
              </c:ext>
            </c:extLst>
          </c:dPt>
          <c:dPt>
            <c:idx val="3"/>
            <c:bubble3D val="0"/>
            <c:explosion val="7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523-4D10-AA83-CD290D9FC8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523-4D10-AA83-CD290D9FC856}"/>
              </c:ext>
            </c:extLst>
          </c:dPt>
          <c:dPt>
            <c:idx val="5"/>
            <c:bubble3D val="0"/>
            <c:explosion val="9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523-4D10-AA83-CD290D9FC8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G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Analysis!$N$23:$N$28</c:f>
              <c:strCache>
                <c:ptCount val="6"/>
                <c:pt idx="0">
                  <c:v>More than 2 times every day</c:v>
                </c:pt>
                <c:pt idx="1">
                  <c:v>Daily (Up and Down)</c:v>
                </c:pt>
                <c:pt idx="2">
                  <c:v>2/3 times a week</c:v>
                </c:pt>
                <c:pt idx="3">
                  <c:v>Once a week</c:v>
                </c:pt>
                <c:pt idx="4">
                  <c:v>Once a month</c:v>
                </c:pt>
                <c:pt idx="5">
                  <c:v>Once in a while</c:v>
                </c:pt>
              </c:strCache>
            </c:strRef>
          </c:cat>
          <c:val>
            <c:numRef>
              <c:f>Analysis!$O$23:$O$28</c:f>
              <c:numCache>
                <c:formatCode>_(* #,##0_);_(* \(#,##0\);_(* "-"??_);_(@_)</c:formatCode>
                <c:ptCount val="6"/>
                <c:pt idx="0">
                  <c:v>177</c:v>
                </c:pt>
                <c:pt idx="1">
                  <c:v>236</c:v>
                </c:pt>
                <c:pt idx="2">
                  <c:v>39</c:v>
                </c:pt>
                <c:pt idx="3">
                  <c:v>32</c:v>
                </c:pt>
                <c:pt idx="4">
                  <c:v>11</c:v>
                </c:pt>
                <c:pt idx="5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523-4D10-AA83-CD290D9FC8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50000"/>
        </a:schemeClr>
      </a:solidFill>
      <a:round/>
    </a:ln>
    <a:effectLst/>
  </c:spPr>
  <c:txPr>
    <a:bodyPr/>
    <a:lstStyle/>
    <a:p>
      <a:pPr>
        <a:defRPr/>
      </a:pPr>
      <a:endParaRPr lang="en-U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31750</xdr:colOff>
      <xdr:row>3</xdr:row>
      <xdr:rowOff>12700</xdr:rowOff>
    </xdr:from>
    <xdr:to>
      <xdr:col>11</xdr:col>
      <xdr:colOff>14655</xdr:colOff>
      <xdr:row>17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4C5381-0D0D-46BA-9743-37DFFFA97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25886</xdr:colOff>
      <xdr:row>21</xdr:row>
      <xdr:rowOff>479671</xdr:rowOff>
    </xdr:from>
    <xdr:to>
      <xdr:col>11</xdr:col>
      <xdr:colOff>44937</xdr:colOff>
      <xdr:row>38</xdr:row>
      <xdr:rowOff>14656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55E844B-CCF7-489C-9F13-4691A079C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25888</xdr:colOff>
      <xdr:row>40</xdr:row>
      <xdr:rowOff>21492</xdr:rowOff>
    </xdr:from>
    <xdr:to>
      <xdr:col>11</xdr:col>
      <xdr:colOff>14655</xdr:colOff>
      <xdr:row>56</xdr:row>
      <xdr:rowOff>123093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6404C18-21C4-4CDD-9D77-16C61AB8C8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19048</xdr:colOff>
      <xdr:row>58</xdr:row>
      <xdr:rowOff>10746</xdr:rowOff>
    </xdr:from>
    <xdr:to>
      <xdr:col>10</xdr:col>
      <xdr:colOff>512885</xdr:colOff>
      <xdr:row>74</xdr:row>
      <xdr:rowOff>143608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29EE5D4-39BF-488D-9869-EA82E73115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46401</xdr:colOff>
      <xdr:row>78</xdr:row>
      <xdr:rowOff>10746</xdr:rowOff>
    </xdr:from>
    <xdr:to>
      <xdr:col>12</xdr:col>
      <xdr:colOff>586153</xdr:colOff>
      <xdr:row>94</xdr:row>
      <xdr:rowOff>92808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29225247-57F0-48C2-8D07-20E501C4DE4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33701</xdr:colOff>
      <xdr:row>2</xdr:row>
      <xdr:rowOff>175846</xdr:rowOff>
    </xdr:from>
    <xdr:to>
      <xdr:col>25</xdr:col>
      <xdr:colOff>0</xdr:colOff>
      <xdr:row>18</xdr:row>
      <xdr:rowOff>128954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43B852B-ED8C-4E54-9CDD-CA4B66C79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16</xdr:col>
      <xdr:colOff>17093</xdr:colOff>
      <xdr:row>21</xdr:row>
      <xdr:rowOff>12700</xdr:rowOff>
    </xdr:from>
    <xdr:to>
      <xdr:col>24</xdr:col>
      <xdr:colOff>73269</xdr:colOff>
      <xdr:row>39</xdr:row>
      <xdr:rowOff>146539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A4650705-7E0D-4E29-880B-144FDC0532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TEWARD%20CONSULTANCY\Desktop\OD-C1-STN10-EXAMPLE%20shak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DATA"/>
      <sheetName val="Zones"/>
      <sheetName val="Sheet2"/>
      <sheetName val="Zone analysis"/>
      <sheetName val="25.07 BUSEGA-NATEETE"/>
      <sheetName val="RSI FORM"/>
      <sheetName val="25.07 NATEETE-BUSEGA"/>
      <sheetName val="26.07 BUSEGA-NATEETE"/>
      <sheetName val="26.07 NATEETE-BUSEGA"/>
      <sheetName val="Key"/>
      <sheetName val="Analysis"/>
    </sheetNames>
    <sheetDataSet>
      <sheetData sheetId="0"/>
      <sheetData sheetId="1"/>
      <sheetData sheetId="2"/>
      <sheetData sheetId="3"/>
      <sheetData sheetId="4">
        <row r="1">
          <cell r="D1">
            <v>0</v>
          </cell>
        </row>
        <row r="2">
          <cell r="D2">
            <v>0</v>
          </cell>
        </row>
        <row r="3">
          <cell r="D3">
            <v>0</v>
          </cell>
        </row>
        <row r="5">
          <cell r="D5">
            <v>0</v>
          </cell>
        </row>
        <row r="7">
          <cell r="D7" t="str">
            <v>Veh_Type</v>
          </cell>
        </row>
        <row r="8">
          <cell r="D8">
            <v>0</v>
          </cell>
        </row>
        <row r="9">
          <cell r="D9">
            <v>10</v>
          </cell>
        </row>
        <row r="10">
          <cell r="D10">
            <v>1</v>
          </cell>
        </row>
        <row r="11">
          <cell r="D11">
            <v>1</v>
          </cell>
        </row>
        <row r="12">
          <cell r="D12">
            <v>1</v>
          </cell>
        </row>
        <row r="13">
          <cell r="D13">
            <v>8</v>
          </cell>
        </row>
        <row r="14">
          <cell r="D14">
            <v>1</v>
          </cell>
        </row>
        <row r="15">
          <cell r="D15">
            <v>1</v>
          </cell>
        </row>
        <row r="16">
          <cell r="D16">
            <v>11</v>
          </cell>
        </row>
        <row r="17">
          <cell r="D17">
            <v>11</v>
          </cell>
        </row>
        <row r="18">
          <cell r="D18">
            <v>8</v>
          </cell>
        </row>
        <row r="19">
          <cell r="D19">
            <v>5</v>
          </cell>
        </row>
        <row r="20">
          <cell r="D20">
            <v>7</v>
          </cell>
        </row>
        <row r="21">
          <cell r="D21">
            <v>4</v>
          </cell>
        </row>
        <row r="22">
          <cell r="D22">
            <v>11</v>
          </cell>
        </row>
        <row r="23">
          <cell r="D23">
            <v>1</v>
          </cell>
        </row>
        <row r="24">
          <cell r="D24">
            <v>7</v>
          </cell>
        </row>
        <row r="25">
          <cell r="D25">
            <v>5</v>
          </cell>
        </row>
        <row r="26">
          <cell r="D26">
            <v>4</v>
          </cell>
        </row>
        <row r="27">
          <cell r="D27">
            <v>11</v>
          </cell>
        </row>
        <row r="28">
          <cell r="D28">
            <v>11</v>
          </cell>
        </row>
        <row r="29">
          <cell r="D29">
            <v>1</v>
          </cell>
        </row>
        <row r="30">
          <cell r="D30">
            <v>8</v>
          </cell>
        </row>
        <row r="31">
          <cell r="D31">
            <v>1</v>
          </cell>
        </row>
        <row r="32">
          <cell r="D32">
            <v>6</v>
          </cell>
        </row>
        <row r="33">
          <cell r="D33">
            <v>1</v>
          </cell>
        </row>
        <row r="34">
          <cell r="D34">
            <v>1</v>
          </cell>
        </row>
        <row r="35">
          <cell r="D35">
            <v>3</v>
          </cell>
        </row>
        <row r="36">
          <cell r="D36">
            <v>1</v>
          </cell>
        </row>
        <row r="37">
          <cell r="D37">
            <v>3</v>
          </cell>
        </row>
        <row r="38">
          <cell r="D38">
            <v>8</v>
          </cell>
        </row>
        <row r="39">
          <cell r="D39">
            <v>4</v>
          </cell>
        </row>
        <row r="40">
          <cell r="D40">
            <v>1</v>
          </cell>
        </row>
        <row r="41">
          <cell r="D41">
            <v>7</v>
          </cell>
        </row>
        <row r="42">
          <cell r="D42">
            <v>1</v>
          </cell>
        </row>
        <row r="43">
          <cell r="D43">
            <v>11</v>
          </cell>
        </row>
        <row r="44">
          <cell r="D44">
            <v>7</v>
          </cell>
        </row>
        <row r="45">
          <cell r="D45">
            <v>1</v>
          </cell>
        </row>
        <row r="46">
          <cell r="D46">
            <v>11</v>
          </cell>
        </row>
        <row r="47">
          <cell r="D47">
            <v>4</v>
          </cell>
        </row>
        <row r="48">
          <cell r="D48">
            <v>1</v>
          </cell>
        </row>
        <row r="49">
          <cell r="D49">
            <v>1</v>
          </cell>
        </row>
        <row r="50">
          <cell r="D50">
            <v>1</v>
          </cell>
        </row>
        <row r="51">
          <cell r="D51">
            <v>11</v>
          </cell>
        </row>
        <row r="52">
          <cell r="D52">
            <v>7</v>
          </cell>
        </row>
        <row r="53">
          <cell r="D53">
            <v>8</v>
          </cell>
        </row>
        <row r="54">
          <cell r="D54">
            <v>11</v>
          </cell>
        </row>
        <row r="55">
          <cell r="D55">
            <v>11</v>
          </cell>
        </row>
        <row r="56">
          <cell r="D56">
            <v>4</v>
          </cell>
        </row>
        <row r="57">
          <cell r="D57">
            <v>11</v>
          </cell>
        </row>
        <row r="58">
          <cell r="D58">
            <v>11</v>
          </cell>
        </row>
        <row r="59">
          <cell r="D59">
            <v>1</v>
          </cell>
        </row>
        <row r="60">
          <cell r="D60">
            <v>4</v>
          </cell>
        </row>
        <row r="61">
          <cell r="D61">
            <v>1</v>
          </cell>
        </row>
        <row r="62">
          <cell r="D62">
            <v>4</v>
          </cell>
        </row>
        <row r="63">
          <cell r="D63">
            <v>11</v>
          </cell>
        </row>
        <row r="64">
          <cell r="D64">
            <v>11</v>
          </cell>
        </row>
        <row r="65">
          <cell r="D65">
            <v>1</v>
          </cell>
        </row>
        <row r="66">
          <cell r="D66">
            <v>1</v>
          </cell>
        </row>
        <row r="67">
          <cell r="D67">
            <v>4</v>
          </cell>
        </row>
        <row r="68">
          <cell r="D68">
            <v>4</v>
          </cell>
        </row>
        <row r="69">
          <cell r="D69">
            <v>1</v>
          </cell>
        </row>
        <row r="70">
          <cell r="D70">
            <v>8</v>
          </cell>
        </row>
        <row r="71">
          <cell r="D71">
            <v>11</v>
          </cell>
        </row>
        <row r="72">
          <cell r="D72">
            <v>7</v>
          </cell>
        </row>
        <row r="73">
          <cell r="D73">
            <v>1</v>
          </cell>
        </row>
        <row r="74">
          <cell r="D74">
            <v>8</v>
          </cell>
        </row>
        <row r="75">
          <cell r="D75">
            <v>1</v>
          </cell>
        </row>
        <row r="76">
          <cell r="D76">
            <v>4</v>
          </cell>
        </row>
        <row r="77">
          <cell r="D77">
            <v>1</v>
          </cell>
        </row>
        <row r="78">
          <cell r="D78">
            <v>1</v>
          </cell>
        </row>
        <row r="79">
          <cell r="D79">
            <v>4</v>
          </cell>
        </row>
        <row r="80">
          <cell r="D80">
            <v>3</v>
          </cell>
        </row>
        <row r="81">
          <cell r="D81">
            <v>1</v>
          </cell>
        </row>
        <row r="82">
          <cell r="D82">
            <v>1</v>
          </cell>
        </row>
        <row r="83">
          <cell r="D83">
            <v>11</v>
          </cell>
        </row>
        <row r="84">
          <cell r="D84">
            <v>11</v>
          </cell>
        </row>
        <row r="85">
          <cell r="D85">
            <v>4</v>
          </cell>
        </row>
        <row r="86">
          <cell r="D86">
            <v>8</v>
          </cell>
        </row>
        <row r="87">
          <cell r="D87">
            <v>11</v>
          </cell>
        </row>
        <row r="88">
          <cell r="D88">
            <v>11</v>
          </cell>
        </row>
        <row r="89">
          <cell r="D89">
            <v>1</v>
          </cell>
        </row>
        <row r="90">
          <cell r="D90">
            <v>8</v>
          </cell>
        </row>
        <row r="91">
          <cell r="D91">
            <v>11</v>
          </cell>
        </row>
        <row r="92">
          <cell r="D92">
            <v>3</v>
          </cell>
        </row>
        <row r="93">
          <cell r="D93">
            <v>1</v>
          </cell>
        </row>
        <row r="94">
          <cell r="D94">
            <v>1</v>
          </cell>
        </row>
        <row r="95">
          <cell r="D95">
            <v>5</v>
          </cell>
        </row>
        <row r="96">
          <cell r="D96">
            <v>8</v>
          </cell>
        </row>
        <row r="97">
          <cell r="D97">
            <v>7</v>
          </cell>
        </row>
        <row r="98">
          <cell r="D98">
            <v>1</v>
          </cell>
        </row>
        <row r="99">
          <cell r="D99">
            <v>11</v>
          </cell>
        </row>
        <row r="100">
          <cell r="D100">
            <v>11</v>
          </cell>
        </row>
        <row r="101">
          <cell r="D101">
            <v>1</v>
          </cell>
        </row>
        <row r="102">
          <cell r="D102">
            <v>1</v>
          </cell>
        </row>
        <row r="103">
          <cell r="D103">
            <v>6</v>
          </cell>
        </row>
        <row r="104">
          <cell r="D104">
            <v>1</v>
          </cell>
        </row>
        <row r="105">
          <cell r="D105">
            <v>1</v>
          </cell>
        </row>
        <row r="106">
          <cell r="D106">
            <v>4</v>
          </cell>
        </row>
        <row r="107">
          <cell r="D107">
            <v>1</v>
          </cell>
        </row>
        <row r="108">
          <cell r="D108">
            <v>1</v>
          </cell>
        </row>
        <row r="109">
          <cell r="D109">
            <v>11</v>
          </cell>
        </row>
        <row r="110">
          <cell r="D110">
            <v>11</v>
          </cell>
        </row>
        <row r="111">
          <cell r="D111">
            <v>4</v>
          </cell>
        </row>
        <row r="112">
          <cell r="D112">
            <v>1</v>
          </cell>
        </row>
        <row r="113">
          <cell r="D113">
            <v>1</v>
          </cell>
        </row>
        <row r="114">
          <cell r="D114">
            <v>7</v>
          </cell>
        </row>
        <row r="115">
          <cell r="D115">
            <v>1</v>
          </cell>
        </row>
        <row r="116">
          <cell r="D116">
            <v>1</v>
          </cell>
        </row>
        <row r="117">
          <cell r="D117">
            <v>8</v>
          </cell>
        </row>
        <row r="118">
          <cell r="D118">
            <v>1</v>
          </cell>
        </row>
        <row r="119">
          <cell r="D119">
            <v>1</v>
          </cell>
        </row>
        <row r="120">
          <cell r="D120">
            <v>4</v>
          </cell>
        </row>
        <row r="121">
          <cell r="D121">
            <v>1</v>
          </cell>
        </row>
        <row r="122">
          <cell r="D122">
            <v>1</v>
          </cell>
        </row>
        <row r="123">
          <cell r="D123">
            <v>1</v>
          </cell>
        </row>
        <row r="124">
          <cell r="D124">
            <v>1</v>
          </cell>
        </row>
        <row r="125">
          <cell r="D125">
            <v>1</v>
          </cell>
        </row>
        <row r="126">
          <cell r="D126">
            <v>7</v>
          </cell>
        </row>
        <row r="127">
          <cell r="D127">
            <v>4</v>
          </cell>
        </row>
        <row r="128">
          <cell r="D128">
            <v>8</v>
          </cell>
        </row>
        <row r="129">
          <cell r="D129">
            <v>8</v>
          </cell>
        </row>
        <row r="130">
          <cell r="D130">
            <v>4</v>
          </cell>
        </row>
        <row r="131">
          <cell r="D131">
            <v>1</v>
          </cell>
        </row>
        <row r="132">
          <cell r="D132">
            <v>1</v>
          </cell>
        </row>
        <row r="133">
          <cell r="D133">
            <v>7</v>
          </cell>
        </row>
        <row r="134">
          <cell r="D134">
            <v>2</v>
          </cell>
        </row>
        <row r="135">
          <cell r="D135">
            <v>7</v>
          </cell>
        </row>
        <row r="136">
          <cell r="D136">
            <v>4</v>
          </cell>
        </row>
        <row r="137">
          <cell r="D137">
            <v>7</v>
          </cell>
        </row>
        <row r="138">
          <cell r="D138">
            <v>4</v>
          </cell>
        </row>
        <row r="139">
          <cell r="D139">
            <v>8</v>
          </cell>
        </row>
        <row r="140">
          <cell r="D140">
            <v>11</v>
          </cell>
        </row>
        <row r="141">
          <cell r="D141">
            <v>1</v>
          </cell>
        </row>
        <row r="142">
          <cell r="D142">
            <v>4</v>
          </cell>
        </row>
        <row r="143">
          <cell r="D143">
            <v>11</v>
          </cell>
        </row>
        <row r="144">
          <cell r="D144">
            <v>11</v>
          </cell>
        </row>
        <row r="145">
          <cell r="D145">
            <v>1</v>
          </cell>
        </row>
        <row r="146">
          <cell r="D146">
            <v>4</v>
          </cell>
        </row>
        <row r="147">
          <cell r="D147">
            <v>11</v>
          </cell>
        </row>
        <row r="148">
          <cell r="D148">
            <v>11</v>
          </cell>
        </row>
        <row r="149">
          <cell r="D149">
            <v>11</v>
          </cell>
        </row>
        <row r="150">
          <cell r="D150">
            <v>11</v>
          </cell>
        </row>
        <row r="151">
          <cell r="D151">
            <v>9</v>
          </cell>
        </row>
        <row r="152">
          <cell r="D152">
            <v>3</v>
          </cell>
        </row>
        <row r="153">
          <cell r="D153">
            <v>11</v>
          </cell>
        </row>
        <row r="154">
          <cell r="D154">
            <v>1</v>
          </cell>
        </row>
        <row r="155">
          <cell r="D155">
            <v>11</v>
          </cell>
        </row>
        <row r="156">
          <cell r="D156">
            <v>2</v>
          </cell>
        </row>
        <row r="157">
          <cell r="D157">
            <v>8</v>
          </cell>
        </row>
        <row r="158">
          <cell r="D158">
            <v>4</v>
          </cell>
        </row>
        <row r="159">
          <cell r="D159">
            <v>7</v>
          </cell>
        </row>
        <row r="160">
          <cell r="D160">
            <v>4</v>
          </cell>
        </row>
        <row r="161">
          <cell r="D161">
            <v>4</v>
          </cell>
        </row>
        <row r="162">
          <cell r="D162">
            <v>5</v>
          </cell>
        </row>
        <row r="163">
          <cell r="D163">
            <v>1</v>
          </cell>
        </row>
        <row r="164">
          <cell r="D164">
            <v>8</v>
          </cell>
        </row>
        <row r="165">
          <cell r="D165">
            <v>1</v>
          </cell>
        </row>
        <row r="166">
          <cell r="D166">
            <v>1</v>
          </cell>
        </row>
        <row r="167">
          <cell r="D167">
            <v>8</v>
          </cell>
        </row>
        <row r="168">
          <cell r="D168">
            <v>4</v>
          </cell>
        </row>
        <row r="169">
          <cell r="D169">
            <v>7</v>
          </cell>
        </row>
        <row r="170">
          <cell r="D170">
            <v>4</v>
          </cell>
        </row>
        <row r="171">
          <cell r="D171">
            <v>1</v>
          </cell>
        </row>
        <row r="172">
          <cell r="D172">
            <v>8</v>
          </cell>
        </row>
        <row r="173">
          <cell r="D173">
            <v>2</v>
          </cell>
        </row>
        <row r="174">
          <cell r="D174">
            <v>1</v>
          </cell>
        </row>
        <row r="175">
          <cell r="D175">
            <v>4</v>
          </cell>
        </row>
        <row r="176">
          <cell r="D176">
            <v>8</v>
          </cell>
        </row>
        <row r="177">
          <cell r="D177">
            <v>3</v>
          </cell>
        </row>
        <row r="178">
          <cell r="D178">
            <v>1</v>
          </cell>
        </row>
        <row r="179">
          <cell r="D179">
            <v>11</v>
          </cell>
        </row>
        <row r="180">
          <cell r="D180">
            <v>5</v>
          </cell>
        </row>
        <row r="181">
          <cell r="D181">
            <v>7</v>
          </cell>
        </row>
        <row r="182">
          <cell r="D182">
            <v>1</v>
          </cell>
        </row>
        <row r="183">
          <cell r="D183">
            <v>7</v>
          </cell>
        </row>
        <row r="184">
          <cell r="D184">
            <v>8</v>
          </cell>
        </row>
        <row r="185">
          <cell r="D185">
            <v>1</v>
          </cell>
        </row>
        <row r="186">
          <cell r="D186">
            <v>8</v>
          </cell>
        </row>
        <row r="187">
          <cell r="D187">
            <v>7</v>
          </cell>
        </row>
        <row r="188">
          <cell r="D188">
            <v>1</v>
          </cell>
        </row>
        <row r="189">
          <cell r="D189">
            <v>9</v>
          </cell>
        </row>
        <row r="190">
          <cell r="D190">
            <v>1</v>
          </cell>
        </row>
        <row r="191">
          <cell r="D191">
            <v>1</v>
          </cell>
        </row>
        <row r="192">
          <cell r="D192">
            <v>11</v>
          </cell>
        </row>
        <row r="193">
          <cell r="D193">
            <v>8</v>
          </cell>
        </row>
        <row r="194">
          <cell r="D194">
            <v>2</v>
          </cell>
        </row>
        <row r="195">
          <cell r="D195">
            <v>1</v>
          </cell>
        </row>
        <row r="196">
          <cell r="D196">
            <v>4</v>
          </cell>
        </row>
        <row r="197">
          <cell r="D197">
            <v>11</v>
          </cell>
        </row>
        <row r="198">
          <cell r="D198">
            <v>4</v>
          </cell>
        </row>
        <row r="199">
          <cell r="D199">
            <v>8</v>
          </cell>
        </row>
        <row r="200">
          <cell r="D200">
            <v>6</v>
          </cell>
        </row>
        <row r="201">
          <cell r="D201">
            <v>10</v>
          </cell>
        </row>
        <row r="202">
          <cell r="D202">
            <v>11</v>
          </cell>
        </row>
        <row r="203">
          <cell r="D203">
            <v>11</v>
          </cell>
        </row>
        <row r="204">
          <cell r="D204">
            <v>4</v>
          </cell>
        </row>
        <row r="205">
          <cell r="D205">
            <v>4</v>
          </cell>
        </row>
        <row r="206">
          <cell r="D206">
            <v>1</v>
          </cell>
        </row>
        <row r="207">
          <cell r="D207">
            <v>8</v>
          </cell>
        </row>
        <row r="208">
          <cell r="D208">
            <v>4</v>
          </cell>
        </row>
        <row r="209">
          <cell r="D209">
            <v>1</v>
          </cell>
        </row>
        <row r="210">
          <cell r="D210">
            <v>7</v>
          </cell>
        </row>
        <row r="211">
          <cell r="D211">
            <v>3</v>
          </cell>
        </row>
        <row r="212">
          <cell r="D212">
            <v>11</v>
          </cell>
        </row>
        <row r="213">
          <cell r="D213">
            <v>11</v>
          </cell>
        </row>
      </sheetData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A5130-18B7-4B4B-82C7-B1B4321B4280}">
  <dimension ref="A2:Y88"/>
  <sheetViews>
    <sheetView tabSelected="1" view="pageBreakPreview" topLeftCell="A40" zoomScale="60" zoomScaleNormal="65" workbookViewId="0">
      <selection activeCell="N64" sqref="N64"/>
    </sheetView>
  </sheetViews>
  <sheetFormatPr defaultRowHeight="12.75"/>
  <cols>
    <col min="1" max="1" width="3.85546875" style="61" customWidth="1"/>
    <col min="2" max="3" width="16" customWidth="1"/>
    <col min="4" max="4" width="11.42578125" customWidth="1"/>
    <col min="5" max="5" width="13.5703125" customWidth="1"/>
    <col min="14" max="14" width="13" customWidth="1"/>
    <col min="15" max="17" width="10.85546875" customWidth="1"/>
  </cols>
  <sheetData>
    <row r="2" spans="1:17">
      <c r="A2" s="60"/>
      <c r="B2" s="1"/>
      <c r="C2" s="19"/>
    </row>
    <row r="3" spans="1:17" ht="15">
      <c r="B3" s="71" t="s">
        <v>2935</v>
      </c>
      <c r="N3" s="1" t="s">
        <v>2936</v>
      </c>
    </row>
    <row r="4" spans="1:17" ht="38.25">
      <c r="B4" s="72" t="s">
        <v>138</v>
      </c>
      <c r="C4" s="72" t="s">
        <v>2937</v>
      </c>
      <c r="D4" s="72" t="s">
        <v>2938</v>
      </c>
      <c r="N4" s="73" t="s">
        <v>2939</v>
      </c>
      <c r="O4" s="73" t="s">
        <v>2940</v>
      </c>
      <c r="P4" s="73" t="s">
        <v>2941</v>
      </c>
      <c r="Q4" s="74" t="s">
        <v>2942</v>
      </c>
    </row>
    <row r="5" spans="1:17" ht="15" customHeight="1">
      <c r="B5" s="75" t="s">
        <v>72</v>
      </c>
      <c r="C5" s="76">
        <f>COUNTIF('ALL DATA'!$D$9:$D$5000,"1")</f>
        <v>299</v>
      </c>
      <c r="D5" s="77">
        <f t="shared" ref="D5:D16" si="0">C5/$C$17</f>
        <v>0.53971119133574008</v>
      </c>
      <c r="N5" s="78" t="s">
        <v>2943</v>
      </c>
      <c r="O5" s="79">
        <f>COUNTIF(Jtime,"&lt;=0.25")</f>
        <v>116</v>
      </c>
      <c r="P5" s="80">
        <f>O5</f>
        <v>116</v>
      </c>
      <c r="Q5" s="81">
        <f>P5/$O$15</f>
        <v>0.21129326047358835</v>
      </c>
    </row>
    <row r="6" spans="1:17" ht="15" customHeight="1">
      <c r="B6" s="75" t="s">
        <v>73</v>
      </c>
      <c r="C6" s="76">
        <f>COUNTIF('ALL DATA'!$D$9:$D$5000,"2")</f>
        <v>59</v>
      </c>
      <c r="D6" s="77">
        <f t="shared" si="0"/>
        <v>0.10649819494584838</v>
      </c>
      <c r="N6" s="78" t="s">
        <v>2944</v>
      </c>
      <c r="O6" s="79">
        <f>COUNTIF(Jtime,"&lt;=0.5")</f>
        <v>253</v>
      </c>
      <c r="P6" s="80">
        <f>O6-O5</f>
        <v>137</v>
      </c>
      <c r="Q6" s="81">
        <f t="shared" ref="Q6:Q15" si="1">P6/$O$15</f>
        <v>0.24954462659380691</v>
      </c>
    </row>
    <row r="7" spans="1:17" ht="15" customHeight="1">
      <c r="B7" s="75" t="s">
        <v>74</v>
      </c>
      <c r="C7" s="76">
        <f>COUNTIF('ALL DATA'!$D$9:$D$5000,"3")</f>
        <v>37</v>
      </c>
      <c r="D7" s="77">
        <f t="shared" si="0"/>
        <v>6.6787003610108309E-2</v>
      </c>
      <c r="N7" s="78" t="s">
        <v>2945</v>
      </c>
      <c r="O7" s="79">
        <f>COUNTIF(Jtime,"&lt;=0.75")</f>
        <v>291</v>
      </c>
      <c r="P7" s="80">
        <f t="shared" ref="P7:P15" si="2">O7-O6</f>
        <v>38</v>
      </c>
      <c r="Q7" s="81">
        <f t="shared" si="1"/>
        <v>6.9216757741347903E-2</v>
      </c>
    </row>
    <row r="8" spans="1:17" ht="15" customHeight="1">
      <c r="B8" s="75" t="s">
        <v>75</v>
      </c>
      <c r="C8" s="76">
        <f>COUNTIF('ALL DATA'!$D$9:$D$5000,"4")</f>
        <v>60</v>
      </c>
      <c r="D8" s="77">
        <f t="shared" si="0"/>
        <v>0.10830324909747292</v>
      </c>
      <c r="N8" s="78" t="s">
        <v>2946</v>
      </c>
      <c r="O8" s="79">
        <f>COUNTIF(Jtime,"&lt;=1.0")</f>
        <v>398</v>
      </c>
      <c r="P8" s="80">
        <f t="shared" si="2"/>
        <v>107</v>
      </c>
      <c r="Q8" s="81">
        <f t="shared" si="1"/>
        <v>0.19489981785063754</v>
      </c>
    </row>
    <row r="9" spans="1:17" ht="15" customHeight="1">
      <c r="B9" s="75" t="s">
        <v>76</v>
      </c>
      <c r="C9" s="76">
        <f>COUNTIF('ALL DATA'!$D$9:$D$5000,"5")</f>
        <v>0</v>
      </c>
      <c r="D9" s="77">
        <f t="shared" si="0"/>
        <v>0</v>
      </c>
      <c r="N9" s="78" t="s">
        <v>2947</v>
      </c>
      <c r="O9" s="79">
        <f>COUNTIF(Jtime,"&lt;=1.5")</f>
        <v>434</v>
      </c>
      <c r="P9" s="80">
        <f t="shared" si="2"/>
        <v>36</v>
      </c>
      <c r="Q9" s="81">
        <f t="shared" si="1"/>
        <v>6.5573770491803282E-2</v>
      </c>
    </row>
    <row r="10" spans="1:17" ht="15" customHeight="1">
      <c r="B10" s="75" t="s">
        <v>77</v>
      </c>
      <c r="C10" s="76">
        <f>COUNTIF('ALL DATA'!$D$9:$D$5000,"6")</f>
        <v>4</v>
      </c>
      <c r="D10" s="77">
        <f t="shared" si="0"/>
        <v>7.2202166064981952E-3</v>
      </c>
      <c r="N10" s="78" t="s">
        <v>2948</v>
      </c>
      <c r="O10" s="79">
        <f>COUNTIF(Jtime,"&lt;=2")</f>
        <v>499</v>
      </c>
      <c r="P10" s="80">
        <f t="shared" si="2"/>
        <v>65</v>
      </c>
      <c r="Q10" s="81">
        <f t="shared" si="1"/>
        <v>0.11839708561020036</v>
      </c>
    </row>
    <row r="11" spans="1:17" ht="15" customHeight="1">
      <c r="B11" s="75" t="s">
        <v>78</v>
      </c>
      <c r="C11" s="76">
        <f>COUNTIF('ALL DATA'!$D$9:$D$5000,"7")</f>
        <v>42</v>
      </c>
      <c r="D11" s="77">
        <f t="shared" si="0"/>
        <v>7.5812274368231042E-2</v>
      </c>
      <c r="N11" s="78" t="s">
        <v>2949</v>
      </c>
      <c r="O11" s="79">
        <f>COUNTIF(Jtime,"&lt;=3")</f>
        <v>536</v>
      </c>
      <c r="P11" s="80">
        <f t="shared" si="2"/>
        <v>37</v>
      </c>
      <c r="Q11" s="81">
        <f t="shared" si="1"/>
        <v>6.7395264116575593E-2</v>
      </c>
    </row>
    <row r="12" spans="1:17" ht="15" customHeight="1">
      <c r="B12" s="75" t="s">
        <v>79</v>
      </c>
      <c r="C12" s="76">
        <f>COUNTIF('ALL DATA'!$D$9:$D$5000,"8")</f>
        <v>11</v>
      </c>
      <c r="D12" s="77">
        <f t="shared" si="0"/>
        <v>1.9855595667870037E-2</v>
      </c>
      <c r="N12" s="78" t="s">
        <v>2950</v>
      </c>
      <c r="O12" s="79">
        <f>COUNTIF(Jtime,"&lt;=5")</f>
        <v>546</v>
      </c>
      <c r="P12" s="80">
        <f t="shared" si="2"/>
        <v>10</v>
      </c>
      <c r="Q12" s="81">
        <f t="shared" si="1"/>
        <v>1.8214936247723135E-2</v>
      </c>
    </row>
    <row r="13" spans="1:17" ht="15" customHeight="1">
      <c r="B13" s="75" t="s">
        <v>80</v>
      </c>
      <c r="C13" s="76">
        <f>COUNTIF('ALL DATA'!$D$9:$D$5000,"9")</f>
        <v>8</v>
      </c>
      <c r="D13" s="77">
        <f t="shared" si="0"/>
        <v>1.444043321299639E-2</v>
      </c>
      <c r="N13" s="78" t="s">
        <v>2951</v>
      </c>
      <c r="O13" s="79">
        <f>COUNTIF(Jtime,"&lt;=7.5")</f>
        <v>548</v>
      </c>
      <c r="P13" s="80">
        <f t="shared" si="2"/>
        <v>2</v>
      </c>
      <c r="Q13" s="81">
        <f t="shared" si="1"/>
        <v>3.6429872495446266E-3</v>
      </c>
    </row>
    <row r="14" spans="1:17" ht="15" customHeight="1">
      <c r="B14" s="75" t="s">
        <v>81</v>
      </c>
      <c r="C14" s="76">
        <f>COUNTIF('ALL DATA'!$D$9:$D$5000,"10")</f>
        <v>0</v>
      </c>
      <c r="D14" s="77">
        <f t="shared" si="0"/>
        <v>0</v>
      </c>
      <c r="N14" s="78" t="s">
        <v>2952</v>
      </c>
      <c r="O14" s="79">
        <f>COUNTIF(Jtime,"&lt;=10")</f>
        <v>549</v>
      </c>
      <c r="P14" s="80">
        <f t="shared" si="2"/>
        <v>1</v>
      </c>
      <c r="Q14" s="81">
        <f t="shared" si="1"/>
        <v>1.8214936247723133E-3</v>
      </c>
    </row>
    <row r="15" spans="1:17" ht="15" customHeight="1">
      <c r="B15" s="75" t="s">
        <v>83</v>
      </c>
      <c r="C15" s="76">
        <f>COUNTIF('ALL DATA'!$D$9:$D$5000,"11")</f>
        <v>34</v>
      </c>
      <c r="D15" s="77">
        <f t="shared" si="0"/>
        <v>6.1371841155234655E-2</v>
      </c>
      <c r="N15" s="78" t="s">
        <v>2953</v>
      </c>
      <c r="O15" s="79">
        <f>COUNTIF(Jtime,"&lt;=15")</f>
        <v>549</v>
      </c>
      <c r="P15" s="80">
        <f t="shared" si="2"/>
        <v>0</v>
      </c>
      <c r="Q15" s="81">
        <f t="shared" si="1"/>
        <v>0</v>
      </c>
    </row>
    <row r="16" spans="1:17">
      <c r="B16" s="75" t="s">
        <v>82</v>
      </c>
      <c r="C16" s="76">
        <f>COUNTIF('ALL DATA'!$D$9:$D$5000,"12")</f>
        <v>0</v>
      </c>
      <c r="D16" s="77">
        <f t="shared" si="0"/>
        <v>0</v>
      </c>
    </row>
    <row r="17" spans="2:16">
      <c r="B17" s="76"/>
      <c r="C17" s="82">
        <f>SUM(C5:C16)</f>
        <v>554</v>
      </c>
      <c r="D17" s="76"/>
    </row>
    <row r="21" spans="2:16">
      <c r="N21" s="1" t="s">
        <v>109</v>
      </c>
    </row>
    <row r="22" spans="2:16" ht="39">
      <c r="B22" s="71" t="s">
        <v>139</v>
      </c>
      <c r="N22" s="83" t="s">
        <v>109</v>
      </c>
      <c r="O22" s="83" t="s">
        <v>2941</v>
      </c>
      <c r="P22" s="84" t="s">
        <v>2942</v>
      </c>
    </row>
    <row r="23" spans="2:16" ht="15" customHeight="1">
      <c r="B23" s="85" t="s">
        <v>2954</v>
      </c>
      <c r="C23" s="85" t="s">
        <v>2955</v>
      </c>
      <c r="D23" s="85" t="s">
        <v>2956</v>
      </c>
      <c r="N23" s="86" t="s">
        <v>2957</v>
      </c>
      <c r="O23" s="87">
        <f>COUNTIF(Tripfreq,"=1")</f>
        <v>177</v>
      </c>
      <c r="P23" s="77">
        <f>O23/$O$29</f>
        <v>0.33022388059701491</v>
      </c>
    </row>
    <row r="24" spans="2:16" ht="15" customHeight="1">
      <c r="B24" s="88" t="s">
        <v>140</v>
      </c>
      <c r="C24" s="89">
        <f>COUNTIF('ALL DATA'!$R$9:$R$5000,"Home-Work")</f>
        <v>135</v>
      </c>
      <c r="D24" s="90">
        <f>C24/$C$29</f>
        <v>0.24368231046931407</v>
      </c>
      <c r="N24" s="86" t="s">
        <v>111</v>
      </c>
      <c r="O24" s="87">
        <f>COUNTIF(Tripfreq,"=2")</f>
        <v>236</v>
      </c>
      <c r="P24" s="77">
        <f t="shared" ref="P24:P28" si="3">O24/$O$29</f>
        <v>0.44029850746268656</v>
      </c>
    </row>
    <row r="25" spans="2:16" ht="15" customHeight="1">
      <c r="B25" s="88" t="s">
        <v>141</v>
      </c>
      <c r="C25" s="89">
        <f>COUNTIF('ALL DATA'!$R$9:$R$369,"Home-Study")</f>
        <v>0</v>
      </c>
      <c r="D25" s="90">
        <f>C25/$C$29</f>
        <v>0</v>
      </c>
      <c r="N25" s="86" t="s">
        <v>112</v>
      </c>
      <c r="O25" s="87">
        <f>COUNTIF(Tripfreq,"=3")</f>
        <v>39</v>
      </c>
      <c r="P25" s="77">
        <f t="shared" si="3"/>
        <v>7.2761194029850748E-2</v>
      </c>
    </row>
    <row r="26" spans="2:16" ht="15" customHeight="1">
      <c r="B26" s="88" t="s">
        <v>142</v>
      </c>
      <c r="C26" s="89">
        <f>COUNTIF('ALL DATA'!$R$9:$R$369,"Work-Home")</f>
        <v>134</v>
      </c>
      <c r="D26" s="90">
        <f>C26/$C$29</f>
        <v>0.24187725631768953</v>
      </c>
      <c r="N26" s="86" t="s">
        <v>113</v>
      </c>
      <c r="O26" s="87">
        <f>COUNTIF(Tripfreq,"=4")</f>
        <v>32</v>
      </c>
      <c r="P26" s="77">
        <f t="shared" si="3"/>
        <v>5.9701492537313432E-2</v>
      </c>
    </row>
    <row r="27" spans="2:16" ht="15" customHeight="1">
      <c r="B27" s="88" t="s">
        <v>143</v>
      </c>
      <c r="C27" s="89">
        <f>COUNTIF('ALL DATA'!$R$9:$R$369,"Work-Work")</f>
        <v>62</v>
      </c>
      <c r="D27" s="90">
        <f>C27/$C$29</f>
        <v>0.11191335740072202</v>
      </c>
      <c r="N27" s="86" t="s">
        <v>114</v>
      </c>
      <c r="O27" s="87">
        <f>COUNTIF(Tripfreq,"=5")</f>
        <v>11</v>
      </c>
      <c r="P27" s="77">
        <f t="shared" si="3"/>
        <v>2.0522388059701493E-2</v>
      </c>
    </row>
    <row r="28" spans="2:16" ht="15" customHeight="1">
      <c r="B28" s="88" t="s">
        <v>108</v>
      </c>
      <c r="C28" s="89">
        <f>C29-SUM(C24:C27)</f>
        <v>223</v>
      </c>
      <c r="D28" s="90">
        <f>C28/$C$29</f>
        <v>0.40252707581227437</v>
      </c>
      <c r="N28" s="86" t="s">
        <v>115</v>
      </c>
      <c r="O28" s="87">
        <f>COUNTIF(Tripfreq,"=6")</f>
        <v>41</v>
      </c>
      <c r="P28" s="77">
        <f t="shared" si="3"/>
        <v>7.6492537313432835E-2</v>
      </c>
    </row>
    <row r="29" spans="2:16" ht="15" customHeight="1">
      <c r="B29" s="91" t="s">
        <v>144</v>
      </c>
      <c r="C29" s="91">
        <f>C17</f>
        <v>554</v>
      </c>
      <c r="D29" s="89"/>
      <c r="N29" s="75"/>
      <c r="O29" s="92">
        <f>SUM(O23:O28)</f>
        <v>536</v>
      </c>
      <c r="P29" s="77"/>
    </row>
    <row r="40" spans="2:25">
      <c r="B40" s="1" t="s">
        <v>145</v>
      </c>
    </row>
    <row r="41" spans="2:25">
      <c r="B41" s="93" t="s">
        <v>2958</v>
      </c>
      <c r="C41" s="93" t="s">
        <v>2959</v>
      </c>
      <c r="D41" s="93" t="s">
        <v>2956</v>
      </c>
    </row>
    <row r="42" spans="2:25">
      <c r="B42" s="94" t="s">
        <v>32</v>
      </c>
      <c r="C42" s="95">
        <f>COUNTIF('ALL DATA'!$Y$9:$Y$5000,"Y")</f>
        <v>547</v>
      </c>
      <c r="D42" s="81">
        <f>C42/$C$44</f>
        <v>0.9873646209386282</v>
      </c>
    </row>
    <row r="43" spans="2:25">
      <c r="B43" s="94" t="s">
        <v>146</v>
      </c>
      <c r="C43" s="95">
        <f>C44-C42</f>
        <v>7</v>
      </c>
      <c r="D43" s="81">
        <f>C43/$C$44</f>
        <v>1.263537906137184E-2</v>
      </c>
    </row>
    <row r="44" spans="2:25">
      <c r="B44" s="96" t="s">
        <v>144</v>
      </c>
      <c r="C44" s="96">
        <f>C29</f>
        <v>554</v>
      </c>
      <c r="D44" s="95"/>
    </row>
    <row r="47" spans="2:25">
      <c r="R47" s="136" t="s">
        <v>102</v>
      </c>
      <c r="S47" s="136" t="s">
        <v>103</v>
      </c>
      <c r="T47" s="136" t="s">
        <v>104</v>
      </c>
      <c r="U47" s="136" t="s">
        <v>105</v>
      </c>
      <c r="V47" s="136" t="s">
        <v>106</v>
      </c>
      <c r="W47" s="136" t="s">
        <v>107</v>
      </c>
      <c r="X47" s="136" t="s">
        <v>89</v>
      </c>
      <c r="Y47" s="136" t="s">
        <v>108</v>
      </c>
    </row>
    <row r="48" spans="2:25">
      <c r="P48">
        <v>1</v>
      </c>
      <c r="Q48" s="137" t="s">
        <v>102</v>
      </c>
      <c r="R48" s="138">
        <f t="shared" ref="R48:Y55" si="4">R59/SUM($R$59:$Y$66)</f>
        <v>4.8736462093862815E-2</v>
      </c>
      <c r="S48" s="138">
        <f t="shared" si="4"/>
        <v>0.24368231046931407</v>
      </c>
      <c r="T48" s="138">
        <f t="shared" si="4"/>
        <v>3.6101083032490976E-3</v>
      </c>
      <c r="U48" s="138">
        <f t="shared" si="4"/>
        <v>1.8050541516245487E-2</v>
      </c>
      <c r="V48" s="138">
        <f t="shared" si="4"/>
        <v>0</v>
      </c>
      <c r="W48" s="138">
        <f t="shared" si="4"/>
        <v>1.6245487364620937E-2</v>
      </c>
      <c r="X48" s="138">
        <f t="shared" si="4"/>
        <v>7.2202166064981952E-3</v>
      </c>
      <c r="Y48" s="138">
        <f t="shared" si="4"/>
        <v>1.0830324909747292E-2</v>
      </c>
    </row>
    <row r="49" spans="2:25">
      <c r="P49">
        <v>2</v>
      </c>
      <c r="Q49" s="137" t="s">
        <v>103</v>
      </c>
      <c r="R49" s="138">
        <f t="shared" si="4"/>
        <v>0.33935018050541516</v>
      </c>
      <c r="S49" s="138">
        <f t="shared" si="4"/>
        <v>0.16064981949458484</v>
      </c>
      <c r="T49" s="138">
        <f t="shared" si="4"/>
        <v>0</v>
      </c>
      <c r="U49" s="138">
        <f t="shared" si="4"/>
        <v>1.6245487364620937E-2</v>
      </c>
      <c r="V49" s="138">
        <f t="shared" si="4"/>
        <v>0</v>
      </c>
      <c r="W49" s="138">
        <f t="shared" si="4"/>
        <v>3.6101083032490976E-3</v>
      </c>
      <c r="X49" s="138">
        <f t="shared" si="4"/>
        <v>0</v>
      </c>
      <c r="Y49" s="138">
        <f t="shared" si="4"/>
        <v>1.8050541516245488E-3</v>
      </c>
    </row>
    <row r="50" spans="2:25">
      <c r="P50">
        <v>3</v>
      </c>
      <c r="Q50" s="137" t="s">
        <v>104</v>
      </c>
      <c r="R50" s="138">
        <f t="shared" si="4"/>
        <v>1.8050541516245488E-3</v>
      </c>
      <c r="S50" s="138">
        <f t="shared" si="4"/>
        <v>0</v>
      </c>
      <c r="T50" s="138">
        <f t="shared" si="4"/>
        <v>0</v>
      </c>
      <c r="U50" s="138">
        <f t="shared" si="4"/>
        <v>0</v>
      </c>
      <c r="V50" s="138">
        <f t="shared" si="4"/>
        <v>0</v>
      </c>
      <c r="W50" s="138">
        <f t="shared" si="4"/>
        <v>0</v>
      </c>
      <c r="X50" s="138">
        <f t="shared" si="4"/>
        <v>0</v>
      </c>
      <c r="Y50" s="138">
        <f t="shared" si="4"/>
        <v>0</v>
      </c>
    </row>
    <row r="51" spans="2:25">
      <c r="P51">
        <v>4</v>
      </c>
      <c r="Q51" s="137" t="s">
        <v>105</v>
      </c>
      <c r="R51" s="138">
        <f t="shared" si="4"/>
        <v>1.8050541516245487E-2</v>
      </c>
      <c r="S51" s="138">
        <f t="shared" si="4"/>
        <v>5.415162454873646E-3</v>
      </c>
      <c r="T51" s="138">
        <f t="shared" si="4"/>
        <v>0</v>
      </c>
      <c r="U51" s="138">
        <f t="shared" si="4"/>
        <v>7.0397111913357402E-2</v>
      </c>
      <c r="V51" s="138">
        <f t="shared" si="4"/>
        <v>0</v>
      </c>
      <c r="W51" s="138">
        <f t="shared" si="4"/>
        <v>3.6101083032490976E-3</v>
      </c>
      <c r="X51" s="138">
        <f t="shared" si="4"/>
        <v>0</v>
      </c>
      <c r="Y51" s="138">
        <f t="shared" si="4"/>
        <v>0</v>
      </c>
    </row>
    <row r="52" spans="2:25">
      <c r="P52">
        <v>5</v>
      </c>
      <c r="Q52" s="137" t="s">
        <v>106</v>
      </c>
      <c r="R52" s="138">
        <f t="shared" si="4"/>
        <v>0</v>
      </c>
      <c r="S52" s="138">
        <f t="shared" si="4"/>
        <v>0</v>
      </c>
      <c r="T52" s="138">
        <f t="shared" si="4"/>
        <v>0</v>
      </c>
      <c r="U52" s="138">
        <f t="shared" si="4"/>
        <v>0</v>
      </c>
      <c r="V52" s="138">
        <f t="shared" si="4"/>
        <v>0</v>
      </c>
      <c r="W52" s="138">
        <f t="shared" si="4"/>
        <v>0</v>
      </c>
      <c r="X52" s="138">
        <f t="shared" si="4"/>
        <v>0</v>
      </c>
      <c r="Y52" s="138">
        <f t="shared" si="4"/>
        <v>0</v>
      </c>
    </row>
    <row r="53" spans="2:25">
      <c r="P53">
        <v>6</v>
      </c>
      <c r="Q53" s="137" t="s">
        <v>107</v>
      </c>
      <c r="R53" s="138">
        <f t="shared" si="4"/>
        <v>1.263537906137184E-2</v>
      </c>
      <c r="S53" s="138">
        <f t="shared" si="4"/>
        <v>0</v>
      </c>
      <c r="T53" s="138">
        <f t="shared" si="4"/>
        <v>0</v>
      </c>
      <c r="U53" s="138">
        <f t="shared" si="4"/>
        <v>0</v>
      </c>
      <c r="V53" s="138">
        <f t="shared" si="4"/>
        <v>0</v>
      </c>
      <c r="W53" s="138">
        <f t="shared" si="4"/>
        <v>3.6101083032490976E-3</v>
      </c>
      <c r="X53" s="138">
        <f t="shared" si="4"/>
        <v>0</v>
      </c>
      <c r="Y53" s="138">
        <f t="shared" si="4"/>
        <v>0</v>
      </c>
    </row>
    <row r="54" spans="2:25">
      <c r="P54">
        <v>7</v>
      </c>
      <c r="Q54" s="137" t="s">
        <v>89</v>
      </c>
      <c r="R54" s="138">
        <f t="shared" si="4"/>
        <v>5.415162454873646E-3</v>
      </c>
      <c r="S54" s="138">
        <f t="shared" si="4"/>
        <v>0</v>
      </c>
      <c r="T54" s="138">
        <f t="shared" si="4"/>
        <v>0</v>
      </c>
      <c r="U54" s="138">
        <f t="shared" si="4"/>
        <v>0</v>
      </c>
      <c r="V54" s="138">
        <f t="shared" si="4"/>
        <v>0</v>
      </c>
      <c r="W54" s="138">
        <f t="shared" si="4"/>
        <v>0</v>
      </c>
      <c r="X54" s="138">
        <f t="shared" si="4"/>
        <v>0</v>
      </c>
      <c r="Y54" s="138">
        <f t="shared" si="4"/>
        <v>0</v>
      </c>
    </row>
    <row r="55" spans="2:25">
      <c r="P55">
        <v>8</v>
      </c>
      <c r="Q55" s="137" t="s">
        <v>108</v>
      </c>
      <c r="R55" s="138">
        <f t="shared" si="4"/>
        <v>7.2202166064981952E-3</v>
      </c>
      <c r="S55" s="138">
        <f t="shared" si="4"/>
        <v>1.8050541516245488E-3</v>
      </c>
      <c r="T55" s="138">
        <f t="shared" si="4"/>
        <v>0</v>
      </c>
      <c r="U55" s="138">
        <f t="shared" si="4"/>
        <v>0</v>
      </c>
      <c r="V55" s="138">
        <f t="shared" si="4"/>
        <v>0</v>
      </c>
      <c r="W55" s="138">
        <f t="shared" si="4"/>
        <v>0</v>
      </c>
      <c r="X55" s="138">
        <f t="shared" si="4"/>
        <v>0</v>
      </c>
      <c r="Y55" s="138">
        <f t="shared" si="4"/>
        <v>0</v>
      </c>
    </row>
    <row r="57" spans="2:25">
      <c r="R57">
        <v>1</v>
      </c>
      <c r="S57">
        <v>2</v>
      </c>
      <c r="T57">
        <v>3</v>
      </c>
      <c r="U57">
        <v>4</v>
      </c>
      <c r="V57">
        <v>5</v>
      </c>
      <c r="W57">
        <v>6</v>
      </c>
      <c r="X57">
        <v>7</v>
      </c>
      <c r="Y57">
        <v>8</v>
      </c>
    </row>
    <row r="58" spans="2:25" ht="15.75" customHeight="1">
      <c r="B58" s="1" t="s">
        <v>2960</v>
      </c>
      <c r="R58" t="s">
        <v>102</v>
      </c>
      <c r="S58" t="s">
        <v>103</v>
      </c>
      <c r="T58" t="s">
        <v>104</v>
      </c>
      <c r="U58" t="s">
        <v>105</v>
      </c>
      <c r="V58" t="s">
        <v>106</v>
      </c>
      <c r="W58" t="s">
        <v>107</v>
      </c>
      <c r="X58" t="s">
        <v>89</v>
      </c>
      <c r="Y58" t="s">
        <v>108</v>
      </c>
    </row>
    <row r="59" spans="2:25">
      <c r="B59" s="97" t="s">
        <v>138</v>
      </c>
      <c r="C59" s="98" t="s">
        <v>2961</v>
      </c>
      <c r="P59">
        <v>1</v>
      </c>
      <c r="Q59" t="s">
        <v>102</v>
      </c>
      <c r="R59">
        <f>COUNTIF('ALL DATA'!$R$9:$R$5000,R69)</f>
        <v>27</v>
      </c>
      <c r="S59">
        <f>COUNTIF('ALL DATA'!$R$9:$R$5000,S69)</f>
        <v>135</v>
      </c>
      <c r="T59">
        <f>COUNTIF('ALL DATA'!$R$9:$R$5000,T69)</f>
        <v>2</v>
      </c>
      <c r="U59">
        <f>COUNTIF('ALL DATA'!$R$9:$R$5000,U69)</f>
        <v>10</v>
      </c>
      <c r="V59">
        <f>COUNTIF('ALL DATA'!$R$9:$R$5000,V69)</f>
        <v>0</v>
      </c>
      <c r="W59">
        <f>COUNTIF('ALL DATA'!$R$9:$R$5000,W69)</f>
        <v>9</v>
      </c>
      <c r="X59">
        <f>COUNTIF('ALL DATA'!$R$9:$R$5000,X69)</f>
        <v>4</v>
      </c>
      <c r="Y59">
        <f>COUNTIF('ALL DATA'!$R$9:$R$5000,Y69)</f>
        <v>6</v>
      </c>
    </row>
    <row r="60" spans="2:25" ht="15" customHeight="1">
      <c r="B60" s="78" t="s">
        <v>72</v>
      </c>
      <c r="C60" s="79">
        <f ca="1">AVERAGEIF(Veh,"=1",'ALL DATA'!$Z$9:$Z$5000)</f>
        <v>1776.9759450171821</v>
      </c>
      <c r="P60">
        <v>2</v>
      </c>
      <c r="Q60" t="s">
        <v>103</v>
      </c>
      <c r="R60">
        <f>COUNTIF('ALL DATA'!$R$9:$R$5000,R70)</f>
        <v>188</v>
      </c>
      <c r="S60">
        <f>COUNTIF('ALL DATA'!$R$9:$R$5000,S70)</f>
        <v>89</v>
      </c>
      <c r="T60">
        <f>COUNTIF('ALL DATA'!$R$9:$R$5000,T70)</f>
        <v>0</v>
      </c>
      <c r="U60">
        <f>COUNTIF('ALL DATA'!$R$9:$R$5000,U70)</f>
        <v>9</v>
      </c>
      <c r="V60">
        <f>COUNTIF('ALL DATA'!$R$9:$R$5000,V70)</f>
        <v>0</v>
      </c>
      <c r="W60">
        <f>COUNTIF('ALL DATA'!$R$9:$R$5000,W70)</f>
        <v>2</v>
      </c>
      <c r="X60">
        <f>COUNTIF('ALL DATA'!$R$9:$R$5000,X70)</f>
        <v>0</v>
      </c>
      <c r="Y60">
        <f>COUNTIF('ALL DATA'!$R$9:$R$5000,Y70)</f>
        <v>1</v>
      </c>
    </row>
    <row r="61" spans="2:25" ht="15" customHeight="1">
      <c r="B61" s="78" t="s">
        <v>73</v>
      </c>
      <c r="C61" s="79">
        <f ca="1">AVERAGEIF(Veh,"=2",'ALL DATA'!$Z$9:$Z$5000)</f>
        <v>2250</v>
      </c>
      <c r="P61">
        <v>3</v>
      </c>
      <c r="Q61" t="s">
        <v>104</v>
      </c>
      <c r="R61">
        <f>COUNTIF('ALL DATA'!$R$9:$R$5000,R71)</f>
        <v>1</v>
      </c>
      <c r="S61">
        <f>COUNTIF('ALL DATA'!$R$9:$R$5000,S71)</f>
        <v>0</v>
      </c>
      <c r="T61">
        <f>COUNTIF('ALL DATA'!$R$9:$R$5000,T71)</f>
        <v>0</v>
      </c>
      <c r="U61">
        <f>COUNTIF('ALL DATA'!$R$9:$R$5000,U71)</f>
        <v>0</v>
      </c>
      <c r="V61">
        <f>COUNTIF('ALL DATA'!$R$9:$R$5000,V71)</f>
        <v>0</v>
      </c>
      <c r="W61">
        <f>COUNTIF('ALL DATA'!$R$9:$R$5000,W71)</f>
        <v>0</v>
      </c>
      <c r="X61">
        <f>COUNTIF('ALL DATA'!$R$9:$R$5000,X71)</f>
        <v>0</v>
      </c>
      <c r="Y61">
        <f>COUNTIF('ALL DATA'!$R$9:$R$5000,Y71)</f>
        <v>0</v>
      </c>
    </row>
    <row r="62" spans="2:25" ht="15" customHeight="1">
      <c r="B62" s="78" t="s">
        <v>74</v>
      </c>
      <c r="C62" s="79">
        <f ca="1">AVERAGEIF(Veh,"=3",'ALL DATA'!$Z$9:$Z$5000)</f>
        <v>1518.918918918919</v>
      </c>
      <c r="P62">
        <v>4</v>
      </c>
      <c r="Q62" t="s">
        <v>105</v>
      </c>
      <c r="R62">
        <f>COUNTIF('ALL DATA'!$R$9:$R$5000,R72)</f>
        <v>10</v>
      </c>
      <c r="S62">
        <f>COUNTIF('ALL DATA'!$R$9:$R$5000,S72)</f>
        <v>3</v>
      </c>
      <c r="T62">
        <f>COUNTIF('ALL DATA'!$R$9:$R$5000,T72)</f>
        <v>0</v>
      </c>
      <c r="U62">
        <f>COUNTIF('ALL DATA'!$R$9:$R$5000,U72)</f>
        <v>39</v>
      </c>
      <c r="V62">
        <f>COUNTIF('ALL DATA'!$R$9:$R$5000,V72)</f>
        <v>0</v>
      </c>
      <c r="W62">
        <f>COUNTIF('ALL DATA'!$R$9:$R$5000,W72)</f>
        <v>2</v>
      </c>
      <c r="X62">
        <f>COUNTIF('ALL DATA'!$R$9:$R$5000,X72)</f>
        <v>0</v>
      </c>
      <c r="Y62">
        <f>COUNTIF('ALL DATA'!$R$9:$R$5000,Y72)</f>
        <v>0</v>
      </c>
    </row>
    <row r="63" spans="2:25" ht="15" customHeight="1">
      <c r="B63" s="78" t="s">
        <v>75</v>
      </c>
      <c r="C63" s="79">
        <f ca="1">AVERAGEIF(Veh,"=4",'ALL DATA'!$Z$9:$Z$5000)</f>
        <v>2096.6101694915255</v>
      </c>
      <c r="P63">
        <v>5</v>
      </c>
      <c r="Q63" t="s">
        <v>106</v>
      </c>
      <c r="R63">
        <f>COUNTIF('ALL DATA'!$R$9:$R$5000,R73)</f>
        <v>0</v>
      </c>
      <c r="S63">
        <f>COUNTIF('ALL DATA'!$R$9:$R$5000,S73)</f>
        <v>0</v>
      </c>
      <c r="T63">
        <f>COUNTIF('ALL DATA'!$R$9:$R$5000,T73)</f>
        <v>0</v>
      </c>
      <c r="U63">
        <f>COUNTIF('ALL DATA'!$R$9:$R$5000,U73)</f>
        <v>0</v>
      </c>
      <c r="V63">
        <f>COUNTIF('ALL DATA'!$R$9:$R$5000,V73)</f>
        <v>0</v>
      </c>
      <c r="W63">
        <f>COUNTIF('ALL DATA'!$R$9:$R$5000,W73)</f>
        <v>0</v>
      </c>
      <c r="X63">
        <f>COUNTIF('ALL DATA'!$R$9:$R$5000,X73)</f>
        <v>0</v>
      </c>
      <c r="Y63">
        <f>COUNTIF('ALL DATA'!$R$9:$R$5000,Y73)</f>
        <v>0</v>
      </c>
    </row>
    <row r="64" spans="2:25" ht="15" customHeight="1">
      <c r="B64" s="78" t="s">
        <v>76</v>
      </c>
      <c r="C64" s="79">
        <v>0</v>
      </c>
      <c r="P64">
        <v>6</v>
      </c>
      <c r="Q64" t="s">
        <v>107</v>
      </c>
      <c r="R64">
        <f>COUNTIF('ALL DATA'!$R$9:$R$5000,R74)</f>
        <v>7</v>
      </c>
      <c r="S64">
        <f>COUNTIF('ALL DATA'!$R$9:$R$5000,S74)</f>
        <v>0</v>
      </c>
      <c r="T64">
        <f>COUNTIF('ALL DATA'!$R$9:$R$5000,T74)</f>
        <v>0</v>
      </c>
      <c r="U64">
        <f>COUNTIF('ALL DATA'!$R$9:$R$5000,U74)</f>
        <v>0</v>
      </c>
      <c r="V64">
        <f>COUNTIF('ALL DATA'!$R$9:$R$5000,V74)</f>
        <v>0</v>
      </c>
      <c r="W64">
        <f>COUNTIF('ALL DATA'!$R$9:$R$5000,W74)</f>
        <v>2</v>
      </c>
      <c r="X64">
        <f>COUNTIF('ALL DATA'!$R$9:$R$5000,X74)</f>
        <v>0</v>
      </c>
      <c r="Y64">
        <f>COUNTIF('ALL DATA'!$R$9:$R$5000,Y74)</f>
        <v>0</v>
      </c>
    </row>
    <row r="65" spans="2:25" ht="15" customHeight="1">
      <c r="B65" s="78" t="s">
        <v>77</v>
      </c>
      <c r="C65" s="79">
        <f ca="1">AVERAGEIF(Veh,"=6",'ALL DATA'!$Z$9:$Z$5000)</f>
        <v>2750</v>
      </c>
      <c r="P65">
        <v>7</v>
      </c>
      <c r="Q65" t="s">
        <v>89</v>
      </c>
      <c r="R65">
        <f>COUNTIF('ALL DATA'!$R$9:$R$5000,R75)</f>
        <v>3</v>
      </c>
      <c r="S65">
        <f>COUNTIF('ALL DATA'!$R$9:$R$5000,S75)</f>
        <v>0</v>
      </c>
      <c r="T65">
        <f>COUNTIF('ALL DATA'!$R$9:$R$5000,T75)</f>
        <v>0</v>
      </c>
      <c r="U65">
        <f>COUNTIF('ALL DATA'!$R$9:$R$5000,U75)</f>
        <v>0</v>
      </c>
      <c r="V65">
        <f>COUNTIF('ALL DATA'!$R$9:$R$5000,V75)</f>
        <v>0</v>
      </c>
      <c r="W65">
        <f>COUNTIF('ALL DATA'!$R$9:$R$5000,W75)</f>
        <v>0</v>
      </c>
      <c r="X65">
        <f>COUNTIF('ALL DATA'!$R$9:$R$5000,X75)</f>
        <v>0</v>
      </c>
      <c r="Y65">
        <f>COUNTIF('ALL DATA'!$R$9:$R$5000,Y75)</f>
        <v>0</v>
      </c>
    </row>
    <row r="66" spans="2:25" ht="15" customHeight="1">
      <c r="B66" s="78" t="s">
        <v>78</v>
      </c>
      <c r="C66" s="79">
        <f ca="1">AVERAGEIF(Veh,"=7",'ALL DATA'!$Z$9:$Z$5000)</f>
        <v>1825</v>
      </c>
      <c r="P66">
        <v>8</v>
      </c>
      <c r="Q66" t="s">
        <v>108</v>
      </c>
      <c r="R66">
        <f>COUNTIF('ALL DATA'!$R$9:$R$5000,R76)</f>
        <v>4</v>
      </c>
      <c r="S66">
        <f>COUNTIF('ALL DATA'!$R$9:$R$5000,S76)</f>
        <v>1</v>
      </c>
      <c r="T66">
        <f>COUNTIF('ALL DATA'!$R$9:$R$5000,T76)</f>
        <v>0</v>
      </c>
      <c r="U66">
        <f>COUNTIF('ALL DATA'!$R$9:$R$5000,U76)</f>
        <v>0</v>
      </c>
      <c r="V66">
        <f>COUNTIF('ALL DATA'!$R$9:$R$5000,V76)</f>
        <v>0</v>
      </c>
      <c r="W66">
        <f>COUNTIF('ALL DATA'!$R$9:$R$5000,W76)</f>
        <v>0</v>
      </c>
      <c r="X66">
        <f>COUNTIF('ALL DATA'!$R$9:$R$5000,X76)</f>
        <v>0</v>
      </c>
      <c r="Y66">
        <f>COUNTIF('ALL DATA'!$R$9:$R$5000,Y76)</f>
        <v>0</v>
      </c>
    </row>
    <row r="67" spans="2:25" ht="15" customHeight="1">
      <c r="B67" s="78" t="s">
        <v>79</v>
      </c>
      <c r="C67" s="79">
        <f ca="1">AVERAGEIF(Veh,"=8",'ALL DATA'!$Z$9:$Z$5000)</f>
        <v>818.18181818181813</v>
      </c>
    </row>
    <row r="68" spans="2:25" ht="15" customHeight="1">
      <c r="B68" s="78" t="s">
        <v>80</v>
      </c>
      <c r="C68" s="79">
        <f ca="1">AVERAGEIF(Veh,"=9",'ALL DATA'!$Z$9:$Z$5000)</f>
        <v>1187.5</v>
      </c>
      <c r="R68" t="s">
        <v>102</v>
      </c>
      <c r="S68" t="s">
        <v>103</v>
      </c>
      <c r="T68" t="s">
        <v>104</v>
      </c>
      <c r="U68" t="s">
        <v>105</v>
      </c>
      <c r="V68" t="s">
        <v>106</v>
      </c>
      <c r="W68" t="s">
        <v>107</v>
      </c>
      <c r="X68" t="s">
        <v>89</v>
      </c>
      <c r="Y68" t="s">
        <v>108</v>
      </c>
    </row>
    <row r="69" spans="2:25" ht="15" customHeight="1">
      <c r="B69" s="78" t="s">
        <v>81</v>
      </c>
      <c r="C69" s="79">
        <v>0</v>
      </c>
      <c r="P69">
        <v>1</v>
      </c>
      <c r="Q69" t="s">
        <v>102</v>
      </c>
      <c r="R69" s="139" t="str">
        <f t="shared" ref="R69:Y76" si="5">$Q69&amp;"-"&amp;R$68</f>
        <v>Home-Home</v>
      </c>
      <c r="S69" t="str">
        <f t="shared" si="5"/>
        <v>Home-Work</v>
      </c>
      <c r="T69" t="str">
        <f t="shared" si="5"/>
        <v>Home-Study</v>
      </c>
      <c r="U69" t="str">
        <f t="shared" si="5"/>
        <v>Home-Commercial</v>
      </c>
      <c r="V69" t="str">
        <f t="shared" si="5"/>
        <v>Home-Tourism</v>
      </c>
      <c r="W69" t="str">
        <f t="shared" si="5"/>
        <v>Home-Leisure/Social</v>
      </c>
      <c r="X69" t="str">
        <f t="shared" si="5"/>
        <v>Home-Hospital</v>
      </c>
      <c r="Y69" t="str">
        <f t="shared" si="5"/>
        <v>Home-Others</v>
      </c>
    </row>
    <row r="70" spans="2:25" ht="15" customHeight="1">
      <c r="B70" s="78" t="s">
        <v>83</v>
      </c>
      <c r="C70" s="79">
        <f ca="1">AVERAGEIF(Veh,"=11",'ALL DATA'!$Z$9:$Z$5000)</f>
        <v>2848.4848484848485</v>
      </c>
      <c r="P70">
        <v>2</v>
      </c>
      <c r="Q70" t="s">
        <v>103</v>
      </c>
      <c r="R70" t="str">
        <f t="shared" si="5"/>
        <v>Work-Home</v>
      </c>
      <c r="S70" t="str">
        <f t="shared" si="5"/>
        <v>Work-Work</v>
      </c>
      <c r="T70" t="str">
        <f t="shared" si="5"/>
        <v>Work-Study</v>
      </c>
      <c r="U70" t="str">
        <f t="shared" si="5"/>
        <v>Work-Commercial</v>
      </c>
      <c r="V70" t="str">
        <f t="shared" si="5"/>
        <v>Work-Tourism</v>
      </c>
      <c r="W70" t="str">
        <f t="shared" si="5"/>
        <v>Work-Leisure/Social</v>
      </c>
      <c r="X70" t="str">
        <f t="shared" si="5"/>
        <v>Work-Hospital</v>
      </c>
      <c r="Y70" t="str">
        <f t="shared" si="5"/>
        <v>Work-Others</v>
      </c>
    </row>
    <row r="71" spans="2:25" ht="15" customHeight="1">
      <c r="B71" s="78" t="s">
        <v>82</v>
      </c>
      <c r="C71" s="79">
        <v>0</v>
      </c>
      <c r="P71">
        <v>3</v>
      </c>
      <c r="Q71" t="s">
        <v>104</v>
      </c>
      <c r="R71" t="str">
        <f t="shared" si="5"/>
        <v>Study-Home</v>
      </c>
      <c r="S71" t="str">
        <f t="shared" si="5"/>
        <v>Study-Work</v>
      </c>
      <c r="T71" t="str">
        <f t="shared" si="5"/>
        <v>Study-Study</v>
      </c>
      <c r="U71" t="str">
        <f t="shared" si="5"/>
        <v>Study-Commercial</v>
      </c>
      <c r="V71" t="str">
        <f t="shared" si="5"/>
        <v>Study-Tourism</v>
      </c>
      <c r="W71" t="str">
        <f t="shared" si="5"/>
        <v>Study-Leisure/Social</v>
      </c>
      <c r="X71" t="str">
        <f t="shared" si="5"/>
        <v>Study-Hospital</v>
      </c>
      <c r="Y71" t="str">
        <f t="shared" si="5"/>
        <v>Study-Others</v>
      </c>
    </row>
    <row r="72" spans="2:25">
      <c r="P72">
        <v>4</v>
      </c>
      <c r="Q72" t="s">
        <v>105</v>
      </c>
      <c r="R72" t="str">
        <f t="shared" si="5"/>
        <v>Commercial-Home</v>
      </c>
      <c r="S72" t="str">
        <f t="shared" si="5"/>
        <v>Commercial-Work</v>
      </c>
      <c r="T72" t="str">
        <f t="shared" si="5"/>
        <v>Commercial-Study</v>
      </c>
      <c r="U72" t="str">
        <f t="shared" si="5"/>
        <v>Commercial-Commercial</v>
      </c>
      <c r="V72" t="str">
        <f t="shared" si="5"/>
        <v>Commercial-Tourism</v>
      </c>
      <c r="W72" t="str">
        <f t="shared" si="5"/>
        <v>Commercial-Leisure/Social</v>
      </c>
      <c r="X72" t="str">
        <f t="shared" si="5"/>
        <v>Commercial-Hospital</v>
      </c>
      <c r="Y72" t="str">
        <f t="shared" si="5"/>
        <v>Commercial-Others</v>
      </c>
    </row>
    <row r="73" spans="2:25">
      <c r="P73">
        <v>5</v>
      </c>
      <c r="Q73" t="s">
        <v>106</v>
      </c>
      <c r="R73" t="str">
        <f t="shared" si="5"/>
        <v>Tourism-Home</v>
      </c>
      <c r="S73" t="str">
        <f t="shared" si="5"/>
        <v>Tourism-Work</v>
      </c>
      <c r="T73" t="str">
        <f t="shared" si="5"/>
        <v>Tourism-Study</v>
      </c>
      <c r="U73" t="str">
        <f t="shared" si="5"/>
        <v>Tourism-Commercial</v>
      </c>
      <c r="V73" t="str">
        <f t="shared" si="5"/>
        <v>Tourism-Tourism</v>
      </c>
      <c r="W73" t="str">
        <f t="shared" si="5"/>
        <v>Tourism-Leisure/Social</v>
      </c>
      <c r="X73" t="str">
        <f t="shared" si="5"/>
        <v>Tourism-Hospital</v>
      </c>
      <c r="Y73" t="str">
        <f t="shared" si="5"/>
        <v>Tourism-Others</v>
      </c>
    </row>
    <row r="74" spans="2:25">
      <c r="P74">
        <v>6</v>
      </c>
      <c r="Q74" t="s">
        <v>107</v>
      </c>
      <c r="R74" t="str">
        <f t="shared" si="5"/>
        <v>Leisure/Social-Home</v>
      </c>
      <c r="S74" t="str">
        <f t="shared" si="5"/>
        <v>Leisure/Social-Work</v>
      </c>
      <c r="T74" t="str">
        <f t="shared" si="5"/>
        <v>Leisure/Social-Study</v>
      </c>
      <c r="U74" t="str">
        <f t="shared" si="5"/>
        <v>Leisure/Social-Commercial</v>
      </c>
      <c r="V74" t="str">
        <f t="shared" si="5"/>
        <v>Leisure/Social-Tourism</v>
      </c>
      <c r="W74" t="str">
        <f t="shared" si="5"/>
        <v>Leisure/Social-Leisure/Social</v>
      </c>
      <c r="X74" t="str">
        <f t="shared" si="5"/>
        <v>Leisure/Social-Hospital</v>
      </c>
      <c r="Y74" t="str">
        <f t="shared" si="5"/>
        <v>Leisure/Social-Others</v>
      </c>
    </row>
    <row r="75" spans="2:25">
      <c r="P75">
        <v>7</v>
      </c>
      <c r="Q75" t="s">
        <v>89</v>
      </c>
      <c r="R75" t="str">
        <f t="shared" si="5"/>
        <v>Hospital-Home</v>
      </c>
      <c r="S75" t="str">
        <f t="shared" si="5"/>
        <v>Hospital-Work</v>
      </c>
      <c r="T75" t="str">
        <f t="shared" si="5"/>
        <v>Hospital-Study</v>
      </c>
      <c r="U75" t="str">
        <f t="shared" si="5"/>
        <v>Hospital-Commercial</v>
      </c>
      <c r="V75" t="str">
        <f t="shared" si="5"/>
        <v>Hospital-Tourism</v>
      </c>
      <c r="W75" t="str">
        <f t="shared" si="5"/>
        <v>Hospital-Leisure/Social</v>
      </c>
      <c r="X75" t="str">
        <f t="shared" si="5"/>
        <v>Hospital-Hospital</v>
      </c>
      <c r="Y75" t="str">
        <f t="shared" si="5"/>
        <v>Hospital-Others</v>
      </c>
    </row>
    <row r="76" spans="2:25">
      <c r="P76">
        <v>8</v>
      </c>
      <c r="Q76" t="s">
        <v>108</v>
      </c>
      <c r="R76" t="str">
        <f t="shared" si="5"/>
        <v>Others-Home</v>
      </c>
      <c r="S76" t="str">
        <f t="shared" si="5"/>
        <v>Others-Work</v>
      </c>
      <c r="T76" t="str">
        <f t="shared" si="5"/>
        <v>Others-Study</v>
      </c>
      <c r="U76" t="str">
        <f t="shared" si="5"/>
        <v>Others-Commercial</v>
      </c>
      <c r="V76" t="str">
        <f t="shared" si="5"/>
        <v>Others-Tourism</v>
      </c>
      <c r="W76" t="str">
        <f t="shared" si="5"/>
        <v>Others-Leisure/Social</v>
      </c>
      <c r="X76" t="str">
        <f t="shared" si="5"/>
        <v>Others-Hospital</v>
      </c>
      <c r="Y76" t="str">
        <f t="shared" si="5"/>
        <v>Others-Others</v>
      </c>
    </row>
    <row r="78" spans="2:25" ht="16.5" customHeight="1">
      <c r="B78" s="36" t="s">
        <v>2962</v>
      </c>
    </row>
    <row r="79" spans="2:25" ht="25.5">
      <c r="B79" s="99" t="s">
        <v>2963</v>
      </c>
      <c r="C79" s="100" t="s">
        <v>2964</v>
      </c>
      <c r="D79" s="101" t="s">
        <v>2941</v>
      </c>
      <c r="E79" s="102" t="s">
        <v>2965</v>
      </c>
    </row>
    <row r="80" spans="2:25" ht="15" customHeight="1">
      <c r="B80" s="103" t="s">
        <v>2966</v>
      </c>
      <c r="C80" s="104">
        <f>COUNTIF(Dist,"&lt;=1")</f>
        <v>66</v>
      </c>
      <c r="D80" s="105">
        <f>C80</f>
        <v>66</v>
      </c>
      <c r="E80" s="106">
        <f>D80/$C$88</f>
        <v>0.11978221415607986</v>
      </c>
    </row>
    <row r="81" spans="2:5" ht="15" customHeight="1">
      <c r="B81" s="103" t="s">
        <v>2967</v>
      </c>
      <c r="C81" s="104">
        <f>COUNTIF(Dist,"&lt;=2.5")</f>
        <v>129</v>
      </c>
      <c r="D81" s="105">
        <f>C81-C80</f>
        <v>63</v>
      </c>
      <c r="E81" s="106">
        <f t="shared" ref="E81:E88" si="6">D81/$C$88</f>
        <v>0.11433756805807622</v>
      </c>
    </row>
    <row r="82" spans="2:5" ht="15" customHeight="1">
      <c r="B82" s="103" t="s">
        <v>2968</v>
      </c>
      <c r="C82" s="104">
        <f>COUNTIF(Dist,"&lt;=5")</f>
        <v>242</v>
      </c>
      <c r="D82" s="105">
        <f t="shared" ref="D82:D88" si="7">C82-C81</f>
        <v>113</v>
      </c>
      <c r="E82" s="106">
        <f t="shared" si="6"/>
        <v>0.20508166969147004</v>
      </c>
    </row>
    <row r="83" spans="2:5" ht="15" customHeight="1">
      <c r="B83" s="103" t="s">
        <v>2969</v>
      </c>
      <c r="C83" s="104">
        <f>COUNTIF(Dist,"&lt;=10")</f>
        <v>328</v>
      </c>
      <c r="D83" s="105">
        <f t="shared" si="7"/>
        <v>86</v>
      </c>
      <c r="E83" s="106">
        <f t="shared" si="6"/>
        <v>0.1560798548094374</v>
      </c>
    </row>
    <row r="84" spans="2:5" ht="15" customHeight="1">
      <c r="B84" s="103" t="s">
        <v>2970</v>
      </c>
      <c r="C84" s="104">
        <f>COUNTIF(Dist,"&lt;=20")</f>
        <v>415</v>
      </c>
      <c r="D84" s="105">
        <f t="shared" si="7"/>
        <v>87</v>
      </c>
      <c r="E84" s="106">
        <f t="shared" si="6"/>
        <v>0.15789473684210525</v>
      </c>
    </row>
    <row r="85" spans="2:5" ht="15" customHeight="1">
      <c r="B85" s="103" t="s">
        <v>2971</v>
      </c>
      <c r="C85" s="104">
        <f>COUNTIF(Dist,"&lt;=50")</f>
        <v>486</v>
      </c>
      <c r="D85" s="105">
        <f t="shared" si="7"/>
        <v>71</v>
      </c>
      <c r="E85" s="106">
        <f t="shared" si="6"/>
        <v>0.12885662431941924</v>
      </c>
    </row>
    <row r="86" spans="2:5" ht="15" customHeight="1">
      <c r="B86" s="103" t="s">
        <v>2972</v>
      </c>
      <c r="C86" s="104">
        <f>COUNTIF(Dist,"&lt;=100")</f>
        <v>501</v>
      </c>
      <c r="D86" s="105">
        <f t="shared" si="7"/>
        <v>15</v>
      </c>
      <c r="E86" s="106">
        <f t="shared" si="6"/>
        <v>2.7223230490018149E-2</v>
      </c>
    </row>
    <row r="87" spans="2:5" ht="15" customHeight="1">
      <c r="B87" s="103" t="s">
        <v>2973</v>
      </c>
      <c r="C87" s="104">
        <f>COUNTIF(Dist,"&lt;=250")</f>
        <v>551</v>
      </c>
      <c r="D87" s="105">
        <f t="shared" si="7"/>
        <v>50</v>
      </c>
      <c r="E87" s="106">
        <f t="shared" si="6"/>
        <v>9.0744101633393831E-2</v>
      </c>
    </row>
    <row r="88" spans="2:5" ht="15" customHeight="1">
      <c r="B88" s="103" t="s">
        <v>2974</v>
      </c>
      <c r="C88" s="104">
        <f>COUNTIF(Dist,"&lt;=700")</f>
        <v>551</v>
      </c>
      <c r="D88" s="105">
        <f t="shared" si="7"/>
        <v>0</v>
      </c>
      <c r="E88" s="106">
        <f t="shared" si="6"/>
        <v>0</v>
      </c>
    </row>
  </sheetData>
  <pageMargins left="0.7" right="0.7" top="0.75" bottom="0.75" header="0.3" footer="0.3"/>
  <pageSetup scale="34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62"/>
  <sheetViews>
    <sheetView zoomScale="70" zoomScaleNormal="70" zoomScaleSheetLayoutView="80" workbookViewId="0">
      <selection activeCell="T567" sqref="T567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7" t="s">
        <v>129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6"/>
      <c r="AD1" s="6"/>
      <c r="AE1" s="6"/>
      <c r="AF1" s="6"/>
      <c r="AG1" s="6"/>
      <c r="AH1" s="6"/>
      <c r="AI1" s="6"/>
    </row>
    <row r="2" spans="2:3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55" t="s">
        <v>147</v>
      </c>
      <c r="E4" s="1" t="s">
        <v>66</v>
      </c>
      <c r="F4" s="117" t="s">
        <v>148</v>
      </c>
      <c r="G4" s="118"/>
      <c r="I4" s="27" t="s">
        <v>67</v>
      </c>
      <c r="J4" s="5"/>
      <c r="K4" s="5"/>
      <c r="L4" s="56" t="s">
        <v>149</v>
      </c>
      <c r="M4" s="2"/>
      <c r="N4" s="1" t="s">
        <v>69</v>
      </c>
      <c r="O4" s="119" t="s">
        <v>151</v>
      </c>
      <c r="P4" s="120"/>
      <c r="Q4" s="120"/>
      <c r="R4" s="120"/>
      <c r="S4" s="120"/>
      <c r="T4" s="120"/>
      <c r="V4" s="1" t="s">
        <v>70</v>
      </c>
      <c r="W4" s="43" t="s">
        <v>152</v>
      </c>
      <c r="Y4" s="27" t="s">
        <v>6</v>
      </c>
      <c r="Z4" s="58" t="s">
        <v>153</v>
      </c>
      <c r="AA4" s="32" t="s">
        <v>7</v>
      </c>
      <c r="AB4" s="58" t="s">
        <v>773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7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7" spans="2:35" ht="30.75" customHeight="1">
      <c r="B7" s="125" t="s">
        <v>34</v>
      </c>
      <c r="C7" s="110" t="s">
        <v>57</v>
      </c>
      <c r="D7" s="108" t="s">
        <v>9</v>
      </c>
      <c r="E7" s="110" t="s">
        <v>35</v>
      </c>
      <c r="F7" s="121" t="s">
        <v>12</v>
      </c>
      <c r="G7" s="122"/>
      <c r="H7" s="123"/>
      <c r="I7" s="108" t="s">
        <v>60</v>
      </c>
      <c r="J7" s="110" t="s">
        <v>15</v>
      </c>
      <c r="K7" s="110" t="s">
        <v>130</v>
      </c>
      <c r="L7" s="121" t="s">
        <v>17</v>
      </c>
      <c r="M7" s="122"/>
      <c r="N7" s="123"/>
      <c r="O7" s="108" t="s">
        <v>61</v>
      </c>
      <c r="P7" s="110" t="s">
        <v>18</v>
      </c>
      <c r="Q7" s="110" t="s">
        <v>131</v>
      </c>
      <c r="R7" s="110" t="s">
        <v>132</v>
      </c>
      <c r="S7" s="110" t="s">
        <v>134</v>
      </c>
      <c r="T7" s="110" t="s">
        <v>133</v>
      </c>
      <c r="U7" s="110" t="s">
        <v>62</v>
      </c>
      <c r="V7" s="114" t="s">
        <v>65</v>
      </c>
      <c r="W7" s="115"/>
      <c r="X7" s="116"/>
      <c r="Y7" s="110" t="s">
        <v>64</v>
      </c>
      <c r="Z7" s="110" t="s">
        <v>137</v>
      </c>
      <c r="AA7" s="108" t="s">
        <v>20</v>
      </c>
      <c r="AB7" s="112" t="s">
        <v>21</v>
      </c>
      <c r="AD7" s="19"/>
    </row>
    <row r="8" spans="2:35" ht="38.25" customHeight="1">
      <c r="B8" s="126"/>
      <c r="C8" s="111"/>
      <c r="D8" s="109"/>
      <c r="E8" s="124"/>
      <c r="F8" s="23" t="s">
        <v>71</v>
      </c>
      <c r="G8" s="23" t="s">
        <v>58</v>
      </c>
      <c r="H8" s="24" t="s">
        <v>59</v>
      </c>
      <c r="I8" s="109"/>
      <c r="J8" s="111"/>
      <c r="K8" s="111"/>
      <c r="L8" s="23" t="s">
        <v>71</v>
      </c>
      <c r="M8" s="23" t="s">
        <v>58</v>
      </c>
      <c r="N8" s="23" t="s">
        <v>59</v>
      </c>
      <c r="O8" s="109"/>
      <c r="P8" s="111"/>
      <c r="Q8" s="111"/>
      <c r="R8" s="111"/>
      <c r="S8" s="111"/>
      <c r="T8" s="111"/>
      <c r="U8" s="111"/>
      <c r="V8" s="29" t="s">
        <v>63</v>
      </c>
      <c r="W8" s="30" t="s">
        <v>135</v>
      </c>
      <c r="X8" s="30" t="s">
        <v>136</v>
      </c>
      <c r="Y8" s="111"/>
      <c r="Z8" s="111"/>
      <c r="AA8" s="109"/>
      <c r="AB8" s="113"/>
    </row>
    <row r="9" spans="2:35" s="19" customFormat="1">
      <c r="B9" s="40">
        <v>0.67361111111111116</v>
      </c>
      <c r="C9" s="40" t="s">
        <v>154</v>
      </c>
      <c r="D9" s="41">
        <v>1</v>
      </c>
      <c r="E9" s="42">
        <v>4</v>
      </c>
      <c r="F9" s="42" t="s">
        <v>155</v>
      </c>
      <c r="G9" s="43" t="s">
        <v>156</v>
      </c>
      <c r="H9" s="42" t="s">
        <v>157</v>
      </c>
      <c r="I9" s="43">
        <v>2</v>
      </c>
      <c r="J9" s="43">
        <v>2</v>
      </c>
      <c r="K9" s="25" t="str">
        <f>VLOOKUP(J9,Key!$E$2:$F$9,2,FALSE)</f>
        <v>Work</v>
      </c>
      <c r="L9" s="42" t="s">
        <v>150</v>
      </c>
      <c r="M9" s="43" t="s">
        <v>156</v>
      </c>
      <c r="N9" s="42" t="s">
        <v>157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Work-Home</v>
      </c>
      <c r="S9" s="52">
        <v>2</v>
      </c>
      <c r="T9" s="52">
        <v>0.2</v>
      </c>
      <c r="U9" s="43">
        <v>2</v>
      </c>
      <c r="V9" s="43"/>
      <c r="W9" s="52"/>
      <c r="X9" s="52"/>
      <c r="Y9" s="53" t="s">
        <v>158</v>
      </c>
      <c r="Z9" s="54">
        <v>1000</v>
      </c>
      <c r="AA9" s="25">
        <f>VLOOKUP(F9,'Zones '!$A$2:$F$2056,6,FALSE)</f>
        <v>1397</v>
      </c>
      <c r="AB9" s="25">
        <f>VLOOKUP(L9,'Zones '!$A$2:$F$2056,6,FALSE)</f>
        <v>1397</v>
      </c>
    </row>
    <row r="10" spans="2:35">
      <c r="B10" s="40">
        <v>0.67499999999999993</v>
      </c>
      <c r="C10" s="40" t="s">
        <v>159</v>
      </c>
      <c r="D10" s="41">
        <v>3</v>
      </c>
      <c r="E10" s="42">
        <v>4</v>
      </c>
      <c r="F10" s="42" t="s">
        <v>160</v>
      </c>
      <c r="G10" s="43" t="s">
        <v>156</v>
      </c>
      <c r="H10" s="42" t="s">
        <v>157</v>
      </c>
      <c r="I10" s="43">
        <v>2</v>
      </c>
      <c r="J10" s="43">
        <v>2</v>
      </c>
      <c r="K10" s="25" t="str">
        <f>VLOOKUP(J10,Key!$E$2:$F$9,2,FALSE)</f>
        <v>Work</v>
      </c>
      <c r="L10" s="42" t="s">
        <v>150</v>
      </c>
      <c r="M10" s="43" t="s">
        <v>156</v>
      </c>
      <c r="N10" s="42" t="s">
        <v>157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52">
        <v>2</v>
      </c>
      <c r="T10" s="52">
        <v>0.5</v>
      </c>
      <c r="U10" s="43">
        <v>2</v>
      </c>
      <c r="V10" s="43"/>
      <c r="W10" s="52"/>
      <c r="X10" s="52"/>
      <c r="Y10" s="53" t="s">
        <v>158</v>
      </c>
      <c r="Z10" s="54">
        <v>1000</v>
      </c>
      <c r="AA10" s="25">
        <f>VLOOKUP(F10,'Zones '!$A$2:$F$2056,6,FALSE)</f>
        <v>589</v>
      </c>
      <c r="AB10" s="25">
        <f>VLOOKUP(L10,'Zones '!$A$2:$F$2056,6,FALSE)</f>
        <v>1397</v>
      </c>
    </row>
    <row r="11" spans="2:35">
      <c r="B11" s="40">
        <v>0.67708333333333337</v>
      </c>
      <c r="C11" s="40" t="s">
        <v>161</v>
      </c>
      <c r="D11" s="41">
        <v>1</v>
      </c>
      <c r="E11" s="42">
        <v>5</v>
      </c>
      <c r="F11" s="42" t="s">
        <v>155</v>
      </c>
      <c r="G11" s="43" t="s">
        <v>156</v>
      </c>
      <c r="H11" s="42" t="s">
        <v>157</v>
      </c>
      <c r="I11" s="43">
        <v>1</v>
      </c>
      <c r="J11" s="43">
        <v>1</v>
      </c>
      <c r="K11" s="25" t="str">
        <f>VLOOKUP(J11,Key!$E$2:$F$9,2,FALSE)</f>
        <v>Home</v>
      </c>
      <c r="L11" s="42" t="s">
        <v>162</v>
      </c>
      <c r="M11" s="43" t="s">
        <v>156</v>
      </c>
      <c r="N11" s="42" t="s">
        <v>157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Home-Work</v>
      </c>
      <c r="S11" s="52">
        <v>4</v>
      </c>
      <c r="T11" s="52">
        <v>0.3</v>
      </c>
      <c r="U11" s="43">
        <v>2</v>
      </c>
      <c r="V11" s="43"/>
      <c r="W11" s="52"/>
      <c r="X11" s="52"/>
      <c r="Y11" s="53" t="s">
        <v>158</v>
      </c>
      <c r="Z11" s="54">
        <v>500</v>
      </c>
      <c r="AA11" s="25">
        <f>VLOOKUP(F11,'Zones '!$A$2:$F$2056,6,FALSE)</f>
        <v>1397</v>
      </c>
      <c r="AB11" s="25">
        <f>VLOOKUP(L11,'Zones '!$A$2:$F$2056,6,FALSE)</f>
        <v>1397</v>
      </c>
    </row>
    <row r="12" spans="2:35">
      <c r="B12" s="40">
        <v>0.67986111111111114</v>
      </c>
      <c r="C12" s="40" t="s">
        <v>163</v>
      </c>
      <c r="D12" s="41">
        <v>2</v>
      </c>
      <c r="E12" s="42">
        <v>5</v>
      </c>
      <c r="F12" s="42" t="s">
        <v>155</v>
      </c>
      <c r="G12" s="43" t="s">
        <v>156</v>
      </c>
      <c r="H12" s="42" t="s">
        <v>157</v>
      </c>
      <c r="I12" s="43">
        <v>2</v>
      </c>
      <c r="J12" s="43">
        <v>2</v>
      </c>
      <c r="K12" s="25" t="str">
        <f>VLOOKUP(J12,Key!$E$2:$F$9,2,FALSE)</f>
        <v>Work</v>
      </c>
      <c r="L12" s="42" t="s">
        <v>164</v>
      </c>
      <c r="M12" s="43" t="s">
        <v>156</v>
      </c>
      <c r="N12" s="42" t="s">
        <v>157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52">
        <v>5</v>
      </c>
      <c r="T12" s="52">
        <v>0.5</v>
      </c>
      <c r="U12" s="43">
        <v>2</v>
      </c>
      <c r="V12" s="43"/>
      <c r="W12" s="52"/>
      <c r="X12" s="52"/>
      <c r="Y12" s="53" t="s">
        <v>158</v>
      </c>
      <c r="Z12" s="54">
        <v>1000</v>
      </c>
      <c r="AA12" s="25">
        <f>VLOOKUP(F12,'Zones '!$A$2:$F$2056,6,FALSE)</f>
        <v>1397</v>
      </c>
      <c r="AB12" s="25">
        <f>VLOOKUP(L12,'Zones '!$A$2:$F$2056,6,FALSE)</f>
        <v>1397</v>
      </c>
    </row>
    <row r="13" spans="2:35">
      <c r="B13" s="40">
        <v>0.68194444444444446</v>
      </c>
      <c r="C13" s="40" t="s">
        <v>165</v>
      </c>
      <c r="D13" s="41">
        <v>4</v>
      </c>
      <c r="E13" s="42">
        <v>12</v>
      </c>
      <c r="F13" s="42" t="s">
        <v>160</v>
      </c>
      <c r="G13" s="43" t="s">
        <v>156</v>
      </c>
      <c r="H13" s="42" t="s">
        <v>157</v>
      </c>
      <c r="I13" s="43">
        <v>1</v>
      </c>
      <c r="J13" s="43">
        <v>1</v>
      </c>
      <c r="K13" s="25" t="str">
        <f>VLOOKUP(J13,Key!$E$2:$F$9,2,FALSE)</f>
        <v>Home</v>
      </c>
      <c r="L13" s="42" t="s">
        <v>166</v>
      </c>
      <c r="M13" s="43" t="s">
        <v>156</v>
      </c>
      <c r="N13" s="42" t="s">
        <v>157</v>
      </c>
      <c r="O13" s="43">
        <v>3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2">
        <v>9</v>
      </c>
      <c r="T13" s="52">
        <v>2</v>
      </c>
      <c r="U13" s="43">
        <v>2</v>
      </c>
      <c r="V13" s="43"/>
      <c r="W13" s="52"/>
      <c r="X13" s="52"/>
      <c r="Y13" s="53" t="s">
        <v>158</v>
      </c>
      <c r="Z13" s="54">
        <v>1000</v>
      </c>
      <c r="AA13" s="25">
        <f>VLOOKUP(F13,'Zones '!$A$2:$F$2056,6,FALSE)</f>
        <v>589</v>
      </c>
      <c r="AB13" s="25">
        <f>VLOOKUP(L13,'Zones '!$A$2:$F$2056,6,FALSE)</f>
        <v>1397</v>
      </c>
    </row>
    <row r="14" spans="2:35">
      <c r="B14" s="40">
        <v>0.68611111111111101</v>
      </c>
      <c r="C14" s="40" t="s">
        <v>167</v>
      </c>
      <c r="D14" s="41">
        <v>1</v>
      </c>
      <c r="E14" s="42">
        <v>4</v>
      </c>
      <c r="F14" s="42" t="s">
        <v>155</v>
      </c>
      <c r="G14" s="43" t="s">
        <v>156</v>
      </c>
      <c r="H14" s="42" t="s">
        <v>157</v>
      </c>
      <c r="I14" s="43">
        <v>1</v>
      </c>
      <c r="J14" s="43">
        <v>1</v>
      </c>
      <c r="K14" s="25" t="str">
        <f>VLOOKUP(J14,Key!$E$2:$F$9,2,FALSE)</f>
        <v>Home</v>
      </c>
      <c r="L14" s="42" t="s">
        <v>150</v>
      </c>
      <c r="M14" s="43" t="s">
        <v>156</v>
      </c>
      <c r="N14" s="42" t="s">
        <v>157</v>
      </c>
      <c r="O14" s="43">
        <v>2</v>
      </c>
      <c r="P14" s="43">
        <v>2</v>
      </c>
      <c r="Q14" s="25" t="str">
        <f>VLOOKUP(P14,Key!$E$2:$F$9,2,FALSE)</f>
        <v>Work</v>
      </c>
      <c r="R14" s="25" t="str">
        <f t="shared" si="0"/>
        <v>Home-Work</v>
      </c>
      <c r="S14" s="52">
        <v>2</v>
      </c>
      <c r="T14" s="52">
        <v>0.5</v>
      </c>
      <c r="U14" s="43">
        <v>2</v>
      </c>
      <c r="V14" s="43"/>
      <c r="W14" s="52"/>
      <c r="X14" s="52"/>
      <c r="Y14" s="53" t="s">
        <v>158</v>
      </c>
      <c r="Z14" s="54">
        <v>5000</v>
      </c>
      <c r="AA14" s="25">
        <f>VLOOKUP(F14,'Zones '!$A$2:$F$2056,6,FALSE)</f>
        <v>1397</v>
      </c>
      <c r="AB14" s="25">
        <f>VLOOKUP(L14,'Zones '!$A$2:$F$2056,6,FALSE)</f>
        <v>1397</v>
      </c>
    </row>
    <row r="15" spans="2:35">
      <c r="B15" s="40">
        <v>0.6875</v>
      </c>
      <c r="C15" s="40" t="s">
        <v>168</v>
      </c>
      <c r="D15" s="41">
        <v>1</v>
      </c>
      <c r="E15" s="42">
        <v>2</v>
      </c>
      <c r="F15" s="42" t="s">
        <v>160</v>
      </c>
      <c r="G15" s="43" t="s">
        <v>156</v>
      </c>
      <c r="H15" s="42" t="s">
        <v>157</v>
      </c>
      <c r="I15" s="43">
        <v>1</v>
      </c>
      <c r="J15" s="43">
        <v>1</v>
      </c>
      <c r="K15" s="25" t="str">
        <f>VLOOKUP(J15,Key!$E$2:$F$9,2,FALSE)</f>
        <v>Home</v>
      </c>
      <c r="L15" s="42" t="s">
        <v>164</v>
      </c>
      <c r="M15" s="43" t="s">
        <v>156</v>
      </c>
      <c r="N15" s="42" t="s">
        <v>157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Home-Work</v>
      </c>
      <c r="S15" s="52">
        <v>8</v>
      </c>
      <c r="T15" s="52">
        <v>1</v>
      </c>
      <c r="U15" s="43">
        <v>2</v>
      </c>
      <c r="V15" s="43"/>
      <c r="W15" s="52"/>
      <c r="X15" s="52"/>
      <c r="Y15" s="53" t="s">
        <v>158</v>
      </c>
      <c r="Z15" s="54">
        <v>1000</v>
      </c>
      <c r="AA15" s="25">
        <f>VLOOKUP(F15,'Zones '!$A$2:$F$2056,6,FALSE)</f>
        <v>589</v>
      </c>
      <c r="AB15" s="25">
        <f>VLOOKUP(L15,'Zones '!$A$2:$F$2056,6,FALSE)</f>
        <v>1397</v>
      </c>
    </row>
    <row r="16" spans="2:35">
      <c r="B16" s="40">
        <v>0.69097222222222221</v>
      </c>
      <c r="C16" s="40" t="s">
        <v>169</v>
      </c>
      <c r="D16" s="41">
        <v>9</v>
      </c>
      <c r="E16" s="42">
        <v>3</v>
      </c>
      <c r="F16" s="42" t="s">
        <v>160</v>
      </c>
      <c r="G16" s="43" t="s">
        <v>156</v>
      </c>
      <c r="H16" s="42" t="s">
        <v>157</v>
      </c>
      <c r="I16" s="43">
        <v>3</v>
      </c>
      <c r="J16" s="43">
        <v>2</v>
      </c>
      <c r="K16" s="25" t="str">
        <f>VLOOKUP(J16,Key!$E$2:$F$9,2,FALSE)</f>
        <v>Work</v>
      </c>
      <c r="L16" s="42" t="s">
        <v>164</v>
      </c>
      <c r="M16" s="43" t="s">
        <v>156</v>
      </c>
      <c r="N16" s="42" t="s">
        <v>157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52">
        <v>8</v>
      </c>
      <c r="T16" s="52">
        <v>0.6</v>
      </c>
      <c r="U16" s="43">
        <v>6</v>
      </c>
      <c r="V16" s="43"/>
      <c r="W16" s="52"/>
      <c r="X16" s="52"/>
      <c r="Y16" s="53" t="s">
        <v>158</v>
      </c>
      <c r="Z16" s="54">
        <v>5000</v>
      </c>
      <c r="AA16" s="25">
        <f>VLOOKUP(F16,'Zones '!$A$2:$F$2056,6,FALSE)</f>
        <v>589</v>
      </c>
      <c r="AB16" s="25">
        <f>VLOOKUP(L16,'Zones '!$A$2:$F$2056,6,FALSE)</f>
        <v>1397</v>
      </c>
    </row>
    <row r="17" spans="2:28">
      <c r="B17" s="40">
        <v>0.69374999999999998</v>
      </c>
      <c r="C17" s="40" t="s">
        <v>170</v>
      </c>
      <c r="D17" s="41">
        <v>1</v>
      </c>
      <c r="E17" s="42">
        <v>2</v>
      </c>
      <c r="F17" s="42" t="s">
        <v>342</v>
      </c>
      <c r="G17" s="43" t="s">
        <v>156</v>
      </c>
      <c r="H17" s="42" t="s">
        <v>157</v>
      </c>
      <c r="I17" s="43">
        <v>2</v>
      </c>
      <c r="J17" s="43">
        <v>2</v>
      </c>
      <c r="K17" s="25" t="str">
        <f>VLOOKUP(J17,Key!$E$2:$F$9,2,FALSE)</f>
        <v>Work</v>
      </c>
      <c r="L17" s="42" t="s">
        <v>150</v>
      </c>
      <c r="M17" s="43" t="s">
        <v>156</v>
      </c>
      <c r="N17" s="42" t="s">
        <v>157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2">
        <v>3</v>
      </c>
      <c r="T17" s="52">
        <v>0.5</v>
      </c>
      <c r="U17" s="43">
        <v>3</v>
      </c>
      <c r="V17" s="43"/>
      <c r="W17" s="52"/>
      <c r="X17" s="52"/>
      <c r="Y17" s="53" t="s">
        <v>158</v>
      </c>
      <c r="Z17" s="54">
        <v>2000</v>
      </c>
      <c r="AA17" s="25">
        <f>VLOOKUP(F17,'Zones '!$A$2:$F$2056,6,FALSE)</f>
        <v>556</v>
      </c>
      <c r="AB17" s="25">
        <f>VLOOKUP(L17,'Zones '!$A$2:$F$2056,6,FALSE)</f>
        <v>1397</v>
      </c>
    </row>
    <row r="18" spans="2:28">
      <c r="B18" s="40">
        <v>0.6958333333333333</v>
      </c>
      <c r="C18" s="40" t="s">
        <v>171</v>
      </c>
      <c r="D18" s="41">
        <v>1</v>
      </c>
      <c r="E18" s="42">
        <v>2</v>
      </c>
      <c r="F18" s="42" t="s">
        <v>155</v>
      </c>
      <c r="G18" s="43" t="s">
        <v>156</v>
      </c>
      <c r="H18" s="42" t="s">
        <v>157</v>
      </c>
      <c r="I18" s="43">
        <v>2</v>
      </c>
      <c r="J18" s="43">
        <v>2</v>
      </c>
      <c r="K18" s="25" t="str">
        <f>VLOOKUP(J18,Key!$E$2:$F$9,2,FALSE)</f>
        <v>Work</v>
      </c>
      <c r="L18" s="42" t="s">
        <v>150</v>
      </c>
      <c r="M18" s="43" t="s">
        <v>156</v>
      </c>
      <c r="N18" s="42" t="s">
        <v>157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52">
        <v>2</v>
      </c>
      <c r="T18" s="52">
        <v>0.2</v>
      </c>
      <c r="U18" s="43">
        <v>2</v>
      </c>
      <c r="V18" s="43"/>
      <c r="W18" s="52"/>
      <c r="X18" s="52"/>
      <c r="Y18" s="53" t="s">
        <v>158</v>
      </c>
      <c r="Z18" s="54">
        <v>1000</v>
      </c>
      <c r="AA18" s="25">
        <f>VLOOKUP(F18,'Zones '!$A$2:$F$2056,6,FALSE)</f>
        <v>1397</v>
      </c>
      <c r="AB18" s="25">
        <f>VLOOKUP(L18,'Zones '!$A$2:$F$2056,6,FALSE)</f>
        <v>1397</v>
      </c>
    </row>
    <row r="19" spans="2:28">
      <c r="B19" s="40">
        <v>0.69930555555555562</v>
      </c>
      <c r="C19" s="40" t="s">
        <v>172</v>
      </c>
      <c r="D19" s="41">
        <v>1</v>
      </c>
      <c r="E19" s="42">
        <v>2</v>
      </c>
      <c r="F19" s="42" t="s">
        <v>155</v>
      </c>
      <c r="G19" s="43" t="s">
        <v>156</v>
      </c>
      <c r="H19" s="42" t="s">
        <v>157</v>
      </c>
      <c r="I19" s="43">
        <v>1</v>
      </c>
      <c r="J19" s="43">
        <v>1</v>
      </c>
      <c r="K19" s="25" t="str">
        <f>VLOOKUP(J19,Key!$E$2:$F$9,2,FALSE)</f>
        <v>Home</v>
      </c>
      <c r="L19" s="42" t="s">
        <v>150</v>
      </c>
      <c r="M19" s="43" t="s">
        <v>156</v>
      </c>
      <c r="N19" s="42" t="s">
        <v>157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Home-Work</v>
      </c>
      <c r="S19" s="52">
        <v>2</v>
      </c>
      <c r="T19" s="52">
        <v>0.2</v>
      </c>
      <c r="U19" s="43">
        <v>2</v>
      </c>
      <c r="V19" s="43"/>
      <c r="W19" s="52"/>
      <c r="X19" s="52"/>
      <c r="Y19" s="53" t="s">
        <v>158</v>
      </c>
      <c r="Z19" s="54">
        <v>2000</v>
      </c>
      <c r="AA19" s="25">
        <f>VLOOKUP(F19,'Zones '!$A$2:$F$2056,6,FALSE)</f>
        <v>1397</v>
      </c>
      <c r="AB19" s="25">
        <f>VLOOKUP(L19,'Zones '!$A$2:$F$2056,6,FALSE)</f>
        <v>1397</v>
      </c>
    </row>
    <row r="20" spans="2:28">
      <c r="B20" s="40">
        <v>0.7006944444444444</v>
      </c>
      <c r="C20" s="40" t="s">
        <v>173</v>
      </c>
      <c r="D20" s="41">
        <v>1</v>
      </c>
      <c r="E20" s="42">
        <v>3</v>
      </c>
      <c r="F20" s="42" t="s">
        <v>160</v>
      </c>
      <c r="G20" s="43" t="s">
        <v>156</v>
      </c>
      <c r="H20" s="42" t="s">
        <v>157</v>
      </c>
      <c r="I20" s="43">
        <v>1</v>
      </c>
      <c r="J20" s="43">
        <v>1</v>
      </c>
      <c r="K20" s="25" t="str">
        <f>VLOOKUP(J20,Key!$E$2:$F$9,2,FALSE)</f>
        <v>Home</v>
      </c>
      <c r="L20" s="42" t="s">
        <v>150</v>
      </c>
      <c r="M20" s="43" t="s">
        <v>156</v>
      </c>
      <c r="N20" s="42" t="s">
        <v>157</v>
      </c>
      <c r="O20" s="43">
        <v>2</v>
      </c>
      <c r="P20" s="43">
        <v>2</v>
      </c>
      <c r="Q20" s="25" t="str">
        <f>VLOOKUP(P20,Key!$E$2:$F$9,2,FALSE)</f>
        <v>Work</v>
      </c>
      <c r="R20" s="25" t="str">
        <f t="shared" si="0"/>
        <v>Home-Work</v>
      </c>
      <c r="S20" s="52">
        <v>2</v>
      </c>
      <c r="T20" s="52">
        <v>0.2</v>
      </c>
      <c r="U20" s="43">
        <v>2</v>
      </c>
      <c r="V20" s="43"/>
      <c r="W20" s="52"/>
      <c r="X20" s="52"/>
      <c r="Y20" s="53" t="s">
        <v>158</v>
      </c>
      <c r="Z20" s="54">
        <v>2000</v>
      </c>
      <c r="AA20" s="25">
        <f>VLOOKUP(F20,'Zones '!$A$2:$F$2056,6,FALSE)</f>
        <v>589</v>
      </c>
      <c r="AB20" s="25">
        <f>VLOOKUP(L20,'Zones '!$A$2:$F$2056,6,FALSE)</f>
        <v>1397</v>
      </c>
    </row>
    <row r="21" spans="2:28">
      <c r="B21" s="40">
        <v>0.70277777777777783</v>
      </c>
      <c r="C21" s="40" t="s">
        <v>174</v>
      </c>
      <c r="D21" s="41">
        <v>3</v>
      </c>
      <c r="E21" s="42">
        <v>5</v>
      </c>
      <c r="F21" s="42" t="s">
        <v>160</v>
      </c>
      <c r="G21" s="43" t="s">
        <v>156</v>
      </c>
      <c r="H21" s="42" t="s">
        <v>157</v>
      </c>
      <c r="I21" s="43">
        <v>1</v>
      </c>
      <c r="J21" s="43">
        <v>1</v>
      </c>
      <c r="K21" s="25" t="str">
        <f>VLOOKUP(J21,Key!$E$2:$F$9,2,FALSE)</f>
        <v>Home</v>
      </c>
      <c r="L21" s="42" t="s">
        <v>166</v>
      </c>
      <c r="M21" s="43" t="s">
        <v>156</v>
      </c>
      <c r="N21" s="42" t="s">
        <v>157</v>
      </c>
      <c r="O21" s="43">
        <v>3</v>
      </c>
      <c r="P21" s="43">
        <v>2</v>
      </c>
      <c r="Q21" s="25" t="str">
        <f>VLOOKUP(P21,Key!$E$2:$F$9,2,FALSE)</f>
        <v>Work</v>
      </c>
      <c r="R21" s="25" t="str">
        <f t="shared" si="0"/>
        <v>Home-Work</v>
      </c>
      <c r="S21" s="52">
        <v>5</v>
      </c>
      <c r="T21" s="52">
        <v>0.5</v>
      </c>
      <c r="U21" s="43">
        <v>2</v>
      </c>
      <c r="V21" s="43"/>
      <c r="W21" s="52"/>
      <c r="X21" s="52"/>
      <c r="Y21" s="53" t="s">
        <v>158</v>
      </c>
      <c r="Z21" s="54">
        <v>2000</v>
      </c>
      <c r="AA21" s="25">
        <f>VLOOKUP(F21,'Zones '!$A$2:$F$2056,6,FALSE)</f>
        <v>589</v>
      </c>
      <c r="AB21" s="25">
        <f>VLOOKUP(L21,'Zones '!$A$2:$F$2056,6,FALSE)</f>
        <v>1397</v>
      </c>
    </row>
    <row r="22" spans="2:28">
      <c r="B22" s="40">
        <v>0.70763888888888893</v>
      </c>
      <c r="C22" s="40" t="s">
        <v>175</v>
      </c>
      <c r="D22" s="41">
        <v>1</v>
      </c>
      <c r="E22" s="42">
        <v>6</v>
      </c>
      <c r="F22" s="42" t="s">
        <v>160</v>
      </c>
      <c r="G22" s="43" t="s">
        <v>156</v>
      </c>
      <c r="H22" s="42" t="s">
        <v>157</v>
      </c>
      <c r="I22" s="43">
        <v>1</v>
      </c>
      <c r="J22" s="43">
        <v>1</v>
      </c>
      <c r="K22" s="25" t="str">
        <f>VLOOKUP(J22,Key!$E$2:$F$9,2,FALSE)</f>
        <v>Home</v>
      </c>
      <c r="L22" s="42" t="s">
        <v>166</v>
      </c>
      <c r="M22" s="43" t="s">
        <v>156</v>
      </c>
      <c r="N22" s="42" t="s">
        <v>157</v>
      </c>
      <c r="O22" s="43">
        <v>2</v>
      </c>
      <c r="P22" s="43">
        <v>2</v>
      </c>
      <c r="Q22" s="25" t="str">
        <f>VLOOKUP(P22,Key!$E$2:$F$9,2,FALSE)</f>
        <v>Work</v>
      </c>
      <c r="R22" s="25" t="str">
        <f t="shared" si="0"/>
        <v>Home-Work</v>
      </c>
      <c r="S22" s="52">
        <v>5</v>
      </c>
      <c r="T22" s="52">
        <v>1</v>
      </c>
      <c r="U22" s="43">
        <v>2</v>
      </c>
      <c r="V22" s="43"/>
      <c r="W22" s="52"/>
      <c r="X22" s="52"/>
      <c r="Y22" s="53" t="s">
        <v>158</v>
      </c>
      <c r="Z22" s="54">
        <v>1000</v>
      </c>
      <c r="AA22" s="25">
        <f>VLOOKUP(F22,'Zones '!$A$2:$F$2056,6,FALSE)</f>
        <v>589</v>
      </c>
      <c r="AB22" s="25">
        <f>VLOOKUP(L22,'Zones '!$A$2:$F$2056,6,FALSE)</f>
        <v>1397</v>
      </c>
    </row>
    <row r="23" spans="2:28">
      <c r="B23" s="40">
        <v>0.70833333333333337</v>
      </c>
      <c r="C23" s="40" t="s">
        <v>176</v>
      </c>
      <c r="D23" s="41">
        <v>4</v>
      </c>
      <c r="E23" s="42">
        <v>2</v>
      </c>
      <c r="F23" s="42" t="s">
        <v>155</v>
      </c>
      <c r="G23" s="43" t="s">
        <v>156</v>
      </c>
      <c r="H23" s="42" t="s">
        <v>157</v>
      </c>
      <c r="I23" s="43">
        <v>2</v>
      </c>
      <c r="J23" s="43">
        <v>2</v>
      </c>
      <c r="K23" s="25" t="str">
        <f>VLOOKUP(J23,Key!$E$2:$F$9,2,FALSE)</f>
        <v>Work</v>
      </c>
      <c r="L23" s="42" t="s">
        <v>177</v>
      </c>
      <c r="M23" s="43" t="s">
        <v>156</v>
      </c>
      <c r="N23" s="42" t="s">
        <v>157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52">
        <v>106</v>
      </c>
      <c r="T23" s="52">
        <v>3</v>
      </c>
      <c r="U23" s="43">
        <v>2</v>
      </c>
      <c r="V23" s="43"/>
      <c r="W23" s="52"/>
      <c r="X23" s="52"/>
      <c r="Y23" s="53" t="s">
        <v>158</v>
      </c>
      <c r="Z23" s="54">
        <v>1000</v>
      </c>
      <c r="AA23" s="25">
        <f>VLOOKUP(F23,'Zones '!$A$2:$F$2056,6,FALSE)</f>
        <v>1397</v>
      </c>
      <c r="AB23" s="25">
        <f>VLOOKUP(L23,'Zones '!$A$2:$F$2056,6,FALSE)</f>
        <v>1389</v>
      </c>
    </row>
    <row r="24" spans="2:28">
      <c r="B24" s="40">
        <v>0.71180555555555547</v>
      </c>
      <c r="C24" s="40" t="s">
        <v>178</v>
      </c>
      <c r="D24" s="41">
        <v>1</v>
      </c>
      <c r="E24" s="42">
        <v>3</v>
      </c>
      <c r="F24" s="42" t="s">
        <v>179</v>
      </c>
      <c r="G24" s="43" t="s">
        <v>156</v>
      </c>
      <c r="H24" s="42" t="s">
        <v>157</v>
      </c>
      <c r="I24" s="43">
        <v>1</v>
      </c>
      <c r="J24" s="43">
        <v>1</v>
      </c>
      <c r="K24" s="25" t="str">
        <f>VLOOKUP(J24,Key!$E$2:$F$9,2,FALSE)</f>
        <v>Home</v>
      </c>
      <c r="L24" s="42" t="s">
        <v>150</v>
      </c>
      <c r="M24" s="43" t="s">
        <v>156</v>
      </c>
      <c r="N24" s="42" t="s">
        <v>157</v>
      </c>
      <c r="O24" s="43">
        <v>2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52">
        <v>2.5</v>
      </c>
      <c r="T24" s="52">
        <v>0.3</v>
      </c>
      <c r="U24" s="43">
        <v>3</v>
      </c>
      <c r="V24" s="43"/>
      <c r="W24" s="52"/>
      <c r="X24" s="52"/>
      <c r="Y24" s="53" t="s">
        <v>158</v>
      </c>
      <c r="Z24" s="54">
        <v>1000</v>
      </c>
      <c r="AA24" s="25">
        <f>VLOOKUP(F24,'Zones '!$A$2:$F$2056,6,FALSE)</f>
        <v>905</v>
      </c>
      <c r="AB24" s="25">
        <f>VLOOKUP(L24,'Zones '!$A$2:$F$2056,6,FALSE)</f>
        <v>1397</v>
      </c>
    </row>
    <row r="25" spans="2:28">
      <c r="B25" s="40">
        <v>0.72083333333333333</v>
      </c>
      <c r="C25" s="40" t="s">
        <v>180</v>
      </c>
      <c r="D25" s="41">
        <v>1</v>
      </c>
      <c r="E25" s="42">
        <v>2</v>
      </c>
      <c r="F25" s="42" t="s">
        <v>155</v>
      </c>
      <c r="G25" s="43" t="s">
        <v>156</v>
      </c>
      <c r="H25" s="42" t="s">
        <v>157</v>
      </c>
      <c r="I25" s="43">
        <v>1</v>
      </c>
      <c r="J25" s="43">
        <v>1</v>
      </c>
      <c r="K25" s="25" t="str">
        <f>VLOOKUP(J25,Key!$E$2:$F$9,2,FALSE)</f>
        <v>Home</v>
      </c>
      <c r="L25" s="42" t="s">
        <v>150</v>
      </c>
      <c r="M25" s="43" t="s">
        <v>156</v>
      </c>
      <c r="N25" s="42" t="s">
        <v>157</v>
      </c>
      <c r="O25" s="43">
        <v>3</v>
      </c>
      <c r="P25" s="43">
        <v>2</v>
      </c>
      <c r="Q25" s="25" t="str">
        <f>VLOOKUP(P25,Key!$E$2:$F$9,2,FALSE)</f>
        <v>Work</v>
      </c>
      <c r="R25" s="25" t="str">
        <f t="shared" si="0"/>
        <v>Home-Work</v>
      </c>
      <c r="S25" s="52">
        <v>2</v>
      </c>
      <c r="T25" s="52">
        <v>0.5</v>
      </c>
      <c r="U25" s="43">
        <v>2</v>
      </c>
      <c r="V25" s="43"/>
      <c r="W25" s="52"/>
      <c r="X25" s="52"/>
      <c r="Y25" s="53" t="s">
        <v>158</v>
      </c>
      <c r="Z25" s="54">
        <v>3000</v>
      </c>
      <c r="AA25" s="25">
        <f>VLOOKUP(F25,'Zones '!$A$2:$F$2056,6,FALSE)</f>
        <v>1397</v>
      </c>
      <c r="AB25" s="25">
        <f>VLOOKUP(L25,'Zones '!$A$2:$F$2056,6,FALSE)</f>
        <v>1397</v>
      </c>
    </row>
    <row r="26" spans="2:28">
      <c r="B26" s="40">
        <v>0.72222222222222221</v>
      </c>
      <c r="C26" s="40" t="s">
        <v>181</v>
      </c>
      <c r="D26" s="41">
        <v>3</v>
      </c>
      <c r="E26" s="42">
        <v>2</v>
      </c>
      <c r="F26" s="42" t="s">
        <v>164</v>
      </c>
      <c r="G26" s="43" t="s">
        <v>156</v>
      </c>
      <c r="H26" s="42" t="s">
        <v>157</v>
      </c>
      <c r="I26" s="43">
        <v>3</v>
      </c>
      <c r="J26" s="43">
        <v>2</v>
      </c>
      <c r="K26" s="25" t="str">
        <f>VLOOKUP(J26,Key!$E$2:$F$9,2,FALSE)</f>
        <v>Work</v>
      </c>
      <c r="L26" s="42" t="s">
        <v>150</v>
      </c>
      <c r="M26" s="43" t="s">
        <v>156</v>
      </c>
      <c r="N26" s="42" t="s">
        <v>157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Work-Home</v>
      </c>
      <c r="S26" s="52">
        <v>5</v>
      </c>
      <c r="T26" s="52">
        <v>1</v>
      </c>
      <c r="U26" s="43">
        <v>2</v>
      </c>
      <c r="V26" s="43"/>
      <c r="W26" s="52"/>
      <c r="X26" s="52"/>
      <c r="Y26" s="53" t="s">
        <v>158</v>
      </c>
      <c r="Z26" s="54">
        <v>500</v>
      </c>
      <c r="AA26" s="25">
        <f>VLOOKUP(F26,'Zones '!$A$2:$F$2056,6,FALSE)</f>
        <v>1397</v>
      </c>
      <c r="AB26" s="25">
        <f>VLOOKUP(L26,'Zones '!$A$2:$F$2056,6,FALSE)</f>
        <v>1397</v>
      </c>
    </row>
    <row r="27" spans="2:28">
      <c r="B27" s="40">
        <v>0.72569444444444453</v>
      </c>
      <c r="C27" s="40" t="s">
        <v>182</v>
      </c>
      <c r="D27" s="41">
        <v>1</v>
      </c>
      <c r="E27" s="42">
        <v>2</v>
      </c>
      <c r="F27" s="42" t="s">
        <v>155</v>
      </c>
      <c r="G27" s="43" t="s">
        <v>156</v>
      </c>
      <c r="H27" s="42" t="s">
        <v>157</v>
      </c>
      <c r="I27" s="43">
        <v>1</v>
      </c>
      <c r="J27" s="43">
        <v>1</v>
      </c>
      <c r="K27" s="25" t="str">
        <f>VLOOKUP(J27,Key!$E$2:$F$9,2,FALSE)</f>
        <v>Home</v>
      </c>
      <c r="L27" s="42" t="s">
        <v>162</v>
      </c>
      <c r="M27" s="43" t="s">
        <v>156</v>
      </c>
      <c r="N27" s="42" t="s">
        <v>157</v>
      </c>
      <c r="O27" s="43">
        <v>3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2">
        <v>5</v>
      </c>
      <c r="T27" s="52">
        <v>1</v>
      </c>
      <c r="U27" s="43">
        <v>2</v>
      </c>
      <c r="V27" s="43"/>
      <c r="W27" s="52"/>
      <c r="X27" s="52"/>
      <c r="Y27" s="53" t="s">
        <v>158</v>
      </c>
      <c r="Z27" s="54"/>
      <c r="AA27" s="25">
        <f>VLOOKUP(F27,'Zones '!$A$2:$F$2056,6,FALSE)</f>
        <v>1397</v>
      </c>
      <c r="AB27" s="25">
        <f>VLOOKUP(L27,'Zones '!$A$2:$F$2056,6,FALSE)</f>
        <v>1397</v>
      </c>
    </row>
    <row r="28" spans="2:28">
      <c r="B28" s="40">
        <v>0.7284722222222223</v>
      </c>
      <c r="C28" s="40" t="s">
        <v>183</v>
      </c>
      <c r="D28" s="41">
        <v>3</v>
      </c>
      <c r="E28" s="42">
        <v>3</v>
      </c>
      <c r="F28" s="42" t="s">
        <v>155</v>
      </c>
      <c r="G28" s="43" t="s">
        <v>156</v>
      </c>
      <c r="H28" s="42" t="s">
        <v>157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150</v>
      </c>
      <c r="M28" s="43" t="s">
        <v>156</v>
      </c>
      <c r="N28" s="42" t="s">
        <v>157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52">
        <v>2</v>
      </c>
      <c r="T28" s="52">
        <v>0.2</v>
      </c>
      <c r="U28" s="43">
        <v>2</v>
      </c>
      <c r="V28" s="43"/>
      <c r="W28" s="52"/>
      <c r="X28" s="52"/>
      <c r="Y28" s="53" t="s">
        <v>158</v>
      </c>
      <c r="Z28" s="54">
        <v>500</v>
      </c>
      <c r="AA28" s="25">
        <f>VLOOKUP(F28,'Zones '!$A$2:$F$2056,6,FALSE)</f>
        <v>1397</v>
      </c>
      <c r="AB28" s="25">
        <f>VLOOKUP(L28,'Zones '!$A$2:$F$2056,6,FALSE)</f>
        <v>1397</v>
      </c>
    </row>
    <row r="29" spans="2:28">
      <c r="B29" s="40">
        <v>0.73055555555555562</v>
      </c>
      <c r="C29" s="40" t="s">
        <v>184</v>
      </c>
      <c r="D29" s="41">
        <v>1</v>
      </c>
      <c r="E29" s="42">
        <v>4</v>
      </c>
      <c r="F29" s="42" t="s">
        <v>155</v>
      </c>
      <c r="G29" s="43" t="s">
        <v>156</v>
      </c>
      <c r="H29" s="42" t="s">
        <v>157</v>
      </c>
      <c r="I29" s="43">
        <v>1</v>
      </c>
      <c r="J29" s="43">
        <v>1</v>
      </c>
      <c r="K29" s="25" t="str">
        <f>VLOOKUP(J29,Key!$E$2:$F$9,2,FALSE)</f>
        <v>Home</v>
      </c>
      <c r="L29" s="42" t="s">
        <v>162</v>
      </c>
      <c r="M29" s="43" t="s">
        <v>156</v>
      </c>
      <c r="N29" s="42" t="s">
        <v>157</v>
      </c>
      <c r="O29" s="43">
        <v>2</v>
      </c>
      <c r="P29" s="43">
        <v>2</v>
      </c>
      <c r="Q29" s="25" t="str">
        <f>VLOOKUP(P29,Key!$E$2:$F$9,2,FALSE)</f>
        <v>Work</v>
      </c>
      <c r="R29" s="25" t="str">
        <f t="shared" si="0"/>
        <v>Home-Work</v>
      </c>
      <c r="S29" s="52">
        <v>4</v>
      </c>
      <c r="T29" s="52">
        <v>0.1</v>
      </c>
      <c r="U29" s="43">
        <v>3</v>
      </c>
      <c r="V29" s="43"/>
      <c r="W29" s="52"/>
      <c r="X29" s="52"/>
      <c r="Y29" s="53" t="s">
        <v>158</v>
      </c>
      <c r="Z29" s="54">
        <v>1000</v>
      </c>
      <c r="AA29" s="25">
        <f>VLOOKUP(F29,'Zones '!$A$2:$F$2056,6,FALSE)</f>
        <v>1397</v>
      </c>
      <c r="AB29" s="25">
        <f>VLOOKUP(L29,'Zones '!$A$2:$F$2056,6,FALSE)</f>
        <v>1397</v>
      </c>
    </row>
    <row r="30" spans="2:28">
      <c r="B30" s="40">
        <v>0.73541666666666661</v>
      </c>
      <c r="C30" s="40" t="s">
        <v>185</v>
      </c>
      <c r="D30" s="41">
        <v>1</v>
      </c>
      <c r="E30" s="42">
        <v>2</v>
      </c>
      <c r="F30" s="42" t="s">
        <v>186</v>
      </c>
      <c r="G30" s="43" t="s">
        <v>187</v>
      </c>
      <c r="H30" s="42" t="s">
        <v>157</v>
      </c>
      <c r="I30" s="43">
        <v>1</v>
      </c>
      <c r="J30" s="43">
        <v>1</v>
      </c>
      <c r="K30" s="25" t="str">
        <f>VLOOKUP(J30,Key!$E$2:$F$9,2,FALSE)</f>
        <v>Home</v>
      </c>
      <c r="L30" s="42" t="s">
        <v>188</v>
      </c>
      <c r="M30" s="43" t="s">
        <v>156</v>
      </c>
      <c r="N30" s="42" t="s">
        <v>157</v>
      </c>
      <c r="O30" s="43">
        <v>2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52">
        <v>10</v>
      </c>
      <c r="T30" s="52">
        <v>1</v>
      </c>
      <c r="U30" s="43">
        <v>2</v>
      </c>
      <c r="V30" s="43"/>
      <c r="W30" s="52"/>
      <c r="X30" s="52"/>
      <c r="Y30" s="53" t="s">
        <v>158</v>
      </c>
      <c r="Z30" s="54">
        <v>5000</v>
      </c>
      <c r="AA30" s="25">
        <f>VLOOKUP(F30,'Zones '!$A$2:$F$2056,6,FALSE)</f>
        <v>811</v>
      </c>
      <c r="AB30" s="25">
        <f>VLOOKUP(L30,'Zones '!$A$2:$F$2056,6,FALSE)</f>
        <v>811</v>
      </c>
    </row>
    <row r="31" spans="2:28">
      <c r="B31" s="40">
        <v>0.74305555555555547</v>
      </c>
      <c r="C31" s="40" t="s">
        <v>189</v>
      </c>
      <c r="D31" s="41">
        <v>1</v>
      </c>
      <c r="E31" s="42">
        <v>4</v>
      </c>
      <c r="F31" s="42" t="s">
        <v>155</v>
      </c>
      <c r="G31" s="43" t="s">
        <v>156</v>
      </c>
      <c r="H31" s="42" t="s">
        <v>157</v>
      </c>
      <c r="I31" s="43">
        <v>3</v>
      </c>
      <c r="J31" s="43">
        <v>2</v>
      </c>
      <c r="K31" s="25" t="str">
        <f>VLOOKUP(J31,Key!$E$2:$F$9,2,FALSE)</f>
        <v>Work</v>
      </c>
      <c r="L31" s="42" t="s">
        <v>150</v>
      </c>
      <c r="M31" s="43" t="s">
        <v>156</v>
      </c>
      <c r="N31" s="42" t="s">
        <v>157</v>
      </c>
      <c r="O31" s="43">
        <v>3</v>
      </c>
      <c r="P31" s="43">
        <v>2</v>
      </c>
      <c r="Q31" s="25" t="str">
        <f>VLOOKUP(P31,Key!$E$2:$F$9,2,FALSE)</f>
        <v>Work</v>
      </c>
      <c r="R31" s="25" t="str">
        <f t="shared" si="0"/>
        <v>Work-Work</v>
      </c>
      <c r="S31" s="52">
        <v>3</v>
      </c>
      <c r="T31" s="52">
        <v>0.1</v>
      </c>
      <c r="U31" s="43">
        <v>2</v>
      </c>
      <c r="V31" s="43"/>
      <c r="W31" s="52"/>
      <c r="X31" s="52"/>
      <c r="Y31" s="53" t="s">
        <v>158</v>
      </c>
      <c r="Z31" s="54">
        <v>1000</v>
      </c>
      <c r="AA31" s="25">
        <f>VLOOKUP(F31,'Zones '!$A$2:$F$2056,6,FALSE)</f>
        <v>1397</v>
      </c>
      <c r="AB31" s="25">
        <f>VLOOKUP(L31,'Zones '!$A$2:$F$2056,6,FALSE)</f>
        <v>1397</v>
      </c>
    </row>
    <row r="32" spans="2:28">
      <c r="B32" s="40">
        <v>0.73958333333333337</v>
      </c>
      <c r="C32" s="40" t="s">
        <v>190</v>
      </c>
      <c r="D32" s="41">
        <v>1</v>
      </c>
      <c r="E32" s="42">
        <v>2</v>
      </c>
      <c r="F32" s="42" t="s">
        <v>160</v>
      </c>
      <c r="G32" s="43" t="s">
        <v>156</v>
      </c>
      <c r="H32" s="42" t="s">
        <v>157</v>
      </c>
      <c r="I32" s="43">
        <v>1</v>
      </c>
      <c r="J32" s="43">
        <v>1</v>
      </c>
      <c r="K32" s="25" t="str">
        <f>VLOOKUP(J32,Key!$E$2:$F$9,2,FALSE)</f>
        <v>Home</v>
      </c>
      <c r="L32" s="42" t="s">
        <v>150</v>
      </c>
      <c r="M32" s="43" t="s">
        <v>156</v>
      </c>
      <c r="N32" s="42" t="s">
        <v>157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2">
        <v>4</v>
      </c>
      <c r="T32" s="52">
        <v>0.1</v>
      </c>
      <c r="U32" s="43">
        <v>2</v>
      </c>
      <c r="V32" s="43"/>
      <c r="W32" s="52"/>
      <c r="X32" s="52"/>
      <c r="Y32" s="53" t="s">
        <v>158</v>
      </c>
      <c r="Z32" s="54">
        <v>1000</v>
      </c>
      <c r="AA32" s="25">
        <f>VLOOKUP(F32,'Zones '!$A$2:$F$2056,6,FALSE)</f>
        <v>589</v>
      </c>
      <c r="AB32" s="25">
        <f>VLOOKUP(L32,'Zones '!$A$2:$F$2056,6,FALSE)</f>
        <v>1397</v>
      </c>
    </row>
    <row r="33" spans="2:28">
      <c r="B33" s="40">
        <v>0.74930555555555556</v>
      </c>
      <c r="C33" s="40" t="s">
        <v>191</v>
      </c>
      <c r="D33" s="41">
        <v>1</v>
      </c>
      <c r="E33" s="42">
        <v>1</v>
      </c>
      <c r="F33" s="42" t="s">
        <v>155</v>
      </c>
      <c r="G33" s="43" t="s">
        <v>156</v>
      </c>
      <c r="H33" s="42" t="s">
        <v>157</v>
      </c>
      <c r="I33" s="43">
        <v>1</v>
      </c>
      <c r="J33" s="43">
        <v>1</v>
      </c>
      <c r="K33" s="25" t="str">
        <f>VLOOKUP(J33,Key!$E$2:$F$9,2,FALSE)</f>
        <v>Home</v>
      </c>
      <c r="L33" s="42" t="s">
        <v>162</v>
      </c>
      <c r="M33" s="43" t="s">
        <v>156</v>
      </c>
      <c r="N33" s="42" t="s">
        <v>157</v>
      </c>
      <c r="O33" s="43">
        <v>3</v>
      </c>
      <c r="P33" s="43">
        <v>2</v>
      </c>
      <c r="Q33" s="25" t="str">
        <f>VLOOKUP(P33,Key!$E$2:$F$9,2,FALSE)</f>
        <v>Work</v>
      </c>
      <c r="R33" s="25" t="str">
        <f t="shared" si="0"/>
        <v>Home-Work</v>
      </c>
      <c r="S33" s="52"/>
      <c r="T33" s="52">
        <v>0.1</v>
      </c>
      <c r="U33" s="43">
        <v>2</v>
      </c>
      <c r="V33" s="43"/>
      <c r="W33" s="52"/>
      <c r="X33" s="52"/>
      <c r="Y33" s="53" t="s">
        <v>158</v>
      </c>
      <c r="Z33" s="54">
        <v>1000</v>
      </c>
      <c r="AA33" s="25">
        <f>VLOOKUP(F33,'Zones '!$A$2:$F$2056,6,FALSE)</f>
        <v>1397</v>
      </c>
      <c r="AB33" s="25">
        <f>VLOOKUP(L33,'Zones '!$A$2:$F$2056,6,FALSE)</f>
        <v>1397</v>
      </c>
    </row>
    <row r="34" spans="2:28">
      <c r="B34" s="40">
        <v>0.75</v>
      </c>
      <c r="C34" s="40" t="s">
        <v>192</v>
      </c>
      <c r="D34" s="41">
        <v>1</v>
      </c>
      <c r="E34" s="42">
        <v>2</v>
      </c>
      <c r="F34" s="42" t="s">
        <v>160</v>
      </c>
      <c r="G34" s="43" t="s">
        <v>156</v>
      </c>
      <c r="H34" s="42" t="s">
        <v>157</v>
      </c>
      <c r="I34" s="43">
        <v>2</v>
      </c>
      <c r="J34" s="43">
        <v>2</v>
      </c>
      <c r="K34" s="25" t="str">
        <f>VLOOKUP(J34,Key!$E$2:$F$9,2,FALSE)</f>
        <v>Work</v>
      </c>
      <c r="L34" s="42" t="s">
        <v>150</v>
      </c>
      <c r="M34" s="43" t="s">
        <v>156</v>
      </c>
      <c r="N34" s="42" t="s">
        <v>157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Work-Home</v>
      </c>
      <c r="S34" s="52">
        <v>4</v>
      </c>
      <c r="T34" s="52">
        <v>0.1</v>
      </c>
      <c r="U34" s="43">
        <v>2</v>
      </c>
      <c r="V34" s="43"/>
      <c r="W34" s="52"/>
      <c r="X34" s="52"/>
      <c r="Y34" s="53" t="s">
        <v>158</v>
      </c>
      <c r="Z34" s="54">
        <v>1000</v>
      </c>
      <c r="AA34" s="25">
        <f>VLOOKUP(F34,'Zones '!$A$2:$F$2056,6,FALSE)</f>
        <v>589</v>
      </c>
      <c r="AB34" s="25">
        <f>VLOOKUP(L34,'Zones '!$A$2:$F$2056,6,FALSE)</f>
        <v>1397</v>
      </c>
    </row>
    <row r="35" spans="2:28">
      <c r="B35" s="40">
        <v>0.75347222222222221</v>
      </c>
      <c r="C35" s="40" t="s">
        <v>193</v>
      </c>
      <c r="D35" s="41">
        <v>1</v>
      </c>
      <c r="E35" s="42">
        <v>1</v>
      </c>
      <c r="F35" s="42" t="s">
        <v>160</v>
      </c>
      <c r="G35" s="43" t="s">
        <v>156</v>
      </c>
      <c r="H35" s="42" t="s">
        <v>157</v>
      </c>
      <c r="I35" s="43">
        <v>1</v>
      </c>
      <c r="J35" s="43">
        <v>1</v>
      </c>
      <c r="K35" s="25" t="str">
        <f>VLOOKUP(J35,Key!$E$2:$F$9,2,FALSE)</f>
        <v>Home</v>
      </c>
      <c r="L35" s="42" t="s">
        <v>352</v>
      </c>
      <c r="M35" s="43" t="s">
        <v>156</v>
      </c>
      <c r="N35" s="42" t="s">
        <v>157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2">
        <v>8</v>
      </c>
      <c r="T35" s="52">
        <v>0.1</v>
      </c>
      <c r="U35" s="43">
        <v>2</v>
      </c>
      <c r="V35" s="43"/>
      <c r="W35" s="52"/>
      <c r="X35" s="52"/>
      <c r="Y35" s="53" t="s">
        <v>158</v>
      </c>
      <c r="Z35" s="54">
        <v>1000</v>
      </c>
      <c r="AA35" s="25">
        <f>VLOOKUP(F35,'Zones '!$A$2:$F$2056,6,FALSE)</f>
        <v>589</v>
      </c>
      <c r="AB35" s="25">
        <f>VLOOKUP(L35,'Zones '!$A$2:$F$2056,6,FALSE)</f>
        <v>1397</v>
      </c>
    </row>
    <row r="36" spans="2:28">
      <c r="B36" s="40">
        <v>0.75624999999999998</v>
      </c>
      <c r="C36" s="40" t="s">
        <v>195</v>
      </c>
      <c r="D36" s="41">
        <v>1</v>
      </c>
      <c r="E36" s="42">
        <v>4</v>
      </c>
      <c r="F36" s="42" t="s">
        <v>196</v>
      </c>
      <c r="G36" s="43" t="s">
        <v>156</v>
      </c>
      <c r="H36" s="42" t="s">
        <v>157</v>
      </c>
      <c r="I36" s="43">
        <v>1</v>
      </c>
      <c r="J36" s="43">
        <v>1</v>
      </c>
      <c r="K36" s="25" t="str">
        <f>VLOOKUP(J36,Key!$E$2:$F$9,2,FALSE)</f>
        <v>Home</v>
      </c>
      <c r="L36" s="42" t="s">
        <v>197</v>
      </c>
      <c r="M36" s="43" t="s">
        <v>197</v>
      </c>
      <c r="N36" s="42" t="s">
        <v>157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2">
        <v>164</v>
      </c>
      <c r="T36" s="52">
        <v>2.5</v>
      </c>
      <c r="U36" s="43">
        <v>2</v>
      </c>
      <c r="V36" s="43"/>
      <c r="W36" s="52"/>
      <c r="X36" s="52"/>
      <c r="Y36" s="53" t="s">
        <v>158</v>
      </c>
      <c r="Z36" s="54">
        <v>0</v>
      </c>
      <c r="AA36" s="25">
        <f>VLOOKUP(F36,'Zones '!$A$2:$F$2056,6,FALSE)</f>
        <v>1407</v>
      </c>
      <c r="AB36" s="25">
        <f>VLOOKUP(L36,'Zones '!$A$2:$F$2056,6,FALSE)</f>
        <v>937</v>
      </c>
    </row>
    <row r="37" spans="2:28">
      <c r="B37" s="40">
        <v>0.7583333333333333</v>
      </c>
      <c r="C37" s="40" t="s">
        <v>198</v>
      </c>
      <c r="D37" s="41">
        <v>1</v>
      </c>
      <c r="E37" s="42">
        <v>3</v>
      </c>
      <c r="F37" s="42" t="s">
        <v>155</v>
      </c>
      <c r="G37" s="43" t="s">
        <v>156</v>
      </c>
      <c r="H37" s="42" t="s">
        <v>157</v>
      </c>
      <c r="I37" s="43">
        <v>1</v>
      </c>
      <c r="J37" s="43">
        <v>1</v>
      </c>
      <c r="K37" s="25" t="str">
        <f>VLOOKUP(J37,Key!$E$2:$F$9,2,FALSE)</f>
        <v>Home</v>
      </c>
      <c r="L37" s="42" t="s">
        <v>352</v>
      </c>
      <c r="M37" s="43" t="s">
        <v>156</v>
      </c>
      <c r="N37" s="42" t="s">
        <v>157</v>
      </c>
      <c r="O37" s="43">
        <v>3</v>
      </c>
      <c r="P37" s="43">
        <v>2</v>
      </c>
      <c r="Q37" s="25" t="str">
        <f>VLOOKUP(P37,Key!$E$2:$F$9,2,FALSE)</f>
        <v>Work</v>
      </c>
      <c r="R37" s="25" t="str">
        <f t="shared" si="0"/>
        <v>Home-Work</v>
      </c>
      <c r="S37" s="52">
        <v>2</v>
      </c>
      <c r="T37" s="52">
        <v>0.5</v>
      </c>
      <c r="U37" s="43">
        <v>2</v>
      </c>
      <c r="V37" s="43"/>
      <c r="W37" s="52"/>
      <c r="X37" s="52"/>
      <c r="Y37" s="53" t="s">
        <v>158</v>
      </c>
      <c r="Z37" s="54">
        <v>1000</v>
      </c>
      <c r="AA37" s="25">
        <f>VLOOKUP(F37,'Zones '!$A$2:$F$2056,6,FALSE)</f>
        <v>1397</v>
      </c>
      <c r="AB37" s="25">
        <f>VLOOKUP(L37,'Zones '!$A$2:$F$2056,6,FALSE)</f>
        <v>1397</v>
      </c>
    </row>
    <row r="38" spans="2:28">
      <c r="B38" s="40">
        <v>0.76041666666666663</v>
      </c>
      <c r="C38" s="40" t="s">
        <v>199</v>
      </c>
      <c r="D38" s="41">
        <v>1</v>
      </c>
      <c r="E38" s="42">
        <v>2</v>
      </c>
      <c r="F38" s="42" t="s">
        <v>155</v>
      </c>
      <c r="G38" s="43" t="s">
        <v>156</v>
      </c>
      <c r="H38" s="42" t="s">
        <v>157</v>
      </c>
      <c r="I38" s="43">
        <v>1</v>
      </c>
      <c r="J38" s="43">
        <v>1</v>
      </c>
      <c r="K38" s="25" t="str">
        <f>VLOOKUP(J38,Key!$E$2:$F$9,2,FALSE)</f>
        <v>Home</v>
      </c>
      <c r="L38" s="42" t="s">
        <v>719</v>
      </c>
      <c r="M38" s="43" t="s">
        <v>156</v>
      </c>
      <c r="N38" s="42" t="s">
        <v>157</v>
      </c>
      <c r="O38" s="43">
        <v>2</v>
      </c>
      <c r="P38" s="43">
        <v>2</v>
      </c>
      <c r="Q38" s="25" t="str">
        <f>VLOOKUP(P38,Key!$E$2:$F$9,2,FALSE)</f>
        <v>Work</v>
      </c>
      <c r="R38" s="25" t="str">
        <f t="shared" ref="R38:R101" si="1">K38&amp;"-"&amp;Q38</f>
        <v>Home-Work</v>
      </c>
      <c r="S38" s="52">
        <v>10</v>
      </c>
      <c r="T38" s="52">
        <v>0.2</v>
      </c>
      <c r="U38" s="43">
        <v>2</v>
      </c>
      <c r="V38" s="43"/>
      <c r="W38" s="52"/>
      <c r="X38" s="52"/>
      <c r="Y38" s="53" t="s">
        <v>158</v>
      </c>
      <c r="Z38" s="54">
        <v>500</v>
      </c>
      <c r="AA38" s="25">
        <f>VLOOKUP(F38,'Zones '!$A$2:$F$2056,6,FALSE)</f>
        <v>1397</v>
      </c>
      <c r="AB38" s="25">
        <f>VLOOKUP(L38,'Zones '!$A$2:$F$2056,6,FALSE)</f>
        <v>1408</v>
      </c>
    </row>
    <row r="39" spans="2:28">
      <c r="B39" s="40">
        <v>0.76250000000000007</v>
      </c>
      <c r="C39" s="40" t="s">
        <v>200</v>
      </c>
      <c r="D39" s="41">
        <v>7</v>
      </c>
      <c r="E39" s="42">
        <v>2</v>
      </c>
      <c r="F39" s="42" t="s">
        <v>162</v>
      </c>
      <c r="G39" s="43" t="s">
        <v>156</v>
      </c>
      <c r="H39" s="42" t="s">
        <v>157</v>
      </c>
      <c r="I39" s="43">
        <v>3</v>
      </c>
      <c r="J39" s="43">
        <v>2</v>
      </c>
      <c r="K39" s="25" t="str">
        <f>VLOOKUP(J39,Key!$E$2:$F$9,2,FALSE)</f>
        <v>Work</v>
      </c>
      <c r="L39" s="42" t="s">
        <v>201</v>
      </c>
      <c r="M39" s="43" t="s">
        <v>201</v>
      </c>
      <c r="N39" s="42" t="s">
        <v>157</v>
      </c>
      <c r="O39" s="43">
        <v>3</v>
      </c>
      <c r="P39" s="43">
        <v>2</v>
      </c>
      <c r="Q39" s="25" t="str">
        <f>VLOOKUP(P39,Key!$E$2:$F$9,2,FALSE)</f>
        <v>Work</v>
      </c>
      <c r="R39" s="25" t="str">
        <f t="shared" si="1"/>
        <v>Work-Work</v>
      </c>
      <c r="S39" s="52">
        <v>200</v>
      </c>
      <c r="T39" s="52">
        <v>3</v>
      </c>
      <c r="U39" s="43">
        <v>2</v>
      </c>
      <c r="V39" s="43"/>
      <c r="W39" s="52"/>
      <c r="X39" s="52"/>
      <c r="Y39" s="53" t="s">
        <v>158</v>
      </c>
      <c r="Z39" s="54">
        <v>1000</v>
      </c>
      <c r="AA39" s="25">
        <f>VLOOKUP(F39,'Zones '!$A$2:$F$2056,6,FALSE)</f>
        <v>1397</v>
      </c>
      <c r="AB39" s="25">
        <f>VLOOKUP(L39,'Zones '!$A$2:$F$2056,6,FALSE)</f>
        <v>328</v>
      </c>
    </row>
    <row r="40" spans="2:28">
      <c r="B40" s="40">
        <v>0.76527777777777783</v>
      </c>
      <c r="C40" s="40" t="s">
        <v>202</v>
      </c>
      <c r="D40" s="41">
        <v>1</v>
      </c>
      <c r="E40" s="42">
        <v>1</v>
      </c>
      <c r="F40" s="42" t="s">
        <v>155</v>
      </c>
      <c r="G40" s="43" t="s">
        <v>156</v>
      </c>
      <c r="H40" s="42" t="s">
        <v>157</v>
      </c>
      <c r="I40" s="43">
        <v>1</v>
      </c>
      <c r="J40" s="43">
        <v>1</v>
      </c>
      <c r="K40" s="25" t="str">
        <f>VLOOKUP(J40,Key!$E$2:$F$9,2,FALSE)</f>
        <v>Home</v>
      </c>
      <c r="L40" s="42" t="s">
        <v>150</v>
      </c>
      <c r="M40" s="43" t="s">
        <v>156</v>
      </c>
      <c r="N40" s="42" t="s">
        <v>157</v>
      </c>
      <c r="O40" s="43">
        <v>2</v>
      </c>
      <c r="P40" s="43">
        <v>2</v>
      </c>
      <c r="Q40" s="25" t="str">
        <f>VLOOKUP(P40,Key!$E$2:$F$9,2,FALSE)</f>
        <v>Work</v>
      </c>
      <c r="R40" s="25" t="str">
        <f t="shared" si="1"/>
        <v>Home-Work</v>
      </c>
      <c r="S40" s="52">
        <v>3</v>
      </c>
      <c r="T40" s="52">
        <v>0.1</v>
      </c>
      <c r="U40" s="43">
        <v>2</v>
      </c>
      <c r="V40" s="43"/>
      <c r="W40" s="52"/>
      <c r="X40" s="52"/>
      <c r="Y40" s="53" t="s">
        <v>158</v>
      </c>
      <c r="Z40" s="54">
        <v>500</v>
      </c>
      <c r="AA40" s="25">
        <f>VLOOKUP(F40,'Zones '!$A$2:$F$2056,6,FALSE)</f>
        <v>1397</v>
      </c>
      <c r="AB40" s="25">
        <f>VLOOKUP(L40,'Zones '!$A$2:$F$2056,6,FALSE)</f>
        <v>1397</v>
      </c>
    </row>
    <row r="41" spans="2:28">
      <c r="B41" s="40">
        <v>0.76874999999999993</v>
      </c>
      <c r="C41" s="40" t="s">
        <v>203</v>
      </c>
      <c r="D41" s="41">
        <v>3</v>
      </c>
      <c r="E41" s="42">
        <v>1</v>
      </c>
      <c r="F41" s="42" t="s">
        <v>204</v>
      </c>
      <c r="G41" s="43" t="s">
        <v>156</v>
      </c>
      <c r="H41" s="42" t="s">
        <v>157</v>
      </c>
      <c r="I41" s="43">
        <v>2</v>
      </c>
      <c r="J41" s="43">
        <v>2</v>
      </c>
      <c r="K41" s="25" t="str">
        <f>VLOOKUP(J41,Key!$E$2:$F$9,2,FALSE)</f>
        <v>Work</v>
      </c>
      <c r="L41" s="42" t="s">
        <v>166</v>
      </c>
      <c r="M41" s="43" t="s">
        <v>156</v>
      </c>
      <c r="N41" s="42" t="s">
        <v>157</v>
      </c>
      <c r="O41" s="43">
        <v>1</v>
      </c>
      <c r="P41" s="43">
        <v>1</v>
      </c>
      <c r="Q41" s="25" t="str">
        <f>VLOOKUP(P41,Key!$E$2:$F$9,2,FALSE)</f>
        <v>Home</v>
      </c>
      <c r="R41" s="25" t="str">
        <f t="shared" si="1"/>
        <v>Work-Home</v>
      </c>
      <c r="S41" s="52">
        <v>14</v>
      </c>
      <c r="T41" s="52">
        <v>1</v>
      </c>
      <c r="U41" s="43">
        <v>6</v>
      </c>
      <c r="V41" s="43"/>
      <c r="W41" s="52"/>
      <c r="X41" s="52"/>
      <c r="Y41" s="53" t="s">
        <v>158</v>
      </c>
      <c r="Z41" s="54">
        <v>1000</v>
      </c>
      <c r="AA41" s="25">
        <f>VLOOKUP(F41,'Zones '!$A$2:$F$2056,6,FALSE)</f>
        <v>1390</v>
      </c>
      <c r="AB41" s="25">
        <f>VLOOKUP(L41,'Zones '!$A$2:$F$2056,6,FALSE)</f>
        <v>1397</v>
      </c>
    </row>
    <row r="42" spans="2:28">
      <c r="B42" s="40">
        <v>0.77083333333333337</v>
      </c>
      <c r="C42" s="40" t="s">
        <v>205</v>
      </c>
      <c r="D42" s="41">
        <v>1</v>
      </c>
      <c r="E42" s="42">
        <v>3</v>
      </c>
      <c r="F42" s="42" t="s">
        <v>160</v>
      </c>
      <c r="G42" s="43" t="s">
        <v>156</v>
      </c>
      <c r="H42" s="42" t="s">
        <v>157</v>
      </c>
      <c r="I42" s="43">
        <v>1</v>
      </c>
      <c r="J42" s="43">
        <v>1</v>
      </c>
      <c r="K42" s="25" t="str">
        <f>VLOOKUP(J42,Key!$E$2:$F$9,2,FALSE)</f>
        <v>Home</v>
      </c>
      <c r="L42" s="42" t="s">
        <v>150</v>
      </c>
      <c r="M42" s="43" t="s">
        <v>156</v>
      </c>
      <c r="N42" s="42" t="s">
        <v>157</v>
      </c>
      <c r="O42" s="43">
        <v>2</v>
      </c>
      <c r="P42" s="43">
        <v>2</v>
      </c>
      <c r="Q42" s="25" t="str">
        <f>VLOOKUP(P42,Key!$E$2:$F$9,2,FALSE)</f>
        <v>Work</v>
      </c>
      <c r="R42" s="25" t="str">
        <f t="shared" si="1"/>
        <v>Home-Work</v>
      </c>
      <c r="S42" s="52">
        <v>5</v>
      </c>
      <c r="T42" s="52">
        <v>0.3</v>
      </c>
      <c r="U42" s="43">
        <v>2</v>
      </c>
      <c r="V42" s="43"/>
      <c r="W42" s="52"/>
      <c r="X42" s="52"/>
      <c r="Y42" s="53" t="s">
        <v>158</v>
      </c>
      <c r="Z42" s="54">
        <v>0</v>
      </c>
      <c r="AA42" s="25">
        <f>VLOOKUP(F42,'Zones '!$A$2:$F$2056,6,FALSE)</f>
        <v>589</v>
      </c>
      <c r="AB42" s="25">
        <f>VLOOKUP(L42,'Zones '!$A$2:$F$2056,6,FALSE)</f>
        <v>1397</v>
      </c>
    </row>
    <row r="43" spans="2:28">
      <c r="B43" s="40">
        <v>0.77430555555555547</v>
      </c>
      <c r="C43" s="40" t="s">
        <v>206</v>
      </c>
      <c r="D43" s="41">
        <v>1</v>
      </c>
      <c r="E43" s="42">
        <v>1</v>
      </c>
      <c r="F43" s="42" t="s">
        <v>207</v>
      </c>
      <c r="G43" s="43" t="s">
        <v>156</v>
      </c>
      <c r="H43" s="42" t="s">
        <v>157</v>
      </c>
      <c r="I43" s="43">
        <v>1</v>
      </c>
      <c r="J43" s="43">
        <v>1</v>
      </c>
      <c r="K43" s="25" t="str">
        <f>VLOOKUP(J43,Key!$E$2:$F$9,2,FALSE)</f>
        <v>Home</v>
      </c>
      <c r="L43" s="42" t="s">
        <v>197</v>
      </c>
      <c r="M43" s="43" t="s">
        <v>197</v>
      </c>
      <c r="N43" s="42" t="s">
        <v>157</v>
      </c>
      <c r="O43" s="43">
        <v>2</v>
      </c>
      <c r="P43" s="43">
        <v>2</v>
      </c>
      <c r="Q43" s="25" t="str">
        <f>VLOOKUP(P43,Key!$E$2:$F$9,2,FALSE)</f>
        <v>Work</v>
      </c>
      <c r="R43" s="25" t="str">
        <f t="shared" si="1"/>
        <v>Home-Work</v>
      </c>
      <c r="S43" s="52">
        <v>110</v>
      </c>
      <c r="T43" s="52">
        <v>2.5</v>
      </c>
      <c r="U43" s="43">
        <v>2</v>
      </c>
      <c r="V43" s="43"/>
      <c r="W43" s="52"/>
      <c r="X43" s="52"/>
      <c r="Y43" s="53" t="s">
        <v>158</v>
      </c>
      <c r="Z43" s="54">
        <v>500</v>
      </c>
      <c r="AA43" s="25">
        <f>VLOOKUP(F43,'Zones '!$A$2:$F$2056,6,FALSE)</f>
        <v>1397</v>
      </c>
      <c r="AB43" s="25">
        <f>VLOOKUP(L43,'Zones '!$A$2:$F$2056,6,FALSE)</f>
        <v>937</v>
      </c>
    </row>
    <row r="44" spans="2:28">
      <c r="B44" s="40">
        <v>0.77638888888888891</v>
      </c>
      <c r="C44" s="40" t="s">
        <v>208</v>
      </c>
      <c r="D44" s="41">
        <v>1</v>
      </c>
      <c r="E44" s="42">
        <v>4</v>
      </c>
      <c r="F44" s="42" t="s">
        <v>155</v>
      </c>
      <c r="G44" s="43" t="s">
        <v>156</v>
      </c>
      <c r="H44" s="42" t="s">
        <v>157</v>
      </c>
      <c r="I44" s="43">
        <v>1</v>
      </c>
      <c r="J44" s="43">
        <v>1</v>
      </c>
      <c r="K44" s="25" t="str">
        <f>VLOOKUP(J44,Key!$E$2:$F$9,2,FALSE)</f>
        <v>Home</v>
      </c>
      <c r="L44" s="42" t="s">
        <v>156</v>
      </c>
      <c r="M44" s="43" t="s">
        <v>156</v>
      </c>
      <c r="N44" s="42" t="s">
        <v>157</v>
      </c>
      <c r="O44" s="43">
        <v>2</v>
      </c>
      <c r="P44" s="43">
        <v>2</v>
      </c>
      <c r="Q44" s="25" t="str">
        <f>VLOOKUP(P44,Key!$E$2:$F$9,2,FALSE)</f>
        <v>Work</v>
      </c>
      <c r="R44" s="25" t="str">
        <f t="shared" si="1"/>
        <v>Home-Work</v>
      </c>
      <c r="S44" s="52">
        <v>2</v>
      </c>
      <c r="T44" s="52">
        <v>0.2</v>
      </c>
      <c r="U44" s="43">
        <v>2</v>
      </c>
      <c r="V44" s="43"/>
      <c r="W44" s="52"/>
      <c r="X44" s="52"/>
      <c r="Y44" s="53" t="s">
        <v>158</v>
      </c>
      <c r="Z44" s="54">
        <v>10000</v>
      </c>
      <c r="AA44" s="25">
        <f>VLOOKUP(F44,'Zones '!$A$2:$F$2056,6,FALSE)</f>
        <v>1397</v>
      </c>
      <c r="AB44" s="25">
        <f>VLOOKUP(L44,'Zones '!$A$2:$F$2056,6,FALSE)</f>
        <v>1408</v>
      </c>
    </row>
    <row r="45" spans="2:28">
      <c r="B45" s="40">
        <v>0.77777777777777779</v>
      </c>
      <c r="C45" s="40" t="s">
        <v>209</v>
      </c>
      <c r="D45" s="41">
        <v>1</v>
      </c>
      <c r="E45" s="42">
        <v>1</v>
      </c>
      <c r="F45" s="42" t="s">
        <v>155</v>
      </c>
      <c r="G45" s="43" t="s">
        <v>156</v>
      </c>
      <c r="H45" s="42" t="s">
        <v>157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150</v>
      </c>
      <c r="M45" s="43" t="s">
        <v>156</v>
      </c>
      <c r="N45" s="42" t="s">
        <v>157</v>
      </c>
      <c r="O45" s="43">
        <v>2</v>
      </c>
      <c r="P45" s="43">
        <v>2</v>
      </c>
      <c r="Q45" s="25" t="str">
        <f>VLOOKUP(P45,Key!$E$2:$F$9,2,FALSE)</f>
        <v>Work</v>
      </c>
      <c r="R45" s="25" t="str">
        <f t="shared" si="1"/>
        <v>Home-Work</v>
      </c>
      <c r="S45" s="52">
        <v>0.5</v>
      </c>
      <c r="T45" s="52">
        <v>0.1</v>
      </c>
      <c r="U45" s="43">
        <v>2</v>
      </c>
      <c r="V45" s="43"/>
      <c r="W45" s="52"/>
      <c r="X45" s="52"/>
      <c r="Y45" s="53" t="s">
        <v>158</v>
      </c>
      <c r="Z45" s="54">
        <v>2000</v>
      </c>
      <c r="AA45" s="25">
        <f>VLOOKUP(F45,'Zones '!$A$2:$F$2056,6,FALSE)</f>
        <v>1397</v>
      </c>
      <c r="AB45" s="25">
        <f>VLOOKUP(L45,'Zones '!$A$2:$F$2056,6,FALSE)</f>
        <v>1397</v>
      </c>
    </row>
    <row r="46" spans="2:28">
      <c r="B46" s="40">
        <v>0.77986111111111101</v>
      </c>
      <c r="C46" s="40" t="s">
        <v>210</v>
      </c>
      <c r="D46" s="41">
        <v>7</v>
      </c>
      <c r="E46" s="42">
        <v>5</v>
      </c>
      <c r="F46" s="42" t="s">
        <v>155</v>
      </c>
      <c r="G46" s="43" t="s">
        <v>156</v>
      </c>
      <c r="H46" s="42" t="s">
        <v>157</v>
      </c>
      <c r="I46" s="43">
        <v>3</v>
      </c>
      <c r="J46" s="43">
        <v>2</v>
      </c>
      <c r="K46" s="25" t="str">
        <f>VLOOKUP(J46,Key!$E$2:$F$9,2,FALSE)</f>
        <v>Work</v>
      </c>
      <c r="L46" s="42" t="s">
        <v>352</v>
      </c>
      <c r="M46" s="43" t="s">
        <v>156</v>
      </c>
      <c r="N46" s="42" t="s">
        <v>157</v>
      </c>
      <c r="O46" s="43">
        <v>3</v>
      </c>
      <c r="P46" s="43">
        <v>2</v>
      </c>
      <c r="Q46" s="25" t="str">
        <f>VLOOKUP(P46,Key!$E$2:$F$9,2,FALSE)</f>
        <v>Work</v>
      </c>
      <c r="R46" s="25" t="str">
        <f t="shared" si="1"/>
        <v>Work-Work</v>
      </c>
      <c r="S46" s="52">
        <v>5</v>
      </c>
      <c r="T46" s="52">
        <v>0.3</v>
      </c>
      <c r="U46" s="43"/>
      <c r="V46" s="43"/>
      <c r="W46" s="52"/>
      <c r="X46" s="52"/>
      <c r="Y46" s="53" t="s">
        <v>158</v>
      </c>
      <c r="Z46" s="54">
        <v>500</v>
      </c>
      <c r="AA46" s="25">
        <f>VLOOKUP(F46,'Zones '!$A$2:$F$2056,6,FALSE)</f>
        <v>1397</v>
      </c>
      <c r="AB46" s="25">
        <f>VLOOKUP(L46,'Zones '!$A$2:$F$2056,6,FALSE)</f>
        <v>1397</v>
      </c>
    </row>
    <row r="47" spans="2:28">
      <c r="B47" s="40">
        <v>0.78263888888888899</v>
      </c>
      <c r="C47" s="40" t="s">
        <v>211</v>
      </c>
      <c r="D47" s="41">
        <v>1</v>
      </c>
      <c r="E47" s="42">
        <v>3</v>
      </c>
      <c r="F47" s="42" t="s">
        <v>155</v>
      </c>
      <c r="G47" s="43" t="s">
        <v>156</v>
      </c>
      <c r="H47" s="42" t="s">
        <v>157</v>
      </c>
      <c r="I47" s="43">
        <v>2</v>
      </c>
      <c r="J47" s="43">
        <v>2</v>
      </c>
      <c r="K47" s="25" t="str">
        <f>VLOOKUP(J47,Key!$E$2:$F$9,2,FALSE)</f>
        <v>Work</v>
      </c>
      <c r="L47" s="42" t="s">
        <v>150</v>
      </c>
      <c r="M47" s="43" t="s">
        <v>156</v>
      </c>
      <c r="N47" s="42" t="s">
        <v>157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1"/>
        <v>Work-Home</v>
      </c>
      <c r="S47" s="52">
        <v>1</v>
      </c>
      <c r="T47" s="52">
        <v>0.1</v>
      </c>
      <c r="U47" s="43">
        <v>2</v>
      </c>
      <c r="V47" s="43"/>
      <c r="W47" s="52"/>
      <c r="X47" s="52"/>
      <c r="Y47" s="53" t="s">
        <v>158</v>
      </c>
      <c r="Z47" s="54">
        <v>1000</v>
      </c>
      <c r="AA47" s="25">
        <f>VLOOKUP(F47,'Zones '!$A$2:$F$2056,6,FALSE)</f>
        <v>1397</v>
      </c>
      <c r="AB47" s="25">
        <f>VLOOKUP(L47,'Zones '!$A$2:$F$2056,6,FALSE)</f>
        <v>1397</v>
      </c>
    </row>
    <row r="48" spans="2:28">
      <c r="B48" s="40">
        <v>0.78402777777777777</v>
      </c>
      <c r="C48" s="40" t="s">
        <v>212</v>
      </c>
      <c r="D48" s="41">
        <v>7</v>
      </c>
      <c r="E48" s="42">
        <v>3</v>
      </c>
      <c r="F48" s="42" t="s">
        <v>155</v>
      </c>
      <c r="G48" s="43" t="s">
        <v>156</v>
      </c>
      <c r="H48" s="42" t="s">
        <v>157</v>
      </c>
      <c r="I48" s="43">
        <v>3</v>
      </c>
      <c r="J48" s="43">
        <v>2</v>
      </c>
      <c r="K48" s="25" t="str">
        <f>VLOOKUP(J48,Key!$E$2:$F$9,2,FALSE)</f>
        <v>Work</v>
      </c>
      <c r="L48" s="42" t="s">
        <v>162</v>
      </c>
      <c r="M48" s="43" t="s">
        <v>156</v>
      </c>
      <c r="N48" s="42" t="s">
        <v>157</v>
      </c>
      <c r="O48" s="43">
        <v>3</v>
      </c>
      <c r="P48" s="43">
        <v>2</v>
      </c>
      <c r="Q48" s="25" t="str">
        <f>VLOOKUP(P48,Key!$E$2:$F$9,2,FALSE)</f>
        <v>Work</v>
      </c>
      <c r="R48" s="25" t="str">
        <f t="shared" si="1"/>
        <v>Work-Work</v>
      </c>
      <c r="S48" s="52">
        <v>1.5</v>
      </c>
      <c r="T48" s="52">
        <v>0.1</v>
      </c>
      <c r="U48" s="43">
        <v>2</v>
      </c>
      <c r="V48" s="43"/>
      <c r="W48" s="52"/>
      <c r="X48" s="52"/>
      <c r="Y48" s="53" t="s">
        <v>158</v>
      </c>
      <c r="Z48" s="54">
        <v>500</v>
      </c>
      <c r="AA48" s="25">
        <f>VLOOKUP(F48,'Zones '!$A$2:$F$2056,6,FALSE)</f>
        <v>1397</v>
      </c>
      <c r="AB48" s="25">
        <f>VLOOKUP(L48,'Zones '!$A$2:$F$2056,6,FALSE)</f>
        <v>1397</v>
      </c>
    </row>
    <row r="49" spans="2:28">
      <c r="B49" s="40">
        <v>0.78611111111111109</v>
      </c>
      <c r="C49" s="40" t="s">
        <v>213</v>
      </c>
      <c r="D49" s="41">
        <v>1</v>
      </c>
      <c r="E49" s="42">
        <v>1</v>
      </c>
      <c r="F49" s="42" t="s">
        <v>160</v>
      </c>
      <c r="G49" s="43" t="s">
        <v>156</v>
      </c>
      <c r="H49" s="42" t="s">
        <v>157</v>
      </c>
      <c r="I49" s="43">
        <v>1</v>
      </c>
      <c r="J49" s="43">
        <v>1</v>
      </c>
      <c r="K49" s="25" t="str">
        <f>VLOOKUP(J49,Key!$E$2:$F$9,2,FALSE)</f>
        <v>Home</v>
      </c>
      <c r="L49" s="42" t="s">
        <v>2933</v>
      </c>
      <c r="M49" s="43" t="s">
        <v>156</v>
      </c>
      <c r="N49" s="42" t="s">
        <v>157</v>
      </c>
      <c r="O49" s="43">
        <v>2</v>
      </c>
      <c r="P49" s="43">
        <v>2</v>
      </c>
      <c r="Q49" s="25" t="str">
        <f>VLOOKUP(P49,Key!$E$2:$F$9,2,FALSE)</f>
        <v>Work</v>
      </c>
      <c r="R49" s="25" t="str">
        <f t="shared" si="1"/>
        <v>Home-Work</v>
      </c>
      <c r="S49" s="52">
        <v>2</v>
      </c>
      <c r="T49" s="52">
        <v>0.5</v>
      </c>
      <c r="U49" s="43">
        <v>2</v>
      </c>
      <c r="V49" s="43"/>
      <c r="W49" s="52"/>
      <c r="X49" s="52"/>
      <c r="Y49" s="53" t="s">
        <v>158</v>
      </c>
      <c r="Z49" s="54">
        <v>1000</v>
      </c>
      <c r="AA49" s="25">
        <f>VLOOKUP(F49,'Zones '!$A$2:$F$2056,6,FALSE)</f>
        <v>589</v>
      </c>
      <c r="AB49" s="25">
        <f>VLOOKUP(L49,'Zones '!$A$2:$F$2056,6,FALSE)</f>
        <v>1409</v>
      </c>
    </row>
    <row r="50" spans="2:28">
      <c r="B50" s="40">
        <v>0.7909722222222223</v>
      </c>
      <c r="C50" s="40" t="s">
        <v>214</v>
      </c>
      <c r="D50" s="41">
        <v>9</v>
      </c>
      <c r="E50" s="42">
        <v>2</v>
      </c>
      <c r="F50" s="42" t="s">
        <v>215</v>
      </c>
      <c r="G50" s="43" t="s">
        <v>156</v>
      </c>
      <c r="H50" s="42" t="s">
        <v>157</v>
      </c>
      <c r="I50" s="43">
        <v>2</v>
      </c>
      <c r="J50" s="43">
        <v>2</v>
      </c>
      <c r="K50" s="25" t="str">
        <f>VLOOKUP(J50,Key!$E$2:$F$9,2,FALSE)</f>
        <v>Work</v>
      </c>
      <c r="L50" s="42" t="s">
        <v>216</v>
      </c>
      <c r="M50" s="43" t="s">
        <v>156</v>
      </c>
      <c r="N50" s="42" t="s">
        <v>157</v>
      </c>
      <c r="O50" s="43">
        <v>3</v>
      </c>
      <c r="P50" s="43">
        <v>2</v>
      </c>
      <c r="Q50" s="25" t="str">
        <f>VLOOKUP(P50,Key!$E$2:$F$9,2,FALSE)</f>
        <v>Work</v>
      </c>
      <c r="R50" s="25" t="str">
        <f t="shared" si="1"/>
        <v>Work-Work</v>
      </c>
      <c r="S50" s="52">
        <v>15</v>
      </c>
      <c r="T50" s="52">
        <v>1.5</v>
      </c>
      <c r="U50" s="43">
        <v>2</v>
      </c>
      <c r="V50" s="43"/>
      <c r="W50" s="52"/>
      <c r="X50" s="52"/>
      <c r="Y50" s="53" t="s">
        <v>158</v>
      </c>
      <c r="Z50" s="54">
        <v>1000</v>
      </c>
      <c r="AA50" s="25">
        <f>VLOOKUP(F50,'Zones '!$A$2:$F$2056,6,FALSE)</f>
        <v>1388</v>
      </c>
      <c r="AB50" s="25">
        <f>VLOOKUP(L50,'Zones '!$A$2:$F$2056,6,FALSE)</f>
        <v>1397</v>
      </c>
    </row>
    <row r="51" spans="2:28">
      <c r="B51" s="40">
        <v>0.66666666666666663</v>
      </c>
      <c r="C51" s="40" t="s">
        <v>217</v>
      </c>
      <c r="D51" s="41">
        <v>1</v>
      </c>
      <c r="E51" s="42">
        <v>2</v>
      </c>
      <c r="F51" s="42" t="s">
        <v>160</v>
      </c>
      <c r="G51" s="43" t="s">
        <v>156</v>
      </c>
      <c r="H51" s="42" t="s">
        <v>157</v>
      </c>
      <c r="I51" s="43">
        <v>2</v>
      </c>
      <c r="J51" s="43">
        <v>2</v>
      </c>
      <c r="K51" s="25" t="str">
        <f>VLOOKUP(J51,Key!$E$2:$F$9,2,FALSE)</f>
        <v>Work</v>
      </c>
      <c r="L51" s="42" t="s">
        <v>352</v>
      </c>
      <c r="M51" s="43" t="s">
        <v>156</v>
      </c>
      <c r="N51" s="42" t="s">
        <v>157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Work-Home</v>
      </c>
      <c r="S51" s="52">
        <v>8</v>
      </c>
      <c r="T51" s="52">
        <v>1</v>
      </c>
      <c r="U51" s="43">
        <v>2</v>
      </c>
      <c r="V51" s="43"/>
      <c r="W51" s="52"/>
      <c r="X51" s="52"/>
      <c r="Y51" s="53" t="s">
        <v>158</v>
      </c>
      <c r="Z51" s="54">
        <v>1000</v>
      </c>
      <c r="AA51" s="25">
        <f>VLOOKUP(F51,'Zones '!$A$2:$F$2056,6,FALSE)</f>
        <v>589</v>
      </c>
      <c r="AB51" s="25">
        <f>VLOOKUP(L51,'Zones '!$A$2:$F$2056,6,FALSE)</f>
        <v>1397</v>
      </c>
    </row>
    <row r="52" spans="2:28">
      <c r="B52" s="40">
        <v>0.67013888888888884</v>
      </c>
      <c r="C52" s="40" t="s">
        <v>218</v>
      </c>
      <c r="D52" s="41">
        <v>1</v>
      </c>
      <c r="E52" s="42">
        <v>2</v>
      </c>
      <c r="F52" s="42" t="s">
        <v>155</v>
      </c>
      <c r="G52" s="43" t="s">
        <v>156</v>
      </c>
      <c r="H52" s="42" t="s">
        <v>157</v>
      </c>
      <c r="I52" s="43">
        <v>2</v>
      </c>
      <c r="J52" s="43">
        <v>2</v>
      </c>
      <c r="K52" s="25" t="str">
        <f>VLOOKUP(J52,Key!$E$2:$F$9,2,FALSE)</f>
        <v>Work</v>
      </c>
      <c r="L52" s="42" t="s">
        <v>164</v>
      </c>
      <c r="M52" s="43" t="s">
        <v>156</v>
      </c>
      <c r="N52" s="42" t="s">
        <v>157</v>
      </c>
      <c r="O52" s="43">
        <v>1</v>
      </c>
      <c r="P52" s="43">
        <v>1</v>
      </c>
      <c r="Q52" s="25" t="str">
        <f>VLOOKUP(P52,Key!$E$2:$F$9,2,FALSE)</f>
        <v>Home</v>
      </c>
      <c r="R52" s="25" t="str">
        <f t="shared" si="1"/>
        <v>Work-Home</v>
      </c>
      <c r="S52" s="52">
        <v>5</v>
      </c>
      <c r="T52" s="52">
        <v>1</v>
      </c>
      <c r="U52" s="43">
        <v>2</v>
      </c>
      <c r="V52" s="43"/>
      <c r="W52" s="52"/>
      <c r="X52" s="52"/>
      <c r="Y52" s="53" t="s">
        <v>158</v>
      </c>
      <c r="Z52" s="54">
        <v>2000</v>
      </c>
      <c r="AA52" s="25">
        <f>VLOOKUP(F52,'Zones '!$A$2:$F$2056,6,FALSE)</f>
        <v>1397</v>
      </c>
      <c r="AB52" s="25">
        <f>VLOOKUP(L52,'Zones '!$A$2:$F$2056,6,FALSE)</f>
        <v>1397</v>
      </c>
    </row>
    <row r="53" spans="2:28">
      <c r="B53" s="40">
        <v>0.3125</v>
      </c>
      <c r="C53" s="40" t="s">
        <v>219</v>
      </c>
      <c r="D53" s="41">
        <v>1</v>
      </c>
      <c r="E53" s="42">
        <v>1</v>
      </c>
      <c r="F53" s="42" t="s">
        <v>220</v>
      </c>
      <c r="G53" s="43" t="s">
        <v>156</v>
      </c>
      <c r="H53" s="42" t="s">
        <v>157</v>
      </c>
      <c r="I53" s="43">
        <v>1</v>
      </c>
      <c r="J53" s="43">
        <v>1</v>
      </c>
      <c r="K53" s="25" t="str">
        <f>VLOOKUP(J53,Key!$E$2:$F$9,2,FALSE)</f>
        <v>Home</v>
      </c>
      <c r="L53" s="42" t="s">
        <v>150</v>
      </c>
      <c r="M53" s="43" t="s">
        <v>156</v>
      </c>
      <c r="N53" s="42" t="s">
        <v>157</v>
      </c>
      <c r="O53" s="43">
        <v>2</v>
      </c>
      <c r="P53" s="43">
        <v>2</v>
      </c>
      <c r="Q53" s="25" t="str">
        <f>VLOOKUP(P53,Key!$E$2:$F$9,2,FALSE)</f>
        <v>Work</v>
      </c>
      <c r="R53" s="25" t="str">
        <f t="shared" si="1"/>
        <v>Home-Work</v>
      </c>
      <c r="S53" s="52">
        <v>5</v>
      </c>
      <c r="T53" s="52">
        <v>0.3</v>
      </c>
      <c r="U53" s="43">
        <v>6</v>
      </c>
      <c r="V53" s="43"/>
      <c r="W53" s="52"/>
      <c r="X53" s="52"/>
      <c r="Y53" s="53" t="s">
        <v>158</v>
      </c>
      <c r="Z53" s="54">
        <v>3000</v>
      </c>
      <c r="AA53" s="25">
        <f>VLOOKUP(F53,'Zones '!$A$2:$F$2056,6,FALSE)</f>
        <v>1390</v>
      </c>
      <c r="AB53" s="25">
        <f>VLOOKUP(L53,'Zones '!$A$2:$F$2056,6,FALSE)</f>
        <v>1397</v>
      </c>
    </row>
    <row r="54" spans="2:28">
      <c r="B54" s="40">
        <v>0.32291666666666669</v>
      </c>
      <c r="C54" s="40" t="s">
        <v>221</v>
      </c>
      <c r="D54" s="41">
        <v>9</v>
      </c>
      <c r="E54" s="42">
        <v>2</v>
      </c>
      <c r="F54" s="42" t="s">
        <v>160</v>
      </c>
      <c r="G54" s="43" t="s">
        <v>156</v>
      </c>
      <c r="H54" s="42" t="s">
        <v>157</v>
      </c>
      <c r="I54" s="43">
        <v>1</v>
      </c>
      <c r="J54" s="43">
        <v>1</v>
      </c>
      <c r="K54" s="25" t="str">
        <f>VLOOKUP(J54,Key!$E$2:$F$9,2,FALSE)</f>
        <v>Home</v>
      </c>
      <c r="L54" s="42" t="s">
        <v>222</v>
      </c>
      <c r="M54" s="43" t="s">
        <v>156</v>
      </c>
      <c r="N54" s="42" t="s">
        <v>157</v>
      </c>
      <c r="O54" s="43">
        <v>2</v>
      </c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52">
        <v>15</v>
      </c>
      <c r="T54" s="52">
        <v>0.3</v>
      </c>
      <c r="U54" s="43">
        <v>2</v>
      </c>
      <c r="V54" s="43"/>
      <c r="W54" s="52"/>
      <c r="X54" s="52"/>
      <c r="Y54" s="53" t="s">
        <v>158</v>
      </c>
      <c r="Z54" s="54">
        <v>2000</v>
      </c>
      <c r="AA54" s="25">
        <f>VLOOKUP(F54,'Zones '!$A$2:$F$2056,6,FALSE)</f>
        <v>589</v>
      </c>
      <c r="AB54" s="25">
        <f>VLOOKUP(L54,'Zones '!$A$2:$F$2056,6,FALSE)</f>
        <v>1390</v>
      </c>
    </row>
    <row r="55" spans="2:28">
      <c r="B55" s="40">
        <v>0.3298611111111111</v>
      </c>
      <c r="C55" s="40" t="s">
        <v>223</v>
      </c>
      <c r="D55" s="41">
        <v>1</v>
      </c>
      <c r="E55" s="42">
        <v>2</v>
      </c>
      <c r="F55" s="42" t="s">
        <v>196</v>
      </c>
      <c r="G55" s="43" t="s">
        <v>156</v>
      </c>
      <c r="H55" s="42" t="s">
        <v>157</v>
      </c>
      <c r="I55" s="43">
        <v>1</v>
      </c>
      <c r="J55" s="43">
        <v>1</v>
      </c>
      <c r="K55" s="25" t="str">
        <f>VLOOKUP(J55,Key!$E$2:$F$9,2,FALSE)</f>
        <v>Home</v>
      </c>
      <c r="L55" s="42" t="s">
        <v>224</v>
      </c>
      <c r="M55" s="43" t="s">
        <v>224</v>
      </c>
      <c r="N55" s="42" t="s">
        <v>157</v>
      </c>
      <c r="O55" s="43">
        <v>3</v>
      </c>
      <c r="P55" s="43">
        <v>2</v>
      </c>
      <c r="Q55" s="25" t="str">
        <f>VLOOKUP(P55,Key!$E$2:$F$9,2,FALSE)</f>
        <v>Work</v>
      </c>
      <c r="R55" s="25" t="str">
        <f t="shared" si="1"/>
        <v>Home-Work</v>
      </c>
      <c r="S55" s="52">
        <v>80</v>
      </c>
      <c r="T55" s="52">
        <v>2</v>
      </c>
      <c r="U55" s="43">
        <v>6</v>
      </c>
      <c r="V55" s="43"/>
      <c r="W55" s="52"/>
      <c r="X55" s="52"/>
      <c r="Y55" s="53" t="s">
        <v>158</v>
      </c>
      <c r="Z55" s="54">
        <v>2000</v>
      </c>
      <c r="AA55" s="25">
        <f>VLOOKUP(F55,'Zones '!$A$2:$F$2056,6,FALSE)</f>
        <v>1407</v>
      </c>
      <c r="AB55" s="25">
        <f>VLOOKUP(L55,'Zones '!$A$2:$F$2056,6,FALSE)</f>
        <v>1037</v>
      </c>
    </row>
    <row r="56" spans="2:28">
      <c r="B56" s="40">
        <v>0.33333333333333331</v>
      </c>
      <c r="C56" s="40" t="s">
        <v>225</v>
      </c>
      <c r="D56" s="41">
        <v>1</v>
      </c>
      <c r="E56" s="42">
        <v>2</v>
      </c>
      <c r="F56" s="42" t="s">
        <v>226</v>
      </c>
      <c r="G56" s="43" t="s">
        <v>156</v>
      </c>
      <c r="H56" s="42" t="s">
        <v>157</v>
      </c>
      <c r="I56" s="43">
        <v>1</v>
      </c>
      <c r="J56" s="43">
        <v>1</v>
      </c>
      <c r="K56" s="25" t="str">
        <f>VLOOKUP(J56,Key!$E$2:$F$9,2,FALSE)</f>
        <v>Home</v>
      </c>
      <c r="L56" s="42" t="s">
        <v>227</v>
      </c>
      <c r="M56" s="43" t="s">
        <v>197</v>
      </c>
      <c r="N56" s="42" t="s">
        <v>157</v>
      </c>
      <c r="O56" s="43">
        <v>2</v>
      </c>
      <c r="P56" s="43">
        <v>2</v>
      </c>
      <c r="Q56" s="25" t="str">
        <f>VLOOKUP(P56,Key!$E$2:$F$9,2,FALSE)</f>
        <v>Work</v>
      </c>
      <c r="R56" s="25" t="str">
        <f t="shared" si="1"/>
        <v>Home-Work</v>
      </c>
      <c r="S56" s="52">
        <v>68</v>
      </c>
      <c r="T56" s="52">
        <v>4</v>
      </c>
      <c r="U56" s="43">
        <v>2</v>
      </c>
      <c r="V56" s="43"/>
      <c r="W56" s="52"/>
      <c r="X56" s="52"/>
      <c r="Y56" s="53" t="s">
        <v>158</v>
      </c>
      <c r="Z56" s="54">
        <v>2000</v>
      </c>
      <c r="AA56" s="25">
        <f>VLOOKUP(F56,'Zones '!$A$2:$F$2056,6,FALSE)</f>
        <v>1397</v>
      </c>
      <c r="AB56" s="25">
        <f>VLOOKUP(L56,'Zones '!$A$2:$F$2056,6,FALSE)</f>
        <v>1362</v>
      </c>
    </row>
    <row r="57" spans="2:28">
      <c r="B57" s="40">
        <v>0.33680555555555558</v>
      </c>
      <c r="C57" s="40" t="s">
        <v>228</v>
      </c>
      <c r="D57" s="41">
        <v>1</v>
      </c>
      <c r="E57" s="42">
        <v>4</v>
      </c>
      <c r="F57" s="42" t="s">
        <v>155</v>
      </c>
      <c r="G57" s="43" t="s">
        <v>156</v>
      </c>
      <c r="H57" s="42" t="s">
        <v>157</v>
      </c>
      <c r="I57" s="43">
        <v>2</v>
      </c>
      <c r="J57" s="43">
        <v>2</v>
      </c>
      <c r="K57" s="25" t="str">
        <f>VLOOKUP(J57,Key!$E$2:$F$9,2,FALSE)</f>
        <v>Work</v>
      </c>
      <c r="L57" s="42" t="s">
        <v>164</v>
      </c>
      <c r="M57" s="43" t="s">
        <v>156</v>
      </c>
      <c r="N57" s="42" t="s">
        <v>157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Work-Home</v>
      </c>
      <c r="S57" s="52">
        <v>5</v>
      </c>
      <c r="T57" s="52">
        <v>0.2</v>
      </c>
      <c r="U57" s="43">
        <v>2</v>
      </c>
      <c r="V57" s="43"/>
      <c r="W57" s="52"/>
      <c r="X57" s="52"/>
      <c r="Y57" s="53" t="s">
        <v>158</v>
      </c>
      <c r="Z57" s="54">
        <v>1000</v>
      </c>
      <c r="AA57" s="25">
        <f>VLOOKUP(F57,'Zones '!$A$2:$F$2056,6,FALSE)</f>
        <v>1397</v>
      </c>
      <c r="AB57" s="25">
        <f>VLOOKUP(L57,'Zones '!$A$2:$F$2056,6,FALSE)</f>
        <v>1397</v>
      </c>
    </row>
    <row r="58" spans="2:28">
      <c r="B58" s="40">
        <v>0.34375</v>
      </c>
      <c r="C58" s="40" t="s">
        <v>229</v>
      </c>
      <c r="D58" s="41">
        <v>1</v>
      </c>
      <c r="E58" s="42">
        <v>3</v>
      </c>
      <c r="F58" s="42" t="s">
        <v>179</v>
      </c>
      <c r="G58" s="43" t="s">
        <v>156</v>
      </c>
      <c r="H58" s="42" t="s">
        <v>157</v>
      </c>
      <c r="I58" s="43">
        <v>1</v>
      </c>
      <c r="J58" s="43">
        <v>1</v>
      </c>
      <c r="K58" s="25" t="str">
        <f>VLOOKUP(J58,Key!$E$2:$F$9,2,FALSE)</f>
        <v>Home</v>
      </c>
      <c r="L58" s="42" t="s">
        <v>150</v>
      </c>
      <c r="M58" s="43" t="s">
        <v>156</v>
      </c>
      <c r="N58" s="42" t="s">
        <v>157</v>
      </c>
      <c r="O58" s="43">
        <v>2</v>
      </c>
      <c r="P58" s="43">
        <v>2</v>
      </c>
      <c r="Q58" s="25" t="str">
        <f>VLOOKUP(P58,Key!$E$2:$F$9,2,FALSE)</f>
        <v>Work</v>
      </c>
      <c r="R58" s="25" t="str">
        <f t="shared" si="1"/>
        <v>Home-Work</v>
      </c>
      <c r="S58" s="52">
        <v>3</v>
      </c>
      <c r="T58" s="52">
        <v>0.5</v>
      </c>
      <c r="U58" s="43">
        <v>2</v>
      </c>
      <c r="V58" s="43"/>
      <c r="W58" s="52"/>
      <c r="X58" s="52"/>
      <c r="Y58" s="53" t="s">
        <v>158</v>
      </c>
      <c r="Z58" s="54">
        <v>1000</v>
      </c>
      <c r="AA58" s="25">
        <f>VLOOKUP(F58,'Zones '!$A$2:$F$2056,6,FALSE)</f>
        <v>905</v>
      </c>
      <c r="AB58" s="25">
        <f>VLOOKUP(L58,'Zones '!$A$2:$F$2056,6,FALSE)</f>
        <v>1397</v>
      </c>
    </row>
    <row r="59" spans="2:28">
      <c r="B59" s="40">
        <v>0.35416666666666669</v>
      </c>
      <c r="C59" s="40" t="s">
        <v>230</v>
      </c>
      <c r="D59" s="41">
        <v>4</v>
      </c>
      <c r="E59" s="42">
        <v>3</v>
      </c>
      <c r="F59" s="42" t="s">
        <v>155</v>
      </c>
      <c r="G59" s="43" t="s">
        <v>156</v>
      </c>
      <c r="H59" s="42" t="s">
        <v>157</v>
      </c>
      <c r="I59" s="43">
        <v>12</v>
      </c>
      <c r="J59" s="43">
        <v>2</v>
      </c>
      <c r="K59" s="25" t="str">
        <f>VLOOKUP(J59,Key!$E$2:$F$9,2,FALSE)</f>
        <v>Work</v>
      </c>
      <c r="L59" s="42" t="s">
        <v>164</v>
      </c>
      <c r="M59" s="43" t="s">
        <v>156</v>
      </c>
      <c r="N59" s="42" t="s">
        <v>157</v>
      </c>
      <c r="O59" s="43">
        <v>12</v>
      </c>
      <c r="P59" s="43">
        <v>2</v>
      </c>
      <c r="Q59" s="25" t="str">
        <f>VLOOKUP(P59,Key!$E$2:$F$9,2,FALSE)</f>
        <v>Work</v>
      </c>
      <c r="R59" s="25" t="str">
        <f t="shared" si="1"/>
        <v>Work-Work</v>
      </c>
      <c r="S59" s="52">
        <v>5</v>
      </c>
      <c r="T59" s="52">
        <v>0.7</v>
      </c>
      <c r="U59" s="43">
        <v>2</v>
      </c>
      <c r="V59" s="43">
        <v>10</v>
      </c>
      <c r="W59" s="52">
        <v>3</v>
      </c>
      <c r="X59" s="52">
        <v>8</v>
      </c>
      <c r="Y59" s="53" t="s">
        <v>158</v>
      </c>
      <c r="Z59" s="54">
        <v>1000</v>
      </c>
      <c r="AA59" s="25">
        <f>VLOOKUP(F59,'Zones '!$A$2:$F$2056,6,FALSE)</f>
        <v>1397</v>
      </c>
      <c r="AB59" s="25">
        <f>VLOOKUP(L59,'Zones '!$A$2:$F$2056,6,FALSE)</f>
        <v>1397</v>
      </c>
    </row>
    <row r="60" spans="2:28">
      <c r="B60" s="40">
        <v>0.3611111111111111</v>
      </c>
      <c r="C60" s="40" t="s">
        <v>231</v>
      </c>
      <c r="D60" s="41">
        <v>1</v>
      </c>
      <c r="E60" s="42">
        <v>2</v>
      </c>
      <c r="F60" s="42" t="s">
        <v>155</v>
      </c>
      <c r="G60" s="43" t="s">
        <v>156</v>
      </c>
      <c r="H60" s="42" t="s">
        <v>157</v>
      </c>
      <c r="I60" s="43">
        <v>1</v>
      </c>
      <c r="J60" s="43">
        <v>1</v>
      </c>
      <c r="K60" s="25" t="str">
        <f>VLOOKUP(J60,Key!$E$2:$F$9,2,FALSE)</f>
        <v>Home</v>
      </c>
      <c r="L60" s="42" t="s">
        <v>232</v>
      </c>
      <c r="M60" s="43" t="s">
        <v>187</v>
      </c>
      <c r="N60" s="42" t="s">
        <v>157</v>
      </c>
      <c r="O60" s="43">
        <v>2</v>
      </c>
      <c r="P60" s="43">
        <v>2</v>
      </c>
      <c r="Q60" s="25" t="str">
        <f>VLOOKUP(P60,Key!$E$2:$F$9,2,FALSE)</f>
        <v>Work</v>
      </c>
      <c r="R60" s="25" t="str">
        <f t="shared" si="1"/>
        <v>Home-Work</v>
      </c>
      <c r="S60" s="52">
        <v>15</v>
      </c>
      <c r="T60" s="52">
        <v>1.5</v>
      </c>
      <c r="U60" s="43">
        <v>2</v>
      </c>
      <c r="V60" s="43"/>
      <c r="W60" s="52"/>
      <c r="X60" s="52"/>
      <c r="Y60" s="53" t="s">
        <v>158</v>
      </c>
      <c r="Z60" s="54">
        <v>2000</v>
      </c>
      <c r="AA60" s="25">
        <f>VLOOKUP(F60,'Zones '!$A$2:$F$2056,6,FALSE)</f>
        <v>1397</v>
      </c>
      <c r="AB60" s="25">
        <f>VLOOKUP(L60,'Zones '!$A$2:$F$2056,6,FALSE)</f>
        <v>558</v>
      </c>
    </row>
    <row r="61" spans="2:28">
      <c r="B61" s="40">
        <v>0.36458333333333331</v>
      </c>
      <c r="C61" s="40" t="s">
        <v>233</v>
      </c>
      <c r="D61" s="41">
        <v>1</v>
      </c>
      <c r="E61" s="42">
        <v>4</v>
      </c>
      <c r="F61" s="42" t="s">
        <v>155</v>
      </c>
      <c r="G61" s="43" t="s">
        <v>156</v>
      </c>
      <c r="H61" s="42" t="s">
        <v>157</v>
      </c>
      <c r="I61" s="43">
        <v>1</v>
      </c>
      <c r="J61" s="43">
        <v>1</v>
      </c>
      <c r="K61" s="25" t="str">
        <f>VLOOKUP(J61,Key!$E$2:$F$9,2,FALSE)</f>
        <v>Home</v>
      </c>
      <c r="L61" s="42" t="s">
        <v>150</v>
      </c>
      <c r="M61" s="43" t="s">
        <v>156</v>
      </c>
      <c r="N61" s="42" t="s">
        <v>157</v>
      </c>
      <c r="O61" s="43">
        <v>2</v>
      </c>
      <c r="P61" s="43">
        <v>2</v>
      </c>
      <c r="Q61" s="25" t="str">
        <f>VLOOKUP(P61,Key!$E$2:$F$9,2,FALSE)</f>
        <v>Work</v>
      </c>
      <c r="R61" s="25" t="str">
        <f t="shared" si="1"/>
        <v>Home-Work</v>
      </c>
      <c r="S61" s="52">
        <v>2</v>
      </c>
      <c r="T61" s="52">
        <v>0.1</v>
      </c>
      <c r="U61" s="43">
        <v>2</v>
      </c>
      <c r="V61" s="43"/>
      <c r="W61" s="52"/>
      <c r="X61" s="52"/>
      <c r="Y61" s="53" t="s">
        <v>158</v>
      </c>
      <c r="Z61" s="54">
        <v>2000</v>
      </c>
      <c r="AA61" s="25">
        <f>VLOOKUP(F61,'Zones '!$A$2:$F$2056,6,FALSE)</f>
        <v>1397</v>
      </c>
      <c r="AB61" s="25">
        <f>VLOOKUP(L61,'Zones '!$A$2:$F$2056,6,FALSE)</f>
        <v>1397</v>
      </c>
    </row>
    <row r="62" spans="2:28">
      <c r="B62" s="40">
        <v>0.36805555555555558</v>
      </c>
      <c r="C62" s="40" t="s">
        <v>234</v>
      </c>
      <c r="D62" s="41">
        <v>3</v>
      </c>
      <c r="E62" s="42">
        <v>2</v>
      </c>
      <c r="F62" s="42" t="s">
        <v>164</v>
      </c>
      <c r="G62" s="43" t="s">
        <v>156</v>
      </c>
      <c r="H62" s="42" t="s">
        <v>157</v>
      </c>
      <c r="I62" s="43">
        <v>1</v>
      </c>
      <c r="J62" s="43">
        <v>1</v>
      </c>
      <c r="K62" s="25" t="str">
        <f>VLOOKUP(J62,Key!$E$2:$F$9,2,FALSE)</f>
        <v>Home</v>
      </c>
      <c r="L62" s="42" t="s">
        <v>150</v>
      </c>
      <c r="M62" s="43" t="s">
        <v>156</v>
      </c>
      <c r="N62" s="42" t="s">
        <v>157</v>
      </c>
      <c r="O62" s="43">
        <v>3</v>
      </c>
      <c r="P62" s="43">
        <v>2</v>
      </c>
      <c r="Q62" s="25" t="str">
        <f>VLOOKUP(P62,Key!$E$2:$F$9,2,FALSE)</f>
        <v>Work</v>
      </c>
      <c r="R62" s="25" t="str">
        <f t="shared" si="1"/>
        <v>Home-Work</v>
      </c>
      <c r="S62" s="52">
        <v>5</v>
      </c>
      <c r="T62" s="52">
        <v>0.1</v>
      </c>
      <c r="U62" s="43">
        <v>2</v>
      </c>
      <c r="V62" s="43"/>
      <c r="W62" s="52"/>
      <c r="X62" s="52"/>
      <c r="Y62" s="53" t="s">
        <v>158</v>
      </c>
      <c r="Z62" s="54">
        <v>1000</v>
      </c>
      <c r="AA62" s="25">
        <f>VLOOKUP(F62,'Zones '!$A$2:$F$2056,6,FALSE)</f>
        <v>1397</v>
      </c>
      <c r="AB62" s="25">
        <f>VLOOKUP(L62,'Zones '!$A$2:$F$2056,6,FALSE)</f>
        <v>1397</v>
      </c>
    </row>
    <row r="63" spans="2:28">
      <c r="B63" s="40">
        <v>0.38541666666666669</v>
      </c>
      <c r="C63" s="40" t="s">
        <v>235</v>
      </c>
      <c r="D63" s="41">
        <v>1</v>
      </c>
      <c r="E63" s="42">
        <v>2</v>
      </c>
      <c r="F63" s="42" t="s">
        <v>155</v>
      </c>
      <c r="G63" s="43" t="s">
        <v>156</v>
      </c>
      <c r="H63" s="42" t="s">
        <v>157</v>
      </c>
      <c r="I63" s="43">
        <v>1</v>
      </c>
      <c r="J63" s="43">
        <v>1</v>
      </c>
      <c r="K63" s="25" t="str">
        <f>VLOOKUP(J63,Key!$E$2:$F$9,2,FALSE)</f>
        <v>Home</v>
      </c>
      <c r="L63" s="42" t="s">
        <v>166</v>
      </c>
      <c r="M63" s="43" t="s">
        <v>156</v>
      </c>
      <c r="N63" s="42" t="s">
        <v>157</v>
      </c>
      <c r="O63" s="43">
        <v>2</v>
      </c>
      <c r="P63" s="43">
        <v>2</v>
      </c>
      <c r="Q63" s="25" t="str">
        <f>VLOOKUP(P63,Key!$E$2:$F$9,2,FALSE)</f>
        <v>Work</v>
      </c>
      <c r="R63" s="25" t="str">
        <f t="shared" si="1"/>
        <v>Home-Work</v>
      </c>
      <c r="S63" s="52">
        <v>5</v>
      </c>
      <c r="T63" s="52">
        <v>0.8</v>
      </c>
      <c r="U63" s="43"/>
      <c r="V63" s="43"/>
      <c r="W63" s="52"/>
      <c r="X63" s="52"/>
      <c r="Y63" s="53" t="s">
        <v>158</v>
      </c>
      <c r="Z63" s="54">
        <v>1000</v>
      </c>
      <c r="AA63" s="25">
        <f>VLOOKUP(F63,'Zones '!$A$2:$F$2056,6,FALSE)</f>
        <v>1397</v>
      </c>
      <c r="AB63" s="25">
        <f>VLOOKUP(L63,'Zones '!$A$2:$F$2056,6,FALSE)</f>
        <v>1397</v>
      </c>
    </row>
    <row r="64" spans="2:28">
      <c r="B64" s="40">
        <v>0.39930555555555558</v>
      </c>
      <c r="C64" s="40" t="s">
        <v>236</v>
      </c>
      <c r="D64" s="41">
        <v>1</v>
      </c>
      <c r="E64" s="42">
        <v>3</v>
      </c>
      <c r="F64" s="42" t="s">
        <v>179</v>
      </c>
      <c r="G64" s="43" t="s">
        <v>156</v>
      </c>
      <c r="H64" s="42" t="s">
        <v>157</v>
      </c>
      <c r="I64" s="43">
        <v>2</v>
      </c>
      <c r="J64" s="43">
        <v>2</v>
      </c>
      <c r="K64" s="25" t="str">
        <f>VLOOKUP(J64,Key!$E$2:$F$9,2,FALSE)</f>
        <v>Work</v>
      </c>
      <c r="L64" s="42" t="s">
        <v>352</v>
      </c>
      <c r="M64" s="43" t="s">
        <v>156</v>
      </c>
      <c r="N64" s="42" t="s">
        <v>157</v>
      </c>
      <c r="O64" s="43">
        <v>1</v>
      </c>
      <c r="P64" s="43">
        <v>1</v>
      </c>
      <c r="Q64" s="25" t="str">
        <f>VLOOKUP(P64,Key!$E$2:$F$9,2,FALSE)</f>
        <v>Home</v>
      </c>
      <c r="R64" s="25" t="str">
        <f t="shared" si="1"/>
        <v>Work-Home</v>
      </c>
      <c r="S64" s="52">
        <v>3.5</v>
      </c>
      <c r="T64" s="52">
        <v>1</v>
      </c>
      <c r="U64" s="43"/>
      <c r="V64" s="43"/>
      <c r="W64" s="52"/>
      <c r="X64" s="52"/>
      <c r="Y64" s="53" t="s">
        <v>158</v>
      </c>
      <c r="Z64" s="54">
        <v>2000</v>
      </c>
      <c r="AA64" s="25">
        <f>VLOOKUP(F64,'Zones '!$A$2:$F$2056,6,FALSE)</f>
        <v>905</v>
      </c>
      <c r="AB64" s="25">
        <f>VLOOKUP(L64,'Zones '!$A$2:$F$2056,6,FALSE)</f>
        <v>1397</v>
      </c>
    </row>
    <row r="65" spans="2:28">
      <c r="B65" s="40">
        <v>0.40833333333333338</v>
      </c>
      <c r="C65" s="40" t="s">
        <v>237</v>
      </c>
      <c r="D65" s="41">
        <v>1</v>
      </c>
      <c r="E65" s="42">
        <v>1</v>
      </c>
      <c r="F65" s="42" t="s">
        <v>2928</v>
      </c>
      <c r="G65" s="43" t="s">
        <v>156</v>
      </c>
      <c r="H65" s="42" t="s">
        <v>157</v>
      </c>
      <c r="I65" s="43">
        <v>1</v>
      </c>
      <c r="J65" s="43">
        <v>1</v>
      </c>
      <c r="K65" s="25" t="str">
        <f>VLOOKUP(J65,Key!$E$2:$F$9,2,FALSE)</f>
        <v>Home</v>
      </c>
      <c r="L65" s="42" t="s">
        <v>197</v>
      </c>
      <c r="M65" s="43" t="s">
        <v>197</v>
      </c>
      <c r="N65" s="42" t="s">
        <v>157</v>
      </c>
      <c r="O65" s="43">
        <v>2</v>
      </c>
      <c r="P65" s="43">
        <v>2</v>
      </c>
      <c r="Q65" s="25" t="str">
        <f>VLOOKUP(P65,Key!$E$2:$F$9,2,FALSE)</f>
        <v>Work</v>
      </c>
      <c r="R65" s="25" t="str">
        <f t="shared" si="1"/>
        <v>Home-Work</v>
      </c>
      <c r="S65" s="52">
        <v>120</v>
      </c>
      <c r="T65" s="52">
        <v>2</v>
      </c>
      <c r="U65" s="43">
        <v>2</v>
      </c>
      <c r="V65" s="43"/>
      <c r="W65" s="52"/>
      <c r="X65" s="52"/>
      <c r="Y65" s="53" t="s">
        <v>158</v>
      </c>
      <c r="Z65" s="54">
        <v>1000</v>
      </c>
      <c r="AA65" s="25">
        <f>VLOOKUP(F65,'Zones '!$A$2:$F$2056,6,FALSE)</f>
        <v>565</v>
      </c>
      <c r="AB65" s="25">
        <f>VLOOKUP(L65,'Zones '!$A$2:$F$2056,6,FALSE)</f>
        <v>937</v>
      </c>
    </row>
    <row r="66" spans="2:28">
      <c r="B66" s="40">
        <v>0.41319444444444442</v>
      </c>
      <c r="C66" s="40" t="s">
        <v>239</v>
      </c>
      <c r="D66" s="41">
        <v>1</v>
      </c>
      <c r="E66" s="42">
        <v>2</v>
      </c>
      <c r="F66" s="42" t="s">
        <v>204</v>
      </c>
      <c r="G66" s="43" t="s">
        <v>156</v>
      </c>
      <c r="H66" s="42" t="s">
        <v>157</v>
      </c>
      <c r="I66" s="43">
        <v>1</v>
      </c>
      <c r="J66" s="43">
        <v>1</v>
      </c>
      <c r="K66" s="25" t="str">
        <f>VLOOKUP(J66,Key!$E$2:$F$9,2,FALSE)</f>
        <v>Home</v>
      </c>
      <c r="L66" s="42" t="s">
        <v>162</v>
      </c>
      <c r="M66" s="43" t="s">
        <v>156</v>
      </c>
      <c r="N66" s="42" t="s">
        <v>157</v>
      </c>
      <c r="O66" s="43">
        <v>2</v>
      </c>
      <c r="P66" s="43">
        <v>2</v>
      </c>
      <c r="Q66" s="25" t="str">
        <f>VLOOKUP(P66,Key!$E$2:$F$9,2,FALSE)</f>
        <v>Work</v>
      </c>
      <c r="R66" s="25" t="str">
        <f t="shared" si="1"/>
        <v>Home-Work</v>
      </c>
      <c r="S66" s="52">
        <v>15</v>
      </c>
      <c r="T66" s="52">
        <v>0.5</v>
      </c>
      <c r="U66" s="43">
        <v>2</v>
      </c>
      <c r="V66" s="43"/>
      <c r="W66" s="52"/>
      <c r="X66" s="52"/>
      <c r="Y66" s="53" t="s">
        <v>158</v>
      </c>
      <c r="Z66" s="54">
        <v>0</v>
      </c>
      <c r="AA66" s="25">
        <f>VLOOKUP(F66,'Zones '!$A$2:$F$2056,6,FALSE)</f>
        <v>1390</v>
      </c>
      <c r="AB66" s="25">
        <f>VLOOKUP(L66,'Zones '!$A$2:$F$2056,6,FALSE)</f>
        <v>1397</v>
      </c>
    </row>
    <row r="67" spans="2:28">
      <c r="B67" s="40">
        <v>0.4201388888888889</v>
      </c>
      <c r="C67" s="40" t="s">
        <v>240</v>
      </c>
      <c r="D67" s="41">
        <v>1</v>
      </c>
      <c r="E67" s="42">
        <v>2</v>
      </c>
      <c r="F67" s="42" t="s">
        <v>160</v>
      </c>
      <c r="G67" s="43" t="s">
        <v>156</v>
      </c>
      <c r="H67" s="42" t="s">
        <v>157</v>
      </c>
      <c r="I67" s="43">
        <v>2</v>
      </c>
      <c r="J67" s="43">
        <v>2</v>
      </c>
      <c r="K67" s="25" t="str">
        <f>VLOOKUP(J67,Key!$E$2:$F$9,2,FALSE)</f>
        <v>Work</v>
      </c>
      <c r="L67" s="42" t="s">
        <v>150</v>
      </c>
      <c r="M67" s="43" t="s">
        <v>156</v>
      </c>
      <c r="N67" s="42" t="s">
        <v>157</v>
      </c>
      <c r="O67" s="43">
        <v>1</v>
      </c>
      <c r="P67" s="43">
        <v>1</v>
      </c>
      <c r="Q67" s="25" t="str">
        <f>VLOOKUP(P67,Key!$E$2:$F$9,2,FALSE)</f>
        <v>Home</v>
      </c>
      <c r="R67" s="25" t="str">
        <f t="shared" si="1"/>
        <v>Work-Home</v>
      </c>
      <c r="S67" s="52">
        <v>2.5</v>
      </c>
      <c r="T67" s="52">
        <v>0.1</v>
      </c>
      <c r="U67" s="43">
        <v>2</v>
      </c>
      <c r="V67" s="43"/>
      <c r="W67" s="52"/>
      <c r="X67" s="52"/>
      <c r="Y67" s="53" t="s">
        <v>158</v>
      </c>
      <c r="Z67" s="54">
        <v>1000</v>
      </c>
      <c r="AA67" s="25">
        <f>VLOOKUP(F67,'Zones '!$A$2:$F$2056,6,FALSE)</f>
        <v>589</v>
      </c>
      <c r="AB67" s="25">
        <f>VLOOKUP(L67,'Zones '!$A$2:$F$2056,6,FALSE)</f>
        <v>1397</v>
      </c>
    </row>
    <row r="68" spans="2:28">
      <c r="B68" s="40">
        <v>0.4236111111111111</v>
      </c>
      <c r="C68" s="40" t="s">
        <v>241</v>
      </c>
      <c r="D68" s="41">
        <v>1</v>
      </c>
      <c r="E68" s="42">
        <v>1</v>
      </c>
      <c r="F68" s="42" t="s">
        <v>215</v>
      </c>
      <c r="G68" s="43" t="s">
        <v>156</v>
      </c>
      <c r="H68" s="42" t="s">
        <v>157</v>
      </c>
      <c r="I68" s="43">
        <v>2</v>
      </c>
      <c r="J68" s="43">
        <v>2</v>
      </c>
      <c r="K68" s="25" t="str">
        <f>VLOOKUP(J68,Key!$E$2:$F$9,2,FALSE)</f>
        <v>Work</v>
      </c>
      <c r="L68" s="42" t="s">
        <v>150</v>
      </c>
      <c r="M68" s="43" t="s">
        <v>156</v>
      </c>
      <c r="N68" s="42" t="s">
        <v>157</v>
      </c>
      <c r="O68" s="43">
        <v>1</v>
      </c>
      <c r="P68" s="43">
        <v>1</v>
      </c>
      <c r="Q68" s="25" t="str">
        <f>VLOOKUP(P68,Key!$E$2:$F$9,2,FALSE)</f>
        <v>Home</v>
      </c>
      <c r="R68" s="25" t="str">
        <f t="shared" si="1"/>
        <v>Work-Home</v>
      </c>
      <c r="S68" s="52">
        <v>20</v>
      </c>
      <c r="T68" s="52">
        <v>1.5</v>
      </c>
      <c r="U68" s="43">
        <v>6</v>
      </c>
      <c r="V68" s="43"/>
      <c r="W68" s="52"/>
      <c r="X68" s="52"/>
      <c r="Y68" s="53" t="s">
        <v>158</v>
      </c>
      <c r="Z68" s="54">
        <v>1000</v>
      </c>
      <c r="AA68" s="25">
        <f>VLOOKUP(F68,'Zones '!$A$2:$F$2056,6,FALSE)</f>
        <v>1388</v>
      </c>
      <c r="AB68" s="25">
        <f>VLOOKUP(L68,'Zones '!$A$2:$F$2056,6,FALSE)</f>
        <v>1397</v>
      </c>
    </row>
    <row r="69" spans="2:28">
      <c r="B69" s="40">
        <v>0.43055555555555558</v>
      </c>
      <c r="C69" s="40" t="s">
        <v>242</v>
      </c>
      <c r="D69" s="41">
        <v>3</v>
      </c>
      <c r="E69" s="42">
        <v>1</v>
      </c>
      <c r="F69" s="42" t="s">
        <v>155</v>
      </c>
      <c r="G69" s="43" t="s">
        <v>156</v>
      </c>
      <c r="H69" s="42" t="s">
        <v>157</v>
      </c>
      <c r="I69" s="43">
        <v>2</v>
      </c>
      <c r="J69" s="43">
        <v>2</v>
      </c>
      <c r="K69" s="25" t="str">
        <f>VLOOKUP(J69,Key!$E$2:$F$9,2,FALSE)</f>
        <v>Work</v>
      </c>
      <c r="L69" s="42" t="s">
        <v>166</v>
      </c>
      <c r="M69" s="43" t="s">
        <v>156</v>
      </c>
      <c r="N69" s="42" t="s">
        <v>157</v>
      </c>
      <c r="O69" s="43">
        <v>1</v>
      </c>
      <c r="P69" s="43">
        <v>1</v>
      </c>
      <c r="Q69" s="25" t="str">
        <f>VLOOKUP(P69,Key!$E$2:$F$9,2,FALSE)</f>
        <v>Home</v>
      </c>
      <c r="R69" s="25" t="str">
        <f t="shared" si="1"/>
        <v>Work-Home</v>
      </c>
      <c r="S69" s="52">
        <v>5</v>
      </c>
      <c r="T69" s="52">
        <v>0.2</v>
      </c>
      <c r="U69" s="43">
        <v>6</v>
      </c>
      <c r="V69" s="43"/>
      <c r="W69" s="52"/>
      <c r="X69" s="52"/>
      <c r="Y69" s="53" t="s">
        <v>158</v>
      </c>
      <c r="Z69" s="54">
        <v>1000</v>
      </c>
      <c r="AA69" s="25">
        <f>VLOOKUP(F69,'Zones '!$A$2:$F$2056,6,FALSE)</f>
        <v>1397</v>
      </c>
      <c r="AB69" s="25">
        <f>VLOOKUP(L69,'Zones '!$A$2:$F$2056,6,FALSE)</f>
        <v>1397</v>
      </c>
    </row>
    <row r="70" spans="2:28">
      <c r="B70" s="40">
        <v>0.44097222222222227</v>
      </c>
      <c r="C70" s="40" t="s">
        <v>243</v>
      </c>
      <c r="D70" s="41">
        <v>3</v>
      </c>
      <c r="E70" s="42">
        <v>1</v>
      </c>
      <c r="F70" s="42" t="s">
        <v>226</v>
      </c>
      <c r="G70" s="43" t="s">
        <v>156</v>
      </c>
      <c r="H70" s="42" t="s">
        <v>157</v>
      </c>
      <c r="I70" s="43">
        <v>3</v>
      </c>
      <c r="J70" s="43">
        <v>2</v>
      </c>
      <c r="K70" s="25" t="str">
        <f>VLOOKUP(J70,Key!$E$2:$F$9,2,FALSE)</f>
        <v>Work</v>
      </c>
      <c r="L70" s="42" t="s">
        <v>150</v>
      </c>
      <c r="M70" s="43" t="s">
        <v>156</v>
      </c>
      <c r="N70" s="42" t="s">
        <v>157</v>
      </c>
      <c r="O70" s="43">
        <v>1</v>
      </c>
      <c r="P70" s="43">
        <v>1</v>
      </c>
      <c r="Q70" s="25" t="str">
        <f>VLOOKUP(P70,Key!$E$2:$F$9,2,FALSE)</f>
        <v>Home</v>
      </c>
      <c r="R70" s="25" t="str">
        <f t="shared" si="1"/>
        <v>Work-Home</v>
      </c>
      <c r="S70" s="52">
        <v>2</v>
      </c>
      <c r="T70" s="52">
        <v>0.5</v>
      </c>
      <c r="U70" s="43">
        <v>2</v>
      </c>
      <c r="V70" s="43"/>
      <c r="W70" s="52"/>
      <c r="X70" s="52"/>
      <c r="Y70" s="53" t="s">
        <v>158</v>
      </c>
      <c r="Z70" s="54">
        <v>1000</v>
      </c>
      <c r="AA70" s="25">
        <f>VLOOKUP(F70,'Zones '!$A$2:$F$2056,6,FALSE)</f>
        <v>1397</v>
      </c>
      <c r="AB70" s="25">
        <f>VLOOKUP(L70,'Zones '!$A$2:$F$2056,6,FALSE)</f>
        <v>1397</v>
      </c>
    </row>
    <row r="71" spans="2:28">
      <c r="B71" s="40">
        <v>0.45</v>
      </c>
      <c r="C71" s="40" t="s">
        <v>244</v>
      </c>
      <c r="D71" s="41">
        <v>3</v>
      </c>
      <c r="E71" s="42">
        <v>3</v>
      </c>
      <c r="F71" s="42" t="s">
        <v>155</v>
      </c>
      <c r="G71" s="43" t="s">
        <v>156</v>
      </c>
      <c r="H71" s="42" t="s">
        <v>157</v>
      </c>
      <c r="I71" s="43">
        <v>2</v>
      </c>
      <c r="J71" s="43">
        <v>2</v>
      </c>
      <c r="K71" s="25" t="str">
        <f>VLOOKUP(J71,Key!$E$2:$F$9,2,FALSE)</f>
        <v>Work</v>
      </c>
      <c r="L71" s="42" t="s">
        <v>245</v>
      </c>
      <c r="M71" s="43" t="s">
        <v>187</v>
      </c>
      <c r="N71" s="42" t="s">
        <v>157</v>
      </c>
      <c r="O71" s="43">
        <v>2</v>
      </c>
      <c r="P71" s="43">
        <v>2</v>
      </c>
      <c r="Q71" s="25" t="str">
        <f>VLOOKUP(P71,Key!$E$2:$F$9,2,FALSE)</f>
        <v>Work</v>
      </c>
      <c r="R71" s="25" t="str">
        <f t="shared" si="1"/>
        <v>Work-Work</v>
      </c>
      <c r="S71" s="52">
        <v>15</v>
      </c>
      <c r="T71" s="52">
        <v>1</v>
      </c>
      <c r="U71" s="43">
        <v>2</v>
      </c>
      <c r="V71" s="43"/>
      <c r="W71" s="52"/>
      <c r="X71" s="52"/>
      <c r="Y71" s="53" t="s">
        <v>158</v>
      </c>
      <c r="Z71" s="54">
        <v>1000</v>
      </c>
      <c r="AA71" s="25">
        <f>VLOOKUP(F71,'Zones '!$A$2:$F$2056,6,FALSE)</f>
        <v>1397</v>
      </c>
      <c r="AB71" s="25">
        <f>VLOOKUP(L71,'Zones '!$A$2:$F$2056,6,FALSE)</f>
        <v>573</v>
      </c>
    </row>
    <row r="72" spans="2:28">
      <c r="B72" s="40">
        <v>0.4513888888888889</v>
      </c>
      <c r="C72" s="40" t="s">
        <v>246</v>
      </c>
      <c r="D72" s="41">
        <v>1</v>
      </c>
      <c r="E72" s="42">
        <v>2</v>
      </c>
      <c r="F72" s="42" t="s">
        <v>247</v>
      </c>
      <c r="G72" s="43" t="s">
        <v>187</v>
      </c>
      <c r="H72" s="42" t="s">
        <v>157</v>
      </c>
      <c r="I72" s="43">
        <v>16</v>
      </c>
      <c r="J72" s="43">
        <v>2</v>
      </c>
      <c r="K72" s="25" t="str">
        <f>VLOOKUP(J72,Key!$E$2:$F$9,2,FALSE)</f>
        <v>Work</v>
      </c>
      <c r="L72" s="42" t="s">
        <v>248</v>
      </c>
      <c r="M72" s="43" t="s">
        <v>156</v>
      </c>
      <c r="N72" s="42" t="s">
        <v>157</v>
      </c>
      <c r="O72" s="43">
        <v>16</v>
      </c>
      <c r="P72" s="43">
        <v>2</v>
      </c>
      <c r="Q72" s="25" t="str">
        <f>VLOOKUP(P72,Key!$E$2:$F$9,2,FALSE)</f>
        <v>Work</v>
      </c>
      <c r="R72" s="25" t="str">
        <f t="shared" si="1"/>
        <v>Work-Work</v>
      </c>
      <c r="S72" s="52">
        <v>120</v>
      </c>
      <c r="T72" s="52">
        <v>4</v>
      </c>
      <c r="U72" s="43">
        <v>4</v>
      </c>
      <c r="V72" s="43"/>
      <c r="W72" s="52"/>
      <c r="X72" s="52"/>
      <c r="Y72" s="53" t="s">
        <v>158</v>
      </c>
      <c r="Z72" s="54">
        <v>2000</v>
      </c>
      <c r="AA72" s="25">
        <f>VLOOKUP(F72,'Zones '!$A$2:$F$2056,6,FALSE)</f>
        <v>572</v>
      </c>
      <c r="AB72" s="25">
        <f>VLOOKUP(L72,'Zones '!$A$2:$F$2056,6,FALSE)</f>
        <v>1408</v>
      </c>
    </row>
    <row r="73" spans="2:28">
      <c r="B73" s="40">
        <v>0.45833333333333331</v>
      </c>
      <c r="C73" s="40" t="s">
        <v>249</v>
      </c>
      <c r="D73" s="41">
        <v>4</v>
      </c>
      <c r="E73" s="42">
        <v>2</v>
      </c>
      <c r="F73" s="42" t="s">
        <v>250</v>
      </c>
      <c r="G73" s="43" t="s">
        <v>156</v>
      </c>
      <c r="H73" s="42" t="s">
        <v>157</v>
      </c>
      <c r="I73" s="43">
        <v>3</v>
      </c>
      <c r="J73" s="43">
        <v>2</v>
      </c>
      <c r="K73" s="25" t="str">
        <f>VLOOKUP(J73,Key!$E$2:$F$9,2,FALSE)</f>
        <v>Work</v>
      </c>
      <c r="L73" s="42" t="s">
        <v>224</v>
      </c>
      <c r="M73" s="43" t="s">
        <v>224</v>
      </c>
      <c r="N73" s="42" t="s">
        <v>157</v>
      </c>
      <c r="O73" s="43">
        <v>3</v>
      </c>
      <c r="P73" s="43">
        <v>2</v>
      </c>
      <c r="Q73" s="25" t="str">
        <f>VLOOKUP(P73,Key!$E$2:$F$9,2,FALSE)</f>
        <v>Work</v>
      </c>
      <c r="R73" s="25" t="str">
        <f t="shared" si="1"/>
        <v>Work-Work</v>
      </c>
      <c r="S73" s="52">
        <v>20</v>
      </c>
      <c r="T73" s="52">
        <v>1</v>
      </c>
      <c r="U73" s="43">
        <v>6</v>
      </c>
      <c r="V73" s="43"/>
      <c r="W73" s="52"/>
      <c r="X73" s="52"/>
      <c r="Y73" s="53" t="s">
        <v>158</v>
      </c>
      <c r="Z73" s="54">
        <v>2000</v>
      </c>
      <c r="AA73" s="25">
        <f>VLOOKUP(F73,'Zones '!$A$2:$F$2056,6,FALSE)</f>
        <v>1388</v>
      </c>
      <c r="AB73" s="25">
        <f>VLOOKUP(L73,'Zones '!$A$2:$F$2056,6,FALSE)</f>
        <v>1037</v>
      </c>
    </row>
    <row r="74" spans="2:28">
      <c r="B74" s="40">
        <v>0.46180555555555558</v>
      </c>
      <c r="C74" s="40" t="s">
        <v>251</v>
      </c>
      <c r="D74" s="41">
        <v>1</v>
      </c>
      <c r="E74" s="42">
        <v>1</v>
      </c>
      <c r="F74" s="42" t="s">
        <v>207</v>
      </c>
      <c r="G74" s="43" t="s">
        <v>156</v>
      </c>
      <c r="H74" s="42" t="s">
        <v>157</v>
      </c>
      <c r="I74" s="43">
        <v>2</v>
      </c>
      <c r="J74" s="43">
        <v>2</v>
      </c>
      <c r="K74" s="25" t="str">
        <f>VLOOKUP(J74,Key!$E$2:$F$9,2,FALSE)</f>
        <v>Work</v>
      </c>
      <c r="L74" s="42" t="s">
        <v>162</v>
      </c>
      <c r="M74" s="43" t="s">
        <v>156</v>
      </c>
      <c r="N74" s="42" t="s">
        <v>157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si="1"/>
        <v>Work-Home</v>
      </c>
      <c r="S74" s="52">
        <v>10</v>
      </c>
      <c r="T74" s="52">
        <v>1</v>
      </c>
      <c r="U74" s="43">
        <v>2</v>
      </c>
      <c r="V74" s="43"/>
      <c r="W74" s="52"/>
      <c r="X74" s="52"/>
      <c r="Y74" s="53" t="s">
        <v>158</v>
      </c>
      <c r="Z74" s="54">
        <v>1000</v>
      </c>
      <c r="AA74" s="25">
        <f>VLOOKUP(F74,'Zones '!$A$2:$F$2056,6,FALSE)</f>
        <v>1397</v>
      </c>
      <c r="AB74" s="25">
        <f>VLOOKUP(L74,'Zones '!$A$2:$F$2056,6,FALSE)</f>
        <v>1397</v>
      </c>
    </row>
    <row r="75" spans="2:28">
      <c r="B75" s="40">
        <v>0.46875</v>
      </c>
      <c r="C75" s="40" t="s">
        <v>252</v>
      </c>
      <c r="D75" s="41">
        <v>1</v>
      </c>
      <c r="E75" s="42">
        <v>3</v>
      </c>
      <c r="F75" s="42" t="s">
        <v>155</v>
      </c>
      <c r="G75" s="43" t="s">
        <v>156</v>
      </c>
      <c r="H75" s="42" t="s">
        <v>157</v>
      </c>
      <c r="I75" s="43">
        <v>1</v>
      </c>
      <c r="J75" s="43">
        <v>1</v>
      </c>
      <c r="K75" s="25" t="str">
        <f>VLOOKUP(J75,Key!$E$2:$F$9,2,FALSE)</f>
        <v>Home</v>
      </c>
      <c r="L75" s="42" t="s">
        <v>2928</v>
      </c>
      <c r="M75" s="43" t="s">
        <v>156</v>
      </c>
      <c r="N75" s="42" t="s">
        <v>157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Home-Work</v>
      </c>
      <c r="S75" s="52">
        <v>9</v>
      </c>
      <c r="T75" s="52">
        <v>1</v>
      </c>
      <c r="U75" s="43">
        <v>3</v>
      </c>
      <c r="V75" s="43"/>
      <c r="W75" s="52"/>
      <c r="X75" s="52"/>
      <c r="Y75" s="53" t="s">
        <v>158</v>
      </c>
      <c r="Z75" s="54">
        <v>1000</v>
      </c>
      <c r="AA75" s="25">
        <f>VLOOKUP(F75,'Zones '!$A$2:$F$2056,6,FALSE)</f>
        <v>1397</v>
      </c>
      <c r="AB75" s="25">
        <f>VLOOKUP(L75,'Zones '!$A$2:$F$2056,6,FALSE)</f>
        <v>565</v>
      </c>
    </row>
    <row r="76" spans="2:28">
      <c r="B76" s="40">
        <v>0.47222222222222227</v>
      </c>
      <c r="C76" s="40" t="s">
        <v>253</v>
      </c>
      <c r="D76" s="41">
        <v>1</v>
      </c>
      <c r="E76" s="42">
        <v>4</v>
      </c>
      <c r="F76" s="42" t="s">
        <v>155</v>
      </c>
      <c r="G76" s="43" t="s">
        <v>156</v>
      </c>
      <c r="H76" s="42" t="s">
        <v>157</v>
      </c>
      <c r="I76" s="43">
        <v>1</v>
      </c>
      <c r="J76" s="43">
        <v>1</v>
      </c>
      <c r="K76" s="25" t="str">
        <f>VLOOKUP(J76,Key!$E$2:$F$9,2,FALSE)</f>
        <v>Home</v>
      </c>
      <c r="L76" s="42" t="s">
        <v>164</v>
      </c>
      <c r="M76" s="43" t="s">
        <v>156</v>
      </c>
      <c r="N76" s="42" t="s">
        <v>157</v>
      </c>
      <c r="O76" s="43">
        <v>5</v>
      </c>
      <c r="P76" s="43">
        <v>7</v>
      </c>
      <c r="Q76" s="25" t="str">
        <f>VLOOKUP(P76,Key!$E$2:$F$9,2,FALSE)</f>
        <v>Hospital</v>
      </c>
      <c r="R76" s="25" t="str">
        <f t="shared" si="1"/>
        <v>Home-Hospital</v>
      </c>
      <c r="S76" s="52">
        <v>5</v>
      </c>
      <c r="T76" s="52">
        <v>0.7</v>
      </c>
      <c r="U76" s="43">
        <v>6</v>
      </c>
      <c r="V76" s="43"/>
      <c r="W76" s="52"/>
      <c r="X76" s="52"/>
      <c r="Y76" s="53" t="s">
        <v>158</v>
      </c>
      <c r="Z76" s="54">
        <v>1000</v>
      </c>
      <c r="AA76" s="25">
        <f>VLOOKUP(F76,'Zones '!$A$2:$F$2056,6,FALSE)</f>
        <v>1397</v>
      </c>
      <c r="AB76" s="25">
        <f>VLOOKUP(L76,'Zones '!$A$2:$F$2056,6,FALSE)</f>
        <v>1397</v>
      </c>
    </row>
    <row r="77" spans="2:28">
      <c r="B77" s="40">
        <v>0.47638888888888892</v>
      </c>
      <c r="C77" s="40" t="s">
        <v>254</v>
      </c>
      <c r="D77" s="41">
        <v>7</v>
      </c>
      <c r="E77" s="42">
        <v>2</v>
      </c>
      <c r="F77" s="42" t="s">
        <v>155</v>
      </c>
      <c r="G77" s="43" t="s">
        <v>156</v>
      </c>
      <c r="H77" s="42" t="s">
        <v>157</v>
      </c>
      <c r="I77" s="43">
        <v>3</v>
      </c>
      <c r="J77" s="43">
        <v>2</v>
      </c>
      <c r="K77" s="25" t="str">
        <f>VLOOKUP(J77,Key!$E$2:$F$9,2,FALSE)</f>
        <v>Work</v>
      </c>
      <c r="L77" s="42" t="s">
        <v>150</v>
      </c>
      <c r="M77" s="43" t="s">
        <v>156</v>
      </c>
      <c r="N77" s="42" t="s">
        <v>157</v>
      </c>
      <c r="O77" s="43">
        <v>3</v>
      </c>
      <c r="P77" s="43">
        <v>2</v>
      </c>
      <c r="Q77" s="25" t="str">
        <f>VLOOKUP(P77,Key!$E$2:$F$9,2,FALSE)</f>
        <v>Work</v>
      </c>
      <c r="R77" s="25" t="str">
        <f t="shared" si="1"/>
        <v>Work-Work</v>
      </c>
      <c r="S77" s="52">
        <v>1</v>
      </c>
      <c r="T77" s="52">
        <v>0.1</v>
      </c>
      <c r="U77" s="43">
        <v>2</v>
      </c>
      <c r="V77" s="43"/>
      <c r="W77" s="52"/>
      <c r="X77" s="52"/>
      <c r="Y77" s="53" t="s">
        <v>158</v>
      </c>
      <c r="Z77" s="54">
        <v>0</v>
      </c>
      <c r="AA77" s="25">
        <f>VLOOKUP(F77,'Zones '!$A$2:$F$2056,6,FALSE)</f>
        <v>1397</v>
      </c>
      <c r="AB77" s="25">
        <f>VLOOKUP(L77,'Zones '!$A$2:$F$2056,6,FALSE)</f>
        <v>1397</v>
      </c>
    </row>
    <row r="78" spans="2:28">
      <c r="B78" s="40">
        <v>0.47916666666666669</v>
      </c>
      <c r="C78" s="40" t="s">
        <v>255</v>
      </c>
      <c r="D78" s="41">
        <v>1</v>
      </c>
      <c r="E78" s="42">
        <v>1</v>
      </c>
      <c r="F78" s="42" t="s">
        <v>155</v>
      </c>
      <c r="G78" s="43" t="s">
        <v>156</v>
      </c>
      <c r="H78" s="42" t="s">
        <v>157</v>
      </c>
      <c r="I78" s="43">
        <v>1</v>
      </c>
      <c r="J78" s="43">
        <v>1</v>
      </c>
      <c r="K78" s="25" t="str">
        <f>VLOOKUP(J78,Key!$E$2:$F$9,2,FALSE)</f>
        <v>Home</v>
      </c>
      <c r="L78" s="42" t="s">
        <v>247</v>
      </c>
      <c r="M78" s="43" t="s">
        <v>187</v>
      </c>
      <c r="N78" s="42" t="s">
        <v>157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52">
        <v>4</v>
      </c>
      <c r="T78" s="52">
        <v>0.7</v>
      </c>
      <c r="U78" s="43">
        <v>2</v>
      </c>
      <c r="V78" s="43"/>
      <c r="W78" s="52"/>
      <c r="X78" s="52"/>
      <c r="Y78" s="53" t="s">
        <v>158</v>
      </c>
      <c r="Z78" s="54">
        <v>500</v>
      </c>
      <c r="AA78" s="25">
        <f>VLOOKUP(F78,'Zones '!$A$2:$F$2056,6,FALSE)</f>
        <v>1397</v>
      </c>
      <c r="AB78" s="25">
        <f>VLOOKUP(L78,'Zones '!$A$2:$F$2056,6,FALSE)</f>
        <v>572</v>
      </c>
    </row>
    <row r="79" spans="2:28">
      <c r="B79" s="40">
        <v>0.49236111111111108</v>
      </c>
      <c r="C79" s="40" t="s">
        <v>256</v>
      </c>
      <c r="D79" s="41">
        <v>1</v>
      </c>
      <c r="E79" s="42">
        <v>1</v>
      </c>
      <c r="F79" s="42" t="s">
        <v>155</v>
      </c>
      <c r="G79" s="43" t="s">
        <v>156</v>
      </c>
      <c r="H79" s="42" t="s">
        <v>157</v>
      </c>
      <c r="I79" s="43">
        <v>1</v>
      </c>
      <c r="J79" s="43">
        <v>1</v>
      </c>
      <c r="K79" s="25" t="str">
        <f>VLOOKUP(J79,Key!$E$2:$F$9,2,FALSE)</f>
        <v>Home</v>
      </c>
      <c r="L79" s="42" t="s">
        <v>162</v>
      </c>
      <c r="M79" s="43" t="s">
        <v>156</v>
      </c>
      <c r="N79" s="42" t="s">
        <v>157</v>
      </c>
      <c r="O79" s="43">
        <v>2</v>
      </c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52">
        <v>2</v>
      </c>
      <c r="T79" s="52">
        <v>0.5</v>
      </c>
      <c r="U79" s="43">
        <v>6</v>
      </c>
      <c r="V79" s="43"/>
      <c r="W79" s="52"/>
      <c r="X79" s="52"/>
      <c r="Y79" s="53" t="s">
        <v>158</v>
      </c>
      <c r="Z79" s="54">
        <v>5000</v>
      </c>
      <c r="AA79" s="25">
        <f>VLOOKUP(F79,'Zones '!$A$2:$F$2056,6,FALSE)</f>
        <v>1397</v>
      </c>
      <c r="AB79" s="25">
        <f>VLOOKUP(L79,'Zones '!$A$2:$F$2056,6,FALSE)</f>
        <v>1397</v>
      </c>
    </row>
    <row r="80" spans="2:28">
      <c r="B80" s="40">
        <v>0.5</v>
      </c>
      <c r="C80" s="40" t="s">
        <v>257</v>
      </c>
      <c r="D80" s="41">
        <v>1</v>
      </c>
      <c r="E80" s="42">
        <v>4</v>
      </c>
      <c r="F80" s="42" t="s">
        <v>155</v>
      </c>
      <c r="G80" s="43" t="s">
        <v>156</v>
      </c>
      <c r="H80" s="42" t="s">
        <v>157</v>
      </c>
      <c r="I80" s="43">
        <v>1</v>
      </c>
      <c r="J80" s="43">
        <v>1</v>
      </c>
      <c r="K80" s="25" t="str">
        <f>VLOOKUP(J80,Key!$E$2:$F$9,2,FALSE)</f>
        <v>Home</v>
      </c>
      <c r="L80" s="42" t="s">
        <v>207</v>
      </c>
      <c r="M80" s="43" t="s">
        <v>156</v>
      </c>
      <c r="N80" s="42" t="s">
        <v>157</v>
      </c>
      <c r="O80" s="43">
        <v>2</v>
      </c>
      <c r="P80" s="43">
        <v>2</v>
      </c>
      <c r="Q80" s="25" t="str">
        <f>VLOOKUP(P80,Key!$E$2:$F$9,2,FALSE)</f>
        <v>Work</v>
      </c>
      <c r="R80" s="25" t="str">
        <f t="shared" si="1"/>
        <v>Home-Work</v>
      </c>
      <c r="S80" s="52">
        <v>2</v>
      </c>
      <c r="T80" s="52">
        <v>0.5</v>
      </c>
      <c r="U80" s="43">
        <v>2</v>
      </c>
      <c r="V80" s="43"/>
      <c r="W80" s="52"/>
      <c r="X80" s="52"/>
      <c r="Y80" s="53" t="s">
        <v>158</v>
      </c>
      <c r="Z80" s="54">
        <v>1000</v>
      </c>
      <c r="AA80" s="25">
        <f>VLOOKUP(F80,'Zones '!$A$2:$F$2056,6,FALSE)</f>
        <v>1397</v>
      </c>
      <c r="AB80" s="25">
        <f>VLOOKUP(L80,'Zones '!$A$2:$F$2056,6,FALSE)</f>
        <v>1397</v>
      </c>
    </row>
    <row r="81" spans="2:28">
      <c r="B81" s="40">
        <v>0.51527777777777783</v>
      </c>
      <c r="C81" s="40" t="s">
        <v>258</v>
      </c>
      <c r="D81" s="41">
        <v>2</v>
      </c>
      <c r="E81" s="42">
        <v>4</v>
      </c>
      <c r="F81" s="42" t="s">
        <v>226</v>
      </c>
      <c r="G81" s="43" t="s">
        <v>156</v>
      </c>
      <c r="H81" s="42" t="s">
        <v>157</v>
      </c>
      <c r="I81" s="43">
        <v>1</v>
      </c>
      <c r="J81" s="43">
        <v>1</v>
      </c>
      <c r="K81" s="25" t="str">
        <f>VLOOKUP(J81,Key!$E$2:$F$9,2,FALSE)</f>
        <v>Home</v>
      </c>
      <c r="L81" s="42" t="s">
        <v>259</v>
      </c>
      <c r="M81" s="43" t="s">
        <v>156</v>
      </c>
      <c r="N81" s="42" t="s">
        <v>157</v>
      </c>
      <c r="O81" s="43">
        <v>2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52">
        <v>10</v>
      </c>
      <c r="T81" s="52">
        <v>0.5</v>
      </c>
      <c r="U81" s="43">
        <v>2</v>
      </c>
      <c r="V81" s="43"/>
      <c r="W81" s="52"/>
      <c r="X81" s="52"/>
      <c r="Y81" s="53" t="s">
        <v>158</v>
      </c>
      <c r="Z81" s="54">
        <v>2000</v>
      </c>
      <c r="AA81" s="25">
        <f>VLOOKUP(F81,'Zones '!$A$2:$F$2056,6,FALSE)</f>
        <v>1397</v>
      </c>
      <c r="AB81" s="25">
        <f>VLOOKUP(L81,'Zones '!$A$2:$F$2056,6,FALSE)</f>
        <v>1389</v>
      </c>
    </row>
    <row r="82" spans="2:28">
      <c r="B82" s="40">
        <v>0.53125</v>
      </c>
      <c r="C82" s="40" t="s">
        <v>260</v>
      </c>
      <c r="D82" s="41">
        <v>1</v>
      </c>
      <c r="E82" s="42">
        <v>3</v>
      </c>
      <c r="F82" s="42" t="s">
        <v>150</v>
      </c>
      <c r="G82" s="43" t="s">
        <v>156</v>
      </c>
      <c r="H82" s="42" t="s">
        <v>157</v>
      </c>
      <c r="I82" s="43">
        <v>1</v>
      </c>
      <c r="J82" s="43">
        <v>1</v>
      </c>
      <c r="K82" s="25" t="str">
        <f>VLOOKUP(J82,Key!$E$2:$F$9,2,FALSE)</f>
        <v>Home</v>
      </c>
      <c r="L82" s="42" t="s">
        <v>224</v>
      </c>
      <c r="M82" s="43" t="s">
        <v>224</v>
      </c>
      <c r="N82" s="42" t="s">
        <v>157</v>
      </c>
      <c r="O82" s="43">
        <v>2</v>
      </c>
      <c r="P82" s="43">
        <v>2</v>
      </c>
      <c r="Q82" s="25" t="str">
        <f>VLOOKUP(P82,Key!$E$2:$F$9,2,FALSE)</f>
        <v>Work</v>
      </c>
      <c r="R82" s="25" t="str">
        <f t="shared" si="1"/>
        <v>Home-Work</v>
      </c>
      <c r="S82" s="52">
        <v>15</v>
      </c>
      <c r="T82" s="52">
        <v>0.7</v>
      </c>
      <c r="U82" s="43">
        <v>2</v>
      </c>
      <c r="V82" s="43"/>
      <c r="W82" s="52"/>
      <c r="X82" s="52"/>
      <c r="Y82" s="53" t="s">
        <v>158</v>
      </c>
      <c r="Z82" s="54">
        <v>1000</v>
      </c>
      <c r="AA82" s="25">
        <f>VLOOKUP(F82,'Zones '!$A$2:$F$2056,6,FALSE)</f>
        <v>1397</v>
      </c>
      <c r="AB82" s="25">
        <f>VLOOKUP(L82,'Zones '!$A$2:$F$2056,6,FALSE)</f>
        <v>1037</v>
      </c>
    </row>
    <row r="83" spans="2:28">
      <c r="B83" s="40">
        <v>0.54166666666666663</v>
      </c>
      <c r="C83" s="40" t="s">
        <v>261</v>
      </c>
      <c r="D83" s="41">
        <v>1</v>
      </c>
      <c r="E83" s="42">
        <v>2</v>
      </c>
      <c r="F83" s="42" t="s">
        <v>226</v>
      </c>
      <c r="G83" s="43" t="s">
        <v>156</v>
      </c>
      <c r="H83" s="42" t="s">
        <v>157</v>
      </c>
      <c r="I83" s="43">
        <v>1</v>
      </c>
      <c r="J83" s="43">
        <v>1</v>
      </c>
      <c r="K83" s="25" t="str">
        <f>VLOOKUP(J83,Key!$E$2:$F$9,2,FALSE)</f>
        <v>Home</v>
      </c>
      <c r="L83" s="42" t="s">
        <v>187</v>
      </c>
      <c r="M83" s="43" t="s">
        <v>187</v>
      </c>
      <c r="N83" s="42" t="s">
        <v>157</v>
      </c>
      <c r="O83" s="43">
        <v>2</v>
      </c>
      <c r="P83" s="43">
        <v>2</v>
      </c>
      <c r="Q83" s="25" t="str">
        <f>VLOOKUP(P83,Key!$E$2:$F$9,2,FALSE)</f>
        <v>Work</v>
      </c>
      <c r="R83" s="25" t="str">
        <f t="shared" si="1"/>
        <v>Home-Work</v>
      </c>
      <c r="S83" s="52">
        <v>20</v>
      </c>
      <c r="T83" s="52">
        <v>0.5</v>
      </c>
      <c r="U83" s="43">
        <v>2</v>
      </c>
      <c r="V83" s="43"/>
      <c r="W83" s="52"/>
      <c r="X83" s="52"/>
      <c r="Y83" s="53" t="s">
        <v>158</v>
      </c>
      <c r="Z83" s="54">
        <v>500</v>
      </c>
      <c r="AA83" s="25">
        <f>VLOOKUP(F83,'Zones '!$A$2:$F$2056,6,FALSE)</f>
        <v>1397</v>
      </c>
      <c r="AB83" s="25">
        <f>VLOOKUP(L83,'Zones '!$A$2:$F$2056,6,FALSE)</f>
        <v>521</v>
      </c>
    </row>
    <row r="84" spans="2:28">
      <c r="B84" s="40">
        <v>0.53472222222222221</v>
      </c>
      <c r="C84" s="40" t="s">
        <v>262</v>
      </c>
      <c r="D84" s="41">
        <v>1</v>
      </c>
      <c r="E84" s="42">
        <v>3</v>
      </c>
      <c r="F84" s="42" t="s">
        <v>187</v>
      </c>
      <c r="G84" s="43" t="s">
        <v>187</v>
      </c>
      <c r="H84" s="42" t="s">
        <v>157</v>
      </c>
      <c r="I84" s="43">
        <v>1</v>
      </c>
      <c r="J84" s="43">
        <v>1</v>
      </c>
      <c r="K84" s="25" t="str">
        <f>VLOOKUP(J84,Key!$E$2:$F$9,2,FALSE)</f>
        <v>Home</v>
      </c>
      <c r="L84" s="42" t="s">
        <v>675</v>
      </c>
      <c r="M84" s="43" t="s">
        <v>263</v>
      </c>
      <c r="N84" s="42" t="s">
        <v>157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52">
        <v>160</v>
      </c>
      <c r="T84" s="52">
        <v>1</v>
      </c>
      <c r="U84" s="43">
        <v>6</v>
      </c>
      <c r="V84" s="43"/>
      <c r="W84" s="52"/>
      <c r="X84" s="52"/>
      <c r="Y84" s="53" t="s">
        <v>158</v>
      </c>
      <c r="Z84" s="54">
        <v>0</v>
      </c>
      <c r="AA84" s="25">
        <f>VLOOKUP(F84,'Zones '!$A$2:$F$2056,6,FALSE)</f>
        <v>521</v>
      </c>
      <c r="AB84" s="25">
        <f>VLOOKUP(L84,'Zones '!$A$2:$F$2056,6,FALSE)</f>
        <v>291</v>
      </c>
    </row>
    <row r="85" spans="2:28">
      <c r="B85" s="40">
        <v>0.54513888888888895</v>
      </c>
      <c r="C85" s="40" t="s">
        <v>264</v>
      </c>
      <c r="D85" s="41">
        <v>1</v>
      </c>
      <c r="E85" s="42">
        <v>1</v>
      </c>
      <c r="F85" s="42" t="s">
        <v>160</v>
      </c>
      <c r="G85" s="43" t="s">
        <v>156</v>
      </c>
      <c r="H85" s="42" t="s">
        <v>157</v>
      </c>
      <c r="I85" s="43">
        <v>1</v>
      </c>
      <c r="J85" s="43">
        <v>1</v>
      </c>
      <c r="K85" s="25" t="str">
        <f>VLOOKUP(J85,Key!$E$2:$F$9,2,FALSE)</f>
        <v>Home</v>
      </c>
      <c r="L85" s="42" t="s">
        <v>187</v>
      </c>
      <c r="M85" s="43" t="s">
        <v>187</v>
      </c>
      <c r="N85" s="42" t="s">
        <v>157</v>
      </c>
      <c r="O85" s="43">
        <v>2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52">
        <v>11</v>
      </c>
      <c r="T85" s="52">
        <v>1</v>
      </c>
      <c r="U85" s="43">
        <v>2</v>
      </c>
      <c r="V85" s="43"/>
      <c r="W85" s="52"/>
      <c r="X85" s="52"/>
      <c r="Y85" s="53" t="s">
        <v>158</v>
      </c>
      <c r="Z85" s="54">
        <v>5000</v>
      </c>
      <c r="AA85" s="25">
        <f>VLOOKUP(F85,'Zones '!$A$2:$F$2056,6,FALSE)</f>
        <v>589</v>
      </c>
      <c r="AB85" s="25">
        <f>VLOOKUP(L85,'Zones '!$A$2:$F$2056,6,FALSE)</f>
        <v>521</v>
      </c>
    </row>
    <row r="86" spans="2:28">
      <c r="B86" s="40">
        <v>0.55208333333333337</v>
      </c>
      <c r="C86" s="40" t="s">
        <v>265</v>
      </c>
      <c r="D86" s="41">
        <v>7</v>
      </c>
      <c r="E86" s="42">
        <v>2</v>
      </c>
      <c r="F86" s="42" t="s">
        <v>155</v>
      </c>
      <c r="G86" s="43" t="s">
        <v>156</v>
      </c>
      <c r="H86" s="42" t="s">
        <v>157</v>
      </c>
      <c r="I86" s="43">
        <v>1</v>
      </c>
      <c r="J86" s="43">
        <v>1</v>
      </c>
      <c r="K86" s="25" t="str">
        <f>VLOOKUP(J86,Key!$E$2:$F$9,2,FALSE)</f>
        <v>Home</v>
      </c>
      <c r="L86" s="42" t="s">
        <v>162</v>
      </c>
      <c r="M86" s="43" t="s">
        <v>156</v>
      </c>
      <c r="N86" s="42" t="s">
        <v>157</v>
      </c>
      <c r="O86" s="43">
        <v>3</v>
      </c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52">
        <v>4</v>
      </c>
      <c r="T86" s="52">
        <v>0.3</v>
      </c>
      <c r="U86" s="43">
        <v>2</v>
      </c>
      <c r="V86" s="43"/>
      <c r="W86" s="52"/>
      <c r="X86" s="52"/>
      <c r="Y86" s="53" t="s">
        <v>158</v>
      </c>
      <c r="Z86" s="54">
        <v>500</v>
      </c>
      <c r="AA86" s="25">
        <f>VLOOKUP(F86,'Zones '!$A$2:$F$2056,6,FALSE)</f>
        <v>1397</v>
      </c>
      <c r="AB86" s="25">
        <f>VLOOKUP(L86,'Zones '!$A$2:$F$2056,6,FALSE)</f>
        <v>1397</v>
      </c>
    </row>
    <row r="87" spans="2:28">
      <c r="B87" s="40">
        <v>0.56180555555555556</v>
      </c>
      <c r="C87" s="40" t="s">
        <v>266</v>
      </c>
      <c r="D87" s="41">
        <v>2</v>
      </c>
      <c r="E87" s="42">
        <v>2</v>
      </c>
      <c r="F87" s="42" t="s">
        <v>155</v>
      </c>
      <c r="G87" s="43" t="s">
        <v>156</v>
      </c>
      <c r="H87" s="42" t="s">
        <v>157</v>
      </c>
      <c r="I87" s="43">
        <v>3</v>
      </c>
      <c r="J87" s="43">
        <v>2</v>
      </c>
      <c r="K87" s="25" t="str">
        <f>VLOOKUP(J87,Key!$E$2:$F$9,2,FALSE)</f>
        <v>Work</v>
      </c>
      <c r="L87" s="42" t="s">
        <v>162</v>
      </c>
      <c r="M87" s="43" t="s">
        <v>156</v>
      </c>
      <c r="N87" s="42" t="s">
        <v>157</v>
      </c>
      <c r="O87" s="43">
        <v>1</v>
      </c>
      <c r="P87" s="43">
        <v>1</v>
      </c>
      <c r="Q87" s="25" t="str">
        <f>VLOOKUP(P87,Key!$E$2:$F$9,2,FALSE)</f>
        <v>Home</v>
      </c>
      <c r="R87" s="25" t="str">
        <f t="shared" si="1"/>
        <v>Work-Home</v>
      </c>
      <c r="S87" s="52">
        <v>5</v>
      </c>
      <c r="T87" s="52">
        <v>0.5</v>
      </c>
      <c r="U87" s="43">
        <v>6</v>
      </c>
      <c r="V87" s="43"/>
      <c r="W87" s="52"/>
      <c r="X87" s="52"/>
      <c r="Y87" s="53" t="s">
        <v>158</v>
      </c>
      <c r="Z87" s="54">
        <v>10000</v>
      </c>
      <c r="AA87" s="25">
        <f>VLOOKUP(F87,'Zones '!$A$2:$F$2056,6,FALSE)</f>
        <v>1397</v>
      </c>
      <c r="AB87" s="25">
        <f>VLOOKUP(L87,'Zones '!$A$2:$F$2056,6,FALSE)</f>
        <v>1397</v>
      </c>
    </row>
    <row r="88" spans="2:28">
      <c r="B88" s="40">
        <v>0.56388888888888888</v>
      </c>
      <c r="C88" s="40" t="s">
        <v>267</v>
      </c>
      <c r="D88" s="41">
        <v>4</v>
      </c>
      <c r="E88" s="42">
        <v>14</v>
      </c>
      <c r="F88" s="42" t="s">
        <v>187</v>
      </c>
      <c r="G88" s="43" t="s">
        <v>187</v>
      </c>
      <c r="H88" s="42" t="s">
        <v>157</v>
      </c>
      <c r="I88" s="43">
        <v>6</v>
      </c>
      <c r="J88" s="43">
        <v>2</v>
      </c>
      <c r="K88" s="25" t="str">
        <f>VLOOKUP(J88,Key!$E$2:$F$9,2,FALSE)</f>
        <v>Work</v>
      </c>
      <c r="L88" s="42" t="s">
        <v>162</v>
      </c>
      <c r="M88" s="43" t="s">
        <v>156</v>
      </c>
      <c r="N88" s="42" t="s">
        <v>157</v>
      </c>
      <c r="O88" s="43">
        <v>6</v>
      </c>
      <c r="P88" s="43">
        <v>2</v>
      </c>
      <c r="Q88" s="25" t="str">
        <f>VLOOKUP(P88,Key!$E$2:$F$9,2,FALSE)</f>
        <v>Work</v>
      </c>
      <c r="R88" s="25" t="str">
        <f t="shared" si="1"/>
        <v>Work-Work</v>
      </c>
      <c r="S88" s="52">
        <v>18</v>
      </c>
      <c r="T88" s="52">
        <v>1</v>
      </c>
      <c r="U88" s="43">
        <v>2</v>
      </c>
      <c r="V88" s="43"/>
      <c r="W88" s="52"/>
      <c r="X88" s="52"/>
      <c r="Y88" s="53" t="s">
        <v>158</v>
      </c>
      <c r="Z88" s="54">
        <v>500</v>
      </c>
      <c r="AA88" s="25">
        <f>VLOOKUP(F88,'Zones '!$A$2:$F$2056,6,FALSE)</f>
        <v>521</v>
      </c>
      <c r="AB88" s="25">
        <f>VLOOKUP(L88,'Zones '!$A$2:$F$2056,6,FALSE)</f>
        <v>1397</v>
      </c>
    </row>
    <row r="89" spans="2:28">
      <c r="B89" s="40">
        <v>0.58263888888888882</v>
      </c>
      <c r="C89" s="40" t="s">
        <v>268</v>
      </c>
      <c r="D89" s="41">
        <v>1</v>
      </c>
      <c r="E89" s="42">
        <v>1</v>
      </c>
      <c r="F89" s="42" t="s">
        <v>2863</v>
      </c>
      <c r="G89" s="43" t="s">
        <v>156</v>
      </c>
      <c r="H89" s="42" t="s">
        <v>157</v>
      </c>
      <c r="I89" s="43">
        <v>1</v>
      </c>
      <c r="J89" s="43">
        <v>1</v>
      </c>
      <c r="K89" s="25" t="str">
        <f>VLOOKUP(J89,Key!$E$2:$F$9,2,FALSE)</f>
        <v>Home</v>
      </c>
      <c r="L89" s="42" t="s">
        <v>2863</v>
      </c>
      <c r="M89" s="43" t="s">
        <v>156</v>
      </c>
      <c r="N89" s="42" t="s">
        <v>157</v>
      </c>
      <c r="O89" s="43">
        <v>2</v>
      </c>
      <c r="P89" s="43">
        <v>2</v>
      </c>
      <c r="Q89" s="25" t="str">
        <f>VLOOKUP(P89,Key!$E$2:$F$9,2,FALSE)</f>
        <v>Work</v>
      </c>
      <c r="R89" s="25" t="str">
        <f t="shared" si="1"/>
        <v>Home-Work</v>
      </c>
      <c r="S89" s="52">
        <v>16</v>
      </c>
      <c r="T89" s="52">
        <v>1</v>
      </c>
      <c r="U89" s="43">
        <v>3</v>
      </c>
      <c r="V89" s="43"/>
      <c r="W89" s="52"/>
      <c r="X89" s="52"/>
      <c r="Y89" s="53" t="s">
        <v>158</v>
      </c>
      <c r="Z89" s="54">
        <v>500</v>
      </c>
      <c r="AA89" s="25">
        <f>VLOOKUP(F89,'Zones '!$A$2:$F$2056,6,FALSE)</f>
        <v>1408</v>
      </c>
      <c r="AB89" s="25">
        <f>VLOOKUP(L89,'Zones '!$A$2:$F$2056,6,FALSE)</f>
        <v>1408</v>
      </c>
    </row>
    <row r="90" spans="2:28">
      <c r="B90" s="40">
        <v>0.59375</v>
      </c>
      <c r="C90" s="40" t="s">
        <v>269</v>
      </c>
      <c r="D90" s="41">
        <v>1</v>
      </c>
      <c r="E90" s="42">
        <v>2</v>
      </c>
      <c r="F90" s="42" t="s">
        <v>155</v>
      </c>
      <c r="G90" s="43" t="s">
        <v>156</v>
      </c>
      <c r="H90" s="42" t="s">
        <v>157</v>
      </c>
      <c r="I90" s="43">
        <v>1</v>
      </c>
      <c r="J90" s="43">
        <v>1</v>
      </c>
      <c r="K90" s="25" t="str">
        <f>VLOOKUP(J90,Key!$E$2:$F$9,2,FALSE)</f>
        <v>Home</v>
      </c>
      <c r="L90" s="42" t="s">
        <v>150</v>
      </c>
      <c r="M90" s="43" t="s">
        <v>156</v>
      </c>
      <c r="N90" s="42" t="s">
        <v>157</v>
      </c>
      <c r="O90" s="43">
        <v>3</v>
      </c>
      <c r="P90" s="43">
        <v>2</v>
      </c>
      <c r="Q90" s="25" t="str">
        <f>VLOOKUP(P90,Key!$E$2:$F$9,2,FALSE)</f>
        <v>Work</v>
      </c>
      <c r="R90" s="25" t="str">
        <f t="shared" si="1"/>
        <v>Home-Work</v>
      </c>
      <c r="S90" s="52">
        <v>1.5</v>
      </c>
      <c r="T90" s="52">
        <v>0.2</v>
      </c>
      <c r="U90" s="43">
        <v>2</v>
      </c>
      <c r="V90" s="43"/>
      <c r="W90" s="52"/>
      <c r="X90" s="52"/>
      <c r="Y90" s="53" t="s">
        <v>158</v>
      </c>
      <c r="Z90" s="54">
        <v>1000</v>
      </c>
      <c r="AA90" s="25">
        <f>VLOOKUP(F90,'Zones '!$A$2:$F$2056,6,FALSE)</f>
        <v>1397</v>
      </c>
      <c r="AB90" s="25">
        <f>VLOOKUP(L90,'Zones '!$A$2:$F$2056,6,FALSE)</f>
        <v>1397</v>
      </c>
    </row>
    <row r="91" spans="2:28">
      <c r="B91" s="40">
        <v>0.60069444444444442</v>
      </c>
      <c r="C91" s="40" t="s">
        <v>270</v>
      </c>
      <c r="D91" s="41">
        <v>1</v>
      </c>
      <c r="E91" s="42">
        <v>2</v>
      </c>
      <c r="F91" s="42" t="s">
        <v>155</v>
      </c>
      <c r="G91" s="43" t="s">
        <v>156</v>
      </c>
      <c r="H91" s="42" t="s">
        <v>157</v>
      </c>
      <c r="I91" s="43">
        <v>1</v>
      </c>
      <c r="J91" s="43">
        <v>1</v>
      </c>
      <c r="K91" s="25" t="str">
        <f>VLOOKUP(J91,Key!$E$2:$F$9,2,FALSE)</f>
        <v>Home</v>
      </c>
      <c r="L91" s="42" t="s">
        <v>352</v>
      </c>
      <c r="M91" s="43" t="s">
        <v>156</v>
      </c>
      <c r="N91" s="42" t="s">
        <v>157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Home-Work</v>
      </c>
      <c r="S91" s="52">
        <v>10</v>
      </c>
      <c r="T91" s="52">
        <v>0.6</v>
      </c>
      <c r="U91" s="43">
        <v>2</v>
      </c>
      <c r="V91" s="43"/>
      <c r="W91" s="52"/>
      <c r="X91" s="52"/>
      <c r="Y91" s="53" t="s">
        <v>158</v>
      </c>
      <c r="Z91" s="54">
        <v>2000</v>
      </c>
      <c r="AA91" s="25">
        <f>VLOOKUP(F91,'Zones '!$A$2:$F$2056,6,FALSE)</f>
        <v>1397</v>
      </c>
      <c r="AB91" s="25">
        <f>VLOOKUP(L91,'Zones '!$A$2:$F$2056,6,FALSE)</f>
        <v>1397</v>
      </c>
    </row>
    <row r="92" spans="2:28">
      <c r="B92" s="40">
        <v>0.61041666666666672</v>
      </c>
      <c r="C92" s="40" t="s">
        <v>271</v>
      </c>
      <c r="D92" s="41">
        <v>1</v>
      </c>
      <c r="E92" s="42">
        <v>3</v>
      </c>
      <c r="F92" s="42" t="s">
        <v>160</v>
      </c>
      <c r="G92" s="43" t="s">
        <v>156</v>
      </c>
      <c r="H92" s="42" t="s">
        <v>157</v>
      </c>
      <c r="I92" s="43">
        <v>1</v>
      </c>
      <c r="J92" s="43">
        <v>1</v>
      </c>
      <c r="K92" s="25" t="str">
        <f>VLOOKUP(J92,Key!$E$2:$F$9,2,FALSE)</f>
        <v>Home</v>
      </c>
      <c r="L92" s="42" t="s">
        <v>352</v>
      </c>
      <c r="M92" s="43" t="s">
        <v>156</v>
      </c>
      <c r="N92" s="42" t="s">
        <v>157</v>
      </c>
      <c r="O92" s="43">
        <v>2</v>
      </c>
      <c r="P92" s="43">
        <v>2</v>
      </c>
      <c r="Q92" s="25" t="str">
        <f>VLOOKUP(P92,Key!$E$2:$F$9,2,FALSE)</f>
        <v>Work</v>
      </c>
      <c r="R92" s="25" t="str">
        <f t="shared" si="1"/>
        <v>Home-Work</v>
      </c>
      <c r="S92" s="52">
        <v>10</v>
      </c>
      <c r="T92" s="52">
        <v>0.6</v>
      </c>
      <c r="U92" s="43">
        <v>2</v>
      </c>
      <c r="V92" s="43"/>
      <c r="W92" s="52"/>
      <c r="X92" s="52"/>
      <c r="Y92" s="53" t="s">
        <v>158</v>
      </c>
      <c r="Z92" s="54">
        <v>1000</v>
      </c>
      <c r="AA92" s="25">
        <f>VLOOKUP(F92,'Zones '!$A$2:$F$2056,6,FALSE)</f>
        <v>589</v>
      </c>
      <c r="AB92" s="25">
        <f>VLOOKUP(L92,'Zones '!$A$2:$F$2056,6,FALSE)</f>
        <v>1397</v>
      </c>
    </row>
    <row r="93" spans="2:28">
      <c r="B93" s="40">
        <v>0.61249999999999993</v>
      </c>
      <c r="C93" s="40" t="s">
        <v>272</v>
      </c>
      <c r="D93" s="41">
        <v>1</v>
      </c>
      <c r="E93" s="42">
        <v>3</v>
      </c>
      <c r="F93" s="42" t="s">
        <v>160</v>
      </c>
      <c r="G93" s="43" t="s">
        <v>156</v>
      </c>
      <c r="H93" s="42" t="s">
        <v>157</v>
      </c>
      <c r="I93" s="43">
        <v>1</v>
      </c>
      <c r="J93" s="43">
        <v>1</v>
      </c>
      <c r="K93" s="25" t="str">
        <f>VLOOKUP(J93,Key!$E$2:$F$9,2,FALSE)</f>
        <v>Home</v>
      </c>
      <c r="L93" s="42" t="s">
        <v>166</v>
      </c>
      <c r="M93" s="43" t="s">
        <v>156</v>
      </c>
      <c r="N93" s="42" t="s">
        <v>157</v>
      </c>
      <c r="O93" s="43">
        <v>2</v>
      </c>
      <c r="P93" s="43">
        <v>2</v>
      </c>
      <c r="Q93" s="25" t="str">
        <f>VLOOKUP(P93,Key!$E$2:$F$9,2,FALSE)</f>
        <v>Work</v>
      </c>
      <c r="R93" s="25" t="str">
        <f t="shared" si="1"/>
        <v>Home-Work</v>
      </c>
      <c r="S93" s="52">
        <v>20</v>
      </c>
      <c r="T93" s="52">
        <v>1</v>
      </c>
      <c r="U93" s="43">
        <v>2</v>
      </c>
      <c r="V93" s="43"/>
      <c r="W93" s="52"/>
      <c r="X93" s="52"/>
      <c r="Y93" s="53" t="s">
        <v>158</v>
      </c>
      <c r="Z93" s="54">
        <v>3000</v>
      </c>
      <c r="AA93" s="25">
        <f>VLOOKUP(F93,'Zones '!$A$2:$F$2056,6,FALSE)</f>
        <v>589</v>
      </c>
      <c r="AB93" s="25">
        <f>VLOOKUP(L93,'Zones '!$A$2:$F$2056,6,FALSE)</f>
        <v>1397</v>
      </c>
    </row>
    <row r="94" spans="2:28">
      <c r="B94" s="40">
        <v>0.61805555555555558</v>
      </c>
      <c r="C94" s="40" t="s">
        <v>273</v>
      </c>
      <c r="D94" s="41">
        <v>1</v>
      </c>
      <c r="E94" s="42">
        <v>3</v>
      </c>
      <c r="F94" s="42" t="s">
        <v>226</v>
      </c>
      <c r="G94" s="43" t="s">
        <v>156</v>
      </c>
      <c r="H94" s="42" t="s">
        <v>157</v>
      </c>
      <c r="I94" s="43">
        <v>2</v>
      </c>
      <c r="J94" s="43">
        <v>2</v>
      </c>
      <c r="K94" s="25" t="str">
        <f>VLOOKUP(J94,Key!$E$2:$F$9,2,FALSE)</f>
        <v>Work</v>
      </c>
      <c r="L94" s="42" t="s">
        <v>162</v>
      </c>
      <c r="M94" s="43" t="s">
        <v>156</v>
      </c>
      <c r="N94" s="42" t="s">
        <v>157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Work-Home</v>
      </c>
      <c r="S94" s="52">
        <v>2.5</v>
      </c>
      <c r="T94" s="52">
        <v>0.4</v>
      </c>
      <c r="U94" s="43">
        <v>2</v>
      </c>
      <c r="V94" s="43"/>
      <c r="W94" s="52"/>
      <c r="X94" s="52"/>
      <c r="Y94" s="53" t="s">
        <v>158</v>
      </c>
      <c r="Z94" s="54">
        <v>500</v>
      </c>
      <c r="AA94" s="25">
        <f>VLOOKUP(F94,'Zones '!$A$2:$F$2056,6,FALSE)</f>
        <v>1397</v>
      </c>
      <c r="AB94" s="25">
        <f>VLOOKUP(L94,'Zones '!$A$2:$F$2056,6,FALSE)</f>
        <v>1397</v>
      </c>
    </row>
    <row r="95" spans="2:28">
      <c r="B95" s="40">
        <v>0.62430555555555556</v>
      </c>
      <c r="C95" s="40" t="s">
        <v>274</v>
      </c>
      <c r="D95" s="41">
        <v>1</v>
      </c>
      <c r="E95" s="42">
        <v>2</v>
      </c>
      <c r="F95" s="42" t="s">
        <v>179</v>
      </c>
      <c r="G95" s="43" t="s">
        <v>156</v>
      </c>
      <c r="H95" s="42" t="s">
        <v>157</v>
      </c>
      <c r="I95" s="43">
        <v>2</v>
      </c>
      <c r="J95" s="43">
        <v>2</v>
      </c>
      <c r="K95" s="25" t="str">
        <f>VLOOKUP(J95,Key!$E$2:$F$9,2,FALSE)</f>
        <v>Work</v>
      </c>
      <c r="L95" s="42" t="s">
        <v>150</v>
      </c>
      <c r="M95" s="43" t="s">
        <v>156</v>
      </c>
      <c r="N95" s="42" t="s">
        <v>157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Work-Home</v>
      </c>
      <c r="S95" s="52">
        <v>3</v>
      </c>
      <c r="T95" s="52">
        <v>0.5</v>
      </c>
      <c r="U95" s="43">
        <v>2</v>
      </c>
      <c r="V95" s="43"/>
      <c r="W95" s="52"/>
      <c r="X95" s="52"/>
      <c r="Y95" s="53" t="s">
        <v>158</v>
      </c>
      <c r="Z95" s="54">
        <v>1000</v>
      </c>
      <c r="AA95" s="25">
        <f>VLOOKUP(F95,'Zones '!$A$2:$F$2056,6,FALSE)</f>
        <v>905</v>
      </c>
      <c r="AB95" s="25">
        <f>VLOOKUP(L95,'Zones '!$A$2:$F$2056,6,FALSE)</f>
        <v>1397</v>
      </c>
    </row>
    <row r="96" spans="2:28">
      <c r="B96" s="40">
        <v>0.625</v>
      </c>
      <c r="C96" s="40" t="s">
        <v>275</v>
      </c>
      <c r="D96" s="41">
        <v>1</v>
      </c>
      <c r="E96" s="42">
        <v>2</v>
      </c>
      <c r="F96" s="42" t="s">
        <v>155</v>
      </c>
      <c r="G96" s="43" t="s">
        <v>156</v>
      </c>
      <c r="H96" s="42" t="s">
        <v>157</v>
      </c>
      <c r="I96" s="43">
        <v>1</v>
      </c>
      <c r="J96" s="43">
        <v>1</v>
      </c>
      <c r="K96" s="25" t="str">
        <f>VLOOKUP(J96,Key!$E$2:$F$9,2,FALSE)</f>
        <v>Home</v>
      </c>
      <c r="L96" s="42" t="s">
        <v>150</v>
      </c>
      <c r="M96" s="43" t="s">
        <v>156</v>
      </c>
      <c r="N96" s="42" t="s">
        <v>157</v>
      </c>
      <c r="O96" s="43">
        <v>2</v>
      </c>
      <c r="P96" s="43">
        <v>2</v>
      </c>
      <c r="Q96" s="25" t="str">
        <f>VLOOKUP(P96,Key!$E$2:$F$9,2,FALSE)</f>
        <v>Work</v>
      </c>
      <c r="R96" s="25" t="str">
        <f t="shared" si="1"/>
        <v>Home-Work</v>
      </c>
      <c r="S96" s="52">
        <v>2</v>
      </c>
      <c r="T96" s="52">
        <v>0.2</v>
      </c>
      <c r="U96" s="43">
        <v>2</v>
      </c>
      <c r="V96" s="43"/>
      <c r="W96" s="52"/>
      <c r="X96" s="52"/>
      <c r="Y96" s="53" t="s">
        <v>158</v>
      </c>
      <c r="Z96" s="54">
        <v>500</v>
      </c>
      <c r="AA96" s="25">
        <f>VLOOKUP(F96,'Zones '!$A$2:$F$2056,6,FALSE)</f>
        <v>1397</v>
      </c>
      <c r="AB96" s="25">
        <f>VLOOKUP(L96,'Zones '!$A$2:$F$2056,6,FALSE)</f>
        <v>1397</v>
      </c>
    </row>
    <row r="97" spans="2:28">
      <c r="B97" s="40">
        <v>0.62847222222222221</v>
      </c>
      <c r="C97" s="40" t="s">
        <v>276</v>
      </c>
      <c r="D97" s="41">
        <v>2</v>
      </c>
      <c r="E97" s="42">
        <v>2</v>
      </c>
      <c r="F97" s="42" t="s">
        <v>215</v>
      </c>
      <c r="G97" s="43" t="s">
        <v>156</v>
      </c>
      <c r="H97" s="42" t="s">
        <v>157</v>
      </c>
      <c r="I97" s="43">
        <v>2</v>
      </c>
      <c r="J97" s="43">
        <v>2</v>
      </c>
      <c r="K97" s="25" t="str">
        <f>VLOOKUP(J97,Key!$E$2:$F$9,2,FALSE)</f>
        <v>Work</v>
      </c>
      <c r="L97" s="42" t="s">
        <v>177</v>
      </c>
      <c r="M97" s="43" t="s">
        <v>156</v>
      </c>
      <c r="N97" s="42" t="s">
        <v>157</v>
      </c>
      <c r="O97" s="43">
        <v>1</v>
      </c>
      <c r="P97" s="43">
        <v>1</v>
      </c>
      <c r="Q97" s="25" t="str">
        <f>VLOOKUP(P97,Key!$E$2:$F$9,2,FALSE)</f>
        <v>Home</v>
      </c>
      <c r="R97" s="25" t="str">
        <f t="shared" si="1"/>
        <v>Work-Home</v>
      </c>
      <c r="S97" s="52">
        <v>32</v>
      </c>
      <c r="T97" s="52">
        <v>1</v>
      </c>
      <c r="U97" s="43">
        <v>2</v>
      </c>
      <c r="V97" s="43"/>
      <c r="W97" s="52"/>
      <c r="X97" s="52"/>
      <c r="Y97" s="53" t="s">
        <v>158</v>
      </c>
      <c r="Z97" s="54">
        <v>0</v>
      </c>
      <c r="AA97" s="25">
        <f>VLOOKUP(F97,'Zones '!$A$2:$F$2056,6,FALSE)</f>
        <v>1388</v>
      </c>
      <c r="AB97" s="25">
        <f>VLOOKUP(L97,'Zones '!$A$2:$F$2056,6,FALSE)</f>
        <v>1389</v>
      </c>
    </row>
    <row r="98" spans="2:28">
      <c r="B98" s="40">
        <v>0.63541666666666663</v>
      </c>
      <c r="C98" s="40" t="s">
        <v>277</v>
      </c>
      <c r="D98" s="41">
        <v>1</v>
      </c>
      <c r="E98" s="42">
        <v>2</v>
      </c>
      <c r="F98" s="42" t="s">
        <v>155</v>
      </c>
      <c r="G98" s="43" t="s">
        <v>156</v>
      </c>
      <c r="H98" s="42" t="s">
        <v>157</v>
      </c>
      <c r="I98" s="43">
        <v>2</v>
      </c>
      <c r="J98" s="43">
        <v>2</v>
      </c>
      <c r="K98" s="25" t="str">
        <f>VLOOKUP(J98,Key!$E$2:$F$9,2,FALSE)</f>
        <v>Work</v>
      </c>
      <c r="L98" s="42" t="s">
        <v>150</v>
      </c>
      <c r="M98" s="43" t="s">
        <v>156</v>
      </c>
      <c r="N98" s="42" t="s">
        <v>157</v>
      </c>
      <c r="O98" s="43">
        <v>1</v>
      </c>
      <c r="P98" s="43">
        <v>1</v>
      </c>
      <c r="Q98" s="25" t="str">
        <f>VLOOKUP(P98,Key!$E$2:$F$9,2,FALSE)</f>
        <v>Home</v>
      </c>
      <c r="R98" s="25" t="str">
        <f t="shared" si="1"/>
        <v>Work-Home</v>
      </c>
      <c r="S98" s="52">
        <v>1</v>
      </c>
      <c r="T98" s="52">
        <v>0.2</v>
      </c>
      <c r="U98" s="43">
        <v>2</v>
      </c>
      <c r="V98" s="43"/>
      <c r="W98" s="52"/>
      <c r="X98" s="52"/>
      <c r="Y98" s="53" t="s">
        <v>158</v>
      </c>
      <c r="Z98" s="54">
        <v>500</v>
      </c>
      <c r="AA98" s="25">
        <f>VLOOKUP(F98,'Zones '!$A$2:$F$2056,6,FALSE)</f>
        <v>1397</v>
      </c>
      <c r="AB98" s="25">
        <f>VLOOKUP(L98,'Zones '!$A$2:$F$2056,6,FALSE)</f>
        <v>1397</v>
      </c>
    </row>
    <row r="99" spans="2:28">
      <c r="B99" s="40">
        <v>0.85902777777777783</v>
      </c>
      <c r="C99" s="40" t="s">
        <v>278</v>
      </c>
      <c r="D99" s="41">
        <v>11</v>
      </c>
      <c r="E99" s="42">
        <v>1</v>
      </c>
      <c r="F99" s="42" t="s">
        <v>155</v>
      </c>
      <c r="G99" s="43" t="s">
        <v>156</v>
      </c>
      <c r="H99" s="42" t="s">
        <v>157</v>
      </c>
      <c r="I99" s="43">
        <v>8</v>
      </c>
      <c r="J99" s="43">
        <v>2</v>
      </c>
      <c r="K99" s="25" t="str">
        <f>VLOOKUP(J99,Key!$E$2:$F$9,2,FALSE)</f>
        <v>Work</v>
      </c>
      <c r="L99" s="42" t="s">
        <v>162</v>
      </c>
      <c r="M99" s="43" t="s">
        <v>156</v>
      </c>
      <c r="N99" s="42" t="s">
        <v>157</v>
      </c>
      <c r="O99" s="43">
        <v>1</v>
      </c>
      <c r="P99" s="43">
        <v>1</v>
      </c>
      <c r="Q99" s="25" t="str">
        <f>VLOOKUP(P99,Key!$E$2:$F$9,2,FALSE)</f>
        <v>Home</v>
      </c>
      <c r="R99" s="25" t="str">
        <f t="shared" si="1"/>
        <v>Work-Home</v>
      </c>
      <c r="S99" s="52">
        <v>15</v>
      </c>
      <c r="T99" s="52">
        <v>0.5</v>
      </c>
      <c r="U99" s="43">
        <v>1</v>
      </c>
      <c r="V99" s="43"/>
      <c r="W99" s="52"/>
      <c r="X99" s="52"/>
      <c r="Y99" s="53" t="s">
        <v>158</v>
      </c>
      <c r="Z99" s="54">
        <v>2000</v>
      </c>
      <c r="AA99" s="25">
        <f>VLOOKUP(F99,'Zones '!$A$2:$F$2056,6,FALSE)</f>
        <v>1397</v>
      </c>
      <c r="AB99" s="25">
        <f>VLOOKUP(L99,'Zones '!$A$2:$F$2056,6,FALSE)</f>
        <v>1397</v>
      </c>
    </row>
    <row r="100" spans="2:28">
      <c r="B100" s="40">
        <v>0.86249999999999993</v>
      </c>
      <c r="C100" s="40" t="s">
        <v>279</v>
      </c>
      <c r="D100" s="41">
        <v>4</v>
      </c>
      <c r="E100" s="42">
        <v>8</v>
      </c>
      <c r="F100" s="42" t="s">
        <v>187</v>
      </c>
      <c r="G100" s="43" t="s">
        <v>187</v>
      </c>
      <c r="H100" s="42" t="s">
        <v>157</v>
      </c>
      <c r="I100" s="43">
        <v>6</v>
      </c>
      <c r="J100" s="43">
        <v>2</v>
      </c>
      <c r="K100" s="25" t="str">
        <f>VLOOKUP(J100,Key!$E$2:$F$9,2,FALSE)</f>
        <v>Work</v>
      </c>
      <c r="L100" s="42" t="s">
        <v>162</v>
      </c>
      <c r="M100" s="43" t="s">
        <v>156</v>
      </c>
      <c r="N100" s="42" t="s">
        <v>157</v>
      </c>
      <c r="O100" s="43">
        <v>6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2">
        <v>30</v>
      </c>
      <c r="T100" s="52">
        <v>2</v>
      </c>
      <c r="U100" s="43">
        <v>1</v>
      </c>
      <c r="V100" s="43"/>
      <c r="W100" s="52"/>
      <c r="X100" s="52"/>
      <c r="Y100" s="53" t="s">
        <v>158</v>
      </c>
      <c r="Z100" s="54">
        <v>10000</v>
      </c>
      <c r="AA100" s="25">
        <f>VLOOKUP(F100,'Zones '!$A$2:$F$2056,6,FALSE)</f>
        <v>521</v>
      </c>
      <c r="AB100" s="25">
        <f>VLOOKUP(L100,'Zones '!$A$2:$F$2056,6,FALSE)</f>
        <v>1397</v>
      </c>
    </row>
    <row r="101" spans="2:28">
      <c r="B101" s="40">
        <v>0.22500000000000001</v>
      </c>
      <c r="C101" s="40" t="s">
        <v>280</v>
      </c>
      <c r="D101" s="41">
        <v>3</v>
      </c>
      <c r="E101" s="42">
        <v>1</v>
      </c>
      <c r="F101" s="42" t="s">
        <v>187</v>
      </c>
      <c r="G101" s="43" t="s">
        <v>187</v>
      </c>
      <c r="H101" s="42" t="s">
        <v>157</v>
      </c>
      <c r="I101" s="43">
        <v>2</v>
      </c>
      <c r="J101" s="43">
        <v>2</v>
      </c>
      <c r="K101" s="25" t="str">
        <f>VLOOKUP(J101,Key!$E$2:$F$9,2,FALSE)</f>
        <v>Work</v>
      </c>
      <c r="L101" s="42" t="s">
        <v>207</v>
      </c>
      <c r="M101" s="43" t="s">
        <v>156</v>
      </c>
      <c r="N101" s="42" t="s">
        <v>157</v>
      </c>
      <c r="O101" s="43">
        <v>1</v>
      </c>
      <c r="P101" s="43">
        <v>1</v>
      </c>
      <c r="Q101" s="25" t="str">
        <f>VLOOKUP(P101,Key!$E$2:$F$9,2,FALSE)</f>
        <v>Home</v>
      </c>
      <c r="R101" s="25" t="str">
        <f t="shared" si="1"/>
        <v>Work-Home</v>
      </c>
      <c r="S101" s="52">
        <v>20</v>
      </c>
      <c r="T101" s="52">
        <v>2</v>
      </c>
      <c r="U101" s="43">
        <v>3</v>
      </c>
      <c r="V101" s="43"/>
      <c r="W101" s="52"/>
      <c r="X101" s="52"/>
      <c r="Y101" s="53" t="s">
        <v>158</v>
      </c>
      <c r="Z101" s="54">
        <v>0</v>
      </c>
      <c r="AA101" s="25">
        <f>VLOOKUP(F101,'Zones '!$A$2:$F$2056,6,FALSE)</f>
        <v>521</v>
      </c>
      <c r="AB101" s="25">
        <f>VLOOKUP(L101,'Zones '!$A$2:$F$2056,6,FALSE)</f>
        <v>1397</v>
      </c>
    </row>
    <row r="102" spans="2:28">
      <c r="B102" s="40">
        <v>0.20902777777777778</v>
      </c>
      <c r="C102" s="40" t="s">
        <v>281</v>
      </c>
      <c r="D102" s="41">
        <v>1</v>
      </c>
      <c r="E102" s="42">
        <v>1</v>
      </c>
      <c r="F102" s="42" t="s">
        <v>150</v>
      </c>
      <c r="G102" s="43" t="s">
        <v>156</v>
      </c>
      <c r="H102" s="42" t="s">
        <v>157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207</v>
      </c>
      <c r="M102" s="43" t="s">
        <v>156</v>
      </c>
      <c r="N102" s="42" t="s">
        <v>157</v>
      </c>
      <c r="O102" s="43">
        <v>11</v>
      </c>
      <c r="P102" s="43">
        <v>2</v>
      </c>
      <c r="Q102" s="25" t="str">
        <f>VLOOKUP(P102,Key!$E$2:$F$9,2,FALSE)</f>
        <v>Work</v>
      </c>
      <c r="R102" s="25" t="str">
        <f t="shared" ref="R102:R148" si="2">K102&amp;"-"&amp;Q102</f>
        <v>Home-Work</v>
      </c>
      <c r="S102" s="52">
        <v>20</v>
      </c>
      <c r="T102" s="52">
        <v>1</v>
      </c>
      <c r="U102" s="43">
        <v>2</v>
      </c>
      <c r="V102" s="43"/>
      <c r="W102" s="52"/>
      <c r="X102" s="52"/>
      <c r="Y102" s="53" t="s">
        <v>158</v>
      </c>
      <c r="Z102" s="54">
        <v>1000</v>
      </c>
      <c r="AA102" s="25">
        <f>VLOOKUP(F102,'Zones '!$A$2:$F$2056,6,FALSE)</f>
        <v>1397</v>
      </c>
      <c r="AB102" s="25">
        <f>VLOOKUP(L102,'Zones '!$A$2:$F$2056,6,FALSE)</f>
        <v>1397</v>
      </c>
    </row>
    <row r="103" spans="2:28">
      <c r="B103" s="40">
        <v>0.89930555555555547</v>
      </c>
      <c r="C103" s="40" t="s">
        <v>282</v>
      </c>
      <c r="D103" s="41">
        <v>7</v>
      </c>
      <c r="E103" s="42">
        <v>1</v>
      </c>
      <c r="F103" s="42" t="s">
        <v>204</v>
      </c>
      <c r="G103" s="43" t="s">
        <v>156</v>
      </c>
      <c r="H103" s="42" t="s">
        <v>157</v>
      </c>
      <c r="I103" s="43">
        <v>10</v>
      </c>
      <c r="J103" s="43">
        <v>2</v>
      </c>
      <c r="K103" s="25" t="str">
        <f>VLOOKUP(J103,Key!$E$2:$F$9,2,FALSE)</f>
        <v>Work</v>
      </c>
      <c r="L103" s="42" t="s">
        <v>150</v>
      </c>
      <c r="M103" s="43" t="s">
        <v>156</v>
      </c>
      <c r="N103" s="42" t="s">
        <v>157</v>
      </c>
      <c r="O103" s="43">
        <v>1</v>
      </c>
      <c r="P103" s="43">
        <v>1</v>
      </c>
      <c r="Q103" s="25" t="str">
        <f>VLOOKUP(P103,Key!$E$2:$F$9,2,FALSE)</f>
        <v>Home</v>
      </c>
      <c r="R103" s="25" t="str">
        <f t="shared" si="2"/>
        <v>Work-Home</v>
      </c>
      <c r="S103" s="52">
        <v>25</v>
      </c>
      <c r="T103" s="52">
        <v>1</v>
      </c>
      <c r="U103" s="43">
        <v>1</v>
      </c>
      <c r="V103" s="43"/>
      <c r="W103" s="52"/>
      <c r="X103" s="52"/>
      <c r="Y103" s="53" t="s">
        <v>158</v>
      </c>
      <c r="Z103" s="54">
        <v>2000</v>
      </c>
      <c r="AA103" s="25">
        <f>VLOOKUP(F103,'Zones '!$A$2:$F$2056,6,FALSE)</f>
        <v>1390</v>
      </c>
      <c r="AB103" s="25">
        <f>VLOOKUP(L103,'Zones '!$A$2:$F$2056,6,FALSE)</f>
        <v>1397</v>
      </c>
    </row>
    <row r="104" spans="2:28">
      <c r="B104" s="40">
        <v>0.89583333333333337</v>
      </c>
      <c r="C104" s="40" t="s">
        <v>283</v>
      </c>
      <c r="D104" s="41">
        <v>7</v>
      </c>
      <c r="E104" s="42">
        <v>2</v>
      </c>
      <c r="F104" s="42" t="s">
        <v>245</v>
      </c>
      <c r="G104" s="43" t="s">
        <v>187</v>
      </c>
      <c r="H104" s="42" t="s">
        <v>157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162</v>
      </c>
      <c r="M104" s="43" t="s">
        <v>156</v>
      </c>
      <c r="N104" s="42" t="s">
        <v>157</v>
      </c>
      <c r="O104" s="43">
        <v>1</v>
      </c>
      <c r="P104" s="43">
        <v>1</v>
      </c>
      <c r="Q104" s="25" t="str">
        <f>VLOOKUP(P104,Key!$E$2:$F$9,2,FALSE)</f>
        <v>Home</v>
      </c>
      <c r="R104" s="25" t="str">
        <f t="shared" si="2"/>
        <v>Home-Home</v>
      </c>
      <c r="S104" s="52">
        <v>15</v>
      </c>
      <c r="T104" s="52">
        <v>0.5</v>
      </c>
      <c r="U104" s="43">
        <v>1</v>
      </c>
      <c r="V104" s="43"/>
      <c r="W104" s="52"/>
      <c r="X104" s="52"/>
      <c r="Y104" s="53" t="s">
        <v>158</v>
      </c>
      <c r="Z104" s="54">
        <v>2000</v>
      </c>
      <c r="AA104" s="25">
        <f>VLOOKUP(F104,'Zones '!$A$2:$F$2056,6,FALSE)</f>
        <v>573</v>
      </c>
      <c r="AB104" s="25">
        <f>VLOOKUP(L104,'Zones '!$A$2:$F$2056,6,FALSE)</f>
        <v>1397</v>
      </c>
    </row>
    <row r="105" spans="2:28" ht="12" customHeight="1">
      <c r="B105" s="40">
        <v>0.88194444444444453</v>
      </c>
      <c r="C105" s="40" t="s">
        <v>284</v>
      </c>
      <c r="D105" s="41">
        <v>2</v>
      </c>
      <c r="E105" s="42">
        <v>1</v>
      </c>
      <c r="F105" s="42" t="s">
        <v>224</v>
      </c>
      <c r="G105" s="43" t="s">
        <v>224</v>
      </c>
      <c r="H105" s="42" t="s">
        <v>157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2931</v>
      </c>
      <c r="M105" s="43" t="s">
        <v>156</v>
      </c>
      <c r="N105" s="42" t="s">
        <v>157</v>
      </c>
      <c r="O105" s="43">
        <v>1</v>
      </c>
      <c r="P105" s="43">
        <v>1</v>
      </c>
      <c r="Q105" s="25" t="str">
        <f>VLOOKUP(P105,Key!$E$2:$F$9,2,FALSE)</f>
        <v>Home</v>
      </c>
      <c r="R105" s="25" t="str">
        <f t="shared" si="2"/>
        <v>Home-Home</v>
      </c>
      <c r="S105" s="52">
        <v>10</v>
      </c>
      <c r="T105" s="52">
        <v>0.2</v>
      </c>
      <c r="U105" s="43">
        <v>6</v>
      </c>
      <c r="V105" s="43"/>
      <c r="W105" s="52"/>
      <c r="X105" s="52"/>
      <c r="Y105" s="53" t="s">
        <v>158</v>
      </c>
      <c r="Z105" s="54">
        <v>2000</v>
      </c>
      <c r="AA105" s="25">
        <f>VLOOKUP(F105,'Zones '!$A$2:$F$2056,6,FALSE)</f>
        <v>1037</v>
      </c>
      <c r="AB105" s="25">
        <f>VLOOKUP(L105,'Zones '!$A$2:$F$2056,6,FALSE)</f>
        <v>1393</v>
      </c>
    </row>
    <row r="106" spans="2:28">
      <c r="B106" s="40">
        <v>0.89166666666666661</v>
      </c>
      <c r="C106" s="40" t="s">
        <v>285</v>
      </c>
      <c r="D106" s="41">
        <v>2</v>
      </c>
      <c r="E106" s="42">
        <v>3</v>
      </c>
      <c r="F106" s="42" t="s">
        <v>215</v>
      </c>
      <c r="G106" s="43" t="s">
        <v>156</v>
      </c>
      <c r="H106" s="42" t="s">
        <v>157</v>
      </c>
      <c r="I106" s="43">
        <v>1</v>
      </c>
      <c r="J106" s="43">
        <v>1</v>
      </c>
      <c r="K106" s="25" t="str">
        <f>VLOOKUP(J106,Key!$E$2:$F$9,2,FALSE)</f>
        <v>Home</v>
      </c>
      <c r="L106" s="42" t="s">
        <v>197</v>
      </c>
      <c r="M106" s="43" t="s">
        <v>197</v>
      </c>
      <c r="N106" s="42" t="s">
        <v>157</v>
      </c>
      <c r="O106" s="43">
        <v>1</v>
      </c>
      <c r="P106" s="43">
        <v>1</v>
      </c>
      <c r="Q106" s="25" t="str">
        <f>VLOOKUP(P106,Key!$E$2:$F$9,2,FALSE)</f>
        <v>Home</v>
      </c>
      <c r="R106" s="25" t="str">
        <f t="shared" si="2"/>
        <v>Home-Home</v>
      </c>
      <c r="S106" s="52">
        <v>120</v>
      </c>
      <c r="T106" s="52">
        <v>3</v>
      </c>
      <c r="U106" s="43">
        <v>6</v>
      </c>
      <c r="V106" s="43"/>
      <c r="W106" s="52"/>
      <c r="X106" s="52"/>
      <c r="Y106" s="53" t="s">
        <v>158</v>
      </c>
      <c r="Z106" s="54">
        <v>3000</v>
      </c>
      <c r="AA106" s="25">
        <f>VLOOKUP(F106,'Zones '!$A$2:$F$2056,6,FALSE)</f>
        <v>1388</v>
      </c>
      <c r="AB106" s="25">
        <f>VLOOKUP(L106,'Zones '!$A$2:$F$2056,6,FALSE)</f>
        <v>937</v>
      </c>
    </row>
    <row r="107" spans="2:28">
      <c r="B107" s="40">
        <v>0.87916666666666676</v>
      </c>
      <c r="C107" s="40" t="s">
        <v>286</v>
      </c>
      <c r="D107" s="41">
        <v>4</v>
      </c>
      <c r="E107" s="42">
        <v>4</v>
      </c>
      <c r="F107" s="42" t="s">
        <v>215</v>
      </c>
      <c r="G107" s="43" t="s">
        <v>156</v>
      </c>
      <c r="H107" s="42" t="s">
        <v>157</v>
      </c>
      <c r="I107" s="43">
        <v>16</v>
      </c>
      <c r="J107" s="43">
        <v>2</v>
      </c>
      <c r="K107" s="25" t="str">
        <f>VLOOKUP(J107,Key!$E$2:$F$9,2,FALSE)</f>
        <v>Work</v>
      </c>
      <c r="L107" s="42" t="s">
        <v>287</v>
      </c>
      <c r="M107" s="43" t="s">
        <v>156</v>
      </c>
      <c r="N107" s="42" t="s">
        <v>157</v>
      </c>
      <c r="O107" s="43">
        <v>4</v>
      </c>
      <c r="P107" s="43">
        <v>2</v>
      </c>
      <c r="Q107" s="25" t="str">
        <f>VLOOKUP(P107,Key!$E$2:$F$9,2,FALSE)</f>
        <v>Work</v>
      </c>
      <c r="R107" s="25" t="str">
        <f t="shared" si="2"/>
        <v>Work-Work</v>
      </c>
      <c r="S107" s="52">
        <v>38</v>
      </c>
      <c r="T107" s="52">
        <v>2.5</v>
      </c>
      <c r="U107" s="43">
        <v>1</v>
      </c>
      <c r="V107" s="43"/>
      <c r="W107" s="52"/>
      <c r="X107" s="52"/>
      <c r="Y107" s="53" t="s">
        <v>158</v>
      </c>
      <c r="Z107" s="54">
        <v>5000</v>
      </c>
      <c r="AA107" s="25">
        <f>VLOOKUP(F107,'Zones '!$A$2:$F$2056,6,FALSE)</f>
        <v>1388</v>
      </c>
      <c r="AB107" s="25">
        <f>VLOOKUP(L107,'Zones '!$A$2:$F$2056,6,FALSE)</f>
        <v>1033</v>
      </c>
    </row>
    <row r="108" spans="2:28">
      <c r="B108" s="40">
        <v>0.875</v>
      </c>
      <c r="C108" s="40" t="s">
        <v>288</v>
      </c>
      <c r="D108" s="41">
        <v>11</v>
      </c>
      <c r="E108" s="42">
        <v>1</v>
      </c>
      <c r="F108" s="42" t="s">
        <v>245</v>
      </c>
      <c r="G108" s="43" t="s">
        <v>187</v>
      </c>
      <c r="H108" s="42" t="s">
        <v>157</v>
      </c>
      <c r="I108" s="43">
        <v>8</v>
      </c>
      <c r="J108" s="43">
        <v>2</v>
      </c>
      <c r="K108" s="25" t="str">
        <f>VLOOKUP(J108,Key!$E$2:$F$9,2,FALSE)</f>
        <v>Work</v>
      </c>
      <c r="L108" s="42" t="s">
        <v>162</v>
      </c>
      <c r="M108" s="43" t="s">
        <v>156</v>
      </c>
      <c r="N108" s="42" t="s">
        <v>157</v>
      </c>
      <c r="O108" s="43">
        <v>8</v>
      </c>
      <c r="P108" s="43">
        <v>2</v>
      </c>
      <c r="Q108" s="25" t="str">
        <f>VLOOKUP(P108,Key!$E$2:$F$9,2,FALSE)</f>
        <v>Work</v>
      </c>
      <c r="R108" s="25" t="str">
        <f t="shared" si="2"/>
        <v>Work-Work</v>
      </c>
      <c r="S108" s="52">
        <v>20</v>
      </c>
      <c r="T108" s="52">
        <v>0.9</v>
      </c>
      <c r="U108" s="43">
        <v>1</v>
      </c>
      <c r="V108" s="43"/>
      <c r="W108" s="52"/>
      <c r="X108" s="52"/>
      <c r="Y108" s="53" t="s">
        <v>158</v>
      </c>
      <c r="Z108" s="54">
        <v>200</v>
      </c>
      <c r="AA108" s="25">
        <f>VLOOKUP(F108,'Zones '!$A$2:$F$2056,6,FALSE)</f>
        <v>573</v>
      </c>
      <c r="AB108" s="25">
        <f>VLOOKUP(L108,'Zones '!$A$2:$F$2056,6,FALSE)</f>
        <v>1397</v>
      </c>
    </row>
    <row r="109" spans="2:28">
      <c r="B109" s="40">
        <v>0.87361111111111101</v>
      </c>
      <c r="C109" s="40" t="s">
        <v>289</v>
      </c>
      <c r="D109" s="41">
        <v>8</v>
      </c>
      <c r="E109" s="42">
        <v>2</v>
      </c>
      <c r="F109" s="42" t="s">
        <v>215</v>
      </c>
      <c r="G109" s="43" t="s">
        <v>156</v>
      </c>
      <c r="H109" s="42" t="s">
        <v>157</v>
      </c>
      <c r="I109" s="43">
        <v>10</v>
      </c>
      <c r="J109" s="43">
        <v>2</v>
      </c>
      <c r="K109" s="25" t="str">
        <f>VLOOKUP(J109,Key!$E$2:$F$9,2,FALSE)</f>
        <v>Work</v>
      </c>
      <c r="L109" s="42" t="s">
        <v>166</v>
      </c>
      <c r="M109" s="43" t="s">
        <v>156</v>
      </c>
      <c r="N109" s="42" t="s">
        <v>157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2"/>
        <v>Work-Home</v>
      </c>
      <c r="S109" s="52">
        <v>16</v>
      </c>
      <c r="T109" s="52">
        <v>1.7</v>
      </c>
      <c r="U109" s="43">
        <v>1</v>
      </c>
      <c r="V109" s="43"/>
      <c r="W109" s="52"/>
      <c r="X109" s="52"/>
      <c r="Y109" s="53" t="s">
        <v>158</v>
      </c>
      <c r="Z109" s="54">
        <v>200</v>
      </c>
      <c r="AA109" s="25">
        <f>VLOOKUP(F109,'Zones '!$A$2:$F$2056,6,FALSE)</f>
        <v>1388</v>
      </c>
      <c r="AB109" s="25">
        <f>VLOOKUP(L109,'Zones '!$A$2:$F$2056,6,FALSE)</f>
        <v>1397</v>
      </c>
    </row>
    <row r="110" spans="2:28">
      <c r="B110" s="40">
        <v>0.87152777777777779</v>
      </c>
      <c r="C110" s="40" t="s">
        <v>290</v>
      </c>
      <c r="D110" s="41">
        <v>3</v>
      </c>
      <c r="E110" s="42">
        <v>1</v>
      </c>
      <c r="F110" s="42" t="s">
        <v>187</v>
      </c>
      <c r="G110" s="43" t="s">
        <v>187</v>
      </c>
      <c r="H110" s="42" t="s">
        <v>157</v>
      </c>
      <c r="I110" s="43">
        <v>2</v>
      </c>
      <c r="J110" s="43">
        <v>2</v>
      </c>
      <c r="K110" s="25" t="str">
        <f>VLOOKUP(J110,Key!$E$2:$F$9,2,FALSE)</f>
        <v>Work</v>
      </c>
      <c r="L110" s="42" t="s">
        <v>150</v>
      </c>
      <c r="M110" s="43" t="s">
        <v>156</v>
      </c>
      <c r="N110" s="42" t="s">
        <v>157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2"/>
        <v>Work-Home</v>
      </c>
      <c r="S110" s="52">
        <v>30</v>
      </c>
      <c r="T110" s="52">
        <v>2</v>
      </c>
      <c r="U110" s="43">
        <v>2</v>
      </c>
      <c r="V110" s="43"/>
      <c r="W110" s="52"/>
      <c r="X110" s="52"/>
      <c r="Y110" s="53" t="s">
        <v>158</v>
      </c>
      <c r="Z110" s="54">
        <v>3000</v>
      </c>
      <c r="AA110" s="25">
        <f>VLOOKUP(F110,'Zones '!$A$2:$F$2056,6,FALSE)</f>
        <v>521</v>
      </c>
      <c r="AB110" s="25">
        <f>VLOOKUP(L110,'Zones '!$A$2:$F$2056,6,FALSE)</f>
        <v>1397</v>
      </c>
    </row>
    <row r="111" spans="2:28">
      <c r="B111" s="40">
        <v>0.87013888888888891</v>
      </c>
      <c r="C111" s="40" t="s">
        <v>291</v>
      </c>
      <c r="D111" s="41">
        <v>1</v>
      </c>
      <c r="E111" s="42">
        <v>2</v>
      </c>
      <c r="F111" s="42" t="s">
        <v>2929</v>
      </c>
      <c r="G111" s="43" t="s">
        <v>156</v>
      </c>
      <c r="H111" s="42" t="s">
        <v>157</v>
      </c>
      <c r="I111" s="43">
        <v>1</v>
      </c>
      <c r="J111" s="43">
        <v>1</v>
      </c>
      <c r="K111" s="25" t="str">
        <f>VLOOKUP(J111,Key!$E$2:$F$9,2,FALSE)</f>
        <v>Home</v>
      </c>
      <c r="L111" s="42" t="s">
        <v>2863</v>
      </c>
      <c r="M111" s="43" t="s">
        <v>156</v>
      </c>
      <c r="N111" s="42" t="s">
        <v>157</v>
      </c>
      <c r="O111" s="43">
        <v>1</v>
      </c>
      <c r="P111" s="43">
        <v>1</v>
      </c>
      <c r="Q111" s="25" t="str">
        <f>VLOOKUP(P111,Key!$E$2:$F$9,2,FALSE)</f>
        <v>Home</v>
      </c>
      <c r="R111" s="25" t="str">
        <f t="shared" si="2"/>
        <v>Home-Home</v>
      </c>
      <c r="S111" s="52">
        <v>28</v>
      </c>
      <c r="T111" s="52">
        <v>1.5</v>
      </c>
      <c r="U111" s="43">
        <v>6</v>
      </c>
      <c r="V111" s="43"/>
      <c r="W111" s="52"/>
      <c r="X111" s="52"/>
      <c r="Y111" s="53" t="s">
        <v>158</v>
      </c>
      <c r="Z111" s="54">
        <v>2000</v>
      </c>
      <c r="AA111" s="25">
        <f>VLOOKUP(F111,'Zones '!$A$2:$F$2056,6,FALSE)</f>
        <v>1394</v>
      </c>
      <c r="AB111" s="25">
        <f>VLOOKUP(L111,'Zones '!$A$2:$F$2056,6,FALSE)</f>
        <v>1408</v>
      </c>
    </row>
    <row r="112" spans="2:28">
      <c r="B112" s="40">
        <v>0.86597222222222225</v>
      </c>
      <c r="C112" s="40" t="s">
        <v>292</v>
      </c>
      <c r="D112" s="41">
        <v>11</v>
      </c>
      <c r="E112" s="42">
        <v>1</v>
      </c>
      <c r="F112" s="42" t="s">
        <v>207</v>
      </c>
      <c r="G112" s="43" t="s">
        <v>156</v>
      </c>
      <c r="H112" s="42" t="s">
        <v>157</v>
      </c>
      <c r="I112" s="43">
        <v>8</v>
      </c>
      <c r="J112" s="43">
        <v>2</v>
      </c>
      <c r="K112" s="25" t="str">
        <f>VLOOKUP(J112,Key!$E$2:$F$9,2,FALSE)</f>
        <v>Work</v>
      </c>
      <c r="L112" s="42" t="s">
        <v>150</v>
      </c>
      <c r="M112" s="43" t="s">
        <v>156</v>
      </c>
      <c r="N112" s="42" t="s">
        <v>157</v>
      </c>
      <c r="O112" s="43">
        <v>8</v>
      </c>
      <c r="P112" s="43">
        <v>2</v>
      </c>
      <c r="Q112" s="25" t="str">
        <f>VLOOKUP(P112,Key!$E$2:$F$9,2,FALSE)</f>
        <v>Work</v>
      </c>
      <c r="R112" s="25" t="str">
        <f t="shared" si="2"/>
        <v>Work-Work</v>
      </c>
      <c r="S112" s="52">
        <v>8</v>
      </c>
      <c r="T112" s="52">
        <v>0.5</v>
      </c>
      <c r="U112" s="43"/>
      <c r="V112" s="43"/>
      <c r="W112" s="52"/>
      <c r="X112" s="52"/>
      <c r="Y112" s="53" t="s">
        <v>158</v>
      </c>
      <c r="Z112" s="54">
        <v>3000</v>
      </c>
      <c r="AA112" s="25">
        <f>VLOOKUP(F112,'Zones '!$A$2:$F$2056,6,FALSE)</f>
        <v>1397</v>
      </c>
      <c r="AB112" s="25">
        <f>VLOOKUP(L112,'Zones '!$A$2:$F$2056,6,FALSE)</f>
        <v>1397</v>
      </c>
    </row>
    <row r="113" spans="2:28">
      <c r="B113" s="40">
        <v>0.90833333333333333</v>
      </c>
      <c r="C113" s="40" t="s">
        <v>293</v>
      </c>
      <c r="D113" s="41">
        <v>11</v>
      </c>
      <c r="E113" s="42">
        <v>2</v>
      </c>
      <c r="F113" s="42" t="s">
        <v>215</v>
      </c>
      <c r="G113" s="43" t="s">
        <v>156</v>
      </c>
      <c r="H113" s="42" t="s">
        <v>157</v>
      </c>
      <c r="I113" s="43">
        <v>8</v>
      </c>
      <c r="J113" s="43">
        <v>2</v>
      </c>
      <c r="K113" s="25" t="str">
        <f>VLOOKUP(J113,Key!$E$2:$F$9,2,FALSE)</f>
        <v>Work</v>
      </c>
      <c r="L113" s="42" t="s">
        <v>150</v>
      </c>
      <c r="M113" s="43" t="s">
        <v>156</v>
      </c>
      <c r="N113" s="42" t="s">
        <v>157</v>
      </c>
      <c r="O113" s="43">
        <v>8</v>
      </c>
      <c r="P113" s="43">
        <v>2</v>
      </c>
      <c r="Q113" s="25" t="str">
        <f>VLOOKUP(P113,Key!$E$2:$F$9,2,FALSE)</f>
        <v>Work</v>
      </c>
      <c r="R113" s="25" t="str">
        <f t="shared" si="2"/>
        <v>Work-Work</v>
      </c>
      <c r="S113" s="52">
        <v>30</v>
      </c>
      <c r="T113" s="52">
        <v>1.5</v>
      </c>
      <c r="U113" s="43">
        <v>1</v>
      </c>
      <c r="V113" s="43"/>
      <c r="W113" s="52"/>
      <c r="X113" s="52"/>
      <c r="Y113" s="53" t="s">
        <v>158</v>
      </c>
      <c r="Z113" s="54">
        <v>3000</v>
      </c>
      <c r="AA113" s="25">
        <f>VLOOKUP(F113,'Zones '!$A$2:$F$2056,6,FALSE)</f>
        <v>1388</v>
      </c>
      <c r="AB113" s="25">
        <f>VLOOKUP(L113,'Zones '!$A$2:$F$2056,6,FALSE)</f>
        <v>1397</v>
      </c>
    </row>
    <row r="114" spans="2:28">
      <c r="B114" s="40">
        <v>0.90416666666666667</v>
      </c>
      <c r="C114" s="40" t="s">
        <v>294</v>
      </c>
      <c r="D114" s="41">
        <v>11</v>
      </c>
      <c r="E114" s="42">
        <v>1</v>
      </c>
      <c r="F114" s="42" t="s">
        <v>155</v>
      </c>
      <c r="G114" s="43" t="s">
        <v>156</v>
      </c>
      <c r="H114" s="42" t="s">
        <v>157</v>
      </c>
      <c r="I114" s="43">
        <v>8</v>
      </c>
      <c r="J114" s="43">
        <v>2</v>
      </c>
      <c r="K114" s="25" t="str">
        <f>VLOOKUP(J114,Key!$E$2:$F$9,2,FALSE)</f>
        <v>Work</v>
      </c>
      <c r="L114" s="42" t="s">
        <v>150</v>
      </c>
      <c r="M114" s="43" t="s">
        <v>156</v>
      </c>
      <c r="N114" s="42" t="s">
        <v>157</v>
      </c>
      <c r="O114" s="43">
        <v>8</v>
      </c>
      <c r="P114" s="43">
        <v>2</v>
      </c>
      <c r="Q114" s="25" t="str">
        <f>VLOOKUP(P114,Key!$E$2:$F$9,2,FALSE)</f>
        <v>Work</v>
      </c>
      <c r="R114" s="25" t="str">
        <f t="shared" si="2"/>
        <v>Work-Work</v>
      </c>
      <c r="S114" s="52">
        <v>2</v>
      </c>
      <c r="T114" s="52">
        <v>0.1</v>
      </c>
      <c r="U114" s="43">
        <v>1</v>
      </c>
      <c r="V114" s="43"/>
      <c r="W114" s="52"/>
      <c r="X114" s="52"/>
      <c r="Y114" s="53" t="s">
        <v>158</v>
      </c>
      <c r="Z114" s="54">
        <v>2000</v>
      </c>
      <c r="AA114" s="25">
        <f>VLOOKUP(F114,'Zones '!$A$2:$F$2056,6,FALSE)</f>
        <v>1397</v>
      </c>
      <c r="AB114" s="25">
        <f>VLOOKUP(L114,'Zones '!$A$2:$F$2056,6,FALSE)</f>
        <v>1397</v>
      </c>
    </row>
    <row r="115" spans="2:28">
      <c r="B115" s="40">
        <v>0.81944444444444453</v>
      </c>
      <c r="C115" s="40" t="s">
        <v>295</v>
      </c>
      <c r="D115" s="41">
        <v>11</v>
      </c>
      <c r="E115" s="42">
        <v>1</v>
      </c>
      <c r="F115" s="42" t="s">
        <v>226</v>
      </c>
      <c r="G115" s="43" t="s">
        <v>156</v>
      </c>
      <c r="H115" s="42" t="s">
        <v>157</v>
      </c>
      <c r="I115" s="43">
        <v>8</v>
      </c>
      <c r="J115" s="43">
        <v>2</v>
      </c>
      <c r="K115" s="25" t="str">
        <f>VLOOKUP(J115,Key!$E$2:$F$9,2,FALSE)</f>
        <v>Work</v>
      </c>
      <c r="L115" s="42" t="s">
        <v>150</v>
      </c>
      <c r="M115" s="43" t="s">
        <v>156</v>
      </c>
      <c r="N115" s="42" t="s">
        <v>157</v>
      </c>
      <c r="O115" s="43">
        <v>8</v>
      </c>
      <c r="P115" s="43">
        <v>2</v>
      </c>
      <c r="Q115" s="25" t="str">
        <f>VLOOKUP(P115,Key!$E$2:$F$9,2,FALSE)</f>
        <v>Work</v>
      </c>
      <c r="R115" s="25" t="str">
        <f t="shared" si="2"/>
        <v>Work-Work</v>
      </c>
      <c r="S115" s="52">
        <v>3</v>
      </c>
      <c r="T115" s="52">
        <v>0.1</v>
      </c>
      <c r="U115" s="43">
        <v>1</v>
      </c>
      <c r="V115" s="43"/>
      <c r="W115" s="52"/>
      <c r="X115" s="52"/>
      <c r="Y115" s="53" t="s">
        <v>158</v>
      </c>
      <c r="Z115" s="54">
        <v>1000</v>
      </c>
      <c r="AA115" s="25">
        <f>VLOOKUP(F115,'Zones '!$A$2:$F$2056,6,FALSE)</f>
        <v>1397</v>
      </c>
      <c r="AB115" s="25">
        <f>VLOOKUP(L115,'Zones '!$A$2:$F$2056,6,FALSE)</f>
        <v>1397</v>
      </c>
    </row>
    <row r="116" spans="2:28">
      <c r="B116" s="40">
        <v>0.8125</v>
      </c>
      <c r="C116" s="40" t="s">
        <v>296</v>
      </c>
      <c r="D116" s="41">
        <v>1</v>
      </c>
      <c r="E116" s="42">
        <v>1</v>
      </c>
      <c r="F116" s="42" t="s">
        <v>155</v>
      </c>
      <c r="G116" s="43" t="s">
        <v>156</v>
      </c>
      <c r="H116" s="42" t="s">
        <v>157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162</v>
      </c>
      <c r="M116" s="43" t="s">
        <v>156</v>
      </c>
      <c r="N116" s="42" t="s">
        <v>157</v>
      </c>
      <c r="O116" s="43">
        <v>11</v>
      </c>
      <c r="P116" s="43">
        <v>4</v>
      </c>
      <c r="Q116" s="25" t="str">
        <f>VLOOKUP(P116,Key!$E$2:$F$9,2,FALSE)</f>
        <v>Commercial</v>
      </c>
      <c r="R116" s="25" t="str">
        <f t="shared" si="2"/>
        <v>Home-Commercial</v>
      </c>
      <c r="S116" s="52">
        <v>6</v>
      </c>
      <c r="T116" s="52">
        <v>0.1</v>
      </c>
      <c r="U116" s="43">
        <v>1</v>
      </c>
      <c r="V116" s="43"/>
      <c r="W116" s="52"/>
      <c r="X116" s="52"/>
      <c r="Y116" s="53" t="s">
        <v>158</v>
      </c>
      <c r="Z116" s="54">
        <v>2000</v>
      </c>
      <c r="AA116" s="25">
        <f>VLOOKUP(F116,'Zones '!$A$2:$F$2056,6,FALSE)</f>
        <v>1397</v>
      </c>
      <c r="AB116" s="25">
        <f>VLOOKUP(L116,'Zones '!$A$2:$F$2056,6,FALSE)</f>
        <v>1397</v>
      </c>
    </row>
    <row r="117" spans="2:28">
      <c r="B117" s="40">
        <v>0.22916666666666666</v>
      </c>
      <c r="C117" s="40" t="s">
        <v>297</v>
      </c>
      <c r="D117" s="41">
        <v>11</v>
      </c>
      <c r="E117" s="42">
        <v>2</v>
      </c>
      <c r="F117" s="42" t="s">
        <v>155</v>
      </c>
      <c r="G117" s="43" t="s">
        <v>156</v>
      </c>
      <c r="H117" s="42" t="s">
        <v>157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150</v>
      </c>
      <c r="M117" s="43" t="s">
        <v>156</v>
      </c>
      <c r="N117" s="42" t="s">
        <v>157</v>
      </c>
      <c r="O117" s="43">
        <v>8</v>
      </c>
      <c r="P117" s="43">
        <v>2</v>
      </c>
      <c r="Q117" s="25" t="str">
        <f>VLOOKUP(P117,Key!$E$2:$F$9,2,FALSE)</f>
        <v>Work</v>
      </c>
      <c r="R117" s="25" t="str">
        <f t="shared" si="2"/>
        <v>Home-Work</v>
      </c>
      <c r="S117" s="52">
        <v>1</v>
      </c>
      <c r="T117" s="52">
        <v>0.1</v>
      </c>
      <c r="U117" s="43">
        <v>1</v>
      </c>
      <c r="V117" s="43"/>
      <c r="W117" s="52"/>
      <c r="X117" s="52"/>
      <c r="Y117" s="53" t="s">
        <v>158</v>
      </c>
      <c r="Z117" s="54">
        <v>1000</v>
      </c>
      <c r="AA117" s="25">
        <f>VLOOKUP(F117,'Zones '!$A$2:$F$2056,6,FALSE)</f>
        <v>1397</v>
      </c>
      <c r="AB117" s="25">
        <f>VLOOKUP(L117,'Zones '!$A$2:$F$2056,6,FALSE)</f>
        <v>1397</v>
      </c>
    </row>
    <row r="118" spans="2:28">
      <c r="B118" s="40">
        <v>0.23958333333333334</v>
      </c>
      <c r="C118" s="40" t="s">
        <v>298</v>
      </c>
      <c r="D118" s="41">
        <v>4</v>
      </c>
      <c r="E118" s="42">
        <v>8</v>
      </c>
      <c r="F118" s="42" t="s">
        <v>160</v>
      </c>
      <c r="G118" s="43" t="s">
        <v>156</v>
      </c>
      <c r="H118" s="42" t="s">
        <v>157</v>
      </c>
      <c r="I118" s="43">
        <v>6</v>
      </c>
      <c r="J118" s="43">
        <v>2</v>
      </c>
      <c r="K118" s="25" t="str">
        <f>VLOOKUP(J118,Key!$E$2:$F$9,2,FALSE)</f>
        <v>Work</v>
      </c>
      <c r="L118" s="42" t="s">
        <v>166</v>
      </c>
      <c r="M118" s="43" t="s">
        <v>156</v>
      </c>
      <c r="N118" s="42" t="s">
        <v>157</v>
      </c>
      <c r="O118" s="43">
        <v>6</v>
      </c>
      <c r="P118" s="43">
        <v>2</v>
      </c>
      <c r="Q118" s="25" t="str">
        <f>VLOOKUP(P118,Key!$E$2:$F$9,2,FALSE)</f>
        <v>Work</v>
      </c>
      <c r="R118" s="25" t="str">
        <f t="shared" si="2"/>
        <v>Work-Work</v>
      </c>
      <c r="S118" s="52">
        <v>30</v>
      </c>
      <c r="T118" s="52">
        <v>1.5</v>
      </c>
      <c r="U118" s="43">
        <v>1</v>
      </c>
      <c r="V118" s="43"/>
      <c r="W118" s="52"/>
      <c r="X118" s="52"/>
      <c r="Y118" s="53" t="s">
        <v>158</v>
      </c>
      <c r="Z118" s="54">
        <v>1000</v>
      </c>
      <c r="AA118" s="25">
        <f>VLOOKUP(F118,'Zones '!$A$2:$F$2056,6,FALSE)</f>
        <v>589</v>
      </c>
      <c r="AB118" s="25">
        <f>VLOOKUP(L118,'Zones '!$A$2:$F$2056,6,FALSE)</f>
        <v>1397</v>
      </c>
    </row>
    <row r="119" spans="2:28">
      <c r="B119" s="40">
        <v>0.21666666666666667</v>
      </c>
      <c r="C119" s="40" t="s">
        <v>299</v>
      </c>
      <c r="D119" s="41">
        <v>11</v>
      </c>
      <c r="E119" s="42">
        <v>1</v>
      </c>
      <c r="F119" s="42" t="s">
        <v>155</v>
      </c>
      <c r="G119" s="43" t="s">
        <v>156</v>
      </c>
      <c r="H119" s="42" t="s">
        <v>157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150</v>
      </c>
      <c r="M119" s="43" t="s">
        <v>156</v>
      </c>
      <c r="N119" s="42" t="s">
        <v>157</v>
      </c>
      <c r="O119" s="43">
        <v>8</v>
      </c>
      <c r="P119" s="43">
        <v>2</v>
      </c>
      <c r="Q119" s="25" t="str">
        <f>VLOOKUP(P119,Key!$E$2:$F$9,2,FALSE)</f>
        <v>Work</v>
      </c>
      <c r="R119" s="25" t="str">
        <f t="shared" si="2"/>
        <v>Home-Work</v>
      </c>
      <c r="S119" s="52">
        <v>1</v>
      </c>
      <c r="T119" s="52">
        <v>2</v>
      </c>
      <c r="U119" s="43">
        <v>1</v>
      </c>
      <c r="V119" s="43"/>
      <c r="W119" s="52"/>
      <c r="X119" s="52"/>
      <c r="Y119" s="53" t="s">
        <v>158</v>
      </c>
      <c r="Z119" s="54">
        <v>1000</v>
      </c>
      <c r="AA119" s="25">
        <f>VLOOKUP(F119,'Zones '!$A$2:$F$2056,6,FALSE)</f>
        <v>1397</v>
      </c>
      <c r="AB119" s="25">
        <f>VLOOKUP(L119,'Zones '!$A$2:$F$2056,6,FALSE)</f>
        <v>1397</v>
      </c>
    </row>
    <row r="120" spans="2:28">
      <c r="B120" s="40">
        <v>0.21041666666666667</v>
      </c>
      <c r="C120" s="40" t="s">
        <v>300</v>
      </c>
      <c r="D120" s="41">
        <v>4</v>
      </c>
      <c r="E120" s="42">
        <v>10</v>
      </c>
      <c r="F120" s="42" t="s">
        <v>301</v>
      </c>
      <c r="G120" s="43" t="s">
        <v>187</v>
      </c>
      <c r="H120" s="42" t="s">
        <v>157</v>
      </c>
      <c r="I120" s="43">
        <v>6</v>
      </c>
      <c r="J120" s="43">
        <v>2</v>
      </c>
      <c r="K120" s="25" t="str">
        <f>VLOOKUP(J120,Key!$E$2:$F$9,2,FALSE)</f>
        <v>Work</v>
      </c>
      <c r="L120" s="42" t="s">
        <v>197</v>
      </c>
      <c r="M120" s="43" t="s">
        <v>197</v>
      </c>
      <c r="N120" s="42" t="s">
        <v>157</v>
      </c>
      <c r="O120" s="43">
        <v>6</v>
      </c>
      <c r="P120" s="43">
        <v>2</v>
      </c>
      <c r="Q120" s="25" t="str">
        <f>VLOOKUP(P120,Key!$E$2:$F$9,2,FALSE)</f>
        <v>Work</v>
      </c>
      <c r="R120" s="25" t="str">
        <f t="shared" si="2"/>
        <v>Work-Work</v>
      </c>
      <c r="S120" s="52">
        <v>180</v>
      </c>
      <c r="T120" s="52">
        <v>3</v>
      </c>
      <c r="U120" s="43">
        <v>2</v>
      </c>
      <c r="V120" s="43"/>
      <c r="W120" s="52"/>
      <c r="X120" s="52"/>
      <c r="Y120" s="53" t="s">
        <v>158</v>
      </c>
      <c r="Z120" s="54">
        <v>3000</v>
      </c>
      <c r="AA120" s="25">
        <f>VLOOKUP(F120,'Zones '!$A$2:$F$2056,6,FALSE)</f>
        <v>538</v>
      </c>
      <c r="AB120" s="25">
        <f>VLOOKUP(L120,'Zones '!$A$2:$F$2056,6,FALSE)</f>
        <v>937</v>
      </c>
    </row>
    <row r="121" spans="2:28">
      <c r="B121" s="40">
        <v>0.96666666666666667</v>
      </c>
      <c r="C121" s="40" t="s">
        <v>302</v>
      </c>
      <c r="D121" s="41">
        <v>11</v>
      </c>
      <c r="E121" s="42">
        <v>2</v>
      </c>
      <c r="F121" s="42" t="s">
        <v>155</v>
      </c>
      <c r="G121" s="43" t="s">
        <v>156</v>
      </c>
      <c r="H121" s="42" t="s">
        <v>157</v>
      </c>
      <c r="I121" s="43">
        <v>8</v>
      </c>
      <c r="J121" s="43">
        <v>2</v>
      </c>
      <c r="K121" s="25" t="str">
        <f>VLOOKUP(J121,Key!$E$2:$F$9,2,FALSE)</f>
        <v>Work</v>
      </c>
      <c r="L121" s="42" t="s">
        <v>162</v>
      </c>
      <c r="M121" s="43" t="s">
        <v>156</v>
      </c>
      <c r="N121" s="42" t="s">
        <v>157</v>
      </c>
      <c r="O121" s="43">
        <v>8</v>
      </c>
      <c r="P121" s="43">
        <v>2</v>
      </c>
      <c r="Q121" s="25" t="str">
        <f>VLOOKUP(P121,Key!$E$2:$F$9,2,FALSE)</f>
        <v>Work</v>
      </c>
      <c r="R121" s="25" t="str">
        <f t="shared" si="2"/>
        <v>Work-Work</v>
      </c>
      <c r="S121" s="52">
        <v>5</v>
      </c>
      <c r="T121" s="52">
        <v>0.2</v>
      </c>
      <c r="U121" s="43">
        <v>1</v>
      </c>
      <c r="V121" s="43"/>
      <c r="W121" s="52"/>
      <c r="X121" s="52"/>
      <c r="Y121" s="53" t="s">
        <v>158</v>
      </c>
      <c r="Z121" s="54">
        <v>2000</v>
      </c>
      <c r="AA121" s="25">
        <f>VLOOKUP(F121,'Zones '!$A$2:$F$2056,6,FALSE)</f>
        <v>1397</v>
      </c>
      <c r="AB121" s="25">
        <f>VLOOKUP(L121,'Zones '!$A$2:$F$2056,6,FALSE)</f>
        <v>1397</v>
      </c>
    </row>
    <row r="122" spans="2:28">
      <c r="B122" s="40">
        <v>0.96180555555555547</v>
      </c>
      <c r="C122" s="40" t="s">
        <v>303</v>
      </c>
      <c r="D122" s="41">
        <v>11</v>
      </c>
      <c r="E122" s="42">
        <v>1</v>
      </c>
      <c r="F122" s="42" t="s">
        <v>226</v>
      </c>
      <c r="G122" s="43" t="s">
        <v>156</v>
      </c>
      <c r="H122" s="42" t="s">
        <v>157</v>
      </c>
      <c r="I122" s="43">
        <v>8</v>
      </c>
      <c r="J122" s="43">
        <v>2</v>
      </c>
      <c r="K122" s="25" t="str">
        <f>VLOOKUP(J122,Key!$E$2:$F$9,2,FALSE)</f>
        <v>Work</v>
      </c>
      <c r="L122" s="42" t="s">
        <v>150</v>
      </c>
      <c r="M122" s="43" t="s">
        <v>156</v>
      </c>
      <c r="N122" s="42" t="s">
        <v>157</v>
      </c>
      <c r="O122" s="43">
        <v>8</v>
      </c>
      <c r="P122" s="43">
        <v>2</v>
      </c>
      <c r="Q122" s="25" t="str">
        <f>VLOOKUP(P122,Key!$E$2:$F$9,2,FALSE)</f>
        <v>Work</v>
      </c>
      <c r="R122" s="25" t="str">
        <f t="shared" si="2"/>
        <v>Work-Work</v>
      </c>
      <c r="S122" s="52">
        <v>3</v>
      </c>
      <c r="T122" s="52">
        <v>0.1</v>
      </c>
      <c r="U122" s="43">
        <v>1</v>
      </c>
      <c r="V122" s="43"/>
      <c r="W122" s="52"/>
      <c r="X122" s="52"/>
      <c r="Y122" s="53" t="s">
        <v>158</v>
      </c>
      <c r="Z122" s="54">
        <v>1000</v>
      </c>
      <c r="AA122" s="25">
        <f>VLOOKUP(F122,'Zones '!$A$2:$F$2056,6,FALSE)</f>
        <v>1397</v>
      </c>
      <c r="AB122" s="25">
        <f>VLOOKUP(L122,'Zones '!$A$2:$F$2056,6,FALSE)</f>
        <v>1397</v>
      </c>
    </row>
    <row r="123" spans="2:28">
      <c r="B123" s="40">
        <v>0.94236111111111109</v>
      </c>
      <c r="C123" s="40" t="s">
        <v>304</v>
      </c>
      <c r="D123" s="41">
        <v>11</v>
      </c>
      <c r="E123" s="42">
        <v>1</v>
      </c>
      <c r="F123" s="42" t="s">
        <v>305</v>
      </c>
      <c r="G123" s="43" t="s">
        <v>187</v>
      </c>
      <c r="H123" s="42" t="s">
        <v>157</v>
      </c>
      <c r="I123" s="43">
        <v>8</v>
      </c>
      <c r="J123" s="43">
        <v>1</v>
      </c>
      <c r="K123" s="25" t="str">
        <f>VLOOKUP(J123,Key!$E$2:$F$9,2,FALSE)</f>
        <v>Home</v>
      </c>
      <c r="L123" s="42" t="s">
        <v>150</v>
      </c>
      <c r="M123" s="43" t="s">
        <v>156</v>
      </c>
      <c r="N123" s="42" t="s">
        <v>157</v>
      </c>
      <c r="O123" s="43">
        <v>8</v>
      </c>
      <c r="P123" s="43">
        <v>2</v>
      </c>
      <c r="Q123" s="25" t="str">
        <f>VLOOKUP(P123,Key!$E$2:$F$9,2,FALSE)</f>
        <v>Work</v>
      </c>
      <c r="R123" s="25" t="str">
        <f t="shared" si="2"/>
        <v>Home-Work</v>
      </c>
      <c r="S123" s="52">
        <v>36</v>
      </c>
      <c r="T123" s="52">
        <v>1.5</v>
      </c>
      <c r="U123" s="43">
        <v>1</v>
      </c>
      <c r="V123" s="43"/>
      <c r="W123" s="52"/>
      <c r="X123" s="52"/>
      <c r="Y123" s="53" t="s">
        <v>158</v>
      </c>
      <c r="Z123" s="54">
        <v>2000</v>
      </c>
      <c r="AA123" s="25">
        <f>VLOOKUP(F123,'Zones '!$A$2:$F$2056,6,FALSE)</f>
        <v>536</v>
      </c>
      <c r="AB123" s="25">
        <f>VLOOKUP(L123,'Zones '!$A$2:$F$2056,6,FALSE)</f>
        <v>1397</v>
      </c>
    </row>
    <row r="124" spans="2:28">
      <c r="B124" s="40">
        <v>0.93958333333333333</v>
      </c>
      <c r="C124" s="40" t="s">
        <v>306</v>
      </c>
      <c r="D124" s="41">
        <v>8</v>
      </c>
      <c r="E124" s="42">
        <v>2</v>
      </c>
      <c r="F124" s="42" t="s">
        <v>305</v>
      </c>
      <c r="G124" s="43" t="s">
        <v>187</v>
      </c>
      <c r="H124" s="42" t="s">
        <v>157</v>
      </c>
      <c r="I124" s="43">
        <v>10</v>
      </c>
      <c r="J124" s="43">
        <v>2</v>
      </c>
      <c r="K124" s="25" t="str">
        <f>VLOOKUP(J124,Key!$E$2:$F$9,2,FALSE)</f>
        <v>Work</v>
      </c>
      <c r="L124" s="42" t="s">
        <v>691</v>
      </c>
      <c r="M124" s="43" t="s">
        <v>156</v>
      </c>
      <c r="N124" s="42" t="s">
        <v>157</v>
      </c>
      <c r="O124" s="43">
        <v>1</v>
      </c>
      <c r="P124" s="43">
        <v>1</v>
      </c>
      <c r="Q124" s="25" t="str">
        <f>VLOOKUP(P124,Key!$E$2:$F$9,2,FALSE)</f>
        <v>Home</v>
      </c>
      <c r="R124" s="25" t="str">
        <f t="shared" si="2"/>
        <v>Work-Home</v>
      </c>
      <c r="S124" s="52">
        <v>82</v>
      </c>
      <c r="T124" s="52">
        <v>2.5</v>
      </c>
      <c r="U124" s="43">
        <v>1</v>
      </c>
      <c r="V124" s="43"/>
      <c r="W124" s="52"/>
      <c r="X124" s="52"/>
      <c r="Y124" s="53" t="s">
        <v>158</v>
      </c>
      <c r="Z124" s="54">
        <v>1000</v>
      </c>
      <c r="AA124" s="25">
        <f>VLOOKUP(F124,'Zones '!$A$2:$F$2056,6,FALSE)</f>
        <v>536</v>
      </c>
      <c r="AB124" s="25">
        <f>VLOOKUP(L124,'Zones '!$A$2:$F$2056,6,FALSE)</f>
        <v>937</v>
      </c>
    </row>
    <row r="125" spans="2:28">
      <c r="B125" s="40">
        <v>0.94444444444444453</v>
      </c>
      <c r="C125" s="40" t="s">
        <v>307</v>
      </c>
      <c r="D125" s="41">
        <v>8</v>
      </c>
      <c r="E125" s="42">
        <v>2</v>
      </c>
      <c r="F125" s="42" t="s">
        <v>308</v>
      </c>
      <c r="G125" s="43" t="s">
        <v>187</v>
      </c>
      <c r="H125" s="42" t="s">
        <v>157</v>
      </c>
      <c r="I125" s="43">
        <v>10</v>
      </c>
      <c r="J125" s="43">
        <v>2</v>
      </c>
      <c r="K125" s="25" t="str">
        <f>VLOOKUP(J125,Key!$E$2:$F$9,2,FALSE)</f>
        <v>Work</v>
      </c>
      <c r="L125" s="42" t="s">
        <v>162</v>
      </c>
      <c r="M125" s="43" t="s">
        <v>156</v>
      </c>
      <c r="N125" s="42" t="s">
        <v>157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2"/>
        <v>Work-Home</v>
      </c>
      <c r="S125" s="52">
        <v>10</v>
      </c>
      <c r="T125" s="52">
        <v>0.5</v>
      </c>
      <c r="U125" s="43">
        <v>1</v>
      </c>
      <c r="V125" s="43"/>
      <c r="W125" s="52"/>
      <c r="X125" s="52"/>
      <c r="Y125" s="53" t="s">
        <v>158</v>
      </c>
      <c r="Z125" s="54">
        <v>1000</v>
      </c>
      <c r="AA125" s="25">
        <f>VLOOKUP(F125,'Zones '!$A$2:$F$2056,6,FALSE)</f>
        <v>1397</v>
      </c>
      <c r="AB125" s="25">
        <f>VLOOKUP(L125,'Zones '!$A$2:$F$2056,6,FALSE)</f>
        <v>1397</v>
      </c>
    </row>
    <row r="126" spans="2:28">
      <c r="B126" s="40">
        <v>0.94652777777777775</v>
      </c>
      <c r="C126" s="40" t="s">
        <v>309</v>
      </c>
      <c r="D126" s="41">
        <v>1</v>
      </c>
      <c r="E126" s="42">
        <v>1</v>
      </c>
      <c r="F126" s="42" t="s">
        <v>204</v>
      </c>
      <c r="G126" s="43" t="s">
        <v>156</v>
      </c>
      <c r="H126" s="42" t="s">
        <v>157</v>
      </c>
      <c r="I126" s="43">
        <v>2</v>
      </c>
      <c r="J126" s="43">
        <v>1</v>
      </c>
      <c r="K126" s="25" t="str">
        <f>VLOOKUP(J126,Key!$E$2:$F$9,2,FALSE)</f>
        <v>Home</v>
      </c>
      <c r="L126" s="42" t="s">
        <v>162</v>
      </c>
      <c r="M126" s="43" t="s">
        <v>156</v>
      </c>
      <c r="N126" s="42" t="s">
        <v>157</v>
      </c>
      <c r="O126" s="43">
        <v>1</v>
      </c>
      <c r="P126" s="43">
        <v>1</v>
      </c>
      <c r="Q126" s="25" t="str">
        <f>VLOOKUP(P126,Key!$E$2:$F$9,2,FALSE)</f>
        <v>Home</v>
      </c>
      <c r="R126" s="25" t="str">
        <f t="shared" si="2"/>
        <v>Home-Home</v>
      </c>
      <c r="S126" s="52">
        <v>25</v>
      </c>
      <c r="T126" s="52">
        <v>2</v>
      </c>
      <c r="U126" s="43">
        <v>2</v>
      </c>
      <c r="V126" s="43"/>
      <c r="W126" s="52"/>
      <c r="X126" s="52"/>
      <c r="Y126" s="53" t="s">
        <v>158</v>
      </c>
      <c r="Z126" s="54">
        <v>0</v>
      </c>
      <c r="AA126" s="25">
        <f>VLOOKUP(F126,'Zones '!$A$2:$F$2056,6,FALSE)</f>
        <v>1390</v>
      </c>
      <c r="AB126" s="25">
        <f>VLOOKUP(L126,'Zones '!$A$2:$F$2056,6,FALSE)</f>
        <v>1397</v>
      </c>
    </row>
    <row r="127" spans="2:28">
      <c r="B127" s="40">
        <v>0.91666666666666663</v>
      </c>
      <c r="C127" s="40" t="s">
        <v>310</v>
      </c>
      <c r="D127" s="41">
        <v>1</v>
      </c>
      <c r="E127" s="42">
        <v>2</v>
      </c>
      <c r="F127" s="42" t="s">
        <v>187</v>
      </c>
      <c r="G127" s="43" t="s">
        <v>187</v>
      </c>
      <c r="H127" s="42" t="s">
        <v>157</v>
      </c>
      <c r="I127" s="43">
        <v>2</v>
      </c>
      <c r="J127" s="43">
        <v>2</v>
      </c>
      <c r="K127" s="25" t="str">
        <f>VLOOKUP(J127,Key!$E$2:$F$9,2,FALSE)</f>
        <v>Work</v>
      </c>
      <c r="L127" s="42" t="s">
        <v>162</v>
      </c>
      <c r="M127" s="43" t="s">
        <v>156</v>
      </c>
      <c r="N127" s="42" t="s">
        <v>157</v>
      </c>
      <c r="O127" s="43">
        <v>1</v>
      </c>
      <c r="P127" s="43">
        <v>1</v>
      </c>
      <c r="Q127" s="25" t="str">
        <f>VLOOKUP(P127,Key!$E$2:$F$9,2,FALSE)</f>
        <v>Home</v>
      </c>
      <c r="R127" s="25" t="str">
        <f t="shared" si="2"/>
        <v>Work-Home</v>
      </c>
      <c r="S127" s="52">
        <v>35</v>
      </c>
      <c r="T127" s="52">
        <v>2</v>
      </c>
      <c r="U127" s="43">
        <v>2</v>
      </c>
      <c r="V127" s="43"/>
      <c r="W127" s="52"/>
      <c r="X127" s="52"/>
      <c r="Y127" s="53" t="s">
        <v>158</v>
      </c>
      <c r="Z127" s="54">
        <v>1000</v>
      </c>
      <c r="AA127" s="25">
        <f>VLOOKUP(F127,'Zones '!$A$2:$F$2056,6,FALSE)</f>
        <v>521</v>
      </c>
      <c r="AB127" s="25">
        <f>VLOOKUP(L127,'Zones '!$A$2:$F$2056,6,FALSE)</f>
        <v>1397</v>
      </c>
    </row>
    <row r="128" spans="2:28">
      <c r="B128" s="40">
        <v>0.91180555555555554</v>
      </c>
      <c r="C128" s="40" t="s">
        <v>311</v>
      </c>
      <c r="D128" s="41">
        <v>11</v>
      </c>
      <c r="E128" s="42">
        <v>1</v>
      </c>
      <c r="F128" s="42" t="s">
        <v>207</v>
      </c>
      <c r="G128" s="43" t="s">
        <v>156</v>
      </c>
      <c r="H128" s="42" t="s">
        <v>157</v>
      </c>
      <c r="I128" s="43">
        <v>8</v>
      </c>
      <c r="J128" s="43">
        <v>2</v>
      </c>
      <c r="K128" s="25" t="str">
        <f>VLOOKUP(J128,Key!$E$2:$F$9,2,FALSE)</f>
        <v>Work</v>
      </c>
      <c r="L128" s="42" t="s">
        <v>150</v>
      </c>
      <c r="M128" s="43" t="s">
        <v>156</v>
      </c>
      <c r="N128" s="42" t="s">
        <v>157</v>
      </c>
      <c r="O128" s="43">
        <v>2</v>
      </c>
      <c r="P128" s="43">
        <v>2</v>
      </c>
      <c r="Q128" s="25" t="str">
        <f>VLOOKUP(P128,Key!$E$2:$F$9,2,FALSE)</f>
        <v>Work</v>
      </c>
      <c r="R128" s="25" t="str">
        <f t="shared" si="2"/>
        <v>Work-Work</v>
      </c>
      <c r="S128" s="52">
        <v>10</v>
      </c>
      <c r="T128" s="52">
        <v>0.2</v>
      </c>
      <c r="U128" s="43">
        <v>1</v>
      </c>
      <c r="V128" s="43"/>
      <c r="W128" s="52"/>
      <c r="X128" s="52"/>
      <c r="Y128" s="53" t="s">
        <v>158</v>
      </c>
      <c r="Z128" s="54">
        <v>1000</v>
      </c>
      <c r="AA128" s="25">
        <f>VLOOKUP(F128,'Zones '!$A$2:$F$2056,6,FALSE)</f>
        <v>1397</v>
      </c>
      <c r="AB128" s="25">
        <f>VLOOKUP(L128,'Zones '!$A$2:$F$2056,6,FALSE)</f>
        <v>1397</v>
      </c>
    </row>
    <row r="129" spans="1:28">
      <c r="B129" s="40">
        <v>0.9375</v>
      </c>
      <c r="C129" s="40" t="s">
        <v>312</v>
      </c>
      <c r="D129" s="41">
        <v>4</v>
      </c>
      <c r="E129" s="42">
        <v>2</v>
      </c>
      <c r="F129" s="42" t="s">
        <v>215</v>
      </c>
      <c r="G129" s="43" t="s">
        <v>156</v>
      </c>
      <c r="H129" s="42" t="s">
        <v>157</v>
      </c>
      <c r="I129" s="43">
        <v>6</v>
      </c>
      <c r="J129" s="43">
        <v>2</v>
      </c>
      <c r="K129" s="25" t="str">
        <f>VLOOKUP(J129,Key!$E$2:$F$9,2,FALSE)</f>
        <v>Work</v>
      </c>
      <c r="L129" s="42" t="s">
        <v>150</v>
      </c>
      <c r="M129" s="43" t="s">
        <v>156</v>
      </c>
      <c r="N129" s="42" t="s">
        <v>157</v>
      </c>
      <c r="O129" s="43">
        <v>1</v>
      </c>
      <c r="P129" s="43">
        <v>1</v>
      </c>
      <c r="Q129" s="25" t="str">
        <f>VLOOKUP(P129,Key!$E$2:$F$9,2,FALSE)</f>
        <v>Home</v>
      </c>
      <c r="R129" s="25" t="str">
        <f t="shared" si="2"/>
        <v>Work-Home</v>
      </c>
      <c r="S129" s="52">
        <v>28</v>
      </c>
      <c r="T129" s="52">
        <v>2.5</v>
      </c>
      <c r="U129" s="43">
        <v>1</v>
      </c>
      <c r="V129" s="43"/>
      <c r="W129" s="52"/>
      <c r="X129" s="52"/>
      <c r="Y129" s="53" t="s">
        <v>158</v>
      </c>
      <c r="Z129" s="54">
        <v>0</v>
      </c>
      <c r="AA129" s="25">
        <f>VLOOKUP(F129,'Zones '!$A$2:$F$2056,6,FALSE)</f>
        <v>1388</v>
      </c>
      <c r="AB129" s="25">
        <f>VLOOKUP(L129,'Zones '!$A$2:$F$2056,6,FALSE)</f>
        <v>1397</v>
      </c>
    </row>
    <row r="130" spans="1:28">
      <c r="B130" s="40">
        <v>0.93194444444444446</v>
      </c>
      <c r="C130" s="40" t="s">
        <v>313</v>
      </c>
      <c r="D130" s="41">
        <v>1</v>
      </c>
      <c r="E130" s="42">
        <v>1</v>
      </c>
      <c r="F130" s="42" t="s">
        <v>215</v>
      </c>
      <c r="G130" s="43" t="s">
        <v>156</v>
      </c>
      <c r="H130" s="42" t="s">
        <v>157</v>
      </c>
      <c r="I130" s="43">
        <v>2</v>
      </c>
      <c r="J130" s="43">
        <v>2</v>
      </c>
      <c r="K130" s="25" t="str">
        <f>VLOOKUP(J130,Key!$E$2:$F$9,2,FALSE)</f>
        <v>Work</v>
      </c>
      <c r="L130" s="42" t="s">
        <v>162</v>
      </c>
      <c r="M130" s="43" t="s">
        <v>156</v>
      </c>
      <c r="N130" s="42" t="s">
        <v>157</v>
      </c>
      <c r="O130" s="43">
        <v>1</v>
      </c>
      <c r="P130" s="43">
        <v>1</v>
      </c>
      <c r="Q130" s="25" t="str">
        <f>VLOOKUP(P130,Key!$E$2:$F$9,2,FALSE)</f>
        <v>Home</v>
      </c>
      <c r="R130" s="25" t="str">
        <f t="shared" si="2"/>
        <v>Work-Home</v>
      </c>
      <c r="S130" s="52">
        <v>30</v>
      </c>
      <c r="T130" s="52">
        <v>1.5</v>
      </c>
      <c r="U130" s="43">
        <v>2</v>
      </c>
      <c r="V130" s="43"/>
      <c r="W130" s="52"/>
      <c r="X130" s="52"/>
      <c r="Y130" s="53" t="s">
        <v>158</v>
      </c>
      <c r="Z130" s="54">
        <v>2000</v>
      </c>
      <c r="AA130" s="25">
        <f>VLOOKUP(F130,'Zones '!$A$2:$F$2056,6,FALSE)</f>
        <v>1388</v>
      </c>
      <c r="AB130" s="25">
        <f>VLOOKUP(L130,'Zones '!$A$2:$F$2056,6,FALSE)</f>
        <v>1397</v>
      </c>
    </row>
    <row r="131" spans="1:28">
      <c r="B131" s="40">
        <v>0.85</v>
      </c>
      <c r="C131" s="40" t="s">
        <v>254</v>
      </c>
      <c r="D131" s="41">
        <v>7</v>
      </c>
      <c r="E131" s="42">
        <v>2</v>
      </c>
      <c r="F131" s="42" t="s">
        <v>215</v>
      </c>
      <c r="G131" s="43" t="s">
        <v>156</v>
      </c>
      <c r="H131" s="42" t="s">
        <v>157</v>
      </c>
      <c r="I131" s="43">
        <v>10</v>
      </c>
      <c r="J131" s="43">
        <v>2</v>
      </c>
      <c r="K131" s="25" t="str">
        <f>VLOOKUP(J131,Key!$E$2:$F$9,2,FALSE)</f>
        <v>Work</v>
      </c>
      <c r="L131" s="42" t="s">
        <v>150</v>
      </c>
      <c r="M131" s="43" t="s">
        <v>156</v>
      </c>
      <c r="N131" s="42" t="s">
        <v>157</v>
      </c>
      <c r="O131" s="43">
        <v>1</v>
      </c>
      <c r="P131" s="43">
        <v>1</v>
      </c>
      <c r="Q131" s="25" t="str">
        <f>VLOOKUP(P131,Key!$E$2:$F$9,2,FALSE)</f>
        <v>Home</v>
      </c>
      <c r="R131" s="25" t="str">
        <f t="shared" si="2"/>
        <v>Work-Home</v>
      </c>
      <c r="S131" s="52">
        <v>35</v>
      </c>
      <c r="T131" s="52">
        <v>1</v>
      </c>
      <c r="U131" s="43">
        <v>1</v>
      </c>
      <c r="V131" s="43"/>
      <c r="W131" s="52"/>
      <c r="X131" s="52"/>
      <c r="Y131" s="53" t="s">
        <v>158</v>
      </c>
      <c r="Z131" s="54">
        <v>1000</v>
      </c>
      <c r="AA131" s="25">
        <f>VLOOKUP(F131,'Zones '!$A$2:$F$2056,6,FALSE)</f>
        <v>1388</v>
      </c>
      <c r="AB131" s="25">
        <f>VLOOKUP(L131,'Zones '!$A$2:$F$2056,6,FALSE)</f>
        <v>1397</v>
      </c>
    </row>
    <row r="132" spans="1:28">
      <c r="B132" s="40">
        <v>0.84513888888888899</v>
      </c>
      <c r="C132" s="40" t="s">
        <v>314</v>
      </c>
      <c r="D132" s="41">
        <v>11</v>
      </c>
      <c r="E132" s="42">
        <v>1</v>
      </c>
      <c r="F132" s="42" t="s">
        <v>204</v>
      </c>
      <c r="G132" s="43" t="s">
        <v>156</v>
      </c>
      <c r="H132" s="42" t="s">
        <v>157</v>
      </c>
      <c r="I132" s="43">
        <v>8</v>
      </c>
      <c r="J132" s="43">
        <v>2</v>
      </c>
      <c r="K132" s="25" t="str">
        <f>VLOOKUP(J132,Key!$E$2:$F$9,2,FALSE)</f>
        <v>Work</v>
      </c>
      <c r="L132" s="42" t="s">
        <v>150</v>
      </c>
      <c r="M132" s="43" t="s">
        <v>156</v>
      </c>
      <c r="N132" s="42" t="s">
        <v>157</v>
      </c>
      <c r="O132" s="43">
        <v>8</v>
      </c>
      <c r="P132" s="43">
        <v>2</v>
      </c>
      <c r="Q132" s="25" t="str">
        <f>VLOOKUP(P132,Key!$E$2:$F$9,2,FALSE)</f>
        <v>Work</v>
      </c>
      <c r="R132" s="25" t="str">
        <f t="shared" si="2"/>
        <v>Work-Work</v>
      </c>
      <c r="S132" s="52">
        <v>25</v>
      </c>
      <c r="T132" s="52">
        <v>0.7</v>
      </c>
      <c r="U132" s="43">
        <v>1</v>
      </c>
      <c r="V132" s="43"/>
      <c r="W132" s="52"/>
      <c r="X132" s="52"/>
      <c r="Y132" s="53" t="s">
        <v>158</v>
      </c>
      <c r="Z132" s="54">
        <v>500</v>
      </c>
      <c r="AA132" s="25">
        <f>VLOOKUP(F132,'Zones '!$A$2:$F$2056,6,FALSE)</f>
        <v>1390</v>
      </c>
      <c r="AB132" s="25">
        <f>VLOOKUP(L132,'Zones '!$A$2:$F$2056,6,FALSE)</f>
        <v>1397</v>
      </c>
    </row>
    <row r="133" spans="1:28">
      <c r="B133" s="40">
        <v>0.83472222222222225</v>
      </c>
      <c r="C133" s="40" t="s">
        <v>315</v>
      </c>
      <c r="D133" s="41">
        <v>11</v>
      </c>
      <c r="E133" s="42">
        <v>2</v>
      </c>
      <c r="F133" s="42" t="s">
        <v>150</v>
      </c>
      <c r="G133" s="43" t="s">
        <v>156</v>
      </c>
      <c r="H133" s="42" t="s">
        <v>157</v>
      </c>
      <c r="I133" s="43">
        <v>8</v>
      </c>
      <c r="J133" s="43">
        <v>2</v>
      </c>
      <c r="K133" s="25" t="str">
        <f>VLOOKUP(J133,Key!$E$2:$F$9,2,FALSE)</f>
        <v>Work</v>
      </c>
      <c r="L133" s="42" t="s">
        <v>162</v>
      </c>
      <c r="M133" s="43" t="s">
        <v>156</v>
      </c>
      <c r="N133" s="42" t="s">
        <v>157</v>
      </c>
      <c r="O133" s="43">
        <v>8</v>
      </c>
      <c r="P133" s="43">
        <v>2</v>
      </c>
      <c r="Q133" s="25" t="str">
        <f>VLOOKUP(P133,Key!$E$2:$F$9,2,FALSE)</f>
        <v>Work</v>
      </c>
      <c r="R133" s="25" t="str">
        <f t="shared" si="2"/>
        <v>Work-Work</v>
      </c>
      <c r="S133" s="52">
        <v>3</v>
      </c>
      <c r="T133" s="52">
        <v>0.1</v>
      </c>
      <c r="U133" s="43">
        <v>1</v>
      </c>
      <c r="V133" s="43"/>
      <c r="W133" s="52"/>
      <c r="X133" s="52"/>
      <c r="Y133" s="53" t="s">
        <v>158</v>
      </c>
      <c r="Z133" s="54">
        <v>2000</v>
      </c>
      <c r="AA133" s="25">
        <f>VLOOKUP(F133,'Zones '!$A$2:$F$2056,6,FALSE)</f>
        <v>1397</v>
      </c>
      <c r="AB133" s="25">
        <f>VLOOKUP(L133,'Zones '!$A$2:$F$2056,6,FALSE)</f>
        <v>1397</v>
      </c>
    </row>
    <row r="134" spans="1:28">
      <c r="B134" s="40">
        <v>0.83194444444444438</v>
      </c>
      <c r="C134" s="40" t="s">
        <v>316</v>
      </c>
      <c r="D134" s="41">
        <v>2</v>
      </c>
      <c r="E134" s="42">
        <v>1</v>
      </c>
      <c r="F134" s="42" t="s">
        <v>215</v>
      </c>
      <c r="G134" s="43" t="s">
        <v>156</v>
      </c>
      <c r="H134" s="42" t="s">
        <v>157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162</v>
      </c>
      <c r="M134" s="43" t="s">
        <v>156</v>
      </c>
      <c r="N134" s="42" t="s">
        <v>157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2"/>
        <v>Work-Home</v>
      </c>
      <c r="S134" s="52">
        <v>30</v>
      </c>
      <c r="T134" s="52">
        <v>2</v>
      </c>
      <c r="U134" s="43">
        <v>2</v>
      </c>
      <c r="V134" s="43"/>
      <c r="W134" s="52"/>
      <c r="X134" s="52"/>
      <c r="Y134" s="53" t="s">
        <v>158</v>
      </c>
      <c r="Z134" s="54">
        <v>10000</v>
      </c>
      <c r="AA134" s="25">
        <f>VLOOKUP(F134,'Zones '!$A$2:$F$2056,6,FALSE)</f>
        <v>1388</v>
      </c>
      <c r="AB134" s="25">
        <f>VLOOKUP(L134,'Zones '!$A$2:$F$2056,6,FALSE)</f>
        <v>1397</v>
      </c>
    </row>
    <row r="135" spans="1:28">
      <c r="B135" s="40">
        <v>0.82777777777777783</v>
      </c>
      <c r="C135" s="40" t="s">
        <v>317</v>
      </c>
      <c r="D135" s="41">
        <v>11</v>
      </c>
      <c r="E135" s="42">
        <v>2</v>
      </c>
      <c r="F135" s="42" t="s">
        <v>155</v>
      </c>
      <c r="G135" s="43" t="s">
        <v>156</v>
      </c>
      <c r="H135" s="42" t="s">
        <v>157</v>
      </c>
      <c r="I135" s="43">
        <v>8</v>
      </c>
      <c r="J135" s="43">
        <v>2</v>
      </c>
      <c r="K135" s="25" t="str">
        <f>VLOOKUP(J135,Key!$E$2:$F$9,2,FALSE)</f>
        <v>Work</v>
      </c>
      <c r="L135" s="42" t="s">
        <v>162</v>
      </c>
      <c r="M135" s="43" t="s">
        <v>156</v>
      </c>
      <c r="N135" s="42" t="s">
        <v>157</v>
      </c>
      <c r="O135" s="43">
        <v>8</v>
      </c>
      <c r="P135" s="43">
        <v>2</v>
      </c>
      <c r="Q135" s="25" t="str">
        <f>VLOOKUP(P135,Key!$E$2:$F$9,2,FALSE)</f>
        <v>Work</v>
      </c>
      <c r="R135" s="25" t="str">
        <f t="shared" si="2"/>
        <v>Work-Work</v>
      </c>
      <c r="S135" s="52">
        <v>12</v>
      </c>
      <c r="T135" s="52">
        <v>0.2</v>
      </c>
      <c r="U135" s="43"/>
      <c r="V135" s="43"/>
      <c r="W135" s="52"/>
      <c r="X135" s="52"/>
      <c r="Y135" s="53" t="s">
        <v>158</v>
      </c>
      <c r="Z135" s="54">
        <v>1000</v>
      </c>
      <c r="AA135" s="25">
        <f>VLOOKUP(F135,'Zones '!$A$2:$F$2056,6,FALSE)</f>
        <v>1397</v>
      </c>
      <c r="AB135" s="25">
        <f>VLOOKUP(L135,'Zones '!$A$2:$F$2056,6,FALSE)</f>
        <v>1397</v>
      </c>
    </row>
    <row r="136" spans="1:28">
      <c r="B136" s="40">
        <v>0.82291666666666663</v>
      </c>
      <c r="C136" s="40" t="s">
        <v>318</v>
      </c>
      <c r="D136" s="41">
        <v>1</v>
      </c>
      <c r="E136" s="42">
        <v>4</v>
      </c>
      <c r="F136" s="42" t="s">
        <v>215</v>
      </c>
      <c r="G136" s="43" t="s">
        <v>156</v>
      </c>
      <c r="H136" s="42" t="s">
        <v>157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197</v>
      </c>
      <c r="M136" s="43" t="s">
        <v>197</v>
      </c>
      <c r="N136" s="42" t="s">
        <v>157</v>
      </c>
      <c r="O136" s="43">
        <v>1</v>
      </c>
      <c r="P136" s="43">
        <v>1</v>
      </c>
      <c r="Q136" s="25" t="str">
        <f>VLOOKUP(P136,Key!$E$2:$F$9,2,FALSE)</f>
        <v>Home</v>
      </c>
      <c r="R136" s="25" t="str">
        <f t="shared" si="2"/>
        <v>Home-Home</v>
      </c>
      <c r="S136" s="52">
        <v>180</v>
      </c>
      <c r="T136" s="52">
        <v>3.5</v>
      </c>
      <c r="U136" s="43">
        <v>6</v>
      </c>
      <c r="V136" s="43"/>
      <c r="W136" s="52"/>
      <c r="X136" s="52"/>
      <c r="Y136" s="53" t="s">
        <v>158</v>
      </c>
      <c r="Z136" s="54">
        <v>2000</v>
      </c>
      <c r="AA136" s="25">
        <f>VLOOKUP(F136,'Zones '!$A$2:$F$2056,6,FALSE)</f>
        <v>1388</v>
      </c>
      <c r="AB136" s="25">
        <f>VLOOKUP(L136,'Zones '!$A$2:$F$2056,6,FALSE)</f>
        <v>937</v>
      </c>
    </row>
    <row r="137" spans="1:28">
      <c r="B137" s="40">
        <v>0.84166666666666667</v>
      </c>
      <c r="C137" s="40" t="s">
        <v>300</v>
      </c>
      <c r="D137" s="41">
        <v>4</v>
      </c>
      <c r="E137" s="42">
        <v>3</v>
      </c>
      <c r="F137" s="42" t="s">
        <v>187</v>
      </c>
      <c r="G137" s="43" t="s">
        <v>187</v>
      </c>
      <c r="H137" s="42" t="s">
        <v>157</v>
      </c>
      <c r="I137" s="43">
        <v>6</v>
      </c>
      <c r="J137" s="43">
        <v>2</v>
      </c>
      <c r="K137" s="25" t="str">
        <f>VLOOKUP(J137,Key!$E$2:$F$9,2,FALSE)</f>
        <v>Work</v>
      </c>
      <c r="L137" s="42" t="s">
        <v>162</v>
      </c>
      <c r="M137" s="43" t="s">
        <v>156</v>
      </c>
      <c r="N137" s="42" t="s">
        <v>157</v>
      </c>
      <c r="O137" s="43">
        <v>6</v>
      </c>
      <c r="P137" s="43">
        <v>2</v>
      </c>
      <c r="Q137" s="25" t="str">
        <f>VLOOKUP(P137,Key!$E$2:$F$9,2,FALSE)</f>
        <v>Work</v>
      </c>
      <c r="R137" s="25" t="str">
        <f t="shared" si="2"/>
        <v>Work-Work</v>
      </c>
      <c r="S137" s="52">
        <v>30</v>
      </c>
      <c r="T137" s="52">
        <v>2</v>
      </c>
      <c r="U137" s="43">
        <v>1</v>
      </c>
      <c r="V137" s="43"/>
      <c r="W137" s="52"/>
      <c r="X137" s="52"/>
      <c r="Y137" s="53" t="s">
        <v>158</v>
      </c>
      <c r="Z137" s="54">
        <v>2000</v>
      </c>
      <c r="AA137" s="25">
        <f>VLOOKUP(F137,'Zones '!$A$2:$F$2056,6,FALSE)</f>
        <v>521</v>
      </c>
      <c r="AB137" s="25">
        <f>VLOOKUP(L137,'Zones '!$A$2:$F$2056,6,FALSE)</f>
        <v>1397</v>
      </c>
    </row>
    <row r="138" spans="1:28">
      <c r="B138" s="40">
        <v>0.83888888888888891</v>
      </c>
      <c r="C138" s="40" t="s">
        <v>319</v>
      </c>
      <c r="D138" s="41">
        <v>1</v>
      </c>
      <c r="E138" s="42">
        <v>2</v>
      </c>
      <c r="F138" s="42" t="s">
        <v>226</v>
      </c>
      <c r="G138" s="43" t="s">
        <v>156</v>
      </c>
      <c r="H138" s="42" t="s">
        <v>157</v>
      </c>
      <c r="I138" s="43">
        <v>2</v>
      </c>
      <c r="J138" s="43">
        <v>2</v>
      </c>
      <c r="K138" s="25" t="str">
        <f>VLOOKUP(J138,Key!$E$2:$F$9,2,FALSE)</f>
        <v>Work</v>
      </c>
      <c r="L138" s="42" t="s">
        <v>150</v>
      </c>
      <c r="M138" s="43" t="s">
        <v>156</v>
      </c>
      <c r="N138" s="42" t="s">
        <v>157</v>
      </c>
      <c r="O138" s="43">
        <v>1</v>
      </c>
      <c r="P138" s="43">
        <v>1</v>
      </c>
      <c r="Q138" s="25" t="str">
        <f>VLOOKUP(P138,Key!$E$2:$F$9,2,FALSE)</f>
        <v>Home</v>
      </c>
      <c r="R138" s="25" t="str">
        <f t="shared" si="2"/>
        <v>Work-Home</v>
      </c>
      <c r="S138" s="52">
        <v>3</v>
      </c>
      <c r="T138" s="52">
        <v>0.5</v>
      </c>
      <c r="U138" s="43">
        <v>2</v>
      </c>
      <c r="V138" s="43"/>
      <c r="W138" s="52"/>
      <c r="X138" s="52"/>
      <c r="Y138" s="53" t="s">
        <v>158</v>
      </c>
      <c r="Z138" s="54">
        <v>2000</v>
      </c>
      <c r="AA138" s="25">
        <f>VLOOKUP(F138,'Zones '!$A$2:$F$2056,6,FALSE)</f>
        <v>1397</v>
      </c>
      <c r="AB138" s="25">
        <f>VLOOKUP(L138,'Zones '!$A$2:$F$2056,6,FALSE)</f>
        <v>1397</v>
      </c>
    </row>
    <row r="139" spans="1:28">
      <c r="B139" s="40">
        <v>0.83888888888888891</v>
      </c>
      <c r="C139" s="40" t="s">
        <v>319</v>
      </c>
      <c r="D139" s="41">
        <v>1</v>
      </c>
      <c r="E139" s="42">
        <v>2</v>
      </c>
      <c r="F139" s="42" t="s">
        <v>226</v>
      </c>
      <c r="G139" s="43" t="s">
        <v>156</v>
      </c>
      <c r="H139" s="42" t="s">
        <v>157</v>
      </c>
      <c r="I139" s="43">
        <v>2</v>
      </c>
      <c r="J139" s="43">
        <v>2</v>
      </c>
      <c r="K139" s="25" t="str">
        <f>VLOOKUP(J139,Key!$E$2:$F$9,2,FALSE)</f>
        <v>Work</v>
      </c>
      <c r="L139" s="42" t="s">
        <v>150</v>
      </c>
      <c r="M139" s="43" t="s">
        <v>156</v>
      </c>
      <c r="N139" s="42" t="s">
        <v>157</v>
      </c>
      <c r="O139" s="43">
        <v>1</v>
      </c>
      <c r="P139" s="43">
        <v>1</v>
      </c>
      <c r="Q139" s="25" t="str">
        <f>VLOOKUP(P139,Key!$E$2:$F$9,2,FALSE)</f>
        <v>Home</v>
      </c>
      <c r="R139" s="25" t="str">
        <f t="shared" si="2"/>
        <v>Work-Home</v>
      </c>
      <c r="S139" s="52">
        <v>3</v>
      </c>
      <c r="T139" s="52">
        <v>0.5</v>
      </c>
      <c r="U139" s="43">
        <v>2</v>
      </c>
      <c r="V139" s="43"/>
      <c r="W139" s="52"/>
      <c r="X139" s="52"/>
      <c r="Y139" s="53" t="s">
        <v>158</v>
      </c>
      <c r="Z139" s="54">
        <v>2000</v>
      </c>
      <c r="AA139" s="25">
        <f>VLOOKUP(F139,'Zones '!$A$2:$F$2056,6,FALSE)</f>
        <v>1397</v>
      </c>
      <c r="AB139" s="25">
        <f>VLOOKUP(L139,'Zones '!$A$2:$F$2056,6,FALSE)</f>
        <v>1397</v>
      </c>
    </row>
    <row r="140" spans="1:28">
      <c r="B140" s="40">
        <v>0.84166666666666667</v>
      </c>
      <c r="C140" s="40" t="s">
        <v>300</v>
      </c>
      <c r="D140" s="41">
        <v>4</v>
      </c>
      <c r="E140" s="42">
        <v>3</v>
      </c>
      <c r="F140" s="42" t="s">
        <v>187</v>
      </c>
      <c r="G140" s="43" t="s">
        <v>187</v>
      </c>
      <c r="H140" s="42" t="s">
        <v>157</v>
      </c>
      <c r="I140" s="43">
        <v>6</v>
      </c>
      <c r="J140" s="43">
        <v>2</v>
      </c>
      <c r="K140" s="25" t="str">
        <f>VLOOKUP(J140,Key!$E$2:$F$9,2,FALSE)</f>
        <v>Work</v>
      </c>
      <c r="L140" s="42" t="s">
        <v>162</v>
      </c>
      <c r="M140" s="43" t="s">
        <v>156</v>
      </c>
      <c r="N140" s="42" t="s">
        <v>157</v>
      </c>
      <c r="O140" s="43">
        <v>6</v>
      </c>
      <c r="P140" s="43">
        <v>2</v>
      </c>
      <c r="Q140" s="25" t="str">
        <f>VLOOKUP(P140,Key!$E$2:$F$9,2,FALSE)</f>
        <v>Work</v>
      </c>
      <c r="R140" s="25" t="str">
        <f t="shared" si="2"/>
        <v>Work-Work</v>
      </c>
      <c r="S140" s="52">
        <v>30</v>
      </c>
      <c r="T140" s="52">
        <v>2</v>
      </c>
      <c r="U140" s="43">
        <v>1</v>
      </c>
      <c r="V140" s="43"/>
      <c r="W140" s="52"/>
      <c r="X140" s="52"/>
      <c r="Y140" s="53" t="s">
        <v>158</v>
      </c>
      <c r="Z140" s="54">
        <v>2000</v>
      </c>
      <c r="AA140" s="25">
        <f>VLOOKUP(F140,'Zones '!$A$2:$F$2056,6,FALSE)</f>
        <v>521</v>
      </c>
      <c r="AB140" s="25">
        <f>VLOOKUP(L140,'Zones '!$A$2:$F$2056,6,FALSE)</f>
        <v>1397</v>
      </c>
    </row>
    <row r="141" spans="1:28">
      <c r="B141" s="40">
        <v>0.95416666666666661</v>
      </c>
      <c r="C141" s="40" t="s">
        <v>320</v>
      </c>
      <c r="D141" s="41">
        <v>1</v>
      </c>
      <c r="E141" s="42">
        <v>3</v>
      </c>
      <c r="F141" s="42" t="s">
        <v>226</v>
      </c>
      <c r="G141" s="43" t="s">
        <v>156</v>
      </c>
      <c r="H141" s="42" t="s">
        <v>157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150</v>
      </c>
      <c r="M141" s="43" t="s">
        <v>156</v>
      </c>
      <c r="N141" s="42" t="s">
        <v>157</v>
      </c>
      <c r="O141" s="43">
        <v>1</v>
      </c>
      <c r="P141" s="43">
        <v>1</v>
      </c>
      <c r="Q141" s="25" t="str">
        <f>VLOOKUP(P141,Key!$E$2:$F$9,2,FALSE)</f>
        <v>Home</v>
      </c>
      <c r="R141" s="25" t="str">
        <f t="shared" si="2"/>
        <v>Home-Home</v>
      </c>
      <c r="S141" s="52">
        <v>3</v>
      </c>
      <c r="T141" s="52">
        <v>0.7</v>
      </c>
      <c r="U141" s="43">
        <v>1</v>
      </c>
      <c r="V141" s="43"/>
      <c r="W141" s="52"/>
      <c r="X141" s="52"/>
      <c r="Y141" s="53" t="s">
        <v>158</v>
      </c>
      <c r="Z141" s="54">
        <v>10000</v>
      </c>
      <c r="AA141" s="25">
        <f>VLOOKUP(F141,'Zones '!$A$2:$F$2056,6,FALSE)</f>
        <v>1397</v>
      </c>
      <c r="AB141" s="25">
        <f>VLOOKUP(L141,'Zones '!$A$2:$F$2056,6,FALSE)</f>
        <v>1397</v>
      </c>
    </row>
    <row r="142" spans="1:28">
      <c r="B142" s="40">
        <v>0.94791666666666663</v>
      </c>
      <c r="C142" s="40" t="s">
        <v>321</v>
      </c>
      <c r="D142" s="41">
        <v>11</v>
      </c>
      <c r="E142" s="42">
        <v>1</v>
      </c>
      <c r="F142" s="42" t="s">
        <v>155</v>
      </c>
      <c r="G142" s="43" t="s">
        <v>156</v>
      </c>
      <c r="H142" s="42" t="s">
        <v>157</v>
      </c>
      <c r="I142" s="43">
        <v>8</v>
      </c>
      <c r="J142" s="43">
        <v>2</v>
      </c>
      <c r="K142" s="25" t="str">
        <f>VLOOKUP(J142,Key!$E$2:$F$9,2,FALSE)</f>
        <v>Work</v>
      </c>
      <c r="L142" s="42" t="s">
        <v>150</v>
      </c>
      <c r="M142" s="43" t="s">
        <v>156</v>
      </c>
      <c r="N142" s="42" t="s">
        <v>157</v>
      </c>
      <c r="O142" s="43">
        <v>1</v>
      </c>
      <c r="P142" s="43">
        <v>1</v>
      </c>
      <c r="Q142" s="25" t="str">
        <f>VLOOKUP(P142,Key!$E$2:$F$9,2,FALSE)</f>
        <v>Home</v>
      </c>
      <c r="R142" s="25" t="str">
        <f t="shared" si="2"/>
        <v>Work-Home</v>
      </c>
      <c r="S142" s="52">
        <v>1</v>
      </c>
      <c r="T142" s="52">
        <v>0.1</v>
      </c>
      <c r="U142" s="43">
        <v>1</v>
      </c>
      <c r="V142" s="43"/>
      <c r="W142" s="52"/>
      <c r="X142" s="52"/>
      <c r="Y142" s="53" t="s">
        <v>158</v>
      </c>
      <c r="Z142" s="54">
        <v>3000</v>
      </c>
      <c r="AA142" s="25">
        <f>VLOOKUP(F142,'Zones '!$A$2:$F$2056,6,FALSE)</f>
        <v>1397</v>
      </c>
      <c r="AB142" s="25">
        <f>VLOOKUP(L142,'Zones '!$A$2:$F$2056,6,FALSE)</f>
        <v>1397</v>
      </c>
    </row>
    <row r="143" spans="1:28">
      <c r="A143" s="14"/>
      <c r="B143" s="40">
        <v>0.85416666666666663</v>
      </c>
      <c r="C143" s="40" t="s">
        <v>322</v>
      </c>
      <c r="D143" s="41">
        <v>11</v>
      </c>
      <c r="E143" s="42">
        <v>2</v>
      </c>
      <c r="F143" s="42" t="s">
        <v>155</v>
      </c>
      <c r="G143" s="43" t="s">
        <v>156</v>
      </c>
      <c r="H143" s="42" t="s">
        <v>157</v>
      </c>
      <c r="I143" s="43">
        <v>8</v>
      </c>
      <c r="J143" s="43">
        <v>2</v>
      </c>
      <c r="K143" s="25" t="str">
        <f>VLOOKUP(J143,Key!$E$2:$F$9,2,FALSE)</f>
        <v>Work</v>
      </c>
      <c r="L143" s="42" t="s">
        <v>150</v>
      </c>
      <c r="M143" s="43" t="s">
        <v>156</v>
      </c>
      <c r="N143" s="42" t="s">
        <v>157</v>
      </c>
      <c r="O143" s="43">
        <v>8</v>
      </c>
      <c r="P143" s="43">
        <v>2</v>
      </c>
      <c r="Q143" s="25" t="str">
        <f>VLOOKUP(P143,Key!$E$2:$F$9,2,FALSE)</f>
        <v>Work</v>
      </c>
      <c r="R143" s="25" t="str">
        <f t="shared" si="2"/>
        <v>Work-Work</v>
      </c>
      <c r="S143" s="52">
        <v>1</v>
      </c>
      <c r="T143" s="52">
        <v>0.1</v>
      </c>
      <c r="U143" s="43">
        <v>1</v>
      </c>
      <c r="V143" s="43"/>
      <c r="W143" s="52"/>
      <c r="X143" s="52"/>
      <c r="Y143" s="53" t="s">
        <v>158</v>
      </c>
      <c r="Z143" s="54">
        <v>10000</v>
      </c>
      <c r="AA143" s="25">
        <f>VLOOKUP(F143,'Zones '!$A$2:$F$2056,6,FALSE)</f>
        <v>1397</v>
      </c>
      <c r="AB143" s="25">
        <f>VLOOKUP(L143,'Zones '!$A$2:$F$2056,6,FALSE)</f>
        <v>1397</v>
      </c>
    </row>
    <row r="144" spans="1:28">
      <c r="A144" s="14"/>
      <c r="B144" s="40">
        <v>0.85763888888888884</v>
      </c>
      <c r="C144" s="40" t="s">
        <v>323</v>
      </c>
      <c r="D144" s="41">
        <v>11</v>
      </c>
      <c r="E144" s="42">
        <v>1</v>
      </c>
      <c r="F144" s="42" t="s">
        <v>155</v>
      </c>
      <c r="G144" s="43" t="s">
        <v>156</v>
      </c>
      <c r="H144" s="42" t="s">
        <v>157</v>
      </c>
      <c r="I144" s="43">
        <v>4</v>
      </c>
      <c r="J144" s="43">
        <v>2</v>
      </c>
      <c r="K144" s="25" t="str">
        <f>VLOOKUP(J144,Key!$E$2:$F$9,2,FALSE)</f>
        <v>Work</v>
      </c>
      <c r="L144" s="42" t="s">
        <v>150</v>
      </c>
      <c r="M144" s="43" t="s">
        <v>156</v>
      </c>
      <c r="N144" s="42" t="s">
        <v>157</v>
      </c>
      <c r="O144" s="43">
        <v>8</v>
      </c>
      <c r="P144" s="43">
        <v>2</v>
      </c>
      <c r="Q144" s="25" t="str">
        <f>VLOOKUP(P144,Key!$E$2:$F$9,2,FALSE)</f>
        <v>Work</v>
      </c>
      <c r="R144" s="25" t="str">
        <f t="shared" si="2"/>
        <v>Work-Work</v>
      </c>
      <c r="S144" s="52">
        <v>1</v>
      </c>
      <c r="T144" s="52">
        <v>0.1</v>
      </c>
      <c r="U144" s="43">
        <v>1</v>
      </c>
      <c r="V144" s="43"/>
      <c r="W144" s="52"/>
      <c r="X144" s="52"/>
      <c r="Y144" s="53" t="s">
        <v>158</v>
      </c>
      <c r="Z144" s="54">
        <v>5000</v>
      </c>
      <c r="AA144" s="25">
        <f>VLOOKUP(F144,'Zones '!$A$2:$F$2056,6,FALSE)</f>
        <v>1397</v>
      </c>
      <c r="AB144" s="25">
        <f>VLOOKUP(L144,'Zones '!$A$2:$F$2056,6,FALSE)</f>
        <v>1397</v>
      </c>
    </row>
    <row r="145" spans="1:28">
      <c r="A145" s="14"/>
      <c r="B145" s="40">
        <v>0.92361111111111116</v>
      </c>
      <c r="C145" s="40" t="s">
        <v>324</v>
      </c>
      <c r="D145" s="41">
        <v>1</v>
      </c>
      <c r="E145" s="42">
        <v>2</v>
      </c>
      <c r="F145" s="42" t="s">
        <v>301</v>
      </c>
      <c r="G145" s="43" t="s">
        <v>187</v>
      </c>
      <c r="H145" s="42" t="s">
        <v>157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162</v>
      </c>
      <c r="M145" s="43" t="s">
        <v>156</v>
      </c>
      <c r="N145" s="42" t="s">
        <v>157</v>
      </c>
      <c r="O145" s="43">
        <v>1</v>
      </c>
      <c r="P145" s="43">
        <v>1</v>
      </c>
      <c r="Q145" s="25" t="str">
        <f>VLOOKUP(P145,Key!$E$2:$F$9,2,FALSE)</f>
        <v>Home</v>
      </c>
      <c r="R145" s="25" t="str">
        <f t="shared" si="2"/>
        <v>Home-Home</v>
      </c>
      <c r="S145" s="52">
        <v>35</v>
      </c>
      <c r="T145" s="52">
        <v>2</v>
      </c>
      <c r="U145" s="43">
        <v>2</v>
      </c>
      <c r="V145" s="43"/>
      <c r="W145" s="52"/>
      <c r="X145" s="52"/>
      <c r="Y145" s="53" t="s">
        <v>158</v>
      </c>
      <c r="Z145" s="54">
        <v>3000</v>
      </c>
      <c r="AA145" s="25">
        <f>VLOOKUP(F145,'Zones '!$A$2:$F$2056,6,FALSE)</f>
        <v>538</v>
      </c>
      <c r="AB145" s="25">
        <f>VLOOKUP(L145,'Zones '!$A$2:$F$2056,6,FALSE)</f>
        <v>1397</v>
      </c>
    </row>
    <row r="146" spans="1:28">
      <c r="B146" s="40">
        <v>0.92013888888888884</v>
      </c>
      <c r="C146" s="40" t="s">
        <v>325</v>
      </c>
      <c r="D146" s="41">
        <v>4</v>
      </c>
      <c r="E146" s="42">
        <v>1</v>
      </c>
      <c r="F146" s="42" t="s">
        <v>187</v>
      </c>
      <c r="G146" s="43" t="s">
        <v>187</v>
      </c>
      <c r="H146" s="42" t="s">
        <v>157</v>
      </c>
      <c r="I146" s="43">
        <v>6</v>
      </c>
      <c r="J146" s="43">
        <v>2</v>
      </c>
      <c r="K146" s="25" t="str">
        <f>VLOOKUP(J146,Key!$E$2:$F$9,2,FALSE)</f>
        <v>Work</v>
      </c>
      <c r="L146" s="42" t="s">
        <v>162</v>
      </c>
      <c r="M146" s="43" t="s">
        <v>156</v>
      </c>
      <c r="N146" s="42" t="s">
        <v>157</v>
      </c>
      <c r="O146" s="43">
        <v>1</v>
      </c>
      <c r="P146" s="43">
        <v>1</v>
      </c>
      <c r="Q146" s="25" t="str">
        <f>VLOOKUP(P146,Key!$E$2:$F$9,2,FALSE)</f>
        <v>Home</v>
      </c>
      <c r="R146" s="25" t="str">
        <f t="shared" si="2"/>
        <v>Work-Home</v>
      </c>
      <c r="S146" s="52">
        <v>40</v>
      </c>
      <c r="T146" s="52">
        <v>2</v>
      </c>
      <c r="U146" s="43">
        <v>1</v>
      </c>
      <c r="V146" s="43"/>
      <c r="W146" s="52"/>
      <c r="X146" s="52"/>
      <c r="Y146" s="53" t="s">
        <v>158</v>
      </c>
      <c r="Z146" s="54">
        <v>5000</v>
      </c>
      <c r="AA146" s="25">
        <f>VLOOKUP(F146,'Zones '!$A$2:$F$2056,6,FALSE)</f>
        <v>521</v>
      </c>
      <c r="AB146" s="25">
        <f>VLOOKUP(L146,'Zones '!$A$2:$F$2056,6,FALSE)</f>
        <v>1397</v>
      </c>
    </row>
    <row r="147" spans="1:28">
      <c r="B147" s="40">
        <v>0.22152777777777777</v>
      </c>
      <c r="C147" s="40" t="s">
        <v>326</v>
      </c>
      <c r="D147" s="41">
        <v>11</v>
      </c>
      <c r="E147" s="42">
        <v>2</v>
      </c>
      <c r="F147" s="42" t="s">
        <v>150</v>
      </c>
      <c r="G147" s="43" t="s">
        <v>156</v>
      </c>
      <c r="H147" s="42" t="s">
        <v>157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162</v>
      </c>
      <c r="M147" s="43" t="s">
        <v>156</v>
      </c>
      <c r="N147" s="42" t="s">
        <v>157</v>
      </c>
      <c r="O147" s="43">
        <v>8</v>
      </c>
      <c r="P147" s="43">
        <v>2</v>
      </c>
      <c r="Q147" s="25" t="str">
        <f>VLOOKUP(P147,Key!$E$2:$F$9,2,FALSE)</f>
        <v>Work</v>
      </c>
      <c r="R147" s="25" t="str">
        <f t="shared" si="2"/>
        <v>Home-Work</v>
      </c>
      <c r="S147" s="52">
        <v>5</v>
      </c>
      <c r="T147" s="52">
        <v>0.1</v>
      </c>
      <c r="U147" s="43">
        <v>1</v>
      </c>
      <c r="V147" s="43"/>
      <c r="W147" s="52"/>
      <c r="X147" s="52"/>
      <c r="Y147" s="53" t="s">
        <v>158</v>
      </c>
      <c r="Z147" s="54">
        <v>2000</v>
      </c>
      <c r="AA147" s="25">
        <f>VLOOKUP(F147,'Zones '!$A$2:$F$2056,6,FALSE)</f>
        <v>1397</v>
      </c>
      <c r="AB147" s="25">
        <f>VLOOKUP(L147,'Zones '!$A$2:$F$2056,6,FALSE)</f>
        <v>1397</v>
      </c>
    </row>
    <row r="148" spans="1:28">
      <c r="B148" s="40">
        <v>0.22430555555555556</v>
      </c>
      <c r="C148" s="40" t="s">
        <v>327</v>
      </c>
      <c r="D148" s="41">
        <v>4</v>
      </c>
      <c r="E148" s="42">
        <v>12</v>
      </c>
      <c r="F148" s="42" t="s">
        <v>301</v>
      </c>
      <c r="G148" s="43" t="s">
        <v>197</v>
      </c>
      <c r="H148" s="42" t="s">
        <v>157</v>
      </c>
      <c r="I148" s="43">
        <v>6</v>
      </c>
      <c r="J148" s="43">
        <v>2</v>
      </c>
      <c r="K148" s="25" t="str">
        <f>VLOOKUP(J148,Key!$E$2:$F$9,2,FALSE)</f>
        <v>Work</v>
      </c>
      <c r="L148" s="42" t="s">
        <v>197</v>
      </c>
      <c r="M148" s="43" t="s">
        <v>197</v>
      </c>
      <c r="N148" s="42" t="s">
        <v>157</v>
      </c>
      <c r="O148" s="43">
        <v>6</v>
      </c>
      <c r="P148" s="43">
        <v>2</v>
      </c>
      <c r="Q148" s="25" t="str">
        <f>VLOOKUP(P148,Key!$E$2:$F$9,2,FALSE)</f>
        <v>Work</v>
      </c>
      <c r="R148" s="25" t="str">
        <f t="shared" si="2"/>
        <v>Work-Work</v>
      </c>
      <c r="S148" s="52">
        <v>185</v>
      </c>
      <c r="T148" s="52">
        <v>3</v>
      </c>
      <c r="U148" s="43">
        <v>2</v>
      </c>
      <c r="V148" s="43"/>
      <c r="W148" s="52"/>
      <c r="X148" s="52"/>
      <c r="Y148" s="53" t="s">
        <v>158</v>
      </c>
      <c r="Z148" s="54">
        <v>3000</v>
      </c>
      <c r="AA148" s="25">
        <f>VLOOKUP(F148,'Zones '!$A$2:$F$2056,6,FALSE)</f>
        <v>538</v>
      </c>
      <c r="AB148" s="25">
        <f>VLOOKUP(L148,'Zones '!$A$2:$F$2056,6,FALSE)</f>
        <v>937</v>
      </c>
    </row>
    <row r="149" spans="1:28">
      <c r="B149" s="40">
        <v>0.87013888888888891</v>
      </c>
      <c r="C149" s="40" t="s">
        <v>479</v>
      </c>
      <c r="D149" s="41">
        <v>1</v>
      </c>
      <c r="E149" s="42">
        <v>3</v>
      </c>
      <c r="F149" s="42" t="s">
        <v>160</v>
      </c>
      <c r="G149" s="43" t="s">
        <v>156</v>
      </c>
      <c r="H149" s="42" t="s">
        <v>157</v>
      </c>
      <c r="I149" s="43">
        <v>2</v>
      </c>
      <c r="J149" s="43">
        <v>2</v>
      </c>
      <c r="K149" s="25" t="str">
        <f>VLOOKUP(J149,Key!$E$2:$F$9,2,FALSE)</f>
        <v>Work</v>
      </c>
      <c r="L149" s="42" t="s">
        <v>162</v>
      </c>
      <c r="M149" s="43" t="s">
        <v>156</v>
      </c>
      <c r="N149" s="42" t="s">
        <v>157</v>
      </c>
      <c r="O149" s="43">
        <v>1</v>
      </c>
      <c r="P149" s="43">
        <v>1</v>
      </c>
      <c r="Q149" s="25" t="str">
        <f>VLOOKUP(P149,Key!$E$2:$F$9,2,FALSE)</f>
        <v>Home</v>
      </c>
      <c r="R149" s="25" t="str">
        <f t="shared" ref="R149:R188" si="3">K149&amp;"-"&amp;Q149</f>
        <v>Work-Home</v>
      </c>
      <c r="S149" s="52">
        <v>5</v>
      </c>
      <c r="T149" s="52">
        <v>1</v>
      </c>
      <c r="U149" s="43">
        <v>2</v>
      </c>
      <c r="V149" s="43"/>
      <c r="W149" s="52"/>
      <c r="X149" s="52"/>
      <c r="Y149" s="53" t="s">
        <v>158</v>
      </c>
      <c r="Z149" s="54">
        <v>1000</v>
      </c>
      <c r="AA149" s="25">
        <f>VLOOKUP(F149,'Zones '!$A$2:$F$2056,6,FALSE)</f>
        <v>589</v>
      </c>
      <c r="AB149" s="25">
        <f>VLOOKUP(L149,'Zones '!$A$2:$F$2056,6,FALSE)</f>
        <v>1397</v>
      </c>
    </row>
    <row r="150" spans="1:28">
      <c r="B150" s="40">
        <v>0.86736111111111114</v>
      </c>
      <c r="C150" s="40" t="s">
        <v>480</v>
      </c>
      <c r="D150" s="41">
        <v>1</v>
      </c>
      <c r="E150" s="42">
        <v>4</v>
      </c>
      <c r="F150" s="42" t="s">
        <v>245</v>
      </c>
      <c r="G150" s="43" t="s">
        <v>187</v>
      </c>
      <c r="H150" s="42" t="s">
        <v>157</v>
      </c>
      <c r="I150" s="43">
        <v>2</v>
      </c>
      <c r="J150" s="43">
        <v>2</v>
      </c>
      <c r="K150" s="25" t="str">
        <f>VLOOKUP(J150,Key!$E$2:$F$9,2,FALSE)</f>
        <v>Work</v>
      </c>
      <c r="L150" s="42" t="s">
        <v>150</v>
      </c>
      <c r="M150" s="43" t="s">
        <v>156</v>
      </c>
      <c r="N150" s="42" t="s">
        <v>157</v>
      </c>
      <c r="O150" s="43">
        <v>1</v>
      </c>
      <c r="P150" s="43">
        <v>1</v>
      </c>
      <c r="Q150" s="25" t="str">
        <f>VLOOKUP(P150,Key!$E$2:$F$9,2,FALSE)</f>
        <v>Home</v>
      </c>
      <c r="R150" s="25" t="str">
        <f t="shared" si="3"/>
        <v>Work-Home</v>
      </c>
      <c r="S150" s="52">
        <v>15</v>
      </c>
      <c r="T150" s="52">
        <v>1.5</v>
      </c>
      <c r="U150" s="43">
        <v>6</v>
      </c>
      <c r="V150" s="43"/>
      <c r="W150" s="52"/>
      <c r="X150" s="52"/>
      <c r="Y150" s="53" t="s">
        <v>158</v>
      </c>
      <c r="Z150" s="54">
        <v>1000</v>
      </c>
      <c r="AA150" s="25">
        <f>VLOOKUP(F150,'Zones '!$A$2:$F$2056,6,FALSE)</f>
        <v>573</v>
      </c>
      <c r="AB150" s="25">
        <f>VLOOKUP(L150,'Zones '!$A$2:$F$2056,6,FALSE)</f>
        <v>1397</v>
      </c>
    </row>
    <row r="151" spans="1:28">
      <c r="B151" s="40">
        <v>0.86319444444444438</v>
      </c>
      <c r="C151" s="40" t="s">
        <v>481</v>
      </c>
      <c r="D151" s="41">
        <v>1</v>
      </c>
      <c r="E151" s="42">
        <v>1</v>
      </c>
      <c r="F151" s="42" t="s">
        <v>466</v>
      </c>
      <c r="G151" s="43" t="s">
        <v>156</v>
      </c>
      <c r="H151" s="42" t="s">
        <v>157</v>
      </c>
      <c r="I151" s="43">
        <v>2</v>
      </c>
      <c r="J151" s="43">
        <v>2</v>
      </c>
      <c r="K151" s="25" t="str">
        <f>VLOOKUP(J151,Key!$E$2:$F$9,2,FALSE)</f>
        <v>Work</v>
      </c>
      <c r="L151" s="42" t="s">
        <v>162</v>
      </c>
      <c r="M151" s="43" t="s">
        <v>156</v>
      </c>
      <c r="N151" s="42" t="s">
        <v>157</v>
      </c>
      <c r="O151" s="43">
        <v>1</v>
      </c>
      <c r="P151" s="43">
        <v>1</v>
      </c>
      <c r="Q151" s="25" t="str">
        <f>VLOOKUP(P151,Key!$E$2:$F$9,2,FALSE)</f>
        <v>Home</v>
      </c>
      <c r="R151" s="25" t="str">
        <f t="shared" si="3"/>
        <v>Work-Home</v>
      </c>
      <c r="S151" s="52">
        <v>24</v>
      </c>
      <c r="T151" s="52">
        <v>2</v>
      </c>
      <c r="U151" s="43">
        <v>6</v>
      </c>
      <c r="V151" s="43"/>
      <c r="W151" s="52"/>
      <c r="X151" s="52"/>
      <c r="Y151" s="53" t="s">
        <v>158</v>
      </c>
      <c r="Z151" s="54">
        <v>5000</v>
      </c>
      <c r="AA151" s="25">
        <f>VLOOKUP(F151,'Zones '!$A$2:$F$2056,6,FALSE)</f>
        <v>1383</v>
      </c>
      <c r="AB151" s="25">
        <f>VLOOKUP(L151,'Zones '!$A$2:$F$2056,6,FALSE)</f>
        <v>1397</v>
      </c>
    </row>
    <row r="152" spans="1:28">
      <c r="B152" s="40">
        <v>0.86041666666666661</v>
      </c>
      <c r="C152" s="40" t="s">
        <v>482</v>
      </c>
      <c r="D152" s="41">
        <v>1</v>
      </c>
      <c r="E152" s="42">
        <v>3</v>
      </c>
      <c r="F152" s="42" t="s">
        <v>150</v>
      </c>
      <c r="G152" s="43" t="s">
        <v>156</v>
      </c>
      <c r="H152" s="42" t="s">
        <v>157</v>
      </c>
      <c r="I152" s="43">
        <v>2</v>
      </c>
      <c r="J152" s="43">
        <v>2</v>
      </c>
      <c r="K152" s="25" t="str">
        <f>VLOOKUP(J152,Key!$E$2:$F$9,2,FALSE)</f>
        <v>Work</v>
      </c>
      <c r="L152" s="42" t="s">
        <v>155</v>
      </c>
      <c r="M152" s="43" t="s">
        <v>156</v>
      </c>
      <c r="N152" s="42" t="s">
        <v>157</v>
      </c>
      <c r="O152" s="43">
        <v>1</v>
      </c>
      <c r="P152" s="43">
        <v>1</v>
      </c>
      <c r="Q152" s="25" t="str">
        <f>VLOOKUP(P152,Key!$E$2:$F$9,2,FALSE)</f>
        <v>Home</v>
      </c>
      <c r="R152" s="25" t="str">
        <f t="shared" si="3"/>
        <v>Work-Home</v>
      </c>
      <c r="S152" s="52">
        <v>2</v>
      </c>
      <c r="T152" s="52">
        <v>0.2</v>
      </c>
      <c r="U152" s="43">
        <v>2</v>
      </c>
      <c r="V152" s="43"/>
      <c r="W152" s="52"/>
      <c r="X152" s="52"/>
      <c r="Y152" s="53" t="s">
        <v>158</v>
      </c>
      <c r="Z152" s="54">
        <v>500</v>
      </c>
      <c r="AA152" s="25">
        <f>VLOOKUP(F152,'Zones '!$A$2:$F$2056,6,FALSE)</f>
        <v>1397</v>
      </c>
      <c r="AB152" s="25">
        <f>VLOOKUP(L152,'Zones '!$A$2:$F$2056,6,FALSE)</f>
        <v>1397</v>
      </c>
    </row>
    <row r="153" spans="1:28">
      <c r="B153" s="40">
        <v>0.96250000000000002</v>
      </c>
      <c r="C153" s="40" t="s">
        <v>456</v>
      </c>
      <c r="D153" s="41">
        <v>1</v>
      </c>
      <c r="E153" s="42">
        <v>1</v>
      </c>
      <c r="F153" s="42" t="s">
        <v>364</v>
      </c>
      <c r="G153" s="43" t="s">
        <v>156</v>
      </c>
      <c r="H153" s="42" t="s">
        <v>157</v>
      </c>
      <c r="I153" s="43">
        <v>2</v>
      </c>
      <c r="J153" s="43">
        <v>2</v>
      </c>
      <c r="K153" s="25" t="str">
        <f>VLOOKUP(J153,Key!$E$2:$F$9,2,FALSE)</f>
        <v>Work</v>
      </c>
      <c r="L153" s="42" t="s">
        <v>164</v>
      </c>
      <c r="M153" s="43" t="s">
        <v>156</v>
      </c>
      <c r="N153" s="42" t="s">
        <v>157</v>
      </c>
      <c r="O153" s="43">
        <v>1</v>
      </c>
      <c r="P153" s="43">
        <v>1</v>
      </c>
      <c r="Q153" s="25" t="str">
        <f>VLOOKUP(P153,Key!$E$2:$F$9,2,FALSE)</f>
        <v>Home</v>
      </c>
      <c r="R153" s="25" t="str">
        <f t="shared" si="3"/>
        <v>Work-Home</v>
      </c>
      <c r="S153" s="52">
        <v>32</v>
      </c>
      <c r="T153" s="52">
        <v>2</v>
      </c>
      <c r="U153" s="43">
        <v>2</v>
      </c>
      <c r="V153" s="43"/>
      <c r="W153" s="52"/>
      <c r="X153" s="52"/>
      <c r="Y153" s="53" t="s">
        <v>158</v>
      </c>
      <c r="Z153" s="54">
        <v>1000</v>
      </c>
      <c r="AA153" s="25">
        <f>VLOOKUP(F153,'Zones '!$A$2:$F$2056,6,FALSE)</f>
        <v>1388</v>
      </c>
      <c r="AB153" s="25">
        <f>VLOOKUP(L153,'Zones '!$A$2:$F$2056,6,FALSE)</f>
        <v>1397</v>
      </c>
    </row>
    <row r="154" spans="1:28">
      <c r="B154" s="40">
        <v>0.95833333333333337</v>
      </c>
      <c r="C154" s="40" t="s">
        <v>457</v>
      </c>
      <c r="D154" s="41">
        <v>1</v>
      </c>
      <c r="E154" s="42">
        <v>2</v>
      </c>
      <c r="F154" s="42" t="s">
        <v>155</v>
      </c>
      <c r="G154" s="43" t="s">
        <v>156</v>
      </c>
      <c r="H154" s="42" t="s">
        <v>157</v>
      </c>
      <c r="I154" s="43">
        <v>2</v>
      </c>
      <c r="J154" s="43">
        <v>2</v>
      </c>
      <c r="K154" s="25" t="str">
        <f>VLOOKUP(J154,Key!$E$2:$F$9,2,FALSE)</f>
        <v>Work</v>
      </c>
      <c r="L154" s="42" t="s">
        <v>247</v>
      </c>
      <c r="M154" s="43" t="s">
        <v>187</v>
      </c>
      <c r="N154" s="42" t="s">
        <v>157</v>
      </c>
      <c r="O154" s="43">
        <v>1</v>
      </c>
      <c r="P154" s="43">
        <v>1</v>
      </c>
      <c r="Q154" s="25" t="str">
        <f>VLOOKUP(P154,Key!$E$2:$F$9,2,FALSE)</f>
        <v>Home</v>
      </c>
      <c r="R154" s="25" t="str">
        <f t="shared" si="3"/>
        <v>Work-Home</v>
      </c>
      <c r="S154" s="52">
        <v>15</v>
      </c>
      <c r="T154" s="52">
        <v>1.5</v>
      </c>
      <c r="U154" s="43">
        <v>2</v>
      </c>
      <c r="V154" s="43"/>
      <c r="W154" s="52"/>
      <c r="X154" s="52"/>
      <c r="Y154" s="53" t="s">
        <v>158</v>
      </c>
      <c r="Z154" s="54">
        <v>0</v>
      </c>
      <c r="AA154" s="25">
        <f>VLOOKUP(F154,'Zones '!$A$2:$F$2056,6,FALSE)</f>
        <v>1397</v>
      </c>
      <c r="AB154" s="25">
        <f>VLOOKUP(L154,'Zones '!$A$2:$F$2056,6,FALSE)</f>
        <v>572</v>
      </c>
    </row>
    <row r="155" spans="1:28">
      <c r="B155" s="40">
        <v>0.9506944444444444</v>
      </c>
      <c r="C155" s="40" t="s">
        <v>458</v>
      </c>
      <c r="D155" s="41">
        <v>4</v>
      </c>
      <c r="E155" s="42">
        <v>12</v>
      </c>
      <c r="F155" s="42" t="s">
        <v>160</v>
      </c>
      <c r="G155" s="43" t="s">
        <v>156</v>
      </c>
      <c r="H155" s="42" t="s">
        <v>157</v>
      </c>
      <c r="I155" s="43">
        <v>6</v>
      </c>
      <c r="J155" s="43">
        <v>2</v>
      </c>
      <c r="K155" s="25" t="str">
        <f>VLOOKUP(J155,Key!$E$2:$F$9,2,FALSE)</f>
        <v>Work</v>
      </c>
      <c r="L155" s="42" t="s">
        <v>166</v>
      </c>
      <c r="M155" s="43" t="s">
        <v>156</v>
      </c>
      <c r="N155" s="42" t="s">
        <v>157</v>
      </c>
      <c r="O155" s="43">
        <v>1</v>
      </c>
      <c r="P155" s="43">
        <v>1</v>
      </c>
      <c r="Q155" s="25" t="str">
        <f>VLOOKUP(P155,Key!$E$2:$F$9,2,FALSE)</f>
        <v>Home</v>
      </c>
      <c r="R155" s="25" t="str">
        <f t="shared" si="3"/>
        <v>Work-Home</v>
      </c>
      <c r="S155" s="52">
        <v>10</v>
      </c>
      <c r="T155" s="52">
        <v>1.5</v>
      </c>
      <c r="U155" s="43">
        <v>2</v>
      </c>
      <c r="V155" s="43"/>
      <c r="W155" s="52"/>
      <c r="X155" s="52"/>
      <c r="Y155" s="53" t="s">
        <v>158</v>
      </c>
      <c r="Z155" s="54">
        <v>1000</v>
      </c>
      <c r="AA155" s="25">
        <f>VLOOKUP(F155,'Zones '!$A$2:$F$2056,6,FALSE)</f>
        <v>589</v>
      </c>
      <c r="AB155" s="25">
        <f>VLOOKUP(L155,'Zones '!$A$2:$F$2056,6,FALSE)</f>
        <v>1397</v>
      </c>
    </row>
    <row r="156" spans="1:28">
      <c r="B156" s="40">
        <v>0.94444444444444453</v>
      </c>
      <c r="C156" s="40" t="s">
        <v>459</v>
      </c>
      <c r="D156" s="41">
        <v>1</v>
      </c>
      <c r="E156" s="42">
        <v>4</v>
      </c>
      <c r="F156" s="42" t="s">
        <v>187</v>
      </c>
      <c r="G156" s="43" t="s">
        <v>187</v>
      </c>
      <c r="H156" s="42" t="s">
        <v>157</v>
      </c>
      <c r="I156" s="43">
        <v>2</v>
      </c>
      <c r="J156" s="43">
        <v>2</v>
      </c>
      <c r="K156" s="25" t="str">
        <f>VLOOKUP(J156,Key!$E$2:$F$9,2,FALSE)</f>
        <v>Work</v>
      </c>
      <c r="L156" s="42" t="s">
        <v>155</v>
      </c>
      <c r="M156" s="43" t="s">
        <v>156</v>
      </c>
      <c r="N156" s="42" t="s">
        <v>157</v>
      </c>
      <c r="O156" s="43">
        <v>1</v>
      </c>
      <c r="P156" s="43">
        <v>1</v>
      </c>
      <c r="Q156" s="25" t="str">
        <f>VLOOKUP(P156,Key!$E$2:$F$9,2,FALSE)</f>
        <v>Home</v>
      </c>
      <c r="R156" s="25" t="str">
        <f t="shared" si="3"/>
        <v>Work-Home</v>
      </c>
      <c r="S156" s="52">
        <v>15</v>
      </c>
      <c r="T156" s="52">
        <v>2.5</v>
      </c>
      <c r="U156" s="43">
        <v>2</v>
      </c>
      <c r="V156" s="43"/>
      <c r="W156" s="52"/>
      <c r="X156" s="52"/>
      <c r="Y156" s="53" t="s">
        <v>158</v>
      </c>
      <c r="Z156" s="54">
        <v>5000</v>
      </c>
      <c r="AA156" s="25">
        <f>VLOOKUP(F156,'Zones '!$A$2:$F$2056,6,FALSE)</f>
        <v>521</v>
      </c>
      <c r="AB156" s="25">
        <f>VLOOKUP(L156,'Zones '!$A$2:$F$2056,6,FALSE)</f>
        <v>1397</v>
      </c>
    </row>
    <row r="157" spans="1:28">
      <c r="B157" s="40">
        <v>0.93680555555555556</v>
      </c>
      <c r="C157" s="40" t="s">
        <v>460</v>
      </c>
      <c r="D157" s="41">
        <v>1</v>
      </c>
      <c r="E157" s="42">
        <v>3</v>
      </c>
      <c r="F157" s="42" t="s">
        <v>196</v>
      </c>
      <c r="G157" s="43" t="s">
        <v>156</v>
      </c>
      <c r="H157" s="42" t="s">
        <v>157</v>
      </c>
      <c r="I157" s="43">
        <v>2</v>
      </c>
      <c r="J157" s="43">
        <v>2</v>
      </c>
      <c r="K157" s="25" t="str">
        <f>VLOOKUP(J157,Key!$E$2:$F$9,2,FALSE)</f>
        <v>Work</v>
      </c>
      <c r="L157" s="42" t="s">
        <v>197</v>
      </c>
      <c r="M157" s="43" t="s">
        <v>197</v>
      </c>
      <c r="N157" s="42" t="s">
        <v>157</v>
      </c>
      <c r="O157" s="43">
        <v>1</v>
      </c>
      <c r="P157" s="43">
        <v>1</v>
      </c>
      <c r="Q157" s="25" t="str">
        <f>VLOOKUP(P157,Key!$E$2:$F$9,2,FALSE)</f>
        <v>Home</v>
      </c>
      <c r="R157" s="25" t="str">
        <f t="shared" si="3"/>
        <v>Work-Home</v>
      </c>
      <c r="S157" s="52">
        <v>135</v>
      </c>
      <c r="T157" s="52">
        <v>3.5</v>
      </c>
      <c r="U157" s="43">
        <v>2</v>
      </c>
      <c r="V157" s="43"/>
      <c r="W157" s="52"/>
      <c r="X157" s="52"/>
      <c r="Y157" s="53" t="s">
        <v>158</v>
      </c>
      <c r="Z157" s="54">
        <v>4000</v>
      </c>
      <c r="AA157" s="25">
        <f>VLOOKUP(F157,'Zones '!$A$2:$F$2056,6,FALSE)</f>
        <v>1407</v>
      </c>
      <c r="AB157" s="25">
        <f>VLOOKUP(L157,'Zones '!$A$2:$F$2056,6,FALSE)</f>
        <v>937</v>
      </c>
    </row>
    <row r="158" spans="1:28">
      <c r="B158" s="40">
        <v>0.93194444444444446</v>
      </c>
      <c r="C158" s="40" t="s">
        <v>461</v>
      </c>
      <c r="D158" s="41">
        <v>7</v>
      </c>
      <c r="E158" s="42">
        <v>3</v>
      </c>
      <c r="F158" s="42" t="s">
        <v>160</v>
      </c>
      <c r="G158" s="43" t="s">
        <v>156</v>
      </c>
      <c r="H158" s="42" t="s">
        <v>157</v>
      </c>
      <c r="I158" s="43">
        <v>3</v>
      </c>
      <c r="J158" s="43">
        <v>2</v>
      </c>
      <c r="K158" s="25" t="str">
        <f>VLOOKUP(J158,Key!$E$2:$F$9,2,FALSE)</f>
        <v>Work</v>
      </c>
      <c r="L158" s="42" t="s">
        <v>197</v>
      </c>
      <c r="M158" s="43" t="s">
        <v>197</v>
      </c>
      <c r="N158" s="42" t="s">
        <v>157</v>
      </c>
      <c r="O158" s="43">
        <v>1</v>
      </c>
      <c r="P158" s="43">
        <v>1</v>
      </c>
      <c r="Q158" s="25" t="str">
        <f>VLOOKUP(P158,Key!$E$2:$F$9,2,FALSE)</f>
        <v>Home</v>
      </c>
      <c r="R158" s="25" t="str">
        <f t="shared" si="3"/>
        <v>Work-Home</v>
      </c>
      <c r="S158" s="52">
        <v>120</v>
      </c>
      <c r="T158" s="52">
        <v>3</v>
      </c>
      <c r="U158" s="43">
        <v>3</v>
      </c>
      <c r="V158" s="43"/>
      <c r="W158" s="52"/>
      <c r="X158" s="52"/>
      <c r="Y158" s="53" t="s">
        <v>158</v>
      </c>
      <c r="Z158" s="54">
        <v>2000</v>
      </c>
      <c r="AA158" s="25">
        <f>VLOOKUP(F158,'Zones '!$A$2:$F$2056,6,FALSE)</f>
        <v>589</v>
      </c>
      <c r="AB158" s="25">
        <f>VLOOKUP(L158,'Zones '!$A$2:$F$2056,6,FALSE)</f>
        <v>937</v>
      </c>
    </row>
    <row r="159" spans="1:28">
      <c r="B159" s="40">
        <v>0.92708333333333337</v>
      </c>
      <c r="C159" s="40" t="s">
        <v>455</v>
      </c>
      <c r="D159" s="41">
        <v>1</v>
      </c>
      <c r="E159" s="42">
        <v>3</v>
      </c>
      <c r="F159" s="42" t="s">
        <v>160</v>
      </c>
      <c r="G159" s="43" t="s">
        <v>156</v>
      </c>
      <c r="H159" s="42" t="s">
        <v>157</v>
      </c>
      <c r="I159" s="43">
        <v>2</v>
      </c>
      <c r="J159" s="43">
        <v>2</v>
      </c>
      <c r="K159" s="25" t="str">
        <f>VLOOKUP(J159,Key!$E$2:$F$9,2,FALSE)</f>
        <v>Work</v>
      </c>
      <c r="L159" s="42" t="s">
        <v>164</v>
      </c>
      <c r="M159" s="43" t="s">
        <v>156</v>
      </c>
      <c r="N159" s="42" t="s">
        <v>157</v>
      </c>
      <c r="O159" s="43">
        <v>1</v>
      </c>
      <c r="P159" s="43">
        <v>1</v>
      </c>
      <c r="Q159" s="25" t="str">
        <f>VLOOKUP(P159,Key!$E$2:$F$9,2,FALSE)</f>
        <v>Home</v>
      </c>
      <c r="R159" s="25" t="str">
        <f t="shared" si="3"/>
        <v>Work-Home</v>
      </c>
      <c r="S159" s="52">
        <v>5</v>
      </c>
      <c r="T159" s="52">
        <v>1</v>
      </c>
      <c r="U159" s="43">
        <v>2</v>
      </c>
      <c r="V159" s="43"/>
      <c r="W159" s="52"/>
      <c r="X159" s="52"/>
      <c r="Y159" s="53" t="s">
        <v>158</v>
      </c>
      <c r="Z159" s="54">
        <v>1000</v>
      </c>
      <c r="AA159" s="25">
        <f>VLOOKUP(F159,'Zones '!$A$2:$F$2056,6,FALSE)</f>
        <v>589</v>
      </c>
      <c r="AB159" s="25">
        <f>VLOOKUP(L159,'Zones '!$A$2:$F$2056,6,FALSE)</f>
        <v>1397</v>
      </c>
    </row>
    <row r="160" spans="1:28">
      <c r="B160" s="40">
        <v>0.92083333333333339</v>
      </c>
      <c r="C160" s="40" t="s">
        <v>462</v>
      </c>
      <c r="D160" s="41">
        <v>3</v>
      </c>
      <c r="E160" s="42">
        <v>4</v>
      </c>
      <c r="F160" s="42" t="s">
        <v>160</v>
      </c>
      <c r="G160" s="43" t="s">
        <v>156</v>
      </c>
      <c r="H160" s="42" t="s">
        <v>157</v>
      </c>
      <c r="I160" s="43">
        <v>2</v>
      </c>
      <c r="J160" s="43">
        <v>2</v>
      </c>
      <c r="K160" s="25" t="str">
        <f>VLOOKUP(J160,Key!$E$2:$F$9,2,FALSE)</f>
        <v>Work</v>
      </c>
      <c r="L160" s="42" t="s">
        <v>150</v>
      </c>
      <c r="M160" s="43" t="s">
        <v>156</v>
      </c>
      <c r="N160" s="42" t="s">
        <v>157</v>
      </c>
      <c r="O160" s="43">
        <v>1</v>
      </c>
      <c r="P160" s="43">
        <v>1</v>
      </c>
      <c r="Q160" s="25" t="str">
        <f>VLOOKUP(P160,Key!$E$2:$F$9,2,FALSE)</f>
        <v>Home</v>
      </c>
      <c r="R160" s="25" t="str">
        <f t="shared" si="3"/>
        <v>Work-Home</v>
      </c>
      <c r="S160" s="52">
        <v>2</v>
      </c>
      <c r="T160" s="52">
        <v>0.2</v>
      </c>
      <c r="U160" s="43">
        <v>2</v>
      </c>
      <c r="V160" s="43"/>
      <c r="W160" s="52"/>
      <c r="X160" s="52"/>
      <c r="Y160" s="53" t="s">
        <v>158</v>
      </c>
      <c r="Z160" s="54">
        <v>1000</v>
      </c>
      <c r="AA160" s="25">
        <f>VLOOKUP(F160,'Zones '!$A$2:$F$2056,6,FALSE)</f>
        <v>589</v>
      </c>
      <c r="AB160" s="25">
        <f>VLOOKUP(L160,'Zones '!$A$2:$F$2056,6,FALSE)</f>
        <v>1397</v>
      </c>
    </row>
    <row r="161" spans="2:28">
      <c r="B161" s="40">
        <v>0.91666666666666663</v>
      </c>
      <c r="C161" s="40" t="s">
        <v>463</v>
      </c>
      <c r="D161" s="41">
        <v>1</v>
      </c>
      <c r="E161" s="42">
        <v>4</v>
      </c>
      <c r="F161" s="42" t="s">
        <v>204</v>
      </c>
      <c r="G161" s="43" t="s">
        <v>156</v>
      </c>
      <c r="H161" s="42" t="s">
        <v>157</v>
      </c>
      <c r="I161" s="43">
        <v>2</v>
      </c>
      <c r="J161" s="43">
        <v>2</v>
      </c>
      <c r="K161" s="25" t="str">
        <f>VLOOKUP(J161,Key!$E$2:$F$9,2,FALSE)</f>
        <v>Work</v>
      </c>
      <c r="L161" s="42" t="s">
        <v>162</v>
      </c>
      <c r="M161" s="43" t="s">
        <v>156</v>
      </c>
      <c r="N161" s="42" t="s">
        <v>157</v>
      </c>
      <c r="O161" s="43">
        <v>1</v>
      </c>
      <c r="P161" s="43">
        <v>1</v>
      </c>
      <c r="Q161" s="25" t="str">
        <f>VLOOKUP(P161,Key!$E$2:$F$9,2,FALSE)</f>
        <v>Home</v>
      </c>
      <c r="R161" s="25" t="str">
        <f t="shared" si="3"/>
        <v>Work-Home</v>
      </c>
      <c r="S161" s="52">
        <v>20</v>
      </c>
      <c r="T161" s="52">
        <v>2.5</v>
      </c>
      <c r="U161" s="43">
        <v>2</v>
      </c>
      <c r="V161" s="43"/>
      <c r="W161" s="52"/>
      <c r="X161" s="52"/>
      <c r="Y161" s="53" t="s">
        <v>158</v>
      </c>
      <c r="Z161" s="54">
        <v>2000</v>
      </c>
      <c r="AA161" s="25">
        <f>VLOOKUP(F161,'Zones '!$A$2:$F$2056,6,FALSE)</f>
        <v>1390</v>
      </c>
      <c r="AB161" s="25">
        <f>VLOOKUP(L161,'Zones '!$A$2:$F$2056,6,FALSE)</f>
        <v>1397</v>
      </c>
    </row>
    <row r="162" spans="2:28">
      <c r="B162" s="40">
        <v>0.91527777777777775</v>
      </c>
      <c r="C162" s="40" t="s">
        <v>464</v>
      </c>
      <c r="D162" s="41">
        <v>4</v>
      </c>
      <c r="E162" s="42">
        <v>14</v>
      </c>
      <c r="F162" s="42" t="s">
        <v>187</v>
      </c>
      <c r="G162" s="43" t="s">
        <v>187</v>
      </c>
      <c r="H162" s="42" t="s">
        <v>157</v>
      </c>
      <c r="I162" s="43">
        <v>6</v>
      </c>
      <c r="J162" s="43">
        <v>2</v>
      </c>
      <c r="K162" s="25" t="str">
        <f>VLOOKUP(J162,Key!$E$2:$F$9,2,FALSE)</f>
        <v>Work</v>
      </c>
      <c r="L162" s="42" t="s">
        <v>150</v>
      </c>
      <c r="M162" s="43" t="s">
        <v>156</v>
      </c>
      <c r="N162" s="42" t="s">
        <v>157</v>
      </c>
      <c r="O162" s="43">
        <v>6</v>
      </c>
      <c r="P162" s="43">
        <v>2</v>
      </c>
      <c r="Q162" s="25" t="str">
        <f>VLOOKUP(P162,Key!$E$2:$F$9,2,FALSE)</f>
        <v>Work</v>
      </c>
      <c r="R162" s="25" t="str">
        <f t="shared" si="3"/>
        <v>Work-Work</v>
      </c>
      <c r="S162" s="52">
        <v>15</v>
      </c>
      <c r="T162" s="52">
        <v>2.5</v>
      </c>
      <c r="U162" s="43">
        <v>6</v>
      </c>
      <c r="V162" s="43"/>
      <c r="W162" s="52"/>
      <c r="X162" s="52"/>
      <c r="Y162" s="53" t="s">
        <v>158</v>
      </c>
      <c r="Z162" s="54">
        <v>500</v>
      </c>
      <c r="AA162" s="25">
        <f>VLOOKUP(F162,'Zones '!$A$2:$F$2056,6,FALSE)</f>
        <v>521</v>
      </c>
      <c r="AB162" s="25">
        <f>VLOOKUP(L162,'Zones '!$A$2:$F$2056,6,FALSE)</f>
        <v>1397</v>
      </c>
    </row>
    <row r="163" spans="2:28">
      <c r="B163" s="40">
        <v>0.91180555555555554</v>
      </c>
      <c r="C163" s="40" t="s">
        <v>465</v>
      </c>
      <c r="D163" s="41">
        <v>2</v>
      </c>
      <c r="E163" s="42">
        <v>4</v>
      </c>
      <c r="F163" s="42" t="s">
        <v>466</v>
      </c>
      <c r="G163" s="43" t="s">
        <v>156</v>
      </c>
      <c r="H163" s="42" t="s">
        <v>157</v>
      </c>
      <c r="I163" s="43">
        <v>2</v>
      </c>
      <c r="J163" s="43">
        <v>2</v>
      </c>
      <c r="K163" s="25" t="str">
        <f>VLOOKUP(J163,Key!$E$2:$F$9,2,FALSE)</f>
        <v>Work</v>
      </c>
      <c r="L163" s="42" t="s">
        <v>162</v>
      </c>
      <c r="M163" s="43" t="s">
        <v>156</v>
      </c>
      <c r="N163" s="42" t="s">
        <v>157</v>
      </c>
      <c r="O163" s="43">
        <v>1</v>
      </c>
      <c r="P163" s="43">
        <v>1</v>
      </c>
      <c r="Q163" s="25" t="str">
        <f>VLOOKUP(P163,Key!$E$2:$F$9,2,FALSE)</f>
        <v>Home</v>
      </c>
      <c r="R163" s="25" t="str">
        <f t="shared" si="3"/>
        <v>Work-Home</v>
      </c>
      <c r="S163" s="52">
        <v>25</v>
      </c>
      <c r="T163" s="52">
        <v>3</v>
      </c>
      <c r="U163" s="43">
        <v>3</v>
      </c>
      <c r="V163" s="43"/>
      <c r="W163" s="52"/>
      <c r="X163" s="52"/>
      <c r="Y163" s="53" t="s">
        <v>158</v>
      </c>
      <c r="Z163" s="54">
        <v>0</v>
      </c>
      <c r="AA163" s="25">
        <f>VLOOKUP(F163,'Zones '!$A$2:$F$2056,6,FALSE)</f>
        <v>1383</v>
      </c>
      <c r="AB163" s="25">
        <f>VLOOKUP(L163,'Zones '!$A$2:$F$2056,6,FALSE)</f>
        <v>1397</v>
      </c>
    </row>
    <row r="164" spans="2:28">
      <c r="B164" s="40">
        <v>0.90902777777777777</v>
      </c>
      <c r="C164" s="40" t="s">
        <v>467</v>
      </c>
      <c r="D164" s="41">
        <v>1</v>
      </c>
      <c r="E164" s="42">
        <v>2</v>
      </c>
      <c r="F164" s="42" t="s">
        <v>196</v>
      </c>
      <c r="G164" s="43" t="s">
        <v>156</v>
      </c>
      <c r="H164" s="42" t="s">
        <v>157</v>
      </c>
      <c r="I164" s="43">
        <v>2</v>
      </c>
      <c r="J164" s="43">
        <v>2</v>
      </c>
      <c r="K164" s="25" t="str">
        <f>VLOOKUP(J164,Key!$E$2:$F$9,2,FALSE)</f>
        <v>Work</v>
      </c>
      <c r="L164" s="42" t="s">
        <v>150</v>
      </c>
      <c r="M164" s="43" t="s">
        <v>156</v>
      </c>
      <c r="N164" s="42" t="s">
        <v>157</v>
      </c>
      <c r="O164" s="43">
        <v>1</v>
      </c>
      <c r="P164" s="43">
        <v>1</v>
      </c>
      <c r="Q164" s="25" t="str">
        <f>VLOOKUP(P164,Key!$E$2:$F$9,2,FALSE)</f>
        <v>Home</v>
      </c>
      <c r="R164" s="25" t="str">
        <f t="shared" si="3"/>
        <v>Work-Home</v>
      </c>
      <c r="S164" s="52">
        <v>20</v>
      </c>
      <c r="T164" s="52">
        <v>2</v>
      </c>
      <c r="U164" s="43">
        <v>2</v>
      </c>
      <c r="V164" s="43"/>
      <c r="W164" s="52"/>
      <c r="X164" s="52"/>
      <c r="Y164" s="53" t="s">
        <v>158</v>
      </c>
      <c r="Z164" s="54">
        <v>3000</v>
      </c>
      <c r="AA164" s="25">
        <f>VLOOKUP(F164,'Zones '!$A$2:$F$2056,6,FALSE)</f>
        <v>1407</v>
      </c>
      <c r="AB164" s="25">
        <f>VLOOKUP(L164,'Zones '!$A$2:$F$2056,6,FALSE)</f>
        <v>1397</v>
      </c>
    </row>
    <row r="165" spans="2:28">
      <c r="B165" s="40">
        <v>0.90416666666666667</v>
      </c>
      <c r="C165" s="40" t="s">
        <v>468</v>
      </c>
      <c r="D165" s="41">
        <v>1</v>
      </c>
      <c r="E165" s="42">
        <v>3</v>
      </c>
      <c r="F165" s="42" t="s">
        <v>179</v>
      </c>
      <c r="G165" s="43" t="s">
        <v>156</v>
      </c>
      <c r="H165" s="42" t="s">
        <v>157</v>
      </c>
      <c r="I165" s="43">
        <v>2</v>
      </c>
      <c r="J165" s="43">
        <v>2</v>
      </c>
      <c r="K165" s="25" t="str">
        <f>VLOOKUP(J165,Key!$E$2:$F$9,2,FALSE)</f>
        <v>Work</v>
      </c>
      <c r="L165" s="42" t="s">
        <v>162</v>
      </c>
      <c r="M165" s="43" t="s">
        <v>156</v>
      </c>
      <c r="N165" s="42" t="s">
        <v>157</v>
      </c>
      <c r="O165" s="43">
        <v>1</v>
      </c>
      <c r="P165" s="43">
        <v>1</v>
      </c>
      <c r="Q165" s="25" t="str">
        <f>VLOOKUP(P165,Key!$E$2:$F$9,2,FALSE)</f>
        <v>Home</v>
      </c>
      <c r="R165" s="25" t="str">
        <f t="shared" si="3"/>
        <v>Work-Home</v>
      </c>
      <c r="S165" s="52">
        <v>5</v>
      </c>
      <c r="T165" s="52">
        <v>1</v>
      </c>
      <c r="U165" s="43">
        <v>6</v>
      </c>
      <c r="V165" s="43"/>
      <c r="W165" s="52"/>
      <c r="X165" s="52"/>
      <c r="Y165" s="53" t="s">
        <v>158</v>
      </c>
      <c r="Z165" s="54">
        <v>5000</v>
      </c>
      <c r="AA165" s="25">
        <f>VLOOKUP(F165,'Zones '!$A$2:$F$2056,6,FALSE)</f>
        <v>905</v>
      </c>
      <c r="AB165" s="25">
        <f>VLOOKUP(L165,'Zones '!$A$2:$F$2056,6,FALSE)</f>
        <v>1397</v>
      </c>
    </row>
    <row r="166" spans="2:28">
      <c r="B166" s="40">
        <v>0.90208333333333324</v>
      </c>
      <c r="C166" s="40" t="s">
        <v>469</v>
      </c>
      <c r="D166" s="41">
        <v>3</v>
      </c>
      <c r="E166" s="42">
        <v>4</v>
      </c>
      <c r="F166" s="42" t="s">
        <v>187</v>
      </c>
      <c r="G166" s="43" t="s">
        <v>187</v>
      </c>
      <c r="H166" s="42" t="s">
        <v>157</v>
      </c>
      <c r="I166" s="43">
        <v>3</v>
      </c>
      <c r="J166" s="43">
        <v>2</v>
      </c>
      <c r="K166" s="25" t="str">
        <f>VLOOKUP(J166,Key!$E$2:$F$9,2,FALSE)</f>
        <v>Work</v>
      </c>
      <c r="L166" s="42" t="s">
        <v>216</v>
      </c>
      <c r="M166" s="43" t="s">
        <v>156</v>
      </c>
      <c r="N166" s="42" t="s">
        <v>157</v>
      </c>
      <c r="O166" s="43">
        <v>1</v>
      </c>
      <c r="P166" s="43">
        <v>1</v>
      </c>
      <c r="Q166" s="25" t="str">
        <f>VLOOKUP(P166,Key!$E$2:$F$9,2,FALSE)</f>
        <v>Home</v>
      </c>
      <c r="R166" s="25" t="str">
        <f t="shared" si="3"/>
        <v>Work-Home</v>
      </c>
      <c r="S166" s="52">
        <v>13</v>
      </c>
      <c r="T166" s="52">
        <v>0.5</v>
      </c>
      <c r="U166" s="43">
        <v>2</v>
      </c>
      <c r="V166" s="43"/>
      <c r="W166" s="52"/>
      <c r="X166" s="52"/>
      <c r="Y166" s="53" t="s">
        <v>158</v>
      </c>
      <c r="Z166" s="54">
        <v>2000</v>
      </c>
      <c r="AA166" s="25">
        <f>VLOOKUP(F166,'Zones '!$A$2:$F$2056,6,FALSE)</f>
        <v>521</v>
      </c>
      <c r="AB166" s="25">
        <f>VLOOKUP(L166,'Zones '!$A$2:$F$2056,6,FALSE)</f>
        <v>1397</v>
      </c>
    </row>
    <row r="167" spans="2:28">
      <c r="B167" s="40">
        <v>0.89722222222222225</v>
      </c>
      <c r="C167" s="40" t="s">
        <v>470</v>
      </c>
      <c r="D167" s="41">
        <v>1</v>
      </c>
      <c r="E167" s="42">
        <v>3</v>
      </c>
      <c r="F167" s="42" t="s">
        <v>160</v>
      </c>
      <c r="G167" s="43" t="s">
        <v>156</v>
      </c>
      <c r="H167" s="42" t="s">
        <v>157</v>
      </c>
      <c r="I167" s="43">
        <v>3</v>
      </c>
      <c r="J167" s="43">
        <v>2</v>
      </c>
      <c r="K167" s="25" t="str">
        <f>VLOOKUP(J167,Key!$E$2:$F$9,2,FALSE)</f>
        <v>Work</v>
      </c>
      <c r="L167" s="42" t="s">
        <v>162</v>
      </c>
      <c r="M167" s="43" t="s">
        <v>156</v>
      </c>
      <c r="N167" s="42" t="s">
        <v>157</v>
      </c>
      <c r="O167" s="43">
        <v>1</v>
      </c>
      <c r="P167" s="43">
        <v>1</v>
      </c>
      <c r="Q167" s="25" t="str">
        <f>VLOOKUP(P167,Key!$E$2:$F$9,2,FALSE)</f>
        <v>Home</v>
      </c>
      <c r="R167" s="25" t="str">
        <f t="shared" si="3"/>
        <v>Work-Home</v>
      </c>
      <c r="S167" s="52">
        <v>3</v>
      </c>
      <c r="T167" s="52">
        <v>0.7</v>
      </c>
      <c r="U167" s="43">
        <v>2</v>
      </c>
      <c r="V167" s="43"/>
      <c r="W167" s="52"/>
      <c r="X167" s="52"/>
      <c r="Y167" s="53" t="s">
        <v>158</v>
      </c>
      <c r="Z167" s="54">
        <v>1000</v>
      </c>
      <c r="AA167" s="25">
        <f>VLOOKUP(F167,'Zones '!$A$2:$F$2056,6,FALSE)</f>
        <v>589</v>
      </c>
      <c r="AB167" s="25">
        <f>VLOOKUP(L167,'Zones '!$A$2:$F$2056,6,FALSE)</f>
        <v>1397</v>
      </c>
    </row>
    <row r="168" spans="2:28">
      <c r="B168" s="40">
        <v>0.89513888888888893</v>
      </c>
      <c r="C168" s="40" t="s">
        <v>471</v>
      </c>
      <c r="D168" s="41">
        <v>1</v>
      </c>
      <c r="E168" s="42">
        <v>2</v>
      </c>
      <c r="F168" s="42" t="s">
        <v>160</v>
      </c>
      <c r="G168" s="43" t="s">
        <v>156</v>
      </c>
      <c r="H168" s="42" t="s">
        <v>157</v>
      </c>
      <c r="I168" s="43">
        <v>2</v>
      </c>
      <c r="J168" s="43">
        <v>2</v>
      </c>
      <c r="K168" s="25" t="str">
        <f>VLOOKUP(J168,Key!$E$2:$F$9,2,FALSE)</f>
        <v>Work</v>
      </c>
      <c r="L168" s="42" t="s">
        <v>162</v>
      </c>
      <c r="M168" s="43" t="s">
        <v>156</v>
      </c>
      <c r="N168" s="42" t="s">
        <v>157</v>
      </c>
      <c r="O168" s="43">
        <v>1</v>
      </c>
      <c r="P168" s="43">
        <v>1</v>
      </c>
      <c r="Q168" s="25" t="str">
        <f>VLOOKUP(P168,Key!$E$2:$F$9,2,FALSE)</f>
        <v>Home</v>
      </c>
      <c r="R168" s="25" t="str">
        <f t="shared" si="3"/>
        <v>Work-Home</v>
      </c>
      <c r="S168" s="52">
        <v>3</v>
      </c>
      <c r="T168" s="52">
        <v>1</v>
      </c>
      <c r="U168" s="43">
        <v>2</v>
      </c>
      <c r="V168" s="43"/>
      <c r="W168" s="52"/>
      <c r="X168" s="52"/>
      <c r="Y168" s="53" t="s">
        <v>158</v>
      </c>
      <c r="Z168" s="54">
        <v>1000</v>
      </c>
      <c r="AA168" s="25">
        <f>VLOOKUP(F168,'Zones '!$A$2:$F$2056,6,FALSE)</f>
        <v>589</v>
      </c>
      <c r="AB168" s="25">
        <f>VLOOKUP(L168,'Zones '!$A$2:$F$2056,6,FALSE)</f>
        <v>1397</v>
      </c>
    </row>
    <row r="169" spans="2:28">
      <c r="B169" s="40">
        <v>0.89027777777777783</v>
      </c>
      <c r="C169" s="40" t="s">
        <v>472</v>
      </c>
      <c r="D169" s="41">
        <v>1</v>
      </c>
      <c r="E169" s="42">
        <v>3</v>
      </c>
      <c r="F169" s="42" t="s">
        <v>473</v>
      </c>
      <c r="G169" s="43" t="s">
        <v>156</v>
      </c>
      <c r="H169" s="42" t="s">
        <v>157</v>
      </c>
      <c r="I169" s="43">
        <v>2</v>
      </c>
      <c r="J169" s="43">
        <v>2</v>
      </c>
      <c r="K169" s="25" t="str">
        <f>VLOOKUP(J169,Key!$E$2:$F$9,2,FALSE)</f>
        <v>Work</v>
      </c>
      <c r="L169" s="42" t="s">
        <v>197</v>
      </c>
      <c r="M169" s="43" t="s">
        <v>197</v>
      </c>
      <c r="N169" s="42" t="s">
        <v>157</v>
      </c>
      <c r="O169" s="43">
        <v>1</v>
      </c>
      <c r="P169" s="43">
        <v>1</v>
      </c>
      <c r="Q169" s="25" t="str">
        <f>VLOOKUP(P169,Key!$E$2:$F$9,2,FALSE)</f>
        <v>Home</v>
      </c>
      <c r="R169" s="25" t="str">
        <f t="shared" si="3"/>
        <v>Work-Home</v>
      </c>
      <c r="S169" s="52">
        <v>120</v>
      </c>
      <c r="T169" s="52">
        <v>3</v>
      </c>
      <c r="U169" s="43">
        <v>3</v>
      </c>
      <c r="V169" s="43"/>
      <c r="W169" s="52"/>
      <c r="X169" s="52"/>
      <c r="Y169" s="53" t="s">
        <v>158</v>
      </c>
      <c r="Z169" s="54">
        <v>1000</v>
      </c>
      <c r="AA169" s="25">
        <f>VLOOKUP(F169,'Zones '!$A$2:$F$2056,6,FALSE)</f>
        <v>1388</v>
      </c>
      <c r="AB169" s="25">
        <f>VLOOKUP(L169,'Zones '!$A$2:$F$2056,6,FALSE)</f>
        <v>937</v>
      </c>
    </row>
    <row r="170" spans="2:28">
      <c r="B170" s="40">
        <v>0.88541666666666663</v>
      </c>
      <c r="C170" s="40" t="s">
        <v>474</v>
      </c>
      <c r="D170" s="41">
        <v>1</v>
      </c>
      <c r="E170" s="42">
        <v>3</v>
      </c>
      <c r="F170" s="42" t="s">
        <v>164</v>
      </c>
      <c r="G170" s="43" t="s">
        <v>156</v>
      </c>
      <c r="H170" s="42" t="s">
        <v>157</v>
      </c>
      <c r="I170" s="43">
        <v>2</v>
      </c>
      <c r="J170" s="43">
        <v>2</v>
      </c>
      <c r="K170" s="25" t="str">
        <f>VLOOKUP(J170,Key!$E$2:$F$9,2,FALSE)</f>
        <v>Work</v>
      </c>
      <c r="L170" s="42" t="s">
        <v>160</v>
      </c>
      <c r="M170" s="43" t="s">
        <v>156</v>
      </c>
      <c r="N170" s="42" t="s">
        <v>157</v>
      </c>
      <c r="O170" s="43">
        <v>1</v>
      </c>
      <c r="P170" s="43">
        <v>1</v>
      </c>
      <c r="Q170" s="25" t="str">
        <f>VLOOKUP(P170,Key!$E$2:$F$9,2,FALSE)</f>
        <v>Home</v>
      </c>
      <c r="R170" s="25" t="str">
        <f t="shared" si="3"/>
        <v>Work-Home</v>
      </c>
      <c r="S170" s="52">
        <v>10</v>
      </c>
      <c r="T170" s="52">
        <v>2</v>
      </c>
      <c r="U170" s="43">
        <v>2</v>
      </c>
      <c r="V170" s="43"/>
      <c r="W170" s="52"/>
      <c r="X170" s="52"/>
      <c r="Y170" s="53" t="s">
        <v>158</v>
      </c>
      <c r="Z170" s="54">
        <v>500</v>
      </c>
      <c r="AA170" s="25">
        <f>VLOOKUP(F170,'Zones '!$A$2:$F$2056,6,FALSE)</f>
        <v>1397</v>
      </c>
      <c r="AB170" s="25">
        <f>VLOOKUP(L170,'Zones '!$A$2:$F$2056,6,FALSE)</f>
        <v>589</v>
      </c>
    </row>
    <row r="171" spans="2:28">
      <c r="B171" s="40">
        <v>0.88194444444444453</v>
      </c>
      <c r="C171" s="40" t="s">
        <v>475</v>
      </c>
      <c r="D171" s="41">
        <v>1</v>
      </c>
      <c r="E171" s="42">
        <v>2</v>
      </c>
      <c r="F171" s="42" t="s">
        <v>226</v>
      </c>
      <c r="G171" s="43" t="s">
        <v>156</v>
      </c>
      <c r="H171" s="42" t="s">
        <v>157</v>
      </c>
      <c r="I171" s="43">
        <v>2</v>
      </c>
      <c r="J171" s="43">
        <v>2</v>
      </c>
      <c r="K171" s="25" t="str">
        <f>VLOOKUP(J171,Key!$E$2:$F$9,2,FALSE)</f>
        <v>Work</v>
      </c>
      <c r="L171" s="42" t="s">
        <v>150</v>
      </c>
      <c r="M171" s="43" t="s">
        <v>156</v>
      </c>
      <c r="N171" s="42" t="s">
        <v>157</v>
      </c>
      <c r="O171" s="43">
        <v>1</v>
      </c>
      <c r="P171" s="43">
        <v>1</v>
      </c>
      <c r="Q171" s="25" t="str">
        <f>VLOOKUP(P171,Key!$E$2:$F$9,2,FALSE)</f>
        <v>Home</v>
      </c>
      <c r="R171" s="25" t="str">
        <f t="shared" si="3"/>
        <v>Work-Home</v>
      </c>
      <c r="S171" s="52">
        <v>2</v>
      </c>
      <c r="T171" s="52">
        <v>0.2</v>
      </c>
      <c r="U171" s="43">
        <v>2</v>
      </c>
      <c r="V171" s="43"/>
      <c r="W171" s="52"/>
      <c r="X171" s="52"/>
      <c r="Y171" s="53" t="s">
        <v>158</v>
      </c>
      <c r="Z171" s="54">
        <v>1000</v>
      </c>
      <c r="AA171" s="25">
        <f>VLOOKUP(F171,'Zones '!$A$2:$F$2056,6,FALSE)</f>
        <v>1397</v>
      </c>
      <c r="AB171" s="25">
        <f>VLOOKUP(L171,'Zones '!$A$2:$F$2056,6,FALSE)</f>
        <v>1397</v>
      </c>
    </row>
    <row r="172" spans="2:28">
      <c r="B172" s="40">
        <v>0.87847222222222221</v>
      </c>
      <c r="C172" s="40" t="s">
        <v>476</v>
      </c>
      <c r="D172" s="41">
        <v>1</v>
      </c>
      <c r="E172" s="42">
        <v>2</v>
      </c>
      <c r="F172" s="42" t="s">
        <v>187</v>
      </c>
      <c r="G172" s="43" t="s">
        <v>187</v>
      </c>
      <c r="H172" s="42" t="s">
        <v>157</v>
      </c>
      <c r="I172" s="43">
        <v>2</v>
      </c>
      <c r="J172" s="43">
        <v>2</v>
      </c>
      <c r="K172" s="25" t="str">
        <f>VLOOKUP(J172,Key!$E$2:$F$9,2,FALSE)</f>
        <v>Work</v>
      </c>
      <c r="L172" s="42" t="s">
        <v>197</v>
      </c>
      <c r="M172" s="43" t="s">
        <v>197</v>
      </c>
      <c r="N172" s="42" t="s">
        <v>157</v>
      </c>
      <c r="O172" s="43">
        <v>1</v>
      </c>
      <c r="P172" s="43">
        <v>1</v>
      </c>
      <c r="Q172" s="25" t="str">
        <f>VLOOKUP(P172,Key!$E$2:$F$9,2,FALSE)</f>
        <v>Home</v>
      </c>
      <c r="R172" s="25" t="str">
        <f t="shared" si="3"/>
        <v>Work-Home</v>
      </c>
      <c r="S172" s="52">
        <v>130</v>
      </c>
      <c r="T172" s="52">
        <v>2.5</v>
      </c>
      <c r="U172" s="43">
        <v>2</v>
      </c>
      <c r="V172" s="43"/>
      <c r="W172" s="52"/>
      <c r="X172" s="52"/>
      <c r="Y172" s="53" t="s">
        <v>158</v>
      </c>
      <c r="Z172" s="54">
        <v>2000</v>
      </c>
      <c r="AA172" s="25">
        <f>VLOOKUP(F172,'Zones '!$A$2:$F$2056,6,FALSE)</f>
        <v>521</v>
      </c>
      <c r="AB172" s="25">
        <f>VLOOKUP(L172,'Zones '!$A$2:$F$2056,6,FALSE)</f>
        <v>937</v>
      </c>
    </row>
    <row r="173" spans="2:28">
      <c r="B173" s="40">
        <v>0.875</v>
      </c>
      <c r="C173" s="40" t="s">
        <v>477</v>
      </c>
      <c r="D173" s="41">
        <v>3</v>
      </c>
      <c r="E173" s="42">
        <v>3</v>
      </c>
      <c r="F173" s="42" t="s">
        <v>305</v>
      </c>
      <c r="G173" s="43" t="s">
        <v>187</v>
      </c>
      <c r="H173" s="42" t="s">
        <v>157</v>
      </c>
      <c r="I173" s="43">
        <v>3</v>
      </c>
      <c r="J173" s="43">
        <v>2</v>
      </c>
      <c r="K173" s="25" t="str">
        <f>VLOOKUP(J173,Key!$E$2:$F$9,2,FALSE)</f>
        <v>Work</v>
      </c>
      <c r="L173" s="42" t="s">
        <v>150</v>
      </c>
      <c r="M173" s="43" t="s">
        <v>156</v>
      </c>
      <c r="N173" s="42" t="s">
        <v>157</v>
      </c>
      <c r="O173" s="43">
        <v>1</v>
      </c>
      <c r="P173" s="43">
        <v>1</v>
      </c>
      <c r="Q173" s="25" t="str">
        <f>VLOOKUP(P173,Key!$E$2:$F$9,2,FALSE)</f>
        <v>Home</v>
      </c>
      <c r="R173" s="25" t="str">
        <f t="shared" si="3"/>
        <v>Work-Home</v>
      </c>
      <c r="S173" s="52">
        <v>15</v>
      </c>
      <c r="T173" s="52">
        <v>1.5</v>
      </c>
      <c r="U173" s="43">
        <v>2</v>
      </c>
      <c r="V173" s="43"/>
      <c r="W173" s="52"/>
      <c r="X173" s="52"/>
      <c r="Y173" s="53" t="s">
        <v>158</v>
      </c>
      <c r="Z173" s="54">
        <v>1000</v>
      </c>
      <c r="AA173" s="25">
        <f>VLOOKUP(F173,'Zones '!$A$2:$F$2056,6,FALSE)</f>
        <v>536</v>
      </c>
      <c r="AB173" s="25">
        <f>VLOOKUP(L173,'Zones '!$A$2:$F$2056,6,FALSE)</f>
        <v>1397</v>
      </c>
    </row>
    <row r="174" spans="2:28">
      <c r="B174" s="40">
        <v>0.87430555555555556</v>
      </c>
      <c r="C174" s="40" t="s">
        <v>478</v>
      </c>
      <c r="D174" s="41">
        <v>1</v>
      </c>
      <c r="E174" s="42">
        <v>1</v>
      </c>
      <c r="F174" s="42" t="s">
        <v>215</v>
      </c>
      <c r="G174" s="43" t="s">
        <v>156</v>
      </c>
      <c r="H174" s="42" t="s">
        <v>157</v>
      </c>
      <c r="I174" s="43">
        <v>2</v>
      </c>
      <c r="J174" s="43">
        <v>2</v>
      </c>
      <c r="K174" s="25" t="str">
        <f>VLOOKUP(J174,Key!$E$2:$F$9,2,FALSE)</f>
        <v>Work</v>
      </c>
      <c r="L174" s="42" t="s">
        <v>166</v>
      </c>
      <c r="M174" s="43" t="s">
        <v>156</v>
      </c>
      <c r="N174" s="42" t="s">
        <v>157</v>
      </c>
      <c r="O174" s="43">
        <v>1</v>
      </c>
      <c r="P174" s="43">
        <v>1</v>
      </c>
      <c r="Q174" s="25" t="str">
        <f>VLOOKUP(P174,Key!$E$2:$F$9,2,FALSE)</f>
        <v>Home</v>
      </c>
      <c r="R174" s="25" t="str">
        <f t="shared" si="3"/>
        <v>Work-Home</v>
      </c>
      <c r="S174" s="52">
        <v>20</v>
      </c>
      <c r="T174" s="52">
        <v>0.4</v>
      </c>
      <c r="U174" s="43">
        <v>2</v>
      </c>
      <c r="V174" s="43"/>
      <c r="W174" s="52"/>
      <c r="X174" s="52"/>
      <c r="Y174" s="53" t="s">
        <v>158</v>
      </c>
      <c r="Z174" s="54">
        <v>500</v>
      </c>
      <c r="AA174" s="25">
        <f>VLOOKUP(F174,'Zones '!$A$2:$F$2056,6,FALSE)</f>
        <v>1388</v>
      </c>
      <c r="AB174" s="25">
        <f>VLOOKUP(L174,'Zones '!$A$2:$F$2056,6,FALSE)</f>
        <v>1397</v>
      </c>
    </row>
    <row r="175" spans="2:28">
      <c r="B175" s="40">
        <v>0.84930555555555554</v>
      </c>
      <c r="C175" s="40" t="s">
        <v>483</v>
      </c>
      <c r="D175" s="41">
        <v>1</v>
      </c>
      <c r="E175" s="42">
        <v>4</v>
      </c>
      <c r="F175" s="42" t="s">
        <v>166</v>
      </c>
      <c r="G175" s="43" t="s">
        <v>156</v>
      </c>
      <c r="H175" s="42" t="s">
        <v>157</v>
      </c>
      <c r="I175" s="43">
        <v>2</v>
      </c>
      <c r="J175" s="43">
        <v>2</v>
      </c>
      <c r="K175" s="25" t="str">
        <f>VLOOKUP(J175,Key!$E$2:$F$9,2,FALSE)</f>
        <v>Work</v>
      </c>
      <c r="L175" s="42" t="s">
        <v>247</v>
      </c>
      <c r="M175" s="43" t="s">
        <v>187</v>
      </c>
      <c r="N175" s="42" t="s">
        <v>157</v>
      </c>
      <c r="O175" s="43">
        <v>1</v>
      </c>
      <c r="P175" s="43">
        <v>1</v>
      </c>
      <c r="Q175" s="25" t="str">
        <f>VLOOKUP(P175,Key!$E$2:$F$9,2,FALSE)</f>
        <v>Home</v>
      </c>
      <c r="R175" s="25" t="str">
        <f t="shared" si="3"/>
        <v>Work-Home</v>
      </c>
      <c r="S175" s="52">
        <v>30</v>
      </c>
      <c r="T175" s="52">
        <v>1</v>
      </c>
      <c r="U175" s="43">
        <v>2</v>
      </c>
      <c r="V175" s="43"/>
      <c r="W175" s="52"/>
      <c r="X175" s="52"/>
      <c r="Y175" s="53" t="s">
        <v>158</v>
      </c>
      <c r="Z175" s="54">
        <v>2000</v>
      </c>
      <c r="AA175" s="25">
        <f>VLOOKUP(F175,'Zones '!$A$2:$F$2056,6,FALSE)</f>
        <v>1397</v>
      </c>
      <c r="AB175" s="25">
        <f>VLOOKUP(L175,'Zones '!$A$2:$F$2056,6,FALSE)</f>
        <v>572</v>
      </c>
    </row>
    <row r="176" spans="2:28">
      <c r="B176" s="40">
        <v>0.85486111111111107</v>
      </c>
      <c r="C176" s="40" t="s">
        <v>484</v>
      </c>
      <c r="D176" s="41">
        <v>2</v>
      </c>
      <c r="E176" s="42">
        <v>4</v>
      </c>
      <c r="F176" s="42" t="s">
        <v>485</v>
      </c>
      <c r="G176" s="43" t="s">
        <v>187</v>
      </c>
      <c r="H176" s="42" t="s">
        <v>157</v>
      </c>
      <c r="I176" s="43">
        <v>2</v>
      </c>
      <c r="J176" s="43">
        <v>2</v>
      </c>
      <c r="K176" s="25" t="str">
        <f>VLOOKUP(J176,Key!$E$2:$F$9,2,FALSE)</f>
        <v>Work</v>
      </c>
      <c r="L176" s="42" t="s">
        <v>155</v>
      </c>
      <c r="M176" s="43" t="s">
        <v>156</v>
      </c>
      <c r="N176" s="42" t="s">
        <v>157</v>
      </c>
      <c r="O176" s="43">
        <v>1</v>
      </c>
      <c r="P176" s="43">
        <v>1</v>
      </c>
      <c r="Q176" s="25" t="str">
        <f>VLOOKUP(P176,Key!$E$2:$F$9,2,FALSE)</f>
        <v>Home</v>
      </c>
      <c r="R176" s="25" t="str">
        <f t="shared" si="3"/>
        <v>Work-Home</v>
      </c>
      <c r="S176" s="52">
        <v>15</v>
      </c>
      <c r="T176" s="52">
        <v>1</v>
      </c>
      <c r="U176" s="43">
        <v>2</v>
      </c>
      <c r="V176" s="43"/>
      <c r="W176" s="52"/>
      <c r="X176" s="52"/>
      <c r="Y176" s="53" t="s">
        <v>158</v>
      </c>
      <c r="Z176" s="54">
        <v>1000</v>
      </c>
      <c r="AA176" s="25">
        <f>VLOOKUP(F176,'Zones '!$A$2:$F$2056,6,FALSE)</f>
        <v>561</v>
      </c>
      <c r="AB176" s="25">
        <f>VLOOKUP(L176,'Zones '!$A$2:$F$2056,6,FALSE)</f>
        <v>1397</v>
      </c>
    </row>
    <row r="177" spans="2:28">
      <c r="B177" s="40">
        <v>0.8534722222222223</v>
      </c>
      <c r="C177" s="40" t="s">
        <v>486</v>
      </c>
      <c r="D177" s="41">
        <v>1</v>
      </c>
      <c r="E177" s="42">
        <v>4</v>
      </c>
      <c r="F177" s="42" t="s">
        <v>160</v>
      </c>
      <c r="G177" s="43" t="s">
        <v>156</v>
      </c>
      <c r="H177" s="42" t="s">
        <v>157</v>
      </c>
      <c r="I177" s="43">
        <v>2</v>
      </c>
      <c r="J177" s="43">
        <v>2</v>
      </c>
      <c r="K177" s="25" t="str">
        <f>VLOOKUP(J177,Key!$E$2:$F$9,2,FALSE)</f>
        <v>Work</v>
      </c>
      <c r="L177" s="42" t="s">
        <v>162</v>
      </c>
      <c r="M177" s="43" t="s">
        <v>156</v>
      </c>
      <c r="N177" s="42" t="s">
        <v>157</v>
      </c>
      <c r="O177" s="43">
        <v>1</v>
      </c>
      <c r="P177" s="43">
        <v>1</v>
      </c>
      <c r="Q177" s="25" t="str">
        <f>VLOOKUP(P177,Key!$E$2:$F$9,2,FALSE)</f>
        <v>Home</v>
      </c>
      <c r="R177" s="25" t="str">
        <f t="shared" si="3"/>
        <v>Work-Home</v>
      </c>
      <c r="S177" s="52">
        <v>3</v>
      </c>
      <c r="T177" s="52">
        <v>1</v>
      </c>
      <c r="U177" s="43">
        <v>2</v>
      </c>
      <c r="V177" s="43"/>
      <c r="W177" s="52"/>
      <c r="X177" s="52"/>
      <c r="Y177" s="53" t="s">
        <v>158</v>
      </c>
      <c r="Z177" s="54">
        <v>0</v>
      </c>
      <c r="AA177" s="25">
        <f>VLOOKUP(F177,'Zones '!$A$2:$F$2056,6,FALSE)</f>
        <v>589</v>
      </c>
      <c r="AB177" s="25">
        <f>VLOOKUP(L177,'Zones '!$A$2:$F$2056,6,FALSE)</f>
        <v>1397</v>
      </c>
    </row>
    <row r="178" spans="2:28">
      <c r="B178" s="40">
        <v>0.85069444444444453</v>
      </c>
      <c r="C178" s="40" t="s">
        <v>487</v>
      </c>
      <c r="D178" s="41">
        <v>1</v>
      </c>
      <c r="E178" s="42">
        <v>2</v>
      </c>
      <c r="F178" s="42" t="s">
        <v>197</v>
      </c>
      <c r="G178" s="43" t="s">
        <v>197</v>
      </c>
      <c r="H178" s="42" t="s">
        <v>157</v>
      </c>
      <c r="I178" s="43">
        <v>2</v>
      </c>
      <c r="J178" s="43">
        <v>2</v>
      </c>
      <c r="K178" s="25" t="str">
        <f>VLOOKUP(J178,Key!$E$2:$F$9,2,FALSE)</f>
        <v>Work</v>
      </c>
      <c r="L178" s="42" t="s">
        <v>215</v>
      </c>
      <c r="M178" s="43" t="s">
        <v>156</v>
      </c>
      <c r="N178" s="42" t="s">
        <v>157</v>
      </c>
      <c r="O178" s="43">
        <v>1</v>
      </c>
      <c r="P178" s="43">
        <v>1</v>
      </c>
      <c r="Q178" s="25" t="str">
        <f>VLOOKUP(P178,Key!$E$2:$F$9,2,FALSE)</f>
        <v>Home</v>
      </c>
      <c r="R178" s="25" t="str">
        <f t="shared" si="3"/>
        <v>Work-Home</v>
      </c>
      <c r="S178" s="52">
        <v>110</v>
      </c>
      <c r="T178" s="52">
        <v>4</v>
      </c>
      <c r="U178" s="43">
        <v>2</v>
      </c>
      <c r="V178" s="43"/>
      <c r="W178" s="52"/>
      <c r="X178" s="52"/>
      <c r="Y178" s="53" t="s">
        <v>158</v>
      </c>
      <c r="Z178" s="54">
        <v>2000</v>
      </c>
      <c r="AA178" s="25">
        <f>VLOOKUP(F178,'Zones '!$A$2:$F$2056,6,FALSE)</f>
        <v>937</v>
      </c>
      <c r="AB178" s="25">
        <f>VLOOKUP(L178,'Zones '!$A$2:$F$2056,6,FALSE)</f>
        <v>1388</v>
      </c>
    </row>
    <row r="179" spans="2:28">
      <c r="B179" s="40">
        <v>0.84722222222222221</v>
      </c>
      <c r="C179" s="40" t="s">
        <v>488</v>
      </c>
      <c r="D179" s="41">
        <v>1</v>
      </c>
      <c r="E179" s="42">
        <v>4</v>
      </c>
      <c r="F179" s="42" t="s">
        <v>179</v>
      </c>
      <c r="G179" s="43" t="s">
        <v>156</v>
      </c>
      <c r="H179" s="42" t="s">
        <v>157</v>
      </c>
      <c r="I179" s="43">
        <v>3</v>
      </c>
      <c r="J179" s="43">
        <v>2</v>
      </c>
      <c r="K179" s="25" t="str">
        <f>VLOOKUP(J179,Key!$E$2:$F$9,2,FALSE)</f>
        <v>Work</v>
      </c>
      <c r="L179" s="42" t="s">
        <v>162</v>
      </c>
      <c r="M179" s="43" t="s">
        <v>156</v>
      </c>
      <c r="N179" s="42" t="s">
        <v>157</v>
      </c>
      <c r="O179" s="43">
        <v>1</v>
      </c>
      <c r="P179" s="43">
        <v>1</v>
      </c>
      <c r="Q179" s="25" t="str">
        <f>VLOOKUP(P179,Key!$E$2:$F$9,2,FALSE)</f>
        <v>Home</v>
      </c>
      <c r="R179" s="25" t="str">
        <f t="shared" si="3"/>
        <v>Work-Home</v>
      </c>
      <c r="S179" s="52">
        <v>5</v>
      </c>
      <c r="T179" s="52">
        <v>1</v>
      </c>
      <c r="U179" s="43">
        <v>2</v>
      </c>
      <c r="V179" s="43"/>
      <c r="W179" s="52"/>
      <c r="X179" s="52"/>
      <c r="Y179" s="53" t="s">
        <v>158</v>
      </c>
      <c r="Z179" s="54">
        <v>1000</v>
      </c>
      <c r="AA179" s="25">
        <f>VLOOKUP(F179,'Zones '!$A$2:$F$2056,6,FALSE)</f>
        <v>905</v>
      </c>
      <c r="AB179" s="25">
        <f>VLOOKUP(L179,'Zones '!$A$2:$F$2056,6,FALSE)</f>
        <v>1397</v>
      </c>
    </row>
    <row r="180" spans="2:28">
      <c r="B180" s="40">
        <v>0.84375</v>
      </c>
      <c r="C180" s="40" t="s">
        <v>489</v>
      </c>
      <c r="D180" s="41">
        <v>1</v>
      </c>
      <c r="E180" s="42">
        <v>2</v>
      </c>
      <c r="F180" s="42" t="s">
        <v>155</v>
      </c>
      <c r="G180" s="43" t="s">
        <v>156</v>
      </c>
      <c r="H180" s="42" t="s">
        <v>157</v>
      </c>
      <c r="I180" s="43">
        <v>2</v>
      </c>
      <c r="J180" s="43">
        <v>2</v>
      </c>
      <c r="K180" s="25" t="str">
        <f>VLOOKUP(J180,Key!$E$2:$F$9,2,FALSE)</f>
        <v>Work</v>
      </c>
      <c r="L180" s="42" t="s">
        <v>162</v>
      </c>
      <c r="M180" s="43" t="s">
        <v>156</v>
      </c>
      <c r="N180" s="42" t="s">
        <v>157</v>
      </c>
      <c r="O180" s="43">
        <v>1</v>
      </c>
      <c r="P180" s="43">
        <v>1</v>
      </c>
      <c r="Q180" s="25" t="str">
        <f>VLOOKUP(P180,Key!$E$2:$F$9,2,FALSE)</f>
        <v>Home</v>
      </c>
      <c r="R180" s="25" t="str">
        <f t="shared" si="3"/>
        <v>Work-Home</v>
      </c>
      <c r="S180" s="52">
        <v>5</v>
      </c>
      <c r="T180" s="52">
        <v>1</v>
      </c>
      <c r="U180" s="43">
        <v>2</v>
      </c>
      <c r="V180" s="43"/>
      <c r="W180" s="52"/>
      <c r="X180" s="52"/>
      <c r="Y180" s="53" t="s">
        <v>158</v>
      </c>
      <c r="Z180" s="54">
        <v>1000</v>
      </c>
      <c r="AA180" s="25">
        <f>VLOOKUP(F180,'Zones '!$A$2:$F$2056,6,FALSE)</f>
        <v>1397</v>
      </c>
      <c r="AB180" s="25">
        <f>VLOOKUP(L180,'Zones '!$A$2:$F$2056,6,FALSE)</f>
        <v>1397</v>
      </c>
    </row>
    <row r="181" spans="2:28">
      <c r="B181" s="40">
        <v>0.84027777777777779</v>
      </c>
      <c r="C181" s="40" t="s">
        <v>490</v>
      </c>
      <c r="D181" s="41">
        <v>3</v>
      </c>
      <c r="E181" s="42">
        <v>2</v>
      </c>
      <c r="F181" s="42" t="s">
        <v>160</v>
      </c>
      <c r="G181" s="43" t="s">
        <v>156</v>
      </c>
      <c r="H181" s="42" t="s">
        <v>157</v>
      </c>
      <c r="I181" s="43">
        <v>3</v>
      </c>
      <c r="J181" s="43">
        <v>2</v>
      </c>
      <c r="K181" s="25" t="str">
        <f>VLOOKUP(J181,Key!$E$2:$F$9,2,FALSE)</f>
        <v>Work</v>
      </c>
      <c r="L181" s="42" t="s">
        <v>162</v>
      </c>
      <c r="M181" s="43" t="s">
        <v>156</v>
      </c>
      <c r="N181" s="42" t="s">
        <v>157</v>
      </c>
      <c r="O181" s="43">
        <v>1</v>
      </c>
      <c r="P181" s="43">
        <v>1</v>
      </c>
      <c r="Q181" s="25" t="str">
        <f>VLOOKUP(P181,Key!$E$2:$F$9,2,FALSE)</f>
        <v>Home</v>
      </c>
      <c r="R181" s="25" t="str">
        <f t="shared" si="3"/>
        <v>Work-Home</v>
      </c>
      <c r="S181" s="52">
        <v>3</v>
      </c>
      <c r="T181" s="52">
        <v>1</v>
      </c>
      <c r="U181" s="43">
        <v>6</v>
      </c>
      <c r="V181" s="43"/>
      <c r="W181" s="52"/>
      <c r="X181" s="52"/>
      <c r="Y181" s="53" t="s">
        <v>158</v>
      </c>
      <c r="Z181" s="54">
        <v>500</v>
      </c>
      <c r="AA181" s="25">
        <f>VLOOKUP(F181,'Zones '!$A$2:$F$2056,6,FALSE)</f>
        <v>589</v>
      </c>
      <c r="AB181" s="25">
        <f>VLOOKUP(L181,'Zones '!$A$2:$F$2056,6,FALSE)</f>
        <v>1397</v>
      </c>
    </row>
    <row r="182" spans="2:28">
      <c r="B182" s="40">
        <v>0.83680555555555547</v>
      </c>
      <c r="C182" s="40" t="s">
        <v>491</v>
      </c>
      <c r="D182" s="41">
        <v>1</v>
      </c>
      <c r="E182" s="42">
        <v>4</v>
      </c>
      <c r="F182" s="42" t="s">
        <v>160</v>
      </c>
      <c r="G182" s="43" t="s">
        <v>156</v>
      </c>
      <c r="H182" s="42" t="s">
        <v>157</v>
      </c>
      <c r="I182" s="43">
        <v>2</v>
      </c>
      <c r="J182" s="43">
        <v>2</v>
      </c>
      <c r="K182" s="25" t="str">
        <f>VLOOKUP(J182,Key!$E$2:$F$9,2,FALSE)</f>
        <v>Work</v>
      </c>
      <c r="L182" s="42" t="s">
        <v>162</v>
      </c>
      <c r="M182" s="43" t="s">
        <v>156</v>
      </c>
      <c r="N182" s="42" t="s">
        <v>157</v>
      </c>
      <c r="O182" s="43">
        <v>1</v>
      </c>
      <c r="P182" s="43">
        <v>1</v>
      </c>
      <c r="Q182" s="25" t="str">
        <f>VLOOKUP(P182,Key!$E$2:$F$9,2,FALSE)</f>
        <v>Home</v>
      </c>
      <c r="R182" s="25" t="str">
        <f t="shared" si="3"/>
        <v>Work-Home</v>
      </c>
      <c r="S182" s="52">
        <v>5</v>
      </c>
      <c r="T182" s="52">
        <v>1</v>
      </c>
      <c r="U182" s="43">
        <v>2</v>
      </c>
      <c r="V182" s="43"/>
      <c r="W182" s="52"/>
      <c r="X182" s="52"/>
      <c r="Y182" s="53" t="s">
        <v>158</v>
      </c>
      <c r="Z182" s="54">
        <v>500</v>
      </c>
      <c r="AA182" s="25">
        <f>VLOOKUP(F182,'Zones '!$A$2:$F$2056,6,FALSE)</f>
        <v>589</v>
      </c>
      <c r="AB182" s="25">
        <f>VLOOKUP(L182,'Zones '!$A$2:$F$2056,6,FALSE)</f>
        <v>1397</v>
      </c>
    </row>
    <row r="183" spans="2:28">
      <c r="B183" s="40">
        <v>0.83333333333333337</v>
      </c>
      <c r="C183" s="40" t="s">
        <v>492</v>
      </c>
      <c r="D183" s="41">
        <v>1</v>
      </c>
      <c r="E183" s="42">
        <v>5</v>
      </c>
      <c r="F183" s="42" t="s">
        <v>247</v>
      </c>
      <c r="G183" s="43" t="s">
        <v>187</v>
      </c>
      <c r="H183" s="42" t="s">
        <v>157</v>
      </c>
      <c r="I183" s="43">
        <v>2</v>
      </c>
      <c r="J183" s="43">
        <v>2</v>
      </c>
      <c r="K183" s="25" t="str">
        <f>VLOOKUP(J183,Key!$E$2:$F$9,2,FALSE)</f>
        <v>Work</v>
      </c>
      <c r="L183" s="42" t="s">
        <v>155</v>
      </c>
      <c r="M183" s="43" t="s">
        <v>156</v>
      </c>
      <c r="N183" s="42" t="s">
        <v>157</v>
      </c>
      <c r="O183" s="43">
        <v>1</v>
      </c>
      <c r="P183" s="43">
        <v>1</v>
      </c>
      <c r="Q183" s="25" t="str">
        <f>VLOOKUP(P183,Key!$E$2:$F$9,2,FALSE)</f>
        <v>Home</v>
      </c>
      <c r="R183" s="25" t="str">
        <f t="shared" si="3"/>
        <v>Work-Home</v>
      </c>
      <c r="S183" s="52">
        <v>10</v>
      </c>
      <c r="T183" s="52">
        <v>1.5</v>
      </c>
      <c r="U183" s="43">
        <v>2</v>
      </c>
      <c r="V183" s="43"/>
      <c r="W183" s="52"/>
      <c r="X183" s="52"/>
      <c r="Y183" s="53" t="s">
        <v>158</v>
      </c>
      <c r="Z183" s="54">
        <v>2000</v>
      </c>
      <c r="AA183" s="25">
        <f>VLOOKUP(F183,'Zones '!$A$2:$F$2056,6,FALSE)</f>
        <v>572</v>
      </c>
      <c r="AB183" s="25">
        <f>VLOOKUP(L183,'Zones '!$A$2:$F$2056,6,FALSE)</f>
        <v>1397</v>
      </c>
    </row>
    <row r="184" spans="2:28">
      <c r="B184" s="40">
        <v>0.82638888888888884</v>
      </c>
      <c r="C184" s="40" t="s">
        <v>493</v>
      </c>
      <c r="D184" s="41">
        <v>1</v>
      </c>
      <c r="E184" s="42">
        <v>3</v>
      </c>
      <c r="F184" s="42" t="s">
        <v>160</v>
      </c>
      <c r="G184" s="43" t="s">
        <v>156</v>
      </c>
      <c r="H184" s="42" t="s">
        <v>157</v>
      </c>
      <c r="I184" s="43">
        <v>2</v>
      </c>
      <c r="J184" s="43">
        <v>2</v>
      </c>
      <c r="K184" s="25" t="str">
        <f>VLOOKUP(J184,Key!$E$2:$F$9,2,FALSE)</f>
        <v>Work</v>
      </c>
      <c r="L184" s="42" t="s">
        <v>352</v>
      </c>
      <c r="M184" s="43" t="s">
        <v>156</v>
      </c>
      <c r="N184" s="42" t="s">
        <v>157</v>
      </c>
      <c r="O184" s="43">
        <v>1</v>
      </c>
      <c r="P184" s="43">
        <v>1</v>
      </c>
      <c r="Q184" s="25" t="str">
        <f>VLOOKUP(P184,Key!$E$2:$F$9,2,FALSE)</f>
        <v>Home</v>
      </c>
      <c r="R184" s="25" t="str">
        <f t="shared" si="3"/>
        <v>Work-Home</v>
      </c>
      <c r="S184" s="52">
        <v>3</v>
      </c>
      <c r="T184" s="52">
        <v>0.5</v>
      </c>
      <c r="U184" s="43">
        <v>2</v>
      </c>
      <c r="V184" s="43"/>
      <c r="W184" s="52"/>
      <c r="X184" s="52"/>
      <c r="Y184" s="53" t="s">
        <v>158</v>
      </c>
      <c r="Z184" s="54">
        <v>0</v>
      </c>
      <c r="AA184" s="25">
        <f>VLOOKUP(F184,'Zones '!$A$2:$F$2056,6,FALSE)</f>
        <v>589</v>
      </c>
      <c r="AB184" s="25">
        <f>VLOOKUP(L184,'Zones '!$A$2:$F$2056,6,FALSE)</f>
        <v>1397</v>
      </c>
    </row>
    <row r="185" spans="2:28">
      <c r="B185" s="40">
        <v>0.80208333333333337</v>
      </c>
      <c r="C185" s="40" t="s">
        <v>494</v>
      </c>
      <c r="D185" s="41">
        <v>1</v>
      </c>
      <c r="E185" s="42">
        <v>4</v>
      </c>
      <c r="F185" s="42" t="s">
        <v>164</v>
      </c>
      <c r="G185" s="43" t="s">
        <v>156</v>
      </c>
      <c r="H185" s="42" t="s">
        <v>157</v>
      </c>
      <c r="I185" s="43">
        <v>2</v>
      </c>
      <c r="J185" s="43">
        <v>2</v>
      </c>
      <c r="K185" s="25" t="str">
        <f>VLOOKUP(J185,Key!$E$2:$F$9,2,FALSE)</f>
        <v>Work</v>
      </c>
      <c r="L185" s="42" t="s">
        <v>160</v>
      </c>
      <c r="M185" s="43" t="s">
        <v>156</v>
      </c>
      <c r="N185" s="42" t="s">
        <v>157</v>
      </c>
      <c r="O185" s="43">
        <v>1</v>
      </c>
      <c r="P185" s="43">
        <v>1</v>
      </c>
      <c r="Q185" s="25" t="str">
        <f>VLOOKUP(P185,Key!$E$2:$F$9,2,FALSE)</f>
        <v>Home</v>
      </c>
      <c r="R185" s="25" t="str">
        <f t="shared" si="3"/>
        <v>Work-Home</v>
      </c>
      <c r="S185" s="52">
        <v>5</v>
      </c>
      <c r="T185" s="52">
        <v>1</v>
      </c>
      <c r="U185" s="43">
        <v>2</v>
      </c>
      <c r="V185" s="43"/>
      <c r="W185" s="52"/>
      <c r="X185" s="52"/>
      <c r="Y185" s="53" t="s">
        <v>158</v>
      </c>
      <c r="Z185" s="54">
        <v>1000</v>
      </c>
      <c r="AA185" s="25">
        <f>VLOOKUP(F185,'Zones '!$A$2:$F$2056,6,FALSE)</f>
        <v>1397</v>
      </c>
      <c r="AB185" s="25">
        <f>VLOOKUP(L185,'Zones '!$A$2:$F$2056,6,FALSE)</f>
        <v>589</v>
      </c>
    </row>
    <row r="186" spans="2:28">
      <c r="B186" s="40">
        <v>0.79861111111111116</v>
      </c>
      <c r="C186" s="40" t="s">
        <v>495</v>
      </c>
      <c r="D186" s="41">
        <v>1</v>
      </c>
      <c r="E186" s="42">
        <v>3</v>
      </c>
      <c r="F186" s="42" t="s">
        <v>187</v>
      </c>
      <c r="G186" s="43" t="s">
        <v>187</v>
      </c>
      <c r="H186" s="42" t="s">
        <v>157</v>
      </c>
      <c r="I186" s="43">
        <v>2</v>
      </c>
      <c r="J186" s="43">
        <v>2</v>
      </c>
      <c r="K186" s="25" t="str">
        <f>VLOOKUP(J186,Key!$E$2:$F$9,2,FALSE)</f>
        <v>Work</v>
      </c>
      <c r="L186" s="42" t="s">
        <v>160</v>
      </c>
      <c r="M186" s="43" t="s">
        <v>156</v>
      </c>
      <c r="N186" s="42" t="s">
        <v>157</v>
      </c>
      <c r="O186" s="43">
        <v>1</v>
      </c>
      <c r="P186" s="43">
        <v>1</v>
      </c>
      <c r="Q186" s="25" t="str">
        <f>VLOOKUP(P186,Key!$E$2:$F$9,2,FALSE)</f>
        <v>Home</v>
      </c>
      <c r="R186" s="25" t="str">
        <f t="shared" si="3"/>
        <v>Work-Home</v>
      </c>
      <c r="S186" s="52">
        <v>19</v>
      </c>
      <c r="T186" s="52">
        <v>2</v>
      </c>
      <c r="U186" s="43">
        <v>2</v>
      </c>
      <c r="V186" s="43"/>
      <c r="W186" s="52"/>
      <c r="X186" s="52"/>
      <c r="Y186" s="53" t="s">
        <v>158</v>
      </c>
      <c r="Z186" s="54">
        <v>500</v>
      </c>
      <c r="AA186" s="25">
        <f>VLOOKUP(F186,'Zones '!$A$2:$F$2056,6,FALSE)</f>
        <v>521</v>
      </c>
      <c r="AB186" s="25">
        <f>VLOOKUP(L186,'Zones '!$A$2:$F$2056,6,FALSE)</f>
        <v>589</v>
      </c>
    </row>
    <row r="187" spans="2:28">
      <c r="B187" s="40">
        <v>0.79513888888888884</v>
      </c>
      <c r="C187" s="40" t="s">
        <v>496</v>
      </c>
      <c r="D187" s="41">
        <v>1</v>
      </c>
      <c r="E187" s="42">
        <v>5</v>
      </c>
      <c r="F187" s="42" t="s">
        <v>160</v>
      </c>
      <c r="G187" s="43" t="s">
        <v>156</v>
      </c>
      <c r="H187" s="42" t="s">
        <v>157</v>
      </c>
      <c r="I187" s="43">
        <v>3</v>
      </c>
      <c r="J187" s="43">
        <v>3</v>
      </c>
      <c r="K187" s="25" t="str">
        <f>VLOOKUP(J187,Key!$E$2:$F$9,2,FALSE)</f>
        <v>Study</v>
      </c>
      <c r="L187" s="42" t="s">
        <v>164</v>
      </c>
      <c r="M187" s="43" t="s">
        <v>156</v>
      </c>
      <c r="N187" s="42" t="s">
        <v>157</v>
      </c>
      <c r="O187" s="43">
        <v>1</v>
      </c>
      <c r="P187" s="43">
        <v>1</v>
      </c>
      <c r="Q187" s="25" t="str">
        <f>VLOOKUP(P187,Key!$E$2:$F$9,2,FALSE)</f>
        <v>Home</v>
      </c>
      <c r="R187" s="25" t="str">
        <f t="shared" si="3"/>
        <v>Study-Home</v>
      </c>
      <c r="S187" s="52">
        <v>3</v>
      </c>
      <c r="T187" s="52">
        <v>1.5</v>
      </c>
      <c r="U187" s="43">
        <v>6</v>
      </c>
      <c r="V187" s="43"/>
      <c r="W187" s="52"/>
      <c r="X187" s="52"/>
      <c r="Y187" s="53" t="s">
        <v>158</v>
      </c>
      <c r="Z187" s="54">
        <v>1000</v>
      </c>
      <c r="AA187" s="25">
        <f>VLOOKUP(F187,'Zones '!$A$2:$F$2056,6,FALSE)</f>
        <v>589</v>
      </c>
      <c r="AB187" s="25">
        <f>VLOOKUP(L187,'Zones '!$A$2:$F$2056,6,FALSE)</f>
        <v>1397</v>
      </c>
    </row>
    <row r="188" spans="2:28">
      <c r="B188" s="40">
        <v>0.79166666666666663</v>
      </c>
      <c r="C188" s="40" t="s">
        <v>319</v>
      </c>
      <c r="D188" s="41">
        <v>1</v>
      </c>
      <c r="E188" s="42">
        <v>1</v>
      </c>
      <c r="F188" s="42" t="s">
        <v>155</v>
      </c>
      <c r="G188" s="43" t="s">
        <v>156</v>
      </c>
      <c r="H188" s="42" t="s">
        <v>157</v>
      </c>
      <c r="I188" s="43">
        <v>2</v>
      </c>
      <c r="J188" s="43">
        <v>2</v>
      </c>
      <c r="K188" s="25" t="str">
        <f>VLOOKUP(J188,Key!$E$2:$F$9,2,FALSE)</f>
        <v>Work</v>
      </c>
      <c r="L188" s="42" t="s">
        <v>156</v>
      </c>
      <c r="M188" s="43" t="s">
        <v>156</v>
      </c>
      <c r="N188" s="42" t="s">
        <v>157</v>
      </c>
      <c r="O188" s="43">
        <v>1</v>
      </c>
      <c r="P188" s="43">
        <v>1</v>
      </c>
      <c r="Q188" s="25" t="str">
        <f>VLOOKUP(P188,Key!$E$2:$F$9,2,FALSE)</f>
        <v>Home</v>
      </c>
      <c r="R188" s="25" t="str">
        <f t="shared" si="3"/>
        <v>Work-Home</v>
      </c>
      <c r="S188" s="52">
        <v>3</v>
      </c>
      <c r="T188" s="52">
        <v>0.2</v>
      </c>
      <c r="U188" s="43">
        <v>2</v>
      </c>
      <c r="V188" s="43"/>
      <c r="W188" s="52"/>
      <c r="X188" s="52"/>
      <c r="Y188" s="53" t="s">
        <v>158</v>
      </c>
      <c r="Z188" s="54">
        <v>10000</v>
      </c>
      <c r="AA188" s="25">
        <f>VLOOKUP(F188,'Zones '!$A$2:$F$2056,6,FALSE)</f>
        <v>1397</v>
      </c>
      <c r="AB188" s="25">
        <f>VLOOKUP(L188,'Zones '!$A$2:$F$2056,6,FALSE)</f>
        <v>1408</v>
      </c>
    </row>
    <row r="189" spans="2:28">
      <c r="B189" s="40">
        <v>0.33333333333333331</v>
      </c>
      <c r="C189" s="40" t="s">
        <v>329</v>
      </c>
      <c r="D189" s="41">
        <v>1</v>
      </c>
      <c r="E189" s="42">
        <v>1</v>
      </c>
      <c r="F189" s="42" t="s">
        <v>150</v>
      </c>
      <c r="G189" s="43" t="s">
        <v>156</v>
      </c>
      <c r="H189" s="42" t="s">
        <v>157</v>
      </c>
      <c r="I189" s="43">
        <v>11</v>
      </c>
      <c r="J189" s="43">
        <v>6</v>
      </c>
      <c r="K189" s="25" t="str">
        <f>VLOOKUP(J189,Key!$E$2:$F$9,2,FALSE)</f>
        <v>Leisure/Social</v>
      </c>
      <c r="L189" s="42" t="s">
        <v>155</v>
      </c>
      <c r="M189" s="43" t="s">
        <v>156</v>
      </c>
      <c r="N189" s="42" t="s">
        <v>157</v>
      </c>
      <c r="O189" s="43">
        <v>1</v>
      </c>
      <c r="P189" s="43">
        <v>1</v>
      </c>
      <c r="Q189" s="25" t="str">
        <f>VLOOKUP(P189,Key!$E$2:$F$9,2,FALSE)</f>
        <v>Home</v>
      </c>
      <c r="R189" s="25" t="str">
        <f>K189&amp;"-"&amp;Q189</f>
        <v>Leisure/Social-Home</v>
      </c>
      <c r="S189" s="52">
        <v>0.5</v>
      </c>
      <c r="T189" s="52">
        <v>0.1</v>
      </c>
      <c r="U189" s="43">
        <v>2</v>
      </c>
      <c r="V189" s="43"/>
      <c r="W189" s="52"/>
      <c r="X189" s="52"/>
      <c r="Y189" s="53" t="s">
        <v>158</v>
      </c>
      <c r="Z189" s="54">
        <v>0</v>
      </c>
      <c r="AA189" s="25">
        <f>VLOOKUP(F189,'Zones '!$A$2:$F$2056,6,FALSE)</f>
        <v>1397</v>
      </c>
      <c r="AB189" s="25">
        <f>VLOOKUP(L189,'Zones '!$A$2:$F$2056,6,FALSE)</f>
        <v>1397</v>
      </c>
    </row>
    <row r="190" spans="2:28">
      <c r="B190" s="40">
        <v>0.35416666666666669</v>
      </c>
      <c r="C190" s="40" t="s">
        <v>330</v>
      </c>
      <c r="D190" s="41">
        <v>1</v>
      </c>
      <c r="E190" s="42">
        <v>1</v>
      </c>
      <c r="F190" s="42" t="s">
        <v>150</v>
      </c>
      <c r="G190" s="43" t="s">
        <v>156</v>
      </c>
      <c r="H190" s="42" t="s">
        <v>157</v>
      </c>
      <c r="I190" s="43">
        <v>11</v>
      </c>
      <c r="J190" s="43">
        <v>6</v>
      </c>
      <c r="K190" s="25" t="str">
        <f>VLOOKUP(J190,Key!$E$2:$F$9,2,FALSE)</f>
        <v>Leisure/Social</v>
      </c>
      <c r="L190" s="42" t="s">
        <v>155</v>
      </c>
      <c r="M190" s="43" t="s">
        <v>156</v>
      </c>
      <c r="N190" s="42" t="s">
        <v>157</v>
      </c>
      <c r="O190" s="43">
        <v>1</v>
      </c>
      <c r="P190" s="43">
        <v>1</v>
      </c>
      <c r="Q190" s="25" t="str">
        <f>VLOOKUP(P190,Key!$E$2:$F$9,2,FALSE)</f>
        <v>Home</v>
      </c>
      <c r="R190" s="25" t="str">
        <f t="shared" ref="R190:R253" si="4">K190&amp;"-"&amp;Q190</f>
        <v>Leisure/Social-Home</v>
      </c>
      <c r="S190" s="52">
        <v>1</v>
      </c>
      <c r="T190" s="52">
        <v>0.1</v>
      </c>
      <c r="U190" s="43">
        <v>2</v>
      </c>
      <c r="V190" s="43"/>
      <c r="W190" s="52"/>
      <c r="X190" s="52"/>
      <c r="Y190" s="53" t="s">
        <v>158</v>
      </c>
      <c r="Z190" s="54">
        <v>0</v>
      </c>
      <c r="AA190" s="25">
        <f>VLOOKUP(F190,'Zones '!$A$2:$F$2056,6,FALSE)</f>
        <v>1397</v>
      </c>
      <c r="AB190" s="25">
        <f>VLOOKUP(L190,'Zones '!$A$2:$F$2056,6,FALSE)</f>
        <v>1397</v>
      </c>
    </row>
    <row r="191" spans="2:28">
      <c r="B191" s="40">
        <v>0.375</v>
      </c>
      <c r="C191" s="40" t="s">
        <v>331</v>
      </c>
      <c r="D191" s="41">
        <v>1</v>
      </c>
      <c r="E191" s="42">
        <v>1</v>
      </c>
      <c r="F191" s="42" t="s">
        <v>162</v>
      </c>
      <c r="G191" s="43" t="s">
        <v>156</v>
      </c>
      <c r="H191" s="42" t="s">
        <v>157</v>
      </c>
      <c r="I191" s="43">
        <v>2</v>
      </c>
      <c r="J191" s="43">
        <v>2</v>
      </c>
      <c r="K191" s="25" t="str">
        <f>VLOOKUP(J191,Key!$E$2:$F$9,2,FALSE)</f>
        <v>Work</v>
      </c>
      <c r="L191" s="42" t="s">
        <v>204</v>
      </c>
      <c r="M191" s="43" t="s">
        <v>156</v>
      </c>
      <c r="N191" s="42" t="s">
        <v>157</v>
      </c>
      <c r="O191" s="43">
        <v>2</v>
      </c>
      <c r="P191" s="43">
        <v>2</v>
      </c>
      <c r="Q191" s="25" t="str">
        <f>VLOOKUP(P191,Key!$E$2:$F$9,2,FALSE)</f>
        <v>Work</v>
      </c>
      <c r="R191" s="25" t="str">
        <f t="shared" si="4"/>
        <v>Work-Work</v>
      </c>
      <c r="S191" s="52">
        <v>8</v>
      </c>
      <c r="T191" s="52">
        <v>0.3</v>
      </c>
      <c r="U191" s="43">
        <v>2</v>
      </c>
      <c r="V191" s="43"/>
      <c r="W191" s="52"/>
      <c r="X191" s="52"/>
      <c r="Y191" s="53" t="s">
        <v>158</v>
      </c>
      <c r="Z191" s="54">
        <v>1000</v>
      </c>
      <c r="AA191" s="25">
        <f>VLOOKUP(F191,'Zones '!$A$2:$F$2056,6,FALSE)</f>
        <v>1397</v>
      </c>
      <c r="AB191" s="25">
        <f>VLOOKUP(L191,'Zones '!$A$2:$F$2056,6,FALSE)</f>
        <v>1390</v>
      </c>
    </row>
    <row r="192" spans="2:28">
      <c r="B192" s="40">
        <v>0.38541666666666669</v>
      </c>
      <c r="C192" s="40" t="s">
        <v>332</v>
      </c>
      <c r="D192" s="41">
        <v>2</v>
      </c>
      <c r="E192" s="42">
        <v>2</v>
      </c>
      <c r="F192" s="42" t="s">
        <v>164</v>
      </c>
      <c r="G192" s="43" t="s">
        <v>156</v>
      </c>
      <c r="H192" s="42" t="s">
        <v>157</v>
      </c>
      <c r="I192" s="43">
        <v>2</v>
      </c>
      <c r="J192" s="43">
        <v>2</v>
      </c>
      <c r="K192" s="25" t="str">
        <f>VLOOKUP(J192,Key!$E$2:$F$9,2,FALSE)</f>
        <v>Work</v>
      </c>
      <c r="L192" s="42" t="s">
        <v>179</v>
      </c>
      <c r="M192" s="43" t="s">
        <v>156</v>
      </c>
      <c r="N192" s="42" t="s">
        <v>157</v>
      </c>
      <c r="O192" s="43">
        <v>1</v>
      </c>
      <c r="P192" s="43">
        <v>1</v>
      </c>
      <c r="Q192" s="25" t="str">
        <f>VLOOKUP(P192,Key!$E$2:$F$9,2,FALSE)</f>
        <v>Home</v>
      </c>
      <c r="R192" s="25" t="str">
        <f t="shared" si="4"/>
        <v>Work-Home</v>
      </c>
      <c r="S192" s="52">
        <v>6</v>
      </c>
      <c r="T192" s="52">
        <v>0.6</v>
      </c>
      <c r="U192" s="43">
        <v>2</v>
      </c>
      <c r="V192" s="43"/>
      <c r="W192" s="52"/>
      <c r="X192" s="52"/>
      <c r="Y192" s="53" t="s">
        <v>158</v>
      </c>
      <c r="Z192" s="54">
        <v>1000</v>
      </c>
      <c r="AA192" s="25">
        <f>VLOOKUP(F192,'Zones '!$A$2:$F$2056,6,FALSE)</f>
        <v>1397</v>
      </c>
      <c r="AB192" s="25">
        <f>VLOOKUP(L192,'Zones '!$A$2:$F$2056,6,FALSE)</f>
        <v>905</v>
      </c>
    </row>
    <row r="193" spans="2:28">
      <c r="B193" s="40">
        <v>0.3888888888888889</v>
      </c>
      <c r="C193" s="40" t="s">
        <v>334</v>
      </c>
      <c r="D193" s="41">
        <v>1</v>
      </c>
      <c r="E193" s="42">
        <v>1</v>
      </c>
      <c r="F193" s="42" t="s">
        <v>150</v>
      </c>
      <c r="G193" s="43" t="s">
        <v>156</v>
      </c>
      <c r="H193" s="42" t="s">
        <v>157</v>
      </c>
      <c r="I193" s="43">
        <v>1</v>
      </c>
      <c r="J193" s="43">
        <v>1</v>
      </c>
      <c r="K193" s="25" t="str">
        <f>VLOOKUP(J193,Key!$E$2:$F$9,2,FALSE)</f>
        <v>Home</v>
      </c>
      <c r="L193" s="42" t="s">
        <v>155</v>
      </c>
      <c r="M193" s="43" t="s">
        <v>156</v>
      </c>
      <c r="N193" s="42" t="s">
        <v>157</v>
      </c>
      <c r="O193" s="43">
        <v>2</v>
      </c>
      <c r="P193" s="43">
        <v>2</v>
      </c>
      <c r="Q193" s="25" t="str">
        <f>VLOOKUP(P193,Key!$E$2:$F$9,2,FALSE)</f>
        <v>Work</v>
      </c>
      <c r="R193" s="25" t="str">
        <f t="shared" si="4"/>
        <v>Home-Work</v>
      </c>
      <c r="S193" s="52">
        <v>3</v>
      </c>
      <c r="T193" s="52">
        <v>0.5</v>
      </c>
      <c r="U193" s="43">
        <v>2</v>
      </c>
      <c r="V193" s="43"/>
      <c r="W193" s="52"/>
      <c r="X193" s="52"/>
      <c r="Y193" s="53" t="s">
        <v>158</v>
      </c>
      <c r="Z193" s="54">
        <v>1000</v>
      </c>
      <c r="AA193" s="25">
        <f>VLOOKUP(F193,'Zones '!$A$2:$F$2056,6,FALSE)</f>
        <v>1397</v>
      </c>
      <c r="AB193" s="25">
        <f>VLOOKUP(L193,'Zones '!$A$2:$F$2056,6,FALSE)</f>
        <v>1397</v>
      </c>
    </row>
    <row r="194" spans="2:28">
      <c r="B194" s="40">
        <v>0.41597222222222219</v>
      </c>
      <c r="C194" s="40" t="s">
        <v>335</v>
      </c>
      <c r="D194" s="41">
        <v>7</v>
      </c>
      <c r="E194" s="42">
        <v>2</v>
      </c>
      <c r="F194" s="42" t="s">
        <v>247</v>
      </c>
      <c r="G194" s="43" t="s">
        <v>187</v>
      </c>
      <c r="H194" s="42" t="s">
        <v>157</v>
      </c>
      <c r="I194" s="43">
        <v>2</v>
      </c>
      <c r="J194" s="43">
        <v>2</v>
      </c>
      <c r="K194" s="25" t="str">
        <f>VLOOKUP(J194,Key!$E$2:$F$9,2,FALSE)</f>
        <v>Work</v>
      </c>
      <c r="L194" s="42" t="s">
        <v>150</v>
      </c>
      <c r="M194" s="43" t="s">
        <v>156</v>
      </c>
      <c r="N194" s="42" t="s">
        <v>157</v>
      </c>
      <c r="O194" s="43">
        <v>12</v>
      </c>
      <c r="P194" s="43">
        <v>4</v>
      </c>
      <c r="Q194" s="25" t="str">
        <f>VLOOKUP(P194,Key!$E$2:$F$9,2,FALSE)</f>
        <v>Commercial</v>
      </c>
      <c r="R194" s="25" t="str">
        <f t="shared" si="4"/>
        <v>Work-Commercial</v>
      </c>
      <c r="S194" s="52">
        <v>8</v>
      </c>
      <c r="T194" s="52">
        <v>1</v>
      </c>
      <c r="U194" s="43">
        <v>4</v>
      </c>
      <c r="V194" s="43">
        <v>11</v>
      </c>
      <c r="W194" s="52"/>
      <c r="X194" s="52"/>
      <c r="Y194" s="53" t="s">
        <v>158</v>
      </c>
      <c r="Z194" s="54">
        <v>1000</v>
      </c>
      <c r="AA194" s="25">
        <f>VLOOKUP(F194,'Zones '!$A$2:$F$2056,6,FALSE)</f>
        <v>572</v>
      </c>
      <c r="AB194" s="25">
        <f>VLOOKUP(L194,'Zones '!$A$2:$F$2056,6,FALSE)</f>
        <v>1397</v>
      </c>
    </row>
    <row r="195" spans="2:28">
      <c r="B195" s="40">
        <v>0.42708333333333331</v>
      </c>
      <c r="C195" s="40" t="s">
        <v>336</v>
      </c>
      <c r="D195" s="41">
        <v>4</v>
      </c>
      <c r="E195" s="42">
        <v>2</v>
      </c>
      <c r="F195" s="42" t="s">
        <v>337</v>
      </c>
      <c r="G195" s="43" t="s">
        <v>197</v>
      </c>
      <c r="H195" s="42" t="s">
        <v>157</v>
      </c>
      <c r="I195" s="43">
        <v>2</v>
      </c>
      <c r="J195" s="43">
        <v>2</v>
      </c>
      <c r="K195" s="25" t="str">
        <f>VLOOKUP(J195,Key!$E$2:$F$9,2,FALSE)</f>
        <v>Work</v>
      </c>
      <c r="L195" s="42" t="s">
        <v>187</v>
      </c>
      <c r="M195" s="43" t="s">
        <v>156</v>
      </c>
      <c r="N195" s="42" t="s">
        <v>157</v>
      </c>
      <c r="O195" s="43">
        <v>2</v>
      </c>
      <c r="P195" s="43">
        <v>2</v>
      </c>
      <c r="Q195" s="25" t="str">
        <f>VLOOKUP(P195,Key!$E$2:$F$9,2,FALSE)</f>
        <v>Work</v>
      </c>
      <c r="R195" s="25" t="str">
        <f t="shared" si="4"/>
        <v>Work-Work</v>
      </c>
      <c r="S195" s="52">
        <v>120</v>
      </c>
      <c r="T195" s="52">
        <v>2</v>
      </c>
      <c r="U195" s="43">
        <v>2</v>
      </c>
      <c r="V195" s="43"/>
      <c r="W195" s="52"/>
      <c r="X195" s="52"/>
      <c r="Y195" s="53" t="s">
        <v>158</v>
      </c>
      <c r="Z195" s="54">
        <v>0</v>
      </c>
      <c r="AA195" s="25">
        <f>VLOOKUP(F195,'Zones '!$A$2:$F$2056,6,FALSE)</f>
        <v>1435</v>
      </c>
      <c r="AB195" s="25">
        <f>VLOOKUP(L195,'Zones '!$A$2:$F$2056,6,FALSE)</f>
        <v>521</v>
      </c>
    </row>
    <row r="196" spans="2:28">
      <c r="B196" s="40">
        <v>0.4375</v>
      </c>
      <c r="C196" s="40" t="s">
        <v>338</v>
      </c>
      <c r="D196" s="41">
        <v>2</v>
      </c>
      <c r="E196" s="42">
        <v>1</v>
      </c>
      <c r="F196" s="42" t="s">
        <v>339</v>
      </c>
      <c r="G196" s="43" t="s">
        <v>187</v>
      </c>
      <c r="H196" s="42" t="s">
        <v>157</v>
      </c>
      <c r="I196" s="43">
        <v>1</v>
      </c>
      <c r="J196" s="43">
        <v>1</v>
      </c>
      <c r="K196" s="25" t="str">
        <f>VLOOKUP(J196,Key!$E$2:$F$9,2,FALSE)</f>
        <v>Home</v>
      </c>
      <c r="L196" s="42" t="s">
        <v>150</v>
      </c>
      <c r="M196" s="43" t="s">
        <v>156</v>
      </c>
      <c r="N196" s="42" t="s">
        <v>157</v>
      </c>
      <c r="O196" s="43">
        <v>1</v>
      </c>
      <c r="P196" s="43">
        <v>1</v>
      </c>
      <c r="Q196" s="25" t="str">
        <f>VLOOKUP(P196,Key!$E$2:$F$9,2,FALSE)</f>
        <v>Home</v>
      </c>
      <c r="R196" s="25" t="str">
        <f t="shared" si="4"/>
        <v>Home-Home</v>
      </c>
      <c r="S196" s="52">
        <v>10</v>
      </c>
      <c r="T196" s="52">
        <v>0.5</v>
      </c>
      <c r="U196" s="43">
        <v>2</v>
      </c>
      <c r="V196" s="43"/>
      <c r="W196" s="52"/>
      <c r="X196" s="52"/>
      <c r="Y196" s="53" t="s">
        <v>158</v>
      </c>
      <c r="Z196" s="54">
        <v>0</v>
      </c>
      <c r="AA196" s="25">
        <f>VLOOKUP(F196,'Zones '!$A$2:$F$2056,6,FALSE)</f>
        <v>517</v>
      </c>
      <c r="AB196" s="25">
        <f>VLOOKUP(L196,'Zones '!$A$2:$F$2056,6,FALSE)</f>
        <v>1397</v>
      </c>
    </row>
    <row r="197" spans="2:28">
      <c r="B197" s="40">
        <v>0.44097222222222227</v>
      </c>
      <c r="C197" s="40" t="s">
        <v>340</v>
      </c>
      <c r="D197" s="41">
        <v>7</v>
      </c>
      <c r="E197" s="42">
        <v>6</v>
      </c>
      <c r="F197" s="42" t="s">
        <v>150</v>
      </c>
      <c r="G197" s="43" t="s">
        <v>156</v>
      </c>
      <c r="H197" s="42" t="s">
        <v>157</v>
      </c>
      <c r="I197" s="43">
        <v>2</v>
      </c>
      <c r="J197" s="43">
        <v>2</v>
      </c>
      <c r="K197" s="25" t="str">
        <f>VLOOKUP(J197,Key!$E$2:$F$9,2,FALSE)</f>
        <v>Work</v>
      </c>
      <c r="L197" s="42" t="s">
        <v>155</v>
      </c>
      <c r="M197" s="43" t="s">
        <v>156</v>
      </c>
      <c r="N197" s="42" t="s">
        <v>157</v>
      </c>
      <c r="O197" s="43">
        <v>16</v>
      </c>
      <c r="P197" s="43">
        <v>2</v>
      </c>
      <c r="Q197" s="25" t="str">
        <f>VLOOKUP(P197,Key!$E$2:$F$9,2,FALSE)</f>
        <v>Work</v>
      </c>
      <c r="R197" s="25" t="str">
        <f t="shared" si="4"/>
        <v>Work-Work</v>
      </c>
      <c r="S197" s="52">
        <v>1</v>
      </c>
      <c r="T197" s="52">
        <v>0.2</v>
      </c>
      <c r="U197" s="43">
        <v>1</v>
      </c>
      <c r="V197" s="43">
        <v>12</v>
      </c>
      <c r="W197" s="52">
        <v>0.5</v>
      </c>
      <c r="X197" s="52">
        <v>6</v>
      </c>
      <c r="Y197" s="53" t="s">
        <v>158</v>
      </c>
      <c r="Z197" s="54">
        <v>0</v>
      </c>
      <c r="AA197" s="25">
        <f>VLOOKUP(F197,'Zones '!$A$2:$F$2056,6,FALSE)</f>
        <v>1397</v>
      </c>
      <c r="AB197" s="25">
        <f>VLOOKUP(L197,'Zones '!$A$2:$F$2056,6,FALSE)</f>
        <v>1397</v>
      </c>
    </row>
    <row r="198" spans="2:28">
      <c r="B198" s="40">
        <v>0.45694444444444443</v>
      </c>
      <c r="C198" s="40" t="s">
        <v>341</v>
      </c>
      <c r="D198" s="41">
        <v>7</v>
      </c>
      <c r="E198" s="42">
        <v>2</v>
      </c>
      <c r="F198" s="42" t="s">
        <v>342</v>
      </c>
      <c r="G198" s="43" t="s">
        <v>187</v>
      </c>
      <c r="H198" s="42" t="s">
        <v>157</v>
      </c>
      <c r="I198" s="43">
        <v>16</v>
      </c>
      <c r="J198" s="43">
        <v>2</v>
      </c>
      <c r="K198" s="25" t="str">
        <f>VLOOKUP(J198,Key!$E$2:$F$9,2,FALSE)</f>
        <v>Work</v>
      </c>
      <c r="L198" s="42" t="s">
        <v>166</v>
      </c>
      <c r="M198" s="43" t="s">
        <v>156</v>
      </c>
      <c r="N198" s="42" t="s">
        <v>157</v>
      </c>
      <c r="O198" s="43">
        <v>16</v>
      </c>
      <c r="P198" s="43">
        <v>2</v>
      </c>
      <c r="Q198" s="25" t="str">
        <f>VLOOKUP(P198,Key!$E$2:$F$9,2,FALSE)</f>
        <v>Work</v>
      </c>
      <c r="R198" s="25" t="str">
        <f t="shared" si="4"/>
        <v>Work-Work</v>
      </c>
      <c r="S198" s="52">
        <v>6</v>
      </c>
      <c r="T198" s="52">
        <v>5</v>
      </c>
      <c r="U198" s="43">
        <v>3</v>
      </c>
      <c r="V198" s="43">
        <v>12</v>
      </c>
      <c r="W198" s="52">
        <v>0.5</v>
      </c>
      <c r="X198" s="52">
        <v>5</v>
      </c>
      <c r="Y198" s="53" t="s">
        <v>158</v>
      </c>
      <c r="Z198" s="54">
        <v>500</v>
      </c>
      <c r="AA198" s="25">
        <f>VLOOKUP(F198,'Zones '!$A$2:$F$2056,6,FALSE)</f>
        <v>556</v>
      </c>
      <c r="AB198" s="25">
        <f>VLOOKUP(L198,'Zones '!$A$2:$F$2056,6,FALSE)</f>
        <v>1397</v>
      </c>
    </row>
    <row r="199" spans="2:28">
      <c r="B199" s="40">
        <v>0.45833333333333331</v>
      </c>
      <c r="C199" s="40" t="s">
        <v>343</v>
      </c>
      <c r="D199" s="41">
        <v>7</v>
      </c>
      <c r="E199" s="42">
        <v>2</v>
      </c>
      <c r="F199" s="42" t="s">
        <v>344</v>
      </c>
      <c r="G199" s="43" t="s">
        <v>345</v>
      </c>
      <c r="H199" s="42" t="s">
        <v>157</v>
      </c>
      <c r="I199" s="43">
        <v>2</v>
      </c>
      <c r="J199" s="43">
        <v>2</v>
      </c>
      <c r="K199" s="25" t="str">
        <f>VLOOKUP(J199,Key!$E$2:$F$9,2,FALSE)</f>
        <v>Work</v>
      </c>
      <c r="L199" s="42" t="s">
        <v>150</v>
      </c>
      <c r="M199" s="43" t="s">
        <v>156</v>
      </c>
      <c r="N199" s="42" t="s">
        <v>157</v>
      </c>
      <c r="O199" s="43">
        <v>2</v>
      </c>
      <c r="P199" s="43">
        <v>2</v>
      </c>
      <c r="Q199" s="25" t="str">
        <f>VLOOKUP(P199,Key!$E$2:$F$9,2,FALSE)</f>
        <v>Work</v>
      </c>
      <c r="R199" s="25" t="str">
        <f t="shared" si="4"/>
        <v>Work-Work</v>
      </c>
      <c r="S199" s="52">
        <v>28</v>
      </c>
      <c r="T199" s="52">
        <v>1</v>
      </c>
      <c r="U199" s="43">
        <v>1</v>
      </c>
      <c r="V199" s="43">
        <v>4</v>
      </c>
      <c r="W199" s="52">
        <v>1</v>
      </c>
      <c r="X199" s="52">
        <v>0.45</v>
      </c>
      <c r="Y199" s="53" t="s">
        <v>158</v>
      </c>
      <c r="Z199" s="54">
        <v>1000</v>
      </c>
      <c r="AA199" s="25">
        <f>VLOOKUP(F199,'Zones '!$A$2:$F$2056,6,FALSE)</f>
        <v>1034</v>
      </c>
      <c r="AB199" s="25">
        <f>VLOOKUP(L199,'Zones '!$A$2:$F$2056,6,FALSE)</f>
        <v>1397</v>
      </c>
    </row>
    <row r="200" spans="2:28">
      <c r="B200" s="40">
        <v>0.46180555555555558</v>
      </c>
      <c r="C200" s="40" t="s">
        <v>346</v>
      </c>
      <c r="D200" s="41">
        <v>1</v>
      </c>
      <c r="E200" s="42">
        <v>2</v>
      </c>
      <c r="F200" s="42" t="s">
        <v>150</v>
      </c>
      <c r="G200" s="43" t="s">
        <v>156</v>
      </c>
      <c r="H200" s="42" t="s">
        <v>157</v>
      </c>
      <c r="I200" s="43">
        <v>11</v>
      </c>
      <c r="J200" s="43">
        <v>4</v>
      </c>
      <c r="K200" s="25" t="str">
        <f>VLOOKUP(J200,Key!$E$2:$F$9,2,FALSE)</f>
        <v>Commercial</v>
      </c>
      <c r="L200" s="42" t="s">
        <v>207</v>
      </c>
      <c r="M200" s="43" t="s">
        <v>156</v>
      </c>
      <c r="N200" s="42" t="s">
        <v>157</v>
      </c>
      <c r="O200" s="43">
        <v>1</v>
      </c>
      <c r="P200" s="43">
        <v>1</v>
      </c>
      <c r="Q200" s="25" t="str">
        <f>VLOOKUP(P200,Key!$E$2:$F$9,2,FALSE)</f>
        <v>Home</v>
      </c>
      <c r="R200" s="25" t="str">
        <f t="shared" si="4"/>
        <v>Commercial-Home</v>
      </c>
      <c r="S200" s="52">
        <v>1.5</v>
      </c>
      <c r="T200" s="52">
        <v>0.5</v>
      </c>
      <c r="U200" s="43">
        <v>1</v>
      </c>
      <c r="V200" s="43"/>
      <c r="W200" s="52"/>
      <c r="X200" s="52"/>
      <c r="Y200" s="53" t="s">
        <v>158</v>
      </c>
      <c r="Z200" s="54">
        <v>1000</v>
      </c>
      <c r="AA200" s="25">
        <f>VLOOKUP(F200,'Zones '!$A$2:$F$2056,6,FALSE)</f>
        <v>1397</v>
      </c>
      <c r="AB200" s="25">
        <f>VLOOKUP(L200,'Zones '!$A$2:$F$2056,6,FALSE)</f>
        <v>1397</v>
      </c>
    </row>
    <row r="201" spans="2:28">
      <c r="B201" s="40">
        <v>0.47569444444444442</v>
      </c>
      <c r="C201" s="40" t="s">
        <v>347</v>
      </c>
      <c r="D201" s="41">
        <v>7</v>
      </c>
      <c r="E201" s="42">
        <v>2</v>
      </c>
      <c r="F201" s="42" t="s">
        <v>150</v>
      </c>
      <c r="G201" s="43" t="s">
        <v>156</v>
      </c>
      <c r="H201" s="42" t="s">
        <v>157</v>
      </c>
      <c r="I201" s="43">
        <v>2</v>
      </c>
      <c r="J201" s="43">
        <v>2</v>
      </c>
      <c r="K201" s="25" t="str">
        <f>VLOOKUP(J201,Key!$E$2:$F$9,2,FALSE)</f>
        <v>Work</v>
      </c>
      <c r="L201" s="42" t="s">
        <v>155</v>
      </c>
      <c r="M201" s="43" t="s">
        <v>156</v>
      </c>
      <c r="N201" s="42" t="s">
        <v>157</v>
      </c>
      <c r="O201" s="43">
        <v>16</v>
      </c>
      <c r="P201" s="43">
        <v>2</v>
      </c>
      <c r="Q201" s="25" t="str">
        <f>VLOOKUP(P201,Key!$E$2:$F$9,2,FALSE)</f>
        <v>Work</v>
      </c>
      <c r="R201" s="25" t="str">
        <f t="shared" si="4"/>
        <v>Work-Work</v>
      </c>
      <c r="S201" s="52">
        <v>1</v>
      </c>
      <c r="T201" s="52">
        <v>0.1</v>
      </c>
      <c r="U201" s="43">
        <v>1</v>
      </c>
      <c r="V201" s="43">
        <v>6</v>
      </c>
      <c r="W201" s="52">
        <v>0.5</v>
      </c>
      <c r="X201" s="52">
        <v>3</v>
      </c>
      <c r="Y201" s="53" t="s">
        <v>158</v>
      </c>
      <c r="Z201" s="54">
        <v>0</v>
      </c>
      <c r="AA201" s="25">
        <f>VLOOKUP(F201,'Zones '!$A$2:$F$2056,6,FALSE)</f>
        <v>1397</v>
      </c>
      <c r="AB201" s="25">
        <f>VLOOKUP(L201,'Zones '!$A$2:$F$2056,6,FALSE)</f>
        <v>1397</v>
      </c>
    </row>
    <row r="202" spans="2:28">
      <c r="B202" s="40">
        <v>0.48958333333333331</v>
      </c>
      <c r="C202" s="40" t="s">
        <v>348</v>
      </c>
      <c r="D202" s="41">
        <v>1</v>
      </c>
      <c r="E202" s="42">
        <v>1</v>
      </c>
      <c r="F202" s="42" t="s">
        <v>224</v>
      </c>
      <c r="G202" s="43" t="s">
        <v>224</v>
      </c>
      <c r="H202" s="42" t="s">
        <v>157</v>
      </c>
      <c r="I202" s="43">
        <v>2</v>
      </c>
      <c r="J202" s="43">
        <v>2</v>
      </c>
      <c r="K202" s="25" t="str">
        <f>VLOOKUP(J202,Key!$E$2:$F$9,2,FALSE)</f>
        <v>Work</v>
      </c>
      <c r="L202" s="42" t="s">
        <v>155</v>
      </c>
      <c r="M202" s="43" t="s">
        <v>156</v>
      </c>
      <c r="N202" s="42" t="s">
        <v>157</v>
      </c>
      <c r="O202" s="43">
        <v>1</v>
      </c>
      <c r="P202" s="43">
        <v>1</v>
      </c>
      <c r="Q202" s="25" t="str">
        <f>VLOOKUP(P202,Key!$E$2:$F$9,2,FALSE)</f>
        <v>Home</v>
      </c>
      <c r="R202" s="25" t="str">
        <f t="shared" si="4"/>
        <v>Work-Home</v>
      </c>
      <c r="S202" s="52">
        <v>2</v>
      </c>
      <c r="T202" s="52">
        <v>1</v>
      </c>
      <c r="U202" s="43">
        <v>1</v>
      </c>
      <c r="V202" s="43"/>
      <c r="W202" s="52"/>
      <c r="X202" s="52"/>
      <c r="Y202" s="53" t="s">
        <v>158</v>
      </c>
      <c r="Z202" s="54">
        <v>1000</v>
      </c>
      <c r="AA202" s="25">
        <f>VLOOKUP(F202,'Zones '!$A$2:$F$2056,6,FALSE)</f>
        <v>1037</v>
      </c>
      <c r="AB202" s="25">
        <f>VLOOKUP(L202,'Zones '!$A$2:$F$2056,6,FALSE)</f>
        <v>1397</v>
      </c>
    </row>
    <row r="203" spans="2:28">
      <c r="B203" s="40">
        <v>0.49652777777777773</v>
      </c>
      <c r="C203" s="40" t="s">
        <v>349</v>
      </c>
      <c r="D203" s="41">
        <v>7</v>
      </c>
      <c r="E203" s="42">
        <v>3</v>
      </c>
      <c r="F203" s="42" t="s">
        <v>350</v>
      </c>
      <c r="G203" s="43" t="s">
        <v>350</v>
      </c>
      <c r="H203" s="42" t="s">
        <v>157</v>
      </c>
      <c r="I203" s="43">
        <v>16</v>
      </c>
      <c r="J203" s="43">
        <v>2</v>
      </c>
      <c r="K203" s="25" t="str">
        <f>VLOOKUP(J203,Key!$E$2:$F$9,2,FALSE)</f>
        <v>Work</v>
      </c>
      <c r="L203" s="42" t="s">
        <v>160</v>
      </c>
      <c r="M203" s="43" t="s">
        <v>156</v>
      </c>
      <c r="N203" s="42" t="s">
        <v>157</v>
      </c>
      <c r="O203" s="43">
        <v>16</v>
      </c>
      <c r="P203" s="43">
        <v>2</v>
      </c>
      <c r="Q203" s="25" t="str">
        <f>VLOOKUP(P203,Key!$E$2:$F$9,2,FALSE)</f>
        <v>Work</v>
      </c>
      <c r="R203" s="25" t="str">
        <f t="shared" si="4"/>
        <v>Work-Work</v>
      </c>
      <c r="S203" s="52">
        <v>175</v>
      </c>
      <c r="T203" s="52">
        <v>6</v>
      </c>
      <c r="U203" s="43">
        <v>4</v>
      </c>
      <c r="V203" s="43">
        <v>6</v>
      </c>
      <c r="W203" s="52">
        <v>1.5</v>
      </c>
      <c r="X203" s="52">
        <v>0.8</v>
      </c>
      <c r="Y203" s="53" t="s">
        <v>158</v>
      </c>
      <c r="Z203" s="54">
        <v>2000</v>
      </c>
      <c r="AA203" s="25">
        <f>VLOOKUP(F203,'Zones '!$A$2:$F$2056,6,FALSE)</f>
        <v>341</v>
      </c>
      <c r="AB203" s="25">
        <f>VLOOKUP(L203,'Zones '!$A$2:$F$2056,6,FALSE)</f>
        <v>589</v>
      </c>
    </row>
    <row r="204" spans="2:28">
      <c r="B204" s="40">
        <v>0.50347222222222221</v>
      </c>
      <c r="C204" s="40" t="s">
        <v>351</v>
      </c>
      <c r="D204" s="41">
        <v>4</v>
      </c>
      <c r="E204" s="42">
        <v>14</v>
      </c>
      <c r="F204" s="42" t="s">
        <v>352</v>
      </c>
      <c r="G204" s="43" t="s">
        <v>156</v>
      </c>
      <c r="H204" s="42" t="s">
        <v>157</v>
      </c>
      <c r="I204" s="43">
        <v>4</v>
      </c>
      <c r="J204" s="43">
        <v>2</v>
      </c>
      <c r="K204" s="25" t="str">
        <f>VLOOKUP(J204,Key!$E$2:$F$9,2,FALSE)</f>
        <v>Work</v>
      </c>
      <c r="L204" s="42" t="s">
        <v>207</v>
      </c>
      <c r="M204" s="43" t="s">
        <v>156</v>
      </c>
      <c r="N204" s="42" t="s">
        <v>157</v>
      </c>
      <c r="O204" s="43">
        <v>4</v>
      </c>
      <c r="P204" s="43">
        <v>2</v>
      </c>
      <c r="Q204" s="25" t="str">
        <f>VLOOKUP(P204,Key!$E$2:$F$9,2,FALSE)</f>
        <v>Work</v>
      </c>
      <c r="R204" s="25" t="str">
        <f t="shared" si="4"/>
        <v>Work-Work</v>
      </c>
      <c r="S204" s="52">
        <v>10</v>
      </c>
      <c r="T204" s="52">
        <v>0.7</v>
      </c>
      <c r="U204" s="43">
        <v>1</v>
      </c>
      <c r="V204" s="43"/>
      <c r="W204" s="52"/>
      <c r="X204" s="52"/>
      <c r="Y204" s="53" t="s">
        <v>158</v>
      </c>
      <c r="Z204" s="54">
        <v>0</v>
      </c>
      <c r="AA204" s="25">
        <f>VLOOKUP(F204,'Zones '!$A$2:$F$2056,6,FALSE)</f>
        <v>1397</v>
      </c>
      <c r="AB204" s="25">
        <f>VLOOKUP(L204,'Zones '!$A$2:$F$2056,6,FALSE)</f>
        <v>1397</v>
      </c>
    </row>
    <row r="205" spans="2:28">
      <c r="B205" s="40">
        <v>0.51388888888888895</v>
      </c>
      <c r="C205" s="40" t="s">
        <v>353</v>
      </c>
      <c r="D205" s="41">
        <v>2</v>
      </c>
      <c r="E205" s="42">
        <v>2</v>
      </c>
      <c r="F205" s="42" t="s">
        <v>187</v>
      </c>
      <c r="G205" s="43" t="s">
        <v>187</v>
      </c>
      <c r="H205" s="42" t="s">
        <v>157</v>
      </c>
      <c r="I205" s="43">
        <v>2</v>
      </c>
      <c r="J205" s="43">
        <v>2</v>
      </c>
      <c r="K205" s="25" t="str">
        <f>VLOOKUP(J205,Key!$E$2:$F$9,2,FALSE)</f>
        <v>Work</v>
      </c>
      <c r="L205" s="42" t="s">
        <v>155</v>
      </c>
      <c r="M205" s="43" t="s">
        <v>156</v>
      </c>
      <c r="N205" s="42" t="s">
        <v>157</v>
      </c>
      <c r="O205" s="43">
        <v>1</v>
      </c>
      <c r="P205" s="43">
        <v>1</v>
      </c>
      <c r="Q205" s="25" t="str">
        <f>VLOOKUP(P205,Key!$E$2:$F$9,2,FALSE)</f>
        <v>Home</v>
      </c>
      <c r="R205" s="25" t="str">
        <f t="shared" si="4"/>
        <v>Work-Home</v>
      </c>
      <c r="S205" s="52">
        <v>10</v>
      </c>
      <c r="T205" s="52">
        <v>0.2</v>
      </c>
      <c r="U205" s="43">
        <v>1</v>
      </c>
      <c r="V205" s="43"/>
      <c r="W205" s="52"/>
      <c r="X205" s="52"/>
      <c r="Y205" s="53" t="s">
        <v>158</v>
      </c>
      <c r="Z205" s="54">
        <v>0</v>
      </c>
      <c r="AA205" s="25">
        <f>VLOOKUP(F205,'Zones '!$A$2:$F$2056,6,FALSE)</f>
        <v>521</v>
      </c>
      <c r="AB205" s="25">
        <f>VLOOKUP(L205,'Zones '!$A$2:$F$2056,6,FALSE)</f>
        <v>1397</v>
      </c>
    </row>
    <row r="206" spans="2:28">
      <c r="B206" s="40">
        <v>0.51527777777777783</v>
      </c>
      <c r="C206" s="40" t="s">
        <v>354</v>
      </c>
      <c r="D206" s="41">
        <v>4</v>
      </c>
      <c r="E206" s="42">
        <v>2</v>
      </c>
      <c r="F206" s="42" t="s">
        <v>162</v>
      </c>
      <c r="G206" s="43" t="s">
        <v>156</v>
      </c>
      <c r="H206" s="42" t="s">
        <v>157</v>
      </c>
      <c r="I206" s="43">
        <v>16</v>
      </c>
      <c r="J206" s="43">
        <v>2</v>
      </c>
      <c r="K206" s="25" t="str">
        <f>VLOOKUP(J206,Key!$E$2:$F$9,2,FALSE)</f>
        <v>Work</v>
      </c>
      <c r="L206" s="42" t="s">
        <v>207</v>
      </c>
      <c r="M206" s="43" t="s">
        <v>156</v>
      </c>
      <c r="N206" s="42" t="s">
        <v>157</v>
      </c>
      <c r="O206" s="43">
        <v>6</v>
      </c>
      <c r="P206" s="43">
        <v>2</v>
      </c>
      <c r="Q206" s="25" t="str">
        <f>VLOOKUP(P206,Key!$E$2:$F$9,2,FALSE)</f>
        <v>Work</v>
      </c>
      <c r="R206" s="25" t="str">
        <f t="shared" si="4"/>
        <v>Work-Work</v>
      </c>
      <c r="S206" s="52">
        <v>2</v>
      </c>
      <c r="T206" s="52">
        <v>0.5</v>
      </c>
      <c r="U206" s="43">
        <v>1</v>
      </c>
      <c r="V206" s="43"/>
      <c r="W206" s="52"/>
      <c r="X206" s="52"/>
      <c r="Y206" s="53" t="s">
        <v>158</v>
      </c>
      <c r="Z206" s="54">
        <v>0</v>
      </c>
      <c r="AA206" s="25">
        <f>VLOOKUP(F206,'Zones '!$A$2:$F$2056,6,FALSE)</f>
        <v>1397</v>
      </c>
      <c r="AB206" s="25">
        <f>VLOOKUP(L206,'Zones '!$A$2:$F$2056,6,FALSE)</f>
        <v>1397</v>
      </c>
    </row>
    <row r="207" spans="2:28">
      <c r="B207" s="40">
        <v>0.52777777777777779</v>
      </c>
      <c r="C207" s="40" t="s">
        <v>355</v>
      </c>
      <c r="D207" s="41">
        <v>1</v>
      </c>
      <c r="E207" s="42">
        <v>1</v>
      </c>
      <c r="F207" s="42" t="s">
        <v>150</v>
      </c>
      <c r="G207" s="43" t="s">
        <v>156</v>
      </c>
      <c r="H207" s="42" t="s">
        <v>157</v>
      </c>
      <c r="I207" s="43">
        <v>11</v>
      </c>
      <c r="J207" s="43">
        <v>4</v>
      </c>
      <c r="K207" s="25" t="str">
        <f>VLOOKUP(J207,Key!$E$2:$F$9,2,FALSE)</f>
        <v>Commercial</v>
      </c>
      <c r="L207" s="42" t="s">
        <v>155</v>
      </c>
      <c r="M207" s="43" t="s">
        <v>156</v>
      </c>
      <c r="N207" s="42" t="s">
        <v>157</v>
      </c>
      <c r="O207" s="43">
        <v>1</v>
      </c>
      <c r="P207" s="43">
        <v>1</v>
      </c>
      <c r="Q207" s="25" t="str">
        <f>VLOOKUP(P207,Key!$E$2:$F$9,2,FALSE)</f>
        <v>Home</v>
      </c>
      <c r="R207" s="25" t="str">
        <f t="shared" si="4"/>
        <v>Commercial-Home</v>
      </c>
      <c r="S207" s="52">
        <v>0.5</v>
      </c>
      <c r="T207" s="52">
        <v>0.1</v>
      </c>
      <c r="U207" s="43">
        <v>1</v>
      </c>
      <c r="V207" s="43"/>
      <c r="W207" s="52"/>
      <c r="X207" s="52"/>
      <c r="Y207" s="53" t="s">
        <v>158</v>
      </c>
      <c r="Z207" s="54">
        <v>0</v>
      </c>
      <c r="AA207" s="25">
        <f>VLOOKUP(F207,'Zones '!$A$2:$F$2056,6,FALSE)</f>
        <v>1397</v>
      </c>
      <c r="AB207" s="25">
        <f>VLOOKUP(L207,'Zones '!$A$2:$F$2056,6,FALSE)</f>
        <v>1397</v>
      </c>
    </row>
    <row r="208" spans="2:28">
      <c r="B208" s="40">
        <v>0.53125</v>
      </c>
      <c r="C208" s="40" t="s">
        <v>356</v>
      </c>
      <c r="D208" s="41">
        <v>2</v>
      </c>
      <c r="E208" s="42">
        <v>4</v>
      </c>
      <c r="F208" s="42" t="s">
        <v>339</v>
      </c>
      <c r="G208" s="43" t="s">
        <v>187</v>
      </c>
      <c r="H208" s="42" t="s">
        <v>157</v>
      </c>
      <c r="I208" s="43">
        <v>12</v>
      </c>
      <c r="J208" s="43">
        <v>4</v>
      </c>
      <c r="K208" s="25" t="str">
        <f>VLOOKUP(J208,Key!$E$2:$F$9,2,FALSE)</f>
        <v>Commercial</v>
      </c>
      <c r="L208" s="42" t="s">
        <v>155</v>
      </c>
      <c r="M208" s="43" t="s">
        <v>156</v>
      </c>
      <c r="N208" s="42" t="s">
        <v>157</v>
      </c>
      <c r="O208" s="43">
        <v>1</v>
      </c>
      <c r="P208" s="43">
        <v>1</v>
      </c>
      <c r="Q208" s="25" t="str">
        <f>VLOOKUP(P208,Key!$E$2:$F$9,2,FALSE)</f>
        <v>Home</v>
      </c>
      <c r="R208" s="25" t="str">
        <f t="shared" si="4"/>
        <v>Commercial-Home</v>
      </c>
      <c r="S208" s="52">
        <v>2</v>
      </c>
      <c r="T208" s="52">
        <v>0.7</v>
      </c>
      <c r="U208" s="43">
        <v>1</v>
      </c>
      <c r="V208" s="43"/>
      <c r="W208" s="52"/>
      <c r="X208" s="52"/>
      <c r="Y208" s="53" t="s">
        <v>158</v>
      </c>
      <c r="Z208" s="54">
        <v>1000</v>
      </c>
      <c r="AA208" s="25">
        <f>VLOOKUP(F208,'Zones '!$A$2:$F$2056,6,FALSE)</f>
        <v>517</v>
      </c>
      <c r="AB208" s="25">
        <f>VLOOKUP(L208,'Zones '!$A$2:$F$2056,6,FALSE)</f>
        <v>1397</v>
      </c>
    </row>
    <row r="209" spans="2:28">
      <c r="B209" s="40">
        <v>0.53263888888888888</v>
      </c>
      <c r="C209" s="40" t="s">
        <v>357</v>
      </c>
      <c r="D209" s="41">
        <v>2</v>
      </c>
      <c r="E209" s="42">
        <v>2</v>
      </c>
      <c r="F209" s="42" t="s">
        <v>339</v>
      </c>
      <c r="G209" s="43" t="s">
        <v>187</v>
      </c>
      <c r="H209" s="42" t="s">
        <v>157</v>
      </c>
      <c r="I209" s="43">
        <v>7</v>
      </c>
      <c r="J209" s="43">
        <v>4</v>
      </c>
      <c r="K209" s="25" t="str">
        <f>VLOOKUP(J209,Key!$E$2:$F$9,2,FALSE)</f>
        <v>Commercial</v>
      </c>
      <c r="L209" s="42" t="s">
        <v>150</v>
      </c>
      <c r="M209" s="43" t="s">
        <v>156</v>
      </c>
      <c r="N209" s="42" t="s">
        <v>157</v>
      </c>
      <c r="O209" s="43">
        <v>1</v>
      </c>
      <c r="P209" s="43">
        <v>1</v>
      </c>
      <c r="Q209" s="25" t="str">
        <f>VLOOKUP(P209,Key!$E$2:$F$9,2,FALSE)</f>
        <v>Home</v>
      </c>
      <c r="R209" s="25" t="str">
        <f t="shared" si="4"/>
        <v>Commercial-Home</v>
      </c>
      <c r="S209" s="52">
        <v>10</v>
      </c>
      <c r="T209" s="52">
        <v>0.7</v>
      </c>
      <c r="U209" s="43">
        <v>1</v>
      </c>
      <c r="V209" s="43"/>
      <c r="W209" s="52"/>
      <c r="X209" s="52"/>
      <c r="Y209" s="53" t="s">
        <v>158</v>
      </c>
      <c r="Z209" s="54">
        <v>1000</v>
      </c>
      <c r="AA209" s="25">
        <f>VLOOKUP(F209,'Zones '!$A$2:$F$2056,6,FALSE)</f>
        <v>517</v>
      </c>
      <c r="AB209" s="25">
        <f>VLOOKUP(L209,'Zones '!$A$2:$F$2056,6,FALSE)</f>
        <v>1397</v>
      </c>
    </row>
    <row r="210" spans="2:28">
      <c r="B210" s="40">
        <v>0.53472222222222221</v>
      </c>
      <c r="C210" s="40" t="s">
        <v>358</v>
      </c>
      <c r="D210" s="41">
        <v>1</v>
      </c>
      <c r="E210" s="42">
        <v>1</v>
      </c>
      <c r="F210" s="42" t="s">
        <v>247</v>
      </c>
      <c r="G210" s="43" t="s">
        <v>187</v>
      </c>
      <c r="H210" s="42" t="s">
        <v>157</v>
      </c>
      <c r="I210" s="43">
        <v>7</v>
      </c>
      <c r="J210" s="43">
        <v>4</v>
      </c>
      <c r="K210" s="25" t="str">
        <f>VLOOKUP(J210,Key!$E$2:$F$9,2,FALSE)</f>
        <v>Commercial</v>
      </c>
      <c r="L210" s="42" t="s">
        <v>150</v>
      </c>
      <c r="M210" s="43" t="s">
        <v>156</v>
      </c>
      <c r="N210" s="42" t="s">
        <v>157</v>
      </c>
      <c r="O210" s="43">
        <v>1</v>
      </c>
      <c r="P210" s="43">
        <v>1</v>
      </c>
      <c r="Q210" s="25" t="str">
        <f>VLOOKUP(P210,Key!$E$2:$F$9,2,FALSE)</f>
        <v>Home</v>
      </c>
      <c r="R210" s="25" t="str">
        <f t="shared" si="4"/>
        <v>Commercial-Home</v>
      </c>
      <c r="S210" s="52">
        <v>20</v>
      </c>
      <c r="T210" s="52">
        <v>1</v>
      </c>
      <c r="U210" s="43">
        <v>1</v>
      </c>
      <c r="V210" s="43"/>
      <c r="W210" s="52"/>
      <c r="X210" s="52"/>
      <c r="Y210" s="53" t="s">
        <v>158</v>
      </c>
      <c r="Z210" s="54">
        <v>0</v>
      </c>
      <c r="AA210" s="25">
        <f>VLOOKUP(F210,'Zones '!$A$2:$F$2056,6,FALSE)</f>
        <v>572</v>
      </c>
      <c r="AB210" s="25">
        <f>VLOOKUP(L210,'Zones '!$A$2:$F$2056,6,FALSE)</f>
        <v>1397</v>
      </c>
    </row>
    <row r="211" spans="2:28">
      <c r="B211" s="40">
        <v>0.54166666666666663</v>
      </c>
      <c r="C211" s="40" t="s">
        <v>359</v>
      </c>
      <c r="D211" s="41">
        <v>2</v>
      </c>
      <c r="E211" s="42">
        <v>4</v>
      </c>
      <c r="F211" s="42" t="s">
        <v>150</v>
      </c>
      <c r="G211" s="43" t="s">
        <v>156</v>
      </c>
      <c r="H211" s="42" t="s">
        <v>157</v>
      </c>
      <c r="I211" s="43">
        <v>1</v>
      </c>
      <c r="J211" s="43">
        <v>1</v>
      </c>
      <c r="K211" s="25" t="str">
        <f>VLOOKUP(J211,Key!$E$2:$F$9,2,FALSE)</f>
        <v>Home</v>
      </c>
      <c r="L211" s="42" t="s">
        <v>207</v>
      </c>
      <c r="M211" s="43" t="s">
        <v>156</v>
      </c>
      <c r="N211" s="42" t="s">
        <v>157</v>
      </c>
      <c r="O211" s="43">
        <v>2</v>
      </c>
      <c r="P211" s="43">
        <v>2</v>
      </c>
      <c r="Q211" s="25" t="str">
        <f>VLOOKUP(P211,Key!$E$2:$F$9,2,FALSE)</f>
        <v>Work</v>
      </c>
      <c r="R211" s="25" t="str">
        <f t="shared" si="4"/>
        <v>Home-Work</v>
      </c>
      <c r="S211" s="52">
        <v>10</v>
      </c>
      <c r="T211" s="52">
        <v>0.5</v>
      </c>
      <c r="U211" s="43">
        <v>1</v>
      </c>
      <c r="V211" s="43"/>
      <c r="W211" s="52"/>
      <c r="X211" s="52"/>
      <c r="Y211" s="53" t="s">
        <v>158</v>
      </c>
      <c r="Z211" s="54">
        <v>1000</v>
      </c>
      <c r="AA211" s="25">
        <f>VLOOKUP(F211,'Zones '!$A$2:$F$2056,6,FALSE)</f>
        <v>1397</v>
      </c>
      <c r="AB211" s="25">
        <f>VLOOKUP(L211,'Zones '!$A$2:$F$2056,6,FALSE)</f>
        <v>1397</v>
      </c>
    </row>
    <row r="212" spans="2:28">
      <c r="B212" s="40">
        <v>0.53819444444444442</v>
      </c>
      <c r="C212" s="40" t="s">
        <v>360</v>
      </c>
      <c r="D212" s="41">
        <v>1</v>
      </c>
      <c r="E212" s="42">
        <v>2</v>
      </c>
      <c r="F212" s="42" t="s">
        <v>187</v>
      </c>
      <c r="G212" s="43" t="s">
        <v>187</v>
      </c>
      <c r="H212" s="42" t="s">
        <v>157</v>
      </c>
      <c r="I212" s="43">
        <v>2</v>
      </c>
      <c r="J212" s="43">
        <v>2</v>
      </c>
      <c r="K212" s="25" t="str">
        <f>VLOOKUP(J212,Key!$E$2:$F$9,2,FALSE)</f>
        <v>Work</v>
      </c>
      <c r="L212" s="42" t="s">
        <v>160</v>
      </c>
      <c r="M212" s="43" t="s">
        <v>156</v>
      </c>
      <c r="N212" s="42" t="s">
        <v>157</v>
      </c>
      <c r="O212" s="43">
        <v>2</v>
      </c>
      <c r="P212" s="43">
        <v>2</v>
      </c>
      <c r="Q212" s="25" t="str">
        <f>VLOOKUP(P212,Key!$E$2:$F$9,2,FALSE)</f>
        <v>Work</v>
      </c>
      <c r="R212" s="25" t="str">
        <f t="shared" si="4"/>
        <v>Work-Work</v>
      </c>
      <c r="S212" s="52">
        <v>10</v>
      </c>
      <c r="T212" s="52">
        <v>0.1</v>
      </c>
      <c r="U212" s="43">
        <v>3</v>
      </c>
      <c r="V212" s="43"/>
      <c r="W212" s="52"/>
      <c r="X212" s="52"/>
      <c r="Y212" s="53" t="s">
        <v>158</v>
      </c>
      <c r="Z212" s="54">
        <v>0</v>
      </c>
      <c r="AA212" s="25">
        <f>VLOOKUP(F212,'Zones '!$A$2:$F$2056,6,FALSE)</f>
        <v>521</v>
      </c>
      <c r="AB212" s="25">
        <f>VLOOKUP(L212,'Zones '!$A$2:$F$2056,6,FALSE)</f>
        <v>589</v>
      </c>
    </row>
    <row r="213" spans="2:28">
      <c r="B213" s="40">
        <v>0.54513888888888895</v>
      </c>
      <c r="C213" s="40" t="s">
        <v>361</v>
      </c>
      <c r="D213" s="41">
        <v>7</v>
      </c>
      <c r="E213" s="42">
        <v>3</v>
      </c>
      <c r="F213" s="42" t="s">
        <v>150</v>
      </c>
      <c r="G213" s="43" t="s">
        <v>156</v>
      </c>
      <c r="H213" s="42" t="s">
        <v>157</v>
      </c>
      <c r="I213" s="43">
        <v>12</v>
      </c>
      <c r="J213" s="43">
        <v>2</v>
      </c>
      <c r="K213" s="25" t="str">
        <f>VLOOKUP(J213,Key!$E$2:$F$9,2,FALSE)</f>
        <v>Work</v>
      </c>
      <c r="L213" s="42" t="s">
        <v>155</v>
      </c>
      <c r="M213" s="43" t="s">
        <v>156</v>
      </c>
      <c r="N213" s="42" t="s">
        <v>157</v>
      </c>
      <c r="O213" s="43">
        <v>10</v>
      </c>
      <c r="P213" s="43">
        <v>4</v>
      </c>
      <c r="Q213" s="25" t="str">
        <f>VLOOKUP(P213,Key!$E$2:$F$9,2,FALSE)</f>
        <v>Commercial</v>
      </c>
      <c r="R213" s="25" t="str">
        <f t="shared" si="4"/>
        <v>Work-Commercial</v>
      </c>
      <c r="S213" s="52">
        <v>0.5</v>
      </c>
      <c r="T213" s="52">
        <v>0.1</v>
      </c>
      <c r="U213" s="43">
        <v>3</v>
      </c>
      <c r="V213" s="43">
        <v>4</v>
      </c>
      <c r="W213" s="52">
        <v>1</v>
      </c>
      <c r="X213" s="52">
        <v>8</v>
      </c>
      <c r="Y213" s="53" t="s">
        <v>158</v>
      </c>
      <c r="Z213" s="54">
        <v>1000</v>
      </c>
      <c r="AA213" s="25">
        <f>VLOOKUP(F213,'Zones '!$A$2:$F$2056,6,FALSE)</f>
        <v>1397</v>
      </c>
      <c r="AB213" s="25">
        <f>VLOOKUP(L213,'Zones '!$A$2:$F$2056,6,FALSE)</f>
        <v>1397</v>
      </c>
    </row>
    <row r="214" spans="2:28">
      <c r="B214" s="40">
        <v>0.54861111111111105</v>
      </c>
      <c r="C214" s="40" t="s">
        <v>362</v>
      </c>
      <c r="D214" s="41">
        <v>2</v>
      </c>
      <c r="E214" s="42">
        <v>2</v>
      </c>
      <c r="F214" s="42" t="s">
        <v>162</v>
      </c>
      <c r="G214" s="43" t="s">
        <v>156</v>
      </c>
      <c r="H214" s="42" t="s">
        <v>157</v>
      </c>
      <c r="I214" s="43">
        <v>2</v>
      </c>
      <c r="J214" s="43">
        <v>2</v>
      </c>
      <c r="K214" s="25" t="str">
        <f>VLOOKUP(J214,Key!$E$2:$F$9,2,FALSE)</f>
        <v>Work</v>
      </c>
      <c r="L214" s="42" t="s">
        <v>160</v>
      </c>
      <c r="M214" s="43" t="s">
        <v>156</v>
      </c>
      <c r="N214" s="42" t="s">
        <v>157</v>
      </c>
      <c r="O214" s="43">
        <v>2</v>
      </c>
      <c r="P214" s="43">
        <v>2</v>
      </c>
      <c r="Q214" s="25" t="str">
        <f>VLOOKUP(P214,Key!$E$2:$F$9,2,FALSE)</f>
        <v>Work</v>
      </c>
      <c r="R214" s="25" t="str">
        <f t="shared" si="4"/>
        <v>Work-Work</v>
      </c>
      <c r="S214" s="52">
        <v>4</v>
      </c>
      <c r="T214" s="52">
        <v>0.5</v>
      </c>
      <c r="U214" s="43">
        <v>1</v>
      </c>
      <c r="V214" s="43"/>
      <c r="W214" s="52"/>
      <c r="X214" s="52"/>
      <c r="Y214" s="53" t="s">
        <v>158</v>
      </c>
      <c r="Z214" s="54">
        <v>0</v>
      </c>
      <c r="AA214" s="25">
        <f>VLOOKUP(F214,'Zones '!$A$2:$F$2056,6,FALSE)</f>
        <v>1397</v>
      </c>
      <c r="AB214" s="25">
        <f>VLOOKUP(L214,'Zones '!$A$2:$F$2056,6,FALSE)</f>
        <v>589</v>
      </c>
    </row>
    <row r="215" spans="2:28">
      <c r="B215" s="40">
        <v>0.55208333333333337</v>
      </c>
      <c r="C215" s="40" t="s">
        <v>363</v>
      </c>
      <c r="D215" s="41">
        <v>1</v>
      </c>
      <c r="E215" s="42">
        <v>1</v>
      </c>
      <c r="F215" s="42" t="s">
        <v>162</v>
      </c>
      <c r="G215" s="43" t="s">
        <v>156</v>
      </c>
      <c r="H215" s="42" t="s">
        <v>157</v>
      </c>
      <c r="I215" s="43">
        <v>1</v>
      </c>
      <c r="J215" s="43">
        <v>1</v>
      </c>
      <c r="K215" s="25" t="str">
        <f>VLOOKUP(J215,Key!$E$2:$F$9,2,FALSE)</f>
        <v>Home</v>
      </c>
      <c r="L215" s="42" t="s">
        <v>364</v>
      </c>
      <c r="M215" s="43" t="s">
        <v>156</v>
      </c>
      <c r="N215" s="42" t="s">
        <v>157</v>
      </c>
      <c r="O215" s="43">
        <v>2</v>
      </c>
      <c r="P215" s="43">
        <v>2</v>
      </c>
      <c r="Q215" s="25" t="str">
        <f>VLOOKUP(P215,Key!$E$2:$F$9,2,FALSE)</f>
        <v>Work</v>
      </c>
      <c r="R215" s="25" t="str">
        <f t="shared" si="4"/>
        <v>Home-Work</v>
      </c>
      <c r="S215" s="52">
        <v>10</v>
      </c>
      <c r="T215" s="52">
        <v>1</v>
      </c>
      <c r="U215" s="43">
        <v>3</v>
      </c>
      <c r="V215" s="43"/>
      <c r="W215" s="52"/>
      <c r="X215" s="52"/>
      <c r="Y215" s="53" t="s">
        <v>158</v>
      </c>
      <c r="Z215" s="54">
        <v>3000</v>
      </c>
      <c r="AA215" s="25">
        <f>VLOOKUP(F215,'Zones '!$A$2:$F$2056,6,FALSE)</f>
        <v>1397</v>
      </c>
      <c r="AB215" s="25">
        <f>VLOOKUP(L215,'Zones '!$A$2:$F$2056,6,FALSE)</f>
        <v>1388</v>
      </c>
    </row>
    <row r="216" spans="2:28">
      <c r="B216" s="40">
        <v>0.54999999999999993</v>
      </c>
      <c r="C216" s="40" t="s">
        <v>365</v>
      </c>
      <c r="D216" s="41">
        <v>4</v>
      </c>
      <c r="E216" s="42">
        <v>2</v>
      </c>
      <c r="F216" s="42" t="s">
        <v>150</v>
      </c>
      <c r="G216" s="43" t="s">
        <v>156</v>
      </c>
      <c r="H216" s="42" t="s">
        <v>157</v>
      </c>
      <c r="I216" s="43">
        <v>16</v>
      </c>
      <c r="J216" s="43">
        <v>2</v>
      </c>
      <c r="K216" s="25" t="str">
        <f>VLOOKUP(J216,Key!$E$2:$F$9,2,FALSE)</f>
        <v>Work</v>
      </c>
      <c r="L216" s="42" t="s">
        <v>207</v>
      </c>
      <c r="M216" s="43" t="s">
        <v>156</v>
      </c>
      <c r="N216" s="42" t="s">
        <v>157</v>
      </c>
      <c r="O216" s="43">
        <v>6</v>
      </c>
      <c r="P216" s="43">
        <v>4</v>
      </c>
      <c r="Q216" s="25" t="str">
        <f>VLOOKUP(P216,Key!$E$2:$F$9,2,FALSE)</f>
        <v>Commercial</v>
      </c>
      <c r="R216" s="25" t="str">
        <f t="shared" si="4"/>
        <v>Work-Commercial</v>
      </c>
      <c r="S216" s="52">
        <v>6</v>
      </c>
      <c r="T216" s="52">
        <v>0.3</v>
      </c>
      <c r="U216" s="43">
        <v>1</v>
      </c>
      <c r="V216" s="43"/>
      <c r="W216" s="52"/>
      <c r="X216" s="52"/>
      <c r="Y216" s="53" t="s">
        <v>158</v>
      </c>
      <c r="Z216" s="54">
        <v>0</v>
      </c>
      <c r="AA216" s="25">
        <f>VLOOKUP(F216,'Zones '!$A$2:$F$2056,6,FALSE)</f>
        <v>1397</v>
      </c>
      <c r="AB216" s="25">
        <f>VLOOKUP(L216,'Zones '!$A$2:$F$2056,6,FALSE)</f>
        <v>1397</v>
      </c>
    </row>
    <row r="217" spans="2:28">
      <c r="B217" s="40">
        <v>0.55486111111111114</v>
      </c>
      <c r="C217" s="40" t="s">
        <v>366</v>
      </c>
      <c r="D217" s="41">
        <v>4</v>
      </c>
      <c r="E217" s="42">
        <v>3</v>
      </c>
      <c r="F217" s="42" t="s">
        <v>150</v>
      </c>
      <c r="G217" s="43" t="s">
        <v>156</v>
      </c>
      <c r="H217" s="42" t="s">
        <v>157</v>
      </c>
      <c r="I217" s="43">
        <v>16</v>
      </c>
      <c r="J217" s="43">
        <v>2</v>
      </c>
      <c r="K217" s="25" t="str">
        <f>VLOOKUP(J217,Key!$E$2:$F$9,2,FALSE)</f>
        <v>Work</v>
      </c>
      <c r="L217" s="42" t="s">
        <v>207</v>
      </c>
      <c r="M217" s="43" t="s">
        <v>156</v>
      </c>
      <c r="N217" s="42" t="s">
        <v>157</v>
      </c>
      <c r="O217" s="43">
        <v>6</v>
      </c>
      <c r="P217" s="43">
        <v>2</v>
      </c>
      <c r="Q217" s="25" t="str">
        <f>VLOOKUP(P217,Key!$E$2:$F$9,2,FALSE)</f>
        <v>Work</v>
      </c>
      <c r="R217" s="25" t="str">
        <f t="shared" si="4"/>
        <v>Work-Work</v>
      </c>
      <c r="S217" s="52">
        <v>6</v>
      </c>
      <c r="T217" s="52">
        <v>0.2</v>
      </c>
      <c r="U217" s="52">
        <v>1</v>
      </c>
      <c r="V217" s="43"/>
      <c r="W217" s="52"/>
      <c r="X217" s="52"/>
      <c r="Y217" s="53" t="s">
        <v>158</v>
      </c>
      <c r="Z217" s="54">
        <v>0</v>
      </c>
      <c r="AA217" s="25">
        <f>VLOOKUP(F217,'Zones '!$A$2:$F$2056,6,FALSE)</f>
        <v>1397</v>
      </c>
      <c r="AB217" s="25">
        <f>VLOOKUP(L217,'Zones '!$A$2:$F$2056,6,FALSE)</f>
        <v>1397</v>
      </c>
    </row>
    <row r="218" spans="2:28">
      <c r="B218" s="40">
        <v>0.55763888888888891</v>
      </c>
      <c r="C218" s="40" t="s">
        <v>367</v>
      </c>
      <c r="D218" s="44">
        <v>1</v>
      </c>
      <c r="E218" s="42">
        <v>2</v>
      </c>
      <c r="F218" s="42" t="s">
        <v>339</v>
      </c>
      <c r="G218" s="43" t="s">
        <v>187</v>
      </c>
      <c r="H218" s="42" t="s">
        <v>157</v>
      </c>
      <c r="I218" s="43">
        <v>2</v>
      </c>
      <c r="J218" s="43">
        <v>2</v>
      </c>
      <c r="K218" s="25" t="str">
        <f>VLOOKUP(J218,Key!$E$2:$F$9,2,FALSE)</f>
        <v>Work</v>
      </c>
      <c r="L218" s="42" t="s">
        <v>155</v>
      </c>
      <c r="M218" s="43" t="s">
        <v>156</v>
      </c>
      <c r="N218" s="42" t="s">
        <v>157</v>
      </c>
      <c r="O218" s="51">
        <v>2</v>
      </c>
      <c r="P218" s="51">
        <v>2</v>
      </c>
      <c r="Q218" s="25" t="str">
        <f>VLOOKUP(P218,Key!$E$2:$F$9,2,FALSE)</f>
        <v>Work</v>
      </c>
      <c r="R218" s="25" t="str">
        <f t="shared" si="4"/>
        <v>Work-Work</v>
      </c>
      <c r="S218" s="52">
        <v>10</v>
      </c>
      <c r="T218" s="52">
        <v>0.7</v>
      </c>
      <c r="U218" s="52">
        <v>3</v>
      </c>
      <c r="V218" s="51"/>
      <c r="W218" s="51"/>
      <c r="X218" s="51"/>
      <c r="Y218" s="53" t="s">
        <v>158</v>
      </c>
      <c r="Z218" s="54">
        <v>2000</v>
      </c>
      <c r="AA218" s="25">
        <f>VLOOKUP(F218,'Zones '!$A$2:$F$2056,6,FALSE)</f>
        <v>517</v>
      </c>
      <c r="AB218" s="25">
        <f>VLOOKUP(L218,'Zones '!$A$2:$F$2056,6,FALSE)</f>
        <v>1397</v>
      </c>
    </row>
    <row r="219" spans="2:28">
      <c r="B219" s="40">
        <v>0.55902777777777779</v>
      </c>
      <c r="C219" s="40" t="s">
        <v>368</v>
      </c>
      <c r="D219" s="45">
        <v>1</v>
      </c>
      <c r="E219" s="42">
        <v>1</v>
      </c>
      <c r="F219" s="42" t="s">
        <v>162</v>
      </c>
      <c r="G219" s="43" t="s">
        <v>156</v>
      </c>
      <c r="H219" s="42" t="s">
        <v>157</v>
      </c>
      <c r="I219" s="43">
        <v>2</v>
      </c>
      <c r="J219" s="43">
        <v>2</v>
      </c>
      <c r="K219" s="25" t="str">
        <f>VLOOKUP(J219,Key!$E$2:$F$9,2,FALSE)</f>
        <v>Work</v>
      </c>
      <c r="L219" s="42" t="s">
        <v>160</v>
      </c>
      <c r="M219" s="43" t="s">
        <v>156</v>
      </c>
      <c r="N219" s="42" t="s">
        <v>157</v>
      </c>
      <c r="O219" s="51">
        <v>4</v>
      </c>
      <c r="P219" s="51">
        <v>4</v>
      </c>
      <c r="Q219" s="25" t="str">
        <f>VLOOKUP(P219,Key!$E$2:$F$9,2,FALSE)</f>
        <v>Commercial</v>
      </c>
      <c r="R219" s="25" t="str">
        <f t="shared" si="4"/>
        <v>Work-Commercial</v>
      </c>
      <c r="S219" s="52">
        <v>3</v>
      </c>
      <c r="T219" s="52">
        <v>1</v>
      </c>
      <c r="U219" s="52">
        <v>1</v>
      </c>
      <c r="V219" s="51"/>
      <c r="W219" s="51"/>
      <c r="X219" s="51"/>
      <c r="Y219" s="53" t="s">
        <v>158</v>
      </c>
      <c r="Z219" s="54">
        <v>0</v>
      </c>
      <c r="AA219" s="25">
        <f>VLOOKUP(F219,'Zones '!$A$2:$F$2056,6,FALSE)</f>
        <v>1397</v>
      </c>
      <c r="AB219" s="25">
        <f>VLOOKUP(L219,'Zones '!$A$2:$F$2056,6,FALSE)</f>
        <v>589</v>
      </c>
    </row>
    <row r="220" spans="2:28">
      <c r="B220" s="40">
        <v>0.5625</v>
      </c>
      <c r="C220" s="40" t="s">
        <v>369</v>
      </c>
      <c r="D220" s="45">
        <v>2</v>
      </c>
      <c r="E220" s="42">
        <v>1</v>
      </c>
      <c r="F220" s="42" t="s">
        <v>162</v>
      </c>
      <c r="G220" s="43" t="s">
        <v>156</v>
      </c>
      <c r="H220" s="42" t="s">
        <v>157</v>
      </c>
      <c r="I220" s="43">
        <v>2</v>
      </c>
      <c r="J220" s="43">
        <v>2</v>
      </c>
      <c r="K220" s="25" t="str">
        <f>VLOOKUP(J220,Key!$E$2:$F$9,2,FALSE)</f>
        <v>Work</v>
      </c>
      <c r="L220" s="42" t="s">
        <v>160</v>
      </c>
      <c r="M220" s="43" t="s">
        <v>156</v>
      </c>
      <c r="N220" s="42" t="s">
        <v>157</v>
      </c>
      <c r="O220" s="51">
        <v>2</v>
      </c>
      <c r="P220" s="51">
        <v>2</v>
      </c>
      <c r="Q220" s="25" t="str">
        <f>VLOOKUP(P220,Key!$E$2:$F$9,2,FALSE)</f>
        <v>Work</v>
      </c>
      <c r="R220" s="25" t="str">
        <f t="shared" si="4"/>
        <v>Work-Work</v>
      </c>
      <c r="S220" s="52">
        <v>4</v>
      </c>
      <c r="T220" s="52">
        <v>1</v>
      </c>
      <c r="U220" s="52">
        <v>1</v>
      </c>
      <c r="V220" s="51"/>
      <c r="W220" s="51"/>
      <c r="X220" s="51"/>
      <c r="Y220" s="53" t="s">
        <v>158</v>
      </c>
      <c r="Z220" s="54">
        <v>2000</v>
      </c>
      <c r="AA220" s="25">
        <f>VLOOKUP(F220,'Zones '!$A$2:$F$2056,6,FALSE)</f>
        <v>1397</v>
      </c>
      <c r="AB220" s="25">
        <f>VLOOKUP(L220,'Zones '!$A$2:$F$2056,6,FALSE)</f>
        <v>589</v>
      </c>
    </row>
    <row r="221" spans="2:28">
      <c r="B221" s="40">
        <v>0.56944444444444442</v>
      </c>
      <c r="C221" s="40" t="s">
        <v>370</v>
      </c>
      <c r="D221" s="44">
        <v>7</v>
      </c>
      <c r="E221" s="45">
        <v>1</v>
      </c>
      <c r="F221" s="42" t="s">
        <v>352</v>
      </c>
      <c r="G221" s="43" t="s">
        <v>156</v>
      </c>
      <c r="H221" s="42" t="s">
        <v>157</v>
      </c>
      <c r="I221" s="43">
        <v>2</v>
      </c>
      <c r="J221" s="43">
        <v>2</v>
      </c>
      <c r="K221" s="25" t="str">
        <f>VLOOKUP(J221,Key!$E$2:$F$9,2,FALSE)</f>
        <v>Work</v>
      </c>
      <c r="L221" s="42" t="s">
        <v>150</v>
      </c>
      <c r="M221" s="43" t="s">
        <v>156</v>
      </c>
      <c r="N221" s="42" t="s">
        <v>157</v>
      </c>
      <c r="O221" s="51">
        <v>16</v>
      </c>
      <c r="P221" s="51">
        <v>6</v>
      </c>
      <c r="Q221" s="25" t="str">
        <f>VLOOKUP(P221,Key!$E$2:$F$9,2,FALSE)</f>
        <v>Leisure/Social</v>
      </c>
      <c r="R221" s="25" t="str">
        <f t="shared" si="4"/>
        <v>Work-Leisure/Social</v>
      </c>
      <c r="S221" s="52">
        <v>3</v>
      </c>
      <c r="T221" s="52">
        <v>0.1</v>
      </c>
      <c r="U221" s="52">
        <v>1</v>
      </c>
      <c r="V221" s="51">
        <v>11</v>
      </c>
      <c r="W221" s="51"/>
      <c r="X221" s="51"/>
      <c r="Y221" s="53" t="s">
        <v>158</v>
      </c>
      <c r="Z221" s="54">
        <v>0</v>
      </c>
      <c r="AA221" s="25">
        <f>VLOOKUP(F221,'Zones '!$A$2:$F$2056,6,FALSE)</f>
        <v>1397</v>
      </c>
      <c r="AB221" s="25">
        <f>VLOOKUP(L221,'Zones '!$A$2:$F$2056,6,FALSE)</f>
        <v>1397</v>
      </c>
    </row>
    <row r="222" spans="2:28">
      <c r="B222" s="40">
        <v>0.57291666666666663</v>
      </c>
      <c r="C222" s="40" t="s">
        <v>371</v>
      </c>
      <c r="D222" s="44">
        <v>1</v>
      </c>
      <c r="E222" s="45">
        <v>2</v>
      </c>
      <c r="F222" s="42" t="s">
        <v>150</v>
      </c>
      <c r="G222" s="43" t="s">
        <v>156</v>
      </c>
      <c r="H222" s="42" t="s">
        <v>157</v>
      </c>
      <c r="I222" s="43">
        <v>6</v>
      </c>
      <c r="J222" s="43">
        <v>2</v>
      </c>
      <c r="K222" s="25" t="str">
        <f>VLOOKUP(J222,Key!$E$2:$F$9,2,FALSE)</f>
        <v>Work</v>
      </c>
      <c r="L222" s="42" t="s">
        <v>150</v>
      </c>
      <c r="M222" s="43" t="s">
        <v>156</v>
      </c>
      <c r="N222" s="42" t="s">
        <v>157</v>
      </c>
      <c r="O222" s="51">
        <v>1</v>
      </c>
      <c r="P222" s="51">
        <v>1</v>
      </c>
      <c r="Q222" s="25" t="str">
        <f>VLOOKUP(P222,Key!$E$2:$F$9,2,FALSE)</f>
        <v>Home</v>
      </c>
      <c r="R222" s="25" t="str">
        <f t="shared" si="4"/>
        <v>Work-Home</v>
      </c>
      <c r="S222" s="52">
        <v>0.5</v>
      </c>
      <c r="T222" s="52">
        <v>0.1</v>
      </c>
      <c r="U222" s="52"/>
      <c r="V222" s="51"/>
      <c r="W222" s="51"/>
      <c r="X222" s="51"/>
      <c r="Y222" s="53" t="s">
        <v>158</v>
      </c>
      <c r="Z222" s="54">
        <v>0</v>
      </c>
      <c r="AA222" s="25">
        <f>VLOOKUP(F222,'Zones '!$A$2:$F$2056,6,FALSE)</f>
        <v>1397</v>
      </c>
      <c r="AB222" s="25">
        <f>VLOOKUP(L222,'Zones '!$A$2:$F$2056,6,FALSE)</f>
        <v>1397</v>
      </c>
    </row>
    <row r="223" spans="2:28">
      <c r="B223" s="40">
        <v>0.57638888888888895</v>
      </c>
      <c r="C223" s="40" t="s">
        <v>372</v>
      </c>
      <c r="D223" s="45">
        <v>2</v>
      </c>
      <c r="E223" s="45">
        <v>3</v>
      </c>
      <c r="F223" s="42" t="s">
        <v>150</v>
      </c>
      <c r="G223" s="43" t="s">
        <v>156</v>
      </c>
      <c r="H223" s="42" t="s">
        <v>157</v>
      </c>
      <c r="I223" s="43">
        <v>11</v>
      </c>
      <c r="J223" s="43">
        <v>4</v>
      </c>
      <c r="K223" s="25" t="str">
        <f>VLOOKUP(J223,Key!$E$2:$F$9,2,FALSE)</f>
        <v>Commercial</v>
      </c>
      <c r="L223" s="42" t="s">
        <v>155</v>
      </c>
      <c r="M223" s="43" t="s">
        <v>156</v>
      </c>
      <c r="N223" s="42" t="s">
        <v>157</v>
      </c>
      <c r="O223" s="51">
        <v>1</v>
      </c>
      <c r="P223" s="51">
        <v>1</v>
      </c>
      <c r="Q223" s="25" t="str">
        <f>VLOOKUP(P223,Key!$E$2:$F$9,2,FALSE)</f>
        <v>Home</v>
      </c>
      <c r="R223" s="25" t="str">
        <f t="shared" si="4"/>
        <v>Commercial-Home</v>
      </c>
      <c r="S223" s="52">
        <v>1</v>
      </c>
      <c r="T223" s="52">
        <v>0.1</v>
      </c>
      <c r="U223" s="52">
        <v>1</v>
      </c>
      <c r="V223" s="51"/>
      <c r="W223" s="51"/>
      <c r="X223" s="51"/>
      <c r="Y223" s="53" t="s">
        <v>158</v>
      </c>
      <c r="Z223" s="54">
        <v>5000</v>
      </c>
      <c r="AA223" s="25">
        <f>VLOOKUP(F223,'Zones '!$A$2:$F$2056,6,FALSE)</f>
        <v>1397</v>
      </c>
      <c r="AB223" s="25">
        <f>VLOOKUP(L223,'Zones '!$A$2:$F$2056,6,FALSE)</f>
        <v>1397</v>
      </c>
    </row>
    <row r="224" spans="2:28">
      <c r="B224" s="40">
        <v>0.57777777777777783</v>
      </c>
      <c r="C224" s="40" t="s">
        <v>373</v>
      </c>
      <c r="D224" s="44">
        <v>7</v>
      </c>
      <c r="E224" s="45">
        <v>2</v>
      </c>
      <c r="F224" s="42" t="s">
        <v>150</v>
      </c>
      <c r="G224" s="43" t="s">
        <v>156</v>
      </c>
      <c r="H224" s="42" t="s">
        <v>157</v>
      </c>
      <c r="I224" s="43">
        <v>2</v>
      </c>
      <c r="J224" s="43">
        <v>2</v>
      </c>
      <c r="K224" s="25" t="str">
        <f>VLOOKUP(J224,Key!$E$2:$F$9,2,FALSE)</f>
        <v>Work</v>
      </c>
      <c r="L224" s="42" t="s">
        <v>155</v>
      </c>
      <c r="M224" s="43" t="s">
        <v>156</v>
      </c>
      <c r="N224" s="42" t="s">
        <v>157</v>
      </c>
      <c r="O224" s="51">
        <v>1</v>
      </c>
      <c r="P224" s="51">
        <v>1</v>
      </c>
      <c r="Q224" s="25" t="str">
        <f>VLOOKUP(P224,Key!$E$2:$F$9,2,FALSE)</f>
        <v>Home</v>
      </c>
      <c r="R224" s="25" t="str">
        <f t="shared" si="4"/>
        <v>Work-Home</v>
      </c>
      <c r="S224" s="52">
        <v>3</v>
      </c>
      <c r="T224" s="52">
        <v>0.5</v>
      </c>
      <c r="U224" s="52">
        <v>1</v>
      </c>
      <c r="V224" s="51">
        <v>11</v>
      </c>
      <c r="W224" s="51"/>
      <c r="X224" s="51"/>
      <c r="Y224" s="53" t="s">
        <v>158</v>
      </c>
      <c r="Z224" s="54">
        <v>0</v>
      </c>
      <c r="AA224" s="25">
        <f>VLOOKUP(F224,'Zones '!$A$2:$F$2056,6,FALSE)</f>
        <v>1397</v>
      </c>
      <c r="AB224" s="25">
        <f>VLOOKUP(L224,'Zones '!$A$2:$F$2056,6,FALSE)</f>
        <v>1397</v>
      </c>
    </row>
    <row r="225" spans="2:28">
      <c r="B225" s="40">
        <v>0.6118055555555556</v>
      </c>
      <c r="C225" s="40" t="s">
        <v>374</v>
      </c>
      <c r="D225" s="45">
        <v>1</v>
      </c>
      <c r="E225" s="42">
        <v>1</v>
      </c>
      <c r="F225" s="42" t="s">
        <v>162</v>
      </c>
      <c r="G225" s="43" t="s">
        <v>156</v>
      </c>
      <c r="H225" s="42" t="s">
        <v>157</v>
      </c>
      <c r="I225" s="43">
        <v>2</v>
      </c>
      <c r="J225" s="43">
        <v>2</v>
      </c>
      <c r="K225" s="25" t="str">
        <f>VLOOKUP(J225,Key!$E$2:$F$9,2,FALSE)</f>
        <v>Work</v>
      </c>
      <c r="L225" s="41" t="s">
        <v>364</v>
      </c>
      <c r="M225" s="43" t="s">
        <v>156</v>
      </c>
      <c r="N225" s="42" t="s">
        <v>157</v>
      </c>
      <c r="O225" s="51">
        <v>16</v>
      </c>
      <c r="P225" s="51">
        <v>6</v>
      </c>
      <c r="Q225" s="25" t="str">
        <f>VLOOKUP(P225,Key!$E$2:$F$9,2,FALSE)</f>
        <v>Leisure/Social</v>
      </c>
      <c r="R225" s="25" t="str">
        <f t="shared" si="4"/>
        <v>Work-Leisure/Social</v>
      </c>
      <c r="S225" s="52">
        <v>8</v>
      </c>
      <c r="T225" s="52">
        <v>0.3</v>
      </c>
      <c r="U225" s="52">
        <v>3</v>
      </c>
      <c r="V225" s="51"/>
      <c r="W225" s="51"/>
      <c r="X225" s="51"/>
      <c r="Y225" s="53" t="s">
        <v>158</v>
      </c>
      <c r="Z225" s="54">
        <v>0</v>
      </c>
      <c r="AA225" s="25">
        <f>VLOOKUP(F225,'Zones '!$A$2:$F$2056,6,FALSE)</f>
        <v>1397</v>
      </c>
      <c r="AB225" s="25">
        <f>VLOOKUP(L225,'Zones '!$A$2:$F$2056,6,FALSE)</f>
        <v>1388</v>
      </c>
    </row>
    <row r="226" spans="2:28">
      <c r="B226" s="40">
        <v>0.61458333333333337</v>
      </c>
      <c r="C226" s="40" t="s">
        <v>375</v>
      </c>
      <c r="D226" s="44">
        <v>8</v>
      </c>
      <c r="E226" s="45">
        <v>1</v>
      </c>
      <c r="F226" s="42" t="s">
        <v>344</v>
      </c>
      <c r="G226" s="43" t="s">
        <v>345</v>
      </c>
      <c r="H226" s="42" t="s">
        <v>157</v>
      </c>
      <c r="I226" s="43">
        <v>3</v>
      </c>
      <c r="J226" s="43">
        <v>4</v>
      </c>
      <c r="K226" s="25" t="str">
        <f>VLOOKUP(J226,Key!$E$2:$F$9,2,FALSE)</f>
        <v>Commercial</v>
      </c>
      <c r="L226" s="42" t="s">
        <v>207</v>
      </c>
      <c r="M226" s="43" t="s">
        <v>156</v>
      </c>
      <c r="N226" s="42" t="s">
        <v>157</v>
      </c>
      <c r="O226" s="51">
        <v>10</v>
      </c>
      <c r="P226" s="51">
        <v>4</v>
      </c>
      <c r="Q226" s="25" t="str">
        <f>VLOOKUP(P226,Key!$E$2:$F$9,2,FALSE)</f>
        <v>Commercial</v>
      </c>
      <c r="R226" s="25" t="str">
        <f t="shared" si="4"/>
        <v>Commercial-Commercial</v>
      </c>
      <c r="S226" s="52">
        <v>40</v>
      </c>
      <c r="T226" s="52">
        <v>2.5</v>
      </c>
      <c r="U226" s="52">
        <v>1</v>
      </c>
      <c r="V226" s="51">
        <v>4</v>
      </c>
      <c r="W226" s="51">
        <v>12</v>
      </c>
      <c r="X226" s="51">
        <v>0.1</v>
      </c>
      <c r="Y226" s="53" t="s">
        <v>158</v>
      </c>
      <c r="Z226" s="54">
        <v>0</v>
      </c>
      <c r="AA226" s="25">
        <f>VLOOKUP(F226,'Zones '!$A$2:$F$2056,6,FALSE)</f>
        <v>1034</v>
      </c>
      <c r="AB226" s="25">
        <f>VLOOKUP(L226,'Zones '!$A$2:$F$2056,6,FALSE)</f>
        <v>1397</v>
      </c>
    </row>
    <row r="227" spans="2:28">
      <c r="B227" s="40">
        <v>0.61736111111111114</v>
      </c>
      <c r="C227" s="40" t="s">
        <v>376</v>
      </c>
      <c r="D227" s="45">
        <v>2</v>
      </c>
      <c r="E227" s="45">
        <v>3</v>
      </c>
      <c r="F227" s="42" t="s">
        <v>247</v>
      </c>
      <c r="G227" s="43" t="s">
        <v>187</v>
      </c>
      <c r="H227" s="42" t="s">
        <v>157</v>
      </c>
      <c r="I227" s="43">
        <v>3</v>
      </c>
      <c r="J227" s="43">
        <v>4</v>
      </c>
      <c r="K227" s="25" t="str">
        <f>VLOOKUP(J227,Key!$E$2:$F$9,2,FALSE)</f>
        <v>Commercial</v>
      </c>
      <c r="L227" s="42" t="s">
        <v>150</v>
      </c>
      <c r="M227" s="43" t="s">
        <v>156</v>
      </c>
      <c r="N227" s="42" t="s">
        <v>157</v>
      </c>
      <c r="O227" s="51">
        <v>10</v>
      </c>
      <c r="P227" s="51">
        <v>4</v>
      </c>
      <c r="Q227" s="25" t="str">
        <f>VLOOKUP(P227,Key!$E$2:$F$9,2,FALSE)</f>
        <v>Commercial</v>
      </c>
      <c r="R227" s="25" t="str">
        <f t="shared" si="4"/>
        <v>Commercial-Commercial</v>
      </c>
      <c r="S227" s="52">
        <v>15</v>
      </c>
      <c r="T227" s="52">
        <v>2</v>
      </c>
      <c r="U227" s="52">
        <v>1</v>
      </c>
      <c r="V227" s="51"/>
      <c r="W227" s="51"/>
      <c r="X227" s="51"/>
      <c r="Y227" s="53" t="s">
        <v>158</v>
      </c>
      <c r="Z227" s="54">
        <v>0</v>
      </c>
      <c r="AA227" s="25">
        <f>VLOOKUP(F227,'Zones '!$A$2:$F$2056,6,FALSE)</f>
        <v>572</v>
      </c>
      <c r="AB227" s="25">
        <f>VLOOKUP(L227,'Zones '!$A$2:$F$2056,6,FALSE)</f>
        <v>1397</v>
      </c>
    </row>
    <row r="228" spans="2:28">
      <c r="B228" s="40">
        <v>0.62152777777777779</v>
      </c>
      <c r="C228" s="40" t="s">
        <v>377</v>
      </c>
      <c r="D228" s="44">
        <v>1</v>
      </c>
      <c r="E228" s="42">
        <v>5</v>
      </c>
      <c r="F228" s="42" t="s">
        <v>2928</v>
      </c>
      <c r="G228" s="43" t="s">
        <v>156</v>
      </c>
      <c r="H228" s="42" t="s">
        <v>157</v>
      </c>
      <c r="I228" s="43">
        <v>2</v>
      </c>
      <c r="J228" s="43">
        <v>2</v>
      </c>
      <c r="K228" s="25" t="str">
        <f>VLOOKUP(J228,Key!$E$2:$F$9,2,FALSE)</f>
        <v>Work</v>
      </c>
      <c r="L228" s="42" t="s">
        <v>364</v>
      </c>
      <c r="M228" s="43" t="s">
        <v>156</v>
      </c>
      <c r="N228" s="42" t="s">
        <v>157</v>
      </c>
      <c r="O228" s="51">
        <v>1</v>
      </c>
      <c r="P228" s="51">
        <v>1</v>
      </c>
      <c r="Q228" s="25" t="str">
        <f>VLOOKUP(P228,Key!$E$2:$F$9,2,FALSE)</f>
        <v>Home</v>
      </c>
      <c r="R228" s="25" t="str">
        <f t="shared" si="4"/>
        <v>Work-Home</v>
      </c>
      <c r="S228" s="52">
        <v>20</v>
      </c>
      <c r="T228" s="52">
        <v>1.5</v>
      </c>
      <c r="U228" s="52">
        <v>1</v>
      </c>
      <c r="V228" s="51"/>
      <c r="W228" s="51"/>
      <c r="X228" s="51"/>
      <c r="Y228" s="53" t="s">
        <v>158</v>
      </c>
      <c r="Z228" s="54">
        <v>1000</v>
      </c>
      <c r="AA228" s="25">
        <f>VLOOKUP(F228,'Zones '!$A$2:$F$2056,6,FALSE)</f>
        <v>565</v>
      </c>
      <c r="AB228" s="25">
        <f>VLOOKUP(L228,'Zones '!$A$2:$F$2056,6,FALSE)</f>
        <v>1388</v>
      </c>
    </row>
    <row r="229" spans="2:28">
      <c r="B229" s="40">
        <v>0.625</v>
      </c>
      <c r="C229" s="40" t="s">
        <v>378</v>
      </c>
      <c r="D229" s="45">
        <v>2</v>
      </c>
      <c r="E229" s="45">
        <v>2</v>
      </c>
      <c r="F229" s="42" t="s">
        <v>224</v>
      </c>
      <c r="G229" s="43" t="s">
        <v>224</v>
      </c>
      <c r="H229" s="42" t="s">
        <v>157</v>
      </c>
      <c r="I229" s="43">
        <v>2</v>
      </c>
      <c r="J229" s="43">
        <v>2</v>
      </c>
      <c r="K229" s="25" t="str">
        <f>VLOOKUP(J229,Key!$E$2:$F$9,2,FALSE)</f>
        <v>Work</v>
      </c>
      <c r="L229" s="42" t="s">
        <v>364</v>
      </c>
      <c r="M229" s="43" t="s">
        <v>156</v>
      </c>
      <c r="N229" s="42" t="s">
        <v>157</v>
      </c>
      <c r="O229" s="51">
        <v>1</v>
      </c>
      <c r="P229" s="51">
        <v>1</v>
      </c>
      <c r="Q229" s="25" t="str">
        <f>VLOOKUP(P229,Key!$E$2:$F$9,2,FALSE)</f>
        <v>Home</v>
      </c>
      <c r="R229" s="25" t="str">
        <f t="shared" si="4"/>
        <v>Work-Home</v>
      </c>
      <c r="S229" s="52">
        <v>15</v>
      </c>
      <c r="T229" s="52">
        <v>1</v>
      </c>
      <c r="U229" s="52">
        <v>3</v>
      </c>
      <c r="V229" s="51"/>
      <c r="W229" s="51"/>
      <c r="X229" s="51"/>
      <c r="Y229" s="53" t="s">
        <v>158</v>
      </c>
      <c r="Z229" s="54">
        <v>0</v>
      </c>
      <c r="AA229" s="25">
        <f>VLOOKUP(F229,'Zones '!$A$2:$F$2056,6,FALSE)</f>
        <v>1037</v>
      </c>
      <c r="AB229" s="25">
        <f>VLOOKUP(L229,'Zones '!$A$2:$F$2056,6,FALSE)</f>
        <v>1388</v>
      </c>
    </row>
    <row r="230" spans="2:28">
      <c r="B230" s="40">
        <v>0.63541666666666663</v>
      </c>
      <c r="C230" s="40" t="s">
        <v>379</v>
      </c>
      <c r="D230" s="44">
        <v>2</v>
      </c>
      <c r="E230" s="45">
        <v>1</v>
      </c>
      <c r="F230" s="42" t="s">
        <v>380</v>
      </c>
      <c r="G230" s="43" t="s">
        <v>187</v>
      </c>
      <c r="H230" s="42" t="s">
        <v>157</v>
      </c>
      <c r="I230" s="43">
        <v>2</v>
      </c>
      <c r="J230" s="43">
        <v>2</v>
      </c>
      <c r="K230" s="25" t="str">
        <f>VLOOKUP(J230,Key!$E$2:$F$9,2,FALSE)</f>
        <v>Work</v>
      </c>
      <c r="L230" s="42" t="s">
        <v>155</v>
      </c>
      <c r="M230" s="43" t="s">
        <v>156</v>
      </c>
      <c r="N230" s="42" t="s">
        <v>157</v>
      </c>
      <c r="O230" s="51">
        <v>1</v>
      </c>
      <c r="P230" s="51">
        <v>1</v>
      </c>
      <c r="Q230" s="25" t="str">
        <f>VLOOKUP(P230,Key!$E$2:$F$9,2,FALSE)</f>
        <v>Home</v>
      </c>
      <c r="R230" s="25" t="str">
        <f t="shared" si="4"/>
        <v>Work-Home</v>
      </c>
      <c r="S230" s="52">
        <v>8</v>
      </c>
      <c r="T230" s="52">
        <v>1</v>
      </c>
      <c r="U230" s="52">
        <v>1</v>
      </c>
      <c r="V230" s="51"/>
      <c r="W230" s="51"/>
      <c r="X230" s="51"/>
      <c r="Y230" s="53" t="s">
        <v>158</v>
      </c>
      <c r="Z230" s="54">
        <v>4000</v>
      </c>
      <c r="AA230" s="25">
        <f>VLOOKUP(F230,'Zones '!$A$2:$F$2056,6,FALSE)</f>
        <v>567</v>
      </c>
      <c r="AB230" s="25">
        <f>VLOOKUP(L230,'Zones '!$A$2:$F$2056,6,FALSE)</f>
        <v>1397</v>
      </c>
    </row>
    <row r="231" spans="2:28">
      <c r="B231" s="40">
        <v>0.63750000000000007</v>
      </c>
      <c r="C231" s="40" t="s">
        <v>381</v>
      </c>
      <c r="D231" s="45">
        <v>7</v>
      </c>
      <c r="E231" s="45">
        <v>2</v>
      </c>
      <c r="F231" s="42" t="s">
        <v>150</v>
      </c>
      <c r="G231" s="43" t="s">
        <v>156</v>
      </c>
      <c r="H231" s="42" t="s">
        <v>157</v>
      </c>
      <c r="I231" s="43">
        <v>6</v>
      </c>
      <c r="J231" s="43">
        <v>4</v>
      </c>
      <c r="K231" s="25" t="str">
        <f>VLOOKUP(J231,Key!$E$2:$F$9,2,FALSE)</f>
        <v>Commercial</v>
      </c>
      <c r="L231" s="42" t="s">
        <v>207</v>
      </c>
      <c r="M231" s="43" t="s">
        <v>156</v>
      </c>
      <c r="N231" s="42" t="s">
        <v>157</v>
      </c>
      <c r="O231" s="51">
        <v>6</v>
      </c>
      <c r="P231" s="51">
        <v>4</v>
      </c>
      <c r="Q231" s="25" t="str">
        <f>VLOOKUP(P231,Key!$E$2:$F$9,2,FALSE)</f>
        <v>Commercial</v>
      </c>
      <c r="R231" s="25" t="str">
        <f t="shared" si="4"/>
        <v>Commercial-Commercial</v>
      </c>
      <c r="S231" s="52">
        <v>4</v>
      </c>
      <c r="T231" s="52">
        <v>0.7</v>
      </c>
      <c r="U231" s="52">
        <v>1</v>
      </c>
      <c r="V231" s="51">
        <v>11</v>
      </c>
      <c r="W231" s="51"/>
      <c r="X231" s="51"/>
      <c r="Y231" s="53" t="s">
        <v>158</v>
      </c>
      <c r="Z231" s="54">
        <v>1000</v>
      </c>
      <c r="AA231" s="25">
        <f>VLOOKUP(F231,'Zones '!$A$2:$F$2056,6,FALSE)</f>
        <v>1397</v>
      </c>
      <c r="AB231" s="25">
        <f>VLOOKUP(L231,'Zones '!$A$2:$F$2056,6,FALSE)</f>
        <v>1397</v>
      </c>
    </row>
    <row r="232" spans="2:28">
      <c r="B232" s="40">
        <v>0.64236111111111105</v>
      </c>
      <c r="C232" s="40" t="s">
        <v>382</v>
      </c>
      <c r="D232" s="45">
        <v>7</v>
      </c>
      <c r="E232" s="45">
        <v>4</v>
      </c>
      <c r="F232" s="42" t="s">
        <v>150</v>
      </c>
      <c r="G232" s="43" t="s">
        <v>156</v>
      </c>
      <c r="H232" s="42" t="s">
        <v>157</v>
      </c>
      <c r="I232" s="43">
        <v>6</v>
      </c>
      <c r="J232" s="43">
        <v>4</v>
      </c>
      <c r="K232" s="25" t="str">
        <f>VLOOKUP(J232,Key!$E$2:$F$9,2,FALSE)</f>
        <v>Commercial</v>
      </c>
      <c r="L232" s="42" t="s">
        <v>155</v>
      </c>
      <c r="M232" s="43" t="s">
        <v>156</v>
      </c>
      <c r="N232" s="42" t="s">
        <v>157</v>
      </c>
      <c r="O232" s="51">
        <v>10</v>
      </c>
      <c r="P232" s="51">
        <v>4</v>
      </c>
      <c r="Q232" s="25" t="str">
        <f>VLOOKUP(P232,Key!$E$2:$F$9,2,FALSE)</f>
        <v>Commercial</v>
      </c>
      <c r="R232" s="25" t="str">
        <f t="shared" si="4"/>
        <v>Commercial-Commercial</v>
      </c>
      <c r="S232" s="52">
        <v>1</v>
      </c>
      <c r="T232" s="52">
        <v>0.1</v>
      </c>
      <c r="U232" s="52">
        <v>1</v>
      </c>
      <c r="V232" s="51">
        <v>11</v>
      </c>
      <c r="W232" s="51"/>
      <c r="X232" s="51"/>
      <c r="Y232" s="53" t="s">
        <v>158</v>
      </c>
      <c r="Z232" s="54">
        <v>1000</v>
      </c>
      <c r="AA232" s="25">
        <f>VLOOKUP(F232,'Zones '!$A$2:$F$2056,6,FALSE)</f>
        <v>1397</v>
      </c>
      <c r="AB232" s="25">
        <f>VLOOKUP(L232,'Zones '!$A$2:$F$2056,6,FALSE)</f>
        <v>1397</v>
      </c>
    </row>
    <row r="233" spans="2:28">
      <c r="B233" s="40">
        <v>0.66666666666666663</v>
      </c>
      <c r="C233" s="40" t="s">
        <v>383</v>
      </c>
      <c r="D233" s="45">
        <v>8</v>
      </c>
      <c r="E233" s="45">
        <v>1</v>
      </c>
      <c r="F233" s="42" t="s">
        <v>162</v>
      </c>
      <c r="G233" s="43" t="s">
        <v>224</v>
      </c>
      <c r="H233" s="42" t="s">
        <v>157</v>
      </c>
      <c r="I233" s="43">
        <v>3</v>
      </c>
      <c r="J233" s="43">
        <v>2</v>
      </c>
      <c r="K233" s="25" t="str">
        <f>VLOOKUP(J233,Key!$E$2:$F$9,2,FALSE)</f>
        <v>Work</v>
      </c>
      <c r="L233" s="42" t="s">
        <v>160</v>
      </c>
      <c r="M233" s="43" t="s">
        <v>156</v>
      </c>
      <c r="N233" s="42" t="s">
        <v>157</v>
      </c>
      <c r="O233" s="51">
        <v>10</v>
      </c>
      <c r="P233" s="51">
        <v>2</v>
      </c>
      <c r="Q233" s="25" t="str">
        <f>VLOOKUP(P233,Key!$E$2:$F$9,2,FALSE)</f>
        <v>Work</v>
      </c>
      <c r="R233" s="25" t="str">
        <f t="shared" si="4"/>
        <v>Work-Work</v>
      </c>
      <c r="S233" s="52">
        <v>15</v>
      </c>
      <c r="T233" s="52">
        <v>1.5</v>
      </c>
      <c r="U233" s="52">
        <v>4</v>
      </c>
      <c r="V233" s="51">
        <v>11</v>
      </c>
      <c r="W233" s="51"/>
      <c r="X233" s="51"/>
      <c r="Y233" s="53" t="s">
        <v>158</v>
      </c>
      <c r="Z233" s="54">
        <v>2000</v>
      </c>
      <c r="AA233" s="25">
        <f>VLOOKUP(F233,'Zones '!$A$2:$F$2056,6,FALSE)</f>
        <v>1397</v>
      </c>
      <c r="AB233" s="25">
        <f>VLOOKUP(L233,'Zones '!$A$2:$F$2056,6,FALSE)</f>
        <v>589</v>
      </c>
    </row>
    <row r="234" spans="2:28">
      <c r="B234" s="40">
        <v>0.68402777777777779</v>
      </c>
      <c r="C234" s="40" t="s">
        <v>384</v>
      </c>
      <c r="D234" s="44">
        <v>2</v>
      </c>
      <c r="E234" s="45">
        <v>1</v>
      </c>
      <c r="F234" s="42" t="s">
        <v>187</v>
      </c>
      <c r="G234" s="43" t="s">
        <v>187</v>
      </c>
      <c r="H234" s="42" t="s">
        <v>157</v>
      </c>
      <c r="I234" s="43">
        <v>1</v>
      </c>
      <c r="J234" s="43">
        <v>1</v>
      </c>
      <c r="K234" s="25" t="str">
        <f>VLOOKUP(J234,Key!$E$2:$F$9,2,FALSE)</f>
        <v>Home</v>
      </c>
      <c r="L234" s="42" t="s">
        <v>150</v>
      </c>
      <c r="M234" s="43" t="s">
        <v>156</v>
      </c>
      <c r="N234" s="42" t="s">
        <v>157</v>
      </c>
      <c r="O234" s="51">
        <v>16</v>
      </c>
      <c r="P234" s="51">
        <v>6</v>
      </c>
      <c r="Q234" s="25" t="str">
        <f>VLOOKUP(P234,Key!$E$2:$F$9,2,FALSE)</f>
        <v>Leisure/Social</v>
      </c>
      <c r="R234" s="25" t="str">
        <f t="shared" si="4"/>
        <v>Home-Leisure/Social</v>
      </c>
      <c r="S234" s="52">
        <v>20</v>
      </c>
      <c r="T234" s="52">
        <v>0.7</v>
      </c>
      <c r="U234" s="52">
        <v>4</v>
      </c>
      <c r="V234" s="51"/>
      <c r="W234" s="51"/>
      <c r="X234" s="51"/>
      <c r="Y234" s="53" t="s">
        <v>385</v>
      </c>
      <c r="Z234" s="54">
        <v>0</v>
      </c>
      <c r="AA234" s="25">
        <f>VLOOKUP(F234,'Zones '!$A$2:$F$2056,6,FALSE)</f>
        <v>521</v>
      </c>
      <c r="AB234" s="25">
        <f>VLOOKUP(L234,'Zones '!$A$2:$F$2056,6,FALSE)</f>
        <v>1397</v>
      </c>
    </row>
    <row r="235" spans="2:28">
      <c r="B235" s="40">
        <v>0.70486111111111116</v>
      </c>
      <c r="C235" s="40" t="s">
        <v>386</v>
      </c>
      <c r="D235" s="45">
        <v>1</v>
      </c>
      <c r="E235" s="45">
        <v>2</v>
      </c>
      <c r="F235" s="42" t="s">
        <v>339</v>
      </c>
      <c r="G235" s="43" t="s">
        <v>187</v>
      </c>
      <c r="H235" s="42" t="s">
        <v>157</v>
      </c>
      <c r="I235" s="43">
        <v>2</v>
      </c>
      <c r="J235" s="43">
        <v>2</v>
      </c>
      <c r="K235" s="25" t="str">
        <f>VLOOKUP(J235,Key!$E$2:$F$9,2,FALSE)</f>
        <v>Work</v>
      </c>
      <c r="L235" s="42" t="s">
        <v>364</v>
      </c>
      <c r="M235" s="43" t="s">
        <v>156</v>
      </c>
      <c r="N235" s="42" t="s">
        <v>157</v>
      </c>
      <c r="O235" s="51">
        <v>1</v>
      </c>
      <c r="P235" s="51">
        <v>1</v>
      </c>
      <c r="Q235" s="25" t="str">
        <f>VLOOKUP(P235,Key!$E$2:$F$9,2,FALSE)</f>
        <v>Home</v>
      </c>
      <c r="R235" s="25" t="str">
        <f t="shared" si="4"/>
        <v>Work-Home</v>
      </c>
      <c r="S235" s="52">
        <v>12</v>
      </c>
      <c r="T235" s="52">
        <v>0.7</v>
      </c>
      <c r="U235" s="52">
        <v>1</v>
      </c>
      <c r="V235" s="51"/>
      <c r="W235" s="51"/>
      <c r="X235" s="51"/>
      <c r="Y235" s="53" t="s">
        <v>158</v>
      </c>
      <c r="Z235" s="54">
        <v>2000</v>
      </c>
      <c r="AA235" s="25">
        <f>VLOOKUP(F235,'Zones '!$A$2:$F$2056,6,FALSE)</f>
        <v>517</v>
      </c>
      <c r="AB235" s="25">
        <f>VLOOKUP(L235,'Zones '!$A$2:$F$2056,6,FALSE)</f>
        <v>1388</v>
      </c>
    </row>
    <row r="236" spans="2:28">
      <c r="B236" s="40">
        <v>0.69930555555555562</v>
      </c>
      <c r="C236" s="40" t="s">
        <v>387</v>
      </c>
      <c r="D236" s="45">
        <v>1</v>
      </c>
      <c r="E236" s="45">
        <v>5</v>
      </c>
      <c r="F236" s="42" t="s">
        <v>187</v>
      </c>
      <c r="G236" s="43" t="s">
        <v>187</v>
      </c>
      <c r="H236" s="42" t="s">
        <v>157</v>
      </c>
      <c r="I236" s="43">
        <v>2</v>
      </c>
      <c r="J236" s="43">
        <v>2</v>
      </c>
      <c r="K236" s="25" t="str">
        <f>VLOOKUP(J236,Key!$E$2:$F$9,2,FALSE)</f>
        <v>Work</v>
      </c>
      <c r="L236" s="42" t="s">
        <v>155</v>
      </c>
      <c r="M236" s="43" t="s">
        <v>156</v>
      </c>
      <c r="N236" s="42" t="s">
        <v>157</v>
      </c>
      <c r="O236" s="51">
        <v>1</v>
      </c>
      <c r="P236" s="51">
        <v>1</v>
      </c>
      <c r="Q236" s="25" t="str">
        <f>VLOOKUP(P236,Key!$E$2:$F$9,2,FALSE)</f>
        <v>Home</v>
      </c>
      <c r="R236" s="25" t="str">
        <f t="shared" si="4"/>
        <v>Work-Home</v>
      </c>
      <c r="S236" s="52">
        <v>15</v>
      </c>
      <c r="T236" s="52">
        <v>0.7</v>
      </c>
      <c r="U236" s="52">
        <v>1</v>
      </c>
      <c r="V236" s="51"/>
      <c r="W236" s="51"/>
      <c r="X236" s="51"/>
      <c r="Y236" s="53" t="s">
        <v>158</v>
      </c>
      <c r="Z236" s="54">
        <v>5000</v>
      </c>
      <c r="AA236" s="25">
        <f>VLOOKUP(F236,'Zones '!$A$2:$F$2056,6,FALSE)</f>
        <v>521</v>
      </c>
      <c r="AB236" s="25">
        <f>VLOOKUP(L236,'Zones '!$A$2:$F$2056,6,FALSE)</f>
        <v>1397</v>
      </c>
    </row>
    <row r="237" spans="2:28">
      <c r="B237" s="40">
        <v>0.7104166666666667</v>
      </c>
      <c r="C237" s="40" t="s">
        <v>388</v>
      </c>
      <c r="D237" s="45">
        <v>7</v>
      </c>
      <c r="E237" s="45">
        <v>12</v>
      </c>
      <c r="F237" s="42" t="s">
        <v>150</v>
      </c>
      <c r="G237" s="43" t="s">
        <v>156</v>
      </c>
      <c r="H237" s="42" t="s">
        <v>157</v>
      </c>
      <c r="I237" s="43">
        <v>4</v>
      </c>
      <c r="J237" s="43">
        <v>2</v>
      </c>
      <c r="K237" s="25" t="str">
        <f>VLOOKUP(J237,Key!$E$2:$F$9,2,FALSE)</f>
        <v>Work</v>
      </c>
      <c r="L237" s="42" t="s">
        <v>207</v>
      </c>
      <c r="M237" s="43" t="s">
        <v>156</v>
      </c>
      <c r="N237" s="42" t="s">
        <v>157</v>
      </c>
      <c r="O237" s="51">
        <v>4</v>
      </c>
      <c r="P237" s="51">
        <v>2</v>
      </c>
      <c r="Q237" s="25" t="str">
        <f>VLOOKUP(P237,Key!$E$2:$F$9,2,FALSE)</f>
        <v>Work</v>
      </c>
      <c r="R237" s="25" t="str">
        <f t="shared" si="4"/>
        <v>Work-Work</v>
      </c>
      <c r="S237" s="52">
        <v>5</v>
      </c>
      <c r="T237" s="52">
        <v>0.5</v>
      </c>
      <c r="U237" s="52">
        <v>1</v>
      </c>
      <c r="V237" s="51"/>
      <c r="W237" s="51"/>
      <c r="X237" s="51"/>
      <c r="Y237" s="53" t="s">
        <v>158</v>
      </c>
      <c r="Z237" s="54">
        <v>5000</v>
      </c>
      <c r="AA237" s="25">
        <f>VLOOKUP(F237,'Zones '!$A$2:$F$2056,6,FALSE)</f>
        <v>1397</v>
      </c>
      <c r="AB237" s="25">
        <f>VLOOKUP(L237,'Zones '!$A$2:$F$2056,6,FALSE)</f>
        <v>1397</v>
      </c>
    </row>
    <row r="238" spans="2:28">
      <c r="B238" s="40">
        <v>0.71180555555555547</v>
      </c>
      <c r="C238" s="40" t="s">
        <v>389</v>
      </c>
      <c r="D238" s="45">
        <v>4</v>
      </c>
      <c r="E238" s="45">
        <v>14</v>
      </c>
      <c r="F238" s="42" t="s">
        <v>162</v>
      </c>
      <c r="G238" s="43" t="s">
        <v>224</v>
      </c>
      <c r="H238" s="42" t="s">
        <v>157</v>
      </c>
      <c r="I238" s="43">
        <v>4</v>
      </c>
      <c r="J238" s="43">
        <v>2</v>
      </c>
      <c r="K238" s="25" t="str">
        <f>VLOOKUP(J238,Key!$E$2:$F$9,2,FALSE)</f>
        <v>Work</v>
      </c>
      <c r="L238" s="42" t="s">
        <v>155</v>
      </c>
      <c r="M238" s="43" t="s">
        <v>156</v>
      </c>
      <c r="N238" s="42" t="s">
        <v>157</v>
      </c>
      <c r="O238" s="51">
        <v>4</v>
      </c>
      <c r="P238" s="51">
        <v>2</v>
      </c>
      <c r="Q238" s="25" t="str">
        <f>VLOOKUP(P238,Key!$E$2:$F$9,2,FALSE)</f>
        <v>Work</v>
      </c>
      <c r="R238" s="25" t="str">
        <f t="shared" si="4"/>
        <v>Work-Work</v>
      </c>
      <c r="S238" s="52">
        <v>8</v>
      </c>
      <c r="T238" s="52">
        <v>0.5</v>
      </c>
      <c r="U238" s="52">
        <v>1</v>
      </c>
      <c r="V238" s="51"/>
      <c r="W238" s="51"/>
      <c r="X238" s="51"/>
      <c r="Y238" s="53" t="s">
        <v>158</v>
      </c>
      <c r="Z238" s="54">
        <v>5000</v>
      </c>
      <c r="AA238" s="25">
        <f>VLOOKUP(F238,'Zones '!$A$2:$F$2056,6,FALSE)</f>
        <v>1397</v>
      </c>
      <c r="AB238" s="25">
        <f>VLOOKUP(L238,'Zones '!$A$2:$F$2056,6,FALSE)</f>
        <v>1397</v>
      </c>
    </row>
    <row r="239" spans="2:28">
      <c r="B239" s="40">
        <v>0.72222222222222221</v>
      </c>
      <c r="C239" s="40" t="s">
        <v>390</v>
      </c>
      <c r="D239" s="44">
        <v>1</v>
      </c>
      <c r="E239" s="45">
        <v>2</v>
      </c>
      <c r="F239" s="42" t="s">
        <v>150</v>
      </c>
      <c r="G239" s="43" t="s">
        <v>156</v>
      </c>
      <c r="H239" s="42" t="s">
        <v>157</v>
      </c>
      <c r="I239" s="43">
        <v>4</v>
      </c>
      <c r="J239" s="43">
        <v>2</v>
      </c>
      <c r="K239" s="25" t="str">
        <f>VLOOKUP(J239,Key!$E$2:$F$9,2,FALSE)</f>
        <v>Work</v>
      </c>
      <c r="L239" s="42" t="s">
        <v>352</v>
      </c>
      <c r="M239" s="43" t="s">
        <v>187</v>
      </c>
      <c r="N239" s="42" t="s">
        <v>157</v>
      </c>
      <c r="O239" s="51">
        <v>4</v>
      </c>
      <c r="P239" s="51">
        <v>2</v>
      </c>
      <c r="Q239" s="25" t="str">
        <f>VLOOKUP(P239,Key!$E$2:$F$9,2,FALSE)</f>
        <v>Work</v>
      </c>
      <c r="R239" s="25" t="str">
        <f t="shared" si="4"/>
        <v>Work-Work</v>
      </c>
      <c r="S239" s="52">
        <v>10</v>
      </c>
      <c r="T239" s="52">
        <v>0.7</v>
      </c>
      <c r="U239" s="52">
        <v>1</v>
      </c>
      <c r="V239" s="51"/>
      <c r="W239" s="51"/>
      <c r="X239" s="51"/>
      <c r="Y239" s="53" t="s">
        <v>158</v>
      </c>
      <c r="Z239" s="54">
        <v>5000</v>
      </c>
      <c r="AA239" s="25">
        <f>VLOOKUP(F239,'Zones '!$A$2:$F$2056,6,FALSE)</f>
        <v>1397</v>
      </c>
      <c r="AB239" s="25">
        <f>VLOOKUP(L239,'Zones '!$A$2:$F$2056,6,FALSE)</f>
        <v>1397</v>
      </c>
    </row>
    <row r="240" spans="2:28">
      <c r="B240" s="40">
        <v>0.72986111111111107</v>
      </c>
      <c r="C240" s="40" t="s">
        <v>391</v>
      </c>
      <c r="D240" s="44">
        <v>2</v>
      </c>
      <c r="E240" s="45">
        <v>2</v>
      </c>
      <c r="F240" s="42" t="s">
        <v>187</v>
      </c>
      <c r="G240" s="43" t="s">
        <v>187</v>
      </c>
      <c r="H240" s="42" t="s">
        <v>157</v>
      </c>
      <c r="I240" s="43">
        <v>2</v>
      </c>
      <c r="J240" s="43">
        <v>2</v>
      </c>
      <c r="K240" s="25" t="str">
        <f>VLOOKUP(J240,Key!$E$2:$F$9,2,FALSE)</f>
        <v>Work</v>
      </c>
      <c r="L240" s="42" t="s">
        <v>160</v>
      </c>
      <c r="M240" s="43" t="s">
        <v>156</v>
      </c>
      <c r="N240" s="42" t="s">
        <v>157</v>
      </c>
      <c r="O240" s="51">
        <v>1</v>
      </c>
      <c r="P240" s="51">
        <v>1</v>
      </c>
      <c r="Q240" s="25" t="str">
        <f>VLOOKUP(P240,Key!$E$2:$F$9,2,FALSE)</f>
        <v>Home</v>
      </c>
      <c r="R240" s="25" t="str">
        <f t="shared" si="4"/>
        <v>Work-Home</v>
      </c>
      <c r="S240" s="52">
        <v>20</v>
      </c>
      <c r="T240" s="52">
        <v>1.5</v>
      </c>
      <c r="U240" s="52">
        <v>1</v>
      </c>
      <c r="V240" s="51"/>
      <c r="W240" s="51"/>
      <c r="X240" s="51"/>
      <c r="Y240" s="53" t="s">
        <v>158</v>
      </c>
      <c r="Z240" s="54">
        <v>0</v>
      </c>
      <c r="AA240" s="25">
        <f>VLOOKUP(F240,'Zones '!$A$2:$F$2056,6,FALSE)</f>
        <v>521</v>
      </c>
      <c r="AB240" s="25">
        <f>VLOOKUP(L240,'Zones '!$A$2:$F$2056,6,FALSE)</f>
        <v>589</v>
      </c>
    </row>
    <row r="241" spans="2:28">
      <c r="B241" s="40">
        <v>0.73333333333333339</v>
      </c>
      <c r="C241" s="40" t="s">
        <v>392</v>
      </c>
      <c r="D241" s="44">
        <v>2</v>
      </c>
      <c r="E241" s="45">
        <v>1</v>
      </c>
      <c r="F241" s="42" t="s">
        <v>339</v>
      </c>
      <c r="G241" s="43" t="s">
        <v>187</v>
      </c>
      <c r="H241" s="42" t="s">
        <v>157</v>
      </c>
      <c r="I241" s="43">
        <v>2</v>
      </c>
      <c r="J241" s="43">
        <v>2</v>
      </c>
      <c r="K241" s="25" t="str">
        <f>VLOOKUP(J241,Key!$E$2:$F$9,2,FALSE)</f>
        <v>Work</v>
      </c>
      <c r="L241" s="42" t="s">
        <v>207</v>
      </c>
      <c r="M241" s="43" t="s">
        <v>156</v>
      </c>
      <c r="N241" s="42" t="s">
        <v>157</v>
      </c>
      <c r="O241" s="51">
        <v>1</v>
      </c>
      <c r="P241" s="51">
        <v>1</v>
      </c>
      <c r="Q241" s="25" t="str">
        <f>VLOOKUP(P241,Key!$E$2:$F$9,2,FALSE)</f>
        <v>Home</v>
      </c>
      <c r="R241" s="25" t="str">
        <f t="shared" si="4"/>
        <v>Work-Home</v>
      </c>
      <c r="S241" s="52">
        <v>8</v>
      </c>
      <c r="T241" s="52">
        <v>0.7</v>
      </c>
      <c r="U241" s="52">
        <v>1</v>
      </c>
      <c r="V241" s="51"/>
      <c r="W241" s="51"/>
      <c r="X241" s="51"/>
      <c r="Y241" s="53" t="s">
        <v>158</v>
      </c>
      <c r="Z241" s="54">
        <v>0</v>
      </c>
      <c r="AA241" s="25">
        <f>VLOOKUP(F241,'Zones '!$A$2:$F$2056,6,FALSE)</f>
        <v>517</v>
      </c>
      <c r="AB241" s="25">
        <f>VLOOKUP(L241,'Zones '!$A$2:$F$2056,6,FALSE)</f>
        <v>1397</v>
      </c>
    </row>
    <row r="242" spans="2:28">
      <c r="B242" s="40">
        <v>0.73611111111111116</v>
      </c>
      <c r="C242" s="40" t="s">
        <v>393</v>
      </c>
      <c r="D242" s="44">
        <v>7</v>
      </c>
      <c r="E242" s="45">
        <v>5</v>
      </c>
      <c r="F242" s="42" t="s">
        <v>162</v>
      </c>
      <c r="G242" s="43" t="s">
        <v>224</v>
      </c>
      <c r="H242" s="42" t="s">
        <v>157</v>
      </c>
      <c r="I242" s="43">
        <v>3</v>
      </c>
      <c r="J242" s="43">
        <v>4</v>
      </c>
      <c r="K242" s="25" t="str">
        <f>VLOOKUP(J242,Key!$E$2:$F$9,2,FALSE)</f>
        <v>Commercial</v>
      </c>
      <c r="L242" s="42" t="s">
        <v>155</v>
      </c>
      <c r="M242" s="43" t="s">
        <v>156</v>
      </c>
      <c r="N242" s="42" t="s">
        <v>157</v>
      </c>
      <c r="O242" s="51">
        <v>10</v>
      </c>
      <c r="P242" s="51">
        <v>4</v>
      </c>
      <c r="Q242" s="25" t="str">
        <f>VLOOKUP(P242,Key!$E$2:$F$9,2,FALSE)</f>
        <v>Commercial</v>
      </c>
      <c r="R242" s="25" t="str">
        <f t="shared" si="4"/>
        <v>Commercial-Commercial</v>
      </c>
      <c r="S242" s="52">
        <v>8</v>
      </c>
      <c r="T242" s="52">
        <v>0.7</v>
      </c>
      <c r="U242" s="52">
        <v>1</v>
      </c>
      <c r="V242" s="51">
        <v>4</v>
      </c>
      <c r="W242" s="51">
        <v>1</v>
      </c>
      <c r="X242" s="51">
        <v>5</v>
      </c>
      <c r="Y242" s="53" t="s">
        <v>158</v>
      </c>
      <c r="Z242" s="54">
        <v>0</v>
      </c>
      <c r="AA242" s="25">
        <f>VLOOKUP(F242,'Zones '!$A$2:$F$2056,6,FALSE)</f>
        <v>1397</v>
      </c>
      <c r="AB242" s="25">
        <f>VLOOKUP(L242,'Zones '!$A$2:$F$2056,6,FALSE)</f>
        <v>1397</v>
      </c>
    </row>
    <row r="243" spans="2:28">
      <c r="B243" s="40">
        <v>0.77083333333333337</v>
      </c>
      <c r="C243" s="40" t="s">
        <v>394</v>
      </c>
      <c r="D243" s="44">
        <v>1</v>
      </c>
      <c r="E243" s="42">
        <v>1</v>
      </c>
      <c r="F243" s="42" t="s">
        <v>162</v>
      </c>
      <c r="G243" s="43" t="s">
        <v>224</v>
      </c>
      <c r="H243" s="42" t="s">
        <v>157</v>
      </c>
      <c r="I243" s="43">
        <v>2</v>
      </c>
      <c r="J243" s="43">
        <v>2</v>
      </c>
      <c r="K243" s="25" t="str">
        <f>VLOOKUP(J243,Key!$E$2:$F$9,2,FALSE)</f>
        <v>Work</v>
      </c>
      <c r="L243" s="42" t="s">
        <v>160</v>
      </c>
      <c r="M243" s="43" t="s">
        <v>156</v>
      </c>
      <c r="N243" s="42" t="s">
        <v>157</v>
      </c>
      <c r="O243" s="51">
        <v>1</v>
      </c>
      <c r="P243" s="51">
        <v>1</v>
      </c>
      <c r="Q243" s="25" t="str">
        <f>VLOOKUP(P243,Key!$E$2:$F$9,2,FALSE)</f>
        <v>Home</v>
      </c>
      <c r="R243" s="25" t="str">
        <f t="shared" si="4"/>
        <v>Work-Home</v>
      </c>
      <c r="S243" s="52">
        <v>10</v>
      </c>
      <c r="T243" s="52">
        <v>1</v>
      </c>
      <c r="U243" s="52">
        <v>1</v>
      </c>
      <c r="V243" s="51"/>
      <c r="W243" s="51"/>
      <c r="X243" s="51"/>
      <c r="Y243" s="53" t="s">
        <v>158</v>
      </c>
      <c r="Z243" s="54">
        <v>1000</v>
      </c>
      <c r="AA243" s="25">
        <f>VLOOKUP(F243,'Zones '!$A$2:$F$2056,6,FALSE)</f>
        <v>1397</v>
      </c>
      <c r="AB243" s="25">
        <f>VLOOKUP(L243,'Zones '!$A$2:$F$2056,6,FALSE)</f>
        <v>589</v>
      </c>
    </row>
    <row r="244" spans="2:28">
      <c r="B244" s="40">
        <v>0.76041666666666663</v>
      </c>
      <c r="C244" s="40" t="s">
        <v>395</v>
      </c>
      <c r="D244" s="44">
        <v>8</v>
      </c>
      <c r="E244" s="42">
        <v>3</v>
      </c>
      <c r="F244" s="42" t="s">
        <v>224</v>
      </c>
      <c r="G244" s="43" t="s">
        <v>224</v>
      </c>
      <c r="H244" s="42" t="s">
        <v>157</v>
      </c>
      <c r="I244" s="43">
        <v>14</v>
      </c>
      <c r="J244" s="43">
        <v>4</v>
      </c>
      <c r="K244" s="25" t="str">
        <f>VLOOKUP(J244,Key!$E$2:$F$9,2,FALSE)</f>
        <v>Commercial</v>
      </c>
      <c r="L244" s="42" t="s">
        <v>160</v>
      </c>
      <c r="M244" s="43" t="s">
        <v>156</v>
      </c>
      <c r="N244" s="42" t="s">
        <v>157</v>
      </c>
      <c r="O244" s="51">
        <v>10</v>
      </c>
      <c r="P244" s="51">
        <v>2</v>
      </c>
      <c r="Q244" s="25" t="str">
        <f>VLOOKUP(P244,Key!$E$2:$F$9,2,FALSE)</f>
        <v>Work</v>
      </c>
      <c r="R244" s="25" t="str">
        <f t="shared" si="4"/>
        <v>Commercial-Work</v>
      </c>
      <c r="S244" s="52">
        <v>20</v>
      </c>
      <c r="T244" s="52">
        <v>1.5</v>
      </c>
      <c r="U244" s="52">
        <v>1</v>
      </c>
      <c r="V244" s="51">
        <v>6</v>
      </c>
      <c r="W244" s="51">
        <v>1.5</v>
      </c>
      <c r="X244" s="51">
        <v>2</v>
      </c>
      <c r="Y244" s="53" t="s">
        <v>158</v>
      </c>
      <c r="Z244" s="54">
        <v>1000</v>
      </c>
      <c r="AA244" s="25">
        <f>VLOOKUP(F244,'Zones '!$A$2:$F$2056,6,FALSE)</f>
        <v>1037</v>
      </c>
      <c r="AB244" s="25">
        <f>VLOOKUP(L244,'Zones '!$A$2:$F$2056,6,FALSE)</f>
        <v>589</v>
      </c>
    </row>
    <row r="245" spans="2:28">
      <c r="B245" s="40">
        <v>0.78125</v>
      </c>
      <c r="C245" s="40" t="s">
        <v>396</v>
      </c>
      <c r="D245" s="45">
        <v>1</v>
      </c>
      <c r="E245" s="45">
        <v>2</v>
      </c>
      <c r="F245" s="42" t="s">
        <v>150</v>
      </c>
      <c r="G245" s="43" t="s">
        <v>156</v>
      </c>
      <c r="H245" s="42" t="s">
        <v>157</v>
      </c>
      <c r="I245" s="43">
        <v>2</v>
      </c>
      <c r="J245" s="43">
        <v>2</v>
      </c>
      <c r="K245" s="25" t="str">
        <f>VLOOKUP(J245,Key!$E$2:$F$9,2,FALSE)</f>
        <v>Work</v>
      </c>
      <c r="L245" s="42" t="s">
        <v>160</v>
      </c>
      <c r="M245" s="43" t="s">
        <v>156</v>
      </c>
      <c r="N245" s="42" t="s">
        <v>157</v>
      </c>
      <c r="O245" s="51">
        <v>1</v>
      </c>
      <c r="P245" s="51">
        <v>1</v>
      </c>
      <c r="Q245" s="25" t="str">
        <f>VLOOKUP(P245,Key!$E$2:$F$9,2,FALSE)</f>
        <v>Home</v>
      </c>
      <c r="R245" s="25" t="str">
        <f t="shared" si="4"/>
        <v>Work-Home</v>
      </c>
      <c r="S245" s="52">
        <v>5</v>
      </c>
      <c r="T245" s="52">
        <v>0.1</v>
      </c>
      <c r="U245" s="52">
        <v>1</v>
      </c>
      <c r="V245" s="51"/>
      <c r="W245" s="51"/>
      <c r="X245" s="51"/>
      <c r="Y245" s="53" t="s">
        <v>158</v>
      </c>
      <c r="Z245" s="54">
        <v>1000</v>
      </c>
      <c r="AA245" s="25">
        <f>VLOOKUP(F245,'Zones '!$A$2:$F$2056,6,FALSE)</f>
        <v>1397</v>
      </c>
      <c r="AB245" s="25">
        <f>VLOOKUP(L245,'Zones '!$A$2:$F$2056,6,FALSE)</f>
        <v>589</v>
      </c>
    </row>
    <row r="246" spans="2:28">
      <c r="B246" s="40">
        <v>0.78472222222222221</v>
      </c>
      <c r="C246" s="40" t="s">
        <v>397</v>
      </c>
      <c r="D246" s="45">
        <v>1</v>
      </c>
      <c r="E246" s="45">
        <v>1</v>
      </c>
      <c r="F246" s="42" t="s">
        <v>187</v>
      </c>
      <c r="G246" s="43" t="s">
        <v>187</v>
      </c>
      <c r="H246" s="42" t="s">
        <v>157</v>
      </c>
      <c r="I246" s="43">
        <v>2</v>
      </c>
      <c r="J246" s="43">
        <v>2</v>
      </c>
      <c r="K246" s="25" t="str">
        <f>VLOOKUP(J246,Key!$E$2:$F$9,2,FALSE)</f>
        <v>Work</v>
      </c>
      <c r="L246" s="42" t="s">
        <v>207</v>
      </c>
      <c r="M246" s="43" t="s">
        <v>156</v>
      </c>
      <c r="N246" s="42" t="s">
        <v>157</v>
      </c>
      <c r="O246" s="51">
        <v>1</v>
      </c>
      <c r="P246" s="51">
        <v>1</v>
      </c>
      <c r="Q246" s="25" t="str">
        <f>VLOOKUP(P246,Key!$E$2:$F$9,2,FALSE)</f>
        <v>Home</v>
      </c>
      <c r="R246" s="25" t="str">
        <f t="shared" si="4"/>
        <v>Work-Home</v>
      </c>
      <c r="S246" s="52">
        <v>15</v>
      </c>
      <c r="T246" s="52">
        <v>1.5</v>
      </c>
      <c r="U246" s="52"/>
      <c r="V246" s="51"/>
      <c r="W246" s="51"/>
      <c r="X246" s="51"/>
      <c r="Y246" s="53" t="s">
        <v>158</v>
      </c>
      <c r="Z246" s="54">
        <v>0</v>
      </c>
      <c r="AA246" s="25">
        <f>VLOOKUP(F246,'Zones '!$A$2:$F$2056,6,FALSE)</f>
        <v>521</v>
      </c>
      <c r="AB246" s="25">
        <f>VLOOKUP(L246,'Zones '!$A$2:$F$2056,6,FALSE)</f>
        <v>1397</v>
      </c>
    </row>
    <row r="247" spans="2:28">
      <c r="B247" s="40">
        <v>0.32083333333333336</v>
      </c>
      <c r="C247" s="40" t="s">
        <v>398</v>
      </c>
      <c r="D247" s="45">
        <v>1</v>
      </c>
      <c r="E247" s="45">
        <v>3</v>
      </c>
      <c r="F247" s="42" t="s">
        <v>150</v>
      </c>
      <c r="G247" s="43" t="s">
        <v>156</v>
      </c>
      <c r="H247" s="42" t="s">
        <v>157</v>
      </c>
      <c r="I247" s="43">
        <v>1</v>
      </c>
      <c r="J247" s="43">
        <v>1</v>
      </c>
      <c r="K247" s="25" t="str">
        <f>VLOOKUP(J247,Key!$E$2:$F$9,2,FALSE)</f>
        <v>Home</v>
      </c>
      <c r="L247" s="42" t="s">
        <v>155</v>
      </c>
      <c r="M247" s="43" t="s">
        <v>156</v>
      </c>
      <c r="N247" s="42" t="s">
        <v>157</v>
      </c>
      <c r="O247" s="51">
        <v>2</v>
      </c>
      <c r="P247" s="51">
        <v>2</v>
      </c>
      <c r="Q247" s="25" t="str">
        <f>VLOOKUP(P247,Key!$E$2:$F$9,2,FALSE)</f>
        <v>Work</v>
      </c>
      <c r="R247" s="25" t="str">
        <f t="shared" si="4"/>
        <v>Home-Work</v>
      </c>
      <c r="S247" s="52">
        <v>1.5</v>
      </c>
      <c r="T247" s="52">
        <v>0.1</v>
      </c>
      <c r="U247" s="52">
        <v>1</v>
      </c>
      <c r="V247" s="51"/>
      <c r="W247" s="51"/>
      <c r="X247" s="51"/>
      <c r="Y247" s="53" t="s">
        <v>158</v>
      </c>
      <c r="Z247" s="54">
        <v>1000</v>
      </c>
      <c r="AA247" s="25">
        <f>VLOOKUP(F247,'Zones '!$A$2:$F$2056,6,FALSE)</f>
        <v>1397</v>
      </c>
      <c r="AB247" s="25">
        <f>VLOOKUP(L247,'Zones '!$A$2:$F$2056,6,FALSE)</f>
        <v>1397</v>
      </c>
    </row>
    <row r="248" spans="2:28">
      <c r="B248" s="40">
        <v>0.3125</v>
      </c>
      <c r="C248" s="40" t="s">
        <v>399</v>
      </c>
      <c r="D248" s="44">
        <v>4</v>
      </c>
      <c r="E248" s="45">
        <v>2</v>
      </c>
      <c r="F248" s="42" t="s">
        <v>162</v>
      </c>
      <c r="G248" s="43" t="s">
        <v>156</v>
      </c>
      <c r="H248" s="42" t="s">
        <v>157</v>
      </c>
      <c r="I248" s="43">
        <v>6</v>
      </c>
      <c r="J248" s="43">
        <v>2</v>
      </c>
      <c r="K248" s="25" t="str">
        <f>VLOOKUP(J248,Key!$E$2:$F$9,2,FALSE)</f>
        <v>Work</v>
      </c>
      <c r="L248" s="42" t="s">
        <v>207</v>
      </c>
      <c r="M248" s="43" t="s">
        <v>156</v>
      </c>
      <c r="N248" s="42" t="s">
        <v>157</v>
      </c>
      <c r="O248" s="51">
        <v>6</v>
      </c>
      <c r="P248" s="51">
        <v>2</v>
      </c>
      <c r="Q248" s="25" t="str">
        <f>VLOOKUP(P248,Key!$E$2:$F$9,2,FALSE)</f>
        <v>Work</v>
      </c>
      <c r="R248" s="25" t="str">
        <f t="shared" si="4"/>
        <v>Work-Work</v>
      </c>
      <c r="S248" s="52">
        <v>15</v>
      </c>
      <c r="T248" s="52">
        <v>1.5</v>
      </c>
      <c r="U248" s="52">
        <v>4</v>
      </c>
      <c r="V248" s="51"/>
      <c r="W248" s="51"/>
      <c r="X248" s="51"/>
      <c r="Y248" s="53" t="s">
        <v>158</v>
      </c>
      <c r="Z248" s="54">
        <v>0</v>
      </c>
      <c r="AA248" s="25">
        <f>VLOOKUP(F248,'Zones '!$A$2:$F$2056,6,FALSE)</f>
        <v>1397</v>
      </c>
      <c r="AB248" s="25">
        <f>VLOOKUP(L248,'Zones '!$A$2:$F$2056,6,FALSE)</f>
        <v>1397</v>
      </c>
    </row>
    <row r="249" spans="2:28">
      <c r="B249" s="40">
        <v>0.78888888888888886</v>
      </c>
      <c r="C249" s="40" t="s">
        <v>328</v>
      </c>
      <c r="D249" s="44">
        <v>1</v>
      </c>
      <c r="E249" s="45">
        <v>1</v>
      </c>
      <c r="F249" s="42" t="s">
        <v>150</v>
      </c>
      <c r="G249" s="43" t="s">
        <v>156</v>
      </c>
      <c r="H249" s="42" t="s">
        <v>157</v>
      </c>
      <c r="I249" s="43">
        <v>2</v>
      </c>
      <c r="J249" s="43">
        <v>2</v>
      </c>
      <c r="K249" s="25" t="str">
        <f>VLOOKUP(J249,Key!$E$2:$F$9,2,FALSE)</f>
        <v>Work</v>
      </c>
      <c r="L249" s="42" t="s">
        <v>155</v>
      </c>
      <c r="M249" s="43" t="s">
        <v>156</v>
      </c>
      <c r="N249" s="42" t="s">
        <v>157</v>
      </c>
      <c r="O249" s="51">
        <v>1</v>
      </c>
      <c r="P249" s="51">
        <v>1</v>
      </c>
      <c r="Q249" s="25" t="str">
        <f>VLOOKUP(P249,Key!$E$2:$F$9,2,FALSE)</f>
        <v>Home</v>
      </c>
      <c r="R249" s="25" t="str">
        <f t="shared" si="4"/>
        <v>Work-Home</v>
      </c>
      <c r="S249" s="52">
        <v>1</v>
      </c>
      <c r="T249" s="52">
        <v>0.3</v>
      </c>
      <c r="U249" s="52">
        <v>1</v>
      </c>
      <c r="V249" s="51"/>
      <c r="W249" s="51"/>
      <c r="X249" s="51"/>
      <c r="Y249" s="53" t="s">
        <v>158</v>
      </c>
      <c r="Z249" s="54">
        <v>1000</v>
      </c>
      <c r="AA249" s="25">
        <f>VLOOKUP(F249,'Zones '!$A$2:$F$2056,6,FALSE)</f>
        <v>1397</v>
      </c>
      <c r="AB249" s="25">
        <f>VLOOKUP(L249,'Zones '!$A$2:$F$2056,6,FALSE)</f>
        <v>1397</v>
      </c>
    </row>
    <row r="250" spans="2:28">
      <c r="B250" s="40">
        <v>0.27708333333333335</v>
      </c>
      <c r="C250" s="40" t="s">
        <v>400</v>
      </c>
      <c r="D250" s="45">
        <v>4</v>
      </c>
      <c r="E250" s="42">
        <v>7</v>
      </c>
      <c r="F250" s="42" t="s">
        <v>339</v>
      </c>
      <c r="G250" s="43" t="s">
        <v>187</v>
      </c>
      <c r="H250" s="42" t="s">
        <v>157</v>
      </c>
      <c r="I250" s="43">
        <v>6</v>
      </c>
      <c r="J250" s="43">
        <v>4</v>
      </c>
      <c r="K250" s="25" t="str">
        <f>VLOOKUP(J250,Key!$E$2:$F$9,2,FALSE)</f>
        <v>Commercial</v>
      </c>
      <c r="L250" s="42" t="s">
        <v>155</v>
      </c>
      <c r="M250" s="43" t="s">
        <v>156</v>
      </c>
      <c r="N250" s="42" t="s">
        <v>157</v>
      </c>
      <c r="O250" s="51">
        <v>6</v>
      </c>
      <c r="P250" s="51">
        <v>4</v>
      </c>
      <c r="Q250" s="25" t="str">
        <f>VLOOKUP(P250,Key!$E$2:$F$9,2,FALSE)</f>
        <v>Commercial</v>
      </c>
      <c r="R250" s="25" t="str">
        <f t="shared" si="4"/>
        <v>Commercial-Commercial</v>
      </c>
      <c r="S250" s="52">
        <v>120</v>
      </c>
      <c r="T250" s="52">
        <v>2</v>
      </c>
      <c r="U250" s="52">
        <v>2</v>
      </c>
      <c r="V250" s="51"/>
      <c r="W250" s="51"/>
      <c r="X250" s="51"/>
      <c r="Y250" s="53" t="s">
        <v>158</v>
      </c>
      <c r="Z250" s="54">
        <v>5000</v>
      </c>
      <c r="AA250" s="25">
        <f>VLOOKUP(F250,'Zones '!$A$2:$F$2056,6,FALSE)</f>
        <v>517</v>
      </c>
      <c r="AB250" s="25">
        <f>VLOOKUP(L250,'Zones '!$A$2:$F$2056,6,FALSE)</f>
        <v>1397</v>
      </c>
    </row>
    <row r="251" spans="2:28">
      <c r="B251" s="40">
        <v>0.76041666666666663</v>
      </c>
      <c r="C251" s="40" t="s">
        <v>401</v>
      </c>
      <c r="D251" s="45">
        <v>1</v>
      </c>
      <c r="E251" s="45">
        <v>1</v>
      </c>
      <c r="F251" s="42" t="s">
        <v>150</v>
      </c>
      <c r="G251" s="43" t="s">
        <v>156</v>
      </c>
      <c r="H251" s="42" t="s">
        <v>157</v>
      </c>
      <c r="I251" s="43">
        <v>2</v>
      </c>
      <c r="J251" s="43">
        <v>2</v>
      </c>
      <c r="K251" s="25" t="str">
        <f>VLOOKUP(J251,Key!$E$2:$F$9,2,FALSE)</f>
        <v>Work</v>
      </c>
      <c r="L251" s="42" t="s">
        <v>155</v>
      </c>
      <c r="M251" s="43" t="s">
        <v>156</v>
      </c>
      <c r="N251" s="42" t="s">
        <v>157</v>
      </c>
      <c r="O251" s="51">
        <v>1</v>
      </c>
      <c r="P251" s="51">
        <v>1</v>
      </c>
      <c r="Q251" s="25" t="str">
        <f>VLOOKUP(P251,Key!$E$2:$F$9,2,FALSE)</f>
        <v>Home</v>
      </c>
      <c r="R251" s="25" t="str">
        <f t="shared" si="4"/>
        <v>Work-Home</v>
      </c>
      <c r="S251" s="52">
        <v>1</v>
      </c>
      <c r="T251" s="52">
        <v>0.3</v>
      </c>
      <c r="U251" s="52">
        <v>1</v>
      </c>
      <c r="V251" s="51"/>
      <c r="W251" s="51"/>
      <c r="X251" s="51"/>
      <c r="Y251" s="53" t="s">
        <v>158</v>
      </c>
      <c r="Z251" s="54">
        <v>1000</v>
      </c>
      <c r="AA251" s="25">
        <f>VLOOKUP(F251,'Zones '!$A$2:$F$2056,6,FALSE)</f>
        <v>1397</v>
      </c>
      <c r="AB251" s="25">
        <f>VLOOKUP(L251,'Zones '!$A$2:$F$2056,6,FALSE)</f>
        <v>1397</v>
      </c>
    </row>
    <row r="252" spans="2:28">
      <c r="B252" s="40">
        <v>0.73402777777777783</v>
      </c>
      <c r="C252" s="40" t="s">
        <v>402</v>
      </c>
      <c r="D252" s="45">
        <v>1</v>
      </c>
      <c r="E252" s="45">
        <v>1</v>
      </c>
      <c r="F252" s="42" t="s">
        <v>150</v>
      </c>
      <c r="G252" s="43" t="s">
        <v>156</v>
      </c>
      <c r="H252" s="42" t="s">
        <v>157</v>
      </c>
      <c r="I252" s="43">
        <v>2</v>
      </c>
      <c r="J252" s="43">
        <v>2</v>
      </c>
      <c r="K252" s="25" t="str">
        <f>VLOOKUP(J252,Key!$E$2:$F$9,2,FALSE)</f>
        <v>Work</v>
      </c>
      <c r="L252" s="42" t="s">
        <v>150</v>
      </c>
      <c r="M252" s="43" t="s">
        <v>156</v>
      </c>
      <c r="N252" s="42" t="s">
        <v>157</v>
      </c>
      <c r="O252" s="51">
        <v>1</v>
      </c>
      <c r="P252" s="51">
        <v>1</v>
      </c>
      <c r="Q252" s="25" t="str">
        <f>VLOOKUP(P252,Key!$E$2:$F$9,2,FALSE)</f>
        <v>Home</v>
      </c>
      <c r="R252" s="25" t="str">
        <f t="shared" si="4"/>
        <v>Work-Home</v>
      </c>
      <c r="S252" s="52">
        <v>1</v>
      </c>
      <c r="T252" s="52">
        <v>0.3</v>
      </c>
      <c r="U252" s="52">
        <v>1</v>
      </c>
      <c r="V252" s="51"/>
      <c r="W252" s="51"/>
      <c r="X252" s="51"/>
      <c r="Y252" s="53" t="s">
        <v>158</v>
      </c>
      <c r="Z252" s="54">
        <v>1000</v>
      </c>
      <c r="AA252" s="25">
        <f>VLOOKUP(F252,'Zones '!$A$2:$F$2056,6,FALSE)</f>
        <v>1397</v>
      </c>
      <c r="AB252" s="25">
        <f>VLOOKUP(L252,'Zones '!$A$2:$F$2056,6,FALSE)</f>
        <v>1397</v>
      </c>
    </row>
    <row r="253" spans="2:28">
      <c r="B253" s="40">
        <v>0.72638888888888886</v>
      </c>
      <c r="C253" s="40" t="s">
        <v>403</v>
      </c>
      <c r="D253" s="45">
        <v>4</v>
      </c>
      <c r="E253" s="45">
        <v>1</v>
      </c>
      <c r="F253" s="42" t="s">
        <v>339</v>
      </c>
      <c r="G253" s="43" t="s">
        <v>187</v>
      </c>
      <c r="H253" s="42" t="s">
        <v>157</v>
      </c>
      <c r="I253" s="43">
        <v>6</v>
      </c>
      <c r="J253" s="43">
        <v>4</v>
      </c>
      <c r="K253" s="25" t="str">
        <f>VLOOKUP(J253,Key!$E$2:$F$9,2,FALSE)</f>
        <v>Commercial</v>
      </c>
      <c r="L253" s="42" t="s">
        <v>155</v>
      </c>
      <c r="M253" s="43" t="s">
        <v>156</v>
      </c>
      <c r="N253" s="42" t="s">
        <v>157</v>
      </c>
      <c r="O253" s="51">
        <v>6</v>
      </c>
      <c r="P253" s="51">
        <v>4</v>
      </c>
      <c r="Q253" s="25" t="str">
        <f>VLOOKUP(P253,Key!$E$2:$F$9,2,FALSE)</f>
        <v>Commercial</v>
      </c>
      <c r="R253" s="25" t="str">
        <f t="shared" si="4"/>
        <v>Commercial-Commercial</v>
      </c>
      <c r="S253" s="52">
        <v>20</v>
      </c>
      <c r="T253" s="52">
        <v>0.5</v>
      </c>
      <c r="U253" s="52">
        <v>2</v>
      </c>
      <c r="V253" s="51"/>
      <c r="W253" s="51"/>
      <c r="X253" s="51"/>
      <c r="Y253" s="53" t="s">
        <v>158</v>
      </c>
      <c r="Z253" s="54">
        <v>1000</v>
      </c>
      <c r="AA253" s="25">
        <f>VLOOKUP(F253,'Zones '!$A$2:$F$2056,6,FALSE)</f>
        <v>517</v>
      </c>
      <c r="AB253" s="25">
        <f>VLOOKUP(L253,'Zones '!$A$2:$F$2056,6,FALSE)</f>
        <v>1397</v>
      </c>
    </row>
    <row r="254" spans="2:28">
      <c r="B254" s="40">
        <v>0.71458333333333324</v>
      </c>
      <c r="C254" s="40" t="s">
        <v>174</v>
      </c>
      <c r="D254" s="45">
        <v>1</v>
      </c>
      <c r="E254" s="45">
        <v>1</v>
      </c>
      <c r="F254" s="42" t="s">
        <v>2930</v>
      </c>
      <c r="G254" s="43" t="s">
        <v>156</v>
      </c>
      <c r="H254" s="42" t="s">
        <v>157</v>
      </c>
      <c r="I254" s="43">
        <v>6</v>
      </c>
      <c r="J254" s="43">
        <v>4</v>
      </c>
      <c r="K254" s="25" t="str">
        <f>VLOOKUP(J254,Key!$E$2:$F$9,2,FALSE)</f>
        <v>Commercial</v>
      </c>
      <c r="L254" s="42" t="s">
        <v>155</v>
      </c>
      <c r="M254" s="43" t="s">
        <v>156</v>
      </c>
      <c r="N254" s="42" t="s">
        <v>157</v>
      </c>
      <c r="O254" s="51">
        <v>6</v>
      </c>
      <c r="P254" s="51">
        <v>4</v>
      </c>
      <c r="Q254" s="25" t="str">
        <f>VLOOKUP(P254,Key!$E$2:$F$9,2,FALSE)</f>
        <v>Commercial</v>
      </c>
      <c r="R254" s="25" t="str">
        <f t="shared" ref="R254:R317" si="5">K254&amp;"-"&amp;Q254</f>
        <v>Commercial-Commercial</v>
      </c>
      <c r="S254" s="52">
        <v>20</v>
      </c>
      <c r="T254" s="52">
        <v>0.7</v>
      </c>
      <c r="U254" s="52">
        <v>2</v>
      </c>
      <c r="V254" s="51"/>
      <c r="W254" s="51"/>
      <c r="X254" s="51"/>
      <c r="Y254" s="53" t="s">
        <v>158</v>
      </c>
      <c r="Z254" s="54">
        <v>1000</v>
      </c>
      <c r="AA254" s="25">
        <f>VLOOKUP(F254,'Zones '!$A$2:$F$2056,6,FALSE)</f>
        <v>1393</v>
      </c>
      <c r="AB254" s="25">
        <f>VLOOKUP(L254,'Zones '!$A$2:$F$2056,6,FALSE)</f>
        <v>1397</v>
      </c>
    </row>
    <row r="255" spans="2:28">
      <c r="B255" s="40">
        <v>0.72291666666666676</v>
      </c>
      <c r="C255" s="40" t="s">
        <v>405</v>
      </c>
      <c r="D255" s="45">
        <v>1</v>
      </c>
      <c r="E255" s="45">
        <v>3</v>
      </c>
      <c r="F255" s="42" t="s">
        <v>201</v>
      </c>
      <c r="G255" s="43" t="s">
        <v>201</v>
      </c>
      <c r="H255" s="42" t="s">
        <v>157</v>
      </c>
      <c r="I255" s="43">
        <v>6</v>
      </c>
      <c r="J255" s="43">
        <v>4</v>
      </c>
      <c r="K255" s="25" t="str">
        <f>VLOOKUP(J255,Key!$E$2:$F$9,2,FALSE)</f>
        <v>Commercial</v>
      </c>
      <c r="L255" s="42" t="s">
        <v>162</v>
      </c>
      <c r="M255" s="43" t="s">
        <v>156</v>
      </c>
      <c r="N255" s="42" t="s">
        <v>157</v>
      </c>
      <c r="O255" s="51">
        <v>6</v>
      </c>
      <c r="P255" s="51">
        <v>4</v>
      </c>
      <c r="Q255" s="25" t="str">
        <f>VLOOKUP(P255,Key!$E$2:$F$9,2,FALSE)</f>
        <v>Commercial</v>
      </c>
      <c r="R255" s="25" t="str">
        <f t="shared" si="5"/>
        <v>Commercial-Commercial</v>
      </c>
      <c r="S255" s="52">
        <v>1</v>
      </c>
      <c r="T255" s="52">
        <v>0.3</v>
      </c>
      <c r="U255" s="52">
        <v>2</v>
      </c>
      <c r="V255" s="51"/>
      <c r="W255" s="51"/>
      <c r="X255" s="51"/>
      <c r="Y255" s="53" t="s">
        <v>158</v>
      </c>
      <c r="Z255" s="54">
        <v>5000</v>
      </c>
      <c r="AA255" s="25">
        <f>VLOOKUP(F255,'Zones '!$A$2:$F$2056,6,FALSE)</f>
        <v>328</v>
      </c>
      <c r="AB255" s="25">
        <f>VLOOKUP(L255,'Zones '!$A$2:$F$2056,6,FALSE)</f>
        <v>1397</v>
      </c>
    </row>
    <row r="256" spans="2:28">
      <c r="B256" s="40">
        <v>0.7055555555555556</v>
      </c>
      <c r="C256" s="40" t="s">
        <v>406</v>
      </c>
      <c r="D256" s="44">
        <v>1</v>
      </c>
      <c r="E256" s="45">
        <v>2</v>
      </c>
      <c r="F256" s="42" t="s">
        <v>150</v>
      </c>
      <c r="G256" s="43" t="s">
        <v>156</v>
      </c>
      <c r="H256" s="42" t="s">
        <v>157</v>
      </c>
      <c r="I256" s="43">
        <v>2</v>
      </c>
      <c r="J256" s="43">
        <v>2</v>
      </c>
      <c r="K256" s="25" t="str">
        <f>VLOOKUP(J256,Key!$E$2:$F$9,2,FALSE)</f>
        <v>Work</v>
      </c>
      <c r="L256" s="42" t="s">
        <v>162</v>
      </c>
      <c r="M256" s="43" t="s">
        <v>156</v>
      </c>
      <c r="N256" s="42" t="s">
        <v>157</v>
      </c>
      <c r="O256" s="51">
        <v>1</v>
      </c>
      <c r="P256" s="51">
        <v>1</v>
      </c>
      <c r="Q256" s="25" t="str">
        <f>VLOOKUP(P256,Key!$E$2:$F$9,2,FALSE)</f>
        <v>Home</v>
      </c>
      <c r="R256" s="25" t="str">
        <f t="shared" si="5"/>
        <v>Work-Home</v>
      </c>
      <c r="S256" s="52">
        <v>1</v>
      </c>
      <c r="T256" s="52">
        <v>0.3</v>
      </c>
      <c r="U256" s="52">
        <v>1</v>
      </c>
      <c r="V256" s="51"/>
      <c r="W256" s="51"/>
      <c r="X256" s="51"/>
      <c r="Y256" s="53" t="s">
        <v>158</v>
      </c>
      <c r="Z256" s="54">
        <v>2000</v>
      </c>
      <c r="AA256" s="25">
        <f>VLOOKUP(F256,'Zones '!$A$2:$F$2056,6,FALSE)</f>
        <v>1397</v>
      </c>
      <c r="AB256" s="25">
        <f>VLOOKUP(L256,'Zones '!$A$2:$F$2056,6,FALSE)</f>
        <v>1397</v>
      </c>
    </row>
    <row r="257" spans="2:28">
      <c r="B257" s="40">
        <v>0.68958333333333333</v>
      </c>
      <c r="C257" s="40" t="s">
        <v>407</v>
      </c>
      <c r="D257" s="45">
        <v>4</v>
      </c>
      <c r="E257" s="42">
        <v>3</v>
      </c>
      <c r="F257" s="42" t="s">
        <v>150</v>
      </c>
      <c r="G257" s="43" t="s">
        <v>156</v>
      </c>
      <c r="H257" s="42" t="s">
        <v>157</v>
      </c>
      <c r="I257" s="43">
        <v>6</v>
      </c>
      <c r="J257" s="43">
        <v>4</v>
      </c>
      <c r="K257" s="25" t="str">
        <f>VLOOKUP(J257,Key!$E$2:$F$9,2,FALSE)</f>
        <v>Commercial</v>
      </c>
      <c r="L257" s="42" t="s">
        <v>155</v>
      </c>
      <c r="M257" s="43" t="s">
        <v>156</v>
      </c>
      <c r="N257" s="42" t="s">
        <v>157</v>
      </c>
      <c r="O257" s="51">
        <v>6</v>
      </c>
      <c r="P257" s="51">
        <v>4</v>
      </c>
      <c r="Q257" s="25" t="str">
        <f>VLOOKUP(P257,Key!$E$2:$F$9,2,FALSE)</f>
        <v>Commercial</v>
      </c>
      <c r="R257" s="25" t="str">
        <f t="shared" si="5"/>
        <v>Commercial-Commercial</v>
      </c>
      <c r="S257" s="52">
        <v>1</v>
      </c>
      <c r="T257" s="52">
        <v>0.3</v>
      </c>
      <c r="U257" s="52">
        <v>2</v>
      </c>
      <c r="V257" s="51"/>
      <c r="W257" s="51"/>
      <c r="X257" s="51"/>
      <c r="Y257" s="53" t="s">
        <v>158</v>
      </c>
      <c r="Z257" s="54">
        <v>1000</v>
      </c>
      <c r="AA257" s="25">
        <f>VLOOKUP(F257,'Zones '!$A$2:$F$2056,6,FALSE)</f>
        <v>1397</v>
      </c>
      <c r="AB257" s="25">
        <f>VLOOKUP(L257,'Zones '!$A$2:$F$2056,6,FALSE)</f>
        <v>1397</v>
      </c>
    </row>
    <row r="258" spans="2:28">
      <c r="B258" s="40">
        <v>0.68125000000000002</v>
      </c>
      <c r="C258" s="40" t="s">
        <v>408</v>
      </c>
      <c r="D258" s="45">
        <v>4</v>
      </c>
      <c r="E258" s="45">
        <v>4</v>
      </c>
      <c r="F258" s="42" t="s">
        <v>150</v>
      </c>
      <c r="G258" s="43" t="s">
        <v>156</v>
      </c>
      <c r="H258" s="42" t="s">
        <v>157</v>
      </c>
      <c r="I258" s="43">
        <v>6</v>
      </c>
      <c r="J258" s="43">
        <v>4</v>
      </c>
      <c r="K258" s="25" t="str">
        <f>VLOOKUP(J258,Key!$E$2:$F$9,2,FALSE)</f>
        <v>Commercial</v>
      </c>
      <c r="L258" s="42" t="s">
        <v>162</v>
      </c>
      <c r="M258" s="43" t="s">
        <v>156</v>
      </c>
      <c r="N258" s="42" t="s">
        <v>157</v>
      </c>
      <c r="O258" s="51">
        <v>6</v>
      </c>
      <c r="P258" s="51">
        <v>4</v>
      </c>
      <c r="Q258" s="25" t="str">
        <f>VLOOKUP(P258,Key!$E$2:$F$9,2,FALSE)</f>
        <v>Commercial</v>
      </c>
      <c r="R258" s="25" t="str">
        <f t="shared" si="5"/>
        <v>Commercial-Commercial</v>
      </c>
      <c r="S258" s="52">
        <v>1</v>
      </c>
      <c r="T258" s="52">
        <v>0.3</v>
      </c>
      <c r="U258" s="52">
        <v>2</v>
      </c>
      <c r="V258" s="51"/>
      <c r="W258" s="51"/>
      <c r="X258" s="51"/>
      <c r="Y258" s="53" t="s">
        <v>158</v>
      </c>
      <c r="Z258" s="54">
        <v>1000</v>
      </c>
      <c r="AA258" s="25">
        <f>VLOOKUP(F258,'Zones '!$A$2:$F$2056,6,FALSE)</f>
        <v>1397</v>
      </c>
      <c r="AB258" s="25">
        <f>VLOOKUP(L258,'Zones '!$A$2:$F$2056,6,FALSE)</f>
        <v>1397</v>
      </c>
    </row>
    <row r="259" spans="2:28">
      <c r="B259" s="40">
        <v>0.6743055555555556</v>
      </c>
      <c r="C259" s="40" t="s">
        <v>409</v>
      </c>
      <c r="D259" s="45">
        <v>1</v>
      </c>
      <c r="E259" s="45">
        <v>2</v>
      </c>
      <c r="F259" s="42" t="s">
        <v>162</v>
      </c>
      <c r="G259" s="43" t="s">
        <v>156</v>
      </c>
      <c r="H259" s="42" t="s">
        <v>157</v>
      </c>
      <c r="I259" s="43">
        <v>2</v>
      </c>
      <c r="J259" s="43">
        <v>2</v>
      </c>
      <c r="K259" s="25" t="str">
        <f>VLOOKUP(J259,Key!$E$2:$F$9,2,FALSE)</f>
        <v>Work</v>
      </c>
      <c r="L259" s="42" t="s">
        <v>160</v>
      </c>
      <c r="M259" s="43" t="s">
        <v>156</v>
      </c>
      <c r="N259" s="42" t="s">
        <v>157</v>
      </c>
      <c r="O259" s="51">
        <v>1</v>
      </c>
      <c r="P259" s="51">
        <v>1</v>
      </c>
      <c r="Q259" s="25" t="str">
        <f>VLOOKUP(P259,Key!$E$2:$F$9,2,FALSE)</f>
        <v>Home</v>
      </c>
      <c r="R259" s="25" t="str">
        <f t="shared" si="5"/>
        <v>Work-Home</v>
      </c>
      <c r="S259" s="52">
        <v>2</v>
      </c>
      <c r="T259" s="52">
        <v>0.5</v>
      </c>
      <c r="U259" s="52">
        <v>1</v>
      </c>
      <c r="V259" s="51"/>
      <c r="W259" s="51"/>
      <c r="X259" s="51"/>
      <c r="Y259" s="53" t="s">
        <v>158</v>
      </c>
      <c r="Z259" s="54">
        <v>1000</v>
      </c>
      <c r="AA259" s="25">
        <f>VLOOKUP(F259,'Zones '!$A$2:$F$2056,6,FALSE)</f>
        <v>1397</v>
      </c>
      <c r="AB259" s="25">
        <f>VLOOKUP(L259,'Zones '!$A$2:$F$2056,6,FALSE)</f>
        <v>589</v>
      </c>
    </row>
    <row r="260" spans="2:28">
      <c r="B260" s="40">
        <v>0.66666666666666663</v>
      </c>
      <c r="C260" s="40" t="s">
        <v>410</v>
      </c>
      <c r="D260" s="45">
        <v>1</v>
      </c>
      <c r="E260" s="45">
        <v>1</v>
      </c>
      <c r="F260" s="42" t="s">
        <v>150</v>
      </c>
      <c r="G260" s="43" t="s">
        <v>156</v>
      </c>
      <c r="H260" s="42" t="s">
        <v>157</v>
      </c>
      <c r="I260" s="43">
        <v>2</v>
      </c>
      <c r="J260" s="43">
        <v>2</v>
      </c>
      <c r="K260" s="25" t="str">
        <f>VLOOKUP(J260,Key!$E$2:$F$9,2,FALSE)</f>
        <v>Work</v>
      </c>
      <c r="L260" s="42" t="s">
        <v>162</v>
      </c>
      <c r="M260" s="43" t="s">
        <v>156</v>
      </c>
      <c r="N260" s="42" t="s">
        <v>157</v>
      </c>
      <c r="O260" s="51">
        <v>1</v>
      </c>
      <c r="P260" s="51">
        <v>1</v>
      </c>
      <c r="Q260" s="25" t="str">
        <f>VLOOKUP(P260,Key!$E$2:$F$9,2,FALSE)</f>
        <v>Home</v>
      </c>
      <c r="R260" s="25" t="str">
        <f t="shared" si="5"/>
        <v>Work-Home</v>
      </c>
      <c r="S260" s="52">
        <v>1</v>
      </c>
      <c r="T260" s="52">
        <v>0.1</v>
      </c>
      <c r="U260" s="52">
        <v>1</v>
      </c>
      <c r="V260" s="51"/>
      <c r="W260" s="51"/>
      <c r="X260" s="51"/>
      <c r="Y260" s="53" t="s">
        <v>158</v>
      </c>
      <c r="Z260" s="54">
        <v>0</v>
      </c>
      <c r="AA260" s="25">
        <f>VLOOKUP(F260,'Zones '!$A$2:$F$2056,6,FALSE)</f>
        <v>1397</v>
      </c>
      <c r="AB260" s="25">
        <f>VLOOKUP(L260,'Zones '!$A$2:$F$2056,6,FALSE)</f>
        <v>1397</v>
      </c>
    </row>
    <row r="261" spans="2:28">
      <c r="B261" s="40">
        <v>0.65</v>
      </c>
      <c r="C261" s="40" t="s">
        <v>411</v>
      </c>
      <c r="D261" s="45">
        <v>1</v>
      </c>
      <c r="E261" s="45">
        <v>1</v>
      </c>
      <c r="F261" s="42" t="s">
        <v>150</v>
      </c>
      <c r="G261" s="43" t="s">
        <v>156</v>
      </c>
      <c r="H261" s="42" t="s">
        <v>157</v>
      </c>
      <c r="I261" s="43">
        <v>1</v>
      </c>
      <c r="J261" s="43">
        <v>1</v>
      </c>
      <c r="K261" s="25" t="str">
        <f>VLOOKUP(J261,Key!$E$2:$F$9,2,FALSE)</f>
        <v>Home</v>
      </c>
      <c r="L261" s="42" t="s">
        <v>155</v>
      </c>
      <c r="M261" s="43" t="s">
        <v>156</v>
      </c>
      <c r="N261" s="42" t="s">
        <v>157</v>
      </c>
      <c r="O261" s="51">
        <v>9</v>
      </c>
      <c r="P261" s="51">
        <v>4</v>
      </c>
      <c r="Q261" s="25" t="str">
        <f>VLOOKUP(P261,Key!$E$2:$F$9,2,FALSE)</f>
        <v>Commercial</v>
      </c>
      <c r="R261" s="25" t="str">
        <f t="shared" si="5"/>
        <v>Home-Commercial</v>
      </c>
      <c r="S261" s="52">
        <v>2</v>
      </c>
      <c r="T261" s="52">
        <v>0.3</v>
      </c>
      <c r="U261" s="52">
        <v>4</v>
      </c>
      <c r="V261" s="51"/>
      <c r="W261" s="51"/>
      <c r="X261" s="51"/>
      <c r="Y261" s="53" t="s">
        <v>158</v>
      </c>
      <c r="Z261" s="54">
        <v>1000</v>
      </c>
      <c r="AA261" s="25">
        <f>VLOOKUP(F261,'Zones '!$A$2:$F$2056,6,FALSE)</f>
        <v>1397</v>
      </c>
      <c r="AB261" s="25">
        <f>VLOOKUP(L261,'Zones '!$A$2:$F$2056,6,FALSE)</f>
        <v>1397</v>
      </c>
    </row>
    <row r="262" spans="2:28">
      <c r="B262" s="40">
        <v>0.65763888888888888</v>
      </c>
      <c r="C262" s="40" t="s">
        <v>412</v>
      </c>
      <c r="D262" s="45">
        <v>1</v>
      </c>
      <c r="E262" s="45">
        <v>1</v>
      </c>
      <c r="F262" s="42" t="s">
        <v>201</v>
      </c>
      <c r="G262" s="43" t="s">
        <v>201</v>
      </c>
      <c r="H262" s="42" t="s">
        <v>157</v>
      </c>
      <c r="I262" s="43">
        <v>1</v>
      </c>
      <c r="J262" s="43">
        <v>1</v>
      </c>
      <c r="K262" s="25" t="str">
        <f>VLOOKUP(J262,Key!$E$2:$F$9,2,FALSE)</f>
        <v>Home</v>
      </c>
      <c r="L262" s="42" t="s">
        <v>207</v>
      </c>
      <c r="M262" s="43" t="s">
        <v>156</v>
      </c>
      <c r="N262" s="42" t="s">
        <v>157</v>
      </c>
      <c r="O262" s="51">
        <v>16</v>
      </c>
      <c r="P262" s="51">
        <v>8</v>
      </c>
      <c r="Q262" s="25" t="str">
        <f>VLOOKUP(P262,Key!$E$2:$F$9,2,FALSE)</f>
        <v>Others</v>
      </c>
      <c r="R262" s="25" t="str">
        <f t="shared" si="5"/>
        <v>Home-Others</v>
      </c>
      <c r="S262" s="52">
        <v>2</v>
      </c>
      <c r="T262" s="52">
        <v>1</v>
      </c>
      <c r="U262" s="52">
        <v>4</v>
      </c>
      <c r="V262" s="51"/>
      <c r="W262" s="51"/>
      <c r="X262" s="51"/>
      <c r="Y262" s="53" t="s">
        <v>158</v>
      </c>
      <c r="Z262" s="54">
        <v>1000</v>
      </c>
      <c r="AA262" s="25">
        <f>VLOOKUP(F262,'Zones '!$A$2:$F$2056,6,FALSE)</f>
        <v>328</v>
      </c>
      <c r="AB262" s="25">
        <f>VLOOKUP(L262,'Zones '!$A$2:$F$2056,6,FALSE)</f>
        <v>1397</v>
      </c>
    </row>
    <row r="263" spans="2:28">
      <c r="B263" s="40">
        <v>0.62152777777777779</v>
      </c>
      <c r="C263" s="40" t="s">
        <v>413</v>
      </c>
      <c r="D263" s="45">
        <v>1</v>
      </c>
      <c r="E263" s="45">
        <v>1</v>
      </c>
      <c r="F263" s="42" t="s">
        <v>226</v>
      </c>
      <c r="G263" s="43" t="s">
        <v>156</v>
      </c>
      <c r="H263" s="42" t="s">
        <v>157</v>
      </c>
      <c r="I263" s="43">
        <v>9</v>
      </c>
      <c r="J263" s="43">
        <v>2</v>
      </c>
      <c r="K263" s="25" t="str">
        <f>VLOOKUP(J263,Key!$E$2:$F$9,2,FALSE)</f>
        <v>Work</v>
      </c>
      <c r="L263" s="42" t="s">
        <v>155</v>
      </c>
      <c r="M263" s="43" t="s">
        <v>156</v>
      </c>
      <c r="N263" s="42" t="s">
        <v>157</v>
      </c>
      <c r="O263" s="51">
        <v>1</v>
      </c>
      <c r="P263" s="51">
        <v>1</v>
      </c>
      <c r="Q263" s="25" t="str">
        <f>VLOOKUP(P263,Key!$E$2:$F$9,2,FALSE)</f>
        <v>Home</v>
      </c>
      <c r="R263" s="25" t="str">
        <f t="shared" si="5"/>
        <v>Work-Home</v>
      </c>
      <c r="S263" s="52">
        <v>2</v>
      </c>
      <c r="T263" s="52">
        <v>0.3</v>
      </c>
      <c r="U263" s="52">
        <v>4</v>
      </c>
      <c r="V263" s="51"/>
      <c r="W263" s="51"/>
      <c r="X263" s="51"/>
      <c r="Y263" s="53" t="s">
        <v>158</v>
      </c>
      <c r="Z263" s="54">
        <v>1000</v>
      </c>
      <c r="AA263" s="25">
        <f>VLOOKUP(F263,'Zones '!$A$2:$F$2056,6,FALSE)</f>
        <v>1397</v>
      </c>
      <c r="AB263" s="25">
        <f>VLOOKUP(L263,'Zones '!$A$2:$F$2056,6,FALSE)</f>
        <v>1397</v>
      </c>
    </row>
    <row r="264" spans="2:28">
      <c r="B264" s="40">
        <v>0.6118055555555556</v>
      </c>
      <c r="C264" s="40" t="s">
        <v>414</v>
      </c>
      <c r="D264" s="44">
        <v>4</v>
      </c>
      <c r="E264" s="42">
        <v>2</v>
      </c>
      <c r="F264" s="42" t="s">
        <v>2930</v>
      </c>
      <c r="G264" s="43" t="s">
        <v>156</v>
      </c>
      <c r="H264" s="42" t="s">
        <v>157</v>
      </c>
      <c r="I264" s="43">
        <v>6</v>
      </c>
      <c r="J264" s="43">
        <v>4</v>
      </c>
      <c r="K264" s="25" t="str">
        <f>VLOOKUP(J264,Key!$E$2:$F$9,2,FALSE)</f>
        <v>Commercial</v>
      </c>
      <c r="L264" s="42" t="s">
        <v>155</v>
      </c>
      <c r="M264" s="43" t="s">
        <v>156</v>
      </c>
      <c r="N264" s="42" t="s">
        <v>157</v>
      </c>
      <c r="O264" s="51">
        <v>6</v>
      </c>
      <c r="P264" s="51">
        <v>4</v>
      </c>
      <c r="Q264" s="25" t="str">
        <f>VLOOKUP(P264,Key!$E$2:$F$9,2,FALSE)</f>
        <v>Commercial</v>
      </c>
      <c r="R264" s="25" t="str">
        <f t="shared" si="5"/>
        <v>Commercial-Commercial</v>
      </c>
      <c r="S264" s="52">
        <v>2</v>
      </c>
      <c r="T264" s="52">
        <v>1</v>
      </c>
      <c r="U264" s="52">
        <v>2</v>
      </c>
      <c r="V264" s="51"/>
      <c r="W264" s="51"/>
      <c r="X264" s="51"/>
      <c r="Y264" s="53" t="s">
        <v>158</v>
      </c>
      <c r="Z264" s="54">
        <v>2000</v>
      </c>
      <c r="AA264" s="25">
        <f>VLOOKUP(F264,'Zones '!$A$2:$F$2056,6,FALSE)</f>
        <v>1393</v>
      </c>
      <c r="AB264" s="25">
        <f>VLOOKUP(L264,'Zones '!$A$2:$F$2056,6,FALSE)</f>
        <v>1397</v>
      </c>
    </row>
    <row r="265" spans="2:28">
      <c r="B265" s="40">
        <v>0.60486111111111118</v>
      </c>
      <c r="C265" s="40" t="s">
        <v>415</v>
      </c>
      <c r="D265" s="45">
        <v>4</v>
      </c>
      <c r="E265" s="45">
        <v>2</v>
      </c>
      <c r="F265" s="42" t="s">
        <v>150</v>
      </c>
      <c r="G265" s="43" t="s">
        <v>156</v>
      </c>
      <c r="H265" s="42" t="s">
        <v>157</v>
      </c>
      <c r="I265" s="43">
        <v>6</v>
      </c>
      <c r="J265" s="43">
        <v>4</v>
      </c>
      <c r="K265" s="25" t="str">
        <f>VLOOKUP(J265,Key!$E$2:$F$9,2,FALSE)</f>
        <v>Commercial</v>
      </c>
      <c r="L265" s="42" t="s">
        <v>207</v>
      </c>
      <c r="M265" s="43" t="s">
        <v>156</v>
      </c>
      <c r="N265" s="42" t="s">
        <v>157</v>
      </c>
      <c r="O265" s="51">
        <v>6</v>
      </c>
      <c r="P265" s="51">
        <v>4</v>
      </c>
      <c r="Q265" s="25" t="str">
        <f>VLOOKUP(P265,Key!$E$2:$F$9,2,FALSE)</f>
        <v>Commercial</v>
      </c>
      <c r="R265" s="25" t="str">
        <f t="shared" si="5"/>
        <v>Commercial-Commercial</v>
      </c>
      <c r="S265" s="52">
        <v>1</v>
      </c>
      <c r="T265" s="52">
        <v>0.1</v>
      </c>
      <c r="U265" s="52">
        <v>2</v>
      </c>
      <c r="V265" s="51"/>
      <c r="W265" s="51"/>
      <c r="X265" s="51"/>
      <c r="Y265" s="53" t="s">
        <v>158</v>
      </c>
      <c r="Z265" s="54">
        <v>3000</v>
      </c>
      <c r="AA265" s="25">
        <f>VLOOKUP(F265,'Zones '!$A$2:$F$2056,6,FALSE)</f>
        <v>1397</v>
      </c>
      <c r="AB265" s="25">
        <f>VLOOKUP(L265,'Zones '!$A$2:$F$2056,6,FALSE)</f>
        <v>1397</v>
      </c>
    </row>
    <row r="266" spans="2:28">
      <c r="B266" s="40">
        <v>0.58333333333333337</v>
      </c>
      <c r="C266" s="40" t="s">
        <v>416</v>
      </c>
      <c r="D266" s="44">
        <v>6</v>
      </c>
      <c r="E266" s="45">
        <v>60</v>
      </c>
      <c r="F266" s="42" t="s">
        <v>150</v>
      </c>
      <c r="G266" s="43" t="s">
        <v>156</v>
      </c>
      <c r="H266" s="42" t="s">
        <v>157</v>
      </c>
      <c r="I266" s="43">
        <v>6</v>
      </c>
      <c r="J266" s="43">
        <v>4</v>
      </c>
      <c r="K266" s="25" t="str">
        <f>VLOOKUP(J266,Key!$E$2:$F$9,2,FALSE)</f>
        <v>Commercial</v>
      </c>
      <c r="L266" s="42" t="s">
        <v>155</v>
      </c>
      <c r="M266" s="43" t="s">
        <v>156</v>
      </c>
      <c r="N266" s="42" t="s">
        <v>157</v>
      </c>
      <c r="O266" s="51">
        <v>9</v>
      </c>
      <c r="P266" s="51">
        <v>4</v>
      </c>
      <c r="Q266" s="25" t="str">
        <f>VLOOKUP(P266,Key!$E$2:$F$9,2,FALSE)</f>
        <v>Commercial</v>
      </c>
      <c r="R266" s="25" t="str">
        <f t="shared" si="5"/>
        <v>Commercial-Commercial</v>
      </c>
      <c r="S266" s="52">
        <v>1</v>
      </c>
      <c r="T266" s="52">
        <v>0.3</v>
      </c>
      <c r="U266" s="52">
        <v>3</v>
      </c>
      <c r="V266" s="51"/>
      <c r="W266" s="51"/>
      <c r="X266" s="51"/>
      <c r="Y266" s="53" t="s">
        <v>158</v>
      </c>
      <c r="Z266" s="54">
        <v>5000</v>
      </c>
      <c r="AA266" s="25">
        <f>VLOOKUP(F266,'Zones '!$A$2:$F$2056,6,FALSE)</f>
        <v>1397</v>
      </c>
      <c r="AB266" s="25">
        <f>VLOOKUP(L266,'Zones '!$A$2:$F$2056,6,FALSE)</f>
        <v>1397</v>
      </c>
    </row>
    <row r="267" spans="2:28">
      <c r="B267" s="40">
        <v>0.5756944444444444</v>
      </c>
      <c r="C267" s="40" t="s">
        <v>417</v>
      </c>
      <c r="D267" s="45">
        <v>1</v>
      </c>
      <c r="E267" s="42">
        <v>2</v>
      </c>
      <c r="F267" s="42" t="s">
        <v>224</v>
      </c>
      <c r="G267" s="43" t="s">
        <v>224</v>
      </c>
      <c r="H267" s="42" t="s">
        <v>157</v>
      </c>
      <c r="I267" s="43">
        <v>1</v>
      </c>
      <c r="J267" s="43">
        <v>1</v>
      </c>
      <c r="K267" s="25" t="str">
        <f>VLOOKUP(J267,Key!$E$2:$F$9,2,FALSE)</f>
        <v>Home</v>
      </c>
      <c r="L267" s="42" t="s">
        <v>207</v>
      </c>
      <c r="M267" s="43" t="s">
        <v>156</v>
      </c>
      <c r="N267" s="42" t="s">
        <v>157</v>
      </c>
      <c r="O267" s="51">
        <v>11</v>
      </c>
      <c r="P267" s="51">
        <v>4</v>
      </c>
      <c r="Q267" s="25" t="str">
        <f>VLOOKUP(P267,Key!$E$2:$F$9,2,FALSE)</f>
        <v>Commercial</v>
      </c>
      <c r="R267" s="25" t="str">
        <f t="shared" si="5"/>
        <v>Home-Commercial</v>
      </c>
      <c r="S267" s="52">
        <v>20</v>
      </c>
      <c r="T267" s="52">
        <v>1</v>
      </c>
      <c r="U267" s="52">
        <v>4</v>
      </c>
      <c r="V267" s="51"/>
      <c r="W267" s="51"/>
      <c r="X267" s="51"/>
      <c r="Y267" s="53" t="s">
        <v>158</v>
      </c>
      <c r="Z267" s="54">
        <v>2000</v>
      </c>
      <c r="AA267" s="25">
        <f>VLOOKUP(F267,'Zones '!$A$2:$F$2056,6,FALSE)</f>
        <v>1037</v>
      </c>
      <c r="AB267" s="25">
        <f>VLOOKUP(L267,'Zones '!$A$2:$F$2056,6,FALSE)</f>
        <v>1397</v>
      </c>
    </row>
    <row r="268" spans="2:28">
      <c r="B268" s="40">
        <v>0.57013888888888886</v>
      </c>
      <c r="C268" s="40" t="s">
        <v>418</v>
      </c>
      <c r="D268" s="45">
        <v>3</v>
      </c>
      <c r="E268" s="45">
        <v>3</v>
      </c>
      <c r="F268" s="42" t="s">
        <v>419</v>
      </c>
      <c r="G268" s="43" t="s">
        <v>187</v>
      </c>
      <c r="H268" s="42" t="s">
        <v>157</v>
      </c>
      <c r="I268" s="43">
        <v>11</v>
      </c>
      <c r="J268" s="43">
        <v>4</v>
      </c>
      <c r="K268" s="25" t="str">
        <f>VLOOKUP(J268,Key!$E$2:$F$9,2,FALSE)</f>
        <v>Commercial</v>
      </c>
      <c r="L268" s="42" t="s">
        <v>155</v>
      </c>
      <c r="M268" s="43" t="s">
        <v>156</v>
      </c>
      <c r="N268" s="42" t="s">
        <v>157</v>
      </c>
      <c r="O268" s="51">
        <v>1</v>
      </c>
      <c r="P268" s="51">
        <v>1</v>
      </c>
      <c r="Q268" s="25" t="str">
        <f>VLOOKUP(P268,Key!$E$2:$F$9,2,FALSE)</f>
        <v>Home</v>
      </c>
      <c r="R268" s="25" t="str">
        <f t="shared" si="5"/>
        <v>Commercial-Home</v>
      </c>
      <c r="S268" s="52">
        <v>35</v>
      </c>
      <c r="T268" s="52">
        <v>1.5</v>
      </c>
      <c r="U268" s="52">
        <v>5</v>
      </c>
      <c r="V268" s="51"/>
      <c r="W268" s="51"/>
      <c r="X268" s="51"/>
      <c r="Y268" s="53" t="s">
        <v>158</v>
      </c>
      <c r="Z268" s="54">
        <v>1000</v>
      </c>
      <c r="AA268" s="25">
        <f>VLOOKUP(F268,'Zones '!$A$2:$F$2056,6,FALSE)</f>
        <v>574</v>
      </c>
      <c r="AB268" s="25">
        <f>VLOOKUP(L268,'Zones '!$A$2:$F$2056,6,FALSE)</f>
        <v>1397</v>
      </c>
    </row>
    <row r="269" spans="2:28">
      <c r="B269" s="40">
        <v>0.56319444444444444</v>
      </c>
      <c r="C269" s="40" t="s">
        <v>420</v>
      </c>
      <c r="D269" s="45">
        <v>4</v>
      </c>
      <c r="E269" s="45">
        <v>2</v>
      </c>
      <c r="F269" s="42" t="s">
        <v>196</v>
      </c>
      <c r="G269" s="43" t="s">
        <v>156</v>
      </c>
      <c r="H269" s="42" t="s">
        <v>157</v>
      </c>
      <c r="I269" s="43">
        <v>6</v>
      </c>
      <c r="J269" s="43">
        <v>4</v>
      </c>
      <c r="K269" s="25" t="str">
        <f>VLOOKUP(J269,Key!$E$2:$F$9,2,FALSE)</f>
        <v>Commercial</v>
      </c>
      <c r="L269" s="42" t="s">
        <v>155</v>
      </c>
      <c r="M269" s="43" t="s">
        <v>156</v>
      </c>
      <c r="N269" s="42" t="s">
        <v>157</v>
      </c>
      <c r="O269" s="51">
        <v>6</v>
      </c>
      <c r="P269" s="51">
        <v>4</v>
      </c>
      <c r="Q269" s="25" t="str">
        <f>VLOOKUP(P269,Key!$E$2:$F$9,2,FALSE)</f>
        <v>Commercial</v>
      </c>
      <c r="R269" s="25" t="str">
        <f t="shared" si="5"/>
        <v>Commercial-Commercial</v>
      </c>
      <c r="S269" s="52">
        <v>2</v>
      </c>
      <c r="T269" s="52">
        <v>0.5</v>
      </c>
      <c r="U269" s="52">
        <v>2</v>
      </c>
      <c r="V269" s="51"/>
      <c r="W269" s="51"/>
      <c r="X269" s="51"/>
      <c r="Y269" s="53" t="s">
        <v>158</v>
      </c>
      <c r="Z269" s="54">
        <v>1000</v>
      </c>
      <c r="AA269" s="25">
        <f>VLOOKUP(F269,'Zones '!$A$2:$F$2056,6,FALSE)</f>
        <v>1407</v>
      </c>
      <c r="AB269" s="25">
        <f>VLOOKUP(L269,'Zones '!$A$2:$F$2056,6,FALSE)</f>
        <v>1397</v>
      </c>
    </row>
    <row r="270" spans="2:28">
      <c r="B270" s="40">
        <v>0.55972222222222223</v>
      </c>
      <c r="C270" s="40" t="s">
        <v>421</v>
      </c>
      <c r="D270" s="45">
        <v>4</v>
      </c>
      <c r="E270" s="45">
        <v>2</v>
      </c>
      <c r="F270" s="42" t="s">
        <v>162</v>
      </c>
      <c r="G270" s="43" t="s">
        <v>156</v>
      </c>
      <c r="H270" s="42" t="s">
        <v>157</v>
      </c>
      <c r="I270" s="43">
        <v>6</v>
      </c>
      <c r="J270" s="43">
        <v>4</v>
      </c>
      <c r="K270" s="25" t="str">
        <f>VLOOKUP(J270,Key!$E$2:$F$9,2,FALSE)</f>
        <v>Commercial</v>
      </c>
      <c r="L270" s="42" t="s">
        <v>164</v>
      </c>
      <c r="M270" s="43" t="s">
        <v>156</v>
      </c>
      <c r="N270" s="42" t="s">
        <v>157</v>
      </c>
      <c r="O270" s="51">
        <v>6</v>
      </c>
      <c r="P270" s="51">
        <v>4</v>
      </c>
      <c r="Q270" s="25" t="str">
        <f>VLOOKUP(P270,Key!$E$2:$F$9,2,FALSE)</f>
        <v>Commercial</v>
      </c>
      <c r="R270" s="25" t="str">
        <f t="shared" si="5"/>
        <v>Commercial-Commercial</v>
      </c>
      <c r="S270" s="52">
        <v>2</v>
      </c>
      <c r="T270" s="52">
        <v>0.1</v>
      </c>
      <c r="U270" s="52">
        <v>2</v>
      </c>
      <c r="V270" s="51"/>
      <c r="W270" s="51"/>
      <c r="X270" s="51"/>
      <c r="Y270" s="53" t="s">
        <v>158</v>
      </c>
      <c r="Z270" s="54">
        <v>1000</v>
      </c>
      <c r="AA270" s="25">
        <f>VLOOKUP(F270,'Zones '!$A$2:$F$2056,6,FALSE)</f>
        <v>1397</v>
      </c>
      <c r="AB270" s="25">
        <f>VLOOKUP(L270,'Zones '!$A$2:$F$2056,6,FALSE)</f>
        <v>1397</v>
      </c>
    </row>
    <row r="271" spans="2:28">
      <c r="B271" s="40">
        <v>0.54791666666666672</v>
      </c>
      <c r="C271" s="40" t="s">
        <v>362</v>
      </c>
      <c r="D271" s="44">
        <v>2</v>
      </c>
      <c r="E271" s="45">
        <v>1</v>
      </c>
      <c r="F271" s="42" t="s">
        <v>162</v>
      </c>
      <c r="G271" s="43" t="s">
        <v>156</v>
      </c>
      <c r="H271" s="42" t="s">
        <v>157</v>
      </c>
      <c r="I271" s="43">
        <v>9</v>
      </c>
      <c r="J271" s="43">
        <v>8</v>
      </c>
      <c r="K271" s="25" t="str">
        <f>VLOOKUP(J271,Key!$E$2:$F$9,2,FALSE)</f>
        <v>Others</v>
      </c>
      <c r="L271" s="42" t="s">
        <v>155</v>
      </c>
      <c r="M271" s="43" t="s">
        <v>156</v>
      </c>
      <c r="N271" s="42" t="s">
        <v>157</v>
      </c>
      <c r="O271" s="51">
        <v>1</v>
      </c>
      <c r="P271" s="51">
        <v>1</v>
      </c>
      <c r="Q271" s="25" t="str">
        <f>VLOOKUP(P271,Key!$E$2:$F$9,2,FALSE)</f>
        <v>Home</v>
      </c>
      <c r="R271" s="25" t="str">
        <f t="shared" si="5"/>
        <v>Others-Home</v>
      </c>
      <c r="S271" s="52">
        <v>2</v>
      </c>
      <c r="T271" s="52">
        <v>0.3</v>
      </c>
      <c r="U271" s="52">
        <v>4</v>
      </c>
      <c r="V271" s="51"/>
      <c r="W271" s="51"/>
      <c r="X271" s="51"/>
      <c r="Y271" s="53" t="s">
        <v>158</v>
      </c>
      <c r="Z271" s="54">
        <v>2000</v>
      </c>
      <c r="AA271" s="25">
        <f>VLOOKUP(F271,'Zones '!$A$2:$F$2056,6,FALSE)</f>
        <v>1397</v>
      </c>
      <c r="AB271" s="25">
        <f>VLOOKUP(L271,'Zones '!$A$2:$F$2056,6,FALSE)</f>
        <v>1397</v>
      </c>
    </row>
    <row r="272" spans="2:28">
      <c r="B272" s="40">
        <v>0.54166666666666663</v>
      </c>
      <c r="C272" s="40" t="s">
        <v>366</v>
      </c>
      <c r="D272" s="44">
        <v>1</v>
      </c>
      <c r="E272" s="45">
        <v>1</v>
      </c>
      <c r="F272" s="42" t="s">
        <v>162</v>
      </c>
      <c r="G272" s="43" t="s">
        <v>156</v>
      </c>
      <c r="H272" s="42" t="s">
        <v>157</v>
      </c>
      <c r="I272" s="43">
        <v>2</v>
      </c>
      <c r="J272" s="43">
        <v>2</v>
      </c>
      <c r="K272" s="25" t="str">
        <f>VLOOKUP(J272,Key!$E$2:$F$9,2,FALSE)</f>
        <v>Work</v>
      </c>
      <c r="L272" s="42" t="s">
        <v>160</v>
      </c>
      <c r="M272" s="43" t="s">
        <v>156</v>
      </c>
      <c r="N272" s="42" t="s">
        <v>157</v>
      </c>
      <c r="O272" s="51">
        <v>1</v>
      </c>
      <c r="P272" s="51">
        <v>1</v>
      </c>
      <c r="Q272" s="25" t="str">
        <f>VLOOKUP(P272,Key!$E$2:$F$9,2,FALSE)</f>
        <v>Home</v>
      </c>
      <c r="R272" s="25" t="str">
        <f t="shared" si="5"/>
        <v>Work-Home</v>
      </c>
      <c r="S272" s="52">
        <v>1</v>
      </c>
      <c r="T272" s="52">
        <v>0.3</v>
      </c>
      <c r="U272" s="52">
        <v>2</v>
      </c>
      <c r="V272" s="51"/>
      <c r="W272" s="51"/>
      <c r="X272" s="51"/>
      <c r="Y272" s="53" t="s">
        <v>158</v>
      </c>
      <c r="Z272" s="54">
        <v>4000</v>
      </c>
      <c r="AA272" s="25">
        <f>VLOOKUP(F272,'Zones '!$A$2:$F$2056,6,FALSE)</f>
        <v>1397</v>
      </c>
      <c r="AB272" s="25">
        <f>VLOOKUP(L272,'Zones '!$A$2:$F$2056,6,FALSE)</f>
        <v>589</v>
      </c>
    </row>
    <row r="273" spans="2:28">
      <c r="B273" s="40">
        <v>4.027777777777778E-2</v>
      </c>
      <c r="C273" s="40" t="s">
        <v>422</v>
      </c>
      <c r="D273" s="44">
        <v>6</v>
      </c>
      <c r="E273" s="42">
        <v>4</v>
      </c>
      <c r="F273" s="42" t="s">
        <v>216</v>
      </c>
      <c r="G273" s="43" t="s">
        <v>156</v>
      </c>
      <c r="H273" s="42" t="s">
        <v>157</v>
      </c>
      <c r="I273" s="43">
        <v>16</v>
      </c>
      <c r="J273" s="43">
        <v>8</v>
      </c>
      <c r="K273" s="25" t="str">
        <f>VLOOKUP(J273,Key!$E$2:$F$9,2,FALSE)</f>
        <v>Others</v>
      </c>
      <c r="L273" s="42" t="s">
        <v>160</v>
      </c>
      <c r="M273" s="43" t="s">
        <v>156</v>
      </c>
      <c r="N273" s="42" t="s">
        <v>157</v>
      </c>
      <c r="O273" s="51">
        <v>1</v>
      </c>
      <c r="P273" s="51">
        <v>1</v>
      </c>
      <c r="Q273" s="25" t="str">
        <f>VLOOKUP(P273,Key!$E$2:$F$9,2,FALSE)</f>
        <v>Home</v>
      </c>
      <c r="R273" s="25" t="str">
        <f t="shared" si="5"/>
        <v>Others-Home</v>
      </c>
      <c r="S273" s="52">
        <v>1</v>
      </c>
      <c r="T273" s="52">
        <v>0.3</v>
      </c>
      <c r="U273" s="52"/>
      <c r="V273" s="51"/>
      <c r="W273" s="51"/>
      <c r="X273" s="51"/>
      <c r="Y273" s="53"/>
      <c r="Z273" s="54"/>
      <c r="AA273" s="25">
        <f>VLOOKUP(F273,'Zones '!$A$2:$F$2056,6,FALSE)</f>
        <v>1397</v>
      </c>
      <c r="AB273" s="25">
        <f>VLOOKUP(L273,'Zones '!$A$2:$F$2056,6,FALSE)</f>
        <v>589</v>
      </c>
    </row>
    <row r="274" spans="2:28">
      <c r="B274" s="40">
        <v>3.0555555555555555E-2</v>
      </c>
      <c r="C274" s="40" t="s">
        <v>271</v>
      </c>
      <c r="D274" s="44">
        <v>2</v>
      </c>
      <c r="E274" s="42">
        <v>2</v>
      </c>
      <c r="F274" s="42" t="s">
        <v>224</v>
      </c>
      <c r="G274" s="43" t="s">
        <v>224</v>
      </c>
      <c r="H274" s="42" t="s">
        <v>157</v>
      </c>
      <c r="I274" s="43">
        <v>1</v>
      </c>
      <c r="J274" s="43">
        <v>1</v>
      </c>
      <c r="K274" s="25" t="str">
        <f>VLOOKUP(J274,Key!$E$2:$F$9,2,FALSE)</f>
        <v>Home</v>
      </c>
      <c r="L274" s="42" t="s">
        <v>207</v>
      </c>
      <c r="M274" s="43" t="s">
        <v>156</v>
      </c>
      <c r="N274" s="42" t="s">
        <v>157</v>
      </c>
      <c r="O274" s="51">
        <v>4</v>
      </c>
      <c r="P274" s="51">
        <v>6</v>
      </c>
      <c r="Q274" s="25" t="str">
        <f>VLOOKUP(P274,Key!$E$2:$F$9,2,FALSE)</f>
        <v>Leisure/Social</v>
      </c>
      <c r="R274" s="25" t="str">
        <f t="shared" si="5"/>
        <v>Home-Leisure/Social</v>
      </c>
      <c r="S274" s="52">
        <v>60</v>
      </c>
      <c r="T274" s="52">
        <v>2</v>
      </c>
      <c r="U274" s="52">
        <v>5</v>
      </c>
      <c r="V274" s="51"/>
      <c r="W274" s="51"/>
      <c r="X274" s="51"/>
      <c r="Y274" s="53" t="s">
        <v>158</v>
      </c>
      <c r="Z274" s="54">
        <v>3000</v>
      </c>
      <c r="AA274" s="25">
        <f>VLOOKUP(F274,'Zones '!$A$2:$F$2056,6,FALSE)</f>
        <v>1037</v>
      </c>
      <c r="AB274" s="25">
        <f>VLOOKUP(L274,'Zones '!$A$2:$F$2056,6,FALSE)</f>
        <v>1397</v>
      </c>
    </row>
    <row r="275" spans="2:28">
      <c r="B275" s="40">
        <v>2.4999999999999998E-2</v>
      </c>
      <c r="C275" s="40" t="s">
        <v>210</v>
      </c>
      <c r="D275" s="45">
        <v>1</v>
      </c>
      <c r="E275" s="45">
        <v>1</v>
      </c>
      <c r="F275" s="42" t="s">
        <v>232</v>
      </c>
      <c r="G275" s="43" t="s">
        <v>187</v>
      </c>
      <c r="H275" s="42" t="s">
        <v>157</v>
      </c>
      <c r="I275" s="43">
        <v>2</v>
      </c>
      <c r="J275" s="43">
        <v>2</v>
      </c>
      <c r="K275" s="25" t="str">
        <f>VLOOKUP(J275,Key!$E$2:$F$9,2,FALSE)</f>
        <v>Work</v>
      </c>
      <c r="L275" s="42" t="s">
        <v>179</v>
      </c>
      <c r="M275" s="43" t="s">
        <v>156</v>
      </c>
      <c r="N275" s="42" t="s">
        <v>157</v>
      </c>
      <c r="O275" s="51">
        <v>1</v>
      </c>
      <c r="P275" s="51">
        <v>1</v>
      </c>
      <c r="Q275" s="25" t="str">
        <f>VLOOKUP(P275,Key!$E$2:$F$9,2,FALSE)</f>
        <v>Home</v>
      </c>
      <c r="R275" s="25" t="str">
        <f t="shared" si="5"/>
        <v>Work-Home</v>
      </c>
      <c r="S275" s="52">
        <v>2</v>
      </c>
      <c r="T275" s="52">
        <v>0.3</v>
      </c>
      <c r="U275" s="52">
        <v>4</v>
      </c>
      <c r="V275" s="51"/>
      <c r="W275" s="51"/>
      <c r="X275" s="51"/>
      <c r="Y275" s="53" t="s">
        <v>158</v>
      </c>
      <c r="Z275" s="54">
        <v>1000</v>
      </c>
      <c r="AA275" s="25">
        <f>VLOOKUP(F275,'Zones '!$A$2:$F$2056,6,FALSE)</f>
        <v>558</v>
      </c>
      <c r="AB275" s="25">
        <f>VLOOKUP(L275,'Zones '!$A$2:$F$2056,6,FALSE)</f>
        <v>905</v>
      </c>
    </row>
    <row r="276" spans="2:28">
      <c r="B276" s="40">
        <v>1.3888888888888888E-2</v>
      </c>
      <c r="C276" s="40" t="s">
        <v>423</v>
      </c>
      <c r="D276" s="44">
        <v>1</v>
      </c>
      <c r="E276" s="45">
        <v>1</v>
      </c>
      <c r="F276" s="42" t="s">
        <v>162</v>
      </c>
      <c r="G276" s="43" t="s">
        <v>156</v>
      </c>
      <c r="H276" s="42" t="s">
        <v>157</v>
      </c>
      <c r="I276" s="43">
        <v>1</v>
      </c>
      <c r="J276" s="43">
        <v>1</v>
      </c>
      <c r="K276" s="25" t="str">
        <f>VLOOKUP(J276,Key!$E$2:$F$9,2,FALSE)</f>
        <v>Home</v>
      </c>
      <c r="L276" s="42" t="s">
        <v>207</v>
      </c>
      <c r="M276" s="43" t="s">
        <v>156</v>
      </c>
      <c r="N276" s="42" t="s">
        <v>157</v>
      </c>
      <c r="O276" s="51">
        <v>2</v>
      </c>
      <c r="P276" s="51">
        <v>2</v>
      </c>
      <c r="Q276" s="25" t="str">
        <f>VLOOKUP(P276,Key!$E$2:$F$9,2,FALSE)</f>
        <v>Work</v>
      </c>
      <c r="R276" s="25" t="str">
        <f t="shared" si="5"/>
        <v>Home-Work</v>
      </c>
      <c r="S276" s="52">
        <v>0.5</v>
      </c>
      <c r="T276" s="52">
        <v>0.1</v>
      </c>
      <c r="U276" s="52">
        <v>1</v>
      </c>
      <c r="V276" s="51"/>
      <c r="W276" s="51"/>
      <c r="X276" s="51"/>
      <c r="Y276" s="53" t="s">
        <v>158</v>
      </c>
      <c r="Z276" s="54">
        <v>1000</v>
      </c>
      <c r="AA276" s="25">
        <f>VLOOKUP(F276,'Zones '!$A$2:$F$2056,6,FALSE)</f>
        <v>1397</v>
      </c>
      <c r="AB276" s="25">
        <f>VLOOKUP(L276,'Zones '!$A$2:$F$2056,6,FALSE)</f>
        <v>1397</v>
      </c>
    </row>
    <row r="277" spans="2:28">
      <c r="B277" s="40">
        <v>7.6388888888888886E-3</v>
      </c>
      <c r="C277" s="40" t="s">
        <v>424</v>
      </c>
      <c r="D277" s="45">
        <v>4</v>
      </c>
      <c r="E277" s="45">
        <v>2</v>
      </c>
      <c r="F277" s="42" t="s">
        <v>150</v>
      </c>
      <c r="G277" s="43" t="s">
        <v>156</v>
      </c>
      <c r="H277" s="42" t="s">
        <v>157</v>
      </c>
      <c r="I277" s="43">
        <v>6</v>
      </c>
      <c r="J277" s="43">
        <v>4</v>
      </c>
      <c r="K277" s="25" t="str">
        <f>VLOOKUP(J277,Key!$E$2:$F$9,2,FALSE)</f>
        <v>Commercial</v>
      </c>
      <c r="L277" s="42" t="s">
        <v>207</v>
      </c>
      <c r="M277" s="43" t="s">
        <v>156</v>
      </c>
      <c r="N277" s="42" t="s">
        <v>157</v>
      </c>
      <c r="O277" s="51">
        <v>6</v>
      </c>
      <c r="P277" s="51">
        <v>4</v>
      </c>
      <c r="Q277" s="25" t="str">
        <f>VLOOKUP(P277,Key!$E$2:$F$9,2,FALSE)</f>
        <v>Commercial</v>
      </c>
      <c r="R277" s="25" t="str">
        <f t="shared" si="5"/>
        <v>Commercial-Commercial</v>
      </c>
      <c r="S277" s="52">
        <v>2</v>
      </c>
      <c r="T277" s="52">
        <v>0.5</v>
      </c>
      <c r="U277" s="52">
        <v>2</v>
      </c>
      <c r="V277" s="51"/>
      <c r="W277" s="51"/>
      <c r="X277" s="51"/>
      <c r="Y277" s="53" t="s">
        <v>158</v>
      </c>
      <c r="Z277" s="54">
        <v>5000</v>
      </c>
      <c r="AA277" s="25">
        <f>VLOOKUP(F277,'Zones '!$A$2:$F$2056,6,FALSE)</f>
        <v>1397</v>
      </c>
      <c r="AB277" s="25">
        <f>VLOOKUP(L277,'Zones '!$A$2:$F$2056,6,FALSE)</f>
        <v>1397</v>
      </c>
    </row>
    <row r="278" spans="2:28">
      <c r="B278" s="40">
        <v>1.3194444444444444E-2</v>
      </c>
      <c r="C278" s="40" t="s">
        <v>425</v>
      </c>
      <c r="D278" s="45">
        <v>1</v>
      </c>
      <c r="E278" s="45">
        <v>3</v>
      </c>
      <c r="F278" s="42" t="s">
        <v>150</v>
      </c>
      <c r="G278" s="43" t="s">
        <v>156</v>
      </c>
      <c r="H278" s="42" t="s">
        <v>157</v>
      </c>
      <c r="I278" s="43">
        <v>1</v>
      </c>
      <c r="J278" s="43">
        <v>1</v>
      </c>
      <c r="K278" s="25" t="str">
        <f>VLOOKUP(J278,Key!$E$2:$F$9,2,FALSE)</f>
        <v>Home</v>
      </c>
      <c r="L278" s="42" t="s">
        <v>207</v>
      </c>
      <c r="M278" s="43" t="s">
        <v>156</v>
      </c>
      <c r="N278" s="42" t="s">
        <v>157</v>
      </c>
      <c r="O278" s="51">
        <v>5</v>
      </c>
      <c r="P278" s="51">
        <v>7</v>
      </c>
      <c r="Q278" s="25" t="str">
        <f>VLOOKUP(P278,Key!$E$2:$F$9,2,FALSE)</f>
        <v>Hospital</v>
      </c>
      <c r="R278" s="25" t="str">
        <f t="shared" si="5"/>
        <v>Home-Hospital</v>
      </c>
      <c r="S278" s="52">
        <v>0.5</v>
      </c>
      <c r="T278" s="52">
        <v>0.3</v>
      </c>
      <c r="U278" s="52">
        <v>5</v>
      </c>
      <c r="V278" s="51"/>
      <c r="W278" s="51"/>
      <c r="X278" s="51"/>
      <c r="Y278" s="53" t="s">
        <v>158</v>
      </c>
      <c r="Z278" s="54">
        <v>4000</v>
      </c>
      <c r="AA278" s="25">
        <f>VLOOKUP(F278,'Zones '!$A$2:$F$2056,6,FALSE)</f>
        <v>1397</v>
      </c>
      <c r="AB278" s="25">
        <f>VLOOKUP(L278,'Zones '!$A$2:$F$2056,6,FALSE)</f>
        <v>1397</v>
      </c>
    </row>
    <row r="279" spans="2:28">
      <c r="B279" s="40">
        <v>4.8611111111111112E-3</v>
      </c>
      <c r="C279" s="40" t="s">
        <v>426</v>
      </c>
      <c r="D279" s="44">
        <v>2</v>
      </c>
      <c r="E279" s="45">
        <v>2</v>
      </c>
      <c r="F279" s="42" t="s">
        <v>247</v>
      </c>
      <c r="G279" s="43" t="s">
        <v>187</v>
      </c>
      <c r="H279" s="42" t="s">
        <v>157</v>
      </c>
      <c r="I279" s="43">
        <v>4</v>
      </c>
      <c r="J279" s="43">
        <v>4</v>
      </c>
      <c r="K279" s="25" t="str">
        <f>VLOOKUP(J279,Key!$E$2:$F$9,2,FALSE)</f>
        <v>Commercial</v>
      </c>
      <c r="L279" s="42" t="s">
        <v>155</v>
      </c>
      <c r="M279" s="43" t="s">
        <v>156</v>
      </c>
      <c r="N279" s="42" t="s">
        <v>157</v>
      </c>
      <c r="O279" s="51">
        <v>4</v>
      </c>
      <c r="P279" s="51">
        <v>4</v>
      </c>
      <c r="Q279" s="25" t="str">
        <f>VLOOKUP(P279,Key!$E$2:$F$9,2,FALSE)</f>
        <v>Commercial</v>
      </c>
      <c r="R279" s="25" t="str">
        <f t="shared" si="5"/>
        <v>Commercial-Commercial</v>
      </c>
      <c r="S279" s="52">
        <v>40</v>
      </c>
      <c r="T279" s="52">
        <v>1.5</v>
      </c>
      <c r="U279" s="52">
        <v>6</v>
      </c>
      <c r="V279" s="51"/>
      <c r="W279" s="51"/>
      <c r="X279" s="51"/>
      <c r="Y279" s="53" t="s">
        <v>385</v>
      </c>
      <c r="Z279" s="54">
        <v>0</v>
      </c>
      <c r="AA279" s="25">
        <f>VLOOKUP(F279,'Zones '!$A$2:$F$2056,6,FALSE)</f>
        <v>572</v>
      </c>
      <c r="AB279" s="25">
        <f>VLOOKUP(L279,'Zones '!$A$2:$F$2056,6,FALSE)</f>
        <v>1397</v>
      </c>
    </row>
    <row r="280" spans="2:28">
      <c r="B280" s="40">
        <v>0</v>
      </c>
      <c r="C280" s="40" t="s">
        <v>427</v>
      </c>
      <c r="D280" s="45">
        <v>1</v>
      </c>
      <c r="E280" s="45">
        <v>1</v>
      </c>
      <c r="F280" s="42" t="s">
        <v>162</v>
      </c>
      <c r="G280" s="43" t="s">
        <v>156</v>
      </c>
      <c r="H280" s="42" t="s">
        <v>157</v>
      </c>
      <c r="I280" s="43">
        <v>1</v>
      </c>
      <c r="J280" s="43">
        <v>1</v>
      </c>
      <c r="K280" s="25" t="str">
        <f>VLOOKUP(J280,Key!$E$2:$F$9,2,FALSE)</f>
        <v>Home</v>
      </c>
      <c r="L280" s="42" t="s">
        <v>155</v>
      </c>
      <c r="M280" s="43" t="s">
        <v>156</v>
      </c>
      <c r="N280" s="42" t="s">
        <v>157</v>
      </c>
      <c r="O280" s="51">
        <v>2</v>
      </c>
      <c r="P280" s="51">
        <v>2</v>
      </c>
      <c r="Q280" s="25" t="str">
        <f>VLOOKUP(P280,Key!$E$2:$F$9,2,FALSE)</f>
        <v>Work</v>
      </c>
      <c r="R280" s="25" t="str">
        <f t="shared" si="5"/>
        <v>Home-Work</v>
      </c>
      <c r="S280" s="52">
        <v>1</v>
      </c>
      <c r="T280" s="52">
        <v>0.3</v>
      </c>
      <c r="U280" s="52">
        <v>2</v>
      </c>
      <c r="V280" s="51"/>
      <c r="W280" s="51"/>
      <c r="X280" s="51"/>
      <c r="Y280" s="53" t="s">
        <v>158</v>
      </c>
      <c r="Z280" s="54">
        <v>1000</v>
      </c>
      <c r="AA280" s="25">
        <f>VLOOKUP(F280,'Zones '!$A$2:$F$2056,6,FALSE)</f>
        <v>1397</v>
      </c>
      <c r="AB280" s="25">
        <f>VLOOKUP(L280,'Zones '!$A$2:$F$2056,6,FALSE)</f>
        <v>1397</v>
      </c>
    </row>
    <row r="281" spans="2:28">
      <c r="B281" s="40">
        <v>0.49236111111111108</v>
      </c>
      <c r="C281" s="40" t="s">
        <v>428</v>
      </c>
      <c r="D281" s="45">
        <v>1</v>
      </c>
      <c r="E281" s="45">
        <v>3</v>
      </c>
      <c r="F281" s="42" t="s">
        <v>339</v>
      </c>
      <c r="G281" s="43" t="s">
        <v>187</v>
      </c>
      <c r="H281" s="42" t="s">
        <v>157</v>
      </c>
      <c r="I281" s="43">
        <v>5</v>
      </c>
      <c r="J281" s="43">
        <v>7</v>
      </c>
      <c r="K281" s="25" t="str">
        <f>VLOOKUP(J281,Key!$E$2:$F$9,2,FALSE)</f>
        <v>Hospital</v>
      </c>
      <c r="L281" s="42" t="s">
        <v>162</v>
      </c>
      <c r="M281" s="43" t="s">
        <v>156</v>
      </c>
      <c r="N281" s="42" t="s">
        <v>157</v>
      </c>
      <c r="O281" s="51">
        <v>1</v>
      </c>
      <c r="P281" s="51">
        <v>1</v>
      </c>
      <c r="Q281" s="25" t="str">
        <f>VLOOKUP(P281,Key!$E$2:$F$9,2,FALSE)</f>
        <v>Home</v>
      </c>
      <c r="R281" s="25" t="str">
        <f t="shared" si="5"/>
        <v>Hospital-Home</v>
      </c>
      <c r="S281" s="52">
        <v>30</v>
      </c>
      <c r="T281" s="52">
        <v>1</v>
      </c>
      <c r="U281" s="52">
        <v>5</v>
      </c>
      <c r="V281" s="51"/>
      <c r="W281" s="51"/>
      <c r="X281" s="51"/>
      <c r="Y281" s="53" t="s">
        <v>158</v>
      </c>
      <c r="Z281" s="54">
        <v>3000</v>
      </c>
      <c r="AA281" s="25">
        <f>VLOOKUP(F281,'Zones '!$A$2:$F$2056,6,FALSE)</f>
        <v>517</v>
      </c>
      <c r="AB281" s="25">
        <f>VLOOKUP(L281,'Zones '!$A$2:$F$2056,6,FALSE)</f>
        <v>1397</v>
      </c>
    </row>
    <row r="282" spans="2:28">
      <c r="B282" s="40">
        <v>0.48541666666666666</v>
      </c>
      <c r="C282" s="40" t="s">
        <v>429</v>
      </c>
      <c r="D282" s="45">
        <v>1</v>
      </c>
      <c r="E282" s="45">
        <v>2</v>
      </c>
      <c r="F282" s="42" t="s">
        <v>247</v>
      </c>
      <c r="G282" s="43" t="s">
        <v>187</v>
      </c>
      <c r="H282" s="42" t="s">
        <v>157</v>
      </c>
      <c r="I282" s="43">
        <v>12</v>
      </c>
      <c r="J282" s="43">
        <v>4</v>
      </c>
      <c r="K282" s="25" t="str">
        <f>VLOOKUP(J282,Key!$E$2:$F$9,2,FALSE)</f>
        <v>Commercial</v>
      </c>
      <c r="L282" s="42" t="s">
        <v>155</v>
      </c>
      <c r="M282" s="43" t="s">
        <v>156</v>
      </c>
      <c r="N282" s="42" t="s">
        <v>157</v>
      </c>
      <c r="O282" s="51">
        <v>1</v>
      </c>
      <c r="P282" s="51">
        <v>1</v>
      </c>
      <c r="Q282" s="25" t="str">
        <f>VLOOKUP(P282,Key!$E$2:$F$9,2,FALSE)</f>
        <v>Home</v>
      </c>
      <c r="R282" s="25" t="str">
        <f t="shared" si="5"/>
        <v>Commercial-Home</v>
      </c>
      <c r="S282" s="52">
        <v>45</v>
      </c>
      <c r="T282" s="52">
        <v>1.5</v>
      </c>
      <c r="U282" s="52">
        <v>5</v>
      </c>
      <c r="V282" s="51"/>
      <c r="W282" s="51"/>
      <c r="X282" s="51"/>
      <c r="Y282" s="53" t="s">
        <v>158</v>
      </c>
      <c r="Z282" s="54">
        <v>5000</v>
      </c>
      <c r="AA282" s="25">
        <f>VLOOKUP(F282,'Zones '!$A$2:$F$2056,6,FALSE)</f>
        <v>572</v>
      </c>
      <c r="AB282" s="25">
        <f>VLOOKUP(L282,'Zones '!$A$2:$F$2056,6,FALSE)</f>
        <v>1397</v>
      </c>
    </row>
    <row r="283" spans="2:28">
      <c r="B283" s="40">
        <v>0.47986111111111113</v>
      </c>
      <c r="C283" s="40" t="s">
        <v>277</v>
      </c>
      <c r="D283" s="45">
        <v>6</v>
      </c>
      <c r="E283" s="45">
        <v>64</v>
      </c>
      <c r="F283" s="42" t="s">
        <v>430</v>
      </c>
      <c r="G283" s="43" t="s">
        <v>156</v>
      </c>
      <c r="H283" s="42" t="s">
        <v>157</v>
      </c>
      <c r="I283" s="43">
        <v>10</v>
      </c>
      <c r="J283" s="43">
        <v>2</v>
      </c>
      <c r="K283" s="25" t="str">
        <f>VLOOKUP(J283,Key!$E$2:$F$9,2,FALSE)</f>
        <v>Work</v>
      </c>
      <c r="L283" s="42" t="s">
        <v>155</v>
      </c>
      <c r="M283" s="43" t="s">
        <v>156</v>
      </c>
      <c r="N283" s="42" t="s">
        <v>157</v>
      </c>
      <c r="O283" s="51">
        <v>3</v>
      </c>
      <c r="P283" s="51">
        <v>2</v>
      </c>
      <c r="Q283" s="25" t="str">
        <f>VLOOKUP(P283,Key!$E$2:$F$9,2,FALSE)</f>
        <v>Work</v>
      </c>
      <c r="R283" s="25" t="str">
        <f t="shared" si="5"/>
        <v>Work-Work</v>
      </c>
      <c r="S283" s="52">
        <v>1</v>
      </c>
      <c r="T283" s="52">
        <v>0.3</v>
      </c>
      <c r="U283" s="52">
        <v>3</v>
      </c>
      <c r="V283" s="51"/>
      <c r="W283" s="51"/>
      <c r="X283" s="51"/>
      <c r="Y283" s="53" t="s">
        <v>158</v>
      </c>
      <c r="Z283" s="54">
        <v>1000</v>
      </c>
      <c r="AA283" s="25">
        <f>VLOOKUP(F283,'Zones '!$A$2:$F$2056,6,FALSE)</f>
        <v>526</v>
      </c>
      <c r="AB283" s="25">
        <f>VLOOKUP(L283,'Zones '!$A$2:$F$2056,6,FALSE)</f>
        <v>1397</v>
      </c>
    </row>
    <row r="284" spans="2:28">
      <c r="B284" s="40">
        <v>0.47430555555555554</v>
      </c>
      <c r="C284" s="40" t="s">
        <v>431</v>
      </c>
      <c r="D284" s="45">
        <v>3</v>
      </c>
      <c r="E284" s="45">
        <v>1</v>
      </c>
      <c r="F284" s="42" t="s">
        <v>150</v>
      </c>
      <c r="G284" s="43" t="s">
        <v>156</v>
      </c>
      <c r="H284" s="42" t="s">
        <v>157</v>
      </c>
      <c r="I284" s="43">
        <v>1</v>
      </c>
      <c r="J284" s="43">
        <v>1</v>
      </c>
      <c r="K284" s="25" t="str">
        <f>VLOOKUP(J284,Key!$E$2:$F$9,2,FALSE)</f>
        <v>Home</v>
      </c>
      <c r="L284" s="42" t="s">
        <v>155</v>
      </c>
      <c r="M284" s="43" t="s">
        <v>156</v>
      </c>
      <c r="N284" s="42" t="s">
        <v>157</v>
      </c>
      <c r="O284" s="51">
        <v>2</v>
      </c>
      <c r="P284" s="51">
        <v>2</v>
      </c>
      <c r="Q284" s="25" t="str">
        <f>VLOOKUP(P284,Key!$E$2:$F$9,2,FALSE)</f>
        <v>Work</v>
      </c>
      <c r="R284" s="25" t="str">
        <f t="shared" si="5"/>
        <v>Home-Work</v>
      </c>
      <c r="S284" s="52">
        <v>2</v>
      </c>
      <c r="T284" s="52">
        <v>0.2</v>
      </c>
      <c r="U284" s="52">
        <v>1</v>
      </c>
      <c r="V284" s="51"/>
      <c r="W284" s="51"/>
      <c r="X284" s="51"/>
      <c r="Y284" s="53" t="s">
        <v>158</v>
      </c>
      <c r="Z284" s="54">
        <v>1000</v>
      </c>
      <c r="AA284" s="25">
        <f>VLOOKUP(F284,'Zones '!$A$2:$F$2056,6,FALSE)</f>
        <v>1397</v>
      </c>
      <c r="AB284" s="25">
        <f>VLOOKUP(L284,'Zones '!$A$2:$F$2056,6,FALSE)</f>
        <v>1397</v>
      </c>
    </row>
    <row r="285" spans="2:28">
      <c r="B285" s="40">
        <v>0.47013888888888888</v>
      </c>
      <c r="C285" s="40" t="s">
        <v>432</v>
      </c>
      <c r="D285" s="44">
        <v>4</v>
      </c>
      <c r="E285" s="45">
        <v>5</v>
      </c>
      <c r="F285" s="46" t="s">
        <v>150</v>
      </c>
      <c r="G285" s="43" t="s">
        <v>156</v>
      </c>
      <c r="H285" s="42" t="s">
        <v>157</v>
      </c>
      <c r="I285" s="43">
        <v>6</v>
      </c>
      <c r="J285" s="43">
        <v>2</v>
      </c>
      <c r="K285" s="25" t="str">
        <f>VLOOKUP(J285,Key!$E$2:$F$9,2,FALSE)</f>
        <v>Work</v>
      </c>
      <c r="L285" s="42" t="s">
        <v>160</v>
      </c>
      <c r="M285" s="43" t="s">
        <v>156</v>
      </c>
      <c r="N285" s="42" t="s">
        <v>157</v>
      </c>
      <c r="O285" s="51">
        <v>6</v>
      </c>
      <c r="P285" s="51">
        <v>2</v>
      </c>
      <c r="Q285" s="25" t="str">
        <f>VLOOKUP(P285,Key!$E$2:$F$9,2,FALSE)</f>
        <v>Work</v>
      </c>
      <c r="R285" s="25" t="str">
        <f t="shared" si="5"/>
        <v>Work-Work</v>
      </c>
      <c r="S285" s="52">
        <v>20</v>
      </c>
      <c r="T285" s="52">
        <v>0.1</v>
      </c>
      <c r="U285" s="52">
        <v>2</v>
      </c>
      <c r="V285" s="51"/>
      <c r="W285" s="51"/>
      <c r="X285" s="51"/>
      <c r="Y285" s="53" t="s">
        <v>158</v>
      </c>
      <c r="Z285" s="54">
        <v>3000</v>
      </c>
      <c r="AA285" s="25">
        <f>VLOOKUP(F285,'Zones '!$A$2:$F$2056,6,FALSE)</f>
        <v>1397</v>
      </c>
      <c r="AB285" s="25">
        <f>VLOOKUP(L285,'Zones '!$A$2:$F$2056,6,FALSE)</f>
        <v>589</v>
      </c>
    </row>
    <row r="286" spans="2:28">
      <c r="B286" s="40">
        <v>0.45833333333333331</v>
      </c>
      <c r="C286" s="40" t="s">
        <v>433</v>
      </c>
      <c r="D286" s="44">
        <v>4</v>
      </c>
      <c r="E286" s="45">
        <v>5</v>
      </c>
      <c r="F286" s="42" t="s">
        <v>162</v>
      </c>
      <c r="G286" s="43" t="s">
        <v>156</v>
      </c>
      <c r="H286" s="42" t="s">
        <v>157</v>
      </c>
      <c r="I286" s="43">
        <v>6</v>
      </c>
      <c r="J286" s="43">
        <v>2</v>
      </c>
      <c r="K286" s="25" t="str">
        <f>VLOOKUP(J286,Key!$E$2:$F$9,2,FALSE)</f>
        <v>Work</v>
      </c>
      <c r="L286" s="42" t="s">
        <v>155</v>
      </c>
      <c r="M286" s="43" t="s">
        <v>156</v>
      </c>
      <c r="N286" s="42" t="s">
        <v>157</v>
      </c>
      <c r="O286" s="51">
        <v>6</v>
      </c>
      <c r="P286" s="51">
        <v>2</v>
      </c>
      <c r="Q286" s="25" t="str">
        <f>VLOOKUP(P286,Key!$E$2:$F$9,2,FALSE)</f>
        <v>Work</v>
      </c>
      <c r="R286" s="25" t="str">
        <f t="shared" si="5"/>
        <v>Work-Work</v>
      </c>
      <c r="S286" s="52">
        <v>2</v>
      </c>
      <c r="T286" s="52">
        <v>0.3</v>
      </c>
      <c r="U286" s="52">
        <v>2</v>
      </c>
      <c r="V286" s="51"/>
      <c r="W286" s="51"/>
      <c r="X286" s="51"/>
      <c r="Y286" s="53" t="s">
        <v>158</v>
      </c>
      <c r="Z286" s="54">
        <v>2000</v>
      </c>
      <c r="AA286" s="25">
        <f>VLOOKUP(F286,'Zones '!$A$2:$F$2056,6,FALSE)</f>
        <v>1397</v>
      </c>
      <c r="AB286" s="25">
        <f>VLOOKUP(L286,'Zones '!$A$2:$F$2056,6,FALSE)</f>
        <v>1397</v>
      </c>
    </row>
    <row r="287" spans="2:28">
      <c r="B287" s="40">
        <v>0.45624999999999999</v>
      </c>
      <c r="C287" s="40" t="s">
        <v>434</v>
      </c>
      <c r="D287" s="44">
        <v>9</v>
      </c>
      <c r="E287" s="45">
        <v>1</v>
      </c>
      <c r="F287" s="42" t="s">
        <v>164</v>
      </c>
      <c r="G287" s="43" t="s">
        <v>156</v>
      </c>
      <c r="H287" s="42" t="s">
        <v>157</v>
      </c>
      <c r="I287" s="43">
        <v>3</v>
      </c>
      <c r="J287" s="43">
        <v>2</v>
      </c>
      <c r="K287" s="25" t="str">
        <f>VLOOKUP(J287,Key!$E$2:$F$9,2,FALSE)</f>
        <v>Work</v>
      </c>
      <c r="L287" s="42" t="s">
        <v>155</v>
      </c>
      <c r="M287" s="43" t="s">
        <v>156</v>
      </c>
      <c r="N287" s="42" t="s">
        <v>157</v>
      </c>
      <c r="O287" s="51">
        <v>1</v>
      </c>
      <c r="P287" s="51">
        <v>1</v>
      </c>
      <c r="Q287" s="25" t="str">
        <f>VLOOKUP(P287,Key!$E$2:$F$9,2,FALSE)</f>
        <v>Home</v>
      </c>
      <c r="R287" s="25" t="str">
        <f t="shared" si="5"/>
        <v>Work-Home</v>
      </c>
      <c r="S287" s="52">
        <v>20</v>
      </c>
      <c r="T287" s="52">
        <v>0.3</v>
      </c>
      <c r="U287" s="52">
        <v>1</v>
      </c>
      <c r="V287" s="51"/>
      <c r="W287" s="51"/>
      <c r="X287" s="51"/>
      <c r="Y287" s="53" t="s">
        <v>158</v>
      </c>
      <c r="Z287" s="54">
        <v>2000</v>
      </c>
      <c r="AA287" s="25">
        <f>VLOOKUP(F287,'Zones '!$A$2:$F$2056,6,FALSE)</f>
        <v>1397</v>
      </c>
      <c r="AB287" s="25">
        <f>VLOOKUP(L287,'Zones '!$A$2:$F$2056,6,FALSE)</f>
        <v>1397</v>
      </c>
    </row>
    <row r="288" spans="2:28">
      <c r="B288" s="40">
        <v>0.44861111111111113</v>
      </c>
      <c r="C288" s="40" t="s">
        <v>435</v>
      </c>
      <c r="D288" s="44">
        <v>1</v>
      </c>
      <c r="E288" s="45">
        <v>1</v>
      </c>
      <c r="F288" s="42" t="s">
        <v>150</v>
      </c>
      <c r="G288" s="43" t="s">
        <v>156</v>
      </c>
      <c r="H288" s="42" t="s">
        <v>157</v>
      </c>
      <c r="I288" s="43">
        <v>11</v>
      </c>
      <c r="J288" s="43">
        <v>4</v>
      </c>
      <c r="K288" s="25" t="str">
        <f>VLOOKUP(J288,Key!$E$2:$F$9,2,FALSE)</f>
        <v>Commercial</v>
      </c>
      <c r="L288" s="42" t="s">
        <v>207</v>
      </c>
      <c r="M288" s="43" t="s">
        <v>156</v>
      </c>
      <c r="N288" s="42" t="s">
        <v>157</v>
      </c>
      <c r="O288" s="51">
        <v>1</v>
      </c>
      <c r="P288" s="51">
        <v>1</v>
      </c>
      <c r="Q288" s="25" t="str">
        <f>VLOOKUP(P288,Key!$E$2:$F$9,2,FALSE)</f>
        <v>Home</v>
      </c>
      <c r="R288" s="25" t="str">
        <f t="shared" si="5"/>
        <v>Commercial-Home</v>
      </c>
      <c r="S288" s="52">
        <v>20</v>
      </c>
      <c r="T288" s="52">
        <v>0.3</v>
      </c>
      <c r="U288" s="52">
        <v>4</v>
      </c>
      <c r="V288" s="51"/>
      <c r="W288" s="51"/>
      <c r="X288" s="51"/>
      <c r="Y288" s="53" t="s">
        <v>158</v>
      </c>
      <c r="Z288" s="54">
        <v>3000</v>
      </c>
      <c r="AA288" s="25">
        <f>VLOOKUP(F288,'Zones '!$A$2:$F$2056,6,FALSE)</f>
        <v>1397</v>
      </c>
      <c r="AB288" s="25">
        <f>VLOOKUP(L288,'Zones '!$A$2:$F$2056,6,FALSE)</f>
        <v>1397</v>
      </c>
    </row>
    <row r="289" spans="2:28">
      <c r="B289" s="40">
        <v>0.44236111111111115</v>
      </c>
      <c r="C289" s="40" t="s">
        <v>436</v>
      </c>
      <c r="D289" s="44">
        <v>1</v>
      </c>
      <c r="E289" s="45">
        <v>1</v>
      </c>
      <c r="F289" s="42" t="s">
        <v>187</v>
      </c>
      <c r="G289" s="43" t="s">
        <v>187</v>
      </c>
      <c r="H289" s="42" t="s">
        <v>157</v>
      </c>
      <c r="I289" s="43">
        <v>11</v>
      </c>
      <c r="J289" s="43">
        <v>4</v>
      </c>
      <c r="K289" s="25" t="str">
        <f>VLOOKUP(J289,Key!$E$2:$F$9,2,FALSE)</f>
        <v>Commercial</v>
      </c>
      <c r="L289" s="42" t="s">
        <v>162</v>
      </c>
      <c r="M289" s="43" t="s">
        <v>156</v>
      </c>
      <c r="N289" s="42" t="s">
        <v>157</v>
      </c>
      <c r="O289" s="51">
        <v>7</v>
      </c>
      <c r="P289" s="51">
        <v>4</v>
      </c>
      <c r="Q289" s="25" t="str">
        <f>VLOOKUP(P289,Key!$E$2:$F$9,2,FALSE)</f>
        <v>Commercial</v>
      </c>
      <c r="R289" s="25" t="str">
        <f t="shared" si="5"/>
        <v>Commercial-Commercial</v>
      </c>
      <c r="S289" s="52">
        <v>60</v>
      </c>
      <c r="T289" s="52">
        <v>1</v>
      </c>
      <c r="U289" s="52">
        <v>4</v>
      </c>
      <c r="V289" s="51"/>
      <c r="W289" s="51"/>
      <c r="X289" s="51"/>
      <c r="Y289" s="53" t="s">
        <v>158</v>
      </c>
      <c r="Z289" s="54">
        <v>5000</v>
      </c>
      <c r="AA289" s="25">
        <f>VLOOKUP(F289,'Zones '!$A$2:$F$2056,6,FALSE)</f>
        <v>521</v>
      </c>
      <c r="AB289" s="25">
        <f>VLOOKUP(L289,'Zones '!$A$2:$F$2056,6,FALSE)</f>
        <v>1397</v>
      </c>
    </row>
    <row r="290" spans="2:28">
      <c r="B290" s="40">
        <v>0.43541666666666662</v>
      </c>
      <c r="C290" s="40" t="s">
        <v>185</v>
      </c>
      <c r="D290" s="44">
        <v>4</v>
      </c>
      <c r="E290" s="42">
        <v>1</v>
      </c>
      <c r="F290" s="42" t="s">
        <v>150</v>
      </c>
      <c r="G290" s="43" t="s">
        <v>156</v>
      </c>
      <c r="H290" s="42" t="s">
        <v>157</v>
      </c>
      <c r="I290" s="43">
        <v>2</v>
      </c>
      <c r="J290" s="43">
        <v>2</v>
      </c>
      <c r="K290" s="25" t="str">
        <f>VLOOKUP(J290,Key!$E$2:$F$9,2,FALSE)</f>
        <v>Work</v>
      </c>
      <c r="L290" s="42" t="s">
        <v>162</v>
      </c>
      <c r="M290" s="43" t="s">
        <v>156</v>
      </c>
      <c r="N290" s="42" t="s">
        <v>157</v>
      </c>
      <c r="O290" s="51">
        <v>4</v>
      </c>
      <c r="P290" s="51">
        <v>8</v>
      </c>
      <c r="Q290" s="25" t="str">
        <f>VLOOKUP(P290,Key!$E$2:$F$9,2,FALSE)</f>
        <v>Others</v>
      </c>
      <c r="R290" s="25" t="str">
        <f t="shared" si="5"/>
        <v>Work-Others</v>
      </c>
      <c r="S290" s="52">
        <v>1</v>
      </c>
      <c r="T290" s="52">
        <v>0.3</v>
      </c>
      <c r="U290" s="52">
        <v>3</v>
      </c>
      <c r="V290" s="51"/>
      <c r="W290" s="51"/>
      <c r="X290" s="51"/>
      <c r="Y290" s="53" t="s">
        <v>158</v>
      </c>
      <c r="Z290" s="54">
        <v>2000</v>
      </c>
      <c r="AA290" s="25">
        <f>VLOOKUP(F290,'Zones '!$A$2:$F$2056,6,FALSE)</f>
        <v>1397</v>
      </c>
      <c r="AB290" s="25">
        <f>VLOOKUP(L290,'Zones '!$A$2:$F$2056,6,FALSE)</f>
        <v>1397</v>
      </c>
    </row>
    <row r="291" spans="2:28">
      <c r="B291" s="40">
        <v>0.42708333333333331</v>
      </c>
      <c r="C291" s="40" t="s">
        <v>437</v>
      </c>
      <c r="D291" s="44">
        <v>6</v>
      </c>
      <c r="E291" s="45">
        <v>2</v>
      </c>
      <c r="F291" s="42" t="s">
        <v>150</v>
      </c>
      <c r="G291" s="43" t="s">
        <v>156</v>
      </c>
      <c r="H291" s="42" t="s">
        <v>157</v>
      </c>
      <c r="I291" s="43">
        <v>3</v>
      </c>
      <c r="J291" s="43">
        <v>4</v>
      </c>
      <c r="K291" s="25" t="str">
        <f>VLOOKUP(J291,Key!$E$2:$F$9,2,FALSE)</f>
        <v>Commercial</v>
      </c>
      <c r="L291" s="42" t="s">
        <v>162</v>
      </c>
      <c r="M291" s="43" t="s">
        <v>156</v>
      </c>
      <c r="N291" s="42" t="s">
        <v>157</v>
      </c>
      <c r="O291" s="51">
        <v>3</v>
      </c>
      <c r="P291" s="51">
        <v>4</v>
      </c>
      <c r="Q291" s="25" t="str">
        <f>VLOOKUP(P291,Key!$E$2:$F$9,2,FALSE)</f>
        <v>Commercial</v>
      </c>
      <c r="R291" s="25" t="str">
        <f t="shared" si="5"/>
        <v>Commercial-Commercial</v>
      </c>
      <c r="S291" s="52">
        <v>20</v>
      </c>
      <c r="T291" s="52">
        <v>0.1</v>
      </c>
      <c r="U291" s="52">
        <v>2</v>
      </c>
      <c r="V291" s="51"/>
      <c r="W291" s="51"/>
      <c r="X291" s="51"/>
      <c r="Y291" s="53" t="s">
        <v>158</v>
      </c>
      <c r="Z291" s="54">
        <v>2000</v>
      </c>
      <c r="AA291" s="25">
        <f>VLOOKUP(F291,'Zones '!$A$2:$F$2056,6,FALSE)</f>
        <v>1397</v>
      </c>
      <c r="AB291" s="25">
        <f>VLOOKUP(L291,'Zones '!$A$2:$F$2056,6,FALSE)</f>
        <v>1397</v>
      </c>
    </row>
    <row r="292" spans="2:28">
      <c r="B292" s="40">
        <v>0.41666666666666669</v>
      </c>
      <c r="C292" s="40" t="s">
        <v>193</v>
      </c>
      <c r="D292" s="44">
        <v>8</v>
      </c>
      <c r="E292" s="45">
        <v>2</v>
      </c>
      <c r="F292" s="42" t="s">
        <v>162</v>
      </c>
      <c r="G292" s="43" t="s">
        <v>156</v>
      </c>
      <c r="H292" s="42" t="s">
        <v>157</v>
      </c>
      <c r="I292" s="43">
        <v>3</v>
      </c>
      <c r="J292" s="43">
        <v>4</v>
      </c>
      <c r="K292" s="25" t="str">
        <f>VLOOKUP(J292,Key!$E$2:$F$9,2,FALSE)</f>
        <v>Commercial</v>
      </c>
      <c r="L292" s="42" t="s">
        <v>155</v>
      </c>
      <c r="M292" s="43" t="s">
        <v>156</v>
      </c>
      <c r="N292" s="42" t="s">
        <v>157</v>
      </c>
      <c r="O292" s="51">
        <v>10</v>
      </c>
      <c r="P292" s="51">
        <v>2</v>
      </c>
      <c r="Q292" s="25" t="str">
        <f>VLOOKUP(P292,Key!$E$2:$F$9,2,FALSE)</f>
        <v>Work</v>
      </c>
      <c r="R292" s="25" t="str">
        <f t="shared" si="5"/>
        <v>Commercial-Work</v>
      </c>
      <c r="S292" s="52">
        <v>0.5</v>
      </c>
      <c r="T292" s="52">
        <v>0.3</v>
      </c>
      <c r="U292" s="52">
        <v>4</v>
      </c>
      <c r="V292" s="51">
        <v>4</v>
      </c>
      <c r="W292" s="51">
        <v>2</v>
      </c>
      <c r="X292" s="51">
        <v>0.5</v>
      </c>
      <c r="Y292" s="53" t="s">
        <v>158</v>
      </c>
      <c r="Z292" s="54">
        <v>3000</v>
      </c>
      <c r="AA292" s="25">
        <f>VLOOKUP(F292,'Zones '!$A$2:$F$2056,6,FALSE)</f>
        <v>1397</v>
      </c>
      <c r="AB292" s="25">
        <f>VLOOKUP(L292,'Zones '!$A$2:$F$2056,6,FALSE)</f>
        <v>1397</v>
      </c>
    </row>
    <row r="293" spans="2:28">
      <c r="B293" s="40">
        <v>0.40763888888888888</v>
      </c>
      <c r="C293" s="40" t="s">
        <v>438</v>
      </c>
      <c r="D293" s="44">
        <v>1</v>
      </c>
      <c r="E293" s="45">
        <v>1</v>
      </c>
      <c r="F293" s="42" t="s">
        <v>166</v>
      </c>
      <c r="G293" s="43" t="s">
        <v>156</v>
      </c>
      <c r="H293" s="42" t="s">
        <v>157</v>
      </c>
      <c r="I293" s="43">
        <v>4</v>
      </c>
      <c r="J293" s="43">
        <v>4</v>
      </c>
      <c r="K293" s="25" t="str">
        <f>VLOOKUP(J293,Key!$E$2:$F$9,2,FALSE)</f>
        <v>Commercial</v>
      </c>
      <c r="L293" s="42" t="s">
        <v>155</v>
      </c>
      <c r="M293" s="43" t="s">
        <v>156</v>
      </c>
      <c r="N293" s="42" t="s">
        <v>157</v>
      </c>
      <c r="O293" s="51">
        <v>4</v>
      </c>
      <c r="P293" s="51">
        <v>4</v>
      </c>
      <c r="Q293" s="25" t="str">
        <f>VLOOKUP(P293,Key!$E$2:$F$9,2,FALSE)</f>
        <v>Commercial</v>
      </c>
      <c r="R293" s="25" t="str">
        <f t="shared" si="5"/>
        <v>Commercial-Commercial</v>
      </c>
      <c r="S293" s="52">
        <v>3</v>
      </c>
      <c r="T293" s="52">
        <v>0.6</v>
      </c>
      <c r="U293" s="52">
        <v>1</v>
      </c>
      <c r="V293" s="51"/>
      <c r="W293" s="51"/>
      <c r="X293" s="51"/>
      <c r="Y293" s="53" t="s">
        <v>158</v>
      </c>
      <c r="Z293" s="54">
        <v>5000</v>
      </c>
      <c r="AA293" s="25">
        <f>VLOOKUP(F293,'Zones '!$A$2:$F$2056,6,FALSE)</f>
        <v>1397</v>
      </c>
      <c r="AB293" s="25">
        <f>VLOOKUP(L293,'Zones '!$A$2:$F$2056,6,FALSE)</f>
        <v>1397</v>
      </c>
    </row>
    <row r="294" spans="2:28">
      <c r="B294" s="40">
        <v>0.40069444444444446</v>
      </c>
      <c r="C294" s="40" t="s">
        <v>439</v>
      </c>
      <c r="D294" s="44">
        <v>3</v>
      </c>
      <c r="E294" s="45">
        <v>2</v>
      </c>
      <c r="F294" s="42" t="s">
        <v>162</v>
      </c>
      <c r="G294" s="43" t="s">
        <v>156</v>
      </c>
      <c r="H294" s="42" t="s">
        <v>157</v>
      </c>
      <c r="I294" s="43">
        <v>6</v>
      </c>
      <c r="J294" s="43">
        <v>2</v>
      </c>
      <c r="K294" s="25" t="str">
        <f>VLOOKUP(J294,Key!$E$2:$F$9,2,FALSE)</f>
        <v>Work</v>
      </c>
      <c r="L294" s="42" t="s">
        <v>160</v>
      </c>
      <c r="M294" s="43" t="s">
        <v>156</v>
      </c>
      <c r="N294" s="42" t="s">
        <v>157</v>
      </c>
      <c r="O294" s="51">
        <v>6</v>
      </c>
      <c r="P294" s="51">
        <v>2</v>
      </c>
      <c r="Q294" s="25" t="str">
        <f>VLOOKUP(P294,Key!$E$2:$F$9,2,FALSE)</f>
        <v>Work</v>
      </c>
      <c r="R294" s="25" t="str">
        <f t="shared" si="5"/>
        <v>Work-Work</v>
      </c>
      <c r="S294" s="52">
        <v>2</v>
      </c>
      <c r="T294" s="52">
        <v>0.3</v>
      </c>
      <c r="U294" s="52">
        <v>2</v>
      </c>
      <c r="V294" s="51"/>
      <c r="W294" s="51"/>
      <c r="X294" s="51"/>
      <c r="Y294" s="53" t="s">
        <v>158</v>
      </c>
      <c r="Z294" s="54">
        <v>5000</v>
      </c>
      <c r="AA294" s="25">
        <f>VLOOKUP(F294,'Zones '!$A$2:$F$2056,6,FALSE)</f>
        <v>1397</v>
      </c>
      <c r="AB294" s="25">
        <f>VLOOKUP(L294,'Zones '!$A$2:$F$2056,6,FALSE)</f>
        <v>589</v>
      </c>
    </row>
    <row r="295" spans="2:28">
      <c r="B295" s="40">
        <v>0.38680555555555557</v>
      </c>
      <c r="C295" s="40" t="s">
        <v>440</v>
      </c>
      <c r="D295" s="44">
        <v>1</v>
      </c>
      <c r="E295" s="45">
        <v>1</v>
      </c>
      <c r="F295" s="42" t="s">
        <v>197</v>
      </c>
      <c r="G295" s="43" t="s">
        <v>197</v>
      </c>
      <c r="H295" s="42" t="s">
        <v>157</v>
      </c>
      <c r="I295" s="43">
        <v>7</v>
      </c>
      <c r="J295" s="43">
        <v>4</v>
      </c>
      <c r="K295" s="25" t="str">
        <f>VLOOKUP(J295,Key!$E$2:$F$9,2,FALSE)</f>
        <v>Commercial</v>
      </c>
      <c r="L295" s="42" t="s">
        <v>162</v>
      </c>
      <c r="M295" s="43" t="s">
        <v>156</v>
      </c>
      <c r="N295" s="42" t="s">
        <v>157</v>
      </c>
      <c r="O295" s="51">
        <v>11</v>
      </c>
      <c r="P295" s="51">
        <v>4</v>
      </c>
      <c r="Q295" s="25" t="str">
        <f>VLOOKUP(P295,Key!$E$2:$F$9,2,FALSE)</f>
        <v>Commercial</v>
      </c>
      <c r="R295" s="25" t="str">
        <f t="shared" si="5"/>
        <v>Commercial-Commercial</v>
      </c>
      <c r="S295" s="52">
        <v>120</v>
      </c>
      <c r="T295" s="52">
        <v>3</v>
      </c>
      <c r="U295" s="52">
        <v>4</v>
      </c>
      <c r="V295" s="51"/>
      <c r="W295" s="51"/>
      <c r="X295" s="51"/>
      <c r="Y295" s="53" t="s">
        <v>158</v>
      </c>
      <c r="Z295" s="54">
        <v>5000</v>
      </c>
      <c r="AA295" s="25">
        <f>VLOOKUP(F295,'Zones '!$A$2:$F$2056,6,FALSE)</f>
        <v>937</v>
      </c>
      <c r="AB295" s="25">
        <f>VLOOKUP(L295,'Zones '!$A$2:$F$2056,6,FALSE)</f>
        <v>1397</v>
      </c>
    </row>
    <row r="296" spans="2:28">
      <c r="B296" s="40">
        <v>0.38194444444444442</v>
      </c>
      <c r="C296" s="40" t="s">
        <v>441</v>
      </c>
      <c r="D296" s="44">
        <v>1</v>
      </c>
      <c r="E296" s="45">
        <v>1</v>
      </c>
      <c r="F296" s="42" t="s">
        <v>150</v>
      </c>
      <c r="G296" s="43" t="s">
        <v>156</v>
      </c>
      <c r="H296" s="42" t="s">
        <v>157</v>
      </c>
      <c r="I296" s="43">
        <v>1</v>
      </c>
      <c r="J296" s="43">
        <v>1</v>
      </c>
      <c r="K296" s="25" t="str">
        <f>VLOOKUP(J296,Key!$E$2:$F$9,2,FALSE)</f>
        <v>Home</v>
      </c>
      <c r="L296" s="42" t="s">
        <v>162</v>
      </c>
      <c r="M296" s="43" t="s">
        <v>156</v>
      </c>
      <c r="N296" s="42" t="s">
        <v>157</v>
      </c>
      <c r="O296" s="51">
        <v>2</v>
      </c>
      <c r="P296" s="51">
        <v>2</v>
      </c>
      <c r="Q296" s="25" t="str">
        <f>VLOOKUP(P296,Key!$E$2:$F$9,2,FALSE)</f>
        <v>Work</v>
      </c>
      <c r="R296" s="25" t="str">
        <f t="shared" si="5"/>
        <v>Home-Work</v>
      </c>
      <c r="S296" s="52">
        <v>1</v>
      </c>
      <c r="T296" s="52">
        <v>0.3</v>
      </c>
      <c r="U296" s="52">
        <v>1</v>
      </c>
      <c r="V296" s="51"/>
      <c r="W296" s="51"/>
      <c r="X296" s="51"/>
      <c r="Y296" s="53" t="s">
        <v>158</v>
      </c>
      <c r="Z296" s="54">
        <v>0</v>
      </c>
      <c r="AA296" s="25">
        <f>VLOOKUP(F296,'Zones '!$A$2:$F$2056,6,FALSE)</f>
        <v>1397</v>
      </c>
      <c r="AB296" s="25">
        <f>VLOOKUP(L296,'Zones '!$A$2:$F$2056,6,FALSE)</f>
        <v>1397</v>
      </c>
    </row>
    <row r="297" spans="2:28">
      <c r="B297" s="40">
        <v>0.36527777777777781</v>
      </c>
      <c r="C297" s="40" t="s">
        <v>423</v>
      </c>
      <c r="D297" s="44">
        <v>1</v>
      </c>
      <c r="E297" s="45">
        <v>1</v>
      </c>
      <c r="F297" s="42" t="s">
        <v>2855</v>
      </c>
      <c r="G297" s="43" t="s">
        <v>156</v>
      </c>
      <c r="H297" s="42" t="s">
        <v>157</v>
      </c>
      <c r="I297" s="43">
        <v>1</v>
      </c>
      <c r="J297" s="43">
        <v>1</v>
      </c>
      <c r="K297" s="25" t="str">
        <f>VLOOKUP(J297,Key!$E$2:$F$9,2,FALSE)</f>
        <v>Home</v>
      </c>
      <c r="L297" s="42" t="s">
        <v>443</v>
      </c>
      <c r="M297" s="43" t="s">
        <v>187</v>
      </c>
      <c r="N297" s="42" t="s">
        <v>157</v>
      </c>
      <c r="O297" s="51">
        <v>2</v>
      </c>
      <c r="P297" s="51">
        <v>2</v>
      </c>
      <c r="Q297" s="25" t="str">
        <f>VLOOKUP(P297,Key!$E$2:$F$9,2,FALSE)</f>
        <v>Work</v>
      </c>
      <c r="R297" s="25" t="str">
        <f t="shared" si="5"/>
        <v>Home-Work</v>
      </c>
      <c r="S297" s="52">
        <v>1</v>
      </c>
      <c r="T297" s="52">
        <v>0.3</v>
      </c>
      <c r="U297" s="52">
        <v>2</v>
      </c>
      <c r="V297" s="51"/>
      <c r="W297" s="51"/>
      <c r="X297" s="51"/>
      <c r="Y297" s="53" t="s">
        <v>158</v>
      </c>
      <c r="Z297" s="54">
        <v>1000</v>
      </c>
      <c r="AA297" s="25">
        <f>VLOOKUP(F297,'Zones '!$A$2:$F$2056,6,FALSE)</f>
        <v>1406</v>
      </c>
      <c r="AB297" s="25">
        <f>VLOOKUP(L297,'Zones '!$A$2:$F$2056,6,FALSE)</f>
        <v>1388</v>
      </c>
    </row>
    <row r="298" spans="2:28">
      <c r="B298" s="40">
        <v>0.36458333333333331</v>
      </c>
      <c r="C298" s="40" t="s">
        <v>444</v>
      </c>
      <c r="D298" s="44">
        <v>1</v>
      </c>
      <c r="E298" s="45">
        <v>1</v>
      </c>
      <c r="F298" s="42" t="s">
        <v>339</v>
      </c>
      <c r="G298" s="43" t="s">
        <v>187</v>
      </c>
      <c r="H298" s="42" t="s">
        <v>157</v>
      </c>
      <c r="I298" s="43">
        <v>5</v>
      </c>
      <c r="J298" s="43">
        <v>7</v>
      </c>
      <c r="K298" s="25" t="str">
        <f>VLOOKUP(J298,Key!$E$2:$F$9,2,FALSE)</f>
        <v>Hospital</v>
      </c>
      <c r="L298" s="42" t="s">
        <v>162</v>
      </c>
      <c r="M298" s="43" t="s">
        <v>156</v>
      </c>
      <c r="N298" s="42" t="s">
        <v>157</v>
      </c>
      <c r="O298" s="51">
        <v>1</v>
      </c>
      <c r="P298" s="51">
        <v>1</v>
      </c>
      <c r="Q298" s="25" t="str">
        <f>VLOOKUP(P298,Key!$E$2:$F$9,2,FALSE)</f>
        <v>Home</v>
      </c>
      <c r="R298" s="25" t="str">
        <f t="shared" si="5"/>
        <v>Hospital-Home</v>
      </c>
      <c r="S298" s="52">
        <v>30</v>
      </c>
      <c r="T298" s="52">
        <v>1</v>
      </c>
      <c r="U298" s="52">
        <v>5</v>
      </c>
      <c r="V298" s="51"/>
      <c r="W298" s="51"/>
      <c r="X298" s="51"/>
      <c r="Y298" s="53" t="s">
        <v>158</v>
      </c>
      <c r="Z298" s="54">
        <v>5000</v>
      </c>
      <c r="AA298" s="25">
        <f>VLOOKUP(F298,'Zones '!$A$2:$F$2056,6,FALSE)</f>
        <v>517</v>
      </c>
      <c r="AB298" s="25">
        <f>VLOOKUP(L298,'Zones '!$A$2:$F$2056,6,FALSE)</f>
        <v>1397</v>
      </c>
    </row>
    <row r="299" spans="2:28">
      <c r="B299" s="40">
        <v>0.35486111111111113</v>
      </c>
      <c r="C299" s="40" t="s">
        <v>445</v>
      </c>
      <c r="D299" s="44">
        <v>2</v>
      </c>
      <c r="E299" s="45">
        <v>1</v>
      </c>
      <c r="F299" s="42" t="s">
        <v>150</v>
      </c>
      <c r="G299" s="43" t="s">
        <v>156</v>
      </c>
      <c r="H299" s="42" t="s">
        <v>157</v>
      </c>
      <c r="I299" s="43">
        <v>1</v>
      </c>
      <c r="J299" s="43">
        <v>1</v>
      </c>
      <c r="K299" s="25" t="str">
        <f>VLOOKUP(J299,Key!$E$2:$F$9,2,FALSE)</f>
        <v>Home</v>
      </c>
      <c r="L299" s="42" t="s">
        <v>162</v>
      </c>
      <c r="M299" s="43" t="s">
        <v>156</v>
      </c>
      <c r="N299" s="42" t="s">
        <v>157</v>
      </c>
      <c r="O299" s="51">
        <v>2</v>
      </c>
      <c r="P299" s="51">
        <v>2</v>
      </c>
      <c r="Q299" s="25" t="str">
        <f>VLOOKUP(P299,Key!$E$2:$F$9,2,FALSE)</f>
        <v>Work</v>
      </c>
      <c r="R299" s="25" t="str">
        <f t="shared" si="5"/>
        <v>Home-Work</v>
      </c>
      <c r="S299" s="52">
        <v>2</v>
      </c>
      <c r="T299" s="52">
        <v>0.3</v>
      </c>
      <c r="U299" s="52">
        <v>2</v>
      </c>
      <c r="V299" s="51"/>
      <c r="W299" s="51"/>
      <c r="X299" s="51"/>
      <c r="Y299" s="53" t="s">
        <v>158</v>
      </c>
      <c r="Z299" s="54">
        <v>3000</v>
      </c>
      <c r="AA299" s="25">
        <f>VLOOKUP(F299,'Zones '!$A$2:$F$2056,6,FALSE)</f>
        <v>1397</v>
      </c>
      <c r="AB299" s="25">
        <f>VLOOKUP(L299,'Zones '!$A$2:$F$2056,6,FALSE)</f>
        <v>1397</v>
      </c>
    </row>
    <row r="300" spans="2:28">
      <c r="B300" s="40">
        <v>0.34375</v>
      </c>
      <c r="C300" s="40" t="s">
        <v>446</v>
      </c>
      <c r="D300" s="44">
        <v>7</v>
      </c>
      <c r="E300" s="42">
        <v>2</v>
      </c>
      <c r="F300" s="42" t="s">
        <v>430</v>
      </c>
      <c r="G300" s="43" t="s">
        <v>156</v>
      </c>
      <c r="H300" s="42" t="s">
        <v>157</v>
      </c>
      <c r="I300" s="43">
        <v>3</v>
      </c>
      <c r="J300" s="43">
        <v>2</v>
      </c>
      <c r="K300" s="25" t="str">
        <f>VLOOKUP(J300,Key!$E$2:$F$9,2,FALSE)</f>
        <v>Work</v>
      </c>
      <c r="L300" s="42" t="s">
        <v>364</v>
      </c>
      <c r="M300" s="43" t="s">
        <v>156</v>
      </c>
      <c r="N300" s="42" t="s">
        <v>157</v>
      </c>
      <c r="O300" s="51">
        <v>2</v>
      </c>
      <c r="P300" s="51">
        <v>2</v>
      </c>
      <c r="Q300" s="25" t="str">
        <f>VLOOKUP(P300,Key!$E$2:$F$9,2,FALSE)</f>
        <v>Work</v>
      </c>
      <c r="R300" s="25" t="str">
        <f t="shared" si="5"/>
        <v>Work-Work</v>
      </c>
      <c r="S300" s="52">
        <v>12</v>
      </c>
      <c r="T300" s="52">
        <v>1</v>
      </c>
      <c r="U300" s="52">
        <v>3</v>
      </c>
      <c r="V300" s="51"/>
      <c r="W300" s="51"/>
      <c r="X300" s="51"/>
      <c r="Y300" s="53" t="s">
        <v>158</v>
      </c>
      <c r="Z300" s="54">
        <v>2000</v>
      </c>
      <c r="AA300" s="25">
        <f>VLOOKUP(F300,'Zones '!$A$2:$F$2056,6,FALSE)</f>
        <v>526</v>
      </c>
      <c r="AB300" s="25">
        <f>VLOOKUP(L300,'Zones '!$A$2:$F$2056,6,FALSE)</f>
        <v>1388</v>
      </c>
    </row>
    <row r="301" spans="2:28">
      <c r="B301" s="40">
        <v>0.33055555555555555</v>
      </c>
      <c r="C301" s="40" t="s">
        <v>447</v>
      </c>
      <c r="D301" s="44">
        <v>1</v>
      </c>
      <c r="E301" s="45">
        <v>1</v>
      </c>
      <c r="F301" s="42" t="s">
        <v>150</v>
      </c>
      <c r="G301" s="43" t="s">
        <v>156</v>
      </c>
      <c r="H301" s="42" t="s">
        <v>157</v>
      </c>
      <c r="I301" s="43">
        <v>1</v>
      </c>
      <c r="J301" s="43">
        <v>1</v>
      </c>
      <c r="K301" s="25" t="str">
        <f>VLOOKUP(J301,Key!$E$2:$F$9,2,FALSE)</f>
        <v>Home</v>
      </c>
      <c r="L301" s="42" t="s">
        <v>162</v>
      </c>
      <c r="M301" s="43" t="s">
        <v>156</v>
      </c>
      <c r="N301" s="42" t="s">
        <v>157</v>
      </c>
      <c r="O301" s="51">
        <v>4</v>
      </c>
      <c r="P301" s="51">
        <v>2</v>
      </c>
      <c r="Q301" s="25" t="str">
        <f>VLOOKUP(P301,Key!$E$2:$F$9,2,FALSE)</f>
        <v>Work</v>
      </c>
      <c r="R301" s="25" t="str">
        <f t="shared" si="5"/>
        <v>Home-Work</v>
      </c>
      <c r="S301" s="52">
        <v>2</v>
      </c>
      <c r="T301" s="52">
        <v>0.3</v>
      </c>
      <c r="U301" s="52">
        <v>2</v>
      </c>
      <c r="V301" s="51"/>
      <c r="W301" s="51"/>
      <c r="X301" s="51"/>
      <c r="Y301" s="53" t="s">
        <v>158</v>
      </c>
      <c r="Z301" s="54">
        <v>3000</v>
      </c>
      <c r="AA301" s="25">
        <f>VLOOKUP(F301,'Zones '!$A$2:$F$2056,6,FALSE)</f>
        <v>1397</v>
      </c>
      <c r="AB301" s="25">
        <f>VLOOKUP(L301,'Zones '!$A$2:$F$2056,6,FALSE)</f>
        <v>1397</v>
      </c>
    </row>
    <row r="302" spans="2:28">
      <c r="B302" s="40">
        <v>0.32083333333333336</v>
      </c>
      <c r="C302" s="40" t="s">
        <v>448</v>
      </c>
      <c r="D302" s="44">
        <v>7</v>
      </c>
      <c r="E302" s="45">
        <v>2</v>
      </c>
      <c r="F302" s="42" t="s">
        <v>150</v>
      </c>
      <c r="G302" s="43" t="s">
        <v>156</v>
      </c>
      <c r="H302" s="42" t="s">
        <v>157</v>
      </c>
      <c r="I302" s="43">
        <v>3</v>
      </c>
      <c r="J302" s="43">
        <v>2</v>
      </c>
      <c r="K302" s="25" t="str">
        <f>VLOOKUP(J302,Key!$E$2:$F$9,2,FALSE)</f>
        <v>Work</v>
      </c>
      <c r="L302" s="42" t="s">
        <v>226</v>
      </c>
      <c r="M302" s="43" t="s">
        <v>156</v>
      </c>
      <c r="N302" s="42" t="s">
        <v>157</v>
      </c>
      <c r="O302" s="51">
        <v>3</v>
      </c>
      <c r="P302" s="51">
        <v>2</v>
      </c>
      <c r="Q302" s="25" t="str">
        <f>VLOOKUP(P302,Key!$E$2:$F$9,2,FALSE)</f>
        <v>Work</v>
      </c>
      <c r="R302" s="25" t="str">
        <f t="shared" si="5"/>
        <v>Work-Work</v>
      </c>
      <c r="S302" s="52">
        <v>2</v>
      </c>
      <c r="T302" s="52">
        <v>0.3</v>
      </c>
      <c r="U302" s="52">
        <v>1</v>
      </c>
      <c r="V302" s="51">
        <v>10</v>
      </c>
      <c r="W302" s="51">
        <v>6</v>
      </c>
      <c r="X302" s="51">
        <v>0.95</v>
      </c>
      <c r="Y302" s="53" t="s">
        <v>158</v>
      </c>
      <c r="Z302" s="54">
        <v>1000</v>
      </c>
      <c r="AA302" s="25">
        <f>VLOOKUP(F302,'Zones '!$A$2:$F$2056,6,FALSE)</f>
        <v>1397</v>
      </c>
      <c r="AB302" s="25">
        <f>VLOOKUP(L302,'Zones '!$A$2:$F$2056,6,FALSE)</f>
        <v>1397</v>
      </c>
    </row>
    <row r="303" spans="2:28">
      <c r="B303" s="40">
        <v>0.31597222222222221</v>
      </c>
      <c r="C303" s="40" t="s">
        <v>185</v>
      </c>
      <c r="D303" s="44">
        <v>1</v>
      </c>
      <c r="E303" s="45">
        <v>1</v>
      </c>
      <c r="F303" s="42" t="s">
        <v>430</v>
      </c>
      <c r="G303" s="43" t="s">
        <v>156</v>
      </c>
      <c r="H303" s="42" t="s">
        <v>157</v>
      </c>
      <c r="I303" s="43">
        <v>2</v>
      </c>
      <c r="J303" s="43">
        <v>2</v>
      </c>
      <c r="K303" s="25" t="str">
        <f>VLOOKUP(J303,Key!$E$2:$F$9,2,FALSE)</f>
        <v>Work</v>
      </c>
      <c r="L303" s="42" t="s">
        <v>1654</v>
      </c>
      <c r="M303" s="43" t="s">
        <v>156</v>
      </c>
      <c r="N303" s="42" t="s">
        <v>157</v>
      </c>
      <c r="O303" s="51">
        <v>1</v>
      </c>
      <c r="P303" s="51">
        <v>1</v>
      </c>
      <c r="Q303" s="25" t="str">
        <f>VLOOKUP(P303,Key!$E$2:$F$9,2,FALSE)</f>
        <v>Home</v>
      </c>
      <c r="R303" s="25" t="str">
        <f t="shared" si="5"/>
        <v>Work-Home</v>
      </c>
      <c r="S303" s="52">
        <v>3</v>
      </c>
      <c r="T303" s="52">
        <v>2</v>
      </c>
      <c r="U303" s="52">
        <v>2</v>
      </c>
      <c r="V303" s="51"/>
      <c r="W303" s="51"/>
      <c r="X303" s="51"/>
      <c r="Y303" s="53" t="s">
        <v>158</v>
      </c>
      <c r="Z303" s="54">
        <v>1000</v>
      </c>
      <c r="AA303" s="25">
        <f>VLOOKUP(F303,'Zones '!$A$2:$F$2056,6,FALSE)</f>
        <v>526</v>
      </c>
      <c r="AB303" s="25">
        <f>VLOOKUP(L303,'Zones '!$A$2:$F$2056,6,FALSE)</f>
        <v>553</v>
      </c>
    </row>
    <row r="304" spans="2:28">
      <c r="B304" s="40">
        <v>0.30624999999999997</v>
      </c>
      <c r="C304" s="40" t="s">
        <v>450</v>
      </c>
      <c r="D304" s="44">
        <v>4</v>
      </c>
      <c r="E304" s="45">
        <v>2</v>
      </c>
      <c r="F304" s="42" t="s">
        <v>430</v>
      </c>
      <c r="G304" s="43" t="s">
        <v>156</v>
      </c>
      <c r="H304" s="42" t="s">
        <v>157</v>
      </c>
      <c r="I304" s="43">
        <v>1</v>
      </c>
      <c r="J304" s="43">
        <v>1</v>
      </c>
      <c r="K304" s="25" t="str">
        <f>VLOOKUP(J304,Key!$E$2:$F$9,2,FALSE)</f>
        <v>Home</v>
      </c>
      <c r="L304" s="42" t="s">
        <v>2933</v>
      </c>
      <c r="M304" s="43" t="s">
        <v>156</v>
      </c>
      <c r="N304" s="42" t="s">
        <v>157</v>
      </c>
      <c r="O304" s="51">
        <v>3</v>
      </c>
      <c r="P304" s="51">
        <v>2</v>
      </c>
      <c r="Q304" s="25" t="str">
        <f>VLOOKUP(P304,Key!$E$2:$F$9,2,FALSE)</f>
        <v>Work</v>
      </c>
      <c r="R304" s="25" t="str">
        <f t="shared" si="5"/>
        <v>Home-Work</v>
      </c>
      <c r="S304" s="52">
        <v>2</v>
      </c>
      <c r="T304" s="52">
        <v>0.1</v>
      </c>
      <c r="U304" s="52">
        <v>2</v>
      </c>
      <c r="V304" s="51"/>
      <c r="W304" s="51"/>
      <c r="X304" s="51"/>
      <c r="Y304" s="53" t="s">
        <v>158</v>
      </c>
      <c r="Z304" s="54">
        <v>3000</v>
      </c>
      <c r="AA304" s="25">
        <f>VLOOKUP(F304,'Zones '!$A$2:$F$2056,6,FALSE)</f>
        <v>526</v>
      </c>
      <c r="AB304" s="25">
        <f>VLOOKUP(L304,'Zones '!$A$2:$F$2056,6,FALSE)</f>
        <v>1409</v>
      </c>
    </row>
    <row r="305" spans="2:28">
      <c r="B305" s="40">
        <v>0.30208333333333331</v>
      </c>
      <c r="C305" s="40" t="s">
        <v>330</v>
      </c>
      <c r="D305" s="44">
        <v>3</v>
      </c>
      <c r="E305" s="42">
        <v>1</v>
      </c>
      <c r="F305" s="42" t="s">
        <v>430</v>
      </c>
      <c r="G305" s="43" t="s">
        <v>156</v>
      </c>
      <c r="H305" s="42" t="s">
        <v>157</v>
      </c>
      <c r="I305" s="43">
        <v>1</v>
      </c>
      <c r="J305" s="43">
        <v>1</v>
      </c>
      <c r="K305" s="25" t="str">
        <f>VLOOKUP(J305,Key!$E$2:$F$9,2,FALSE)</f>
        <v>Home</v>
      </c>
      <c r="L305" s="42" t="s">
        <v>155</v>
      </c>
      <c r="M305" s="43" t="s">
        <v>156</v>
      </c>
      <c r="N305" s="42" t="s">
        <v>157</v>
      </c>
      <c r="O305" s="51">
        <v>12</v>
      </c>
      <c r="P305" s="51">
        <v>2</v>
      </c>
      <c r="Q305" s="25" t="str">
        <f>VLOOKUP(P305,Key!$E$2:$F$9,2,FALSE)</f>
        <v>Work</v>
      </c>
      <c r="R305" s="25" t="str">
        <f t="shared" si="5"/>
        <v>Home-Work</v>
      </c>
      <c r="S305" s="52">
        <v>2</v>
      </c>
      <c r="T305" s="52">
        <v>0.3</v>
      </c>
      <c r="U305" s="52">
        <v>2</v>
      </c>
      <c r="V305" s="51">
        <v>5</v>
      </c>
      <c r="W305" s="51"/>
      <c r="X305" s="51">
        <v>0.9</v>
      </c>
      <c r="Y305" s="53" t="s">
        <v>158</v>
      </c>
      <c r="Z305" s="54">
        <v>2000</v>
      </c>
      <c r="AA305" s="25">
        <f>VLOOKUP(F305,'Zones '!$A$2:$F$2056,6,FALSE)</f>
        <v>526</v>
      </c>
      <c r="AB305" s="25">
        <f>VLOOKUP(L305,'Zones '!$A$2:$F$2056,6,FALSE)</f>
        <v>1397</v>
      </c>
    </row>
    <row r="306" spans="2:28">
      <c r="B306" s="40">
        <v>0.29166666666666669</v>
      </c>
      <c r="C306" s="40" t="s">
        <v>452</v>
      </c>
      <c r="D306" s="44">
        <v>1</v>
      </c>
      <c r="E306" s="45">
        <v>1</v>
      </c>
      <c r="F306" s="42" t="s">
        <v>162</v>
      </c>
      <c r="G306" s="43" t="s">
        <v>156</v>
      </c>
      <c r="H306" s="42" t="s">
        <v>157</v>
      </c>
      <c r="I306" s="43">
        <v>1</v>
      </c>
      <c r="J306" s="43">
        <v>1</v>
      </c>
      <c r="K306" s="25" t="str">
        <f>VLOOKUP(J306,Key!$E$2:$F$9,2,FALSE)</f>
        <v>Home</v>
      </c>
      <c r="L306" s="42" t="s">
        <v>207</v>
      </c>
      <c r="M306" s="43" t="s">
        <v>156</v>
      </c>
      <c r="N306" s="42" t="s">
        <v>157</v>
      </c>
      <c r="O306" s="51">
        <v>3</v>
      </c>
      <c r="P306" s="51">
        <v>2</v>
      </c>
      <c r="Q306" s="25" t="str">
        <f>VLOOKUP(P306,Key!$E$2:$F$9,2,FALSE)</f>
        <v>Work</v>
      </c>
      <c r="R306" s="25" t="str">
        <f t="shared" si="5"/>
        <v>Home-Work</v>
      </c>
      <c r="S306" s="52">
        <v>3</v>
      </c>
      <c r="T306" s="52">
        <v>1</v>
      </c>
      <c r="U306" s="52">
        <v>2</v>
      </c>
      <c r="V306" s="51"/>
      <c r="W306" s="51"/>
      <c r="X306" s="51"/>
      <c r="Y306" s="53" t="s">
        <v>158</v>
      </c>
      <c r="Z306" s="54">
        <v>2000</v>
      </c>
      <c r="AA306" s="25">
        <f>VLOOKUP(F306,'Zones '!$A$2:$F$2056,6,FALSE)</f>
        <v>1397</v>
      </c>
      <c r="AB306" s="25">
        <f>VLOOKUP(L306,'Zones '!$A$2:$F$2056,6,FALSE)</f>
        <v>1397</v>
      </c>
    </row>
    <row r="307" spans="2:28">
      <c r="B307" s="40">
        <v>0.80972222222222223</v>
      </c>
      <c r="C307" s="40" t="s">
        <v>757</v>
      </c>
      <c r="D307" s="44">
        <v>4</v>
      </c>
      <c r="E307" s="45">
        <v>2</v>
      </c>
      <c r="F307" s="42" t="s">
        <v>339</v>
      </c>
      <c r="G307" s="43" t="s">
        <v>187</v>
      </c>
      <c r="H307" s="42" t="s">
        <v>157</v>
      </c>
      <c r="I307" s="43">
        <v>6</v>
      </c>
      <c r="J307" s="43">
        <v>4</v>
      </c>
      <c r="K307" s="25" t="str">
        <f>VLOOKUP(J307,Key!$E$2:$F$9,2,FALSE)</f>
        <v>Commercial</v>
      </c>
      <c r="L307" s="42" t="s">
        <v>207</v>
      </c>
      <c r="M307" s="43" t="s">
        <v>156</v>
      </c>
      <c r="N307" s="42" t="s">
        <v>157</v>
      </c>
      <c r="O307" s="51">
        <v>6</v>
      </c>
      <c r="P307" s="51">
        <v>4</v>
      </c>
      <c r="Q307" s="25" t="str">
        <f>VLOOKUP(P307,Key!$E$2:$F$9,2,FALSE)</f>
        <v>Commercial</v>
      </c>
      <c r="R307" s="25" t="str">
        <f t="shared" si="5"/>
        <v>Commercial-Commercial</v>
      </c>
      <c r="S307" s="52">
        <v>20</v>
      </c>
      <c r="T307" s="52">
        <v>1</v>
      </c>
      <c r="U307" s="52">
        <v>2</v>
      </c>
      <c r="V307" s="51"/>
      <c r="W307" s="51"/>
      <c r="X307" s="51"/>
      <c r="Y307" s="53" t="s">
        <v>158</v>
      </c>
      <c r="Z307" s="54">
        <v>2000</v>
      </c>
      <c r="AA307" s="25">
        <f>VLOOKUP(F307,'Zones '!$A$2:$F$2056,6,FALSE)</f>
        <v>517</v>
      </c>
      <c r="AB307" s="25">
        <f>VLOOKUP(L307,'Zones '!$A$2:$F$2056,6,FALSE)</f>
        <v>1397</v>
      </c>
    </row>
    <row r="308" spans="2:28">
      <c r="B308" s="40">
        <v>0.81736111111111109</v>
      </c>
      <c r="C308" s="40" t="s">
        <v>758</v>
      </c>
      <c r="D308" s="44">
        <v>4</v>
      </c>
      <c r="E308" s="45">
        <v>1</v>
      </c>
      <c r="F308" s="42" t="s">
        <v>162</v>
      </c>
      <c r="G308" s="43" t="s">
        <v>156</v>
      </c>
      <c r="H308" s="42" t="s">
        <v>157</v>
      </c>
      <c r="I308" s="43">
        <v>6</v>
      </c>
      <c r="J308" s="43">
        <v>4</v>
      </c>
      <c r="K308" s="25" t="str">
        <f>VLOOKUP(J308,Key!$E$2:$F$9,2,FALSE)</f>
        <v>Commercial</v>
      </c>
      <c r="L308" s="42" t="s">
        <v>207</v>
      </c>
      <c r="M308" s="43" t="s">
        <v>156</v>
      </c>
      <c r="N308" s="42" t="s">
        <v>157</v>
      </c>
      <c r="O308" s="51">
        <v>6</v>
      </c>
      <c r="P308" s="51">
        <v>4</v>
      </c>
      <c r="Q308" s="25" t="str">
        <f>VLOOKUP(P308,Key!$E$2:$F$9,2,FALSE)</f>
        <v>Commercial</v>
      </c>
      <c r="R308" s="25" t="str">
        <f t="shared" si="5"/>
        <v>Commercial-Commercial</v>
      </c>
      <c r="S308" s="52">
        <v>1</v>
      </c>
      <c r="T308" s="52">
        <v>0.1</v>
      </c>
      <c r="U308" s="52">
        <v>2</v>
      </c>
      <c r="V308" s="51"/>
      <c r="W308" s="51"/>
      <c r="X308" s="51"/>
      <c r="Y308" s="53" t="s">
        <v>158</v>
      </c>
      <c r="Z308" s="54">
        <v>1000</v>
      </c>
      <c r="AA308" s="25">
        <f>VLOOKUP(F308,'Zones '!$A$2:$F$2056,6,FALSE)</f>
        <v>1397</v>
      </c>
      <c r="AB308" s="25">
        <f>VLOOKUP(L308,'Zones '!$A$2:$F$2056,6,FALSE)</f>
        <v>1397</v>
      </c>
    </row>
    <row r="309" spans="2:28">
      <c r="B309" s="40">
        <v>0.8208333333333333</v>
      </c>
      <c r="C309" s="40" t="s">
        <v>759</v>
      </c>
      <c r="D309" s="44">
        <v>4</v>
      </c>
      <c r="E309" s="45">
        <v>2</v>
      </c>
      <c r="F309" s="42" t="s">
        <v>760</v>
      </c>
      <c r="G309" s="43" t="s">
        <v>187</v>
      </c>
      <c r="H309" s="42" t="s">
        <v>157</v>
      </c>
      <c r="I309" s="43">
        <v>2</v>
      </c>
      <c r="J309" s="43">
        <v>2</v>
      </c>
      <c r="K309" s="25" t="str">
        <f>VLOOKUP(J309,Key!$E$2:$F$9,2,FALSE)</f>
        <v>Work</v>
      </c>
      <c r="L309" s="42" t="s">
        <v>155</v>
      </c>
      <c r="M309" s="43" t="s">
        <v>156</v>
      </c>
      <c r="N309" s="42" t="s">
        <v>157</v>
      </c>
      <c r="O309" s="51">
        <v>1</v>
      </c>
      <c r="P309" s="51">
        <v>1</v>
      </c>
      <c r="Q309" s="25" t="str">
        <f>VLOOKUP(P309,Key!$E$2:$F$9,2,FALSE)</f>
        <v>Home</v>
      </c>
      <c r="R309" s="25" t="str">
        <f t="shared" si="5"/>
        <v>Work-Home</v>
      </c>
      <c r="S309" s="52">
        <v>40</v>
      </c>
      <c r="T309" s="52">
        <v>2.5</v>
      </c>
      <c r="U309" s="52">
        <v>4</v>
      </c>
      <c r="V309" s="51"/>
      <c r="W309" s="51"/>
      <c r="X309" s="51"/>
      <c r="Y309" s="53" t="s">
        <v>158</v>
      </c>
      <c r="Z309" s="54">
        <v>1000</v>
      </c>
      <c r="AA309" s="25">
        <f>VLOOKUP(F309,'Zones '!$A$2:$F$2056,6,FALSE)</f>
        <v>557</v>
      </c>
      <c r="AB309" s="25">
        <f>VLOOKUP(L309,'Zones '!$A$2:$F$2056,6,FALSE)</f>
        <v>1397</v>
      </c>
    </row>
    <row r="310" spans="2:28">
      <c r="B310" s="40">
        <v>0.82777777777777783</v>
      </c>
      <c r="C310" s="40" t="s">
        <v>761</v>
      </c>
      <c r="D310" s="44">
        <v>1</v>
      </c>
      <c r="E310" s="45">
        <v>1</v>
      </c>
      <c r="F310" s="42" t="s">
        <v>762</v>
      </c>
      <c r="G310" s="43" t="s">
        <v>197</v>
      </c>
      <c r="H310" s="42" t="s">
        <v>157</v>
      </c>
      <c r="I310" s="43">
        <v>1</v>
      </c>
      <c r="J310" s="43">
        <v>1</v>
      </c>
      <c r="K310" s="25" t="str">
        <f>VLOOKUP(J310,Key!$E$2:$F$9,2,FALSE)</f>
        <v>Home</v>
      </c>
      <c r="L310" s="42" t="s">
        <v>155</v>
      </c>
      <c r="M310" s="43" t="s">
        <v>156</v>
      </c>
      <c r="N310" s="42" t="s">
        <v>157</v>
      </c>
      <c r="O310" s="51">
        <v>11</v>
      </c>
      <c r="P310" s="51">
        <v>4</v>
      </c>
      <c r="Q310" s="25" t="str">
        <f>VLOOKUP(P310,Key!$E$2:$F$9,2,FALSE)</f>
        <v>Commercial</v>
      </c>
      <c r="R310" s="25" t="str">
        <f t="shared" si="5"/>
        <v>Home-Commercial</v>
      </c>
      <c r="S310" s="52">
        <v>120</v>
      </c>
      <c r="T310" s="52"/>
      <c r="U310" s="52">
        <v>1</v>
      </c>
      <c r="V310" s="51"/>
      <c r="W310" s="51"/>
      <c r="X310" s="51"/>
      <c r="Y310" s="53" t="s">
        <v>158</v>
      </c>
      <c r="Z310" s="54">
        <v>1000</v>
      </c>
      <c r="AA310" s="25">
        <f>VLOOKUP(F310,'Zones '!$A$2:$F$2056,6,FALSE)</f>
        <v>510</v>
      </c>
      <c r="AB310" s="25">
        <f>VLOOKUP(L310,'Zones '!$A$2:$F$2056,6,FALSE)</f>
        <v>1397</v>
      </c>
    </row>
    <row r="311" spans="2:28">
      <c r="B311" s="40">
        <v>0.84097222222222223</v>
      </c>
      <c r="C311" s="40" t="s">
        <v>763</v>
      </c>
      <c r="D311" s="44">
        <v>1</v>
      </c>
      <c r="E311" s="45">
        <v>2</v>
      </c>
      <c r="F311" s="42" t="s">
        <v>224</v>
      </c>
      <c r="G311" s="43" t="s">
        <v>224</v>
      </c>
      <c r="H311" s="42" t="s">
        <v>157</v>
      </c>
      <c r="I311" s="43">
        <v>1</v>
      </c>
      <c r="J311" s="43">
        <v>1</v>
      </c>
      <c r="K311" s="25" t="str">
        <f>VLOOKUP(J311,Key!$E$2:$F$9,2,FALSE)</f>
        <v>Home</v>
      </c>
      <c r="L311" s="42" t="s">
        <v>155</v>
      </c>
      <c r="M311" s="43" t="s">
        <v>156</v>
      </c>
      <c r="N311" s="42" t="s">
        <v>157</v>
      </c>
      <c r="O311" s="51">
        <v>10</v>
      </c>
      <c r="P311" s="51">
        <v>2</v>
      </c>
      <c r="Q311" s="25" t="str">
        <f>VLOOKUP(P311,Key!$E$2:$F$9,2,FALSE)</f>
        <v>Work</v>
      </c>
      <c r="R311" s="25" t="str">
        <f t="shared" si="5"/>
        <v>Home-Work</v>
      </c>
      <c r="S311" s="52">
        <v>130</v>
      </c>
      <c r="T311" s="52">
        <v>2</v>
      </c>
      <c r="U311" s="52">
        <v>1</v>
      </c>
      <c r="V311" s="51"/>
      <c r="W311" s="51"/>
      <c r="X311" s="51"/>
      <c r="Y311" s="53" t="s">
        <v>158</v>
      </c>
      <c r="Z311" s="54">
        <v>2000</v>
      </c>
      <c r="AA311" s="25">
        <f>VLOOKUP(F311,'Zones '!$A$2:$F$2056,6,FALSE)</f>
        <v>1037</v>
      </c>
      <c r="AB311" s="25">
        <f>VLOOKUP(L311,'Zones '!$A$2:$F$2056,6,FALSE)</f>
        <v>1397</v>
      </c>
    </row>
    <row r="312" spans="2:28">
      <c r="B312" s="40">
        <v>0.84930555555555554</v>
      </c>
      <c r="C312" s="40" t="s">
        <v>764</v>
      </c>
      <c r="D312" s="44">
        <v>1</v>
      </c>
      <c r="E312" s="42">
        <v>1</v>
      </c>
      <c r="F312" s="42" t="s">
        <v>177</v>
      </c>
      <c r="G312" s="43" t="s">
        <v>224</v>
      </c>
      <c r="H312" s="42" t="s">
        <v>157</v>
      </c>
      <c r="I312" s="43">
        <v>1</v>
      </c>
      <c r="J312" s="43">
        <v>1</v>
      </c>
      <c r="K312" s="25" t="str">
        <f>VLOOKUP(J312,Key!$E$2:$F$9,2,FALSE)</f>
        <v>Home</v>
      </c>
      <c r="L312" s="42" t="s">
        <v>207</v>
      </c>
      <c r="M312" s="43" t="s">
        <v>156</v>
      </c>
      <c r="N312" s="42" t="s">
        <v>157</v>
      </c>
      <c r="O312" s="51">
        <v>1</v>
      </c>
      <c r="P312" s="51">
        <v>1</v>
      </c>
      <c r="Q312" s="25" t="str">
        <f>VLOOKUP(P312,Key!$E$2:$F$9,2,FALSE)</f>
        <v>Home</v>
      </c>
      <c r="R312" s="25" t="str">
        <f t="shared" si="5"/>
        <v>Home-Home</v>
      </c>
      <c r="S312" s="52">
        <v>10</v>
      </c>
      <c r="T312" s="52">
        <v>0.5</v>
      </c>
      <c r="U312" s="52">
        <v>3</v>
      </c>
      <c r="V312" s="51"/>
      <c r="W312" s="51"/>
      <c r="X312" s="51"/>
      <c r="Y312" s="53" t="s">
        <v>158</v>
      </c>
      <c r="Z312" s="54">
        <v>1000</v>
      </c>
      <c r="AA312" s="25">
        <f>VLOOKUP(F312,'Zones '!$A$2:$F$2056,6,FALSE)</f>
        <v>1389</v>
      </c>
      <c r="AB312" s="25">
        <f>VLOOKUP(L312,'Zones '!$A$2:$F$2056,6,FALSE)</f>
        <v>1397</v>
      </c>
    </row>
    <row r="313" spans="2:28">
      <c r="B313" s="48">
        <v>0.87430555555555556</v>
      </c>
      <c r="C313" s="48" t="s">
        <v>765</v>
      </c>
      <c r="D313" s="44">
        <v>1</v>
      </c>
      <c r="E313" s="45">
        <v>1</v>
      </c>
      <c r="F313" s="42" t="s">
        <v>150</v>
      </c>
      <c r="G313" s="43" t="s">
        <v>156</v>
      </c>
      <c r="H313" s="42" t="s">
        <v>157</v>
      </c>
      <c r="I313" s="43">
        <v>1</v>
      </c>
      <c r="J313" s="43">
        <v>1</v>
      </c>
      <c r="K313" s="25" t="str">
        <f>VLOOKUP(J313,Key!$E$2:$F$9,2,FALSE)</f>
        <v>Home</v>
      </c>
      <c r="L313" s="42" t="s">
        <v>2855</v>
      </c>
      <c r="M313" s="43" t="s">
        <v>156</v>
      </c>
      <c r="N313" s="42" t="s">
        <v>157</v>
      </c>
      <c r="O313" s="51">
        <v>1</v>
      </c>
      <c r="P313" s="51">
        <v>1</v>
      </c>
      <c r="Q313" s="25" t="str">
        <f>VLOOKUP(P313,Key!$E$2:$F$9,2,FALSE)</f>
        <v>Home</v>
      </c>
      <c r="R313" s="25" t="str">
        <f t="shared" si="5"/>
        <v>Home-Home</v>
      </c>
      <c r="S313" s="52">
        <v>1</v>
      </c>
      <c r="T313" s="52">
        <v>0.3</v>
      </c>
      <c r="U313" s="52">
        <v>1</v>
      </c>
      <c r="V313" s="51"/>
      <c r="W313" s="51"/>
      <c r="X313" s="51"/>
      <c r="Y313" s="53" t="s">
        <v>158</v>
      </c>
      <c r="Z313" s="54">
        <v>1000</v>
      </c>
      <c r="AA313" s="25">
        <f>VLOOKUP(F313,'Zones '!$A$2:$F$2056,6,FALSE)</f>
        <v>1397</v>
      </c>
      <c r="AB313" s="25">
        <f>VLOOKUP(L313,'Zones '!$A$2:$F$2056,6,FALSE)</f>
        <v>1406</v>
      </c>
    </row>
    <row r="314" spans="2:28">
      <c r="B314" s="48">
        <v>0.88680555555555562</v>
      </c>
      <c r="C314" s="48" t="s">
        <v>766</v>
      </c>
      <c r="D314" s="44">
        <v>4</v>
      </c>
      <c r="E314" s="45">
        <v>1</v>
      </c>
      <c r="F314" s="42" t="s">
        <v>150</v>
      </c>
      <c r="G314" s="43" t="s">
        <v>156</v>
      </c>
      <c r="H314" s="42" t="s">
        <v>157</v>
      </c>
      <c r="I314" s="43">
        <v>6</v>
      </c>
      <c r="J314" s="43">
        <v>4</v>
      </c>
      <c r="K314" s="25" t="str">
        <f>VLOOKUP(J314,Key!$E$2:$F$9,2,FALSE)</f>
        <v>Commercial</v>
      </c>
      <c r="L314" s="42" t="s">
        <v>162</v>
      </c>
      <c r="M314" s="43" t="s">
        <v>156</v>
      </c>
      <c r="N314" s="42" t="s">
        <v>157</v>
      </c>
      <c r="O314" s="51">
        <v>6</v>
      </c>
      <c r="P314" s="51">
        <v>4</v>
      </c>
      <c r="Q314" s="25" t="str">
        <f>VLOOKUP(P314,Key!$E$2:$F$9,2,FALSE)</f>
        <v>Commercial</v>
      </c>
      <c r="R314" s="25" t="str">
        <f t="shared" si="5"/>
        <v>Commercial-Commercial</v>
      </c>
      <c r="S314" s="52">
        <v>12</v>
      </c>
      <c r="T314" s="52">
        <v>0.3</v>
      </c>
      <c r="U314" s="52">
        <v>2</v>
      </c>
      <c r="V314" s="51"/>
      <c r="W314" s="51"/>
      <c r="X314" s="51"/>
      <c r="Y314" s="53" t="s">
        <v>158</v>
      </c>
      <c r="Z314" s="54">
        <v>0</v>
      </c>
      <c r="AA314" s="25">
        <f>VLOOKUP(F314,'Zones '!$A$2:$F$2056,6,FALSE)</f>
        <v>1397</v>
      </c>
      <c r="AB314" s="25">
        <f>VLOOKUP(L314,'Zones '!$A$2:$F$2056,6,FALSE)</f>
        <v>1397</v>
      </c>
    </row>
    <row r="315" spans="2:28">
      <c r="B315" s="48">
        <v>0.8930555555555556</v>
      </c>
      <c r="C315" s="48" t="s">
        <v>767</v>
      </c>
      <c r="D315" s="44">
        <v>1</v>
      </c>
      <c r="E315" s="47">
        <v>1</v>
      </c>
      <c r="F315" s="42" t="s">
        <v>150</v>
      </c>
      <c r="G315" s="43" t="s">
        <v>156</v>
      </c>
      <c r="H315" s="42" t="s">
        <v>157</v>
      </c>
      <c r="I315" s="43">
        <v>1</v>
      </c>
      <c r="J315" s="43">
        <v>1</v>
      </c>
      <c r="K315" s="25" t="str">
        <f>VLOOKUP(J315,Key!$E$2:$F$9,2,FALSE)</f>
        <v>Home</v>
      </c>
      <c r="L315" s="42" t="s">
        <v>155</v>
      </c>
      <c r="M315" s="43" t="s">
        <v>156</v>
      </c>
      <c r="N315" s="42" t="s">
        <v>157</v>
      </c>
      <c r="O315" s="51">
        <v>1</v>
      </c>
      <c r="P315" s="51">
        <v>1</v>
      </c>
      <c r="Q315" s="25" t="str">
        <f>VLOOKUP(P315,Key!$E$2:$F$9,2,FALSE)</f>
        <v>Home</v>
      </c>
      <c r="R315" s="25" t="str">
        <f t="shared" si="5"/>
        <v>Home-Home</v>
      </c>
      <c r="S315" s="52">
        <v>1</v>
      </c>
      <c r="T315" s="52">
        <v>0.1</v>
      </c>
      <c r="U315" s="52">
        <v>1</v>
      </c>
      <c r="V315" s="51"/>
      <c r="W315" s="51"/>
      <c r="X315" s="51"/>
      <c r="Y315" s="53" t="s">
        <v>158</v>
      </c>
      <c r="Z315" s="54">
        <v>2000</v>
      </c>
      <c r="AA315" s="25">
        <f>VLOOKUP(F315,'Zones '!$A$2:$F$2056,6,FALSE)</f>
        <v>1397</v>
      </c>
      <c r="AB315" s="25">
        <f>VLOOKUP(L315,'Zones '!$A$2:$F$2056,6,FALSE)</f>
        <v>1397</v>
      </c>
    </row>
    <row r="316" spans="2:28">
      <c r="B316" s="48">
        <v>0.8965277777777777</v>
      </c>
      <c r="C316" s="48" t="s">
        <v>768</v>
      </c>
      <c r="D316" s="44">
        <v>4</v>
      </c>
      <c r="E316" s="46">
        <v>1</v>
      </c>
      <c r="F316" s="42" t="s">
        <v>150</v>
      </c>
      <c r="G316" s="43" t="s">
        <v>156</v>
      </c>
      <c r="H316" s="42" t="s">
        <v>157</v>
      </c>
      <c r="I316" s="43">
        <v>2</v>
      </c>
      <c r="J316" s="43">
        <v>2</v>
      </c>
      <c r="K316" s="25" t="str">
        <f>VLOOKUP(J316,Key!$E$2:$F$9,2,FALSE)</f>
        <v>Work</v>
      </c>
      <c r="L316" s="42" t="s">
        <v>155</v>
      </c>
      <c r="M316" s="43" t="s">
        <v>156</v>
      </c>
      <c r="N316" s="42" t="s">
        <v>157</v>
      </c>
      <c r="O316" s="51">
        <v>6</v>
      </c>
      <c r="P316" s="51">
        <v>4</v>
      </c>
      <c r="Q316" s="25" t="str">
        <f>VLOOKUP(P316,Key!$E$2:$F$9,2,FALSE)</f>
        <v>Commercial</v>
      </c>
      <c r="R316" s="25" t="str">
        <f t="shared" si="5"/>
        <v>Work-Commercial</v>
      </c>
      <c r="S316" s="52">
        <v>1</v>
      </c>
      <c r="T316" s="52">
        <v>0.1</v>
      </c>
      <c r="U316" s="52">
        <v>2</v>
      </c>
      <c r="V316" s="51"/>
      <c r="W316" s="51"/>
      <c r="X316" s="51"/>
      <c r="Y316" s="53" t="s">
        <v>158</v>
      </c>
      <c r="Z316" s="54">
        <v>1000</v>
      </c>
      <c r="AA316" s="25">
        <f>VLOOKUP(F316,'Zones '!$A$2:$F$2056,6,FALSE)</f>
        <v>1397</v>
      </c>
      <c r="AB316" s="25">
        <f>VLOOKUP(L316,'Zones '!$A$2:$F$2056,6,FALSE)</f>
        <v>1397</v>
      </c>
    </row>
    <row r="317" spans="2:28">
      <c r="B317" s="48">
        <v>0.90138888888888891</v>
      </c>
      <c r="C317" s="49" t="s">
        <v>769</v>
      </c>
      <c r="D317" s="50">
        <v>1</v>
      </c>
      <c r="E317" s="47">
        <v>1</v>
      </c>
      <c r="F317" s="42" t="s">
        <v>150</v>
      </c>
      <c r="G317" s="43" t="s">
        <v>156</v>
      </c>
      <c r="H317" s="42" t="s">
        <v>157</v>
      </c>
      <c r="I317" s="43">
        <v>2</v>
      </c>
      <c r="J317" s="43">
        <v>2</v>
      </c>
      <c r="K317" s="25" t="str">
        <f>VLOOKUP(J317,Key!$E$2:$F$9,2,FALSE)</f>
        <v>Work</v>
      </c>
      <c r="L317" s="42" t="s">
        <v>162</v>
      </c>
      <c r="M317" s="43" t="s">
        <v>156</v>
      </c>
      <c r="N317" s="42" t="s">
        <v>157</v>
      </c>
      <c r="O317" s="51">
        <v>1</v>
      </c>
      <c r="P317" s="51">
        <v>1</v>
      </c>
      <c r="Q317" s="25" t="str">
        <f>VLOOKUP(P317,Key!$E$2:$F$9,2,FALSE)</f>
        <v>Home</v>
      </c>
      <c r="R317" s="25" t="str">
        <f t="shared" si="5"/>
        <v>Work-Home</v>
      </c>
      <c r="S317" s="52">
        <v>2</v>
      </c>
      <c r="T317" s="52">
        <v>0.3</v>
      </c>
      <c r="U317" s="52">
        <v>2</v>
      </c>
      <c r="V317" s="51"/>
      <c r="W317" s="51"/>
      <c r="X317" s="51"/>
      <c r="Y317" s="53" t="s">
        <v>158</v>
      </c>
      <c r="Z317" s="54">
        <v>10000</v>
      </c>
      <c r="AA317" s="25">
        <f>VLOOKUP(F317,'Zones '!$A$2:$F$2056,6,FALSE)</f>
        <v>1397</v>
      </c>
      <c r="AB317" s="25">
        <f>VLOOKUP(L317,'Zones '!$A$2:$F$2056,6,FALSE)</f>
        <v>1397</v>
      </c>
    </row>
    <row r="318" spans="2:28">
      <c r="B318" s="48">
        <v>0.90277777777777779</v>
      </c>
      <c r="C318" s="49" t="s">
        <v>770</v>
      </c>
      <c r="D318" s="50">
        <v>1</v>
      </c>
      <c r="E318" s="47">
        <v>5</v>
      </c>
      <c r="F318" s="42" t="s">
        <v>197</v>
      </c>
      <c r="G318" s="43" t="s">
        <v>197</v>
      </c>
      <c r="H318" s="42" t="s">
        <v>157</v>
      </c>
      <c r="I318" s="43">
        <v>1</v>
      </c>
      <c r="J318" s="43">
        <v>1</v>
      </c>
      <c r="K318" s="25" t="str">
        <f>VLOOKUP(J318,Key!$E$2:$F$9,2,FALSE)</f>
        <v>Home</v>
      </c>
      <c r="L318" s="42" t="s">
        <v>2932</v>
      </c>
      <c r="M318" s="43" t="s">
        <v>156</v>
      </c>
      <c r="N318" s="42" t="s">
        <v>157</v>
      </c>
      <c r="O318" s="51">
        <v>1</v>
      </c>
      <c r="P318" s="51">
        <v>1</v>
      </c>
      <c r="Q318" s="25" t="str">
        <f>VLOOKUP(P318,Key!$E$2:$F$9,2,FALSE)</f>
        <v>Home</v>
      </c>
      <c r="R318" s="25" t="str">
        <f t="shared" ref="R318:R320" si="6">K318&amp;"-"&amp;Q318</f>
        <v>Home-Home</v>
      </c>
      <c r="S318" s="52">
        <v>138</v>
      </c>
      <c r="T318" s="52">
        <v>2</v>
      </c>
      <c r="U318" s="52">
        <v>1</v>
      </c>
      <c r="V318" s="51"/>
      <c r="W318" s="51"/>
      <c r="X318" s="51"/>
      <c r="Y318" s="53" t="s">
        <v>158</v>
      </c>
      <c r="Z318" s="54">
        <v>1000</v>
      </c>
      <c r="AA318" s="25">
        <f>VLOOKUP(F318,'Zones '!$A$2:$F$2056,6,FALSE)</f>
        <v>937</v>
      </c>
      <c r="AB318" s="25">
        <f>VLOOKUP(L318,'Zones '!$A$2:$F$2056,6,FALSE)</f>
        <v>568</v>
      </c>
    </row>
    <row r="319" spans="2:28">
      <c r="B319" s="48">
        <v>0.24791666666666667</v>
      </c>
      <c r="C319" s="49" t="s">
        <v>676</v>
      </c>
      <c r="D319" s="50">
        <v>1</v>
      </c>
      <c r="E319" s="47">
        <v>1</v>
      </c>
      <c r="F319" s="42" t="s">
        <v>760</v>
      </c>
      <c r="G319" s="43" t="s">
        <v>187</v>
      </c>
      <c r="H319" s="42" t="s">
        <v>157</v>
      </c>
      <c r="I319" s="43">
        <v>2</v>
      </c>
      <c r="J319" s="43">
        <v>2</v>
      </c>
      <c r="K319" s="25" t="str">
        <f>VLOOKUP(J319,Key!$E$2:$F$9,2,FALSE)</f>
        <v>Work</v>
      </c>
      <c r="L319" s="42" t="s">
        <v>155</v>
      </c>
      <c r="M319" s="43" t="s">
        <v>156</v>
      </c>
      <c r="N319" s="42" t="s">
        <v>157</v>
      </c>
      <c r="O319" s="51">
        <v>1</v>
      </c>
      <c r="P319" s="51">
        <v>1</v>
      </c>
      <c r="Q319" s="25" t="str">
        <f>VLOOKUP(P319,Key!$E$2:$F$9,2,FALSE)</f>
        <v>Home</v>
      </c>
      <c r="R319" s="25" t="str">
        <f t="shared" si="6"/>
        <v>Work-Home</v>
      </c>
      <c r="S319" s="52">
        <v>120</v>
      </c>
      <c r="T319" s="52">
        <v>2</v>
      </c>
      <c r="U319" s="52">
        <v>3</v>
      </c>
      <c r="V319" s="51"/>
      <c r="W319" s="51"/>
      <c r="X319" s="51"/>
      <c r="Y319" s="53" t="s">
        <v>158</v>
      </c>
      <c r="Z319" s="54">
        <v>1000</v>
      </c>
      <c r="AA319" s="25">
        <f>VLOOKUP(F319,'Zones '!$A$2:$F$2056,6,FALSE)</f>
        <v>557</v>
      </c>
      <c r="AB319" s="25">
        <f>VLOOKUP(L319,'Zones '!$A$2:$F$2056,6,FALSE)</f>
        <v>1397</v>
      </c>
    </row>
    <row r="320" spans="2:28">
      <c r="B320" s="48">
        <v>0.24166666666666667</v>
      </c>
      <c r="C320" s="48" t="s">
        <v>772</v>
      </c>
      <c r="D320" s="44">
        <v>4</v>
      </c>
      <c r="E320" s="47">
        <v>3</v>
      </c>
      <c r="F320" s="42" t="s">
        <v>224</v>
      </c>
      <c r="G320" s="43" t="s">
        <v>224</v>
      </c>
      <c r="H320" s="42" t="s">
        <v>157</v>
      </c>
      <c r="I320" s="43">
        <v>6</v>
      </c>
      <c r="J320" s="43">
        <v>4</v>
      </c>
      <c r="K320" s="25" t="str">
        <f>VLOOKUP(J320,Key!$E$2:$F$9,2,FALSE)</f>
        <v>Commercial</v>
      </c>
      <c r="L320" s="42" t="s">
        <v>207</v>
      </c>
      <c r="M320" s="43" t="s">
        <v>156</v>
      </c>
      <c r="N320" s="42" t="s">
        <v>157</v>
      </c>
      <c r="O320" s="51">
        <v>6</v>
      </c>
      <c r="P320" s="51">
        <v>4</v>
      </c>
      <c r="Q320" s="25" t="str">
        <f>VLOOKUP(P320,Key!$E$2:$F$9,2,FALSE)</f>
        <v>Commercial</v>
      </c>
      <c r="R320" s="25" t="str">
        <f t="shared" si="6"/>
        <v>Commercial-Commercial</v>
      </c>
      <c r="S320" s="52">
        <v>45</v>
      </c>
      <c r="T320" s="52">
        <v>1</v>
      </c>
      <c r="U320" s="52">
        <v>2</v>
      </c>
      <c r="V320" s="51"/>
      <c r="W320" s="51"/>
      <c r="X320" s="51"/>
      <c r="Y320" s="53" t="s">
        <v>158</v>
      </c>
      <c r="Z320" s="54">
        <v>500</v>
      </c>
      <c r="AA320" s="25">
        <f>VLOOKUP(F320,'Zones '!$A$2:$F$2056,6,FALSE)</f>
        <v>1037</v>
      </c>
      <c r="AB320" s="25">
        <f>VLOOKUP(L320,'Zones '!$A$2:$F$2056,6,FALSE)</f>
        <v>1397</v>
      </c>
    </row>
    <row r="321" spans="2:28">
      <c r="B321" s="40">
        <v>0.7284722222222223</v>
      </c>
      <c r="C321" s="40" t="s">
        <v>497</v>
      </c>
      <c r="D321" s="41">
        <v>4</v>
      </c>
      <c r="E321" s="41">
        <v>14</v>
      </c>
      <c r="F321" s="42" t="s">
        <v>179</v>
      </c>
      <c r="G321" s="43" t="s">
        <v>156</v>
      </c>
      <c r="H321" s="42" t="s">
        <v>157</v>
      </c>
      <c r="I321" s="43">
        <v>6</v>
      </c>
      <c r="J321" s="43">
        <v>2</v>
      </c>
      <c r="K321" s="25" t="str">
        <f>VLOOKUP(J321,Key!$E$2:$F$9,2,FALSE)</f>
        <v>Work</v>
      </c>
      <c r="L321" s="42" t="s">
        <v>187</v>
      </c>
      <c r="M321" s="43" t="s">
        <v>187</v>
      </c>
      <c r="N321" s="42" t="s">
        <v>157</v>
      </c>
      <c r="O321" s="43">
        <v>6</v>
      </c>
      <c r="P321" s="43">
        <v>2</v>
      </c>
      <c r="Q321" s="25" t="str">
        <f>VLOOKUP(P321,Key!$E$2:$F$9,2,FALSE)</f>
        <v>Work</v>
      </c>
      <c r="R321" s="25" t="str">
        <f t="shared" ref="R321:R384" si="7">K321&amp;"-"&amp;Q321</f>
        <v>Work-Work</v>
      </c>
      <c r="S321" s="52">
        <v>20</v>
      </c>
      <c r="T321" s="52">
        <v>2.5</v>
      </c>
      <c r="U321" s="52">
        <v>2</v>
      </c>
      <c r="V321" s="43"/>
      <c r="W321" s="52"/>
      <c r="X321" s="52"/>
      <c r="Y321" s="53" t="s">
        <v>158</v>
      </c>
      <c r="Z321" s="54">
        <v>2000</v>
      </c>
      <c r="AA321" s="25">
        <f>VLOOKUP(F321,'Zones '!$A$2:$F$2056,6,FALSE)</f>
        <v>905</v>
      </c>
      <c r="AB321" s="25">
        <f>VLOOKUP(L321,'Zones '!$A$2:$F$2056,6,FALSE)</f>
        <v>521</v>
      </c>
    </row>
    <row r="322" spans="2:28">
      <c r="B322" s="40">
        <v>0.73263888888888884</v>
      </c>
      <c r="C322" s="40" t="s">
        <v>498</v>
      </c>
      <c r="D322" s="41">
        <v>1</v>
      </c>
      <c r="E322" s="41">
        <v>2</v>
      </c>
      <c r="F322" s="42" t="s">
        <v>160</v>
      </c>
      <c r="G322" s="43" t="s">
        <v>156</v>
      </c>
      <c r="H322" s="42" t="s">
        <v>157</v>
      </c>
      <c r="I322" s="43">
        <v>1</v>
      </c>
      <c r="J322" s="43">
        <v>1</v>
      </c>
      <c r="K322" s="25" t="str">
        <f>VLOOKUP(J322,Key!$E$2:$F$9,2,FALSE)</f>
        <v>Home</v>
      </c>
      <c r="L322" s="42" t="s">
        <v>339</v>
      </c>
      <c r="M322" s="43" t="s">
        <v>187</v>
      </c>
      <c r="N322" s="42" t="s">
        <v>157</v>
      </c>
      <c r="O322" s="43">
        <v>2</v>
      </c>
      <c r="P322" s="43">
        <v>2</v>
      </c>
      <c r="Q322" s="25" t="str">
        <f>VLOOKUP(P322,Key!$E$2:$F$9,2,FALSE)</f>
        <v>Work</v>
      </c>
      <c r="R322" s="25" t="str">
        <f t="shared" si="7"/>
        <v>Home-Work</v>
      </c>
      <c r="S322" s="52">
        <v>10</v>
      </c>
      <c r="T322" s="52">
        <v>2</v>
      </c>
      <c r="U322" s="52">
        <v>2</v>
      </c>
      <c r="V322" s="43"/>
      <c r="W322" s="52"/>
      <c r="X322" s="52"/>
      <c r="Y322" s="53" t="s">
        <v>158</v>
      </c>
      <c r="Z322" s="54">
        <v>2000</v>
      </c>
      <c r="AA322" s="25">
        <f>VLOOKUP(F322,'Zones '!$A$2:$F$2056,6,FALSE)</f>
        <v>589</v>
      </c>
      <c r="AB322" s="25">
        <f>VLOOKUP(L322,'Zones '!$A$2:$F$2056,6,FALSE)</f>
        <v>517</v>
      </c>
    </row>
    <row r="323" spans="2:28">
      <c r="B323" s="40">
        <v>0.29166666666666669</v>
      </c>
      <c r="C323" s="40" t="s">
        <v>493</v>
      </c>
      <c r="D323" s="41">
        <v>1</v>
      </c>
      <c r="E323" s="41">
        <v>3</v>
      </c>
      <c r="F323" s="42" t="s">
        <v>160</v>
      </c>
      <c r="G323" s="43" t="s">
        <v>156</v>
      </c>
      <c r="H323" s="42" t="s">
        <v>157</v>
      </c>
      <c r="I323" s="43">
        <v>3</v>
      </c>
      <c r="J323" s="43">
        <v>2</v>
      </c>
      <c r="K323" s="25" t="str">
        <f>VLOOKUP(J323,Key!$E$2:$F$9,2,FALSE)</f>
        <v>Work</v>
      </c>
      <c r="L323" s="42" t="s">
        <v>150</v>
      </c>
      <c r="M323" s="43" t="s">
        <v>156</v>
      </c>
      <c r="N323" s="42" t="s">
        <v>157</v>
      </c>
      <c r="O323" s="43">
        <v>1</v>
      </c>
      <c r="P323" s="43">
        <v>1</v>
      </c>
      <c r="Q323" s="25" t="str">
        <f>VLOOKUP(P323,Key!$E$2:$F$9,2,FALSE)</f>
        <v>Home</v>
      </c>
      <c r="R323" s="25" t="str">
        <f t="shared" si="7"/>
        <v>Work-Home</v>
      </c>
      <c r="S323" s="52">
        <v>1.5</v>
      </c>
      <c r="T323" s="52">
        <v>0.4</v>
      </c>
      <c r="U323" s="52">
        <v>2</v>
      </c>
      <c r="V323" s="43"/>
      <c r="W323" s="52"/>
      <c r="X323" s="52"/>
      <c r="Y323" s="53" t="s">
        <v>158</v>
      </c>
      <c r="Z323" s="54">
        <v>5000</v>
      </c>
      <c r="AA323" s="25">
        <f>VLOOKUP(F323,'Zones '!$A$2:$F$2056,6,FALSE)</f>
        <v>589</v>
      </c>
      <c r="AB323" s="25">
        <f>VLOOKUP(L323,'Zones '!$A$2:$F$2056,6,FALSE)</f>
        <v>1397</v>
      </c>
    </row>
    <row r="324" spans="2:28">
      <c r="B324" s="40">
        <v>0.7909722222222223</v>
      </c>
      <c r="C324" s="40" t="s">
        <v>499</v>
      </c>
      <c r="D324" s="41">
        <v>1</v>
      </c>
      <c r="E324" s="41">
        <v>1</v>
      </c>
      <c r="F324" s="42" t="s">
        <v>155</v>
      </c>
      <c r="G324" s="43" t="s">
        <v>156</v>
      </c>
      <c r="H324" s="42" t="s">
        <v>157</v>
      </c>
      <c r="I324" s="43">
        <v>2</v>
      </c>
      <c r="J324" s="43">
        <v>2</v>
      </c>
      <c r="K324" s="25" t="str">
        <f>VLOOKUP(J324,Key!$E$2:$F$9,2,FALSE)</f>
        <v>Work</v>
      </c>
      <c r="L324" s="42" t="s">
        <v>164</v>
      </c>
      <c r="M324" s="43" t="s">
        <v>156</v>
      </c>
      <c r="N324" s="42" t="s">
        <v>157</v>
      </c>
      <c r="O324" s="43">
        <v>1</v>
      </c>
      <c r="P324" s="43">
        <v>1</v>
      </c>
      <c r="Q324" s="25" t="str">
        <f>VLOOKUP(P324,Key!$E$2:$F$9,2,FALSE)</f>
        <v>Home</v>
      </c>
      <c r="R324" s="25" t="str">
        <f t="shared" si="7"/>
        <v>Work-Home</v>
      </c>
      <c r="S324" s="52">
        <v>5</v>
      </c>
      <c r="T324" s="52">
        <v>0.6</v>
      </c>
      <c r="U324" s="52">
        <v>2</v>
      </c>
      <c r="V324" s="43"/>
      <c r="W324" s="52"/>
      <c r="X324" s="52"/>
      <c r="Y324" s="53" t="s">
        <v>158</v>
      </c>
      <c r="Z324" s="54">
        <v>1000</v>
      </c>
      <c r="AA324" s="25">
        <f>VLOOKUP(F324,'Zones '!$A$2:$F$2056,6,FALSE)</f>
        <v>1397</v>
      </c>
      <c r="AB324" s="25">
        <f>VLOOKUP(L324,'Zones '!$A$2:$F$2056,6,FALSE)</f>
        <v>1397</v>
      </c>
    </row>
    <row r="325" spans="2:28">
      <c r="B325" s="40">
        <v>0.78472222222222221</v>
      </c>
      <c r="C325" s="40" t="s">
        <v>500</v>
      </c>
      <c r="D325" s="41">
        <v>1</v>
      </c>
      <c r="E325" s="41">
        <v>1</v>
      </c>
      <c r="F325" s="42" t="s">
        <v>160</v>
      </c>
      <c r="G325" s="43" t="s">
        <v>156</v>
      </c>
      <c r="H325" s="42" t="s">
        <v>157</v>
      </c>
      <c r="I325" s="43">
        <v>2</v>
      </c>
      <c r="J325" s="43">
        <v>2</v>
      </c>
      <c r="K325" s="25" t="str">
        <f>VLOOKUP(J325,Key!$E$2:$F$9,2,FALSE)</f>
        <v>Work</v>
      </c>
      <c r="L325" s="42" t="s">
        <v>150</v>
      </c>
      <c r="M325" s="43" t="s">
        <v>156</v>
      </c>
      <c r="N325" s="42" t="s">
        <v>157</v>
      </c>
      <c r="O325" s="43">
        <v>1</v>
      </c>
      <c r="P325" s="43">
        <v>1</v>
      </c>
      <c r="Q325" s="25" t="str">
        <f>VLOOKUP(P325,Key!$E$2:$F$9,2,FALSE)</f>
        <v>Home</v>
      </c>
      <c r="R325" s="25" t="str">
        <f t="shared" si="7"/>
        <v>Work-Home</v>
      </c>
      <c r="S325" s="52">
        <v>0.5</v>
      </c>
      <c r="T325" s="52">
        <v>0.1</v>
      </c>
      <c r="U325" s="52">
        <v>2</v>
      </c>
      <c r="V325" s="43"/>
      <c r="W325" s="52"/>
      <c r="X325" s="52"/>
      <c r="Y325" s="53" t="s">
        <v>158</v>
      </c>
      <c r="Z325" s="54">
        <v>500</v>
      </c>
      <c r="AA325" s="25">
        <f>VLOOKUP(F325,'Zones '!$A$2:$F$2056,6,FALSE)</f>
        <v>589</v>
      </c>
      <c r="AB325" s="25">
        <f>VLOOKUP(L325,'Zones '!$A$2:$F$2056,6,FALSE)</f>
        <v>1397</v>
      </c>
    </row>
    <row r="326" spans="2:28">
      <c r="B326" s="40">
        <v>0.78125</v>
      </c>
      <c r="C326" s="40" t="s">
        <v>501</v>
      </c>
      <c r="D326" s="41">
        <v>1</v>
      </c>
      <c r="E326" s="41">
        <v>4</v>
      </c>
      <c r="F326" s="42" t="s">
        <v>179</v>
      </c>
      <c r="G326" s="43" t="s">
        <v>156</v>
      </c>
      <c r="H326" s="42" t="s">
        <v>157</v>
      </c>
      <c r="I326" s="43">
        <v>2</v>
      </c>
      <c r="J326" s="43">
        <v>2</v>
      </c>
      <c r="K326" s="25" t="str">
        <f>VLOOKUP(J326,Key!$E$2:$F$9,2,FALSE)</f>
        <v>Work</v>
      </c>
      <c r="L326" s="42" t="s">
        <v>162</v>
      </c>
      <c r="M326" s="43" t="s">
        <v>187</v>
      </c>
      <c r="N326" s="42" t="s">
        <v>157</v>
      </c>
      <c r="O326" s="43">
        <v>1</v>
      </c>
      <c r="P326" s="43">
        <v>1</v>
      </c>
      <c r="Q326" s="25" t="str">
        <f>VLOOKUP(P326,Key!$E$2:$F$9,2,FALSE)</f>
        <v>Home</v>
      </c>
      <c r="R326" s="25" t="str">
        <f t="shared" si="7"/>
        <v>Work-Home</v>
      </c>
      <c r="S326" s="52">
        <v>5</v>
      </c>
      <c r="T326" s="52">
        <v>1</v>
      </c>
      <c r="U326" s="52">
        <v>2</v>
      </c>
      <c r="V326" s="43"/>
      <c r="W326" s="52"/>
      <c r="X326" s="52"/>
      <c r="Y326" s="53" t="s">
        <v>158</v>
      </c>
      <c r="Z326" s="54">
        <v>1000</v>
      </c>
      <c r="AA326" s="25">
        <f>VLOOKUP(F326,'Zones '!$A$2:$F$2056,6,FALSE)</f>
        <v>905</v>
      </c>
      <c r="AB326" s="25">
        <f>VLOOKUP(L326,'Zones '!$A$2:$F$2056,6,FALSE)</f>
        <v>1397</v>
      </c>
    </row>
    <row r="327" spans="2:28">
      <c r="B327" s="40">
        <v>0.77083333333333337</v>
      </c>
      <c r="C327" s="40" t="s">
        <v>502</v>
      </c>
      <c r="D327" s="41">
        <v>3</v>
      </c>
      <c r="E327" s="41">
        <v>1</v>
      </c>
      <c r="F327" s="42" t="s">
        <v>155</v>
      </c>
      <c r="G327" s="43" t="s">
        <v>156</v>
      </c>
      <c r="H327" s="42" t="s">
        <v>157</v>
      </c>
      <c r="I327" s="43">
        <v>2</v>
      </c>
      <c r="J327" s="43">
        <v>2</v>
      </c>
      <c r="K327" s="25" t="str">
        <f>VLOOKUP(J327,Key!$E$2:$F$9,2,FALSE)</f>
        <v>Work</v>
      </c>
      <c r="L327" s="42" t="s">
        <v>150</v>
      </c>
      <c r="M327" s="43" t="s">
        <v>156</v>
      </c>
      <c r="N327" s="42" t="s">
        <v>157</v>
      </c>
      <c r="O327" s="43">
        <v>1</v>
      </c>
      <c r="P327" s="43">
        <v>1</v>
      </c>
      <c r="Q327" s="25" t="str">
        <f>VLOOKUP(P327,Key!$E$2:$F$9,2,FALSE)</f>
        <v>Home</v>
      </c>
      <c r="R327" s="25" t="str">
        <f t="shared" si="7"/>
        <v>Work-Home</v>
      </c>
      <c r="S327" s="52">
        <v>0.5</v>
      </c>
      <c r="T327" s="52">
        <v>0.1</v>
      </c>
      <c r="U327" s="52">
        <v>2</v>
      </c>
      <c r="V327" s="43"/>
      <c r="W327" s="52"/>
      <c r="X327" s="52"/>
      <c r="Y327" s="53" t="s">
        <v>158</v>
      </c>
      <c r="Z327" s="54">
        <v>500</v>
      </c>
      <c r="AA327" s="25">
        <f>VLOOKUP(F327,'Zones '!$A$2:$F$2056,6,FALSE)</f>
        <v>1397</v>
      </c>
      <c r="AB327" s="25">
        <f>VLOOKUP(L327,'Zones '!$A$2:$F$2056,6,FALSE)</f>
        <v>1397</v>
      </c>
    </row>
    <row r="328" spans="2:28">
      <c r="B328" s="40">
        <v>0.76736111111111116</v>
      </c>
      <c r="C328" s="40" t="s">
        <v>503</v>
      </c>
      <c r="D328" s="41">
        <v>1</v>
      </c>
      <c r="E328" s="41">
        <v>1</v>
      </c>
      <c r="F328" s="42" t="s">
        <v>160</v>
      </c>
      <c r="G328" s="43" t="s">
        <v>156</v>
      </c>
      <c r="H328" s="42" t="s">
        <v>157</v>
      </c>
      <c r="I328" s="43">
        <v>2</v>
      </c>
      <c r="J328" s="43">
        <v>2</v>
      </c>
      <c r="K328" s="25" t="str">
        <f>VLOOKUP(J328,Key!$E$2:$F$9,2,FALSE)</f>
        <v>Work</v>
      </c>
      <c r="L328" s="42" t="s">
        <v>164</v>
      </c>
      <c r="M328" s="43" t="s">
        <v>156</v>
      </c>
      <c r="N328" s="42" t="s">
        <v>157</v>
      </c>
      <c r="O328" s="43">
        <v>1</v>
      </c>
      <c r="P328" s="43">
        <v>1</v>
      </c>
      <c r="Q328" s="25" t="str">
        <f>VLOOKUP(P328,Key!$E$2:$F$9,2,FALSE)</f>
        <v>Home</v>
      </c>
      <c r="R328" s="25" t="str">
        <f t="shared" si="7"/>
        <v>Work-Home</v>
      </c>
      <c r="S328" s="52">
        <v>3</v>
      </c>
      <c r="T328" s="52">
        <v>1</v>
      </c>
      <c r="U328" s="52">
        <v>2</v>
      </c>
      <c r="V328" s="43"/>
      <c r="W328" s="52"/>
      <c r="X328" s="52"/>
      <c r="Y328" s="53" t="s">
        <v>158</v>
      </c>
      <c r="Z328" s="54">
        <v>1000</v>
      </c>
      <c r="AA328" s="25">
        <f>VLOOKUP(F328,'Zones '!$A$2:$F$2056,6,FALSE)</f>
        <v>589</v>
      </c>
      <c r="AB328" s="25">
        <f>VLOOKUP(L328,'Zones '!$A$2:$F$2056,6,FALSE)</f>
        <v>1397</v>
      </c>
    </row>
    <row r="329" spans="2:28">
      <c r="B329" s="40">
        <v>0.75694444444444453</v>
      </c>
      <c r="C329" s="40" t="s">
        <v>504</v>
      </c>
      <c r="D329" s="41">
        <v>1</v>
      </c>
      <c r="E329" s="41">
        <v>2</v>
      </c>
      <c r="F329" s="42" t="s">
        <v>160</v>
      </c>
      <c r="G329" s="43" t="s">
        <v>156</v>
      </c>
      <c r="H329" s="42" t="s">
        <v>157</v>
      </c>
      <c r="I329" s="43">
        <v>2</v>
      </c>
      <c r="J329" s="43">
        <v>2</v>
      </c>
      <c r="K329" s="25" t="str">
        <f>VLOOKUP(J329,Key!$E$2:$F$9,2,FALSE)</f>
        <v>Work</v>
      </c>
      <c r="L329" s="42" t="s">
        <v>162</v>
      </c>
      <c r="M329" s="43" t="s">
        <v>156</v>
      </c>
      <c r="N329" s="42" t="s">
        <v>157</v>
      </c>
      <c r="O329" s="43">
        <v>1</v>
      </c>
      <c r="P329" s="43">
        <v>1</v>
      </c>
      <c r="Q329" s="25" t="str">
        <f>VLOOKUP(P329,Key!$E$2:$F$9,2,FALSE)</f>
        <v>Home</v>
      </c>
      <c r="R329" s="25" t="str">
        <f t="shared" si="7"/>
        <v>Work-Home</v>
      </c>
      <c r="S329" s="52">
        <v>5</v>
      </c>
      <c r="T329" s="52">
        <v>1</v>
      </c>
      <c r="U329" s="52">
        <v>2</v>
      </c>
      <c r="V329" s="43"/>
      <c r="W329" s="52"/>
      <c r="X329" s="52"/>
      <c r="Y329" s="53" t="s">
        <v>158</v>
      </c>
      <c r="Z329" s="54">
        <v>5000</v>
      </c>
      <c r="AA329" s="25">
        <f>VLOOKUP(F329,'Zones '!$A$2:$F$2056,6,FALSE)</f>
        <v>589</v>
      </c>
      <c r="AB329" s="25">
        <f>VLOOKUP(L329,'Zones '!$A$2:$F$2056,6,FALSE)</f>
        <v>1397</v>
      </c>
    </row>
    <row r="330" spans="2:28">
      <c r="B330" s="40">
        <v>0.74930555555555556</v>
      </c>
      <c r="C330" s="40" t="s">
        <v>505</v>
      </c>
      <c r="D330" s="41">
        <v>7</v>
      </c>
      <c r="E330" s="41">
        <v>4</v>
      </c>
      <c r="F330" s="42" t="s">
        <v>155</v>
      </c>
      <c r="G330" s="43" t="s">
        <v>156</v>
      </c>
      <c r="H330" s="42" t="s">
        <v>157</v>
      </c>
      <c r="I330" s="43">
        <v>3</v>
      </c>
      <c r="J330" s="43">
        <v>2</v>
      </c>
      <c r="K330" s="25" t="str">
        <f>VLOOKUP(J330,Key!$E$2:$F$9,2,FALSE)</f>
        <v>Work</v>
      </c>
      <c r="L330" s="42" t="s">
        <v>187</v>
      </c>
      <c r="M330" s="43" t="s">
        <v>187</v>
      </c>
      <c r="N330" s="42" t="s">
        <v>157</v>
      </c>
      <c r="O330" s="43">
        <v>7</v>
      </c>
      <c r="P330" s="43">
        <v>4</v>
      </c>
      <c r="Q330" s="25" t="str">
        <f>VLOOKUP(P330,Key!$E$2:$F$9,2,FALSE)</f>
        <v>Commercial</v>
      </c>
      <c r="R330" s="25" t="str">
        <f t="shared" si="7"/>
        <v>Work-Commercial</v>
      </c>
      <c r="S330" s="52">
        <v>20</v>
      </c>
      <c r="T330" s="52">
        <v>2</v>
      </c>
      <c r="U330" s="52">
        <v>3</v>
      </c>
      <c r="V330" s="43"/>
      <c r="W330" s="52"/>
      <c r="X330" s="52"/>
      <c r="Y330" s="53" t="s">
        <v>158</v>
      </c>
      <c r="Z330" s="54">
        <v>1000</v>
      </c>
      <c r="AA330" s="25">
        <f>VLOOKUP(F330,'Zones '!$A$2:$F$2056,6,FALSE)</f>
        <v>1397</v>
      </c>
      <c r="AB330" s="25">
        <f>VLOOKUP(L330,'Zones '!$A$2:$F$2056,6,FALSE)</f>
        <v>521</v>
      </c>
    </row>
    <row r="331" spans="2:28">
      <c r="B331" s="40">
        <v>0.73958333333333337</v>
      </c>
      <c r="C331" s="40" t="s">
        <v>506</v>
      </c>
      <c r="D331" s="41">
        <v>1</v>
      </c>
      <c r="E331" s="41">
        <v>3</v>
      </c>
      <c r="F331" s="42" t="s">
        <v>160</v>
      </c>
      <c r="G331" s="43" t="s">
        <v>156</v>
      </c>
      <c r="H331" s="42" t="s">
        <v>157</v>
      </c>
      <c r="I331" s="43">
        <v>2</v>
      </c>
      <c r="J331" s="43">
        <v>2</v>
      </c>
      <c r="K331" s="25" t="str">
        <f>VLOOKUP(J331,Key!$E$2:$F$9,2,FALSE)</f>
        <v>Work</v>
      </c>
      <c r="L331" s="42" t="s">
        <v>247</v>
      </c>
      <c r="M331" s="43" t="s">
        <v>187</v>
      </c>
      <c r="N331" s="42" t="s">
        <v>157</v>
      </c>
      <c r="O331" s="43">
        <v>1</v>
      </c>
      <c r="P331" s="43">
        <v>1</v>
      </c>
      <c r="Q331" s="25" t="str">
        <f>VLOOKUP(P331,Key!$E$2:$F$9,2,FALSE)</f>
        <v>Home</v>
      </c>
      <c r="R331" s="25" t="str">
        <f t="shared" si="7"/>
        <v>Work-Home</v>
      </c>
      <c r="S331" s="52">
        <v>15</v>
      </c>
      <c r="T331" s="52">
        <v>1.5</v>
      </c>
      <c r="U331" s="52">
        <v>2</v>
      </c>
      <c r="V331" s="43"/>
      <c r="W331" s="52"/>
      <c r="X331" s="52"/>
      <c r="Y331" s="53" t="s">
        <v>158</v>
      </c>
      <c r="Z331" s="54">
        <v>0</v>
      </c>
      <c r="AA331" s="25">
        <f>VLOOKUP(F331,'Zones '!$A$2:$F$2056,6,FALSE)</f>
        <v>589</v>
      </c>
      <c r="AB331" s="25">
        <f>VLOOKUP(L331,'Zones '!$A$2:$F$2056,6,FALSE)</f>
        <v>572</v>
      </c>
    </row>
    <row r="332" spans="2:28">
      <c r="B332" s="40">
        <v>0.73541666666666661</v>
      </c>
      <c r="C332" s="40" t="s">
        <v>507</v>
      </c>
      <c r="D332" s="41">
        <v>4</v>
      </c>
      <c r="E332" s="41">
        <v>14</v>
      </c>
      <c r="F332" s="42" t="s">
        <v>179</v>
      </c>
      <c r="G332" s="43" t="s">
        <v>156</v>
      </c>
      <c r="H332" s="42" t="s">
        <v>157</v>
      </c>
      <c r="I332" s="43">
        <v>6</v>
      </c>
      <c r="J332" s="43">
        <v>2</v>
      </c>
      <c r="K332" s="25" t="str">
        <f>VLOOKUP(J332,Key!$E$2:$F$9,2,FALSE)</f>
        <v>Work</v>
      </c>
      <c r="L332" s="42" t="s">
        <v>352</v>
      </c>
      <c r="M332" s="43" t="s">
        <v>156</v>
      </c>
      <c r="N332" s="42" t="s">
        <v>157</v>
      </c>
      <c r="O332" s="43">
        <v>6</v>
      </c>
      <c r="P332" s="43">
        <v>1</v>
      </c>
      <c r="Q332" s="25" t="str">
        <f>VLOOKUP(P332,Key!$E$2:$F$9,2,FALSE)</f>
        <v>Home</v>
      </c>
      <c r="R332" s="25" t="str">
        <f t="shared" si="7"/>
        <v>Work-Home</v>
      </c>
      <c r="S332" s="52">
        <v>10</v>
      </c>
      <c r="T332" s="52">
        <v>1</v>
      </c>
      <c r="U332" s="52">
        <v>2</v>
      </c>
      <c r="V332" s="43"/>
      <c r="W332" s="52"/>
      <c r="X332" s="52"/>
      <c r="Y332" s="53" t="s">
        <v>158</v>
      </c>
      <c r="Z332" s="54">
        <v>500</v>
      </c>
      <c r="AA332" s="25">
        <f>VLOOKUP(F332,'Zones '!$A$2:$F$2056,6,FALSE)</f>
        <v>905</v>
      </c>
      <c r="AB332" s="25">
        <f>VLOOKUP(L332,'Zones '!$A$2:$F$2056,6,FALSE)</f>
        <v>1397</v>
      </c>
    </row>
    <row r="333" spans="2:28">
      <c r="B333" s="40">
        <v>0.72916666666666663</v>
      </c>
      <c r="C333" s="40" t="s">
        <v>508</v>
      </c>
      <c r="D333" s="41">
        <v>1</v>
      </c>
      <c r="E333" s="41">
        <v>6</v>
      </c>
      <c r="F333" s="42" t="s">
        <v>155</v>
      </c>
      <c r="G333" s="43" t="s">
        <v>156</v>
      </c>
      <c r="H333" s="42" t="s">
        <v>157</v>
      </c>
      <c r="I333" s="43">
        <v>2</v>
      </c>
      <c r="J333" s="43">
        <v>2</v>
      </c>
      <c r="K333" s="25" t="str">
        <f>VLOOKUP(J333,Key!$E$2:$F$9,2,FALSE)</f>
        <v>Work</v>
      </c>
      <c r="L333" s="42" t="s">
        <v>166</v>
      </c>
      <c r="M333" s="43" t="s">
        <v>156</v>
      </c>
      <c r="N333" s="42" t="s">
        <v>157</v>
      </c>
      <c r="O333" s="43">
        <v>1</v>
      </c>
      <c r="P333" s="43">
        <v>1</v>
      </c>
      <c r="Q333" s="25" t="str">
        <f>VLOOKUP(P333,Key!$E$2:$F$9,2,FALSE)</f>
        <v>Home</v>
      </c>
      <c r="R333" s="25" t="str">
        <f t="shared" si="7"/>
        <v>Work-Home</v>
      </c>
      <c r="S333" s="52">
        <v>9</v>
      </c>
      <c r="T333" s="52">
        <v>1</v>
      </c>
      <c r="U333" s="52">
        <v>2</v>
      </c>
      <c r="V333" s="43"/>
      <c r="W333" s="52"/>
      <c r="X333" s="52"/>
      <c r="Y333" s="53" t="s">
        <v>158</v>
      </c>
      <c r="Z333" s="54">
        <v>5000</v>
      </c>
      <c r="AA333" s="25">
        <f>VLOOKUP(F333,'Zones '!$A$2:$F$2056,6,FALSE)</f>
        <v>1397</v>
      </c>
      <c r="AB333" s="25">
        <f>VLOOKUP(L333,'Zones '!$A$2:$F$2056,6,FALSE)</f>
        <v>1397</v>
      </c>
    </row>
    <row r="334" spans="2:28">
      <c r="B334" s="40">
        <v>0.72569444444444453</v>
      </c>
      <c r="C334" s="40" t="s">
        <v>509</v>
      </c>
      <c r="D334" s="41">
        <v>1</v>
      </c>
      <c r="E334" s="41">
        <v>4</v>
      </c>
      <c r="F334" s="42" t="s">
        <v>510</v>
      </c>
      <c r="G334" s="43" t="s">
        <v>156</v>
      </c>
      <c r="H334" s="42" t="s">
        <v>157</v>
      </c>
      <c r="I334" s="43">
        <v>2</v>
      </c>
      <c r="J334" s="43">
        <v>2</v>
      </c>
      <c r="K334" s="25" t="str">
        <f>VLOOKUP(J334,Key!$E$2:$F$9,2,FALSE)</f>
        <v>Work</v>
      </c>
      <c r="L334" s="42" t="s">
        <v>150</v>
      </c>
      <c r="M334" s="43" t="s">
        <v>156</v>
      </c>
      <c r="N334" s="42" t="s">
        <v>157</v>
      </c>
      <c r="O334" s="43">
        <v>1</v>
      </c>
      <c r="P334" s="43">
        <v>1</v>
      </c>
      <c r="Q334" s="25" t="str">
        <f>VLOOKUP(P334,Key!$E$2:$F$9,2,FALSE)</f>
        <v>Home</v>
      </c>
      <c r="R334" s="25" t="str">
        <f t="shared" si="7"/>
        <v>Work-Home</v>
      </c>
      <c r="S334" s="52">
        <v>12</v>
      </c>
      <c r="T334" s="52">
        <v>0.8</v>
      </c>
      <c r="U334" s="52">
        <v>3</v>
      </c>
      <c r="V334" s="43"/>
      <c r="W334" s="52"/>
      <c r="X334" s="52"/>
      <c r="Y334" s="53" t="s">
        <v>158</v>
      </c>
      <c r="Z334" s="54">
        <v>1000</v>
      </c>
      <c r="AA334" s="25">
        <f>VLOOKUP(F334,'Zones '!$A$2:$F$2056,6,FALSE)</f>
        <v>1368</v>
      </c>
      <c r="AB334" s="25">
        <f>VLOOKUP(L334,'Zones '!$A$2:$F$2056,6,FALSE)</f>
        <v>1397</v>
      </c>
    </row>
    <row r="335" spans="2:28">
      <c r="B335" s="40">
        <v>0.71180555555555547</v>
      </c>
      <c r="C335" s="40" t="s">
        <v>511</v>
      </c>
      <c r="D335" s="41">
        <v>2</v>
      </c>
      <c r="E335" s="41">
        <v>6</v>
      </c>
      <c r="F335" s="42" t="s">
        <v>155</v>
      </c>
      <c r="G335" s="43" t="s">
        <v>156</v>
      </c>
      <c r="H335" s="42" t="s">
        <v>157</v>
      </c>
      <c r="I335" s="43">
        <v>1</v>
      </c>
      <c r="J335" s="43">
        <v>1</v>
      </c>
      <c r="K335" s="25" t="str">
        <f>VLOOKUP(J335,Key!$E$2:$F$9,2,FALSE)</f>
        <v>Home</v>
      </c>
      <c r="L335" s="42" t="s">
        <v>164</v>
      </c>
      <c r="M335" s="43" t="s">
        <v>156</v>
      </c>
      <c r="N335" s="42" t="s">
        <v>157</v>
      </c>
      <c r="O335" s="43">
        <v>3</v>
      </c>
      <c r="P335" s="43">
        <v>2</v>
      </c>
      <c r="Q335" s="25" t="str">
        <f>VLOOKUP(P335,Key!$E$2:$F$9,2,FALSE)</f>
        <v>Work</v>
      </c>
      <c r="R335" s="25" t="str">
        <f t="shared" si="7"/>
        <v>Home-Work</v>
      </c>
      <c r="S335" s="52">
        <v>5</v>
      </c>
      <c r="T335" s="52">
        <v>0.7</v>
      </c>
      <c r="U335" s="52">
        <v>3</v>
      </c>
      <c r="V335" s="43"/>
      <c r="W335" s="52"/>
      <c r="X335" s="52"/>
      <c r="Y335" s="53" t="s">
        <v>158</v>
      </c>
      <c r="Z335" s="54">
        <v>1000</v>
      </c>
      <c r="AA335" s="25">
        <f>VLOOKUP(F335,'Zones '!$A$2:$F$2056,6,FALSE)</f>
        <v>1397</v>
      </c>
      <c r="AB335" s="25">
        <f>VLOOKUP(L335,'Zones '!$A$2:$F$2056,6,FALSE)</f>
        <v>1397</v>
      </c>
    </row>
    <row r="336" spans="2:28">
      <c r="B336" s="40">
        <v>0.70763888888888893</v>
      </c>
      <c r="C336" s="40" t="s">
        <v>512</v>
      </c>
      <c r="D336" s="41">
        <v>1</v>
      </c>
      <c r="E336" s="41">
        <v>5</v>
      </c>
      <c r="F336" s="42" t="s">
        <v>466</v>
      </c>
      <c r="G336" s="43" t="s">
        <v>156</v>
      </c>
      <c r="H336" s="42" t="s">
        <v>157</v>
      </c>
      <c r="I336" s="43">
        <v>1</v>
      </c>
      <c r="J336" s="43">
        <v>1</v>
      </c>
      <c r="K336" s="25" t="str">
        <f>VLOOKUP(J336,Key!$E$2:$F$9,2,FALSE)</f>
        <v>Home</v>
      </c>
      <c r="L336" s="42" t="s">
        <v>197</v>
      </c>
      <c r="M336" s="43" t="s">
        <v>197</v>
      </c>
      <c r="N336" s="42" t="s">
        <v>157</v>
      </c>
      <c r="O336" s="43">
        <v>9</v>
      </c>
      <c r="P336" s="43">
        <v>2</v>
      </c>
      <c r="Q336" s="25" t="str">
        <f>VLOOKUP(P336,Key!$E$2:$F$9,2,FALSE)</f>
        <v>Work</v>
      </c>
      <c r="R336" s="25" t="str">
        <f t="shared" si="7"/>
        <v>Home-Work</v>
      </c>
      <c r="S336" s="52">
        <v>130</v>
      </c>
      <c r="T336" s="52">
        <v>3</v>
      </c>
      <c r="U336" s="52">
        <v>3</v>
      </c>
      <c r="V336" s="43"/>
      <c r="W336" s="52"/>
      <c r="X336" s="52"/>
      <c r="Y336" s="53" t="s">
        <v>158</v>
      </c>
      <c r="Z336" s="54">
        <v>500</v>
      </c>
      <c r="AA336" s="25">
        <f>VLOOKUP(F336,'Zones '!$A$2:$F$2056,6,FALSE)</f>
        <v>1383</v>
      </c>
      <c r="AB336" s="25">
        <f>VLOOKUP(L336,'Zones '!$A$2:$F$2056,6,FALSE)</f>
        <v>937</v>
      </c>
    </row>
    <row r="337" spans="2:28">
      <c r="B337" s="40">
        <v>0.69444444444444453</v>
      </c>
      <c r="C337" s="40" t="s">
        <v>513</v>
      </c>
      <c r="D337" s="41">
        <v>1</v>
      </c>
      <c r="E337" s="41">
        <v>4</v>
      </c>
      <c r="F337" s="42" t="s">
        <v>155</v>
      </c>
      <c r="G337" s="43" t="s">
        <v>156</v>
      </c>
      <c r="H337" s="42" t="s">
        <v>157</v>
      </c>
      <c r="I337" s="43">
        <v>2</v>
      </c>
      <c r="J337" s="43">
        <v>2</v>
      </c>
      <c r="K337" s="25" t="str">
        <f>VLOOKUP(J337,Key!$E$2:$F$9,2,FALSE)</f>
        <v>Work</v>
      </c>
      <c r="L337" s="42" t="s">
        <v>162</v>
      </c>
      <c r="M337" s="43" t="s">
        <v>156</v>
      </c>
      <c r="N337" s="42" t="s">
        <v>157</v>
      </c>
      <c r="O337" s="43">
        <v>1</v>
      </c>
      <c r="P337" s="43">
        <v>1</v>
      </c>
      <c r="Q337" s="25" t="str">
        <f>VLOOKUP(P337,Key!$E$2:$F$9,2,FALSE)</f>
        <v>Home</v>
      </c>
      <c r="R337" s="25" t="str">
        <f t="shared" si="7"/>
        <v>Work-Home</v>
      </c>
      <c r="S337" s="52">
        <v>5</v>
      </c>
      <c r="T337" s="52">
        <v>0.7</v>
      </c>
      <c r="U337" s="52">
        <v>2</v>
      </c>
      <c r="V337" s="43"/>
      <c r="W337" s="52"/>
      <c r="X337" s="52"/>
      <c r="Y337" s="53" t="s">
        <v>158</v>
      </c>
      <c r="Z337" s="54">
        <v>1000</v>
      </c>
      <c r="AA337" s="25">
        <f>VLOOKUP(F337,'Zones '!$A$2:$F$2056,6,FALSE)</f>
        <v>1397</v>
      </c>
      <c r="AB337" s="25">
        <f>VLOOKUP(L337,'Zones '!$A$2:$F$2056,6,FALSE)</f>
        <v>1397</v>
      </c>
    </row>
    <row r="338" spans="2:28">
      <c r="B338" s="40">
        <v>0.68402777777777779</v>
      </c>
      <c r="C338" s="40" t="s">
        <v>514</v>
      </c>
      <c r="D338" s="41">
        <v>1</v>
      </c>
      <c r="E338" s="41">
        <v>2</v>
      </c>
      <c r="F338" s="42" t="s">
        <v>160</v>
      </c>
      <c r="G338" s="43" t="s">
        <v>156</v>
      </c>
      <c r="H338" s="42" t="s">
        <v>157</v>
      </c>
      <c r="I338" s="43">
        <v>1</v>
      </c>
      <c r="J338" s="43">
        <v>1</v>
      </c>
      <c r="K338" s="25" t="str">
        <f>VLOOKUP(J338,Key!$E$2:$F$9,2,FALSE)</f>
        <v>Home</v>
      </c>
      <c r="L338" s="42" t="s">
        <v>164</v>
      </c>
      <c r="M338" s="43" t="s">
        <v>156</v>
      </c>
      <c r="N338" s="42" t="s">
        <v>157</v>
      </c>
      <c r="O338" s="43">
        <v>2</v>
      </c>
      <c r="P338" s="43">
        <v>2</v>
      </c>
      <c r="Q338" s="25" t="str">
        <f>VLOOKUP(P338,Key!$E$2:$F$9,2,FALSE)</f>
        <v>Work</v>
      </c>
      <c r="R338" s="25" t="str">
        <f t="shared" si="7"/>
        <v>Home-Work</v>
      </c>
      <c r="S338" s="52">
        <v>5</v>
      </c>
      <c r="T338" s="52">
        <v>0.5</v>
      </c>
      <c r="U338" s="52">
        <v>2</v>
      </c>
      <c r="V338" s="43"/>
      <c r="W338" s="52"/>
      <c r="X338" s="52"/>
      <c r="Y338" s="53" t="s">
        <v>158</v>
      </c>
      <c r="Z338" s="54">
        <v>1000</v>
      </c>
      <c r="AA338" s="25">
        <f>VLOOKUP(F338,'Zones '!$A$2:$F$2056,6,FALSE)</f>
        <v>589</v>
      </c>
      <c r="AB338" s="25">
        <f>VLOOKUP(L338,'Zones '!$A$2:$F$2056,6,FALSE)</f>
        <v>1397</v>
      </c>
    </row>
    <row r="339" spans="2:28">
      <c r="B339" s="40">
        <v>0.66666666666666663</v>
      </c>
      <c r="C339" s="40" t="s">
        <v>515</v>
      </c>
      <c r="D339" s="41">
        <v>2</v>
      </c>
      <c r="E339" s="41">
        <v>2</v>
      </c>
      <c r="F339" s="42" t="s">
        <v>155</v>
      </c>
      <c r="G339" s="43" t="s">
        <v>156</v>
      </c>
      <c r="H339" s="42" t="s">
        <v>157</v>
      </c>
      <c r="I339" s="43">
        <v>1</v>
      </c>
      <c r="J339" s="43">
        <v>1</v>
      </c>
      <c r="K339" s="25" t="str">
        <f>VLOOKUP(J339,Key!$E$2:$F$9,2,FALSE)</f>
        <v>Home</v>
      </c>
      <c r="L339" s="42" t="s">
        <v>162</v>
      </c>
      <c r="M339" s="43" t="s">
        <v>156</v>
      </c>
      <c r="N339" s="42" t="s">
        <v>157</v>
      </c>
      <c r="O339" s="43">
        <v>2</v>
      </c>
      <c r="P339" s="43">
        <v>2</v>
      </c>
      <c r="Q339" s="25" t="str">
        <f>VLOOKUP(P339,Key!$E$2:$F$9,2,FALSE)</f>
        <v>Work</v>
      </c>
      <c r="R339" s="25" t="str">
        <f t="shared" si="7"/>
        <v>Home-Work</v>
      </c>
      <c r="S339" s="52">
        <v>5</v>
      </c>
      <c r="T339" s="52">
        <v>1</v>
      </c>
      <c r="U339" s="52">
        <v>2</v>
      </c>
      <c r="V339" s="43"/>
      <c r="W339" s="52"/>
      <c r="X339" s="52"/>
      <c r="Y339" s="53" t="s">
        <v>158</v>
      </c>
      <c r="Z339" s="54">
        <v>500</v>
      </c>
      <c r="AA339" s="25">
        <f>VLOOKUP(F339,'Zones '!$A$2:$F$2056,6,FALSE)</f>
        <v>1397</v>
      </c>
      <c r="AB339" s="25">
        <f>VLOOKUP(L339,'Zones '!$A$2:$F$2056,6,FALSE)</f>
        <v>1397</v>
      </c>
    </row>
    <row r="340" spans="2:28">
      <c r="B340" s="40">
        <v>0.67361111111111116</v>
      </c>
      <c r="C340" s="40" t="s">
        <v>516</v>
      </c>
      <c r="D340" s="41">
        <v>1</v>
      </c>
      <c r="E340" s="41">
        <v>2</v>
      </c>
      <c r="F340" s="42" t="s">
        <v>204</v>
      </c>
      <c r="G340" s="43" t="s">
        <v>156</v>
      </c>
      <c r="H340" s="42" t="s">
        <v>157</v>
      </c>
      <c r="I340" s="43">
        <v>2</v>
      </c>
      <c r="J340" s="43">
        <v>2</v>
      </c>
      <c r="K340" s="25" t="str">
        <f>VLOOKUP(J340,Key!$E$2:$F$9,2,FALSE)</f>
        <v>Work</v>
      </c>
      <c r="L340" s="42" t="s">
        <v>150</v>
      </c>
      <c r="M340" s="43" t="s">
        <v>156</v>
      </c>
      <c r="N340" s="42" t="s">
        <v>157</v>
      </c>
      <c r="O340" s="43">
        <v>1</v>
      </c>
      <c r="P340" s="43">
        <v>1</v>
      </c>
      <c r="Q340" s="25" t="str">
        <f>VLOOKUP(P340,Key!$E$2:$F$9,2,FALSE)</f>
        <v>Home</v>
      </c>
      <c r="R340" s="25" t="str">
        <f t="shared" si="7"/>
        <v>Work-Home</v>
      </c>
      <c r="S340" s="52">
        <v>15</v>
      </c>
      <c r="T340" s="52">
        <v>1.5</v>
      </c>
      <c r="U340" s="52">
        <v>3</v>
      </c>
      <c r="V340" s="43"/>
      <c r="W340" s="52"/>
      <c r="X340" s="52"/>
      <c r="Y340" s="53" t="s">
        <v>158</v>
      </c>
      <c r="Z340" s="54">
        <v>0</v>
      </c>
      <c r="AA340" s="25">
        <f>VLOOKUP(F340,'Zones '!$A$2:$F$2056,6,FALSE)</f>
        <v>1390</v>
      </c>
      <c r="AB340" s="25">
        <f>VLOOKUP(L340,'Zones '!$A$2:$F$2056,6,FALSE)</f>
        <v>1397</v>
      </c>
    </row>
    <row r="341" spans="2:28">
      <c r="B341" s="40">
        <v>0.66597222222222219</v>
      </c>
      <c r="C341" s="40" t="s">
        <v>517</v>
      </c>
      <c r="D341" s="41">
        <v>1</v>
      </c>
      <c r="E341" s="41">
        <v>3</v>
      </c>
      <c r="F341" s="42" t="s">
        <v>155</v>
      </c>
      <c r="G341" s="43" t="s">
        <v>156</v>
      </c>
      <c r="H341" s="42" t="s">
        <v>157</v>
      </c>
      <c r="I341" s="43">
        <v>2</v>
      </c>
      <c r="J341" s="43">
        <v>2</v>
      </c>
      <c r="K341" s="25" t="str">
        <f>VLOOKUP(J341,Key!$E$2:$F$9,2,FALSE)</f>
        <v>Work</v>
      </c>
      <c r="L341" s="42" t="s">
        <v>162</v>
      </c>
      <c r="M341" s="43" t="s">
        <v>197</v>
      </c>
      <c r="N341" s="42" t="s">
        <v>157</v>
      </c>
      <c r="O341" s="43">
        <v>1</v>
      </c>
      <c r="P341" s="43">
        <v>1</v>
      </c>
      <c r="Q341" s="25" t="str">
        <f>VLOOKUP(P341,Key!$E$2:$F$9,2,FALSE)</f>
        <v>Home</v>
      </c>
      <c r="R341" s="25" t="str">
        <f t="shared" si="7"/>
        <v>Work-Home</v>
      </c>
      <c r="S341" s="52">
        <v>5</v>
      </c>
      <c r="T341" s="52">
        <v>0.7</v>
      </c>
      <c r="U341" s="52">
        <v>2</v>
      </c>
      <c r="V341" s="43"/>
      <c r="W341" s="52"/>
      <c r="X341" s="52"/>
      <c r="Y341" s="53" t="s">
        <v>158</v>
      </c>
      <c r="Z341" s="54">
        <v>2000</v>
      </c>
      <c r="AA341" s="25">
        <f>VLOOKUP(F341,'Zones '!$A$2:$F$2056,6,FALSE)</f>
        <v>1397</v>
      </c>
      <c r="AB341" s="25">
        <f>VLOOKUP(L341,'Zones '!$A$2:$F$2056,6,FALSE)</f>
        <v>1397</v>
      </c>
    </row>
    <row r="342" spans="2:28">
      <c r="B342" s="40">
        <v>0.66319444444444442</v>
      </c>
      <c r="C342" s="40" t="s">
        <v>518</v>
      </c>
      <c r="D342" s="41">
        <v>7</v>
      </c>
      <c r="E342" s="41">
        <v>3</v>
      </c>
      <c r="F342" s="42" t="s">
        <v>155</v>
      </c>
      <c r="G342" s="43" t="s">
        <v>156</v>
      </c>
      <c r="H342" s="42" t="s">
        <v>157</v>
      </c>
      <c r="I342" s="43">
        <v>1</v>
      </c>
      <c r="J342" s="43">
        <v>1</v>
      </c>
      <c r="K342" s="25" t="str">
        <f>VLOOKUP(J342,Key!$E$2:$F$9,2,FALSE)</f>
        <v>Home</v>
      </c>
      <c r="L342" s="42" t="s">
        <v>166</v>
      </c>
      <c r="M342" s="43" t="s">
        <v>156</v>
      </c>
      <c r="N342" s="42" t="s">
        <v>157</v>
      </c>
      <c r="O342" s="43">
        <v>3</v>
      </c>
      <c r="P342" s="43">
        <v>2</v>
      </c>
      <c r="Q342" s="25" t="str">
        <f>VLOOKUP(P342,Key!$E$2:$F$9,2,FALSE)</f>
        <v>Work</v>
      </c>
      <c r="R342" s="25" t="str">
        <f t="shared" si="7"/>
        <v>Home-Work</v>
      </c>
      <c r="S342" s="52">
        <v>10</v>
      </c>
      <c r="T342" s="52">
        <v>1</v>
      </c>
      <c r="U342" s="52">
        <v>3</v>
      </c>
      <c r="V342" s="43"/>
      <c r="W342" s="52"/>
      <c r="X342" s="52"/>
      <c r="Y342" s="53" t="s">
        <v>158</v>
      </c>
      <c r="Z342" s="54">
        <v>3000</v>
      </c>
      <c r="AA342" s="25">
        <f>VLOOKUP(F342,'Zones '!$A$2:$F$2056,6,FALSE)</f>
        <v>1397</v>
      </c>
      <c r="AB342" s="25">
        <f>VLOOKUP(L342,'Zones '!$A$2:$F$2056,6,FALSE)</f>
        <v>1397</v>
      </c>
    </row>
    <row r="343" spans="2:28">
      <c r="B343" s="40">
        <v>0.65625</v>
      </c>
      <c r="C343" s="40" t="s">
        <v>519</v>
      </c>
      <c r="D343" s="41">
        <v>3</v>
      </c>
      <c r="E343" s="41">
        <v>4</v>
      </c>
      <c r="F343" s="42" t="s">
        <v>226</v>
      </c>
      <c r="G343" s="43" t="s">
        <v>156</v>
      </c>
      <c r="H343" s="42" t="s">
        <v>157</v>
      </c>
      <c r="I343" s="43">
        <v>1</v>
      </c>
      <c r="J343" s="43">
        <v>1</v>
      </c>
      <c r="K343" s="25" t="str">
        <f>VLOOKUP(J343,Key!$E$2:$F$9,2,FALSE)</f>
        <v>Home</v>
      </c>
      <c r="L343" s="42" t="s">
        <v>150</v>
      </c>
      <c r="M343" s="43" t="s">
        <v>156</v>
      </c>
      <c r="N343" s="42" t="s">
        <v>157</v>
      </c>
      <c r="O343" s="43">
        <v>3</v>
      </c>
      <c r="P343" s="43">
        <v>2</v>
      </c>
      <c r="Q343" s="25" t="str">
        <f>VLOOKUP(P343,Key!$E$2:$F$9,2,FALSE)</f>
        <v>Work</v>
      </c>
      <c r="R343" s="25" t="str">
        <f t="shared" si="7"/>
        <v>Home-Work</v>
      </c>
      <c r="S343" s="52">
        <v>2</v>
      </c>
      <c r="T343" s="52">
        <v>0.4</v>
      </c>
      <c r="U343" s="52">
        <v>2</v>
      </c>
      <c r="V343" s="43"/>
      <c r="W343" s="52"/>
      <c r="X343" s="52"/>
      <c r="Y343" s="53" t="s">
        <v>158</v>
      </c>
      <c r="Z343" s="54">
        <v>2000</v>
      </c>
      <c r="AA343" s="25">
        <f>VLOOKUP(F343,'Zones '!$A$2:$F$2056,6,FALSE)</f>
        <v>1397</v>
      </c>
      <c r="AB343" s="25">
        <f>VLOOKUP(L343,'Zones '!$A$2:$F$2056,6,FALSE)</f>
        <v>1397</v>
      </c>
    </row>
    <row r="344" spans="2:28">
      <c r="B344" s="40">
        <v>0.64583333333333337</v>
      </c>
      <c r="C344" s="40" t="s">
        <v>520</v>
      </c>
      <c r="D344" s="41">
        <v>1</v>
      </c>
      <c r="E344" s="41">
        <v>4</v>
      </c>
      <c r="F344" s="42" t="s">
        <v>160</v>
      </c>
      <c r="G344" s="43" t="s">
        <v>156</v>
      </c>
      <c r="H344" s="42" t="s">
        <v>157</v>
      </c>
      <c r="I344" s="43">
        <v>1</v>
      </c>
      <c r="J344" s="43">
        <v>1</v>
      </c>
      <c r="K344" s="25" t="str">
        <f>VLOOKUP(J344,Key!$E$2:$F$9,2,FALSE)</f>
        <v>Home</v>
      </c>
      <c r="L344" s="42" t="s">
        <v>197</v>
      </c>
      <c r="M344" s="43" t="s">
        <v>197</v>
      </c>
      <c r="N344" s="42" t="s">
        <v>157</v>
      </c>
      <c r="O344" s="43">
        <v>9</v>
      </c>
      <c r="P344" s="43">
        <v>2</v>
      </c>
      <c r="Q344" s="25" t="str">
        <f>VLOOKUP(P344,Key!$E$2:$F$9,2,FALSE)</f>
        <v>Work</v>
      </c>
      <c r="R344" s="25" t="str">
        <f t="shared" si="7"/>
        <v>Home-Work</v>
      </c>
      <c r="S344" s="52">
        <v>120</v>
      </c>
      <c r="T344" s="52">
        <v>2.5</v>
      </c>
      <c r="U344" s="52">
        <v>6</v>
      </c>
      <c r="V344" s="43"/>
      <c r="W344" s="52"/>
      <c r="X344" s="52"/>
      <c r="Y344" s="53" t="s">
        <v>158</v>
      </c>
      <c r="Z344" s="54">
        <v>1000</v>
      </c>
      <c r="AA344" s="25">
        <f>VLOOKUP(F344,'Zones '!$A$2:$F$2056,6,FALSE)</f>
        <v>589</v>
      </c>
      <c r="AB344" s="25">
        <f>VLOOKUP(L344,'Zones '!$A$2:$F$2056,6,FALSE)</f>
        <v>937</v>
      </c>
    </row>
    <row r="345" spans="2:28">
      <c r="B345" s="40">
        <v>0.63194444444444442</v>
      </c>
      <c r="C345" s="40" t="s">
        <v>521</v>
      </c>
      <c r="D345" s="41">
        <v>1</v>
      </c>
      <c r="E345" s="41">
        <v>4</v>
      </c>
      <c r="F345" s="42" t="s">
        <v>160</v>
      </c>
      <c r="G345" s="43" t="s">
        <v>156</v>
      </c>
      <c r="H345" s="42" t="s">
        <v>157</v>
      </c>
      <c r="I345" s="43">
        <v>2</v>
      </c>
      <c r="J345" s="43">
        <v>2</v>
      </c>
      <c r="K345" s="25" t="str">
        <f>VLOOKUP(J345,Key!$E$2:$F$9,2,FALSE)</f>
        <v>Work</v>
      </c>
      <c r="L345" s="42" t="s">
        <v>164</v>
      </c>
      <c r="M345" s="43" t="s">
        <v>156</v>
      </c>
      <c r="N345" s="42" t="s">
        <v>157</v>
      </c>
      <c r="O345" s="43">
        <v>1</v>
      </c>
      <c r="P345" s="43">
        <v>1</v>
      </c>
      <c r="Q345" s="25" t="str">
        <f>VLOOKUP(P345,Key!$E$2:$F$9,2,FALSE)</f>
        <v>Home</v>
      </c>
      <c r="R345" s="25" t="str">
        <f t="shared" si="7"/>
        <v>Work-Home</v>
      </c>
      <c r="S345" s="52">
        <v>5</v>
      </c>
      <c r="T345" s="52">
        <v>0.8</v>
      </c>
      <c r="U345" s="52">
        <v>2</v>
      </c>
      <c r="V345" s="43"/>
      <c r="W345" s="52"/>
      <c r="X345" s="52"/>
      <c r="Y345" s="53" t="s">
        <v>158</v>
      </c>
      <c r="Z345" s="54">
        <v>1000</v>
      </c>
      <c r="AA345" s="25">
        <f>VLOOKUP(F345,'Zones '!$A$2:$F$2056,6,FALSE)</f>
        <v>589</v>
      </c>
      <c r="AB345" s="25">
        <f>VLOOKUP(L345,'Zones '!$A$2:$F$2056,6,FALSE)</f>
        <v>1397</v>
      </c>
    </row>
    <row r="346" spans="2:28">
      <c r="B346" s="40">
        <v>0.625</v>
      </c>
      <c r="C346" s="40" t="s">
        <v>522</v>
      </c>
      <c r="D346" s="41">
        <v>3</v>
      </c>
      <c r="E346" s="41">
        <v>4</v>
      </c>
      <c r="F346" s="42" t="s">
        <v>160</v>
      </c>
      <c r="G346" s="43" t="s">
        <v>156</v>
      </c>
      <c r="H346" s="42" t="s">
        <v>157</v>
      </c>
      <c r="I346" s="43">
        <v>3</v>
      </c>
      <c r="J346" s="43">
        <v>2</v>
      </c>
      <c r="K346" s="25" t="str">
        <f>VLOOKUP(J346,Key!$E$2:$F$9,2,FALSE)</f>
        <v>Work</v>
      </c>
      <c r="L346" s="42" t="s">
        <v>187</v>
      </c>
      <c r="M346" s="43" t="s">
        <v>187</v>
      </c>
      <c r="N346" s="42" t="s">
        <v>157</v>
      </c>
      <c r="O346" s="43">
        <v>1</v>
      </c>
      <c r="P346" s="43">
        <v>1</v>
      </c>
      <c r="Q346" s="25" t="str">
        <f>VLOOKUP(P346,Key!$E$2:$F$9,2,FALSE)</f>
        <v>Home</v>
      </c>
      <c r="R346" s="25" t="str">
        <f t="shared" si="7"/>
        <v>Work-Home</v>
      </c>
      <c r="S346" s="52">
        <v>15</v>
      </c>
      <c r="T346" s="52">
        <v>2</v>
      </c>
      <c r="U346" s="52">
        <v>2</v>
      </c>
      <c r="V346" s="43"/>
      <c r="W346" s="52"/>
      <c r="X346" s="52"/>
      <c r="Y346" s="53" t="s">
        <v>158</v>
      </c>
      <c r="Z346" s="54">
        <v>1000</v>
      </c>
      <c r="AA346" s="25">
        <f>VLOOKUP(F346,'Zones '!$A$2:$F$2056,6,FALSE)</f>
        <v>589</v>
      </c>
      <c r="AB346" s="25">
        <f>VLOOKUP(L346,'Zones '!$A$2:$F$2056,6,FALSE)</f>
        <v>521</v>
      </c>
    </row>
    <row r="347" spans="2:28">
      <c r="B347" s="40">
        <v>0.61805555555555558</v>
      </c>
      <c r="C347" s="40" t="s">
        <v>523</v>
      </c>
      <c r="D347" s="41">
        <v>1</v>
      </c>
      <c r="E347" s="41">
        <v>2</v>
      </c>
      <c r="F347" s="42" t="s">
        <v>160</v>
      </c>
      <c r="G347" s="43" t="s">
        <v>156</v>
      </c>
      <c r="H347" s="42" t="s">
        <v>157</v>
      </c>
      <c r="I347" s="43">
        <v>2</v>
      </c>
      <c r="J347" s="43">
        <v>2</v>
      </c>
      <c r="K347" s="25" t="str">
        <f>VLOOKUP(J347,Key!$E$2:$F$9,2,FALSE)</f>
        <v>Work</v>
      </c>
      <c r="L347" s="42" t="s">
        <v>162</v>
      </c>
      <c r="M347" s="43" t="s">
        <v>156</v>
      </c>
      <c r="N347" s="42" t="s">
        <v>157</v>
      </c>
      <c r="O347" s="43">
        <v>1</v>
      </c>
      <c r="P347" s="43">
        <v>1</v>
      </c>
      <c r="Q347" s="25" t="str">
        <f>VLOOKUP(P347,Key!$E$2:$F$9,2,FALSE)</f>
        <v>Home</v>
      </c>
      <c r="R347" s="25" t="str">
        <f t="shared" si="7"/>
        <v>Work-Home</v>
      </c>
      <c r="S347" s="52">
        <v>3</v>
      </c>
      <c r="T347" s="52">
        <v>0.5</v>
      </c>
      <c r="U347" s="52">
        <v>2</v>
      </c>
      <c r="V347" s="43"/>
      <c r="W347" s="52"/>
      <c r="X347" s="52"/>
      <c r="Y347" s="53" t="s">
        <v>158</v>
      </c>
      <c r="Z347" s="54">
        <v>500</v>
      </c>
      <c r="AA347" s="25">
        <f>VLOOKUP(F347,'Zones '!$A$2:$F$2056,6,FALSE)</f>
        <v>589</v>
      </c>
      <c r="AB347" s="25">
        <f>VLOOKUP(L347,'Zones '!$A$2:$F$2056,6,FALSE)</f>
        <v>1397</v>
      </c>
    </row>
    <row r="348" spans="2:28">
      <c r="B348" s="40">
        <v>0.61041666666666672</v>
      </c>
      <c r="C348" s="40" t="s">
        <v>524</v>
      </c>
      <c r="D348" s="41">
        <v>1</v>
      </c>
      <c r="E348" s="41">
        <v>1</v>
      </c>
      <c r="F348" s="42" t="s">
        <v>179</v>
      </c>
      <c r="G348" s="43" t="s">
        <v>156</v>
      </c>
      <c r="H348" s="42" t="s">
        <v>157</v>
      </c>
      <c r="I348" s="43">
        <v>1</v>
      </c>
      <c r="J348" s="43">
        <v>1</v>
      </c>
      <c r="K348" s="25" t="str">
        <f>VLOOKUP(J348,Key!$E$2:$F$9,2,FALSE)</f>
        <v>Home</v>
      </c>
      <c r="L348" s="42" t="s">
        <v>150</v>
      </c>
      <c r="M348" s="43" t="s">
        <v>156</v>
      </c>
      <c r="N348" s="42" t="s">
        <v>157</v>
      </c>
      <c r="O348" s="43">
        <v>2</v>
      </c>
      <c r="P348" s="43">
        <v>2</v>
      </c>
      <c r="Q348" s="25" t="str">
        <f>VLOOKUP(P348,Key!$E$2:$F$9,2,FALSE)</f>
        <v>Work</v>
      </c>
      <c r="R348" s="25" t="str">
        <f t="shared" si="7"/>
        <v>Home-Work</v>
      </c>
      <c r="S348" s="52">
        <v>1</v>
      </c>
      <c r="T348" s="52">
        <v>0.2</v>
      </c>
      <c r="U348" s="52">
        <v>2</v>
      </c>
      <c r="V348" s="43"/>
      <c r="W348" s="52"/>
      <c r="X348" s="52"/>
      <c r="Y348" s="53" t="s">
        <v>158</v>
      </c>
      <c r="Z348" s="54">
        <v>500</v>
      </c>
      <c r="AA348" s="25">
        <f>VLOOKUP(F348,'Zones '!$A$2:$F$2056,6,FALSE)</f>
        <v>905</v>
      </c>
      <c r="AB348" s="25">
        <f>VLOOKUP(L348,'Zones '!$A$2:$F$2056,6,FALSE)</f>
        <v>1397</v>
      </c>
    </row>
    <row r="349" spans="2:28">
      <c r="B349" s="40">
        <v>0.60555555555555551</v>
      </c>
      <c r="C349" s="40" t="s">
        <v>525</v>
      </c>
      <c r="D349" s="41">
        <v>3</v>
      </c>
      <c r="E349" s="41">
        <v>5</v>
      </c>
      <c r="F349" s="42" t="s">
        <v>160</v>
      </c>
      <c r="G349" s="43" t="s">
        <v>156</v>
      </c>
      <c r="H349" s="42" t="s">
        <v>157</v>
      </c>
      <c r="I349" s="43">
        <v>9</v>
      </c>
      <c r="J349" s="43">
        <v>2</v>
      </c>
      <c r="K349" s="25" t="str">
        <f>VLOOKUP(J349,Key!$E$2:$F$9,2,FALSE)</f>
        <v>Work</v>
      </c>
      <c r="L349" s="42" t="s">
        <v>164</v>
      </c>
      <c r="M349" s="43" t="s">
        <v>156</v>
      </c>
      <c r="N349" s="42" t="s">
        <v>157</v>
      </c>
      <c r="O349" s="43">
        <v>1</v>
      </c>
      <c r="P349" s="43">
        <v>1</v>
      </c>
      <c r="Q349" s="25" t="str">
        <f>VLOOKUP(P349,Key!$E$2:$F$9,2,FALSE)</f>
        <v>Home</v>
      </c>
      <c r="R349" s="25" t="str">
        <f t="shared" si="7"/>
        <v>Work-Home</v>
      </c>
      <c r="S349" s="52">
        <v>5</v>
      </c>
      <c r="T349" s="52">
        <v>1</v>
      </c>
      <c r="U349" s="52">
        <v>2</v>
      </c>
      <c r="V349" s="43"/>
      <c r="W349" s="52"/>
      <c r="X349" s="52"/>
      <c r="Y349" s="53" t="s">
        <v>158</v>
      </c>
      <c r="Z349" s="54">
        <v>500</v>
      </c>
      <c r="AA349" s="25">
        <f>VLOOKUP(F349,'Zones '!$A$2:$F$2056,6,FALSE)</f>
        <v>589</v>
      </c>
      <c r="AB349" s="25">
        <f>VLOOKUP(L349,'Zones '!$A$2:$F$2056,6,FALSE)</f>
        <v>1397</v>
      </c>
    </row>
    <row r="350" spans="2:28">
      <c r="B350" s="40">
        <v>0.60069444444444442</v>
      </c>
      <c r="C350" s="40" t="s">
        <v>526</v>
      </c>
      <c r="D350" s="41">
        <v>1</v>
      </c>
      <c r="E350" s="41">
        <v>2</v>
      </c>
      <c r="F350" s="42" t="s">
        <v>155</v>
      </c>
      <c r="G350" s="43" t="s">
        <v>156</v>
      </c>
      <c r="H350" s="42" t="s">
        <v>157</v>
      </c>
      <c r="I350" s="43">
        <v>2</v>
      </c>
      <c r="J350" s="43">
        <v>2</v>
      </c>
      <c r="K350" s="25" t="str">
        <f>VLOOKUP(J350,Key!$E$2:$F$9,2,FALSE)</f>
        <v>Work</v>
      </c>
      <c r="L350" s="42" t="s">
        <v>2192</v>
      </c>
      <c r="M350" s="43" t="s">
        <v>197</v>
      </c>
      <c r="N350" s="42" t="s">
        <v>157</v>
      </c>
      <c r="O350" s="43">
        <v>1</v>
      </c>
      <c r="P350" s="43">
        <v>1</v>
      </c>
      <c r="Q350" s="25" t="str">
        <f>VLOOKUP(P350,Key!$E$2:$F$9,2,FALSE)</f>
        <v>Home</v>
      </c>
      <c r="R350" s="25" t="str">
        <f t="shared" si="7"/>
        <v>Work-Home</v>
      </c>
      <c r="S350" s="52">
        <v>100</v>
      </c>
      <c r="T350" s="52">
        <v>2.5</v>
      </c>
      <c r="U350" s="52">
        <v>6</v>
      </c>
      <c r="V350" s="43"/>
      <c r="W350" s="52"/>
      <c r="X350" s="52"/>
      <c r="Y350" s="53" t="s">
        <v>158</v>
      </c>
      <c r="Z350" s="54">
        <v>5000</v>
      </c>
      <c r="AA350" s="25">
        <f>VLOOKUP(F350,'Zones '!$A$2:$F$2056,6,FALSE)</f>
        <v>1397</v>
      </c>
      <c r="AB350" s="25">
        <f>VLOOKUP(L350,'Zones '!$A$2:$F$2056,6,FALSE)</f>
        <v>937</v>
      </c>
    </row>
    <row r="351" spans="2:28">
      <c r="B351" s="40">
        <v>0.59583333333333333</v>
      </c>
      <c r="C351" s="40" t="s">
        <v>528</v>
      </c>
      <c r="D351" s="41">
        <v>1</v>
      </c>
      <c r="E351" s="41">
        <v>2</v>
      </c>
      <c r="F351" s="42" t="s">
        <v>179</v>
      </c>
      <c r="G351" s="43" t="s">
        <v>156</v>
      </c>
      <c r="H351" s="42" t="s">
        <v>157</v>
      </c>
      <c r="I351" s="43">
        <v>2</v>
      </c>
      <c r="J351" s="43">
        <v>2</v>
      </c>
      <c r="K351" s="25" t="str">
        <f>VLOOKUP(J351,Key!$E$2:$F$9,2,FALSE)</f>
        <v>Work</v>
      </c>
      <c r="L351" s="42" t="s">
        <v>162</v>
      </c>
      <c r="M351" s="43" t="s">
        <v>156</v>
      </c>
      <c r="N351" s="42" t="s">
        <v>157</v>
      </c>
      <c r="O351" s="43">
        <v>1</v>
      </c>
      <c r="P351" s="43">
        <v>1</v>
      </c>
      <c r="Q351" s="25" t="str">
        <f>VLOOKUP(P351,Key!$E$2:$F$9,2,FALSE)</f>
        <v>Home</v>
      </c>
      <c r="R351" s="25" t="str">
        <f t="shared" si="7"/>
        <v>Work-Home</v>
      </c>
      <c r="S351" s="52">
        <v>3</v>
      </c>
      <c r="T351" s="52">
        <v>0.6</v>
      </c>
      <c r="U351" s="52">
        <v>2</v>
      </c>
      <c r="V351" s="43"/>
      <c r="W351" s="52"/>
      <c r="X351" s="52"/>
      <c r="Y351" s="53" t="s">
        <v>158</v>
      </c>
      <c r="Z351" s="54">
        <v>1000</v>
      </c>
      <c r="AA351" s="25">
        <f>VLOOKUP(F351,'Zones '!$A$2:$F$2056,6,FALSE)</f>
        <v>905</v>
      </c>
      <c r="AB351" s="25">
        <f>VLOOKUP(L351,'Zones '!$A$2:$F$2056,6,FALSE)</f>
        <v>1397</v>
      </c>
    </row>
    <row r="352" spans="2:28">
      <c r="B352" s="40">
        <v>9.0277777777777776E-2</v>
      </c>
      <c r="C352" s="40" t="s">
        <v>206</v>
      </c>
      <c r="D352" s="41">
        <v>3</v>
      </c>
      <c r="E352" s="41">
        <v>4</v>
      </c>
      <c r="F352" s="42" t="s">
        <v>160</v>
      </c>
      <c r="G352" s="43" t="s">
        <v>156</v>
      </c>
      <c r="H352" s="42" t="s">
        <v>157</v>
      </c>
      <c r="I352" s="43">
        <v>3</v>
      </c>
      <c r="J352" s="43">
        <v>2</v>
      </c>
      <c r="K352" s="25" t="str">
        <f>VLOOKUP(J352,Key!$E$2:$F$9,2,FALSE)</f>
        <v>Work</v>
      </c>
      <c r="L352" s="42" t="s">
        <v>162</v>
      </c>
      <c r="M352" s="43" t="s">
        <v>156</v>
      </c>
      <c r="N352" s="42" t="s">
        <v>157</v>
      </c>
      <c r="O352" s="43">
        <v>1</v>
      </c>
      <c r="P352" s="43">
        <v>1</v>
      </c>
      <c r="Q352" s="25" t="str">
        <f>VLOOKUP(P352,Key!$E$2:$F$9,2,FALSE)</f>
        <v>Home</v>
      </c>
      <c r="R352" s="25" t="str">
        <f t="shared" si="7"/>
        <v>Work-Home</v>
      </c>
      <c r="S352" s="52">
        <v>3</v>
      </c>
      <c r="T352" s="52">
        <v>0.5</v>
      </c>
      <c r="U352" s="52">
        <v>6</v>
      </c>
      <c r="V352" s="43"/>
      <c r="W352" s="52"/>
      <c r="X352" s="52"/>
      <c r="Y352" s="53" t="s">
        <v>158</v>
      </c>
      <c r="Z352" s="54">
        <v>1000</v>
      </c>
      <c r="AA352" s="25">
        <f>VLOOKUP(F352,'Zones '!$A$2:$F$2056,6,FALSE)</f>
        <v>589</v>
      </c>
      <c r="AB352" s="25">
        <f>VLOOKUP(L352,'Zones '!$A$2:$F$2056,6,FALSE)</f>
        <v>1397</v>
      </c>
    </row>
    <row r="353" spans="2:28">
      <c r="B353" s="40">
        <v>0.58263888888888882</v>
      </c>
      <c r="C353" s="40" t="s">
        <v>529</v>
      </c>
      <c r="D353" s="41">
        <v>1</v>
      </c>
      <c r="E353" s="41">
        <v>2</v>
      </c>
      <c r="F353" s="42" t="s">
        <v>155</v>
      </c>
      <c r="G353" s="43" t="s">
        <v>156</v>
      </c>
      <c r="H353" s="42" t="s">
        <v>157</v>
      </c>
      <c r="I353" s="43">
        <v>1</v>
      </c>
      <c r="J353" s="43">
        <v>1</v>
      </c>
      <c r="K353" s="25" t="str">
        <f>VLOOKUP(J353,Key!$E$2:$F$9,2,FALSE)</f>
        <v>Home</v>
      </c>
      <c r="L353" s="42" t="s">
        <v>187</v>
      </c>
      <c r="M353" s="43" t="s">
        <v>187</v>
      </c>
      <c r="N353" s="42" t="s">
        <v>157</v>
      </c>
      <c r="O353" s="43">
        <v>2</v>
      </c>
      <c r="P353" s="43">
        <v>2</v>
      </c>
      <c r="Q353" s="25" t="str">
        <f>VLOOKUP(P353,Key!$E$2:$F$9,2,FALSE)</f>
        <v>Work</v>
      </c>
      <c r="R353" s="25" t="str">
        <f t="shared" si="7"/>
        <v>Home-Work</v>
      </c>
      <c r="S353" s="52">
        <v>15</v>
      </c>
      <c r="T353" s="52">
        <v>1</v>
      </c>
      <c r="U353" s="52">
        <v>3</v>
      </c>
      <c r="V353" s="43"/>
      <c r="W353" s="52"/>
      <c r="X353" s="52"/>
      <c r="Y353" s="53" t="s">
        <v>158</v>
      </c>
      <c r="Z353" s="54">
        <v>1000</v>
      </c>
      <c r="AA353" s="25">
        <f>VLOOKUP(F353,'Zones '!$A$2:$F$2056,6,FALSE)</f>
        <v>1397</v>
      </c>
      <c r="AB353" s="25">
        <f>VLOOKUP(L353,'Zones '!$A$2:$F$2056,6,FALSE)</f>
        <v>521</v>
      </c>
    </row>
    <row r="354" spans="2:28">
      <c r="B354" s="40">
        <v>0.57777777777777783</v>
      </c>
      <c r="C354" s="40" t="s">
        <v>530</v>
      </c>
      <c r="D354" s="41">
        <v>1</v>
      </c>
      <c r="E354" s="41">
        <v>4</v>
      </c>
      <c r="F354" s="42" t="s">
        <v>179</v>
      </c>
      <c r="G354" s="43" t="s">
        <v>156</v>
      </c>
      <c r="H354" s="42" t="s">
        <v>157</v>
      </c>
      <c r="I354" s="43">
        <v>3</v>
      </c>
      <c r="J354" s="43">
        <v>2</v>
      </c>
      <c r="K354" s="25" t="str">
        <f>VLOOKUP(J354,Key!$E$2:$F$9,2,FALSE)</f>
        <v>Work</v>
      </c>
      <c r="L354" s="42" t="s">
        <v>162</v>
      </c>
      <c r="M354" s="43" t="s">
        <v>156</v>
      </c>
      <c r="N354" s="42" t="s">
        <v>157</v>
      </c>
      <c r="O354" s="43">
        <v>1</v>
      </c>
      <c r="P354" s="43">
        <v>1</v>
      </c>
      <c r="Q354" s="25" t="str">
        <f>VLOOKUP(P354,Key!$E$2:$F$9,2,FALSE)</f>
        <v>Home</v>
      </c>
      <c r="R354" s="25" t="str">
        <f t="shared" si="7"/>
        <v>Work-Home</v>
      </c>
      <c r="S354" s="52">
        <v>3</v>
      </c>
      <c r="T354" s="52">
        <v>0.5</v>
      </c>
      <c r="U354" s="52">
        <v>6</v>
      </c>
      <c r="V354" s="43"/>
      <c r="W354" s="52"/>
      <c r="X354" s="52"/>
      <c r="Y354" s="53" t="s">
        <v>158</v>
      </c>
      <c r="Z354" s="54">
        <v>500</v>
      </c>
      <c r="AA354" s="25">
        <f>VLOOKUP(F354,'Zones '!$A$2:$F$2056,6,FALSE)</f>
        <v>905</v>
      </c>
      <c r="AB354" s="25">
        <f>VLOOKUP(L354,'Zones '!$A$2:$F$2056,6,FALSE)</f>
        <v>1397</v>
      </c>
    </row>
    <row r="355" spans="2:28">
      <c r="B355" s="40">
        <v>0.75069444444444444</v>
      </c>
      <c r="C355" s="40" t="s">
        <v>531</v>
      </c>
      <c r="D355" s="41">
        <v>7</v>
      </c>
      <c r="E355" s="41">
        <v>2</v>
      </c>
      <c r="F355" s="42" t="s">
        <v>207</v>
      </c>
      <c r="G355" s="43" t="s">
        <v>156</v>
      </c>
      <c r="H355" s="42" t="s">
        <v>157</v>
      </c>
      <c r="I355" s="43">
        <v>10</v>
      </c>
      <c r="J355" s="43">
        <v>2</v>
      </c>
      <c r="K355" s="25" t="str">
        <f>VLOOKUP(J355,Key!$E$2:$F$9,2,FALSE)</f>
        <v>Work</v>
      </c>
      <c r="L355" s="42" t="s">
        <v>164</v>
      </c>
      <c r="M355" s="43" t="s">
        <v>156</v>
      </c>
      <c r="N355" s="42" t="s">
        <v>157</v>
      </c>
      <c r="O355" s="43">
        <v>1</v>
      </c>
      <c r="P355" s="43">
        <v>1</v>
      </c>
      <c r="Q355" s="25" t="str">
        <f>VLOOKUP(P355,Key!$E$2:$F$9,2,FALSE)</f>
        <v>Home</v>
      </c>
      <c r="R355" s="25" t="str">
        <f t="shared" si="7"/>
        <v>Work-Home</v>
      </c>
      <c r="S355" s="52">
        <v>15</v>
      </c>
      <c r="T355" s="52">
        <v>0.3</v>
      </c>
      <c r="U355" s="52">
        <v>1</v>
      </c>
      <c r="V355" s="43"/>
      <c r="W355" s="52"/>
      <c r="X355" s="52"/>
      <c r="Y355" s="53" t="s">
        <v>158</v>
      </c>
      <c r="Z355" s="54">
        <v>1000</v>
      </c>
      <c r="AA355" s="25">
        <f>VLOOKUP(F355,'Zones '!$A$2:$F$2056,6,FALSE)</f>
        <v>1397</v>
      </c>
      <c r="AB355" s="25">
        <f>VLOOKUP(L355,'Zones '!$A$2:$F$2056,6,FALSE)</f>
        <v>1397</v>
      </c>
    </row>
    <row r="356" spans="2:28">
      <c r="B356" s="40">
        <v>0.74444444444444446</v>
      </c>
      <c r="C356" s="40" t="s">
        <v>532</v>
      </c>
      <c r="D356" s="41">
        <v>2</v>
      </c>
      <c r="E356" s="41">
        <v>1</v>
      </c>
      <c r="F356" s="42" t="s">
        <v>215</v>
      </c>
      <c r="G356" s="43" t="s">
        <v>156</v>
      </c>
      <c r="H356" s="42" t="s">
        <v>157</v>
      </c>
      <c r="I356" s="43">
        <v>2</v>
      </c>
      <c r="J356" s="43">
        <v>2</v>
      </c>
      <c r="K356" s="25" t="str">
        <f>VLOOKUP(J356,Key!$E$2:$F$9,2,FALSE)</f>
        <v>Work</v>
      </c>
      <c r="L356" s="42" t="s">
        <v>162</v>
      </c>
      <c r="M356" s="43" t="s">
        <v>156</v>
      </c>
      <c r="N356" s="42" t="s">
        <v>157</v>
      </c>
      <c r="O356" s="43">
        <v>1</v>
      </c>
      <c r="P356" s="43">
        <v>1</v>
      </c>
      <c r="Q356" s="25" t="str">
        <f>VLOOKUP(P356,Key!$E$2:$F$9,2,FALSE)</f>
        <v>Home</v>
      </c>
      <c r="R356" s="25" t="str">
        <f t="shared" si="7"/>
        <v>Work-Home</v>
      </c>
      <c r="S356" s="52">
        <v>35</v>
      </c>
      <c r="T356" s="52">
        <v>2</v>
      </c>
      <c r="U356" s="52">
        <v>2</v>
      </c>
      <c r="V356" s="43"/>
      <c r="W356" s="52"/>
      <c r="X356" s="52"/>
      <c r="Y356" s="53" t="s">
        <v>158</v>
      </c>
      <c r="Z356" s="54">
        <v>10000</v>
      </c>
      <c r="AA356" s="25">
        <f>VLOOKUP(F356,'Zones '!$A$2:$F$2056,6,FALSE)</f>
        <v>1388</v>
      </c>
      <c r="AB356" s="25">
        <f>VLOOKUP(L356,'Zones '!$A$2:$F$2056,6,FALSE)</f>
        <v>1397</v>
      </c>
    </row>
    <row r="357" spans="2:28">
      <c r="B357" s="40">
        <v>0.69236111111111109</v>
      </c>
      <c r="C357" s="40" t="s">
        <v>533</v>
      </c>
      <c r="D357" s="41">
        <v>11</v>
      </c>
      <c r="E357" s="41">
        <v>2</v>
      </c>
      <c r="F357" s="42" t="s">
        <v>150</v>
      </c>
      <c r="G357" s="43" t="s">
        <v>156</v>
      </c>
      <c r="H357" s="42" t="s">
        <v>157</v>
      </c>
      <c r="I357" s="43">
        <v>1</v>
      </c>
      <c r="J357" s="43">
        <v>1</v>
      </c>
      <c r="K357" s="25" t="str">
        <f>VLOOKUP(J357,Key!$E$2:$F$9,2,FALSE)</f>
        <v>Home</v>
      </c>
      <c r="L357" s="42" t="s">
        <v>150</v>
      </c>
      <c r="M357" s="43" t="s">
        <v>156</v>
      </c>
      <c r="N357" s="42" t="s">
        <v>157</v>
      </c>
      <c r="O357" s="43">
        <v>8</v>
      </c>
      <c r="P357" s="43">
        <v>2</v>
      </c>
      <c r="Q357" s="25" t="str">
        <f>VLOOKUP(P357,Key!$E$2:$F$9,2,FALSE)</f>
        <v>Work</v>
      </c>
      <c r="R357" s="25" t="str">
        <f t="shared" si="7"/>
        <v>Home-Work</v>
      </c>
      <c r="S357" s="52">
        <v>0.5</v>
      </c>
      <c r="T357" s="52">
        <v>0.1</v>
      </c>
      <c r="U357" s="52">
        <v>1</v>
      </c>
      <c r="V357" s="43"/>
      <c r="W357" s="52"/>
      <c r="X357" s="52"/>
      <c r="Y357" s="53" t="s">
        <v>158</v>
      </c>
      <c r="Z357" s="54">
        <v>10000</v>
      </c>
      <c r="AA357" s="25">
        <f>VLOOKUP(F357,'Zones '!$A$2:$F$2056,6,FALSE)</f>
        <v>1397</v>
      </c>
      <c r="AB357" s="25">
        <f>VLOOKUP(L357,'Zones '!$A$2:$F$2056,6,FALSE)</f>
        <v>1397</v>
      </c>
    </row>
    <row r="358" spans="2:28">
      <c r="B358" s="40">
        <v>0.68402777777777779</v>
      </c>
      <c r="C358" s="40" t="s">
        <v>534</v>
      </c>
      <c r="D358" s="41">
        <v>11</v>
      </c>
      <c r="E358" s="41">
        <v>2</v>
      </c>
      <c r="F358" s="42" t="s">
        <v>155</v>
      </c>
      <c r="G358" s="43" t="s">
        <v>156</v>
      </c>
      <c r="H358" s="42" t="s">
        <v>157</v>
      </c>
      <c r="I358" s="43">
        <v>8</v>
      </c>
      <c r="J358" s="43">
        <v>2</v>
      </c>
      <c r="K358" s="25" t="str">
        <f>VLOOKUP(J358,Key!$E$2:$F$9,2,FALSE)</f>
        <v>Work</v>
      </c>
      <c r="L358" s="42" t="s">
        <v>164</v>
      </c>
      <c r="M358" s="43" t="s">
        <v>156</v>
      </c>
      <c r="N358" s="42" t="s">
        <v>157</v>
      </c>
      <c r="O358" s="43">
        <v>8</v>
      </c>
      <c r="P358" s="43">
        <v>2</v>
      </c>
      <c r="Q358" s="25" t="str">
        <f>VLOOKUP(P358,Key!$E$2:$F$9,2,FALSE)</f>
        <v>Work</v>
      </c>
      <c r="R358" s="25" t="str">
        <f t="shared" si="7"/>
        <v>Work-Work</v>
      </c>
      <c r="S358" s="52">
        <v>15</v>
      </c>
      <c r="T358" s="52">
        <v>0.3</v>
      </c>
      <c r="U358" s="52">
        <v>1</v>
      </c>
      <c r="V358" s="43"/>
      <c r="W358" s="52"/>
      <c r="X358" s="52"/>
      <c r="Y358" s="53" t="s">
        <v>158</v>
      </c>
      <c r="Z358" s="54">
        <v>1000</v>
      </c>
      <c r="AA358" s="25">
        <f>VLOOKUP(F358,'Zones '!$A$2:$F$2056,6,FALSE)</f>
        <v>1397</v>
      </c>
      <c r="AB358" s="25">
        <f>VLOOKUP(L358,'Zones '!$A$2:$F$2056,6,FALSE)</f>
        <v>1397</v>
      </c>
    </row>
    <row r="359" spans="2:28">
      <c r="B359" s="40">
        <v>0.67013888888888884</v>
      </c>
      <c r="C359" s="40" t="s">
        <v>535</v>
      </c>
      <c r="D359" s="41">
        <v>7</v>
      </c>
      <c r="E359" s="41">
        <v>2</v>
      </c>
      <c r="F359" s="42" t="s">
        <v>155</v>
      </c>
      <c r="G359" s="43" t="s">
        <v>156</v>
      </c>
      <c r="H359" s="42" t="s">
        <v>157</v>
      </c>
      <c r="I359" s="43">
        <v>10</v>
      </c>
      <c r="J359" s="43">
        <v>2</v>
      </c>
      <c r="K359" s="25" t="str">
        <f>VLOOKUP(J359,Key!$E$2:$F$9,2,FALSE)</f>
        <v>Work</v>
      </c>
      <c r="L359" s="42" t="s">
        <v>162</v>
      </c>
      <c r="M359" s="43" t="s">
        <v>156</v>
      </c>
      <c r="N359" s="42" t="s">
        <v>157</v>
      </c>
      <c r="O359" s="43">
        <v>1</v>
      </c>
      <c r="P359" s="43">
        <v>1</v>
      </c>
      <c r="Q359" s="25" t="str">
        <f>VLOOKUP(P359,Key!$E$2:$F$9,2,FALSE)</f>
        <v>Home</v>
      </c>
      <c r="R359" s="25" t="str">
        <f t="shared" si="7"/>
        <v>Work-Home</v>
      </c>
      <c r="S359" s="52">
        <v>10</v>
      </c>
      <c r="T359" s="52">
        <v>0.3</v>
      </c>
      <c r="U359" s="52">
        <v>1</v>
      </c>
      <c r="V359" s="43"/>
      <c r="W359" s="52"/>
      <c r="X359" s="52"/>
      <c r="Y359" s="53" t="s">
        <v>158</v>
      </c>
      <c r="Z359" s="54">
        <v>500</v>
      </c>
      <c r="AA359" s="25">
        <f>VLOOKUP(F359,'Zones '!$A$2:$F$2056,6,FALSE)</f>
        <v>1397</v>
      </c>
      <c r="AB359" s="25">
        <f>VLOOKUP(L359,'Zones '!$A$2:$F$2056,6,FALSE)</f>
        <v>1397</v>
      </c>
    </row>
    <row r="360" spans="2:28">
      <c r="B360" s="40">
        <v>0.6777777777777777</v>
      </c>
      <c r="C360" s="40" t="s">
        <v>536</v>
      </c>
      <c r="D360" s="41">
        <v>11</v>
      </c>
      <c r="E360" s="41">
        <v>1</v>
      </c>
      <c r="F360" s="42" t="s">
        <v>207</v>
      </c>
      <c r="G360" s="43" t="s">
        <v>156</v>
      </c>
      <c r="H360" s="42" t="s">
        <v>157</v>
      </c>
      <c r="I360" s="43">
        <v>1</v>
      </c>
      <c r="J360" s="43">
        <v>1</v>
      </c>
      <c r="K360" s="25" t="str">
        <f>VLOOKUP(J360,Key!$E$2:$F$9,2,FALSE)</f>
        <v>Home</v>
      </c>
      <c r="L360" s="42" t="s">
        <v>150</v>
      </c>
      <c r="M360" s="43" t="s">
        <v>156</v>
      </c>
      <c r="N360" s="42" t="s">
        <v>157</v>
      </c>
      <c r="O360" s="43">
        <v>11</v>
      </c>
      <c r="P360" s="43">
        <v>4</v>
      </c>
      <c r="Q360" s="25" t="str">
        <f>VLOOKUP(P360,Key!$E$2:$F$9,2,FALSE)</f>
        <v>Commercial</v>
      </c>
      <c r="R360" s="25" t="str">
        <f t="shared" si="7"/>
        <v>Home-Commercial</v>
      </c>
      <c r="S360" s="52">
        <v>10</v>
      </c>
      <c r="T360" s="52">
        <v>0.3</v>
      </c>
      <c r="U360" s="52">
        <v>1</v>
      </c>
      <c r="V360" s="43"/>
      <c r="W360" s="52"/>
      <c r="X360" s="52"/>
      <c r="Y360" s="53" t="s">
        <v>158</v>
      </c>
      <c r="Z360" s="54">
        <v>1000</v>
      </c>
      <c r="AA360" s="25">
        <f>VLOOKUP(F360,'Zones '!$A$2:$F$2056,6,FALSE)</f>
        <v>1397</v>
      </c>
      <c r="AB360" s="25">
        <f>VLOOKUP(L360,'Zones '!$A$2:$F$2056,6,FALSE)</f>
        <v>1397</v>
      </c>
    </row>
    <row r="361" spans="2:28">
      <c r="B361" s="40">
        <v>0.65277777777777779</v>
      </c>
      <c r="C361" s="40" t="s">
        <v>537</v>
      </c>
      <c r="D361" s="41">
        <v>11</v>
      </c>
      <c r="E361" s="42">
        <v>2</v>
      </c>
      <c r="F361" s="42" t="s">
        <v>160</v>
      </c>
      <c r="G361" s="43" t="s">
        <v>156</v>
      </c>
      <c r="H361" s="42" t="s">
        <v>157</v>
      </c>
      <c r="I361" s="43">
        <v>8</v>
      </c>
      <c r="J361" s="43">
        <v>2</v>
      </c>
      <c r="K361" s="25" t="str">
        <f>VLOOKUP(J361,Key!$E$2:$F$9,2,FALSE)</f>
        <v>Work</v>
      </c>
      <c r="L361" s="42" t="s">
        <v>150</v>
      </c>
      <c r="M361" s="43" t="s">
        <v>156</v>
      </c>
      <c r="N361" s="42" t="s">
        <v>157</v>
      </c>
      <c r="O361" s="43">
        <v>8</v>
      </c>
      <c r="P361" s="43">
        <v>2</v>
      </c>
      <c r="Q361" s="25" t="str">
        <f>VLOOKUP(P361,Key!$E$2:$F$9,2,FALSE)</f>
        <v>Work</v>
      </c>
      <c r="R361" s="25" t="str">
        <f t="shared" si="7"/>
        <v>Work-Work</v>
      </c>
      <c r="S361" s="52">
        <v>5</v>
      </c>
      <c r="T361" s="52">
        <v>0.1</v>
      </c>
      <c r="U361" s="43">
        <v>1</v>
      </c>
      <c r="V361" s="43"/>
      <c r="W361" s="52"/>
      <c r="X361" s="52"/>
      <c r="Y361" s="53" t="s">
        <v>158</v>
      </c>
      <c r="Z361" s="54">
        <v>500</v>
      </c>
      <c r="AA361" s="25">
        <f>VLOOKUP(F361,'Zones '!$A$2:$F$2056,6,FALSE)</f>
        <v>589</v>
      </c>
      <c r="AB361" s="25">
        <f>VLOOKUP(L361,'Zones '!$A$2:$F$2056,6,FALSE)</f>
        <v>1397</v>
      </c>
    </row>
    <row r="362" spans="2:28">
      <c r="B362" s="40">
        <v>0.65</v>
      </c>
      <c r="C362" s="40" t="s">
        <v>538</v>
      </c>
      <c r="D362" s="41">
        <v>2</v>
      </c>
      <c r="E362" s="42">
        <v>4</v>
      </c>
      <c r="F362" s="42" t="s">
        <v>215</v>
      </c>
      <c r="G362" s="43" t="s">
        <v>156</v>
      </c>
      <c r="H362" s="42" t="s">
        <v>157</v>
      </c>
      <c r="I362" s="43">
        <v>1</v>
      </c>
      <c r="J362" s="43">
        <v>1</v>
      </c>
      <c r="K362" s="25" t="str">
        <f>VLOOKUP(J362,Key!$E$2:$F$9,2,FALSE)</f>
        <v>Home</v>
      </c>
      <c r="L362" s="42" t="s">
        <v>197</v>
      </c>
      <c r="M362" s="43" t="s">
        <v>197</v>
      </c>
      <c r="N362" s="42" t="s">
        <v>157</v>
      </c>
      <c r="O362" s="43">
        <v>1</v>
      </c>
      <c r="P362" s="43">
        <v>1</v>
      </c>
      <c r="Q362" s="25" t="str">
        <f>VLOOKUP(P362,Key!$E$2:$F$9,2,FALSE)</f>
        <v>Home</v>
      </c>
      <c r="R362" s="25" t="str">
        <f t="shared" si="7"/>
        <v>Home-Home</v>
      </c>
      <c r="S362" s="52">
        <v>180</v>
      </c>
      <c r="T362" s="52">
        <v>4</v>
      </c>
      <c r="U362" s="43">
        <v>6</v>
      </c>
      <c r="V362" s="43"/>
      <c r="W362" s="52"/>
      <c r="X362" s="52"/>
      <c r="Y362" s="53" t="s">
        <v>158</v>
      </c>
      <c r="Z362" s="54">
        <v>10000</v>
      </c>
      <c r="AA362" s="25">
        <f>VLOOKUP(F362,'Zones '!$A$2:$F$2056,6,FALSE)</f>
        <v>1388</v>
      </c>
      <c r="AB362" s="25">
        <f>VLOOKUP(L362,'Zones '!$A$2:$F$2056,6,FALSE)</f>
        <v>937</v>
      </c>
    </row>
    <row r="363" spans="2:28">
      <c r="B363" s="40">
        <v>0.99652777777777779</v>
      </c>
      <c r="C363" s="40" t="s">
        <v>539</v>
      </c>
      <c r="D363" s="41">
        <v>2</v>
      </c>
      <c r="E363" s="42">
        <v>2</v>
      </c>
      <c r="F363" s="42" t="s">
        <v>160</v>
      </c>
      <c r="G363" s="43" t="s">
        <v>156</v>
      </c>
      <c r="H363" s="42" t="s">
        <v>157</v>
      </c>
      <c r="I363" s="43">
        <v>1</v>
      </c>
      <c r="J363" s="43">
        <v>1</v>
      </c>
      <c r="K363" s="25" t="str">
        <f>VLOOKUP(J363,Key!$E$2:$F$9,2,FALSE)</f>
        <v>Home</v>
      </c>
      <c r="L363" s="42" t="s">
        <v>187</v>
      </c>
      <c r="M363" s="43" t="s">
        <v>187</v>
      </c>
      <c r="N363" s="42" t="s">
        <v>157</v>
      </c>
      <c r="O363" s="43">
        <v>5</v>
      </c>
      <c r="P363" s="43">
        <v>7</v>
      </c>
      <c r="Q363" s="25" t="str">
        <f>VLOOKUP(P363,Key!$E$2:$F$9,2,FALSE)</f>
        <v>Hospital</v>
      </c>
      <c r="R363" s="25" t="str">
        <f t="shared" si="7"/>
        <v>Home-Hospital</v>
      </c>
      <c r="S363" s="52">
        <v>30</v>
      </c>
      <c r="T363" s="52">
        <v>2</v>
      </c>
      <c r="U363" s="43">
        <v>6</v>
      </c>
      <c r="V363" s="43"/>
      <c r="W363" s="52"/>
      <c r="X363" s="52"/>
      <c r="Y363" s="53" t="s">
        <v>158</v>
      </c>
      <c r="Z363" s="54">
        <v>3000</v>
      </c>
      <c r="AA363" s="25">
        <f>VLOOKUP(F363,'Zones '!$A$2:$F$2056,6,FALSE)</f>
        <v>589</v>
      </c>
      <c r="AB363" s="25">
        <f>VLOOKUP(L363,'Zones '!$A$2:$F$2056,6,FALSE)</f>
        <v>521</v>
      </c>
    </row>
    <row r="364" spans="2:28">
      <c r="B364" s="40">
        <v>0.5</v>
      </c>
      <c r="C364" s="40" t="s">
        <v>540</v>
      </c>
      <c r="D364" s="41">
        <v>7</v>
      </c>
      <c r="E364" s="42">
        <v>5</v>
      </c>
      <c r="F364" s="42" t="s">
        <v>160</v>
      </c>
      <c r="G364" s="43" t="s">
        <v>156</v>
      </c>
      <c r="H364" s="42" t="s">
        <v>157</v>
      </c>
      <c r="I364" s="43">
        <v>11</v>
      </c>
      <c r="J364" s="43">
        <v>2</v>
      </c>
      <c r="K364" s="25" t="str">
        <f>VLOOKUP(J364,Key!$E$2:$F$9,2,FALSE)</f>
        <v>Work</v>
      </c>
      <c r="L364" s="42" t="s">
        <v>150</v>
      </c>
      <c r="M364" s="43" t="s">
        <v>156</v>
      </c>
      <c r="N364" s="42" t="s">
        <v>157</v>
      </c>
      <c r="O364" s="43">
        <v>11</v>
      </c>
      <c r="P364" s="43">
        <v>2</v>
      </c>
      <c r="Q364" s="25" t="str">
        <f>VLOOKUP(P364,Key!$E$2:$F$9,2,FALSE)</f>
        <v>Work</v>
      </c>
      <c r="R364" s="25" t="str">
        <f t="shared" si="7"/>
        <v>Work-Work</v>
      </c>
      <c r="S364" s="52">
        <v>10</v>
      </c>
      <c r="T364" s="52">
        <v>0.4</v>
      </c>
      <c r="U364" s="43">
        <v>3</v>
      </c>
      <c r="V364" s="43">
        <v>6</v>
      </c>
      <c r="W364" s="52">
        <v>5</v>
      </c>
      <c r="X364" s="52">
        <v>0.08</v>
      </c>
      <c r="Y364" s="53" t="s">
        <v>158</v>
      </c>
      <c r="Z364" s="54">
        <v>500</v>
      </c>
      <c r="AA364" s="25">
        <f>VLOOKUP(F364,'Zones '!$A$2:$F$2056,6,FALSE)</f>
        <v>589</v>
      </c>
      <c r="AB364" s="25">
        <f>VLOOKUP(L364,'Zones '!$A$2:$F$2056,6,FALSE)</f>
        <v>1397</v>
      </c>
    </row>
    <row r="365" spans="2:28">
      <c r="B365" s="40">
        <v>0.99513888888888891</v>
      </c>
      <c r="C365" s="40" t="s">
        <v>264</v>
      </c>
      <c r="D365" s="41">
        <v>2</v>
      </c>
      <c r="E365" s="42">
        <v>2</v>
      </c>
      <c r="F365" s="42" t="s">
        <v>160</v>
      </c>
      <c r="G365" s="43" t="s">
        <v>156</v>
      </c>
      <c r="H365" s="42" t="s">
        <v>157</v>
      </c>
      <c r="I365" s="43">
        <v>1</v>
      </c>
      <c r="J365" s="43">
        <v>1</v>
      </c>
      <c r="K365" s="25" t="str">
        <f>VLOOKUP(J365,Key!$E$2:$F$9,2,FALSE)</f>
        <v>Home</v>
      </c>
      <c r="L365" s="42" t="s">
        <v>187</v>
      </c>
      <c r="M365" s="43" t="s">
        <v>187</v>
      </c>
      <c r="N365" s="42" t="s">
        <v>157</v>
      </c>
      <c r="O365" s="43">
        <v>5</v>
      </c>
      <c r="P365" s="43">
        <v>7</v>
      </c>
      <c r="Q365" s="25" t="str">
        <f>VLOOKUP(P365,Key!$E$2:$F$9,2,FALSE)</f>
        <v>Hospital</v>
      </c>
      <c r="R365" s="25" t="str">
        <f t="shared" si="7"/>
        <v>Home-Hospital</v>
      </c>
      <c r="S365" s="52">
        <v>30</v>
      </c>
      <c r="T365" s="52">
        <v>2</v>
      </c>
      <c r="U365" s="43">
        <v>6</v>
      </c>
      <c r="V365" s="43"/>
      <c r="W365" s="52"/>
      <c r="X365" s="52"/>
      <c r="Y365" s="53" t="s">
        <v>158</v>
      </c>
      <c r="Z365" s="54">
        <v>3000</v>
      </c>
      <c r="AA365" s="25">
        <f>VLOOKUP(F365,'Zones '!$A$2:$F$2056,6,FALSE)</f>
        <v>589</v>
      </c>
      <c r="AB365" s="25">
        <f>VLOOKUP(L365,'Zones '!$A$2:$F$2056,6,FALSE)</f>
        <v>521</v>
      </c>
    </row>
    <row r="366" spans="2:28">
      <c r="B366" s="40">
        <v>0.51388888888888895</v>
      </c>
      <c r="C366" s="40" t="s">
        <v>519</v>
      </c>
      <c r="D366" s="41">
        <v>1</v>
      </c>
      <c r="E366" s="42">
        <v>1</v>
      </c>
      <c r="F366" s="42" t="s">
        <v>160</v>
      </c>
      <c r="G366" s="43" t="s">
        <v>156</v>
      </c>
      <c r="H366" s="42" t="s">
        <v>157</v>
      </c>
      <c r="I366" s="43">
        <v>1</v>
      </c>
      <c r="J366" s="43">
        <v>1</v>
      </c>
      <c r="K366" s="25" t="str">
        <f>VLOOKUP(J366,Key!$E$2:$F$9,2,FALSE)</f>
        <v>Home</v>
      </c>
      <c r="L366" s="42" t="s">
        <v>150</v>
      </c>
      <c r="M366" s="43" t="s">
        <v>156</v>
      </c>
      <c r="N366" s="42" t="s">
        <v>157</v>
      </c>
      <c r="O366" s="43">
        <v>6</v>
      </c>
      <c r="P366" s="43">
        <v>2</v>
      </c>
      <c r="Q366" s="25" t="str">
        <f>VLOOKUP(P366,Key!$E$2:$F$9,2,FALSE)</f>
        <v>Work</v>
      </c>
      <c r="R366" s="25" t="str">
        <f t="shared" si="7"/>
        <v>Home-Work</v>
      </c>
      <c r="S366" s="52">
        <v>4</v>
      </c>
      <c r="T366" s="52">
        <v>0.2</v>
      </c>
      <c r="U366" s="43">
        <v>1</v>
      </c>
      <c r="V366" s="43"/>
      <c r="W366" s="52"/>
      <c r="X366" s="52"/>
      <c r="Y366" s="53" t="s">
        <v>158</v>
      </c>
      <c r="Z366" s="54">
        <v>5000</v>
      </c>
      <c r="AA366" s="25">
        <f>VLOOKUP(F366,'Zones '!$A$2:$F$2056,6,FALSE)</f>
        <v>589</v>
      </c>
      <c r="AB366" s="25">
        <f>VLOOKUP(L366,'Zones '!$A$2:$F$2056,6,FALSE)</f>
        <v>1397</v>
      </c>
    </row>
    <row r="367" spans="2:28">
      <c r="B367" s="40">
        <v>0.50694444444444442</v>
      </c>
      <c r="C367" s="40" t="s">
        <v>541</v>
      </c>
      <c r="D367" s="41">
        <v>2</v>
      </c>
      <c r="E367" s="42">
        <v>1</v>
      </c>
      <c r="F367" s="42" t="s">
        <v>207</v>
      </c>
      <c r="G367" s="43" t="s">
        <v>156</v>
      </c>
      <c r="H367" s="42" t="s">
        <v>157</v>
      </c>
      <c r="I367" s="43">
        <v>1</v>
      </c>
      <c r="J367" s="43">
        <v>1</v>
      </c>
      <c r="K367" s="25" t="str">
        <f>VLOOKUP(J367,Key!$E$2:$F$9,2,FALSE)</f>
        <v>Home</v>
      </c>
      <c r="L367" s="42" t="s">
        <v>162</v>
      </c>
      <c r="M367" s="43" t="s">
        <v>156</v>
      </c>
      <c r="N367" s="42" t="s">
        <v>157</v>
      </c>
      <c r="O367" s="43">
        <v>16</v>
      </c>
      <c r="P367" s="43">
        <v>8</v>
      </c>
      <c r="Q367" s="25" t="str">
        <f>VLOOKUP(P367,Key!$E$2:$F$9,2,FALSE)</f>
        <v>Others</v>
      </c>
      <c r="R367" s="25" t="str">
        <f t="shared" si="7"/>
        <v>Home-Others</v>
      </c>
      <c r="S367" s="52">
        <v>3</v>
      </c>
      <c r="T367" s="52">
        <v>0.3</v>
      </c>
      <c r="U367" s="43">
        <v>6</v>
      </c>
      <c r="V367" s="43"/>
      <c r="W367" s="52"/>
      <c r="X367" s="52"/>
      <c r="Y367" s="53" t="s">
        <v>158</v>
      </c>
      <c r="Z367" s="54">
        <v>10000</v>
      </c>
      <c r="AA367" s="25">
        <f>VLOOKUP(F367,'Zones '!$A$2:$F$2056,6,FALSE)</f>
        <v>1397</v>
      </c>
      <c r="AB367" s="25">
        <f>VLOOKUP(L367,'Zones '!$A$2:$F$2056,6,FALSE)</f>
        <v>1397</v>
      </c>
    </row>
    <row r="368" spans="2:28">
      <c r="B368" s="40">
        <v>0.98611111111111116</v>
      </c>
      <c r="C368" s="40" t="s">
        <v>542</v>
      </c>
      <c r="D368" s="41">
        <v>1</v>
      </c>
      <c r="E368" s="42">
        <v>3</v>
      </c>
      <c r="F368" s="42" t="s">
        <v>160</v>
      </c>
      <c r="G368" s="43" t="s">
        <v>156</v>
      </c>
      <c r="H368" s="42" t="s">
        <v>157</v>
      </c>
      <c r="I368" s="43">
        <v>1</v>
      </c>
      <c r="J368" s="43">
        <v>1</v>
      </c>
      <c r="K368" s="25" t="str">
        <f>VLOOKUP(J368,Key!$E$2:$F$9,2,FALSE)</f>
        <v>Home</v>
      </c>
      <c r="L368" s="42" t="s">
        <v>162</v>
      </c>
      <c r="M368" s="43" t="s">
        <v>156</v>
      </c>
      <c r="N368" s="42" t="s">
        <v>157</v>
      </c>
      <c r="O368" s="43">
        <v>16</v>
      </c>
      <c r="P368" s="43">
        <v>6</v>
      </c>
      <c r="Q368" s="25" t="str">
        <f>VLOOKUP(P368,Key!$E$2:$F$9,2,FALSE)</f>
        <v>Leisure/Social</v>
      </c>
      <c r="R368" s="25" t="str">
        <f t="shared" si="7"/>
        <v>Home-Leisure/Social</v>
      </c>
      <c r="S368" s="52">
        <v>25</v>
      </c>
      <c r="T368" s="52">
        <v>1</v>
      </c>
      <c r="U368" s="43">
        <v>6</v>
      </c>
      <c r="V368" s="43"/>
      <c r="W368" s="52"/>
      <c r="X368" s="52"/>
      <c r="Y368" s="53" t="s">
        <v>158</v>
      </c>
      <c r="Z368" s="54">
        <v>2000</v>
      </c>
      <c r="AA368" s="25">
        <f>VLOOKUP(F368,'Zones '!$A$2:$F$2056,6,FALSE)</f>
        <v>589</v>
      </c>
      <c r="AB368" s="25">
        <f>VLOOKUP(L368,'Zones '!$A$2:$F$2056,6,FALSE)</f>
        <v>1397</v>
      </c>
    </row>
    <row r="369" spans="2:28">
      <c r="B369" s="40">
        <v>0.99236111111111114</v>
      </c>
      <c r="C369" s="40" t="s">
        <v>543</v>
      </c>
      <c r="D369" s="41">
        <v>4</v>
      </c>
      <c r="E369" s="42">
        <v>10</v>
      </c>
      <c r="F369" s="42" t="s">
        <v>247</v>
      </c>
      <c r="G369" s="43" t="s">
        <v>187</v>
      </c>
      <c r="H369" s="42" t="s">
        <v>157</v>
      </c>
      <c r="I369" s="43">
        <v>6</v>
      </c>
      <c r="J369" s="43">
        <v>2</v>
      </c>
      <c r="K369" s="25" t="str">
        <f>VLOOKUP(J369,Key!$E$2:$F$9,2,FALSE)</f>
        <v>Work</v>
      </c>
      <c r="L369" s="42" t="s">
        <v>166</v>
      </c>
      <c r="M369" s="43" t="s">
        <v>156</v>
      </c>
      <c r="N369" s="42" t="s">
        <v>157</v>
      </c>
      <c r="O369" s="43">
        <v>6</v>
      </c>
      <c r="P369" s="43">
        <v>2</v>
      </c>
      <c r="Q369" s="25" t="str">
        <f>VLOOKUP(P369,Key!$E$2:$F$9,2,FALSE)</f>
        <v>Work</v>
      </c>
      <c r="R369" s="25" t="str">
        <f t="shared" si="7"/>
        <v>Work-Work</v>
      </c>
      <c r="S369" s="52">
        <v>20</v>
      </c>
      <c r="T369" s="52">
        <v>0.5</v>
      </c>
      <c r="U369" s="43">
        <v>1</v>
      </c>
      <c r="V369" s="43"/>
      <c r="W369" s="52"/>
      <c r="X369" s="52"/>
      <c r="Y369" s="53" t="s">
        <v>158</v>
      </c>
      <c r="Z369" s="54">
        <v>1000</v>
      </c>
      <c r="AA369" s="25">
        <f>VLOOKUP(F369,'Zones '!$A$2:$F$2056,6,FALSE)</f>
        <v>572</v>
      </c>
      <c r="AB369" s="25">
        <f>VLOOKUP(L369,'Zones '!$A$2:$F$2056,6,FALSE)</f>
        <v>1397</v>
      </c>
    </row>
    <row r="370" spans="2:28">
      <c r="B370" s="40">
        <v>0.98402777777777783</v>
      </c>
      <c r="C370" s="40" t="s">
        <v>544</v>
      </c>
      <c r="D370" s="41">
        <v>1</v>
      </c>
      <c r="E370" s="42">
        <v>2</v>
      </c>
      <c r="F370" s="42" t="s">
        <v>545</v>
      </c>
      <c r="G370" s="43" t="s">
        <v>187</v>
      </c>
      <c r="H370" s="42" t="s">
        <v>157</v>
      </c>
      <c r="I370" s="43">
        <v>2</v>
      </c>
      <c r="J370" s="43">
        <v>2</v>
      </c>
      <c r="K370" s="25" t="str">
        <f>VLOOKUP(J370,Key!$E$2:$F$9,2,FALSE)</f>
        <v>Work</v>
      </c>
      <c r="L370" s="42" t="s">
        <v>150</v>
      </c>
      <c r="M370" s="43" t="s">
        <v>156</v>
      </c>
      <c r="N370" s="42" t="s">
        <v>157</v>
      </c>
      <c r="O370" s="43">
        <v>1</v>
      </c>
      <c r="P370" s="43">
        <v>1</v>
      </c>
      <c r="Q370" s="25" t="str">
        <f>VLOOKUP(P370,Key!$E$2:$F$9,2,FALSE)</f>
        <v>Home</v>
      </c>
      <c r="R370" s="25" t="str">
        <f t="shared" si="7"/>
        <v>Work-Home</v>
      </c>
      <c r="S370" s="52">
        <v>27</v>
      </c>
      <c r="T370" s="52">
        <v>0.2</v>
      </c>
      <c r="U370" s="43"/>
      <c r="V370" s="43"/>
      <c r="W370" s="52"/>
      <c r="X370" s="52"/>
      <c r="Y370" s="53" t="s">
        <v>385</v>
      </c>
      <c r="Z370" s="54"/>
      <c r="AA370" s="25">
        <f>VLOOKUP(F370,'Zones '!$A$2:$F$2056,6,FALSE)</f>
        <v>532</v>
      </c>
      <c r="AB370" s="25">
        <f>VLOOKUP(L370,'Zones '!$A$2:$F$2056,6,FALSE)</f>
        <v>1397</v>
      </c>
    </row>
    <row r="371" spans="2:28">
      <c r="B371" s="40">
        <v>0.97916666666666663</v>
      </c>
      <c r="C371" s="40" t="s">
        <v>546</v>
      </c>
      <c r="D371" s="41">
        <v>1</v>
      </c>
      <c r="E371" s="42">
        <v>2</v>
      </c>
      <c r="F371" s="42" t="s">
        <v>197</v>
      </c>
      <c r="G371" s="43" t="s">
        <v>156</v>
      </c>
      <c r="H371" s="42" t="s">
        <v>157</v>
      </c>
      <c r="I371" s="43">
        <v>2</v>
      </c>
      <c r="J371" s="43">
        <v>2</v>
      </c>
      <c r="K371" s="25" t="str">
        <f>VLOOKUP(J371,Key!$E$2:$F$9,2,FALSE)</f>
        <v>Work</v>
      </c>
      <c r="L371" s="42" t="s">
        <v>150</v>
      </c>
      <c r="M371" s="43" t="s">
        <v>156</v>
      </c>
      <c r="N371" s="42" t="s">
        <v>157</v>
      </c>
      <c r="O371" s="43">
        <v>2</v>
      </c>
      <c r="P371" s="43">
        <v>2</v>
      </c>
      <c r="Q371" s="25" t="str">
        <f>VLOOKUP(P371,Key!$E$2:$F$9,2,FALSE)</f>
        <v>Work</v>
      </c>
      <c r="R371" s="25" t="str">
        <f t="shared" si="7"/>
        <v>Work-Work</v>
      </c>
      <c r="S371" s="52">
        <v>78</v>
      </c>
      <c r="T371" s="52">
        <v>1.5</v>
      </c>
      <c r="U371" s="43">
        <v>1</v>
      </c>
      <c r="V371" s="43"/>
      <c r="W371" s="52"/>
      <c r="X371" s="52"/>
      <c r="Y371" s="53" t="s">
        <v>158</v>
      </c>
      <c r="Z371" s="54">
        <v>10000</v>
      </c>
      <c r="AA371" s="25">
        <f>VLOOKUP(F371,'Zones '!$A$2:$F$2056,6,FALSE)</f>
        <v>937</v>
      </c>
      <c r="AB371" s="25">
        <f>VLOOKUP(L371,'Zones '!$A$2:$F$2056,6,FALSE)</f>
        <v>1397</v>
      </c>
    </row>
    <row r="372" spans="2:28">
      <c r="B372" s="40">
        <v>0.97083333333333333</v>
      </c>
      <c r="C372" s="40" t="s">
        <v>547</v>
      </c>
      <c r="D372" s="41">
        <v>8</v>
      </c>
      <c r="E372" s="42">
        <v>4</v>
      </c>
      <c r="F372" s="42" t="s">
        <v>204</v>
      </c>
      <c r="G372" s="43" t="s">
        <v>156</v>
      </c>
      <c r="H372" s="42" t="s">
        <v>157</v>
      </c>
      <c r="I372" s="43">
        <v>11</v>
      </c>
      <c r="J372" s="43">
        <v>2</v>
      </c>
      <c r="K372" s="25" t="str">
        <f>VLOOKUP(J372,Key!$E$2:$F$9,2,FALSE)</f>
        <v>Work</v>
      </c>
      <c r="L372" s="42" t="s">
        <v>150</v>
      </c>
      <c r="M372" s="43" t="s">
        <v>156</v>
      </c>
      <c r="N372" s="42" t="s">
        <v>157</v>
      </c>
      <c r="O372" s="43">
        <v>11</v>
      </c>
      <c r="P372" s="43">
        <v>2</v>
      </c>
      <c r="Q372" s="25" t="str">
        <f>VLOOKUP(P372,Key!$E$2:$F$9,2,FALSE)</f>
        <v>Work</v>
      </c>
      <c r="R372" s="25" t="str">
        <f t="shared" si="7"/>
        <v>Work-Work</v>
      </c>
      <c r="S372" s="52"/>
      <c r="T372" s="52"/>
      <c r="U372" s="43"/>
      <c r="V372" s="43">
        <v>6</v>
      </c>
      <c r="W372" s="52">
        <v>1</v>
      </c>
      <c r="X372" s="52">
        <v>6</v>
      </c>
      <c r="Y372" s="53" t="s">
        <v>158</v>
      </c>
      <c r="Z372" s="54">
        <v>2000</v>
      </c>
      <c r="AA372" s="25">
        <f>VLOOKUP(F372,'Zones '!$A$2:$F$2056,6,FALSE)</f>
        <v>1390</v>
      </c>
      <c r="AB372" s="25">
        <f>VLOOKUP(L372,'Zones '!$A$2:$F$2056,6,FALSE)</f>
        <v>1397</v>
      </c>
    </row>
    <row r="373" spans="2:28">
      <c r="B373" s="40">
        <v>0.97499999999999998</v>
      </c>
      <c r="C373" s="40" t="s">
        <v>171</v>
      </c>
      <c r="D373" s="41">
        <v>1</v>
      </c>
      <c r="E373" s="42">
        <v>2</v>
      </c>
      <c r="F373" s="42" t="s">
        <v>2928</v>
      </c>
      <c r="G373" s="43" t="s">
        <v>156</v>
      </c>
      <c r="H373" s="42" t="s">
        <v>157</v>
      </c>
      <c r="I373" s="43">
        <v>1</v>
      </c>
      <c r="J373" s="43">
        <v>1</v>
      </c>
      <c r="K373" s="25" t="str">
        <f>VLOOKUP(J373,Key!$E$2:$F$9,2,FALSE)</f>
        <v>Home</v>
      </c>
      <c r="L373" s="42" t="s">
        <v>224</v>
      </c>
      <c r="M373" s="43" t="s">
        <v>224</v>
      </c>
      <c r="N373" s="42" t="s">
        <v>157</v>
      </c>
      <c r="O373" s="43">
        <v>16</v>
      </c>
      <c r="P373" s="43">
        <v>8</v>
      </c>
      <c r="Q373" s="25" t="str">
        <f>VLOOKUP(P373,Key!$E$2:$F$9,2,FALSE)</f>
        <v>Others</v>
      </c>
      <c r="R373" s="25" t="str">
        <f t="shared" si="7"/>
        <v>Home-Others</v>
      </c>
      <c r="S373" s="52">
        <v>10</v>
      </c>
      <c r="T373" s="52">
        <v>1.5</v>
      </c>
      <c r="U373" s="43">
        <v>6</v>
      </c>
      <c r="V373" s="43"/>
      <c r="W373" s="52"/>
      <c r="X373" s="52"/>
      <c r="Y373" s="53" t="s">
        <v>158</v>
      </c>
      <c r="Z373" s="54">
        <v>3000</v>
      </c>
      <c r="AA373" s="25">
        <f>VLOOKUP(F373,'Zones '!$A$2:$F$2056,6,FALSE)</f>
        <v>565</v>
      </c>
      <c r="AB373" s="25">
        <f>VLOOKUP(L373,'Zones '!$A$2:$F$2056,6,FALSE)</f>
        <v>1037</v>
      </c>
    </row>
    <row r="374" spans="2:28">
      <c r="B374" s="40">
        <v>0.95833333333333337</v>
      </c>
      <c r="C374" s="40" t="s">
        <v>549</v>
      </c>
      <c r="D374" s="41">
        <v>11</v>
      </c>
      <c r="E374" s="42">
        <v>3</v>
      </c>
      <c r="F374" s="42" t="s">
        <v>150</v>
      </c>
      <c r="G374" s="43" t="s">
        <v>156</v>
      </c>
      <c r="H374" s="42" t="s">
        <v>157</v>
      </c>
      <c r="I374" s="43">
        <v>9</v>
      </c>
      <c r="J374" s="43">
        <v>2</v>
      </c>
      <c r="K374" s="25" t="str">
        <f>VLOOKUP(J374,Key!$E$2:$F$9,2,FALSE)</f>
        <v>Work</v>
      </c>
      <c r="L374" s="42" t="s">
        <v>155</v>
      </c>
      <c r="M374" s="43" t="s">
        <v>156</v>
      </c>
      <c r="N374" s="42" t="s">
        <v>157</v>
      </c>
      <c r="O374" s="43">
        <v>11</v>
      </c>
      <c r="P374" s="43">
        <v>2</v>
      </c>
      <c r="Q374" s="25" t="str">
        <f>VLOOKUP(P374,Key!$E$2:$F$9,2,FALSE)</f>
        <v>Work</v>
      </c>
      <c r="R374" s="25" t="str">
        <f t="shared" si="7"/>
        <v>Work-Work</v>
      </c>
      <c r="S374" s="52">
        <v>3</v>
      </c>
      <c r="T374" s="52">
        <v>0.1</v>
      </c>
      <c r="U374" s="43">
        <v>1</v>
      </c>
      <c r="V374" s="43">
        <v>12</v>
      </c>
      <c r="W374" s="52">
        <v>2</v>
      </c>
      <c r="X374" s="52">
        <v>0.2</v>
      </c>
      <c r="Y374" s="53" t="s">
        <v>158</v>
      </c>
      <c r="Z374" s="54">
        <v>1000</v>
      </c>
      <c r="AA374" s="25">
        <f>VLOOKUP(F374,'Zones '!$A$2:$F$2056,6,FALSE)</f>
        <v>1397</v>
      </c>
      <c r="AB374" s="25">
        <f>VLOOKUP(L374,'Zones '!$A$2:$F$2056,6,FALSE)</f>
        <v>1397</v>
      </c>
    </row>
    <row r="375" spans="2:28">
      <c r="B375" s="40">
        <v>0.96666666666666667</v>
      </c>
      <c r="C375" s="40" t="s">
        <v>550</v>
      </c>
      <c r="D375" s="41">
        <v>1</v>
      </c>
      <c r="E375" s="42">
        <v>1</v>
      </c>
      <c r="F375" s="42" t="s">
        <v>215</v>
      </c>
      <c r="G375" s="43" t="s">
        <v>156</v>
      </c>
      <c r="H375" s="42" t="s">
        <v>157</v>
      </c>
      <c r="I375" s="43">
        <v>1</v>
      </c>
      <c r="J375" s="43">
        <v>1</v>
      </c>
      <c r="K375" s="25" t="str">
        <f>VLOOKUP(J375,Key!$E$2:$F$9,2,FALSE)</f>
        <v>Home</v>
      </c>
      <c r="L375" s="42" t="s">
        <v>187</v>
      </c>
      <c r="M375" s="43" t="s">
        <v>187</v>
      </c>
      <c r="N375" s="42" t="s">
        <v>157</v>
      </c>
      <c r="O375" s="43">
        <v>11</v>
      </c>
      <c r="P375" s="43">
        <v>2</v>
      </c>
      <c r="Q375" s="25" t="str">
        <f>VLOOKUP(P375,Key!$E$2:$F$9,2,FALSE)</f>
        <v>Work</v>
      </c>
      <c r="R375" s="25" t="str">
        <f t="shared" si="7"/>
        <v>Home-Work</v>
      </c>
      <c r="S375" s="52">
        <v>45</v>
      </c>
      <c r="T375" s="52">
        <v>3</v>
      </c>
      <c r="U375" s="43">
        <v>2</v>
      </c>
      <c r="V375" s="43"/>
      <c r="W375" s="52"/>
      <c r="X375" s="52"/>
      <c r="Y375" s="53" t="s">
        <v>158</v>
      </c>
      <c r="Z375" s="54">
        <v>10000</v>
      </c>
      <c r="AA375" s="25">
        <f>VLOOKUP(F375,'Zones '!$A$2:$F$2056,6,FALSE)</f>
        <v>1388</v>
      </c>
      <c r="AB375" s="25">
        <f>VLOOKUP(L375,'Zones '!$A$2:$F$2056,6,FALSE)</f>
        <v>521</v>
      </c>
    </row>
    <row r="376" spans="2:28">
      <c r="B376" s="40">
        <v>0.59305555555555556</v>
      </c>
      <c r="C376" s="40" t="s">
        <v>551</v>
      </c>
      <c r="D376" s="41">
        <v>11</v>
      </c>
      <c r="E376" s="42">
        <v>2</v>
      </c>
      <c r="F376" s="42" t="s">
        <v>155</v>
      </c>
      <c r="G376" s="43" t="s">
        <v>156</v>
      </c>
      <c r="H376" s="42" t="s">
        <v>157</v>
      </c>
      <c r="I376" s="43">
        <v>8</v>
      </c>
      <c r="J376" s="43">
        <v>2</v>
      </c>
      <c r="K376" s="25" t="str">
        <f>VLOOKUP(J376,Key!$E$2:$F$9,2,FALSE)</f>
        <v>Work</v>
      </c>
      <c r="L376" s="42" t="s">
        <v>166</v>
      </c>
      <c r="M376" s="43" t="s">
        <v>156</v>
      </c>
      <c r="N376" s="42" t="s">
        <v>157</v>
      </c>
      <c r="O376" s="43">
        <v>8</v>
      </c>
      <c r="P376" s="43">
        <v>2</v>
      </c>
      <c r="Q376" s="25" t="str">
        <f>VLOOKUP(P376,Key!$E$2:$F$9,2,FALSE)</f>
        <v>Work</v>
      </c>
      <c r="R376" s="25" t="str">
        <f t="shared" si="7"/>
        <v>Work-Work</v>
      </c>
      <c r="S376" s="52">
        <v>10</v>
      </c>
      <c r="T376" s="52">
        <v>0.4</v>
      </c>
      <c r="U376" s="43">
        <v>1</v>
      </c>
      <c r="V376" s="43"/>
      <c r="W376" s="52"/>
      <c r="X376" s="52"/>
      <c r="Y376" s="53" t="s">
        <v>158</v>
      </c>
      <c r="Z376" s="54">
        <v>1000</v>
      </c>
      <c r="AA376" s="25">
        <f>VLOOKUP(F376,'Zones '!$A$2:$F$2056,6,FALSE)</f>
        <v>1397</v>
      </c>
      <c r="AB376" s="25">
        <f>VLOOKUP(L376,'Zones '!$A$2:$F$2056,6,FALSE)</f>
        <v>1397</v>
      </c>
    </row>
    <row r="377" spans="2:28">
      <c r="B377" s="40">
        <v>0.59861111111111109</v>
      </c>
      <c r="C377" s="40" t="s">
        <v>552</v>
      </c>
      <c r="D377" s="41">
        <v>1</v>
      </c>
      <c r="E377" s="42">
        <v>1</v>
      </c>
      <c r="F377" s="42" t="s">
        <v>305</v>
      </c>
      <c r="G377" s="43" t="s">
        <v>156</v>
      </c>
      <c r="H377" s="42" t="s">
        <v>157</v>
      </c>
      <c r="I377" s="43">
        <v>1</v>
      </c>
      <c r="J377" s="43">
        <v>1</v>
      </c>
      <c r="K377" s="25" t="str">
        <f>VLOOKUP(J377,Key!$E$2:$F$9,2,FALSE)</f>
        <v>Home</v>
      </c>
      <c r="L377" s="42" t="s">
        <v>162</v>
      </c>
      <c r="M377" s="43" t="s">
        <v>156</v>
      </c>
      <c r="N377" s="42" t="s">
        <v>157</v>
      </c>
      <c r="O377" s="43">
        <v>1</v>
      </c>
      <c r="P377" s="43">
        <v>1</v>
      </c>
      <c r="Q377" s="25" t="str">
        <f>VLOOKUP(P377,Key!$E$2:$F$9,2,FALSE)</f>
        <v>Home</v>
      </c>
      <c r="R377" s="25" t="str">
        <f t="shared" si="7"/>
        <v>Home-Home</v>
      </c>
      <c r="S377" s="52">
        <v>25</v>
      </c>
      <c r="T377" s="52">
        <v>1</v>
      </c>
      <c r="U377" s="43">
        <v>6</v>
      </c>
      <c r="V377" s="43"/>
      <c r="W377" s="52"/>
      <c r="X377" s="52"/>
      <c r="Y377" s="53" t="s">
        <v>158</v>
      </c>
      <c r="Z377" s="54">
        <v>10000</v>
      </c>
      <c r="AA377" s="25">
        <f>VLOOKUP(F377,'Zones '!$A$2:$F$2056,6,FALSE)</f>
        <v>536</v>
      </c>
      <c r="AB377" s="25">
        <f>VLOOKUP(L377,'Zones '!$A$2:$F$2056,6,FALSE)</f>
        <v>1397</v>
      </c>
    </row>
    <row r="378" spans="2:28">
      <c r="B378" s="40">
        <v>0.55555555555555558</v>
      </c>
      <c r="C378" s="40" t="s">
        <v>553</v>
      </c>
      <c r="D378" s="41">
        <v>2</v>
      </c>
      <c r="E378" s="42">
        <v>3</v>
      </c>
      <c r="F378" s="42" t="s">
        <v>215</v>
      </c>
      <c r="G378" s="43" t="s">
        <v>156</v>
      </c>
      <c r="H378" s="42" t="s">
        <v>157</v>
      </c>
      <c r="I378" s="43">
        <v>2</v>
      </c>
      <c r="J378" s="43">
        <v>2</v>
      </c>
      <c r="K378" s="25" t="str">
        <f>VLOOKUP(J378,Key!$E$2:$F$9,2,FALSE)</f>
        <v>Work</v>
      </c>
      <c r="L378" s="42" t="s">
        <v>187</v>
      </c>
      <c r="M378" s="43" t="s">
        <v>187</v>
      </c>
      <c r="N378" s="42" t="s">
        <v>157</v>
      </c>
      <c r="O378" s="43">
        <v>2</v>
      </c>
      <c r="P378" s="43">
        <v>2</v>
      </c>
      <c r="Q378" s="25" t="str">
        <f>VLOOKUP(P378,Key!$E$2:$F$9,2,FALSE)</f>
        <v>Work</v>
      </c>
      <c r="R378" s="25" t="str">
        <f t="shared" si="7"/>
        <v>Work-Work</v>
      </c>
      <c r="S378" s="52">
        <v>35</v>
      </c>
      <c r="T378" s="52">
        <v>3</v>
      </c>
      <c r="U378" s="43">
        <v>1</v>
      </c>
      <c r="V378" s="43"/>
      <c r="W378" s="52"/>
      <c r="X378" s="52"/>
      <c r="Y378" s="53" t="s">
        <v>158</v>
      </c>
      <c r="Z378" s="54">
        <v>10000</v>
      </c>
      <c r="AA378" s="25">
        <f>VLOOKUP(F378,'Zones '!$A$2:$F$2056,6,FALSE)</f>
        <v>1388</v>
      </c>
      <c r="AB378" s="25">
        <f>VLOOKUP(L378,'Zones '!$A$2:$F$2056,6,FALSE)</f>
        <v>521</v>
      </c>
    </row>
    <row r="379" spans="2:28">
      <c r="B379" s="40">
        <v>0.56180555555555556</v>
      </c>
      <c r="C379" s="40" t="s">
        <v>554</v>
      </c>
      <c r="D379" s="41">
        <v>11</v>
      </c>
      <c r="E379" s="42">
        <v>1</v>
      </c>
      <c r="F379" s="42" t="s">
        <v>155</v>
      </c>
      <c r="G379" s="43" t="s">
        <v>156</v>
      </c>
      <c r="H379" s="42" t="s">
        <v>157</v>
      </c>
      <c r="I379" s="43">
        <v>8</v>
      </c>
      <c r="J379" s="43">
        <v>2</v>
      </c>
      <c r="K379" s="25" t="str">
        <f>VLOOKUP(J379,Key!$E$2:$F$9,2,FALSE)</f>
        <v>Work</v>
      </c>
      <c r="L379" s="42" t="s">
        <v>150</v>
      </c>
      <c r="M379" s="43" t="s">
        <v>156</v>
      </c>
      <c r="N379" s="42" t="s">
        <v>157</v>
      </c>
      <c r="O379" s="43">
        <v>8</v>
      </c>
      <c r="P379" s="43">
        <v>2</v>
      </c>
      <c r="Q379" s="25" t="str">
        <f>VLOOKUP(P379,Key!$E$2:$F$9,2,FALSE)</f>
        <v>Work</v>
      </c>
      <c r="R379" s="25" t="str">
        <f t="shared" si="7"/>
        <v>Work-Work</v>
      </c>
      <c r="S379" s="52">
        <v>3</v>
      </c>
      <c r="T379" s="52">
        <v>0.1</v>
      </c>
      <c r="U379" s="43">
        <v>1</v>
      </c>
      <c r="V379" s="43"/>
      <c r="W379" s="52"/>
      <c r="X379" s="52"/>
      <c r="Y379" s="53" t="s">
        <v>158</v>
      </c>
      <c r="Z379" s="54">
        <v>5000</v>
      </c>
      <c r="AA379" s="25">
        <f>VLOOKUP(F379,'Zones '!$A$2:$F$2056,6,FALSE)</f>
        <v>1397</v>
      </c>
      <c r="AB379" s="25">
        <f>VLOOKUP(L379,'Zones '!$A$2:$F$2056,6,FALSE)</f>
        <v>1397</v>
      </c>
    </row>
    <row r="380" spans="2:28">
      <c r="B380" s="40">
        <v>0.58472222222222225</v>
      </c>
      <c r="C380" s="40" t="s">
        <v>555</v>
      </c>
      <c r="D380" s="41">
        <v>11</v>
      </c>
      <c r="E380" s="42">
        <v>1</v>
      </c>
      <c r="F380" s="42" t="s">
        <v>160</v>
      </c>
      <c r="G380" s="43" t="s">
        <v>156</v>
      </c>
      <c r="H380" s="42" t="s">
        <v>157</v>
      </c>
      <c r="I380" s="43">
        <v>8</v>
      </c>
      <c r="J380" s="43">
        <v>2</v>
      </c>
      <c r="K380" s="25" t="str">
        <f>VLOOKUP(J380,Key!$E$2:$F$9,2,FALSE)</f>
        <v>Work</v>
      </c>
      <c r="L380" s="42" t="s">
        <v>150</v>
      </c>
      <c r="M380" s="43" t="s">
        <v>156</v>
      </c>
      <c r="N380" s="42" t="s">
        <v>157</v>
      </c>
      <c r="O380" s="43">
        <v>8</v>
      </c>
      <c r="P380" s="43">
        <v>2</v>
      </c>
      <c r="Q380" s="25" t="str">
        <f>VLOOKUP(P380,Key!$E$2:$F$9,2,FALSE)</f>
        <v>Work</v>
      </c>
      <c r="R380" s="25" t="str">
        <f t="shared" si="7"/>
        <v>Work-Work</v>
      </c>
      <c r="S380" s="52">
        <v>10</v>
      </c>
      <c r="T380" s="52">
        <v>0.2</v>
      </c>
      <c r="U380" s="43">
        <v>1</v>
      </c>
      <c r="V380" s="43"/>
      <c r="W380" s="52"/>
      <c r="X380" s="52"/>
      <c r="Y380" s="53" t="s">
        <v>158</v>
      </c>
      <c r="Z380" s="54">
        <v>1000</v>
      </c>
      <c r="AA380" s="25">
        <f>VLOOKUP(F380,'Zones '!$A$2:$F$2056,6,FALSE)</f>
        <v>589</v>
      </c>
      <c r="AB380" s="25">
        <f>VLOOKUP(L380,'Zones '!$A$2:$F$2056,6,FALSE)</f>
        <v>1397</v>
      </c>
    </row>
    <row r="381" spans="2:28">
      <c r="B381" s="40">
        <v>0.58888888888888891</v>
      </c>
      <c r="C381" s="40" t="s">
        <v>556</v>
      </c>
      <c r="D381" s="41">
        <v>11</v>
      </c>
      <c r="E381" s="42">
        <v>1</v>
      </c>
      <c r="F381" s="42" t="s">
        <v>207</v>
      </c>
      <c r="G381" s="43" t="s">
        <v>156</v>
      </c>
      <c r="H381" s="42" t="s">
        <v>157</v>
      </c>
      <c r="I381" s="43">
        <v>8</v>
      </c>
      <c r="J381" s="43">
        <v>2</v>
      </c>
      <c r="K381" s="25" t="str">
        <f>VLOOKUP(J381,Key!$E$2:$F$9,2,FALSE)</f>
        <v>Work</v>
      </c>
      <c r="L381" s="42" t="s">
        <v>150</v>
      </c>
      <c r="M381" s="43" t="s">
        <v>156</v>
      </c>
      <c r="N381" s="42" t="s">
        <v>157</v>
      </c>
      <c r="O381" s="43">
        <v>8</v>
      </c>
      <c r="P381" s="43">
        <v>2</v>
      </c>
      <c r="Q381" s="25" t="str">
        <f>VLOOKUP(P381,Key!$E$2:$F$9,2,FALSE)</f>
        <v>Work</v>
      </c>
      <c r="R381" s="25" t="str">
        <f t="shared" si="7"/>
        <v>Work-Work</v>
      </c>
      <c r="S381" s="52">
        <v>6</v>
      </c>
      <c r="T381" s="52">
        <v>0.1</v>
      </c>
      <c r="U381" s="43">
        <v>1</v>
      </c>
      <c r="V381" s="43"/>
      <c r="W381" s="52"/>
      <c r="X381" s="52"/>
      <c r="Y381" s="53" t="s">
        <v>158</v>
      </c>
      <c r="Z381" s="54">
        <v>2000</v>
      </c>
      <c r="AA381" s="25">
        <f>VLOOKUP(F381,'Zones '!$A$2:$F$2056,6,FALSE)</f>
        <v>1397</v>
      </c>
      <c r="AB381" s="25">
        <f>VLOOKUP(L381,'Zones '!$A$2:$F$2056,6,FALSE)</f>
        <v>1397</v>
      </c>
    </row>
    <row r="382" spans="2:28">
      <c r="B382" s="40">
        <v>0.40069444444444446</v>
      </c>
      <c r="C382" s="40" t="s">
        <v>557</v>
      </c>
      <c r="D382" s="41">
        <v>2</v>
      </c>
      <c r="E382" s="42">
        <v>1</v>
      </c>
      <c r="F382" s="42" t="s">
        <v>155</v>
      </c>
      <c r="G382" s="43" t="s">
        <v>156</v>
      </c>
      <c r="H382" s="42" t="s">
        <v>157</v>
      </c>
      <c r="I382" s="43">
        <v>1</v>
      </c>
      <c r="J382" s="43">
        <v>1</v>
      </c>
      <c r="K382" s="25" t="str">
        <f>VLOOKUP(J382,Key!$E$2:$F$9,2,FALSE)</f>
        <v>Home</v>
      </c>
      <c r="L382" s="42" t="s">
        <v>485</v>
      </c>
      <c r="M382" s="43" t="s">
        <v>187</v>
      </c>
      <c r="N382" s="42" t="s">
        <v>157</v>
      </c>
      <c r="O382" s="43">
        <v>11</v>
      </c>
      <c r="P382" s="43">
        <v>2</v>
      </c>
      <c r="Q382" s="25" t="str">
        <f>VLOOKUP(P382,Key!$E$2:$F$9,2,FALSE)</f>
        <v>Work</v>
      </c>
      <c r="R382" s="25" t="str">
        <f t="shared" si="7"/>
        <v>Home-Work</v>
      </c>
      <c r="S382" s="52">
        <v>7</v>
      </c>
      <c r="T382" s="52">
        <v>2</v>
      </c>
      <c r="U382" s="43">
        <v>2</v>
      </c>
      <c r="V382" s="43"/>
      <c r="W382" s="52"/>
      <c r="X382" s="52"/>
      <c r="Y382" s="53" t="s">
        <v>158</v>
      </c>
      <c r="Z382" s="54">
        <v>10000</v>
      </c>
      <c r="AA382" s="25">
        <f>VLOOKUP(F382,'Zones '!$A$2:$F$2056,6,FALSE)</f>
        <v>1397</v>
      </c>
      <c r="AB382" s="25">
        <f>VLOOKUP(L382,'Zones '!$A$2:$F$2056,6,FALSE)</f>
        <v>561</v>
      </c>
    </row>
    <row r="383" spans="2:28">
      <c r="B383" s="40">
        <v>0.40277777777777773</v>
      </c>
      <c r="C383" s="40" t="s">
        <v>199</v>
      </c>
      <c r="D383" s="41">
        <v>1</v>
      </c>
      <c r="E383" s="42">
        <v>2</v>
      </c>
      <c r="F383" s="42" t="s">
        <v>155</v>
      </c>
      <c r="G383" s="43" t="s">
        <v>156</v>
      </c>
      <c r="H383" s="42" t="s">
        <v>157</v>
      </c>
      <c r="I383" s="43">
        <v>1</v>
      </c>
      <c r="J383" s="43">
        <v>1</v>
      </c>
      <c r="K383" s="25" t="str">
        <f>VLOOKUP(J383,Key!$E$2:$F$9,2,FALSE)</f>
        <v>Home</v>
      </c>
      <c r="L383" s="42" t="s">
        <v>187</v>
      </c>
      <c r="M383" s="43" t="s">
        <v>187</v>
      </c>
      <c r="N383" s="42" t="s">
        <v>157</v>
      </c>
      <c r="O383" s="43">
        <v>2</v>
      </c>
      <c r="P383" s="43">
        <v>2</v>
      </c>
      <c r="Q383" s="25" t="str">
        <f>VLOOKUP(P383,Key!$E$2:$F$9,2,FALSE)</f>
        <v>Work</v>
      </c>
      <c r="R383" s="25" t="str">
        <f t="shared" si="7"/>
        <v>Home-Work</v>
      </c>
      <c r="S383" s="52">
        <v>30</v>
      </c>
      <c r="T383" s="52">
        <v>2</v>
      </c>
      <c r="U383" s="43">
        <v>2</v>
      </c>
      <c r="V383" s="43"/>
      <c r="W383" s="52"/>
      <c r="X383" s="52"/>
      <c r="Y383" s="53" t="s">
        <v>158</v>
      </c>
      <c r="Z383" s="54">
        <v>2000</v>
      </c>
      <c r="AA383" s="25">
        <f>VLOOKUP(F383,'Zones '!$A$2:$F$2056,6,FALSE)</f>
        <v>1397</v>
      </c>
      <c r="AB383" s="25">
        <f>VLOOKUP(L383,'Zones '!$A$2:$F$2056,6,FALSE)</f>
        <v>521</v>
      </c>
    </row>
    <row r="384" spans="2:28">
      <c r="B384" s="40">
        <v>0.42986111111111108</v>
      </c>
      <c r="C384" s="40" t="s">
        <v>558</v>
      </c>
      <c r="D384" s="41">
        <v>11</v>
      </c>
      <c r="E384" s="42">
        <v>2</v>
      </c>
      <c r="F384" s="42" t="s">
        <v>207</v>
      </c>
      <c r="G384" s="43" t="s">
        <v>156</v>
      </c>
      <c r="H384" s="42" t="s">
        <v>157</v>
      </c>
      <c r="I384" s="43">
        <v>8</v>
      </c>
      <c r="J384" s="43">
        <v>2</v>
      </c>
      <c r="K384" s="25" t="str">
        <f>VLOOKUP(J384,Key!$E$2:$F$9,2,FALSE)</f>
        <v>Work</v>
      </c>
      <c r="L384" s="42" t="s">
        <v>150</v>
      </c>
      <c r="M384" s="43" t="s">
        <v>156</v>
      </c>
      <c r="N384" s="42" t="s">
        <v>157</v>
      </c>
      <c r="O384" s="43">
        <v>8</v>
      </c>
      <c r="P384" s="43">
        <v>2</v>
      </c>
      <c r="Q384" s="25" t="str">
        <f>VLOOKUP(P384,Key!$E$2:$F$9,2,FALSE)</f>
        <v>Work</v>
      </c>
      <c r="R384" s="25" t="str">
        <f t="shared" si="7"/>
        <v>Work-Work</v>
      </c>
      <c r="S384" s="52">
        <v>5</v>
      </c>
      <c r="T384" s="52">
        <v>0.2</v>
      </c>
      <c r="U384" s="43">
        <v>1</v>
      </c>
      <c r="V384" s="43"/>
      <c r="W384" s="52"/>
      <c r="X384" s="52"/>
      <c r="Y384" s="53" t="s">
        <v>158</v>
      </c>
      <c r="Z384" s="54">
        <v>1000</v>
      </c>
      <c r="AA384" s="25">
        <f>VLOOKUP(F384,'Zones '!$A$2:$F$2056,6,FALSE)</f>
        <v>1397</v>
      </c>
      <c r="AB384" s="25">
        <f>VLOOKUP(L384,'Zones '!$A$2:$F$2056,6,FALSE)</f>
        <v>1397</v>
      </c>
    </row>
    <row r="385" spans="2:28">
      <c r="B385" s="40">
        <v>0.4284722222222222</v>
      </c>
      <c r="C385" s="40" t="s">
        <v>559</v>
      </c>
      <c r="D385" s="41">
        <v>1</v>
      </c>
      <c r="E385" s="42">
        <v>1</v>
      </c>
      <c r="F385" s="42" t="s">
        <v>155</v>
      </c>
      <c r="G385" s="43" t="s">
        <v>156</v>
      </c>
      <c r="H385" s="42" t="s">
        <v>157</v>
      </c>
      <c r="I385" s="43">
        <v>1</v>
      </c>
      <c r="J385" s="43">
        <v>1</v>
      </c>
      <c r="K385" s="25" t="str">
        <f>VLOOKUP(J385,Key!$E$2:$F$9,2,FALSE)</f>
        <v>Home</v>
      </c>
      <c r="L385" s="42" t="s">
        <v>247</v>
      </c>
      <c r="M385" s="43" t="s">
        <v>187</v>
      </c>
      <c r="N385" s="42" t="s">
        <v>157</v>
      </c>
      <c r="O385" s="43">
        <v>2</v>
      </c>
      <c r="P385" s="43">
        <v>2</v>
      </c>
      <c r="Q385" s="25" t="str">
        <f>VLOOKUP(P385,Key!$E$2:$F$9,2,FALSE)</f>
        <v>Work</v>
      </c>
      <c r="R385" s="25" t="str">
        <f t="shared" ref="R385:R448" si="8">K385&amp;"-"&amp;Q385</f>
        <v>Home-Work</v>
      </c>
      <c r="S385" s="52">
        <v>20</v>
      </c>
      <c r="T385" s="52">
        <v>1</v>
      </c>
      <c r="U385" s="43">
        <v>2</v>
      </c>
      <c r="V385" s="43"/>
      <c r="W385" s="52"/>
      <c r="X385" s="52"/>
      <c r="Y385" s="53" t="s">
        <v>158</v>
      </c>
      <c r="Z385" s="54">
        <v>2000</v>
      </c>
      <c r="AA385" s="25">
        <f>VLOOKUP(F385,'Zones '!$A$2:$F$2056,6,FALSE)</f>
        <v>1397</v>
      </c>
      <c r="AB385" s="25">
        <f>VLOOKUP(L385,'Zones '!$A$2:$F$2056,6,FALSE)</f>
        <v>572</v>
      </c>
    </row>
    <row r="386" spans="2:28">
      <c r="B386" s="40">
        <v>0.42291666666666666</v>
      </c>
      <c r="C386" s="40" t="s">
        <v>560</v>
      </c>
      <c r="D386" s="41">
        <v>2</v>
      </c>
      <c r="E386" s="42">
        <v>4</v>
      </c>
      <c r="F386" s="42" t="s">
        <v>2863</v>
      </c>
      <c r="G386" s="43" t="s">
        <v>156</v>
      </c>
      <c r="H386" s="42" t="s">
        <v>157</v>
      </c>
      <c r="I386" s="43">
        <v>1</v>
      </c>
      <c r="J386" s="43">
        <v>1</v>
      </c>
      <c r="K386" s="25" t="str">
        <f>VLOOKUP(J386,Key!$E$2:$F$9,2,FALSE)</f>
        <v>Home</v>
      </c>
      <c r="L386" s="42" t="s">
        <v>150</v>
      </c>
      <c r="M386" s="43" t="s">
        <v>156</v>
      </c>
      <c r="N386" s="42" t="s">
        <v>157</v>
      </c>
      <c r="O386" s="43">
        <v>16</v>
      </c>
      <c r="P386" s="43">
        <v>8</v>
      </c>
      <c r="Q386" s="25" t="str">
        <f>VLOOKUP(P386,Key!$E$2:$F$9,2,FALSE)</f>
        <v>Others</v>
      </c>
      <c r="R386" s="25" t="str">
        <f t="shared" si="8"/>
        <v>Home-Others</v>
      </c>
      <c r="S386" s="52">
        <v>5</v>
      </c>
      <c r="T386" s="52">
        <v>0.7</v>
      </c>
      <c r="U386" s="43">
        <v>6</v>
      </c>
      <c r="V386" s="43"/>
      <c r="W386" s="52"/>
      <c r="X386" s="52"/>
      <c r="Y386" s="53" t="s">
        <v>158</v>
      </c>
      <c r="Z386" s="54">
        <v>3000</v>
      </c>
      <c r="AA386" s="25">
        <f>VLOOKUP(F386,'Zones '!$A$2:$F$2056,6,FALSE)</f>
        <v>1408</v>
      </c>
      <c r="AB386" s="25">
        <f>VLOOKUP(L386,'Zones '!$A$2:$F$2056,6,FALSE)</f>
        <v>1397</v>
      </c>
    </row>
    <row r="387" spans="2:28">
      <c r="B387" s="40">
        <v>0.42499999999999999</v>
      </c>
      <c r="C387" s="40" t="s">
        <v>562</v>
      </c>
      <c r="D387" s="41">
        <v>1</v>
      </c>
      <c r="E387" s="42">
        <v>1</v>
      </c>
      <c r="F387" s="42" t="s">
        <v>155</v>
      </c>
      <c r="G387" s="43" t="s">
        <v>156</v>
      </c>
      <c r="H387" s="42" t="s">
        <v>157</v>
      </c>
      <c r="I387" s="43">
        <v>1</v>
      </c>
      <c r="J387" s="43">
        <v>1</v>
      </c>
      <c r="K387" s="25" t="str">
        <f>VLOOKUP(J387,Key!$E$2:$F$9,2,FALSE)</f>
        <v>Home</v>
      </c>
      <c r="L387" s="42" t="s">
        <v>187</v>
      </c>
      <c r="M387" s="43" t="s">
        <v>187</v>
      </c>
      <c r="N387" s="42" t="s">
        <v>157</v>
      </c>
      <c r="O387" s="43">
        <v>2</v>
      </c>
      <c r="P387" s="43">
        <v>2</v>
      </c>
      <c r="Q387" s="25" t="str">
        <f>VLOOKUP(P387,Key!$E$2:$F$9,2,FALSE)</f>
        <v>Work</v>
      </c>
      <c r="R387" s="25" t="str">
        <f t="shared" si="8"/>
        <v>Home-Work</v>
      </c>
      <c r="S387" s="52">
        <v>15</v>
      </c>
      <c r="T387" s="52">
        <v>1.5</v>
      </c>
      <c r="U387" s="43">
        <v>2</v>
      </c>
      <c r="V387" s="43"/>
      <c r="W387" s="52"/>
      <c r="X387" s="52"/>
      <c r="Y387" s="53" t="s">
        <v>158</v>
      </c>
      <c r="Z387" s="54">
        <v>500</v>
      </c>
      <c r="AA387" s="25">
        <f>VLOOKUP(F387,'Zones '!$A$2:$F$2056,6,FALSE)</f>
        <v>1397</v>
      </c>
      <c r="AB387" s="25">
        <f>VLOOKUP(L387,'Zones '!$A$2:$F$2056,6,FALSE)</f>
        <v>521</v>
      </c>
    </row>
    <row r="388" spans="2:28">
      <c r="B388" s="40">
        <v>0.41666666666666669</v>
      </c>
      <c r="C388" s="40" t="s">
        <v>563</v>
      </c>
      <c r="D388" s="41">
        <v>8</v>
      </c>
      <c r="E388" s="42">
        <v>3</v>
      </c>
      <c r="F388" s="42" t="s">
        <v>204</v>
      </c>
      <c r="G388" s="43" t="s">
        <v>156</v>
      </c>
      <c r="H388" s="42" t="s">
        <v>157</v>
      </c>
      <c r="I388" s="43">
        <v>10</v>
      </c>
      <c r="J388" s="43">
        <v>2</v>
      </c>
      <c r="K388" s="25" t="str">
        <f>VLOOKUP(J388,Key!$E$2:$F$9,2,FALSE)</f>
        <v>Work</v>
      </c>
      <c r="L388" s="42" t="s">
        <v>2933</v>
      </c>
      <c r="M388" s="43" t="s">
        <v>156</v>
      </c>
      <c r="N388" s="42" t="s">
        <v>157</v>
      </c>
      <c r="O388" s="43">
        <v>15</v>
      </c>
      <c r="P388" s="43">
        <v>2</v>
      </c>
      <c r="Q388" s="25" t="str">
        <f>VLOOKUP(P388,Key!$E$2:$F$9,2,FALSE)</f>
        <v>Work</v>
      </c>
      <c r="R388" s="25" t="str">
        <f t="shared" si="8"/>
        <v>Work-Work</v>
      </c>
      <c r="S388" s="52">
        <v>20</v>
      </c>
      <c r="T388" s="52">
        <v>0.7</v>
      </c>
      <c r="U388" s="43">
        <v>1</v>
      </c>
      <c r="V388" s="43"/>
      <c r="W388" s="52"/>
      <c r="X388" s="52"/>
      <c r="Y388" s="53" t="s">
        <v>158</v>
      </c>
      <c r="Z388" s="54">
        <v>2000</v>
      </c>
      <c r="AA388" s="25">
        <f>VLOOKUP(F388,'Zones '!$A$2:$F$2056,6,FALSE)</f>
        <v>1390</v>
      </c>
      <c r="AB388" s="25">
        <f>VLOOKUP(L388,'Zones '!$A$2:$F$2056,6,FALSE)</f>
        <v>1409</v>
      </c>
    </row>
    <row r="389" spans="2:28">
      <c r="B389" s="40">
        <v>0.41041666666666665</v>
      </c>
      <c r="C389" s="40" t="s">
        <v>565</v>
      </c>
      <c r="D389" s="41">
        <v>3</v>
      </c>
      <c r="E389" s="42">
        <v>1</v>
      </c>
      <c r="F389" s="42" t="s">
        <v>566</v>
      </c>
      <c r="G389" s="43" t="s">
        <v>156</v>
      </c>
      <c r="H389" s="42" t="s">
        <v>157</v>
      </c>
      <c r="I389" s="43">
        <v>1</v>
      </c>
      <c r="J389" s="43">
        <v>1</v>
      </c>
      <c r="K389" s="25" t="str">
        <f>VLOOKUP(J389,Key!$E$2:$F$9,2,FALSE)</f>
        <v>Home</v>
      </c>
      <c r="L389" s="42" t="s">
        <v>224</v>
      </c>
      <c r="M389" s="43" t="s">
        <v>224</v>
      </c>
      <c r="N389" s="42" t="s">
        <v>157</v>
      </c>
      <c r="O389" s="43">
        <v>9</v>
      </c>
      <c r="P389" s="43">
        <v>8</v>
      </c>
      <c r="Q389" s="25" t="str">
        <f>VLOOKUP(P389,Key!$E$2:$F$9,2,FALSE)</f>
        <v>Others</v>
      </c>
      <c r="R389" s="25" t="str">
        <f t="shared" si="8"/>
        <v>Home-Others</v>
      </c>
      <c r="S389" s="52">
        <v>32</v>
      </c>
      <c r="T389" s="52">
        <v>1.3</v>
      </c>
      <c r="U389" s="43">
        <v>6</v>
      </c>
      <c r="V389" s="43"/>
      <c r="W389" s="52"/>
      <c r="X389" s="52"/>
      <c r="Y389" s="53" t="s">
        <v>158</v>
      </c>
      <c r="Z389" s="54">
        <v>10000</v>
      </c>
      <c r="AA389" s="25">
        <f>VLOOKUP(F389,'Zones '!$A$2:$F$2056,6,FALSE)</f>
        <v>1396</v>
      </c>
      <c r="AB389" s="25">
        <f>VLOOKUP(L389,'Zones '!$A$2:$F$2056,6,FALSE)</f>
        <v>1037</v>
      </c>
    </row>
    <row r="390" spans="2:28">
      <c r="B390" s="40">
        <v>0.43541666666666662</v>
      </c>
      <c r="C390" s="40" t="s">
        <v>567</v>
      </c>
      <c r="D390" s="41">
        <v>2</v>
      </c>
      <c r="E390" s="42">
        <v>1</v>
      </c>
      <c r="F390" s="42" t="s">
        <v>215</v>
      </c>
      <c r="G390" s="43" t="s">
        <v>156</v>
      </c>
      <c r="H390" s="42" t="s">
        <v>157</v>
      </c>
      <c r="I390" s="43">
        <v>1</v>
      </c>
      <c r="J390" s="43">
        <v>1</v>
      </c>
      <c r="K390" s="25" t="str">
        <f>VLOOKUP(J390,Key!$E$2:$F$9,2,FALSE)</f>
        <v>Home</v>
      </c>
      <c r="L390" s="42" t="s">
        <v>187</v>
      </c>
      <c r="M390" s="43" t="s">
        <v>187</v>
      </c>
      <c r="N390" s="42" t="s">
        <v>157</v>
      </c>
      <c r="O390" s="43">
        <v>2</v>
      </c>
      <c r="P390" s="43">
        <v>2</v>
      </c>
      <c r="Q390" s="25" t="str">
        <f>VLOOKUP(P390,Key!$E$2:$F$9,2,FALSE)</f>
        <v>Work</v>
      </c>
      <c r="R390" s="25" t="str">
        <f t="shared" si="8"/>
        <v>Home-Work</v>
      </c>
      <c r="S390" s="52">
        <v>35</v>
      </c>
      <c r="T390" s="52">
        <v>2.5</v>
      </c>
      <c r="U390" s="43">
        <v>2</v>
      </c>
      <c r="V390" s="43"/>
      <c r="W390" s="52"/>
      <c r="X390" s="52"/>
      <c r="Y390" s="53" t="s">
        <v>158</v>
      </c>
      <c r="Z390" s="54">
        <v>10000</v>
      </c>
      <c r="AA390" s="25">
        <f>VLOOKUP(F390,'Zones '!$A$2:$F$2056,6,FALSE)</f>
        <v>1388</v>
      </c>
      <c r="AB390" s="25">
        <f>VLOOKUP(L390,'Zones '!$A$2:$F$2056,6,FALSE)</f>
        <v>521</v>
      </c>
    </row>
    <row r="391" spans="2:28">
      <c r="B391" s="40">
        <v>0.43194444444444446</v>
      </c>
      <c r="C391" s="40" t="s">
        <v>568</v>
      </c>
      <c r="D391" s="41">
        <v>7</v>
      </c>
      <c r="E391" s="42">
        <v>3</v>
      </c>
      <c r="F391" s="42" t="s">
        <v>155</v>
      </c>
      <c r="G391" s="43" t="s">
        <v>156</v>
      </c>
      <c r="H391" s="42" t="s">
        <v>157</v>
      </c>
      <c r="I391" s="43">
        <v>1</v>
      </c>
      <c r="J391" s="43">
        <v>1</v>
      </c>
      <c r="K391" s="25" t="str">
        <f>VLOOKUP(J391,Key!$E$2:$F$9,2,FALSE)</f>
        <v>Home</v>
      </c>
      <c r="L391" s="42" t="s">
        <v>164</v>
      </c>
      <c r="M391" s="43" t="s">
        <v>156</v>
      </c>
      <c r="N391" s="42" t="s">
        <v>157</v>
      </c>
      <c r="O391" s="43">
        <v>10</v>
      </c>
      <c r="P391" s="43">
        <v>2</v>
      </c>
      <c r="Q391" s="25" t="str">
        <f>VLOOKUP(P391,Key!$E$2:$F$9,2,FALSE)</f>
        <v>Work</v>
      </c>
      <c r="R391" s="25" t="str">
        <f t="shared" si="8"/>
        <v>Home-Work</v>
      </c>
      <c r="S391" s="52">
        <v>10</v>
      </c>
      <c r="T391" s="52">
        <v>0.3</v>
      </c>
      <c r="U391" s="43">
        <v>1</v>
      </c>
      <c r="V391" s="43"/>
      <c r="W391" s="52"/>
      <c r="X391" s="52"/>
      <c r="Y391" s="53" t="s">
        <v>158</v>
      </c>
      <c r="Z391" s="54">
        <v>500</v>
      </c>
      <c r="AA391" s="25">
        <f>VLOOKUP(F391,'Zones '!$A$2:$F$2056,6,FALSE)</f>
        <v>1397</v>
      </c>
      <c r="AB391" s="25">
        <f>VLOOKUP(L391,'Zones '!$A$2:$F$2056,6,FALSE)</f>
        <v>1397</v>
      </c>
    </row>
    <row r="392" spans="2:28">
      <c r="B392" s="40">
        <v>0.40486111111111112</v>
      </c>
      <c r="C392" s="40" t="s">
        <v>569</v>
      </c>
      <c r="D392" s="41">
        <v>2</v>
      </c>
      <c r="E392" s="42">
        <v>2</v>
      </c>
      <c r="F392" s="42" t="s">
        <v>155</v>
      </c>
      <c r="G392" s="43" t="s">
        <v>156</v>
      </c>
      <c r="H392" s="42" t="s">
        <v>157</v>
      </c>
      <c r="I392" s="43">
        <v>1</v>
      </c>
      <c r="J392" s="43">
        <v>1</v>
      </c>
      <c r="K392" s="25" t="str">
        <f>VLOOKUP(J392,Key!$E$2:$F$9,2,FALSE)</f>
        <v>Home</v>
      </c>
      <c r="L392" s="42" t="s">
        <v>187</v>
      </c>
      <c r="M392" s="43" t="s">
        <v>187</v>
      </c>
      <c r="N392" s="42" t="s">
        <v>157</v>
      </c>
      <c r="O392" s="43">
        <v>2</v>
      </c>
      <c r="P392" s="43">
        <v>2</v>
      </c>
      <c r="Q392" s="25" t="str">
        <f>VLOOKUP(P392,Key!$E$2:$F$9,2,FALSE)</f>
        <v>Work</v>
      </c>
      <c r="R392" s="25" t="str">
        <f t="shared" si="8"/>
        <v>Home-Work</v>
      </c>
      <c r="S392" s="52">
        <v>30</v>
      </c>
      <c r="T392" s="52">
        <v>2.5</v>
      </c>
      <c r="U392" s="43"/>
      <c r="V392" s="43"/>
      <c r="W392" s="52"/>
      <c r="X392" s="52"/>
      <c r="Y392" s="53"/>
      <c r="Z392" s="54"/>
      <c r="AA392" s="25">
        <f>VLOOKUP(F392,'Zones '!$A$2:$F$2056,6,FALSE)</f>
        <v>1397</v>
      </c>
      <c r="AB392" s="25">
        <f>VLOOKUP(L392,'Zones '!$A$2:$F$2056,6,FALSE)</f>
        <v>521</v>
      </c>
    </row>
    <row r="393" spans="2:28">
      <c r="B393" s="40">
        <v>0.4069444444444445</v>
      </c>
      <c r="C393" s="40" t="s">
        <v>570</v>
      </c>
      <c r="D393" s="41">
        <v>1</v>
      </c>
      <c r="E393" s="42">
        <v>2</v>
      </c>
      <c r="F393" s="42" t="s">
        <v>215</v>
      </c>
      <c r="G393" s="43" t="s">
        <v>156</v>
      </c>
      <c r="H393" s="42" t="s">
        <v>157</v>
      </c>
      <c r="I393" s="43">
        <v>1</v>
      </c>
      <c r="J393" s="43">
        <v>1</v>
      </c>
      <c r="K393" s="25" t="str">
        <f>VLOOKUP(J393,Key!$E$2:$F$9,2,FALSE)</f>
        <v>Home</v>
      </c>
      <c r="L393" s="42" t="s">
        <v>571</v>
      </c>
      <c r="M393" s="43" t="s">
        <v>156</v>
      </c>
      <c r="N393" s="42" t="s">
        <v>157</v>
      </c>
      <c r="O393" s="43">
        <v>2</v>
      </c>
      <c r="P393" s="43">
        <v>2</v>
      </c>
      <c r="Q393" s="25" t="str">
        <f>VLOOKUP(P393,Key!$E$2:$F$9,2,FALSE)</f>
        <v>Work</v>
      </c>
      <c r="R393" s="25" t="str">
        <f t="shared" si="8"/>
        <v>Home-Work</v>
      </c>
      <c r="S393" s="52">
        <v>35</v>
      </c>
      <c r="T393" s="52">
        <v>2.5</v>
      </c>
      <c r="U393" s="43">
        <v>2</v>
      </c>
      <c r="V393" s="43"/>
      <c r="W393" s="52"/>
      <c r="X393" s="52"/>
      <c r="Y393" s="53" t="s">
        <v>158</v>
      </c>
      <c r="Z393" s="54"/>
      <c r="AA393" s="25">
        <f>VLOOKUP(F393,'Zones '!$A$2:$F$2056,6,FALSE)</f>
        <v>1388</v>
      </c>
      <c r="AB393" s="25">
        <f>VLOOKUP(L393,'Zones '!$A$2:$F$2056,6,FALSE)</f>
        <v>307</v>
      </c>
    </row>
    <row r="394" spans="2:28">
      <c r="B394" s="40">
        <v>0.54999999999999993</v>
      </c>
      <c r="C394" s="40" t="s">
        <v>572</v>
      </c>
      <c r="D394" s="41">
        <v>2</v>
      </c>
      <c r="E394" s="42">
        <v>3</v>
      </c>
      <c r="F394" s="42" t="s">
        <v>160</v>
      </c>
      <c r="G394" s="43" t="s">
        <v>156</v>
      </c>
      <c r="H394" s="42" t="s">
        <v>157</v>
      </c>
      <c r="I394" s="43">
        <v>1</v>
      </c>
      <c r="J394" s="43">
        <v>1</v>
      </c>
      <c r="K394" s="25" t="str">
        <f>VLOOKUP(J394,Key!$E$2:$F$9,2,FALSE)</f>
        <v>Home</v>
      </c>
      <c r="L394" s="42" t="s">
        <v>150</v>
      </c>
      <c r="M394" s="43" t="s">
        <v>156</v>
      </c>
      <c r="N394" s="42" t="s">
        <v>157</v>
      </c>
      <c r="O394" s="43">
        <v>11</v>
      </c>
      <c r="P394" s="43">
        <v>4</v>
      </c>
      <c r="Q394" s="25" t="str">
        <f>VLOOKUP(P394,Key!$E$2:$F$9,2,FALSE)</f>
        <v>Commercial</v>
      </c>
      <c r="R394" s="25" t="str">
        <f t="shared" si="8"/>
        <v>Home-Commercial</v>
      </c>
      <c r="S394" s="52">
        <v>5</v>
      </c>
      <c r="T394" s="52">
        <v>0.1</v>
      </c>
      <c r="U394" s="43">
        <v>1</v>
      </c>
      <c r="V394" s="43"/>
      <c r="W394" s="52"/>
      <c r="X394" s="52"/>
      <c r="Y394" s="53" t="s">
        <v>158</v>
      </c>
      <c r="Z394" s="54">
        <v>5000</v>
      </c>
      <c r="AA394" s="25">
        <f>VLOOKUP(F394,'Zones '!$A$2:$F$2056,6,FALSE)</f>
        <v>589</v>
      </c>
      <c r="AB394" s="25">
        <f>VLOOKUP(L394,'Zones '!$A$2:$F$2056,6,FALSE)</f>
        <v>1397</v>
      </c>
    </row>
    <row r="395" spans="2:28">
      <c r="B395" s="40">
        <v>0.54166666666666663</v>
      </c>
      <c r="C395" s="40" t="s">
        <v>573</v>
      </c>
      <c r="D395" s="41">
        <v>1</v>
      </c>
      <c r="E395" s="42">
        <v>1</v>
      </c>
      <c r="F395" s="42" t="s">
        <v>207</v>
      </c>
      <c r="G395" s="43" t="s">
        <v>156</v>
      </c>
      <c r="H395" s="42" t="s">
        <v>157</v>
      </c>
      <c r="I395" s="43">
        <v>1</v>
      </c>
      <c r="J395" s="43">
        <v>1</v>
      </c>
      <c r="K395" s="25" t="str">
        <f>VLOOKUP(J395,Key!$E$2:$F$9,2,FALSE)</f>
        <v>Home</v>
      </c>
      <c r="L395" s="42" t="s">
        <v>162</v>
      </c>
      <c r="M395" s="43" t="s">
        <v>156</v>
      </c>
      <c r="N395" s="42" t="s">
        <v>157</v>
      </c>
      <c r="O395" s="43">
        <v>4</v>
      </c>
      <c r="P395" s="43">
        <v>3</v>
      </c>
      <c r="Q395" s="25" t="str">
        <f>VLOOKUP(P395,Key!$E$2:$F$9,2,FALSE)</f>
        <v>Study</v>
      </c>
      <c r="R395" s="25" t="str">
        <f t="shared" si="8"/>
        <v>Home-Study</v>
      </c>
      <c r="S395" s="52">
        <v>10</v>
      </c>
      <c r="T395" s="52">
        <v>0.5</v>
      </c>
      <c r="U395" s="43">
        <v>2</v>
      </c>
      <c r="V395" s="43"/>
      <c r="W395" s="52"/>
      <c r="X395" s="52"/>
      <c r="Y395" s="53" t="s">
        <v>158</v>
      </c>
      <c r="Z395" s="54">
        <v>2000</v>
      </c>
      <c r="AA395" s="25">
        <f>VLOOKUP(F395,'Zones '!$A$2:$F$2056,6,FALSE)</f>
        <v>1397</v>
      </c>
      <c r="AB395" s="25">
        <f>VLOOKUP(L395,'Zones '!$A$2:$F$2056,6,FALSE)</f>
        <v>1397</v>
      </c>
    </row>
    <row r="396" spans="2:28">
      <c r="B396" s="40">
        <v>0.4375</v>
      </c>
      <c r="C396" s="40" t="s">
        <v>574</v>
      </c>
      <c r="D396" s="41">
        <v>2</v>
      </c>
      <c r="E396" s="42">
        <v>4</v>
      </c>
      <c r="F396" s="42" t="s">
        <v>215</v>
      </c>
      <c r="G396" s="43" t="s">
        <v>156</v>
      </c>
      <c r="H396" s="42" t="s">
        <v>157</v>
      </c>
      <c r="I396" s="43">
        <v>2</v>
      </c>
      <c r="J396" s="43">
        <v>2</v>
      </c>
      <c r="K396" s="25" t="str">
        <f>VLOOKUP(J396,Key!$E$2:$F$9,2,FALSE)</f>
        <v>Work</v>
      </c>
      <c r="L396" s="42" t="s">
        <v>187</v>
      </c>
      <c r="M396" s="43" t="s">
        <v>187</v>
      </c>
      <c r="N396" s="42" t="s">
        <v>157</v>
      </c>
      <c r="O396" s="43">
        <v>2</v>
      </c>
      <c r="P396" s="43">
        <v>2</v>
      </c>
      <c r="Q396" s="25" t="str">
        <f>VLOOKUP(P396,Key!$E$2:$F$9,2,FALSE)</f>
        <v>Work</v>
      </c>
      <c r="R396" s="25" t="str">
        <f t="shared" si="8"/>
        <v>Work-Work</v>
      </c>
      <c r="S396" s="52">
        <v>36</v>
      </c>
      <c r="T396" s="52">
        <v>2</v>
      </c>
      <c r="U396" s="43">
        <v>1</v>
      </c>
      <c r="V396" s="43"/>
      <c r="W396" s="52"/>
      <c r="X396" s="52"/>
      <c r="Y396" s="53" t="s">
        <v>158</v>
      </c>
      <c r="Z396" s="54">
        <v>1000</v>
      </c>
      <c r="AA396" s="25">
        <f>VLOOKUP(F396,'Zones '!$A$2:$F$2056,6,FALSE)</f>
        <v>1388</v>
      </c>
      <c r="AB396" s="25">
        <f>VLOOKUP(L396,'Zones '!$A$2:$F$2056,6,FALSE)</f>
        <v>521</v>
      </c>
    </row>
    <row r="397" spans="2:28">
      <c r="B397" s="40">
        <v>0.44166666666666665</v>
      </c>
      <c r="C397" s="40" t="s">
        <v>575</v>
      </c>
      <c r="D397" s="41">
        <v>7</v>
      </c>
      <c r="E397" s="42">
        <v>2</v>
      </c>
      <c r="F397" s="42" t="s">
        <v>204</v>
      </c>
      <c r="G397" s="43" t="s">
        <v>156</v>
      </c>
      <c r="H397" s="42" t="s">
        <v>157</v>
      </c>
      <c r="I397" s="43">
        <v>1</v>
      </c>
      <c r="J397" s="43">
        <v>1</v>
      </c>
      <c r="K397" s="25" t="str">
        <f>VLOOKUP(J397,Key!$E$2:$F$9,2,FALSE)</f>
        <v>Home</v>
      </c>
      <c r="L397" s="42" t="s">
        <v>162</v>
      </c>
      <c r="M397" s="43" t="s">
        <v>156</v>
      </c>
      <c r="N397" s="42" t="s">
        <v>157</v>
      </c>
      <c r="O397" s="43">
        <v>9</v>
      </c>
      <c r="P397" s="43">
        <v>2</v>
      </c>
      <c r="Q397" s="25" t="str">
        <f>VLOOKUP(P397,Key!$E$2:$F$9,2,FALSE)</f>
        <v>Work</v>
      </c>
      <c r="R397" s="25" t="str">
        <f t="shared" si="8"/>
        <v>Home-Work</v>
      </c>
      <c r="S397" s="52">
        <v>25</v>
      </c>
      <c r="T397" s="52">
        <v>1</v>
      </c>
      <c r="U397" s="43"/>
      <c r="V397" s="43"/>
      <c r="W397" s="52"/>
      <c r="X397" s="52"/>
      <c r="Y397" s="53" t="s">
        <v>158</v>
      </c>
      <c r="Z397" s="54">
        <v>10000</v>
      </c>
      <c r="AA397" s="25">
        <f>VLOOKUP(F397,'Zones '!$A$2:$F$2056,6,FALSE)</f>
        <v>1390</v>
      </c>
      <c r="AB397" s="25">
        <f>VLOOKUP(L397,'Zones '!$A$2:$F$2056,6,FALSE)</f>
        <v>1397</v>
      </c>
    </row>
    <row r="398" spans="2:28">
      <c r="B398" s="40">
        <v>0.625</v>
      </c>
      <c r="C398" s="40" t="s">
        <v>576</v>
      </c>
      <c r="D398" s="41">
        <v>4</v>
      </c>
      <c r="E398" s="42">
        <v>11</v>
      </c>
      <c r="F398" s="42" t="s">
        <v>187</v>
      </c>
      <c r="G398" s="43" t="s">
        <v>187</v>
      </c>
      <c r="H398" s="42" t="s">
        <v>157</v>
      </c>
      <c r="I398" s="43">
        <v>6</v>
      </c>
      <c r="J398" s="43">
        <v>2</v>
      </c>
      <c r="K398" s="25" t="str">
        <f>VLOOKUP(J398,Key!$E$2:$F$9,2,FALSE)</f>
        <v>Work</v>
      </c>
      <c r="L398" s="42" t="s">
        <v>162</v>
      </c>
      <c r="M398" s="43" t="s">
        <v>156</v>
      </c>
      <c r="N398" s="42" t="s">
        <v>157</v>
      </c>
      <c r="O398" s="43">
        <v>6</v>
      </c>
      <c r="P398" s="43">
        <v>2</v>
      </c>
      <c r="Q398" s="25" t="str">
        <f>VLOOKUP(P398,Key!$E$2:$F$9,2,FALSE)</f>
        <v>Work</v>
      </c>
      <c r="R398" s="25" t="str">
        <f t="shared" si="8"/>
        <v>Work-Work</v>
      </c>
      <c r="S398" s="52">
        <v>30</v>
      </c>
      <c r="T398" s="52">
        <v>1.5</v>
      </c>
      <c r="U398" s="43">
        <v>1</v>
      </c>
      <c r="V398" s="43"/>
      <c r="W398" s="52"/>
      <c r="X398" s="52"/>
      <c r="Y398" s="53" t="s">
        <v>158</v>
      </c>
      <c r="Z398" s="54">
        <v>10000</v>
      </c>
      <c r="AA398" s="25">
        <f>VLOOKUP(F398,'Zones '!$A$2:$F$2056,6,FALSE)</f>
        <v>521</v>
      </c>
      <c r="AB398" s="25">
        <f>VLOOKUP(L398,'Zones '!$A$2:$F$2056,6,FALSE)</f>
        <v>1397</v>
      </c>
    </row>
    <row r="399" spans="2:28">
      <c r="B399" s="40">
        <v>0.62083333333333335</v>
      </c>
      <c r="C399" s="40" t="s">
        <v>577</v>
      </c>
      <c r="D399" s="41">
        <v>1</v>
      </c>
      <c r="E399" s="42">
        <v>1</v>
      </c>
      <c r="F399" s="42" t="s">
        <v>207</v>
      </c>
      <c r="G399" s="43" t="s">
        <v>156</v>
      </c>
      <c r="H399" s="42" t="s">
        <v>157</v>
      </c>
      <c r="I399" s="43">
        <v>1</v>
      </c>
      <c r="J399" s="43">
        <v>1</v>
      </c>
      <c r="K399" s="25" t="str">
        <f>VLOOKUP(J399,Key!$E$2:$F$9,2,FALSE)</f>
        <v>Home</v>
      </c>
      <c r="L399" s="42" t="s">
        <v>150</v>
      </c>
      <c r="M399" s="43" t="s">
        <v>156</v>
      </c>
      <c r="N399" s="42" t="s">
        <v>157</v>
      </c>
      <c r="O399" s="43">
        <v>11</v>
      </c>
      <c r="P399" s="43">
        <v>6</v>
      </c>
      <c r="Q399" s="25" t="str">
        <f>VLOOKUP(P399,Key!$E$2:$F$9,2,FALSE)</f>
        <v>Leisure/Social</v>
      </c>
      <c r="R399" s="25" t="str">
        <f t="shared" si="8"/>
        <v>Home-Leisure/Social</v>
      </c>
      <c r="S399" s="52">
        <v>9</v>
      </c>
      <c r="T399" s="52">
        <v>0.2</v>
      </c>
      <c r="U399" s="43">
        <v>1</v>
      </c>
      <c r="V399" s="43"/>
      <c r="W399" s="52"/>
      <c r="X399" s="52"/>
      <c r="Y399" s="53" t="s">
        <v>158</v>
      </c>
      <c r="Z399" s="54">
        <v>2000</v>
      </c>
      <c r="AA399" s="25">
        <f>VLOOKUP(F399,'Zones '!$A$2:$F$2056,6,FALSE)</f>
        <v>1397</v>
      </c>
      <c r="AB399" s="25">
        <f>VLOOKUP(L399,'Zones '!$A$2:$F$2056,6,FALSE)</f>
        <v>1397</v>
      </c>
    </row>
    <row r="400" spans="2:28">
      <c r="B400" s="40">
        <v>0.44444444444444442</v>
      </c>
      <c r="C400" s="40" t="s">
        <v>578</v>
      </c>
      <c r="D400" s="41">
        <v>1</v>
      </c>
      <c r="E400" s="42">
        <v>2</v>
      </c>
      <c r="F400" s="42" t="s">
        <v>305</v>
      </c>
      <c r="G400" s="43" t="s">
        <v>187</v>
      </c>
      <c r="H400" s="42" t="s">
        <v>157</v>
      </c>
      <c r="I400" s="43">
        <v>1</v>
      </c>
      <c r="J400" s="43">
        <v>1</v>
      </c>
      <c r="K400" s="25" t="str">
        <f>VLOOKUP(J400,Key!$E$2:$F$9,2,FALSE)</f>
        <v>Home</v>
      </c>
      <c r="L400" s="42" t="s">
        <v>150</v>
      </c>
      <c r="M400" s="43" t="s">
        <v>156</v>
      </c>
      <c r="N400" s="42" t="s">
        <v>157</v>
      </c>
      <c r="O400" s="43">
        <v>11</v>
      </c>
      <c r="P400" s="43">
        <v>2</v>
      </c>
      <c r="Q400" s="25" t="str">
        <f>VLOOKUP(P400,Key!$E$2:$F$9,2,FALSE)</f>
        <v>Work</v>
      </c>
      <c r="R400" s="25" t="str">
        <f t="shared" si="8"/>
        <v>Home-Work</v>
      </c>
      <c r="S400" s="52">
        <v>25</v>
      </c>
      <c r="T400" s="52">
        <v>1.5</v>
      </c>
      <c r="U400" s="43">
        <v>2</v>
      </c>
      <c r="V400" s="43"/>
      <c r="W400" s="52"/>
      <c r="X400" s="52"/>
      <c r="Y400" s="53" t="s">
        <v>158</v>
      </c>
      <c r="Z400" s="54">
        <v>5000</v>
      </c>
      <c r="AA400" s="25">
        <f>VLOOKUP(F400,'Zones '!$A$2:$F$2056,6,FALSE)</f>
        <v>536</v>
      </c>
      <c r="AB400" s="25">
        <f>VLOOKUP(L400,'Zones '!$A$2:$F$2056,6,FALSE)</f>
        <v>1397</v>
      </c>
    </row>
    <row r="401" spans="2:28">
      <c r="B401" s="40">
        <v>0.44791666666666669</v>
      </c>
      <c r="C401" s="40" t="s">
        <v>579</v>
      </c>
      <c r="D401" s="41">
        <v>3</v>
      </c>
      <c r="E401" s="42">
        <v>4</v>
      </c>
      <c r="F401" s="42" t="s">
        <v>215</v>
      </c>
      <c r="G401" s="43" t="s">
        <v>156</v>
      </c>
      <c r="H401" s="42" t="s">
        <v>157</v>
      </c>
      <c r="I401" s="43">
        <v>1</v>
      </c>
      <c r="J401" s="43">
        <v>1</v>
      </c>
      <c r="K401" s="25" t="str">
        <f>VLOOKUP(J401,Key!$E$2:$F$9,2,FALSE)</f>
        <v>Home</v>
      </c>
      <c r="L401" s="42" t="s">
        <v>197</v>
      </c>
      <c r="M401" s="43" t="s">
        <v>197</v>
      </c>
      <c r="N401" s="42" t="s">
        <v>157</v>
      </c>
      <c r="O401" s="43">
        <v>16</v>
      </c>
      <c r="P401" s="43">
        <v>8</v>
      </c>
      <c r="Q401" s="25" t="str">
        <f>VLOOKUP(P401,Key!$E$2:$F$9,2,FALSE)</f>
        <v>Others</v>
      </c>
      <c r="R401" s="25" t="str">
        <f t="shared" si="8"/>
        <v>Home-Others</v>
      </c>
      <c r="S401" s="52">
        <v>205</v>
      </c>
      <c r="T401" s="52">
        <v>4</v>
      </c>
      <c r="U401" s="43">
        <v>6</v>
      </c>
      <c r="V401" s="43"/>
      <c r="W401" s="52"/>
      <c r="X401" s="52"/>
      <c r="Y401" s="53" t="s">
        <v>158</v>
      </c>
      <c r="Z401" s="54">
        <v>10000</v>
      </c>
      <c r="AA401" s="25">
        <f>VLOOKUP(F401,'Zones '!$A$2:$F$2056,6,FALSE)</f>
        <v>1388</v>
      </c>
      <c r="AB401" s="25">
        <f>VLOOKUP(L401,'Zones '!$A$2:$F$2056,6,FALSE)</f>
        <v>937</v>
      </c>
    </row>
    <row r="402" spans="2:28">
      <c r="B402" s="40">
        <v>0.6069444444444444</v>
      </c>
      <c r="C402" s="40" t="s">
        <v>580</v>
      </c>
      <c r="D402" s="41">
        <v>7</v>
      </c>
      <c r="E402" s="42">
        <v>3</v>
      </c>
      <c r="F402" s="42" t="s">
        <v>581</v>
      </c>
      <c r="G402" s="43" t="s">
        <v>156</v>
      </c>
      <c r="H402" s="42" t="s">
        <v>157</v>
      </c>
      <c r="I402" s="43">
        <v>11</v>
      </c>
      <c r="J402" s="43">
        <v>2</v>
      </c>
      <c r="K402" s="25" t="str">
        <f>VLOOKUP(J402,Key!$E$2:$F$9,2,FALSE)</f>
        <v>Work</v>
      </c>
      <c r="L402" s="42" t="s">
        <v>162</v>
      </c>
      <c r="M402" s="43" t="s">
        <v>156</v>
      </c>
      <c r="N402" s="42" t="s">
        <v>157</v>
      </c>
      <c r="O402" s="43">
        <v>12</v>
      </c>
      <c r="P402" s="43">
        <v>2</v>
      </c>
      <c r="Q402" s="25" t="str">
        <f>VLOOKUP(P402,Key!$E$2:$F$9,2,FALSE)</f>
        <v>Work</v>
      </c>
      <c r="R402" s="25" t="str">
        <f t="shared" si="8"/>
        <v>Work-Work</v>
      </c>
      <c r="S402" s="52"/>
      <c r="T402" s="52"/>
      <c r="U402" s="43">
        <v>1</v>
      </c>
      <c r="V402" s="43">
        <v>11</v>
      </c>
      <c r="W402" s="52"/>
      <c r="X402" s="52"/>
      <c r="Y402" s="53" t="s">
        <v>158</v>
      </c>
      <c r="Z402" s="54">
        <v>2000</v>
      </c>
      <c r="AA402" s="25">
        <f>VLOOKUP(F402,'Zones '!$A$2:$F$2056,6,FALSE)</f>
        <v>1396</v>
      </c>
      <c r="AB402" s="25">
        <f>VLOOKUP(L402,'Zones '!$A$2:$F$2056,6,FALSE)</f>
        <v>1397</v>
      </c>
    </row>
    <row r="403" spans="2:28">
      <c r="B403" s="40">
        <v>0.61597222222222225</v>
      </c>
      <c r="C403" s="40" t="s">
        <v>582</v>
      </c>
      <c r="D403" s="41">
        <v>7</v>
      </c>
      <c r="E403" s="42">
        <v>2</v>
      </c>
      <c r="F403" s="42" t="s">
        <v>207</v>
      </c>
      <c r="G403" s="43" t="s">
        <v>156</v>
      </c>
      <c r="H403" s="42" t="s">
        <v>157</v>
      </c>
      <c r="I403" s="43">
        <v>11</v>
      </c>
      <c r="J403" s="43">
        <v>2</v>
      </c>
      <c r="K403" s="25" t="str">
        <f>VLOOKUP(J403,Key!$E$2:$F$9,2,FALSE)</f>
        <v>Work</v>
      </c>
      <c r="L403" s="42" t="s">
        <v>162</v>
      </c>
      <c r="M403" s="43" t="s">
        <v>156</v>
      </c>
      <c r="N403" s="42" t="s">
        <v>157</v>
      </c>
      <c r="O403" s="43">
        <v>11</v>
      </c>
      <c r="P403" s="43">
        <v>2</v>
      </c>
      <c r="Q403" s="25" t="str">
        <f>VLOOKUP(P403,Key!$E$2:$F$9,2,FALSE)</f>
        <v>Work</v>
      </c>
      <c r="R403" s="25" t="str">
        <f t="shared" si="8"/>
        <v>Work-Work</v>
      </c>
      <c r="S403" s="52">
        <v>7</v>
      </c>
      <c r="T403" s="52">
        <v>0.3</v>
      </c>
      <c r="U403" s="43">
        <v>1</v>
      </c>
      <c r="V403" s="43">
        <v>12</v>
      </c>
      <c r="W403" s="52">
        <v>10</v>
      </c>
      <c r="X403" s="52">
        <v>4</v>
      </c>
      <c r="Y403" s="53" t="s">
        <v>158</v>
      </c>
      <c r="Z403" s="54">
        <v>2000</v>
      </c>
      <c r="AA403" s="25">
        <f>VLOOKUP(F403,'Zones '!$A$2:$F$2056,6,FALSE)</f>
        <v>1397</v>
      </c>
      <c r="AB403" s="25">
        <f>VLOOKUP(L403,'Zones '!$A$2:$F$2056,6,FALSE)</f>
        <v>1397</v>
      </c>
    </row>
    <row r="404" spans="2:28">
      <c r="B404" s="40">
        <v>0.63680555555555551</v>
      </c>
      <c r="C404" s="40" t="s">
        <v>583</v>
      </c>
      <c r="D404" s="41">
        <v>7</v>
      </c>
      <c r="E404" s="42">
        <v>3</v>
      </c>
      <c r="F404" s="42" t="s">
        <v>160</v>
      </c>
      <c r="G404" s="43" t="s">
        <v>156</v>
      </c>
      <c r="H404" s="42" t="s">
        <v>157</v>
      </c>
      <c r="I404" s="43">
        <v>10</v>
      </c>
      <c r="J404" s="43">
        <v>2</v>
      </c>
      <c r="K404" s="25" t="str">
        <f>VLOOKUP(J404,Key!$E$2:$F$9,2,FALSE)</f>
        <v>Work</v>
      </c>
      <c r="L404" s="42" t="s">
        <v>150</v>
      </c>
      <c r="M404" s="43" t="s">
        <v>156</v>
      </c>
      <c r="N404" s="42" t="s">
        <v>157</v>
      </c>
      <c r="O404" s="43">
        <v>1</v>
      </c>
      <c r="P404" s="43">
        <v>1</v>
      </c>
      <c r="Q404" s="25" t="str">
        <f>VLOOKUP(P404,Key!$E$2:$F$9,2,FALSE)</f>
        <v>Home</v>
      </c>
      <c r="R404" s="25" t="str">
        <f t="shared" si="8"/>
        <v>Work-Home</v>
      </c>
      <c r="S404" s="52">
        <v>7</v>
      </c>
      <c r="T404" s="52">
        <v>0.1</v>
      </c>
      <c r="U404" s="43">
        <v>1</v>
      </c>
      <c r="V404" s="43">
        <v>11</v>
      </c>
      <c r="W404" s="52"/>
      <c r="X404" s="52"/>
      <c r="Y404" s="53" t="s">
        <v>158</v>
      </c>
      <c r="Z404" s="54">
        <v>1000</v>
      </c>
      <c r="AA404" s="25">
        <f>VLOOKUP(F404,'Zones '!$A$2:$F$2056,6,FALSE)</f>
        <v>589</v>
      </c>
      <c r="AB404" s="25">
        <f>VLOOKUP(L404,'Zones '!$A$2:$F$2056,6,FALSE)</f>
        <v>1397</v>
      </c>
    </row>
    <row r="405" spans="2:28">
      <c r="B405" s="40">
        <v>0.64236111111111105</v>
      </c>
      <c r="C405" s="40" t="s">
        <v>584</v>
      </c>
      <c r="D405" s="41">
        <v>7</v>
      </c>
      <c r="E405" s="42">
        <v>2</v>
      </c>
      <c r="F405" s="42" t="s">
        <v>160</v>
      </c>
      <c r="G405" s="43" t="s">
        <v>156</v>
      </c>
      <c r="H405" s="42" t="s">
        <v>157</v>
      </c>
      <c r="I405" s="43">
        <v>10</v>
      </c>
      <c r="J405" s="43">
        <v>2</v>
      </c>
      <c r="K405" s="25" t="str">
        <f>VLOOKUP(J405,Key!$E$2:$F$9,2,FALSE)</f>
        <v>Work</v>
      </c>
      <c r="L405" s="42" t="s">
        <v>150</v>
      </c>
      <c r="M405" s="43" t="s">
        <v>156</v>
      </c>
      <c r="N405" s="42" t="s">
        <v>157</v>
      </c>
      <c r="O405" s="43">
        <v>1</v>
      </c>
      <c r="P405" s="43">
        <v>1</v>
      </c>
      <c r="Q405" s="25" t="str">
        <f>VLOOKUP(P405,Key!$E$2:$F$9,2,FALSE)</f>
        <v>Home</v>
      </c>
      <c r="R405" s="25" t="str">
        <f t="shared" si="8"/>
        <v>Work-Home</v>
      </c>
      <c r="S405" s="52">
        <v>5</v>
      </c>
      <c r="T405" s="52">
        <v>0.3</v>
      </c>
      <c r="U405" s="43">
        <v>1</v>
      </c>
      <c r="V405" s="43"/>
      <c r="W405" s="52"/>
      <c r="X405" s="52"/>
      <c r="Y405" s="53" t="s">
        <v>158</v>
      </c>
      <c r="Z405" s="54">
        <v>3000</v>
      </c>
      <c r="AA405" s="25">
        <f>VLOOKUP(F405,'Zones '!$A$2:$F$2056,6,FALSE)</f>
        <v>589</v>
      </c>
      <c r="AB405" s="25">
        <f>VLOOKUP(L405,'Zones '!$A$2:$F$2056,6,FALSE)</f>
        <v>1397</v>
      </c>
    </row>
    <row r="406" spans="2:28">
      <c r="B406" s="40">
        <v>0.63194444444444442</v>
      </c>
      <c r="C406" s="40" t="s">
        <v>585</v>
      </c>
      <c r="D406" s="41">
        <v>4</v>
      </c>
      <c r="E406" s="42">
        <v>14</v>
      </c>
      <c r="F406" s="42" t="s">
        <v>204</v>
      </c>
      <c r="G406" s="43" t="s">
        <v>156</v>
      </c>
      <c r="H406" s="42" t="s">
        <v>157</v>
      </c>
      <c r="I406" s="43">
        <v>6</v>
      </c>
      <c r="J406" s="43">
        <v>2</v>
      </c>
      <c r="K406" s="25" t="str">
        <f>VLOOKUP(J406,Key!$E$2:$F$9,2,FALSE)</f>
        <v>Work</v>
      </c>
      <c r="L406" s="42" t="s">
        <v>162</v>
      </c>
      <c r="M406" s="43" t="s">
        <v>156</v>
      </c>
      <c r="N406" s="42" t="s">
        <v>157</v>
      </c>
      <c r="O406" s="43">
        <v>6</v>
      </c>
      <c r="P406" s="43">
        <v>2</v>
      </c>
      <c r="Q406" s="25" t="str">
        <f>VLOOKUP(P406,Key!$E$2:$F$9,2,FALSE)</f>
        <v>Work</v>
      </c>
      <c r="R406" s="25" t="str">
        <f t="shared" si="8"/>
        <v>Work-Work</v>
      </c>
      <c r="S406" s="52">
        <v>30</v>
      </c>
      <c r="T406" s="52">
        <v>2</v>
      </c>
      <c r="U406" s="43">
        <v>1</v>
      </c>
      <c r="V406" s="43"/>
      <c r="W406" s="52"/>
      <c r="X406" s="52"/>
      <c r="Y406" s="53" t="s">
        <v>158</v>
      </c>
      <c r="Z406" s="54">
        <v>1000</v>
      </c>
      <c r="AA406" s="25">
        <f>VLOOKUP(F406,'Zones '!$A$2:$F$2056,6,FALSE)</f>
        <v>1390</v>
      </c>
      <c r="AB406" s="25">
        <f>VLOOKUP(L406,'Zones '!$A$2:$F$2056,6,FALSE)</f>
        <v>1397</v>
      </c>
    </row>
    <row r="407" spans="2:28">
      <c r="B407" s="40">
        <v>0.63472222222222219</v>
      </c>
      <c r="C407" s="40" t="s">
        <v>586</v>
      </c>
      <c r="D407" s="41">
        <v>2</v>
      </c>
      <c r="E407" s="42">
        <v>1</v>
      </c>
      <c r="F407" s="42" t="s">
        <v>155</v>
      </c>
      <c r="G407" s="43" t="s">
        <v>156</v>
      </c>
      <c r="H407" s="42" t="s">
        <v>157</v>
      </c>
      <c r="I407" s="43">
        <v>1</v>
      </c>
      <c r="J407" s="43">
        <v>1</v>
      </c>
      <c r="K407" s="25" t="str">
        <f>VLOOKUP(J407,Key!$E$2:$F$9,2,FALSE)</f>
        <v>Home</v>
      </c>
      <c r="L407" s="42" t="s">
        <v>162</v>
      </c>
      <c r="M407" s="43" t="s">
        <v>156</v>
      </c>
      <c r="N407" s="42" t="s">
        <v>157</v>
      </c>
      <c r="O407" s="43">
        <v>1</v>
      </c>
      <c r="P407" s="43">
        <v>1</v>
      </c>
      <c r="Q407" s="25" t="str">
        <f>VLOOKUP(P407,Key!$E$2:$F$9,2,FALSE)</f>
        <v>Home</v>
      </c>
      <c r="R407" s="25" t="str">
        <f t="shared" si="8"/>
        <v>Home-Home</v>
      </c>
      <c r="S407" s="52">
        <v>10</v>
      </c>
      <c r="T407" s="52">
        <v>0.3</v>
      </c>
      <c r="U407" s="43">
        <v>1</v>
      </c>
      <c r="V407" s="43"/>
      <c r="W407" s="52"/>
      <c r="X407" s="52"/>
      <c r="Y407" s="53" t="s">
        <v>158</v>
      </c>
      <c r="Z407" s="54">
        <v>2000</v>
      </c>
      <c r="AA407" s="25">
        <f>VLOOKUP(F407,'Zones '!$A$2:$F$2056,6,FALSE)</f>
        <v>1397</v>
      </c>
      <c r="AB407" s="25">
        <f>VLOOKUP(L407,'Zones '!$A$2:$F$2056,6,FALSE)</f>
        <v>1397</v>
      </c>
    </row>
    <row r="408" spans="2:28">
      <c r="B408" s="40">
        <v>0.74097222222222225</v>
      </c>
      <c r="C408" s="40" t="s">
        <v>587</v>
      </c>
      <c r="D408" s="41">
        <v>1</v>
      </c>
      <c r="E408" s="42">
        <v>3</v>
      </c>
      <c r="F408" s="42" t="s">
        <v>207</v>
      </c>
      <c r="G408" s="43" t="s">
        <v>156</v>
      </c>
      <c r="H408" s="42" t="s">
        <v>157</v>
      </c>
      <c r="I408" s="43">
        <v>4</v>
      </c>
      <c r="J408" s="43">
        <v>2</v>
      </c>
      <c r="K408" s="25" t="str">
        <f>VLOOKUP(J408,Key!$E$2:$F$9,2,FALSE)</f>
        <v>Work</v>
      </c>
      <c r="L408" s="42" t="s">
        <v>162</v>
      </c>
      <c r="M408" s="43" t="s">
        <v>156</v>
      </c>
      <c r="N408" s="42" t="s">
        <v>157</v>
      </c>
      <c r="O408" s="43">
        <v>1</v>
      </c>
      <c r="P408" s="43">
        <v>1</v>
      </c>
      <c r="Q408" s="25" t="str">
        <f>VLOOKUP(P408,Key!$E$2:$F$9,2,FALSE)</f>
        <v>Home</v>
      </c>
      <c r="R408" s="25" t="str">
        <f t="shared" si="8"/>
        <v>Work-Home</v>
      </c>
      <c r="S408" s="52">
        <v>7</v>
      </c>
      <c r="T408" s="52"/>
      <c r="U408" s="43">
        <v>2</v>
      </c>
      <c r="V408" s="43"/>
      <c r="W408" s="52"/>
      <c r="X408" s="52"/>
      <c r="Y408" s="53" t="s">
        <v>158</v>
      </c>
      <c r="Z408" s="54">
        <v>10000</v>
      </c>
      <c r="AA408" s="25">
        <f>VLOOKUP(F408,'Zones '!$A$2:$F$2056,6,FALSE)</f>
        <v>1397</v>
      </c>
      <c r="AB408" s="25">
        <f>VLOOKUP(L408,'Zones '!$A$2:$F$2056,6,FALSE)</f>
        <v>1397</v>
      </c>
    </row>
    <row r="409" spans="2:28">
      <c r="B409" s="40">
        <v>0.72777777777777775</v>
      </c>
      <c r="C409" s="40" t="s">
        <v>588</v>
      </c>
      <c r="D409" s="41">
        <v>11</v>
      </c>
      <c r="E409" s="42">
        <v>1</v>
      </c>
      <c r="F409" s="42" t="s">
        <v>160</v>
      </c>
      <c r="G409" s="43" t="s">
        <v>156</v>
      </c>
      <c r="H409" s="42" t="s">
        <v>157</v>
      </c>
      <c r="I409" s="43">
        <v>8</v>
      </c>
      <c r="J409" s="43">
        <v>2</v>
      </c>
      <c r="K409" s="25" t="str">
        <f>VLOOKUP(J409,Key!$E$2:$F$9,2,FALSE)</f>
        <v>Work</v>
      </c>
      <c r="L409" s="42" t="s">
        <v>150</v>
      </c>
      <c r="M409" s="43" t="s">
        <v>156</v>
      </c>
      <c r="N409" s="42" t="s">
        <v>157</v>
      </c>
      <c r="O409" s="43">
        <v>8</v>
      </c>
      <c r="P409" s="43">
        <v>2</v>
      </c>
      <c r="Q409" s="25" t="str">
        <f>VLOOKUP(P409,Key!$E$2:$F$9,2,FALSE)</f>
        <v>Work</v>
      </c>
      <c r="R409" s="25" t="str">
        <f t="shared" si="8"/>
        <v>Work-Work</v>
      </c>
      <c r="S409" s="52">
        <v>10</v>
      </c>
      <c r="T409" s="52">
        <v>0.2</v>
      </c>
      <c r="U409" s="43">
        <v>1</v>
      </c>
      <c r="V409" s="43"/>
      <c r="W409" s="52"/>
      <c r="X409" s="52"/>
      <c r="Y409" s="53" t="s">
        <v>158</v>
      </c>
      <c r="Z409" s="54">
        <v>500</v>
      </c>
      <c r="AA409" s="25">
        <f>VLOOKUP(F409,'Zones '!$A$2:$F$2056,6,FALSE)</f>
        <v>589</v>
      </c>
      <c r="AB409" s="25">
        <f>VLOOKUP(L409,'Zones '!$A$2:$F$2056,6,FALSE)</f>
        <v>1397</v>
      </c>
    </row>
    <row r="410" spans="2:28">
      <c r="B410" s="40">
        <v>0.72222222222222221</v>
      </c>
      <c r="C410" s="40" t="s">
        <v>589</v>
      </c>
      <c r="D410" s="41">
        <v>11</v>
      </c>
      <c r="E410" s="42">
        <v>2</v>
      </c>
      <c r="F410" s="42" t="s">
        <v>155</v>
      </c>
      <c r="G410" s="43" t="s">
        <v>156</v>
      </c>
      <c r="H410" s="42" t="s">
        <v>157</v>
      </c>
      <c r="I410" s="43">
        <v>8</v>
      </c>
      <c r="J410" s="43">
        <v>2</v>
      </c>
      <c r="K410" s="25" t="str">
        <f>VLOOKUP(J410,Key!$E$2:$F$9,2,FALSE)</f>
        <v>Work</v>
      </c>
      <c r="L410" s="42" t="s">
        <v>164</v>
      </c>
      <c r="M410" s="43" t="s">
        <v>156</v>
      </c>
      <c r="N410" s="42" t="s">
        <v>157</v>
      </c>
      <c r="O410" s="43">
        <v>8</v>
      </c>
      <c r="P410" s="43">
        <v>2</v>
      </c>
      <c r="Q410" s="25" t="str">
        <f>VLOOKUP(P410,Key!$E$2:$F$9,2,FALSE)</f>
        <v>Work</v>
      </c>
      <c r="R410" s="25" t="str">
        <f t="shared" si="8"/>
        <v>Work-Work</v>
      </c>
      <c r="S410" s="52">
        <v>15</v>
      </c>
      <c r="T410" s="52">
        <v>0.3</v>
      </c>
      <c r="U410" s="43">
        <v>1</v>
      </c>
      <c r="V410" s="43"/>
      <c r="W410" s="52"/>
      <c r="X410" s="52"/>
      <c r="Y410" s="53" t="s">
        <v>158</v>
      </c>
      <c r="Z410" s="54">
        <v>0</v>
      </c>
      <c r="AA410" s="25">
        <f>VLOOKUP(F410,'Zones '!$A$2:$F$2056,6,FALSE)</f>
        <v>1397</v>
      </c>
      <c r="AB410" s="25">
        <f>VLOOKUP(L410,'Zones '!$A$2:$F$2056,6,FALSE)</f>
        <v>1397</v>
      </c>
    </row>
    <row r="411" spans="2:28">
      <c r="B411" s="40">
        <v>0.71388888888888891</v>
      </c>
      <c r="C411" s="40" t="s">
        <v>590</v>
      </c>
      <c r="D411" s="41">
        <v>4</v>
      </c>
      <c r="E411" s="42">
        <v>14</v>
      </c>
      <c r="F411" s="42" t="s">
        <v>301</v>
      </c>
      <c r="G411" s="43" t="s">
        <v>187</v>
      </c>
      <c r="H411" s="42" t="s">
        <v>157</v>
      </c>
      <c r="I411" s="43">
        <v>6</v>
      </c>
      <c r="J411" s="43">
        <v>2</v>
      </c>
      <c r="K411" s="25" t="str">
        <f>VLOOKUP(J411,Key!$E$2:$F$9,2,FALSE)</f>
        <v>Work</v>
      </c>
      <c r="L411" s="42" t="s">
        <v>162</v>
      </c>
      <c r="M411" s="43" t="s">
        <v>156</v>
      </c>
      <c r="N411" s="42" t="s">
        <v>157</v>
      </c>
      <c r="O411" s="43">
        <v>6</v>
      </c>
      <c r="P411" s="43">
        <v>2</v>
      </c>
      <c r="Q411" s="25" t="str">
        <f>VLOOKUP(P411,Key!$E$2:$F$9,2,FALSE)</f>
        <v>Work</v>
      </c>
      <c r="R411" s="25" t="str">
        <f t="shared" si="8"/>
        <v>Work-Work</v>
      </c>
      <c r="S411" s="52">
        <v>30</v>
      </c>
      <c r="T411" s="52">
        <v>2</v>
      </c>
      <c r="U411" s="43">
        <v>1</v>
      </c>
      <c r="V411" s="43"/>
      <c r="W411" s="52"/>
      <c r="X411" s="52"/>
      <c r="Y411" s="53" t="s">
        <v>158</v>
      </c>
      <c r="Z411" s="54">
        <v>2000</v>
      </c>
      <c r="AA411" s="25">
        <f>VLOOKUP(F411,'Zones '!$A$2:$F$2056,6,FALSE)</f>
        <v>538</v>
      </c>
      <c r="AB411" s="25">
        <f>VLOOKUP(L411,'Zones '!$A$2:$F$2056,6,FALSE)</f>
        <v>1397</v>
      </c>
    </row>
    <row r="412" spans="2:28">
      <c r="B412" s="40">
        <v>0.7631944444444444</v>
      </c>
      <c r="C412" s="40" t="s">
        <v>591</v>
      </c>
      <c r="D412" s="41">
        <v>11</v>
      </c>
      <c r="E412" s="42">
        <v>2</v>
      </c>
      <c r="F412" s="42" t="s">
        <v>155</v>
      </c>
      <c r="G412" s="43" t="s">
        <v>156</v>
      </c>
      <c r="H412" s="42" t="s">
        <v>157</v>
      </c>
      <c r="I412" s="43">
        <v>8</v>
      </c>
      <c r="J412" s="43">
        <v>2</v>
      </c>
      <c r="K412" s="25" t="str">
        <f>VLOOKUP(J412,Key!$E$2:$F$9,2,FALSE)</f>
        <v>Work</v>
      </c>
      <c r="L412" s="42" t="s">
        <v>150</v>
      </c>
      <c r="M412" s="43" t="s">
        <v>156</v>
      </c>
      <c r="N412" s="42" t="s">
        <v>157</v>
      </c>
      <c r="O412" s="43">
        <v>8</v>
      </c>
      <c r="P412" s="43">
        <v>2</v>
      </c>
      <c r="Q412" s="25" t="str">
        <f>VLOOKUP(P412,Key!$E$2:$F$9,2,FALSE)</f>
        <v>Work</v>
      </c>
      <c r="R412" s="25" t="str">
        <f t="shared" si="8"/>
        <v>Work-Work</v>
      </c>
      <c r="S412" s="52">
        <v>3</v>
      </c>
      <c r="T412" s="52">
        <v>0.1</v>
      </c>
      <c r="U412" s="43">
        <v>1</v>
      </c>
      <c r="V412" s="43"/>
      <c r="W412" s="52"/>
      <c r="X412" s="52"/>
      <c r="Y412" s="53" t="s">
        <v>158</v>
      </c>
      <c r="Z412" s="54">
        <v>1000</v>
      </c>
      <c r="AA412" s="25">
        <f>VLOOKUP(F412,'Zones '!$A$2:$F$2056,6,FALSE)</f>
        <v>1397</v>
      </c>
      <c r="AB412" s="25">
        <f>VLOOKUP(L412,'Zones '!$A$2:$F$2056,6,FALSE)</f>
        <v>1397</v>
      </c>
    </row>
    <row r="413" spans="2:28">
      <c r="B413" s="40">
        <v>0.75694444444444453</v>
      </c>
      <c r="C413" s="40" t="s">
        <v>592</v>
      </c>
      <c r="D413" s="41">
        <v>11</v>
      </c>
      <c r="E413" s="42">
        <v>1</v>
      </c>
      <c r="F413" s="42" t="s">
        <v>160</v>
      </c>
      <c r="G413" s="43" t="s">
        <v>156</v>
      </c>
      <c r="H413" s="42" t="s">
        <v>157</v>
      </c>
      <c r="I413" s="43">
        <v>8</v>
      </c>
      <c r="J413" s="43">
        <v>2</v>
      </c>
      <c r="K413" s="25" t="str">
        <f>VLOOKUP(J413,Key!$E$2:$F$9,2,FALSE)</f>
        <v>Work</v>
      </c>
      <c r="L413" s="42" t="s">
        <v>150</v>
      </c>
      <c r="M413" s="43" t="s">
        <v>156</v>
      </c>
      <c r="N413" s="42" t="s">
        <v>157</v>
      </c>
      <c r="O413" s="43">
        <v>8</v>
      </c>
      <c r="P413" s="43">
        <v>2</v>
      </c>
      <c r="Q413" s="25" t="str">
        <f>VLOOKUP(P413,Key!$E$2:$F$9,2,FALSE)</f>
        <v>Work</v>
      </c>
      <c r="R413" s="25" t="str">
        <f t="shared" si="8"/>
        <v>Work-Work</v>
      </c>
      <c r="S413" s="52">
        <v>6</v>
      </c>
      <c r="T413" s="52">
        <v>0.1</v>
      </c>
      <c r="U413" s="43">
        <v>1</v>
      </c>
      <c r="V413" s="43"/>
      <c r="W413" s="52"/>
      <c r="X413" s="52"/>
      <c r="Y413" s="53" t="s">
        <v>158</v>
      </c>
      <c r="Z413" s="54">
        <v>0</v>
      </c>
      <c r="AA413" s="25">
        <f>VLOOKUP(F413,'Zones '!$A$2:$F$2056,6,FALSE)</f>
        <v>589</v>
      </c>
      <c r="AB413" s="25">
        <f>VLOOKUP(L413,'Zones '!$A$2:$F$2056,6,FALSE)</f>
        <v>1397</v>
      </c>
    </row>
    <row r="414" spans="2:28">
      <c r="B414" s="40">
        <v>0.76666666666666661</v>
      </c>
      <c r="C414" s="40" t="s">
        <v>593</v>
      </c>
      <c r="D414" s="41">
        <v>7</v>
      </c>
      <c r="E414" s="42">
        <v>3</v>
      </c>
      <c r="F414" s="42" t="s">
        <v>204</v>
      </c>
      <c r="G414" s="43" t="s">
        <v>156</v>
      </c>
      <c r="H414" s="42" t="s">
        <v>157</v>
      </c>
      <c r="I414" s="43">
        <v>10</v>
      </c>
      <c r="J414" s="43">
        <v>2</v>
      </c>
      <c r="K414" s="25" t="str">
        <f>VLOOKUP(J414,Key!$E$2:$F$9,2,FALSE)</f>
        <v>Work</v>
      </c>
      <c r="L414" s="42" t="s">
        <v>150</v>
      </c>
      <c r="M414" s="43" t="s">
        <v>156</v>
      </c>
      <c r="N414" s="42" t="s">
        <v>157</v>
      </c>
      <c r="O414" s="43">
        <v>1</v>
      </c>
      <c r="P414" s="43">
        <v>1</v>
      </c>
      <c r="Q414" s="25" t="str">
        <f>VLOOKUP(P414,Key!$E$2:$F$9,2,FALSE)</f>
        <v>Home</v>
      </c>
      <c r="R414" s="25" t="str">
        <f t="shared" si="8"/>
        <v>Work-Home</v>
      </c>
      <c r="S414" s="52">
        <v>25</v>
      </c>
      <c r="T414" s="52">
        <v>1</v>
      </c>
      <c r="U414" s="43">
        <v>1</v>
      </c>
      <c r="V414" s="43"/>
      <c r="W414" s="52"/>
      <c r="X414" s="52"/>
      <c r="Y414" s="53" t="s">
        <v>158</v>
      </c>
      <c r="Z414" s="54">
        <v>0</v>
      </c>
      <c r="AA414" s="25">
        <f>VLOOKUP(F414,'Zones '!$A$2:$F$2056,6,FALSE)</f>
        <v>1390</v>
      </c>
      <c r="AB414" s="25">
        <f>VLOOKUP(L414,'Zones '!$A$2:$F$2056,6,FALSE)</f>
        <v>1397</v>
      </c>
    </row>
    <row r="415" spans="2:28">
      <c r="B415" s="40">
        <v>0.76527777777777783</v>
      </c>
      <c r="C415" s="40" t="s">
        <v>594</v>
      </c>
      <c r="D415" s="41">
        <v>1</v>
      </c>
      <c r="E415" s="42">
        <v>1</v>
      </c>
      <c r="F415" s="42" t="s">
        <v>215</v>
      </c>
      <c r="G415" s="43" t="s">
        <v>156</v>
      </c>
      <c r="H415" s="42" t="s">
        <v>157</v>
      </c>
      <c r="I415" s="43">
        <v>1</v>
      </c>
      <c r="J415" s="43">
        <v>1</v>
      </c>
      <c r="K415" s="25" t="str">
        <f>VLOOKUP(J415,Key!$E$2:$F$9,2,FALSE)</f>
        <v>Home</v>
      </c>
      <c r="L415" s="42" t="s">
        <v>197</v>
      </c>
      <c r="M415" s="43" t="s">
        <v>197</v>
      </c>
      <c r="N415" s="42" t="s">
        <v>157</v>
      </c>
      <c r="O415" s="43">
        <v>1</v>
      </c>
      <c r="P415" s="43">
        <v>1</v>
      </c>
      <c r="Q415" s="25" t="str">
        <f>VLOOKUP(P415,Key!$E$2:$F$9,2,FALSE)</f>
        <v>Home</v>
      </c>
      <c r="R415" s="25" t="str">
        <f t="shared" si="8"/>
        <v>Home-Home</v>
      </c>
      <c r="S415" s="52">
        <v>200</v>
      </c>
      <c r="T415" s="52">
        <v>4</v>
      </c>
      <c r="U415" s="43">
        <v>6</v>
      </c>
      <c r="V415" s="43"/>
      <c r="W415" s="52"/>
      <c r="X415" s="52"/>
      <c r="Y415" s="53" t="s">
        <v>158</v>
      </c>
      <c r="Z415" s="54">
        <v>10000</v>
      </c>
      <c r="AA415" s="25">
        <f>VLOOKUP(F415,'Zones '!$A$2:$F$2056,6,FALSE)</f>
        <v>1388</v>
      </c>
      <c r="AB415" s="25">
        <f>VLOOKUP(L415,'Zones '!$A$2:$F$2056,6,FALSE)</f>
        <v>937</v>
      </c>
    </row>
    <row r="416" spans="2:28">
      <c r="B416" s="40">
        <v>0.78125</v>
      </c>
      <c r="C416" s="40" t="s">
        <v>595</v>
      </c>
      <c r="D416" s="41">
        <v>2</v>
      </c>
      <c r="E416" s="42">
        <v>1</v>
      </c>
      <c r="F416" s="42" t="s">
        <v>215</v>
      </c>
      <c r="G416" s="43" t="s">
        <v>156</v>
      </c>
      <c r="H416" s="42" t="s">
        <v>157</v>
      </c>
      <c r="I416" s="43">
        <v>2</v>
      </c>
      <c r="J416" s="43">
        <v>2</v>
      </c>
      <c r="K416" s="25" t="str">
        <f>VLOOKUP(J416,Key!$E$2:$F$9,2,FALSE)</f>
        <v>Work</v>
      </c>
      <c r="L416" s="42" t="s">
        <v>162</v>
      </c>
      <c r="M416" s="43" t="s">
        <v>156</v>
      </c>
      <c r="N416" s="42" t="s">
        <v>157</v>
      </c>
      <c r="O416" s="43">
        <v>1</v>
      </c>
      <c r="P416" s="43">
        <v>1</v>
      </c>
      <c r="Q416" s="25" t="str">
        <f>VLOOKUP(P416,Key!$E$2:$F$9,2,FALSE)</f>
        <v>Home</v>
      </c>
      <c r="R416" s="25" t="str">
        <f t="shared" si="8"/>
        <v>Work-Home</v>
      </c>
      <c r="S416" s="52">
        <v>28</v>
      </c>
      <c r="T416" s="52">
        <v>1.5</v>
      </c>
      <c r="U416" s="43">
        <v>2</v>
      </c>
      <c r="V416" s="43"/>
      <c r="W416" s="52"/>
      <c r="X416" s="52"/>
      <c r="Y416" s="53" t="s">
        <v>158</v>
      </c>
      <c r="Z416" s="54">
        <v>10000</v>
      </c>
      <c r="AA416" s="25">
        <f>VLOOKUP(F416,'Zones '!$A$2:$F$2056,6,FALSE)</f>
        <v>1388</v>
      </c>
      <c r="AB416" s="25">
        <f>VLOOKUP(L416,'Zones '!$A$2:$F$2056,6,FALSE)</f>
        <v>1397</v>
      </c>
    </row>
    <row r="417" spans="2:28">
      <c r="B417" s="40">
        <v>0.78680555555555554</v>
      </c>
      <c r="C417" s="40" t="s">
        <v>596</v>
      </c>
      <c r="D417" s="41">
        <v>11</v>
      </c>
      <c r="E417" s="42">
        <v>2</v>
      </c>
      <c r="F417" s="42" t="s">
        <v>160</v>
      </c>
      <c r="G417" s="43" t="s">
        <v>156</v>
      </c>
      <c r="H417" s="42" t="s">
        <v>157</v>
      </c>
      <c r="I417" s="43">
        <v>8</v>
      </c>
      <c r="J417" s="43">
        <v>2</v>
      </c>
      <c r="K417" s="25" t="str">
        <f>VLOOKUP(J417,Key!$E$2:$F$9,2,FALSE)</f>
        <v>Work</v>
      </c>
      <c r="L417" s="42" t="s">
        <v>150</v>
      </c>
      <c r="M417" s="43" t="s">
        <v>156</v>
      </c>
      <c r="N417" s="42" t="s">
        <v>157</v>
      </c>
      <c r="O417" s="43">
        <v>8</v>
      </c>
      <c r="P417" s="43">
        <v>2</v>
      </c>
      <c r="Q417" s="25" t="str">
        <f>VLOOKUP(P417,Key!$E$2:$F$9,2,FALSE)</f>
        <v>Work</v>
      </c>
      <c r="R417" s="25" t="str">
        <f t="shared" si="8"/>
        <v>Work-Work</v>
      </c>
      <c r="S417" s="52">
        <v>7</v>
      </c>
      <c r="T417" s="52">
        <v>0.2</v>
      </c>
      <c r="U417" s="43">
        <v>1</v>
      </c>
      <c r="V417" s="43"/>
      <c r="W417" s="52"/>
      <c r="X417" s="52"/>
      <c r="Y417" s="53" t="s">
        <v>158</v>
      </c>
      <c r="Z417" s="54">
        <v>500</v>
      </c>
      <c r="AA417" s="25">
        <f>VLOOKUP(F417,'Zones '!$A$2:$F$2056,6,FALSE)</f>
        <v>589</v>
      </c>
      <c r="AB417" s="25">
        <f>VLOOKUP(L417,'Zones '!$A$2:$F$2056,6,FALSE)</f>
        <v>1397</v>
      </c>
    </row>
    <row r="418" spans="2:28">
      <c r="B418" s="40">
        <v>0.52083333333333337</v>
      </c>
      <c r="C418" s="40" t="s">
        <v>597</v>
      </c>
      <c r="D418" s="41">
        <v>8</v>
      </c>
      <c r="E418" s="42">
        <v>3</v>
      </c>
      <c r="F418" s="42" t="s">
        <v>155</v>
      </c>
      <c r="G418" s="43" t="s">
        <v>156</v>
      </c>
      <c r="H418" s="42" t="s">
        <v>157</v>
      </c>
      <c r="I418" s="43">
        <v>11</v>
      </c>
      <c r="J418" s="43">
        <v>2</v>
      </c>
      <c r="K418" s="25" t="str">
        <f>VLOOKUP(J418,Key!$E$2:$F$9,2,FALSE)</f>
        <v>Work</v>
      </c>
      <c r="L418" s="42" t="s">
        <v>2933</v>
      </c>
      <c r="M418" s="43" t="s">
        <v>156</v>
      </c>
      <c r="N418" s="42" t="s">
        <v>157</v>
      </c>
      <c r="O418" s="43">
        <v>11</v>
      </c>
      <c r="P418" s="43">
        <v>2</v>
      </c>
      <c r="Q418" s="25" t="str">
        <f>VLOOKUP(P418,Key!$E$2:$F$9,2,FALSE)</f>
        <v>Work</v>
      </c>
      <c r="R418" s="25" t="str">
        <f t="shared" si="8"/>
        <v>Work-Work</v>
      </c>
      <c r="S418" s="52">
        <v>6</v>
      </c>
      <c r="T418" s="52"/>
      <c r="U418" s="43">
        <v>1</v>
      </c>
      <c r="V418" s="43">
        <v>6</v>
      </c>
      <c r="W418" s="52">
        <v>1</v>
      </c>
      <c r="X418" s="52"/>
      <c r="Y418" s="53" t="s">
        <v>158</v>
      </c>
      <c r="Z418" s="54">
        <v>5000</v>
      </c>
      <c r="AA418" s="25">
        <f>VLOOKUP(F418,'Zones '!$A$2:$F$2056,6,FALSE)</f>
        <v>1397</v>
      </c>
      <c r="AB418" s="25">
        <f>VLOOKUP(L418,'Zones '!$A$2:$F$2056,6,FALSE)</f>
        <v>1409</v>
      </c>
    </row>
    <row r="419" spans="2:28">
      <c r="B419" s="40">
        <v>0.53333333333333333</v>
      </c>
      <c r="C419" s="40" t="s">
        <v>174</v>
      </c>
      <c r="D419" s="41">
        <v>1</v>
      </c>
      <c r="E419" s="42">
        <v>1</v>
      </c>
      <c r="F419" s="42" t="s">
        <v>179</v>
      </c>
      <c r="G419" s="43" t="s">
        <v>156</v>
      </c>
      <c r="H419" s="42" t="s">
        <v>157</v>
      </c>
      <c r="I419" s="43">
        <v>1</v>
      </c>
      <c r="J419" s="43">
        <v>1</v>
      </c>
      <c r="K419" s="25" t="str">
        <f>VLOOKUP(J419,Key!$E$2:$F$9,2,FALSE)</f>
        <v>Home</v>
      </c>
      <c r="L419" s="42" t="s">
        <v>162</v>
      </c>
      <c r="M419" s="43" t="s">
        <v>156</v>
      </c>
      <c r="N419" s="42" t="s">
        <v>157</v>
      </c>
      <c r="O419" s="43">
        <v>1</v>
      </c>
      <c r="P419" s="43">
        <v>1</v>
      </c>
      <c r="Q419" s="25" t="str">
        <f>VLOOKUP(P419,Key!$E$2:$F$9,2,FALSE)</f>
        <v>Home</v>
      </c>
      <c r="R419" s="25" t="str">
        <f t="shared" si="8"/>
        <v>Home-Home</v>
      </c>
      <c r="S419" s="52">
        <v>5</v>
      </c>
      <c r="T419" s="52">
        <v>1</v>
      </c>
      <c r="U419" s="43">
        <v>1</v>
      </c>
      <c r="V419" s="43"/>
      <c r="W419" s="52"/>
      <c r="X419" s="52"/>
      <c r="Y419" s="53" t="s">
        <v>158</v>
      </c>
      <c r="Z419" s="54">
        <v>0</v>
      </c>
      <c r="AA419" s="25">
        <f>VLOOKUP(F419,'Zones '!$A$2:$F$2056,6,FALSE)</f>
        <v>905</v>
      </c>
      <c r="AB419" s="25">
        <f>VLOOKUP(L419,'Zones '!$A$2:$F$2056,6,FALSE)</f>
        <v>1397</v>
      </c>
    </row>
    <row r="420" spans="2:28">
      <c r="B420" s="40">
        <v>0.5756944444444444</v>
      </c>
      <c r="C420" s="40" t="s">
        <v>600</v>
      </c>
      <c r="D420" s="41">
        <v>1</v>
      </c>
      <c r="E420" s="42">
        <v>2</v>
      </c>
      <c r="F420" s="42" t="s">
        <v>155</v>
      </c>
      <c r="G420" s="43" t="s">
        <v>156</v>
      </c>
      <c r="H420" s="42" t="s">
        <v>157</v>
      </c>
      <c r="I420" s="43">
        <v>2</v>
      </c>
      <c r="J420" s="43">
        <v>2</v>
      </c>
      <c r="K420" s="25" t="str">
        <f>VLOOKUP(J420,Key!$E$2:$F$9,2,FALSE)</f>
        <v>Work</v>
      </c>
      <c r="L420" s="42" t="s">
        <v>166</v>
      </c>
      <c r="M420" s="43" t="s">
        <v>156</v>
      </c>
      <c r="N420" s="42" t="s">
        <v>157</v>
      </c>
      <c r="O420" s="43">
        <v>1</v>
      </c>
      <c r="P420" s="43">
        <v>1</v>
      </c>
      <c r="Q420" s="25" t="str">
        <f>VLOOKUP(P420,Key!$E$2:$F$9,2,FALSE)</f>
        <v>Home</v>
      </c>
      <c r="R420" s="25" t="str">
        <f t="shared" si="8"/>
        <v>Work-Home</v>
      </c>
      <c r="S420" s="52">
        <v>5</v>
      </c>
      <c r="T420" s="52">
        <v>1</v>
      </c>
      <c r="U420" s="43"/>
      <c r="V420" s="43"/>
      <c r="W420" s="52"/>
      <c r="X420" s="52"/>
      <c r="Y420" s="53" t="s">
        <v>158</v>
      </c>
      <c r="Z420" s="54">
        <v>1000</v>
      </c>
      <c r="AA420" s="25">
        <f>VLOOKUP(F420,'Zones '!$A$2:$F$2056,6,FALSE)</f>
        <v>1397</v>
      </c>
      <c r="AB420" s="25">
        <f>VLOOKUP(L420,'Zones '!$A$2:$F$2056,6,FALSE)</f>
        <v>1397</v>
      </c>
    </row>
    <row r="421" spans="2:28">
      <c r="B421" s="40">
        <v>0.57361111111111118</v>
      </c>
      <c r="C421" s="40" t="s">
        <v>355</v>
      </c>
      <c r="D421" s="41">
        <v>1</v>
      </c>
      <c r="E421" s="42">
        <v>4</v>
      </c>
      <c r="F421" s="42" t="s">
        <v>245</v>
      </c>
      <c r="G421" s="43" t="s">
        <v>187</v>
      </c>
      <c r="H421" s="42" t="s">
        <v>157</v>
      </c>
      <c r="I421" s="43">
        <v>2</v>
      </c>
      <c r="J421" s="43">
        <v>2</v>
      </c>
      <c r="K421" s="25" t="str">
        <f>VLOOKUP(J421,Key!$E$2:$F$9,2,FALSE)</f>
        <v>Work</v>
      </c>
      <c r="L421" s="42" t="s">
        <v>150</v>
      </c>
      <c r="M421" s="43" t="s">
        <v>156</v>
      </c>
      <c r="N421" s="42" t="s">
        <v>157</v>
      </c>
      <c r="O421" s="43">
        <v>1</v>
      </c>
      <c r="P421" s="43">
        <v>1</v>
      </c>
      <c r="Q421" s="25" t="str">
        <f>VLOOKUP(P421,Key!$E$2:$F$9,2,FALSE)</f>
        <v>Home</v>
      </c>
      <c r="R421" s="25" t="str">
        <f t="shared" si="8"/>
        <v>Work-Home</v>
      </c>
      <c r="S421" s="52">
        <v>15</v>
      </c>
      <c r="T421" s="52">
        <v>1.5</v>
      </c>
      <c r="U421" s="43">
        <v>3</v>
      </c>
      <c r="V421" s="43"/>
      <c r="W421" s="52"/>
      <c r="X421" s="52"/>
      <c r="Y421" s="53" t="s">
        <v>158</v>
      </c>
      <c r="Z421" s="54">
        <v>1000</v>
      </c>
      <c r="AA421" s="25">
        <f>VLOOKUP(F421,'Zones '!$A$2:$F$2056,6,FALSE)</f>
        <v>573</v>
      </c>
      <c r="AB421" s="25">
        <f>VLOOKUP(L421,'Zones '!$A$2:$F$2056,6,FALSE)</f>
        <v>1397</v>
      </c>
    </row>
    <row r="422" spans="2:28">
      <c r="B422" s="40">
        <v>0.55694444444444446</v>
      </c>
      <c r="C422" s="40" t="s">
        <v>601</v>
      </c>
      <c r="D422" s="41">
        <v>1</v>
      </c>
      <c r="E422" s="42">
        <v>4</v>
      </c>
      <c r="F422" s="42" t="s">
        <v>179</v>
      </c>
      <c r="G422" s="43" t="s">
        <v>156</v>
      </c>
      <c r="H422" s="42" t="s">
        <v>157</v>
      </c>
      <c r="I422" s="43">
        <v>2</v>
      </c>
      <c r="J422" s="43">
        <v>2</v>
      </c>
      <c r="K422" s="25" t="str">
        <f>VLOOKUP(J422,Key!$E$2:$F$9,2,FALSE)</f>
        <v>Work</v>
      </c>
      <c r="L422" s="42" t="s">
        <v>164</v>
      </c>
      <c r="M422" s="43" t="s">
        <v>156</v>
      </c>
      <c r="N422" s="42" t="s">
        <v>157</v>
      </c>
      <c r="O422" s="43">
        <v>1</v>
      </c>
      <c r="P422" s="43">
        <v>1</v>
      </c>
      <c r="Q422" s="25" t="str">
        <f>VLOOKUP(P422,Key!$E$2:$F$9,2,FALSE)</f>
        <v>Home</v>
      </c>
      <c r="R422" s="25" t="str">
        <f t="shared" si="8"/>
        <v>Work-Home</v>
      </c>
      <c r="S422" s="52">
        <v>5</v>
      </c>
      <c r="T422" s="52">
        <v>1</v>
      </c>
      <c r="U422" s="43">
        <v>1</v>
      </c>
      <c r="V422" s="43"/>
      <c r="W422" s="52"/>
      <c r="X422" s="52"/>
      <c r="Y422" s="53" t="s">
        <v>158</v>
      </c>
      <c r="Z422" s="54">
        <v>500</v>
      </c>
      <c r="AA422" s="25">
        <f>VLOOKUP(F422,'Zones '!$A$2:$F$2056,6,FALSE)</f>
        <v>905</v>
      </c>
      <c r="AB422" s="25">
        <f>VLOOKUP(L422,'Zones '!$A$2:$F$2056,6,FALSE)</f>
        <v>1397</v>
      </c>
    </row>
    <row r="423" spans="2:28">
      <c r="B423" s="40">
        <v>0.56180555555555556</v>
      </c>
      <c r="C423" s="40" t="s">
        <v>602</v>
      </c>
      <c r="D423" s="41">
        <v>4</v>
      </c>
      <c r="E423" s="42">
        <v>14</v>
      </c>
      <c r="F423" s="42" t="s">
        <v>155</v>
      </c>
      <c r="G423" s="43" t="s">
        <v>156</v>
      </c>
      <c r="H423" s="42" t="s">
        <v>157</v>
      </c>
      <c r="I423" s="43">
        <v>6</v>
      </c>
      <c r="J423" s="43">
        <v>2</v>
      </c>
      <c r="K423" s="25" t="str">
        <f>VLOOKUP(J423,Key!$E$2:$F$9,2,FALSE)</f>
        <v>Work</v>
      </c>
      <c r="L423" s="42" t="s">
        <v>162</v>
      </c>
      <c r="M423" s="43" t="s">
        <v>156</v>
      </c>
      <c r="N423" s="42" t="s">
        <v>157</v>
      </c>
      <c r="O423" s="43">
        <v>6</v>
      </c>
      <c r="P423" s="43">
        <v>2</v>
      </c>
      <c r="Q423" s="25" t="str">
        <f>VLOOKUP(P423,Key!$E$2:$F$9,2,FALSE)</f>
        <v>Work</v>
      </c>
      <c r="R423" s="25" t="str">
        <f t="shared" si="8"/>
        <v>Work-Work</v>
      </c>
      <c r="S423" s="52">
        <v>5</v>
      </c>
      <c r="T423" s="52">
        <v>1.5</v>
      </c>
      <c r="U423" s="43">
        <v>1</v>
      </c>
      <c r="V423" s="43"/>
      <c r="W423" s="52"/>
      <c r="X423" s="52"/>
      <c r="Y423" s="53" t="s">
        <v>158</v>
      </c>
      <c r="Z423" s="54">
        <v>500</v>
      </c>
      <c r="AA423" s="25">
        <f>VLOOKUP(F423,'Zones '!$A$2:$F$2056,6,FALSE)</f>
        <v>1397</v>
      </c>
      <c r="AB423" s="25">
        <f>VLOOKUP(L423,'Zones '!$A$2:$F$2056,6,FALSE)</f>
        <v>1397</v>
      </c>
    </row>
    <row r="424" spans="2:28">
      <c r="B424" s="40">
        <v>0.56319444444444444</v>
      </c>
      <c r="C424" s="40" t="s">
        <v>603</v>
      </c>
      <c r="D424" s="41">
        <v>3</v>
      </c>
      <c r="E424" s="42">
        <v>4</v>
      </c>
      <c r="F424" s="42" t="s">
        <v>155</v>
      </c>
      <c r="G424" s="43" t="s">
        <v>156</v>
      </c>
      <c r="H424" s="42" t="s">
        <v>157</v>
      </c>
      <c r="I424" s="43">
        <v>3</v>
      </c>
      <c r="J424" s="43">
        <v>2</v>
      </c>
      <c r="K424" s="25" t="str">
        <f>VLOOKUP(J424,Key!$E$2:$F$9,2,FALSE)</f>
        <v>Work</v>
      </c>
      <c r="L424" s="42" t="s">
        <v>150</v>
      </c>
      <c r="M424" s="43" t="s">
        <v>156</v>
      </c>
      <c r="N424" s="42" t="s">
        <v>157</v>
      </c>
      <c r="O424" s="43">
        <v>1</v>
      </c>
      <c r="P424" s="43">
        <v>1</v>
      </c>
      <c r="Q424" s="25" t="str">
        <f>VLOOKUP(P424,Key!$E$2:$F$9,2,FALSE)</f>
        <v>Home</v>
      </c>
      <c r="R424" s="25" t="str">
        <f t="shared" si="8"/>
        <v>Work-Home</v>
      </c>
      <c r="S424" s="52">
        <v>0.5</v>
      </c>
      <c r="T424" s="52">
        <v>0.1</v>
      </c>
      <c r="U424" s="43">
        <v>1</v>
      </c>
      <c r="V424" s="43"/>
      <c r="W424" s="52"/>
      <c r="X424" s="52"/>
      <c r="Y424" s="53" t="s">
        <v>158</v>
      </c>
      <c r="Z424" s="54">
        <v>0</v>
      </c>
      <c r="AA424" s="25">
        <f>VLOOKUP(F424,'Zones '!$A$2:$F$2056,6,FALSE)</f>
        <v>1397</v>
      </c>
      <c r="AB424" s="25">
        <f>VLOOKUP(L424,'Zones '!$A$2:$F$2056,6,FALSE)</f>
        <v>1397</v>
      </c>
    </row>
    <row r="425" spans="2:28">
      <c r="B425" s="40">
        <v>0.56874999999999998</v>
      </c>
      <c r="C425" s="40" t="s">
        <v>604</v>
      </c>
      <c r="D425" s="41">
        <v>1</v>
      </c>
      <c r="E425" s="42">
        <v>3</v>
      </c>
      <c r="F425" s="42" t="s">
        <v>160</v>
      </c>
      <c r="G425" s="43" t="s">
        <v>156</v>
      </c>
      <c r="H425" s="42" t="s">
        <v>157</v>
      </c>
      <c r="I425" s="43">
        <v>2</v>
      </c>
      <c r="J425" s="43">
        <v>2</v>
      </c>
      <c r="K425" s="25" t="str">
        <f>VLOOKUP(J425,Key!$E$2:$F$9,2,FALSE)</f>
        <v>Work</v>
      </c>
      <c r="L425" s="42" t="s">
        <v>164</v>
      </c>
      <c r="M425" s="43" t="s">
        <v>156</v>
      </c>
      <c r="N425" s="42" t="s">
        <v>157</v>
      </c>
      <c r="O425" s="43">
        <v>1</v>
      </c>
      <c r="P425" s="43">
        <v>1</v>
      </c>
      <c r="Q425" s="25" t="str">
        <f>VLOOKUP(P425,Key!$E$2:$F$9,2,FALSE)</f>
        <v>Home</v>
      </c>
      <c r="R425" s="25" t="str">
        <f t="shared" si="8"/>
        <v>Work-Home</v>
      </c>
      <c r="S425" s="52">
        <v>5</v>
      </c>
      <c r="T425" s="52">
        <v>0.7</v>
      </c>
      <c r="U425" s="43">
        <v>2</v>
      </c>
      <c r="V425" s="43"/>
      <c r="W425" s="52"/>
      <c r="X425" s="52"/>
      <c r="Y425" s="53" t="s">
        <v>158</v>
      </c>
      <c r="Z425" s="54">
        <v>500</v>
      </c>
      <c r="AA425" s="25">
        <f>VLOOKUP(F425,'Zones '!$A$2:$F$2056,6,FALSE)</f>
        <v>589</v>
      </c>
      <c r="AB425" s="25">
        <f>VLOOKUP(L425,'Zones '!$A$2:$F$2056,6,FALSE)</f>
        <v>1397</v>
      </c>
    </row>
    <row r="426" spans="2:28">
      <c r="B426" s="40">
        <v>0.21875</v>
      </c>
      <c r="C426" s="40" t="s">
        <v>455</v>
      </c>
      <c r="D426" s="41">
        <v>1</v>
      </c>
      <c r="E426" s="42">
        <v>4</v>
      </c>
      <c r="F426" s="42" t="s">
        <v>179</v>
      </c>
      <c r="G426" s="43" t="s">
        <v>156</v>
      </c>
      <c r="H426" s="42" t="s">
        <v>157</v>
      </c>
      <c r="I426" s="43">
        <v>1</v>
      </c>
      <c r="J426" s="43">
        <v>1</v>
      </c>
      <c r="K426" s="25" t="str">
        <f>VLOOKUP(J426,Key!$E$2:$F$9,2,FALSE)</f>
        <v>Home</v>
      </c>
      <c r="L426" s="42" t="s">
        <v>150</v>
      </c>
      <c r="M426" s="43" t="s">
        <v>156</v>
      </c>
      <c r="N426" s="42" t="s">
        <v>157</v>
      </c>
      <c r="O426" s="43">
        <v>2</v>
      </c>
      <c r="P426" s="43">
        <v>2</v>
      </c>
      <c r="Q426" s="25" t="str">
        <f>VLOOKUP(P426,Key!$E$2:$F$9,2,FALSE)</f>
        <v>Work</v>
      </c>
      <c r="R426" s="25" t="str">
        <f t="shared" si="8"/>
        <v>Home-Work</v>
      </c>
      <c r="S426" s="52">
        <v>3</v>
      </c>
      <c r="T426" s="52">
        <v>0.5</v>
      </c>
      <c r="U426" s="43">
        <v>3</v>
      </c>
      <c r="V426" s="43"/>
      <c r="W426" s="52"/>
      <c r="X426" s="52"/>
      <c r="Y426" s="53" t="s">
        <v>158</v>
      </c>
      <c r="Z426" s="54">
        <v>500</v>
      </c>
      <c r="AA426" s="25">
        <f>VLOOKUP(F426,'Zones '!$A$2:$F$2056,6,FALSE)</f>
        <v>905</v>
      </c>
      <c r="AB426" s="25">
        <f>VLOOKUP(L426,'Zones '!$A$2:$F$2056,6,FALSE)</f>
        <v>1397</v>
      </c>
    </row>
    <row r="427" spans="2:28">
      <c r="B427" s="40">
        <v>0.22361111111111109</v>
      </c>
      <c r="C427" s="40" t="s">
        <v>605</v>
      </c>
      <c r="D427" s="41">
        <v>1</v>
      </c>
      <c r="E427" s="42">
        <v>4</v>
      </c>
      <c r="F427" s="42" t="s">
        <v>155</v>
      </c>
      <c r="G427" s="43" t="s">
        <v>156</v>
      </c>
      <c r="H427" s="42" t="s">
        <v>157</v>
      </c>
      <c r="I427" s="43">
        <v>1</v>
      </c>
      <c r="J427" s="43">
        <v>1</v>
      </c>
      <c r="K427" s="25" t="str">
        <f>VLOOKUP(J427,Key!$E$2:$F$9,2,FALSE)</f>
        <v>Home</v>
      </c>
      <c r="L427" s="42" t="s">
        <v>187</v>
      </c>
      <c r="M427" s="43" t="s">
        <v>187</v>
      </c>
      <c r="N427" s="42" t="s">
        <v>157</v>
      </c>
      <c r="O427" s="43">
        <v>2</v>
      </c>
      <c r="P427" s="43">
        <v>2</v>
      </c>
      <c r="Q427" s="25" t="str">
        <f>VLOOKUP(P427,Key!$E$2:$F$9,2,FALSE)</f>
        <v>Work</v>
      </c>
      <c r="R427" s="25" t="str">
        <f t="shared" si="8"/>
        <v>Home-Work</v>
      </c>
      <c r="S427" s="52">
        <v>15</v>
      </c>
      <c r="T427" s="52">
        <v>2</v>
      </c>
      <c r="U427" s="43">
        <v>2</v>
      </c>
      <c r="V427" s="43"/>
      <c r="W427" s="52"/>
      <c r="X427" s="52"/>
      <c r="Y427" s="53" t="s">
        <v>158</v>
      </c>
      <c r="Z427" s="54">
        <v>1000</v>
      </c>
      <c r="AA427" s="25">
        <f>VLOOKUP(F427,'Zones '!$A$2:$F$2056,6,FALSE)</f>
        <v>1397</v>
      </c>
      <c r="AB427" s="25">
        <f>VLOOKUP(L427,'Zones '!$A$2:$F$2056,6,FALSE)</f>
        <v>521</v>
      </c>
    </row>
    <row r="428" spans="2:28">
      <c r="B428" s="40">
        <v>0.20833333333333334</v>
      </c>
      <c r="C428" s="40" t="s">
        <v>606</v>
      </c>
      <c r="D428" s="41">
        <v>1</v>
      </c>
      <c r="E428" s="42">
        <v>2</v>
      </c>
      <c r="F428" s="42" t="s">
        <v>155</v>
      </c>
      <c r="G428" s="43" t="s">
        <v>156</v>
      </c>
      <c r="H428" s="42" t="s">
        <v>157</v>
      </c>
      <c r="I428" s="43">
        <v>2</v>
      </c>
      <c r="J428" s="43">
        <v>2</v>
      </c>
      <c r="K428" s="25" t="str">
        <f>VLOOKUP(J428,Key!$E$2:$F$9,2,FALSE)</f>
        <v>Work</v>
      </c>
      <c r="L428" s="42" t="s">
        <v>232</v>
      </c>
      <c r="M428" s="43" t="s">
        <v>187</v>
      </c>
      <c r="N428" s="42" t="s">
        <v>157</v>
      </c>
      <c r="O428" s="43">
        <v>2</v>
      </c>
      <c r="P428" s="43">
        <v>2</v>
      </c>
      <c r="Q428" s="25" t="str">
        <f>VLOOKUP(P428,Key!$E$2:$F$9,2,FALSE)</f>
        <v>Work</v>
      </c>
      <c r="R428" s="25" t="str">
        <f t="shared" si="8"/>
        <v>Work-Work</v>
      </c>
      <c r="S428" s="52">
        <v>18</v>
      </c>
      <c r="T428" s="52">
        <v>2</v>
      </c>
      <c r="U428" s="43">
        <v>2</v>
      </c>
      <c r="V428" s="43"/>
      <c r="W428" s="52"/>
      <c r="X428" s="52"/>
      <c r="Y428" s="53" t="s">
        <v>158</v>
      </c>
      <c r="Z428" s="54">
        <v>1000</v>
      </c>
      <c r="AA428" s="25">
        <f>VLOOKUP(F428,'Zones '!$A$2:$F$2056,6,FALSE)</f>
        <v>1397</v>
      </c>
      <c r="AB428" s="25">
        <f>VLOOKUP(L428,'Zones '!$A$2:$F$2056,6,FALSE)</f>
        <v>558</v>
      </c>
    </row>
    <row r="429" spans="2:28">
      <c r="B429" s="40">
        <v>0.21180555555555555</v>
      </c>
      <c r="C429" s="40" t="s">
        <v>607</v>
      </c>
      <c r="D429" s="41">
        <v>1</v>
      </c>
      <c r="E429" s="42">
        <v>3</v>
      </c>
      <c r="F429" s="42" t="s">
        <v>160</v>
      </c>
      <c r="G429" s="43" t="s">
        <v>156</v>
      </c>
      <c r="H429" s="42" t="s">
        <v>157</v>
      </c>
      <c r="I429" s="43">
        <v>1</v>
      </c>
      <c r="J429" s="43">
        <v>1</v>
      </c>
      <c r="K429" s="25" t="str">
        <f>VLOOKUP(J429,Key!$E$2:$F$9,2,FALSE)</f>
        <v>Home</v>
      </c>
      <c r="L429" s="42" t="s">
        <v>164</v>
      </c>
      <c r="M429" s="43" t="s">
        <v>156</v>
      </c>
      <c r="N429" s="42" t="s">
        <v>157</v>
      </c>
      <c r="O429" s="43">
        <v>2</v>
      </c>
      <c r="P429" s="43">
        <v>2</v>
      </c>
      <c r="Q429" s="25" t="str">
        <f>VLOOKUP(P429,Key!$E$2:$F$9,2,FALSE)</f>
        <v>Work</v>
      </c>
      <c r="R429" s="25" t="str">
        <f t="shared" si="8"/>
        <v>Home-Work</v>
      </c>
      <c r="S429" s="52">
        <v>5</v>
      </c>
      <c r="T429" s="52">
        <v>1</v>
      </c>
      <c r="U429" s="43">
        <v>2</v>
      </c>
      <c r="V429" s="43"/>
      <c r="W429" s="52"/>
      <c r="X429" s="52"/>
      <c r="Y429" s="53" t="s">
        <v>158</v>
      </c>
      <c r="Z429" s="54">
        <v>5000</v>
      </c>
      <c r="AA429" s="25">
        <f>VLOOKUP(F429,'Zones '!$A$2:$F$2056,6,FALSE)</f>
        <v>589</v>
      </c>
      <c r="AB429" s="25">
        <f>VLOOKUP(L429,'Zones '!$A$2:$F$2056,6,FALSE)</f>
        <v>1397</v>
      </c>
    </row>
    <row r="430" spans="2:28">
      <c r="B430" s="40">
        <v>0.55486111111111114</v>
      </c>
      <c r="C430" s="40" t="s">
        <v>608</v>
      </c>
      <c r="D430" s="41">
        <v>1</v>
      </c>
      <c r="E430" s="42">
        <v>2</v>
      </c>
      <c r="F430" s="42" t="s">
        <v>160</v>
      </c>
      <c r="G430" s="43" t="s">
        <v>156</v>
      </c>
      <c r="H430" s="42" t="s">
        <v>157</v>
      </c>
      <c r="I430" s="43">
        <v>2</v>
      </c>
      <c r="J430" s="43">
        <v>2</v>
      </c>
      <c r="K430" s="25" t="str">
        <f>VLOOKUP(J430,Key!$E$2:$F$9,2,FALSE)</f>
        <v>Work</v>
      </c>
      <c r="L430" s="42" t="s">
        <v>162</v>
      </c>
      <c r="M430" s="43" t="s">
        <v>156</v>
      </c>
      <c r="N430" s="42" t="s">
        <v>157</v>
      </c>
      <c r="O430" s="43">
        <v>1</v>
      </c>
      <c r="P430" s="43">
        <v>1</v>
      </c>
      <c r="Q430" s="25" t="str">
        <f>VLOOKUP(P430,Key!$E$2:$F$9,2,FALSE)</f>
        <v>Home</v>
      </c>
      <c r="R430" s="25" t="str">
        <f t="shared" si="8"/>
        <v>Work-Home</v>
      </c>
      <c r="S430" s="52">
        <v>5</v>
      </c>
      <c r="T430" s="52">
        <v>0.5</v>
      </c>
      <c r="U430" s="43">
        <v>6</v>
      </c>
      <c r="V430" s="43"/>
      <c r="W430" s="52"/>
      <c r="X430" s="52"/>
      <c r="Y430" s="53" t="s">
        <v>158</v>
      </c>
      <c r="Z430" s="54">
        <v>500</v>
      </c>
      <c r="AA430" s="25">
        <f>VLOOKUP(F430,'Zones '!$A$2:$F$2056,6,FALSE)</f>
        <v>589</v>
      </c>
      <c r="AB430" s="25">
        <f>VLOOKUP(L430,'Zones '!$A$2:$F$2056,6,FALSE)</f>
        <v>1397</v>
      </c>
    </row>
    <row r="431" spans="2:28">
      <c r="B431" s="40">
        <v>0.54513888888888895</v>
      </c>
      <c r="C431" s="40" t="s">
        <v>609</v>
      </c>
      <c r="D431" s="41">
        <v>3</v>
      </c>
      <c r="E431" s="42">
        <v>4</v>
      </c>
      <c r="F431" s="42" t="s">
        <v>179</v>
      </c>
      <c r="G431" s="43" t="s">
        <v>156</v>
      </c>
      <c r="H431" s="42" t="s">
        <v>157</v>
      </c>
      <c r="I431" s="43">
        <v>1</v>
      </c>
      <c r="J431" s="43">
        <v>1</v>
      </c>
      <c r="K431" s="25" t="str">
        <f>VLOOKUP(J431,Key!$E$2:$F$9,2,FALSE)</f>
        <v>Home</v>
      </c>
      <c r="L431" s="42" t="s">
        <v>162</v>
      </c>
      <c r="M431" s="43" t="s">
        <v>156</v>
      </c>
      <c r="N431" s="42" t="s">
        <v>157</v>
      </c>
      <c r="O431" s="43">
        <v>1</v>
      </c>
      <c r="P431" s="43">
        <v>1</v>
      </c>
      <c r="Q431" s="25" t="str">
        <f>VLOOKUP(P431,Key!$E$2:$F$9,2,FALSE)</f>
        <v>Home</v>
      </c>
      <c r="R431" s="25" t="str">
        <f t="shared" si="8"/>
        <v>Home-Home</v>
      </c>
      <c r="S431" s="52">
        <v>5</v>
      </c>
      <c r="T431" s="52">
        <v>0.1</v>
      </c>
      <c r="U431" s="43">
        <v>2</v>
      </c>
      <c r="V431" s="43"/>
      <c r="W431" s="52"/>
      <c r="X431" s="52"/>
      <c r="Y431" s="53" t="s">
        <v>158</v>
      </c>
      <c r="Z431" s="54">
        <v>500</v>
      </c>
      <c r="AA431" s="25">
        <f>VLOOKUP(F431,'Zones '!$A$2:$F$2056,6,FALSE)</f>
        <v>905</v>
      </c>
      <c r="AB431" s="25">
        <f>VLOOKUP(L431,'Zones '!$A$2:$F$2056,6,FALSE)</f>
        <v>1397</v>
      </c>
    </row>
    <row r="432" spans="2:28">
      <c r="B432" s="40">
        <v>0.54166666666666663</v>
      </c>
      <c r="C432" s="40" t="s">
        <v>610</v>
      </c>
      <c r="D432" s="41">
        <v>1</v>
      </c>
      <c r="E432" s="42">
        <v>3</v>
      </c>
      <c r="F432" s="42" t="s">
        <v>160</v>
      </c>
      <c r="G432" s="43" t="s">
        <v>156</v>
      </c>
      <c r="H432" s="42" t="s">
        <v>157</v>
      </c>
      <c r="I432" s="43">
        <v>2</v>
      </c>
      <c r="J432" s="43">
        <v>2</v>
      </c>
      <c r="K432" s="25" t="str">
        <f>VLOOKUP(J432,Key!$E$2:$F$9,2,FALSE)</f>
        <v>Work</v>
      </c>
      <c r="L432" s="42" t="s">
        <v>162</v>
      </c>
      <c r="M432" s="43" t="s">
        <v>156</v>
      </c>
      <c r="N432" s="42" t="s">
        <v>157</v>
      </c>
      <c r="O432" s="43">
        <v>1</v>
      </c>
      <c r="P432" s="43">
        <v>1</v>
      </c>
      <c r="Q432" s="25" t="str">
        <f>VLOOKUP(P432,Key!$E$2:$F$9,2,FALSE)</f>
        <v>Home</v>
      </c>
      <c r="R432" s="25" t="str">
        <f t="shared" si="8"/>
        <v>Work-Home</v>
      </c>
      <c r="S432" s="52">
        <v>3</v>
      </c>
      <c r="T432" s="52">
        <v>0.5</v>
      </c>
      <c r="U432" s="43">
        <v>2</v>
      </c>
      <c r="V432" s="43"/>
      <c r="W432" s="52"/>
      <c r="X432" s="52"/>
      <c r="Y432" s="53" t="s">
        <v>158</v>
      </c>
      <c r="Z432" s="54">
        <v>0</v>
      </c>
      <c r="AA432" s="25">
        <f>VLOOKUP(F432,'Zones '!$A$2:$F$2056,6,FALSE)</f>
        <v>589</v>
      </c>
      <c r="AB432" s="25">
        <f>VLOOKUP(L432,'Zones '!$A$2:$F$2056,6,FALSE)</f>
        <v>1397</v>
      </c>
    </row>
    <row r="433" spans="2:28">
      <c r="B433" s="40">
        <v>0.54097222222222219</v>
      </c>
      <c r="C433" s="40" t="s">
        <v>611</v>
      </c>
      <c r="D433" s="41">
        <v>1</v>
      </c>
      <c r="E433" s="42">
        <v>2</v>
      </c>
      <c r="F433" s="42" t="s">
        <v>155</v>
      </c>
      <c r="G433" s="43" t="s">
        <v>156</v>
      </c>
      <c r="H433" s="42" t="s">
        <v>157</v>
      </c>
      <c r="I433" s="43">
        <v>2</v>
      </c>
      <c r="J433" s="43">
        <v>2</v>
      </c>
      <c r="K433" s="25" t="str">
        <f>VLOOKUP(J433,Key!$E$2:$F$9,2,FALSE)</f>
        <v>Work</v>
      </c>
      <c r="L433" s="42" t="s">
        <v>164</v>
      </c>
      <c r="M433" s="43" t="s">
        <v>156</v>
      </c>
      <c r="N433" s="42" t="s">
        <v>157</v>
      </c>
      <c r="O433" s="43">
        <v>1</v>
      </c>
      <c r="P433" s="43">
        <v>1</v>
      </c>
      <c r="Q433" s="25" t="str">
        <f>VLOOKUP(P433,Key!$E$2:$F$9,2,FALSE)</f>
        <v>Home</v>
      </c>
      <c r="R433" s="25" t="str">
        <f t="shared" si="8"/>
        <v>Work-Home</v>
      </c>
      <c r="S433" s="52">
        <v>5</v>
      </c>
      <c r="T433" s="52">
        <v>1</v>
      </c>
      <c r="U433" s="43">
        <v>2</v>
      </c>
      <c r="V433" s="43"/>
      <c r="W433" s="52"/>
      <c r="X433" s="52"/>
      <c r="Y433" s="53" t="s">
        <v>158</v>
      </c>
      <c r="Z433" s="54">
        <v>1000</v>
      </c>
      <c r="AA433" s="25">
        <f>VLOOKUP(F433,'Zones '!$A$2:$F$2056,6,FALSE)</f>
        <v>1397</v>
      </c>
      <c r="AB433" s="25">
        <f>VLOOKUP(L433,'Zones '!$A$2:$F$2056,6,FALSE)</f>
        <v>1397</v>
      </c>
    </row>
    <row r="434" spans="2:28">
      <c r="B434" s="40">
        <v>0.53611111111111109</v>
      </c>
      <c r="C434" s="40" t="s">
        <v>612</v>
      </c>
      <c r="D434" s="41">
        <v>1</v>
      </c>
      <c r="E434" s="42">
        <v>3</v>
      </c>
      <c r="F434" s="42" t="s">
        <v>155</v>
      </c>
      <c r="G434" s="43" t="s">
        <v>156</v>
      </c>
      <c r="H434" s="42" t="s">
        <v>157</v>
      </c>
      <c r="I434" s="43">
        <v>1</v>
      </c>
      <c r="J434" s="43">
        <v>1</v>
      </c>
      <c r="K434" s="25" t="str">
        <f>VLOOKUP(J434,Key!$E$2:$F$9,2,FALSE)</f>
        <v>Home</v>
      </c>
      <c r="L434" s="42" t="s">
        <v>166</v>
      </c>
      <c r="M434" s="43" t="s">
        <v>156</v>
      </c>
      <c r="N434" s="42" t="s">
        <v>157</v>
      </c>
      <c r="O434" s="43">
        <v>3</v>
      </c>
      <c r="P434" s="43">
        <v>2</v>
      </c>
      <c r="Q434" s="25" t="str">
        <f>VLOOKUP(P434,Key!$E$2:$F$9,2,FALSE)</f>
        <v>Work</v>
      </c>
      <c r="R434" s="25" t="str">
        <f t="shared" si="8"/>
        <v>Home-Work</v>
      </c>
      <c r="S434" s="52">
        <v>9</v>
      </c>
      <c r="T434" s="52">
        <v>1</v>
      </c>
      <c r="U434" s="43">
        <v>2</v>
      </c>
      <c r="V434" s="43"/>
      <c r="W434" s="52"/>
      <c r="X434" s="52"/>
      <c r="Y434" s="53" t="s">
        <v>158</v>
      </c>
      <c r="Z434" s="54">
        <v>2000</v>
      </c>
      <c r="AA434" s="25">
        <f>VLOOKUP(F434,'Zones '!$A$2:$F$2056,6,FALSE)</f>
        <v>1397</v>
      </c>
      <c r="AB434" s="25">
        <f>VLOOKUP(L434,'Zones '!$A$2:$F$2056,6,FALSE)</f>
        <v>1397</v>
      </c>
    </row>
    <row r="435" spans="2:28">
      <c r="B435" s="40">
        <v>0.53125</v>
      </c>
      <c r="C435" s="40" t="s">
        <v>613</v>
      </c>
      <c r="D435" s="41">
        <v>2</v>
      </c>
      <c r="E435" s="42">
        <v>3</v>
      </c>
      <c r="F435" s="42" t="s">
        <v>614</v>
      </c>
      <c r="G435" s="43" t="s">
        <v>156</v>
      </c>
      <c r="H435" s="42" t="s">
        <v>157</v>
      </c>
      <c r="I435" s="43">
        <v>2</v>
      </c>
      <c r="J435" s="43">
        <v>2</v>
      </c>
      <c r="K435" s="25" t="str">
        <f>VLOOKUP(J435,Key!$E$2:$F$9,2,FALSE)</f>
        <v>Work</v>
      </c>
      <c r="L435" s="42" t="s">
        <v>150</v>
      </c>
      <c r="M435" s="43" t="s">
        <v>156</v>
      </c>
      <c r="N435" s="42" t="s">
        <v>157</v>
      </c>
      <c r="O435" s="43">
        <v>1</v>
      </c>
      <c r="P435" s="43">
        <v>1</v>
      </c>
      <c r="Q435" s="25" t="str">
        <f>VLOOKUP(P435,Key!$E$2:$F$9,2,FALSE)</f>
        <v>Home</v>
      </c>
      <c r="R435" s="25" t="str">
        <f t="shared" si="8"/>
        <v>Work-Home</v>
      </c>
      <c r="S435" s="52">
        <v>50</v>
      </c>
      <c r="T435" s="52">
        <v>2</v>
      </c>
      <c r="U435" s="43">
        <v>2</v>
      </c>
      <c r="V435" s="43"/>
      <c r="W435" s="52"/>
      <c r="X435" s="52"/>
      <c r="Y435" s="53" t="s">
        <v>158</v>
      </c>
      <c r="Z435" s="54">
        <v>500</v>
      </c>
      <c r="AA435" s="25">
        <f>VLOOKUP(F435,'Zones '!$A$2:$F$2056,6,FALSE)</f>
        <v>565</v>
      </c>
      <c r="AB435" s="25">
        <f>VLOOKUP(L435,'Zones '!$A$2:$F$2056,6,FALSE)</f>
        <v>1397</v>
      </c>
    </row>
    <row r="436" spans="2:28">
      <c r="B436" s="40">
        <v>0.52777777777777779</v>
      </c>
      <c r="C436" s="40" t="s">
        <v>615</v>
      </c>
      <c r="D436" s="41">
        <v>1</v>
      </c>
      <c r="E436" s="42">
        <v>2</v>
      </c>
      <c r="F436" s="42" t="s">
        <v>155</v>
      </c>
      <c r="G436" s="43" t="s">
        <v>156</v>
      </c>
      <c r="H436" s="42" t="s">
        <v>157</v>
      </c>
      <c r="I436" s="43">
        <v>1</v>
      </c>
      <c r="J436" s="43">
        <v>1</v>
      </c>
      <c r="K436" s="25" t="str">
        <f>VLOOKUP(J436,Key!$E$2:$F$9,2,FALSE)</f>
        <v>Home</v>
      </c>
      <c r="L436" s="42" t="s">
        <v>150</v>
      </c>
      <c r="M436" s="43" t="s">
        <v>156</v>
      </c>
      <c r="N436" s="42" t="s">
        <v>157</v>
      </c>
      <c r="O436" s="43">
        <v>2</v>
      </c>
      <c r="P436" s="43">
        <v>2</v>
      </c>
      <c r="Q436" s="25" t="str">
        <f>VLOOKUP(P436,Key!$E$2:$F$9,2,FALSE)</f>
        <v>Work</v>
      </c>
      <c r="R436" s="25" t="str">
        <f t="shared" si="8"/>
        <v>Home-Work</v>
      </c>
      <c r="S436" s="52">
        <v>0.5</v>
      </c>
      <c r="T436" s="52">
        <v>0.2</v>
      </c>
      <c r="U436" s="43">
        <v>2</v>
      </c>
      <c r="V436" s="43"/>
      <c r="W436" s="52"/>
      <c r="X436" s="52"/>
      <c r="Y436" s="53" t="s">
        <v>158</v>
      </c>
      <c r="Z436" s="54">
        <v>1000</v>
      </c>
      <c r="AA436" s="25">
        <f>VLOOKUP(F436,'Zones '!$A$2:$F$2056,6,FALSE)</f>
        <v>1397</v>
      </c>
      <c r="AB436" s="25">
        <f>VLOOKUP(L436,'Zones '!$A$2:$F$2056,6,FALSE)</f>
        <v>1397</v>
      </c>
    </row>
    <row r="437" spans="2:28">
      <c r="B437" s="40">
        <v>0.51597222222222217</v>
      </c>
      <c r="C437" s="40" t="s">
        <v>616</v>
      </c>
      <c r="D437" s="41">
        <v>1</v>
      </c>
      <c r="E437" s="42">
        <v>2</v>
      </c>
      <c r="F437" s="42" t="s">
        <v>155</v>
      </c>
      <c r="G437" s="43" t="s">
        <v>156</v>
      </c>
      <c r="H437" s="42" t="s">
        <v>157</v>
      </c>
      <c r="I437" s="43">
        <v>2</v>
      </c>
      <c r="J437" s="43">
        <v>2</v>
      </c>
      <c r="K437" s="25" t="str">
        <f>VLOOKUP(J437,Key!$E$2:$F$9,2,FALSE)</f>
        <v>Work</v>
      </c>
      <c r="L437" s="42" t="s">
        <v>150</v>
      </c>
      <c r="M437" s="43" t="s">
        <v>156</v>
      </c>
      <c r="N437" s="42" t="s">
        <v>157</v>
      </c>
      <c r="O437" s="43">
        <v>1</v>
      </c>
      <c r="P437" s="43">
        <v>1</v>
      </c>
      <c r="Q437" s="25" t="str">
        <f>VLOOKUP(P437,Key!$E$2:$F$9,2,FALSE)</f>
        <v>Home</v>
      </c>
      <c r="R437" s="25" t="str">
        <f t="shared" si="8"/>
        <v>Work-Home</v>
      </c>
      <c r="S437" s="52">
        <v>0.5</v>
      </c>
      <c r="T437" s="52">
        <v>0.2</v>
      </c>
      <c r="U437" s="43">
        <v>6</v>
      </c>
      <c r="V437" s="43"/>
      <c r="W437" s="52"/>
      <c r="X437" s="52"/>
      <c r="Y437" s="53" t="s">
        <v>158</v>
      </c>
      <c r="Z437" s="54">
        <v>1000</v>
      </c>
      <c r="AA437" s="25">
        <f>VLOOKUP(F437,'Zones '!$A$2:$F$2056,6,FALSE)</f>
        <v>1397</v>
      </c>
      <c r="AB437" s="25">
        <f>VLOOKUP(L437,'Zones '!$A$2:$F$2056,6,FALSE)</f>
        <v>1397</v>
      </c>
    </row>
    <row r="438" spans="2:28">
      <c r="B438" s="40">
        <v>0.51041666666666663</v>
      </c>
      <c r="C438" s="40" t="s">
        <v>617</v>
      </c>
      <c r="D438" s="41">
        <v>1</v>
      </c>
      <c r="E438" s="42">
        <v>1</v>
      </c>
      <c r="F438" s="42" t="s">
        <v>160</v>
      </c>
      <c r="G438" s="43" t="s">
        <v>156</v>
      </c>
      <c r="H438" s="42" t="s">
        <v>157</v>
      </c>
      <c r="I438" s="43">
        <v>1</v>
      </c>
      <c r="J438" s="43">
        <v>1</v>
      </c>
      <c r="K438" s="25" t="str">
        <f>VLOOKUP(J438,Key!$E$2:$F$9,2,FALSE)</f>
        <v>Home</v>
      </c>
      <c r="L438" s="42" t="s">
        <v>150</v>
      </c>
      <c r="M438" s="43" t="s">
        <v>156</v>
      </c>
      <c r="N438" s="42" t="s">
        <v>157</v>
      </c>
      <c r="O438" s="43">
        <v>2</v>
      </c>
      <c r="P438" s="43">
        <v>2</v>
      </c>
      <c r="Q438" s="25" t="str">
        <f>VLOOKUP(P438,Key!$E$2:$F$9,2,FALSE)</f>
        <v>Work</v>
      </c>
      <c r="R438" s="25" t="str">
        <f t="shared" si="8"/>
        <v>Home-Work</v>
      </c>
      <c r="S438" s="52">
        <v>1</v>
      </c>
      <c r="T438" s="52">
        <v>0.4</v>
      </c>
      <c r="U438" s="43">
        <v>2</v>
      </c>
      <c r="V438" s="43"/>
      <c r="W438" s="52"/>
      <c r="X438" s="52"/>
      <c r="Y438" s="53" t="s">
        <v>158</v>
      </c>
      <c r="Z438" s="54">
        <v>1000</v>
      </c>
      <c r="AA438" s="25">
        <f>VLOOKUP(F438,'Zones '!$A$2:$F$2056,6,FALSE)</f>
        <v>589</v>
      </c>
      <c r="AB438" s="25">
        <f>VLOOKUP(L438,'Zones '!$A$2:$F$2056,6,FALSE)</f>
        <v>1397</v>
      </c>
    </row>
    <row r="439" spans="2:28">
      <c r="B439" s="40">
        <v>0.50694444444444442</v>
      </c>
      <c r="C439" s="40" t="s">
        <v>618</v>
      </c>
      <c r="D439" s="41">
        <v>3</v>
      </c>
      <c r="E439" s="42">
        <v>4</v>
      </c>
      <c r="F439" s="42" t="s">
        <v>155</v>
      </c>
      <c r="G439" s="43" t="s">
        <v>156</v>
      </c>
      <c r="H439" s="42" t="s">
        <v>157</v>
      </c>
      <c r="I439" s="43">
        <v>1</v>
      </c>
      <c r="J439" s="43">
        <v>1</v>
      </c>
      <c r="K439" s="25" t="str">
        <f>VLOOKUP(J439,Key!$E$2:$F$9,2,FALSE)</f>
        <v>Home</v>
      </c>
      <c r="L439" s="42" t="s">
        <v>187</v>
      </c>
      <c r="M439" s="43" t="s">
        <v>187</v>
      </c>
      <c r="N439" s="42" t="s">
        <v>157</v>
      </c>
      <c r="O439" s="43">
        <v>3</v>
      </c>
      <c r="P439" s="43">
        <v>2</v>
      </c>
      <c r="Q439" s="25" t="str">
        <f>VLOOKUP(P439,Key!$E$2:$F$9,2,FALSE)</f>
        <v>Work</v>
      </c>
      <c r="R439" s="25" t="str">
        <f t="shared" si="8"/>
        <v>Home-Work</v>
      </c>
      <c r="S439" s="52">
        <v>18</v>
      </c>
      <c r="T439" s="52">
        <v>1</v>
      </c>
      <c r="U439" s="43">
        <v>2</v>
      </c>
      <c r="V439" s="43"/>
      <c r="W439" s="52"/>
      <c r="X439" s="52"/>
      <c r="Y439" s="53" t="s">
        <v>158</v>
      </c>
      <c r="Z439" s="54">
        <v>1000</v>
      </c>
      <c r="AA439" s="25">
        <f>VLOOKUP(F439,'Zones '!$A$2:$F$2056,6,FALSE)</f>
        <v>1397</v>
      </c>
      <c r="AB439" s="25">
        <f>VLOOKUP(L439,'Zones '!$A$2:$F$2056,6,FALSE)</f>
        <v>521</v>
      </c>
    </row>
    <row r="440" spans="2:28">
      <c r="B440" s="40">
        <v>0.50208333333333333</v>
      </c>
      <c r="C440" s="40" t="s">
        <v>619</v>
      </c>
      <c r="D440" s="41">
        <v>1</v>
      </c>
      <c r="E440" s="42">
        <v>1</v>
      </c>
      <c r="F440" s="42" t="s">
        <v>155</v>
      </c>
      <c r="G440" s="43" t="s">
        <v>156</v>
      </c>
      <c r="H440" s="42" t="s">
        <v>157</v>
      </c>
      <c r="I440" s="43">
        <v>1</v>
      </c>
      <c r="J440" s="43">
        <v>1</v>
      </c>
      <c r="K440" s="25" t="str">
        <f>VLOOKUP(J440,Key!$E$2:$F$9,2,FALSE)</f>
        <v>Home</v>
      </c>
      <c r="L440" s="42" t="s">
        <v>150</v>
      </c>
      <c r="M440" s="43" t="s">
        <v>156</v>
      </c>
      <c r="N440" s="42" t="s">
        <v>157</v>
      </c>
      <c r="O440" s="43">
        <v>2</v>
      </c>
      <c r="P440" s="43">
        <v>2</v>
      </c>
      <c r="Q440" s="25" t="str">
        <f>VLOOKUP(P440,Key!$E$2:$F$9,2,FALSE)</f>
        <v>Work</v>
      </c>
      <c r="R440" s="25" t="str">
        <f t="shared" si="8"/>
        <v>Home-Work</v>
      </c>
      <c r="S440" s="52">
        <v>1</v>
      </c>
      <c r="T440" s="52">
        <v>0.1</v>
      </c>
      <c r="U440" s="43">
        <v>2</v>
      </c>
      <c r="V440" s="43"/>
      <c r="W440" s="52"/>
      <c r="X440" s="52"/>
      <c r="Y440" s="53" t="s">
        <v>158</v>
      </c>
      <c r="Z440" s="54">
        <v>500</v>
      </c>
      <c r="AA440" s="25">
        <f>VLOOKUP(F440,'Zones '!$A$2:$F$2056,6,FALSE)</f>
        <v>1397</v>
      </c>
      <c r="AB440" s="25">
        <f>VLOOKUP(L440,'Zones '!$A$2:$F$2056,6,FALSE)</f>
        <v>1397</v>
      </c>
    </row>
    <row r="441" spans="2:28">
      <c r="B441" s="40">
        <v>0.5</v>
      </c>
      <c r="C441" s="40" t="s">
        <v>620</v>
      </c>
      <c r="D441" s="41">
        <v>1</v>
      </c>
      <c r="E441" s="42">
        <v>1</v>
      </c>
      <c r="F441" s="42" t="s">
        <v>207</v>
      </c>
      <c r="G441" s="43" t="s">
        <v>156</v>
      </c>
      <c r="H441" s="42" t="s">
        <v>157</v>
      </c>
      <c r="I441" s="43">
        <v>1</v>
      </c>
      <c r="J441" s="43">
        <v>1</v>
      </c>
      <c r="K441" s="25" t="str">
        <f>VLOOKUP(J441,Key!$E$2:$F$9,2,FALSE)</f>
        <v>Home</v>
      </c>
      <c r="L441" s="42" t="s">
        <v>150</v>
      </c>
      <c r="M441" s="43" t="s">
        <v>156</v>
      </c>
      <c r="N441" s="42" t="s">
        <v>157</v>
      </c>
      <c r="O441" s="43">
        <v>2</v>
      </c>
      <c r="P441" s="43">
        <v>2</v>
      </c>
      <c r="Q441" s="25" t="str">
        <f>VLOOKUP(P441,Key!$E$2:$F$9,2,FALSE)</f>
        <v>Work</v>
      </c>
      <c r="R441" s="25" t="str">
        <f t="shared" si="8"/>
        <v>Home-Work</v>
      </c>
      <c r="S441" s="52">
        <v>4</v>
      </c>
      <c r="T441" s="52">
        <v>0.1</v>
      </c>
      <c r="U441" s="43">
        <v>3</v>
      </c>
      <c r="V441" s="43"/>
      <c r="W441" s="52"/>
      <c r="X441" s="52"/>
      <c r="Y441" s="53" t="s">
        <v>158</v>
      </c>
      <c r="Z441" s="54">
        <v>1000</v>
      </c>
      <c r="AA441" s="25">
        <f>VLOOKUP(F441,'Zones '!$A$2:$F$2056,6,FALSE)</f>
        <v>1397</v>
      </c>
      <c r="AB441" s="25">
        <f>VLOOKUP(L441,'Zones '!$A$2:$F$2056,6,FALSE)</f>
        <v>1397</v>
      </c>
    </row>
    <row r="442" spans="2:28">
      <c r="B442" s="40">
        <v>0.4993055555555555</v>
      </c>
      <c r="C442" s="40" t="s">
        <v>621</v>
      </c>
      <c r="D442" s="41">
        <v>1</v>
      </c>
      <c r="E442" s="42">
        <v>1</v>
      </c>
      <c r="F442" s="42" t="s">
        <v>155</v>
      </c>
      <c r="G442" s="43" t="s">
        <v>156</v>
      </c>
      <c r="H442" s="42" t="s">
        <v>157</v>
      </c>
      <c r="I442" s="43">
        <v>1</v>
      </c>
      <c r="J442" s="43">
        <v>1</v>
      </c>
      <c r="K442" s="25" t="str">
        <f>VLOOKUP(J442,Key!$E$2:$F$9,2,FALSE)</f>
        <v>Home</v>
      </c>
      <c r="L442" s="42" t="s">
        <v>166</v>
      </c>
      <c r="M442" s="43" t="s">
        <v>156</v>
      </c>
      <c r="N442" s="42" t="s">
        <v>157</v>
      </c>
      <c r="O442" s="43">
        <v>9</v>
      </c>
      <c r="P442" s="43">
        <v>2</v>
      </c>
      <c r="Q442" s="25" t="str">
        <f>VLOOKUP(P442,Key!$E$2:$F$9,2,FALSE)</f>
        <v>Work</v>
      </c>
      <c r="R442" s="25" t="str">
        <f t="shared" si="8"/>
        <v>Home-Work</v>
      </c>
      <c r="S442" s="52">
        <v>5</v>
      </c>
      <c r="T442" s="52">
        <v>0.5</v>
      </c>
      <c r="U442" s="43">
        <v>2</v>
      </c>
      <c r="V442" s="43"/>
      <c r="W442" s="52"/>
      <c r="X442" s="52"/>
      <c r="Y442" s="53" t="s">
        <v>158</v>
      </c>
      <c r="Z442" s="54">
        <v>500</v>
      </c>
      <c r="AA442" s="25">
        <f>VLOOKUP(F442,'Zones '!$A$2:$F$2056,6,FALSE)</f>
        <v>1397</v>
      </c>
      <c r="AB442" s="25">
        <f>VLOOKUP(L442,'Zones '!$A$2:$F$2056,6,FALSE)</f>
        <v>1397</v>
      </c>
    </row>
    <row r="443" spans="2:28">
      <c r="B443" s="40">
        <v>0.49652777777777773</v>
      </c>
      <c r="C443" s="40" t="s">
        <v>622</v>
      </c>
      <c r="D443" s="41">
        <v>1</v>
      </c>
      <c r="E443" s="42">
        <v>1</v>
      </c>
      <c r="F443" s="42" t="s">
        <v>207</v>
      </c>
      <c r="G443" s="43" t="s">
        <v>156</v>
      </c>
      <c r="H443" s="42" t="s">
        <v>157</v>
      </c>
      <c r="I443" s="43">
        <v>1</v>
      </c>
      <c r="J443" s="43">
        <v>1</v>
      </c>
      <c r="K443" s="25" t="str">
        <f>VLOOKUP(J443,Key!$E$2:$F$9,2,FALSE)</f>
        <v>Home</v>
      </c>
      <c r="L443" s="42" t="s">
        <v>162</v>
      </c>
      <c r="M443" s="43" t="s">
        <v>156</v>
      </c>
      <c r="N443" s="42" t="s">
        <v>157</v>
      </c>
      <c r="O443" s="43">
        <v>4</v>
      </c>
      <c r="P443" s="43">
        <v>3</v>
      </c>
      <c r="Q443" s="25" t="str">
        <f>VLOOKUP(P443,Key!$E$2:$F$9,2,FALSE)</f>
        <v>Study</v>
      </c>
      <c r="R443" s="25" t="str">
        <f t="shared" si="8"/>
        <v>Home-Study</v>
      </c>
      <c r="S443" s="52">
        <v>5</v>
      </c>
      <c r="T443" s="52">
        <v>0.5</v>
      </c>
      <c r="U443" s="43">
        <v>2</v>
      </c>
      <c r="V443" s="43"/>
      <c r="W443" s="52"/>
      <c r="X443" s="52"/>
      <c r="Y443" s="53" t="s">
        <v>158</v>
      </c>
      <c r="Z443" s="54">
        <v>5000</v>
      </c>
      <c r="AA443" s="25">
        <f>VLOOKUP(F443,'Zones '!$A$2:$F$2056,6,FALSE)</f>
        <v>1397</v>
      </c>
      <c r="AB443" s="25">
        <f>VLOOKUP(L443,'Zones '!$A$2:$F$2056,6,FALSE)</f>
        <v>1397</v>
      </c>
    </row>
    <row r="444" spans="2:28">
      <c r="B444" s="40">
        <v>0.49305555555555558</v>
      </c>
      <c r="C444" s="40" t="s">
        <v>623</v>
      </c>
      <c r="D444" s="41">
        <v>3</v>
      </c>
      <c r="E444" s="42">
        <v>1</v>
      </c>
      <c r="F444" s="42" t="s">
        <v>160</v>
      </c>
      <c r="G444" s="43" t="s">
        <v>156</v>
      </c>
      <c r="H444" s="42" t="s">
        <v>157</v>
      </c>
      <c r="I444" s="43">
        <v>1</v>
      </c>
      <c r="J444" s="43">
        <v>1</v>
      </c>
      <c r="K444" s="25" t="str">
        <f>VLOOKUP(J444,Key!$E$2:$F$9,2,FALSE)</f>
        <v>Home</v>
      </c>
      <c r="L444" s="42" t="s">
        <v>162</v>
      </c>
      <c r="M444" s="43" t="s">
        <v>156</v>
      </c>
      <c r="N444" s="42" t="s">
        <v>157</v>
      </c>
      <c r="O444" s="43">
        <v>3</v>
      </c>
      <c r="P444" s="43">
        <v>2</v>
      </c>
      <c r="Q444" s="25" t="str">
        <f>VLOOKUP(P444,Key!$E$2:$F$9,2,FALSE)</f>
        <v>Work</v>
      </c>
      <c r="R444" s="25" t="str">
        <f t="shared" si="8"/>
        <v>Home-Work</v>
      </c>
      <c r="S444" s="52">
        <v>5</v>
      </c>
      <c r="T444" s="52">
        <v>0.3</v>
      </c>
      <c r="U444" s="43">
        <v>6</v>
      </c>
      <c r="V444" s="43"/>
      <c r="W444" s="52"/>
      <c r="X444" s="52"/>
      <c r="Y444" s="53" t="s">
        <v>158</v>
      </c>
      <c r="Z444" s="54">
        <v>0</v>
      </c>
      <c r="AA444" s="25">
        <f>VLOOKUP(F444,'Zones '!$A$2:$F$2056,6,FALSE)</f>
        <v>589</v>
      </c>
      <c r="AB444" s="25">
        <f>VLOOKUP(L444,'Zones '!$A$2:$F$2056,6,FALSE)</f>
        <v>1397</v>
      </c>
    </row>
    <row r="445" spans="2:28">
      <c r="B445" s="40">
        <v>0.48958333333333331</v>
      </c>
      <c r="C445" s="40" t="s">
        <v>624</v>
      </c>
      <c r="D445" s="41">
        <v>1</v>
      </c>
      <c r="E445" s="42">
        <v>2</v>
      </c>
      <c r="F445" s="42" t="s">
        <v>247</v>
      </c>
      <c r="G445" s="43" t="s">
        <v>187</v>
      </c>
      <c r="H445" s="42" t="s">
        <v>157</v>
      </c>
      <c r="I445" s="43">
        <v>1</v>
      </c>
      <c r="J445" s="43">
        <v>1</v>
      </c>
      <c r="K445" s="25" t="str">
        <f>VLOOKUP(J445,Key!$E$2:$F$9,2,FALSE)</f>
        <v>Home</v>
      </c>
      <c r="L445" s="42" t="s">
        <v>197</v>
      </c>
      <c r="M445" s="43" t="s">
        <v>197</v>
      </c>
      <c r="N445" s="42" t="s">
        <v>157</v>
      </c>
      <c r="O445" s="43">
        <v>2</v>
      </c>
      <c r="P445" s="43">
        <v>2</v>
      </c>
      <c r="Q445" s="25" t="str">
        <f>VLOOKUP(P445,Key!$E$2:$F$9,2,FALSE)</f>
        <v>Work</v>
      </c>
      <c r="R445" s="25" t="str">
        <f t="shared" si="8"/>
        <v>Home-Work</v>
      </c>
      <c r="S445" s="52">
        <v>100</v>
      </c>
      <c r="T445" s="52">
        <v>3</v>
      </c>
      <c r="U445" s="43">
        <v>2</v>
      </c>
      <c r="V445" s="43"/>
      <c r="W445" s="52"/>
      <c r="X445" s="52"/>
      <c r="Y445" s="53" t="s">
        <v>158</v>
      </c>
      <c r="Z445" s="54">
        <v>1000</v>
      </c>
      <c r="AA445" s="25">
        <f>VLOOKUP(F445,'Zones '!$A$2:$F$2056,6,FALSE)</f>
        <v>572</v>
      </c>
      <c r="AB445" s="25">
        <f>VLOOKUP(L445,'Zones '!$A$2:$F$2056,6,FALSE)</f>
        <v>937</v>
      </c>
    </row>
    <row r="446" spans="2:28">
      <c r="B446" s="40">
        <v>0.4826388888888889</v>
      </c>
      <c r="C446" s="40" t="s">
        <v>625</v>
      </c>
      <c r="D446" s="41">
        <v>1</v>
      </c>
      <c r="E446" s="42">
        <v>1</v>
      </c>
      <c r="F446" s="42" t="s">
        <v>155</v>
      </c>
      <c r="G446" s="43" t="s">
        <v>156</v>
      </c>
      <c r="H446" s="42" t="s">
        <v>157</v>
      </c>
      <c r="I446" s="43">
        <v>2</v>
      </c>
      <c r="J446" s="43">
        <v>2</v>
      </c>
      <c r="K446" s="25" t="str">
        <f>VLOOKUP(J446,Key!$E$2:$F$9,2,FALSE)</f>
        <v>Work</v>
      </c>
      <c r="L446" s="42" t="s">
        <v>626</v>
      </c>
      <c r="M446" s="43" t="s">
        <v>224</v>
      </c>
      <c r="N446" s="42" t="s">
        <v>157</v>
      </c>
      <c r="O446" s="43">
        <v>1</v>
      </c>
      <c r="P446" s="43">
        <v>1</v>
      </c>
      <c r="Q446" s="25" t="str">
        <f>VLOOKUP(P446,Key!$E$2:$F$9,2,FALSE)</f>
        <v>Home</v>
      </c>
      <c r="R446" s="25" t="str">
        <f t="shared" si="8"/>
        <v>Work-Home</v>
      </c>
      <c r="S446" s="52">
        <v>30</v>
      </c>
      <c r="T446" s="52">
        <v>2</v>
      </c>
      <c r="U446" s="43">
        <v>3</v>
      </c>
      <c r="V446" s="43"/>
      <c r="W446" s="52"/>
      <c r="X446" s="52"/>
      <c r="Y446" s="53" t="s">
        <v>158</v>
      </c>
      <c r="Z446" s="54">
        <v>500</v>
      </c>
      <c r="AA446" s="25">
        <f>VLOOKUP(F446,'Zones '!$A$2:$F$2056,6,FALSE)</f>
        <v>1397</v>
      </c>
      <c r="AB446" s="25">
        <f>VLOOKUP(L446,'Zones '!$A$2:$F$2056,6,FALSE)</f>
        <v>1033</v>
      </c>
    </row>
    <row r="447" spans="2:28">
      <c r="B447" s="40">
        <v>0.47361111111111115</v>
      </c>
      <c r="C447" s="40" t="s">
        <v>627</v>
      </c>
      <c r="D447" s="41">
        <v>4</v>
      </c>
      <c r="E447" s="42">
        <v>5</v>
      </c>
      <c r="F447" s="42" t="s">
        <v>250</v>
      </c>
      <c r="G447" s="43" t="s">
        <v>156</v>
      </c>
      <c r="H447" s="42" t="s">
        <v>157</v>
      </c>
      <c r="I447" s="43">
        <v>2</v>
      </c>
      <c r="J447" s="43">
        <v>2</v>
      </c>
      <c r="K447" s="25" t="str">
        <f>VLOOKUP(J447,Key!$E$2:$F$9,2,FALSE)</f>
        <v>Work</v>
      </c>
      <c r="L447" s="42" t="s">
        <v>2933</v>
      </c>
      <c r="M447" s="43" t="s">
        <v>197</v>
      </c>
      <c r="N447" s="42" t="s">
        <v>157</v>
      </c>
      <c r="O447" s="43">
        <v>1</v>
      </c>
      <c r="P447" s="43">
        <v>1</v>
      </c>
      <c r="Q447" s="25" t="str">
        <f>VLOOKUP(P447,Key!$E$2:$F$9,2,FALSE)</f>
        <v>Home</v>
      </c>
      <c r="R447" s="25" t="str">
        <f t="shared" si="8"/>
        <v>Work-Home</v>
      </c>
      <c r="S447" s="52">
        <v>20</v>
      </c>
      <c r="T447" s="52">
        <v>0.5</v>
      </c>
      <c r="U447" s="43">
        <v>2</v>
      </c>
      <c r="V447" s="43"/>
      <c r="W447" s="52"/>
      <c r="X447" s="52"/>
      <c r="Y447" s="53" t="s">
        <v>158</v>
      </c>
      <c r="Z447" s="54">
        <v>1000</v>
      </c>
      <c r="AA447" s="25">
        <f>VLOOKUP(F447,'Zones '!$A$2:$F$2056,6,FALSE)</f>
        <v>1388</v>
      </c>
      <c r="AB447" s="25">
        <f>VLOOKUP(L447,'Zones '!$A$2:$F$2056,6,FALSE)</f>
        <v>1409</v>
      </c>
    </row>
    <row r="448" spans="2:28">
      <c r="B448" s="40">
        <v>0.46875</v>
      </c>
      <c r="C448" s="40" t="s">
        <v>629</v>
      </c>
      <c r="D448" s="41">
        <v>1</v>
      </c>
      <c r="E448" s="42">
        <v>4</v>
      </c>
      <c r="F448" s="42" t="s">
        <v>155</v>
      </c>
      <c r="G448" s="43" t="s">
        <v>156</v>
      </c>
      <c r="H448" s="42" t="s">
        <v>157</v>
      </c>
      <c r="I448" s="43">
        <v>1</v>
      </c>
      <c r="J448" s="43">
        <v>1</v>
      </c>
      <c r="K448" s="25" t="str">
        <f>VLOOKUP(J448,Key!$E$2:$F$9,2,FALSE)</f>
        <v>Home</v>
      </c>
      <c r="L448" s="42" t="s">
        <v>197</v>
      </c>
      <c r="M448" s="43" t="s">
        <v>197</v>
      </c>
      <c r="N448" s="42" t="s">
        <v>157</v>
      </c>
      <c r="O448" s="43">
        <v>2</v>
      </c>
      <c r="P448" s="43">
        <v>2</v>
      </c>
      <c r="Q448" s="25" t="str">
        <f>VLOOKUP(P448,Key!$E$2:$F$9,2,FALSE)</f>
        <v>Work</v>
      </c>
      <c r="R448" s="25" t="str">
        <f t="shared" si="8"/>
        <v>Home-Work</v>
      </c>
      <c r="S448" s="52">
        <v>100</v>
      </c>
      <c r="T448" s="52">
        <v>2</v>
      </c>
      <c r="U448" s="43">
        <v>2</v>
      </c>
      <c r="V448" s="43"/>
      <c r="W448" s="52"/>
      <c r="X448" s="52"/>
      <c r="Y448" s="53" t="s">
        <v>158</v>
      </c>
      <c r="Z448" s="54">
        <v>2000</v>
      </c>
      <c r="AA448" s="25">
        <f>VLOOKUP(F448,'Zones '!$A$2:$F$2056,6,FALSE)</f>
        <v>1397</v>
      </c>
      <c r="AB448" s="25">
        <f>VLOOKUP(L448,'Zones '!$A$2:$F$2056,6,FALSE)</f>
        <v>937</v>
      </c>
    </row>
    <row r="449" spans="2:28">
      <c r="B449" s="40">
        <v>0.4604166666666667</v>
      </c>
      <c r="C449" s="40" t="s">
        <v>630</v>
      </c>
      <c r="D449" s="41">
        <v>1</v>
      </c>
      <c r="E449" s="42">
        <v>3</v>
      </c>
      <c r="F449" s="42" t="s">
        <v>179</v>
      </c>
      <c r="G449" s="43" t="s">
        <v>156</v>
      </c>
      <c r="H449" s="42" t="s">
        <v>157</v>
      </c>
      <c r="I449" s="43">
        <v>1</v>
      </c>
      <c r="J449" s="43">
        <v>1</v>
      </c>
      <c r="K449" s="25" t="str">
        <f>VLOOKUP(J449,Key!$E$2:$F$9,2,FALSE)</f>
        <v>Home</v>
      </c>
      <c r="L449" s="42" t="s">
        <v>166</v>
      </c>
      <c r="M449" s="43" t="s">
        <v>156</v>
      </c>
      <c r="N449" s="42" t="s">
        <v>157</v>
      </c>
      <c r="O449" s="43">
        <v>2</v>
      </c>
      <c r="P449" s="43">
        <v>2</v>
      </c>
      <c r="Q449" s="25" t="str">
        <f>VLOOKUP(P449,Key!$E$2:$F$9,2,FALSE)</f>
        <v>Work</v>
      </c>
      <c r="R449" s="25" t="str">
        <f t="shared" ref="R449:R465" si="9">K449&amp;"-"&amp;Q449</f>
        <v>Home-Work</v>
      </c>
      <c r="S449" s="52">
        <v>18</v>
      </c>
      <c r="T449" s="52">
        <v>1</v>
      </c>
      <c r="U449" s="43">
        <v>2</v>
      </c>
      <c r="V449" s="43"/>
      <c r="W449" s="52"/>
      <c r="X449" s="52"/>
      <c r="Y449" s="53" t="s">
        <v>158</v>
      </c>
      <c r="Z449" s="54">
        <v>1000</v>
      </c>
      <c r="AA449" s="25">
        <f>VLOOKUP(F449,'Zones '!$A$2:$F$2056,6,FALSE)</f>
        <v>905</v>
      </c>
      <c r="AB449" s="25">
        <f>VLOOKUP(L449,'Zones '!$A$2:$F$2056,6,FALSE)</f>
        <v>1397</v>
      </c>
    </row>
    <row r="450" spans="2:28">
      <c r="B450" s="40">
        <v>0.47847222222222219</v>
      </c>
      <c r="C450" s="40" t="s">
        <v>631</v>
      </c>
      <c r="D450" s="41">
        <v>1</v>
      </c>
      <c r="E450" s="42">
        <v>2</v>
      </c>
      <c r="F450" s="42" t="s">
        <v>155</v>
      </c>
      <c r="G450" s="43" t="s">
        <v>156</v>
      </c>
      <c r="H450" s="42" t="s">
        <v>157</v>
      </c>
      <c r="I450" s="43">
        <v>1</v>
      </c>
      <c r="J450" s="43">
        <v>1</v>
      </c>
      <c r="K450" s="25" t="str">
        <f>VLOOKUP(J450,Key!$E$2:$F$9,2,FALSE)</f>
        <v>Home</v>
      </c>
      <c r="L450" s="42" t="s">
        <v>164</v>
      </c>
      <c r="M450" s="43" t="s">
        <v>156</v>
      </c>
      <c r="N450" s="42" t="s">
        <v>157</v>
      </c>
      <c r="O450" s="43">
        <v>2</v>
      </c>
      <c r="P450" s="43">
        <v>2</v>
      </c>
      <c r="Q450" s="25" t="str">
        <f>VLOOKUP(P450,Key!$E$2:$F$9,2,FALSE)</f>
        <v>Work</v>
      </c>
      <c r="R450" s="25" t="str">
        <f t="shared" si="9"/>
        <v>Home-Work</v>
      </c>
      <c r="S450" s="52">
        <v>8</v>
      </c>
      <c r="T450" s="52">
        <v>0.7</v>
      </c>
      <c r="U450" s="43">
        <v>2</v>
      </c>
      <c r="V450" s="43"/>
      <c r="W450" s="52"/>
      <c r="X450" s="52"/>
      <c r="Y450" s="53" t="s">
        <v>158</v>
      </c>
      <c r="Z450" s="54">
        <v>5000</v>
      </c>
      <c r="AA450" s="25">
        <f>VLOOKUP(F450,'Zones '!$A$2:$F$2056,6,FALSE)</f>
        <v>1397</v>
      </c>
      <c r="AB450" s="25">
        <f>VLOOKUP(L450,'Zones '!$A$2:$F$2056,6,FALSE)</f>
        <v>1397</v>
      </c>
    </row>
    <row r="451" spans="2:28">
      <c r="B451" s="40">
        <v>0.47222222222222227</v>
      </c>
      <c r="C451" s="40" t="s">
        <v>632</v>
      </c>
      <c r="D451" s="41">
        <v>1</v>
      </c>
      <c r="E451" s="42">
        <v>2</v>
      </c>
      <c r="F451" s="42" t="s">
        <v>160</v>
      </c>
      <c r="G451" s="43" t="s">
        <v>156</v>
      </c>
      <c r="H451" s="42" t="s">
        <v>157</v>
      </c>
      <c r="I451" s="43">
        <v>1</v>
      </c>
      <c r="J451" s="43">
        <v>1</v>
      </c>
      <c r="K451" s="25" t="str">
        <f>VLOOKUP(J451,Key!$E$2:$F$9,2,FALSE)</f>
        <v>Home</v>
      </c>
      <c r="L451" s="42" t="s">
        <v>162</v>
      </c>
      <c r="M451" s="43" t="s">
        <v>156</v>
      </c>
      <c r="N451" s="42" t="s">
        <v>157</v>
      </c>
      <c r="O451" s="43">
        <v>2</v>
      </c>
      <c r="P451" s="43">
        <v>2</v>
      </c>
      <c r="Q451" s="25" t="str">
        <f>VLOOKUP(P451,Key!$E$2:$F$9,2,FALSE)</f>
        <v>Work</v>
      </c>
      <c r="R451" s="25" t="str">
        <f t="shared" si="9"/>
        <v>Home-Work</v>
      </c>
      <c r="S451" s="52">
        <v>5</v>
      </c>
      <c r="T451" s="52">
        <v>0.6</v>
      </c>
      <c r="U451" s="43">
        <v>2</v>
      </c>
      <c r="V451" s="43"/>
      <c r="W451" s="52"/>
      <c r="X451" s="52"/>
      <c r="Y451" s="53" t="s">
        <v>158</v>
      </c>
      <c r="Z451" s="54">
        <v>1000</v>
      </c>
      <c r="AA451" s="25">
        <f>VLOOKUP(F451,'Zones '!$A$2:$F$2056,6,FALSE)</f>
        <v>589</v>
      </c>
      <c r="AB451" s="25">
        <f>VLOOKUP(L451,'Zones '!$A$2:$F$2056,6,FALSE)</f>
        <v>1397</v>
      </c>
    </row>
    <row r="452" spans="2:28">
      <c r="B452" s="40">
        <v>0.45763888888888887</v>
      </c>
      <c r="C452" s="40" t="s">
        <v>633</v>
      </c>
      <c r="D452" s="41">
        <v>3</v>
      </c>
      <c r="E452" s="42">
        <v>3</v>
      </c>
      <c r="F452" s="42" t="s">
        <v>305</v>
      </c>
      <c r="G452" s="43" t="s">
        <v>187</v>
      </c>
      <c r="H452" s="42" t="s">
        <v>157</v>
      </c>
      <c r="I452" s="43">
        <v>1</v>
      </c>
      <c r="J452" s="43">
        <v>1</v>
      </c>
      <c r="K452" s="25" t="str">
        <f>VLOOKUP(J452,Key!$E$2:$F$9,2,FALSE)</f>
        <v>Home</v>
      </c>
      <c r="L452" s="42" t="s">
        <v>150</v>
      </c>
      <c r="M452" s="43" t="s">
        <v>156</v>
      </c>
      <c r="N452" s="42" t="s">
        <v>157</v>
      </c>
      <c r="O452" s="43">
        <v>2</v>
      </c>
      <c r="P452" s="43">
        <v>2</v>
      </c>
      <c r="Q452" s="25" t="str">
        <f>VLOOKUP(P452,Key!$E$2:$F$9,2,FALSE)</f>
        <v>Work</v>
      </c>
      <c r="R452" s="25" t="str">
        <f t="shared" si="9"/>
        <v>Home-Work</v>
      </c>
      <c r="S452" s="52">
        <v>15</v>
      </c>
      <c r="T452" s="52">
        <v>1</v>
      </c>
      <c r="U452" s="43">
        <v>2</v>
      </c>
      <c r="V452" s="43"/>
      <c r="W452" s="52"/>
      <c r="X452" s="52"/>
      <c r="Y452" s="53" t="s">
        <v>158</v>
      </c>
      <c r="Z452" s="54">
        <v>500</v>
      </c>
      <c r="AA452" s="25">
        <f>VLOOKUP(F452,'Zones '!$A$2:$F$2056,6,FALSE)</f>
        <v>536</v>
      </c>
      <c r="AB452" s="25">
        <f>VLOOKUP(L452,'Zones '!$A$2:$F$2056,6,FALSE)</f>
        <v>1397</v>
      </c>
    </row>
    <row r="453" spans="2:28">
      <c r="B453" s="40">
        <v>0.45208333333333334</v>
      </c>
      <c r="C453" s="40" t="s">
        <v>634</v>
      </c>
      <c r="D453" s="41">
        <v>1</v>
      </c>
      <c r="E453" s="42">
        <v>2</v>
      </c>
      <c r="F453" s="42" t="s">
        <v>155</v>
      </c>
      <c r="G453" s="43" t="s">
        <v>156</v>
      </c>
      <c r="H453" s="42" t="s">
        <v>157</v>
      </c>
      <c r="I453" s="43">
        <v>1</v>
      </c>
      <c r="J453" s="43">
        <v>1</v>
      </c>
      <c r="K453" s="25" t="str">
        <f>VLOOKUP(J453,Key!$E$2:$F$9,2,FALSE)</f>
        <v>Home</v>
      </c>
      <c r="L453" s="42" t="s">
        <v>164</v>
      </c>
      <c r="M453" s="43" t="s">
        <v>156</v>
      </c>
      <c r="N453" s="42" t="s">
        <v>157</v>
      </c>
      <c r="O453" s="43">
        <v>2</v>
      </c>
      <c r="P453" s="43">
        <v>2</v>
      </c>
      <c r="Q453" s="25" t="str">
        <f>VLOOKUP(P453,Key!$E$2:$F$9,2,FALSE)</f>
        <v>Work</v>
      </c>
      <c r="R453" s="25" t="str">
        <f t="shared" si="9"/>
        <v>Home-Work</v>
      </c>
      <c r="S453" s="52">
        <v>5</v>
      </c>
      <c r="T453" s="52">
        <v>1.5</v>
      </c>
      <c r="U453" s="43">
        <v>2</v>
      </c>
      <c r="V453" s="43"/>
      <c r="W453" s="52"/>
      <c r="X453" s="52"/>
      <c r="Y453" s="53" t="s">
        <v>158</v>
      </c>
      <c r="Z453" s="54">
        <v>1000</v>
      </c>
      <c r="AA453" s="25">
        <f>VLOOKUP(F453,'Zones '!$A$2:$F$2056,6,FALSE)</f>
        <v>1397</v>
      </c>
      <c r="AB453" s="25">
        <f>VLOOKUP(L453,'Zones '!$A$2:$F$2056,6,FALSE)</f>
        <v>1397</v>
      </c>
    </row>
    <row r="454" spans="2:28">
      <c r="B454" s="40">
        <v>0.44791666666666669</v>
      </c>
      <c r="C454" s="40" t="s">
        <v>421</v>
      </c>
      <c r="D454" s="41">
        <v>1</v>
      </c>
      <c r="E454" s="42">
        <v>5</v>
      </c>
      <c r="F454" s="42" t="s">
        <v>160</v>
      </c>
      <c r="G454" s="43" t="s">
        <v>156</v>
      </c>
      <c r="H454" s="42" t="s">
        <v>157</v>
      </c>
      <c r="I454" s="43">
        <v>1</v>
      </c>
      <c r="J454" s="43">
        <v>1</v>
      </c>
      <c r="K454" s="25" t="str">
        <f>VLOOKUP(J454,Key!$E$2:$F$9,2,FALSE)</f>
        <v>Home</v>
      </c>
      <c r="L454" s="42" t="s">
        <v>166</v>
      </c>
      <c r="M454" s="43" t="s">
        <v>156</v>
      </c>
      <c r="N454" s="42" t="s">
        <v>157</v>
      </c>
      <c r="O454" s="43">
        <v>2</v>
      </c>
      <c r="P454" s="43">
        <v>2</v>
      </c>
      <c r="Q454" s="25" t="str">
        <f>VLOOKUP(P454,Key!$E$2:$F$9,2,FALSE)</f>
        <v>Work</v>
      </c>
      <c r="R454" s="25" t="str">
        <f t="shared" si="9"/>
        <v>Home-Work</v>
      </c>
      <c r="S454" s="52">
        <v>15</v>
      </c>
      <c r="T454" s="52">
        <v>2</v>
      </c>
      <c r="U454" s="43">
        <v>2</v>
      </c>
      <c r="V454" s="43"/>
      <c r="W454" s="52"/>
      <c r="X454" s="52"/>
      <c r="Y454" s="53" t="s">
        <v>158</v>
      </c>
      <c r="Z454" s="54">
        <v>2000</v>
      </c>
      <c r="AA454" s="25">
        <f>VLOOKUP(F454,'Zones '!$A$2:$F$2056,6,FALSE)</f>
        <v>589</v>
      </c>
      <c r="AB454" s="25">
        <f>VLOOKUP(L454,'Zones '!$A$2:$F$2056,6,FALSE)</f>
        <v>1397</v>
      </c>
    </row>
    <row r="455" spans="2:28">
      <c r="B455" s="40">
        <v>0.4381944444444445</v>
      </c>
      <c r="C455" s="40" t="s">
        <v>635</v>
      </c>
      <c r="D455" s="41">
        <v>1</v>
      </c>
      <c r="E455" s="42">
        <v>4</v>
      </c>
      <c r="F455" s="42" t="s">
        <v>179</v>
      </c>
      <c r="G455" s="43" t="s">
        <v>156</v>
      </c>
      <c r="H455" s="42" t="s">
        <v>157</v>
      </c>
      <c r="I455" s="43">
        <v>1</v>
      </c>
      <c r="J455" s="43">
        <v>1</v>
      </c>
      <c r="K455" s="25" t="str">
        <f>VLOOKUP(J455,Key!$E$2:$F$9,2,FALSE)</f>
        <v>Home</v>
      </c>
      <c r="L455" s="42" t="s">
        <v>164</v>
      </c>
      <c r="M455" s="43" t="s">
        <v>156</v>
      </c>
      <c r="N455" s="42" t="s">
        <v>157</v>
      </c>
      <c r="O455" s="43">
        <v>2</v>
      </c>
      <c r="P455" s="43">
        <v>2</v>
      </c>
      <c r="Q455" s="25" t="str">
        <f>VLOOKUP(P455,Key!$E$2:$F$9,2,FALSE)</f>
        <v>Work</v>
      </c>
      <c r="R455" s="25" t="str">
        <f t="shared" si="9"/>
        <v>Home-Work</v>
      </c>
      <c r="S455" s="52">
        <v>4</v>
      </c>
      <c r="T455" s="52">
        <v>10</v>
      </c>
      <c r="U455" s="43">
        <v>2</v>
      </c>
      <c r="V455" s="43"/>
      <c r="W455" s="52"/>
      <c r="X455" s="52"/>
      <c r="Y455" s="53" t="s">
        <v>158</v>
      </c>
      <c r="Z455" s="54">
        <v>1000</v>
      </c>
      <c r="AA455" s="25">
        <f>VLOOKUP(F455,'Zones '!$A$2:$F$2056,6,FALSE)</f>
        <v>905</v>
      </c>
      <c r="AB455" s="25">
        <f>VLOOKUP(L455,'Zones '!$A$2:$F$2056,6,FALSE)</f>
        <v>1397</v>
      </c>
    </row>
    <row r="456" spans="2:28">
      <c r="B456" s="40">
        <v>0.43402777777777773</v>
      </c>
      <c r="C456" s="40" t="s">
        <v>391</v>
      </c>
      <c r="D456" s="41">
        <v>3</v>
      </c>
      <c r="E456" s="42">
        <v>2</v>
      </c>
      <c r="F456" s="42" t="s">
        <v>155</v>
      </c>
      <c r="G456" s="43" t="s">
        <v>156</v>
      </c>
      <c r="H456" s="42" t="s">
        <v>157</v>
      </c>
      <c r="I456" s="43">
        <v>1</v>
      </c>
      <c r="J456" s="43">
        <v>1</v>
      </c>
      <c r="K456" s="25" t="str">
        <f>VLOOKUP(J456,Key!$E$2:$F$9,2,FALSE)</f>
        <v>Home</v>
      </c>
      <c r="L456" s="42" t="s">
        <v>150</v>
      </c>
      <c r="M456" s="43" t="s">
        <v>156</v>
      </c>
      <c r="N456" s="42" t="s">
        <v>157</v>
      </c>
      <c r="O456" s="43">
        <v>3</v>
      </c>
      <c r="P456" s="43">
        <v>2</v>
      </c>
      <c r="Q456" s="25" t="str">
        <f>VLOOKUP(P456,Key!$E$2:$F$9,2,FALSE)</f>
        <v>Work</v>
      </c>
      <c r="R456" s="25" t="str">
        <f t="shared" si="9"/>
        <v>Home-Work</v>
      </c>
      <c r="S456" s="52">
        <v>0.5</v>
      </c>
      <c r="T456" s="52">
        <v>0.1</v>
      </c>
      <c r="U456" s="43">
        <v>2</v>
      </c>
      <c r="V456" s="43"/>
      <c r="W456" s="52"/>
      <c r="X456" s="52"/>
      <c r="Y456" s="53" t="s">
        <v>158</v>
      </c>
      <c r="Z456" s="54">
        <v>1000</v>
      </c>
      <c r="AA456" s="25">
        <f>VLOOKUP(F456,'Zones '!$A$2:$F$2056,6,FALSE)</f>
        <v>1397</v>
      </c>
      <c r="AB456" s="25">
        <f>VLOOKUP(L456,'Zones '!$A$2:$F$2056,6,FALSE)</f>
        <v>1397</v>
      </c>
    </row>
    <row r="457" spans="2:28">
      <c r="B457" s="40">
        <v>0.43055555555555558</v>
      </c>
      <c r="C457" s="40" t="s">
        <v>636</v>
      </c>
      <c r="D457" s="41">
        <v>1</v>
      </c>
      <c r="E457" s="42">
        <v>2</v>
      </c>
      <c r="F457" s="42" t="s">
        <v>179</v>
      </c>
      <c r="G457" s="43" t="s">
        <v>156</v>
      </c>
      <c r="H457" s="42" t="s">
        <v>157</v>
      </c>
      <c r="I457" s="43">
        <v>1</v>
      </c>
      <c r="J457" s="43">
        <v>1</v>
      </c>
      <c r="K457" s="25" t="str">
        <f>VLOOKUP(J457,Key!$E$2:$F$9,2,FALSE)</f>
        <v>Home</v>
      </c>
      <c r="L457" s="42" t="s">
        <v>162</v>
      </c>
      <c r="M457" s="43" t="s">
        <v>156</v>
      </c>
      <c r="N457" s="42" t="s">
        <v>157</v>
      </c>
      <c r="O457" s="43">
        <v>2</v>
      </c>
      <c r="P457" s="43">
        <v>2</v>
      </c>
      <c r="Q457" s="25" t="str">
        <f>VLOOKUP(P457,Key!$E$2:$F$9,2,FALSE)</f>
        <v>Work</v>
      </c>
      <c r="R457" s="25" t="str">
        <f t="shared" si="9"/>
        <v>Home-Work</v>
      </c>
      <c r="S457" s="52">
        <v>5</v>
      </c>
      <c r="T457" s="52">
        <v>0.2</v>
      </c>
      <c r="U457" s="43">
        <v>2</v>
      </c>
      <c r="V457" s="43"/>
      <c r="W457" s="52"/>
      <c r="X457" s="52"/>
      <c r="Y457" s="53" t="s">
        <v>158</v>
      </c>
      <c r="Z457" s="54">
        <v>500</v>
      </c>
      <c r="AA457" s="25">
        <f>VLOOKUP(F457,'Zones '!$A$2:$F$2056,6,FALSE)</f>
        <v>905</v>
      </c>
      <c r="AB457" s="25">
        <f>VLOOKUP(L457,'Zones '!$A$2:$F$2056,6,FALSE)</f>
        <v>1397</v>
      </c>
    </row>
    <row r="458" spans="2:28">
      <c r="B458" s="40">
        <v>0.42499999999999999</v>
      </c>
      <c r="C458" s="40" t="s">
        <v>637</v>
      </c>
      <c r="D458" s="41">
        <v>4</v>
      </c>
      <c r="E458" s="42">
        <v>12</v>
      </c>
      <c r="F458" s="42" t="s">
        <v>160</v>
      </c>
      <c r="G458" s="43" t="s">
        <v>156</v>
      </c>
      <c r="H458" s="42" t="s">
        <v>157</v>
      </c>
      <c r="I458" s="43">
        <v>3</v>
      </c>
      <c r="J458" s="43">
        <v>2</v>
      </c>
      <c r="K458" s="25" t="str">
        <f>VLOOKUP(J458,Key!$E$2:$F$9,2,FALSE)</f>
        <v>Work</v>
      </c>
      <c r="L458" s="42" t="s">
        <v>187</v>
      </c>
      <c r="M458" s="43" t="s">
        <v>187</v>
      </c>
      <c r="N458" s="42" t="s">
        <v>157</v>
      </c>
      <c r="O458" s="43">
        <v>3</v>
      </c>
      <c r="P458" s="43">
        <v>2</v>
      </c>
      <c r="Q458" s="25" t="str">
        <f>VLOOKUP(P458,Key!$E$2:$F$9,2,FALSE)</f>
        <v>Work</v>
      </c>
      <c r="R458" s="25" t="str">
        <f t="shared" si="9"/>
        <v>Work-Work</v>
      </c>
      <c r="S458" s="52">
        <v>12</v>
      </c>
      <c r="T458" s="52">
        <v>1</v>
      </c>
      <c r="U458" s="43">
        <v>2</v>
      </c>
      <c r="V458" s="43"/>
      <c r="W458" s="52"/>
      <c r="X458" s="52"/>
      <c r="Y458" s="53" t="s">
        <v>158</v>
      </c>
      <c r="Z458" s="54">
        <v>2000</v>
      </c>
      <c r="AA458" s="25">
        <f>VLOOKUP(F458,'Zones '!$A$2:$F$2056,6,FALSE)</f>
        <v>589</v>
      </c>
      <c r="AB458" s="25">
        <f>VLOOKUP(L458,'Zones '!$A$2:$F$2056,6,FALSE)</f>
        <v>521</v>
      </c>
    </row>
    <row r="459" spans="2:28">
      <c r="B459" s="40">
        <v>0.4201388888888889</v>
      </c>
      <c r="C459" s="40" t="s">
        <v>638</v>
      </c>
      <c r="D459" s="41">
        <v>1</v>
      </c>
      <c r="E459" s="42">
        <v>1</v>
      </c>
      <c r="F459" s="42" t="s">
        <v>155</v>
      </c>
      <c r="G459" s="43" t="s">
        <v>156</v>
      </c>
      <c r="H459" s="42" t="s">
        <v>157</v>
      </c>
      <c r="I459" s="43">
        <v>1</v>
      </c>
      <c r="J459" s="43">
        <v>1</v>
      </c>
      <c r="K459" s="25" t="str">
        <f>VLOOKUP(J459,Key!$E$2:$F$9,2,FALSE)</f>
        <v>Home</v>
      </c>
      <c r="L459" s="42" t="s">
        <v>150</v>
      </c>
      <c r="M459" s="43" t="s">
        <v>156</v>
      </c>
      <c r="N459" s="42" t="s">
        <v>157</v>
      </c>
      <c r="O459" s="43">
        <v>2</v>
      </c>
      <c r="P459" s="43">
        <v>2</v>
      </c>
      <c r="Q459" s="25" t="str">
        <f>VLOOKUP(P459,Key!$E$2:$F$9,2,FALSE)</f>
        <v>Work</v>
      </c>
      <c r="R459" s="25" t="str">
        <f t="shared" si="9"/>
        <v>Home-Work</v>
      </c>
      <c r="S459" s="52">
        <v>0.5</v>
      </c>
      <c r="T459" s="52">
        <v>0.2</v>
      </c>
      <c r="U459" s="43">
        <v>2</v>
      </c>
      <c r="V459" s="43"/>
      <c r="W459" s="52"/>
      <c r="X459" s="52"/>
      <c r="Y459" s="53" t="s">
        <v>158</v>
      </c>
      <c r="Z459" s="54">
        <v>1000</v>
      </c>
      <c r="AA459" s="25">
        <f>VLOOKUP(F459,'Zones '!$A$2:$F$2056,6,FALSE)</f>
        <v>1397</v>
      </c>
      <c r="AB459" s="25">
        <f>VLOOKUP(L459,'Zones '!$A$2:$F$2056,6,FALSE)</f>
        <v>1397</v>
      </c>
    </row>
    <row r="460" spans="2:28">
      <c r="B460" s="40">
        <v>0.41597222222222219</v>
      </c>
      <c r="C460" s="40" t="s">
        <v>639</v>
      </c>
      <c r="D460" s="41">
        <v>1</v>
      </c>
      <c r="E460" s="42">
        <v>2</v>
      </c>
      <c r="F460" s="42" t="s">
        <v>155</v>
      </c>
      <c r="G460" s="43" t="s">
        <v>156</v>
      </c>
      <c r="H460" s="42" t="s">
        <v>157</v>
      </c>
      <c r="I460" s="43">
        <v>1</v>
      </c>
      <c r="J460" s="43">
        <v>1</v>
      </c>
      <c r="K460" s="25" t="str">
        <f>VLOOKUP(J460,Key!$E$2:$F$9,2,FALSE)</f>
        <v>Home</v>
      </c>
      <c r="L460" s="42" t="s">
        <v>150</v>
      </c>
      <c r="M460" s="43" t="s">
        <v>156</v>
      </c>
      <c r="N460" s="42" t="s">
        <v>157</v>
      </c>
      <c r="O460" s="43">
        <v>2</v>
      </c>
      <c r="P460" s="43">
        <v>2</v>
      </c>
      <c r="Q460" s="25" t="str">
        <f>VLOOKUP(P460,Key!$E$2:$F$9,2,FALSE)</f>
        <v>Work</v>
      </c>
      <c r="R460" s="25" t="str">
        <f t="shared" si="9"/>
        <v>Home-Work</v>
      </c>
      <c r="S460" s="52">
        <v>1.5</v>
      </c>
      <c r="T460" s="52">
        <v>0.1</v>
      </c>
      <c r="U460" s="43">
        <v>2</v>
      </c>
      <c r="V460" s="43"/>
      <c r="W460" s="52"/>
      <c r="X460" s="52"/>
      <c r="Y460" s="53" t="s">
        <v>158</v>
      </c>
      <c r="Z460" s="54">
        <v>3000</v>
      </c>
      <c r="AA460" s="25">
        <f>VLOOKUP(F460,'Zones '!$A$2:$F$2056,6,FALSE)</f>
        <v>1397</v>
      </c>
      <c r="AB460" s="25">
        <f>VLOOKUP(L460,'Zones '!$A$2:$F$2056,6,FALSE)</f>
        <v>1397</v>
      </c>
    </row>
    <row r="461" spans="2:28">
      <c r="B461" s="40">
        <v>0.41319444444444442</v>
      </c>
      <c r="C461" s="40" t="s">
        <v>640</v>
      </c>
      <c r="D461" s="41">
        <v>1</v>
      </c>
      <c r="E461" s="42">
        <v>1</v>
      </c>
      <c r="F461" s="42" t="s">
        <v>204</v>
      </c>
      <c r="G461" s="43" t="s">
        <v>156</v>
      </c>
      <c r="H461" s="42" t="s">
        <v>157</v>
      </c>
      <c r="I461" s="43">
        <v>1</v>
      </c>
      <c r="J461" s="43">
        <v>1</v>
      </c>
      <c r="K461" s="25" t="str">
        <f>VLOOKUP(J461,Key!$E$2:$F$9,2,FALSE)</f>
        <v>Home</v>
      </c>
      <c r="L461" s="42" t="s">
        <v>162</v>
      </c>
      <c r="M461" s="43" t="s">
        <v>156</v>
      </c>
      <c r="N461" s="42" t="s">
        <v>157</v>
      </c>
      <c r="O461" s="43">
        <v>2</v>
      </c>
      <c r="P461" s="43">
        <v>2</v>
      </c>
      <c r="Q461" s="25" t="str">
        <f>VLOOKUP(P461,Key!$E$2:$F$9,2,FALSE)</f>
        <v>Work</v>
      </c>
      <c r="R461" s="25" t="str">
        <f t="shared" si="9"/>
        <v>Home-Work</v>
      </c>
      <c r="S461" s="52">
        <v>8</v>
      </c>
      <c r="T461" s="52">
        <v>0.3</v>
      </c>
      <c r="U461" s="43">
        <v>2</v>
      </c>
      <c r="V461" s="43"/>
      <c r="W461" s="52"/>
      <c r="X461" s="52"/>
      <c r="Y461" s="53" t="s">
        <v>158</v>
      </c>
      <c r="Z461" s="54">
        <v>3000</v>
      </c>
      <c r="AA461" s="25">
        <f>VLOOKUP(F461,'Zones '!$A$2:$F$2056,6,FALSE)</f>
        <v>1390</v>
      </c>
      <c r="AB461" s="25">
        <f>VLOOKUP(L461,'Zones '!$A$2:$F$2056,6,FALSE)</f>
        <v>1397</v>
      </c>
    </row>
    <row r="462" spans="2:28">
      <c r="B462" s="40">
        <v>0.40625</v>
      </c>
      <c r="C462" s="40" t="s">
        <v>641</v>
      </c>
      <c r="D462" s="41">
        <v>1</v>
      </c>
      <c r="E462" s="42">
        <v>2</v>
      </c>
      <c r="F462" s="42" t="s">
        <v>226</v>
      </c>
      <c r="G462" s="43" t="s">
        <v>156</v>
      </c>
      <c r="H462" s="42" t="s">
        <v>157</v>
      </c>
      <c r="I462" s="43">
        <v>1</v>
      </c>
      <c r="J462" s="43">
        <v>1</v>
      </c>
      <c r="K462" s="25" t="str">
        <f>VLOOKUP(J462,Key!$E$2:$F$9,2,FALSE)</f>
        <v>Home</v>
      </c>
      <c r="L462" s="42" t="s">
        <v>197</v>
      </c>
      <c r="M462" s="43" t="s">
        <v>197</v>
      </c>
      <c r="N462" s="42" t="s">
        <v>157</v>
      </c>
      <c r="O462" s="43">
        <v>2</v>
      </c>
      <c r="P462" s="43">
        <v>2</v>
      </c>
      <c r="Q462" s="25" t="str">
        <f>VLOOKUP(P462,Key!$E$2:$F$9,2,FALSE)</f>
        <v>Work</v>
      </c>
      <c r="R462" s="25" t="str">
        <f t="shared" si="9"/>
        <v>Home-Work</v>
      </c>
      <c r="S462" s="52">
        <v>100</v>
      </c>
      <c r="T462" s="52">
        <v>2</v>
      </c>
      <c r="U462" s="43">
        <v>2</v>
      </c>
      <c r="V462" s="43"/>
      <c r="W462" s="52"/>
      <c r="X462" s="52"/>
      <c r="Y462" s="53" t="s">
        <v>158</v>
      </c>
      <c r="Z462" s="54">
        <v>5000</v>
      </c>
      <c r="AA462" s="25">
        <f>VLOOKUP(F462,'Zones '!$A$2:$F$2056,6,FALSE)</f>
        <v>1397</v>
      </c>
      <c r="AB462" s="25">
        <f>VLOOKUP(L462,'Zones '!$A$2:$F$2056,6,FALSE)</f>
        <v>937</v>
      </c>
    </row>
    <row r="463" spans="2:28">
      <c r="B463" s="40">
        <v>0.40972222222222227</v>
      </c>
      <c r="C463" s="40" t="s">
        <v>642</v>
      </c>
      <c r="D463" s="41">
        <v>7</v>
      </c>
      <c r="E463" s="42">
        <v>5</v>
      </c>
      <c r="F463" s="42" t="s">
        <v>160</v>
      </c>
      <c r="G463" s="43" t="s">
        <v>156</v>
      </c>
      <c r="H463" s="42" t="s">
        <v>157</v>
      </c>
      <c r="I463" s="43">
        <v>1</v>
      </c>
      <c r="J463" s="43">
        <v>1</v>
      </c>
      <c r="K463" s="25" t="str">
        <f>VLOOKUP(J463,Key!$E$2:$F$9,2,FALSE)</f>
        <v>Home</v>
      </c>
      <c r="L463" s="42" t="s">
        <v>164</v>
      </c>
      <c r="M463" s="43" t="s">
        <v>156</v>
      </c>
      <c r="N463" s="42" t="s">
        <v>157</v>
      </c>
      <c r="O463" s="43">
        <v>3</v>
      </c>
      <c r="P463" s="43">
        <v>2</v>
      </c>
      <c r="Q463" s="25" t="str">
        <f>VLOOKUP(P463,Key!$E$2:$F$9,2,FALSE)</f>
        <v>Work</v>
      </c>
      <c r="R463" s="25" t="str">
        <f t="shared" si="9"/>
        <v>Home-Work</v>
      </c>
      <c r="S463" s="52">
        <v>6</v>
      </c>
      <c r="T463" s="52">
        <v>0.2</v>
      </c>
      <c r="U463" s="43">
        <v>2</v>
      </c>
      <c r="V463" s="43"/>
      <c r="W463" s="52"/>
      <c r="X463" s="52"/>
      <c r="Y463" s="53" t="s">
        <v>158</v>
      </c>
      <c r="Z463" s="54">
        <v>1000</v>
      </c>
      <c r="AA463" s="25">
        <f>VLOOKUP(F463,'Zones '!$A$2:$F$2056,6,FALSE)</f>
        <v>589</v>
      </c>
      <c r="AB463" s="25">
        <f>VLOOKUP(L463,'Zones '!$A$2:$F$2056,6,FALSE)</f>
        <v>1397</v>
      </c>
    </row>
    <row r="464" spans="2:28">
      <c r="B464" s="40">
        <v>0.40277777777777773</v>
      </c>
      <c r="C464" s="40" t="s">
        <v>643</v>
      </c>
      <c r="D464" s="41">
        <v>2</v>
      </c>
      <c r="E464" s="42">
        <v>2</v>
      </c>
      <c r="F464" s="42" t="s">
        <v>155</v>
      </c>
      <c r="G464" s="43" t="s">
        <v>156</v>
      </c>
      <c r="H464" s="42" t="s">
        <v>157</v>
      </c>
      <c r="I464" s="43">
        <v>1</v>
      </c>
      <c r="J464" s="43">
        <v>1</v>
      </c>
      <c r="K464" s="25" t="str">
        <f>VLOOKUP(J464,Key!$E$2:$F$9,2,FALSE)</f>
        <v>Home</v>
      </c>
      <c r="L464" s="42" t="s">
        <v>164</v>
      </c>
      <c r="M464" s="43" t="s">
        <v>156</v>
      </c>
      <c r="N464" s="42" t="s">
        <v>157</v>
      </c>
      <c r="O464" s="43">
        <v>2</v>
      </c>
      <c r="P464" s="43">
        <v>2</v>
      </c>
      <c r="Q464" s="25" t="str">
        <f>VLOOKUP(P464,Key!$E$2:$F$9,2,FALSE)</f>
        <v>Work</v>
      </c>
      <c r="R464" s="25" t="str">
        <f t="shared" si="9"/>
        <v>Home-Work</v>
      </c>
      <c r="S464" s="52">
        <v>3.5</v>
      </c>
      <c r="T464" s="52">
        <v>0.1</v>
      </c>
      <c r="U464" s="43">
        <v>2</v>
      </c>
      <c r="V464" s="43"/>
      <c r="W464" s="52"/>
      <c r="X464" s="52"/>
      <c r="Y464" s="53" t="s">
        <v>158</v>
      </c>
      <c r="Z464" s="54">
        <v>1000</v>
      </c>
      <c r="AA464" s="25">
        <f>VLOOKUP(F464,'Zones '!$A$2:$F$2056,6,FALSE)</f>
        <v>1397</v>
      </c>
      <c r="AB464" s="25">
        <f>VLOOKUP(L464,'Zones '!$A$2:$F$2056,6,FALSE)</f>
        <v>1397</v>
      </c>
    </row>
    <row r="465" spans="2:28">
      <c r="B465" s="40">
        <v>0.39583333333333331</v>
      </c>
      <c r="C465" s="40" t="s">
        <v>644</v>
      </c>
      <c r="D465" s="41">
        <v>3</v>
      </c>
      <c r="E465" s="42">
        <v>2</v>
      </c>
      <c r="F465" s="42" t="s">
        <v>155</v>
      </c>
      <c r="G465" s="43" t="s">
        <v>156</v>
      </c>
      <c r="H465" s="42" t="s">
        <v>157</v>
      </c>
      <c r="I465" s="43">
        <v>1</v>
      </c>
      <c r="J465" s="43">
        <v>1</v>
      </c>
      <c r="K465" s="25" t="str">
        <f>VLOOKUP(J465,Key!$E$2:$F$9,2,FALSE)</f>
        <v>Home</v>
      </c>
      <c r="L465" s="42" t="s">
        <v>150</v>
      </c>
      <c r="M465" s="43" t="s">
        <v>156</v>
      </c>
      <c r="N465" s="42" t="s">
        <v>157</v>
      </c>
      <c r="O465" s="43">
        <v>3</v>
      </c>
      <c r="P465" s="43">
        <v>2</v>
      </c>
      <c r="Q465" s="25" t="str">
        <f>VLOOKUP(P465,Key!$E$2:$F$9,2,FALSE)</f>
        <v>Work</v>
      </c>
      <c r="R465" s="25" t="str">
        <f t="shared" si="9"/>
        <v>Home-Work</v>
      </c>
      <c r="S465" s="52">
        <v>0.5</v>
      </c>
      <c r="T465" s="52">
        <v>0.1</v>
      </c>
      <c r="U465" s="43">
        <v>2</v>
      </c>
      <c r="V465" s="43"/>
      <c r="W465" s="52"/>
      <c r="X465" s="52"/>
      <c r="Y465" s="53" t="s">
        <v>158</v>
      </c>
      <c r="Z465" s="54">
        <v>1000</v>
      </c>
      <c r="AA465" s="25">
        <f>VLOOKUP(F465,'Zones '!$A$2:$F$2056,6,FALSE)</f>
        <v>1397</v>
      </c>
      <c r="AB465" s="25">
        <f>VLOOKUP(L465,'Zones '!$A$2:$F$2056,6,FALSE)</f>
        <v>1397</v>
      </c>
    </row>
    <row r="466" spans="2:28">
      <c r="B466" s="40">
        <v>0.20902777777777778</v>
      </c>
      <c r="C466" s="40" t="s">
        <v>281</v>
      </c>
      <c r="D466" s="41">
        <v>1</v>
      </c>
      <c r="E466" s="42">
        <v>1</v>
      </c>
      <c r="F466" s="42" t="s">
        <v>150</v>
      </c>
      <c r="G466" s="43" t="s">
        <v>156</v>
      </c>
      <c r="H466" s="42" t="s">
        <v>157</v>
      </c>
      <c r="I466" s="43">
        <v>1</v>
      </c>
      <c r="J466" s="43">
        <v>1</v>
      </c>
      <c r="K466" s="25" t="str">
        <f>VLOOKUP(J466,Key!$E$2:$F$9,2,FALSE)</f>
        <v>Home</v>
      </c>
      <c r="L466" s="42" t="s">
        <v>207</v>
      </c>
      <c r="M466" s="43" t="s">
        <v>156</v>
      </c>
      <c r="N466" s="42" t="s">
        <v>157</v>
      </c>
      <c r="O466" s="43">
        <v>11</v>
      </c>
      <c r="P466" s="43">
        <v>2</v>
      </c>
      <c r="Q466" s="25" t="str">
        <f>VLOOKUP(P466,Key!$E$2:$F$9,2,FALSE)</f>
        <v>Work</v>
      </c>
      <c r="R466" s="25" t="str">
        <f>K466&amp;"-"&amp;Q466</f>
        <v>Home-Work</v>
      </c>
      <c r="S466" s="52">
        <v>20</v>
      </c>
      <c r="T466" s="52">
        <v>1</v>
      </c>
      <c r="U466" s="43">
        <v>2</v>
      </c>
      <c r="V466" s="43"/>
      <c r="W466" s="52"/>
      <c r="X466" s="52"/>
      <c r="Y466" s="53" t="s">
        <v>158</v>
      </c>
      <c r="Z466" s="54">
        <v>1000</v>
      </c>
      <c r="AA466" s="25">
        <f>VLOOKUP(F466,'Zones '!$A$2:$F$2056,6,FALSE)</f>
        <v>1397</v>
      </c>
      <c r="AB466" s="25">
        <f>VLOOKUP(L466,'Zones '!$A$2:$F$2056,6,FALSE)</f>
        <v>1397</v>
      </c>
    </row>
    <row r="467" spans="2:28">
      <c r="B467" s="40">
        <v>0.22500000000000001</v>
      </c>
      <c r="C467" s="40" t="s">
        <v>280</v>
      </c>
      <c r="D467" s="41">
        <v>3</v>
      </c>
      <c r="E467" s="42">
        <v>2</v>
      </c>
      <c r="F467" s="42" t="s">
        <v>187</v>
      </c>
      <c r="G467" s="43" t="s">
        <v>187</v>
      </c>
      <c r="H467" s="42" t="s">
        <v>157</v>
      </c>
      <c r="I467" s="43">
        <v>2</v>
      </c>
      <c r="J467" s="43">
        <v>2</v>
      </c>
      <c r="K467" s="25" t="str">
        <f>VLOOKUP(J467,Key!$E$2:$F$9,2,FALSE)</f>
        <v>Work</v>
      </c>
      <c r="L467" s="42" t="s">
        <v>207</v>
      </c>
      <c r="M467" s="43" t="s">
        <v>156</v>
      </c>
      <c r="N467" s="42" t="s">
        <v>157</v>
      </c>
      <c r="O467" s="43">
        <v>1</v>
      </c>
      <c r="P467" s="43">
        <v>1</v>
      </c>
      <c r="Q467" s="25" t="str">
        <f>VLOOKUP(P467,Key!$E$2:$F$9,2,FALSE)</f>
        <v>Home</v>
      </c>
      <c r="R467" s="25" t="str">
        <f t="shared" ref="R467:R530" si="10">K467&amp;"-"&amp;Q467</f>
        <v>Work-Home</v>
      </c>
      <c r="S467" s="52">
        <v>20</v>
      </c>
      <c r="T467" s="52">
        <v>2</v>
      </c>
      <c r="U467" s="43">
        <v>3</v>
      </c>
      <c r="V467" s="43"/>
      <c r="W467" s="52"/>
      <c r="X467" s="52"/>
      <c r="Y467" s="53" t="s">
        <v>158</v>
      </c>
      <c r="Z467" s="54">
        <v>0</v>
      </c>
      <c r="AA467" s="25">
        <f>VLOOKUP(F467,'Zones '!$A$2:$F$2056,6,FALSE)</f>
        <v>521</v>
      </c>
      <c r="AB467" s="25">
        <f>VLOOKUP(L467,'Zones '!$A$2:$F$2056,6,FALSE)</f>
        <v>1397</v>
      </c>
    </row>
    <row r="468" spans="2:28">
      <c r="B468" s="40">
        <v>0.96388888888888891</v>
      </c>
      <c r="C468" s="40" t="s">
        <v>646</v>
      </c>
      <c r="D468" s="41">
        <v>1</v>
      </c>
      <c r="E468" s="42">
        <v>1</v>
      </c>
      <c r="F468" s="42" t="s">
        <v>207</v>
      </c>
      <c r="G468" s="43" t="s">
        <v>156</v>
      </c>
      <c r="H468" s="42" t="s">
        <v>157</v>
      </c>
      <c r="I468" s="43">
        <v>2</v>
      </c>
      <c r="J468" s="43">
        <v>2</v>
      </c>
      <c r="K468" s="25" t="str">
        <f>VLOOKUP(J468,Key!$E$2:$F$9,2,FALSE)</f>
        <v>Work</v>
      </c>
      <c r="L468" s="42" t="s">
        <v>160</v>
      </c>
      <c r="M468" s="43" t="s">
        <v>156</v>
      </c>
      <c r="N468" s="42" t="s">
        <v>157</v>
      </c>
      <c r="O468" s="43">
        <v>1</v>
      </c>
      <c r="P468" s="43">
        <v>1</v>
      </c>
      <c r="Q468" s="25" t="str">
        <f>VLOOKUP(P468,Key!$E$2:$F$9,2,FALSE)</f>
        <v>Home</v>
      </c>
      <c r="R468" s="25" t="str">
        <f t="shared" si="10"/>
        <v>Work-Home</v>
      </c>
      <c r="S468" s="52">
        <v>15</v>
      </c>
      <c r="T468" s="52">
        <v>1</v>
      </c>
      <c r="U468" s="43"/>
      <c r="V468" s="43"/>
      <c r="W468" s="52"/>
      <c r="X468" s="52"/>
      <c r="Y468" s="53" t="s">
        <v>158</v>
      </c>
      <c r="Z468" s="54">
        <v>2000</v>
      </c>
      <c r="AA468" s="25">
        <f>VLOOKUP(F468,'Zones '!$A$2:$F$2056,6,FALSE)</f>
        <v>1397</v>
      </c>
      <c r="AB468" s="25">
        <f>VLOOKUP(L468,'Zones '!$A$2:$F$2056,6,FALSE)</f>
        <v>589</v>
      </c>
    </row>
    <row r="469" spans="2:28">
      <c r="B469" s="40">
        <v>0.8125</v>
      </c>
      <c r="C469" s="40" t="s">
        <v>647</v>
      </c>
      <c r="D469" s="41">
        <v>1</v>
      </c>
      <c r="E469" s="42">
        <v>1</v>
      </c>
      <c r="F469" s="42" t="s">
        <v>162</v>
      </c>
      <c r="G469" s="43" t="s">
        <v>156</v>
      </c>
      <c r="H469" s="42" t="s">
        <v>157</v>
      </c>
      <c r="I469" s="43">
        <v>2</v>
      </c>
      <c r="J469" s="43">
        <v>2</v>
      </c>
      <c r="K469" s="25" t="str">
        <f>VLOOKUP(J469,Key!$E$2:$F$9,2,FALSE)</f>
        <v>Work</v>
      </c>
      <c r="L469" s="42" t="s">
        <v>155</v>
      </c>
      <c r="M469" s="43" t="s">
        <v>156</v>
      </c>
      <c r="N469" s="42" t="s">
        <v>157</v>
      </c>
      <c r="O469" s="43">
        <v>1</v>
      </c>
      <c r="P469" s="43">
        <v>1</v>
      </c>
      <c r="Q469" s="25" t="str">
        <f>VLOOKUP(P469,Key!$E$2:$F$9,2,FALSE)</f>
        <v>Home</v>
      </c>
      <c r="R469" s="25" t="str">
        <f t="shared" si="10"/>
        <v>Work-Home</v>
      </c>
      <c r="S469" s="52">
        <v>8</v>
      </c>
      <c r="T469" s="52">
        <v>1</v>
      </c>
      <c r="U469" s="43">
        <v>1</v>
      </c>
      <c r="V469" s="43"/>
      <c r="W469" s="52"/>
      <c r="X469" s="52"/>
      <c r="Y469" s="53" t="s">
        <v>158</v>
      </c>
      <c r="Z469" s="54">
        <v>1000</v>
      </c>
      <c r="AA469" s="25">
        <f>VLOOKUP(F469,'Zones '!$A$2:$F$2056,6,FALSE)</f>
        <v>1397</v>
      </c>
      <c r="AB469" s="25">
        <f>VLOOKUP(L469,'Zones '!$A$2:$F$2056,6,FALSE)</f>
        <v>1397</v>
      </c>
    </row>
    <row r="470" spans="2:28">
      <c r="B470" s="40">
        <v>0.7944444444444444</v>
      </c>
      <c r="C470" s="40" t="s">
        <v>648</v>
      </c>
      <c r="D470" s="41">
        <v>1</v>
      </c>
      <c r="E470" s="42">
        <v>2</v>
      </c>
      <c r="F470" s="42" t="s">
        <v>339</v>
      </c>
      <c r="G470" s="43" t="s">
        <v>187</v>
      </c>
      <c r="H470" s="42" t="s">
        <v>157</v>
      </c>
      <c r="I470" s="43">
        <v>2</v>
      </c>
      <c r="J470" s="43">
        <v>2</v>
      </c>
      <c r="K470" s="25" t="str">
        <f>VLOOKUP(J470,Key!$E$2:$F$9,2,FALSE)</f>
        <v>Work</v>
      </c>
      <c r="L470" s="42" t="s">
        <v>160</v>
      </c>
      <c r="M470" s="43" t="s">
        <v>156</v>
      </c>
      <c r="N470" s="42" t="s">
        <v>157</v>
      </c>
      <c r="O470" s="43">
        <v>1</v>
      </c>
      <c r="P470" s="43">
        <v>1</v>
      </c>
      <c r="Q470" s="25" t="str">
        <f>VLOOKUP(P470,Key!$E$2:$F$9,2,FALSE)</f>
        <v>Home</v>
      </c>
      <c r="R470" s="25" t="str">
        <f t="shared" si="10"/>
        <v>Work-Home</v>
      </c>
      <c r="S470" s="52">
        <v>8</v>
      </c>
      <c r="T470" s="52">
        <v>1</v>
      </c>
      <c r="U470" s="43">
        <v>1</v>
      </c>
      <c r="V470" s="43"/>
      <c r="W470" s="52"/>
      <c r="X470" s="52"/>
      <c r="Y470" s="53" t="s">
        <v>158</v>
      </c>
      <c r="Z470" s="54">
        <v>2000</v>
      </c>
      <c r="AA470" s="25">
        <f>VLOOKUP(F470,'Zones '!$A$2:$F$2056,6,FALSE)</f>
        <v>517</v>
      </c>
      <c r="AB470" s="25">
        <f>VLOOKUP(L470,'Zones '!$A$2:$F$2056,6,FALSE)</f>
        <v>589</v>
      </c>
    </row>
    <row r="471" spans="2:28">
      <c r="B471" s="40">
        <v>0.81666666666666676</v>
      </c>
      <c r="C471" s="40" t="s">
        <v>649</v>
      </c>
      <c r="D471" s="41">
        <v>1</v>
      </c>
      <c r="E471" s="42">
        <v>2</v>
      </c>
      <c r="F471" s="42" t="s">
        <v>650</v>
      </c>
      <c r="G471" s="43" t="s">
        <v>345</v>
      </c>
      <c r="H471" s="42" t="s">
        <v>157</v>
      </c>
      <c r="I471" s="43">
        <v>11</v>
      </c>
      <c r="J471" s="43">
        <v>2</v>
      </c>
      <c r="K471" s="25" t="str">
        <f>VLOOKUP(J471,Key!$E$2:$F$9,2,FALSE)</f>
        <v>Work</v>
      </c>
      <c r="L471" s="42" t="s">
        <v>155</v>
      </c>
      <c r="M471" s="43" t="s">
        <v>156</v>
      </c>
      <c r="N471" s="42" t="s">
        <v>157</v>
      </c>
      <c r="O471" s="43">
        <v>1</v>
      </c>
      <c r="P471" s="43">
        <v>1</v>
      </c>
      <c r="Q471" s="25" t="str">
        <f>VLOOKUP(P471,Key!$E$2:$F$9,2,FALSE)</f>
        <v>Home</v>
      </c>
      <c r="R471" s="25" t="str">
        <f t="shared" si="10"/>
        <v>Work-Home</v>
      </c>
      <c r="S471" s="52">
        <v>25</v>
      </c>
      <c r="T471" s="52">
        <v>1.5</v>
      </c>
      <c r="U471" s="43"/>
      <c r="V471" s="43"/>
      <c r="W471" s="52"/>
      <c r="X471" s="52"/>
      <c r="Y471" s="53" t="s">
        <v>158</v>
      </c>
      <c r="Z471" s="54">
        <v>0</v>
      </c>
      <c r="AA471" s="25">
        <f>VLOOKUP(F471,'Zones '!$A$2:$F$2056,6,FALSE)</f>
        <v>1037</v>
      </c>
      <c r="AB471" s="25">
        <f>VLOOKUP(L471,'Zones '!$A$2:$F$2056,6,FALSE)</f>
        <v>1397</v>
      </c>
    </row>
    <row r="472" spans="2:28">
      <c r="B472" s="40">
        <v>0.81388888888888899</v>
      </c>
      <c r="C472" s="40" t="s">
        <v>651</v>
      </c>
      <c r="D472" s="41">
        <v>8</v>
      </c>
      <c r="E472" s="42">
        <v>2</v>
      </c>
      <c r="F472" s="42" t="s">
        <v>197</v>
      </c>
      <c r="G472" s="43" t="s">
        <v>197</v>
      </c>
      <c r="H472" s="42" t="s">
        <v>157</v>
      </c>
      <c r="I472" s="43">
        <v>7</v>
      </c>
      <c r="J472" s="43">
        <v>4</v>
      </c>
      <c r="K472" s="25" t="str">
        <f>VLOOKUP(J472,Key!$E$2:$F$9,2,FALSE)</f>
        <v>Commercial</v>
      </c>
      <c r="L472" s="42" t="s">
        <v>150</v>
      </c>
      <c r="M472" s="43" t="s">
        <v>156</v>
      </c>
      <c r="N472" s="42" t="s">
        <v>157</v>
      </c>
      <c r="O472" s="43">
        <v>10</v>
      </c>
      <c r="P472" s="43">
        <v>4</v>
      </c>
      <c r="Q472" s="25" t="str">
        <f>VLOOKUP(P472,Key!$E$2:$F$9,2,FALSE)</f>
        <v>Commercial</v>
      </c>
      <c r="R472" s="25" t="str">
        <f t="shared" si="10"/>
        <v>Commercial-Commercial</v>
      </c>
      <c r="S472" s="52">
        <v>138</v>
      </c>
      <c r="T472" s="52">
        <v>3</v>
      </c>
      <c r="U472" s="43">
        <v>1</v>
      </c>
      <c r="V472" s="43">
        <v>4</v>
      </c>
      <c r="W472" s="52">
        <v>2</v>
      </c>
      <c r="X472" s="52">
        <v>7</v>
      </c>
      <c r="Y472" s="53" t="s">
        <v>158</v>
      </c>
      <c r="Z472" s="54">
        <v>0</v>
      </c>
      <c r="AA472" s="25">
        <f>VLOOKUP(F472,'Zones '!$A$2:$F$2056,6,FALSE)</f>
        <v>937</v>
      </c>
      <c r="AB472" s="25">
        <f>VLOOKUP(L472,'Zones '!$A$2:$F$2056,6,FALSE)</f>
        <v>1397</v>
      </c>
    </row>
    <row r="473" spans="2:28">
      <c r="B473" s="40">
        <v>0.82291666666666663</v>
      </c>
      <c r="C473" s="40" t="s">
        <v>652</v>
      </c>
      <c r="D473" s="41">
        <v>1</v>
      </c>
      <c r="E473" s="42">
        <v>2</v>
      </c>
      <c r="F473" s="42" t="s">
        <v>339</v>
      </c>
      <c r="G473" s="43" t="s">
        <v>187</v>
      </c>
      <c r="H473" s="42" t="s">
        <v>157</v>
      </c>
      <c r="I473" s="43">
        <v>2</v>
      </c>
      <c r="J473" s="43">
        <v>2</v>
      </c>
      <c r="K473" s="25" t="str">
        <f>VLOOKUP(J473,Key!$E$2:$F$9,2,FALSE)</f>
        <v>Work</v>
      </c>
      <c r="L473" s="42" t="s">
        <v>150</v>
      </c>
      <c r="M473" s="43" t="s">
        <v>156</v>
      </c>
      <c r="N473" s="42" t="s">
        <v>157</v>
      </c>
      <c r="O473" s="43">
        <v>1</v>
      </c>
      <c r="P473" s="43">
        <v>1</v>
      </c>
      <c r="Q473" s="25" t="str">
        <f>VLOOKUP(P473,Key!$E$2:$F$9,2,FALSE)</f>
        <v>Home</v>
      </c>
      <c r="R473" s="25" t="str">
        <f t="shared" si="10"/>
        <v>Work-Home</v>
      </c>
      <c r="S473" s="52">
        <v>8</v>
      </c>
      <c r="T473" s="52">
        <v>1</v>
      </c>
      <c r="U473" s="43">
        <v>1</v>
      </c>
      <c r="V473" s="43"/>
      <c r="W473" s="52"/>
      <c r="X473" s="52"/>
      <c r="Y473" s="53" t="s">
        <v>385</v>
      </c>
      <c r="Z473" s="54">
        <v>0</v>
      </c>
      <c r="AA473" s="25">
        <f>VLOOKUP(F473,'Zones '!$A$2:$F$2056,6,FALSE)</f>
        <v>517</v>
      </c>
      <c r="AB473" s="25">
        <f>VLOOKUP(L473,'Zones '!$A$2:$F$2056,6,FALSE)</f>
        <v>1397</v>
      </c>
    </row>
    <row r="474" spans="2:28">
      <c r="B474" s="40">
        <v>0.82638888888888884</v>
      </c>
      <c r="C474" s="40" t="s">
        <v>653</v>
      </c>
      <c r="D474" s="41">
        <v>1</v>
      </c>
      <c r="E474" s="42">
        <v>3</v>
      </c>
      <c r="F474" s="42" t="s">
        <v>247</v>
      </c>
      <c r="G474" s="43" t="s">
        <v>187</v>
      </c>
      <c r="H474" s="42" t="s">
        <v>157</v>
      </c>
      <c r="I474" s="43">
        <v>2</v>
      </c>
      <c r="J474" s="43">
        <v>2</v>
      </c>
      <c r="K474" s="25" t="str">
        <f>VLOOKUP(J474,Key!$E$2:$F$9,2,FALSE)</f>
        <v>Work</v>
      </c>
      <c r="L474" s="42" t="s">
        <v>207</v>
      </c>
      <c r="M474" s="43" t="s">
        <v>187</v>
      </c>
      <c r="N474" s="42" t="s">
        <v>157</v>
      </c>
      <c r="O474" s="43">
        <v>1</v>
      </c>
      <c r="P474" s="43">
        <v>1</v>
      </c>
      <c r="Q474" s="25" t="str">
        <f>VLOOKUP(P474,Key!$E$2:$F$9,2,FALSE)</f>
        <v>Home</v>
      </c>
      <c r="R474" s="25" t="str">
        <f t="shared" si="10"/>
        <v>Work-Home</v>
      </c>
      <c r="S474" s="52">
        <v>10</v>
      </c>
      <c r="T474" s="52">
        <v>1</v>
      </c>
      <c r="U474" s="43">
        <v>1</v>
      </c>
      <c r="V474" s="43"/>
      <c r="W474" s="52"/>
      <c r="X474" s="52"/>
      <c r="Y474" s="53" t="s">
        <v>158</v>
      </c>
      <c r="Z474" s="54">
        <v>0</v>
      </c>
      <c r="AA474" s="25">
        <f>VLOOKUP(F474,'Zones '!$A$2:$F$2056,6,FALSE)</f>
        <v>572</v>
      </c>
      <c r="AB474" s="25">
        <f>VLOOKUP(L474,'Zones '!$A$2:$F$2056,6,FALSE)</f>
        <v>1397</v>
      </c>
    </row>
    <row r="475" spans="2:28">
      <c r="B475" s="40">
        <v>0.84166666666666667</v>
      </c>
      <c r="C475" s="40" t="s">
        <v>493</v>
      </c>
      <c r="D475" s="41">
        <v>2</v>
      </c>
      <c r="E475" s="42">
        <v>1</v>
      </c>
      <c r="F475" s="42" t="s">
        <v>224</v>
      </c>
      <c r="G475" s="43" t="s">
        <v>224</v>
      </c>
      <c r="H475" s="42" t="s">
        <v>157</v>
      </c>
      <c r="I475" s="43">
        <v>2</v>
      </c>
      <c r="J475" s="43">
        <v>2</v>
      </c>
      <c r="K475" s="25" t="str">
        <f>VLOOKUP(J475,Key!$E$2:$F$9,2,FALSE)</f>
        <v>Work</v>
      </c>
      <c r="L475" s="42" t="s">
        <v>510</v>
      </c>
      <c r="M475" s="43" t="s">
        <v>156</v>
      </c>
      <c r="N475" s="42" t="s">
        <v>157</v>
      </c>
      <c r="O475" s="43">
        <v>1</v>
      </c>
      <c r="P475" s="43">
        <v>1</v>
      </c>
      <c r="Q475" s="25" t="str">
        <f>VLOOKUP(P475,Key!$E$2:$F$9,2,FALSE)</f>
        <v>Home</v>
      </c>
      <c r="R475" s="25" t="str">
        <f t="shared" si="10"/>
        <v>Work-Home</v>
      </c>
      <c r="S475" s="52">
        <v>40</v>
      </c>
      <c r="T475" s="52">
        <v>1</v>
      </c>
      <c r="U475" s="43">
        <v>1</v>
      </c>
      <c r="V475" s="43"/>
      <c r="W475" s="52"/>
      <c r="X475" s="52"/>
      <c r="Y475" s="53" t="s">
        <v>158</v>
      </c>
      <c r="Z475" s="54">
        <v>3000</v>
      </c>
      <c r="AA475" s="25">
        <f>VLOOKUP(F475,'Zones '!$A$2:$F$2056,6,FALSE)</f>
        <v>1037</v>
      </c>
      <c r="AB475" s="25">
        <f>VLOOKUP(L475,'Zones '!$A$2:$F$2056,6,FALSE)</f>
        <v>1368</v>
      </c>
    </row>
    <row r="476" spans="2:28">
      <c r="B476" s="40">
        <v>0.84305555555555556</v>
      </c>
      <c r="C476" s="40" t="s">
        <v>655</v>
      </c>
      <c r="D476" s="41">
        <v>2</v>
      </c>
      <c r="E476" s="42">
        <v>2</v>
      </c>
      <c r="F476" s="42" t="s">
        <v>197</v>
      </c>
      <c r="G476" s="43" t="s">
        <v>197</v>
      </c>
      <c r="H476" s="42" t="s">
        <v>157</v>
      </c>
      <c r="I476" s="43">
        <v>2</v>
      </c>
      <c r="J476" s="43">
        <v>2</v>
      </c>
      <c r="K476" s="25" t="str">
        <f>VLOOKUP(J476,Key!$E$2:$F$9,2,FALSE)</f>
        <v>Work</v>
      </c>
      <c r="L476" s="42" t="s">
        <v>207</v>
      </c>
      <c r="M476" s="43" t="s">
        <v>156</v>
      </c>
      <c r="N476" s="42" t="s">
        <v>157</v>
      </c>
      <c r="O476" s="43">
        <v>1</v>
      </c>
      <c r="P476" s="43">
        <v>1</v>
      </c>
      <c r="Q476" s="25" t="str">
        <f>VLOOKUP(P476,Key!$E$2:$F$9,2,FALSE)</f>
        <v>Home</v>
      </c>
      <c r="R476" s="25" t="str">
        <f t="shared" si="10"/>
        <v>Work-Home</v>
      </c>
      <c r="S476" s="52">
        <v>138</v>
      </c>
      <c r="T476" s="52">
        <v>2</v>
      </c>
      <c r="U476" s="43">
        <v>1</v>
      </c>
      <c r="V476" s="43"/>
      <c r="W476" s="52"/>
      <c r="X476" s="52"/>
      <c r="Y476" s="53" t="s">
        <v>158</v>
      </c>
      <c r="Z476" s="54">
        <v>0</v>
      </c>
      <c r="AA476" s="25">
        <f>VLOOKUP(F476,'Zones '!$A$2:$F$2056,6,FALSE)</f>
        <v>937</v>
      </c>
      <c r="AB476" s="25">
        <f>VLOOKUP(L476,'Zones '!$A$2:$F$2056,6,FALSE)</f>
        <v>1397</v>
      </c>
    </row>
    <row r="477" spans="2:28">
      <c r="B477" s="40">
        <v>0.84722222222222221</v>
      </c>
      <c r="C477" s="40" t="s">
        <v>656</v>
      </c>
      <c r="D477" s="41">
        <v>2</v>
      </c>
      <c r="E477" s="42">
        <v>2</v>
      </c>
      <c r="F477" s="42" t="s">
        <v>150</v>
      </c>
      <c r="G477" s="43" t="s">
        <v>156</v>
      </c>
      <c r="H477" s="42" t="s">
        <v>157</v>
      </c>
      <c r="I477" s="43">
        <v>11</v>
      </c>
      <c r="J477" s="43">
        <v>2</v>
      </c>
      <c r="K477" s="25" t="str">
        <f>VLOOKUP(J477,Key!$E$2:$F$9,2,FALSE)</f>
        <v>Work</v>
      </c>
      <c r="L477" s="42" t="s">
        <v>207</v>
      </c>
      <c r="M477" s="43" t="s">
        <v>156</v>
      </c>
      <c r="N477" s="42" t="s">
        <v>157</v>
      </c>
      <c r="O477" s="43">
        <v>1</v>
      </c>
      <c r="P477" s="43">
        <v>1</v>
      </c>
      <c r="Q477" s="25" t="str">
        <f>VLOOKUP(P477,Key!$E$2:$F$9,2,FALSE)</f>
        <v>Home</v>
      </c>
      <c r="R477" s="25" t="str">
        <f t="shared" si="10"/>
        <v>Work-Home</v>
      </c>
      <c r="S477" s="52">
        <v>3</v>
      </c>
      <c r="T477" s="52">
        <v>0.2</v>
      </c>
      <c r="U477" s="43">
        <v>1</v>
      </c>
      <c r="V477" s="43"/>
      <c r="W477" s="52"/>
      <c r="X477" s="52"/>
      <c r="Y477" s="53" t="s">
        <v>158</v>
      </c>
      <c r="Z477" s="54">
        <v>0</v>
      </c>
      <c r="AA477" s="25">
        <f>VLOOKUP(F477,'Zones '!$A$2:$F$2056,6,FALSE)</f>
        <v>1397</v>
      </c>
      <c r="AB477" s="25">
        <f>VLOOKUP(L477,'Zones '!$A$2:$F$2056,6,FALSE)</f>
        <v>1397</v>
      </c>
    </row>
    <row r="478" spans="2:28">
      <c r="B478" s="40">
        <v>0.85069444444444453</v>
      </c>
      <c r="C478" s="40" t="s">
        <v>657</v>
      </c>
      <c r="D478" s="41">
        <v>1</v>
      </c>
      <c r="E478" s="42">
        <v>1</v>
      </c>
      <c r="F478" s="42" t="s">
        <v>187</v>
      </c>
      <c r="G478" s="43" t="s">
        <v>187</v>
      </c>
      <c r="H478" s="42" t="s">
        <v>157</v>
      </c>
      <c r="I478" s="43">
        <v>2</v>
      </c>
      <c r="J478" s="43">
        <v>2</v>
      </c>
      <c r="K478" s="25" t="str">
        <f>VLOOKUP(J478,Key!$E$2:$F$9,2,FALSE)</f>
        <v>Work</v>
      </c>
      <c r="L478" s="42" t="s">
        <v>2855</v>
      </c>
      <c r="M478" s="43" t="s">
        <v>156</v>
      </c>
      <c r="N478" s="42" t="s">
        <v>157</v>
      </c>
      <c r="O478" s="43">
        <v>1</v>
      </c>
      <c r="P478" s="43">
        <v>1</v>
      </c>
      <c r="Q478" s="25" t="str">
        <f>VLOOKUP(P478,Key!$E$2:$F$9,2,FALSE)</f>
        <v>Home</v>
      </c>
      <c r="R478" s="25" t="str">
        <f t="shared" si="10"/>
        <v>Work-Home</v>
      </c>
      <c r="S478" s="52">
        <v>9</v>
      </c>
      <c r="T478" s="52">
        <v>1</v>
      </c>
      <c r="U478" s="43">
        <v>1</v>
      </c>
      <c r="V478" s="43"/>
      <c r="W478" s="52"/>
      <c r="X478" s="52"/>
      <c r="Y478" s="53" t="s">
        <v>158</v>
      </c>
      <c r="Z478" s="54">
        <v>2000</v>
      </c>
      <c r="AA478" s="25">
        <f>VLOOKUP(F478,'Zones '!$A$2:$F$2056,6,FALSE)</f>
        <v>521</v>
      </c>
      <c r="AB478" s="25">
        <f>VLOOKUP(L478,'Zones '!$A$2:$F$2056,6,FALSE)</f>
        <v>1406</v>
      </c>
    </row>
    <row r="479" spans="2:28">
      <c r="B479" s="40">
        <v>0.8534722222222223</v>
      </c>
      <c r="C479" s="40" t="s">
        <v>659</v>
      </c>
      <c r="D479" s="41">
        <v>1</v>
      </c>
      <c r="E479" s="42">
        <v>2</v>
      </c>
      <c r="F479" s="42" t="s">
        <v>187</v>
      </c>
      <c r="G479" s="43" t="s">
        <v>187</v>
      </c>
      <c r="H479" s="42" t="s">
        <v>157</v>
      </c>
      <c r="I479" s="43">
        <v>2</v>
      </c>
      <c r="J479" s="43">
        <v>2</v>
      </c>
      <c r="K479" s="25" t="str">
        <f>VLOOKUP(J479,Key!$E$2:$F$9,2,FALSE)</f>
        <v>Work</v>
      </c>
      <c r="L479" s="42" t="s">
        <v>226</v>
      </c>
      <c r="M479" s="43" t="s">
        <v>156</v>
      </c>
      <c r="N479" s="42" t="s">
        <v>157</v>
      </c>
      <c r="O479" s="43">
        <v>1</v>
      </c>
      <c r="P479" s="43">
        <v>1</v>
      </c>
      <c r="Q479" s="25" t="str">
        <f>VLOOKUP(P479,Key!$E$2:$F$9,2,FALSE)</f>
        <v>Home</v>
      </c>
      <c r="R479" s="25" t="str">
        <f t="shared" si="10"/>
        <v>Work-Home</v>
      </c>
      <c r="S479" s="52">
        <v>20</v>
      </c>
      <c r="T479" s="52">
        <v>1</v>
      </c>
      <c r="U479" s="43">
        <v>1</v>
      </c>
      <c r="V479" s="43"/>
      <c r="W479" s="52"/>
      <c r="X479" s="52"/>
      <c r="Y479" s="53" t="s">
        <v>158</v>
      </c>
      <c r="Z479" s="54">
        <v>1000</v>
      </c>
      <c r="AA479" s="25">
        <f>VLOOKUP(F479,'Zones '!$A$2:$F$2056,6,FALSE)</f>
        <v>521</v>
      </c>
      <c r="AB479" s="25">
        <f>VLOOKUP(L479,'Zones '!$A$2:$F$2056,6,FALSE)</f>
        <v>1397</v>
      </c>
    </row>
    <row r="480" spans="2:28">
      <c r="B480" s="40">
        <v>0.86041666666666661</v>
      </c>
      <c r="C480" s="40" t="s">
        <v>660</v>
      </c>
      <c r="D480" s="41">
        <v>1</v>
      </c>
      <c r="E480" s="42">
        <v>1</v>
      </c>
      <c r="F480" s="42" t="s">
        <v>650</v>
      </c>
      <c r="G480" s="43" t="s">
        <v>224</v>
      </c>
      <c r="H480" s="42" t="s">
        <v>157</v>
      </c>
      <c r="I480" s="43">
        <v>16</v>
      </c>
      <c r="J480" s="43">
        <v>2</v>
      </c>
      <c r="K480" s="25" t="str">
        <f>VLOOKUP(J480,Key!$E$2:$F$9,2,FALSE)</f>
        <v>Work</v>
      </c>
      <c r="L480" s="42" t="s">
        <v>226</v>
      </c>
      <c r="M480" s="43" t="s">
        <v>156</v>
      </c>
      <c r="N480" s="42" t="s">
        <v>157</v>
      </c>
      <c r="O480" s="43">
        <v>1</v>
      </c>
      <c r="P480" s="43">
        <v>1</v>
      </c>
      <c r="Q480" s="25" t="str">
        <f>VLOOKUP(P480,Key!$E$2:$F$9,2,FALSE)</f>
        <v>Home</v>
      </c>
      <c r="R480" s="25" t="str">
        <f t="shared" si="10"/>
        <v>Work-Home</v>
      </c>
      <c r="S480" s="52">
        <v>85</v>
      </c>
      <c r="T480" s="52">
        <v>0.7</v>
      </c>
      <c r="U480" s="43">
        <v>1</v>
      </c>
      <c r="V480" s="43"/>
      <c r="W480" s="52"/>
      <c r="X480" s="52"/>
      <c r="Y480" s="53" t="s">
        <v>158</v>
      </c>
      <c r="Z480" s="54">
        <v>0</v>
      </c>
      <c r="AA480" s="25">
        <f>VLOOKUP(F480,'Zones '!$A$2:$F$2056,6,FALSE)</f>
        <v>1037</v>
      </c>
      <c r="AB480" s="25">
        <f>VLOOKUP(L480,'Zones '!$A$2:$F$2056,6,FALSE)</f>
        <v>1397</v>
      </c>
    </row>
    <row r="481" spans="2:28">
      <c r="B481" s="40">
        <v>0.86111111111111116</v>
      </c>
      <c r="C481" s="40" t="s">
        <v>661</v>
      </c>
      <c r="D481" s="41">
        <v>1</v>
      </c>
      <c r="E481" s="42">
        <v>1</v>
      </c>
      <c r="F481" s="42" t="s">
        <v>187</v>
      </c>
      <c r="G481" s="43" t="s">
        <v>187</v>
      </c>
      <c r="H481" s="42" t="s">
        <v>157</v>
      </c>
      <c r="I481" s="43">
        <v>2</v>
      </c>
      <c r="J481" s="43">
        <v>2</v>
      </c>
      <c r="K481" s="25" t="str">
        <f>VLOOKUP(J481,Key!$E$2:$F$9,2,FALSE)</f>
        <v>Work</v>
      </c>
      <c r="L481" s="42" t="s">
        <v>160</v>
      </c>
      <c r="M481" s="43" t="s">
        <v>156</v>
      </c>
      <c r="N481" s="42" t="s">
        <v>157</v>
      </c>
      <c r="O481" s="43">
        <v>1</v>
      </c>
      <c r="P481" s="43">
        <v>1</v>
      </c>
      <c r="Q481" s="25" t="str">
        <f>VLOOKUP(P481,Key!$E$2:$F$9,2,FALSE)</f>
        <v>Home</v>
      </c>
      <c r="R481" s="25" t="str">
        <f t="shared" si="10"/>
        <v>Work-Home</v>
      </c>
      <c r="S481" s="52">
        <v>22</v>
      </c>
      <c r="T481" s="52">
        <v>1</v>
      </c>
      <c r="U481" s="43">
        <v>1</v>
      </c>
      <c r="V481" s="43"/>
      <c r="W481" s="52"/>
      <c r="X481" s="52"/>
      <c r="Y481" s="53" t="s">
        <v>158</v>
      </c>
      <c r="Z481" s="54">
        <v>0</v>
      </c>
      <c r="AA481" s="25">
        <f>VLOOKUP(F481,'Zones '!$A$2:$F$2056,6,FALSE)</f>
        <v>521</v>
      </c>
      <c r="AB481" s="25">
        <f>VLOOKUP(L481,'Zones '!$A$2:$F$2056,6,FALSE)</f>
        <v>589</v>
      </c>
    </row>
    <row r="482" spans="2:28">
      <c r="B482" s="40">
        <v>0.86458333333333337</v>
      </c>
      <c r="C482" s="40" t="s">
        <v>662</v>
      </c>
      <c r="D482" s="41">
        <v>2</v>
      </c>
      <c r="E482" s="42">
        <v>5</v>
      </c>
      <c r="F482" s="42" t="s">
        <v>197</v>
      </c>
      <c r="G482" s="43" t="s">
        <v>197</v>
      </c>
      <c r="H482" s="42" t="s">
        <v>157</v>
      </c>
      <c r="I482" s="43">
        <v>16</v>
      </c>
      <c r="J482" s="43">
        <v>6</v>
      </c>
      <c r="K482" s="25" t="str">
        <f>VLOOKUP(J482,Key!$E$2:$F$9,2,FALSE)</f>
        <v>Leisure/Social</v>
      </c>
      <c r="L482" s="42" t="s">
        <v>215</v>
      </c>
      <c r="M482" s="43" t="s">
        <v>156</v>
      </c>
      <c r="N482" s="42" t="s">
        <v>157</v>
      </c>
      <c r="O482" s="43">
        <v>16</v>
      </c>
      <c r="P482" s="43">
        <v>1</v>
      </c>
      <c r="Q482" s="25" t="str">
        <f>VLOOKUP(P482,Key!$E$2:$F$9,2,FALSE)</f>
        <v>Home</v>
      </c>
      <c r="R482" s="25" t="str">
        <f t="shared" si="10"/>
        <v>Leisure/Social-Home</v>
      </c>
      <c r="S482" s="52">
        <v>250</v>
      </c>
      <c r="T482" s="52">
        <v>5</v>
      </c>
      <c r="U482" s="43">
        <v>6</v>
      </c>
      <c r="V482" s="43"/>
      <c r="W482" s="52"/>
      <c r="X482" s="52"/>
      <c r="Y482" s="53" t="s">
        <v>158</v>
      </c>
      <c r="Z482" s="54">
        <v>0</v>
      </c>
      <c r="AA482" s="25">
        <f>VLOOKUP(F482,'Zones '!$A$2:$F$2056,6,FALSE)</f>
        <v>937</v>
      </c>
      <c r="AB482" s="25">
        <f>VLOOKUP(L482,'Zones '!$A$2:$F$2056,6,FALSE)</f>
        <v>1388</v>
      </c>
    </row>
    <row r="483" spans="2:28">
      <c r="B483" s="40">
        <v>0.875</v>
      </c>
      <c r="C483" s="40" t="s">
        <v>569</v>
      </c>
      <c r="D483" s="41">
        <v>2</v>
      </c>
      <c r="E483" s="42">
        <v>2</v>
      </c>
      <c r="F483" s="42" t="s">
        <v>187</v>
      </c>
      <c r="G483" s="43" t="s">
        <v>187</v>
      </c>
      <c r="H483" s="42" t="s">
        <v>157</v>
      </c>
      <c r="I483" s="43">
        <v>2</v>
      </c>
      <c r="J483" s="43">
        <v>2</v>
      </c>
      <c r="K483" s="25" t="str">
        <f>VLOOKUP(J483,Key!$E$2:$F$9,2,FALSE)</f>
        <v>Work</v>
      </c>
      <c r="L483" s="42" t="s">
        <v>155</v>
      </c>
      <c r="M483" s="43" t="s">
        <v>156</v>
      </c>
      <c r="N483" s="42" t="s">
        <v>157</v>
      </c>
      <c r="O483" s="43">
        <v>1</v>
      </c>
      <c r="P483" s="43">
        <v>1</v>
      </c>
      <c r="Q483" s="25" t="str">
        <f>VLOOKUP(P483,Key!$E$2:$F$9,2,FALSE)</f>
        <v>Home</v>
      </c>
      <c r="R483" s="25" t="str">
        <f t="shared" si="10"/>
        <v>Work-Home</v>
      </c>
      <c r="S483" s="52">
        <v>9</v>
      </c>
      <c r="T483" s="52">
        <v>1</v>
      </c>
      <c r="U483" s="43">
        <v>1</v>
      </c>
      <c r="V483" s="43"/>
      <c r="W483" s="52"/>
      <c r="X483" s="52"/>
      <c r="Y483" s="53" t="s">
        <v>158</v>
      </c>
      <c r="Z483" s="54">
        <v>0</v>
      </c>
      <c r="AA483" s="25">
        <f>VLOOKUP(F483,'Zones '!$A$2:$F$2056,6,FALSE)</f>
        <v>521</v>
      </c>
      <c r="AB483" s="25">
        <f>VLOOKUP(L483,'Zones '!$A$2:$F$2056,6,FALSE)</f>
        <v>1397</v>
      </c>
    </row>
    <row r="484" spans="2:28">
      <c r="B484" s="40">
        <v>0.88888888888888884</v>
      </c>
      <c r="C484" s="40" t="s">
        <v>663</v>
      </c>
      <c r="D484" s="41">
        <v>1</v>
      </c>
      <c r="E484" s="42">
        <v>3</v>
      </c>
      <c r="F484" s="42" t="s">
        <v>187</v>
      </c>
      <c r="G484" s="43" t="s">
        <v>187</v>
      </c>
      <c r="H484" s="42" t="s">
        <v>157</v>
      </c>
      <c r="I484" s="43">
        <v>2</v>
      </c>
      <c r="J484" s="43">
        <v>2</v>
      </c>
      <c r="K484" s="25" t="str">
        <f>VLOOKUP(J484,Key!$E$2:$F$9,2,FALSE)</f>
        <v>Work</v>
      </c>
      <c r="L484" s="42" t="s">
        <v>150</v>
      </c>
      <c r="M484" s="43" t="s">
        <v>156</v>
      </c>
      <c r="N484" s="42" t="s">
        <v>157</v>
      </c>
      <c r="O484" s="43">
        <v>1</v>
      </c>
      <c r="P484" s="43">
        <v>1</v>
      </c>
      <c r="Q484" s="25" t="str">
        <f>VLOOKUP(P484,Key!$E$2:$F$9,2,FALSE)</f>
        <v>Home</v>
      </c>
      <c r="R484" s="25" t="str">
        <f t="shared" si="10"/>
        <v>Work-Home</v>
      </c>
      <c r="S484" s="52">
        <v>10</v>
      </c>
      <c r="T484" s="52">
        <v>1</v>
      </c>
      <c r="U484" s="43">
        <v>1</v>
      </c>
      <c r="V484" s="43">
        <v>12</v>
      </c>
      <c r="W484" s="52">
        <v>5</v>
      </c>
      <c r="X484" s="52"/>
      <c r="Y484" s="53" t="s">
        <v>158</v>
      </c>
      <c r="Z484" s="54">
        <v>0</v>
      </c>
      <c r="AA484" s="25">
        <f>VLOOKUP(F484,'Zones '!$A$2:$F$2056,6,FALSE)</f>
        <v>521</v>
      </c>
      <c r="AB484" s="25">
        <f>VLOOKUP(L484,'Zones '!$A$2:$F$2056,6,FALSE)</f>
        <v>1397</v>
      </c>
    </row>
    <row r="485" spans="2:28">
      <c r="B485" s="40">
        <v>0.82986111111111116</v>
      </c>
      <c r="C485" s="40" t="s">
        <v>664</v>
      </c>
      <c r="D485" s="41">
        <v>1</v>
      </c>
      <c r="E485" s="42">
        <v>1</v>
      </c>
      <c r="F485" s="42" t="s">
        <v>164</v>
      </c>
      <c r="G485" s="43" t="s">
        <v>156</v>
      </c>
      <c r="H485" s="42" t="s">
        <v>157</v>
      </c>
      <c r="I485" s="43">
        <v>2</v>
      </c>
      <c r="J485" s="43">
        <v>2</v>
      </c>
      <c r="K485" s="25" t="str">
        <f>VLOOKUP(J485,Key!$E$2:$F$9,2,FALSE)</f>
        <v>Work</v>
      </c>
      <c r="L485" s="42" t="s">
        <v>155</v>
      </c>
      <c r="M485" s="43" t="s">
        <v>156</v>
      </c>
      <c r="N485" s="42" t="s">
        <v>157</v>
      </c>
      <c r="O485" s="43">
        <v>1</v>
      </c>
      <c r="P485" s="43">
        <v>1</v>
      </c>
      <c r="Q485" s="25" t="str">
        <f>VLOOKUP(P485,Key!$E$2:$F$9,2,FALSE)</f>
        <v>Home</v>
      </c>
      <c r="R485" s="25" t="str">
        <f t="shared" si="10"/>
        <v>Work-Home</v>
      </c>
      <c r="S485" s="52">
        <v>120</v>
      </c>
      <c r="T485" s="52">
        <v>7</v>
      </c>
      <c r="U485" s="43">
        <v>1</v>
      </c>
      <c r="V485" s="43"/>
      <c r="W485" s="52"/>
      <c r="X485" s="52"/>
      <c r="Y485" s="53" t="s">
        <v>158</v>
      </c>
      <c r="Z485" s="54">
        <v>0</v>
      </c>
      <c r="AA485" s="25">
        <f>VLOOKUP(F485,'Zones '!$A$2:$F$2056,6,FALSE)</f>
        <v>1397</v>
      </c>
      <c r="AB485" s="25">
        <f>VLOOKUP(L485,'Zones '!$A$2:$F$2056,6,FALSE)</f>
        <v>1397</v>
      </c>
    </row>
    <row r="486" spans="2:28">
      <c r="B486" s="40">
        <v>0.84166666666666667</v>
      </c>
      <c r="C486" s="40" t="s">
        <v>665</v>
      </c>
      <c r="D486" s="41">
        <v>1</v>
      </c>
      <c r="E486" s="42">
        <v>1</v>
      </c>
      <c r="F486" s="42" t="s">
        <v>216</v>
      </c>
      <c r="G486" s="43" t="s">
        <v>224</v>
      </c>
      <c r="H486" s="42" t="s">
        <v>157</v>
      </c>
      <c r="I486" s="43">
        <v>1</v>
      </c>
      <c r="J486" s="43">
        <v>1</v>
      </c>
      <c r="K486" s="25" t="str">
        <f>VLOOKUP(J486,Key!$E$2:$F$9,2,FALSE)</f>
        <v>Home</v>
      </c>
      <c r="L486" s="42" t="s">
        <v>160</v>
      </c>
      <c r="M486" s="43" t="s">
        <v>156</v>
      </c>
      <c r="N486" s="42" t="s">
        <v>157</v>
      </c>
      <c r="O486" s="43">
        <v>1</v>
      </c>
      <c r="P486" s="43">
        <v>1</v>
      </c>
      <c r="Q486" s="25" t="str">
        <f>VLOOKUP(P486,Key!$E$2:$F$9,2,FALSE)</f>
        <v>Home</v>
      </c>
      <c r="R486" s="25" t="str">
        <f t="shared" si="10"/>
        <v>Home-Home</v>
      </c>
      <c r="S486" s="52">
        <v>20</v>
      </c>
      <c r="T486" s="52">
        <v>1</v>
      </c>
      <c r="U486" s="43">
        <v>1</v>
      </c>
      <c r="V486" s="43"/>
      <c r="W486" s="52"/>
      <c r="X486" s="52"/>
      <c r="Y486" s="53" t="s">
        <v>158</v>
      </c>
      <c r="Z486" s="54">
        <v>1000</v>
      </c>
      <c r="AA486" s="25">
        <f>VLOOKUP(F486,'Zones '!$A$2:$F$2056,6,FALSE)</f>
        <v>1397</v>
      </c>
      <c r="AB486" s="25">
        <f>VLOOKUP(L486,'Zones '!$A$2:$F$2056,6,FALSE)</f>
        <v>589</v>
      </c>
    </row>
    <row r="487" spans="2:28">
      <c r="B487" s="40">
        <v>0.89583333333333337</v>
      </c>
      <c r="C487" s="40" t="s">
        <v>666</v>
      </c>
      <c r="D487" s="41">
        <v>1</v>
      </c>
      <c r="E487" s="42">
        <v>2</v>
      </c>
      <c r="F487" s="42" t="s">
        <v>187</v>
      </c>
      <c r="G487" s="43" t="s">
        <v>187</v>
      </c>
      <c r="H487" s="42" t="s">
        <v>157</v>
      </c>
      <c r="I487" s="43">
        <v>2</v>
      </c>
      <c r="J487" s="43">
        <v>2</v>
      </c>
      <c r="K487" s="25" t="str">
        <f>VLOOKUP(J487,Key!$E$2:$F$9,2,FALSE)</f>
        <v>Work</v>
      </c>
      <c r="L487" s="42" t="s">
        <v>150</v>
      </c>
      <c r="M487" s="43" t="s">
        <v>156</v>
      </c>
      <c r="N487" s="42" t="s">
        <v>157</v>
      </c>
      <c r="O487" s="43">
        <v>1</v>
      </c>
      <c r="P487" s="43">
        <v>1</v>
      </c>
      <c r="Q487" s="25" t="str">
        <f>VLOOKUP(P487,Key!$E$2:$F$9,2,FALSE)</f>
        <v>Home</v>
      </c>
      <c r="R487" s="25" t="str">
        <f t="shared" si="10"/>
        <v>Work-Home</v>
      </c>
      <c r="S487" s="52">
        <v>10</v>
      </c>
      <c r="T487" s="52">
        <v>1</v>
      </c>
      <c r="U487" s="43">
        <v>1</v>
      </c>
      <c r="V487" s="43"/>
      <c r="W487" s="52"/>
      <c r="X487" s="52"/>
      <c r="Y487" s="53" t="s">
        <v>158</v>
      </c>
      <c r="Z487" s="54">
        <v>0</v>
      </c>
      <c r="AA487" s="25">
        <f>VLOOKUP(F487,'Zones '!$A$2:$F$2056,6,FALSE)</f>
        <v>521</v>
      </c>
      <c r="AB487" s="25">
        <f>VLOOKUP(L487,'Zones '!$A$2:$F$2056,6,FALSE)</f>
        <v>1397</v>
      </c>
    </row>
    <row r="488" spans="2:28">
      <c r="B488" s="40">
        <v>0.89930555555555547</v>
      </c>
      <c r="C488" s="40" t="s">
        <v>667</v>
      </c>
      <c r="D488" s="41">
        <v>1</v>
      </c>
      <c r="E488" s="42">
        <v>2</v>
      </c>
      <c r="F488" s="42" t="s">
        <v>150</v>
      </c>
      <c r="G488" s="43" t="s">
        <v>156</v>
      </c>
      <c r="H488" s="42" t="s">
        <v>157</v>
      </c>
      <c r="I488" s="43">
        <v>2</v>
      </c>
      <c r="J488" s="43">
        <v>2</v>
      </c>
      <c r="K488" s="25" t="str">
        <f>VLOOKUP(J488,Key!$E$2:$F$9,2,FALSE)</f>
        <v>Work</v>
      </c>
      <c r="L488" s="42" t="s">
        <v>155</v>
      </c>
      <c r="M488" s="43" t="s">
        <v>156</v>
      </c>
      <c r="N488" s="42" t="s">
        <v>157</v>
      </c>
      <c r="O488" s="43">
        <v>1</v>
      </c>
      <c r="P488" s="43">
        <v>1</v>
      </c>
      <c r="Q488" s="25" t="str">
        <f>VLOOKUP(P488,Key!$E$2:$F$9,2,FALSE)</f>
        <v>Home</v>
      </c>
      <c r="R488" s="25" t="str">
        <f t="shared" si="10"/>
        <v>Work-Home</v>
      </c>
      <c r="S488" s="52">
        <v>3</v>
      </c>
      <c r="T488" s="52">
        <v>1</v>
      </c>
      <c r="U488" s="43">
        <v>1</v>
      </c>
      <c r="V488" s="43"/>
      <c r="W488" s="52"/>
      <c r="X488" s="52"/>
      <c r="Y488" s="53" t="s">
        <v>158</v>
      </c>
      <c r="Z488" s="54">
        <v>1000</v>
      </c>
      <c r="AA488" s="25">
        <f>VLOOKUP(F488,'Zones '!$A$2:$F$2056,6,FALSE)</f>
        <v>1397</v>
      </c>
      <c r="AB488" s="25">
        <f>VLOOKUP(L488,'Zones '!$A$2:$F$2056,6,FALSE)</f>
        <v>1397</v>
      </c>
    </row>
    <row r="489" spans="2:28">
      <c r="B489" s="40">
        <v>0.90625</v>
      </c>
      <c r="C489" s="40" t="s">
        <v>284</v>
      </c>
      <c r="D489" s="41">
        <v>2</v>
      </c>
      <c r="E489" s="42">
        <v>4</v>
      </c>
      <c r="F489" s="42" t="s">
        <v>216</v>
      </c>
      <c r="G489" s="43" t="s">
        <v>156</v>
      </c>
      <c r="H489" s="42" t="s">
        <v>157</v>
      </c>
      <c r="I489" s="43">
        <v>2</v>
      </c>
      <c r="J489" s="43">
        <v>2</v>
      </c>
      <c r="K489" s="25" t="str">
        <f>VLOOKUP(J489,Key!$E$2:$F$9,2,FALSE)</f>
        <v>Work</v>
      </c>
      <c r="L489" s="42" t="s">
        <v>155</v>
      </c>
      <c r="M489" s="43" t="s">
        <v>156</v>
      </c>
      <c r="N489" s="42" t="s">
        <v>157</v>
      </c>
      <c r="O489" s="43">
        <v>1</v>
      </c>
      <c r="P489" s="43">
        <v>1</v>
      </c>
      <c r="Q489" s="25" t="str">
        <f>VLOOKUP(P489,Key!$E$2:$F$9,2,FALSE)</f>
        <v>Home</v>
      </c>
      <c r="R489" s="25" t="str">
        <f t="shared" si="10"/>
        <v>Work-Home</v>
      </c>
      <c r="S489" s="52">
        <v>8</v>
      </c>
      <c r="T489" s="52">
        <v>1</v>
      </c>
      <c r="U489" s="43">
        <v>1</v>
      </c>
      <c r="V489" s="43"/>
      <c r="W489" s="52"/>
      <c r="X489" s="52"/>
      <c r="Y489" s="53" t="s">
        <v>158</v>
      </c>
      <c r="Z489" s="54">
        <v>2000</v>
      </c>
      <c r="AA489" s="25">
        <f>VLOOKUP(F489,'Zones '!$A$2:$F$2056,6,FALSE)</f>
        <v>1397</v>
      </c>
      <c r="AB489" s="25">
        <f>VLOOKUP(L489,'Zones '!$A$2:$F$2056,6,FALSE)</f>
        <v>1397</v>
      </c>
    </row>
    <row r="490" spans="2:28">
      <c r="B490" s="40">
        <v>0.90972222222222221</v>
      </c>
      <c r="C490" s="40" t="s">
        <v>668</v>
      </c>
      <c r="D490" s="41">
        <v>1</v>
      </c>
      <c r="E490" s="42">
        <v>2</v>
      </c>
      <c r="F490" s="42" t="s">
        <v>187</v>
      </c>
      <c r="G490" s="43" t="s">
        <v>187</v>
      </c>
      <c r="H490" s="42" t="s">
        <v>157</v>
      </c>
      <c r="I490" s="43">
        <v>2</v>
      </c>
      <c r="J490" s="43">
        <v>2</v>
      </c>
      <c r="K490" s="25" t="str">
        <f>VLOOKUP(J490,Key!$E$2:$F$9,2,FALSE)</f>
        <v>Work</v>
      </c>
      <c r="L490" s="42" t="s">
        <v>2855</v>
      </c>
      <c r="M490" s="43" t="s">
        <v>156</v>
      </c>
      <c r="N490" s="42" t="s">
        <v>157</v>
      </c>
      <c r="O490" s="43">
        <v>1</v>
      </c>
      <c r="P490" s="43">
        <v>1</v>
      </c>
      <c r="Q490" s="25" t="str">
        <f>VLOOKUP(P490,Key!$E$2:$F$9,2,FALSE)</f>
        <v>Home</v>
      </c>
      <c r="R490" s="25" t="str">
        <f t="shared" si="10"/>
        <v>Work-Home</v>
      </c>
      <c r="S490" s="52">
        <v>10</v>
      </c>
      <c r="T490" s="52">
        <v>1</v>
      </c>
      <c r="U490" s="43">
        <v>1</v>
      </c>
      <c r="V490" s="43"/>
      <c r="W490" s="52"/>
      <c r="X490" s="52"/>
      <c r="Y490" s="53" t="s">
        <v>158</v>
      </c>
      <c r="Z490" s="54">
        <v>0</v>
      </c>
      <c r="AA490" s="25">
        <f>VLOOKUP(F490,'Zones '!$A$2:$F$2056,6,FALSE)</f>
        <v>521</v>
      </c>
      <c r="AB490" s="25">
        <f>VLOOKUP(L490,'Zones '!$A$2:$F$2056,6,FALSE)</f>
        <v>1406</v>
      </c>
    </row>
    <row r="491" spans="2:28">
      <c r="B491" s="40">
        <v>0.91319444444444453</v>
      </c>
      <c r="C491" s="40" t="s">
        <v>669</v>
      </c>
      <c r="D491" s="41">
        <v>1</v>
      </c>
      <c r="E491" s="42">
        <v>1</v>
      </c>
      <c r="F491" s="42" t="s">
        <v>187</v>
      </c>
      <c r="G491" s="43" t="s">
        <v>187</v>
      </c>
      <c r="H491" s="42" t="s">
        <v>157</v>
      </c>
      <c r="I491" s="43">
        <v>2</v>
      </c>
      <c r="J491" s="43">
        <v>2</v>
      </c>
      <c r="K491" s="25" t="str">
        <f>VLOOKUP(J491,Key!$E$2:$F$9,2,FALSE)</f>
        <v>Work</v>
      </c>
      <c r="L491" s="42" t="s">
        <v>207</v>
      </c>
      <c r="M491" s="43" t="s">
        <v>156</v>
      </c>
      <c r="N491" s="42" t="s">
        <v>157</v>
      </c>
      <c r="O491" s="43">
        <v>1</v>
      </c>
      <c r="P491" s="43">
        <v>1</v>
      </c>
      <c r="Q491" s="25" t="str">
        <f>VLOOKUP(P491,Key!$E$2:$F$9,2,FALSE)</f>
        <v>Home</v>
      </c>
      <c r="R491" s="25" t="str">
        <f t="shared" si="10"/>
        <v>Work-Home</v>
      </c>
      <c r="S491" s="52">
        <v>10</v>
      </c>
      <c r="T491" s="52">
        <v>3</v>
      </c>
      <c r="U491" s="43">
        <v>1</v>
      </c>
      <c r="V491" s="43"/>
      <c r="W491" s="52"/>
      <c r="X491" s="52"/>
      <c r="Y491" s="53" t="s">
        <v>158</v>
      </c>
      <c r="Z491" s="54">
        <v>0</v>
      </c>
      <c r="AA491" s="25">
        <f>VLOOKUP(F491,'Zones '!$A$2:$F$2056,6,FALSE)</f>
        <v>521</v>
      </c>
      <c r="AB491" s="25">
        <f>VLOOKUP(L491,'Zones '!$A$2:$F$2056,6,FALSE)</f>
        <v>1397</v>
      </c>
    </row>
    <row r="492" spans="2:28">
      <c r="B492" s="40">
        <v>0.92708333333333337</v>
      </c>
      <c r="C492" s="40" t="s">
        <v>670</v>
      </c>
      <c r="D492" s="41">
        <v>2</v>
      </c>
      <c r="E492" s="42">
        <v>1</v>
      </c>
      <c r="F492" s="42" t="s">
        <v>187</v>
      </c>
      <c r="G492" s="43" t="s">
        <v>187</v>
      </c>
      <c r="H492" s="42" t="s">
        <v>157</v>
      </c>
      <c r="I492" s="43">
        <v>2</v>
      </c>
      <c r="J492" s="43">
        <v>2</v>
      </c>
      <c r="K492" s="25" t="str">
        <f>VLOOKUP(J492,Key!$E$2:$F$9,2,FALSE)</f>
        <v>Work</v>
      </c>
      <c r="L492" s="42" t="s">
        <v>155</v>
      </c>
      <c r="M492" s="43" t="s">
        <v>156</v>
      </c>
      <c r="N492" s="42" t="s">
        <v>157</v>
      </c>
      <c r="O492" s="43">
        <v>1</v>
      </c>
      <c r="P492" s="43">
        <v>1</v>
      </c>
      <c r="Q492" s="25" t="str">
        <f>VLOOKUP(P492,Key!$E$2:$F$9,2,FALSE)</f>
        <v>Home</v>
      </c>
      <c r="R492" s="25" t="str">
        <f t="shared" si="10"/>
        <v>Work-Home</v>
      </c>
      <c r="S492" s="52">
        <v>8</v>
      </c>
      <c r="T492" s="52">
        <v>2</v>
      </c>
      <c r="U492" s="43">
        <v>1</v>
      </c>
      <c r="V492" s="43"/>
      <c r="W492" s="52"/>
      <c r="X492" s="52"/>
      <c r="Y492" s="53" t="s">
        <v>158</v>
      </c>
      <c r="Z492" s="54">
        <v>0</v>
      </c>
      <c r="AA492" s="25">
        <f>VLOOKUP(F492,'Zones '!$A$2:$F$2056,6,FALSE)</f>
        <v>521</v>
      </c>
      <c r="AB492" s="25">
        <f>VLOOKUP(L492,'Zones '!$A$2:$F$2056,6,FALSE)</f>
        <v>1397</v>
      </c>
    </row>
    <row r="493" spans="2:28">
      <c r="B493" s="40">
        <v>0.93055555555555547</v>
      </c>
      <c r="C493" s="40" t="s">
        <v>671</v>
      </c>
      <c r="D493" s="41">
        <v>2</v>
      </c>
      <c r="E493" s="42">
        <v>1</v>
      </c>
      <c r="F493" s="42" t="s">
        <v>672</v>
      </c>
      <c r="G493" s="43" t="s">
        <v>673</v>
      </c>
      <c r="H493" s="42" t="s">
        <v>157</v>
      </c>
      <c r="I493" s="43">
        <v>16</v>
      </c>
      <c r="J493" s="43">
        <v>2</v>
      </c>
      <c r="K493" s="25" t="str">
        <f>VLOOKUP(J493,Key!$E$2:$F$9,2,FALSE)</f>
        <v>Work</v>
      </c>
      <c r="L493" s="42" t="s">
        <v>160</v>
      </c>
      <c r="M493" s="43" t="s">
        <v>156</v>
      </c>
      <c r="N493" s="42" t="s">
        <v>157</v>
      </c>
      <c r="O493" s="43">
        <v>1</v>
      </c>
      <c r="P493" s="43">
        <v>1</v>
      </c>
      <c r="Q493" s="25" t="str">
        <f>VLOOKUP(P493,Key!$E$2:$F$9,2,FALSE)</f>
        <v>Home</v>
      </c>
      <c r="R493" s="25" t="str">
        <f t="shared" si="10"/>
        <v>Work-Home</v>
      </c>
      <c r="S493" s="52">
        <v>150</v>
      </c>
      <c r="T493" s="52">
        <v>3</v>
      </c>
      <c r="U493" s="43">
        <v>1</v>
      </c>
      <c r="V493" s="43"/>
      <c r="W493" s="52"/>
      <c r="X493" s="52"/>
      <c r="Y493" s="53" t="s">
        <v>158</v>
      </c>
      <c r="Z493" s="54">
        <v>0</v>
      </c>
      <c r="AA493" s="25">
        <f>VLOOKUP(F493,'Zones '!$A$2:$F$2056,6,FALSE)</f>
        <v>1064</v>
      </c>
      <c r="AB493" s="25">
        <f>VLOOKUP(L493,'Zones '!$A$2:$F$2056,6,FALSE)</f>
        <v>589</v>
      </c>
    </row>
    <row r="494" spans="2:28">
      <c r="B494" s="40">
        <v>0.93402777777777779</v>
      </c>
      <c r="C494" s="40" t="s">
        <v>674</v>
      </c>
      <c r="D494" s="41">
        <v>2</v>
      </c>
      <c r="E494" s="42">
        <v>2</v>
      </c>
      <c r="F494" s="42" t="s">
        <v>675</v>
      </c>
      <c r="G494" s="43" t="s">
        <v>675</v>
      </c>
      <c r="H494" s="42" t="s">
        <v>157</v>
      </c>
      <c r="I494" s="43">
        <v>16</v>
      </c>
      <c r="J494" s="43">
        <v>4</v>
      </c>
      <c r="K494" s="25" t="str">
        <f>VLOOKUP(J494,Key!$E$2:$F$9,2,FALSE)</f>
        <v>Commercial</v>
      </c>
      <c r="L494" s="42" t="s">
        <v>226</v>
      </c>
      <c r="M494" s="43" t="s">
        <v>156</v>
      </c>
      <c r="N494" s="42" t="s">
        <v>157</v>
      </c>
      <c r="O494" s="43">
        <v>16</v>
      </c>
      <c r="P494" s="43">
        <v>6</v>
      </c>
      <c r="Q494" s="25" t="str">
        <f>VLOOKUP(P494,Key!$E$2:$F$9,2,FALSE)</f>
        <v>Leisure/Social</v>
      </c>
      <c r="R494" s="25" t="str">
        <f t="shared" si="10"/>
        <v>Commercial-Leisure/Social</v>
      </c>
      <c r="S494" s="52">
        <v>88</v>
      </c>
      <c r="T494" s="52">
        <v>1</v>
      </c>
      <c r="U494" s="43">
        <v>1</v>
      </c>
      <c r="V494" s="43"/>
      <c r="W494" s="52"/>
      <c r="X494" s="52"/>
      <c r="Y494" s="53" t="s">
        <v>158</v>
      </c>
      <c r="Z494" s="54">
        <v>1000</v>
      </c>
      <c r="AA494" s="25">
        <f>VLOOKUP(F494,'Zones '!$A$2:$F$2056,6,FALSE)</f>
        <v>291</v>
      </c>
      <c r="AB494" s="25">
        <f>VLOOKUP(L494,'Zones '!$A$2:$F$2056,6,FALSE)</f>
        <v>1397</v>
      </c>
    </row>
    <row r="495" spans="2:28">
      <c r="B495" s="40">
        <v>0.9375</v>
      </c>
      <c r="C495" s="40" t="s">
        <v>676</v>
      </c>
      <c r="D495" s="41">
        <v>2</v>
      </c>
      <c r="E495" s="42">
        <v>2</v>
      </c>
      <c r="F495" s="42" t="s">
        <v>164</v>
      </c>
      <c r="G495" s="43" t="s">
        <v>156</v>
      </c>
      <c r="H495" s="42" t="s">
        <v>157</v>
      </c>
      <c r="I495" s="43">
        <v>2</v>
      </c>
      <c r="J495" s="43">
        <v>2</v>
      </c>
      <c r="K495" s="25" t="str">
        <f>VLOOKUP(J495,Key!$E$2:$F$9,2,FALSE)</f>
        <v>Work</v>
      </c>
      <c r="L495" s="42" t="s">
        <v>155</v>
      </c>
      <c r="M495" s="43" t="s">
        <v>156</v>
      </c>
      <c r="N495" s="42" t="s">
        <v>157</v>
      </c>
      <c r="O495" s="43">
        <v>1</v>
      </c>
      <c r="P495" s="43">
        <v>1</v>
      </c>
      <c r="Q495" s="25" t="str">
        <f>VLOOKUP(P495,Key!$E$2:$F$9,2,FALSE)</f>
        <v>Home</v>
      </c>
      <c r="R495" s="25" t="str">
        <f t="shared" si="10"/>
        <v>Work-Home</v>
      </c>
      <c r="S495" s="52">
        <v>3</v>
      </c>
      <c r="T495" s="52">
        <v>1</v>
      </c>
      <c r="U495" s="43">
        <v>1</v>
      </c>
      <c r="V495" s="43"/>
      <c r="W495" s="52"/>
      <c r="X495" s="52"/>
      <c r="Y495" s="53" t="s">
        <v>158</v>
      </c>
      <c r="Z495" s="54">
        <v>0</v>
      </c>
      <c r="AA495" s="25">
        <f>VLOOKUP(F495,'Zones '!$A$2:$F$2056,6,FALSE)</f>
        <v>1397</v>
      </c>
      <c r="AB495" s="25">
        <f>VLOOKUP(L495,'Zones '!$A$2:$F$2056,6,FALSE)</f>
        <v>1397</v>
      </c>
    </row>
    <row r="496" spans="2:28">
      <c r="B496" s="40">
        <v>0.94791666666666663</v>
      </c>
      <c r="C496" s="40" t="s">
        <v>677</v>
      </c>
      <c r="D496" s="41">
        <v>4</v>
      </c>
      <c r="E496" s="42">
        <v>4</v>
      </c>
      <c r="F496" s="42" t="s">
        <v>207</v>
      </c>
      <c r="G496" s="43" t="s">
        <v>156</v>
      </c>
      <c r="H496" s="42" t="s">
        <v>157</v>
      </c>
      <c r="I496" s="43">
        <v>2</v>
      </c>
      <c r="J496" s="43">
        <v>2</v>
      </c>
      <c r="K496" s="25" t="str">
        <f>VLOOKUP(J496,Key!$E$2:$F$9,2,FALSE)</f>
        <v>Work</v>
      </c>
      <c r="L496" s="42" t="s">
        <v>155</v>
      </c>
      <c r="M496" s="43" t="s">
        <v>156</v>
      </c>
      <c r="N496" s="42" t="s">
        <v>157</v>
      </c>
      <c r="O496" s="43">
        <v>1</v>
      </c>
      <c r="P496" s="43">
        <v>1</v>
      </c>
      <c r="Q496" s="25" t="str">
        <f>VLOOKUP(P496,Key!$E$2:$F$9,2,FALSE)</f>
        <v>Home</v>
      </c>
      <c r="R496" s="25" t="str">
        <f t="shared" si="10"/>
        <v>Work-Home</v>
      </c>
      <c r="S496" s="52">
        <v>6</v>
      </c>
      <c r="T496" s="52">
        <v>0.5</v>
      </c>
      <c r="U496" s="43">
        <v>1</v>
      </c>
      <c r="V496" s="43"/>
      <c r="W496" s="52"/>
      <c r="X496" s="52"/>
      <c r="Y496" s="53" t="s">
        <v>158</v>
      </c>
      <c r="Z496" s="54">
        <v>5000</v>
      </c>
      <c r="AA496" s="25">
        <f>VLOOKUP(F496,'Zones '!$A$2:$F$2056,6,FALSE)</f>
        <v>1397</v>
      </c>
      <c r="AB496" s="25">
        <f>VLOOKUP(L496,'Zones '!$A$2:$F$2056,6,FALSE)</f>
        <v>1397</v>
      </c>
    </row>
    <row r="497" spans="2:28">
      <c r="B497" s="40">
        <v>0.24097222222222223</v>
      </c>
      <c r="C497" s="40" t="s">
        <v>678</v>
      </c>
      <c r="D497" s="41">
        <v>7</v>
      </c>
      <c r="E497" s="42">
        <v>2</v>
      </c>
      <c r="F497" s="42" t="s">
        <v>150</v>
      </c>
      <c r="G497" s="43" t="s">
        <v>156</v>
      </c>
      <c r="H497" s="42" t="s">
        <v>157</v>
      </c>
      <c r="I497" s="43">
        <v>10</v>
      </c>
      <c r="J497" s="43">
        <v>2</v>
      </c>
      <c r="K497" s="25" t="str">
        <f>VLOOKUP(J497,Key!$E$2:$F$9,2,FALSE)</f>
        <v>Work</v>
      </c>
      <c r="L497" s="42" t="s">
        <v>155</v>
      </c>
      <c r="M497" s="43" t="s">
        <v>156</v>
      </c>
      <c r="N497" s="42" t="s">
        <v>157</v>
      </c>
      <c r="O497" s="43">
        <v>3</v>
      </c>
      <c r="P497" s="43">
        <v>2</v>
      </c>
      <c r="Q497" s="25" t="str">
        <f>VLOOKUP(P497,Key!$E$2:$F$9,2,FALSE)</f>
        <v>Work</v>
      </c>
      <c r="R497" s="25" t="str">
        <f t="shared" si="10"/>
        <v>Work-Work</v>
      </c>
      <c r="S497" s="52">
        <v>0.5</v>
      </c>
      <c r="T497" s="52">
        <v>0.1</v>
      </c>
      <c r="U497" s="43">
        <v>2</v>
      </c>
      <c r="V497" s="43"/>
      <c r="W497" s="52"/>
      <c r="X497" s="52"/>
      <c r="Y497" s="53" t="s">
        <v>158</v>
      </c>
      <c r="Z497" s="54">
        <v>1000</v>
      </c>
      <c r="AA497" s="25">
        <f>VLOOKUP(F497,'Zones '!$A$2:$F$2056,6,FALSE)</f>
        <v>1397</v>
      </c>
      <c r="AB497" s="25">
        <f>VLOOKUP(L497,'Zones '!$A$2:$F$2056,6,FALSE)</f>
        <v>1397</v>
      </c>
    </row>
    <row r="498" spans="2:28">
      <c r="B498" s="40">
        <v>0.2298611111111111</v>
      </c>
      <c r="C498" s="40" t="s">
        <v>679</v>
      </c>
      <c r="D498" s="41">
        <v>4</v>
      </c>
      <c r="E498" s="42">
        <v>1</v>
      </c>
      <c r="F498" s="42" t="s">
        <v>150</v>
      </c>
      <c r="G498" s="43" t="s">
        <v>156</v>
      </c>
      <c r="H498" s="42" t="s">
        <v>157</v>
      </c>
      <c r="I498" s="43">
        <v>6</v>
      </c>
      <c r="J498" s="43">
        <v>4</v>
      </c>
      <c r="K498" s="25" t="str">
        <f>VLOOKUP(J498,Key!$E$2:$F$9,2,FALSE)</f>
        <v>Commercial</v>
      </c>
      <c r="L498" s="42" t="s">
        <v>155</v>
      </c>
      <c r="M498" s="43" t="s">
        <v>156</v>
      </c>
      <c r="N498" s="42" t="s">
        <v>157</v>
      </c>
      <c r="O498" s="43">
        <v>6</v>
      </c>
      <c r="P498" s="43">
        <v>4</v>
      </c>
      <c r="Q498" s="25" t="str">
        <f>VLOOKUP(P498,Key!$E$2:$F$9,2,FALSE)</f>
        <v>Commercial</v>
      </c>
      <c r="R498" s="25" t="str">
        <f t="shared" si="10"/>
        <v>Commercial-Commercial</v>
      </c>
      <c r="S498" s="52">
        <v>20</v>
      </c>
      <c r="T498" s="52">
        <v>0.5</v>
      </c>
      <c r="U498" s="43">
        <v>2</v>
      </c>
      <c r="V498" s="43"/>
      <c r="W498" s="52"/>
      <c r="X498" s="52"/>
      <c r="Y498" s="53" t="s">
        <v>158</v>
      </c>
      <c r="Z498" s="54">
        <v>1000</v>
      </c>
      <c r="AA498" s="25">
        <f>VLOOKUP(F498,'Zones '!$A$2:$F$2056,6,FALSE)</f>
        <v>1397</v>
      </c>
      <c r="AB498" s="25">
        <f>VLOOKUP(L498,'Zones '!$A$2:$F$2056,6,FALSE)</f>
        <v>1397</v>
      </c>
    </row>
    <row r="499" spans="2:28">
      <c r="B499" s="40">
        <v>0.23680555555555557</v>
      </c>
      <c r="C499" s="40" t="s">
        <v>680</v>
      </c>
      <c r="D499" s="41">
        <v>4</v>
      </c>
      <c r="E499" s="42">
        <v>3</v>
      </c>
      <c r="F499" s="42" t="s">
        <v>150</v>
      </c>
      <c r="G499" s="43" t="s">
        <v>156</v>
      </c>
      <c r="H499" s="42" t="s">
        <v>157</v>
      </c>
      <c r="I499" s="43">
        <v>6</v>
      </c>
      <c r="J499" s="43">
        <v>2</v>
      </c>
      <c r="K499" s="25" t="str">
        <f>VLOOKUP(J499,Key!$E$2:$F$9,2,FALSE)</f>
        <v>Work</v>
      </c>
      <c r="L499" s="42" t="s">
        <v>155</v>
      </c>
      <c r="M499" s="43" t="s">
        <v>156</v>
      </c>
      <c r="N499" s="42" t="s">
        <v>157</v>
      </c>
      <c r="O499" s="43">
        <v>6</v>
      </c>
      <c r="P499" s="43">
        <v>4</v>
      </c>
      <c r="Q499" s="25" t="str">
        <f>VLOOKUP(P499,Key!$E$2:$F$9,2,FALSE)</f>
        <v>Commercial</v>
      </c>
      <c r="R499" s="25" t="str">
        <f t="shared" si="10"/>
        <v>Work-Commercial</v>
      </c>
      <c r="S499" s="52">
        <v>0.5</v>
      </c>
      <c r="T499" s="52">
        <v>0.1</v>
      </c>
      <c r="U499" s="43">
        <v>2</v>
      </c>
      <c r="V499" s="43"/>
      <c r="W499" s="52"/>
      <c r="X499" s="52"/>
      <c r="Y499" s="53" t="s">
        <v>158</v>
      </c>
      <c r="Z499" s="54">
        <v>1000</v>
      </c>
      <c r="AA499" s="25">
        <f>VLOOKUP(F499,'Zones '!$A$2:$F$2056,6,FALSE)</f>
        <v>1397</v>
      </c>
      <c r="AB499" s="25">
        <f>VLOOKUP(L499,'Zones '!$A$2:$F$2056,6,FALSE)</f>
        <v>1397</v>
      </c>
    </row>
    <row r="500" spans="2:28">
      <c r="B500" s="40">
        <v>0.23541666666666669</v>
      </c>
      <c r="C500" s="40" t="s">
        <v>681</v>
      </c>
      <c r="D500" s="41">
        <v>2</v>
      </c>
      <c r="E500" s="42">
        <v>2</v>
      </c>
      <c r="F500" s="42" t="s">
        <v>150</v>
      </c>
      <c r="G500" s="43" t="s">
        <v>156</v>
      </c>
      <c r="H500" s="42" t="s">
        <v>157</v>
      </c>
      <c r="I500" s="43">
        <v>10</v>
      </c>
      <c r="J500" s="43">
        <v>2</v>
      </c>
      <c r="K500" s="25" t="str">
        <f>VLOOKUP(J500,Key!$E$2:$F$9,2,FALSE)</f>
        <v>Work</v>
      </c>
      <c r="L500" s="42" t="s">
        <v>155</v>
      </c>
      <c r="M500" s="43" t="s">
        <v>156</v>
      </c>
      <c r="N500" s="42" t="s">
        <v>157</v>
      </c>
      <c r="O500" s="43">
        <v>3</v>
      </c>
      <c r="P500" s="43">
        <v>2</v>
      </c>
      <c r="Q500" s="25" t="str">
        <f>VLOOKUP(P500,Key!$E$2:$F$9,2,FALSE)</f>
        <v>Work</v>
      </c>
      <c r="R500" s="25" t="str">
        <f t="shared" si="10"/>
        <v>Work-Work</v>
      </c>
      <c r="S500" s="52">
        <v>1</v>
      </c>
      <c r="T500" s="52">
        <v>0.3</v>
      </c>
      <c r="U500" s="43">
        <v>2</v>
      </c>
      <c r="V500" s="43"/>
      <c r="W500" s="52"/>
      <c r="X500" s="52"/>
      <c r="Y500" s="53" t="s">
        <v>158</v>
      </c>
      <c r="Z500" s="54">
        <v>1000</v>
      </c>
      <c r="AA500" s="25">
        <f>VLOOKUP(F500,'Zones '!$A$2:$F$2056,6,FALSE)</f>
        <v>1397</v>
      </c>
      <c r="AB500" s="25">
        <f>VLOOKUP(L500,'Zones '!$A$2:$F$2056,6,FALSE)</f>
        <v>1397</v>
      </c>
    </row>
    <row r="501" spans="2:28">
      <c r="B501" s="40">
        <v>0.22291666666666665</v>
      </c>
      <c r="C501" s="40" t="s">
        <v>682</v>
      </c>
      <c r="D501" s="41">
        <v>4</v>
      </c>
      <c r="E501" s="42">
        <v>4</v>
      </c>
      <c r="F501" s="42" t="s">
        <v>691</v>
      </c>
      <c r="G501" s="43" t="s">
        <v>197</v>
      </c>
      <c r="H501" s="42" t="s">
        <v>157</v>
      </c>
      <c r="I501" s="43">
        <v>6</v>
      </c>
      <c r="J501" s="43">
        <v>4</v>
      </c>
      <c r="K501" s="25" t="str">
        <f>VLOOKUP(J501,Key!$E$2:$F$9,2,FALSE)</f>
        <v>Commercial</v>
      </c>
      <c r="L501" s="42" t="s">
        <v>187</v>
      </c>
      <c r="M501" s="43" t="s">
        <v>187</v>
      </c>
      <c r="N501" s="42" t="s">
        <v>157</v>
      </c>
      <c r="O501" s="43">
        <v>6</v>
      </c>
      <c r="P501" s="43">
        <v>4</v>
      </c>
      <c r="Q501" s="25" t="str">
        <f>VLOOKUP(P501,Key!$E$2:$F$9,2,FALSE)</f>
        <v>Commercial</v>
      </c>
      <c r="R501" s="25" t="str">
        <f t="shared" si="10"/>
        <v>Commercial-Commercial</v>
      </c>
      <c r="S501" s="52">
        <v>100</v>
      </c>
      <c r="T501" s="52">
        <v>2</v>
      </c>
      <c r="U501" s="43">
        <v>1</v>
      </c>
      <c r="V501" s="43"/>
      <c r="W501" s="52"/>
      <c r="X501" s="52"/>
      <c r="Y501" s="53" t="s">
        <v>158</v>
      </c>
      <c r="Z501" s="54">
        <v>1000</v>
      </c>
      <c r="AA501" s="25">
        <f>VLOOKUP(F501,'Zones '!$A$2:$F$2056,6,FALSE)</f>
        <v>937</v>
      </c>
      <c r="AB501" s="25">
        <f>VLOOKUP(L501,'Zones '!$A$2:$F$2056,6,FALSE)</f>
        <v>521</v>
      </c>
    </row>
    <row r="502" spans="2:28">
      <c r="B502" s="40">
        <v>0.21597222222222223</v>
      </c>
      <c r="C502" s="40" t="s">
        <v>678</v>
      </c>
      <c r="D502" s="41">
        <v>4</v>
      </c>
      <c r="E502" s="42">
        <v>10</v>
      </c>
      <c r="F502" s="42" t="s">
        <v>684</v>
      </c>
      <c r="G502" s="43" t="s">
        <v>197</v>
      </c>
      <c r="H502" s="42" t="s">
        <v>157</v>
      </c>
      <c r="I502" s="43">
        <v>6</v>
      </c>
      <c r="J502" s="43">
        <v>4</v>
      </c>
      <c r="K502" s="25" t="str">
        <f>VLOOKUP(J502,Key!$E$2:$F$9,2,FALSE)</f>
        <v>Commercial</v>
      </c>
      <c r="L502" s="42" t="s">
        <v>187</v>
      </c>
      <c r="M502" s="43" t="s">
        <v>187</v>
      </c>
      <c r="N502" s="42" t="s">
        <v>157</v>
      </c>
      <c r="O502" s="43">
        <v>6</v>
      </c>
      <c r="P502" s="43">
        <v>4</v>
      </c>
      <c r="Q502" s="25" t="str">
        <f>VLOOKUP(P502,Key!$E$2:$F$9,2,FALSE)</f>
        <v>Commercial</v>
      </c>
      <c r="R502" s="25" t="str">
        <f t="shared" si="10"/>
        <v>Commercial-Commercial</v>
      </c>
      <c r="S502" s="52">
        <v>137</v>
      </c>
      <c r="T502" s="52">
        <v>2</v>
      </c>
      <c r="U502" s="43">
        <v>1</v>
      </c>
      <c r="V502" s="43"/>
      <c r="W502" s="52"/>
      <c r="X502" s="52"/>
      <c r="Y502" s="53" t="s">
        <v>158</v>
      </c>
      <c r="Z502" s="54">
        <v>1000</v>
      </c>
      <c r="AA502" s="25">
        <f>VLOOKUP(F502,'Zones '!$A$2:$F$2056,6,FALSE)</f>
        <v>937</v>
      </c>
      <c r="AB502" s="25">
        <f>VLOOKUP(L502,'Zones '!$A$2:$F$2056,6,FALSE)</f>
        <v>521</v>
      </c>
    </row>
    <row r="503" spans="2:28">
      <c r="B503" s="40">
        <v>0.94930555555555562</v>
      </c>
      <c r="C503" s="40" t="s">
        <v>685</v>
      </c>
      <c r="D503" s="41">
        <v>9</v>
      </c>
      <c r="E503" s="42">
        <v>1</v>
      </c>
      <c r="F503" s="42" t="s">
        <v>305</v>
      </c>
      <c r="G503" s="43" t="s">
        <v>187</v>
      </c>
      <c r="H503" s="42" t="s">
        <v>157</v>
      </c>
      <c r="I503" s="43">
        <v>2</v>
      </c>
      <c r="J503" s="43">
        <v>2</v>
      </c>
      <c r="K503" s="25" t="str">
        <f>VLOOKUP(J503,Key!$E$2:$F$9,2,FALSE)</f>
        <v>Work</v>
      </c>
      <c r="L503" s="42" t="s">
        <v>162</v>
      </c>
      <c r="M503" s="43" t="s">
        <v>156</v>
      </c>
      <c r="N503" s="42" t="s">
        <v>157</v>
      </c>
      <c r="O503" s="43">
        <v>1</v>
      </c>
      <c r="P503" s="43">
        <v>1</v>
      </c>
      <c r="Q503" s="25" t="str">
        <f>VLOOKUP(P503,Key!$E$2:$F$9,2,FALSE)</f>
        <v>Home</v>
      </c>
      <c r="R503" s="25" t="str">
        <f t="shared" si="10"/>
        <v>Work-Home</v>
      </c>
      <c r="S503" s="52">
        <v>12</v>
      </c>
      <c r="T503" s="52">
        <v>0.5</v>
      </c>
      <c r="U503" s="43">
        <v>1</v>
      </c>
      <c r="V503" s="43"/>
      <c r="W503" s="52"/>
      <c r="X503" s="52"/>
      <c r="Y503" s="53" t="s">
        <v>158</v>
      </c>
      <c r="Z503" s="54">
        <v>1000</v>
      </c>
      <c r="AA503" s="25">
        <f>VLOOKUP(F503,'Zones '!$A$2:$F$2056,6,FALSE)</f>
        <v>536</v>
      </c>
      <c r="AB503" s="25">
        <f>VLOOKUP(L503,'Zones '!$A$2:$F$2056,6,FALSE)</f>
        <v>1397</v>
      </c>
    </row>
    <row r="504" spans="2:28">
      <c r="B504" s="40">
        <v>0.93888888888888899</v>
      </c>
      <c r="C504" s="40" t="s">
        <v>687</v>
      </c>
      <c r="D504" s="41">
        <v>1</v>
      </c>
      <c r="E504" s="42">
        <v>2</v>
      </c>
      <c r="F504" s="42" t="s">
        <v>150</v>
      </c>
      <c r="G504" s="43" t="s">
        <v>156</v>
      </c>
      <c r="H504" s="42" t="s">
        <v>157</v>
      </c>
      <c r="I504" s="43">
        <v>1</v>
      </c>
      <c r="J504" s="43">
        <v>1</v>
      </c>
      <c r="K504" s="25" t="str">
        <f>VLOOKUP(J504,Key!$E$2:$F$9,2,FALSE)</f>
        <v>Home</v>
      </c>
      <c r="L504" s="42" t="s">
        <v>155</v>
      </c>
      <c r="M504" s="43" t="s">
        <v>156</v>
      </c>
      <c r="N504" s="42" t="s">
        <v>157</v>
      </c>
      <c r="O504" s="43">
        <v>1</v>
      </c>
      <c r="P504" s="43">
        <v>1</v>
      </c>
      <c r="Q504" s="25" t="str">
        <f>VLOOKUP(P504,Key!$E$2:$F$9,2,FALSE)</f>
        <v>Home</v>
      </c>
      <c r="R504" s="25" t="str">
        <f t="shared" si="10"/>
        <v>Home-Home</v>
      </c>
      <c r="S504" s="52">
        <v>2</v>
      </c>
      <c r="T504" s="52">
        <v>0.5</v>
      </c>
      <c r="U504" s="43">
        <v>1</v>
      </c>
      <c r="V504" s="43"/>
      <c r="W504" s="52"/>
      <c r="X504" s="52"/>
      <c r="Y504" s="53" t="s">
        <v>158</v>
      </c>
      <c r="Z504" s="54">
        <v>1000</v>
      </c>
      <c r="AA504" s="25">
        <f>VLOOKUP(F504,'Zones '!$A$2:$F$2056,6,FALSE)</f>
        <v>1397</v>
      </c>
      <c r="AB504" s="25">
        <f>VLOOKUP(L504,'Zones '!$A$2:$F$2056,6,FALSE)</f>
        <v>1397</v>
      </c>
    </row>
    <row r="505" spans="2:28">
      <c r="B505" s="40">
        <v>0.93472222222222223</v>
      </c>
      <c r="C505" s="40" t="s">
        <v>688</v>
      </c>
      <c r="D505" s="41">
        <v>1</v>
      </c>
      <c r="E505" s="42">
        <v>3</v>
      </c>
      <c r="F505" s="42" t="s">
        <v>689</v>
      </c>
      <c r="G505" s="43" t="s">
        <v>187</v>
      </c>
      <c r="H505" s="42" t="s">
        <v>157</v>
      </c>
      <c r="I505" s="43">
        <v>16</v>
      </c>
      <c r="J505" s="43">
        <v>2</v>
      </c>
      <c r="K505" s="25" t="str">
        <f>VLOOKUP(J505,Key!$E$2:$F$9,2,FALSE)</f>
        <v>Work</v>
      </c>
      <c r="L505" s="42" t="s">
        <v>155</v>
      </c>
      <c r="M505" s="43" t="s">
        <v>156</v>
      </c>
      <c r="N505" s="42" t="s">
        <v>157</v>
      </c>
      <c r="O505" s="43">
        <v>1</v>
      </c>
      <c r="P505" s="43">
        <v>1</v>
      </c>
      <c r="Q505" s="25" t="str">
        <f>VLOOKUP(P505,Key!$E$2:$F$9,2,FALSE)</f>
        <v>Home</v>
      </c>
      <c r="R505" s="25" t="str">
        <f t="shared" si="10"/>
        <v>Work-Home</v>
      </c>
      <c r="S505" s="52">
        <v>0.5</v>
      </c>
      <c r="T505" s="52">
        <v>0.3</v>
      </c>
      <c r="U505" s="43">
        <v>2</v>
      </c>
      <c r="V505" s="43"/>
      <c r="W505" s="52"/>
      <c r="X505" s="52"/>
      <c r="Y505" s="53" t="s">
        <v>158</v>
      </c>
      <c r="Z505" s="54">
        <v>2000</v>
      </c>
      <c r="AA505" s="25">
        <f>VLOOKUP(F505,'Zones '!$A$2:$F$2056,6,FALSE)</f>
        <v>566</v>
      </c>
      <c r="AB505" s="25">
        <f>VLOOKUP(L505,'Zones '!$A$2:$F$2056,6,FALSE)</f>
        <v>1397</v>
      </c>
    </row>
    <row r="506" spans="2:28">
      <c r="B506" s="40">
        <v>0.92986111111111114</v>
      </c>
      <c r="C506" s="40" t="s">
        <v>690</v>
      </c>
      <c r="D506" s="41">
        <v>1</v>
      </c>
      <c r="E506" s="42">
        <v>1</v>
      </c>
      <c r="F506" s="42" t="s">
        <v>150</v>
      </c>
      <c r="G506" s="43" t="s">
        <v>156</v>
      </c>
      <c r="H506" s="42" t="s">
        <v>157</v>
      </c>
      <c r="I506" s="43">
        <v>2</v>
      </c>
      <c r="J506" s="43">
        <v>2</v>
      </c>
      <c r="K506" s="25" t="str">
        <f>VLOOKUP(J506,Key!$E$2:$F$9,2,FALSE)</f>
        <v>Work</v>
      </c>
      <c r="L506" s="42" t="s">
        <v>162</v>
      </c>
      <c r="M506" s="43" t="s">
        <v>156</v>
      </c>
      <c r="N506" s="42" t="s">
        <v>157</v>
      </c>
      <c r="O506" s="43">
        <v>1</v>
      </c>
      <c r="P506" s="43">
        <v>1</v>
      </c>
      <c r="Q506" s="25" t="str">
        <f>VLOOKUP(P506,Key!$E$2:$F$9,2,FALSE)</f>
        <v>Home</v>
      </c>
      <c r="R506" s="25" t="str">
        <f t="shared" si="10"/>
        <v>Work-Home</v>
      </c>
      <c r="S506" s="52">
        <v>1</v>
      </c>
      <c r="T506" s="52">
        <v>0.3</v>
      </c>
      <c r="U506" s="43">
        <v>1</v>
      </c>
      <c r="V506" s="43"/>
      <c r="W506" s="52"/>
      <c r="X506" s="52"/>
      <c r="Y506" s="53" t="s">
        <v>158</v>
      </c>
      <c r="Z506" s="54">
        <v>3000</v>
      </c>
      <c r="AA506" s="25">
        <f>VLOOKUP(F506,'Zones '!$A$2:$F$2056,6,FALSE)</f>
        <v>1397</v>
      </c>
      <c r="AB506" s="25">
        <f>VLOOKUP(L506,'Zones '!$A$2:$F$2056,6,FALSE)</f>
        <v>1397</v>
      </c>
    </row>
    <row r="507" spans="2:28">
      <c r="B507" s="40">
        <v>0.9277777777777777</v>
      </c>
      <c r="C507" s="40" t="s">
        <v>482</v>
      </c>
      <c r="D507" s="41">
        <v>1</v>
      </c>
      <c r="E507" s="42">
        <v>1</v>
      </c>
      <c r="F507" s="42" t="s">
        <v>691</v>
      </c>
      <c r="G507" s="43" t="s">
        <v>197</v>
      </c>
      <c r="H507" s="42" t="s">
        <v>157</v>
      </c>
      <c r="I507" s="43">
        <v>11</v>
      </c>
      <c r="J507" s="43">
        <v>4</v>
      </c>
      <c r="K507" s="25" t="str">
        <f>VLOOKUP(J507,Key!$E$2:$F$9,2,FALSE)</f>
        <v>Commercial</v>
      </c>
      <c r="L507" s="42" t="s">
        <v>155</v>
      </c>
      <c r="M507" s="43" t="s">
        <v>156</v>
      </c>
      <c r="N507" s="42" t="s">
        <v>157</v>
      </c>
      <c r="O507" s="43">
        <v>1</v>
      </c>
      <c r="P507" s="43">
        <v>1</v>
      </c>
      <c r="Q507" s="25" t="str">
        <f>VLOOKUP(P507,Key!$E$2:$F$9,2,FALSE)</f>
        <v>Home</v>
      </c>
      <c r="R507" s="25" t="str">
        <f t="shared" si="10"/>
        <v>Commercial-Home</v>
      </c>
      <c r="S507" s="52">
        <v>180</v>
      </c>
      <c r="T507" s="52">
        <v>2</v>
      </c>
      <c r="U507" s="43">
        <v>1</v>
      </c>
      <c r="V507" s="43"/>
      <c r="W507" s="52"/>
      <c r="X507" s="52"/>
      <c r="Y507" s="53" t="s">
        <v>158</v>
      </c>
      <c r="Z507" s="54">
        <v>1000</v>
      </c>
      <c r="AA507" s="25">
        <f>VLOOKUP(F507,'Zones '!$A$2:$F$2056,6,FALSE)</f>
        <v>937</v>
      </c>
      <c r="AB507" s="25">
        <f>VLOOKUP(L507,'Zones '!$A$2:$F$2056,6,FALSE)</f>
        <v>1397</v>
      </c>
    </row>
    <row r="508" spans="2:28">
      <c r="B508" s="40">
        <v>0.42430555555555555</v>
      </c>
      <c r="C508" s="40" t="s">
        <v>692</v>
      </c>
      <c r="D508" s="41">
        <v>1</v>
      </c>
      <c r="E508" s="42">
        <v>1</v>
      </c>
      <c r="F508" s="42" t="s">
        <v>150</v>
      </c>
      <c r="G508" s="43" t="s">
        <v>156</v>
      </c>
      <c r="H508" s="42" t="s">
        <v>157</v>
      </c>
      <c r="I508" s="43">
        <v>1</v>
      </c>
      <c r="J508" s="43">
        <v>1</v>
      </c>
      <c r="K508" s="25" t="str">
        <f>VLOOKUP(J508,Key!$E$2:$F$9,2,FALSE)</f>
        <v>Home</v>
      </c>
      <c r="L508" s="42" t="s">
        <v>164</v>
      </c>
      <c r="M508" s="43" t="s">
        <v>156</v>
      </c>
      <c r="N508" s="42" t="s">
        <v>157</v>
      </c>
      <c r="O508" s="43">
        <v>1</v>
      </c>
      <c r="P508" s="43">
        <v>1</v>
      </c>
      <c r="Q508" s="25" t="str">
        <f>VLOOKUP(P508,Key!$E$2:$F$9,2,FALSE)</f>
        <v>Home</v>
      </c>
      <c r="R508" s="25" t="str">
        <f t="shared" si="10"/>
        <v>Home-Home</v>
      </c>
      <c r="S508" s="52">
        <v>1</v>
      </c>
      <c r="T508" s="52">
        <v>0.3</v>
      </c>
      <c r="U508" s="43">
        <v>4</v>
      </c>
      <c r="V508" s="43"/>
      <c r="W508" s="52"/>
      <c r="X508" s="52"/>
      <c r="Y508" s="53" t="s">
        <v>158</v>
      </c>
      <c r="Z508" s="54">
        <v>5000</v>
      </c>
      <c r="AA508" s="25">
        <f>VLOOKUP(F508,'Zones '!$A$2:$F$2056,6,FALSE)</f>
        <v>1397</v>
      </c>
      <c r="AB508" s="25">
        <f>VLOOKUP(L508,'Zones '!$A$2:$F$2056,6,FALSE)</f>
        <v>1397</v>
      </c>
    </row>
    <row r="509" spans="2:28">
      <c r="B509" s="40">
        <v>0.92013888888888884</v>
      </c>
      <c r="C509" s="40" t="s">
        <v>693</v>
      </c>
      <c r="D509" s="41">
        <v>2</v>
      </c>
      <c r="E509" s="42">
        <v>3</v>
      </c>
      <c r="F509" s="42" t="s">
        <v>684</v>
      </c>
      <c r="G509" s="43" t="s">
        <v>156</v>
      </c>
      <c r="H509" s="42" t="s">
        <v>157</v>
      </c>
      <c r="I509" s="43">
        <v>7</v>
      </c>
      <c r="J509" s="43">
        <v>4</v>
      </c>
      <c r="K509" s="25" t="str">
        <f>VLOOKUP(J509,Key!$E$2:$F$9,2,FALSE)</f>
        <v>Commercial</v>
      </c>
      <c r="L509" s="42" t="s">
        <v>187</v>
      </c>
      <c r="M509" s="43" t="s">
        <v>187</v>
      </c>
      <c r="N509" s="42" t="s">
        <v>157</v>
      </c>
      <c r="O509" s="43">
        <v>3</v>
      </c>
      <c r="P509" s="43">
        <v>2</v>
      </c>
      <c r="Q509" s="25" t="str">
        <f>VLOOKUP(P509,Key!$E$2:$F$9,2,FALSE)</f>
        <v>Work</v>
      </c>
      <c r="R509" s="25" t="str">
        <f t="shared" si="10"/>
        <v>Commercial-Work</v>
      </c>
      <c r="S509" s="52">
        <v>180</v>
      </c>
      <c r="T509" s="52">
        <v>2</v>
      </c>
      <c r="U509" s="43"/>
      <c r="V509" s="43">
        <v>1</v>
      </c>
      <c r="W509" s="52">
        <v>1</v>
      </c>
      <c r="X509" s="52">
        <v>0.6</v>
      </c>
      <c r="Y509" s="53" t="s">
        <v>158</v>
      </c>
      <c r="Z509" s="54">
        <v>5000</v>
      </c>
      <c r="AA509" s="25">
        <f>VLOOKUP(F509,'Zones '!$A$2:$F$2056,6,FALSE)</f>
        <v>937</v>
      </c>
      <c r="AB509" s="25">
        <f>VLOOKUP(L509,'Zones '!$A$2:$F$2056,6,FALSE)</f>
        <v>521</v>
      </c>
    </row>
    <row r="510" spans="2:28">
      <c r="B510" s="40">
        <v>0.9375</v>
      </c>
      <c r="C510" s="40" t="s">
        <v>694</v>
      </c>
      <c r="D510" s="41">
        <v>1</v>
      </c>
      <c r="E510" s="42">
        <v>1</v>
      </c>
      <c r="F510" s="42" t="s">
        <v>187</v>
      </c>
      <c r="G510" s="43" t="s">
        <v>187</v>
      </c>
      <c r="H510" s="42" t="s">
        <v>157</v>
      </c>
      <c r="I510" s="43">
        <v>5</v>
      </c>
      <c r="J510" s="43">
        <v>7</v>
      </c>
      <c r="K510" s="25" t="str">
        <f>VLOOKUP(J510,Key!$E$2:$F$9,2,FALSE)</f>
        <v>Hospital</v>
      </c>
      <c r="L510" s="42" t="s">
        <v>155</v>
      </c>
      <c r="M510" s="43" t="s">
        <v>156</v>
      </c>
      <c r="N510" s="42" t="s">
        <v>157</v>
      </c>
      <c r="O510" s="43">
        <v>1</v>
      </c>
      <c r="P510" s="43">
        <v>1</v>
      </c>
      <c r="Q510" s="25" t="str">
        <f>VLOOKUP(P510,Key!$E$2:$F$9,2,FALSE)</f>
        <v>Home</v>
      </c>
      <c r="R510" s="25" t="str">
        <f t="shared" si="10"/>
        <v>Hospital-Home</v>
      </c>
      <c r="S510" s="52">
        <v>30</v>
      </c>
      <c r="T510" s="52">
        <v>1</v>
      </c>
      <c r="U510" s="43">
        <v>5</v>
      </c>
      <c r="V510" s="43"/>
      <c r="W510" s="52"/>
      <c r="X510" s="52"/>
      <c r="Y510" s="53" t="s">
        <v>158</v>
      </c>
      <c r="Z510" s="54">
        <v>1000</v>
      </c>
      <c r="AA510" s="25">
        <f>VLOOKUP(F510,'Zones '!$A$2:$F$2056,6,FALSE)</f>
        <v>521</v>
      </c>
      <c r="AB510" s="25">
        <f>VLOOKUP(L510,'Zones '!$A$2:$F$2056,6,FALSE)</f>
        <v>1397</v>
      </c>
    </row>
    <row r="511" spans="2:28">
      <c r="B511" s="40">
        <v>0.87222222222222223</v>
      </c>
      <c r="C511" s="40" t="s">
        <v>695</v>
      </c>
      <c r="D511" s="41">
        <v>1</v>
      </c>
      <c r="E511" s="42">
        <v>1</v>
      </c>
      <c r="F511" s="42" t="s">
        <v>162</v>
      </c>
      <c r="G511" s="43" t="s">
        <v>156</v>
      </c>
      <c r="H511" s="42" t="s">
        <v>157</v>
      </c>
      <c r="I511" s="43">
        <v>1</v>
      </c>
      <c r="J511" s="43">
        <v>1</v>
      </c>
      <c r="K511" s="25" t="str">
        <f>VLOOKUP(J511,Key!$E$2:$F$9,2,FALSE)</f>
        <v>Home</v>
      </c>
      <c r="L511" s="42" t="s">
        <v>247</v>
      </c>
      <c r="M511" s="43" t="s">
        <v>187</v>
      </c>
      <c r="N511" s="42" t="s">
        <v>157</v>
      </c>
      <c r="O511" s="43">
        <v>2</v>
      </c>
      <c r="P511" s="43">
        <v>2</v>
      </c>
      <c r="Q511" s="25" t="str">
        <f>VLOOKUP(P511,Key!$E$2:$F$9,2,FALSE)</f>
        <v>Work</v>
      </c>
      <c r="R511" s="25" t="str">
        <f t="shared" si="10"/>
        <v>Home-Work</v>
      </c>
      <c r="S511" s="52">
        <v>62</v>
      </c>
      <c r="T511" s="52">
        <v>2</v>
      </c>
      <c r="U511" s="43">
        <v>5</v>
      </c>
      <c r="V511" s="43"/>
      <c r="W511" s="52"/>
      <c r="X511" s="52"/>
      <c r="Y511" s="53" t="s">
        <v>385</v>
      </c>
      <c r="Z511" s="54">
        <v>0</v>
      </c>
      <c r="AA511" s="25">
        <f>VLOOKUP(F511,'Zones '!$A$2:$F$2056,6,FALSE)</f>
        <v>1397</v>
      </c>
      <c r="AB511" s="25">
        <f>VLOOKUP(L511,'Zones '!$A$2:$F$2056,6,FALSE)</f>
        <v>572</v>
      </c>
    </row>
    <row r="512" spans="2:28">
      <c r="B512" s="40">
        <v>0.8652777777777777</v>
      </c>
      <c r="C512" s="40" t="s">
        <v>697</v>
      </c>
      <c r="D512" s="41">
        <v>1</v>
      </c>
      <c r="E512" s="42">
        <v>1</v>
      </c>
      <c r="F512" s="42" t="s">
        <v>187</v>
      </c>
      <c r="G512" s="43" t="s">
        <v>187</v>
      </c>
      <c r="H512" s="42" t="s">
        <v>157</v>
      </c>
      <c r="I512" s="43">
        <v>16</v>
      </c>
      <c r="J512" s="43">
        <v>6</v>
      </c>
      <c r="K512" s="25" t="str">
        <f>VLOOKUP(J512,Key!$E$2:$F$9,2,FALSE)</f>
        <v>Leisure/Social</v>
      </c>
      <c r="L512" s="42" t="s">
        <v>155</v>
      </c>
      <c r="M512" s="43" t="s">
        <v>156</v>
      </c>
      <c r="N512" s="42" t="s">
        <v>157</v>
      </c>
      <c r="O512" s="43">
        <v>1</v>
      </c>
      <c r="P512" s="43">
        <v>1</v>
      </c>
      <c r="Q512" s="25" t="str">
        <f>VLOOKUP(P512,Key!$E$2:$F$9,2,FALSE)</f>
        <v>Home</v>
      </c>
      <c r="R512" s="25" t="str">
        <f t="shared" si="10"/>
        <v>Leisure/Social-Home</v>
      </c>
      <c r="S512" s="52">
        <v>40</v>
      </c>
      <c r="T512" s="52">
        <v>2</v>
      </c>
      <c r="U512" s="43">
        <v>4</v>
      </c>
      <c r="V512" s="43"/>
      <c r="W512" s="52"/>
      <c r="X512" s="52"/>
      <c r="Y512" s="53" t="s">
        <v>158</v>
      </c>
      <c r="Z512" s="54">
        <v>1000</v>
      </c>
      <c r="AA512" s="25">
        <f>VLOOKUP(F512,'Zones '!$A$2:$F$2056,6,FALSE)</f>
        <v>521</v>
      </c>
      <c r="AB512" s="25">
        <f>VLOOKUP(L512,'Zones '!$A$2:$F$2056,6,FALSE)</f>
        <v>1397</v>
      </c>
    </row>
    <row r="513" spans="2:28">
      <c r="B513" s="40">
        <v>0.91736111111111107</v>
      </c>
      <c r="C513" s="40" t="s">
        <v>698</v>
      </c>
      <c r="D513" s="41">
        <v>1</v>
      </c>
      <c r="E513" s="42">
        <v>1</v>
      </c>
      <c r="F513" s="42" t="s">
        <v>232</v>
      </c>
      <c r="G513" s="43" t="s">
        <v>187</v>
      </c>
      <c r="H513" s="42" t="s">
        <v>157</v>
      </c>
      <c r="I513" s="43">
        <v>2</v>
      </c>
      <c r="J513" s="43">
        <v>2</v>
      </c>
      <c r="K513" s="25" t="str">
        <f>VLOOKUP(J513,Key!$E$2:$F$9,2,FALSE)</f>
        <v>Work</v>
      </c>
      <c r="L513" s="42" t="s">
        <v>150</v>
      </c>
      <c r="M513" s="43" t="s">
        <v>156</v>
      </c>
      <c r="N513" s="42" t="s">
        <v>157</v>
      </c>
      <c r="O513" s="43">
        <v>1</v>
      </c>
      <c r="P513" s="43">
        <v>1</v>
      </c>
      <c r="Q513" s="25" t="str">
        <f>VLOOKUP(P513,Key!$E$2:$F$9,2,FALSE)</f>
        <v>Home</v>
      </c>
      <c r="R513" s="25" t="str">
        <f t="shared" si="10"/>
        <v>Work-Home</v>
      </c>
      <c r="S513" s="52">
        <v>40</v>
      </c>
      <c r="T513" s="52">
        <v>1</v>
      </c>
      <c r="U513" s="43">
        <v>1</v>
      </c>
      <c r="V513" s="43"/>
      <c r="W513" s="52"/>
      <c r="X513" s="52"/>
      <c r="Y513" s="53" t="s">
        <v>158</v>
      </c>
      <c r="Z513" s="54">
        <v>2000</v>
      </c>
      <c r="AA513" s="25">
        <f>VLOOKUP(F513,'Zones '!$A$2:$F$2056,6,FALSE)</f>
        <v>558</v>
      </c>
      <c r="AB513" s="25">
        <f>VLOOKUP(L513,'Zones '!$A$2:$F$2056,6,FALSE)</f>
        <v>1397</v>
      </c>
    </row>
    <row r="514" spans="2:28">
      <c r="B514" s="40">
        <v>0.9145833333333333</v>
      </c>
      <c r="C514" s="40" t="s">
        <v>699</v>
      </c>
      <c r="D514" s="41">
        <v>1</v>
      </c>
      <c r="E514" s="42">
        <v>2</v>
      </c>
      <c r="F514" s="42" t="s">
        <v>684</v>
      </c>
      <c r="G514" s="43" t="s">
        <v>156</v>
      </c>
      <c r="H514" s="42" t="s">
        <v>157</v>
      </c>
      <c r="I514" s="43">
        <v>16</v>
      </c>
      <c r="J514" s="43">
        <v>6</v>
      </c>
      <c r="K514" s="25" t="str">
        <f>VLOOKUP(J514,Key!$E$2:$F$9,2,FALSE)</f>
        <v>Leisure/Social</v>
      </c>
      <c r="L514" s="42" t="s">
        <v>155</v>
      </c>
      <c r="M514" s="43" t="s">
        <v>156</v>
      </c>
      <c r="N514" s="42" t="s">
        <v>157</v>
      </c>
      <c r="O514" s="43">
        <v>1</v>
      </c>
      <c r="P514" s="43">
        <v>1</v>
      </c>
      <c r="Q514" s="25" t="str">
        <f>VLOOKUP(P514,Key!$E$2:$F$9,2,FALSE)</f>
        <v>Home</v>
      </c>
      <c r="R514" s="25" t="str">
        <f t="shared" si="10"/>
        <v>Leisure/Social-Home</v>
      </c>
      <c r="S514" s="52">
        <v>137</v>
      </c>
      <c r="T514" s="52">
        <v>2</v>
      </c>
      <c r="U514" s="43"/>
      <c r="V514" s="43"/>
      <c r="W514" s="52"/>
      <c r="X514" s="52"/>
      <c r="Y514" s="53" t="s">
        <v>158</v>
      </c>
      <c r="Z514" s="54">
        <v>2000</v>
      </c>
      <c r="AA514" s="25">
        <f>VLOOKUP(F514,'Zones '!$A$2:$F$2056,6,FALSE)</f>
        <v>937</v>
      </c>
      <c r="AB514" s="25">
        <f>VLOOKUP(L514,'Zones '!$A$2:$F$2056,6,FALSE)</f>
        <v>1397</v>
      </c>
    </row>
    <row r="515" spans="2:28">
      <c r="B515" s="40">
        <v>0.90694444444444444</v>
      </c>
      <c r="C515" s="40" t="s">
        <v>700</v>
      </c>
      <c r="D515" s="41">
        <v>4</v>
      </c>
      <c r="E515" s="42">
        <v>7</v>
      </c>
      <c r="F515" s="42" t="s">
        <v>684</v>
      </c>
      <c r="G515" s="43" t="s">
        <v>156</v>
      </c>
      <c r="H515" s="42" t="s">
        <v>157</v>
      </c>
      <c r="I515" s="43">
        <v>6</v>
      </c>
      <c r="J515" s="43">
        <v>4</v>
      </c>
      <c r="K515" s="25" t="str">
        <f>VLOOKUP(J515,Key!$E$2:$F$9,2,FALSE)</f>
        <v>Commercial</v>
      </c>
      <c r="L515" s="42" t="s">
        <v>187</v>
      </c>
      <c r="M515" s="43" t="s">
        <v>187</v>
      </c>
      <c r="N515" s="42" t="s">
        <v>157</v>
      </c>
      <c r="O515" s="43">
        <v>6</v>
      </c>
      <c r="P515" s="43">
        <v>4</v>
      </c>
      <c r="Q515" s="25" t="str">
        <f>VLOOKUP(P515,Key!$E$2:$F$9,2,FALSE)</f>
        <v>Commercial</v>
      </c>
      <c r="R515" s="25" t="str">
        <f t="shared" si="10"/>
        <v>Commercial-Commercial</v>
      </c>
      <c r="S515" s="52">
        <v>137</v>
      </c>
      <c r="T515" s="52">
        <v>2</v>
      </c>
      <c r="U515" s="43">
        <v>2</v>
      </c>
      <c r="V515" s="43"/>
      <c r="W515" s="52"/>
      <c r="X515" s="52"/>
      <c r="Y515" s="53" t="s">
        <v>158</v>
      </c>
      <c r="Z515" s="54">
        <v>2000</v>
      </c>
      <c r="AA515" s="25">
        <f>VLOOKUP(F515,'Zones '!$A$2:$F$2056,6,FALSE)</f>
        <v>937</v>
      </c>
      <c r="AB515" s="25">
        <f>VLOOKUP(L515,'Zones '!$A$2:$F$2056,6,FALSE)</f>
        <v>521</v>
      </c>
    </row>
    <row r="516" spans="2:28">
      <c r="B516" s="40">
        <v>0.90347222222222223</v>
      </c>
      <c r="C516" s="40" t="s">
        <v>701</v>
      </c>
      <c r="D516" s="41">
        <v>1</v>
      </c>
      <c r="E516" s="42">
        <v>2</v>
      </c>
      <c r="F516" s="42" t="s">
        <v>352</v>
      </c>
      <c r="G516" s="43" t="s">
        <v>156</v>
      </c>
      <c r="H516" s="42" t="s">
        <v>157</v>
      </c>
      <c r="I516" s="43">
        <v>1</v>
      </c>
      <c r="J516" s="43">
        <v>1</v>
      </c>
      <c r="K516" s="25" t="str">
        <f>VLOOKUP(J516,Key!$E$2:$F$9,2,FALSE)</f>
        <v>Home</v>
      </c>
      <c r="L516" s="42" t="s">
        <v>155</v>
      </c>
      <c r="M516" s="43" t="s">
        <v>156</v>
      </c>
      <c r="N516" s="42" t="s">
        <v>157</v>
      </c>
      <c r="O516" s="43">
        <v>1</v>
      </c>
      <c r="P516" s="43">
        <v>1</v>
      </c>
      <c r="Q516" s="25" t="str">
        <f>VLOOKUP(P516,Key!$E$2:$F$9,2,FALSE)</f>
        <v>Home</v>
      </c>
      <c r="R516" s="25" t="str">
        <f t="shared" si="10"/>
        <v>Home-Home</v>
      </c>
      <c r="S516" s="52">
        <v>2</v>
      </c>
      <c r="T516" s="52">
        <v>0.1</v>
      </c>
      <c r="U516" s="43">
        <v>2</v>
      </c>
      <c r="V516" s="43"/>
      <c r="W516" s="52"/>
      <c r="X516" s="52"/>
      <c r="Y516" s="53" t="s">
        <v>158</v>
      </c>
      <c r="Z516" s="54">
        <v>500</v>
      </c>
      <c r="AA516" s="25">
        <f>VLOOKUP(F516,'Zones '!$A$2:$F$2056,6,FALSE)</f>
        <v>1397</v>
      </c>
      <c r="AB516" s="25">
        <f>VLOOKUP(L516,'Zones '!$A$2:$F$2056,6,FALSE)</f>
        <v>1397</v>
      </c>
    </row>
    <row r="517" spans="2:28">
      <c r="B517" s="40">
        <v>0.8652777777777777</v>
      </c>
      <c r="C517" s="40" t="s">
        <v>702</v>
      </c>
      <c r="D517" s="41">
        <v>1</v>
      </c>
      <c r="E517" s="42">
        <v>1</v>
      </c>
      <c r="F517" s="42" t="s">
        <v>187</v>
      </c>
      <c r="G517" s="43" t="s">
        <v>187</v>
      </c>
      <c r="H517" s="42" t="s">
        <v>157</v>
      </c>
      <c r="I517" s="43">
        <v>16</v>
      </c>
      <c r="J517" s="43">
        <v>8</v>
      </c>
      <c r="K517" s="25" t="str">
        <f>VLOOKUP(J517,Key!$E$2:$F$9,2,FALSE)</f>
        <v>Others</v>
      </c>
      <c r="L517" s="42" t="s">
        <v>150</v>
      </c>
      <c r="M517" s="43" t="s">
        <v>156</v>
      </c>
      <c r="N517" s="42" t="s">
        <v>157</v>
      </c>
      <c r="O517" s="43">
        <v>1</v>
      </c>
      <c r="P517" s="43">
        <v>1</v>
      </c>
      <c r="Q517" s="25" t="str">
        <f>VLOOKUP(P517,Key!$E$2:$F$9,2,FALSE)</f>
        <v>Home</v>
      </c>
      <c r="R517" s="25" t="str">
        <f t="shared" si="10"/>
        <v>Others-Home</v>
      </c>
      <c r="S517" s="52">
        <v>1</v>
      </c>
      <c r="T517" s="52">
        <v>1</v>
      </c>
      <c r="U517" s="43">
        <v>1</v>
      </c>
      <c r="V517" s="43"/>
      <c r="W517" s="52"/>
      <c r="X517" s="52"/>
      <c r="Y517" s="53" t="s">
        <v>158</v>
      </c>
      <c r="Z517" s="54">
        <v>1000</v>
      </c>
      <c r="AA517" s="25">
        <f>VLOOKUP(F517,'Zones '!$A$2:$F$2056,6,FALSE)</f>
        <v>521</v>
      </c>
      <c r="AB517" s="25">
        <f>VLOOKUP(L517,'Zones '!$A$2:$F$2056,6,FALSE)</f>
        <v>1397</v>
      </c>
    </row>
    <row r="518" spans="2:28">
      <c r="B518" s="40">
        <v>0.86805555555555547</v>
      </c>
      <c r="C518" s="40" t="s">
        <v>703</v>
      </c>
      <c r="D518" s="41">
        <v>1</v>
      </c>
      <c r="E518" s="42">
        <v>1</v>
      </c>
      <c r="F518" s="42" t="s">
        <v>704</v>
      </c>
      <c r="G518" s="43" t="s">
        <v>187</v>
      </c>
      <c r="H518" s="42" t="s">
        <v>157</v>
      </c>
      <c r="I518" s="43">
        <v>16</v>
      </c>
      <c r="J518" s="43">
        <v>2</v>
      </c>
      <c r="K518" s="25" t="str">
        <f>VLOOKUP(J518,Key!$E$2:$F$9,2,FALSE)</f>
        <v>Work</v>
      </c>
      <c r="L518" s="42" t="s">
        <v>160</v>
      </c>
      <c r="M518" s="43" t="s">
        <v>156</v>
      </c>
      <c r="N518" s="42" t="s">
        <v>157</v>
      </c>
      <c r="O518" s="43">
        <v>1</v>
      </c>
      <c r="P518" s="43">
        <v>1</v>
      </c>
      <c r="Q518" s="25" t="str">
        <f>VLOOKUP(P518,Key!$E$2:$F$9,2,FALSE)</f>
        <v>Home</v>
      </c>
      <c r="R518" s="25" t="str">
        <f t="shared" si="10"/>
        <v>Work-Home</v>
      </c>
      <c r="S518" s="52">
        <v>20</v>
      </c>
      <c r="T518" s="52">
        <v>0.7</v>
      </c>
      <c r="U518" s="43">
        <v>1</v>
      </c>
      <c r="V518" s="43"/>
      <c r="W518" s="52"/>
      <c r="X518" s="52"/>
      <c r="Y518" s="53" t="s">
        <v>158</v>
      </c>
      <c r="Z518" s="54">
        <v>2000</v>
      </c>
      <c r="AA518" s="25">
        <f>VLOOKUP(F518,'Zones '!$A$2:$F$2056,6,FALSE)</f>
        <v>852</v>
      </c>
      <c r="AB518" s="25">
        <f>VLOOKUP(L518,'Zones '!$A$2:$F$2056,6,FALSE)</f>
        <v>589</v>
      </c>
    </row>
    <row r="519" spans="2:28">
      <c r="B519" s="40">
        <v>0.79375000000000007</v>
      </c>
      <c r="C519" s="40" t="s">
        <v>705</v>
      </c>
      <c r="D519" s="41">
        <v>1</v>
      </c>
      <c r="E519" s="42">
        <v>1</v>
      </c>
      <c r="F519" s="42" t="s">
        <v>150</v>
      </c>
      <c r="G519" s="43" t="s">
        <v>156</v>
      </c>
      <c r="H519" s="42" t="s">
        <v>157</v>
      </c>
      <c r="I519" s="43">
        <v>2</v>
      </c>
      <c r="J519" s="43">
        <v>2</v>
      </c>
      <c r="K519" s="25" t="str">
        <f>VLOOKUP(J519,Key!$E$2:$F$9,2,FALSE)</f>
        <v>Work</v>
      </c>
      <c r="L519" s="42" t="s">
        <v>162</v>
      </c>
      <c r="M519" s="43" t="s">
        <v>156</v>
      </c>
      <c r="N519" s="42" t="s">
        <v>157</v>
      </c>
      <c r="O519" s="43">
        <v>1</v>
      </c>
      <c r="P519" s="43">
        <v>1</v>
      </c>
      <c r="Q519" s="25" t="str">
        <f>VLOOKUP(P519,Key!$E$2:$F$9,2,FALSE)</f>
        <v>Home</v>
      </c>
      <c r="R519" s="25" t="str">
        <f t="shared" si="10"/>
        <v>Work-Home</v>
      </c>
      <c r="S519" s="52">
        <v>1</v>
      </c>
      <c r="T519" s="52">
        <v>0.3</v>
      </c>
      <c r="U519" s="43">
        <v>1</v>
      </c>
      <c r="V519" s="43"/>
      <c r="W519" s="52"/>
      <c r="X519" s="52"/>
      <c r="Y519" s="53" t="s">
        <v>158</v>
      </c>
      <c r="Z519" s="54">
        <v>5000</v>
      </c>
      <c r="AA519" s="25">
        <f>VLOOKUP(F519,'Zones '!$A$2:$F$2056,6,FALSE)</f>
        <v>1397</v>
      </c>
      <c r="AB519" s="25">
        <f>VLOOKUP(L519,'Zones '!$A$2:$F$2056,6,FALSE)</f>
        <v>1397</v>
      </c>
    </row>
    <row r="520" spans="2:28">
      <c r="B520" s="40">
        <v>0.7993055555555556</v>
      </c>
      <c r="C520" s="40" t="s">
        <v>706</v>
      </c>
      <c r="D520" s="41">
        <v>1</v>
      </c>
      <c r="E520" s="42">
        <v>1</v>
      </c>
      <c r="F520" s="42" t="s">
        <v>162</v>
      </c>
      <c r="G520" s="43" t="s">
        <v>156</v>
      </c>
      <c r="H520" s="42" t="s">
        <v>157</v>
      </c>
      <c r="I520" s="43">
        <v>2</v>
      </c>
      <c r="J520" s="43">
        <v>2</v>
      </c>
      <c r="K520" s="25" t="str">
        <f>VLOOKUP(J520,Key!$E$2:$F$9,2,FALSE)</f>
        <v>Work</v>
      </c>
      <c r="L520" s="42" t="s">
        <v>155</v>
      </c>
      <c r="M520" s="43" t="s">
        <v>156</v>
      </c>
      <c r="N520" s="42" t="s">
        <v>157</v>
      </c>
      <c r="O520" s="43">
        <v>1</v>
      </c>
      <c r="P520" s="43">
        <v>1</v>
      </c>
      <c r="Q520" s="25" t="str">
        <f>VLOOKUP(P520,Key!$E$2:$F$9,2,FALSE)</f>
        <v>Home</v>
      </c>
      <c r="R520" s="25" t="str">
        <f t="shared" si="10"/>
        <v>Work-Home</v>
      </c>
      <c r="S520" s="52">
        <v>2</v>
      </c>
      <c r="T520" s="52">
        <v>0.3</v>
      </c>
      <c r="U520" s="43">
        <v>1</v>
      </c>
      <c r="V520" s="43"/>
      <c r="W520" s="52"/>
      <c r="X520" s="52"/>
      <c r="Y520" s="53" t="s">
        <v>158</v>
      </c>
      <c r="Z520" s="54">
        <v>1000</v>
      </c>
      <c r="AA520" s="25">
        <f>VLOOKUP(F520,'Zones '!$A$2:$F$2056,6,FALSE)</f>
        <v>1397</v>
      </c>
      <c r="AB520" s="25">
        <f>VLOOKUP(L520,'Zones '!$A$2:$F$2056,6,FALSE)</f>
        <v>1397</v>
      </c>
    </row>
    <row r="521" spans="2:28">
      <c r="B521" s="40">
        <v>0.77430555555555547</v>
      </c>
      <c r="C521" s="40" t="s">
        <v>707</v>
      </c>
      <c r="D521" s="41">
        <v>2</v>
      </c>
      <c r="E521" s="42">
        <v>3</v>
      </c>
      <c r="F521" s="42" t="s">
        <v>162</v>
      </c>
      <c r="G521" s="43" t="s">
        <v>156</v>
      </c>
      <c r="H521" s="42" t="s">
        <v>157</v>
      </c>
      <c r="I521" s="43">
        <v>1</v>
      </c>
      <c r="J521" s="43">
        <v>1</v>
      </c>
      <c r="K521" s="25" t="str">
        <f>VLOOKUP(J521,Key!$E$2:$F$9,2,FALSE)</f>
        <v>Home</v>
      </c>
      <c r="L521" s="42" t="s">
        <v>155</v>
      </c>
      <c r="M521" s="43" t="s">
        <v>156</v>
      </c>
      <c r="N521" s="42" t="s">
        <v>157</v>
      </c>
      <c r="O521" s="43">
        <v>9</v>
      </c>
      <c r="P521" s="43">
        <v>2</v>
      </c>
      <c r="Q521" s="25" t="str">
        <f>VLOOKUP(P521,Key!$E$2:$F$9,2,FALSE)</f>
        <v>Work</v>
      </c>
      <c r="R521" s="25" t="str">
        <f t="shared" si="10"/>
        <v>Home-Work</v>
      </c>
      <c r="S521" s="52">
        <v>2</v>
      </c>
      <c r="T521" s="52">
        <v>0.3</v>
      </c>
      <c r="U521" s="43"/>
      <c r="V521" s="43">
        <v>1</v>
      </c>
      <c r="W521" s="52">
        <v>1</v>
      </c>
      <c r="X521" s="52">
        <v>0.1</v>
      </c>
      <c r="Y521" s="53" t="s">
        <v>158</v>
      </c>
      <c r="Z521" s="54">
        <v>5000</v>
      </c>
      <c r="AA521" s="25">
        <f>VLOOKUP(F521,'Zones '!$A$2:$F$2056,6,FALSE)</f>
        <v>1397</v>
      </c>
      <c r="AB521" s="25">
        <f>VLOOKUP(L521,'Zones '!$A$2:$F$2056,6,FALSE)</f>
        <v>1397</v>
      </c>
    </row>
    <row r="522" spans="2:28">
      <c r="B522" s="40">
        <v>0.76250000000000007</v>
      </c>
      <c r="C522" s="40" t="s">
        <v>708</v>
      </c>
      <c r="D522" s="41">
        <v>4</v>
      </c>
      <c r="E522" s="42">
        <v>2</v>
      </c>
      <c r="F522" s="42" t="s">
        <v>150</v>
      </c>
      <c r="G522" s="43" t="s">
        <v>156</v>
      </c>
      <c r="H522" s="42" t="s">
        <v>157</v>
      </c>
      <c r="I522" s="43">
        <v>6</v>
      </c>
      <c r="J522" s="43">
        <v>2</v>
      </c>
      <c r="K522" s="25" t="str">
        <f>VLOOKUP(J522,Key!$E$2:$F$9,2,FALSE)</f>
        <v>Work</v>
      </c>
      <c r="L522" s="42" t="s">
        <v>207</v>
      </c>
      <c r="M522" s="43" t="s">
        <v>156</v>
      </c>
      <c r="N522" s="42" t="s">
        <v>157</v>
      </c>
      <c r="O522" s="43">
        <v>16</v>
      </c>
      <c r="P522" s="43">
        <v>4</v>
      </c>
      <c r="Q522" s="25" t="str">
        <f>VLOOKUP(P522,Key!$E$2:$F$9,2,FALSE)</f>
        <v>Commercial</v>
      </c>
      <c r="R522" s="25" t="str">
        <f t="shared" si="10"/>
        <v>Work-Commercial</v>
      </c>
      <c r="S522" s="52">
        <v>1.4</v>
      </c>
      <c r="T522" s="52">
        <v>0.1</v>
      </c>
      <c r="U522" s="43">
        <v>2</v>
      </c>
      <c r="V522" s="43"/>
      <c r="W522" s="52"/>
      <c r="X522" s="52"/>
      <c r="Y522" s="53" t="s">
        <v>158</v>
      </c>
      <c r="Z522" s="54">
        <v>1000</v>
      </c>
      <c r="AA522" s="25">
        <f>VLOOKUP(F522,'Zones '!$A$2:$F$2056,6,FALSE)</f>
        <v>1397</v>
      </c>
      <c r="AB522" s="25">
        <f>VLOOKUP(L522,'Zones '!$A$2:$F$2056,6,FALSE)</f>
        <v>1397</v>
      </c>
    </row>
    <row r="523" spans="2:28">
      <c r="B523" s="40">
        <v>0.75555555555555554</v>
      </c>
      <c r="C523" s="40" t="s">
        <v>709</v>
      </c>
      <c r="D523" s="41">
        <v>1</v>
      </c>
      <c r="E523" s="42">
        <v>2</v>
      </c>
      <c r="F523" s="42" t="s">
        <v>150</v>
      </c>
      <c r="G523" s="43" t="s">
        <v>156</v>
      </c>
      <c r="H523" s="42" t="s">
        <v>157</v>
      </c>
      <c r="I523" s="43">
        <v>1</v>
      </c>
      <c r="J523" s="43">
        <v>1</v>
      </c>
      <c r="K523" s="25" t="str">
        <f>VLOOKUP(J523,Key!$E$2:$F$9,2,FALSE)</f>
        <v>Home</v>
      </c>
      <c r="L523" s="42" t="s">
        <v>155</v>
      </c>
      <c r="M523" s="43" t="s">
        <v>156</v>
      </c>
      <c r="N523" s="42" t="s">
        <v>157</v>
      </c>
      <c r="O523" s="43">
        <v>9</v>
      </c>
      <c r="P523" s="43">
        <v>2</v>
      </c>
      <c r="Q523" s="25" t="str">
        <f>VLOOKUP(P523,Key!$E$2:$F$9,2,FALSE)</f>
        <v>Work</v>
      </c>
      <c r="R523" s="25" t="str">
        <f t="shared" si="10"/>
        <v>Home-Work</v>
      </c>
      <c r="S523" s="52">
        <v>8</v>
      </c>
      <c r="T523" s="52">
        <v>0.1</v>
      </c>
      <c r="U523" s="43">
        <v>4</v>
      </c>
      <c r="V523" s="43"/>
      <c r="W523" s="52"/>
      <c r="X523" s="52"/>
      <c r="Y523" s="53" t="s">
        <v>158</v>
      </c>
      <c r="Z523" s="54">
        <v>5000</v>
      </c>
      <c r="AA523" s="25">
        <f>VLOOKUP(F523,'Zones '!$A$2:$F$2056,6,FALSE)</f>
        <v>1397</v>
      </c>
      <c r="AB523" s="25">
        <f>VLOOKUP(L523,'Zones '!$A$2:$F$2056,6,FALSE)</f>
        <v>1397</v>
      </c>
    </row>
    <row r="524" spans="2:28">
      <c r="B524" s="40">
        <v>0.73263888888888884</v>
      </c>
      <c r="C524" s="40" t="s">
        <v>710</v>
      </c>
      <c r="D524" s="41">
        <v>3</v>
      </c>
      <c r="E524" s="42">
        <v>2</v>
      </c>
      <c r="F524" s="42" t="s">
        <v>160</v>
      </c>
      <c r="G524" s="43" t="s">
        <v>156</v>
      </c>
      <c r="H524" s="42" t="s">
        <v>157</v>
      </c>
      <c r="I524" s="43">
        <v>14</v>
      </c>
      <c r="J524" s="43">
        <v>4</v>
      </c>
      <c r="K524" s="25" t="str">
        <f>VLOOKUP(J524,Key!$E$2:$F$9,2,FALSE)</f>
        <v>Commercial</v>
      </c>
      <c r="L524" s="42" t="s">
        <v>339</v>
      </c>
      <c r="M524" s="43" t="s">
        <v>187</v>
      </c>
      <c r="N524" s="42" t="s">
        <v>157</v>
      </c>
      <c r="O524" s="43">
        <v>3</v>
      </c>
      <c r="P524" s="43">
        <v>4</v>
      </c>
      <c r="Q524" s="25" t="str">
        <f>VLOOKUP(P524,Key!$E$2:$F$9,2,FALSE)</f>
        <v>Commercial</v>
      </c>
      <c r="R524" s="25" t="str">
        <f t="shared" si="10"/>
        <v>Commercial-Commercial</v>
      </c>
      <c r="S524" s="52">
        <v>3</v>
      </c>
      <c r="T524" s="52">
        <v>1</v>
      </c>
      <c r="U524" s="43">
        <v>3</v>
      </c>
      <c r="V524" s="43">
        <v>6</v>
      </c>
      <c r="W524" s="52">
        <v>2</v>
      </c>
      <c r="X524" s="52">
        <v>5</v>
      </c>
      <c r="Y524" s="53" t="s">
        <v>158</v>
      </c>
      <c r="Z524" s="54">
        <v>2000</v>
      </c>
      <c r="AA524" s="25">
        <f>VLOOKUP(F524,'Zones '!$A$2:$F$2056,6,FALSE)</f>
        <v>589</v>
      </c>
      <c r="AB524" s="25">
        <f>VLOOKUP(L524,'Zones '!$A$2:$F$2056,6,FALSE)</f>
        <v>517</v>
      </c>
    </row>
    <row r="525" spans="2:28">
      <c r="B525" s="40">
        <v>0.7368055555555556</v>
      </c>
      <c r="C525" s="40" t="s">
        <v>711</v>
      </c>
      <c r="D525" s="41">
        <v>1</v>
      </c>
      <c r="E525" s="42">
        <v>2</v>
      </c>
      <c r="F525" s="42" t="s">
        <v>160</v>
      </c>
      <c r="G525" s="43" t="s">
        <v>156</v>
      </c>
      <c r="H525" s="42" t="s">
        <v>157</v>
      </c>
      <c r="I525" s="43">
        <v>1</v>
      </c>
      <c r="J525" s="43">
        <v>1</v>
      </c>
      <c r="K525" s="25" t="str">
        <f>VLOOKUP(J525,Key!$E$2:$F$9,2,FALSE)</f>
        <v>Home</v>
      </c>
      <c r="L525" s="42" t="s">
        <v>155</v>
      </c>
      <c r="M525" s="43" t="s">
        <v>156</v>
      </c>
      <c r="N525" s="42" t="s">
        <v>157</v>
      </c>
      <c r="O525" s="43">
        <v>11</v>
      </c>
      <c r="P525" s="43">
        <v>4</v>
      </c>
      <c r="Q525" s="25" t="str">
        <f>VLOOKUP(P525,Key!$E$2:$F$9,2,FALSE)</f>
        <v>Commercial</v>
      </c>
      <c r="R525" s="25" t="str">
        <f t="shared" si="10"/>
        <v>Home-Commercial</v>
      </c>
      <c r="S525" s="52">
        <v>2</v>
      </c>
      <c r="T525" s="52">
        <v>0.3</v>
      </c>
      <c r="U525" s="43">
        <v>2</v>
      </c>
      <c r="V525" s="43"/>
      <c r="W525" s="52"/>
      <c r="X525" s="52"/>
      <c r="Y525" s="53" t="s">
        <v>158</v>
      </c>
      <c r="Z525" s="54">
        <v>100</v>
      </c>
      <c r="AA525" s="25">
        <f>VLOOKUP(F525,'Zones '!$A$2:$F$2056,6,FALSE)</f>
        <v>589</v>
      </c>
      <c r="AB525" s="25">
        <f>VLOOKUP(L525,'Zones '!$A$2:$F$2056,6,FALSE)</f>
        <v>1397</v>
      </c>
    </row>
    <row r="526" spans="2:28">
      <c r="B526" s="40">
        <v>0.73402777777777783</v>
      </c>
      <c r="C526" s="40" t="s">
        <v>712</v>
      </c>
      <c r="D526" s="41">
        <v>1</v>
      </c>
      <c r="E526" s="42">
        <v>2</v>
      </c>
      <c r="F526" s="42" t="s">
        <v>339</v>
      </c>
      <c r="G526" s="43" t="s">
        <v>187</v>
      </c>
      <c r="H526" s="42" t="s">
        <v>157</v>
      </c>
      <c r="I526" s="43">
        <v>16</v>
      </c>
      <c r="J526" s="43">
        <v>6</v>
      </c>
      <c r="K526" s="25" t="str">
        <f>VLOOKUP(J526,Key!$E$2:$F$9,2,FALSE)</f>
        <v>Leisure/Social</v>
      </c>
      <c r="L526" s="42" t="s">
        <v>155</v>
      </c>
      <c r="M526" s="43" t="s">
        <v>156</v>
      </c>
      <c r="N526" s="42" t="s">
        <v>157</v>
      </c>
      <c r="O526" s="43">
        <v>16</v>
      </c>
      <c r="P526" s="43">
        <v>6</v>
      </c>
      <c r="Q526" s="25" t="str">
        <f>VLOOKUP(P526,Key!$E$2:$F$9,2,FALSE)</f>
        <v>Leisure/Social</v>
      </c>
      <c r="R526" s="25" t="str">
        <f t="shared" si="10"/>
        <v>Leisure/Social-Leisure/Social</v>
      </c>
      <c r="S526" s="52">
        <v>22</v>
      </c>
      <c r="T526" s="52">
        <v>1</v>
      </c>
      <c r="U526" s="43">
        <v>2</v>
      </c>
      <c r="V526" s="43"/>
      <c r="W526" s="52"/>
      <c r="X526" s="52"/>
      <c r="Y526" s="53" t="s">
        <v>158</v>
      </c>
      <c r="Z526" s="54">
        <v>1000</v>
      </c>
      <c r="AA526" s="25">
        <f>VLOOKUP(F526,'Zones '!$A$2:$F$2056,6,FALSE)</f>
        <v>517</v>
      </c>
      <c r="AB526" s="25">
        <f>VLOOKUP(L526,'Zones '!$A$2:$F$2056,6,FALSE)</f>
        <v>1397</v>
      </c>
    </row>
    <row r="527" spans="2:28">
      <c r="B527" s="40">
        <v>0.69861111111111107</v>
      </c>
      <c r="C527" s="40" t="s">
        <v>713</v>
      </c>
      <c r="D527" s="41">
        <v>1</v>
      </c>
      <c r="E527" s="42">
        <v>1</v>
      </c>
      <c r="F527" s="42" t="s">
        <v>150</v>
      </c>
      <c r="G527" s="43" t="s">
        <v>156</v>
      </c>
      <c r="H527" s="42" t="s">
        <v>157</v>
      </c>
      <c r="I527" s="43">
        <v>1</v>
      </c>
      <c r="J527" s="43">
        <v>1</v>
      </c>
      <c r="K527" s="25" t="str">
        <f>VLOOKUP(J527,Key!$E$2:$F$9,2,FALSE)</f>
        <v>Home</v>
      </c>
      <c r="L527" s="42" t="s">
        <v>150</v>
      </c>
      <c r="M527" s="43" t="s">
        <v>156</v>
      </c>
      <c r="N527" s="42" t="s">
        <v>157</v>
      </c>
      <c r="O527" s="43">
        <v>16</v>
      </c>
      <c r="P527" s="43">
        <v>6</v>
      </c>
      <c r="Q527" s="25" t="str">
        <f>VLOOKUP(P527,Key!$E$2:$F$9,2,FALSE)</f>
        <v>Leisure/Social</v>
      </c>
      <c r="R527" s="25" t="str">
        <f t="shared" si="10"/>
        <v>Home-Leisure/Social</v>
      </c>
      <c r="S527" s="52">
        <v>16</v>
      </c>
      <c r="T527" s="52">
        <v>0.1</v>
      </c>
      <c r="U527" s="43">
        <v>2</v>
      </c>
      <c r="V527" s="43"/>
      <c r="W527" s="52"/>
      <c r="X527" s="52"/>
      <c r="Y527" s="53" t="s">
        <v>158</v>
      </c>
      <c r="Z527" s="54">
        <v>0</v>
      </c>
      <c r="AA527" s="25">
        <f>VLOOKUP(F527,'Zones '!$A$2:$F$2056,6,FALSE)</f>
        <v>1397</v>
      </c>
      <c r="AB527" s="25">
        <f>VLOOKUP(L527,'Zones '!$A$2:$F$2056,6,FALSE)</f>
        <v>1397</v>
      </c>
    </row>
    <row r="528" spans="2:28">
      <c r="B528" s="40">
        <v>0.69305555555555554</v>
      </c>
      <c r="C528" s="40" t="s">
        <v>714</v>
      </c>
      <c r="D528" s="41">
        <v>9</v>
      </c>
      <c r="E528" s="42">
        <v>2</v>
      </c>
      <c r="F528" s="42" t="s">
        <v>691</v>
      </c>
      <c r="G528" s="43" t="s">
        <v>197</v>
      </c>
      <c r="H528" s="42" t="s">
        <v>157</v>
      </c>
      <c r="I528" s="43">
        <v>11</v>
      </c>
      <c r="J528" s="43">
        <v>4</v>
      </c>
      <c r="K528" s="25" t="str">
        <f>VLOOKUP(J528,Key!$E$2:$F$9,2,FALSE)</f>
        <v>Commercial</v>
      </c>
      <c r="L528" s="42" t="s">
        <v>207</v>
      </c>
      <c r="M528" s="43" t="s">
        <v>156</v>
      </c>
      <c r="N528" s="42" t="s">
        <v>157</v>
      </c>
      <c r="O528" s="43">
        <v>3</v>
      </c>
      <c r="P528" s="43">
        <v>4</v>
      </c>
      <c r="Q528" s="25" t="str">
        <f>VLOOKUP(P528,Key!$E$2:$F$9,2,FALSE)</f>
        <v>Commercial</v>
      </c>
      <c r="R528" s="25" t="str">
        <f t="shared" si="10"/>
        <v>Commercial-Commercial</v>
      </c>
      <c r="S528" s="52">
        <v>34</v>
      </c>
      <c r="T528" s="52">
        <v>3</v>
      </c>
      <c r="U528" s="43">
        <v>4</v>
      </c>
      <c r="V528" s="43">
        <v>1</v>
      </c>
      <c r="W528" s="52">
        <v>4</v>
      </c>
      <c r="X528" s="52">
        <v>3</v>
      </c>
      <c r="Y528" s="53" t="s">
        <v>158</v>
      </c>
      <c r="Z528" s="54">
        <v>2000</v>
      </c>
      <c r="AA528" s="25">
        <f>VLOOKUP(F528,'Zones '!$A$2:$F$2056,6,FALSE)</f>
        <v>937</v>
      </c>
      <c r="AB528" s="25">
        <f>VLOOKUP(L528,'Zones '!$A$2:$F$2056,6,FALSE)</f>
        <v>1397</v>
      </c>
    </row>
    <row r="529" spans="2:28">
      <c r="B529" s="40">
        <v>0.68611111111111101</v>
      </c>
      <c r="C529" s="40" t="s">
        <v>715</v>
      </c>
      <c r="D529" s="41">
        <v>1</v>
      </c>
      <c r="E529" s="42">
        <v>1</v>
      </c>
      <c r="F529" s="42" t="s">
        <v>150</v>
      </c>
      <c r="G529" s="43" t="s">
        <v>156</v>
      </c>
      <c r="H529" s="42" t="s">
        <v>157</v>
      </c>
      <c r="I529" s="43">
        <v>1</v>
      </c>
      <c r="J529" s="43">
        <v>1</v>
      </c>
      <c r="K529" s="25" t="str">
        <f>VLOOKUP(J529,Key!$E$2:$F$9,2,FALSE)</f>
        <v>Home</v>
      </c>
      <c r="L529" s="42" t="s">
        <v>162</v>
      </c>
      <c r="M529" s="43" t="s">
        <v>156</v>
      </c>
      <c r="N529" s="42" t="s">
        <v>157</v>
      </c>
      <c r="O529" s="43">
        <v>1</v>
      </c>
      <c r="P529" s="43">
        <v>1</v>
      </c>
      <c r="Q529" s="25" t="str">
        <f>VLOOKUP(P529,Key!$E$2:$F$9,2,FALSE)</f>
        <v>Home</v>
      </c>
      <c r="R529" s="25" t="str">
        <f t="shared" si="10"/>
        <v>Home-Home</v>
      </c>
      <c r="S529" s="52">
        <v>36</v>
      </c>
      <c r="T529" s="52">
        <v>0.4</v>
      </c>
      <c r="U529" s="43">
        <v>1</v>
      </c>
      <c r="V529" s="43"/>
      <c r="W529" s="52"/>
      <c r="X529" s="52"/>
      <c r="Y529" s="53" t="s">
        <v>158</v>
      </c>
      <c r="Z529" s="54">
        <v>2000</v>
      </c>
      <c r="AA529" s="25">
        <f>VLOOKUP(F529,'Zones '!$A$2:$F$2056,6,FALSE)</f>
        <v>1397</v>
      </c>
      <c r="AB529" s="25">
        <f>VLOOKUP(L529,'Zones '!$A$2:$F$2056,6,FALSE)</f>
        <v>1397</v>
      </c>
    </row>
    <row r="530" spans="2:28">
      <c r="B530" s="40">
        <v>0.68194444444444446</v>
      </c>
      <c r="C530" s="40" t="s">
        <v>716</v>
      </c>
      <c r="D530" s="41">
        <v>4</v>
      </c>
      <c r="E530" s="42">
        <v>10</v>
      </c>
      <c r="F530" s="42" t="s">
        <v>197</v>
      </c>
      <c r="G530" s="43" t="s">
        <v>197</v>
      </c>
      <c r="H530" s="42" t="s">
        <v>157</v>
      </c>
      <c r="I530" s="43">
        <v>6</v>
      </c>
      <c r="J530" s="43">
        <v>2</v>
      </c>
      <c r="K530" s="25" t="str">
        <f>VLOOKUP(J530,Key!$E$2:$F$9,2,FALSE)</f>
        <v>Work</v>
      </c>
      <c r="L530" s="42" t="s">
        <v>207</v>
      </c>
      <c r="M530" s="43" t="s">
        <v>156</v>
      </c>
      <c r="N530" s="42" t="s">
        <v>157</v>
      </c>
      <c r="O530" s="43">
        <v>6</v>
      </c>
      <c r="P530" s="43">
        <v>4</v>
      </c>
      <c r="Q530" s="25" t="str">
        <f>VLOOKUP(P530,Key!$E$2:$F$9,2,FALSE)</f>
        <v>Commercial</v>
      </c>
      <c r="R530" s="25" t="str">
        <f t="shared" si="10"/>
        <v>Work-Commercial</v>
      </c>
      <c r="S530" s="52">
        <v>130</v>
      </c>
      <c r="T530" s="52">
        <v>2</v>
      </c>
      <c r="U530" s="43">
        <v>2</v>
      </c>
      <c r="V530" s="43"/>
      <c r="W530" s="52"/>
      <c r="X530" s="52"/>
      <c r="Y530" s="53" t="s">
        <v>158</v>
      </c>
      <c r="Z530" s="54">
        <v>0</v>
      </c>
      <c r="AA530" s="25">
        <f>VLOOKUP(F530,'Zones '!$A$2:$F$2056,6,FALSE)</f>
        <v>937</v>
      </c>
      <c r="AB530" s="25">
        <f>VLOOKUP(L530,'Zones '!$A$2:$F$2056,6,FALSE)</f>
        <v>1397</v>
      </c>
    </row>
    <row r="531" spans="2:28">
      <c r="B531" s="40">
        <v>0.64722222222222225</v>
      </c>
      <c r="C531" s="40" t="s">
        <v>717</v>
      </c>
      <c r="D531" s="41">
        <v>9</v>
      </c>
      <c r="E531" s="42">
        <v>2</v>
      </c>
      <c r="F531" s="42" t="s">
        <v>164</v>
      </c>
      <c r="G531" s="43" t="s">
        <v>156</v>
      </c>
      <c r="H531" s="42" t="s">
        <v>157</v>
      </c>
      <c r="I531" s="43">
        <v>11</v>
      </c>
      <c r="J531" s="43">
        <v>2</v>
      </c>
      <c r="K531" s="25" t="str">
        <f>VLOOKUP(J531,Key!$E$2:$F$9,2,FALSE)</f>
        <v>Work</v>
      </c>
      <c r="L531" s="42" t="s">
        <v>155</v>
      </c>
      <c r="M531" s="43" t="s">
        <v>156</v>
      </c>
      <c r="N531" s="42" t="s">
        <v>157</v>
      </c>
      <c r="O531" s="43">
        <v>1</v>
      </c>
      <c r="P531" s="43">
        <v>1</v>
      </c>
      <c r="Q531" s="25" t="str">
        <f>VLOOKUP(P531,Key!$E$2:$F$9,2,FALSE)</f>
        <v>Home</v>
      </c>
      <c r="R531" s="25" t="str">
        <f t="shared" ref="R531:R562" si="11">K531&amp;"-"&amp;Q531</f>
        <v>Work-Home</v>
      </c>
      <c r="S531" s="52">
        <v>120</v>
      </c>
      <c r="T531" s="52">
        <v>0.3</v>
      </c>
      <c r="U531" s="43">
        <v>2</v>
      </c>
      <c r="V531" s="43"/>
      <c r="W531" s="52"/>
      <c r="X531" s="52"/>
      <c r="Y531" s="53" t="s">
        <v>158</v>
      </c>
      <c r="Z531" s="54">
        <v>2000</v>
      </c>
      <c r="AA531" s="25">
        <f>VLOOKUP(F531,'Zones '!$A$2:$F$2056,6,FALSE)</f>
        <v>1397</v>
      </c>
      <c r="AB531" s="25">
        <f>VLOOKUP(L531,'Zones '!$A$2:$F$2056,6,FALSE)</f>
        <v>1397</v>
      </c>
    </row>
    <row r="532" spans="2:28">
      <c r="B532" s="40">
        <v>0.6479166666666667</v>
      </c>
      <c r="C532" s="40" t="s">
        <v>718</v>
      </c>
      <c r="D532" s="41">
        <v>3</v>
      </c>
      <c r="E532" s="42">
        <v>2</v>
      </c>
      <c r="F532" s="42" t="s">
        <v>719</v>
      </c>
      <c r="G532" s="43" t="s">
        <v>187</v>
      </c>
      <c r="H532" s="42" t="s">
        <v>157</v>
      </c>
      <c r="I532" s="43">
        <v>7</v>
      </c>
      <c r="J532" s="43">
        <v>4</v>
      </c>
      <c r="K532" s="25" t="str">
        <f>VLOOKUP(J532,Key!$E$2:$F$9,2,FALSE)</f>
        <v>Commercial</v>
      </c>
      <c r="L532" s="42" t="s">
        <v>155</v>
      </c>
      <c r="M532" s="43" t="s">
        <v>156</v>
      </c>
      <c r="N532" s="42" t="s">
        <v>157</v>
      </c>
      <c r="O532" s="43">
        <v>16</v>
      </c>
      <c r="P532" s="43">
        <v>6</v>
      </c>
      <c r="Q532" s="25" t="str">
        <f>VLOOKUP(P532,Key!$E$2:$F$9,2,FALSE)</f>
        <v>Leisure/Social</v>
      </c>
      <c r="R532" s="25" t="str">
        <f t="shared" si="11"/>
        <v>Commercial-Leisure/Social</v>
      </c>
      <c r="S532" s="52">
        <v>100</v>
      </c>
      <c r="T532" s="52">
        <v>2</v>
      </c>
      <c r="U532" s="43">
        <v>5</v>
      </c>
      <c r="V532" s="43"/>
      <c r="W532" s="52"/>
      <c r="X532" s="52"/>
      <c r="Y532" s="53" t="s">
        <v>158</v>
      </c>
      <c r="Z532" s="54">
        <v>1000</v>
      </c>
      <c r="AA532" s="25">
        <f>VLOOKUP(F532,'Zones '!$A$2:$F$2056,6,FALSE)</f>
        <v>1408</v>
      </c>
      <c r="AB532" s="25">
        <f>VLOOKUP(L532,'Zones '!$A$2:$F$2056,6,FALSE)</f>
        <v>1397</v>
      </c>
    </row>
    <row r="533" spans="2:28">
      <c r="B533" s="40">
        <v>0.62291666666666667</v>
      </c>
      <c r="C533" s="40" t="s">
        <v>720</v>
      </c>
      <c r="D533" s="41">
        <v>1</v>
      </c>
      <c r="E533" s="42">
        <v>2</v>
      </c>
      <c r="F533" s="42" t="s">
        <v>684</v>
      </c>
      <c r="G533" s="43" t="s">
        <v>197</v>
      </c>
      <c r="H533" s="42" t="s">
        <v>157</v>
      </c>
      <c r="I533" s="43">
        <v>1</v>
      </c>
      <c r="J533" s="43">
        <v>1</v>
      </c>
      <c r="K533" s="25" t="str">
        <f>VLOOKUP(J533,Key!$E$2:$F$9,2,FALSE)</f>
        <v>Home</v>
      </c>
      <c r="L533" s="42" t="s">
        <v>155</v>
      </c>
      <c r="M533" s="43" t="s">
        <v>156</v>
      </c>
      <c r="N533" s="42" t="s">
        <v>157</v>
      </c>
      <c r="O533" s="43">
        <v>10</v>
      </c>
      <c r="P533" s="43">
        <v>4</v>
      </c>
      <c r="Q533" s="25" t="str">
        <f>VLOOKUP(P533,Key!$E$2:$F$9,2,FALSE)</f>
        <v>Commercial</v>
      </c>
      <c r="R533" s="25" t="str">
        <f t="shared" si="11"/>
        <v>Home-Commercial</v>
      </c>
      <c r="S533" s="52">
        <v>130</v>
      </c>
      <c r="T533" s="52">
        <v>2</v>
      </c>
      <c r="U533" s="43">
        <v>5</v>
      </c>
      <c r="V533" s="43"/>
      <c r="W533" s="52"/>
      <c r="X533" s="52"/>
      <c r="Y533" s="53" t="s">
        <v>158</v>
      </c>
      <c r="Z533" s="54">
        <v>1000</v>
      </c>
      <c r="AA533" s="25">
        <f>VLOOKUP(F533,'Zones '!$A$2:$F$2056,6,FALSE)</f>
        <v>937</v>
      </c>
      <c r="AB533" s="25">
        <f>VLOOKUP(L533,'Zones '!$A$2:$F$2056,6,FALSE)</f>
        <v>1397</v>
      </c>
    </row>
    <row r="534" spans="2:28">
      <c r="B534" s="40">
        <v>0.6118055555555556</v>
      </c>
      <c r="C534" s="40" t="s">
        <v>721</v>
      </c>
      <c r="D534" s="41">
        <v>1</v>
      </c>
      <c r="E534" s="42">
        <v>4</v>
      </c>
      <c r="F534" s="42" t="s">
        <v>339</v>
      </c>
      <c r="G534" s="43" t="s">
        <v>187</v>
      </c>
      <c r="H534" s="42" t="s">
        <v>157</v>
      </c>
      <c r="I534" s="43">
        <v>16</v>
      </c>
      <c r="J534" s="43">
        <v>6</v>
      </c>
      <c r="K534" s="25" t="str">
        <f>VLOOKUP(J534,Key!$E$2:$F$9,2,FALSE)</f>
        <v>Leisure/Social</v>
      </c>
      <c r="L534" s="42" t="s">
        <v>155</v>
      </c>
      <c r="M534" s="43" t="s">
        <v>156</v>
      </c>
      <c r="N534" s="42" t="s">
        <v>157</v>
      </c>
      <c r="O534" s="43">
        <v>1</v>
      </c>
      <c r="P534" s="43">
        <v>1</v>
      </c>
      <c r="Q534" s="25" t="str">
        <f>VLOOKUP(P534,Key!$E$2:$F$9,2,FALSE)</f>
        <v>Home</v>
      </c>
      <c r="R534" s="25" t="str">
        <f t="shared" si="11"/>
        <v>Leisure/Social-Home</v>
      </c>
      <c r="S534" s="52">
        <v>127</v>
      </c>
      <c r="T534" s="52">
        <v>2</v>
      </c>
      <c r="U534" s="43">
        <v>3</v>
      </c>
      <c r="V534" s="43"/>
      <c r="W534" s="52"/>
      <c r="X534" s="52"/>
      <c r="Y534" s="53" t="s">
        <v>158</v>
      </c>
      <c r="Z534" s="54">
        <v>1000</v>
      </c>
      <c r="AA534" s="25">
        <f>VLOOKUP(F534,'Zones '!$A$2:$F$2056,6,FALSE)</f>
        <v>517</v>
      </c>
      <c r="AB534" s="25">
        <f>VLOOKUP(L534,'Zones '!$A$2:$F$2056,6,FALSE)</f>
        <v>1397</v>
      </c>
    </row>
    <row r="535" spans="2:28">
      <c r="B535" s="40">
        <v>0.60555555555555551</v>
      </c>
      <c r="C535" s="40" t="s">
        <v>722</v>
      </c>
      <c r="D535" s="41">
        <v>1</v>
      </c>
      <c r="E535" s="42">
        <v>4</v>
      </c>
      <c r="F535" s="42" t="s">
        <v>150</v>
      </c>
      <c r="G535" s="43" t="s">
        <v>156</v>
      </c>
      <c r="H535" s="42" t="s">
        <v>157</v>
      </c>
      <c r="I535" s="43">
        <v>1</v>
      </c>
      <c r="J535" s="43">
        <v>1</v>
      </c>
      <c r="K535" s="25" t="str">
        <f>VLOOKUP(J535,Key!$E$2:$F$9,2,FALSE)</f>
        <v>Home</v>
      </c>
      <c r="L535" s="42" t="s">
        <v>207</v>
      </c>
      <c r="M535" s="43" t="s">
        <v>156</v>
      </c>
      <c r="N535" s="42" t="s">
        <v>157</v>
      </c>
      <c r="O535" s="43">
        <v>11</v>
      </c>
      <c r="P535" s="43">
        <v>4</v>
      </c>
      <c r="Q535" s="25" t="str">
        <f>VLOOKUP(P535,Key!$E$2:$F$9,2,FALSE)</f>
        <v>Commercial</v>
      </c>
      <c r="R535" s="25" t="str">
        <f t="shared" si="11"/>
        <v>Home-Commercial</v>
      </c>
      <c r="S535" s="52">
        <v>2</v>
      </c>
      <c r="T535" s="52">
        <v>0.7</v>
      </c>
      <c r="U535" s="43">
        <v>4</v>
      </c>
      <c r="V535" s="43"/>
      <c r="W535" s="52"/>
      <c r="X535" s="52"/>
      <c r="Y535" s="53" t="s">
        <v>158</v>
      </c>
      <c r="Z535" s="54">
        <v>1000</v>
      </c>
      <c r="AA535" s="25">
        <f>VLOOKUP(F535,'Zones '!$A$2:$F$2056,6,FALSE)</f>
        <v>1397</v>
      </c>
      <c r="AB535" s="25">
        <f>VLOOKUP(L535,'Zones '!$A$2:$F$2056,6,FALSE)</f>
        <v>1397</v>
      </c>
    </row>
    <row r="536" spans="2:28">
      <c r="B536" s="40">
        <v>0.59375</v>
      </c>
      <c r="C536" s="40" t="s">
        <v>723</v>
      </c>
      <c r="D536" s="41">
        <v>1</v>
      </c>
      <c r="E536" s="42">
        <v>2</v>
      </c>
      <c r="F536" s="42" t="s">
        <v>150</v>
      </c>
      <c r="G536" s="43" t="s">
        <v>156</v>
      </c>
      <c r="H536" s="42" t="s">
        <v>157</v>
      </c>
      <c r="I536" s="43">
        <v>1</v>
      </c>
      <c r="J536" s="43">
        <v>1</v>
      </c>
      <c r="K536" s="25" t="str">
        <f>VLOOKUP(J536,Key!$E$2:$F$9,2,FALSE)</f>
        <v>Home</v>
      </c>
      <c r="L536" s="42" t="s">
        <v>204</v>
      </c>
      <c r="M536" s="43" t="s">
        <v>156</v>
      </c>
      <c r="N536" s="42" t="s">
        <v>157</v>
      </c>
      <c r="O536" s="43">
        <v>16</v>
      </c>
      <c r="P536" s="43">
        <v>6</v>
      </c>
      <c r="Q536" s="25" t="str">
        <f>VLOOKUP(P536,Key!$E$2:$F$9,2,FALSE)</f>
        <v>Leisure/Social</v>
      </c>
      <c r="R536" s="25" t="str">
        <f t="shared" si="11"/>
        <v>Home-Leisure/Social</v>
      </c>
      <c r="S536" s="52">
        <v>120</v>
      </c>
      <c r="T536" s="52">
        <v>2</v>
      </c>
      <c r="U536" s="43">
        <v>4</v>
      </c>
      <c r="V536" s="43"/>
      <c r="W536" s="52"/>
      <c r="X536" s="52"/>
      <c r="Y536" s="53" t="s">
        <v>158</v>
      </c>
      <c r="Z536" s="54">
        <v>0</v>
      </c>
      <c r="AA536" s="25">
        <f>VLOOKUP(F536,'Zones '!$A$2:$F$2056,6,FALSE)</f>
        <v>1397</v>
      </c>
      <c r="AB536" s="25">
        <f>VLOOKUP(L536,'Zones '!$A$2:$F$2056,6,FALSE)</f>
        <v>1390</v>
      </c>
    </row>
    <row r="537" spans="2:28">
      <c r="B537" s="40">
        <v>0.58333333333333337</v>
      </c>
      <c r="C537" s="40" t="s">
        <v>724</v>
      </c>
      <c r="D537" s="41">
        <v>7</v>
      </c>
      <c r="E537" s="42">
        <v>3</v>
      </c>
      <c r="F537" s="42" t="s">
        <v>150</v>
      </c>
      <c r="G537" s="43" t="s">
        <v>156</v>
      </c>
      <c r="H537" s="42" t="s">
        <v>157</v>
      </c>
      <c r="I537" s="43">
        <v>15</v>
      </c>
      <c r="J537" s="43">
        <v>4</v>
      </c>
      <c r="K537" s="25" t="str">
        <f>VLOOKUP(J537,Key!$E$2:$F$9,2,FALSE)</f>
        <v>Commercial</v>
      </c>
      <c r="L537" s="42" t="s">
        <v>155</v>
      </c>
      <c r="M537" s="43" t="s">
        <v>156</v>
      </c>
      <c r="N537" s="42" t="s">
        <v>157</v>
      </c>
      <c r="O537" s="43">
        <v>16</v>
      </c>
      <c r="P537" s="43">
        <v>4</v>
      </c>
      <c r="Q537" s="25" t="str">
        <f>VLOOKUP(P537,Key!$E$2:$F$9,2,FALSE)</f>
        <v>Commercial</v>
      </c>
      <c r="R537" s="25" t="str">
        <f t="shared" si="11"/>
        <v>Commercial-Commercial</v>
      </c>
      <c r="S537" s="52">
        <v>26</v>
      </c>
      <c r="T537" s="52">
        <v>0.3</v>
      </c>
      <c r="U537" s="43">
        <v>3</v>
      </c>
      <c r="V537" s="43">
        <v>4</v>
      </c>
      <c r="W537" s="52">
        <v>3</v>
      </c>
      <c r="X537" s="52">
        <v>3</v>
      </c>
      <c r="Y537" s="53" t="s">
        <v>158</v>
      </c>
      <c r="Z537" s="54">
        <v>2000</v>
      </c>
      <c r="AA537" s="25">
        <f>VLOOKUP(F537,'Zones '!$A$2:$F$2056,6,FALSE)</f>
        <v>1397</v>
      </c>
      <c r="AB537" s="25">
        <f>VLOOKUP(L537,'Zones '!$A$2:$F$2056,6,FALSE)</f>
        <v>1397</v>
      </c>
    </row>
    <row r="538" spans="2:28">
      <c r="B538" s="40">
        <v>0.57222222222222219</v>
      </c>
      <c r="C538" s="40" t="s">
        <v>725</v>
      </c>
      <c r="D538" s="41">
        <v>3</v>
      </c>
      <c r="E538" s="42">
        <v>4</v>
      </c>
      <c r="F538" s="42" t="s">
        <v>162</v>
      </c>
      <c r="G538" s="43" t="s">
        <v>156</v>
      </c>
      <c r="H538" s="42" t="s">
        <v>157</v>
      </c>
      <c r="I538" s="43">
        <v>9</v>
      </c>
      <c r="J538" s="43">
        <v>2</v>
      </c>
      <c r="K538" s="25" t="str">
        <f>VLOOKUP(J538,Key!$E$2:$F$9,2,FALSE)</f>
        <v>Work</v>
      </c>
      <c r="L538" s="42" t="s">
        <v>155</v>
      </c>
      <c r="M538" s="43" t="s">
        <v>156</v>
      </c>
      <c r="N538" s="42" t="s">
        <v>157</v>
      </c>
      <c r="O538" s="43">
        <v>1</v>
      </c>
      <c r="P538" s="43">
        <v>1</v>
      </c>
      <c r="Q538" s="25" t="str">
        <f>VLOOKUP(P538,Key!$E$2:$F$9,2,FALSE)</f>
        <v>Home</v>
      </c>
      <c r="R538" s="25" t="str">
        <f t="shared" si="11"/>
        <v>Work-Home</v>
      </c>
      <c r="S538" s="52">
        <v>0.5</v>
      </c>
      <c r="T538" s="52">
        <v>0.3</v>
      </c>
      <c r="U538" s="43">
        <v>4</v>
      </c>
      <c r="V538" s="43"/>
      <c r="W538" s="52"/>
      <c r="X538" s="52"/>
      <c r="Y538" s="53" t="s">
        <v>158</v>
      </c>
      <c r="Z538" s="54">
        <v>2000</v>
      </c>
      <c r="AA538" s="25">
        <f>VLOOKUP(F538,'Zones '!$A$2:$F$2056,6,FALSE)</f>
        <v>1397</v>
      </c>
      <c r="AB538" s="25">
        <f>VLOOKUP(L538,'Zones '!$A$2:$F$2056,6,FALSE)</f>
        <v>1397</v>
      </c>
    </row>
    <row r="539" spans="2:28">
      <c r="B539" s="40">
        <v>0.56736111111111109</v>
      </c>
      <c r="C539" s="40" t="s">
        <v>727</v>
      </c>
      <c r="D539" s="41">
        <v>1</v>
      </c>
      <c r="E539" s="42">
        <v>2</v>
      </c>
      <c r="F539" s="42" t="s">
        <v>187</v>
      </c>
      <c r="G539" s="43" t="s">
        <v>187</v>
      </c>
      <c r="H539" s="42" t="s">
        <v>157</v>
      </c>
      <c r="I539" s="43">
        <v>16</v>
      </c>
      <c r="J539" s="43">
        <v>6</v>
      </c>
      <c r="K539" s="25" t="str">
        <f>VLOOKUP(J539,Key!$E$2:$F$9,2,FALSE)</f>
        <v>Leisure/Social</v>
      </c>
      <c r="L539" s="42" t="s">
        <v>155</v>
      </c>
      <c r="M539" s="43" t="s">
        <v>156</v>
      </c>
      <c r="N539" s="42" t="s">
        <v>157</v>
      </c>
      <c r="O539" s="43">
        <v>1</v>
      </c>
      <c r="P539" s="43">
        <v>1</v>
      </c>
      <c r="Q539" s="25" t="str">
        <f>VLOOKUP(P539,Key!$E$2:$F$9,2,FALSE)</f>
        <v>Home</v>
      </c>
      <c r="R539" s="25" t="str">
        <f t="shared" si="11"/>
        <v>Leisure/Social-Home</v>
      </c>
      <c r="S539" s="52">
        <v>120</v>
      </c>
      <c r="T539" s="52">
        <v>2</v>
      </c>
      <c r="U539" s="43">
        <v>4</v>
      </c>
      <c r="V539" s="43"/>
      <c r="W539" s="52"/>
      <c r="X539" s="52"/>
      <c r="Y539" s="53" t="s">
        <v>158</v>
      </c>
      <c r="Z539" s="54">
        <v>500</v>
      </c>
      <c r="AA539" s="25">
        <f>VLOOKUP(F539,'Zones '!$A$2:$F$2056,6,FALSE)</f>
        <v>521</v>
      </c>
      <c r="AB539" s="25">
        <f>VLOOKUP(L539,'Zones '!$A$2:$F$2056,6,FALSE)</f>
        <v>1397</v>
      </c>
    </row>
    <row r="540" spans="2:28">
      <c r="B540" s="40">
        <v>0.55902777777777779</v>
      </c>
      <c r="C540" s="40" t="s">
        <v>728</v>
      </c>
      <c r="D540" s="41">
        <v>1</v>
      </c>
      <c r="E540" s="42">
        <v>1</v>
      </c>
      <c r="F540" s="42" t="s">
        <v>729</v>
      </c>
      <c r="G540" s="43" t="s">
        <v>156</v>
      </c>
      <c r="H540" s="42" t="s">
        <v>157</v>
      </c>
      <c r="I540" s="43">
        <v>1</v>
      </c>
      <c r="J540" s="43">
        <v>1</v>
      </c>
      <c r="K540" s="25" t="str">
        <f>VLOOKUP(J540,Key!$E$2:$F$9,2,FALSE)</f>
        <v>Home</v>
      </c>
      <c r="L540" s="42" t="s">
        <v>155</v>
      </c>
      <c r="M540" s="43" t="s">
        <v>156</v>
      </c>
      <c r="N540" s="42" t="s">
        <v>157</v>
      </c>
      <c r="O540" s="43">
        <v>9</v>
      </c>
      <c r="P540" s="43">
        <v>2</v>
      </c>
      <c r="Q540" s="25" t="str">
        <f>VLOOKUP(P540,Key!$E$2:$F$9,2,FALSE)</f>
        <v>Work</v>
      </c>
      <c r="R540" s="25" t="str">
        <f t="shared" si="11"/>
        <v>Home-Work</v>
      </c>
      <c r="S540" s="52">
        <v>2</v>
      </c>
      <c r="T540" s="52">
        <v>0.3</v>
      </c>
      <c r="U540" s="43">
        <v>1</v>
      </c>
      <c r="V540" s="43"/>
      <c r="W540" s="52"/>
      <c r="X540" s="52"/>
      <c r="Y540" s="53" t="s">
        <v>158</v>
      </c>
      <c r="Z540" s="54">
        <v>1000</v>
      </c>
      <c r="AA540" s="25">
        <f>VLOOKUP(F540,'Zones '!$A$2:$F$2056,6,FALSE)</f>
        <v>1039</v>
      </c>
      <c r="AB540" s="25">
        <f>VLOOKUP(L540,'Zones '!$A$2:$F$2056,6,FALSE)</f>
        <v>1397</v>
      </c>
    </row>
    <row r="541" spans="2:28">
      <c r="B541" s="40">
        <v>0.51527777777777783</v>
      </c>
      <c r="C541" s="40" t="s">
        <v>730</v>
      </c>
      <c r="D541" s="41">
        <v>1</v>
      </c>
      <c r="E541" s="42">
        <v>1</v>
      </c>
      <c r="F541" s="42" t="s">
        <v>684</v>
      </c>
      <c r="G541" s="43" t="s">
        <v>156</v>
      </c>
      <c r="H541" s="42" t="s">
        <v>157</v>
      </c>
      <c r="I541" s="43">
        <v>1</v>
      </c>
      <c r="J541" s="43">
        <v>1</v>
      </c>
      <c r="K541" s="25" t="str">
        <f>VLOOKUP(J541,Key!$E$2:$F$9,2,FALSE)</f>
        <v>Home</v>
      </c>
      <c r="L541" s="42" t="s">
        <v>155</v>
      </c>
      <c r="M541" s="43" t="s">
        <v>156</v>
      </c>
      <c r="N541" s="42" t="s">
        <v>157</v>
      </c>
      <c r="O541" s="43">
        <v>2</v>
      </c>
      <c r="P541" s="43">
        <v>2</v>
      </c>
      <c r="Q541" s="25" t="str">
        <f>VLOOKUP(P541,Key!$E$2:$F$9,2,FALSE)</f>
        <v>Work</v>
      </c>
      <c r="R541" s="25" t="str">
        <f t="shared" si="11"/>
        <v>Home-Work</v>
      </c>
      <c r="S541" s="52">
        <v>137</v>
      </c>
      <c r="T541" s="52">
        <v>2</v>
      </c>
      <c r="U541" s="43">
        <v>4</v>
      </c>
      <c r="V541" s="43"/>
      <c r="W541" s="52"/>
      <c r="X541" s="52"/>
      <c r="Y541" s="53" t="s">
        <v>158</v>
      </c>
      <c r="Z541" s="54">
        <v>5000</v>
      </c>
      <c r="AA541" s="25">
        <f>VLOOKUP(F541,'Zones '!$A$2:$F$2056,6,FALSE)</f>
        <v>937</v>
      </c>
      <c r="AB541" s="25">
        <f>VLOOKUP(L541,'Zones '!$A$2:$F$2056,6,FALSE)</f>
        <v>1397</v>
      </c>
    </row>
    <row r="542" spans="2:28">
      <c r="B542" s="40">
        <v>0.51250000000000007</v>
      </c>
      <c r="C542" s="40" t="s">
        <v>731</v>
      </c>
      <c r="D542" s="41">
        <v>4</v>
      </c>
      <c r="E542" s="42">
        <v>1</v>
      </c>
      <c r="F542" s="42" t="s">
        <v>162</v>
      </c>
      <c r="G542" s="43" t="s">
        <v>156</v>
      </c>
      <c r="H542" s="42" t="s">
        <v>157</v>
      </c>
      <c r="I542" s="43">
        <v>16</v>
      </c>
      <c r="J542" s="43">
        <v>4</v>
      </c>
      <c r="K542" s="25" t="str">
        <f>VLOOKUP(J542,Key!$E$2:$F$9,2,FALSE)</f>
        <v>Commercial</v>
      </c>
      <c r="L542" s="42" t="s">
        <v>207</v>
      </c>
      <c r="M542" s="43" t="s">
        <v>156</v>
      </c>
      <c r="N542" s="42" t="s">
        <v>157</v>
      </c>
      <c r="O542" s="43">
        <v>16</v>
      </c>
      <c r="P542" s="43">
        <v>4</v>
      </c>
      <c r="Q542" s="25" t="str">
        <f>VLOOKUP(P542,Key!$E$2:$F$9,2,FALSE)</f>
        <v>Commercial</v>
      </c>
      <c r="R542" s="25" t="str">
        <f t="shared" si="11"/>
        <v>Commercial-Commercial</v>
      </c>
      <c r="S542" s="52">
        <v>2</v>
      </c>
      <c r="T542" s="52">
        <v>0.1</v>
      </c>
      <c r="U542" s="43">
        <v>2</v>
      </c>
      <c r="V542" s="43"/>
      <c r="W542" s="52"/>
      <c r="X542" s="52"/>
      <c r="Y542" s="53" t="s">
        <v>158</v>
      </c>
      <c r="Z542" s="54">
        <v>10000</v>
      </c>
      <c r="AA542" s="25">
        <f>VLOOKUP(F542,'Zones '!$A$2:$F$2056,6,FALSE)</f>
        <v>1397</v>
      </c>
      <c r="AB542" s="25">
        <f>VLOOKUP(L542,'Zones '!$A$2:$F$2056,6,FALSE)</f>
        <v>1397</v>
      </c>
    </row>
    <row r="543" spans="2:28">
      <c r="B543" s="40">
        <v>0.53402777777777777</v>
      </c>
      <c r="C543" s="40" t="s">
        <v>732</v>
      </c>
      <c r="D543" s="41">
        <v>1</v>
      </c>
      <c r="E543" s="42">
        <v>1</v>
      </c>
      <c r="F543" s="42" t="s">
        <v>150</v>
      </c>
      <c r="G543" s="43" t="s">
        <v>156</v>
      </c>
      <c r="H543" s="42" t="s">
        <v>157</v>
      </c>
      <c r="I543" s="43">
        <v>1</v>
      </c>
      <c r="J543" s="43">
        <v>1</v>
      </c>
      <c r="K543" s="25" t="str">
        <f>VLOOKUP(J543,Key!$E$2:$F$9,2,FALSE)</f>
        <v>Home</v>
      </c>
      <c r="L543" s="42" t="s">
        <v>155</v>
      </c>
      <c r="M543" s="43" t="s">
        <v>156</v>
      </c>
      <c r="N543" s="42" t="s">
        <v>157</v>
      </c>
      <c r="O543" s="43">
        <v>9</v>
      </c>
      <c r="P543" s="43">
        <v>2</v>
      </c>
      <c r="Q543" s="25" t="str">
        <f>VLOOKUP(P543,Key!$E$2:$F$9,2,FALSE)</f>
        <v>Work</v>
      </c>
      <c r="R543" s="25" t="str">
        <f t="shared" si="11"/>
        <v>Home-Work</v>
      </c>
      <c r="S543" s="52">
        <v>32</v>
      </c>
      <c r="T543" s="52">
        <v>0.3</v>
      </c>
      <c r="U543" s="43">
        <v>1</v>
      </c>
      <c r="V543" s="43"/>
      <c r="W543" s="52"/>
      <c r="X543" s="52"/>
      <c r="Y543" s="53" t="s">
        <v>158</v>
      </c>
      <c r="Z543" s="54">
        <v>1000</v>
      </c>
      <c r="AA543" s="25">
        <f>VLOOKUP(F543,'Zones '!$A$2:$F$2056,6,FALSE)</f>
        <v>1397</v>
      </c>
      <c r="AB543" s="25">
        <f>VLOOKUP(L543,'Zones '!$A$2:$F$2056,6,FALSE)</f>
        <v>1397</v>
      </c>
    </row>
    <row r="544" spans="2:28">
      <c r="B544" s="40">
        <v>0.52152777777777781</v>
      </c>
      <c r="C544" s="40" t="s">
        <v>733</v>
      </c>
      <c r="D544" s="41">
        <v>1</v>
      </c>
      <c r="E544" s="42">
        <v>3</v>
      </c>
      <c r="F544" s="42" t="s">
        <v>150</v>
      </c>
      <c r="G544" s="43" t="s">
        <v>156</v>
      </c>
      <c r="H544" s="42" t="s">
        <v>157</v>
      </c>
      <c r="I544" s="43">
        <v>6</v>
      </c>
      <c r="J544" s="43">
        <v>4</v>
      </c>
      <c r="K544" s="25" t="str">
        <f>VLOOKUP(J544,Key!$E$2:$F$9,2,FALSE)</f>
        <v>Commercial</v>
      </c>
      <c r="L544" s="42" t="s">
        <v>207</v>
      </c>
      <c r="M544" s="43" t="s">
        <v>156</v>
      </c>
      <c r="N544" s="42" t="s">
        <v>157</v>
      </c>
      <c r="O544" s="43">
        <v>16</v>
      </c>
      <c r="P544" s="43">
        <v>4</v>
      </c>
      <c r="Q544" s="25" t="str">
        <f>VLOOKUP(P544,Key!$E$2:$F$9,2,FALSE)</f>
        <v>Commercial</v>
      </c>
      <c r="R544" s="25" t="str">
        <f t="shared" si="11"/>
        <v>Commercial-Commercial</v>
      </c>
      <c r="S544" s="52">
        <v>22</v>
      </c>
      <c r="T544" s="52">
        <v>0.3</v>
      </c>
      <c r="U544" s="43">
        <v>2</v>
      </c>
      <c r="V544" s="43"/>
      <c r="W544" s="52"/>
      <c r="X544" s="52"/>
      <c r="Y544" s="53" t="s">
        <v>158</v>
      </c>
      <c r="Z544" s="54">
        <v>1000</v>
      </c>
      <c r="AA544" s="25">
        <f>VLOOKUP(F544,'Zones '!$A$2:$F$2056,6,FALSE)</f>
        <v>1397</v>
      </c>
      <c r="AB544" s="25">
        <f>VLOOKUP(L544,'Zones '!$A$2:$F$2056,6,FALSE)</f>
        <v>1397</v>
      </c>
    </row>
    <row r="545" spans="2:28">
      <c r="B545" s="40">
        <v>0.4993055555555555</v>
      </c>
      <c r="C545" s="40" t="s">
        <v>734</v>
      </c>
      <c r="D545" s="41">
        <v>1</v>
      </c>
      <c r="E545" s="42">
        <v>2</v>
      </c>
      <c r="F545" s="42" t="s">
        <v>339</v>
      </c>
      <c r="G545" s="43" t="s">
        <v>156</v>
      </c>
      <c r="H545" s="42" t="s">
        <v>157</v>
      </c>
      <c r="I545" s="43">
        <v>4</v>
      </c>
      <c r="J545" s="43">
        <v>6</v>
      </c>
      <c r="K545" s="25" t="str">
        <f>VLOOKUP(J545,Key!$E$2:$F$9,2,FALSE)</f>
        <v>Leisure/Social</v>
      </c>
      <c r="L545" s="42" t="s">
        <v>155</v>
      </c>
      <c r="M545" s="43" t="s">
        <v>156</v>
      </c>
      <c r="N545" s="42" t="s">
        <v>157</v>
      </c>
      <c r="O545" s="43">
        <v>4</v>
      </c>
      <c r="P545" s="43">
        <v>6</v>
      </c>
      <c r="Q545" s="25" t="str">
        <f>VLOOKUP(P545,Key!$E$2:$F$9,2,FALSE)</f>
        <v>Leisure/Social</v>
      </c>
      <c r="R545" s="25" t="str">
        <f t="shared" si="11"/>
        <v>Leisure/Social-Leisure/Social</v>
      </c>
      <c r="S545" s="52">
        <v>2</v>
      </c>
      <c r="T545" s="52">
        <v>0.1</v>
      </c>
      <c r="U545" s="43">
        <v>4</v>
      </c>
      <c r="V545" s="43"/>
      <c r="W545" s="52"/>
      <c r="X545" s="52"/>
      <c r="Y545" s="53" t="s">
        <v>158</v>
      </c>
      <c r="Z545" s="54">
        <v>3000</v>
      </c>
      <c r="AA545" s="25">
        <f>VLOOKUP(F545,'Zones '!$A$2:$F$2056,6,FALSE)</f>
        <v>517</v>
      </c>
      <c r="AB545" s="25">
        <f>VLOOKUP(L545,'Zones '!$A$2:$F$2056,6,FALSE)</f>
        <v>1397</v>
      </c>
    </row>
    <row r="546" spans="2:28">
      <c r="B546" s="40">
        <v>0.49652777777777773</v>
      </c>
      <c r="C546" s="40" t="s">
        <v>735</v>
      </c>
      <c r="D546" s="41">
        <v>1</v>
      </c>
      <c r="E546" s="42">
        <v>1</v>
      </c>
      <c r="F546" s="42" t="s">
        <v>736</v>
      </c>
      <c r="G546" s="43" t="s">
        <v>187</v>
      </c>
      <c r="H546" s="42" t="s">
        <v>157</v>
      </c>
      <c r="I546" s="43">
        <v>1</v>
      </c>
      <c r="J546" s="43">
        <v>1</v>
      </c>
      <c r="K546" s="25" t="str">
        <f>VLOOKUP(J546,Key!$E$2:$F$9,2,FALSE)</f>
        <v>Home</v>
      </c>
      <c r="L546" s="42" t="s">
        <v>155</v>
      </c>
      <c r="M546" s="43" t="s">
        <v>156</v>
      </c>
      <c r="N546" s="42" t="s">
        <v>157</v>
      </c>
      <c r="O546" s="43">
        <v>1</v>
      </c>
      <c r="P546" s="43">
        <v>1</v>
      </c>
      <c r="Q546" s="25" t="str">
        <f>VLOOKUP(P546,Key!$E$2:$F$9,2,FALSE)</f>
        <v>Home</v>
      </c>
      <c r="R546" s="25" t="str">
        <f t="shared" si="11"/>
        <v>Home-Home</v>
      </c>
      <c r="S546" s="52">
        <v>120</v>
      </c>
      <c r="T546" s="52">
        <v>3</v>
      </c>
      <c r="U546" s="43">
        <v>4</v>
      </c>
      <c r="V546" s="43"/>
      <c r="W546" s="52"/>
      <c r="X546" s="52"/>
      <c r="Y546" s="53" t="s">
        <v>158</v>
      </c>
      <c r="Z546" s="54">
        <v>1000</v>
      </c>
      <c r="AA546" s="25">
        <f>VLOOKUP(F546,'Zones '!$A$2:$F$2056,6,FALSE)</f>
        <v>546</v>
      </c>
      <c r="AB546" s="25">
        <f>VLOOKUP(L546,'Zones '!$A$2:$F$2056,6,FALSE)</f>
        <v>1397</v>
      </c>
    </row>
    <row r="547" spans="2:28">
      <c r="B547" s="40">
        <v>0.49374999999999997</v>
      </c>
      <c r="C547" s="40" t="s">
        <v>737</v>
      </c>
      <c r="D547" s="41">
        <v>1</v>
      </c>
      <c r="E547" s="42">
        <v>1</v>
      </c>
      <c r="F547" s="42" t="s">
        <v>150</v>
      </c>
      <c r="G547" s="43" t="s">
        <v>156</v>
      </c>
      <c r="H547" s="42" t="s">
        <v>157</v>
      </c>
      <c r="I547" s="43">
        <v>1</v>
      </c>
      <c r="J547" s="43">
        <v>1</v>
      </c>
      <c r="K547" s="25" t="str">
        <f>VLOOKUP(J547,Key!$E$2:$F$9,2,FALSE)</f>
        <v>Home</v>
      </c>
      <c r="L547" s="42" t="s">
        <v>155</v>
      </c>
      <c r="M547" s="43" t="s">
        <v>156</v>
      </c>
      <c r="N547" s="42" t="s">
        <v>157</v>
      </c>
      <c r="O547" s="43">
        <v>16</v>
      </c>
      <c r="P547" s="43">
        <v>6</v>
      </c>
      <c r="Q547" s="25" t="str">
        <f>VLOOKUP(P547,Key!$E$2:$F$9,2,FALSE)</f>
        <v>Leisure/Social</v>
      </c>
      <c r="R547" s="25" t="str">
        <f t="shared" si="11"/>
        <v>Home-Leisure/Social</v>
      </c>
      <c r="S547" s="52">
        <v>8</v>
      </c>
      <c r="T547" s="52">
        <v>0.1</v>
      </c>
      <c r="U547" s="43">
        <v>2</v>
      </c>
      <c r="V547" s="43"/>
      <c r="W547" s="52"/>
      <c r="X547" s="52"/>
      <c r="Y547" s="53" t="s">
        <v>158</v>
      </c>
      <c r="Z547" s="54">
        <v>3000</v>
      </c>
      <c r="AA547" s="25">
        <f>VLOOKUP(F547,'Zones '!$A$2:$F$2056,6,FALSE)</f>
        <v>1397</v>
      </c>
      <c r="AB547" s="25">
        <f>VLOOKUP(L547,'Zones '!$A$2:$F$2056,6,FALSE)</f>
        <v>1397</v>
      </c>
    </row>
    <row r="548" spans="2:28">
      <c r="B548" s="40">
        <v>0.4861111111111111</v>
      </c>
      <c r="C548" s="40" t="s">
        <v>738</v>
      </c>
      <c r="D548" s="41">
        <v>9</v>
      </c>
      <c r="E548" s="42">
        <v>2</v>
      </c>
      <c r="F548" s="42" t="s">
        <v>352</v>
      </c>
      <c r="G548" s="43" t="s">
        <v>156</v>
      </c>
      <c r="H548" s="42" t="s">
        <v>157</v>
      </c>
      <c r="I548" s="43">
        <v>16</v>
      </c>
      <c r="J548" s="43">
        <v>8</v>
      </c>
      <c r="K548" s="25" t="str">
        <f>VLOOKUP(J548,Key!$E$2:$F$9,2,FALSE)</f>
        <v>Others</v>
      </c>
      <c r="L548" s="42" t="s">
        <v>2929</v>
      </c>
      <c r="M548" s="43" t="s">
        <v>156</v>
      </c>
      <c r="N548" s="42" t="s">
        <v>157</v>
      </c>
      <c r="O548" s="43">
        <v>2</v>
      </c>
      <c r="P548" s="43">
        <v>2</v>
      </c>
      <c r="Q548" s="25" t="str">
        <f>VLOOKUP(P548,Key!$E$2:$F$9,2,FALSE)</f>
        <v>Work</v>
      </c>
      <c r="R548" s="25" t="str">
        <f t="shared" si="11"/>
        <v>Others-Work</v>
      </c>
      <c r="S548" s="52">
        <v>120</v>
      </c>
      <c r="T548" s="52">
        <v>3</v>
      </c>
      <c r="U548" s="43">
        <v>1</v>
      </c>
      <c r="V548" s="43"/>
      <c r="W548" s="52"/>
      <c r="X548" s="52"/>
      <c r="Y548" s="53" t="s">
        <v>158</v>
      </c>
      <c r="Z548" s="54">
        <v>2000</v>
      </c>
      <c r="AA548" s="25">
        <f>VLOOKUP(F548,'Zones '!$A$2:$F$2056,6,FALSE)</f>
        <v>1397</v>
      </c>
      <c r="AB548" s="25">
        <f>VLOOKUP(L548,'Zones '!$A$2:$F$2056,6,FALSE)</f>
        <v>1394</v>
      </c>
    </row>
    <row r="549" spans="2:28">
      <c r="B549" s="40">
        <v>0.4597222222222222</v>
      </c>
      <c r="C549" s="40" t="s">
        <v>740</v>
      </c>
      <c r="D549" s="41">
        <v>1</v>
      </c>
      <c r="E549" s="42">
        <v>1</v>
      </c>
      <c r="F549" s="42" t="s">
        <v>150</v>
      </c>
      <c r="G549" s="43" t="s">
        <v>156</v>
      </c>
      <c r="H549" s="42" t="s">
        <v>157</v>
      </c>
      <c r="I549" s="43">
        <v>1</v>
      </c>
      <c r="J549" s="43">
        <v>1</v>
      </c>
      <c r="K549" s="25" t="str">
        <f>VLOOKUP(J549,Key!$E$2:$F$9,2,FALSE)</f>
        <v>Home</v>
      </c>
      <c r="L549" s="42" t="s">
        <v>155</v>
      </c>
      <c r="M549" s="43" t="s">
        <v>156</v>
      </c>
      <c r="N549" s="42" t="s">
        <v>157</v>
      </c>
      <c r="O549" s="43">
        <v>9</v>
      </c>
      <c r="P549" s="43">
        <v>2</v>
      </c>
      <c r="Q549" s="25" t="str">
        <f>VLOOKUP(P549,Key!$E$2:$F$9,2,FALSE)</f>
        <v>Work</v>
      </c>
      <c r="R549" s="25" t="str">
        <f t="shared" si="11"/>
        <v>Home-Work</v>
      </c>
      <c r="S549" s="52">
        <v>8</v>
      </c>
      <c r="T549" s="52">
        <v>0.1</v>
      </c>
      <c r="U549" s="43">
        <v>1</v>
      </c>
      <c r="V549" s="43"/>
      <c r="W549" s="52"/>
      <c r="X549" s="52"/>
      <c r="Y549" s="53" t="s">
        <v>158</v>
      </c>
      <c r="Z549" s="54">
        <v>0</v>
      </c>
      <c r="AA549" s="25">
        <f>VLOOKUP(F549,'Zones '!$A$2:$F$2056,6,FALSE)</f>
        <v>1397</v>
      </c>
      <c r="AB549" s="25">
        <f>VLOOKUP(L549,'Zones '!$A$2:$F$2056,6,FALSE)</f>
        <v>1397</v>
      </c>
    </row>
    <row r="550" spans="2:28">
      <c r="B550" s="40">
        <v>0.4548611111111111</v>
      </c>
      <c r="C550" s="40" t="s">
        <v>741</v>
      </c>
      <c r="D550" s="41">
        <v>1</v>
      </c>
      <c r="E550" s="42">
        <v>2</v>
      </c>
      <c r="F550" s="42" t="s">
        <v>150</v>
      </c>
      <c r="G550" s="43" t="s">
        <v>156</v>
      </c>
      <c r="H550" s="42" t="s">
        <v>157</v>
      </c>
      <c r="I550" s="43">
        <v>16</v>
      </c>
      <c r="J550" s="43">
        <v>2</v>
      </c>
      <c r="K550" s="25" t="str">
        <f>VLOOKUP(J550,Key!$E$2:$F$9,2,FALSE)</f>
        <v>Work</v>
      </c>
      <c r="L550" s="42" t="s">
        <v>150</v>
      </c>
      <c r="M550" s="43" t="s">
        <v>156</v>
      </c>
      <c r="N550" s="42" t="s">
        <v>157</v>
      </c>
      <c r="O550" s="43">
        <v>1</v>
      </c>
      <c r="P550" s="43">
        <v>1</v>
      </c>
      <c r="Q550" s="25" t="str">
        <f>VLOOKUP(P550,Key!$E$2:$F$9,2,FALSE)</f>
        <v>Home</v>
      </c>
      <c r="R550" s="25" t="str">
        <f t="shared" si="11"/>
        <v>Work-Home</v>
      </c>
      <c r="S550" s="52">
        <v>1.4</v>
      </c>
      <c r="T550" s="52">
        <v>0.1</v>
      </c>
      <c r="U550" s="43">
        <v>1</v>
      </c>
      <c r="V550" s="43"/>
      <c r="W550" s="52"/>
      <c r="X550" s="52"/>
      <c r="Y550" s="53" t="s">
        <v>158</v>
      </c>
      <c r="Z550" s="54">
        <v>2000</v>
      </c>
      <c r="AA550" s="25">
        <f>VLOOKUP(F550,'Zones '!$A$2:$F$2056,6,FALSE)</f>
        <v>1397</v>
      </c>
      <c r="AB550" s="25">
        <f>VLOOKUP(L550,'Zones '!$A$2:$F$2056,6,FALSE)</f>
        <v>1397</v>
      </c>
    </row>
    <row r="551" spans="2:28">
      <c r="B551" s="40">
        <v>0.44930555555555557</v>
      </c>
      <c r="C551" s="40" t="s">
        <v>742</v>
      </c>
      <c r="D551" s="41">
        <v>1</v>
      </c>
      <c r="E551" s="42">
        <v>3</v>
      </c>
      <c r="F551" s="42" t="s">
        <v>743</v>
      </c>
      <c r="G551" s="43" t="s">
        <v>156</v>
      </c>
      <c r="H551" s="42" t="s">
        <v>157</v>
      </c>
      <c r="I551" s="43">
        <v>1</v>
      </c>
      <c r="J551" s="43">
        <v>1</v>
      </c>
      <c r="K551" s="25" t="str">
        <f>VLOOKUP(J551,Key!$E$2:$F$9,2,FALSE)</f>
        <v>Home</v>
      </c>
      <c r="L551" s="42" t="s">
        <v>155</v>
      </c>
      <c r="M551" s="43" t="s">
        <v>156</v>
      </c>
      <c r="N551" s="42" t="s">
        <v>157</v>
      </c>
      <c r="O551" s="43">
        <v>1</v>
      </c>
      <c r="P551" s="43">
        <v>1</v>
      </c>
      <c r="Q551" s="25" t="str">
        <f>VLOOKUP(P551,Key!$E$2:$F$9,2,FALSE)</f>
        <v>Home</v>
      </c>
      <c r="R551" s="25" t="str">
        <f t="shared" si="11"/>
        <v>Home-Home</v>
      </c>
      <c r="S551" s="52">
        <v>120</v>
      </c>
      <c r="T551" s="52">
        <v>2</v>
      </c>
      <c r="U551" s="43">
        <v>1</v>
      </c>
      <c r="V551" s="43"/>
      <c r="W551" s="52"/>
      <c r="X551" s="52"/>
      <c r="Y551" s="53" t="s">
        <v>158</v>
      </c>
      <c r="Z551" s="54">
        <v>1000</v>
      </c>
      <c r="AA551" s="25">
        <f>VLOOKUP(F551,'Zones '!$A$2:$F$2056,6,FALSE)</f>
        <v>533</v>
      </c>
      <c r="AB551" s="25">
        <f>VLOOKUP(L551,'Zones '!$A$2:$F$2056,6,FALSE)</f>
        <v>1397</v>
      </c>
    </row>
    <row r="552" spans="2:28">
      <c r="B552" s="40">
        <v>0.4381944444444445</v>
      </c>
      <c r="C552" s="40" t="s">
        <v>744</v>
      </c>
      <c r="D552" s="41">
        <v>7</v>
      </c>
      <c r="E552" s="42">
        <v>1</v>
      </c>
      <c r="F552" s="42" t="s">
        <v>150</v>
      </c>
      <c r="G552" s="43" t="s">
        <v>156</v>
      </c>
      <c r="H552" s="42" t="s">
        <v>157</v>
      </c>
      <c r="I552" s="43">
        <v>16</v>
      </c>
      <c r="J552" s="43">
        <v>4</v>
      </c>
      <c r="K552" s="25" t="str">
        <f>VLOOKUP(J552,Key!$E$2:$F$9,2,FALSE)</f>
        <v>Commercial</v>
      </c>
      <c r="L552" s="42" t="s">
        <v>162</v>
      </c>
      <c r="M552" s="43" t="s">
        <v>156</v>
      </c>
      <c r="N552" s="42" t="s">
        <v>157</v>
      </c>
      <c r="O552" s="43">
        <v>16</v>
      </c>
      <c r="P552" s="43">
        <v>4</v>
      </c>
      <c r="Q552" s="25" t="str">
        <f>VLOOKUP(P552,Key!$E$2:$F$9,2,FALSE)</f>
        <v>Commercial</v>
      </c>
      <c r="R552" s="25" t="str">
        <f t="shared" si="11"/>
        <v>Commercial-Commercial</v>
      </c>
      <c r="S552" s="52">
        <v>10</v>
      </c>
      <c r="T552" s="52">
        <v>0.7</v>
      </c>
      <c r="U552" s="43">
        <v>3</v>
      </c>
      <c r="V552" s="43">
        <v>1</v>
      </c>
      <c r="W552" s="52">
        <v>4</v>
      </c>
      <c r="X552" s="52">
        <v>3</v>
      </c>
      <c r="Y552" s="53" t="s">
        <v>158</v>
      </c>
      <c r="Z552" s="54">
        <v>1000</v>
      </c>
      <c r="AA552" s="25">
        <f>VLOOKUP(F552,'Zones '!$A$2:$F$2056,6,FALSE)</f>
        <v>1397</v>
      </c>
      <c r="AB552" s="25">
        <f>VLOOKUP(L552,'Zones '!$A$2:$F$2056,6,FALSE)</f>
        <v>1397</v>
      </c>
    </row>
    <row r="553" spans="2:28">
      <c r="B553" s="40">
        <v>0.5180555555555556</v>
      </c>
      <c r="C553" s="40" t="s">
        <v>745</v>
      </c>
      <c r="D553" s="41">
        <v>1</v>
      </c>
      <c r="E553" s="42">
        <v>1</v>
      </c>
      <c r="F553" s="42" t="s">
        <v>150</v>
      </c>
      <c r="G553" s="43" t="s">
        <v>156</v>
      </c>
      <c r="H553" s="42" t="s">
        <v>157</v>
      </c>
      <c r="I553" s="43">
        <v>1</v>
      </c>
      <c r="J553" s="43">
        <v>1</v>
      </c>
      <c r="K553" s="25" t="str">
        <f>VLOOKUP(J553,Key!$E$2:$F$9,2,FALSE)</f>
        <v>Home</v>
      </c>
      <c r="L553" s="42" t="s">
        <v>207</v>
      </c>
      <c r="M553" s="43" t="s">
        <v>156</v>
      </c>
      <c r="N553" s="42" t="s">
        <v>157</v>
      </c>
      <c r="O553" s="43">
        <v>4</v>
      </c>
      <c r="P553" s="43">
        <v>6</v>
      </c>
      <c r="Q553" s="25" t="str">
        <f>VLOOKUP(P553,Key!$E$2:$F$9,2,FALSE)</f>
        <v>Leisure/Social</v>
      </c>
      <c r="R553" s="25" t="str">
        <f t="shared" si="11"/>
        <v>Home-Leisure/Social</v>
      </c>
      <c r="S553" s="52">
        <v>3</v>
      </c>
      <c r="T553" s="52">
        <v>0.3</v>
      </c>
      <c r="U553" s="43">
        <v>1</v>
      </c>
      <c r="V553" s="43"/>
      <c r="W553" s="52"/>
      <c r="X553" s="52"/>
      <c r="Y553" s="53" t="s">
        <v>158</v>
      </c>
      <c r="Z553" s="54">
        <v>1000</v>
      </c>
      <c r="AA553" s="25">
        <f>VLOOKUP(F553,'Zones '!$A$2:$F$2056,6,FALSE)</f>
        <v>1397</v>
      </c>
      <c r="AB553" s="25">
        <f>VLOOKUP(L553,'Zones '!$A$2:$F$2056,6,FALSE)</f>
        <v>1397</v>
      </c>
    </row>
    <row r="554" spans="2:28">
      <c r="B554" s="40">
        <v>0.5</v>
      </c>
      <c r="C554" s="40" t="s">
        <v>483</v>
      </c>
      <c r="D554" s="41">
        <v>1</v>
      </c>
      <c r="E554" s="42">
        <v>1</v>
      </c>
      <c r="F554" s="42" t="s">
        <v>746</v>
      </c>
      <c r="G554" s="43" t="s">
        <v>187</v>
      </c>
      <c r="H554" s="42" t="s">
        <v>157</v>
      </c>
      <c r="I554" s="43">
        <v>1</v>
      </c>
      <c r="J554" s="43">
        <v>1</v>
      </c>
      <c r="K554" s="25" t="str">
        <f>VLOOKUP(J554,Key!$E$2:$F$9,2,FALSE)</f>
        <v>Home</v>
      </c>
      <c r="L554" s="42" t="s">
        <v>155</v>
      </c>
      <c r="M554" s="43" t="s">
        <v>156</v>
      </c>
      <c r="N554" s="42" t="s">
        <v>157</v>
      </c>
      <c r="O554" s="43">
        <v>9</v>
      </c>
      <c r="P554" s="43">
        <v>2</v>
      </c>
      <c r="Q554" s="25" t="str">
        <f>VLOOKUP(P554,Key!$E$2:$F$9,2,FALSE)</f>
        <v>Work</v>
      </c>
      <c r="R554" s="25" t="str">
        <f t="shared" si="11"/>
        <v>Home-Work</v>
      </c>
      <c r="S554" s="52">
        <v>18</v>
      </c>
      <c r="T554" s="52">
        <v>0.1</v>
      </c>
      <c r="U554" s="43">
        <v>4</v>
      </c>
      <c r="V554" s="43"/>
      <c r="W554" s="52"/>
      <c r="X554" s="52"/>
      <c r="Y554" s="53" t="s">
        <v>158</v>
      </c>
      <c r="Z554" s="54">
        <v>1000</v>
      </c>
      <c r="AA554" s="25">
        <f>VLOOKUP(F554,'Zones '!$A$2:$F$2056,6,FALSE)</f>
        <v>528</v>
      </c>
      <c r="AB554" s="25">
        <f>VLOOKUP(L554,'Zones '!$A$2:$F$2056,6,FALSE)</f>
        <v>1397</v>
      </c>
    </row>
    <row r="555" spans="2:28">
      <c r="B555" s="40">
        <v>0.43472222222222223</v>
      </c>
      <c r="C555" s="40" t="s">
        <v>747</v>
      </c>
      <c r="D555" s="41">
        <v>1</v>
      </c>
      <c r="E555" s="42">
        <v>2</v>
      </c>
      <c r="F555" s="42" t="s">
        <v>150</v>
      </c>
      <c r="G555" s="43" t="s">
        <v>156</v>
      </c>
      <c r="H555" s="42" t="s">
        <v>157</v>
      </c>
      <c r="I555" s="43">
        <v>1</v>
      </c>
      <c r="J555" s="43">
        <v>1</v>
      </c>
      <c r="K555" s="25" t="str">
        <f>VLOOKUP(J555,Key!$E$2:$F$9,2,FALSE)</f>
        <v>Home</v>
      </c>
      <c r="L555" s="42" t="s">
        <v>155</v>
      </c>
      <c r="M555" s="43" t="s">
        <v>156</v>
      </c>
      <c r="N555" s="42" t="s">
        <v>157</v>
      </c>
      <c r="O555" s="43">
        <v>12</v>
      </c>
      <c r="P555" s="43">
        <v>4</v>
      </c>
      <c r="Q555" s="25" t="str">
        <f>VLOOKUP(P555,Key!$E$2:$F$9,2,FALSE)</f>
        <v>Commercial</v>
      </c>
      <c r="R555" s="25" t="str">
        <f t="shared" si="11"/>
        <v>Home-Commercial</v>
      </c>
      <c r="S555" s="52">
        <v>22</v>
      </c>
      <c r="T555" s="52">
        <v>0.3</v>
      </c>
      <c r="U555" s="43">
        <v>4</v>
      </c>
      <c r="V555" s="43"/>
      <c r="W555" s="52"/>
      <c r="X555" s="52"/>
      <c r="Y555" s="53" t="s">
        <v>158</v>
      </c>
      <c r="Z555" s="54">
        <v>1000</v>
      </c>
      <c r="AA555" s="25">
        <f>VLOOKUP(F555,'Zones '!$A$2:$F$2056,6,FALSE)</f>
        <v>1397</v>
      </c>
      <c r="AB555" s="25">
        <f>VLOOKUP(L555,'Zones '!$A$2:$F$2056,6,FALSE)</f>
        <v>1397</v>
      </c>
    </row>
    <row r="556" spans="2:28">
      <c r="B556" s="40">
        <v>0.4291666666666667</v>
      </c>
      <c r="C556" s="40" t="s">
        <v>748</v>
      </c>
      <c r="D556" s="41">
        <v>1</v>
      </c>
      <c r="E556" s="42">
        <v>2</v>
      </c>
      <c r="F556" s="42" t="s">
        <v>749</v>
      </c>
      <c r="G556" s="43" t="s">
        <v>156</v>
      </c>
      <c r="H556" s="42" t="s">
        <v>157</v>
      </c>
      <c r="I556" s="43">
        <v>1</v>
      </c>
      <c r="J556" s="43">
        <v>1</v>
      </c>
      <c r="K556" s="25" t="str">
        <f>VLOOKUP(J556,Key!$E$2:$F$9,2,FALSE)</f>
        <v>Home</v>
      </c>
      <c r="L556" s="42" t="s">
        <v>2934</v>
      </c>
      <c r="M556" s="43" t="s">
        <v>156</v>
      </c>
      <c r="N556" s="42" t="s">
        <v>157</v>
      </c>
      <c r="O556" s="43">
        <v>16</v>
      </c>
      <c r="P556" s="43">
        <v>6</v>
      </c>
      <c r="Q556" s="25" t="str">
        <f>VLOOKUP(P556,Key!$E$2:$F$9,2,FALSE)</f>
        <v>Leisure/Social</v>
      </c>
      <c r="R556" s="25" t="str">
        <f t="shared" si="11"/>
        <v>Home-Leisure/Social</v>
      </c>
      <c r="S556" s="52">
        <v>4</v>
      </c>
      <c r="T556" s="52">
        <v>1</v>
      </c>
      <c r="U556" s="43">
        <v>4</v>
      </c>
      <c r="V556" s="43"/>
      <c r="W556" s="52"/>
      <c r="X556" s="52"/>
      <c r="Y556" s="53" t="s">
        <v>158</v>
      </c>
      <c r="Z556" s="54">
        <v>1000</v>
      </c>
      <c r="AA556" s="25">
        <f>VLOOKUP(F556,'Zones '!$A$2:$F$2056,6,FALSE)</f>
        <v>1397</v>
      </c>
      <c r="AB556" s="25">
        <f>VLOOKUP(L556,'Zones '!$A$2:$F$2056,6,FALSE)</f>
        <v>1403</v>
      </c>
    </row>
    <row r="557" spans="2:28">
      <c r="B557" s="40">
        <v>0.42499999999999999</v>
      </c>
      <c r="C557" s="40" t="s">
        <v>751</v>
      </c>
      <c r="D557" s="41">
        <v>7</v>
      </c>
      <c r="E557" s="42">
        <v>2</v>
      </c>
      <c r="F557" s="42" t="s">
        <v>164</v>
      </c>
      <c r="G557" s="43" t="s">
        <v>156</v>
      </c>
      <c r="H557" s="42" t="s">
        <v>157</v>
      </c>
      <c r="I557" s="43">
        <v>3</v>
      </c>
      <c r="J557" s="43">
        <v>4</v>
      </c>
      <c r="K557" s="25" t="str">
        <f>VLOOKUP(J557,Key!$E$2:$F$9,2,FALSE)</f>
        <v>Commercial</v>
      </c>
      <c r="L557" s="42" t="s">
        <v>155</v>
      </c>
      <c r="M557" s="43" t="s">
        <v>156</v>
      </c>
      <c r="N557" s="42" t="s">
        <v>157</v>
      </c>
      <c r="O557" s="43">
        <v>11</v>
      </c>
      <c r="P557" s="43">
        <v>4</v>
      </c>
      <c r="Q557" s="25" t="str">
        <f>VLOOKUP(P557,Key!$E$2:$F$9,2,FALSE)</f>
        <v>Commercial</v>
      </c>
      <c r="R557" s="25" t="str">
        <f t="shared" si="11"/>
        <v>Commercial-Commercial</v>
      </c>
      <c r="S557" s="52">
        <v>24</v>
      </c>
      <c r="T557" s="52">
        <v>0.3</v>
      </c>
      <c r="U557" s="43">
        <v>1</v>
      </c>
      <c r="V557" s="43"/>
      <c r="W557" s="52">
        <v>2</v>
      </c>
      <c r="X557" s="52">
        <v>0.4</v>
      </c>
      <c r="Y557" s="53" t="s">
        <v>158</v>
      </c>
      <c r="Z557" s="54">
        <v>1000</v>
      </c>
      <c r="AA557" s="25">
        <f>VLOOKUP(F557,'Zones '!$A$2:$F$2056,6,FALSE)</f>
        <v>1397</v>
      </c>
      <c r="AB557" s="25">
        <f>VLOOKUP(L557,'Zones '!$A$2:$F$2056,6,FALSE)</f>
        <v>1397</v>
      </c>
    </row>
    <row r="558" spans="2:28">
      <c r="B558" s="40">
        <v>0.42083333333333334</v>
      </c>
      <c r="C558" s="40" t="s">
        <v>752</v>
      </c>
      <c r="D558" s="41">
        <v>7</v>
      </c>
      <c r="E558" s="42">
        <v>3</v>
      </c>
      <c r="F558" s="42" t="s">
        <v>164</v>
      </c>
      <c r="G558" s="43" t="s">
        <v>156</v>
      </c>
      <c r="H558" s="42" t="s">
        <v>157</v>
      </c>
      <c r="I558" s="43">
        <v>11</v>
      </c>
      <c r="J558" s="43">
        <v>4</v>
      </c>
      <c r="K558" s="25" t="str">
        <f>VLOOKUP(J558,Key!$E$2:$F$9,2,FALSE)</f>
        <v>Commercial</v>
      </c>
      <c r="L558" s="42" t="s">
        <v>155</v>
      </c>
      <c r="M558" s="43" t="s">
        <v>156</v>
      </c>
      <c r="N558" s="42" t="s">
        <v>157</v>
      </c>
      <c r="O558" s="43">
        <v>2</v>
      </c>
      <c r="P558" s="43">
        <v>4</v>
      </c>
      <c r="Q558" s="25" t="str">
        <f>VLOOKUP(P558,Key!$E$2:$F$9,2,FALSE)</f>
        <v>Commercial</v>
      </c>
      <c r="R558" s="25" t="str">
        <f t="shared" si="11"/>
        <v>Commercial-Commercial</v>
      </c>
      <c r="S558" s="52">
        <v>24</v>
      </c>
      <c r="T558" s="52">
        <v>0.3</v>
      </c>
      <c r="U558" s="43">
        <v>1</v>
      </c>
      <c r="V558" s="43">
        <v>4</v>
      </c>
      <c r="W558" s="52">
        <v>2</v>
      </c>
      <c r="X558" s="52">
        <v>2</v>
      </c>
      <c r="Y558" s="53" t="s">
        <v>158</v>
      </c>
      <c r="Z558" s="54">
        <v>2000</v>
      </c>
      <c r="AA558" s="25">
        <f>VLOOKUP(F558,'Zones '!$A$2:$F$2056,6,FALSE)</f>
        <v>1397</v>
      </c>
      <c r="AB558" s="25">
        <f>VLOOKUP(L558,'Zones '!$A$2:$F$2056,6,FALSE)</f>
        <v>1397</v>
      </c>
    </row>
    <row r="559" spans="2:28">
      <c r="B559" s="40">
        <v>0.41597222222222219</v>
      </c>
      <c r="C559" s="40" t="s">
        <v>753</v>
      </c>
      <c r="D559" s="41">
        <v>1</v>
      </c>
      <c r="E559" s="42">
        <v>3</v>
      </c>
      <c r="F559" s="42" t="s">
        <v>743</v>
      </c>
      <c r="G559" s="43" t="s">
        <v>187</v>
      </c>
      <c r="H559" s="42" t="s">
        <v>157</v>
      </c>
      <c r="I559" s="43">
        <v>1</v>
      </c>
      <c r="J559" s="43">
        <v>1</v>
      </c>
      <c r="K559" s="25" t="str">
        <f>VLOOKUP(J559,Key!$E$2:$F$9,2,FALSE)</f>
        <v>Home</v>
      </c>
      <c r="L559" s="42" t="s">
        <v>754</v>
      </c>
      <c r="M559" s="43" t="s">
        <v>156</v>
      </c>
      <c r="N559" s="42" t="s">
        <v>157</v>
      </c>
      <c r="O559" s="43">
        <v>1</v>
      </c>
      <c r="P559" s="43">
        <v>1</v>
      </c>
      <c r="Q559" s="25" t="str">
        <f>VLOOKUP(P559,Key!$E$2:$F$9,2,FALSE)</f>
        <v>Home</v>
      </c>
      <c r="R559" s="25" t="str">
        <f t="shared" si="11"/>
        <v>Home-Home</v>
      </c>
      <c r="S559" s="52">
        <v>120</v>
      </c>
      <c r="T559" s="52">
        <v>3</v>
      </c>
      <c r="U559" s="43">
        <v>4</v>
      </c>
      <c r="V559" s="43"/>
      <c r="W559" s="52"/>
      <c r="X559" s="52"/>
      <c r="Y559" s="53" t="s">
        <v>158</v>
      </c>
      <c r="Z559" s="54">
        <v>1000</v>
      </c>
      <c r="AA559" s="25">
        <f>VLOOKUP(F559,'Zones '!$A$2:$F$2056,6,FALSE)</f>
        <v>533</v>
      </c>
      <c r="AB559" s="25">
        <f>VLOOKUP(L559,'Zones '!$A$2:$F$2056,6,FALSE)</f>
        <v>1390</v>
      </c>
    </row>
    <row r="560" spans="2:28">
      <c r="B560" s="40">
        <v>0.41041666666666665</v>
      </c>
      <c r="C560" s="40" t="s">
        <v>755</v>
      </c>
      <c r="D560" s="41">
        <v>1</v>
      </c>
      <c r="E560" s="42">
        <v>1</v>
      </c>
      <c r="F560" s="42" t="s">
        <v>352</v>
      </c>
      <c r="G560" s="43" t="s">
        <v>156</v>
      </c>
      <c r="H560" s="42" t="s">
        <v>157</v>
      </c>
      <c r="I560" s="43">
        <v>16</v>
      </c>
      <c r="J560" s="43">
        <v>8</v>
      </c>
      <c r="K560" s="25" t="str">
        <f>VLOOKUP(J560,Key!$E$2:$F$9,2,FALSE)</f>
        <v>Others</v>
      </c>
      <c r="L560" s="42" t="s">
        <v>155</v>
      </c>
      <c r="M560" s="43" t="s">
        <v>156</v>
      </c>
      <c r="N560" s="42" t="s">
        <v>157</v>
      </c>
      <c r="O560" s="43">
        <v>1</v>
      </c>
      <c r="P560" s="43">
        <v>1</v>
      </c>
      <c r="Q560" s="25" t="str">
        <f>VLOOKUP(P560,Key!$E$2:$F$9,2,FALSE)</f>
        <v>Home</v>
      </c>
      <c r="R560" s="25" t="str">
        <f t="shared" si="11"/>
        <v>Others-Home</v>
      </c>
      <c r="S560" s="52">
        <v>1</v>
      </c>
      <c r="T560" s="52">
        <v>0.2</v>
      </c>
      <c r="U560" s="43">
        <v>5</v>
      </c>
      <c r="V560" s="43"/>
      <c r="W560" s="52"/>
      <c r="X560" s="52"/>
      <c r="Y560" s="53" t="s">
        <v>158</v>
      </c>
      <c r="Z560" s="54">
        <v>2000</v>
      </c>
      <c r="AA560" s="25">
        <f>VLOOKUP(F560,'Zones '!$A$2:$F$2056,6,FALSE)</f>
        <v>1397</v>
      </c>
      <c r="AB560" s="25">
        <f>VLOOKUP(L560,'Zones '!$A$2:$F$2056,6,FALSE)</f>
        <v>1397</v>
      </c>
    </row>
    <row r="561" spans="2:28">
      <c r="B561" s="40">
        <v>0.40625</v>
      </c>
      <c r="C561" s="40" t="s">
        <v>379</v>
      </c>
      <c r="D561" s="41">
        <v>1</v>
      </c>
      <c r="E561" s="42">
        <v>2</v>
      </c>
      <c r="F561" s="42" t="s">
        <v>150</v>
      </c>
      <c r="G561" s="43" t="s">
        <v>156</v>
      </c>
      <c r="H561" s="42" t="s">
        <v>157</v>
      </c>
      <c r="I561" s="43">
        <v>1</v>
      </c>
      <c r="J561" s="43">
        <v>1</v>
      </c>
      <c r="K561" s="25" t="str">
        <f>VLOOKUP(J561,Key!$E$2:$F$9,2,FALSE)</f>
        <v>Home</v>
      </c>
      <c r="L561" s="42" t="s">
        <v>155</v>
      </c>
      <c r="M561" s="43" t="s">
        <v>156</v>
      </c>
      <c r="N561" s="42" t="s">
        <v>157</v>
      </c>
      <c r="O561" s="43">
        <v>11</v>
      </c>
      <c r="P561" s="43">
        <v>2</v>
      </c>
      <c r="Q561" s="25" t="str">
        <f>VLOOKUP(P561,Key!$E$2:$F$9,2,FALSE)</f>
        <v>Work</v>
      </c>
      <c r="R561" s="25" t="str">
        <f t="shared" si="11"/>
        <v>Home-Work</v>
      </c>
      <c r="S561" s="52">
        <v>1</v>
      </c>
      <c r="T561" s="52">
        <v>0.3</v>
      </c>
      <c r="U561" s="43">
        <v>1</v>
      </c>
      <c r="V561" s="43"/>
      <c r="W561" s="52"/>
      <c r="X561" s="52"/>
      <c r="Y561" s="53" t="s">
        <v>158</v>
      </c>
      <c r="Z561" s="54">
        <v>5000</v>
      </c>
      <c r="AA561" s="25">
        <f>VLOOKUP(F561,'Zones '!$A$2:$F$2056,6,FALSE)</f>
        <v>1397</v>
      </c>
      <c r="AB561" s="25">
        <f>VLOOKUP(L561,'Zones '!$A$2:$F$2056,6,FALSE)</f>
        <v>1397</v>
      </c>
    </row>
    <row r="562" spans="2:28">
      <c r="B562" s="40">
        <v>0.40347222222222223</v>
      </c>
      <c r="C562" s="40" t="s">
        <v>756</v>
      </c>
      <c r="D562" s="41">
        <v>1</v>
      </c>
      <c r="E562" s="42">
        <v>1</v>
      </c>
      <c r="F562" s="42" t="s">
        <v>150</v>
      </c>
      <c r="G562" s="43" t="s">
        <v>156</v>
      </c>
      <c r="H562" s="42" t="s">
        <v>157</v>
      </c>
      <c r="I562" s="43">
        <v>1</v>
      </c>
      <c r="J562" s="43">
        <v>1</v>
      </c>
      <c r="K562" s="25" t="str">
        <f>VLOOKUP(J562,Key!$E$2:$F$9,2,FALSE)</f>
        <v>Home</v>
      </c>
      <c r="L562" s="42" t="s">
        <v>155</v>
      </c>
      <c r="M562" s="43" t="s">
        <v>156</v>
      </c>
      <c r="N562" s="42" t="s">
        <v>157</v>
      </c>
      <c r="O562" s="43">
        <v>2</v>
      </c>
      <c r="P562" s="43">
        <v>2</v>
      </c>
      <c r="Q562" s="25" t="str">
        <f>VLOOKUP(P562,Key!$E$2:$F$9,2,FALSE)</f>
        <v>Work</v>
      </c>
      <c r="R562" s="25" t="str">
        <f t="shared" si="11"/>
        <v>Home-Work</v>
      </c>
      <c r="S562" s="52">
        <v>1</v>
      </c>
      <c r="T562" s="52">
        <v>0.3</v>
      </c>
      <c r="U562" s="43">
        <v>1</v>
      </c>
      <c r="V562" s="43"/>
      <c r="W562" s="52"/>
      <c r="X562" s="52"/>
      <c r="Y562" s="53" t="s">
        <v>158</v>
      </c>
      <c r="Z562" s="54">
        <v>1000</v>
      </c>
      <c r="AA562" s="25">
        <f>VLOOKUP(F562,'Zones '!$A$2:$F$2056,6,FALSE)</f>
        <v>1397</v>
      </c>
      <c r="AB562" s="25">
        <f>VLOOKUP(L562,'Zones '!$A$2:$F$2056,6,FALSE)</f>
        <v>1397</v>
      </c>
    </row>
  </sheetData>
  <mergeCells count="25">
    <mergeCell ref="O4:T4"/>
    <mergeCell ref="F7:H7"/>
    <mergeCell ref="E7:E8"/>
    <mergeCell ref="S7:S8"/>
    <mergeCell ref="B7:B8"/>
    <mergeCell ref="D7:D8"/>
    <mergeCell ref="J7:J8"/>
    <mergeCell ref="L7:N7"/>
    <mergeCell ref="P7:P8"/>
    <mergeCell ref="B1:AB1"/>
    <mergeCell ref="B2:AB2"/>
    <mergeCell ref="I7:I8"/>
    <mergeCell ref="C7:C8"/>
    <mergeCell ref="AA7:AA8"/>
    <mergeCell ref="AB7:AB8"/>
    <mergeCell ref="O7:O8"/>
    <mergeCell ref="U7:U8"/>
    <mergeCell ref="Y7:Y8"/>
    <mergeCell ref="Z7:Z8"/>
    <mergeCell ref="V7:X7"/>
    <mergeCell ref="F4:G4"/>
    <mergeCell ref="T7:T8"/>
    <mergeCell ref="K7:K8"/>
    <mergeCell ref="Q7:Q8"/>
    <mergeCell ref="R7:R8"/>
  </mergeCells>
  <pageMargins left="0.2" right="0.2" top="0.15" bottom="0.15" header="0.05" footer="0.3"/>
  <pageSetup paperSize="9" scale="5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Y1489"/>
  <sheetViews>
    <sheetView workbookViewId="0">
      <selection activeCell="O4" sqref="O4"/>
    </sheetView>
  </sheetViews>
  <sheetFormatPr defaultRowHeight="12.75"/>
  <cols>
    <col min="1" max="1" width="2.7109375" customWidth="1"/>
    <col min="2" max="2" width="7.28515625" customWidth="1"/>
    <col min="3" max="3" width="9.7109375" customWidth="1"/>
    <col min="4" max="4" width="10.28515625" customWidth="1"/>
    <col min="5" max="5" width="10.85546875" customWidth="1"/>
    <col min="6" max="6" width="13.140625" customWidth="1"/>
    <col min="7" max="7" width="12.28515625" customWidth="1"/>
    <col min="8" max="8" width="8.42578125" customWidth="1"/>
    <col min="9" max="9" width="12.7109375" bestFit="1" customWidth="1"/>
    <col min="10" max="10" width="12.7109375" customWidth="1"/>
    <col min="11" max="11" width="17" bestFit="1" customWidth="1"/>
    <col min="12" max="12" width="10.85546875" customWidth="1"/>
    <col min="13" max="13" width="12.85546875" customWidth="1"/>
    <col min="14" max="15" width="8" customWidth="1"/>
    <col min="16" max="16" width="6.28515625" customWidth="1"/>
  </cols>
  <sheetData>
    <row r="1" spans="2:25" s="1" customFormat="1" ht="15.75">
      <c r="B1" s="107" t="s">
        <v>0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6"/>
      <c r="R1" s="6"/>
      <c r="S1" s="6"/>
      <c r="T1" s="6"/>
      <c r="U1" s="6"/>
      <c r="V1" s="6"/>
      <c r="W1" s="6"/>
      <c r="X1" s="6"/>
      <c r="Y1" s="6"/>
    </row>
    <row r="2" spans="2:2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7"/>
      <c r="R2" s="7"/>
      <c r="S2" s="7"/>
      <c r="T2" s="7"/>
      <c r="U2" s="7"/>
      <c r="V2" s="7"/>
      <c r="W2" s="7"/>
      <c r="X2" s="7"/>
      <c r="Y2" s="7"/>
    </row>
    <row r="3" spans="2:2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2:25">
      <c r="B4" s="3" t="s">
        <v>2</v>
      </c>
      <c r="C4" s="20">
        <v>40465</v>
      </c>
      <c r="D4" s="5" t="s">
        <v>3</v>
      </c>
      <c r="E4" s="8"/>
      <c r="F4" s="4"/>
      <c r="G4" s="3" t="s">
        <v>4</v>
      </c>
      <c r="H4" s="4" t="s">
        <v>28</v>
      </c>
      <c r="I4" s="4"/>
      <c r="J4" s="3" t="s">
        <v>5</v>
      </c>
      <c r="K4" s="4" t="s">
        <v>29</v>
      </c>
      <c r="L4" s="9" t="s">
        <v>6</v>
      </c>
      <c r="M4" s="4"/>
      <c r="N4" s="5" t="s">
        <v>7</v>
      </c>
      <c r="O4" s="4"/>
      <c r="P4" s="5"/>
      <c r="Q4" s="10"/>
      <c r="R4" s="5"/>
      <c r="S4" s="5"/>
      <c r="T4" s="10"/>
      <c r="U4" s="10"/>
      <c r="V4" s="5"/>
    </row>
    <row r="5" spans="2:25" ht="15"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2:25" ht="13.5" thickBot="1"/>
    <row r="7" spans="2:25" ht="30.75" customHeight="1">
      <c r="B7" s="125" t="s">
        <v>8</v>
      </c>
      <c r="C7" s="108" t="s">
        <v>9</v>
      </c>
      <c r="D7" s="108" t="s">
        <v>10</v>
      </c>
      <c r="E7" s="108" t="s">
        <v>11</v>
      </c>
      <c r="F7" s="108" t="s">
        <v>12</v>
      </c>
      <c r="G7" s="108"/>
      <c r="H7" s="108" t="s">
        <v>15</v>
      </c>
      <c r="I7" s="108" t="s">
        <v>16</v>
      </c>
      <c r="J7" s="108" t="s">
        <v>17</v>
      </c>
      <c r="K7" s="108"/>
      <c r="L7" s="108" t="s">
        <v>18</v>
      </c>
      <c r="M7" s="108" t="s">
        <v>19</v>
      </c>
      <c r="N7" s="108" t="s">
        <v>20</v>
      </c>
      <c r="O7" s="112" t="s">
        <v>21</v>
      </c>
      <c r="P7" s="127" t="s">
        <v>27</v>
      </c>
      <c r="Q7" s="128"/>
    </row>
    <row r="8" spans="2:25" ht="24.75" customHeight="1" thickBot="1">
      <c r="B8" s="131"/>
      <c r="C8" s="132"/>
      <c r="D8" s="132"/>
      <c r="E8" s="132"/>
      <c r="F8" s="18" t="s">
        <v>13</v>
      </c>
      <c r="G8" s="18" t="s">
        <v>14</v>
      </c>
      <c r="H8" s="132"/>
      <c r="I8" s="132"/>
      <c r="J8" s="18" t="s">
        <v>13</v>
      </c>
      <c r="K8" s="18" t="s">
        <v>14</v>
      </c>
      <c r="L8" s="132"/>
      <c r="M8" s="132"/>
      <c r="N8" s="132"/>
      <c r="O8" s="133"/>
      <c r="P8" s="129"/>
      <c r="Q8" s="130"/>
    </row>
    <row r="9" spans="2:25">
      <c r="B9" s="15" t="s">
        <v>22</v>
      </c>
      <c r="C9" s="16">
        <v>3</v>
      </c>
      <c r="D9" s="16"/>
      <c r="E9" s="16">
        <v>2</v>
      </c>
      <c r="F9" s="15" t="s">
        <v>30</v>
      </c>
      <c r="G9" s="17" t="s">
        <v>24</v>
      </c>
      <c r="H9" s="16">
        <v>1</v>
      </c>
      <c r="I9" s="16"/>
      <c r="J9" s="15" t="s">
        <v>25</v>
      </c>
      <c r="K9" s="17" t="s">
        <v>24</v>
      </c>
      <c r="L9" s="16">
        <v>2</v>
      </c>
      <c r="M9" s="16"/>
      <c r="N9" s="15" t="s">
        <v>26</v>
      </c>
      <c r="O9" s="15" t="s">
        <v>26</v>
      </c>
      <c r="P9" s="15" t="s">
        <v>32</v>
      </c>
      <c r="Q9" s="15">
        <v>3000</v>
      </c>
    </row>
    <row r="10" spans="2:25" s="19" customFormat="1">
      <c r="B10" s="11" t="s">
        <v>22</v>
      </c>
      <c r="C10" s="11">
        <v>1</v>
      </c>
      <c r="D10" s="11"/>
      <c r="E10" s="11">
        <v>1</v>
      </c>
      <c r="F10" s="11" t="s">
        <v>31</v>
      </c>
      <c r="G10" s="21" t="s">
        <v>24</v>
      </c>
      <c r="H10" s="11">
        <v>1</v>
      </c>
      <c r="I10" s="11"/>
      <c r="J10" s="11" t="s">
        <v>25</v>
      </c>
      <c r="K10" s="13" t="s">
        <v>24</v>
      </c>
      <c r="L10" s="11">
        <v>2</v>
      </c>
      <c r="M10" s="11"/>
      <c r="N10" s="11" t="s">
        <v>26</v>
      </c>
      <c r="O10" s="11" t="s">
        <v>26</v>
      </c>
      <c r="P10" s="11" t="s">
        <v>32</v>
      </c>
      <c r="Q10" s="11">
        <v>2000</v>
      </c>
    </row>
    <row r="11" spans="2:25">
      <c r="B11" s="11" t="s">
        <v>22</v>
      </c>
      <c r="C11" s="12"/>
      <c r="D11" s="12"/>
      <c r="E11" s="12">
        <v>1</v>
      </c>
      <c r="F11" s="11" t="s">
        <v>23</v>
      </c>
      <c r="G11" s="13" t="s">
        <v>24</v>
      </c>
      <c r="H11" s="12">
        <v>3</v>
      </c>
      <c r="I11" s="12"/>
      <c r="J11" s="11" t="s">
        <v>25</v>
      </c>
      <c r="K11" s="13" t="s">
        <v>24</v>
      </c>
      <c r="L11" s="12">
        <v>1</v>
      </c>
      <c r="M11" s="12"/>
      <c r="N11" s="11" t="s">
        <v>26</v>
      </c>
      <c r="O11" s="11" t="s">
        <v>26</v>
      </c>
      <c r="P11" s="11"/>
      <c r="Q11" s="14"/>
    </row>
    <row r="12" spans="2:25">
      <c r="B12" s="11" t="s">
        <v>22</v>
      </c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4"/>
    </row>
    <row r="13" spans="2:25">
      <c r="B13" s="11" t="s">
        <v>22</v>
      </c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4"/>
    </row>
    <row r="14" spans="2:25">
      <c r="B14" s="11" t="s">
        <v>22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4"/>
    </row>
    <row r="15" spans="2:25">
      <c r="B15" s="11" t="s">
        <v>22</v>
      </c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4"/>
    </row>
    <row r="16" spans="2:25">
      <c r="B16" s="11" t="s">
        <v>22</v>
      </c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4"/>
    </row>
    <row r="17" spans="2:17">
      <c r="B17" s="11" t="s">
        <v>22</v>
      </c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4"/>
    </row>
    <row r="18" spans="2:17">
      <c r="B18" s="11" t="s">
        <v>22</v>
      </c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4"/>
    </row>
    <row r="19" spans="2:17">
      <c r="B19" s="11" t="s">
        <v>22</v>
      </c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4"/>
    </row>
    <row r="20" spans="2:17">
      <c r="B20" s="11" t="s">
        <v>22</v>
      </c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4"/>
    </row>
    <row r="21" spans="2:17">
      <c r="B21" s="11" t="s">
        <v>22</v>
      </c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4"/>
    </row>
    <row r="22" spans="2:17">
      <c r="B22" s="11" t="s">
        <v>22</v>
      </c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4"/>
    </row>
    <row r="23" spans="2:17">
      <c r="B23" s="11" t="s">
        <v>22</v>
      </c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4"/>
    </row>
    <row r="24" spans="2:17">
      <c r="B24" s="11" t="s">
        <v>22</v>
      </c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4"/>
    </row>
    <row r="25" spans="2:17">
      <c r="B25" s="11" t="s">
        <v>22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4"/>
    </row>
    <row r="26" spans="2:17">
      <c r="B26" s="11" t="s">
        <v>22</v>
      </c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4"/>
    </row>
    <row r="27" spans="2:17">
      <c r="B27" s="11" t="s">
        <v>22</v>
      </c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4"/>
    </row>
    <row r="28" spans="2:17">
      <c r="B28" s="11" t="s">
        <v>22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4"/>
    </row>
    <row r="29" spans="2:17">
      <c r="B29" s="11" t="s">
        <v>22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4"/>
    </row>
    <row r="30" spans="2:17">
      <c r="B30" s="11" t="s">
        <v>22</v>
      </c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4"/>
    </row>
    <row r="31" spans="2:17">
      <c r="B31" s="11" t="s">
        <v>22</v>
      </c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4"/>
    </row>
    <row r="32" spans="2:17">
      <c r="B32" s="11" t="s">
        <v>22</v>
      </c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4"/>
    </row>
    <row r="33" spans="2:17">
      <c r="B33" s="11" t="s">
        <v>22</v>
      </c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4"/>
    </row>
    <row r="34" spans="2:17">
      <c r="B34" s="11" t="s">
        <v>22</v>
      </c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4"/>
    </row>
    <row r="35" spans="2:17">
      <c r="B35" s="11" t="s">
        <v>22</v>
      </c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4"/>
    </row>
    <row r="36" spans="2:17">
      <c r="B36" s="11" t="s">
        <v>22</v>
      </c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4"/>
    </row>
    <row r="37" spans="2:17">
      <c r="B37" s="11" t="s">
        <v>22</v>
      </c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4"/>
    </row>
    <row r="38" spans="2:17">
      <c r="B38" s="11" t="s">
        <v>22</v>
      </c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4"/>
    </row>
    <row r="39" spans="2:17">
      <c r="B39" s="11" t="s">
        <v>22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4"/>
    </row>
    <row r="40" spans="2:17">
      <c r="B40" s="11" t="s">
        <v>22</v>
      </c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4"/>
    </row>
    <row r="41" spans="2:17">
      <c r="B41" s="11" t="s">
        <v>22</v>
      </c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4"/>
    </row>
    <row r="42" spans="2:17">
      <c r="B42" s="11" t="s">
        <v>22</v>
      </c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4"/>
    </row>
    <row r="43" spans="2:17">
      <c r="B43" s="11" t="s">
        <v>22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4"/>
    </row>
    <row r="44" spans="2:17">
      <c r="B44" s="11" t="s">
        <v>22</v>
      </c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4"/>
    </row>
    <row r="45" spans="2:17">
      <c r="B45" s="11" t="s">
        <v>22</v>
      </c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4"/>
    </row>
    <row r="46" spans="2:17">
      <c r="B46" s="11" t="s">
        <v>22</v>
      </c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4"/>
    </row>
    <row r="47" spans="2:17">
      <c r="B47" s="11" t="s">
        <v>22</v>
      </c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4"/>
    </row>
    <row r="48" spans="2:17">
      <c r="B48" s="11" t="s">
        <v>22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4"/>
    </row>
    <row r="49" spans="2:17">
      <c r="B49" s="11" t="s">
        <v>22</v>
      </c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4"/>
    </row>
    <row r="50" spans="2:17">
      <c r="B50" s="11" t="s">
        <v>22</v>
      </c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4"/>
    </row>
    <row r="51" spans="2:17">
      <c r="B51" s="11" t="s">
        <v>22</v>
      </c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4"/>
    </row>
    <row r="52" spans="2:17">
      <c r="B52" s="11" t="s">
        <v>22</v>
      </c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4"/>
    </row>
    <row r="53" spans="2:17">
      <c r="B53" s="11" t="s">
        <v>22</v>
      </c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4"/>
    </row>
    <row r="54" spans="2:17"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4"/>
    </row>
    <row r="55" spans="2:17"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4"/>
    </row>
    <row r="56" spans="2:17"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4"/>
    </row>
    <row r="57" spans="2:17"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4"/>
    </row>
    <row r="58" spans="2:17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4"/>
    </row>
    <row r="59" spans="2:17"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4"/>
    </row>
    <row r="60" spans="2:17"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4"/>
    </row>
    <row r="61" spans="2:17"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4"/>
    </row>
    <row r="62" spans="2:17"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4"/>
    </row>
    <row r="63" spans="2:17"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4"/>
    </row>
    <row r="64" spans="2:17"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4"/>
    </row>
    <row r="65" spans="2:17"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4"/>
    </row>
    <row r="66" spans="2:17"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4"/>
    </row>
    <row r="67" spans="2:17"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4"/>
    </row>
    <row r="68" spans="2:17"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4"/>
    </row>
    <row r="69" spans="2:17"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4"/>
    </row>
    <row r="70" spans="2:17"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4"/>
    </row>
    <row r="71" spans="2:17"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4"/>
    </row>
    <row r="72" spans="2:17"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4"/>
    </row>
    <row r="73" spans="2:17"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4"/>
    </row>
    <row r="74" spans="2:17"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4"/>
    </row>
    <row r="75" spans="2:17"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4"/>
    </row>
    <row r="76" spans="2:17"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4"/>
    </row>
    <row r="77" spans="2:17"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4"/>
    </row>
    <row r="78" spans="2:17"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4"/>
    </row>
    <row r="79" spans="2:17"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4"/>
    </row>
    <row r="80" spans="2:17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4"/>
    </row>
    <row r="81" spans="2:17"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4"/>
    </row>
    <row r="82" spans="2:17"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4"/>
    </row>
    <row r="83" spans="2:17"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4"/>
    </row>
    <row r="84" spans="2:17"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4"/>
    </row>
    <row r="85" spans="2:17"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4"/>
    </row>
    <row r="86" spans="2:17"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4"/>
    </row>
    <row r="87" spans="2:17"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4"/>
    </row>
    <row r="88" spans="2:17"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4"/>
    </row>
    <row r="89" spans="2:17"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4"/>
    </row>
    <row r="90" spans="2:17"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4"/>
    </row>
    <row r="91" spans="2:17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4"/>
    </row>
    <row r="92" spans="2:17"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4"/>
    </row>
    <row r="93" spans="2:17"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4"/>
    </row>
    <row r="94" spans="2:17"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4"/>
    </row>
    <row r="95" spans="2:17"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4"/>
    </row>
    <row r="96" spans="2:17"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4"/>
    </row>
    <row r="97" spans="2:17"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4"/>
    </row>
    <row r="98" spans="2:17"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4"/>
    </row>
    <row r="99" spans="2:17"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4"/>
    </row>
    <row r="100" spans="2:17"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4"/>
    </row>
    <row r="101" spans="2:17"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4"/>
    </row>
    <row r="102" spans="2:17"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4"/>
    </row>
    <row r="103" spans="2:17"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4"/>
    </row>
    <row r="104" spans="2:17"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4"/>
    </row>
    <row r="105" spans="2:17"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4"/>
    </row>
    <row r="106" spans="2:17"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4"/>
    </row>
    <row r="107" spans="2:17"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4"/>
    </row>
    <row r="108" spans="2:17"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4"/>
    </row>
    <row r="109" spans="2:17"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4"/>
    </row>
    <row r="110" spans="2:17"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4"/>
    </row>
    <row r="111" spans="2:17"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4"/>
    </row>
    <row r="112" spans="2:17"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4"/>
    </row>
    <row r="113" spans="2:17"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4"/>
    </row>
    <row r="114" spans="2:17"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4"/>
    </row>
    <row r="115" spans="2:17"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4"/>
    </row>
    <row r="116" spans="2:17"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4"/>
    </row>
    <row r="117" spans="2:17"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4"/>
    </row>
    <row r="118" spans="2:17"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4"/>
    </row>
    <row r="119" spans="2:17"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4"/>
    </row>
    <row r="120" spans="2:17"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4"/>
    </row>
    <row r="121" spans="2:17"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4"/>
    </row>
    <row r="122" spans="2:17"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4"/>
    </row>
    <row r="123" spans="2:17"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4"/>
    </row>
    <row r="124" spans="2:17"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4"/>
    </row>
    <row r="125" spans="2:17"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4"/>
    </row>
    <row r="126" spans="2:17"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4"/>
    </row>
    <row r="127" spans="2:17"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4"/>
    </row>
    <row r="128" spans="2:17"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4"/>
    </row>
    <row r="129" spans="2:17"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4"/>
    </row>
    <row r="130" spans="2:17"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4"/>
    </row>
    <row r="131" spans="2:17"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4"/>
    </row>
    <row r="132" spans="2:17"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4"/>
    </row>
    <row r="133" spans="2:17"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4"/>
    </row>
    <row r="134" spans="2:17"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4"/>
    </row>
    <row r="135" spans="2:17"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4"/>
    </row>
    <row r="136" spans="2:17"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4"/>
    </row>
    <row r="137" spans="2:17"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4"/>
    </row>
    <row r="138" spans="2:17"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4"/>
    </row>
    <row r="139" spans="2:17"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4"/>
    </row>
    <row r="140" spans="2:17"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4"/>
    </row>
    <row r="141" spans="2:17"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4"/>
    </row>
    <row r="142" spans="2:17"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4"/>
    </row>
    <row r="143" spans="2:17"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4"/>
    </row>
    <row r="144" spans="2:17"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4"/>
    </row>
    <row r="145" spans="2:17"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4"/>
    </row>
    <row r="146" spans="2:17"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4"/>
    </row>
    <row r="147" spans="2:17"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4"/>
    </row>
    <row r="148" spans="2:17"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4"/>
    </row>
    <row r="149" spans="2:17"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4"/>
    </row>
    <row r="150" spans="2:17"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4"/>
    </row>
    <row r="151" spans="2:17"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4"/>
    </row>
    <row r="152" spans="2:17"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4"/>
    </row>
    <row r="153" spans="2:17"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4"/>
    </row>
    <row r="154" spans="2:17"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4"/>
    </row>
    <row r="155" spans="2:17"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4"/>
    </row>
    <row r="156" spans="2:17"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4"/>
    </row>
    <row r="157" spans="2:17"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4"/>
    </row>
    <row r="158" spans="2:17"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4"/>
    </row>
    <row r="159" spans="2:17"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4"/>
    </row>
    <row r="160" spans="2:17"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4"/>
    </row>
    <row r="161" spans="2:17"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4"/>
    </row>
    <row r="162" spans="2:17"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4"/>
    </row>
    <row r="163" spans="2:17"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4"/>
    </row>
    <row r="164" spans="2:17"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4"/>
    </row>
    <row r="165" spans="2:17"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4"/>
    </row>
    <row r="166" spans="2:17"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4"/>
    </row>
    <row r="167" spans="2:17"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4"/>
    </row>
    <row r="168" spans="2:17"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4"/>
    </row>
    <row r="169" spans="2:17"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4"/>
    </row>
    <row r="170" spans="2:17"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4"/>
    </row>
    <row r="171" spans="2:17"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4"/>
    </row>
    <row r="172" spans="2:17"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4"/>
    </row>
    <row r="173" spans="2:17"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4"/>
    </row>
    <row r="174" spans="2:17"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4"/>
    </row>
    <row r="175" spans="2:17"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4"/>
    </row>
    <row r="176" spans="2:17"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4"/>
    </row>
    <row r="177" spans="2:17"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4"/>
    </row>
    <row r="178" spans="2:17"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4"/>
    </row>
    <row r="179" spans="2:17"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4"/>
    </row>
    <row r="180" spans="2:17"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4"/>
    </row>
    <row r="181" spans="2:17"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4"/>
    </row>
    <row r="182" spans="2:17"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4"/>
    </row>
    <row r="183" spans="2:17"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4"/>
    </row>
    <row r="184" spans="2:17"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4"/>
    </row>
    <row r="185" spans="2:17"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4"/>
    </row>
    <row r="186" spans="2:17"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4"/>
    </row>
    <row r="187" spans="2:17"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4"/>
    </row>
    <row r="188" spans="2:17"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4"/>
    </row>
    <row r="189" spans="2:17"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4"/>
    </row>
    <row r="190" spans="2:17"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4"/>
    </row>
    <row r="191" spans="2:17"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4"/>
    </row>
    <row r="192" spans="2:17"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4"/>
    </row>
    <row r="193" spans="2:17"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4"/>
    </row>
    <row r="194" spans="2:17"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4"/>
    </row>
    <row r="195" spans="2:17"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4"/>
    </row>
    <row r="196" spans="2:17"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4"/>
    </row>
    <row r="197" spans="2:17"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4"/>
    </row>
    <row r="198" spans="2:17"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4"/>
    </row>
    <row r="199" spans="2:17"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4"/>
    </row>
    <row r="200" spans="2:17"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4"/>
    </row>
    <row r="201" spans="2:17"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4"/>
    </row>
    <row r="202" spans="2:17"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4"/>
    </row>
    <row r="203" spans="2:17"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4"/>
    </row>
    <row r="204" spans="2:17"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4"/>
    </row>
    <row r="205" spans="2:17"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4"/>
    </row>
    <row r="206" spans="2:17"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4"/>
    </row>
    <row r="207" spans="2:17"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4"/>
    </row>
    <row r="208" spans="2:17"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4"/>
    </row>
    <row r="209" spans="2:17"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4"/>
    </row>
    <row r="210" spans="2:17"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4"/>
    </row>
    <row r="211" spans="2:17"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4"/>
    </row>
    <row r="212" spans="2:17"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4"/>
    </row>
    <row r="213" spans="2:17"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4"/>
    </row>
    <row r="214" spans="2:17"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4"/>
    </row>
    <row r="215" spans="2:17"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4"/>
    </row>
    <row r="216" spans="2:17"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4"/>
    </row>
    <row r="217" spans="2:17"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4"/>
    </row>
    <row r="218" spans="2:17"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4"/>
    </row>
    <row r="219" spans="2:17"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4"/>
    </row>
    <row r="220" spans="2:17"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4"/>
    </row>
    <row r="221" spans="2:17"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4"/>
    </row>
    <row r="222" spans="2:17"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4"/>
    </row>
    <row r="223" spans="2:17"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4"/>
    </row>
    <row r="224" spans="2:17"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4"/>
    </row>
    <row r="225" spans="2:17"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4"/>
    </row>
    <row r="226" spans="2:17"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4"/>
    </row>
    <row r="227" spans="2:17"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4"/>
    </row>
    <row r="228" spans="2:17"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4"/>
    </row>
    <row r="229" spans="2:17"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4"/>
    </row>
    <row r="230" spans="2:17"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4"/>
    </row>
    <row r="231" spans="2:17"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4"/>
    </row>
    <row r="232" spans="2:17"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4"/>
    </row>
    <row r="233" spans="2:17"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4"/>
    </row>
    <row r="234" spans="2:17"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4"/>
    </row>
    <row r="235" spans="2:17"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4"/>
    </row>
    <row r="236" spans="2:17"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4"/>
    </row>
    <row r="237" spans="2:17"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4"/>
    </row>
    <row r="238" spans="2:17"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4"/>
    </row>
    <row r="239" spans="2:17"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4"/>
    </row>
    <row r="240" spans="2:17"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4"/>
    </row>
    <row r="241" spans="2:17"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4"/>
    </row>
    <row r="242" spans="2:17"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4"/>
    </row>
    <row r="243" spans="2:17"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4"/>
    </row>
    <row r="244" spans="2:17"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4"/>
    </row>
    <row r="245" spans="2:17"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4"/>
    </row>
    <row r="246" spans="2:17"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4"/>
    </row>
    <row r="247" spans="2:17"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4"/>
    </row>
    <row r="248" spans="2:17"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4"/>
    </row>
    <row r="249" spans="2:17"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4"/>
    </row>
    <row r="250" spans="2:17"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4"/>
    </row>
    <row r="251" spans="2:17"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4"/>
    </row>
    <row r="252" spans="2:17"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4"/>
    </row>
    <row r="253" spans="2:17"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4"/>
    </row>
    <row r="254" spans="2:17"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4"/>
    </row>
    <row r="255" spans="2:17"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4"/>
    </row>
    <row r="256" spans="2:17"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4"/>
    </row>
    <row r="257" spans="2:17"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4"/>
    </row>
    <row r="258" spans="2:17"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4"/>
    </row>
    <row r="259" spans="2:17"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4"/>
    </row>
    <row r="260" spans="2:17"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4"/>
    </row>
    <row r="261" spans="2:17"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4"/>
    </row>
    <row r="262" spans="2:17"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4"/>
    </row>
    <row r="263" spans="2:17"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4"/>
    </row>
    <row r="264" spans="2:17"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4"/>
    </row>
    <row r="265" spans="2:17"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4"/>
    </row>
    <row r="266" spans="2:17"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4"/>
    </row>
    <row r="267" spans="2:17"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4"/>
    </row>
    <row r="268" spans="2:17"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4"/>
    </row>
    <row r="269" spans="2:17"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4"/>
    </row>
    <row r="270" spans="2:17"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4"/>
    </row>
    <row r="271" spans="2:17"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4"/>
    </row>
    <row r="272" spans="2:17"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4"/>
    </row>
    <row r="273" spans="2:17"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4"/>
    </row>
    <row r="274" spans="2:17"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4"/>
    </row>
    <row r="275" spans="2:17"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4"/>
    </row>
    <row r="276" spans="2:17"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4"/>
    </row>
    <row r="277" spans="2:17"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4"/>
    </row>
    <row r="278" spans="2:17"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4"/>
    </row>
    <row r="279" spans="2:17"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4"/>
    </row>
    <row r="280" spans="2:17"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4"/>
    </row>
    <row r="281" spans="2:17"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4"/>
    </row>
    <row r="282" spans="2:17"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4"/>
    </row>
    <row r="283" spans="2:17"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4"/>
    </row>
    <row r="284" spans="2:17"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4"/>
    </row>
    <row r="285" spans="2:17"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4"/>
    </row>
    <row r="286" spans="2:17"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4"/>
    </row>
    <row r="287" spans="2:17"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4"/>
    </row>
    <row r="288" spans="2:17"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4"/>
    </row>
    <row r="289" spans="2:17"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4"/>
    </row>
    <row r="290" spans="2:17"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4"/>
    </row>
    <row r="291" spans="2:17"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4"/>
    </row>
    <row r="292" spans="2:17"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4"/>
    </row>
    <row r="293" spans="2:17"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4"/>
    </row>
    <row r="294" spans="2:17"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4"/>
    </row>
    <row r="295" spans="2:17"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4"/>
    </row>
    <row r="296" spans="2:17"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4"/>
    </row>
    <row r="297" spans="2:17"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4"/>
    </row>
    <row r="298" spans="2:17"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4"/>
    </row>
    <row r="299" spans="2:17"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4"/>
    </row>
    <row r="300" spans="2:17"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4"/>
    </row>
    <row r="301" spans="2:17"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4"/>
    </row>
    <row r="302" spans="2:17"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4"/>
    </row>
    <row r="303" spans="2:17"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4"/>
    </row>
    <row r="304" spans="2:17"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4"/>
    </row>
    <row r="305" spans="2:17"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4"/>
    </row>
    <row r="306" spans="2:17"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4"/>
    </row>
    <row r="307" spans="2:17"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4"/>
    </row>
    <row r="308" spans="2:17"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4"/>
    </row>
    <row r="309" spans="2:17"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4"/>
    </row>
    <row r="310" spans="2:17"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4"/>
    </row>
    <row r="311" spans="2:17"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4"/>
    </row>
    <row r="312" spans="2:17"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4"/>
    </row>
    <row r="313" spans="2:17"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4"/>
    </row>
    <row r="314" spans="2:17"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4"/>
    </row>
    <row r="315" spans="2:17"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4"/>
    </row>
    <row r="316" spans="2:17"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4"/>
    </row>
    <row r="317" spans="2:17"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4"/>
    </row>
    <row r="318" spans="2:17"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4"/>
    </row>
    <row r="319" spans="2:17"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4"/>
    </row>
    <row r="320" spans="2:17"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4"/>
    </row>
    <row r="321" spans="2:17"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4"/>
    </row>
    <row r="322" spans="2:17"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4"/>
    </row>
    <row r="323" spans="2:17"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4"/>
    </row>
    <row r="324" spans="2:17"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4"/>
    </row>
    <row r="325" spans="2:17"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4"/>
    </row>
    <row r="326" spans="2:17"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4"/>
    </row>
    <row r="327" spans="2:17"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4"/>
    </row>
    <row r="328" spans="2:17"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4"/>
    </row>
    <row r="329" spans="2:17"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4"/>
    </row>
    <row r="330" spans="2:17"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4"/>
    </row>
    <row r="331" spans="2:17"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4"/>
    </row>
    <row r="332" spans="2:17"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4"/>
    </row>
    <row r="333" spans="2:17"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4"/>
    </row>
    <row r="334" spans="2:17"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4"/>
    </row>
    <row r="335" spans="2:17"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4"/>
    </row>
    <row r="336" spans="2:17"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4"/>
    </row>
    <row r="337" spans="2:17"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4"/>
    </row>
    <row r="338" spans="2:17"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4"/>
    </row>
    <row r="339" spans="2:17"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4"/>
    </row>
    <row r="340" spans="2:17"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4"/>
    </row>
    <row r="341" spans="2:17"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4"/>
    </row>
    <row r="342" spans="2:17"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4"/>
    </row>
    <row r="343" spans="2:17"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4"/>
    </row>
    <row r="344" spans="2:17"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4"/>
    </row>
    <row r="345" spans="2:17"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4"/>
    </row>
    <row r="346" spans="2:17"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4"/>
    </row>
    <row r="347" spans="2:17"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4"/>
    </row>
    <row r="348" spans="2:17"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4"/>
    </row>
    <row r="349" spans="2:17"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4"/>
    </row>
    <row r="350" spans="2:17"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4"/>
    </row>
    <row r="351" spans="2:17"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4"/>
    </row>
    <row r="352" spans="2:17"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4"/>
    </row>
    <row r="353" spans="2:17"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4"/>
    </row>
    <row r="354" spans="2:17"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4"/>
    </row>
    <row r="355" spans="2:17"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4"/>
    </row>
    <row r="356" spans="2:17"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4"/>
    </row>
    <row r="357" spans="2:17"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4"/>
    </row>
    <row r="358" spans="2:17"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4"/>
    </row>
    <row r="359" spans="2:17"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4"/>
    </row>
    <row r="360" spans="2:17"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4"/>
    </row>
    <row r="361" spans="2:17"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4"/>
    </row>
    <row r="362" spans="2:17"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4"/>
    </row>
    <row r="363" spans="2:17"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4"/>
    </row>
    <row r="364" spans="2:17"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4"/>
    </row>
    <row r="365" spans="2:17"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4"/>
    </row>
    <row r="366" spans="2:17"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4"/>
    </row>
    <row r="367" spans="2:17"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4"/>
    </row>
    <row r="368" spans="2:17"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4"/>
    </row>
    <row r="369" spans="2:17"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4"/>
    </row>
    <row r="370" spans="2:17"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4"/>
    </row>
    <row r="371" spans="2:17"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4"/>
    </row>
    <row r="372" spans="2:17"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4"/>
    </row>
    <row r="373" spans="2:17"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4"/>
    </row>
    <row r="374" spans="2:17"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4"/>
    </row>
    <row r="375" spans="2:17"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4"/>
    </row>
    <row r="376" spans="2:17"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4"/>
    </row>
    <row r="377" spans="2:17"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4"/>
    </row>
    <row r="378" spans="2:17"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4"/>
    </row>
    <row r="379" spans="2:17"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4"/>
    </row>
    <row r="380" spans="2:17"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4"/>
    </row>
    <row r="381" spans="2:17"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4"/>
    </row>
    <row r="382" spans="2:17"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4"/>
    </row>
    <row r="383" spans="2:17"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4"/>
    </row>
    <row r="384" spans="2:17"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4"/>
    </row>
    <row r="385" spans="2:17"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4"/>
    </row>
    <row r="386" spans="2:17"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4"/>
    </row>
    <row r="387" spans="2:17"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4"/>
    </row>
    <row r="388" spans="2:17"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4"/>
    </row>
    <row r="389" spans="2:17"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4"/>
    </row>
    <row r="390" spans="2:17"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4"/>
    </row>
    <row r="391" spans="2:17"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4"/>
    </row>
    <row r="392" spans="2:17"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4"/>
    </row>
    <row r="393" spans="2:17"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4"/>
    </row>
    <row r="394" spans="2:17"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4"/>
    </row>
    <row r="395" spans="2:17"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4"/>
    </row>
    <row r="396" spans="2:17"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4"/>
    </row>
    <row r="397" spans="2:17"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4"/>
    </row>
    <row r="398" spans="2:17"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4"/>
    </row>
    <row r="399" spans="2:17"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4"/>
    </row>
    <row r="400" spans="2:17"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4"/>
    </row>
    <row r="401" spans="2:17"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4"/>
    </row>
    <row r="402" spans="2:17"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4"/>
    </row>
    <row r="403" spans="2:17"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4"/>
    </row>
    <row r="404" spans="2:17"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4"/>
    </row>
    <row r="405" spans="2:17"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4"/>
    </row>
    <row r="406" spans="2:17"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4"/>
    </row>
    <row r="407" spans="2:17"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4"/>
    </row>
    <row r="408" spans="2:17"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4"/>
    </row>
    <row r="409" spans="2:17"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4"/>
    </row>
    <row r="410" spans="2:17"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4"/>
    </row>
    <row r="411" spans="2:17"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4"/>
    </row>
    <row r="412" spans="2:17"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4"/>
    </row>
    <row r="413" spans="2:17"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4"/>
    </row>
    <row r="414" spans="2:17"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4"/>
    </row>
    <row r="415" spans="2:17"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4"/>
    </row>
    <row r="416" spans="2:17"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4"/>
    </row>
    <row r="417" spans="2:17"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4"/>
    </row>
    <row r="418" spans="2:17"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4"/>
    </row>
    <row r="419" spans="2:17"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4"/>
    </row>
    <row r="420" spans="2:17"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4"/>
    </row>
    <row r="421" spans="2:17"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4"/>
    </row>
    <row r="422" spans="2:17"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4"/>
    </row>
    <row r="423" spans="2:17"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4"/>
    </row>
    <row r="424" spans="2:17"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4"/>
    </row>
    <row r="425" spans="2:17"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4"/>
    </row>
    <row r="426" spans="2:17"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4"/>
    </row>
    <row r="427" spans="2:17"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4"/>
    </row>
    <row r="428" spans="2:17"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4"/>
    </row>
    <row r="429" spans="2:17"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4"/>
    </row>
    <row r="430" spans="2:17"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4"/>
    </row>
    <row r="431" spans="2:17"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4"/>
    </row>
    <row r="432" spans="2:17"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4"/>
    </row>
    <row r="433" spans="2:17"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4"/>
    </row>
    <row r="434" spans="2:17"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4"/>
    </row>
    <row r="435" spans="2:17"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4"/>
    </row>
    <row r="436" spans="2:17"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4"/>
    </row>
    <row r="437" spans="2:17"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4"/>
    </row>
    <row r="438" spans="2:17"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4"/>
    </row>
    <row r="439" spans="2:17"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4"/>
    </row>
    <row r="440" spans="2:17"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4"/>
    </row>
    <row r="441" spans="2:17"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4"/>
    </row>
    <row r="442" spans="2:17"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4"/>
    </row>
    <row r="443" spans="2:17"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4"/>
    </row>
    <row r="444" spans="2:17"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4"/>
    </row>
    <row r="445" spans="2:17"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4"/>
    </row>
    <row r="446" spans="2:17"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4"/>
    </row>
    <row r="447" spans="2:17"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4"/>
    </row>
    <row r="448" spans="2:17"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4"/>
    </row>
    <row r="449" spans="2:17"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4"/>
    </row>
    <row r="450" spans="2:17"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4"/>
    </row>
    <row r="451" spans="2:17"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4"/>
    </row>
    <row r="452" spans="2:17"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4"/>
    </row>
    <row r="453" spans="2:17"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4"/>
    </row>
    <row r="454" spans="2:17"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4"/>
    </row>
    <row r="455" spans="2:17"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4"/>
    </row>
    <row r="456" spans="2:17"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4"/>
    </row>
    <row r="457" spans="2:17"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4"/>
    </row>
    <row r="458" spans="2:17"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4"/>
    </row>
    <row r="459" spans="2:17"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4"/>
    </row>
    <row r="460" spans="2:17"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4"/>
    </row>
    <row r="461" spans="2:17"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4"/>
    </row>
    <row r="462" spans="2:17"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4"/>
    </row>
    <row r="463" spans="2:17"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4"/>
    </row>
    <row r="464" spans="2:17"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4"/>
    </row>
    <row r="465" spans="2:17"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4"/>
    </row>
    <row r="466" spans="2:17"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4"/>
    </row>
    <row r="467" spans="2:17"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4"/>
    </row>
    <row r="468" spans="2:17"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4"/>
    </row>
    <row r="469" spans="2:17"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4"/>
    </row>
    <row r="470" spans="2:17"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4"/>
    </row>
    <row r="471" spans="2:17"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4"/>
    </row>
    <row r="472" spans="2:17"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4"/>
    </row>
    <row r="473" spans="2:17"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4"/>
    </row>
    <row r="474" spans="2:17"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4"/>
    </row>
    <row r="475" spans="2:17"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4"/>
    </row>
    <row r="476" spans="2:17"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4"/>
    </row>
    <row r="477" spans="2:17"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4"/>
    </row>
    <row r="478" spans="2:17"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4"/>
    </row>
    <row r="479" spans="2:17"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4"/>
    </row>
    <row r="480" spans="2:17"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4"/>
    </row>
    <row r="481" spans="2:17"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4"/>
    </row>
    <row r="482" spans="2:17"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4"/>
    </row>
    <row r="483" spans="2:17"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4"/>
    </row>
    <row r="484" spans="2:17"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4"/>
    </row>
    <row r="485" spans="2:17"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4"/>
    </row>
    <row r="486" spans="2:17"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4"/>
    </row>
    <row r="487" spans="2:17"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4"/>
    </row>
    <row r="488" spans="2:17"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4"/>
    </row>
    <row r="489" spans="2:17"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4"/>
    </row>
    <row r="490" spans="2:17"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4"/>
    </row>
    <row r="491" spans="2:17"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4"/>
    </row>
    <row r="492" spans="2:17"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4"/>
    </row>
    <row r="493" spans="2:17"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4"/>
    </row>
    <row r="494" spans="2:17"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4"/>
    </row>
    <row r="495" spans="2:17"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4"/>
    </row>
    <row r="496" spans="2:17"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4"/>
    </row>
    <row r="497" spans="2:17"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4"/>
    </row>
    <row r="498" spans="2:17"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4"/>
    </row>
    <row r="499" spans="2:17"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4"/>
    </row>
    <row r="500" spans="2:17"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4"/>
    </row>
    <row r="501" spans="2:17"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4"/>
    </row>
    <row r="502" spans="2:17"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4"/>
    </row>
    <row r="503" spans="2:17"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4"/>
    </row>
    <row r="504" spans="2:17"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4"/>
    </row>
    <row r="505" spans="2:17"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4"/>
    </row>
    <row r="506" spans="2:17"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4"/>
    </row>
    <row r="507" spans="2:17"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4"/>
    </row>
    <row r="508" spans="2:17"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4"/>
    </row>
    <row r="509" spans="2:17"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4"/>
    </row>
    <row r="510" spans="2:17"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4"/>
    </row>
    <row r="511" spans="2:17"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4"/>
    </row>
    <row r="512" spans="2:17"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4"/>
    </row>
    <row r="513" spans="2:17"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4"/>
    </row>
    <row r="514" spans="2:17"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4"/>
    </row>
    <row r="515" spans="2:17"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4"/>
    </row>
    <row r="516" spans="2:17"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4"/>
    </row>
    <row r="517" spans="2:17"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4"/>
    </row>
    <row r="518" spans="2:17"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4"/>
    </row>
    <row r="519" spans="2:17"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4"/>
    </row>
    <row r="520" spans="2:17"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4"/>
    </row>
    <row r="521" spans="2:17"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4"/>
    </row>
    <row r="522" spans="2:17"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4"/>
    </row>
    <row r="523" spans="2:17"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4"/>
    </row>
    <row r="524" spans="2:17"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4"/>
    </row>
    <row r="525" spans="2:17"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4"/>
    </row>
    <row r="526" spans="2:17"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4"/>
    </row>
    <row r="527" spans="2:17"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4"/>
    </row>
    <row r="528" spans="2:17"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4"/>
    </row>
    <row r="529" spans="2:17"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4"/>
    </row>
    <row r="530" spans="2:17"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4"/>
    </row>
    <row r="531" spans="2:17"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4"/>
    </row>
    <row r="532" spans="2:17"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4"/>
    </row>
    <row r="533" spans="2:17"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4"/>
    </row>
    <row r="534" spans="2:17"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4"/>
    </row>
    <row r="535" spans="2:17"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4"/>
    </row>
    <row r="536" spans="2:17"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4"/>
    </row>
    <row r="537" spans="2:17"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4"/>
    </row>
    <row r="538" spans="2:17"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4"/>
    </row>
    <row r="539" spans="2:17"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4"/>
    </row>
    <row r="540" spans="2:17"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4"/>
    </row>
    <row r="541" spans="2:17"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4"/>
    </row>
    <row r="542" spans="2:17"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4"/>
    </row>
    <row r="543" spans="2:17"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4"/>
    </row>
    <row r="544" spans="2:17"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4"/>
    </row>
    <row r="545" spans="2:17"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4"/>
    </row>
    <row r="546" spans="2:17"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4"/>
    </row>
    <row r="547" spans="2:17"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4"/>
    </row>
    <row r="548" spans="2:17"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4"/>
    </row>
    <row r="549" spans="2:17"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4"/>
    </row>
    <row r="550" spans="2:17"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4"/>
    </row>
    <row r="551" spans="2:17"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4"/>
    </row>
    <row r="552" spans="2:17"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4"/>
    </row>
    <row r="553" spans="2:17"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4"/>
    </row>
    <row r="554" spans="2:17"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4"/>
    </row>
    <row r="555" spans="2:17"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4"/>
    </row>
    <row r="556" spans="2:17"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4"/>
    </row>
    <row r="557" spans="2:17"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4"/>
    </row>
    <row r="558" spans="2:17"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4"/>
    </row>
    <row r="559" spans="2:17"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4"/>
    </row>
    <row r="560" spans="2:17"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4"/>
    </row>
    <row r="561" spans="2:17"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4"/>
    </row>
    <row r="562" spans="2:17"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4"/>
    </row>
    <row r="563" spans="2:17"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4"/>
    </row>
    <row r="564" spans="2:17"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4"/>
    </row>
    <row r="565" spans="2:17"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4"/>
    </row>
    <row r="566" spans="2:17"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4"/>
    </row>
    <row r="567" spans="2:17"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4"/>
    </row>
    <row r="568" spans="2:17"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4"/>
    </row>
    <row r="569" spans="2:17"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4"/>
    </row>
    <row r="570" spans="2:17"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4"/>
    </row>
    <row r="571" spans="2:17"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4"/>
    </row>
    <row r="572" spans="2:17"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4"/>
    </row>
    <row r="573" spans="2:17"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4"/>
    </row>
    <row r="574" spans="2:17"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4"/>
    </row>
    <row r="575" spans="2:17"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4"/>
    </row>
    <row r="576" spans="2:17"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4"/>
    </row>
    <row r="577" spans="2:17"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4"/>
    </row>
    <row r="578" spans="2:17"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4"/>
    </row>
    <row r="579" spans="2:17"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4"/>
    </row>
    <row r="580" spans="2:17"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4"/>
    </row>
    <row r="581" spans="2:17"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4"/>
    </row>
    <row r="582" spans="2:17"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4"/>
    </row>
    <row r="583" spans="2:17"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4"/>
    </row>
    <row r="584" spans="2:17"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4"/>
    </row>
    <row r="585" spans="2:17"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4"/>
    </row>
    <row r="586" spans="2:17"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4"/>
    </row>
    <row r="587" spans="2:17"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4"/>
    </row>
    <row r="588" spans="2:17"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4"/>
    </row>
    <row r="589" spans="2:17"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4"/>
    </row>
    <row r="590" spans="2:17"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4"/>
    </row>
    <row r="591" spans="2:17"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4"/>
    </row>
    <row r="592" spans="2:17"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4"/>
    </row>
    <row r="593" spans="2:17"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4"/>
    </row>
    <row r="594" spans="2:17"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4"/>
    </row>
    <row r="595" spans="2:17"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4"/>
    </row>
    <row r="596" spans="2:17"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4"/>
    </row>
    <row r="597" spans="2:17"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4"/>
    </row>
    <row r="598" spans="2:17"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4"/>
    </row>
    <row r="599" spans="2:17"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4"/>
    </row>
    <row r="600" spans="2:17"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4"/>
    </row>
    <row r="601" spans="2:17"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4"/>
    </row>
    <row r="602" spans="2:17"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4"/>
    </row>
    <row r="603" spans="2:17"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4"/>
    </row>
    <row r="604" spans="2:17"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4"/>
    </row>
    <row r="605" spans="2:17"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4"/>
    </row>
    <row r="606" spans="2:17"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4"/>
    </row>
    <row r="607" spans="2:17"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4"/>
    </row>
    <row r="608" spans="2:17"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4"/>
    </row>
    <row r="609" spans="2:17"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4"/>
    </row>
    <row r="610" spans="2:17"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4"/>
    </row>
    <row r="611" spans="2:17"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4"/>
    </row>
    <row r="612" spans="2:17"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4"/>
    </row>
    <row r="613" spans="2:17"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4"/>
    </row>
    <row r="614" spans="2:17"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4"/>
    </row>
    <row r="615" spans="2:17"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4"/>
    </row>
    <row r="616" spans="2:17"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4"/>
    </row>
    <row r="617" spans="2:17"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4"/>
    </row>
    <row r="618" spans="2:17"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4"/>
    </row>
    <row r="619" spans="2:17"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4"/>
    </row>
    <row r="620" spans="2:17"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4"/>
    </row>
    <row r="621" spans="2:17"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4"/>
    </row>
    <row r="622" spans="2:17"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4"/>
    </row>
    <row r="623" spans="2:17"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4"/>
    </row>
    <row r="624" spans="2:17"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4"/>
    </row>
    <row r="625" spans="2:17"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4"/>
    </row>
    <row r="626" spans="2:17"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4"/>
    </row>
    <row r="627" spans="2:17"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4"/>
    </row>
    <row r="628" spans="2:17"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4"/>
    </row>
    <row r="629" spans="2:17"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4"/>
    </row>
    <row r="630" spans="2:17"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4"/>
    </row>
    <row r="631" spans="2:17"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4"/>
    </row>
    <row r="632" spans="2:17"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4"/>
    </row>
    <row r="633" spans="2:17"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4"/>
    </row>
    <row r="634" spans="2:17"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4"/>
    </row>
    <row r="635" spans="2:17"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4"/>
    </row>
    <row r="636" spans="2:17"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4"/>
    </row>
    <row r="637" spans="2:17"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4"/>
    </row>
    <row r="638" spans="2:17"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4"/>
    </row>
    <row r="639" spans="2:17"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4"/>
    </row>
    <row r="640" spans="2:17"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4"/>
    </row>
    <row r="641" spans="2:17"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4"/>
    </row>
    <row r="642" spans="2:17"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4"/>
    </row>
    <row r="643" spans="2:17"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4"/>
    </row>
    <row r="644" spans="2:17"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4"/>
    </row>
    <row r="645" spans="2:17"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4"/>
    </row>
    <row r="646" spans="2:17"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4"/>
    </row>
    <row r="647" spans="2:17"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4"/>
    </row>
    <row r="648" spans="2:17"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4"/>
    </row>
    <row r="649" spans="2:17"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4"/>
    </row>
    <row r="650" spans="2:17"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4"/>
    </row>
    <row r="651" spans="2:17"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4"/>
    </row>
    <row r="652" spans="2:17"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4"/>
    </row>
    <row r="653" spans="2:17"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4"/>
    </row>
    <row r="654" spans="2:17"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4"/>
    </row>
    <row r="655" spans="2:17"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4"/>
    </row>
    <row r="656" spans="2:17"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4"/>
    </row>
    <row r="657" spans="2:17"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4"/>
    </row>
    <row r="658" spans="2:17"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4"/>
    </row>
    <row r="659" spans="2:17"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4"/>
    </row>
    <row r="660" spans="2:17"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4"/>
    </row>
    <row r="661" spans="2:17"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4"/>
    </row>
    <row r="662" spans="2:17"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4"/>
    </row>
    <row r="663" spans="2:17"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4"/>
    </row>
    <row r="664" spans="2:17"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4"/>
    </row>
    <row r="665" spans="2:17"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4"/>
    </row>
    <row r="666" spans="2:17"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4"/>
    </row>
    <row r="667" spans="2:17"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4"/>
    </row>
    <row r="668" spans="2:17"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4"/>
    </row>
    <row r="669" spans="2:17"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4"/>
    </row>
    <row r="670" spans="2:17"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4"/>
    </row>
    <row r="671" spans="2:17"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4"/>
    </row>
    <row r="672" spans="2:17"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4"/>
    </row>
    <row r="673" spans="2:17"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4"/>
    </row>
    <row r="674" spans="2:17"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4"/>
    </row>
    <row r="675" spans="2:17"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4"/>
    </row>
    <row r="676" spans="2:17"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4"/>
    </row>
    <row r="677" spans="2:17"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4"/>
    </row>
    <row r="678" spans="2:17"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4"/>
    </row>
    <row r="679" spans="2:17"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4"/>
    </row>
    <row r="680" spans="2:17"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4"/>
    </row>
    <row r="681" spans="2:17"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4"/>
    </row>
    <row r="682" spans="2:17"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4"/>
    </row>
    <row r="683" spans="2:17"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4"/>
    </row>
    <row r="684" spans="2:17"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4"/>
    </row>
    <row r="685" spans="2:17"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4"/>
    </row>
    <row r="686" spans="2:17"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4"/>
    </row>
    <row r="687" spans="2:17"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4"/>
    </row>
    <row r="688" spans="2:17"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4"/>
    </row>
    <row r="689" spans="2:17"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4"/>
    </row>
    <row r="690" spans="2:17"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4"/>
    </row>
    <row r="691" spans="2:17"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4"/>
    </row>
    <row r="692" spans="2:17"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4"/>
    </row>
    <row r="693" spans="2:17"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4"/>
    </row>
    <row r="694" spans="2:17"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4"/>
    </row>
    <row r="695" spans="2:17"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4"/>
    </row>
    <row r="696" spans="2:17"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4"/>
    </row>
    <row r="697" spans="2:17"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4"/>
    </row>
    <row r="698" spans="2:17"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4"/>
    </row>
    <row r="699" spans="2:17"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4"/>
    </row>
    <row r="700" spans="2:17"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4"/>
    </row>
    <row r="701" spans="2:17"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4"/>
    </row>
    <row r="702" spans="2:17"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4"/>
    </row>
    <row r="703" spans="2:17"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4"/>
    </row>
    <row r="704" spans="2:17"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4"/>
    </row>
    <row r="705" spans="2:17"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4"/>
    </row>
    <row r="706" spans="2:17"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4"/>
    </row>
    <row r="707" spans="2:17"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4"/>
    </row>
    <row r="708" spans="2:17"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4"/>
    </row>
    <row r="709" spans="2:17"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4"/>
    </row>
    <row r="710" spans="2:17"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4"/>
    </row>
    <row r="711" spans="2:17"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4"/>
    </row>
    <row r="712" spans="2:17"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4"/>
    </row>
    <row r="713" spans="2:17"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4"/>
    </row>
    <row r="714" spans="2:17"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4"/>
    </row>
    <row r="715" spans="2:17"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4"/>
    </row>
    <row r="716" spans="2:17"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4"/>
    </row>
    <row r="717" spans="2:17"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4"/>
    </row>
    <row r="718" spans="2:17"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4"/>
    </row>
    <row r="719" spans="2:17"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4"/>
    </row>
    <row r="720" spans="2:17"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4"/>
    </row>
    <row r="721" spans="2:17"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4"/>
    </row>
    <row r="722" spans="2:17"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4"/>
    </row>
    <row r="723" spans="2:17"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4"/>
    </row>
    <row r="724" spans="2:17"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4"/>
    </row>
    <row r="725" spans="2:17"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4"/>
    </row>
    <row r="726" spans="2:17"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4"/>
    </row>
    <row r="727" spans="2:17"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4"/>
    </row>
    <row r="728" spans="2:17"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4"/>
    </row>
    <row r="729" spans="2:17"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4"/>
    </row>
    <row r="730" spans="2:17"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4"/>
    </row>
    <row r="731" spans="2:17"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4"/>
    </row>
    <row r="732" spans="2:17"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4"/>
    </row>
    <row r="733" spans="2:17"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4"/>
    </row>
    <row r="734" spans="2:17"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4"/>
    </row>
    <row r="735" spans="2:17"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4"/>
    </row>
    <row r="736" spans="2:17"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4"/>
    </row>
    <row r="737" spans="2:17"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4"/>
    </row>
    <row r="738" spans="2:17"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4"/>
    </row>
    <row r="739" spans="2:17"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4"/>
    </row>
    <row r="740" spans="2:17"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4"/>
    </row>
    <row r="741" spans="2:17"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4"/>
    </row>
    <row r="742" spans="2:17"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4"/>
    </row>
    <row r="743" spans="2:17"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4"/>
    </row>
    <row r="744" spans="2:17"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4"/>
    </row>
    <row r="745" spans="2:17"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4"/>
    </row>
    <row r="746" spans="2:17"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4"/>
    </row>
    <row r="747" spans="2:17"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4"/>
    </row>
    <row r="748" spans="2:17"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4"/>
    </row>
    <row r="749" spans="2:17"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4"/>
    </row>
    <row r="750" spans="2:17"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4"/>
    </row>
    <row r="751" spans="2:17"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4"/>
    </row>
    <row r="752" spans="2:17"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4"/>
    </row>
    <row r="753" spans="2:17"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4"/>
    </row>
    <row r="754" spans="2:17"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4"/>
    </row>
    <row r="755" spans="2:17"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4"/>
    </row>
    <row r="756" spans="2:17"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4"/>
    </row>
    <row r="757" spans="2:17"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4"/>
    </row>
    <row r="758" spans="2:17"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4"/>
    </row>
    <row r="759" spans="2:17"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4"/>
    </row>
    <row r="760" spans="2:17"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4"/>
    </row>
    <row r="761" spans="2:17"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4"/>
    </row>
    <row r="762" spans="2:17"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4"/>
    </row>
    <row r="763" spans="2:17"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4"/>
    </row>
    <row r="764" spans="2:17"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4"/>
    </row>
    <row r="765" spans="2:17"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4"/>
    </row>
    <row r="766" spans="2:17"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4"/>
    </row>
    <row r="767" spans="2:17"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4"/>
    </row>
    <row r="768" spans="2:17"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4"/>
    </row>
    <row r="769" spans="2:17"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4"/>
    </row>
    <row r="770" spans="2:17"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4"/>
    </row>
    <row r="771" spans="2:17"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4"/>
    </row>
    <row r="772" spans="2:17"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4"/>
    </row>
    <row r="773" spans="2:17"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4"/>
    </row>
    <row r="774" spans="2:17"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4"/>
    </row>
    <row r="775" spans="2:17"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4"/>
    </row>
    <row r="776" spans="2:17"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4"/>
    </row>
    <row r="777" spans="2:17"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4"/>
    </row>
    <row r="778" spans="2:17"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4"/>
    </row>
    <row r="779" spans="2:17"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4"/>
    </row>
    <row r="780" spans="2:17"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4"/>
    </row>
    <row r="781" spans="2:17"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4"/>
    </row>
    <row r="782" spans="2:17"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4"/>
    </row>
    <row r="783" spans="2:17"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4"/>
    </row>
    <row r="784" spans="2:17"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4"/>
    </row>
    <row r="785" spans="2:17"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4"/>
    </row>
    <row r="786" spans="2:17"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4"/>
    </row>
    <row r="787" spans="2:17"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4"/>
    </row>
    <row r="788" spans="2:17"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4"/>
    </row>
    <row r="789" spans="2:17"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4"/>
    </row>
    <row r="790" spans="2:17"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4"/>
    </row>
    <row r="791" spans="2:17"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4"/>
    </row>
    <row r="792" spans="2:17"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4"/>
    </row>
    <row r="793" spans="2:17"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4"/>
    </row>
    <row r="794" spans="2:17"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4"/>
    </row>
    <row r="795" spans="2:17"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4"/>
    </row>
    <row r="796" spans="2:17"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4"/>
    </row>
    <row r="797" spans="2:17"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4"/>
    </row>
    <row r="798" spans="2:17"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4"/>
    </row>
    <row r="799" spans="2:17"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4"/>
    </row>
    <row r="800" spans="2:17"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4"/>
    </row>
    <row r="801" spans="2:17"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4"/>
    </row>
    <row r="802" spans="2:17"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4"/>
    </row>
    <row r="803" spans="2:17"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4"/>
    </row>
    <row r="804" spans="2:17"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4"/>
    </row>
    <row r="805" spans="2:17"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4"/>
    </row>
    <row r="806" spans="2:17"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4"/>
    </row>
    <row r="807" spans="2:17"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4"/>
    </row>
    <row r="808" spans="2:17"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4"/>
    </row>
    <row r="809" spans="2:17"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4"/>
    </row>
    <row r="810" spans="2:17"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4"/>
    </row>
    <row r="811" spans="2:17"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4"/>
    </row>
    <row r="812" spans="2:17"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4"/>
    </row>
    <row r="813" spans="2:17"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4"/>
    </row>
    <row r="814" spans="2:17"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4"/>
    </row>
    <row r="815" spans="2:17"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4"/>
    </row>
    <row r="816" spans="2:17"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4"/>
    </row>
    <row r="817" spans="2:17"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4"/>
    </row>
    <row r="818" spans="2:17"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4"/>
    </row>
    <row r="819" spans="2:17"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4"/>
    </row>
    <row r="820" spans="2:17"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4"/>
    </row>
    <row r="821" spans="2:17"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4"/>
    </row>
    <row r="822" spans="2:17"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4"/>
    </row>
    <row r="823" spans="2:17"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4"/>
    </row>
    <row r="824" spans="2:17"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4"/>
    </row>
    <row r="825" spans="2:17"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4"/>
    </row>
    <row r="826" spans="2:17"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4"/>
    </row>
    <row r="827" spans="2:17"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4"/>
    </row>
    <row r="828" spans="2:17"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4"/>
    </row>
    <row r="829" spans="2:17"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4"/>
    </row>
    <row r="830" spans="2:17"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4"/>
    </row>
    <row r="831" spans="2:17"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4"/>
    </row>
    <row r="832" spans="2:17"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4"/>
    </row>
    <row r="833" spans="2:17"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4"/>
    </row>
    <row r="834" spans="2:17"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4"/>
    </row>
    <row r="835" spans="2:17"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4"/>
    </row>
    <row r="836" spans="2:17"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4"/>
    </row>
    <row r="837" spans="2:17"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4"/>
    </row>
    <row r="838" spans="2:17"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4"/>
    </row>
    <row r="839" spans="2:17"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4"/>
    </row>
    <row r="840" spans="2:17"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4"/>
    </row>
    <row r="841" spans="2:17"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4"/>
    </row>
    <row r="842" spans="2:17"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4"/>
    </row>
    <row r="843" spans="2:17"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4"/>
    </row>
    <row r="844" spans="2:17"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4"/>
    </row>
    <row r="845" spans="2:17"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4"/>
    </row>
    <row r="846" spans="2:17"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4"/>
    </row>
    <row r="847" spans="2:17"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4"/>
    </row>
    <row r="848" spans="2:17"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4"/>
    </row>
    <row r="849" spans="2:17"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4"/>
    </row>
    <row r="850" spans="2:17"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4"/>
    </row>
    <row r="851" spans="2:17"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4"/>
    </row>
    <row r="852" spans="2:17"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4"/>
    </row>
    <row r="853" spans="2:17"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4"/>
    </row>
    <row r="854" spans="2:17"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4"/>
    </row>
    <row r="855" spans="2:17"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4"/>
    </row>
    <row r="856" spans="2:17"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4"/>
    </row>
    <row r="857" spans="2:17"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4"/>
    </row>
    <row r="858" spans="2:17"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4"/>
    </row>
    <row r="859" spans="2:17"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4"/>
    </row>
    <row r="860" spans="2:17"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4"/>
    </row>
    <row r="861" spans="2:17"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4"/>
    </row>
    <row r="862" spans="2:17"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4"/>
    </row>
    <row r="863" spans="2:17"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4"/>
    </row>
    <row r="864" spans="2:17"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4"/>
    </row>
    <row r="865" spans="2:17"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4"/>
    </row>
    <row r="866" spans="2:17"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4"/>
    </row>
    <row r="867" spans="2:17"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4"/>
    </row>
    <row r="868" spans="2:17"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4"/>
    </row>
    <row r="869" spans="2:17"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4"/>
    </row>
    <row r="870" spans="2:17"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4"/>
    </row>
    <row r="871" spans="2:17"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4"/>
    </row>
    <row r="872" spans="2:17"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4"/>
    </row>
    <row r="873" spans="2:17"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4"/>
    </row>
    <row r="874" spans="2:17"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4"/>
    </row>
    <row r="875" spans="2:17"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4"/>
    </row>
    <row r="876" spans="2:17"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4"/>
    </row>
    <row r="877" spans="2:17"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4"/>
    </row>
    <row r="878" spans="2:17"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4"/>
    </row>
    <row r="879" spans="2:17"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4"/>
    </row>
    <row r="880" spans="2:17"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4"/>
    </row>
    <row r="881" spans="2:17"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4"/>
    </row>
    <row r="882" spans="2:17"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4"/>
    </row>
    <row r="883" spans="2:17"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4"/>
    </row>
    <row r="884" spans="2:17"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4"/>
    </row>
    <row r="885" spans="2:17"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4"/>
    </row>
    <row r="886" spans="2:17"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4"/>
    </row>
    <row r="887" spans="2:17"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4"/>
    </row>
    <row r="888" spans="2:17"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4"/>
    </row>
    <row r="889" spans="2:17"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4"/>
    </row>
    <row r="890" spans="2:17"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4"/>
    </row>
    <row r="891" spans="2:17"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4"/>
    </row>
    <row r="892" spans="2:17"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4"/>
    </row>
    <row r="893" spans="2:17"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4"/>
    </row>
    <row r="894" spans="2:17"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4"/>
    </row>
    <row r="895" spans="2:17"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4"/>
    </row>
    <row r="896" spans="2:17"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4"/>
    </row>
    <row r="897" spans="2:17"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4"/>
    </row>
    <row r="898" spans="2:17"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4"/>
    </row>
    <row r="899" spans="2:17"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4"/>
    </row>
    <row r="900" spans="2:17"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4"/>
    </row>
    <row r="901" spans="2:17"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4"/>
    </row>
    <row r="902" spans="2:17"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4"/>
    </row>
    <row r="903" spans="2:17"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4"/>
    </row>
    <row r="904" spans="2:17"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4"/>
    </row>
    <row r="905" spans="2:17"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4"/>
    </row>
    <row r="906" spans="2:17"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4"/>
    </row>
    <row r="907" spans="2:17"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4"/>
    </row>
    <row r="908" spans="2:17"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4"/>
    </row>
    <row r="909" spans="2:17"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4"/>
    </row>
    <row r="910" spans="2:17"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4"/>
    </row>
    <row r="911" spans="2:17"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4"/>
    </row>
    <row r="912" spans="2:17"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4"/>
    </row>
    <row r="913" spans="2:17"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4"/>
    </row>
    <row r="914" spans="2:17"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4"/>
    </row>
    <row r="915" spans="2:17"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4"/>
    </row>
    <row r="916" spans="2:17"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4"/>
    </row>
    <row r="917" spans="2:17"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4"/>
    </row>
    <row r="918" spans="2:17"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4"/>
    </row>
    <row r="919" spans="2:17"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4"/>
    </row>
    <row r="920" spans="2:17"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4"/>
    </row>
    <row r="921" spans="2:17"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4"/>
    </row>
    <row r="922" spans="2:17"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4"/>
    </row>
    <row r="923" spans="2:17"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4"/>
    </row>
    <row r="924" spans="2:17"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4"/>
    </row>
    <row r="925" spans="2:17"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4"/>
    </row>
    <row r="926" spans="2:17"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4"/>
    </row>
    <row r="927" spans="2:17"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4"/>
    </row>
    <row r="928" spans="2:17"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4"/>
    </row>
    <row r="929" spans="2:17"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4"/>
    </row>
    <row r="930" spans="2:17"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4"/>
    </row>
    <row r="931" spans="2:17"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4"/>
    </row>
    <row r="932" spans="2:17"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4"/>
    </row>
    <row r="933" spans="2:17"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4"/>
    </row>
    <row r="934" spans="2:17"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4"/>
    </row>
    <row r="935" spans="2:17"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4"/>
    </row>
    <row r="936" spans="2:17"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4"/>
    </row>
    <row r="937" spans="2:17"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4"/>
    </row>
    <row r="938" spans="2:17"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4"/>
    </row>
    <row r="939" spans="2:17"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4"/>
    </row>
    <row r="940" spans="2:17"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4"/>
    </row>
    <row r="941" spans="2:17"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4"/>
    </row>
    <row r="942" spans="2:17"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4"/>
    </row>
    <row r="943" spans="2:17"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4"/>
    </row>
    <row r="944" spans="2:17"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4"/>
    </row>
    <row r="945" spans="2:17"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4"/>
    </row>
    <row r="946" spans="2:17"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4"/>
    </row>
    <row r="947" spans="2:17"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4"/>
    </row>
    <row r="948" spans="2:17"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4"/>
    </row>
    <row r="949" spans="2:17"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4"/>
    </row>
    <row r="950" spans="2:17"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4"/>
    </row>
    <row r="951" spans="2:17"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4"/>
    </row>
    <row r="952" spans="2:17"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4"/>
    </row>
    <row r="953" spans="2:17"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4"/>
    </row>
    <row r="954" spans="2:17"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4"/>
    </row>
    <row r="955" spans="2:17"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4"/>
    </row>
    <row r="956" spans="2:17"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4"/>
    </row>
    <row r="957" spans="2:17"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4"/>
    </row>
    <row r="958" spans="2:17"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4"/>
    </row>
    <row r="959" spans="2:17"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4"/>
    </row>
    <row r="960" spans="2:17"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4"/>
    </row>
    <row r="961" spans="2:17"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4"/>
    </row>
    <row r="962" spans="2:17"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4"/>
    </row>
    <row r="963" spans="2:17"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4"/>
    </row>
    <row r="964" spans="2:17"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4"/>
    </row>
    <row r="965" spans="2:17"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4"/>
    </row>
    <row r="966" spans="2:17"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4"/>
    </row>
    <row r="967" spans="2:17"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4"/>
    </row>
    <row r="968" spans="2:17"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4"/>
    </row>
    <row r="969" spans="2:17"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4"/>
    </row>
    <row r="970" spans="2:17"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4"/>
    </row>
    <row r="971" spans="2:17"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4"/>
    </row>
    <row r="972" spans="2:17"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4"/>
    </row>
    <row r="973" spans="2:17"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4"/>
    </row>
    <row r="974" spans="2:17"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4"/>
    </row>
    <row r="975" spans="2:17"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4"/>
    </row>
    <row r="976" spans="2:17"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4"/>
    </row>
    <row r="977" spans="2:17"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4"/>
    </row>
    <row r="978" spans="2:17"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4"/>
    </row>
    <row r="979" spans="2:17"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4"/>
    </row>
    <row r="980" spans="2:17"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4"/>
    </row>
    <row r="981" spans="2:17"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4"/>
    </row>
    <row r="982" spans="2:17"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4"/>
    </row>
    <row r="983" spans="2:17"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4"/>
    </row>
    <row r="984" spans="2:17"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4"/>
    </row>
    <row r="985" spans="2:17"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4"/>
    </row>
    <row r="986" spans="2:17"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4"/>
    </row>
    <row r="987" spans="2:17"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4"/>
    </row>
    <row r="988" spans="2:17"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4"/>
    </row>
    <row r="989" spans="2:17"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4"/>
    </row>
    <row r="990" spans="2:17"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4"/>
    </row>
    <row r="991" spans="2:17"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4"/>
    </row>
    <row r="992" spans="2:17"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4"/>
    </row>
    <row r="993" spans="2:17"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4"/>
    </row>
    <row r="994" spans="2:17"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4"/>
    </row>
    <row r="995" spans="2:17"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4"/>
    </row>
    <row r="996" spans="2:17"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4"/>
    </row>
    <row r="997" spans="2:17"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4"/>
    </row>
    <row r="998" spans="2:17"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4"/>
    </row>
    <row r="999" spans="2:17"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4"/>
    </row>
    <row r="1000" spans="2:17"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4"/>
    </row>
    <row r="1001" spans="2:17"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4"/>
    </row>
    <row r="1002" spans="2:17"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4"/>
    </row>
    <row r="1003" spans="2:17"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4"/>
    </row>
    <row r="1004" spans="2:17"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4"/>
    </row>
    <row r="1005" spans="2:17"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4"/>
    </row>
    <row r="1006" spans="2:17"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4"/>
    </row>
    <row r="1007" spans="2:17"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4"/>
    </row>
    <row r="1008" spans="2:17"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4"/>
    </row>
    <row r="1009" spans="2:17"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4"/>
    </row>
    <row r="1010" spans="2:17"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4"/>
    </row>
    <row r="1011" spans="2:17"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4"/>
    </row>
    <row r="1012" spans="2:17"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4"/>
    </row>
    <row r="1013" spans="2:17"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4"/>
    </row>
    <row r="1014" spans="2:17"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4"/>
    </row>
    <row r="1015" spans="2:17"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4"/>
    </row>
    <row r="1016" spans="2:17">
      <c r="B1016" s="12"/>
      <c r="C1016" s="12"/>
      <c r="D1016" s="12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4"/>
    </row>
    <row r="1017" spans="2:17">
      <c r="B1017" s="12"/>
      <c r="C1017" s="12"/>
      <c r="D1017" s="12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4"/>
    </row>
    <row r="1018" spans="2:17">
      <c r="B1018" s="12"/>
      <c r="C1018" s="12"/>
      <c r="D1018" s="12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4"/>
    </row>
    <row r="1019" spans="2:17">
      <c r="B1019" s="12"/>
      <c r="C1019" s="12"/>
      <c r="D1019" s="12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4"/>
    </row>
    <row r="1020" spans="2:17">
      <c r="B1020" s="12"/>
      <c r="C1020" s="12"/>
      <c r="D1020" s="12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4"/>
    </row>
    <row r="1021" spans="2:17">
      <c r="B1021" s="12"/>
      <c r="C1021" s="12"/>
      <c r="D1021" s="12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4"/>
    </row>
    <row r="1022" spans="2:17">
      <c r="B1022" s="12"/>
      <c r="C1022" s="12"/>
      <c r="D1022" s="12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4"/>
    </row>
    <row r="1023" spans="2:17">
      <c r="B1023" s="12"/>
      <c r="C1023" s="12"/>
      <c r="D1023" s="12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4"/>
    </row>
    <row r="1024" spans="2:17">
      <c r="B1024" s="12"/>
      <c r="C1024" s="12"/>
      <c r="D1024" s="12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4"/>
    </row>
    <row r="1025" spans="2:17">
      <c r="B1025" s="12"/>
      <c r="C1025" s="12"/>
      <c r="D1025" s="12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4"/>
    </row>
    <row r="1026" spans="2:17">
      <c r="B1026" s="12"/>
      <c r="C1026" s="12"/>
      <c r="D1026" s="12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4"/>
    </row>
    <row r="1027" spans="2:17">
      <c r="B1027" s="12"/>
      <c r="C1027" s="12"/>
      <c r="D1027" s="12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4"/>
    </row>
    <row r="1028" spans="2:17">
      <c r="B1028" s="12"/>
      <c r="C1028" s="12"/>
      <c r="D1028" s="12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4"/>
    </row>
    <row r="1029" spans="2:17">
      <c r="B1029" s="12"/>
      <c r="C1029" s="12"/>
      <c r="D1029" s="12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4"/>
    </row>
    <row r="1030" spans="2:17">
      <c r="B1030" s="12"/>
      <c r="C1030" s="12"/>
      <c r="D1030" s="12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4"/>
    </row>
    <row r="1031" spans="2:17">
      <c r="B1031" s="12"/>
      <c r="C1031" s="12"/>
      <c r="D1031" s="12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4"/>
    </row>
    <row r="1032" spans="2:17">
      <c r="B1032" s="12"/>
      <c r="C1032" s="12"/>
      <c r="D1032" s="12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4"/>
    </row>
    <row r="1033" spans="2:17">
      <c r="B1033" s="12"/>
      <c r="C1033" s="12"/>
      <c r="D1033" s="12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4"/>
    </row>
    <row r="1034" spans="2:17">
      <c r="B1034" s="12"/>
      <c r="C1034" s="12"/>
      <c r="D1034" s="12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4"/>
    </row>
    <row r="1035" spans="2:17">
      <c r="B1035" s="12"/>
      <c r="C1035" s="12"/>
      <c r="D1035" s="12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4"/>
    </row>
    <row r="1036" spans="2:17">
      <c r="B1036" s="12"/>
      <c r="C1036" s="12"/>
      <c r="D1036" s="12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4"/>
    </row>
    <row r="1037" spans="2:17">
      <c r="B1037" s="12"/>
      <c r="C1037" s="12"/>
      <c r="D1037" s="12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4"/>
    </row>
    <row r="1038" spans="2:17">
      <c r="B1038" s="12"/>
      <c r="C1038" s="12"/>
      <c r="D1038" s="12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4"/>
    </row>
    <row r="1039" spans="2:17">
      <c r="B1039" s="12"/>
      <c r="C1039" s="12"/>
      <c r="D1039" s="12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4"/>
    </row>
    <row r="1040" spans="2:17">
      <c r="B1040" s="12"/>
      <c r="C1040" s="12"/>
      <c r="D1040" s="12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4"/>
    </row>
    <row r="1041" spans="2:17">
      <c r="B1041" s="12"/>
      <c r="C1041" s="12"/>
      <c r="D1041" s="12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4"/>
    </row>
    <row r="1042" spans="2:17">
      <c r="B1042" s="12"/>
      <c r="C1042" s="12"/>
      <c r="D1042" s="12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4"/>
    </row>
    <row r="1043" spans="2:17">
      <c r="B1043" s="12"/>
      <c r="C1043" s="12"/>
      <c r="D1043" s="12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4"/>
    </row>
    <row r="1044" spans="2:17">
      <c r="B1044" s="12"/>
      <c r="C1044" s="12"/>
      <c r="D1044" s="12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4"/>
    </row>
    <row r="1045" spans="2:17">
      <c r="B1045" s="12"/>
      <c r="C1045" s="12"/>
      <c r="D1045" s="12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4"/>
    </row>
    <row r="1046" spans="2:17">
      <c r="B1046" s="12"/>
      <c r="C1046" s="12"/>
      <c r="D1046" s="12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4"/>
    </row>
    <row r="1047" spans="2:17">
      <c r="B1047" s="12"/>
      <c r="C1047" s="12"/>
      <c r="D1047" s="12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4"/>
    </row>
    <row r="1048" spans="2:17">
      <c r="B1048" s="12"/>
      <c r="C1048" s="12"/>
      <c r="D1048" s="12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4"/>
    </row>
    <row r="1049" spans="2:17">
      <c r="B1049" s="12"/>
      <c r="C1049" s="12"/>
      <c r="D1049" s="12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4"/>
    </row>
    <row r="1050" spans="2:17">
      <c r="B1050" s="12"/>
      <c r="C1050" s="12"/>
      <c r="D1050" s="12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4"/>
    </row>
    <row r="1051" spans="2:17">
      <c r="B1051" s="12"/>
      <c r="C1051" s="12"/>
      <c r="D1051" s="12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4"/>
    </row>
    <row r="1052" spans="2:17">
      <c r="B1052" s="12"/>
      <c r="C1052" s="12"/>
      <c r="D1052" s="12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4"/>
    </row>
    <row r="1053" spans="2:17">
      <c r="B1053" s="12"/>
      <c r="C1053" s="12"/>
      <c r="D1053" s="12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4"/>
    </row>
    <row r="1054" spans="2:17">
      <c r="B1054" s="12"/>
      <c r="C1054" s="12"/>
      <c r="D1054" s="12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4"/>
    </row>
    <row r="1055" spans="2:17">
      <c r="B1055" s="12"/>
      <c r="C1055" s="12"/>
      <c r="D1055" s="12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4"/>
    </row>
    <row r="1056" spans="2:17">
      <c r="B1056" s="12"/>
      <c r="C1056" s="12"/>
      <c r="D1056" s="12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4"/>
    </row>
    <row r="1057" spans="2:17">
      <c r="B1057" s="12"/>
      <c r="C1057" s="12"/>
      <c r="D1057" s="12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4"/>
    </row>
    <row r="1058" spans="2:17">
      <c r="B1058" s="12"/>
      <c r="C1058" s="12"/>
      <c r="D1058" s="12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4"/>
    </row>
    <row r="1059" spans="2:17">
      <c r="B1059" s="12"/>
      <c r="C1059" s="12"/>
      <c r="D1059" s="12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4"/>
    </row>
    <row r="1060" spans="2:17">
      <c r="B1060" s="12"/>
      <c r="C1060" s="12"/>
      <c r="D1060" s="12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4"/>
    </row>
    <row r="1061" spans="2:17">
      <c r="B1061" s="12"/>
      <c r="C1061" s="12"/>
      <c r="D1061" s="12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4"/>
    </row>
    <row r="1062" spans="2:17">
      <c r="B1062" s="12"/>
      <c r="C1062" s="12"/>
      <c r="D1062" s="12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4"/>
    </row>
    <row r="1063" spans="2:17">
      <c r="B1063" s="12"/>
      <c r="C1063" s="12"/>
      <c r="D1063" s="12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4"/>
    </row>
    <row r="1064" spans="2:17">
      <c r="B1064" s="12"/>
      <c r="C1064" s="12"/>
      <c r="D1064" s="12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4"/>
    </row>
    <row r="1065" spans="2:17">
      <c r="B1065" s="12"/>
      <c r="C1065" s="12"/>
      <c r="D1065" s="12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4"/>
    </row>
    <row r="1066" spans="2:17">
      <c r="B1066" s="12"/>
      <c r="C1066" s="12"/>
      <c r="D1066" s="12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4"/>
    </row>
    <row r="1067" spans="2:17">
      <c r="B1067" s="12"/>
      <c r="C1067" s="12"/>
      <c r="D1067" s="12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4"/>
    </row>
    <row r="1068" spans="2:17">
      <c r="B1068" s="12"/>
      <c r="C1068" s="12"/>
      <c r="D1068" s="12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4"/>
    </row>
    <row r="1069" spans="2:17">
      <c r="B1069" s="12"/>
      <c r="C1069" s="12"/>
      <c r="D1069" s="12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4"/>
    </row>
    <row r="1070" spans="2:17">
      <c r="B1070" s="12"/>
      <c r="C1070" s="12"/>
      <c r="D1070" s="12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4"/>
    </row>
    <row r="1071" spans="2:17">
      <c r="B1071" s="12"/>
      <c r="C1071" s="12"/>
      <c r="D1071" s="12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4"/>
    </row>
    <row r="1072" spans="2:17">
      <c r="B1072" s="12"/>
      <c r="C1072" s="12"/>
      <c r="D1072" s="12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4"/>
    </row>
    <row r="1073" spans="2:17">
      <c r="B1073" s="12"/>
      <c r="C1073" s="12"/>
      <c r="D1073" s="12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4"/>
    </row>
    <row r="1074" spans="2:17">
      <c r="B1074" s="12"/>
      <c r="C1074" s="12"/>
      <c r="D1074" s="12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4"/>
    </row>
    <row r="1075" spans="2:17">
      <c r="B1075" s="12"/>
      <c r="C1075" s="12"/>
      <c r="D1075" s="12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4"/>
    </row>
    <row r="1076" spans="2:17">
      <c r="B1076" s="12"/>
      <c r="C1076" s="12"/>
      <c r="D1076" s="12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4"/>
    </row>
    <row r="1077" spans="2:17">
      <c r="B1077" s="12"/>
      <c r="C1077" s="12"/>
      <c r="D1077" s="12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4"/>
    </row>
    <row r="1078" spans="2:17">
      <c r="B1078" s="12"/>
      <c r="C1078" s="12"/>
      <c r="D1078" s="12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4"/>
    </row>
    <row r="1079" spans="2:17">
      <c r="B1079" s="12"/>
      <c r="C1079" s="12"/>
      <c r="D1079" s="12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4"/>
    </row>
    <row r="1080" spans="2:17">
      <c r="B1080" s="12"/>
      <c r="C1080" s="12"/>
      <c r="D1080" s="12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4"/>
    </row>
    <row r="1081" spans="2:17">
      <c r="B1081" s="12"/>
      <c r="C1081" s="12"/>
      <c r="D1081" s="12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4"/>
    </row>
    <row r="1082" spans="2:17">
      <c r="B1082" s="12"/>
      <c r="C1082" s="12"/>
      <c r="D1082" s="12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4"/>
    </row>
    <row r="1083" spans="2:17">
      <c r="B1083" s="12"/>
      <c r="C1083" s="12"/>
      <c r="D1083" s="12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4"/>
    </row>
    <row r="1084" spans="2:17">
      <c r="B1084" s="12"/>
      <c r="C1084" s="12"/>
      <c r="D1084" s="12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4"/>
    </row>
    <row r="1085" spans="2:17">
      <c r="B1085" s="12"/>
      <c r="C1085" s="12"/>
      <c r="D1085" s="12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4"/>
    </row>
    <row r="1086" spans="2:17">
      <c r="B1086" s="12"/>
      <c r="C1086" s="12"/>
      <c r="D1086" s="12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4"/>
    </row>
    <row r="1087" spans="2:17">
      <c r="B1087" s="12"/>
      <c r="C1087" s="12"/>
      <c r="D1087" s="12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4"/>
    </row>
    <row r="1088" spans="2:17">
      <c r="B1088" s="12"/>
      <c r="C1088" s="12"/>
      <c r="D1088" s="12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4"/>
    </row>
    <row r="1089" spans="2:17">
      <c r="B1089" s="12"/>
      <c r="C1089" s="12"/>
      <c r="D1089" s="12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4"/>
    </row>
    <row r="1090" spans="2:17">
      <c r="B1090" s="12"/>
      <c r="C1090" s="12"/>
      <c r="D1090" s="12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4"/>
    </row>
    <row r="1091" spans="2:17">
      <c r="B1091" s="12"/>
      <c r="C1091" s="12"/>
      <c r="D1091" s="12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4"/>
    </row>
    <row r="1092" spans="2:17">
      <c r="B1092" s="12"/>
      <c r="C1092" s="12"/>
      <c r="D1092" s="12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4"/>
    </row>
    <row r="1093" spans="2:17">
      <c r="B1093" s="12"/>
      <c r="C1093" s="12"/>
      <c r="D1093" s="12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4"/>
    </row>
    <row r="1094" spans="2:17">
      <c r="B1094" s="12"/>
      <c r="C1094" s="12"/>
      <c r="D1094" s="12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4"/>
    </row>
    <row r="1095" spans="2:17">
      <c r="B1095" s="12"/>
      <c r="C1095" s="12"/>
      <c r="D1095" s="12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4"/>
    </row>
    <row r="1096" spans="2:17">
      <c r="B1096" s="12"/>
      <c r="C1096" s="12"/>
      <c r="D1096" s="12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4"/>
    </row>
    <row r="1097" spans="2:17">
      <c r="B1097" s="12"/>
      <c r="C1097" s="12"/>
      <c r="D1097" s="12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4"/>
    </row>
    <row r="1098" spans="2:17">
      <c r="B1098" s="12"/>
      <c r="C1098" s="12"/>
      <c r="D1098" s="12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4"/>
    </row>
    <row r="1099" spans="2:17">
      <c r="B1099" s="12"/>
      <c r="C1099" s="12"/>
      <c r="D1099" s="12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4"/>
    </row>
    <row r="1100" spans="2:17">
      <c r="B1100" s="12"/>
      <c r="C1100" s="12"/>
      <c r="D1100" s="12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4"/>
    </row>
    <row r="1101" spans="2:17">
      <c r="B1101" s="12"/>
      <c r="C1101" s="12"/>
      <c r="D1101" s="12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4"/>
    </row>
    <row r="1102" spans="2:17">
      <c r="B1102" s="12"/>
      <c r="C1102" s="12"/>
      <c r="D1102" s="12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4"/>
    </row>
    <row r="1103" spans="2:17">
      <c r="B1103" s="12"/>
      <c r="C1103" s="12"/>
      <c r="D1103" s="12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4"/>
    </row>
    <row r="1104" spans="2:17">
      <c r="B1104" s="12"/>
      <c r="C1104" s="12"/>
      <c r="D1104" s="12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4"/>
    </row>
    <row r="1105" spans="2:17">
      <c r="B1105" s="12"/>
      <c r="C1105" s="12"/>
      <c r="D1105" s="12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4"/>
    </row>
    <row r="1106" spans="2:17">
      <c r="B1106" s="12"/>
      <c r="C1106" s="12"/>
      <c r="D1106" s="12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4"/>
    </row>
    <row r="1107" spans="2:17">
      <c r="B1107" s="12"/>
      <c r="C1107" s="12"/>
      <c r="D1107" s="12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4"/>
    </row>
    <row r="1108" spans="2:17">
      <c r="B1108" s="12"/>
      <c r="C1108" s="12"/>
      <c r="D1108" s="12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4"/>
    </row>
    <row r="1109" spans="2:17">
      <c r="B1109" s="12"/>
      <c r="C1109" s="12"/>
      <c r="D1109" s="12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4"/>
    </row>
    <row r="1110" spans="2:17">
      <c r="B1110" s="12"/>
      <c r="C1110" s="12"/>
      <c r="D1110" s="12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4"/>
    </row>
    <row r="1111" spans="2:17">
      <c r="B1111" s="12"/>
      <c r="C1111" s="12"/>
      <c r="D1111" s="12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4"/>
    </row>
    <row r="1112" spans="2:17">
      <c r="B1112" s="12"/>
      <c r="C1112" s="12"/>
      <c r="D1112" s="12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4"/>
    </row>
    <row r="1113" spans="2:17">
      <c r="B1113" s="12"/>
      <c r="C1113" s="12"/>
      <c r="D1113" s="12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4"/>
    </row>
    <row r="1114" spans="2:17">
      <c r="B1114" s="12"/>
      <c r="C1114" s="12"/>
      <c r="D1114" s="12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4"/>
    </row>
    <row r="1115" spans="2:17">
      <c r="B1115" s="12"/>
      <c r="C1115" s="12"/>
      <c r="D1115" s="12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4"/>
    </row>
    <row r="1116" spans="2:17">
      <c r="B1116" s="12"/>
      <c r="C1116" s="12"/>
      <c r="D1116" s="12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4"/>
    </row>
    <row r="1117" spans="2:17">
      <c r="B1117" s="12"/>
      <c r="C1117" s="12"/>
      <c r="D1117" s="12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4"/>
    </row>
    <row r="1118" spans="2:17">
      <c r="B1118" s="12"/>
      <c r="C1118" s="12"/>
      <c r="D1118" s="12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4"/>
    </row>
    <row r="1119" spans="2:17">
      <c r="B1119" s="12"/>
      <c r="C1119" s="12"/>
      <c r="D1119" s="12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4"/>
    </row>
    <row r="1120" spans="2:17">
      <c r="B1120" s="12"/>
      <c r="C1120" s="12"/>
      <c r="D1120" s="12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4"/>
    </row>
    <row r="1121" spans="2:17">
      <c r="B1121" s="12"/>
      <c r="C1121" s="12"/>
      <c r="D1121" s="12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4"/>
    </row>
    <row r="1122" spans="2:17">
      <c r="B1122" s="12"/>
      <c r="C1122" s="12"/>
      <c r="D1122" s="12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4"/>
    </row>
    <row r="1123" spans="2:17">
      <c r="B1123" s="12"/>
      <c r="C1123" s="12"/>
      <c r="D1123" s="12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4"/>
    </row>
    <row r="1124" spans="2:17">
      <c r="B1124" s="12"/>
      <c r="C1124" s="12"/>
      <c r="D1124" s="12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4"/>
    </row>
    <row r="1125" spans="2:17">
      <c r="B1125" s="12"/>
      <c r="C1125" s="12"/>
      <c r="D1125" s="12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4"/>
    </row>
    <row r="1126" spans="2:17">
      <c r="B1126" s="12"/>
      <c r="C1126" s="12"/>
      <c r="D1126" s="12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4"/>
    </row>
    <row r="1127" spans="2:17">
      <c r="B1127" s="12"/>
      <c r="C1127" s="12"/>
      <c r="D1127" s="12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4"/>
    </row>
    <row r="1128" spans="2:17">
      <c r="B1128" s="12"/>
      <c r="C1128" s="12"/>
      <c r="D1128" s="12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4"/>
    </row>
    <row r="1129" spans="2:17">
      <c r="B1129" s="12"/>
      <c r="C1129" s="12"/>
      <c r="D1129" s="12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4"/>
    </row>
    <row r="1130" spans="2:17">
      <c r="B1130" s="12"/>
      <c r="C1130" s="12"/>
      <c r="D1130" s="12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4"/>
    </row>
    <row r="1131" spans="2:17">
      <c r="B1131" s="12"/>
      <c r="C1131" s="12"/>
      <c r="D1131" s="12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4"/>
    </row>
    <row r="1132" spans="2:17">
      <c r="B1132" s="12"/>
      <c r="C1132" s="12"/>
      <c r="D1132" s="12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4"/>
    </row>
    <row r="1133" spans="2:17">
      <c r="B1133" s="12"/>
      <c r="C1133" s="12"/>
      <c r="D1133" s="12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4"/>
    </row>
    <row r="1134" spans="2:17">
      <c r="B1134" s="12"/>
      <c r="C1134" s="12"/>
      <c r="D1134" s="12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4"/>
    </row>
    <row r="1135" spans="2:17">
      <c r="B1135" s="12"/>
      <c r="C1135" s="12"/>
      <c r="D1135" s="12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4"/>
    </row>
    <row r="1136" spans="2:17">
      <c r="B1136" s="12"/>
      <c r="C1136" s="12"/>
      <c r="D1136" s="12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4"/>
    </row>
    <row r="1137" spans="2:17">
      <c r="B1137" s="12"/>
      <c r="C1137" s="12"/>
      <c r="D1137" s="12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4"/>
    </row>
    <row r="1138" spans="2:17">
      <c r="B1138" s="12"/>
      <c r="C1138" s="12"/>
      <c r="D1138" s="12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4"/>
    </row>
    <row r="1139" spans="2:17">
      <c r="B1139" s="12"/>
      <c r="C1139" s="12"/>
      <c r="D1139" s="12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4"/>
    </row>
    <row r="1140" spans="2:17">
      <c r="B1140" s="12"/>
      <c r="C1140" s="12"/>
      <c r="D1140" s="12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4"/>
    </row>
    <row r="1141" spans="2:17">
      <c r="B1141" s="12"/>
      <c r="C1141" s="12"/>
      <c r="D1141" s="12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4"/>
    </row>
    <row r="1142" spans="2:17">
      <c r="B1142" s="12"/>
      <c r="C1142" s="12"/>
      <c r="D1142" s="12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4"/>
    </row>
    <row r="1143" spans="2:17">
      <c r="B1143" s="12"/>
      <c r="C1143" s="12"/>
      <c r="D1143" s="12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4"/>
    </row>
    <row r="1144" spans="2:17">
      <c r="B1144" s="12"/>
      <c r="C1144" s="12"/>
      <c r="D1144" s="12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4"/>
    </row>
    <row r="1145" spans="2:17">
      <c r="B1145" s="12"/>
      <c r="C1145" s="12"/>
      <c r="D1145" s="12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4"/>
    </row>
    <row r="1146" spans="2:17">
      <c r="B1146" s="12"/>
      <c r="C1146" s="12"/>
      <c r="D1146" s="12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4"/>
    </row>
    <row r="1147" spans="2:17">
      <c r="B1147" s="12"/>
      <c r="C1147" s="12"/>
      <c r="D1147" s="12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4"/>
    </row>
    <row r="1148" spans="2:17">
      <c r="B1148" s="12"/>
      <c r="C1148" s="12"/>
      <c r="D1148" s="12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4"/>
    </row>
    <row r="1149" spans="2:17">
      <c r="B1149" s="12"/>
      <c r="C1149" s="12"/>
      <c r="D1149" s="12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4"/>
    </row>
    <row r="1150" spans="2:17">
      <c r="B1150" s="12"/>
      <c r="C1150" s="12"/>
      <c r="D1150" s="12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4"/>
    </row>
    <row r="1151" spans="2:17">
      <c r="B1151" s="12"/>
      <c r="C1151" s="12"/>
      <c r="D1151" s="12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4"/>
    </row>
    <row r="1152" spans="2:17">
      <c r="B1152" s="12"/>
      <c r="C1152" s="12"/>
      <c r="D1152" s="12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4"/>
    </row>
    <row r="1153" spans="2:17">
      <c r="B1153" s="12"/>
      <c r="C1153" s="12"/>
      <c r="D1153" s="12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4"/>
    </row>
    <row r="1154" spans="2:17">
      <c r="B1154" s="12"/>
      <c r="C1154" s="12"/>
      <c r="D1154" s="12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4"/>
    </row>
    <row r="1155" spans="2:17">
      <c r="B1155" s="12"/>
      <c r="C1155" s="12"/>
      <c r="D1155" s="12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4"/>
    </row>
    <row r="1156" spans="2:17">
      <c r="B1156" s="12"/>
      <c r="C1156" s="12"/>
      <c r="D1156" s="12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4"/>
    </row>
    <row r="1157" spans="2:17">
      <c r="B1157" s="12"/>
      <c r="C1157" s="12"/>
      <c r="D1157" s="12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4"/>
    </row>
    <row r="1158" spans="2:17">
      <c r="B1158" s="12"/>
      <c r="C1158" s="12"/>
      <c r="D1158" s="12"/>
      <c r="E1158" s="12"/>
      <c r="F1158" s="12"/>
      <c r="G1158" s="12"/>
      <c r="H1158" s="12"/>
      <c r="I1158" s="12"/>
      <c r="J1158" s="12"/>
      <c r="K1158" s="12"/>
      <c r="L1158" s="12"/>
      <c r="M1158" s="12"/>
      <c r="N1158" s="12"/>
      <c r="O1158" s="12"/>
      <c r="P1158" s="12"/>
      <c r="Q1158" s="14"/>
    </row>
    <row r="1159" spans="2:17">
      <c r="B1159" s="12"/>
      <c r="C1159" s="12"/>
      <c r="D1159" s="12"/>
      <c r="E1159" s="12"/>
      <c r="F1159" s="12"/>
      <c r="G1159" s="12"/>
      <c r="H1159" s="12"/>
      <c r="I1159" s="12"/>
      <c r="J1159" s="12"/>
      <c r="K1159" s="12"/>
      <c r="L1159" s="12"/>
      <c r="M1159" s="12"/>
      <c r="N1159" s="12"/>
      <c r="O1159" s="12"/>
      <c r="P1159" s="12"/>
      <c r="Q1159" s="14"/>
    </row>
    <row r="1160" spans="2:17">
      <c r="B1160" s="12"/>
      <c r="C1160" s="12"/>
      <c r="D1160" s="12"/>
      <c r="E1160" s="12"/>
      <c r="F1160" s="12"/>
      <c r="G1160" s="12"/>
      <c r="H1160" s="12"/>
      <c r="I1160" s="12"/>
      <c r="J1160" s="12"/>
      <c r="K1160" s="12"/>
      <c r="L1160" s="12"/>
      <c r="M1160" s="12"/>
      <c r="N1160" s="12"/>
      <c r="O1160" s="12"/>
      <c r="P1160" s="12"/>
      <c r="Q1160" s="14"/>
    </row>
    <row r="1161" spans="2:17">
      <c r="B1161" s="12"/>
      <c r="C1161" s="12"/>
      <c r="D1161" s="12"/>
      <c r="E1161" s="12"/>
      <c r="F1161" s="12"/>
      <c r="G1161" s="12"/>
      <c r="H1161" s="12"/>
      <c r="I1161" s="12"/>
      <c r="J1161" s="12"/>
      <c r="K1161" s="12"/>
      <c r="L1161" s="12"/>
      <c r="M1161" s="12"/>
      <c r="N1161" s="12"/>
      <c r="O1161" s="12"/>
      <c r="P1161" s="12"/>
      <c r="Q1161" s="14"/>
    </row>
    <row r="1162" spans="2:17">
      <c r="B1162" s="12"/>
      <c r="C1162" s="12"/>
      <c r="D1162" s="12"/>
      <c r="E1162" s="12"/>
      <c r="F1162" s="12"/>
      <c r="G1162" s="12"/>
      <c r="H1162" s="12"/>
      <c r="I1162" s="12"/>
      <c r="J1162" s="12"/>
      <c r="K1162" s="12"/>
      <c r="L1162" s="12"/>
      <c r="M1162" s="12"/>
      <c r="N1162" s="12"/>
      <c r="O1162" s="12"/>
      <c r="P1162" s="12"/>
      <c r="Q1162" s="14"/>
    </row>
    <row r="1163" spans="2:17">
      <c r="B1163" s="12"/>
      <c r="C1163" s="12"/>
      <c r="D1163" s="12"/>
      <c r="E1163" s="12"/>
      <c r="F1163" s="12"/>
      <c r="G1163" s="12"/>
      <c r="H1163" s="12"/>
      <c r="I1163" s="12"/>
      <c r="J1163" s="12"/>
      <c r="K1163" s="12"/>
      <c r="L1163" s="12"/>
      <c r="M1163" s="12"/>
      <c r="N1163" s="12"/>
      <c r="O1163" s="12"/>
      <c r="P1163" s="12"/>
      <c r="Q1163" s="14"/>
    </row>
    <row r="1164" spans="2:17">
      <c r="B1164" s="12"/>
      <c r="C1164" s="12"/>
      <c r="D1164" s="12"/>
      <c r="E1164" s="12"/>
      <c r="F1164" s="12"/>
      <c r="G1164" s="12"/>
      <c r="H1164" s="12"/>
      <c r="I1164" s="12"/>
      <c r="J1164" s="12"/>
      <c r="K1164" s="12"/>
      <c r="L1164" s="12"/>
      <c r="M1164" s="12"/>
      <c r="N1164" s="12"/>
      <c r="O1164" s="12"/>
      <c r="P1164" s="12"/>
      <c r="Q1164" s="14"/>
    </row>
    <row r="1165" spans="2:17">
      <c r="B1165" s="12"/>
      <c r="C1165" s="12"/>
      <c r="D1165" s="12"/>
      <c r="E1165" s="12"/>
      <c r="F1165" s="12"/>
      <c r="G1165" s="12"/>
      <c r="H1165" s="12"/>
      <c r="I1165" s="12"/>
      <c r="J1165" s="12"/>
      <c r="K1165" s="12"/>
      <c r="L1165" s="12"/>
      <c r="M1165" s="12"/>
      <c r="N1165" s="12"/>
      <c r="O1165" s="12"/>
      <c r="P1165" s="12"/>
      <c r="Q1165" s="14"/>
    </row>
    <row r="1166" spans="2:17">
      <c r="B1166" s="12"/>
      <c r="C1166" s="12"/>
      <c r="D1166" s="12"/>
      <c r="E1166" s="12"/>
      <c r="F1166" s="12"/>
      <c r="G1166" s="12"/>
      <c r="H1166" s="12"/>
      <c r="I1166" s="12"/>
      <c r="J1166" s="12"/>
      <c r="K1166" s="12"/>
      <c r="L1166" s="12"/>
      <c r="M1166" s="12"/>
      <c r="N1166" s="12"/>
      <c r="O1166" s="12"/>
      <c r="P1166" s="12"/>
      <c r="Q1166" s="14"/>
    </row>
    <row r="1167" spans="2:17">
      <c r="B1167" s="12"/>
      <c r="C1167" s="12"/>
      <c r="D1167" s="12"/>
      <c r="E1167" s="12"/>
      <c r="F1167" s="12"/>
      <c r="G1167" s="12"/>
      <c r="H1167" s="12"/>
      <c r="I1167" s="12"/>
      <c r="J1167" s="12"/>
      <c r="K1167" s="12"/>
      <c r="L1167" s="12"/>
      <c r="M1167" s="12"/>
      <c r="N1167" s="12"/>
      <c r="O1167" s="12"/>
      <c r="P1167" s="12"/>
      <c r="Q1167" s="14"/>
    </row>
    <row r="1168" spans="2:17">
      <c r="B1168" s="12"/>
      <c r="C1168" s="12"/>
      <c r="D1168" s="12"/>
      <c r="E1168" s="12"/>
      <c r="F1168" s="12"/>
      <c r="G1168" s="12"/>
      <c r="H1168" s="12"/>
      <c r="I1168" s="12"/>
      <c r="J1168" s="12"/>
      <c r="K1168" s="12"/>
      <c r="L1168" s="12"/>
      <c r="M1168" s="12"/>
      <c r="N1168" s="12"/>
      <c r="O1168" s="12"/>
      <c r="P1168" s="12"/>
      <c r="Q1168" s="14"/>
    </row>
    <row r="1169" spans="2:17">
      <c r="B1169" s="12"/>
      <c r="C1169" s="12"/>
      <c r="D1169" s="12"/>
      <c r="E1169" s="12"/>
      <c r="F1169" s="12"/>
      <c r="G1169" s="12"/>
      <c r="H1169" s="12"/>
      <c r="I1169" s="12"/>
      <c r="J1169" s="12"/>
      <c r="K1169" s="12"/>
      <c r="L1169" s="12"/>
      <c r="M1169" s="12"/>
      <c r="N1169" s="12"/>
      <c r="O1169" s="12"/>
      <c r="P1169" s="12"/>
      <c r="Q1169" s="14"/>
    </row>
    <row r="1170" spans="2:17">
      <c r="B1170" s="12"/>
      <c r="C1170" s="12"/>
      <c r="D1170" s="12"/>
      <c r="E1170" s="12"/>
      <c r="F1170" s="12"/>
      <c r="G1170" s="12"/>
      <c r="H1170" s="12"/>
      <c r="I1170" s="12"/>
      <c r="J1170" s="12"/>
      <c r="K1170" s="12"/>
      <c r="L1170" s="12"/>
      <c r="M1170" s="12"/>
      <c r="N1170" s="12"/>
      <c r="O1170" s="12"/>
      <c r="P1170" s="12"/>
      <c r="Q1170" s="14"/>
    </row>
    <row r="1171" spans="2:17">
      <c r="B1171" s="12"/>
      <c r="C1171" s="12"/>
      <c r="D1171" s="12"/>
      <c r="E1171" s="12"/>
      <c r="F1171" s="12"/>
      <c r="G1171" s="12"/>
      <c r="H1171" s="12"/>
      <c r="I1171" s="12"/>
      <c r="J1171" s="12"/>
      <c r="K1171" s="12"/>
      <c r="L1171" s="12"/>
      <c r="M1171" s="12"/>
      <c r="N1171" s="12"/>
      <c r="O1171" s="12"/>
      <c r="P1171" s="12"/>
      <c r="Q1171" s="14"/>
    </row>
    <row r="1172" spans="2:17">
      <c r="B1172" s="12"/>
      <c r="C1172" s="12"/>
      <c r="D1172" s="12"/>
      <c r="E1172" s="12"/>
      <c r="F1172" s="12"/>
      <c r="G1172" s="12"/>
      <c r="H1172" s="12"/>
      <c r="I1172" s="12"/>
      <c r="J1172" s="12"/>
      <c r="K1172" s="12"/>
      <c r="L1172" s="12"/>
      <c r="M1172" s="12"/>
      <c r="N1172" s="12"/>
      <c r="O1172" s="12"/>
      <c r="P1172" s="12"/>
      <c r="Q1172" s="14"/>
    </row>
    <row r="1173" spans="2:17">
      <c r="B1173" s="12"/>
      <c r="C1173" s="12"/>
      <c r="D1173" s="12"/>
      <c r="E1173" s="12"/>
      <c r="F1173" s="12"/>
      <c r="G1173" s="12"/>
      <c r="H1173" s="12"/>
      <c r="I1173" s="12"/>
      <c r="J1173" s="12"/>
      <c r="K1173" s="12"/>
      <c r="L1173" s="12"/>
      <c r="M1173" s="12"/>
      <c r="N1173" s="12"/>
      <c r="O1173" s="12"/>
      <c r="P1173" s="12"/>
      <c r="Q1173" s="14"/>
    </row>
    <row r="1174" spans="2:17">
      <c r="B1174" s="12"/>
      <c r="C1174" s="12"/>
      <c r="D1174" s="12"/>
      <c r="E1174" s="12"/>
      <c r="F1174" s="12"/>
      <c r="G1174" s="12"/>
      <c r="H1174" s="12"/>
      <c r="I1174" s="12"/>
      <c r="J1174" s="12"/>
      <c r="K1174" s="12"/>
      <c r="L1174" s="12"/>
      <c r="M1174" s="12"/>
      <c r="N1174" s="12"/>
      <c r="O1174" s="12"/>
      <c r="P1174" s="12"/>
      <c r="Q1174" s="14"/>
    </row>
    <row r="1175" spans="2:17">
      <c r="B1175" s="12"/>
      <c r="C1175" s="12"/>
      <c r="D1175" s="12"/>
      <c r="E1175" s="12"/>
      <c r="F1175" s="12"/>
      <c r="G1175" s="12"/>
      <c r="H1175" s="12"/>
      <c r="I1175" s="12"/>
      <c r="J1175" s="12"/>
      <c r="K1175" s="12"/>
      <c r="L1175" s="12"/>
      <c r="M1175" s="12"/>
      <c r="N1175" s="12"/>
      <c r="O1175" s="12"/>
      <c r="P1175" s="12"/>
      <c r="Q1175" s="14"/>
    </row>
    <row r="1176" spans="2:17">
      <c r="B1176" s="12"/>
      <c r="C1176" s="12"/>
      <c r="D1176" s="12"/>
      <c r="E1176" s="12"/>
      <c r="F1176" s="12"/>
      <c r="G1176" s="12"/>
      <c r="H1176" s="12"/>
      <c r="I1176" s="12"/>
      <c r="J1176" s="12"/>
      <c r="K1176" s="12"/>
      <c r="L1176" s="12"/>
      <c r="M1176" s="12"/>
      <c r="N1176" s="12"/>
      <c r="O1176" s="12"/>
      <c r="P1176" s="12"/>
      <c r="Q1176" s="14"/>
    </row>
    <row r="1177" spans="2:17">
      <c r="B1177" s="12"/>
      <c r="C1177" s="12"/>
      <c r="D1177" s="12"/>
      <c r="E1177" s="12"/>
      <c r="F1177" s="12"/>
      <c r="G1177" s="12"/>
      <c r="H1177" s="12"/>
      <c r="I1177" s="12"/>
      <c r="J1177" s="12"/>
      <c r="K1177" s="12"/>
      <c r="L1177" s="12"/>
      <c r="M1177" s="12"/>
      <c r="N1177" s="12"/>
      <c r="O1177" s="12"/>
      <c r="P1177" s="12"/>
      <c r="Q1177" s="14"/>
    </row>
    <row r="1178" spans="2:17">
      <c r="B1178" s="12"/>
      <c r="C1178" s="12"/>
      <c r="D1178" s="12"/>
      <c r="E1178" s="12"/>
      <c r="F1178" s="12"/>
      <c r="G1178" s="12"/>
      <c r="H1178" s="12"/>
      <c r="I1178" s="12"/>
      <c r="J1178" s="12"/>
      <c r="K1178" s="12"/>
      <c r="L1178" s="12"/>
      <c r="M1178" s="12"/>
      <c r="N1178" s="12"/>
      <c r="O1178" s="12"/>
      <c r="P1178" s="12"/>
      <c r="Q1178" s="14"/>
    </row>
    <row r="1179" spans="2:17">
      <c r="B1179" s="12"/>
      <c r="C1179" s="12"/>
      <c r="D1179" s="12"/>
      <c r="E1179" s="12"/>
      <c r="F1179" s="12"/>
      <c r="G1179" s="12"/>
      <c r="H1179" s="12"/>
      <c r="I1179" s="12"/>
      <c r="J1179" s="12"/>
      <c r="K1179" s="12"/>
      <c r="L1179" s="12"/>
      <c r="M1179" s="12"/>
      <c r="N1179" s="12"/>
      <c r="O1179" s="12"/>
      <c r="P1179" s="12"/>
      <c r="Q1179" s="14"/>
    </row>
    <row r="1180" spans="2:17">
      <c r="B1180" s="12"/>
      <c r="C1180" s="12"/>
      <c r="D1180" s="12"/>
      <c r="E1180" s="12"/>
      <c r="F1180" s="12"/>
      <c r="G1180" s="12"/>
      <c r="H1180" s="12"/>
      <c r="I1180" s="12"/>
      <c r="J1180" s="12"/>
      <c r="K1180" s="12"/>
      <c r="L1180" s="12"/>
      <c r="M1180" s="12"/>
      <c r="N1180" s="12"/>
      <c r="O1180" s="12"/>
      <c r="P1180" s="12"/>
      <c r="Q1180" s="14"/>
    </row>
    <row r="1181" spans="2:17">
      <c r="B1181" s="12"/>
      <c r="C1181" s="12"/>
      <c r="D1181" s="12"/>
      <c r="E1181" s="12"/>
      <c r="F1181" s="12"/>
      <c r="G1181" s="12"/>
      <c r="H1181" s="12"/>
      <c r="I1181" s="12"/>
      <c r="J1181" s="12"/>
      <c r="K1181" s="12"/>
      <c r="L1181" s="12"/>
      <c r="M1181" s="12"/>
      <c r="N1181" s="12"/>
      <c r="O1181" s="12"/>
      <c r="P1181" s="12"/>
      <c r="Q1181" s="14"/>
    </row>
    <row r="1182" spans="2:17">
      <c r="B1182" s="12"/>
      <c r="C1182" s="12"/>
      <c r="D1182" s="12"/>
      <c r="E1182" s="12"/>
      <c r="F1182" s="12"/>
      <c r="G1182" s="12"/>
      <c r="H1182" s="12"/>
      <c r="I1182" s="12"/>
      <c r="J1182" s="12"/>
      <c r="K1182" s="12"/>
      <c r="L1182" s="12"/>
      <c r="M1182" s="12"/>
      <c r="N1182" s="12"/>
      <c r="O1182" s="12"/>
      <c r="P1182" s="12"/>
      <c r="Q1182" s="14"/>
    </row>
    <row r="1183" spans="2:17">
      <c r="B1183" s="12"/>
      <c r="C1183" s="12"/>
      <c r="D1183" s="12"/>
      <c r="E1183" s="12"/>
      <c r="F1183" s="12"/>
      <c r="G1183" s="12"/>
      <c r="H1183" s="12"/>
      <c r="I1183" s="12"/>
      <c r="J1183" s="12"/>
      <c r="K1183" s="12"/>
      <c r="L1183" s="12"/>
      <c r="M1183" s="12"/>
      <c r="N1183" s="12"/>
      <c r="O1183" s="12"/>
      <c r="P1183" s="12"/>
      <c r="Q1183" s="14"/>
    </row>
    <row r="1184" spans="2:17">
      <c r="B1184" s="12"/>
      <c r="C1184" s="12"/>
      <c r="D1184" s="12"/>
      <c r="E1184" s="12"/>
      <c r="F1184" s="12"/>
      <c r="G1184" s="12"/>
      <c r="H1184" s="12"/>
      <c r="I1184" s="12"/>
      <c r="J1184" s="12"/>
      <c r="K1184" s="12"/>
      <c r="L1184" s="12"/>
      <c r="M1184" s="12"/>
      <c r="N1184" s="12"/>
      <c r="O1184" s="12"/>
      <c r="P1184" s="12"/>
      <c r="Q1184" s="14"/>
    </row>
    <row r="1185" spans="2:17">
      <c r="B1185" s="12"/>
      <c r="C1185" s="12"/>
      <c r="D1185" s="12"/>
      <c r="E1185" s="12"/>
      <c r="F1185" s="12"/>
      <c r="G1185" s="12"/>
      <c r="H1185" s="12"/>
      <c r="I1185" s="12"/>
      <c r="J1185" s="12"/>
      <c r="K1185" s="12"/>
      <c r="L1185" s="12"/>
      <c r="M1185" s="12"/>
      <c r="N1185" s="12"/>
      <c r="O1185" s="12"/>
      <c r="P1185" s="12"/>
      <c r="Q1185" s="14"/>
    </row>
    <row r="1186" spans="2:17">
      <c r="B1186" s="12"/>
      <c r="C1186" s="12"/>
      <c r="D1186" s="12"/>
      <c r="E1186" s="12"/>
      <c r="F1186" s="12"/>
      <c r="G1186" s="12"/>
      <c r="H1186" s="12"/>
      <c r="I1186" s="12"/>
      <c r="J1186" s="12"/>
      <c r="K1186" s="12"/>
      <c r="L1186" s="12"/>
      <c r="M1186" s="12"/>
      <c r="N1186" s="12"/>
      <c r="O1186" s="12"/>
      <c r="P1186" s="12"/>
      <c r="Q1186" s="14"/>
    </row>
    <row r="1187" spans="2:17">
      <c r="B1187" s="12"/>
      <c r="C1187" s="12"/>
      <c r="D1187" s="12"/>
      <c r="E1187" s="12"/>
      <c r="F1187" s="12"/>
      <c r="G1187" s="12"/>
      <c r="H1187" s="12"/>
      <c r="I1187" s="12"/>
      <c r="J1187" s="12"/>
      <c r="K1187" s="12"/>
      <c r="L1187" s="12"/>
      <c r="M1187" s="12"/>
      <c r="N1187" s="12"/>
      <c r="O1187" s="12"/>
      <c r="P1187" s="12"/>
      <c r="Q1187" s="14"/>
    </row>
    <row r="1188" spans="2:17">
      <c r="B1188" s="12"/>
      <c r="C1188" s="12"/>
      <c r="D1188" s="12"/>
      <c r="E1188" s="12"/>
      <c r="F1188" s="12"/>
      <c r="G1188" s="12"/>
      <c r="H1188" s="12"/>
      <c r="I1188" s="12"/>
      <c r="J1188" s="12"/>
      <c r="K1188" s="12"/>
      <c r="L1188" s="12"/>
      <c r="M1188" s="12"/>
      <c r="N1188" s="12"/>
      <c r="O1188" s="12"/>
      <c r="P1188" s="12"/>
      <c r="Q1188" s="14"/>
    </row>
    <row r="1189" spans="2:17">
      <c r="B1189" s="12"/>
      <c r="C1189" s="12"/>
      <c r="D1189" s="12"/>
      <c r="E1189" s="12"/>
      <c r="F1189" s="12"/>
      <c r="G1189" s="12"/>
      <c r="H1189" s="12"/>
      <c r="I1189" s="12"/>
      <c r="J1189" s="12"/>
      <c r="K1189" s="12"/>
      <c r="L1189" s="12"/>
      <c r="M1189" s="12"/>
      <c r="N1189" s="12"/>
      <c r="O1189" s="12"/>
      <c r="P1189" s="12"/>
      <c r="Q1189" s="14"/>
    </row>
    <row r="1190" spans="2:17">
      <c r="B1190" s="12"/>
      <c r="C1190" s="12"/>
      <c r="D1190" s="12"/>
      <c r="E1190" s="12"/>
      <c r="F1190" s="12"/>
      <c r="G1190" s="12"/>
      <c r="H1190" s="12"/>
      <c r="I1190" s="12"/>
      <c r="J1190" s="12"/>
      <c r="K1190" s="12"/>
      <c r="L1190" s="12"/>
      <c r="M1190" s="12"/>
      <c r="N1190" s="12"/>
      <c r="O1190" s="12"/>
      <c r="P1190" s="12"/>
      <c r="Q1190" s="14"/>
    </row>
    <row r="1191" spans="2:17">
      <c r="B1191" s="12"/>
      <c r="C1191" s="12"/>
      <c r="D1191" s="12"/>
      <c r="E1191" s="12"/>
      <c r="F1191" s="12"/>
      <c r="G1191" s="12"/>
      <c r="H1191" s="12"/>
      <c r="I1191" s="12"/>
      <c r="J1191" s="12"/>
      <c r="K1191" s="12"/>
      <c r="L1191" s="12"/>
      <c r="M1191" s="12"/>
      <c r="N1191" s="12"/>
      <c r="O1191" s="12"/>
      <c r="P1191" s="12"/>
      <c r="Q1191" s="14"/>
    </row>
    <row r="1192" spans="2:17">
      <c r="B1192" s="12"/>
      <c r="C1192" s="12"/>
      <c r="D1192" s="12"/>
      <c r="E1192" s="12"/>
      <c r="F1192" s="12"/>
      <c r="G1192" s="12"/>
      <c r="H1192" s="12"/>
      <c r="I1192" s="12"/>
      <c r="J1192" s="12"/>
      <c r="K1192" s="12"/>
      <c r="L1192" s="12"/>
      <c r="M1192" s="12"/>
      <c r="N1192" s="12"/>
      <c r="O1192" s="12"/>
      <c r="P1192" s="12"/>
      <c r="Q1192" s="14"/>
    </row>
    <row r="1193" spans="2:17">
      <c r="B1193" s="12"/>
      <c r="C1193" s="12"/>
      <c r="D1193" s="12"/>
      <c r="E1193" s="12"/>
      <c r="F1193" s="12"/>
      <c r="G1193" s="12"/>
      <c r="H1193" s="12"/>
      <c r="I1193" s="12"/>
      <c r="J1193" s="12"/>
      <c r="K1193" s="12"/>
      <c r="L1193" s="12"/>
      <c r="M1193" s="12"/>
      <c r="N1193" s="12"/>
      <c r="O1193" s="12"/>
      <c r="P1193" s="12"/>
      <c r="Q1193" s="14"/>
    </row>
    <row r="1194" spans="2:17">
      <c r="B1194" s="12"/>
      <c r="C1194" s="12"/>
      <c r="D1194" s="12"/>
      <c r="E1194" s="12"/>
      <c r="F1194" s="12"/>
      <c r="G1194" s="12"/>
      <c r="H1194" s="12"/>
      <c r="I1194" s="12"/>
      <c r="J1194" s="12"/>
      <c r="K1194" s="12"/>
      <c r="L1194" s="12"/>
      <c r="M1194" s="12"/>
      <c r="N1194" s="12"/>
      <c r="O1194" s="12"/>
      <c r="P1194" s="12"/>
      <c r="Q1194" s="14"/>
    </row>
    <row r="1195" spans="2:17">
      <c r="B1195" s="12"/>
      <c r="C1195" s="12"/>
      <c r="D1195" s="12"/>
      <c r="E1195" s="12"/>
      <c r="F1195" s="12"/>
      <c r="G1195" s="12"/>
      <c r="H1195" s="12"/>
      <c r="I1195" s="12"/>
      <c r="J1195" s="12"/>
      <c r="K1195" s="12"/>
      <c r="L1195" s="12"/>
      <c r="M1195" s="12"/>
      <c r="N1195" s="12"/>
      <c r="O1195" s="12"/>
      <c r="P1195" s="12"/>
      <c r="Q1195" s="14"/>
    </row>
    <row r="1196" spans="2:17">
      <c r="B1196" s="12"/>
      <c r="C1196" s="12"/>
      <c r="D1196" s="12"/>
      <c r="E1196" s="12"/>
      <c r="F1196" s="12"/>
      <c r="G1196" s="12"/>
      <c r="H1196" s="12"/>
      <c r="I1196" s="12"/>
      <c r="J1196" s="12"/>
      <c r="K1196" s="12"/>
      <c r="L1196" s="12"/>
      <c r="M1196" s="12"/>
      <c r="N1196" s="12"/>
      <c r="O1196" s="12"/>
      <c r="P1196" s="12"/>
      <c r="Q1196" s="14"/>
    </row>
    <row r="1197" spans="2:17">
      <c r="B1197" s="12"/>
      <c r="C1197" s="12"/>
      <c r="D1197" s="12"/>
      <c r="E1197" s="12"/>
      <c r="F1197" s="12"/>
      <c r="G1197" s="12"/>
      <c r="H1197" s="12"/>
      <c r="I1197" s="12"/>
      <c r="J1197" s="12"/>
      <c r="K1197" s="12"/>
      <c r="L1197" s="12"/>
      <c r="M1197" s="12"/>
      <c r="N1197" s="12"/>
      <c r="O1197" s="12"/>
      <c r="P1197" s="12"/>
      <c r="Q1197" s="14"/>
    </row>
    <row r="1198" spans="2:17">
      <c r="B1198" s="12"/>
      <c r="C1198" s="12"/>
      <c r="D1198" s="12"/>
      <c r="E1198" s="12"/>
      <c r="F1198" s="12"/>
      <c r="G1198" s="12"/>
      <c r="H1198" s="12"/>
      <c r="I1198" s="12"/>
      <c r="J1198" s="12"/>
      <c r="K1198" s="12"/>
      <c r="L1198" s="12"/>
      <c r="M1198" s="12"/>
      <c r="N1198" s="12"/>
      <c r="O1198" s="12"/>
      <c r="P1198" s="12"/>
      <c r="Q1198" s="14"/>
    </row>
    <row r="1199" spans="2:17">
      <c r="B1199" s="12"/>
      <c r="C1199" s="12"/>
      <c r="D1199" s="12"/>
      <c r="E1199" s="12"/>
      <c r="F1199" s="12"/>
      <c r="G1199" s="12"/>
      <c r="H1199" s="12"/>
      <c r="I1199" s="12"/>
      <c r="J1199" s="12"/>
      <c r="K1199" s="12"/>
      <c r="L1199" s="12"/>
      <c r="M1199" s="12"/>
      <c r="N1199" s="12"/>
      <c r="O1199" s="12"/>
      <c r="P1199" s="12"/>
      <c r="Q1199" s="14"/>
    </row>
    <row r="1200" spans="2:17">
      <c r="B1200" s="12"/>
      <c r="C1200" s="12"/>
      <c r="D1200" s="12"/>
      <c r="E1200" s="12"/>
      <c r="F1200" s="12"/>
      <c r="G1200" s="12"/>
      <c r="H1200" s="12"/>
      <c r="I1200" s="12"/>
      <c r="J1200" s="12"/>
      <c r="K1200" s="12"/>
      <c r="L1200" s="12"/>
      <c r="M1200" s="12"/>
      <c r="N1200" s="12"/>
      <c r="O1200" s="12"/>
      <c r="P1200" s="12"/>
      <c r="Q1200" s="14"/>
    </row>
    <row r="1201" spans="2:17">
      <c r="B1201" s="12"/>
      <c r="C1201" s="12"/>
      <c r="D1201" s="12"/>
      <c r="E1201" s="12"/>
      <c r="F1201" s="12"/>
      <c r="G1201" s="12"/>
      <c r="H1201" s="12"/>
      <c r="I1201" s="12"/>
      <c r="J1201" s="12"/>
      <c r="K1201" s="12"/>
      <c r="L1201" s="12"/>
      <c r="M1201" s="12"/>
      <c r="N1201" s="12"/>
      <c r="O1201" s="12"/>
      <c r="P1201" s="12"/>
      <c r="Q1201" s="14"/>
    </row>
    <row r="1202" spans="2:17">
      <c r="B1202" s="12"/>
      <c r="C1202" s="12"/>
      <c r="D1202" s="12"/>
      <c r="E1202" s="12"/>
      <c r="F1202" s="12"/>
      <c r="G1202" s="12"/>
      <c r="H1202" s="12"/>
      <c r="I1202" s="12"/>
      <c r="J1202" s="12"/>
      <c r="K1202" s="12"/>
      <c r="L1202" s="12"/>
      <c r="M1202" s="12"/>
      <c r="N1202" s="12"/>
      <c r="O1202" s="12"/>
      <c r="P1202" s="12"/>
      <c r="Q1202" s="14"/>
    </row>
    <row r="1203" spans="2:17">
      <c r="B1203" s="12"/>
      <c r="C1203" s="12"/>
      <c r="D1203" s="12"/>
      <c r="E1203" s="12"/>
      <c r="F1203" s="12"/>
      <c r="G1203" s="12"/>
      <c r="H1203" s="12"/>
      <c r="I1203" s="12"/>
      <c r="J1203" s="12"/>
      <c r="K1203" s="12"/>
      <c r="L1203" s="12"/>
      <c r="M1203" s="12"/>
      <c r="N1203" s="12"/>
      <c r="O1203" s="12"/>
      <c r="P1203" s="12"/>
      <c r="Q1203" s="14"/>
    </row>
    <row r="1204" spans="2:17">
      <c r="B1204" s="12"/>
      <c r="C1204" s="12"/>
      <c r="D1204" s="12"/>
      <c r="E1204" s="12"/>
      <c r="F1204" s="12"/>
      <c r="G1204" s="12"/>
      <c r="H1204" s="12"/>
      <c r="I1204" s="12"/>
      <c r="J1204" s="12"/>
      <c r="K1204" s="12"/>
      <c r="L1204" s="12"/>
      <c r="M1204" s="12"/>
      <c r="N1204" s="12"/>
      <c r="O1204" s="12"/>
      <c r="P1204" s="12"/>
      <c r="Q1204" s="14"/>
    </row>
    <row r="1205" spans="2:17">
      <c r="B1205" s="12"/>
      <c r="C1205" s="12"/>
      <c r="D1205" s="12"/>
      <c r="E1205" s="12"/>
      <c r="F1205" s="12"/>
      <c r="G1205" s="12"/>
      <c r="H1205" s="12"/>
      <c r="I1205" s="12"/>
      <c r="J1205" s="12"/>
      <c r="K1205" s="12"/>
      <c r="L1205" s="12"/>
      <c r="M1205" s="12"/>
      <c r="N1205" s="12"/>
      <c r="O1205" s="12"/>
      <c r="P1205" s="12"/>
      <c r="Q1205" s="14"/>
    </row>
    <row r="1206" spans="2:17">
      <c r="B1206" s="12"/>
      <c r="C1206" s="12"/>
      <c r="D1206" s="12"/>
      <c r="E1206" s="12"/>
      <c r="F1206" s="12"/>
      <c r="G1206" s="12"/>
      <c r="H1206" s="12"/>
      <c r="I1206" s="12"/>
      <c r="J1206" s="12"/>
      <c r="K1206" s="12"/>
      <c r="L1206" s="12"/>
      <c r="M1206" s="12"/>
      <c r="N1206" s="12"/>
      <c r="O1206" s="12"/>
      <c r="P1206" s="12"/>
      <c r="Q1206" s="14"/>
    </row>
    <row r="1207" spans="2:17">
      <c r="B1207" s="12"/>
      <c r="C1207" s="12"/>
      <c r="D1207" s="12"/>
      <c r="E1207" s="12"/>
      <c r="F1207" s="12"/>
      <c r="G1207" s="12"/>
      <c r="H1207" s="12"/>
      <c r="I1207" s="12"/>
      <c r="J1207" s="12"/>
      <c r="K1207" s="12"/>
      <c r="L1207" s="12"/>
      <c r="M1207" s="12"/>
      <c r="N1207" s="12"/>
      <c r="O1207" s="12"/>
      <c r="P1207" s="12"/>
      <c r="Q1207" s="14"/>
    </row>
    <row r="1208" spans="2:17">
      <c r="B1208" s="12"/>
      <c r="C1208" s="12"/>
      <c r="D1208" s="12"/>
      <c r="E1208" s="12"/>
      <c r="F1208" s="12"/>
      <c r="G1208" s="12"/>
      <c r="H1208" s="12"/>
      <c r="I1208" s="12"/>
      <c r="J1208" s="12"/>
      <c r="K1208" s="12"/>
      <c r="L1208" s="12"/>
      <c r="M1208" s="12"/>
      <c r="N1208" s="12"/>
      <c r="O1208" s="12"/>
      <c r="P1208" s="12"/>
      <c r="Q1208" s="14"/>
    </row>
    <row r="1209" spans="2:17">
      <c r="B1209" s="12"/>
      <c r="C1209" s="12"/>
      <c r="D1209" s="12"/>
      <c r="E1209" s="12"/>
      <c r="F1209" s="12"/>
      <c r="G1209" s="12"/>
      <c r="H1209" s="12"/>
      <c r="I1209" s="12"/>
      <c r="J1209" s="12"/>
      <c r="K1209" s="12"/>
      <c r="L1209" s="12"/>
      <c r="M1209" s="12"/>
      <c r="N1209" s="12"/>
      <c r="O1209" s="12"/>
      <c r="P1209" s="12"/>
      <c r="Q1209" s="14"/>
    </row>
    <row r="1210" spans="2:17">
      <c r="B1210" s="12"/>
      <c r="C1210" s="12"/>
      <c r="D1210" s="12"/>
      <c r="E1210" s="12"/>
      <c r="F1210" s="12"/>
      <c r="G1210" s="12"/>
      <c r="H1210" s="12"/>
      <c r="I1210" s="12"/>
      <c r="J1210" s="12"/>
      <c r="K1210" s="12"/>
      <c r="L1210" s="12"/>
      <c r="M1210" s="12"/>
      <c r="N1210" s="12"/>
      <c r="O1210" s="12"/>
      <c r="P1210" s="12"/>
      <c r="Q1210" s="14"/>
    </row>
    <row r="1211" spans="2:17">
      <c r="B1211" s="12"/>
      <c r="C1211" s="12"/>
      <c r="D1211" s="12"/>
      <c r="E1211" s="12"/>
      <c r="F1211" s="12"/>
      <c r="G1211" s="12"/>
      <c r="H1211" s="12"/>
      <c r="I1211" s="12"/>
      <c r="J1211" s="12"/>
      <c r="K1211" s="12"/>
      <c r="L1211" s="12"/>
      <c r="M1211" s="12"/>
      <c r="N1211" s="12"/>
      <c r="O1211" s="12"/>
      <c r="P1211" s="12"/>
      <c r="Q1211" s="14"/>
    </row>
    <row r="1212" spans="2:17">
      <c r="B1212" s="12"/>
      <c r="C1212" s="12"/>
      <c r="D1212" s="12"/>
      <c r="E1212" s="12"/>
      <c r="F1212" s="12"/>
      <c r="G1212" s="12"/>
      <c r="H1212" s="12"/>
      <c r="I1212" s="12"/>
      <c r="J1212" s="12"/>
      <c r="K1212" s="12"/>
      <c r="L1212" s="12"/>
      <c r="M1212" s="12"/>
      <c r="N1212" s="12"/>
      <c r="O1212" s="12"/>
      <c r="P1212" s="12"/>
      <c r="Q1212" s="14"/>
    </row>
    <row r="1213" spans="2:17">
      <c r="B1213" s="12"/>
      <c r="C1213" s="12"/>
      <c r="D1213" s="12"/>
      <c r="E1213" s="12"/>
      <c r="F1213" s="12"/>
      <c r="G1213" s="12"/>
      <c r="H1213" s="12"/>
      <c r="I1213" s="12"/>
      <c r="J1213" s="12"/>
      <c r="K1213" s="12"/>
      <c r="L1213" s="12"/>
      <c r="M1213" s="12"/>
      <c r="N1213" s="12"/>
      <c r="O1213" s="12"/>
      <c r="P1213" s="12"/>
      <c r="Q1213" s="14"/>
    </row>
    <row r="1214" spans="2:17">
      <c r="B1214" s="12"/>
      <c r="C1214" s="12"/>
      <c r="D1214" s="12"/>
      <c r="E1214" s="12"/>
      <c r="F1214" s="12"/>
      <c r="G1214" s="12"/>
      <c r="H1214" s="12"/>
      <c r="I1214" s="12"/>
      <c r="J1214" s="12"/>
      <c r="K1214" s="12"/>
      <c r="L1214" s="12"/>
      <c r="M1214" s="12"/>
      <c r="N1214" s="12"/>
      <c r="O1214" s="12"/>
      <c r="P1214" s="12"/>
      <c r="Q1214" s="14"/>
    </row>
    <row r="1215" spans="2:17">
      <c r="B1215" s="12"/>
      <c r="C1215" s="12"/>
      <c r="D1215" s="12"/>
      <c r="E1215" s="12"/>
      <c r="F1215" s="12"/>
      <c r="G1215" s="12"/>
      <c r="H1215" s="12"/>
      <c r="I1215" s="12"/>
      <c r="J1215" s="12"/>
      <c r="K1215" s="12"/>
      <c r="L1215" s="12"/>
      <c r="M1215" s="12"/>
      <c r="N1215" s="12"/>
      <c r="O1215" s="12"/>
      <c r="P1215" s="12"/>
      <c r="Q1215" s="14"/>
    </row>
    <row r="1216" spans="2:17">
      <c r="B1216" s="12"/>
      <c r="C1216" s="12"/>
      <c r="D1216" s="12"/>
      <c r="E1216" s="12"/>
      <c r="F1216" s="12"/>
      <c r="G1216" s="12"/>
      <c r="H1216" s="12"/>
      <c r="I1216" s="12"/>
      <c r="J1216" s="12"/>
      <c r="K1216" s="12"/>
      <c r="L1216" s="12"/>
      <c r="M1216" s="12"/>
      <c r="N1216" s="12"/>
      <c r="O1216" s="12"/>
      <c r="P1216" s="12"/>
      <c r="Q1216" s="14"/>
    </row>
    <row r="1217" spans="2:17">
      <c r="B1217" s="12"/>
      <c r="C1217" s="12"/>
      <c r="D1217" s="12"/>
      <c r="E1217" s="12"/>
      <c r="F1217" s="12"/>
      <c r="G1217" s="12"/>
      <c r="H1217" s="12"/>
      <c r="I1217" s="12"/>
      <c r="J1217" s="12"/>
      <c r="K1217" s="12"/>
      <c r="L1217" s="12"/>
      <c r="M1217" s="12"/>
      <c r="N1217" s="12"/>
      <c r="O1217" s="12"/>
      <c r="P1217" s="12"/>
      <c r="Q1217" s="14"/>
    </row>
    <row r="1218" spans="2:17">
      <c r="B1218" s="12"/>
      <c r="C1218" s="12"/>
      <c r="D1218" s="12"/>
      <c r="E1218" s="12"/>
      <c r="F1218" s="12"/>
      <c r="G1218" s="12"/>
      <c r="H1218" s="12"/>
      <c r="I1218" s="12"/>
      <c r="J1218" s="12"/>
      <c r="K1218" s="12"/>
      <c r="L1218" s="12"/>
      <c r="M1218" s="12"/>
      <c r="N1218" s="12"/>
      <c r="O1218" s="12"/>
      <c r="P1218" s="12"/>
      <c r="Q1218" s="14"/>
    </row>
    <row r="1219" spans="2:17">
      <c r="B1219" s="12"/>
      <c r="C1219" s="12"/>
      <c r="D1219" s="12"/>
      <c r="E1219" s="12"/>
      <c r="F1219" s="12"/>
      <c r="G1219" s="12"/>
      <c r="H1219" s="12"/>
      <c r="I1219" s="12"/>
      <c r="J1219" s="12"/>
      <c r="K1219" s="12"/>
      <c r="L1219" s="12"/>
      <c r="M1219" s="12"/>
      <c r="N1219" s="12"/>
      <c r="O1219" s="12"/>
      <c r="P1219" s="12"/>
      <c r="Q1219" s="14"/>
    </row>
    <row r="1220" spans="2:17">
      <c r="B1220" s="12"/>
      <c r="C1220" s="12"/>
      <c r="D1220" s="12"/>
      <c r="E1220" s="12"/>
      <c r="F1220" s="12"/>
      <c r="G1220" s="12"/>
      <c r="H1220" s="12"/>
      <c r="I1220" s="12"/>
      <c r="J1220" s="12"/>
      <c r="K1220" s="12"/>
      <c r="L1220" s="12"/>
      <c r="M1220" s="12"/>
      <c r="N1220" s="12"/>
      <c r="O1220" s="12"/>
      <c r="P1220" s="12"/>
      <c r="Q1220" s="14"/>
    </row>
    <row r="1221" spans="2:17">
      <c r="B1221" s="12"/>
      <c r="C1221" s="12"/>
      <c r="D1221" s="12"/>
      <c r="E1221" s="12"/>
      <c r="F1221" s="12"/>
      <c r="G1221" s="12"/>
      <c r="H1221" s="12"/>
      <c r="I1221" s="12"/>
      <c r="J1221" s="12"/>
      <c r="K1221" s="12"/>
      <c r="L1221" s="12"/>
      <c r="M1221" s="12"/>
      <c r="N1221" s="12"/>
      <c r="O1221" s="12"/>
      <c r="P1221" s="12"/>
      <c r="Q1221" s="14"/>
    </row>
    <row r="1222" spans="2:17">
      <c r="B1222" s="12"/>
      <c r="C1222" s="12"/>
      <c r="D1222" s="12"/>
      <c r="E1222" s="12"/>
      <c r="F1222" s="12"/>
      <c r="G1222" s="12"/>
      <c r="H1222" s="12"/>
      <c r="I1222" s="12"/>
      <c r="J1222" s="12"/>
      <c r="K1222" s="12"/>
      <c r="L1222" s="12"/>
      <c r="M1222" s="12"/>
      <c r="N1222" s="12"/>
      <c r="O1222" s="12"/>
      <c r="P1222" s="12"/>
      <c r="Q1222" s="14"/>
    </row>
    <row r="1223" spans="2:17">
      <c r="B1223" s="12"/>
      <c r="C1223" s="12"/>
      <c r="D1223" s="12"/>
      <c r="E1223" s="12"/>
      <c r="F1223" s="12"/>
      <c r="G1223" s="12"/>
      <c r="H1223" s="12"/>
      <c r="I1223" s="12"/>
      <c r="J1223" s="12"/>
      <c r="K1223" s="12"/>
      <c r="L1223" s="12"/>
      <c r="M1223" s="12"/>
      <c r="N1223" s="12"/>
      <c r="O1223" s="12"/>
      <c r="P1223" s="12"/>
      <c r="Q1223" s="14"/>
    </row>
    <row r="1224" spans="2:17">
      <c r="B1224" s="12"/>
      <c r="C1224" s="12"/>
      <c r="D1224" s="12"/>
      <c r="E1224" s="12"/>
      <c r="F1224" s="12"/>
      <c r="G1224" s="12"/>
      <c r="H1224" s="12"/>
      <c r="I1224" s="12"/>
      <c r="J1224" s="12"/>
      <c r="K1224" s="12"/>
      <c r="L1224" s="12"/>
      <c r="M1224" s="12"/>
      <c r="N1224" s="12"/>
      <c r="O1224" s="12"/>
      <c r="P1224" s="12"/>
      <c r="Q1224" s="14"/>
    </row>
    <row r="1225" spans="2:17">
      <c r="B1225" s="12"/>
      <c r="C1225" s="12"/>
      <c r="D1225" s="12"/>
      <c r="E1225" s="12"/>
      <c r="F1225" s="12"/>
      <c r="G1225" s="12"/>
      <c r="H1225" s="12"/>
      <c r="I1225" s="12"/>
      <c r="J1225" s="12"/>
      <c r="K1225" s="12"/>
      <c r="L1225" s="12"/>
      <c r="M1225" s="12"/>
      <c r="N1225" s="12"/>
      <c r="O1225" s="12"/>
      <c r="P1225" s="12"/>
      <c r="Q1225" s="14"/>
    </row>
    <row r="1226" spans="2:17">
      <c r="B1226" s="12"/>
      <c r="C1226" s="12"/>
      <c r="D1226" s="12"/>
      <c r="E1226" s="12"/>
      <c r="F1226" s="12"/>
      <c r="G1226" s="12"/>
      <c r="H1226" s="12"/>
      <c r="I1226" s="12"/>
      <c r="J1226" s="12"/>
      <c r="K1226" s="12"/>
      <c r="L1226" s="12"/>
      <c r="M1226" s="12"/>
      <c r="N1226" s="12"/>
      <c r="O1226" s="12"/>
      <c r="P1226" s="12"/>
      <c r="Q1226" s="14"/>
    </row>
    <row r="1227" spans="2:17">
      <c r="B1227" s="12"/>
      <c r="C1227" s="12"/>
      <c r="D1227" s="12"/>
      <c r="E1227" s="12"/>
      <c r="F1227" s="12"/>
      <c r="G1227" s="12"/>
      <c r="H1227" s="12"/>
      <c r="I1227" s="12"/>
      <c r="J1227" s="12"/>
      <c r="K1227" s="12"/>
      <c r="L1227" s="12"/>
      <c r="M1227" s="12"/>
      <c r="N1227" s="12"/>
      <c r="O1227" s="12"/>
      <c r="P1227" s="12"/>
      <c r="Q1227" s="14"/>
    </row>
    <row r="1228" spans="2:17">
      <c r="B1228" s="12"/>
      <c r="C1228" s="12"/>
      <c r="D1228" s="12"/>
      <c r="E1228" s="12"/>
      <c r="F1228" s="12"/>
      <c r="G1228" s="12"/>
      <c r="H1228" s="12"/>
      <c r="I1228" s="12"/>
      <c r="J1228" s="12"/>
      <c r="K1228" s="12"/>
      <c r="L1228" s="12"/>
      <c r="M1228" s="12"/>
      <c r="N1228" s="12"/>
      <c r="O1228" s="12"/>
      <c r="P1228" s="12"/>
      <c r="Q1228" s="14"/>
    </row>
    <row r="1229" spans="2:17">
      <c r="B1229" s="12"/>
      <c r="C1229" s="12"/>
      <c r="D1229" s="12"/>
      <c r="E1229" s="12"/>
      <c r="F1229" s="12"/>
      <c r="G1229" s="12"/>
      <c r="H1229" s="12"/>
      <c r="I1229" s="12"/>
      <c r="J1229" s="12"/>
      <c r="K1229" s="12"/>
      <c r="L1229" s="12"/>
      <c r="M1229" s="12"/>
      <c r="N1229" s="12"/>
      <c r="O1229" s="12"/>
      <c r="P1229" s="12"/>
      <c r="Q1229" s="14"/>
    </row>
    <row r="1230" spans="2:17">
      <c r="B1230" s="12"/>
      <c r="C1230" s="12"/>
      <c r="D1230" s="12"/>
      <c r="E1230" s="12"/>
      <c r="F1230" s="12"/>
      <c r="G1230" s="12"/>
      <c r="H1230" s="12"/>
      <c r="I1230" s="12"/>
      <c r="J1230" s="12"/>
      <c r="K1230" s="12"/>
      <c r="L1230" s="12"/>
      <c r="M1230" s="12"/>
      <c r="N1230" s="12"/>
      <c r="O1230" s="12"/>
      <c r="P1230" s="12"/>
      <c r="Q1230" s="14"/>
    </row>
    <row r="1231" spans="2:17">
      <c r="B1231" s="12"/>
      <c r="C1231" s="12"/>
      <c r="D1231" s="12"/>
      <c r="E1231" s="12"/>
      <c r="F1231" s="12"/>
      <c r="G1231" s="12"/>
      <c r="H1231" s="12"/>
      <c r="I1231" s="12"/>
      <c r="J1231" s="12"/>
      <c r="K1231" s="12"/>
      <c r="L1231" s="12"/>
      <c r="M1231" s="12"/>
      <c r="N1231" s="12"/>
      <c r="O1231" s="12"/>
      <c r="P1231" s="12"/>
      <c r="Q1231" s="14"/>
    </row>
    <row r="1232" spans="2:17">
      <c r="B1232" s="12"/>
      <c r="C1232" s="12"/>
      <c r="D1232" s="12"/>
      <c r="E1232" s="12"/>
      <c r="F1232" s="12"/>
      <c r="G1232" s="12"/>
      <c r="H1232" s="12"/>
      <c r="I1232" s="12"/>
      <c r="J1232" s="12"/>
      <c r="K1232" s="12"/>
      <c r="L1232" s="12"/>
      <c r="M1232" s="12"/>
      <c r="N1232" s="12"/>
      <c r="O1232" s="12"/>
      <c r="P1232" s="12"/>
      <c r="Q1232" s="14"/>
    </row>
    <row r="1233" spans="2:17">
      <c r="B1233" s="12"/>
      <c r="C1233" s="12"/>
      <c r="D1233" s="12"/>
      <c r="E1233" s="12"/>
      <c r="F1233" s="12"/>
      <c r="G1233" s="12"/>
      <c r="H1233" s="12"/>
      <c r="I1233" s="12"/>
      <c r="J1233" s="12"/>
      <c r="K1233" s="12"/>
      <c r="L1233" s="12"/>
      <c r="M1233" s="12"/>
      <c r="N1233" s="12"/>
      <c r="O1233" s="12"/>
      <c r="P1233" s="12"/>
      <c r="Q1233" s="14"/>
    </row>
    <row r="1234" spans="2:17">
      <c r="B1234" s="12"/>
      <c r="C1234" s="12"/>
      <c r="D1234" s="12"/>
      <c r="E1234" s="12"/>
      <c r="F1234" s="12"/>
      <c r="G1234" s="12"/>
      <c r="H1234" s="12"/>
      <c r="I1234" s="12"/>
      <c r="J1234" s="12"/>
      <c r="K1234" s="12"/>
      <c r="L1234" s="12"/>
      <c r="M1234" s="12"/>
      <c r="N1234" s="12"/>
      <c r="O1234" s="12"/>
      <c r="P1234" s="12"/>
      <c r="Q1234" s="14"/>
    </row>
    <row r="1235" spans="2:17">
      <c r="B1235" s="12"/>
      <c r="C1235" s="12"/>
      <c r="D1235" s="12"/>
      <c r="E1235" s="12"/>
      <c r="F1235" s="12"/>
      <c r="G1235" s="12"/>
      <c r="H1235" s="12"/>
      <c r="I1235" s="12"/>
      <c r="J1235" s="12"/>
      <c r="K1235" s="12"/>
      <c r="L1235" s="12"/>
      <c r="M1235" s="12"/>
      <c r="N1235" s="12"/>
      <c r="O1235" s="12"/>
      <c r="P1235" s="12"/>
      <c r="Q1235" s="14"/>
    </row>
    <row r="1236" spans="2:17">
      <c r="B1236" s="12"/>
      <c r="C1236" s="12"/>
      <c r="D1236" s="12"/>
      <c r="E1236" s="12"/>
      <c r="F1236" s="12"/>
      <c r="G1236" s="12"/>
      <c r="H1236" s="12"/>
      <c r="I1236" s="12"/>
      <c r="J1236" s="12"/>
      <c r="K1236" s="12"/>
      <c r="L1236" s="12"/>
      <c r="M1236" s="12"/>
      <c r="N1236" s="12"/>
      <c r="O1236" s="12"/>
      <c r="P1236" s="12"/>
      <c r="Q1236" s="14"/>
    </row>
    <row r="1237" spans="2:17">
      <c r="B1237" s="12"/>
      <c r="C1237" s="12"/>
      <c r="D1237" s="12"/>
      <c r="E1237" s="12"/>
      <c r="F1237" s="12"/>
      <c r="G1237" s="12"/>
      <c r="H1237" s="12"/>
      <c r="I1237" s="12"/>
      <c r="J1237" s="12"/>
      <c r="K1237" s="12"/>
      <c r="L1237" s="12"/>
      <c r="M1237" s="12"/>
      <c r="N1237" s="12"/>
      <c r="O1237" s="12"/>
      <c r="P1237" s="12"/>
      <c r="Q1237" s="14"/>
    </row>
    <row r="1238" spans="2:17">
      <c r="B1238" s="12"/>
      <c r="C1238" s="12"/>
      <c r="D1238" s="12"/>
      <c r="E1238" s="12"/>
      <c r="F1238" s="12"/>
      <c r="G1238" s="12"/>
      <c r="H1238" s="12"/>
      <c r="I1238" s="12"/>
      <c r="J1238" s="12"/>
      <c r="K1238" s="12"/>
      <c r="L1238" s="12"/>
      <c r="M1238" s="12"/>
      <c r="N1238" s="12"/>
      <c r="O1238" s="12"/>
      <c r="P1238" s="12"/>
      <c r="Q1238" s="14"/>
    </row>
    <row r="1239" spans="2:17">
      <c r="B1239" s="12"/>
      <c r="C1239" s="12"/>
      <c r="D1239" s="12"/>
      <c r="E1239" s="12"/>
      <c r="F1239" s="12"/>
      <c r="G1239" s="12"/>
      <c r="H1239" s="12"/>
      <c r="I1239" s="12"/>
      <c r="J1239" s="12"/>
      <c r="K1239" s="12"/>
      <c r="L1239" s="12"/>
      <c r="M1239" s="12"/>
      <c r="N1239" s="12"/>
      <c r="O1239" s="12"/>
      <c r="P1239" s="12"/>
      <c r="Q1239" s="14"/>
    </row>
    <row r="1240" spans="2:17">
      <c r="B1240" s="12"/>
      <c r="C1240" s="12"/>
      <c r="D1240" s="12"/>
      <c r="E1240" s="12"/>
      <c r="F1240" s="12"/>
      <c r="G1240" s="12"/>
      <c r="H1240" s="12"/>
      <c r="I1240" s="12"/>
      <c r="J1240" s="12"/>
      <c r="K1240" s="12"/>
      <c r="L1240" s="12"/>
      <c r="M1240" s="12"/>
      <c r="N1240" s="12"/>
      <c r="O1240" s="12"/>
      <c r="P1240" s="12"/>
      <c r="Q1240" s="14"/>
    </row>
    <row r="1241" spans="2:17">
      <c r="B1241" s="12"/>
      <c r="C1241" s="12"/>
      <c r="D1241" s="12"/>
      <c r="E1241" s="12"/>
      <c r="F1241" s="12"/>
      <c r="G1241" s="12"/>
      <c r="H1241" s="12"/>
      <c r="I1241" s="12"/>
      <c r="J1241" s="12"/>
      <c r="K1241" s="12"/>
      <c r="L1241" s="12"/>
      <c r="M1241" s="12"/>
      <c r="N1241" s="12"/>
      <c r="O1241" s="12"/>
      <c r="P1241" s="12"/>
      <c r="Q1241" s="14"/>
    </row>
    <row r="1242" spans="2:17">
      <c r="B1242" s="12"/>
      <c r="C1242" s="12"/>
      <c r="D1242" s="12"/>
      <c r="E1242" s="12"/>
      <c r="F1242" s="12"/>
      <c r="G1242" s="12"/>
      <c r="H1242" s="12"/>
      <c r="I1242" s="12"/>
      <c r="J1242" s="12"/>
      <c r="K1242" s="12"/>
      <c r="L1242" s="12"/>
      <c r="M1242" s="12"/>
      <c r="N1242" s="12"/>
      <c r="O1242" s="12"/>
      <c r="P1242" s="12"/>
      <c r="Q1242" s="14"/>
    </row>
    <row r="1243" spans="2:17">
      <c r="B1243" s="12"/>
      <c r="C1243" s="12"/>
      <c r="D1243" s="12"/>
      <c r="E1243" s="12"/>
      <c r="F1243" s="12"/>
      <c r="G1243" s="12"/>
      <c r="H1243" s="12"/>
      <c r="I1243" s="12"/>
      <c r="J1243" s="12"/>
      <c r="K1243" s="12"/>
      <c r="L1243" s="12"/>
      <c r="M1243" s="12"/>
      <c r="N1243" s="12"/>
      <c r="O1243" s="12"/>
      <c r="P1243" s="12"/>
      <c r="Q1243" s="14"/>
    </row>
    <row r="1244" spans="2:17">
      <c r="B1244" s="12"/>
      <c r="C1244" s="12"/>
      <c r="D1244" s="12"/>
      <c r="E1244" s="12"/>
      <c r="F1244" s="12"/>
      <c r="G1244" s="12"/>
      <c r="H1244" s="12"/>
      <c r="I1244" s="12"/>
      <c r="J1244" s="12"/>
      <c r="K1244" s="12"/>
      <c r="L1244" s="12"/>
      <c r="M1244" s="12"/>
      <c r="N1244" s="12"/>
      <c r="O1244" s="12"/>
      <c r="P1244" s="12"/>
      <c r="Q1244" s="14"/>
    </row>
    <row r="1245" spans="2:17">
      <c r="B1245" s="12"/>
      <c r="C1245" s="12"/>
      <c r="D1245" s="12"/>
      <c r="E1245" s="12"/>
      <c r="F1245" s="12"/>
      <c r="G1245" s="12"/>
      <c r="H1245" s="12"/>
      <c r="I1245" s="12"/>
      <c r="J1245" s="12"/>
      <c r="K1245" s="12"/>
      <c r="L1245" s="12"/>
      <c r="M1245" s="12"/>
      <c r="N1245" s="12"/>
      <c r="O1245" s="12"/>
      <c r="P1245" s="12"/>
      <c r="Q1245" s="14"/>
    </row>
    <row r="1246" spans="2:17">
      <c r="B1246" s="12"/>
      <c r="C1246" s="12"/>
      <c r="D1246" s="12"/>
      <c r="E1246" s="12"/>
      <c r="F1246" s="12"/>
      <c r="G1246" s="12"/>
      <c r="H1246" s="12"/>
      <c r="I1246" s="12"/>
      <c r="J1246" s="12"/>
      <c r="K1246" s="12"/>
      <c r="L1246" s="12"/>
      <c r="M1246" s="12"/>
      <c r="N1246" s="12"/>
      <c r="O1246" s="12"/>
      <c r="P1246" s="12"/>
      <c r="Q1246" s="14"/>
    </row>
    <row r="1247" spans="2:17">
      <c r="B1247" s="12"/>
      <c r="C1247" s="12"/>
      <c r="D1247" s="12"/>
      <c r="E1247" s="12"/>
      <c r="F1247" s="12"/>
      <c r="G1247" s="12"/>
      <c r="H1247" s="12"/>
      <c r="I1247" s="12"/>
      <c r="J1247" s="12"/>
      <c r="K1247" s="12"/>
      <c r="L1247" s="12"/>
      <c r="M1247" s="12"/>
      <c r="N1247" s="12"/>
      <c r="O1247" s="12"/>
      <c r="P1247" s="12"/>
      <c r="Q1247" s="14"/>
    </row>
    <row r="1248" spans="2:17">
      <c r="B1248" s="12"/>
      <c r="C1248" s="12"/>
      <c r="D1248" s="12"/>
      <c r="E1248" s="12"/>
      <c r="F1248" s="12"/>
      <c r="G1248" s="12"/>
      <c r="H1248" s="12"/>
      <c r="I1248" s="12"/>
      <c r="J1248" s="12"/>
      <c r="K1248" s="12"/>
      <c r="L1248" s="12"/>
      <c r="M1248" s="12"/>
      <c r="N1248" s="12"/>
      <c r="O1248" s="12"/>
      <c r="P1248" s="12"/>
      <c r="Q1248" s="14"/>
    </row>
    <row r="1249" spans="2:17">
      <c r="B1249" s="12"/>
      <c r="C1249" s="12"/>
      <c r="D1249" s="12"/>
      <c r="E1249" s="12"/>
      <c r="F1249" s="12"/>
      <c r="G1249" s="12"/>
      <c r="H1249" s="12"/>
      <c r="I1249" s="12"/>
      <c r="J1249" s="12"/>
      <c r="K1249" s="12"/>
      <c r="L1249" s="12"/>
      <c r="M1249" s="12"/>
      <c r="N1249" s="12"/>
      <c r="O1249" s="12"/>
      <c r="P1249" s="12"/>
      <c r="Q1249" s="14"/>
    </row>
    <row r="1250" spans="2:17">
      <c r="B1250" s="12"/>
      <c r="C1250" s="12"/>
      <c r="D1250" s="12"/>
      <c r="E1250" s="12"/>
      <c r="F1250" s="12"/>
      <c r="G1250" s="12"/>
      <c r="H1250" s="12"/>
      <c r="I1250" s="12"/>
      <c r="J1250" s="12"/>
      <c r="K1250" s="12"/>
      <c r="L1250" s="12"/>
      <c r="M1250" s="12"/>
      <c r="N1250" s="12"/>
      <c r="O1250" s="12"/>
      <c r="P1250" s="12"/>
      <c r="Q1250" s="14"/>
    </row>
    <row r="1251" spans="2:17">
      <c r="B1251" s="12"/>
      <c r="C1251" s="12"/>
      <c r="D1251" s="12"/>
      <c r="E1251" s="12"/>
      <c r="F1251" s="12"/>
      <c r="G1251" s="12"/>
      <c r="H1251" s="12"/>
      <c r="I1251" s="12"/>
      <c r="J1251" s="12"/>
      <c r="K1251" s="12"/>
      <c r="L1251" s="12"/>
      <c r="M1251" s="12"/>
      <c r="N1251" s="12"/>
      <c r="O1251" s="12"/>
      <c r="P1251" s="12"/>
      <c r="Q1251" s="14"/>
    </row>
    <row r="1252" spans="2:17">
      <c r="B1252" s="12"/>
      <c r="C1252" s="12"/>
      <c r="D1252" s="12"/>
      <c r="E1252" s="12"/>
      <c r="F1252" s="12"/>
      <c r="G1252" s="12"/>
      <c r="H1252" s="12"/>
      <c r="I1252" s="12"/>
      <c r="J1252" s="12"/>
      <c r="K1252" s="12"/>
      <c r="L1252" s="12"/>
      <c r="M1252" s="12"/>
      <c r="N1252" s="12"/>
      <c r="O1252" s="12"/>
      <c r="P1252" s="12"/>
      <c r="Q1252" s="14"/>
    </row>
    <row r="1253" spans="2:17">
      <c r="B1253" s="12"/>
      <c r="C1253" s="12"/>
      <c r="D1253" s="12"/>
      <c r="E1253" s="12"/>
      <c r="F1253" s="12"/>
      <c r="G1253" s="12"/>
      <c r="H1253" s="12"/>
      <c r="I1253" s="12"/>
      <c r="J1253" s="12"/>
      <c r="K1253" s="12"/>
      <c r="L1253" s="12"/>
      <c r="M1253" s="12"/>
      <c r="N1253" s="12"/>
      <c r="O1253" s="12"/>
      <c r="P1253" s="12"/>
      <c r="Q1253" s="14"/>
    </row>
    <row r="1254" spans="2:17">
      <c r="B1254" s="12"/>
      <c r="C1254" s="12"/>
      <c r="D1254" s="12"/>
      <c r="E1254" s="12"/>
      <c r="F1254" s="12"/>
      <c r="G1254" s="12"/>
      <c r="H1254" s="12"/>
      <c r="I1254" s="12"/>
      <c r="J1254" s="12"/>
      <c r="K1254" s="12"/>
      <c r="L1254" s="12"/>
      <c r="M1254" s="12"/>
      <c r="N1254" s="12"/>
      <c r="O1254" s="12"/>
      <c r="P1254" s="12"/>
      <c r="Q1254" s="14"/>
    </row>
    <row r="1255" spans="2:17">
      <c r="B1255" s="12"/>
      <c r="C1255" s="12"/>
      <c r="D1255" s="12"/>
      <c r="E1255" s="12"/>
      <c r="F1255" s="12"/>
      <c r="G1255" s="12"/>
      <c r="H1255" s="12"/>
      <c r="I1255" s="12"/>
      <c r="J1255" s="12"/>
      <c r="K1255" s="12"/>
      <c r="L1255" s="12"/>
      <c r="M1255" s="12"/>
      <c r="N1255" s="12"/>
      <c r="O1255" s="12"/>
      <c r="P1255" s="12"/>
      <c r="Q1255" s="14"/>
    </row>
    <row r="1256" spans="2:17">
      <c r="B1256" s="12"/>
      <c r="C1256" s="12"/>
      <c r="D1256" s="12"/>
      <c r="E1256" s="12"/>
      <c r="F1256" s="12"/>
      <c r="G1256" s="12"/>
      <c r="H1256" s="12"/>
      <c r="I1256" s="12"/>
      <c r="J1256" s="12"/>
      <c r="K1256" s="12"/>
      <c r="L1256" s="12"/>
      <c r="M1256" s="12"/>
      <c r="N1256" s="12"/>
      <c r="O1256" s="12"/>
      <c r="P1256" s="12"/>
      <c r="Q1256" s="14"/>
    </row>
    <row r="1257" spans="2:17">
      <c r="B1257" s="12"/>
      <c r="C1257" s="12"/>
      <c r="D1257" s="12"/>
      <c r="E1257" s="12"/>
      <c r="F1257" s="12"/>
      <c r="G1257" s="12"/>
      <c r="H1257" s="12"/>
      <c r="I1257" s="12"/>
      <c r="J1257" s="12"/>
      <c r="K1257" s="12"/>
      <c r="L1257" s="12"/>
      <c r="M1257" s="12"/>
      <c r="N1257" s="12"/>
      <c r="O1257" s="12"/>
      <c r="P1257" s="12"/>
      <c r="Q1257" s="14"/>
    </row>
    <row r="1258" spans="2:17">
      <c r="B1258" s="12"/>
      <c r="C1258" s="12"/>
      <c r="D1258" s="12"/>
      <c r="E1258" s="12"/>
      <c r="F1258" s="12"/>
      <c r="G1258" s="12"/>
      <c r="H1258" s="12"/>
      <c r="I1258" s="12"/>
      <c r="J1258" s="12"/>
      <c r="K1258" s="12"/>
      <c r="L1258" s="12"/>
      <c r="M1258" s="12"/>
      <c r="N1258" s="12"/>
      <c r="O1258" s="12"/>
      <c r="P1258" s="12"/>
      <c r="Q1258" s="14"/>
    </row>
    <row r="1259" spans="2:17">
      <c r="B1259" s="12"/>
      <c r="C1259" s="12"/>
      <c r="D1259" s="12"/>
      <c r="E1259" s="12"/>
      <c r="F1259" s="12"/>
      <c r="G1259" s="12"/>
      <c r="H1259" s="12"/>
      <c r="I1259" s="12"/>
      <c r="J1259" s="12"/>
      <c r="K1259" s="12"/>
      <c r="L1259" s="12"/>
      <c r="M1259" s="12"/>
      <c r="N1259" s="12"/>
      <c r="O1259" s="12"/>
      <c r="P1259" s="12"/>
      <c r="Q1259" s="14"/>
    </row>
    <row r="1260" spans="2:17">
      <c r="B1260" s="12"/>
      <c r="C1260" s="12"/>
      <c r="D1260" s="12"/>
      <c r="E1260" s="12"/>
      <c r="F1260" s="12"/>
      <c r="G1260" s="12"/>
      <c r="H1260" s="12"/>
      <c r="I1260" s="12"/>
      <c r="J1260" s="12"/>
      <c r="K1260" s="12"/>
      <c r="L1260" s="12"/>
      <c r="M1260" s="12"/>
      <c r="N1260" s="12"/>
      <c r="O1260" s="12"/>
      <c r="P1260" s="12"/>
      <c r="Q1260" s="14"/>
    </row>
    <row r="1261" spans="2:17">
      <c r="B1261" s="12"/>
      <c r="C1261" s="12"/>
      <c r="D1261" s="12"/>
      <c r="E1261" s="12"/>
      <c r="F1261" s="12"/>
      <c r="G1261" s="12"/>
      <c r="H1261" s="12"/>
      <c r="I1261" s="12"/>
      <c r="J1261" s="12"/>
      <c r="K1261" s="12"/>
      <c r="L1261" s="12"/>
      <c r="M1261" s="12"/>
      <c r="N1261" s="12"/>
      <c r="O1261" s="12"/>
      <c r="P1261" s="12"/>
      <c r="Q1261" s="14"/>
    </row>
    <row r="1262" spans="2:17">
      <c r="B1262" s="12"/>
      <c r="C1262" s="12"/>
      <c r="D1262" s="12"/>
      <c r="E1262" s="12"/>
      <c r="F1262" s="12"/>
      <c r="G1262" s="12"/>
      <c r="H1262" s="12"/>
      <c r="I1262" s="12"/>
      <c r="J1262" s="12"/>
      <c r="K1262" s="12"/>
      <c r="L1262" s="12"/>
      <c r="M1262" s="12"/>
      <c r="N1262" s="12"/>
      <c r="O1262" s="12"/>
      <c r="P1262" s="12"/>
      <c r="Q1262" s="14"/>
    </row>
    <row r="1263" spans="2:17">
      <c r="B1263" s="12"/>
      <c r="C1263" s="12"/>
      <c r="D1263" s="12"/>
      <c r="E1263" s="12"/>
      <c r="F1263" s="12"/>
      <c r="G1263" s="12"/>
      <c r="H1263" s="12"/>
      <c r="I1263" s="12"/>
      <c r="J1263" s="12"/>
      <c r="K1263" s="12"/>
      <c r="L1263" s="12"/>
      <c r="M1263" s="12"/>
      <c r="N1263" s="12"/>
      <c r="O1263" s="12"/>
      <c r="P1263" s="12"/>
      <c r="Q1263" s="14"/>
    </row>
    <row r="1264" spans="2:17">
      <c r="B1264" s="12"/>
      <c r="C1264" s="12"/>
      <c r="D1264" s="12"/>
      <c r="E1264" s="12"/>
      <c r="F1264" s="12"/>
      <c r="G1264" s="12"/>
      <c r="H1264" s="12"/>
      <c r="I1264" s="12"/>
      <c r="J1264" s="12"/>
      <c r="K1264" s="12"/>
      <c r="L1264" s="12"/>
      <c r="M1264" s="12"/>
      <c r="N1264" s="12"/>
      <c r="O1264" s="12"/>
      <c r="P1264" s="12"/>
      <c r="Q1264" s="14"/>
    </row>
    <row r="1265" spans="2:17">
      <c r="B1265" s="12"/>
      <c r="C1265" s="12"/>
      <c r="D1265" s="12"/>
      <c r="E1265" s="12"/>
      <c r="F1265" s="12"/>
      <c r="G1265" s="12"/>
      <c r="H1265" s="12"/>
      <c r="I1265" s="12"/>
      <c r="J1265" s="12"/>
      <c r="K1265" s="12"/>
      <c r="L1265" s="12"/>
      <c r="M1265" s="12"/>
      <c r="N1265" s="12"/>
      <c r="O1265" s="12"/>
      <c r="P1265" s="12"/>
      <c r="Q1265" s="14"/>
    </row>
    <row r="1266" spans="2:17">
      <c r="B1266" s="12"/>
      <c r="C1266" s="12"/>
      <c r="D1266" s="12"/>
      <c r="E1266" s="12"/>
      <c r="F1266" s="12"/>
      <c r="G1266" s="12"/>
      <c r="H1266" s="12"/>
      <c r="I1266" s="12"/>
      <c r="J1266" s="12"/>
      <c r="K1266" s="12"/>
      <c r="L1266" s="12"/>
      <c r="M1266" s="12"/>
      <c r="N1266" s="12"/>
      <c r="O1266" s="12"/>
      <c r="P1266" s="12"/>
      <c r="Q1266" s="14"/>
    </row>
    <row r="1267" spans="2:17">
      <c r="B1267" s="12"/>
      <c r="C1267" s="12"/>
      <c r="D1267" s="12"/>
      <c r="E1267" s="12"/>
      <c r="F1267" s="12"/>
      <c r="G1267" s="12"/>
      <c r="H1267" s="12"/>
      <c r="I1267" s="12"/>
      <c r="J1267" s="12"/>
      <c r="K1267" s="12"/>
      <c r="L1267" s="12"/>
      <c r="M1267" s="12"/>
      <c r="N1267" s="12"/>
      <c r="O1267" s="12"/>
      <c r="P1267" s="12"/>
      <c r="Q1267" s="14"/>
    </row>
    <row r="1268" spans="2:17">
      <c r="B1268" s="12"/>
      <c r="C1268" s="12"/>
      <c r="D1268" s="12"/>
      <c r="E1268" s="12"/>
      <c r="F1268" s="12"/>
      <c r="G1268" s="12"/>
      <c r="H1268" s="12"/>
      <c r="I1268" s="12"/>
      <c r="J1268" s="12"/>
      <c r="K1268" s="12"/>
      <c r="L1268" s="12"/>
      <c r="M1268" s="12"/>
      <c r="N1268" s="12"/>
      <c r="O1268" s="12"/>
      <c r="P1268" s="12"/>
      <c r="Q1268" s="14"/>
    </row>
    <row r="1269" spans="2:17">
      <c r="B1269" s="12"/>
      <c r="C1269" s="12"/>
      <c r="D1269" s="12"/>
      <c r="E1269" s="12"/>
      <c r="F1269" s="12"/>
      <c r="G1269" s="12"/>
      <c r="H1269" s="12"/>
      <c r="I1269" s="12"/>
      <c r="J1269" s="12"/>
      <c r="K1269" s="12"/>
      <c r="L1269" s="12"/>
      <c r="M1269" s="12"/>
      <c r="N1269" s="12"/>
      <c r="O1269" s="12"/>
      <c r="P1269" s="12"/>
      <c r="Q1269" s="14"/>
    </row>
    <row r="1270" spans="2:17">
      <c r="B1270" s="12"/>
      <c r="C1270" s="12"/>
      <c r="D1270" s="12"/>
      <c r="E1270" s="12"/>
      <c r="F1270" s="12"/>
      <c r="G1270" s="12"/>
      <c r="H1270" s="12"/>
      <c r="I1270" s="12"/>
      <c r="J1270" s="12"/>
      <c r="K1270" s="12"/>
      <c r="L1270" s="12"/>
      <c r="M1270" s="12"/>
      <c r="N1270" s="12"/>
      <c r="O1270" s="12"/>
      <c r="P1270" s="12"/>
      <c r="Q1270" s="14"/>
    </row>
    <row r="1271" spans="2:17">
      <c r="B1271" s="12"/>
      <c r="C1271" s="12"/>
      <c r="D1271" s="12"/>
      <c r="E1271" s="12"/>
      <c r="F1271" s="12"/>
      <c r="G1271" s="12"/>
      <c r="H1271" s="12"/>
      <c r="I1271" s="12"/>
      <c r="J1271" s="12"/>
      <c r="K1271" s="12"/>
      <c r="L1271" s="12"/>
      <c r="M1271" s="12"/>
      <c r="N1271" s="12"/>
      <c r="O1271" s="12"/>
      <c r="P1271" s="12"/>
      <c r="Q1271" s="14"/>
    </row>
    <row r="1272" spans="2:17">
      <c r="B1272" s="12"/>
      <c r="C1272" s="12"/>
      <c r="D1272" s="12"/>
      <c r="E1272" s="12"/>
      <c r="F1272" s="12"/>
      <c r="G1272" s="12"/>
      <c r="H1272" s="12"/>
      <c r="I1272" s="12"/>
      <c r="J1272" s="12"/>
      <c r="K1272" s="12"/>
      <c r="L1272" s="12"/>
      <c r="M1272" s="12"/>
      <c r="N1272" s="12"/>
      <c r="O1272" s="12"/>
      <c r="P1272" s="12"/>
      <c r="Q1272" s="14"/>
    </row>
    <row r="1273" spans="2:17">
      <c r="B1273" s="12"/>
      <c r="C1273" s="12"/>
      <c r="D1273" s="12"/>
      <c r="E1273" s="12"/>
      <c r="F1273" s="12"/>
      <c r="G1273" s="12"/>
      <c r="H1273" s="12"/>
      <c r="I1273" s="12"/>
      <c r="J1273" s="12"/>
      <c r="K1273" s="12"/>
      <c r="L1273" s="12"/>
      <c r="M1273" s="12"/>
      <c r="N1273" s="12"/>
      <c r="O1273" s="12"/>
      <c r="P1273" s="12"/>
      <c r="Q1273" s="14"/>
    </row>
    <row r="1274" spans="2:17">
      <c r="B1274" s="12"/>
      <c r="C1274" s="12"/>
      <c r="D1274" s="12"/>
      <c r="E1274" s="12"/>
      <c r="F1274" s="12"/>
      <c r="G1274" s="12"/>
      <c r="H1274" s="12"/>
      <c r="I1274" s="12"/>
      <c r="J1274" s="12"/>
      <c r="K1274" s="12"/>
      <c r="L1274" s="12"/>
      <c r="M1274" s="12"/>
      <c r="N1274" s="12"/>
      <c r="O1274" s="12"/>
      <c r="P1274" s="12"/>
      <c r="Q1274" s="14"/>
    </row>
    <row r="1275" spans="2:17">
      <c r="B1275" s="12"/>
      <c r="C1275" s="12"/>
      <c r="D1275" s="12"/>
      <c r="E1275" s="12"/>
      <c r="F1275" s="12"/>
      <c r="G1275" s="12"/>
      <c r="H1275" s="12"/>
      <c r="I1275" s="12"/>
      <c r="J1275" s="12"/>
      <c r="K1275" s="12"/>
      <c r="L1275" s="12"/>
      <c r="M1275" s="12"/>
      <c r="N1275" s="12"/>
      <c r="O1275" s="12"/>
      <c r="P1275" s="12"/>
      <c r="Q1275" s="14"/>
    </row>
    <row r="1276" spans="2:17">
      <c r="B1276" s="12"/>
      <c r="C1276" s="12"/>
      <c r="D1276" s="12"/>
      <c r="E1276" s="12"/>
      <c r="F1276" s="12"/>
      <c r="G1276" s="12"/>
      <c r="H1276" s="12"/>
      <c r="I1276" s="12"/>
      <c r="J1276" s="12"/>
      <c r="K1276" s="12"/>
      <c r="L1276" s="12"/>
      <c r="M1276" s="12"/>
      <c r="N1276" s="12"/>
      <c r="O1276" s="12"/>
      <c r="P1276" s="12"/>
      <c r="Q1276" s="14"/>
    </row>
    <row r="1277" spans="2:17">
      <c r="B1277" s="12"/>
      <c r="C1277" s="12"/>
      <c r="D1277" s="12"/>
      <c r="E1277" s="12"/>
      <c r="F1277" s="12"/>
      <c r="G1277" s="12"/>
      <c r="H1277" s="12"/>
      <c r="I1277" s="12"/>
      <c r="J1277" s="12"/>
      <c r="K1277" s="12"/>
      <c r="L1277" s="12"/>
      <c r="M1277" s="12"/>
      <c r="N1277" s="12"/>
      <c r="O1277" s="12"/>
      <c r="P1277" s="12"/>
      <c r="Q1277" s="14"/>
    </row>
    <row r="1278" spans="2:17">
      <c r="B1278" s="12"/>
      <c r="C1278" s="12"/>
      <c r="D1278" s="12"/>
      <c r="E1278" s="12"/>
      <c r="F1278" s="12"/>
      <c r="G1278" s="12"/>
      <c r="H1278" s="12"/>
      <c r="I1278" s="12"/>
      <c r="J1278" s="12"/>
      <c r="K1278" s="12"/>
      <c r="L1278" s="12"/>
      <c r="M1278" s="12"/>
      <c r="N1278" s="12"/>
      <c r="O1278" s="12"/>
      <c r="P1278" s="12"/>
      <c r="Q1278" s="14"/>
    </row>
    <row r="1279" spans="2:17">
      <c r="B1279" s="12"/>
      <c r="C1279" s="12"/>
      <c r="D1279" s="12"/>
      <c r="E1279" s="12"/>
      <c r="F1279" s="12"/>
      <c r="G1279" s="12"/>
      <c r="H1279" s="12"/>
      <c r="I1279" s="12"/>
      <c r="J1279" s="12"/>
      <c r="K1279" s="12"/>
      <c r="L1279" s="12"/>
      <c r="M1279" s="12"/>
      <c r="N1279" s="12"/>
      <c r="O1279" s="12"/>
      <c r="P1279" s="12"/>
      <c r="Q1279" s="14"/>
    </row>
    <row r="1280" spans="2:17">
      <c r="B1280" s="12"/>
      <c r="C1280" s="12"/>
      <c r="D1280" s="12"/>
      <c r="E1280" s="12"/>
      <c r="F1280" s="12"/>
      <c r="G1280" s="12"/>
      <c r="H1280" s="12"/>
      <c r="I1280" s="12"/>
      <c r="J1280" s="12"/>
      <c r="K1280" s="12"/>
      <c r="L1280" s="12"/>
      <c r="M1280" s="12"/>
      <c r="N1280" s="12"/>
      <c r="O1280" s="12"/>
      <c r="P1280" s="12"/>
      <c r="Q1280" s="14"/>
    </row>
    <row r="1281" spans="2:17">
      <c r="B1281" s="12"/>
      <c r="C1281" s="12"/>
      <c r="D1281" s="12"/>
      <c r="E1281" s="12"/>
      <c r="F1281" s="12"/>
      <c r="G1281" s="12"/>
      <c r="H1281" s="12"/>
      <c r="I1281" s="12"/>
      <c r="J1281" s="12"/>
      <c r="K1281" s="12"/>
      <c r="L1281" s="12"/>
      <c r="M1281" s="12"/>
      <c r="N1281" s="12"/>
      <c r="O1281" s="12"/>
      <c r="P1281" s="12"/>
      <c r="Q1281" s="14"/>
    </row>
    <row r="1282" spans="2:17">
      <c r="B1282" s="12"/>
      <c r="C1282" s="12"/>
      <c r="D1282" s="12"/>
      <c r="E1282" s="12"/>
      <c r="F1282" s="12"/>
      <c r="G1282" s="12"/>
      <c r="H1282" s="12"/>
      <c r="I1282" s="12"/>
      <c r="J1282" s="12"/>
      <c r="K1282" s="12"/>
      <c r="L1282" s="12"/>
      <c r="M1282" s="12"/>
      <c r="N1282" s="12"/>
      <c r="O1282" s="12"/>
      <c r="P1282" s="12"/>
      <c r="Q1282" s="14"/>
    </row>
    <row r="1283" spans="2:17">
      <c r="B1283" s="12"/>
      <c r="C1283" s="12"/>
      <c r="D1283" s="12"/>
      <c r="E1283" s="12"/>
      <c r="F1283" s="12"/>
      <c r="G1283" s="12"/>
      <c r="H1283" s="12"/>
      <c r="I1283" s="12"/>
      <c r="J1283" s="12"/>
      <c r="K1283" s="12"/>
      <c r="L1283" s="12"/>
      <c r="M1283" s="12"/>
      <c r="N1283" s="12"/>
      <c r="O1283" s="12"/>
      <c r="P1283" s="12"/>
      <c r="Q1283" s="14"/>
    </row>
    <row r="1284" spans="2:17">
      <c r="B1284" s="12"/>
      <c r="C1284" s="12"/>
      <c r="D1284" s="12"/>
      <c r="E1284" s="12"/>
      <c r="F1284" s="12"/>
      <c r="G1284" s="12"/>
      <c r="H1284" s="12"/>
      <c r="I1284" s="12"/>
      <c r="J1284" s="12"/>
      <c r="K1284" s="12"/>
      <c r="L1284" s="12"/>
      <c r="M1284" s="12"/>
      <c r="N1284" s="12"/>
      <c r="O1284" s="12"/>
      <c r="P1284" s="12"/>
      <c r="Q1284" s="14"/>
    </row>
    <row r="1285" spans="2:17">
      <c r="B1285" s="12"/>
      <c r="C1285" s="12"/>
      <c r="D1285" s="12"/>
      <c r="E1285" s="12"/>
      <c r="F1285" s="12"/>
      <c r="G1285" s="12"/>
      <c r="H1285" s="12"/>
      <c r="I1285" s="12"/>
      <c r="J1285" s="12"/>
      <c r="K1285" s="12"/>
      <c r="L1285" s="12"/>
      <c r="M1285" s="12"/>
      <c r="N1285" s="12"/>
      <c r="O1285" s="12"/>
      <c r="P1285" s="12"/>
      <c r="Q1285" s="14"/>
    </row>
    <row r="1286" spans="2:17">
      <c r="B1286" s="12"/>
      <c r="C1286" s="12"/>
      <c r="D1286" s="12"/>
      <c r="E1286" s="12"/>
      <c r="F1286" s="12"/>
      <c r="G1286" s="12"/>
      <c r="H1286" s="12"/>
      <c r="I1286" s="12"/>
      <c r="J1286" s="12"/>
      <c r="K1286" s="12"/>
      <c r="L1286" s="12"/>
      <c r="M1286" s="12"/>
      <c r="N1286" s="12"/>
      <c r="O1286" s="12"/>
      <c r="P1286" s="12"/>
      <c r="Q1286" s="14"/>
    </row>
    <row r="1287" spans="2:17">
      <c r="B1287" s="12"/>
      <c r="C1287" s="12"/>
      <c r="D1287" s="12"/>
      <c r="E1287" s="12"/>
      <c r="F1287" s="12"/>
      <c r="G1287" s="12"/>
      <c r="H1287" s="12"/>
      <c r="I1287" s="12"/>
      <c r="J1287" s="12"/>
      <c r="K1287" s="12"/>
      <c r="L1287" s="12"/>
      <c r="M1287" s="12"/>
      <c r="N1287" s="12"/>
      <c r="O1287" s="12"/>
      <c r="P1287" s="12"/>
      <c r="Q1287" s="14"/>
    </row>
    <row r="1288" spans="2:17">
      <c r="B1288" s="12"/>
      <c r="C1288" s="12"/>
      <c r="D1288" s="12"/>
      <c r="E1288" s="12"/>
      <c r="F1288" s="12"/>
      <c r="G1288" s="12"/>
      <c r="H1288" s="12"/>
      <c r="I1288" s="12"/>
      <c r="J1288" s="12"/>
      <c r="K1288" s="12"/>
      <c r="L1288" s="12"/>
      <c r="M1288" s="12"/>
      <c r="N1288" s="12"/>
      <c r="O1288" s="12"/>
      <c r="P1288" s="12"/>
      <c r="Q1288" s="14"/>
    </row>
    <row r="1289" spans="2:17">
      <c r="B1289" s="12"/>
      <c r="C1289" s="12"/>
      <c r="D1289" s="12"/>
      <c r="E1289" s="12"/>
      <c r="F1289" s="12"/>
      <c r="G1289" s="12"/>
      <c r="H1289" s="12"/>
      <c r="I1289" s="12"/>
      <c r="J1289" s="12"/>
      <c r="K1289" s="12"/>
      <c r="L1289" s="12"/>
      <c r="M1289" s="12"/>
      <c r="N1289" s="12"/>
      <c r="O1289" s="12"/>
      <c r="P1289" s="12"/>
      <c r="Q1289" s="14"/>
    </row>
    <row r="1290" spans="2:17">
      <c r="B1290" s="12"/>
      <c r="C1290" s="12"/>
      <c r="D1290" s="12"/>
      <c r="E1290" s="12"/>
      <c r="F1290" s="12"/>
      <c r="G1290" s="12"/>
      <c r="H1290" s="12"/>
      <c r="I1290" s="12"/>
      <c r="J1290" s="12"/>
      <c r="K1290" s="12"/>
      <c r="L1290" s="12"/>
      <c r="M1290" s="12"/>
      <c r="N1290" s="12"/>
      <c r="O1290" s="12"/>
      <c r="P1290" s="12"/>
      <c r="Q1290" s="14"/>
    </row>
    <row r="1291" spans="2:17">
      <c r="B1291" s="12"/>
      <c r="C1291" s="12"/>
      <c r="D1291" s="12"/>
      <c r="E1291" s="12"/>
      <c r="F1291" s="12"/>
      <c r="G1291" s="12"/>
      <c r="H1291" s="12"/>
      <c r="I1291" s="12"/>
      <c r="J1291" s="12"/>
      <c r="K1291" s="12"/>
      <c r="L1291" s="12"/>
      <c r="M1291" s="12"/>
      <c r="N1291" s="12"/>
      <c r="O1291" s="12"/>
      <c r="P1291" s="12"/>
      <c r="Q1291" s="14"/>
    </row>
    <row r="1292" spans="2:17">
      <c r="B1292" s="12"/>
      <c r="C1292" s="12"/>
      <c r="D1292" s="12"/>
      <c r="E1292" s="12"/>
      <c r="F1292" s="12"/>
      <c r="G1292" s="12"/>
      <c r="H1292" s="12"/>
      <c r="I1292" s="12"/>
      <c r="J1292" s="12"/>
      <c r="K1292" s="12"/>
      <c r="L1292" s="12"/>
      <c r="M1292" s="12"/>
      <c r="N1292" s="12"/>
      <c r="O1292" s="12"/>
      <c r="P1292" s="12"/>
      <c r="Q1292" s="14"/>
    </row>
    <row r="1293" spans="2:17">
      <c r="B1293" s="12"/>
      <c r="C1293" s="12"/>
      <c r="D1293" s="12"/>
      <c r="E1293" s="12"/>
      <c r="F1293" s="12"/>
      <c r="G1293" s="12"/>
      <c r="H1293" s="12"/>
      <c r="I1293" s="12"/>
      <c r="J1293" s="12"/>
      <c r="K1293" s="12"/>
      <c r="L1293" s="12"/>
      <c r="M1293" s="12"/>
      <c r="N1293" s="12"/>
      <c r="O1293" s="12"/>
      <c r="P1293" s="12"/>
      <c r="Q1293" s="14"/>
    </row>
    <row r="1294" spans="2:17">
      <c r="B1294" s="12"/>
      <c r="C1294" s="12"/>
      <c r="D1294" s="12"/>
      <c r="E1294" s="12"/>
      <c r="F1294" s="12"/>
      <c r="G1294" s="12"/>
      <c r="H1294" s="12"/>
      <c r="I1294" s="12"/>
      <c r="J1294" s="12"/>
      <c r="K1294" s="12"/>
      <c r="L1294" s="12"/>
      <c r="M1294" s="12"/>
      <c r="N1294" s="12"/>
      <c r="O1294" s="12"/>
      <c r="P1294" s="12"/>
      <c r="Q1294" s="14"/>
    </row>
    <row r="1295" spans="2:17">
      <c r="B1295" s="12"/>
      <c r="C1295" s="12"/>
      <c r="D1295" s="12"/>
      <c r="E1295" s="12"/>
      <c r="F1295" s="12"/>
      <c r="G1295" s="12"/>
      <c r="H1295" s="12"/>
      <c r="I1295" s="12"/>
      <c r="J1295" s="12"/>
      <c r="K1295" s="12"/>
      <c r="L1295" s="12"/>
      <c r="M1295" s="12"/>
      <c r="N1295" s="12"/>
      <c r="O1295" s="12"/>
      <c r="P1295" s="12"/>
      <c r="Q1295" s="14"/>
    </row>
    <row r="1296" spans="2:17">
      <c r="B1296" s="12"/>
      <c r="C1296" s="12"/>
      <c r="D1296" s="12"/>
      <c r="E1296" s="12"/>
      <c r="F1296" s="12"/>
      <c r="G1296" s="12"/>
      <c r="H1296" s="12"/>
      <c r="I1296" s="12"/>
      <c r="J1296" s="12"/>
      <c r="K1296" s="12"/>
      <c r="L1296" s="12"/>
      <c r="M1296" s="12"/>
      <c r="N1296" s="12"/>
      <c r="O1296" s="12"/>
      <c r="P1296" s="12"/>
      <c r="Q1296" s="14"/>
    </row>
    <row r="1297" spans="2:17">
      <c r="B1297" s="12"/>
      <c r="C1297" s="12"/>
      <c r="D1297" s="12"/>
      <c r="E1297" s="12"/>
      <c r="F1297" s="12"/>
      <c r="G1297" s="12"/>
      <c r="H1297" s="12"/>
      <c r="I1297" s="12"/>
      <c r="J1297" s="12"/>
      <c r="K1297" s="12"/>
      <c r="L1297" s="12"/>
      <c r="M1297" s="12"/>
      <c r="N1297" s="12"/>
      <c r="O1297" s="12"/>
      <c r="P1297" s="12"/>
      <c r="Q1297" s="14"/>
    </row>
    <row r="1298" spans="2:17">
      <c r="B1298" s="12"/>
      <c r="C1298" s="12"/>
      <c r="D1298" s="12"/>
      <c r="E1298" s="12"/>
      <c r="F1298" s="12"/>
      <c r="G1298" s="12"/>
      <c r="H1298" s="12"/>
      <c r="I1298" s="12"/>
      <c r="J1298" s="12"/>
      <c r="K1298" s="12"/>
      <c r="L1298" s="12"/>
      <c r="M1298" s="12"/>
      <c r="N1298" s="12"/>
      <c r="O1298" s="12"/>
      <c r="P1298" s="12"/>
      <c r="Q1298" s="14"/>
    </row>
    <row r="1299" spans="2:17">
      <c r="B1299" s="12"/>
      <c r="C1299" s="12"/>
      <c r="D1299" s="12"/>
      <c r="E1299" s="12"/>
      <c r="F1299" s="12"/>
      <c r="G1299" s="12"/>
      <c r="H1299" s="12"/>
      <c r="I1299" s="12"/>
      <c r="J1299" s="12"/>
      <c r="K1299" s="12"/>
      <c r="L1299" s="12"/>
      <c r="M1299" s="12"/>
      <c r="N1299" s="12"/>
      <c r="O1299" s="12"/>
      <c r="P1299" s="12"/>
      <c r="Q1299" s="14"/>
    </row>
    <row r="1300" spans="2:17">
      <c r="B1300" s="12"/>
      <c r="C1300" s="12"/>
      <c r="D1300" s="12"/>
      <c r="E1300" s="12"/>
      <c r="F1300" s="12"/>
      <c r="G1300" s="12"/>
      <c r="H1300" s="12"/>
      <c r="I1300" s="12"/>
      <c r="J1300" s="12"/>
      <c r="K1300" s="12"/>
      <c r="L1300" s="12"/>
      <c r="M1300" s="12"/>
      <c r="N1300" s="12"/>
      <c r="O1300" s="12"/>
      <c r="P1300" s="12"/>
      <c r="Q1300" s="14"/>
    </row>
    <row r="1301" spans="2:17">
      <c r="B1301" s="12"/>
      <c r="C1301" s="12"/>
      <c r="D1301" s="12"/>
      <c r="E1301" s="12"/>
      <c r="F1301" s="12"/>
      <c r="G1301" s="12"/>
      <c r="H1301" s="12"/>
      <c r="I1301" s="12"/>
      <c r="J1301" s="12"/>
      <c r="K1301" s="12"/>
      <c r="L1301" s="12"/>
      <c r="M1301" s="12"/>
      <c r="N1301" s="12"/>
      <c r="O1301" s="12"/>
      <c r="P1301" s="12"/>
      <c r="Q1301" s="14"/>
    </row>
    <row r="1302" spans="2:17">
      <c r="B1302" s="12"/>
      <c r="C1302" s="12"/>
      <c r="D1302" s="12"/>
      <c r="E1302" s="12"/>
      <c r="F1302" s="12"/>
      <c r="G1302" s="12"/>
      <c r="H1302" s="12"/>
      <c r="I1302" s="12"/>
      <c r="J1302" s="12"/>
      <c r="K1302" s="12"/>
      <c r="L1302" s="12"/>
      <c r="M1302" s="12"/>
      <c r="N1302" s="12"/>
      <c r="O1302" s="12"/>
      <c r="P1302" s="12"/>
      <c r="Q1302" s="14"/>
    </row>
    <row r="1303" spans="2:17">
      <c r="B1303" s="12"/>
      <c r="C1303" s="12"/>
      <c r="D1303" s="12"/>
      <c r="E1303" s="12"/>
      <c r="F1303" s="12"/>
      <c r="G1303" s="12"/>
      <c r="H1303" s="12"/>
      <c r="I1303" s="12"/>
      <c r="J1303" s="12"/>
      <c r="K1303" s="12"/>
      <c r="L1303" s="12"/>
      <c r="M1303" s="12"/>
      <c r="N1303" s="12"/>
      <c r="O1303" s="12"/>
      <c r="P1303" s="12"/>
      <c r="Q1303" s="14"/>
    </row>
    <row r="1304" spans="2:17">
      <c r="B1304" s="12"/>
      <c r="C1304" s="12"/>
      <c r="D1304" s="12"/>
      <c r="E1304" s="12"/>
      <c r="F1304" s="12"/>
      <c r="G1304" s="12"/>
      <c r="H1304" s="12"/>
      <c r="I1304" s="12"/>
      <c r="J1304" s="12"/>
      <c r="K1304" s="12"/>
      <c r="L1304" s="12"/>
      <c r="M1304" s="12"/>
      <c r="N1304" s="12"/>
      <c r="O1304" s="12"/>
      <c r="P1304" s="12"/>
      <c r="Q1304" s="14"/>
    </row>
    <row r="1305" spans="2:17">
      <c r="B1305" s="12"/>
      <c r="C1305" s="12"/>
      <c r="D1305" s="12"/>
      <c r="E1305" s="12"/>
      <c r="F1305" s="12"/>
      <c r="G1305" s="12"/>
      <c r="H1305" s="12"/>
      <c r="I1305" s="12"/>
      <c r="J1305" s="12"/>
      <c r="K1305" s="12"/>
      <c r="L1305" s="12"/>
      <c r="M1305" s="12"/>
      <c r="N1305" s="12"/>
      <c r="O1305" s="12"/>
      <c r="P1305" s="12"/>
      <c r="Q1305" s="14"/>
    </row>
    <row r="1306" spans="2:17">
      <c r="B1306" s="12"/>
      <c r="C1306" s="12"/>
      <c r="D1306" s="12"/>
      <c r="E1306" s="12"/>
      <c r="F1306" s="12"/>
      <c r="G1306" s="12"/>
      <c r="H1306" s="12"/>
      <c r="I1306" s="12"/>
      <c r="J1306" s="12"/>
      <c r="K1306" s="12"/>
      <c r="L1306" s="12"/>
      <c r="M1306" s="12"/>
      <c r="N1306" s="12"/>
      <c r="O1306" s="12"/>
      <c r="P1306" s="12"/>
      <c r="Q1306" s="14"/>
    </row>
    <row r="1307" spans="2:17">
      <c r="B1307" s="14"/>
      <c r="C1307" s="14"/>
      <c r="D1307" s="14"/>
      <c r="E1307" s="14"/>
      <c r="F1307" s="14"/>
      <c r="G1307" s="14"/>
      <c r="H1307" s="14"/>
      <c r="I1307" s="14"/>
      <c r="J1307" s="14"/>
      <c r="K1307" s="14"/>
      <c r="L1307" s="14"/>
      <c r="M1307" s="14"/>
      <c r="N1307" s="14"/>
      <c r="O1307" s="14"/>
      <c r="P1307" s="14"/>
      <c r="Q1307" s="14"/>
    </row>
    <row r="1308" spans="2:17">
      <c r="B1308" s="14"/>
      <c r="C1308" s="14"/>
      <c r="D1308" s="14"/>
      <c r="E1308" s="14"/>
      <c r="F1308" s="14"/>
      <c r="G1308" s="14"/>
      <c r="H1308" s="14"/>
      <c r="I1308" s="14"/>
      <c r="J1308" s="14"/>
      <c r="K1308" s="14"/>
      <c r="L1308" s="14"/>
      <c r="M1308" s="14"/>
      <c r="N1308" s="14"/>
      <c r="O1308" s="14"/>
      <c r="P1308" s="14"/>
      <c r="Q1308" s="14"/>
    </row>
    <row r="1309" spans="2:17">
      <c r="B1309" s="14"/>
      <c r="C1309" s="14"/>
      <c r="D1309" s="14"/>
      <c r="E1309" s="14"/>
      <c r="F1309" s="14"/>
      <c r="G1309" s="14"/>
      <c r="H1309" s="14"/>
      <c r="I1309" s="14"/>
      <c r="J1309" s="14"/>
      <c r="K1309" s="14"/>
      <c r="L1309" s="14"/>
      <c r="M1309" s="14"/>
      <c r="N1309" s="14"/>
      <c r="O1309" s="14"/>
      <c r="P1309" s="14"/>
      <c r="Q1309" s="14"/>
    </row>
    <row r="1310" spans="2:17">
      <c r="B1310" s="14"/>
      <c r="C1310" s="14"/>
      <c r="D1310" s="14"/>
      <c r="E1310" s="14"/>
      <c r="F1310" s="14"/>
      <c r="G1310" s="14"/>
      <c r="H1310" s="14"/>
      <c r="I1310" s="14"/>
      <c r="J1310" s="14"/>
      <c r="K1310" s="14"/>
      <c r="L1310" s="14"/>
      <c r="M1310" s="14"/>
      <c r="N1310" s="14"/>
      <c r="O1310" s="14"/>
      <c r="P1310" s="14"/>
      <c r="Q1310" s="14"/>
    </row>
    <row r="1311" spans="2:17">
      <c r="B1311" s="14"/>
      <c r="C1311" s="14"/>
      <c r="D1311" s="14"/>
      <c r="E1311" s="14"/>
      <c r="F1311" s="14"/>
      <c r="G1311" s="14"/>
      <c r="H1311" s="14"/>
      <c r="I1311" s="14"/>
      <c r="J1311" s="14"/>
      <c r="K1311" s="14"/>
      <c r="L1311" s="14"/>
      <c r="M1311" s="14"/>
      <c r="N1311" s="14"/>
      <c r="O1311" s="14"/>
      <c r="P1311" s="14"/>
      <c r="Q1311" s="14"/>
    </row>
    <row r="1312" spans="2:17">
      <c r="B1312" s="14"/>
      <c r="C1312" s="14"/>
      <c r="D1312" s="14"/>
      <c r="E1312" s="14"/>
      <c r="F1312" s="14"/>
      <c r="G1312" s="14"/>
      <c r="H1312" s="14"/>
      <c r="I1312" s="14"/>
      <c r="J1312" s="14"/>
      <c r="K1312" s="14"/>
      <c r="L1312" s="14"/>
      <c r="M1312" s="14"/>
      <c r="N1312" s="14"/>
      <c r="O1312" s="14"/>
      <c r="P1312" s="14"/>
      <c r="Q1312" s="14"/>
    </row>
    <row r="1313" spans="2:17">
      <c r="B1313" s="14"/>
      <c r="C1313" s="14"/>
      <c r="D1313" s="14"/>
      <c r="E1313" s="14"/>
      <c r="F1313" s="14"/>
      <c r="G1313" s="14"/>
      <c r="H1313" s="14"/>
      <c r="I1313" s="14"/>
      <c r="J1313" s="14"/>
      <c r="K1313" s="14"/>
      <c r="L1313" s="14"/>
      <c r="M1313" s="14"/>
      <c r="N1313" s="14"/>
      <c r="O1313" s="14"/>
      <c r="P1313" s="14"/>
      <c r="Q1313" s="14"/>
    </row>
    <row r="1314" spans="2:17">
      <c r="B1314" s="14"/>
      <c r="C1314" s="14"/>
      <c r="D1314" s="14"/>
      <c r="E1314" s="14"/>
      <c r="F1314" s="14"/>
      <c r="G1314" s="14"/>
      <c r="H1314" s="14"/>
      <c r="I1314" s="14"/>
      <c r="J1314" s="14"/>
      <c r="K1314" s="14"/>
      <c r="L1314" s="14"/>
      <c r="M1314" s="14"/>
      <c r="N1314" s="14"/>
      <c r="O1314" s="14"/>
      <c r="P1314" s="14"/>
      <c r="Q1314" s="14"/>
    </row>
    <row r="1315" spans="2:17">
      <c r="B1315" s="14"/>
      <c r="C1315" s="14"/>
      <c r="D1315" s="14"/>
      <c r="E1315" s="14"/>
      <c r="F1315" s="14"/>
      <c r="G1315" s="14"/>
      <c r="H1315" s="14"/>
      <c r="I1315" s="14"/>
      <c r="J1315" s="14"/>
      <c r="K1315" s="14"/>
      <c r="L1315" s="14"/>
      <c r="M1315" s="14"/>
      <c r="N1315" s="14"/>
      <c r="O1315" s="14"/>
      <c r="P1315" s="14"/>
      <c r="Q1315" s="14"/>
    </row>
    <row r="1316" spans="2:17">
      <c r="B1316" s="14"/>
      <c r="C1316" s="14"/>
      <c r="D1316" s="14"/>
      <c r="E1316" s="14"/>
      <c r="F1316" s="14"/>
      <c r="G1316" s="14"/>
      <c r="H1316" s="14"/>
      <c r="I1316" s="14"/>
      <c r="J1316" s="14"/>
      <c r="K1316" s="14"/>
      <c r="L1316" s="14"/>
      <c r="M1316" s="14"/>
      <c r="N1316" s="14"/>
      <c r="O1316" s="14"/>
      <c r="P1316" s="14"/>
      <c r="Q1316" s="14"/>
    </row>
    <row r="1317" spans="2:17">
      <c r="B1317" s="14"/>
      <c r="C1317" s="14"/>
      <c r="D1317" s="14"/>
      <c r="E1317" s="14"/>
      <c r="F1317" s="14"/>
      <c r="G1317" s="14"/>
      <c r="H1317" s="14"/>
      <c r="I1317" s="14"/>
      <c r="J1317" s="14"/>
      <c r="K1317" s="14"/>
      <c r="L1317" s="14"/>
      <c r="M1317" s="14"/>
      <c r="N1317" s="14"/>
      <c r="O1317" s="14"/>
      <c r="P1317" s="14"/>
      <c r="Q1317" s="14"/>
    </row>
    <row r="1318" spans="2:17">
      <c r="B1318" s="14"/>
      <c r="C1318" s="14"/>
      <c r="D1318" s="14"/>
      <c r="E1318" s="14"/>
      <c r="F1318" s="14"/>
      <c r="G1318" s="14"/>
      <c r="H1318" s="14"/>
      <c r="I1318" s="14"/>
      <c r="J1318" s="14"/>
      <c r="K1318" s="14"/>
      <c r="L1318" s="14"/>
      <c r="M1318" s="14"/>
      <c r="N1318" s="14"/>
      <c r="O1318" s="14"/>
      <c r="P1318" s="14"/>
      <c r="Q1318" s="14"/>
    </row>
    <row r="1319" spans="2:17">
      <c r="B1319" s="14"/>
      <c r="C1319" s="14"/>
      <c r="D1319" s="14"/>
      <c r="E1319" s="14"/>
      <c r="F1319" s="14"/>
      <c r="G1319" s="14"/>
      <c r="H1319" s="14"/>
      <c r="I1319" s="14"/>
      <c r="J1319" s="14"/>
      <c r="K1319" s="14"/>
      <c r="L1319" s="14"/>
      <c r="M1319" s="14"/>
      <c r="N1319" s="14"/>
      <c r="O1319" s="14"/>
      <c r="P1319" s="14"/>
      <c r="Q1319" s="14"/>
    </row>
    <row r="1320" spans="2:17">
      <c r="B1320" s="14"/>
      <c r="C1320" s="14"/>
      <c r="D1320" s="14"/>
      <c r="E1320" s="14"/>
      <c r="F1320" s="14"/>
      <c r="G1320" s="14"/>
      <c r="H1320" s="14"/>
      <c r="I1320" s="14"/>
      <c r="J1320" s="14"/>
      <c r="K1320" s="14"/>
      <c r="L1320" s="14"/>
      <c r="M1320" s="14"/>
      <c r="N1320" s="14"/>
      <c r="O1320" s="14"/>
      <c r="P1320" s="14"/>
      <c r="Q1320" s="14"/>
    </row>
    <row r="1321" spans="2:17">
      <c r="B1321" s="14"/>
      <c r="C1321" s="14"/>
      <c r="D1321" s="14"/>
      <c r="E1321" s="14"/>
      <c r="F1321" s="14"/>
      <c r="G1321" s="14"/>
      <c r="H1321" s="14"/>
      <c r="I1321" s="14"/>
      <c r="J1321" s="14"/>
      <c r="K1321" s="14"/>
      <c r="L1321" s="14"/>
      <c r="M1321" s="14"/>
      <c r="N1321" s="14"/>
      <c r="O1321" s="14"/>
      <c r="P1321" s="14"/>
      <c r="Q1321" s="14"/>
    </row>
    <row r="1322" spans="2:17">
      <c r="B1322" s="14"/>
      <c r="C1322" s="14"/>
      <c r="D1322" s="14"/>
      <c r="E1322" s="14"/>
      <c r="F1322" s="14"/>
      <c r="G1322" s="14"/>
      <c r="H1322" s="14"/>
      <c r="I1322" s="14"/>
      <c r="J1322" s="14"/>
      <c r="K1322" s="14"/>
      <c r="L1322" s="14"/>
      <c r="M1322" s="14"/>
      <c r="N1322" s="14"/>
      <c r="O1322" s="14"/>
      <c r="P1322" s="14"/>
      <c r="Q1322" s="14"/>
    </row>
    <row r="1323" spans="2:17">
      <c r="B1323" s="14"/>
      <c r="C1323" s="14"/>
      <c r="D1323" s="14"/>
      <c r="E1323" s="14"/>
      <c r="F1323" s="14"/>
      <c r="G1323" s="14"/>
      <c r="H1323" s="14"/>
      <c r="I1323" s="14"/>
      <c r="J1323" s="14"/>
      <c r="K1323" s="14"/>
      <c r="L1323" s="14"/>
      <c r="M1323" s="14"/>
      <c r="N1323" s="14"/>
      <c r="O1323" s="14"/>
      <c r="P1323" s="14"/>
      <c r="Q1323" s="14"/>
    </row>
    <row r="1324" spans="2:17">
      <c r="B1324" s="14"/>
      <c r="C1324" s="14"/>
      <c r="D1324" s="14"/>
      <c r="E1324" s="14"/>
      <c r="F1324" s="14"/>
      <c r="G1324" s="14"/>
      <c r="H1324" s="14"/>
      <c r="I1324" s="14"/>
      <c r="J1324" s="14"/>
      <c r="K1324" s="14"/>
      <c r="L1324" s="14"/>
      <c r="M1324" s="14"/>
      <c r="N1324" s="14"/>
      <c r="O1324" s="14"/>
      <c r="P1324" s="14"/>
      <c r="Q1324" s="14"/>
    </row>
    <row r="1325" spans="2:17">
      <c r="B1325" s="14"/>
      <c r="C1325" s="14"/>
      <c r="D1325" s="14"/>
      <c r="E1325" s="14"/>
      <c r="F1325" s="14"/>
      <c r="G1325" s="14"/>
      <c r="H1325" s="14"/>
      <c r="I1325" s="14"/>
      <c r="J1325" s="14"/>
      <c r="K1325" s="14"/>
      <c r="L1325" s="14"/>
      <c r="M1325" s="14"/>
      <c r="N1325" s="14"/>
      <c r="O1325" s="14"/>
      <c r="P1325" s="14"/>
      <c r="Q1325" s="14"/>
    </row>
    <row r="1326" spans="2:17">
      <c r="B1326" s="14"/>
      <c r="C1326" s="14"/>
      <c r="D1326" s="14"/>
      <c r="E1326" s="14"/>
      <c r="F1326" s="14"/>
      <c r="G1326" s="14"/>
      <c r="H1326" s="14"/>
      <c r="I1326" s="14"/>
      <c r="J1326" s="14"/>
      <c r="K1326" s="14"/>
      <c r="L1326" s="14"/>
      <c r="M1326" s="14"/>
      <c r="N1326" s="14"/>
      <c r="O1326" s="14"/>
      <c r="P1326" s="14"/>
      <c r="Q1326" s="14"/>
    </row>
    <row r="1327" spans="2:17">
      <c r="B1327" s="14"/>
      <c r="C1327" s="14"/>
      <c r="D1327" s="14"/>
      <c r="E1327" s="14"/>
      <c r="F1327" s="14"/>
      <c r="G1327" s="14"/>
      <c r="H1327" s="14"/>
      <c r="I1327" s="14"/>
      <c r="J1327" s="14"/>
      <c r="K1327" s="14"/>
      <c r="L1327" s="14"/>
      <c r="M1327" s="14"/>
      <c r="N1327" s="14"/>
      <c r="O1327" s="14"/>
      <c r="P1327" s="14"/>
      <c r="Q1327" s="14"/>
    </row>
    <row r="1328" spans="2:17">
      <c r="B1328" s="14"/>
      <c r="C1328" s="14"/>
      <c r="D1328" s="14"/>
      <c r="E1328" s="14"/>
      <c r="F1328" s="14"/>
      <c r="G1328" s="14"/>
      <c r="H1328" s="14"/>
      <c r="I1328" s="14"/>
      <c r="J1328" s="14"/>
      <c r="K1328" s="14"/>
      <c r="L1328" s="14"/>
      <c r="M1328" s="14"/>
      <c r="N1328" s="14"/>
      <c r="O1328" s="14"/>
      <c r="P1328" s="14"/>
      <c r="Q1328" s="14"/>
    </row>
    <row r="1329" spans="2:17">
      <c r="B1329" s="14"/>
      <c r="C1329" s="14"/>
      <c r="D1329" s="14"/>
      <c r="E1329" s="14"/>
      <c r="F1329" s="14"/>
      <c r="G1329" s="14"/>
      <c r="H1329" s="14"/>
      <c r="I1329" s="14"/>
      <c r="J1329" s="14"/>
      <c r="K1329" s="14"/>
      <c r="L1329" s="14"/>
      <c r="M1329" s="14"/>
      <c r="N1329" s="14"/>
      <c r="O1329" s="14"/>
      <c r="P1329" s="14"/>
      <c r="Q1329" s="14"/>
    </row>
    <row r="1330" spans="2:17">
      <c r="B1330" s="14"/>
      <c r="C1330" s="14"/>
      <c r="D1330" s="14"/>
      <c r="E1330" s="14"/>
      <c r="F1330" s="14"/>
      <c r="G1330" s="14"/>
      <c r="H1330" s="14"/>
      <c r="I1330" s="14"/>
      <c r="J1330" s="14"/>
      <c r="K1330" s="14"/>
      <c r="L1330" s="14"/>
      <c r="M1330" s="14"/>
      <c r="N1330" s="14"/>
      <c r="O1330" s="14"/>
      <c r="P1330" s="14"/>
      <c r="Q1330" s="14"/>
    </row>
    <row r="1331" spans="2:17">
      <c r="B1331" s="14"/>
      <c r="C1331" s="14"/>
      <c r="D1331" s="14"/>
      <c r="E1331" s="14"/>
      <c r="F1331" s="14"/>
      <c r="G1331" s="14"/>
      <c r="H1331" s="14"/>
      <c r="I1331" s="14"/>
      <c r="J1331" s="14"/>
      <c r="K1331" s="14"/>
      <c r="L1331" s="14"/>
      <c r="M1331" s="14"/>
      <c r="N1331" s="14"/>
      <c r="O1331" s="14"/>
      <c r="P1331" s="14"/>
      <c r="Q1331" s="14"/>
    </row>
    <row r="1332" spans="2:17">
      <c r="B1332" s="14"/>
      <c r="C1332" s="14"/>
      <c r="D1332" s="14"/>
      <c r="E1332" s="14"/>
      <c r="F1332" s="14"/>
      <c r="G1332" s="14"/>
      <c r="H1332" s="14"/>
      <c r="I1332" s="14"/>
      <c r="J1332" s="14"/>
      <c r="K1332" s="14"/>
      <c r="L1332" s="14"/>
      <c r="M1332" s="14"/>
      <c r="N1332" s="14"/>
      <c r="O1332" s="14"/>
      <c r="P1332" s="14"/>
      <c r="Q1332" s="14"/>
    </row>
    <row r="1333" spans="2:17">
      <c r="B1333" s="14"/>
      <c r="C1333" s="14"/>
      <c r="D1333" s="14"/>
      <c r="E1333" s="14"/>
      <c r="F1333" s="14"/>
      <c r="G1333" s="14"/>
      <c r="H1333" s="14"/>
      <c r="I1333" s="14"/>
      <c r="J1333" s="14"/>
      <c r="K1333" s="14"/>
      <c r="L1333" s="14"/>
      <c r="M1333" s="14"/>
      <c r="N1333" s="14"/>
      <c r="O1333" s="14"/>
      <c r="P1333" s="14"/>
      <c r="Q1333" s="14"/>
    </row>
    <row r="1334" spans="2:17">
      <c r="B1334" s="14"/>
      <c r="C1334" s="14"/>
      <c r="D1334" s="14"/>
      <c r="E1334" s="14"/>
      <c r="F1334" s="14"/>
      <c r="G1334" s="14"/>
      <c r="H1334" s="14"/>
      <c r="I1334" s="14"/>
      <c r="J1334" s="14"/>
      <c r="K1334" s="14"/>
      <c r="L1334" s="14"/>
      <c r="M1334" s="14"/>
      <c r="N1334" s="14"/>
      <c r="O1334" s="14"/>
      <c r="P1334" s="14"/>
      <c r="Q1334" s="14"/>
    </row>
    <row r="1335" spans="2:17">
      <c r="B1335" s="14"/>
      <c r="C1335" s="14"/>
      <c r="D1335" s="14"/>
      <c r="E1335" s="14"/>
      <c r="F1335" s="14"/>
      <c r="G1335" s="14"/>
      <c r="H1335" s="14"/>
      <c r="I1335" s="14"/>
      <c r="J1335" s="14"/>
      <c r="K1335" s="14"/>
      <c r="L1335" s="14"/>
      <c r="M1335" s="14"/>
      <c r="N1335" s="14"/>
      <c r="O1335" s="14"/>
      <c r="P1335" s="14"/>
      <c r="Q1335" s="14"/>
    </row>
    <row r="1336" spans="2:17">
      <c r="B1336" s="14"/>
      <c r="C1336" s="14"/>
      <c r="D1336" s="14"/>
      <c r="E1336" s="14"/>
      <c r="F1336" s="14"/>
      <c r="G1336" s="14"/>
      <c r="H1336" s="14"/>
      <c r="I1336" s="14"/>
      <c r="J1336" s="14"/>
      <c r="K1336" s="14"/>
      <c r="L1336" s="14"/>
      <c r="M1336" s="14"/>
      <c r="N1336" s="14"/>
      <c r="O1336" s="14"/>
      <c r="P1336" s="14"/>
      <c r="Q1336" s="14"/>
    </row>
    <row r="1337" spans="2:17">
      <c r="B1337" s="14"/>
      <c r="C1337" s="14"/>
      <c r="D1337" s="14"/>
      <c r="E1337" s="14"/>
      <c r="F1337" s="14"/>
      <c r="G1337" s="14"/>
      <c r="H1337" s="14"/>
      <c r="I1337" s="14"/>
      <c r="J1337" s="14"/>
      <c r="K1337" s="14"/>
      <c r="L1337" s="14"/>
      <c r="M1337" s="14"/>
      <c r="N1337" s="14"/>
      <c r="O1337" s="14"/>
      <c r="P1337" s="14"/>
      <c r="Q1337" s="14"/>
    </row>
    <row r="1338" spans="2:17">
      <c r="B1338" s="14"/>
      <c r="C1338" s="14"/>
      <c r="D1338" s="14"/>
      <c r="E1338" s="14"/>
      <c r="F1338" s="14"/>
      <c r="G1338" s="14"/>
      <c r="H1338" s="14"/>
      <c r="I1338" s="14"/>
      <c r="J1338" s="14"/>
      <c r="K1338" s="14"/>
      <c r="L1338" s="14"/>
      <c r="M1338" s="14"/>
      <c r="N1338" s="14"/>
      <c r="O1338" s="14"/>
      <c r="P1338" s="14"/>
      <c r="Q1338" s="14"/>
    </row>
    <row r="1339" spans="2:17">
      <c r="B1339" s="14"/>
      <c r="C1339" s="14"/>
      <c r="D1339" s="14"/>
      <c r="E1339" s="14"/>
      <c r="F1339" s="14"/>
      <c r="G1339" s="14"/>
      <c r="H1339" s="14"/>
      <c r="I1339" s="14"/>
      <c r="J1339" s="14"/>
      <c r="K1339" s="14"/>
      <c r="L1339" s="14"/>
      <c r="M1339" s="14"/>
      <c r="N1339" s="14"/>
      <c r="O1339" s="14"/>
      <c r="P1339" s="14"/>
      <c r="Q1339" s="14"/>
    </row>
    <row r="1340" spans="2:17">
      <c r="B1340" s="14"/>
      <c r="C1340" s="14"/>
      <c r="D1340" s="14"/>
      <c r="E1340" s="14"/>
      <c r="F1340" s="14"/>
      <c r="G1340" s="14"/>
      <c r="H1340" s="14"/>
      <c r="I1340" s="14"/>
      <c r="J1340" s="14"/>
      <c r="K1340" s="14"/>
      <c r="L1340" s="14"/>
      <c r="M1340" s="14"/>
      <c r="N1340" s="14"/>
      <c r="O1340" s="14"/>
      <c r="P1340" s="14"/>
      <c r="Q1340" s="14"/>
    </row>
    <row r="1341" spans="2:17">
      <c r="B1341" s="14"/>
      <c r="C1341" s="14"/>
      <c r="D1341" s="14"/>
      <c r="E1341" s="14"/>
      <c r="F1341" s="14"/>
      <c r="G1341" s="14"/>
      <c r="H1341" s="14"/>
      <c r="I1341" s="14"/>
      <c r="J1341" s="14"/>
      <c r="K1341" s="14"/>
      <c r="L1341" s="14"/>
      <c r="M1341" s="14"/>
      <c r="N1341" s="14"/>
      <c r="O1341" s="14"/>
      <c r="P1341" s="14"/>
      <c r="Q1341" s="14"/>
    </row>
    <row r="1342" spans="2:17">
      <c r="B1342" s="14"/>
      <c r="C1342" s="14"/>
      <c r="D1342" s="14"/>
      <c r="E1342" s="14"/>
      <c r="F1342" s="14"/>
      <c r="G1342" s="14"/>
      <c r="H1342" s="14"/>
      <c r="I1342" s="14"/>
      <c r="J1342" s="14"/>
      <c r="K1342" s="14"/>
      <c r="L1342" s="14"/>
      <c r="M1342" s="14"/>
      <c r="N1342" s="14"/>
      <c r="O1342" s="14"/>
      <c r="P1342" s="14"/>
      <c r="Q1342" s="14"/>
    </row>
    <row r="1343" spans="2:17">
      <c r="B1343" s="14"/>
      <c r="C1343" s="14"/>
      <c r="D1343" s="14"/>
      <c r="E1343" s="14"/>
      <c r="F1343" s="14"/>
      <c r="G1343" s="14"/>
      <c r="H1343" s="14"/>
      <c r="I1343" s="14"/>
      <c r="J1343" s="14"/>
      <c r="K1343" s="14"/>
      <c r="L1343" s="14"/>
      <c r="M1343" s="14"/>
      <c r="N1343" s="14"/>
      <c r="O1343" s="14"/>
      <c r="P1343" s="14"/>
      <c r="Q1343" s="14"/>
    </row>
    <row r="1344" spans="2:17">
      <c r="B1344" s="14"/>
      <c r="C1344" s="14"/>
      <c r="D1344" s="14"/>
      <c r="E1344" s="14"/>
      <c r="F1344" s="14"/>
      <c r="G1344" s="14"/>
      <c r="H1344" s="14"/>
      <c r="I1344" s="14"/>
      <c r="J1344" s="14"/>
      <c r="K1344" s="14"/>
      <c r="L1344" s="14"/>
      <c r="M1344" s="14"/>
      <c r="N1344" s="14"/>
      <c r="O1344" s="14"/>
      <c r="P1344" s="14"/>
      <c r="Q1344" s="14"/>
    </row>
    <row r="1345" spans="2:17">
      <c r="B1345" s="14"/>
      <c r="C1345" s="14"/>
      <c r="D1345" s="14"/>
      <c r="E1345" s="14"/>
      <c r="F1345" s="14"/>
      <c r="G1345" s="14"/>
      <c r="H1345" s="14"/>
      <c r="I1345" s="14"/>
      <c r="J1345" s="14"/>
      <c r="K1345" s="14"/>
      <c r="L1345" s="14"/>
      <c r="M1345" s="14"/>
      <c r="N1345" s="14"/>
      <c r="O1345" s="14"/>
      <c r="P1345" s="14"/>
      <c r="Q1345" s="14"/>
    </row>
    <row r="1346" spans="2:17">
      <c r="B1346" s="14"/>
      <c r="C1346" s="14"/>
      <c r="D1346" s="14"/>
      <c r="E1346" s="14"/>
      <c r="F1346" s="14"/>
      <c r="G1346" s="14"/>
      <c r="H1346" s="14"/>
      <c r="I1346" s="14"/>
      <c r="J1346" s="14"/>
      <c r="K1346" s="14"/>
      <c r="L1346" s="14"/>
      <c r="M1346" s="14"/>
      <c r="N1346" s="14"/>
      <c r="O1346" s="14"/>
      <c r="P1346" s="14"/>
      <c r="Q1346" s="14"/>
    </row>
    <row r="1347" spans="2:17">
      <c r="B1347" s="14"/>
      <c r="C1347" s="14"/>
      <c r="D1347" s="14"/>
      <c r="E1347" s="14"/>
      <c r="F1347" s="14"/>
      <c r="G1347" s="14"/>
      <c r="H1347" s="14"/>
      <c r="I1347" s="14"/>
      <c r="J1347" s="14"/>
      <c r="K1347" s="14"/>
      <c r="L1347" s="14"/>
      <c r="M1347" s="14"/>
      <c r="N1347" s="14"/>
      <c r="O1347" s="14"/>
      <c r="P1347" s="14"/>
      <c r="Q1347" s="14"/>
    </row>
    <row r="1348" spans="2:17">
      <c r="B1348" s="14"/>
      <c r="C1348" s="14"/>
      <c r="D1348" s="14"/>
      <c r="E1348" s="14"/>
      <c r="F1348" s="14"/>
      <c r="G1348" s="14"/>
      <c r="H1348" s="14"/>
      <c r="I1348" s="14"/>
      <c r="J1348" s="14"/>
      <c r="K1348" s="14"/>
      <c r="L1348" s="14"/>
      <c r="M1348" s="14"/>
      <c r="N1348" s="14"/>
      <c r="O1348" s="14"/>
      <c r="P1348" s="14"/>
      <c r="Q1348" s="14"/>
    </row>
    <row r="1349" spans="2:17">
      <c r="B1349" s="14"/>
      <c r="C1349" s="14"/>
      <c r="D1349" s="14"/>
      <c r="E1349" s="14"/>
      <c r="F1349" s="14"/>
      <c r="G1349" s="14"/>
      <c r="H1349" s="14"/>
      <c r="I1349" s="14"/>
      <c r="J1349" s="14"/>
      <c r="K1349" s="14"/>
      <c r="L1349" s="14"/>
      <c r="M1349" s="14"/>
      <c r="N1349" s="14"/>
      <c r="O1349" s="14"/>
      <c r="P1349" s="14"/>
      <c r="Q1349" s="14"/>
    </row>
    <row r="1350" spans="2:17">
      <c r="B1350" s="14"/>
      <c r="C1350" s="14"/>
      <c r="D1350" s="14"/>
      <c r="E1350" s="14"/>
      <c r="F1350" s="14"/>
      <c r="G1350" s="14"/>
      <c r="H1350" s="14"/>
      <c r="I1350" s="14"/>
      <c r="J1350" s="14"/>
      <c r="K1350" s="14"/>
      <c r="L1350" s="14"/>
      <c r="M1350" s="14"/>
      <c r="N1350" s="14"/>
      <c r="O1350" s="14"/>
      <c r="P1350" s="14"/>
      <c r="Q1350" s="14"/>
    </row>
    <row r="1351" spans="2:17">
      <c r="B1351" s="14"/>
      <c r="C1351" s="14"/>
      <c r="D1351" s="14"/>
      <c r="E1351" s="14"/>
      <c r="F1351" s="14"/>
      <c r="G1351" s="14"/>
      <c r="H1351" s="14"/>
      <c r="I1351" s="14"/>
      <c r="J1351" s="14"/>
      <c r="K1351" s="14"/>
      <c r="L1351" s="14"/>
      <c r="M1351" s="14"/>
      <c r="N1351" s="14"/>
      <c r="O1351" s="14"/>
      <c r="P1351" s="14"/>
      <c r="Q1351" s="14"/>
    </row>
    <row r="1352" spans="2:17">
      <c r="B1352" s="14"/>
      <c r="C1352" s="14"/>
      <c r="D1352" s="14"/>
      <c r="E1352" s="14"/>
      <c r="F1352" s="14"/>
      <c r="G1352" s="14"/>
      <c r="H1352" s="14"/>
      <c r="I1352" s="14"/>
      <c r="J1352" s="14"/>
      <c r="K1352" s="14"/>
      <c r="L1352" s="14"/>
      <c r="M1352" s="14"/>
      <c r="N1352" s="14"/>
      <c r="O1352" s="14"/>
      <c r="P1352" s="14"/>
      <c r="Q1352" s="14"/>
    </row>
    <row r="1353" spans="2:17">
      <c r="B1353" s="14"/>
      <c r="C1353" s="14"/>
      <c r="D1353" s="14"/>
      <c r="E1353" s="14"/>
      <c r="F1353" s="14"/>
      <c r="G1353" s="14"/>
      <c r="H1353" s="14"/>
      <c r="I1353" s="14"/>
      <c r="J1353" s="14"/>
      <c r="K1353" s="14"/>
      <c r="L1353" s="14"/>
      <c r="M1353" s="14"/>
      <c r="N1353" s="14"/>
      <c r="O1353" s="14"/>
      <c r="P1353" s="14"/>
      <c r="Q1353" s="14"/>
    </row>
    <row r="1354" spans="2:17">
      <c r="B1354" s="14"/>
      <c r="C1354" s="14"/>
      <c r="D1354" s="14"/>
      <c r="E1354" s="14"/>
      <c r="F1354" s="14"/>
      <c r="G1354" s="14"/>
      <c r="H1354" s="14"/>
      <c r="I1354" s="14"/>
      <c r="J1354" s="14"/>
      <c r="K1354" s="14"/>
      <c r="L1354" s="14"/>
      <c r="M1354" s="14"/>
      <c r="N1354" s="14"/>
      <c r="O1354" s="14"/>
      <c r="P1354" s="14"/>
      <c r="Q1354" s="14"/>
    </row>
    <row r="1355" spans="2:17">
      <c r="B1355" s="14"/>
      <c r="C1355" s="14"/>
      <c r="D1355" s="14"/>
      <c r="E1355" s="14"/>
      <c r="F1355" s="14"/>
      <c r="G1355" s="14"/>
      <c r="H1355" s="14"/>
      <c r="I1355" s="14"/>
      <c r="J1355" s="14"/>
      <c r="K1355" s="14"/>
      <c r="L1355" s="14"/>
      <c r="M1355" s="14"/>
      <c r="N1355" s="14"/>
      <c r="O1355" s="14"/>
      <c r="P1355" s="14"/>
      <c r="Q1355" s="14"/>
    </row>
    <row r="1356" spans="2:17">
      <c r="B1356" s="14"/>
      <c r="C1356" s="14"/>
      <c r="D1356" s="14"/>
      <c r="E1356" s="14"/>
      <c r="F1356" s="14"/>
      <c r="G1356" s="14"/>
      <c r="H1356" s="14"/>
      <c r="I1356" s="14"/>
      <c r="J1356" s="14"/>
      <c r="K1356" s="14"/>
      <c r="L1356" s="14"/>
      <c r="M1356" s="14"/>
      <c r="N1356" s="14"/>
      <c r="O1356" s="14"/>
      <c r="P1356" s="14"/>
      <c r="Q1356" s="14"/>
    </row>
    <row r="1357" spans="2:17">
      <c r="B1357" s="14"/>
      <c r="C1357" s="14"/>
      <c r="D1357" s="14"/>
      <c r="E1357" s="14"/>
      <c r="F1357" s="14"/>
      <c r="G1357" s="14"/>
      <c r="H1357" s="14"/>
      <c r="I1357" s="14"/>
      <c r="J1357" s="14"/>
      <c r="K1357" s="14"/>
      <c r="L1357" s="14"/>
      <c r="M1357" s="14"/>
      <c r="N1357" s="14"/>
      <c r="O1357" s="14"/>
      <c r="P1357" s="14"/>
      <c r="Q1357" s="14"/>
    </row>
    <row r="1358" spans="2:17">
      <c r="B1358" s="14"/>
      <c r="C1358" s="14"/>
      <c r="D1358" s="14"/>
      <c r="E1358" s="14"/>
      <c r="F1358" s="14"/>
      <c r="G1358" s="14"/>
      <c r="H1358" s="14"/>
      <c r="I1358" s="14"/>
      <c r="J1358" s="14"/>
      <c r="K1358" s="14"/>
      <c r="L1358" s="14"/>
      <c r="M1358" s="14"/>
      <c r="N1358" s="14"/>
      <c r="O1358" s="14"/>
      <c r="P1358" s="14"/>
      <c r="Q1358" s="14"/>
    </row>
    <row r="1359" spans="2:17">
      <c r="B1359" s="14"/>
      <c r="C1359" s="14"/>
      <c r="D1359" s="14"/>
      <c r="E1359" s="14"/>
      <c r="F1359" s="14"/>
      <c r="G1359" s="14"/>
      <c r="H1359" s="14"/>
      <c r="I1359" s="14"/>
      <c r="J1359" s="14"/>
      <c r="K1359" s="14"/>
      <c r="L1359" s="14"/>
      <c r="M1359" s="14"/>
      <c r="N1359" s="14"/>
      <c r="O1359" s="14"/>
      <c r="P1359" s="14"/>
      <c r="Q1359" s="14"/>
    </row>
    <row r="1360" spans="2:17">
      <c r="B1360" s="14"/>
      <c r="C1360" s="14"/>
      <c r="D1360" s="14"/>
      <c r="E1360" s="14"/>
      <c r="F1360" s="14"/>
      <c r="G1360" s="14"/>
      <c r="H1360" s="14"/>
      <c r="I1360" s="14"/>
      <c r="J1360" s="14"/>
      <c r="K1360" s="14"/>
      <c r="L1360" s="14"/>
      <c r="M1360" s="14"/>
      <c r="N1360" s="14"/>
      <c r="O1360" s="14"/>
      <c r="P1360" s="14"/>
      <c r="Q1360" s="14"/>
    </row>
    <row r="1361" spans="2:17">
      <c r="B1361" s="14"/>
      <c r="C1361" s="14"/>
      <c r="D1361" s="14"/>
      <c r="E1361" s="14"/>
      <c r="F1361" s="14"/>
      <c r="G1361" s="14"/>
      <c r="H1361" s="14"/>
      <c r="I1361" s="14"/>
      <c r="J1361" s="14"/>
      <c r="K1361" s="14"/>
      <c r="L1361" s="14"/>
      <c r="M1361" s="14"/>
      <c r="N1361" s="14"/>
      <c r="O1361" s="14"/>
      <c r="P1361" s="14"/>
      <c r="Q1361" s="14"/>
    </row>
    <row r="1362" spans="2:17">
      <c r="B1362" s="14"/>
      <c r="C1362" s="14"/>
      <c r="D1362" s="14"/>
      <c r="E1362" s="14"/>
      <c r="F1362" s="14"/>
      <c r="G1362" s="14"/>
      <c r="H1362" s="14"/>
      <c r="I1362" s="14"/>
      <c r="J1362" s="14"/>
      <c r="K1362" s="14"/>
      <c r="L1362" s="14"/>
      <c r="M1362" s="14"/>
      <c r="N1362" s="14"/>
      <c r="O1362" s="14"/>
      <c r="P1362" s="14"/>
      <c r="Q1362" s="14"/>
    </row>
    <row r="1363" spans="2:17">
      <c r="B1363" s="14"/>
      <c r="C1363" s="14"/>
      <c r="D1363" s="14"/>
      <c r="E1363" s="14"/>
      <c r="F1363" s="14"/>
      <c r="G1363" s="14"/>
      <c r="H1363" s="14"/>
      <c r="I1363" s="14"/>
      <c r="J1363" s="14"/>
      <c r="K1363" s="14"/>
      <c r="L1363" s="14"/>
      <c r="M1363" s="14"/>
      <c r="N1363" s="14"/>
      <c r="O1363" s="14"/>
      <c r="P1363" s="14"/>
      <c r="Q1363" s="14"/>
    </row>
    <row r="1364" spans="2:17">
      <c r="B1364" s="14"/>
      <c r="C1364" s="14"/>
      <c r="D1364" s="14"/>
      <c r="E1364" s="14"/>
      <c r="F1364" s="14"/>
      <c r="G1364" s="14"/>
      <c r="H1364" s="14"/>
      <c r="I1364" s="14"/>
      <c r="J1364" s="14"/>
      <c r="K1364" s="14"/>
      <c r="L1364" s="14"/>
      <c r="M1364" s="14"/>
      <c r="N1364" s="14"/>
      <c r="O1364" s="14"/>
      <c r="P1364" s="14"/>
      <c r="Q1364" s="14"/>
    </row>
    <row r="1365" spans="2:17">
      <c r="B1365" s="14"/>
      <c r="C1365" s="14"/>
      <c r="D1365" s="14"/>
      <c r="E1365" s="14"/>
      <c r="F1365" s="14"/>
      <c r="G1365" s="14"/>
      <c r="H1365" s="14"/>
      <c r="I1365" s="14"/>
      <c r="J1365" s="14"/>
      <c r="K1365" s="14"/>
      <c r="L1365" s="14"/>
      <c r="M1365" s="14"/>
      <c r="N1365" s="14"/>
      <c r="O1365" s="14"/>
      <c r="P1365" s="14"/>
      <c r="Q1365" s="14"/>
    </row>
    <row r="1366" spans="2:17">
      <c r="B1366" s="14"/>
      <c r="C1366" s="14"/>
      <c r="D1366" s="14"/>
      <c r="E1366" s="14"/>
      <c r="F1366" s="14"/>
      <c r="G1366" s="14"/>
      <c r="H1366" s="14"/>
      <c r="I1366" s="14"/>
      <c r="J1366" s="14"/>
      <c r="K1366" s="14"/>
      <c r="L1366" s="14"/>
      <c r="M1366" s="14"/>
      <c r="N1366" s="14"/>
      <c r="O1366" s="14"/>
      <c r="P1366" s="14"/>
      <c r="Q1366" s="14"/>
    </row>
    <row r="1367" spans="2:17">
      <c r="B1367" s="14"/>
      <c r="C1367" s="14"/>
      <c r="D1367" s="14"/>
      <c r="E1367" s="14"/>
      <c r="F1367" s="14"/>
      <c r="G1367" s="14"/>
      <c r="H1367" s="14"/>
      <c r="I1367" s="14"/>
      <c r="J1367" s="14"/>
      <c r="K1367" s="14"/>
      <c r="L1367" s="14"/>
      <c r="M1367" s="14"/>
      <c r="N1367" s="14"/>
      <c r="O1367" s="14"/>
      <c r="P1367" s="14"/>
      <c r="Q1367" s="14"/>
    </row>
    <row r="1368" spans="2:17">
      <c r="B1368" s="14"/>
      <c r="C1368" s="14"/>
      <c r="D1368" s="14"/>
      <c r="E1368" s="14"/>
      <c r="F1368" s="14"/>
      <c r="G1368" s="14"/>
      <c r="H1368" s="14"/>
      <c r="I1368" s="14"/>
      <c r="J1368" s="14"/>
      <c r="K1368" s="14"/>
      <c r="L1368" s="14"/>
      <c r="M1368" s="14"/>
      <c r="N1368" s="14"/>
      <c r="O1368" s="14"/>
      <c r="P1368" s="14"/>
      <c r="Q1368" s="14"/>
    </row>
    <row r="1369" spans="2:17">
      <c r="B1369" s="14"/>
      <c r="C1369" s="14"/>
      <c r="D1369" s="14"/>
      <c r="E1369" s="14"/>
      <c r="F1369" s="14"/>
      <c r="G1369" s="14"/>
      <c r="H1369" s="14"/>
      <c r="I1369" s="14"/>
      <c r="J1369" s="14"/>
      <c r="K1369" s="14"/>
      <c r="L1369" s="14"/>
      <c r="M1369" s="14"/>
      <c r="N1369" s="14"/>
      <c r="O1369" s="14"/>
      <c r="P1369" s="14"/>
      <c r="Q1369" s="14"/>
    </row>
    <row r="1370" spans="2:17">
      <c r="B1370" s="14"/>
      <c r="C1370" s="14"/>
      <c r="D1370" s="14"/>
      <c r="E1370" s="14"/>
      <c r="F1370" s="14"/>
      <c r="G1370" s="14"/>
      <c r="H1370" s="14"/>
      <c r="I1370" s="14"/>
      <c r="J1370" s="14"/>
      <c r="K1370" s="14"/>
      <c r="L1370" s="14"/>
      <c r="M1370" s="14"/>
      <c r="N1370" s="14"/>
      <c r="O1370" s="14"/>
      <c r="P1370" s="14"/>
      <c r="Q1370" s="14"/>
    </row>
    <row r="1371" spans="2:17">
      <c r="B1371" s="14"/>
      <c r="C1371" s="14"/>
      <c r="D1371" s="14"/>
      <c r="E1371" s="14"/>
      <c r="F1371" s="14"/>
      <c r="G1371" s="14"/>
      <c r="H1371" s="14"/>
      <c r="I1371" s="14"/>
      <c r="J1371" s="14"/>
      <c r="K1371" s="14"/>
      <c r="L1371" s="14"/>
      <c r="M1371" s="14"/>
      <c r="N1371" s="14"/>
      <c r="O1371" s="14"/>
      <c r="P1371" s="14"/>
      <c r="Q1371" s="14"/>
    </row>
    <row r="1372" spans="2:17">
      <c r="B1372" s="14"/>
      <c r="C1372" s="14"/>
      <c r="D1372" s="14"/>
      <c r="E1372" s="14"/>
      <c r="F1372" s="14"/>
      <c r="G1372" s="14"/>
      <c r="H1372" s="14"/>
      <c r="I1372" s="14"/>
      <c r="J1372" s="14"/>
      <c r="K1372" s="14"/>
      <c r="L1372" s="14"/>
      <c r="M1372" s="14"/>
      <c r="N1372" s="14"/>
      <c r="O1372" s="14"/>
      <c r="P1372" s="14"/>
      <c r="Q1372" s="14"/>
    </row>
    <row r="1373" spans="2:17">
      <c r="B1373" s="14"/>
      <c r="C1373" s="14"/>
      <c r="D1373" s="14"/>
      <c r="E1373" s="14"/>
      <c r="F1373" s="14"/>
      <c r="G1373" s="14"/>
      <c r="H1373" s="14"/>
      <c r="I1373" s="14"/>
      <c r="J1373" s="14"/>
      <c r="K1373" s="14"/>
      <c r="L1373" s="14"/>
      <c r="M1373" s="14"/>
      <c r="N1373" s="14"/>
      <c r="O1373" s="14"/>
      <c r="P1373" s="14"/>
      <c r="Q1373" s="14"/>
    </row>
    <row r="1374" spans="2:17">
      <c r="B1374" s="14"/>
      <c r="C1374" s="14"/>
      <c r="D1374" s="14"/>
      <c r="E1374" s="14"/>
      <c r="F1374" s="14"/>
      <c r="G1374" s="14"/>
      <c r="H1374" s="14"/>
      <c r="I1374" s="14"/>
      <c r="J1374" s="14"/>
      <c r="K1374" s="14"/>
      <c r="L1374" s="14"/>
      <c r="M1374" s="14"/>
      <c r="N1374" s="14"/>
      <c r="O1374" s="14"/>
      <c r="P1374" s="14"/>
      <c r="Q1374" s="14"/>
    </row>
    <row r="1375" spans="2:17">
      <c r="B1375" s="14"/>
      <c r="C1375" s="14"/>
      <c r="D1375" s="14"/>
      <c r="E1375" s="14"/>
      <c r="F1375" s="14"/>
      <c r="G1375" s="14"/>
      <c r="H1375" s="14"/>
      <c r="I1375" s="14"/>
      <c r="J1375" s="14"/>
      <c r="K1375" s="14"/>
      <c r="L1375" s="14"/>
      <c r="M1375" s="14"/>
      <c r="N1375" s="14"/>
      <c r="O1375" s="14"/>
      <c r="P1375" s="14"/>
      <c r="Q1375" s="14"/>
    </row>
    <row r="1376" spans="2:17">
      <c r="B1376" s="14"/>
      <c r="C1376" s="14"/>
      <c r="D1376" s="14"/>
      <c r="E1376" s="14"/>
      <c r="F1376" s="14"/>
      <c r="G1376" s="14"/>
      <c r="H1376" s="14"/>
      <c r="I1376" s="14"/>
      <c r="J1376" s="14"/>
      <c r="K1376" s="14"/>
      <c r="L1376" s="14"/>
      <c r="M1376" s="14"/>
      <c r="N1376" s="14"/>
      <c r="O1376" s="14"/>
      <c r="P1376" s="14"/>
      <c r="Q1376" s="14"/>
    </row>
    <row r="1377" spans="2:17">
      <c r="B1377" s="14"/>
      <c r="C1377" s="14"/>
      <c r="D1377" s="14"/>
      <c r="E1377" s="14"/>
      <c r="F1377" s="14"/>
      <c r="G1377" s="14"/>
      <c r="H1377" s="14"/>
      <c r="I1377" s="14"/>
      <c r="J1377" s="14"/>
      <c r="K1377" s="14"/>
      <c r="L1377" s="14"/>
      <c r="M1377" s="14"/>
      <c r="N1377" s="14"/>
      <c r="O1377" s="14"/>
      <c r="P1377" s="14"/>
      <c r="Q1377" s="14"/>
    </row>
    <row r="1378" spans="2:17">
      <c r="B1378" s="14"/>
      <c r="C1378" s="14"/>
      <c r="D1378" s="14"/>
      <c r="E1378" s="14"/>
      <c r="F1378" s="14"/>
      <c r="G1378" s="14"/>
      <c r="H1378" s="14"/>
      <c r="I1378" s="14"/>
      <c r="J1378" s="14"/>
      <c r="K1378" s="14"/>
      <c r="L1378" s="14"/>
      <c r="M1378" s="14"/>
      <c r="N1378" s="14"/>
      <c r="O1378" s="14"/>
      <c r="P1378" s="14"/>
      <c r="Q1378" s="14"/>
    </row>
    <row r="1379" spans="2:17">
      <c r="B1379" s="14"/>
      <c r="C1379" s="14"/>
      <c r="D1379" s="14"/>
      <c r="E1379" s="14"/>
      <c r="F1379" s="14"/>
      <c r="G1379" s="14"/>
      <c r="H1379" s="14"/>
      <c r="I1379" s="14"/>
      <c r="J1379" s="14"/>
      <c r="K1379" s="14"/>
      <c r="L1379" s="14"/>
      <c r="M1379" s="14"/>
      <c r="N1379" s="14"/>
      <c r="O1379" s="14"/>
      <c r="P1379" s="14"/>
      <c r="Q1379" s="14"/>
    </row>
    <row r="1380" spans="2:17">
      <c r="B1380" s="14"/>
      <c r="C1380" s="14"/>
      <c r="D1380" s="14"/>
      <c r="E1380" s="14"/>
      <c r="F1380" s="14"/>
      <c r="G1380" s="14"/>
      <c r="H1380" s="14"/>
      <c r="I1380" s="14"/>
      <c r="J1380" s="14"/>
      <c r="K1380" s="14"/>
      <c r="L1380" s="14"/>
      <c r="M1380" s="14"/>
      <c r="N1380" s="14"/>
      <c r="O1380" s="14"/>
      <c r="P1380" s="14"/>
      <c r="Q1380" s="14"/>
    </row>
    <row r="1381" spans="2:17">
      <c r="B1381" s="14"/>
      <c r="C1381" s="14"/>
      <c r="D1381" s="14"/>
      <c r="E1381" s="14"/>
      <c r="F1381" s="14"/>
      <c r="G1381" s="14"/>
      <c r="H1381" s="14"/>
      <c r="I1381" s="14"/>
      <c r="J1381" s="14"/>
      <c r="K1381" s="14"/>
      <c r="L1381" s="14"/>
      <c r="M1381" s="14"/>
      <c r="N1381" s="14"/>
      <c r="O1381" s="14"/>
      <c r="P1381" s="14"/>
      <c r="Q1381" s="14"/>
    </row>
    <row r="1382" spans="2:17">
      <c r="B1382" s="14"/>
      <c r="C1382" s="14"/>
      <c r="D1382" s="14"/>
      <c r="E1382" s="14"/>
      <c r="F1382" s="14"/>
      <c r="G1382" s="14"/>
      <c r="H1382" s="14"/>
      <c r="I1382" s="14"/>
      <c r="J1382" s="14"/>
      <c r="K1382" s="14"/>
      <c r="L1382" s="14"/>
      <c r="M1382" s="14"/>
      <c r="N1382" s="14"/>
      <c r="O1382" s="14"/>
      <c r="P1382" s="14"/>
      <c r="Q1382" s="14"/>
    </row>
    <row r="1383" spans="2:17">
      <c r="B1383" s="14"/>
      <c r="C1383" s="14"/>
      <c r="D1383" s="14"/>
      <c r="E1383" s="14"/>
      <c r="F1383" s="14"/>
      <c r="G1383" s="14"/>
      <c r="H1383" s="14"/>
      <c r="I1383" s="14"/>
      <c r="J1383" s="14"/>
      <c r="K1383" s="14"/>
      <c r="L1383" s="14"/>
      <c r="M1383" s="14"/>
      <c r="N1383" s="14"/>
      <c r="O1383" s="14"/>
      <c r="P1383" s="14"/>
      <c r="Q1383" s="14"/>
    </row>
    <row r="1384" spans="2:17">
      <c r="B1384" s="14"/>
      <c r="C1384" s="14"/>
      <c r="D1384" s="14"/>
      <c r="E1384" s="14"/>
      <c r="F1384" s="14"/>
      <c r="G1384" s="14"/>
      <c r="H1384" s="14"/>
      <c r="I1384" s="14"/>
      <c r="J1384" s="14"/>
      <c r="K1384" s="14"/>
      <c r="L1384" s="14"/>
      <c r="M1384" s="14"/>
      <c r="N1384" s="14"/>
      <c r="O1384" s="14"/>
      <c r="P1384" s="14"/>
      <c r="Q1384" s="14"/>
    </row>
    <row r="1385" spans="2:17">
      <c r="B1385" s="14"/>
      <c r="C1385" s="14"/>
      <c r="D1385" s="14"/>
      <c r="E1385" s="14"/>
      <c r="F1385" s="14"/>
      <c r="G1385" s="14"/>
      <c r="H1385" s="14"/>
      <c r="I1385" s="14"/>
      <c r="J1385" s="14"/>
      <c r="K1385" s="14"/>
      <c r="L1385" s="14"/>
      <c r="M1385" s="14"/>
      <c r="N1385" s="14"/>
      <c r="O1385" s="14"/>
      <c r="P1385" s="14"/>
      <c r="Q1385" s="14"/>
    </row>
    <row r="1386" spans="2:17">
      <c r="B1386" s="14"/>
      <c r="C1386" s="14"/>
      <c r="D1386" s="14"/>
      <c r="E1386" s="14"/>
      <c r="F1386" s="14"/>
      <c r="G1386" s="14"/>
      <c r="H1386" s="14"/>
      <c r="I1386" s="14"/>
      <c r="J1386" s="14"/>
      <c r="K1386" s="14"/>
      <c r="L1386" s="14"/>
      <c r="M1386" s="14"/>
      <c r="N1386" s="14"/>
      <c r="O1386" s="14"/>
      <c r="P1386" s="14"/>
      <c r="Q1386" s="14"/>
    </row>
    <row r="1387" spans="2:17">
      <c r="B1387" s="14"/>
      <c r="C1387" s="14"/>
      <c r="D1387" s="14"/>
      <c r="E1387" s="14"/>
      <c r="F1387" s="14"/>
      <c r="G1387" s="14"/>
      <c r="H1387" s="14"/>
      <c r="I1387" s="14"/>
      <c r="J1387" s="14"/>
      <c r="K1387" s="14"/>
      <c r="L1387" s="14"/>
      <c r="M1387" s="14"/>
      <c r="N1387" s="14"/>
      <c r="O1387" s="14"/>
      <c r="P1387" s="14"/>
      <c r="Q1387" s="14"/>
    </row>
    <row r="1388" spans="2:17">
      <c r="B1388" s="14"/>
      <c r="C1388" s="14"/>
      <c r="D1388" s="14"/>
      <c r="E1388" s="14"/>
      <c r="F1388" s="14"/>
      <c r="G1388" s="14"/>
      <c r="H1388" s="14"/>
      <c r="I1388" s="14"/>
      <c r="J1388" s="14"/>
      <c r="K1388" s="14"/>
      <c r="L1388" s="14"/>
      <c r="M1388" s="14"/>
      <c r="N1388" s="14"/>
      <c r="O1388" s="14"/>
      <c r="P1388" s="14"/>
      <c r="Q1388" s="14"/>
    </row>
    <row r="1389" spans="2:17">
      <c r="B1389" s="14"/>
      <c r="C1389" s="14"/>
      <c r="D1389" s="14"/>
      <c r="E1389" s="14"/>
      <c r="F1389" s="14"/>
      <c r="G1389" s="14"/>
      <c r="H1389" s="14"/>
      <c r="I1389" s="14"/>
      <c r="J1389" s="14"/>
      <c r="K1389" s="14"/>
      <c r="L1389" s="14"/>
      <c r="M1389" s="14"/>
      <c r="N1389" s="14"/>
      <c r="O1389" s="14"/>
      <c r="P1389" s="14"/>
      <c r="Q1389" s="14"/>
    </row>
    <row r="1390" spans="2:17">
      <c r="B1390" s="14"/>
      <c r="C1390" s="14"/>
      <c r="D1390" s="14"/>
      <c r="E1390" s="14"/>
      <c r="F1390" s="14"/>
      <c r="G1390" s="14"/>
      <c r="H1390" s="14"/>
      <c r="I1390" s="14"/>
      <c r="J1390" s="14"/>
      <c r="K1390" s="14"/>
      <c r="L1390" s="14"/>
      <c r="M1390" s="14"/>
      <c r="N1390" s="14"/>
      <c r="O1390" s="14"/>
      <c r="P1390" s="14"/>
      <c r="Q1390" s="14"/>
    </row>
    <row r="1391" spans="2:17">
      <c r="B1391" s="14"/>
      <c r="C1391" s="14"/>
      <c r="D1391" s="14"/>
      <c r="E1391" s="14"/>
      <c r="F1391" s="14"/>
      <c r="G1391" s="14"/>
      <c r="H1391" s="14"/>
      <c r="I1391" s="14"/>
      <c r="J1391" s="14"/>
      <c r="K1391" s="14"/>
      <c r="L1391" s="14"/>
      <c r="M1391" s="14"/>
      <c r="N1391" s="14"/>
      <c r="O1391" s="14"/>
      <c r="P1391" s="14"/>
      <c r="Q1391" s="14"/>
    </row>
    <row r="1392" spans="2:17">
      <c r="B1392" s="14"/>
      <c r="C1392" s="14"/>
      <c r="D1392" s="14"/>
      <c r="E1392" s="14"/>
      <c r="F1392" s="14"/>
      <c r="G1392" s="14"/>
      <c r="H1392" s="14"/>
      <c r="I1392" s="14"/>
      <c r="J1392" s="14"/>
      <c r="K1392" s="14"/>
      <c r="L1392" s="14"/>
      <c r="M1392" s="14"/>
      <c r="N1392" s="14"/>
      <c r="O1392" s="14"/>
      <c r="P1392" s="14"/>
      <c r="Q1392" s="14"/>
    </row>
    <row r="1393" spans="2:17">
      <c r="B1393" s="14"/>
      <c r="C1393" s="14"/>
      <c r="D1393" s="14"/>
      <c r="E1393" s="14"/>
      <c r="F1393" s="14"/>
      <c r="G1393" s="14"/>
      <c r="H1393" s="14"/>
      <c r="I1393" s="14"/>
      <c r="J1393" s="14"/>
      <c r="K1393" s="14"/>
      <c r="L1393" s="14"/>
      <c r="M1393" s="14"/>
      <c r="N1393" s="14"/>
      <c r="O1393" s="14"/>
      <c r="P1393" s="14"/>
      <c r="Q1393" s="14"/>
    </row>
    <row r="1394" spans="2:17">
      <c r="B1394" s="14"/>
      <c r="C1394" s="14"/>
      <c r="D1394" s="14"/>
      <c r="E1394" s="14"/>
      <c r="F1394" s="14"/>
      <c r="G1394" s="14"/>
      <c r="H1394" s="14"/>
      <c r="I1394" s="14"/>
      <c r="J1394" s="14"/>
      <c r="K1394" s="14"/>
      <c r="L1394" s="14"/>
      <c r="M1394" s="14"/>
      <c r="N1394" s="14"/>
      <c r="O1394" s="14"/>
      <c r="P1394" s="14"/>
      <c r="Q1394" s="14"/>
    </row>
    <row r="1395" spans="2:17">
      <c r="B1395" s="14"/>
      <c r="C1395" s="14"/>
      <c r="D1395" s="14"/>
      <c r="E1395" s="14"/>
      <c r="F1395" s="14"/>
      <c r="G1395" s="14"/>
      <c r="H1395" s="14"/>
      <c r="I1395" s="14"/>
      <c r="J1395" s="14"/>
      <c r="K1395" s="14"/>
      <c r="L1395" s="14"/>
      <c r="M1395" s="14"/>
      <c r="N1395" s="14"/>
      <c r="O1395" s="14"/>
      <c r="P1395" s="14"/>
      <c r="Q1395" s="14"/>
    </row>
    <row r="1396" spans="2:17">
      <c r="B1396" s="14"/>
      <c r="C1396" s="14"/>
      <c r="D1396" s="14"/>
      <c r="E1396" s="14"/>
      <c r="F1396" s="14"/>
      <c r="G1396" s="14"/>
      <c r="H1396" s="14"/>
      <c r="I1396" s="14"/>
      <c r="J1396" s="14"/>
      <c r="K1396" s="14"/>
      <c r="L1396" s="14"/>
      <c r="M1396" s="14"/>
      <c r="N1396" s="14"/>
      <c r="O1396" s="14"/>
      <c r="P1396" s="14"/>
      <c r="Q1396" s="14"/>
    </row>
    <row r="1397" spans="2:17">
      <c r="B1397" s="14"/>
      <c r="C1397" s="14"/>
      <c r="D1397" s="14"/>
      <c r="E1397" s="14"/>
      <c r="F1397" s="14"/>
      <c r="G1397" s="14"/>
      <c r="H1397" s="14"/>
      <c r="I1397" s="14"/>
      <c r="J1397" s="14"/>
      <c r="K1397" s="14"/>
      <c r="L1397" s="14"/>
      <c r="M1397" s="14"/>
      <c r="N1397" s="14"/>
      <c r="O1397" s="14"/>
      <c r="P1397" s="14"/>
      <c r="Q1397" s="14"/>
    </row>
    <row r="1398" spans="2:17">
      <c r="B1398" s="14"/>
      <c r="C1398" s="14"/>
      <c r="D1398" s="14"/>
      <c r="E1398" s="14"/>
      <c r="F1398" s="14"/>
      <c r="G1398" s="14"/>
      <c r="H1398" s="14"/>
      <c r="I1398" s="14"/>
      <c r="J1398" s="14"/>
      <c r="K1398" s="14"/>
      <c r="L1398" s="14"/>
      <c r="M1398" s="14"/>
      <c r="N1398" s="14"/>
      <c r="O1398" s="14"/>
      <c r="P1398" s="14"/>
      <c r="Q1398" s="14"/>
    </row>
    <row r="1399" spans="2:17">
      <c r="B1399" s="14"/>
      <c r="C1399" s="14"/>
      <c r="D1399" s="14"/>
      <c r="E1399" s="14"/>
      <c r="F1399" s="14"/>
      <c r="G1399" s="14"/>
      <c r="H1399" s="14"/>
      <c r="I1399" s="14"/>
      <c r="J1399" s="14"/>
      <c r="K1399" s="14"/>
      <c r="L1399" s="14"/>
      <c r="M1399" s="14"/>
      <c r="N1399" s="14"/>
      <c r="O1399" s="14"/>
      <c r="P1399" s="14"/>
      <c r="Q1399" s="14"/>
    </row>
    <row r="1400" spans="2:17">
      <c r="B1400" s="14"/>
      <c r="C1400" s="14"/>
      <c r="D1400" s="14"/>
      <c r="E1400" s="14"/>
      <c r="F1400" s="14"/>
      <c r="G1400" s="14"/>
      <c r="H1400" s="14"/>
      <c r="I1400" s="14"/>
      <c r="J1400" s="14"/>
      <c r="K1400" s="14"/>
      <c r="L1400" s="14"/>
      <c r="M1400" s="14"/>
      <c r="N1400" s="14"/>
      <c r="O1400" s="14"/>
      <c r="P1400" s="14"/>
      <c r="Q1400" s="14"/>
    </row>
    <row r="1401" spans="2:17">
      <c r="B1401" s="14"/>
      <c r="C1401" s="14"/>
      <c r="D1401" s="14"/>
      <c r="E1401" s="14"/>
      <c r="F1401" s="14"/>
      <c r="G1401" s="14"/>
      <c r="H1401" s="14"/>
      <c r="I1401" s="14"/>
      <c r="J1401" s="14"/>
      <c r="K1401" s="14"/>
      <c r="L1401" s="14"/>
      <c r="M1401" s="14"/>
      <c r="N1401" s="14"/>
      <c r="O1401" s="14"/>
      <c r="P1401" s="14"/>
      <c r="Q1401" s="14"/>
    </row>
    <row r="1402" spans="2:17">
      <c r="B1402" s="14"/>
      <c r="C1402" s="14"/>
      <c r="D1402" s="14"/>
      <c r="E1402" s="14"/>
      <c r="F1402" s="14"/>
      <c r="G1402" s="14"/>
      <c r="H1402" s="14"/>
      <c r="I1402" s="14"/>
      <c r="J1402" s="14"/>
      <c r="K1402" s="14"/>
      <c r="L1402" s="14"/>
      <c r="M1402" s="14"/>
      <c r="N1402" s="14"/>
      <c r="O1402" s="14"/>
      <c r="P1402" s="14"/>
      <c r="Q1402" s="14"/>
    </row>
    <row r="1403" spans="2:17">
      <c r="B1403" s="14"/>
      <c r="C1403" s="14"/>
      <c r="D1403" s="14"/>
      <c r="E1403" s="14"/>
      <c r="F1403" s="14"/>
      <c r="G1403" s="14"/>
      <c r="H1403" s="14"/>
      <c r="I1403" s="14"/>
      <c r="J1403" s="14"/>
      <c r="K1403" s="14"/>
      <c r="L1403" s="14"/>
      <c r="M1403" s="14"/>
      <c r="N1403" s="14"/>
      <c r="O1403" s="14"/>
      <c r="P1403" s="14"/>
      <c r="Q1403" s="14"/>
    </row>
    <row r="1404" spans="2:17">
      <c r="B1404" s="14"/>
      <c r="C1404" s="14"/>
      <c r="D1404" s="14"/>
      <c r="E1404" s="14"/>
      <c r="F1404" s="14"/>
      <c r="G1404" s="14"/>
      <c r="H1404" s="14"/>
      <c r="I1404" s="14"/>
      <c r="J1404" s="14"/>
      <c r="K1404" s="14"/>
      <c r="L1404" s="14"/>
      <c r="M1404" s="14"/>
      <c r="N1404" s="14"/>
      <c r="O1404" s="14"/>
      <c r="P1404" s="14"/>
      <c r="Q1404" s="14"/>
    </row>
    <row r="1405" spans="2:17">
      <c r="B1405" s="14"/>
      <c r="C1405" s="14"/>
      <c r="D1405" s="14"/>
      <c r="E1405" s="14"/>
      <c r="F1405" s="14"/>
      <c r="G1405" s="14"/>
      <c r="H1405" s="14"/>
      <c r="I1405" s="14"/>
      <c r="J1405" s="14"/>
      <c r="K1405" s="14"/>
      <c r="L1405" s="14"/>
      <c r="M1405" s="14"/>
      <c r="N1405" s="14"/>
      <c r="O1405" s="14"/>
      <c r="P1405" s="14"/>
      <c r="Q1405" s="14"/>
    </row>
    <row r="1406" spans="2:17">
      <c r="B1406" s="14"/>
      <c r="C1406" s="14"/>
      <c r="D1406" s="14"/>
      <c r="E1406" s="14"/>
      <c r="F1406" s="14"/>
      <c r="G1406" s="14"/>
      <c r="H1406" s="14"/>
      <c r="I1406" s="14"/>
      <c r="J1406" s="14"/>
      <c r="K1406" s="14"/>
      <c r="L1406" s="14"/>
      <c r="M1406" s="14"/>
      <c r="N1406" s="14"/>
      <c r="O1406" s="14"/>
      <c r="P1406" s="14"/>
      <c r="Q1406" s="14"/>
    </row>
    <row r="1407" spans="2:17">
      <c r="B1407" s="14"/>
      <c r="C1407" s="14"/>
      <c r="D1407" s="14"/>
      <c r="E1407" s="14"/>
      <c r="F1407" s="14"/>
      <c r="G1407" s="14"/>
      <c r="H1407" s="14"/>
      <c r="I1407" s="14"/>
      <c r="J1407" s="14"/>
      <c r="K1407" s="14"/>
      <c r="L1407" s="14"/>
      <c r="M1407" s="14"/>
      <c r="N1407" s="14"/>
      <c r="O1407" s="14"/>
      <c r="P1407" s="14"/>
      <c r="Q1407" s="14"/>
    </row>
    <row r="1408" spans="2:17">
      <c r="B1408" s="14"/>
      <c r="C1408" s="14"/>
      <c r="D1408" s="14"/>
      <c r="E1408" s="14"/>
      <c r="F1408" s="14"/>
      <c r="G1408" s="14"/>
      <c r="H1408" s="14"/>
      <c r="I1408" s="14"/>
      <c r="J1408" s="14"/>
      <c r="K1408" s="14"/>
      <c r="L1408" s="14"/>
      <c r="M1408" s="14"/>
      <c r="N1408" s="14"/>
      <c r="O1408" s="14"/>
      <c r="P1408" s="14"/>
      <c r="Q1408" s="14"/>
    </row>
    <row r="1409" spans="2:17">
      <c r="B1409" s="14"/>
      <c r="C1409" s="14"/>
      <c r="D1409" s="14"/>
      <c r="E1409" s="14"/>
      <c r="F1409" s="14"/>
      <c r="G1409" s="14"/>
      <c r="H1409" s="14"/>
      <c r="I1409" s="14"/>
      <c r="J1409" s="14"/>
      <c r="K1409" s="14"/>
      <c r="L1409" s="14"/>
      <c r="M1409" s="14"/>
      <c r="N1409" s="14"/>
      <c r="O1409" s="14"/>
      <c r="P1409" s="14"/>
      <c r="Q1409" s="14"/>
    </row>
    <row r="1410" spans="2:17">
      <c r="B1410" s="14"/>
      <c r="C1410" s="14"/>
      <c r="D1410" s="14"/>
      <c r="E1410" s="14"/>
      <c r="F1410" s="14"/>
      <c r="G1410" s="14"/>
      <c r="H1410" s="14"/>
      <c r="I1410" s="14"/>
      <c r="J1410" s="14"/>
      <c r="K1410" s="14"/>
      <c r="L1410" s="14"/>
      <c r="M1410" s="14"/>
      <c r="N1410" s="14"/>
      <c r="O1410" s="14"/>
      <c r="P1410" s="14"/>
      <c r="Q1410" s="14"/>
    </row>
    <row r="1411" spans="2:17">
      <c r="B1411" s="14"/>
      <c r="C1411" s="14"/>
      <c r="D1411" s="14"/>
      <c r="E1411" s="14"/>
      <c r="F1411" s="14"/>
      <c r="G1411" s="14"/>
      <c r="H1411" s="14"/>
      <c r="I1411" s="14"/>
      <c r="J1411" s="14"/>
      <c r="K1411" s="14"/>
      <c r="L1411" s="14"/>
      <c r="M1411" s="14"/>
      <c r="N1411" s="14"/>
      <c r="O1411" s="14"/>
      <c r="P1411" s="14"/>
      <c r="Q1411" s="14"/>
    </row>
    <row r="1412" spans="2:17">
      <c r="B1412" s="14"/>
      <c r="C1412" s="14"/>
      <c r="D1412" s="14"/>
      <c r="E1412" s="14"/>
      <c r="F1412" s="14"/>
      <c r="G1412" s="14"/>
      <c r="H1412" s="14"/>
      <c r="I1412" s="14"/>
      <c r="J1412" s="14"/>
      <c r="K1412" s="14"/>
      <c r="L1412" s="14"/>
      <c r="M1412" s="14"/>
      <c r="N1412" s="14"/>
      <c r="O1412" s="14"/>
      <c r="P1412" s="14"/>
      <c r="Q1412" s="14"/>
    </row>
    <row r="1413" spans="2:17">
      <c r="B1413" s="14"/>
      <c r="C1413" s="14"/>
      <c r="D1413" s="14"/>
      <c r="E1413" s="14"/>
      <c r="F1413" s="14"/>
      <c r="G1413" s="14"/>
      <c r="H1413" s="14"/>
      <c r="I1413" s="14"/>
      <c r="J1413" s="14"/>
      <c r="K1413" s="14"/>
      <c r="L1413" s="14"/>
      <c r="M1413" s="14"/>
      <c r="N1413" s="14"/>
      <c r="O1413" s="14"/>
      <c r="P1413" s="14"/>
      <c r="Q1413" s="14"/>
    </row>
    <row r="1414" spans="2:17">
      <c r="B1414" s="14"/>
      <c r="C1414" s="14"/>
      <c r="D1414" s="14"/>
      <c r="E1414" s="14"/>
      <c r="F1414" s="14"/>
      <c r="G1414" s="14"/>
      <c r="H1414" s="14"/>
      <c r="I1414" s="14"/>
      <c r="J1414" s="14"/>
      <c r="K1414" s="14"/>
      <c r="L1414" s="14"/>
      <c r="M1414" s="14"/>
      <c r="N1414" s="14"/>
      <c r="O1414" s="14"/>
      <c r="P1414" s="14"/>
      <c r="Q1414" s="14"/>
    </row>
    <row r="1415" spans="2:17">
      <c r="B1415" s="14"/>
      <c r="C1415" s="14"/>
      <c r="D1415" s="14"/>
      <c r="E1415" s="14"/>
      <c r="F1415" s="14"/>
      <c r="G1415" s="14"/>
      <c r="H1415" s="14"/>
      <c r="I1415" s="14"/>
      <c r="J1415" s="14"/>
      <c r="K1415" s="14"/>
      <c r="L1415" s="14"/>
      <c r="M1415" s="14"/>
      <c r="N1415" s="14"/>
      <c r="O1415" s="14"/>
      <c r="P1415" s="14"/>
      <c r="Q1415" s="14"/>
    </row>
    <row r="1416" spans="2:17">
      <c r="B1416" s="14"/>
      <c r="C1416" s="14"/>
      <c r="D1416" s="14"/>
      <c r="E1416" s="14"/>
      <c r="F1416" s="14"/>
      <c r="G1416" s="14"/>
      <c r="H1416" s="14"/>
      <c r="I1416" s="14"/>
      <c r="J1416" s="14"/>
      <c r="K1416" s="14"/>
      <c r="L1416" s="14"/>
      <c r="M1416" s="14"/>
      <c r="N1416" s="14"/>
      <c r="O1416" s="14"/>
      <c r="P1416" s="14"/>
      <c r="Q1416" s="14"/>
    </row>
    <row r="1417" spans="2:17">
      <c r="B1417" s="14"/>
      <c r="C1417" s="14"/>
      <c r="D1417" s="14"/>
      <c r="E1417" s="14"/>
      <c r="F1417" s="14"/>
      <c r="G1417" s="14"/>
      <c r="H1417" s="14"/>
      <c r="I1417" s="14"/>
      <c r="J1417" s="14"/>
      <c r="K1417" s="14"/>
      <c r="L1417" s="14"/>
      <c r="M1417" s="14"/>
      <c r="N1417" s="14"/>
      <c r="O1417" s="14"/>
      <c r="P1417" s="14"/>
      <c r="Q1417" s="14"/>
    </row>
    <row r="1418" spans="2:17">
      <c r="B1418" s="14"/>
      <c r="C1418" s="14"/>
      <c r="D1418" s="14"/>
      <c r="E1418" s="14"/>
      <c r="F1418" s="14"/>
      <c r="G1418" s="14"/>
      <c r="H1418" s="14"/>
      <c r="I1418" s="14"/>
      <c r="J1418" s="14"/>
      <c r="K1418" s="14"/>
      <c r="L1418" s="14"/>
      <c r="M1418" s="14"/>
      <c r="N1418" s="14"/>
      <c r="O1418" s="14"/>
      <c r="P1418" s="14"/>
      <c r="Q1418" s="14"/>
    </row>
    <row r="1419" spans="2:17">
      <c r="B1419" s="14"/>
      <c r="C1419" s="14"/>
      <c r="D1419" s="14"/>
      <c r="E1419" s="14"/>
      <c r="F1419" s="14"/>
      <c r="G1419" s="14"/>
      <c r="H1419" s="14"/>
      <c r="I1419" s="14"/>
      <c r="J1419" s="14"/>
      <c r="K1419" s="14"/>
      <c r="L1419" s="14"/>
      <c r="M1419" s="14"/>
      <c r="N1419" s="14"/>
      <c r="O1419" s="14"/>
      <c r="P1419" s="14"/>
      <c r="Q1419" s="14"/>
    </row>
    <row r="1420" spans="2:17">
      <c r="B1420" s="14"/>
      <c r="C1420" s="14"/>
      <c r="D1420" s="14"/>
      <c r="E1420" s="14"/>
      <c r="F1420" s="14"/>
      <c r="G1420" s="14"/>
      <c r="H1420" s="14"/>
      <c r="I1420" s="14"/>
      <c r="J1420" s="14"/>
      <c r="K1420" s="14"/>
      <c r="L1420" s="14"/>
      <c r="M1420" s="14"/>
      <c r="N1420" s="14"/>
      <c r="O1420" s="14"/>
      <c r="P1420" s="14"/>
      <c r="Q1420" s="14"/>
    </row>
    <row r="1421" spans="2:17">
      <c r="B1421" s="14"/>
      <c r="C1421" s="14"/>
      <c r="D1421" s="14"/>
      <c r="E1421" s="14"/>
      <c r="F1421" s="14"/>
      <c r="G1421" s="14"/>
      <c r="H1421" s="14"/>
      <c r="I1421" s="14"/>
      <c r="J1421" s="14"/>
      <c r="K1421" s="14"/>
      <c r="L1421" s="14"/>
      <c r="M1421" s="14"/>
      <c r="N1421" s="14"/>
      <c r="O1421" s="14"/>
      <c r="P1421" s="14"/>
      <c r="Q1421" s="14"/>
    </row>
    <row r="1422" spans="2:17">
      <c r="B1422" s="14"/>
      <c r="C1422" s="14"/>
      <c r="D1422" s="14"/>
      <c r="E1422" s="14"/>
      <c r="F1422" s="14"/>
      <c r="G1422" s="14"/>
      <c r="H1422" s="14"/>
      <c r="I1422" s="14"/>
      <c r="J1422" s="14"/>
      <c r="K1422" s="14"/>
      <c r="L1422" s="14"/>
      <c r="M1422" s="14"/>
      <c r="N1422" s="14"/>
      <c r="O1422" s="14"/>
      <c r="P1422" s="14"/>
      <c r="Q1422" s="14"/>
    </row>
    <row r="1423" spans="2:17">
      <c r="B1423" s="14"/>
      <c r="C1423" s="14"/>
      <c r="D1423" s="14"/>
      <c r="E1423" s="14"/>
      <c r="F1423" s="14"/>
      <c r="G1423" s="14"/>
      <c r="H1423" s="14"/>
      <c r="I1423" s="14"/>
      <c r="J1423" s="14"/>
      <c r="K1423" s="14"/>
      <c r="L1423" s="14"/>
      <c r="M1423" s="14"/>
      <c r="N1423" s="14"/>
      <c r="O1423" s="14"/>
      <c r="P1423" s="14"/>
      <c r="Q1423" s="14"/>
    </row>
    <row r="1424" spans="2:17">
      <c r="B1424" s="14"/>
      <c r="C1424" s="14"/>
      <c r="D1424" s="14"/>
      <c r="E1424" s="14"/>
      <c r="F1424" s="14"/>
      <c r="G1424" s="14"/>
      <c r="H1424" s="14"/>
      <c r="I1424" s="14"/>
      <c r="J1424" s="14"/>
      <c r="K1424" s="14"/>
      <c r="L1424" s="14"/>
      <c r="M1424" s="14"/>
      <c r="N1424" s="14"/>
      <c r="O1424" s="14"/>
      <c r="P1424" s="14"/>
      <c r="Q1424" s="14"/>
    </row>
    <row r="1425" spans="2:17">
      <c r="B1425" s="14"/>
      <c r="C1425" s="14"/>
      <c r="D1425" s="14"/>
      <c r="E1425" s="14"/>
      <c r="F1425" s="14"/>
      <c r="G1425" s="14"/>
      <c r="H1425" s="14"/>
      <c r="I1425" s="14"/>
      <c r="J1425" s="14"/>
      <c r="K1425" s="14"/>
      <c r="L1425" s="14"/>
      <c r="M1425" s="14"/>
      <c r="N1425" s="14"/>
      <c r="O1425" s="14"/>
      <c r="P1425" s="14"/>
      <c r="Q1425" s="14"/>
    </row>
    <row r="1426" spans="2:17">
      <c r="B1426" s="14"/>
      <c r="C1426" s="14"/>
      <c r="D1426" s="14"/>
      <c r="E1426" s="14"/>
      <c r="F1426" s="14"/>
      <c r="G1426" s="14"/>
      <c r="H1426" s="14"/>
      <c r="I1426" s="14"/>
      <c r="J1426" s="14"/>
      <c r="K1426" s="14"/>
      <c r="L1426" s="14"/>
      <c r="M1426" s="14"/>
      <c r="N1426" s="14"/>
      <c r="O1426" s="14"/>
      <c r="P1426" s="14"/>
      <c r="Q1426" s="14"/>
    </row>
    <row r="1427" spans="2:17">
      <c r="B1427" s="14"/>
      <c r="C1427" s="14"/>
      <c r="D1427" s="14"/>
      <c r="E1427" s="14"/>
      <c r="F1427" s="14"/>
      <c r="G1427" s="14"/>
      <c r="H1427" s="14"/>
      <c r="I1427" s="14"/>
      <c r="J1427" s="14"/>
      <c r="K1427" s="14"/>
      <c r="L1427" s="14"/>
      <c r="M1427" s="14"/>
      <c r="N1427" s="14"/>
      <c r="O1427" s="14"/>
      <c r="P1427" s="14"/>
      <c r="Q1427" s="14"/>
    </row>
    <row r="1428" spans="2:17">
      <c r="B1428" s="14"/>
      <c r="C1428" s="14"/>
      <c r="D1428" s="14"/>
      <c r="E1428" s="14"/>
      <c r="F1428" s="14"/>
      <c r="G1428" s="14"/>
      <c r="H1428" s="14"/>
      <c r="I1428" s="14"/>
      <c r="J1428" s="14"/>
      <c r="K1428" s="14"/>
      <c r="L1428" s="14"/>
      <c r="M1428" s="14"/>
      <c r="N1428" s="14"/>
      <c r="O1428" s="14"/>
      <c r="P1428" s="14"/>
      <c r="Q1428" s="14"/>
    </row>
    <row r="1429" spans="2:17">
      <c r="B1429" s="14"/>
      <c r="C1429" s="14"/>
      <c r="D1429" s="14"/>
      <c r="E1429" s="14"/>
      <c r="F1429" s="14"/>
      <c r="G1429" s="14"/>
      <c r="H1429" s="14"/>
      <c r="I1429" s="14"/>
      <c r="J1429" s="14"/>
      <c r="K1429" s="14"/>
      <c r="L1429" s="14"/>
      <c r="M1429" s="14"/>
      <c r="N1429" s="14"/>
      <c r="O1429" s="14"/>
      <c r="P1429" s="14"/>
      <c r="Q1429" s="14"/>
    </row>
    <row r="1430" spans="2:17">
      <c r="B1430" s="14"/>
      <c r="C1430" s="14"/>
      <c r="D1430" s="14"/>
      <c r="E1430" s="14"/>
      <c r="F1430" s="14"/>
      <c r="G1430" s="14"/>
      <c r="H1430" s="14"/>
      <c r="I1430" s="14"/>
      <c r="J1430" s="14"/>
      <c r="K1430" s="14"/>
      <c r="L1430" s="14"/>
      <c r="M1430" s="14"/>
      <c r="N1430" s="14"/>
      <c r="O1430" s="14"/>
      <c r="P1430" s="14"/>
      <c r="Q1430" s="14"/>
    </row>
    <row r="1431" spans="2:17">
      <c r="B1431" s="14"/>
      <c r="C1431" s="14"/>
      <c r="D1431" s="14"/>
      <c r="E1431" s="14"/>
      <c r="F1431" s="14"/>
      <c r="G1431" s="14"/>
      <c r="H1431" s="14"/>
      <c r="I1431" s="14"/>
      <c r="J1431" s="14"/>
      <c r="K1431" s="14"/>
      <c r="L1431" s="14"/>
      <c r="M1431" s="14"/>
      <c r="N1431" s="14"/>
      <c r="O1431" s="14"/>
      <c r="P1431" s="14"/>
      <c r="Q1431" s="14"/>
    </row>
    <row r="1432" spans="2:17">
      <c r="B1432" s="14"/>
      <c r="C1432" s="14"/>
      <c r="D1432" s="14"/>
      <c r="E1432" s="14"/>
      <c r="F1432" s="14"/>
      <c r="G1432" s="14"/>
      <c r="H1432" s="14"/>
      <c r="I1432" s="14"/>
      <c r="J1432" s="14"/>
      <c r="K1432" s="14"/>
      <c r="L1432" s="14"/>
      <c r="M1432" s="14"/>
      <c r="N1432" s="14"/>
      <c r="O1432" s="14"/>
      <c r="P1432" s="14"/>
      <c r="Q1432" s="14"/>
    </row>
    <row r="1433" spans="2:17">
      <c r="B1433" s="14"/>
      <c r="C1433" s="14"/>
      <c r="D1433" s="14"/>
      <c r="E1433" s="14"/>
      <c r="F1433" s="14"/>
      <c r="G1433" s="14"/>
      <c r="H1433" s="14"/>
      <c r="I1433" s="14"/>
      <c r="J1433" s="14"/>
      <c r="K1433" s="14"/>
      <c r="L1433" s="14"/>
      <c r="M1433" s="14"/>
      <c r="N1433" s="14"/>
      <c r="O1433" s="14"/>
      <c r="P1433" s="14"/>
      <c r="Q1433" s="14"/>
    </row>
    <row r="1434" spans="2:17">
      <c r="B1434" s="14"/>
      <c r="C1434" s="14"/>
      <c r="D1434" s="14"/>
      <c r="E1434" s="14"/>
      <c r="F1434" s="14"/>
      <c r="G1434" s="14"/>
      <c r="H1434" s="14"/>
      <c r="I1434" s="14"/>
      <c r="J1434" s="14"/>
      <c r="K1434" s="14"/>
      <c r="L1434" s="14"/>
      <c r="M1434" s="14"/>
      <c r="N1434" s="14"/>
      <c r="O1434" s="14"/>
      <c r="P1434" s="14"/>
      <c r="Q1434" s="14"/>
    </row>
    <row r="1435" spans="2:17">
      <c r="B1435" s="14"/>
      <c r="C1435" s="14"/>
      <c r="D1435" s="14"/>
      <c r="E1435" s="14"/>
      <c r="F1435" s="14"/>
      <c r="G1435" s="14"/>
      <c r="H1435" s="14"/>
      <c r="I1435" s="14"/>
      <c r="J1435" s="14"/>
      <c r="K1435" s="14"/>
      <c r="L1435" s="14"/>
      <c r="M1435" s="14"/>
      <c r="N1435" s="14"/>
      <c r="O1435" s="14"/>
      <c r="P1435" s="14"/>
      <c r="Q1435" s="14"/>
    </row>
    <row r="1436" spans="2:17">
      <c r="B1436" s="14"/>
      <c r="C1436" s="14"/>
      <c r="D1436" s="14"/>
      <c r="E1436" s="14"/>
      <c r="F1436" s="14"/>
      <c r="G1436" s="14"/>
      <c r="H1436" s="14"/>
      <c r="I1436" s="14"/>
      <c r="J1436" s="14"/>
      <c r="K1436" s="14"/>
      <c r="L1436" s="14"/>
      <c r="M1436" s="14"/>
      <c r="N1436" s="14"/>
      <c r="O1436" s="14"/>
      <c r="P1436" s="14"/>
      <c r="Q1436" s="14"/>
    </row>
    <row r="1437" spans="2:17">
      <c r="B1437" s="14"/>
      <c r="C1437" s="14"/>
      <c r="D1437" s="14"/>
      <c r="E1437" s="14"/>
      <c r="F1437" s="14"/>
      <c r="G1437" s="14"/>
      <c r="H1437" s="14"/>
      <c r="I1437" s="14"/>
      <c r="J1437" s="14"/>
      <c r="K1437" s="14"/>
      <c r="L1437" s="14"/>
      <c r="M1437" s="14"/>
      <c r="N1437" s="14"/>
      <c r="O1437" s="14"/>
      <c r="P1437" s="14"/>
      <c r="Q1437" s="14"/>
    </row>
    <row r="1438" spans="2:17">
      <c r="B1438" s="14"/>
      <c r="C1438" s="14"/>
      <c r="D1438" s="14"/>
      <c r="E1438" s="14"/>
      <c r="F1438" s="14"/>
      <c r="G1438" s="14"/>
      <c r="H1438" s="14"/>
      <c r="I1438" s="14"/>
      <c r="J1438" s="14"/>
      <c r="K1438" s="14"/>
      <c r="L1438" s="14"/>
      <c r="M1438" s="14"/>
      <c r="N1438" s="14"/>
      <c r="O1438" s="14"/>
      <c r="P1438" s="14"/>
      <c r="Q1438" s="14"/>
    </row>
    <row r="1439" spans="2:17">
      <c r="B1439" s="14"/>
      <c r="C1439" s="14"/>
      <c r="D1439" s="14"/>
      <c r="E1439" s="14"/>
      <c r="F1439" s="14"/>
      <c r="G1439" s="14"/>
      <c r="H1439" s="14"/>
      <c r="I1439" s="14"/>
      <c r="J1439" s="14"/>
      <c r="K1439" s="14"/>
      <c r="L1439" s="14"/>
      <c r="M1439" s="14"/>
      <c r="N1439" s="14"/>
      <c r="O1439" s="14"/>
      <c r="P1439" s="14"/>
      <c r="Q1439" s="14"/>
    </row>
    <row r="1440" spans="2:17">
      <c r="B1440" s="14"/>
      <c r="C1440" s="14"/>
      <c r="D1440" s="14"/>
      <c r="E1440" s="14"/>
      <c r="F1440" s="14"/>
      <c r="G1440" s="14"/>
      <c r="H1440" s="14"/>
      <c r="I1440" s="14"/>
      <c r="J1440" s="14"/>
      <c r="K1440" s="14"/>
      <c r="L1440" s="14"/>
      <c r="M1440" s="14"/>
      <c r="N1440" s="14"/>
      <c r="O1440" s="14"/>
      <c r="P1440" s="14"/>
      <c r="Q1440" s="14"/>
    </row>
    <row r="1441" spans="2:17">
      <c r="B1441" s="14"/>
      <c r="C1441" s="14"/>
      <c r="D1441" s="14"/>
      <c r="E1441" s="14"/>
      <c r="F1441" s="14"/>
      <c r="G1441" s="14"/>
      <c r="H1441" s="14"/>
      <c r="I1441" s="14"/>
      <c r="J1441" s="14"/>
      <c r="K1441" s="14"/>
      <c r="L1441" s="14"/>
      <c r="M1441" s="14"/>
      <c r="N1441" s="14"/>
      <c r="O1441" s="14"/>
      <c r="P1441" s="14"/>
      <c r="Q1441" s="14"/>
    </row>
    <row r="1442" spans="2:17">
      <c r="B1442" s="14"/>
      <c r="C1442" s="14"/>
      <c r="D1442" s="14"/>
      <c r="E1442" s="14"/>
      <c r="F1442" s="14"/>
      <c r="G1442" s="14"/>
      <c r="H1442" s="14"/>
      <c r="I1442" s="14"/>
      <c r="J1442" s="14"/>
      <c r="K1442" s="14"/>
      <c r="L1442" s="14"/>
      <c r="M1442" s="14"/>
      <c r="N1442" s="14"/>
      <c r="O1442" s="14"/>
      <c r="P1442" s="14"/>
      <c r="Q1442" s="14"/>
    </row>
    <row r="1443" spans="2:17">
      <c r="B1443" s="14"/>
      <c r="C1443" s="14"/>
      <c r="D1443" s="14"/>
      <c r="E1443" s="14"/>
      <c r="F1443" s="14"/>
      <c r="G1443" s="14"/>
      <c r="H1443" s="14"/>
      <c r="I1443" s="14"/>
      <c r="J1443" s="14"/>
      <c r="K1443" s="14"/>
      <c r="L1443" s="14"/>
      <c r="M1443" s="14"/>
      <c r="N1443" s="14"/>
      <c r="O1443" s="14"/>
      <c r="P1443" s="14"/>
      <c r="Q1443" s="14"/>
    </row>
    <row r="1444" spans="2:17">
      <c r="B1444" s="14"/>
      <c r="C1444" s="14"/>
      <c r="D1444" s="14"/>
      <c r="E1444" s="14"/>
      <c r="F1444" s="14"/>
      <c r="G1444" s="14"/>
      <c r="H1444" s="14"/>
      <c r="I1444" s="14"/>
      <c r="J1444" s="14"/>
      <c r="K1444" s="14"/>
      <c r="L1444" s="14"/>
      <c r="M1444" s="14"/>
      <c r="N1444" s="14"/>
      <c r="O1444" s="14"/>
      <c r="P1444" s="14"/>
      <c r="Q1444" s="14"/>
    </row>
    <row r="1445" spans="2:17">
      <c r="B1445" s="14"/>
      <c r="C1445" s="14"/>
      <c r="D1445" s="14"/>
      <c r="E1445" s="14"/>
      <c r="F1445" s="14"/>
      <c r="G1445" s="14"/>
      <c r="H1445" s="14"/>
      <c r="I1445" s="14"/>
      <c r="J1445" s="14"/>
      <c r="K1445" s="14"/>
      <c r="L1445" s="14"/>
      <c r="M1445" s="14"/>
      <c r="N1445" s="14"/>
      <c r="O1445" s="14"/>
      <c r="P1445" s="14"/>
      <c r="Q1445" s="14"/>
    </row>
    <row r="1446" spans="2:17">
      <c r="B1446" s="14"/>
      <c r="C1446" s="14"/>
      <c r="D1446" s="14"/>
      <c r="E1446" s="14"/>
      <c r="F1446" s="14"/>
      <c r="G1446" s="14"/>
      <c r="H1446" s="14"/>
      <c r="I1446" s="14"/>
      <c r="J1446" s="14"/>
      <c r="K1446" s="14"/>
      <c r="L1446" s="14"/>
      <c r="M1446" s="14"/>
      <c r="N1446" s="14"/>
      <c r="O1446" s="14"/>
      <c r="P1446" s="14"/>
      <c r="Q1446" s="14"/>
    </row>
    <row r="1447" spans="2:17">
      <c r="B1447" s="14"/>
      <c r="C1447" s="14"/>
      <c r="D1447" s="14"/>
      <c r="E1447" s="14"/>
      <c r="F1447" s="14"/>
      <c r="G1447" s="14"/>
      <c r="H1447" s="14"/>
      <c r="I1447" s="14"/>
      <c r="J1447" s="14"/>
      <c r="K1447" s="14"/>
      <c r="L1447" s="14"/>
      <c r="M1447" s="14"/>
      <c r="N1447" s="14"/>
      <c r="O1447" s="14"/>
      <c r="P1447" s="14"/>
      <c r="Q1447" s="14"/>
    </row>
    <row r="1448" spans="2:17">
      <c r="B1448" s="14"/>
      <c r="C1448" s="14"/>
      <c r="D1448" s="14"/>
      <c r="E1448" s="14"/>
      <c r="F1448" s="14"/>
      <c r="G1448" s="14"/>
      <c r="H1448" s="14"/>
      <c r="I1448" s="14"/>
      <c r="J1448" s="14"/>
      <c r="K1448" s="14"/>
      <c r="L1448" s="14"/>
      <c r="M1448" s="14"/>
      <c r="N1448" s="14"/>
      <c r="O1448" s="14"/>
      <c r="P1448" s="14"/>
      <c r="Q1448" s="14"/>
    </row>
    <row r="1449" spans="2:17">
      <c r="B1449" s="14"/>
      <c r="C1449" s="14"/>
      <c r="D1449" s="14"/>
      <c r="E1449" s="14"/>
      <c r="F1449" s="14"/>
      <c r="G1449" s="14"/>
      <c r="H1449" s="14"/>
      <c r="I1449" s="14"/>
      <c r="J1449" s="14"/>
      <c r="K1449" s="14"/>
      <c r="L1449" s="14"/>
      <c r="M1449" s="14"/>
      <c r="N1449" s="14"/>
      <c r="O1449" s="14"/>
      <c r="P1449" s="14"/>
      <c r="Q1449" s="14"/>
    </row>
    <row r="1450" spans="2:17">
      <c r="B1450" s="14"/>
      <c r="C1450" s="14"/>
      <c r="D1450" s="14"/>
      <c r="E1450" s="14"/>
      <c r="F1450" s="14"/>
      <c r="G1450" s="14"/>
      <c r="H1450" s="14"/>
      <c r="I1450" s="14"/>
      <c r="J1450" s="14"/>
      <c r="K1450" s="14"/>
      <c r="L1450" s="14"/>
      <c r="M1450" s="14"/>
      <c r="N1450" s="14"/>
      <c r="O1450" s="14"/>
      <c r="P1450" s="14"/>
      <c r="Q1450" s="14"/>
    </row>
    <row r="1451" spans="2:17">
      <c r="B1451" s="14"/>
      <c r="C1451" s="14"/>
      <c r="D1451" s="14"/>
      <c r="E1451" s="14"/>
      <c r="F1451" s="14"/>
      <c r="G1451" s="14"/>
      <c r="H1451" s="14"/>
      <c r="I1451" s="14"/>
      <c r="J1451" s="14"/>
      <c r="K1451" s="14"/>
      <c r="L1451" s="14"/>
      <c r="M1451" s="14"/>
      <c r="N1451" s="14"/>
      <c r="O1451" s="14"/>
      <c r="P1451" s="14"/>
      <c r="Q1451" s="14"/>
    </row>
    <row r="1452" spans="2:17">
      <c r="B1452" s="14"/>
      <c r="C1452" s="14"/>
      <c r="D1452" s="14"/>
      <c r="E1452" s="14"/>
      <c r="F1452" s="14"/>
      <c r="G1452" s="14"/>
      <c r="H1452" s="14"/>
      <c r="I1452" s="14"/>
      <c r="J1452" s="14"/>
      <c r="K1452" s="14"/>
      <c r="L1452" s="14"/>
      <c r="M1452" s="14"/>
      <c r="N1452" s="14"/>
      <c r="O1452" s="14"/>
      <c r="P1452" s="14"/>
      <c r="Q1452" s="14"/>
    </row>
    <row r="1453" spans="2:17">
      <c r="B1453" s="14"/>
      <c r="C1453" s="14"/>
      <c r="D1453" s="14"/>
      <c r="E1453" s="14"/>
      <c r="F1453" s="14"/>
      <c r="G1453" s="14"/>
      <c r="H1453" s="14"/>
      <c r="I1453" s="14"/>
      <c r="J1453" s="14"/>
      <c r="K1453" s="14"/>
      <c r="L1453" s="14"/>
      <c r="M1453" s="14"/>
      <c r="N1453" s="14"/>
      <c r="O1453" s="14"/>
      <c r="P1453" s="14"/>
      <c r="Q1453" s="14"/>
    </row>
    <row r="1454" spans="2:17">
      <c r="B1454" s="14"/>
      <c r="C1454" s="14"/>
      <c r="D1454" s="14"/>
      <c r="E1454" s="14"/>
      <c r="F1454" s="14"/>
      <c r="G1454" s="14"/>
      <c r="H1454" s="14"/>
      <c r="I1454" s="14"/>
      <c r="J1454" s="14"/>
      <c r="K1454" s="14"/>
      <c r="L1454" s="14"/>
      <c r="M1454" s="14"/>
      <c r="N1454" s="14"/>
      <c r="O1454" s="14"/>
      <c r="P1454" s="14"/>
      <c r="Q1454" s="14"/>
    </row>
    <row r="1455" spans="2:17">
      <c r="B1455" s="14"/>
      <c r="C1455" s="14"/>
      <c r="D1455" s="14"/>
      <c r="E1455" s="14"/>
      <c r="F1455" s="14"/>
      <c r="G1455" s="14"/>
      <c r="H1455" s="14"/>
      <c r="I1455" s="14"/>
      <c r="J1455" s="14"/>
      <c r="K1455" s="14"/>
      <c r="L1455" s="14"/>
      <c r="M1455" s="14"/>
      <c r="N1455" s="14"/>
      <c r="O1455" s="14"/>
      <c r="P1455" s="14"/>
      <c r="Q1455" s="14"/>
    </row>
    <row r="1456" spans="2:17">
      <c r="B1456" s="14"/>
      <c r="C1456" s="14"/>
      <c r="D1456" s="14"/>
      <c r="E1456" s="14"/>
      <c r="F1456" s="14"/>
      <c r="G1456" s="14"/>
      <c r="H1456" s="14"/>
      <c r="I1456" s="14"/>
      <c r="J1456" s="14"/>
      <c r="K1456" s="14"/>
      <c r="L1456" s="14"/>
      <c r="M1456" s="14"/>
      <c r="N1456" s="14"/>
      <c r="O1456" s="14"/>
      <c r="P1456" s="14"/>
      <c r="Q1456" s="14"/>
    </row>
    <row r="1457" spans="2:17">
      <c r="B1457" s="14"/>
      <c r="C1457" s="14"/>
      <c r="D1457" s="14"/>
      <c r="E1457" s="14"/>
      <c r="F1457" s="14"/>
      <c r="G1457" s="14"/>
      <c r="H1457" s="14"/>
      <c r="I1457" s="14"/>
      <c r="J1457" s="14"/>
      <c r="K1457" s="14"/>
      <c r="L1457" s="14"/>
      <c r="M1457" s="14"/>
      <c r="N1457" s="14"/>
      <c r="O1457" s="14"/>
      <c r="P1457" s="14"/>
      <c r="Q1457" s="14"/>
    </row>
    <row r="1458" spans="2:17">
      <c r="B1458" s="14"/>
      <c r="C1458" s="14"/>
      <c r="D1458" s="14"/>
      <c r="E1458" s="14"/>
      <c r="F1458" s="14"/>
      <c r="G1458" s="14"/>
      <c r="H1458" s="14"/>
      <c r="I1458" s="14"/>
      <c r="J1458" s="14"/>
      <c r="K1458" s="14"/>
      <c r="L1458" s="14"/>
      <c r="M1458" s="14"/>
      <c r="N1458" s="14"/>
      <c r="O1458" s="14"/>
      <c r="P1458" s="14"/>
      <c r="Q1458" s="14"/>
    </row>
    <row r="1459" spans="2:17">
      <c r="B1459" s="14"/>
      <c r="C1459" s="14"/>
      <c r="D1459" s="14"/>
      <c r="E1459" s="14"/>
      <c r="F1459" s="14"/>
      <c r="G1459" s="14"/>
      <c r="H1459" s="14"/>
      <c r="I1459" s="14"/>
      <c r="J1459" s="14"/>
      <c r="K1459" s="14"/>
      <c r="L1459" s="14"/>
      <c r="M1459" s="14"/>
      <c r="N1459" s="14"/>
      <c r="O1459" s="14"/>
      <c r="P1459" s="14"/>
      <c r="Q1459" s="14"/>
    </row>
    <row r="1460" spans="2:17">
      <c r="B1460" s="14"/>
      <c r="C1460" s="14"/>
      <c r="D1460" s="14"/>
      <c r="E1460" s="14"/>
      <c r="F1460" s="14"/>
      <c r="G1460" s="14"/>
      <c r="H1460" s="14"/>
      <c r="I1460" s="14"/>
      <c r="J1460" s="14"/>
      <c r="K1460" s="14"/>
      <c r="L1460" s="14"/>
      <c r="M1460" s="14"/>
      <c r="N1460" s="14"/>
      <c r="O1460" s="14"/>
      <c r="P1460" s="14"/>
      <c r="Q1460" s="14"/>
    </row>
    <row r="1461" spans="2:17">
      <c r="B1461" s="14"/>
      <c r="C1461" s="14"/>
      <c r="D1461" s="14"/>
      <c r="E1461" s="14"/>
      <c r="F1461" s="14"/>
      <c r="G1461" s="14"/>
      <c r="H1461" s="14"/>
      <c r="I1461" s="14"/>
      <c r="J1461" s="14"/>
      <c r="K1461" s="14"/>
      <c r="L1461" s="14"/>
      <c r="M1461" s="14"/>
      <c r="N1461" s="14"/>
      <c r="O1461" s="14"/>
      <c r="P1461" s="14"/>
      <c r="Q1461" s="14"/>
    </row>
    <row r="1462" spans="2:17">
      <c r="B1462" s="14"/>
      <c r="C1462" s="14"/>
      <c r="D1462" s="14"/>
      <c r="E1462" s="14"/>
      <c r="F1462" s="14"/>
      <c r="G1462" s="14"/>
      <c r="H1462" s="14"/>
      <c r="I1462" s="14"/>
      <c r="J1462" s="14"/>
      <c r="K1462" s="14"/>
      <c r="L1462" s="14"/>
      <c r="M1462" s="14"/>
      <c r="N1462" s="14"/>
      <c r="O1462" s="14"/>
      <c r="P1462" s="14"/>
      <c r="Q1462" s="14"/>
    </row>
    <row r="1463" spans="2:17">
      <c r="B1463" s="14"/>
      <c r="C1463" s="14"/>
      <c r="D1463" s="14"/>
      <c r="E1463" s="14"/>
      <c r="F1463" s="14"/>
      <c r="G1463" s="14"/>
      <c r="H1463" s="14"/>
      <c r="I1463" s="14"/>
      <c r="J1463" s="14"/>
      <c r="K1463" s="14"/>
      <c r="L1463" s="14"/>
      <c r="M1463" s="14"/>
      <c r="N1463" s="14"/>
      <c r="O1463" s="14"/>
      <c r="P1463" s="14"/>
      <c r="Q1463" s="14"/>
    </row>
    <row r="1464" spans="2:17">
      <c r="B1464" s="14"/>
      <c r="C1464" s="14"/>
      <c r="D1464" s="14"/>
      <c r="E1464" s="14"/>
      <c r="F1464" s="14"/>
      <c r="G1464" s="14"/>
      <c r="H1464" s="14"/>
      <c r="I1464" s="14"/>
      <c r="J1464" s="14"/>
      <c r="K1464" s="14"/>
      <c r="L1464" s="14"/>
      <c r="M1464" s="14"/>
      <c r="N1464" s="14"/>
      <c r="O1464" s="14"/>
      <c r="P1464" s="14"/>
      <c r="Q1464" s="14"/>
    </row>
    <row r="1465" spans="2:17">
      <c r="B1465" s="14"/>
      <c r="C1465" s="14"/>
      <c r="D1465" s="14"/>
      <c r="E1465" s="14"/>
      <c r="F1465" s="14"/>
      <c r="G1465" s="14"/>
      <c r="H1465" s="14"/>
      <c r="I1465" s="14"/>
      <c r="J1465" s="14"/>
      <c r="K1465" s="14"/>
      <c r="L1465" s="14"/>
      <c r="M1465" s="14"/>
      <c r="N1465" s="14"/>
      <c r="O1465" s="14"/>
      <c r="P1465" s="14"/>
      <c r="Q1465" s="14"/>
    </row>
    <row r="1466" spans="2:17">
      <c r="B1466" s="14"/>
      <c r="C1466" s="14"/>
      <c r="D1466" s="14"/>
      <c r="E1466" s="14"/>
      <c r="F1466" s="14"/>
      <c r="G1466" s="14"/>
      <c r="H1466" s="14"/>
      <c r="I1466" s="14"/>
      <c r="J1466" s="14"/>
      <c r="K1466" s="14"/>
      <c r="L1466" s="14"/>
      <c r="M1466" s="14"/>
      <c r="N1466" s="14"/>
      <c r="O1466" s="14"/>
      <c r="P1466" s="14"/>
      <c r="Q1466" s="14"/>
    </row>
    <row r="1467" spans="2:17">
      <c r="B1467" s="14"/>
      <c r="C1467" s="14"/>
      <c r="D1467" s="14"/>
      <c r="E1467" s="14"/>
      <c r="F1467" s="14"/>
      <c r="G1467" s="14"/>
      <c r="H1467" s="14"/>
      <c r="I1467" s="14"/>
      <c r="J1467" s="14"/>
      <c r="K1467" s="14"/>
      <c r="L1467" s="14"/>
      <c r="M1467" s="14"/>
      <c r="N1467" s="14"/>
      <c r="O1467" s="14"/>
      <c r="P1467" s="14"/>
      <c r="Q1467" s="14"/>
    </row>
    <row r="1468" spans="2:17">
      <c r="B1468" s="14"/>
      <c r="C1468" s="14"/>
      <c r="D1468" s="14"/>
      <c r="E1468" s="14"/>
      <c r="F1468" s="14"/>
      <c r="G1468" s="14"/>
      <c r="H1468" s="14"/>
      <c r="I1468" s="14"/>
      <c r="J1468" s="14"/>
      <c r="K1468" s="14"/>
      <c r="L1468" s="14"/>
      <c r="M1468" s="14"/>
      <c r="N1468" s="14"/>
      <c r="O1468" s="14"/>
      <c r="P1468" s="14"/>
      <c r="Q1468" s="14"/>
    </row>
    <row r="1469" spans="2:17">
      <c r="B1469" s="14"/>
      <c r="C1469" s="14"/>
      <c r="D1469" s="14"/>
      <c r="E1469" s="14"/>
      <c r="F1469" s="14"/>
      <c r="G1469" s="14"/>
      <c r="H1469" s="14"/>
      <c r="I1469" s="14"/>
      <c r="J1469" s="14"/>
      <c r="K1469" s="14"/>
      <c r="L1469" s="14"/>
      <c r="M1469" s="14"/>
      <c r="N1469" s="14"/>
      <c r="O1469" s="14"/>
      <c r="P1469" s="14"/>
      <c r="Q1469" s="14"/>
    </row>
    <row r="1470" spans="2:17">
      <c r="B1470" s="14"/>
      <c r="C1470" s="14"/>
      <c r="D1470" s="14"/>
      <c r="E1470" s="14"/>
      <c r="F1470" s="14"/>
      <c r="G1470" s="14"/>
      <c r="H1470" s="14"/>
      <c r="I1470" s="14"/>
      <c r="J1470" s="14"/>
      <c r="K1470" s="14"/>
      <c r="L1470" s="14"/>
      <c r="M1470" s="14"/>
      <c r="N1470" s="14"/>
      <c r="O1470" s="14"/>
      <c r="P1470" s="14"/>
      <c r="Q1470" s="14"/>
    </row>
    <row r="1471" spans="2:17">
      <c r="B1471" s="14"/>
      <c r="C1471" s="14"/>
      <c r="D1471" s="14"/>
      <c r="E1471" s="14"/>
      <c r="F1471" s="14"/>
      <c r="G1471" s="14"/>
      <c r="H1471" s="14"/>
      <c r="I1471" s="14"/>
      <c r="J1471" s="14"/>
      <c r="K1471" s="14"/>
      <c r="L1471" s="14"/>
      <c r="M1471" s="14"/>
      <c r="N1471" s="14"/>
      <c r="O1471" s="14"/>
      <c r="P1471" s="14"/>
      <c r="Q1471" s="14"/>
    </row>
    <row r="1472" spans="2:17">
      <c r="B1472" s="14"/>
      <c r="C1472" s="14"/>
      <c r="D1472" s="14"/>
      <c r="E1472" s="14"/>
      <c r="F1472" s="14"/>
      <c r="G1472" s="14"/>
      <c r="H1472" s="14"/>
      <c r="I1472" s="14"/>
      <c r="J1472" s="14"/>
      <c r="K1472" s="14"/>
      <c r="L1472" s="14"/>
      <c r="M1472" s="14"/>
      <c r="N1472" s="14"/>
      <c r="O1472" s="14"/>
      <c r="P1472" s="14"/>
      <c r="Q1472" s="14"/>
    </row>
    <row r="1473" spans="2:17">
      <c r="B1473" s="14"/>
      <c r="C1473" s="14"/>
      <c r="D1473" s="14"/>
      <c r="E1473" s="14"/>
      <c r="F1473" s="14"/>
      <c r="G1473" s="14"/>
      <c r="H1473" s="14"/>
      <c r="I1473" s="14"/>
      <c r="J1473" s="14"/>
      <c r="K1473" s="14"/>
      <c r="L1473" s="14"/>
      <c r="M1473" s="14"/>
      <c r="N1473" s="14"/>
      <c r="O1473" s="14"/>
      <c r="P1473" s="14"/>
      <c r="Q1473" s="14"/>
    </row>
    <row r="1474" spans="2:17">
      <c r="B1474" s="14"/>
      <c r="C1474" s="14"/>
      <c r="D1474" s="14"/>
      <c r="E1474" s="14"/>
      <c r="F1474" s="14"/>
      <c r="G1474" s="14"/>
      <c r="H1474" s="14"/>
      <c r="I1474" s="14"/>
      <c r="J1474" s="14"/>
      <c r="K1474" s="14"/>
      <c r="L1474" s="14"/>
      <c r="M1474" s="14"/>
      <c r="N1474" s="14"/>
      <c r="O1474" s="14"/>
      <c r="P1474" s="14"/>
      <c r="Q1474" s="14"/>
    </row>
    <row r="1475" spans="2:17">
      <c r="B1475" s="14"/>
      <c r="C1475" s="14"/>
      <c r="D1475" s="14"/>
      <c r="E1475" s="14"/>
      <c r="F1475" s="14"/>
      <c r="G1475" s="14"/>
      <c r="H1475" s="14"/>
      <c r="I1475" s="14"/>
      <c r="J1475" s="14"/>
      <c r="K1475" s="14"/>
      <c r="L1475" s="14"/>
      <c r="M1475" s="14"/>
      <c r="N1475" s="14"/>
      <c r="O1475" s="14"/>
      <c r="P1475" s="14"/>
      <c r="Q1475" s="14"/>
    </row>
    <row r="1476" spans="2:17">
      <c r="B1476" s="14"/>
      <c r="C1476" s="14"/>
      <c r="D1476" s="14"/>
      <c r="E1476" s="14"/>
      <c r="F1476" s="14"/>
      <c r="G1476" s="14"/>
      <c r="H1476" s="14"/>
      <c r="I1476" s="14"/>
      <c r="J1476" s="14"/>
      <c r="K1476" s="14"/>
      <c r="L1476" s="14"/>
      <c r="M1476" s="14"/>
      <c r="N1476" s="14"/>
      <c r="O1476" s="14"/>
      <c r="P1476" s="14"/>
      <c r="Q1476" s="14"/>
    </row>
    <row r="1477" spans="2:17">
      <c r="B1477" s="14"/>
      <c r="C1477" s="14"/>
      <c r="D1477" s="14"/>
      <c r="E1477" s="14"/>
      <c r="F1477" s="14"/>
      <c r="G1477" s="14"/>
      <c r="H1477" s="14"/>
      <c r="I1477" s="14"/>
      <c r="J1477" s="14"/>
      <c r="K1477" s="14"/>
      <c r="L1477" s="14"/>
      <c r="M1477" s="14"/>
      <c r="N1477" s="14"/>
      <c r="O1477" s="14"/>
      <c r="P1477" s="14"/>
      <c r="Q1477" s="14"/>
    </row>
    <row r="1478" spans="2:17">
      <c r="B1478" s="14"/>
      <c r="C1478" s="14"/>
      <c r="D1478" s="14"/>
      <c r="E1478" s="14"/>
      <c r="F1478" s="14"/>
      <c r="G1478" s="14"/>
      <c r="H1478" s="14"/>
      <c r="I1478" s="14"/>
      <c r="J1478" s="14"/>
      <c r="K1478" s="14"/>
      <c r="L1478" s="14"/>
      <c r="M1478" s="14"/>
      <c r="N1478" s="14"/>
      <c r="O1478" s="14"/>
      <c r="P1478" s="14"/>
      <c r="Q1478" s="14"/>
    </row>
    <row r="1479" spans="2:17">
      <c r="B1479" s="14"/>
      <c r="C1479" s="14"/>
      <c r="D1479" s="14"/>
      <c r="E1479" s="14"/>
      <c r="F1479" s="14"/>
      <c r="G1479" s="14"/>
      <c r="H1479" s="14"/>
      <c r="I1479" s="14"/>
      <c r="J1479" s="14"/>
      <c r="K1479" s="14"/>
      <c r="L1479" s="14"/>
      <c r="M1479" s="14"/>
      <c r="N1479" s="14"/>
      <c r="O1479" s="14"/>
      <c r="P1479" s="14"/>
      <c r="Q1479" s="14"/>
    </row>
    <row r="1480" spans="2:17">
      <c r="B1480" s="14"/>
      <c r="C1480" s="14"/>
      <c r="D1480" s="14"/>
      <c r="E1480" s="14"/>
      <c r="F1480" s="14"/>
      <c r="G1480" s="14"/>
      <c r="H1480" s="14"/>
      <c r="I1480" s="14"/>
      <c r="J1480" s="14"/>
      <c r="K1480" s="14"/>
      <c r="L1480" s="14"/>
      <c r="M1480" s="14"/>
      <c r="N1480" s="14"/>
      <c r="O1480" s="14"/>
      <c r="P1480" s="14"/>
      <c r="Q1480" s="14"/>
    </row>
    <row r="1481" spans="2:17">
      <c r="B1481" s="14"/>
      <c r="C1481" s="14"/>
      <c r="D1481" s="14"/>
      <c r="E1481" s="14"/>
      <c r="F1481" s="14"/>
      <c r="G1481" s="14"/>
      <c r="H1481" s="14"/>
      <c r="I1481" s="14"/>
      <c r="J1481" s="14"/>
      <c r="K1481" s="14"/>
      <c r="L1481" s="14"/>
      <c r="M1481" s="14"/>
      <c r="N1481" s="14"/>
      <c r="O1481" s="14"/>
      <c r="P1481" s="14"/>
      <c r="Q1481" s="14"/>
    </row>
    <row r="1482" spans="2:17">
      <c r="B1482" s="14"/>
      <c r="C1482" s="14"/>
      <c r="D1482" s="14"/>
      <c r="E1482" s="14"/>
      <c r="F1482" s="14"/>
      <c r="G1482" s="14"/>
      <c r="H1482" s="14"/>
      <c r="I1482" s="14"/>
      <c r="J1482" s="14"/>
      <c r="K1482" s="14"/>
      <c r="L1482" s="14"/>
      <c r="M1482" s="14"/>
      <c r="N1482" s="14"/>
      <c r="O1482" s="14"/>
      <c r="P1482" s="14"/>
      <c r="Q1482" s="14"/>
    </row>
    <row r="1483" spans="2:17">
      <c r="B1483" s="14"/>
      <c r="C1483" s="14"/>
      <c r="D1483" s="14"/>
      <c r="E1483" s="14"/>
      <c r="F1483" s="14"/>
      <c r="G1483" s="14"/>
      <c r="H1483" s="14"/>
      <c r="I1483" s="14"/>
      <c r="J1483" s="14"/>
      <c r="K1483" s="14"/>
      <c r="L1483" s="14"/>
      <c r="M1483" s="14"/>
      <c r="N1483" s="14"/>
      <c r="O1483" s="14"/>
      <c r="P1483" s="14"/>
      <c r="Q1483" s="14"/>
    </row>
    <row r="1484" spans="2:17">
      <c r="B1484" s="14"/>
      <c r="C1484" s="14"/>
      <c r="D1484" s="14"/>
      <c r="E1484" s="14"/>
      <c r="F1484" s="14"/>
      <c r="G1484" s="14"/>
      <c r="H1484" s="14"/>
      <c r="I1484" s="14"/>
      <c r="J1484" s="14"/>
      <c r="K1484" s="14"/>
      <c r="L1484" s="14"/>
      <c r="M1484" s="14"/>
      <c r="N1484" s="14"/>
      <c r="O1484" s="14"/>
      <c r="P1484" s="14"/>
      <c r="Q1484" s="14"/>
    </row>
    <row r="1485" spans="2:17">
      <c r="B1485" s="14"/>
      <c r="C1485" s="14"/>
      <c r="D1485" s="14"/>
      <c r="E1485" s="14"/>
      <c r="F1485" s="14"/>
      <c r="G1485" s="14"/>
      <c r="H1485" s="14"/>
      <c r="I1485" s="14"/>
      <c r="J1485" s="14"/>
      <c r="K1485" s="14"/>
      <c r="L1485" s="14"/>
      <c r="M1485" s="14"/>
      <c r="N1485" s="14"/>
      <c r="O1485" s="14"/>
      <c r="P1485" s="14"/>
      <c r="Q1485" s="14"/>
    </row>
    <row r="1486" spans="2:17">
      <c r="B1486" s="14"/>
      <c r="C1486" s="14"/>
      <c r="D1486" s="14"/>
      <c r="E1486" s="14"/>
      <c r="F1486" s="14"/>
      <c r="G1486" s="14"/>
      <c r="H1486" s="14"/>
      <c r="I1486" s="14"/>
      <c r="J1486" s="14"/>
      <c r="K1486" s="14"/>
      <c r="L1486" s="14"/>
      <c r="M1486" s="14"/>
      <c r="N1486" s="14"/>
      <c r="O1486" s="14"/>
      <c r="P1486" s="14"/>
      <c r="Q1486" s="14"/>
    </row>
    <row r="1487" spans="2:17">
      <c r="B1487" s="14"/>
      <c r="C1487" s="14"/>
      <c r="D1487" s="14"/>
      <c r="E1487" s="14"/>
      <c r="F1487" s="14"/>
      <c r="G1487" s="14"/>
      <c r="H1487" s="14"/>
      <c r="I1487" s="14"/>
      <c r="J1487" s="14"/>
      <c r="K1487" s="14"/>
      <c r="L1487" s="14"/>
      <c r="M1487" s="14"/>
      <c r="N1487" s="14"/>
      <c r="O1487" s="14"/>
      <c r="P1487" s="14"/>
      <c r="Q1487" s="14"/>
    </row>
    <row r="1488" spans="2:17">
      <c r="B1488" s="14"/>
      <c r="C1488" s="14"/>
      <c r="D1488" s="14"/>
      <c r="E1488" s="14"/>
      <c r="F1488" s="14"/>
      <c r="G1488" s="14"/>
      <c r="H1488" s="14"/>
      <c r="I1488" s="14"/>
      <c r="J1488" s="14"/>
      <c r="K1488" s="14"/>
      <c r="L1488" s="14"/>
      <c r="M1488" s="14"/>
      <c r="N1488" s="14"/>
      <c r="O1488" s="14"/>
      <c r="P1488" s="14"/>
      <c r="Q1488" s="14"/>
    </row>
    <row r="1489" spans="2:17">
      <c r="B1489" s="14"/>
      <c r="C1489" s="14"/>
      <c r="D1489" s="14"/>
      <c r="E1489" s="14"/>
      <c r="F1489" s="14"/>
      <c r="G1489" s="14"/>
      <c r="H1489" s="14"/>
      <c r="I1489" s="14"/>
      <c r="J1489" s="14"/>
      <c r="K1489" s="14"/>
      <c r="L1489" s="14"/>
      <c r="M1489" s="14"/>
      <c r="N1489" s="14"/>
      <c r="O1489" s="14"/>
      <c r="P1489" s="14"/>
      <c r="Q1489" s="14"/>
    </row>
  </sheetData>
  <mergeCells count="15">
    <mergeCell ref="P7:Q8"/>
    <mergeCell ref="B1:P1"/>
    <mergeCell ref="B2:P2"/>
    <mergeCell ref="B7:B8"/>
    <mergeCell ref="C7:C8"/>
    <mergeCell ref="D7:D8"/>
    <mergeCell ref="E7:E8"/>
    <mergeCell ref="F7:G7"/>
    <mergeCell ref="H7:H8"/>
    <mergeCell ref="I7:I8"/>
    <mergeCell ref="J7:K7"/>
    <mergeCell ref="L7:L8"/>
    <mergeCell ref="M7:M8"/>
    <mergeCell ref="N7:N8"/>
    <mergeCell ref="O7:O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67"/>
  <sheetViews>
    <sheetView topLeftCell="A7" zoomScaleNormal="100" workbookViewId="0">
      <selection activeCell="I2031" sqref="I2031"/>
    </sheetView>
  </sheetViews>
  <sheetFormatPr defaultRowHeight="15"/>
  <cols>
    <col min="1" max="1" width="23.28515625" style="62" customWidth="1"/>
    <col min="2" max="2" width="17.85546875" style="62" customWidth="1"/>
    <col min="3" max="3" width="15" style="62" customWidth="1"/>
    <col min="4" max="4" width="19.42578125" style="62" customWidth="1"/>
    <col min="5" max="5" width="17.7109375" style="62" customWidth="1"/>
    <col min="6" max="6" width="9.140625" style="62"/>
    <col min="7" max="7" width="35.42578125" style="62" customWidth="1"/>
    <col min="8" max="16384" width="9.140625" style="62"/>
  </cols>
  <sheetData>
    <row r="1" spans="1:6">
      <c r="A1" s="63" t="s">
        <v>774</v>
      </c>
      <c r="B1" s="63" t="s">
        <v>775</v>
      </c>
      <c r="C1" s="63" t="s">
        <v>776</v>
      </c>
      <c r="D1" s="63" t="s">
        <v>777</v>
      </c>
      <c r="E1" s="63" t="s">
        <v>778</v>
      </c>
      <c r="F1" s="64" t="s">
        <v>779</v>
      </c>
    </row>
    <row r="2" spans="1:6">
      <c r="A2" s="62" t="s">
        <v>780</v>
      </c>
      <c r="B2" s="62" t="s">
        <v>780</v>
      </c>
      <c r="C2" s="62" t="s">
        <v>781</v>
      </c>
      <c r="D2" s="62" t="str">
        <f t="shared" ref="D2:D65" si="0">A2</f>
        <v>Abim</v>
      </c>
      <c r="F2" s="62">
        <v>1</v>
      </c>
    </row>
    <row r="3" spans="1:6">
      <c r="A3" s="62" t="s">
        <v>782</v>
      </c>
      <c r="B3" s="62" t="s">
        <v>780</v>
      </c>
      <c r="C3" s="62" t="s">
        <v>781</v>
      </c>
      <c r="D3" s="62" t="str">
        <f t="shared" si="0"/>
        <v>Abim Town Council</v>
      </c>
      <c r="F3" s="62">
        <v>2</v>
      </c>
    </row>
    <row r="4" spans="1:6">
      <c r="A4" s="62" t="s">
        <v>783</v>
      </c>
      <c r="B4" s="62" t="s">
        <v>780</v>
      </c>
      <c r="C4" s="62" t="s">
        <v>781</v>
      </c>
      <c r="D4" s="62" t="str">
        <f t="shared" si="0"/>
        <v>Alerek</v>
      </c>
      <c r="F4" s="62">
        <v>3</v>
      </c>
    </row>
    <row r="5" spans="1:6">
      <c r="A5" s="62" t="s">
        <v>784</v>
      </c>
      <c r="B5" s="62" t="s">
        <v>780</v>
      </c>
      <c r="C5" s="62" t="s">
        <v>781</v>
      </c>
      <c r="D5" s="62" t="str">
        <f t="shared" si="0"/>
        <v>Lotukei</v>
      </c>
      <c r="F5" s="62">
        <v>4</v>
      </c>
    </row>
    <row r="6" spans="1:6">
      <c r="A6" s="62" t="s">
        <v>785</v>
      </c>
      <c r="B6" s="62" t="s">
        <v>780</v>
      </c>
      <c r="C6" s="62" t="s">
        <v>781</v>
      </c>
      <c r="D6" s="62" t="str">
        <f t="shared" si="0"/>
        <v>Morulem</v>
      </c>
      <c r="F6" s="62">
        <v>5</v>
      </c>
    </row>
    <row r="7" spans="1:6">
      <c r="A7" s="62" t="s">
        <v>786</v>
      </c>
      <c r="B7" s="62" t="s">
        <v>780</v>
      </c>
      <c r="C7" s="62" t="s">
        <v>781</v>
      </c>
      <c r="D7" s="62" t="str">
        <f t="shared" si="0"/>
        <v>Nyakwae</v>
      </c>
      <c r="F7" s="62">
        <v>6</v>
      </c>
    </row>
    <row r="8" spans="1:6">
      <c r="A8" s="62" t="s">
        <v>787</v>
      </c>
      <c r="B8" s="62" t="s">
        <v>788</v>
      </c>
      <c r="C8" s="62" t="s">
        <v>789</v>
      </c>
      <c r="D8" s="62" t="str">
        <f t="shared" si="0"/>
        <v>Adjumani Town Council</v>
      </c>
      <c r="F8" s="62">
        <v>7</v>
      </c>
    </row>
    <row r="9" spans="1:6">
      <c r="A9" s="62" t="s">
        <v>790</v>
      </c>
      <c r="D9" s="62" t="str">
        <f t="shared" si="0"/>
        <v>ADJUMANI</v>
      </c>
      <c r="F9" s="62">
        <v>7</v>
      </c>
    </row>
    <row r="10" spans="1:6">
      <c r="A10" s="62" t="s">
        <v>791</v>
      </c>
      <c r="B10" s="62" t="s">
        <v>788</v>
      </c>
      <c r="C10" s="62" t="s">
        <v>789</v>
      </c>
      <c r="D10" s="62" t="str">
        <f t="shared" si="0"/>
        <v>Adropi</v>
      </c>
      <c r="F10" s="62">
        <v>8</v>
      </c>
    </row>
    <row r="11" spans="1:6">
      <c r="A11" s="62" t="s">
        <v>792</v>
      </c>
      <c r="B11" s="62" t="s">
        <v>788</v>
      </c>
      <c r="C11" s="62" t="s">
        <v>789</v>
      </c>
      <c r="D11" s="62" t="str">
        <f t="shared" si="0"/>
        <v>Arinyapi</v>
      </c>
      <c r="F11" s="62">
        <v>9</v>
      </c>
    </row>
    <row r="12" spans="1:6">
      <c r="A12" s="62" t="s">
        <v>793</v>
      </c>
      <c r="B12" s="62" t="s">
        <v>788</v>
      </c>
      <c r="C12" s="62" t="s">
        <v>789</v>
      </c>
      <c r="D12" s="62" t="str">
        <f t="shared" si="0"/>
        <v>Ciforo</v>
      </c>
      <c r="F12" s="62">
        <v>10</v>
      </c>
    </row>
    <row r="13" spans="1:6">
      <c r="A13" s="62" t="s">
        <v>794</v>
      </c>
      <c r="B13" s="62" t="s">
        <v>788</v>
      </c>
      <c r="C13" s="62" t="s">
        <v>789</v>
      </c>
      <c r="D13" s="62" t="str">
        <f t="shared" si="0"/>
        <v>Dzaipi</v>
      </c>
      <c r="F13" s="62">
        <v>11</v>
      </c>
    </row>
    <row r="14" spans="1:6">
      <c r="A14" s="62" t="s">
        <v>795</v>
      </c>
      <c r="B14" s="62" t="s">
        <v>788</v>
      </c>
      <c r="C14" s="62" t="s">
        <v>789</v>
      </c>
      <c r="D14" s="62" t="str">
        <f t="shared" si="0"/>
        <v>Itirikwa</v>
      </c>
      <c r="F14" s="62">
        <v>12</v>
      </c>
    </row>
    <row r="15" spans="1:6">
      <c r="A15" s="62" t="s">
        <v>796</v>
      </c>
      <c r="B15" s="62" t="s">
        <v>788</v>
      </c>
      <c r="C15" s="62" t="s">
        <v>789</v>
      </c>
      <c r="D15" s="62" t="str">
        <f t="shared" si="0"/>
        <v>Ofua</v>
      </c>
      <c r="F15" s="62">
        <v>13</v>
      </c>
    </row>
    <row r="16" spans="1:6">
      <c r="A16" s="62" t="s">
        <v>797</v>
      </c>
      <c r="B16" s="62" t="s">
        <v>788</v>
      </c>
      <c r="C16" s="62" t="s">
        <v>789</v>
      </c>
      <c r="D16" s="62" t="str">
        <f t="shared" si="0"/>
        <v>Pacara</v>
      </c>
      <c r="F16" s="62">
        <v>14</v>
      </c>
    </row>
    <row r="17" spans="1:6">
      <c r="A17" s="62" t="s">
        <v>798</v>
      </c>
      <c r="B17" s="62" t="s">
        <v>788</v>
      </c>
      <c r="C17" s="62" t="s">
        <v>789</v>
      </c>
      <c r="D17" s="62" t="str">
        <f t="shared" si="0"/>
        <v>Pakele</v>
      </c>
      <c r="F17" s="62">
        <v>15</v>
      </c>
    </row>
    <row r="18" spans="1:6">
      <c r="A18" s="62" t="s">
        <v>799</v>
      </c>
      <c r="B18" s="62" t="s">
        <v>788</v>
      </c>
      <c r="C18" s="62" t="s">
        <v>789</v>
      </c>
      <c r="D18" s="62" t="str">
        <f t="shared" si="0"/>
        <v>Ukusijoni</v>
      </c>
      <c r="F18" s="62">
        <v>16</v>
      </c>
    </row>
    <row r="19" spans="1:6">
      <c r="A19" s="62" t="s">
        <v>800</v>
      </c>
      <c r="B19" s="62" t="s">
        <v>801</v>
      </c>
      <c r="C19" s="62" t="s">
        <v>801</v>
      </c>
      <c r="D19" s="62" t="str">
        <f t="shared" si="0"/>
        <v>Adilang</v>
      </c>
      <c r="F19" s="62">
        <v>17</v>
      </c>
    </row>
    <row r="20" spans="1:6">
      <c r="A20" s="62" t="s">
        <v>802</v>
      </c>
      <c r="B20" s="62" t="s">
        <v>801</v>
      </c>
      <c r="C20" s="62" t="s">
        <v>801</v>
      </c>
      <c r="D20" s="62" t="str">
        <f t="shared" si="0"/>
        <v>Agago Town Council</v>
      </c>
      <c r="F20" s="62">
        <v>18</v>
      </c>
    </row>
    <row r="21" spans="1:6">
      <c r="A21" s="62" t="s">
        <v>803</v>
      </c>
      <c r="B21" s="62" t="s">
        <v>801</v>
      </c>
      <c r="C21" s="62" t="s">
        <v>801</v>
      </c>
      <c r="D21" s="62" t="str">
        <f t="shared" si="0"/>
        <v>Arum</v>
      </c>
      <c r="F21" s="62">
        <v>19</v>
      </c>
    </row>
    <row r="22" spans="1:6">
      <c r="A22" s="62" t="s">
        <v>804</v>
      </c>
      <c r="B22" s="62" t="s">
        <v>801</v>
      </c>
      <c r="C22" s="62" t="s">
        <v>801</v>
      </c>
      <c r="D22" s="62" t="str">
        <f t="shared" si="0"/>
        <v>Kalongo Town Council</v>
      </c>
      <c r="F22" s="62">
        <v>20</v>
      </c>
    </row>
    <row r="23" spans="1:6">
      <c r="A23" s="62" t="s">
        <v>805</v>
      </c>
      <c r="B23" s="62" t="s">
        <v>801</v>
      </c>
      <c r="C23" s="62" t="s">
        <v>801</v>
      </c>
      <c r="D23" s="62" t="str">
        <f t="shared" si="0"/>
        <v>Kotomol</v>
      </c>
      <c r="F23" s="62">
        <v>21</v>
      </c>
    </row>
    <row r="24" spans="1:6">
      <c r="A24" s="62" t="s">
        <v>806</v>
      </c>
      <c r="B24" s="62" t="s">
        <v>801</v>
      </c>
      <c r="C24" s="62" t="s">
        <v>801</v>
      </c>
      <c r="D24" s="62" t="str">
        <f t="shared" si="0"/>
        <v>Lamiyo</v>
      </c>
      <c r="F24" s="62">
        <v>22</v>
      </c>
    </row>
    <row r="25" spans="1:6">
      <c r="A25" s="62" t="s">
        <v>807</v>
      </c>
      <c r="B25" s="62" t="s">
        <v>801</v>
      </c>
      <c r="C25" s="62" t="s">
        <v>801</v>
      </c>
      <c r="D25" s="62" t="str">
        <f t="shared" si="0"/>
        <v>Lapono</v>
      </c>
      <c r="F25" s="62">
        <v>23</v>
      </c>
    </row>
    <row r="26" spans="1:6">
      <c r="A26" s="62" t="s">
        <v>808</v>
      </c>
      <c r="B26" s="62" t="s">
        <v>801</v>
      </c>
      <c r="C26" s="62" t="s">
        <v>801</v>
      </c>
      <c r="D26" s="62" t="str">
        <f t="shared" si="0"/>
        <v>Lira Palwo</v>
      </c>
      <c r="F26" s="62">
        <v>24</v>
      </c>
    </row>
    <row r="27" spans="1:6">
      <c r="A27" s="62" t="s">
        <v>809</v>
      </c>
      <c r="D27" s="62" t="str">
        <f t="shared" si="0"/>
        <v>LIIRA</v>
      </c>
      <c r="F27" s="62">
        <v>24</v>
      </c>
    </row>
    <row r="28" spans="1:6">
      <c r="A28" s="62" t="s">
        <v>810</v>
      </c>
      <c r="B28" s="62" t="s">
        <v>801</v>
      </c>
      <c r="C28" s="62" t="s">
        <v>801</v>
      </c>
      <c r="D28" s="62" t="str">
        <f t="shared" si="0"/>
        <v>Lokole</v>
      </c>
      <c r="F28" s="62">
        <v>25</v>
      </c>
    </row>
    <row r="29" spans="1:6">
      <c r="A29" s="62" t="s">
        <v>811</v>
      </c>
      <c r="B29" s="62" t="s">
        <v>801</v>
      </c>
      <c r="C29" s="62" t="s">
        <v>801</v>
      </c>
      <c r="D29" s="62" t="str">
        <f t="shared" si="0"/>
        <v>Omiya Pacwa</v>
      </c>
      <c r="F29" s="62">
        <v>26</v>
      </c>
    </row>
    <row r="30" spans="1:6">
      <c r="A30" s="62" t="s">
        <v>812</v>
      </c>
      <c r="B30" s="62" t="s">
        <v>801</v>
      </c>
      <c r="C30" s="62" t="s">
        <v>801</v>
      </c>
      <c r="D30" s="62" t="str">
        <f t="shared" si="0"/>
        <v>Omot</v>
      </c>
      <c r="F30" s="62">
        <v>27</v>
      </c>
    </row>
    <row r="31" spans="1:6">
      <c r="A31" s="62" t="s">
        <v>813</v>
      </c>
      <c r="B31" s="62" t="s">
        <v>801</v>
      </c>
      <c r="C31" s="62" t="s">
        <v>801</v>
      </c>
      <c r="D31" s="62" t="str">
        <f t="shared" si="0"/>
        <v>Paimol</v>
      </c>
      <c r="F31" s="62">
        <v>28</v>
      </c>
    </row>
    <row r="32" spans="1:6">
      <c r="A32" s="62" t="s">
        <v>814</v>
      </c>
      <c r="B32" s="62" t="s">
        <v>801</v>
      </c>
      <c r="C32" s="62" t="s">
        <v>801</v>
      </c>
      <c r="D32" s="62" t="str">
        <f t="shared" si="0"/>
        <v>Parabongo</v>
      </c>
      <c r="F32" s="62">
        <v>29</v>
      </c>
    </row>
    <row r="33" spans="1:6">
      <c r="A33" s="62" t="s">
        <v>815</v>
      </c>
      <c r="B33" s="62" t="s">
        <v>801</v>
      </c>
      <c r="C33" s="62" t="s">
        <v>801</v>
      </c>
      <c r="D33" s="62" t="str">
        <f t="shared" si="0"/>
        <v>Patongo</v>
      </c>
      <c r="F33" s="62">
        <v>30</v>
      </c>
    </row>
    <row r="34" spans="1:6">
      <c r="A34" s="62" t="s">
        <v>816</v>
      </c>
      <c r="B34" s="62" t="s">
        <v>801</v>
      </c>
      <c r="C34" s="62" t="s">
        <v>801</v>
      </c>
      <c r="D34" s="62" t="str">
        <f t="shared" si="0"/>
        <v>Patongo Town Council</v>
      </c>
      <c r="F34" s="62">
        <v>31</v>
      </c>
    </row>
    <row r="35" spans="1:6">
      <c r="A35" s="62" t="s">
        <v>817</v>
      </c>
      <c r="B35" s="62" t="s">
        <v>801</v>
      </c>
      <c r="C35" s="62" t="s">
        <v>801</v>
      </c>
      <c r="D35" s="62" t="str">
        <f t="shared" si="0"/>
        <v>Wol</v>
      </c>
      <c r="F35" s="62">
        <v>32</v>
      </c>
    </row>
    <row r="36" spans="1:6">
      <c r="A36" s="62" t="s">
        <v>818</v>
      </c>
      <c r="B36" s="62" t="s">
        <v>819</v>
      </c>
      <c r="C36" s="62" t="s">
        <v>820</v>
      </c>
      <c r="D36" s="62" t="str">
        <f t="shared" si="0"/>
        <v>Abako</v>
      </c>
      <c r="F36" s="62">
        <v>33</v>
      </c>
    </row>
    <row r="37" spans="1:6">
      <c r="A37" s="62" t="s">
        <v>821</v>
      </c>
      <c r="B37" s="62" t="s">
        <v>819</v>
      </c>
      <c r="C37" s="62" t="s">
        <v>820</v>
      </c>
      <c r="D37" s="62" t="str">
        <f t="shared" si="0"/>
        <v>Abia</v>
      </c>
      <c r="F37" s="62">
        <v>34</v>
      </c>
    </row>
    <row r="38" spans="1:6">
      <c r="A38" s="62" t="s">
        <v>822</v>
      </c>
      <c r="B38" s="62" t="s">
        <v>819</v>
      </c>
      <c r="C38" s="62" t="s">
        <v>820</v>
      </c>
      <c r="D38" s="62" t="str">
        <f t="shared" si="0"/>
        <v>Akura</v>
      </c>
      <c r="F38" s="62">
        <v>35</v>
      </c>
    </row>
    <row r="39" spans="1:6">
      <c r="A39" s="62" t="s">
        <v>823</v>
      </c>
      <c r="B39" s="62" t="s">
        <v>819</v>
      </c>
      <c r="C39" s="62" t="s">
        <v>820</v>
      </c>
      <c r="D39" s="62" t="str">
        <f t="shared" si="0"/>
        <v>Alebtong Town Council</v>
      </c>
      <c r="F39" s="62">
        <v>36</v>
      </c>
    </row>
    <row r="40" spans="1:6">
      <c r="A40" s="62" t="s">
        <v>824</v>
      </c>
      <c r="B40" s="62" t="s">
        <v>819</v>
      </c>
      <c r="C40" s="62" t="s">
        <v>820</v>
      </c>
      <c r="D40" s="62" t="str">
        <f t="shared" si="0"/>
        <v>Aloi</v>
      </c>
      <c r="F40" s="62">
        <v>37</v>
      </c>
    </row>
    <row r="41" spans="1:6">
      <c r="A41" s="62" t="s">
        <v>825</v>
      </c>
      <c r="B41" s="62" t="s">
        <v>819</v>
      </c>
      <c r="C41" s="62" t="s">
        <v>820</v>
      </c>
      <c r="D41" s="62" t="str">
        <f t="shared" si="0"/>
        <v>Amugu</v>
      </c>
      <c r="F41" s="62">
        <v>38</v>
      </c>
    </row>
    <row r="42" spans="1:6">
      <c r="A42" s="62" t="s">
        <v>826</v>
      </c>
      <c r="B42" s="62" t="s">
        <v>819</v>
      </c>
      <c r="C42" s="62" t="s">
        <v>820</v>
      </c>
      <c r="D42" s="62" t="str">
        <f t="shared" si="0"/>
        <v>Apala</v>
      </c>
      <c r="F42" s="62">
        <v>39</v>
      </c>
    </row>
    <row r="43" spans="1:6">
      <c r="A43" s="62" t="s">
        <v>827</v>
      </c>
      <c r="B43" s="62" t="s">
        <v>819</v>
      </c>
      <c r="C43" s="62" t="s">
        <v>820</v>
      </c>
      <c r="D43" s="62" t="str">
        <f t="shared" si="0"/>
        <v>Awei</v>
      </c>
      <c r="F43" s="62">
        <v>40</v>
      </c>
    </row>
    <row r="44" spans="1:6">
      <c r="A44" s="62" t="s">
        <v>828</v>
      </c>
      <c r="B44" s="62" t="s">
        <v>819</v>
      </c>
      <c r="C44" s="62" t="s">
        <v>820</v>
      </c>
      <c r="D44" s="62" t="str">
        <f t="shared" si="0"/>
        <v>Omoro</v>
      </c>
      <c r="F44" s="62">
        <v>41</v>
      </c>
    </row>
    <row r="45" spans="1:6">
      <c r="A45" s="62" t="s">
        <v>829</v>
      </c>
      <c r="B45" s="62" t="s">
        <v>830</v>
      </c>
      <c r="C45" s="62" t="s">
        <v>831</v>
      </c>
      <c r="D45" s="62" t="str">
        <f t="shared" si="0"/>
        <v>Agikdak</v>
      </c>
      <c r="F45" s="62">
        <v>42</v>
      </c>
    </row>
    <row r="46" spans="1:6">
      <c r="A46" s="62" t="s">
        <v>832</v>
      </c>
      <c r="B46" s="62" t="s">
        <v>830</v>
      </c>
      <c r="C46" s="62" t="s">
        <v>831</v>
      </c>
      <c r="D46" s="62" t="str">
        <f t="shared" si="0"/>
        <v>Agwingiri</v>
      </c>
      <c r="F46" s="62">
        <v>43</v>
      </c>
    </row>
    <row r="47" spans="1:6">
      <c r="A47" s="62" t="s">
        <v>833</v>
      </c>
      <c r="B47" s="62" t="s">
        <v>830</v>
      </c>
      <c r="C47" s="62" t="s">
        <v>831</v>
      </c>
      <c r="D47" s="62" t="str">
        <f t="shared" si="0"/>
        <v>Akwon</v>
      </c>
      <c r="F47" s="62">
        <v>44</v>
      </c>
    </row>
    <row r="48" spans="1:6">
      <c r="A48" s="62" t="s">
        <v>834</v>
      </c>
      <c r="B48" s="62" t="s">
        <v>830</v>
      </c>
      <c r="C48" s="62" t="s">
        <v>831</v>
      </c>
      <c r="D48" s="62" t="str">
        <f t="shared" si="0"/>
        <v>Amolatar Town Council</v>
      </c>
      <c r="F48" s="62">
        <v>45</v>
      </c>
    </row>
    <row r="49" spans="1:6">
      <c r="A49" s="62" t="s">
        <v>835</v>
      </c>
      <c r="B49" s="62" t="s">
        <v>830</v>
      </c>
      <c r="C49" s="62" t="s">
        <v>831</v>
      </c>
      <c r="D49" s="62" t="str">
        <f t="shared" si="0"/>
        <v>Aputi</v>
      </c>
      <c r="F49" s="62">
        <v>46</v>
      </c>
    </row>
    <row r="50" spans="1:6">
      <c r="A50" s="62" t="s">
        <v>836</v>
      </c>
      <c r="B50" s="62" t="s">
        <v>830</v>
      </c>
      <c r="C50" s="62" t="s">
        <v>831</v>
      </c>
      <c r="D50" s="62" t="str">
        <f t="shared" si="0"/>
        <v>Arwotcek</v>
      </c>
      <c r="F50" s="62">
        <v>47</v>
      </c>
    </row>
    <row r="51" spans="1:6">
      <c r="A51" s="62" t="s">
        <v>837</v>
      </c>
      <c r="B51" s="62" t="s">
        <v>830</v>
      </c>
      <c r="C51" s="62" t="s">
        <v>831</v>
      </c>
      <c r="D51" s="62" t="str">
        <f t="shared" si="0"/>
        <v>Awelo</v>
      </c>
      <c r="F51" s="62">
        <v>48</v>
      </c>
    </row>
    <row r="52" spans="1:6">
      <c r="A52" s="62" t="s">
        <v>838</v>
      </c>
      <c r="B52" s="62" t="s">
        <v>830</v>
      </c>
      <c r="C52" s="62" t="s">
        <v>831</v>
      </c>
      <c r="D52" s="62" t="str">
        <f t="shared" si="0"/>
        <v>Etam</v>
      </c>
      <c r="F52" s="62">
        <v>49</v>
      </c>
    </row>
    <row r="53" spans="1:6">
      <c r="A53" s="62" t="s">
        <v>839</v>
      </c>
      <c r="B53" s="62" t="s">
        <v>830</v>
      </c>
      <c r="C53" s="62" t="s">
        <v>831</v>
      </c>
      <c r="D53" s="62" t="str">
        <f t="shared" si="0"/>
        <v>Muntu</v>
      </c>
      <c r="F53" s="62">
        <v>50</v>
      </c>
    </row>
    <row r="54" spans="1:6">
      <c r="A54" s="62" t="s">
        <v>840</v>
      </c>
      <c r="B54" s="62" t="s">
        <v>830</v>
      </c>
      <c r="C54" s="62" t="s">
        <v>831</v>
      </c>
      <c r="D54" s="62" t="str">
        <f t="shared" si="0"/>
        <v>Namasale</v>
      </c>
      <c r="F54" s="62">
        <v>51</v>
      </c>
    </row>
    <row r="55" spans="1:6">
      <c r="A55" s="62" t="s">
        <v>841</v>
      </c>
      <c r="B55" s="62" t="s">
        <v>830</v>
      </c>
      <c r="C55" s="62" t="s">
        <v>831</v>
      </c>
      <c r="D55" s="62" t="str">
        <f t="shared" si="0"/>
        <v>Namasale Town Council</v>
      </c>
      <c r="F55" s="62">
        <v>52</v>
      </c>
    </row>
    <row r="56" spans="1:6">
      <c r="A56" s="62" t="s">
        <v>842</v>
      </c>
      <c r="B56" s="62" t="s">
        <v>842</v>
      </c>
      <c r="C56" s="62" t="s">
        <v>843</v>
      </c>
      <c r="D56" s="62" t="str">
        <f t="shared" si="0"/>
        <v>Amudat</v>
      </c>
      <c r="F56" s="62">
        <v>53</v>
      </c>
    </row>
    <row r="57" spans="1:6">
      <c r="A57" s="62" t="s">
        <v>844</v>
      </c>
      <c r="B57" s="62" t="s">
        <v>842</v>
      </c>
      <c r="C57" s="62" t="s">
        <v>843</v>
      </c>
      <c r="D57" s="62" t="str">
        <f t="shared" si="0"/>
        <v>Amudat Town Council</v>
      </c>
      <c r="F57" s="62">
        <v>54</v>
      </c>
    </row>
    <row r="58" spans="1:6">
      <c r="A58" s="62" t="s">
        <v>845</v>
      </c>
      <c r="B58" s="62" t="s">
        <v>842</v>
      </c>
      <c r="C58" s="62" t="s">
        <v>843</v>
      </c>
      <c r="D58" s="62" t="str">
        <f t="shared" si="0"/>
        <v>Karita</v>
      </c>
      <c r="F58" s="62">
        <v>55</v>
      </c>
    </row>
    <row r="59" spans="1:6">
      <c r="A59" s="62" t="s">
        <v>846</v>
      </c>
      <c r="B59" s="62" t="s">
        <v>842</v>
      </c>
      <c r="C59" s="62" t="s">
        <v>843</v>
      </c>
      <c r="D59" s="62" t="str">
        <f t="shared" si="0"/>
        <v>Loroo</v>
      </c>
      <c r="F59" s="62">
        <v>56</v>
      </c>
    </row>
    <row r="60" spans="1:6">
      <c r="A60" s="62" t="s">
        <v>847</v>
      </c>
      <c r="B60" s="62" t="s">
        <v>848</v>
      </c>
      <c r="C60" s="62" t="s">
        <v>848</v>
      </c>
      <c r="D60" s="62" t="str">
        <f t="shared" si="0"/>
        <v>Abarilela</v>
      </c>
      <c r="F60" s="62">
        <v>57</v>
      </c>
    </row>
    <row r="61" spans="1:6">
      <c r="A61" s="62" t="s">
        <v>849</v>
      </c>
      <c r="B61" s="62" t="s">
        <v>848</v>
      </c>
      <c r="C61" s="62" t="s">
        <v>850</v>
      </c>
      <c r="D61" s="62" t="str">
        <f t="shared" si="0"/>
        <v>Acowa</v>
      </c>
      <c r="F61" s="62">
        <v>58</v>
      </c>
    </row>
    <row r="62" spans="1:6">
      <c r="A62" s="62" t="s">
        <v>851</v>
      </c>
      <c r="B62" s="62" t="s">
        <v>848</v>
      </c>
      <c r="C62" s="62" t="s">
        <v>848</v>
      </c>
      <c r="D62" s="62" t="str">
        <f t="shared" si="0"/>
        <v>Akeriau</v>
      </c>
      <c r="F62" s="62">
        <v>59</v>
      </c>
    </row>
    <row r="63" spans="1:6">
      <c r="A63" s="62" t="s">
        <v>852</v>
      </c>
      <c r="B63" s="62" t="s">
        <v>848</v>
      </c>
      <c r="C63" s="62" t="s">
        <v>850</v>
      </c>
      <c r="D63" s="62" t="str">
        <f t="shared" si="0"/>
        <v>Akoromit</v>
      </c>
      <c r="F63" s="62">
        <v>60</v>
      </c>
    </row>
    <row r="64" spans="1:6">
      <c r="A64" s="62" t="s">
        <v>853</v>
      </c>
      <c r="B64" s="62" t="s">
        <v>848</v>
      </c>
      <c r="C64" s="62" t="s">
        <v>848</v>
      </c>
      <c r="D64" s="62" t="str">
        <f t="shared" si="0"/>
        <v>Amuria Town Council</v>
      </c>
      <c r="F64" s="62">
        <v>61</v>
      </c>
    </row>
    <row r="65" spans="1:6">
      <c r="A65" s="62" t="s">
        <v>854</v>
      </c>
      <c r="B65" s="62" t="s">
        <v>848</v>
      </c>
      <c r="C65" s="62" t="s">
        <v>848</v>
      </c>
      <c r="D65" s="62" t="str">
        <f t="shared" si="0"/>
        <v>Apeduru</v>
      </c>
      <c r="F65" s="62">
        <v>62</v>
      </c>
    </row>
    <row r="66" spans="1:6">
      <c r="A66" s="62" t="s">
        <v>855</v>
      </c>
      <c r="B66" s="62" t="s">
        <v>848</v>
      </c>
      <c r="C66" s="62" t="s">
        <v>848</v>
      </c>
      <c r="D66" s="62" t="str">
        <f t="shared" ref="D66:D129" si="1">A66</f>
        <v>Asamuk</v>
      </c>
      <c r="F66" s="62">
        <v>63</v>
      </c>
    </row>
    <row r="67" spans="1:6">
      <c r="A67" s="62" t="s">
        <v>850</v>
      </c>
      <c r="B67" s="62" t="s">
        <v>848</v>
      </c>
      <c r="C67" s="62" t="s">
        <v>850</v>
      </c>
      <c r="D67" s="62" t="str">
        <f t="shared" si="1"/>
        <v>Kapelebyong</v>
      </c>
      <c r="F67" s="62">
        <v>64</v>
      </c>
    </row>
    <row r="68" spans="1:6">
      <c r="A68" s="62" t="s">
        <v>856</v>
      </c>
      <c r="B68" s="62" t="s">
        <v>848</v>
      </c>
      <c r="C68" s="62" t="s">
        <v>848</v>
      </c>
      <c r="D68" s="62" t="str">
        <f t="shared" si="1"/>
        <v>Kuju</v>
      </c>
      <c r="F68" s="62">
        <v>65</v>
      </c>
    </row>
    <row r="69" spans="1:6">
      <c r="A69" s="62" t="s">
        <v>857</v>
      </c>
      <c r="B69" s="62" t="s">
        <v>848</v>
      </c>
      <c r="C69" s="62" t="s">
        <v>848</v>
      </c>
      <c r="D69" s="62" t="str">
        <f t="shared" si="1"/>
        <v>Morungatuny</v>
      </c>
      <c r="F69" s="62">
        <v>66</v>
      </c>
    </row>
    <row r="70" spans="1:6">
      <c r="A70" s="62" t="s">
        <v>858</v>
      </c>
      <c r="B70" s="62" t="s">
        <v>848</v>
      </c>
      <c r="C70" s="62" t="s">
        <v>850</v>
      </c>
      <c r="D70" s="62" t="str">
        <f t="shared" si="1"/>
        <v>Obalanga</v>
      </c>
      <c r="F70" s="62">
        <v>67</v>
      </c>
    </row>
    <row r="71" spans="1:6">
      <c r="A71" s="62" t="s">
        <v>859</v>
      </c>
      <c r="B71" s="62" t="s">
        <v>848</v>
      </c>
      <c r="C71" s="62" t="s">
        <v>848</v>
      </c>
      <c r="D71" s="62" t="str">
        <f t="shared" si="1"/>
        <v>Ogolai</v>
      </c>
      <c r="F71" s="62">
        <v>68</v>
      </c>
    </row>
    <row r="72" spans="1:6">
      <c r="A72" s="62" t="s">
        <v>860</v>
      </c>
      <c r="B72" s="62" t="s">
        <v>848</v>
      </c>
      <c r="C72" s="62" t="s">
        <v>850</v>
      </c>
      <c r="D72" s="62" t="str">
        <f t="shared" si="1"/>
        <v>Okungur</v>
      </c>
      <c r="F72" s="62">
        <v>69</v>
      </c>
    </row>
    <row r="73" spans="1:6">
      <c r="A73" s="62" t="s">
        <v>861</v>
      </c>
      <c r="B73" s="62" t="s">
        <v>848</v>
      </c>
      <c r="C73" s="62" t="s">
        <v>848</v>
      </c>
      <c r="D73" s="62" t="str">
        <f t="shared" si="1"/>
        <v>Orungo</v>
      </c>
      <c r="F73" s="62">
        <v>70</v>
      </c>
    </row>
    <row r="74" spans="1:6">
      <c r="A74" s="62" t="s">
        <v>862</v>
      </c>
      <c r="B74" s="62" t="s">
        <v>848</v>
      </c>
      <c r="C74" s="62" t="s">
        <v>848</v>
      </c>
      <c r="D74" s="62" t="str">
        <f t="shared" si="1"/>
        <v>Wera</v>
      </c>
      <c r="F74" s="62">
        <v>71</v>
      </c>
    </row>
    <row r="75" spans="1:6">
      <c r="A75" s="62" t="s">
        <v>863</v>
      </c>
      <c r="B75" s="62" t="s">
        <v>848</v>
      </c>
      <c r="C75" s="62" t="s">
        <v>848</v>
      </c>
      <c r="D75" s="62" t="str">
        <f t="shared" si="1"/>
        <v>Willa</v>
      </c>
      <c r="F75" s="62">
        <v>72</v>
      </c>
    </row>
    <row r="76" spans="1:6">
      <c r="A76" s="62" t="s">
        <v>864</v>
      </c>
      <c r="B76" s="62" t="s">
        <v>864</v>
      </c>
      <c r="C76" s="62" t="s">
        <v>865</v>
      </c>
      <c r="D76" s="62" t="str">
        <f t="shared" si="1"/>
        <v>Amuru</v>
      </c>
      <c r="F76" s="62">
        <v>73</v>
      </c>
    </row>
    <row r="77" spans="1:6">
      <c r="A77" s="62" t="s">
        <v>866</v>
      </c>
      <c r="B77" s="62" t="s">
        <v>864</v>
      </c>
      <c r="C77" s="62" t="s">
        <v>865</v>
      </c>
      <c r="D77" s="62" t="str">
        <f t="shared" si="1"/>
        <v>Amuru Town Council</v>
      </c>
      <c r="F77" s="62">
        <v>74</v>
      </c>
    </row>
    <row r="78" spans="1:6">
      <c r="A78" s="62" t="s">
        <v>867</v>
      </c>
      <c r="B78" s="62" t="s">
        <v>864</v>
      </c>
      <c r="C78" s="62" t="s">
        <v>865</v>
      </c>
      <c r="D78" s="62" t="str">
        <f t="shared" si="1"/>
        <v>Attiak</v>
      </c>
      <c r="F78" s="62">
        <v>75</v>
      </c>
    </row>
    <row r="79" spans="1:6">
      <c r="A79" s="62" t="s">
        <v>868</v>
      </c>
      <c r="B79" s="62" t="s">
        <v>864</v>
      </c>
      <c r="C79" s="62" t="s">
        <v>865</v>
      </c>
      <c r="D79" s="62" t="str">
        <f t="shared" si="1"/>
        <v>Lamogi</v>
      </c>
      <c r="F79" s="62">
        <v>76</v>
      </c>
    </row>
    <row r="80" spans="1:6">
      <c r="A80" s="62" t="s">
        <v>869</v>
      </c>
      <c r="B80" s="62" t="s">
        <v>864</v>
      </c>
      <c r="C80" s="62" t="s">
        <v>865</v>
      </c>
      <c r="D80" s="62" t="str">
        <f t="shared" si="1"/>
        <v>Pabo</v>
      </c>
      <c r="F80" s="62">
        <v>77</v>
      </c>
    </row>
    <row r="81" spans="1:6">
      <c r="A81" s="62" t="s">
        <v>870</v>
      </c>
      <c r="B81" s="62" t="s">
        <v>871</v>
      </c>
      <c r="C81" s="62" t="s">
        <v>872</v>
      </c>
      <c r="D81" s="62" t="str">
        <f t="shared" si="1"/>
        <v>Abongomola</v>
      </c>
      <c r="F81" s="62">
        <v>78</v>
      </c>
    </row>
    <row r="82" spans="1:6">
      <c r="A82" s="62" t="s">
        <v>873</v>
      </c>
      <c r="B82" s="62" t="s">
        <v>871</v>
      </c>
      <c r="C82" s="62" t="s">
        <v>872</v>
      </c>
      <c r="D82" s="62" t="str">
        <f t="shared" si="1"/>
        <v>Aduku</v>
      </c>
      <c r="F82" s="62">
        <v>79</v>
      </c>
    </row>
    <row r="83" spans="1:6">
      <c r="A83" s="62" t="s">
        <v>874</v>
      </c>
      <c r="B83" s="62" t="s">
        <v>871</v>
      </c>
      <c r="C83" s="62" t="s">
        <v>872</v>
      </c>
      <c r="D83" s="62" t="str">
        <f t="shared" si="1"/>
        <v>Aduku Town Council</v>
      </c>
      <c r="F83" s="62">
        <v>80</v>
      </c>
    </row>
    <row r="84" spans="1:6">
      <c r="A84" s="62" t="s">
        <v>875</v>
      </c>
      <c r="B84" s="62" t="s">
        <v>871</v>
      </c>
      <c r="C84" s="62" t="s">
        <v>876</v>
      </c>
      <c r="D84" s="62" t="str">
        <f t="shared" si="1"/>
        <v>Akokoro</v>
      </c>
      <c r="F84" s="62">
        <v>81</v>
      </c>
    </row>
    <row r="85" spans="1:6">
      <c r="A85" s="62" t="s">
        <v>877</v>
      </c>
      <c r="B85" s="62" t="s">
        <v>871</v>
      </c>
      <c r="C85" s="62" t="s">
        <v>878</v>
      </c>
      <c r="D85" s="62" t="str">
        <f t="shared" si="1"/>
        <v>Apac Muicipality</v>
      </c>
      <c r="F85" s="62">
        <v>82</v>
      </c>
    </row>
    <row r="86" spans="1:6">
      <c r="A86" s="62" t="s">
        <v>879</v>
      </c>
      <c r="D86" s="62" t="str">
        <f t="shared" si="1"/>
        <v>APAC</v>
      </c>
      <c r="F86" s="62">
        <v>82</v>
      </c>
    </row>
    <row r="87" spans="1:6">
      <c r="A87" s="62" t="s">
        <v>880</v>
      </c>
      <c r="B87" s="62" t="s">
        <v>871</v>
      </c>
      <c r="C87" s="62" t="s">
        <v>872</v>
      </c>
      <c r="D87" s="62" t="str">
        <f t="shared" si="1"/>
        <v>Chawente</v>
      </c>
      <c r="F87" s="62">
        <v>83</v>
      </c>
    </row>
    <row r="88" spans="1:6">
      <c r="A88" s="62" t="s">
        <v>881</v>
      </c>
      <c r="B88" s="62" t="s">
        <v>871</v>
      </c>
      <c r="C88" s="62" t="s">
        <v>876</v>
      </c>
      <c r="D88" s="62" t="str">
        <f t="shared" si="1"/>
        <v>Chegere</v>
      </c>
      <c r="F88" s="62">
        <v>84</v>
      </c>
    </row>
    <row r="89" spans="1:6">
      <c r="A89" s="62" t="s">
        <v>882</v>
      </c>
      <c r="B89" s="62" t="s">
        <v>871</v>
      </c>
      <c r="C89" s="62" t="s">
        <v>876</v>
      </c>
      <c r="D89" s="62" t="str">
        <f t="shared" si="1"/>
        <v>Ibuje</v>
      </c>
      <c r="F89" s="62">
        <v>85</v>
      </c>
    </row>
    <row r="90" spans="1:6">
      <c r="A90" s="62" t="s">
        <v>883</v>
      </c>
      <c r="B90" s="62" t="s">
        <v>871</v>
      </c>
      <c r="C90" s="62" t="s">
        <v>872</v>
      </c>
      <c r="D90" s="62" t="str">
        <f t="shared" si="1"/>
        <v>Inomo</v>
      </c>
      <c r="F90" s="62">
        <v>86</v>
      </c>
    </row>
    <row r="91" spans="1:6">
      <c r="A91" s="62" t="s">
        <v>884</v>
      </c>
      <c r="B91" s="62" t="s">
        <v>871</v>
      </c>
      <c r="C91" s="62" t="s">
        <v>872</v>
      </c>
      <c r="D91" s="62" t="str">
        <f t="shared" si="1"/>
        <v>Nambieso</v>
      </c>
      <c r="F91" s="62">
        <v>87</v>
      </c>
    </row>
    <row r="92" spans="1:6">
      <c r="A92" s="62" t="s">
        <v>885</v>
      </c>
      <c r="B92" s="62" t="s">
        <v>886</v>
      </c>
      <c r="C92" s="62" t="s">
        <v>887</v>
      </c>
      <c r="D92" s="62" t="str">
        <f t="shared" si="1"/>
        <v>Adumi</v>
      </c>
      <c r="F92" s="62">
        <v>88</v>
      </c>
    </row>
    <row r="93" spans="1:6">
      <c r="A93" s="62" t="s">
        <v>888</v>
      </c>
      <c r="B93" s="62" t="s">
        <v>886</v>
      </c>
      <c r="C93" s="62" t="s">
        <v>889</v>
      </c>
      <c r="D93" s="62" t="str">
        <f t="shared" si="1"/>
        <v>Aii-Vu</v>
      </c>
      <c r="F93" s="62">
        <v>89</v>
      </c>
    </row>
    <row r="94" spans="1:6">
      <c r="A94" s="62" t="s">
        <v>890</v>
      </c>
      <c r="B94" s="62" t="s">
        <v>886</v>
      </c>
      <c r="C94" s="62" t="s">
        <v>891</v>
      </c>
      <c r="D94" s="62" t="str">
        <f t="shared" si="1"/>
        <v>Ajia</v>
      </c>
      <c r="F94" s="62">
        <v>90</v>
      </c>
    </row>
    <row r="95" spans="1:6">
      <c r="A95" s="62" t="s">
        <v>892</v>
      </c>
      <c r="B95" s="62" t="s">
        <v>886</v>
      </c>
      <c r="C95" s="62" t="s">
        <v>893</v>
      </c>
      <c r="D95" s="62" t="str">
        <f t="shared" si="1"/>
        <v>Anyiribu</v>
      </c>
      <c r="F95" s="62">
        <v>91</v>
      </c>
    </row>
    <row r="96" spans="1:6">
      <c r="A96" s="62" t="s">
        <v>894</v>
      </c>
      <c r="B96" s="62" t="s">
        <v>886</v>
      </c>
      <c r="C96" s="62" t="s">
        <v>891</v>
      </c>
      <c r="D96" s="62" t="str">
        <f t="shared" si="1"/>
        <v>Arivu</v>
      </c>
      <c r="F96" s="62">
        <v>92</v>
      </c>
    </row>
    <row r="97" spans="1:6">
      <c r="A97" s="62" t="s">
        <v>895</v>
      </c>
      <c r="B97" s="62" t="s">
        <v>886</v>
      </c>
      <c r="C97" s="62" t="s">
        <v>887</v>
      </c>
      <c r="D97" s="62" t="str">
        <f t="shared" si="1"/>
        <v>Aroi</v>
      </c>
      <c r="F97" s="62">
        <v>93</v>
      </c>
    </row>
    <row r="98" spans="1:6">
      <c r="A98" s="62" t="s">
        <v>896</v>
      </c>
      <c r="B98" s="62" t="s">
        <v>886</v>
      </c>
      <c r="C98" s="62" t="s">
        <v>896</v>
      </c>
      <c r="D98" s="62" t="str">
        <f t="shared" si="1"/>
        <v>Arua Municipality</v>
      </c>
      <c r="F98" s="62">
        <v>94</v>
      </c>
    </row>
    <row r="99" spans="1:6">
      <c r="A99" s="62" t="s">
        <v>897</v>
      </c>
      <c r="D99" s="62" t="str">
        <f t="shared" si="1"/>
        <v>ARUA</v>
      </c>
      <c r="F99" s="62">
        <v>94</v>
      </c>
    </row>
    <row r="100" spans="1:6">
      <c r="A100" s="62" t="s">
        <v>898</v>
      </c>
      <c r="D100" s="62" t="str">
        <f t="shared" si="1"/>
        <v>ARUA TOWN</v>
      </c>
      <c r="F100" s="62">
        <v>94</v>
      </c>
    </row>
    <row r="101" spans="1:6">
      <c r="A101" s="62" t="s">
        <v>899</v>
      </c>
      <c r="B101" s="62" t="s">
        <v>886</v>
      </c>
      <c r="C101" s="62" t="s">
        <v>887</v>
      </c>
      <c r="D101" s="62" t="str">
        <f t="shared" si="1"/>
        <v>Ayivuni</v>
      </c>
      <c r="F101" s="62">
        <v>95</v>
      </c>
    </row>
    <row r="102" spans="1:6">
      <c r="A102" s="62" t="s">
        <v>900</v>
      </c>
      <c r="B102" s="62" t="s">
        <v>886</v>
      </c>
      <c r="C102" s="62" t="s">
        <v>889</v>
      </c>
      <c r="D102" s="62" t="str">
        <f t="shared" si="1"/>
        <v>Bileafe</v>
      </c>
      <c r="F102" s="62">
        <v>96</v>
      </c>
    </row>
    <row r="103" spans="1:6">
      <c r="A103" s="62" t="s">
        <v>901</v>
      </c>
      <c r="B103" s="62" t="s">
        <v>886</v>
      </c>
      <c r="C103" s="62" t="s">
        <v>887</v>
      </c>
      <c r="D103" s="62" t="str">
        <f t="shared" si="1"/>
        <v>Dadamu</v>
      </c>
      <c r="F103" s="62">
        <v>97</v>
      </c>
    </row>
    <row r="104" spans="1:6">
      <c r="A104" s="62" t="s">
        <v>902</v>
      </c>
      <c r="B104" s="62" t="s">
        <v>886</v>
      </c>
      <c r="C104" s="62" t="s">
        <v>893</v>
      </c>
      <c r="D104" s="62" t="str">
        <f t="shared" si="1"/>
        <v>Ewanga</v>
      </c>
      <c r="F104" s="62">
        <v>98</v>
      </c>
    </row>
    <row r="105" spans="1:6">
      <c r="A105" s="62" t="s">
        <v>903</v>
      </c>
      <c r="B105" s="62" t="s">
        <v>886</v>
      </c>
      <c r="C105" s="62" t="s">
        <v>889</v>
      </c>
      <c r="D105" s="62" t="str">
        <f t="shared" si="1"/>
        <v>Katrini</v>
      </c>
      <c r="F105" s="62">
        <v>99</v>
      </c>
    </row>
    <row r="106" spans="1:6">
      <c r="A106" s="62" t="s">
        <v>904</v>
      </c>
      <c r="B106" s="62" t="s">
        <v>886</v>
      </c>
      <c r="C106" s="62" t="s">
        <v>891</v>
      </c>
      <c r="D106" s="62" t="str">
        <f t="shared" si="1"/>
        <v>Logiri</v>
      </c>
      <c r="F106" s="62">
        <v>100</v>
      </c>
    </row>
    <row r="107" spans="1:6">
      <c r="A107" s="62" t="s">
        <v>905</v>
      </c>
      <c r="B107" s="62" t="s">
        <v>886</v>
      </c>
      <c r="C107" s="62" t="s">
        <v>887</v>
      </c>
      <c r="D107" s="62" t="str">
        <f t="shared" si="1"/>
        <v>Manibe</v>
      </c>
      <c r="F107" s="62">
        <v>101</v>
      </c>
    </row>
    <row r="108" spans="1:6">
      <c r="A108" s="62" t="s">
        <v>906</v>
      </c>
      <c r="B108" s="62" t="s">
        <v>886</v>
      </c>
      <c r="C108" s="62" t="s">
        <v>889</v>
      </c>
      <c r="D108" s="62" t="str">
        <f t="shared" si="1"/>
        <v>Odupi</v>
      </c>
      <c r="F108" s="62">
        <v>102</v>
      </c>
    </row>
    <row r="109" spans="1:6">
      <c r="A109" s="62" t="s">
        <v>907</v>
      </c>
      <c r="B109" s="62" t="s">
        <v>886</v>
      </c>
      <c r="C109" s="62" t="s">
        <v>893</v>
      </c>
      <c r="D109" s="62" t="str">
        <f t="shared" si="1"/>
        <v>Offaka</v>
      </c>
      <c r="F109" s="62">
        <v>103</v>
      </c>
    </row>
    <row r="110" spans="1:6">
      <c r="A110" s="62" t="s">
        <v>908</v>
      </c>
      <c r="B110" s="62" t="s">
        <v>886</v>
      </c>
      <c r="C110" s="62" t="s">
        <v>893</v>
      </c>
      <c r="D110" s="62" t="str">
        <f t="shared" si="1"/>
        <v>Ogoko</v>
      </c>
      <c r="F110" s="62">
        <v>104</v>
      </c>
    </row>
    <row r="111" spans="1:6">
      <c r="A111" s="62" t="s">
        <v>909</v>
      </c>
      <c r="B111" s="62" t="s">
        <v>886</v>
      </c>
      <c r="C111" s="62" t="s">
        <v>893</v>
      </c>
      <c r="D111" s="62" t="str">
        <f t="shared" si="1"/>
        <v>Okollo</v>
      </c>
      <c r="F111" s="62">
        <v>105</v>
      </c>
    </row>
    <row r="112" spans="1:6">
      <c r="A112" s="62" t="s">
        <v>910</v>
      </c>
      <c r="B112" s="62" t="s">
        <v>886</v>
      </c>
      <c r="C112" s="62" t="s">
        <v>887</v>
      </c>
      <c r="D112" s="62" t="str">
        <f t="shared" si="1"/>
        <v>Oluko</v>
      </c>
      <c r="F112" s="62">
        <v>106</v>
      </c>
    </row>
    <row r="113" spans="1:6">
      <c r="A113" s="62" t="s">
        <v>911</v>
      </c>
      <c r="B113" s="62" t="s">
        <v>886</v>
      </c>
      <c r="C113" s="62" t="s">
        <v>889</v>
      </c>
      <c r="D113" s="62" t="str">
        <f t="shared" si="1"/>
        <v>Omugo</v>
      </c>
      <c r="F113" s="62">
        <v>107</v>
      </c>
    </row>
    <row r="114" spans="1:6">
      <c r="A114" s="62" t="s">
        <v>912</v>
      </c>
      <c r="B114" s="62" t="s">
        <v>886</v>
      </c>
      <c r="C114" s="62" t="s">
        <v>887</v>
      </c>
      <c r="D114" s="62" t="str">
        <f t="shared" si="1"/>
        <v>Pajulu</v>
      </c>
      <c r="F114" s="62">
        <v>108</v>
      </c>
    </row>
    <row r="115" spans="1:6">
      <c r="A115" s="62" t="s">
        <v>913</v>
      </c>
      <c r="B115" s="62" t="s">
        <v>886</v>
      </c>
      <c r="C115" s="62" t="s">
        <v>893</v>
      </c>
      <c r="D115" s="62" t="str">
        <f t="shared" si="1"/>
        <v>Pawor</v>
      </c>
      <c r="F115" s="62">
        <v>109</v>
      </c>
    </row>
    <row r="116" spans="1:6">
      <c r="A116" s="62" t="s">
        <v>914</v>
      </c>
      <c r="B116" s="62" t="s">
        <v>886</v>
      </c>
      <c r="C116" s="62" t="s">
        <v>893</v>
      </c>
      <c r="D116" s="62" t="str">
        <f t="shared" si="1"/>
        <v>Rhino Camp</v>
      </c>
      <c r="F116" s="62">
        <v>110</v>
      </c>
    </row>
    <row r="117" spans="1:6">
      <c r="A117" s="62" t="s">
        <v>915</v>
      </c>
      <c r="B117" s="62" t="s">
        <v>886</v>
      </c>
      <c r="C117" s="62" t="s">
        <v>893</v>
      </c>
      <c r="D117" s="62" t="str">
        <f t="shared" si="1"/>
        <v>Rigbo</v>
      </c>
      <c r="F117" s="62">
        <v>111</v>
      </c>
    </row>
    <row r="118" spans="1:6">
      <c r="A118" s="62" t="s">
        <v>916</v>
      </c>
      <c r="B118" s="62" t="s">
        <v>886</v>
      </c>
      <c r="C118" s="62" t="s">
        <v>893</v>
      </c>
      <c r="D118" s="62" t="str">
        <f t="shared" si="1"/>
        <v>Uleppi</v>
      </c>
      <c r="F118" s="62">
        <v>112</v>
      </c>
    </row>
    <row r="119" spans="1:6">
      <c r="A119" s="62" t="s">
        <v>917</v>
      </c>
      <c r="B119" s="62" t="s">
        <v>886</v>
      </c>
      <c r="C119" s="62" t="s">
        <v>889</v>
      </c>
      <c r="D119" s="62" t="str">
        <f t="shared" si="1"/>
        <v>Uriama</v>
      </c>
      <c r="F119" s="62">
        <v>113</v>
      </c>
    </row>
    <row r="120" spans="1:6">
      <c r="A120" s="62" t="s">
        <v>891</v>
      </c>
      <c r="B120" s="62" t="s">
        <v>886</v>
      </c>
      <c r="C120" s="62" t="s">
        <v>891</v>
      </c>
      <c r="D120" s="62" t="str">
        <f t="shared" si="1"/>
        <v>Vurra</v>
      </c>
      <c r="F120" s="62">
        <v>114</v>
      </c>
    </row>
    <row r="121" spans="1:6">
      <c r="A121" s="62" t="s">
        <v>918</v>
      </c>
      <c r="B121" s="62" t="s">
        <v>918</v>
      </c>
      <c r="C121" s="62" t="s">
        <v>918</v>
      </c>
      <c r="D121" s="62" t="str">
        <f t="shared" si="1"/>
        <v>Budaka</v>
      </c>
      <c r="F121" s="62">
        <v>115</v>
      </c>
    </row>
    <row r="122" spans="1:6">
      <c r="A122" s="62" t="s">
        <v>919</v>
      </c>
      <c r="B122" s="62" t="s">
        <v>918</v>
      </c>
      <c r="C122" s="62" t="s">
        <v>918</v>
      </c>
      <c r="D122" s="62" t="str">
        <f t="shared" si="1"/>
        <v>Budaka Town Council</v>
      </c>
      <c r="F122" s="62">
        <v>116</v>
      </c>
    </row>
    <row r="123" spans="1:6">
      <c r="A123" s="62" t="s">
        <v>920</v>
      </c>
      <c r="B123" s="62" t="s">
        <v>918</v>
      </c>
      <c r="C123" s="62" t="s">
        <v>920</v>
      </c>
      <c r="D123" s="62" t="str">
        <f t="shared" si="1"/>
        <v>Iki-Iki</v>
      </c>
      <c r="F123" s="62">
        <v>117</v>
      </c>
    </row>
    <row r="124" spans="1:6">
      <c r="A124" s="62" t="s">
        <v>921</v>
      </c>
      <c r="B124" s="62" t="s">
        <v>918</v>
      </c>
      <c r="C124" s="62" t="s">
        <v>918</v>
      </c>
      <c r="D124" s="62" t="str">
        <f t="shared" si="1"/>
        <v>Kachomo</v>
      </c>
      <c r="F124" s="62">
        <v>118</v>
      </c>
    </row>
    <row r="125" spans="1:6">
      <c r="A125" s="62" t="s">
        <v>922</v>
      </c>
      <c r="B125" s="62" t="s">
        <v>918</v>
      </c>
      <c r="C125" s="62" t="s">
        <v>918</v>
      </c>
      <c r="D125" s="62" t="str">
        <f t="shared" si="1"/>
        <v>Kaderuna</v>
      </c>
      <c r="F125" s="62">
        <v>119</v>
      </c>
    </row>
    <row r="126" spans="1:6">
      <c r="A126" s="62" t="s">
        <v>923</v>
      </c>
      <c r="B126" s="62" t="s">
        <v>918</v>
      </c>
      <c r="C126" s="62" t="s">
        <v>918</v>
      </c>
      <c r="D126" s="62" t="str">
        <f t="shared" si="1"/>
        <v>Kakule</v>
      </c>
      <c r="F126" s="62">
        <v>120</v>
      </c>
    </row>
    <row r="127" spans="1:6">
      <c r="A127" s="62" t="s">
        <v>924</v>
      </c>
      <c r="B127" s="62" t="s">
        <v>918</v>
      </c>
      <c r="C127" s="62" t="s">
        <v>920</v>
      </c>
      <c r="D127" s="62" t="str">
        <f t="shared" si="1"/>
        <v>Kameruka</v>
      </c>
      <c r="F127" s="62">
        <v>121</v>
      </c>
    </row>
    <row r="128" spans="1:6">
      <c r="A128" s="62" t="s">
        <v>925</v>
      </c>
      <c r="B128" s="62" t="s">
        <v>918</v>
      </c>
      <c r="C128" s="62" t="s">
        <v>920</v>
      </c>
      <c r="D128" s="62" t="str">
        <f t="shared" si="1"/>
        <v>Kamonkoli</v>
      </c>
      <c r="F128" s="62">
        <v>122</v>
      </c>
    </row>
    <row r="129" spans="1:6">
      <c r="A129" s="62" t="s">
        <v>926</v>
      </c>
      <c r="B129" s="62" t="s">
        <v>918</v>
      </c>
      <c r="C129" s="62" t="s">
        <v>920</v>
      </c>
      <c r="D129" s="62" t="str">
        <f t="shared" si="1"/>
        <v>Katiira</v>
      </c>
      <c r="F129" s="62">
        <v>123</v>
      </c>
    </row>
    <row r="130" spans="1:6">
      <c r="A130" s="62" t="s">
        <v>927</v>
      </c>
      <c r="B130" s="62" t="s">
        <v>918</v>
      </c>
      <c r="C130" s="62" t="s">
        <v>918</v>
      </c>
      <c r="D130" s="62" t="str">
        <f t="shared" ref="D130:D193" si="2">A130</f>
        <v>Lyama</v>
      </c>
      <c r="F130" s="62">
        <v>124</v>
      </c>
    </row>
    <row r="131" spans="1:6">
      <c r="A131" s="62" t="s">
        <v>928</v>
      </c>
      <c r="B131" s="62" t="s">
        <v>918</v>
      </c>
      <c r="C131" s="62" t="s">
        <v>920</v>
      </c>
      <c r="D131" s="62" t="str">
        <f t="shared" si="2"/>
        <v>Mugiti</v>
      </c>
      <c r="F131" s="62">
        <v>125</v>
      </c>
    </row>
    <row r="132" spans="1:6">
      <c r="A132" s="62" t="s">
        <v>929</v>
      </c>
      <c r="B132" s="62" t="s">
        <v>918</v>
      </c>
      <c r="C132" s="62" t="s">
        <v>918</v>
      </c>
      <c r="D132" s="62" t="str">
        <f t="shared" si="2"/>
        <v>Naboa</v>
      </c>
      <c r="F132" s="62">
        <v>126</v>
      </c>
    </row>
    <row r="133" spans="1:6">
      <c r="A133" s="62" t="s">
        <v>930</v>
      </c>
      <c r="B133" s="62" t="s">
        <v>918</v>
      </c>
      <c r="C133" s="62" t="s">
        <v>918</v>
      </c>
      <c r="D133" s="62" t="str">
        <f t="shared" si="2"/>
        <v>Nansanga</v>
      </c>
      <c r="F133" s="62">
        <v>127</v>
      </c>
    </row>
    <row r="134" spans="1:6">
      <c r="A134" s="62" t="s">
        <v>931</v>
      </c>
      <c r="B134" s="62" t="s">
        <v>932</v>
      </c>
      <c r="C134" s="62" t="s">
        <v>933</v>
      </c>
      <c r="D134" s="62" t="str">
        <f t="shared" si="2"/>
        <v>Bubiita</v>
      </c>
      <c r="F134" s="62">
        <v>128</v>
      </c>
    </row>
    <row r="135" spans="1:6">
      <c r="A135" s="62" t="s">
        <v>932</v>
      </c>
      <c r="B135" s="62" t="s">
        <v>932</v>
      </c>
      <c r="C135" s="62" t="s">
        <v>933</v>
      </c>
      <c r="D135" s="62" t="str">
        <f t="shared" si="2"/>
        <v>Bududa</v>
      </c>
      <c r="F135" s="62">
        <v>129</v>
      </c>
    </row>
    <row r="136" spans="1:6">
      <c r="A136" s="62" t="s">
        <v>934</v>
      </c>
      <c r="B136" s="62" t="s">
        <v>932</v>
      </c>
      <c r="C136" s="62" t="s">
        <v>933</v>
      </c>
      <c r="D136" s="62" t="str">
        <f t="shared" si="2"/>
        <v>Bududa Town Council</v>
      </c>
      <c r="F136" s="62">
        <v>130</v>
      </c>
    </row>
    <row r="137" spans="1:6">
      <c r="A137" s="62" t="s">
        <v>935</v>
      </c>
      <c r="B137" s="62" t="s">
        <v>932</v>
      </c>
      <c r="C137" s="62" t="s">
        <v>933</v>
      </c>
      <c r="D137" s="62" t="str">
        <f t="shared" si="2"/>
        <v>Bukalasi</v>
      </c>
      <c r="F137" s="62">
        <v>131</v>
      </c>
    </row>
    <row r="138" spans="1:6">
      <c r="A138" s="62" t="s">
        <v>936</v>
      </c>
      <c r="B138" s="62" t="s">
        <v>932</v>
      </c>
      <c r="C138" s="62" t="s">
        <v>933</v>
      </c>
      <c r="D138" s="62" t="str">
        <f t="shared" si="2"/>
        <v>Bukibokolo</v>
      </c>
      <c r="F138" s="62">
        <v>132</v>
      </c>
    </row>
    <row r="139" spans="1:6">
      <c r="A139" s="62" t="s">
        <v>937</v>
      </c>
      <c r="B139" s="62" t="s">
        <v>932</v>
      </c>
      <c r="C139" s="62" t="s">
        <v>933</v>
      </c>
      <c r="D139" s="62" t="str">
        <f t="shared" si="2"/>
        <v>Bukigai</v>
      </c>
      <c r="F139" s="62">
        <v>133</v>
      </c>
    </row>
    <row r="140" spans="1:6">
      <c r="A140" s="62" t="s">
        <v>938</v>
      </c>
      <c r="B140" s="62" t="s">
        <v>932</v>
      </c>
      <c r="C140" s="62" t="s">
        <v>933</v>
      </c>
      <c r="D140" s="62" t="str">
        <f t="shared" si="2"/>
        <v>Bulucheke</v>
      </c>
      <c r="F140" s="62">
        <v>134</v>
      </c>
    </row>
    <row r="141" spans="1:6">
      <c r="A141" s="62" t="s">
        <v>939</v>
      </c>
      <c r="B141" s="62" t="s">
        <v>932</v>
      </c>
      <c r="C141" s="62" t="s">
        <v>933</v>
      </c>
      <c r="D141" s="62" t="str">
        <f t="shared" si="2"/>
        <v>Bumasheti</v>
      </c>
      <c r="F141" s="62">
        <v>135</v>
      </c>
    </row>
    <row r="142" spans="1:6">
      <c r="A142" s="62" t="s">
        <v>940</v>
      </c>
      <c r="B142" s="62" t="s">
        <v>932</v>
      </c>
      <c r="C142" s="62" t="s">
        <v>933</v>
      </c>
      <c r="D142" s="62" t="str">
        <f t="shared" si="2"/>
        <v>Bumayoka</v>
      </c>
      <c r="F142" s="62">
        <v>136</v>
      </c>
    </row>
    <row r="143" spans="1:6">
      <c r="A143" s="62" t="s">
        <v>941</v>
      </c>
      <c r="B143" s="62" t="s">
        <v>932</v>
      </c>
      <c r="C143" s="62" t="s">
        <v>933</v>
      </c>
      <c r="D143" s="62" t="str">
        <f t="shared" si="2"/>
        <v>Bushika</v>
      </c>
      <c r="F143" s="62">
        <v>137</v>
      </c>
    </row>
    <row r="144" spans="1:6">
      <c r="A144" s="62" t="s">
        <v>942</v>
      </c>
      <c r="B144" s="62" t="s">
        <v>932</v>
      </c>
      <c r="C144" s="62" t="s">
        <v>933</v>
      </c>
      <c r="D144" s="62" t="str">
        <f t="shared" si="2"/>
        <v>Bushiribo</v>
      </c>
      <c r="F144" s="62">
        <v>138</v>
      </c>
    </row>
    <row r="145" spans="1:6">
      <c r="A145" s="62" t="s">
        <v>943</v>
      </c>
      <c r="B145" s="62" t="s">
        <v>932</v>
      </c>
      <c r="C145" s="62" t="s">
        <v>933</v>
      </c>
      <c r="D145" s="62" t="str">
        <f t="shared" si="2"/>
        <v>Bushiyi</v>
      </c>
      <c r="F145" s="62">
        <v>139</v>
      </c>
    </row>
    <row r="146" spans="1:6">
      <c r="A146" s="62" t="s">
        <v>944</v>
      </c>
      <c r="B146" s="62" t="s">
        <v>932</v>
      </c>
      <c r="C146" s="62" t="s">
        <v>933</v>
      </c>
      <c r="D146" s="62" t="str">
        <f t="shared" si="2"/>
        <v>Buwali</v>
      </c>
      <c r="F146" s="62">
        <v>140</v>
      </c>
    </row>
    <row r="147" spans="1:6">
      <c r="A147" s="62" t="s">
        <v>945</v>
      </c>
      <c r="B147" s="62" t="s">
        <v>932</v>
      </c>
      <c r="C147" s="62" t="s">
        <v>933</v>
      </c>
      <c r="D147" s="62" t="str">
        <f t="shared" si="2"/>
        <v>Nabweya</v>
      </c>
      <c r="F147" s="62">
        <v>141</v>
      </c>
    </row>
    <row r="148" spans="1:6">
      <c r="A148" s="62" t="s">
        <v>946</v>
      </c>
      <c r="B148" s="62" t="s">
        <v>932</v>
      </c>
      <c r="C148" s="62" t="s">
        <v>933</v>
      </c>
      <c r="D148" s="62" t="str">
        <f t="shared" si="2"/>
        <v>Nakatsi</v>
      </c>
      <c r="F148" s="62">
        <v>142</v>
      </c>
    </row>
    <row r="149" spans="1:6">
      <c r="A149" s="62" t="s">
        <v>947</v>
      </c>
      <c r="B149" s="62" t="s">
        <v>932</v>
      </c>
      <c r="C149" s="62" t="s">
        <v>933</v>
      </c>
      <c r="D149" s="62" t="str">
        <f t="shared" si="2"/>
        <v>Nalwanza</v>
      </c>
      <c r="F149" s="62">
        <v>143</v>
      </c>
    </row>
    <row r="150" spans="1:6">
      <c r="A150" s="62" t="s">
        <v>948</v>
      </c>
      <c r="B150" s="62" t="s">
        <v>949</v>
      </c>
      <c r="C150" s="62" t="s">
        <v>950</v>
      </c>
      <c r="D150" s="62" t="str">
        <f t="shared" si="2"/>
        <v>Budhaya</v>
      </c>
      <c r="F150" s="62">
        <v>144</v>
      </c>
    </row>
    <row r="151" spans="1:6">
      <c r="A151" s="62" t="s">
        <v>951</v>
      </c>
      <c r="B151" s="62" t="s">
        <v>949</v>
      </c>
      <c r="C151" s="62" t="s">
        <v>951</v>
      </c>
      <c r="D151" s="62" t="str">
        <f t="shared" si="2"/>
        <v>Bugiri Municipality</v>
      </c>
      <c r="F151" s="62">
        <v>145</v>
      </c>
    </row>
    <row r="152" spans="1:6">
      <c r="A152" s="62" t="s">
        <v>949</v>
      </c>
      <c r="D152" s="62" t="str">
        <f t="shared" si="2"/>
        <v>Bugiri</v>
      </c>
      <c r="F152" s="62">
        <v>145</v>
      </c>
    </row>
    <row r="153" spans="1:6">
      <c r="A153" s="62" t="s">
        <v>952</v>
      </c>
      <c r="B153" s="62" t="s">
        <v>949</v>
      </c>
      <c r="C153" s="62" t="s">
        <v>950</v>
      </c>
      <c r="D153" s="62" t="str">
        <f t="shared" si="2"/>
        <v>Bulesa</v>
      </c>
      <c r="F153" s="62">
        <v>146</v>
      </c>
    </row>
    <row r="154" spans="1:6">
      <c r="A154" s="62" t="s">
        <v>953</v>
      </c>
      <c r="B154" s="62" t="s">
        <v>949</v>
      </c>
      <c r="C154" s="62" t="s">
        <v>950</v>
      </c>
      <c r="D154" s="62" t="str">
        <f t="shared" si="2"/>
        <v>Bulidha</v>
      </c>
      <c r="F154" s="62">
        <v>147</v>
      </c>
    </row>
    <row r="155" spans="1:6">
      <c r="A155" s="62" t="s">
        <v>954</v>
      </c>
      <c r="B155" s="62" t="s">
        <v>949</v>
      </c>
      <c r="C155" s="62" t="s">
        <v>950</v>
      </c>
      <c r="D155" s="62" t="str">
        <f t="shared" si="2"/>
        <v>Buluguyi</v>
      </c>
      <c r="F155" s="62">
        <v>148</v>
      </c>
    </row>
    <row r="156" spans="1:6">
      <c r="A156" s="62" t="s">
        <v>955</v>
      </c>
      <c r="B156" s="62" t="s">
        <v>949</v>
      </c>
      <c r="C156" s="62" t="s">
        <v>950</v>
      </c>
      <c r="D156" s="62" t="str">
        <f t="shared" si="2"/>
        <v>Buwunga-Bugiri</v>
      </c>
      <c r="F156" s="62">
        <v>149</v>
      </c>
    </row>
    <row r="157" spans="1:6">
      <c r="A157" s="62" t="s">
        <v>956</v>
      </c>
      <c r="B157" s="62" t="s">
        <v>949</v>
      </c>
      <c r="C157" s="62" t="s">
        <v>950</v>
      </c>
      <c r="D157" s="62" t="str">
        <f t="shared" si="2"/>
        <v>Iwemba</v>
      </c>
      <c r="F157" s="62">
        <v>150</v>
      </c>
    </row>
    <row r="158" spans="1:6">
      <c r="A158" s="62" t="s">
        <v>957</v>
      </c>
      <c r="B158" s="62" t="s">
        <v>949</v>
      </c>
      <c r="C158" s="62" t="s">
        <v>950</v>
      </c>
      <c r="D158" s="62" t="str">
        <f t="shared" si="2"/>
        <v>Kapyanga</v>
      </c>
      <c r="F158" s="62">
        <v>151</v>
      </c>
    </row>
    <row r="159" spans="1:6">
      <c r="A159" s="62" t="s">
        <v>958</v>
      </c>
      <c r="B159" s="62" t="s">
        <v>949</v>
      </c>
      <c r="C159" s="62" t="s">
        <v>950</v>
      </c>
      <c r="D159" s="62" t="str">
        <f t="shared" si="2"/>
        <v>Muterere</v>
      </c>
      <c r="F159" s="62">
        <v>152</v>
      </c>
    </row>
    <row r="160" spans="1:6">
      <c r="A160" s="62" t="s">
        <v>959</v>
      </c>
      <c r="B160" s="62" t="s">
        <v>949</v>
      </c>
      <c r="C160" s="62" t="s">
        <v>950</v>
      </c>
      <c r="D160" s="62" t="str">
        <f t="shared" si="2"/>
        <v>Nabukalu</v>
      </c>
      <c r="F160" s="62">
        <v>153</v>
      </c>
    </row>
    <row r="161" spans="1:6">
      <c r="A161" s="62" t="s">
        <v>960</v>
      </c>
      <c r="B161" s="62" t="s">
        <v>949</v>
      </c>
      <c r="C161" s="62" t="s">
        <v>950</v>
      </c>
      <c r="D161" s="62" t="str">
        <f t="shared" si="2"/>
        <v>Nankoma</v>
      </c>
      <c r="F161" s="62">
        <v>154</v>
      </c>
    </row>
    <row r="162" spans="1:6">
      <c r="A162" s="62" t="s">
        <v>961</v>
      </c>
      <c r="B162" s="62" t="s">
        <v>962</v>
      </c>
      <c r="C162" s="62" t="s">
        <v>962</v>
      </c>
      <c r="D162" s="62" t="str">
        <f t="shared" si="2"/>
        <v>Bihanga-Buhweju</v>
      </c>
      <c r="F162" s="62">
        <v>155</v>
      </c>
    </row>
    <row r="163" spans="1:6">
      <c r="A163" s="62" t="s">
        <v>963</v>
      </c>
      <c r="B163" s="62" t="s">
        <v>962</v>
      </c>
      <c r="C163" s="62" t="s">
        <v>962</v>
      </c>
      <c r="D163" s="62" t="str">
        <f t="shared" si="2"/>
        <v>Bitsya</v>
      </c>
      <c r="F163" s="62">
        <v>156</v>
      </c>
    </row>
    <row r="164" spans="1:6">
      <c r="A164" s="62" t="s">
        <v>964</v>
      </c>
      <c r="B164" s="62" t="s">
        <v>962</v>
      </c>
      <c r="C164" s="62" t="s">
        <v>962</v>
      </c>
      <c r="D164" s="62" t="str">
        <f t="shared" si="2"/>
        <v>Burere</v>
      </c>
      <c r="F164" s="62">
        <v>157</v>
      </c>
    </row>
    <row r="165" spans="1:6">
      <c r="A165" s="62" t="s">
        <v>965</v>
      </c>
      <c r="B165" s="62" t="s">
        <v>962</v>
      </c>
      <c r="C165" s="62" t="s">
        <v>962</v>
      </c>
      <c r="D165" s="62" t="str">
        <f t="shared" si="2"/>
        <v>Engaju</v>
      </c>
      <c r="F165" s="62">
        <v>158</v>
      </c>
    </row>
    <row r="166" spans="1:6">
      <c r="A166" s="62" t="s">
        <v>966</v>
      </c>
      <c r="B166" s="62" t="s">
        <v>962</v>
      </c>
      <c r="C166" s="62" t="s">
        <v>962</v>
      </c>
      <c r="D166" s="62" t="str">
        <f t="shared" si="2"/>
        <v>Karungu</v>
      </c>
      <c r="F166" s="62">
        <v>159</v>
      </c>
    </row>
    <row r="167" spans="1:6">
      <c r="A167" s="62" t="s">
        <v>967</v>
      </c>
      <c r="B167" s="62" t="s">
        <v>962</v>
      </c>
      <c r="C167" s="62" t="s">
        <v>962</v>
      </c>
      <c r="D167" s="62" t="str">
        <f t="shared" si="2"/>
        <v>Nsiika Town Council</v>
      </c>
      <c r="F167" s="62">
        <v>160</v>
      </c>
    </row>
    <row r="168" spans="1:6">
      <c r="A168" s="62" t="s">
        <v>968</v>
      </c>
      <c r="B168" s="62" t="s">
        <v>962</v>
      </c>
      <c r="C168" s="62" t="s">
        <v>962</v>
      </c>
      <c r="D168" s="62" t="str">
        <f t="shared" si="2"/>
        <v>Nyakishana</v>
      </c>
      <c r="F168" s="62">
        <v>161</v>
      </c>
    </row>
    <row r="169" spans="1:6">
      <c r="A169" s="62" t="s">
        <v>969</v>
      </c>
      <c r="B169" s="62" t="s">
        <v>962</v>
      </c>
      <c r="C169" s="62" t="s">
        <v>962</v>
      </c>
      <c r="D169" s="62" t="str">
        <f t="shared" si="2"/>
        <v>Rwengwe</v>
      </c>
      <c r="F169" s="62">
        <v>162</v>
      </c>
    </row>
    <row r="170" spans="1:6">
      <c r="A170" s="62" t="s">
        <v>970</v>
      </c>
      <c r="B170" s="62" t="s">
        <v>970</v>
      </c>
      <c r="C170" s="62" t="s">
        <v>970</v>
      </c>
      <c r="D170" s="62" t="str">
        <f t="shared" si="2"/>
        <v>Buikwe</v>
      </c>
      <c r="F170" s="62">
        <v>163</v>
      </c>
    </row>
    <row r="171" spans="1:6">
      <c r="A171" s="62" t="s">
        <v>971</v>
      </c>
      <c r="B171" s="62" t="s">
        <v>970</v>
      </c>
      <c r="C171" s="62" t="s">
        <v>970</v>
      </c>
      <c r="D171" s="62" t="str">
        <f t="shared" si="2"/>
        <v>Buikwe Town Council</v>
      </c>
      <c r="F171" s="62">
        <v>164</v>
      </c>
    </row>
    <row r="172" spans="1:6">
      <c r="A172" s="62" t="s">
        <v>972</v>
      </c>
      <c r="B172" s="62" t="s">
        <v>970</v>
      </c>
      <c r="C172" s="62" t="s">
        <v>972</v>
      </c>
      <c r="D172" s="62" t="str">
        <f t="shared" si="2"/>
        <v>Lugazi Municipality</v>
      </c>
      <c r="F172" s="62">
        <v>165</v>
      </c>
    </row>
    <row r="173" spans="1:6">
      <c r="A173" s="62" t="s">
        <v>973</v>
      </c>
      <c r="D173" s="62" t="str">
        <f t="shared" si="2"/>
        <v>LUGAZI</v>
      </c>
      <c r="F173" s="62">
        <v>165</v>
      </c>
    </row>
    <row r="174" spans="1:6">
      <c r="A174" s="62" t="s">
        <v>974</v>
      </c>
      <c r="D174" s="62" t="str">
        <f t="shared" si="2"/>
        <v>Kawolo</v>
      </c>
      <c r="F174" s="62">
        <v>165</v>
      </c>
    </row>
    <row r="175" spans="1:6">
      <c r="A175" s="62" t="s">
        <v>975</v>
      </c>
      <c r="B175" s="62" t="s">
        <v>970</v>
      </c>
      <c r="C175" s="62" t="s">
        <v>970</v>
      </c>
      <c r="D175" s="62" t="str">
        <f t="shared" si="2"/>
        <v>Najja</v>
      </c>
      <c r="F175" s="62">
        <v>166</v>
      </c>
    </row>
    <row r="176" spans="1:6">
      <c r="A176" s="62" t="s">
        <v>976</v>
      </c>
      <c r="D176" s="62" t="str">
        <f t="shared" si="2"/>
        <v>Najja road</v>
      </c>
      <c r="F176" s="62">
        <v>166</v>
      </c>
    </row>
    <row r="177" spans="1:6">
      <c r="A177" s="62" t="s">
        <v>977</v>
      </c>
      <c r="B177" s="62" t="s">
        <v>970</v>
      </c>
      <c r="C177" s="62" t="s">
        <v>970</v>
      </c>
      <c r="D177" s="62" t="str">
        <f t="shared" si="2"/>
        <v>Ngogwe</v>
      </c>
      <c r="F177" s="62">
        <v>167</v>
      </c>
    </row>
    <row r="178" spans="1:6">
      <c r="A178" s="62" t="s">
        <v>978</v>
      </c>
      <c r="B178" s="62" t="s">
        <v>970</v>
      </c>
      <c r="C178" s="62" t="s">
        <v>978</v>
      </c>
      <c r="D178" s="62" t="str">
        <f t="shared" si="2"/>
        <v>Njeru Municipality</v>
      </c>
      <c r="F178" s="62">
        <v>168</v>
      </c>
    </row>
    <row r="179" spans="1:6">
      <c r="A179" s="62" t="s">
        <v>979</v>
      </c>
      <c r="B179" s="62" t="s">
        <v>970</v>
      </c>
      <c r="C179" s="62" t="s">
        <v>970</v>
      </c>
      <c r="D179" s="62" t="str">
        <f t="shared" si="2"/>
        <v>Nkokonjeru Town Council</v>
      </c>
      <c r="F179" s="62">
        <v>169</v>
      </c>
    </row>
    <row r="180" spans="1:6">
      <c r="A180" s="62" t="s">
        <v>980</v>
      </c>
      <c r="D180" s="62" t="str">
        <f t="shared" si="2"/>
        <v>Nkokonjeru</v>
      </c>
      <c r="F180" s="62">
        <v>169</v>
      </c>
    </row>
    <row r="181" spans="1:6">
      <c r="A181" s="62" t="s">
        <v>981</v>
      </c>
      <c r="B181" s="62" t="s">
        <v>970</v>
      </c>
      <c r="C181" s="62" t="s">
        <v>970</v>
      </c>
      <c r="D181" s="62" t="str">
        <f t="shared" si="2"/>
        <v>Ssi-Bukunja</v>
      </c>
      <c r="F181" s="62">
        <v>170</v>
      </c>
    </row>
    <row r="182" spans="1:6">
      <c r="A182" s="62" t="s">
        <v>982</v>
      </c>
      <c r="B182" s="62" t="s">
        <v>982</v>
      </c>
      <c r="C182" s="62" t="s">
        <v>982</v>
      </c>
      <c r="D182" s="62" t="str">
        <f t="shared" si="2"/>
        <v>Bukedea</v>
      </c>
      <c r="F182" s="62">
        <v>171</v>
      </c>
    </row>
    <row r="183" spans="1:6">
      <c r="A183" s="62" t="s">
        <v>983</v>
      </c>
      <c r="B183" s="62" t="s">
        <v>982</v>
      </c>
      <c r="C183" s="62" t="s">
        <v>982</v>
      </c>
      <c r="D183" s="62" t="str">
        <f t="shared" si="2"/>
        <v>Bukedea Town Council</v>
      </c>
      <c r="F183" s="62">
        <v>172</v>
      </c>
    </row>
    <row r="184" spans="1:6">
      <c r="A184" s="62" t="s">
        <v>984</v>
      </c>
      <c r="B184" s="62" t="s">
        <v>982</v>
      </c>
      <c r="C184" s="62" t="s">
        <v>982</v>
      </c>
      <c r="D184" s="62" t="str">
        <f t="shared" si="2"/>
        <v>Kachumbala</v>
      </c>
      <c r="F184" s="62">
        <v>173</v>
      </c>
    </row>
    <row r="185" spans="1:6">
      <c r="A185" s="62" t="s">
        <v>985</v>
      </c>
      <c r="B185" s="62" t="s">
        <v>982</v>
      </c>
      <c r="C185" s="62" t="s">
        <v>982</v>
      </c>
      <c r="D185" s="62" t="str">
        <f t="shared" si="2"/>
        <v>Kidongole</v>
      </c>
      <c r="F185" s="62">
        <v>174</v>
      </c>
    </row>
    <row r="186" spans="1:6">
      <c r="A186" s="62" t="s">
        <v>986</v>
      </c>
      <c r="B186" s="62" t="s">
        <v>982</v>
      </c>
      <c r="C186" s="62" t="s">
        <v>982</v>
      </c>
      <c r="D186" s="62" t="str">
        <f t="shared" si="2"/>
        <v>Kolir</v>
      </c>
      <c r="F186" s="62">
        <v>175</v>
      </c>
    </row>
    <row r="187" spans="1:6">
      <c r="A187" s="62" t="s">
        <v>987</v>
      </c>
      <c r="B187" s="62" t="s">
        <v>982</v>
      </c>
      <c r="C187" s="62" t="s">
        <v>982</v>
      </c>
      <c r="D187" s="62" t="str">
        <f t="shared" si="2"/>
        <v>Malera</v>
      </c>
      <c r="F187" s="62">
        <v>176</v>
      </c>
    </row>
    <row r="188" spans="1:6">
      <c r="A188" s="62" t="s">
        <v>988</v>
      </c>
      <c r="B188" s="62" t="s">
        <v>989</v>
      </c>
      <c r="C188" s="62" t="s">
        <v>989</v>
      </c>
      <c r="D188" s="62" t="str">
        <f t="shared" si="2"/>
        <v>Bigasa</v>
      </c>
      <c r="F188" s="62">
        <v>177</v>
      </c>
    </row>
    <row r="189" spans="1:6">
      <c r="A189" s="62" t="s">
        <v>990</v>
      </c>
      <c r="B189" s="62" t="s">
        <v>989</v>
      </c>
      <c r="C189" s="62" t="s">
        <v>989</v>
      </c>
      <c r="D189" s="62" t="str">
        <f t="shared" si="2"/>
        <v>Bukomansimbi Town Council</v>
      </c>
      <c r="F189" s="62">
        <v>178</v>
      </c>
    </row>
    <row r="190" spans="1:6">
      <c r="A190" s="62" t="s">
        <v>991</v>
      </c>
      <c r="D190" s="62" t="str">
        <f t="shared" si="2"/>
        <v>BUKOMANSIMBI</v>
      </c>
      <c r="F190" s="62">
        <v>178</v>
      </c>
    </row>
    <row r="191" spans="1:6">
      <c r="A191" s="62" t="s">
        <v>992</v>
      </c>
      <c r="B191" s="62" t="s">
        <v>989</v>
      </c>
      <c r="C191" s="62" t="s">
        <v>989</v>
      </c>
      <c r="D191" s="62" t="str">
        <f t="shared" si="2"/>
        <v>Butenga</v>
      </c>
      <c r="F191" s="62">
        <v>179</v>
      </c>
    </row>
    <row r="192" spans="1:6">
      <c r="A192" s="62" t="s">
        <v>993</v>
      </c>
      <c r="B192" s="62" t="s">
        <v>989</v>
      </c>
      <c r="C192" s="62" t="s">
        <v>989</v>
      </c>
      <c r="D192" s="62" t="str">
        <f t="shared" si="2"/>
        <v>Kibinge</v>
      </c>
      <c r="F192" s="62">
        <v>180</v>
      </c>
    </row>
    <row r="193" spans="1:6">
      <c r="A193" s="62" t="s">
        <v>994</v>
      </c>
      <c r="B193" s="62" t="s">
        <v>989</v>
      </c>
      <c r="C193" s="62" t="s">
        <v>989</v>
      </c>
      <c r="D193" s="62" t="str">
        <f t="shared" si="2"/>
        <v>Kitanda</v>
      </c>
      <c r="F193" s="62">
        <v>181</v>
      </c>
    </row>
    <row r="194" spans="1:6">
      <c r="A194" s="62" t="s">
        <v>995</v>
      </c>
      <c r="B194" s="62" t="s">
        <v>995</v>
      </c>
      <c r="C194" s="62" t="s">
        <v>996</v>
      </c>
      <c r="D194" s="62" t="str">
        <f t="shared" ref="D194:D257" si="3">A194</f>
        <v>Bukwo</v>
      </c>
      <c r="F194" s="62">
        <v>182</v>
      </c>
    </row>
    <row r="195" spans="1:6" ht="16.5" customHeight="1">
      <c r="A195" s="62" t="s">
        <v>997</v>
      </c>
      <c r="B195" s="62" t="s">
        <v>995</v>
      </c>
      <c r="C195" s="62" t="s">
        <v>996</v>
      </c>
      <c r="D195" s="62" t="str">
        <f t="shared" si="3"/>
        <v>Bukwo Town Council</v>
      </c>
      <c r="F195" s="62">
        <v>183</v>
      </c>
    </row>
    <row r="196" spans="1:6">
      <c r="A196" s="62" t="s">
        <v>998</v>
      </c>
      <c r="B196" s="62" t="s">
        <v>995</v>
      </c>
      <c r="C196" s="62" t="s">
        <v>996</v>
      </c>
      <c r="D196" s="62" t="str">
        <f t="shared" si="3"/>
        <v>Chepkwasta</v>
      </c>
      <c r="F196" s="62">
        <v>184</v>
      </c>
    </row>
    <row r="197" spans="1:6">
      <c r="A197" s="62" t="s">
        <v>999</v>
      </c>
      <c r="B197" s="62" t="s">
        <v>995</v>
      </c>
      <c r="C197" s="62" t="s">
        <v>996</v>
      </c>
      <c r="D197" s="62" t="str">
        <f t="shared" si="3"/>
        <v>Chesower</v>
      </c>
      <c r="F197" s="62">
        <v>185</v>
      </c>
    </row>
    <row r="198" spans="1:6">
      <c r="A198" s="62" t="s">
        <v>1000</v>
      </c>
      <c r="B198" s="62" t="s">
        <v>995</v>
      </c>
      <c r="C198" s="62" t="s">
        <v>996</v>
      </c>
      <c r="D198" s="62" t="str">
        <f t="shared" si="3"/>
        <v>Kabei</v>
      </c>
      <c r="F198" s="62">
        <v>186</v>
      </c>
    </row>
    <row r="199" spans="1:6">
      <c r="A199" s="62" t="s">
        <v>1001</v>
      </c>
      <c r="B199" s="62" t="s">
        <v>995</v>
      </c>
      <c r="C199" s="62" t="s">
        <v>996</v>
      </c>
      <c r="D199" s="62" t="str">
        <f t="shared" si="3"/>
        <v>Kamet</v>
      </c>
      <c r="F199" s="62">
        <v>187</v>
      </c>
    </row>
    <row r="200" spans="1:6">
      <c r="A200" s="62" t="s">
        <v>1002</v>
      </c>
      <c r="B200" s="62" t="s">
        <v>995</v>
      </c>
      <c r="C200" s="62" t="s">
        <v>996</v>
      </c>
      <c r="D200" s="62" t="str">
        <f t="shared" si="3"/>
        <v>Kaptererwo</v>
      </c>
      <c r="F200" s="62">
        <v>188</v>
      </c>
    </row>
    <row r="201" spans="1:6">
      <c r="A201" s="62" t="s">
        <v>1003</v>
      </c>
      <c r="B201" s="62" t="s">
        <v>995</v>
      </c>
      <c r="C201" s="62" t="s">
        <v>996</v>
      </c>
      <c r="D201" s="62" t="str">
        <f t="shared" si="3"/>
        <v>Kortek</v>
      </c>
      <c r="F201" s="62">
        <v>189</v>
      </c>
    </row>
    <row r="202" spans="1:6">
      <c r="A202" s="62" t="s">
        <v>1004</v>
      </c>
      <c r="B202" s="62" t="s">
        <v>995</v>
      </c>
      <c r="C202" s="62" t="s">
        <v>996</v>
      </c>
      <c r="D202" s="62" t="str">
        <f t="shared" si="3"/>
        <v>Riwo</v>
      </c>
      <c r="F202" s="62">
        <v>190</v>
      </c>
    </row>
    <row r="203" spans="1:6">
      <c r="A203" s="62" t="s">
        <v>1005</v>
      </c>
      <c r="B203" s="62" t="s">
        <v>995</v>
      </c>
      <c r="C203" s="62" t="s">
        <v>996</v>
      </c>
      <c r="D203" s="62" t="str">
        <f t="shared" si="3"/>
        <v>Senendet</v>
      </c>
      <c r="F203" s="62">
        <v>191</v>
      </c>
    </row>
    <row r="204" spans="1:6">
      <c r="A204" s="62" t="s">
        <v>1006</v>
      </c>
      <c r="B204" s="62" t="s">
        <v>995</v>
      </c>
      <c r="C204" s="62" t="s">
        <v>996</v>
      </c>
      <c r="D204" s="62" t="str">
        <f t="shared" si="3"/>
        <v>Suam</v>
      </c>
      <c r="F204" s="62">
        <v>192</v>
      </c>
    </row>
    <row r="205" spans="1:6">
      <c r="A205" s="62" t="s">
        <v>1007</v>
      </c>
      <c r="B205" s="62" t="s">
        <v>995</v>
      </c>
      <c r="C205" s="62" t="s">
        <v>996</v>
      </c>
      <c r="D205" s="62" t="str">
        <f t="shared" si="3"/>
        <v>Tulel</v>
      </c>
      <c r="F205" s="62">
        <v>193</v>
      </c>
    </row>
    <row r="206" spans="1:6">
      <c r="A206" s="62" t="s">
        <v>1008</v>
      </c>
      <c r="B206" s="62" t="s">
        <v>1009</v>
      </c>
      <c r="C206" s="62" t="s">
        <v>1009</v>
      </c>
      <c r="D206" s="62" t="str">
        <f t="shared" si="3"/>
        <v>Buginyanya</v>
      </c>
      <c r="F206" s="62">
        <v>194</v>
      </c>
    </row>
    <row r="207" spans="1:6">
      <c r="A207" s="62" t="s">
        <v>1010</v>
      </c>
      <c r="B207" s="62" t="s">
        <v>1009</v>
      </c>
      <c r="C207" s="62" t="s">
        <v>1009</v>
      </c>
      <c r="D207" s="62" t="str">
        <f t="shared" si="3"/>
        <v>Bukhalu</v>
      </c>
      <c r="F207" s="62">
        <v>195</v>
      </c>
    </row>
    <row r="208" spans="1:6">
      <c r="A208" s="62" t="s">
        <v>1011</v>
      </c>
      <c r="B208" s="62" t="s">
        <v>1009</v>
      </c>
      <c r="C208" s="62" t="s">
        <v>1009</v>
      </c>
      <c r="D208" s="62" t="str">
        <f t="shared" si="3"/>
        <v>Bulaago</v>
      </c>
      <c r="F208" s="62">
        <v>196</v>
      </c>
    </row>
    <row r="209" spans="1:6">
      <c r="A209" s="62" t="s">
        <v>1012</v>
      </c>
      <c r="B209" s="62" t="s">
        <v>1009</v>
      </c>
      <c r="C209" s="62" t="s">
        <v>1009</v>
      </c>
      <c r="D209" s="62" t="str">
        <f t="shared" si="3"/>
        <v>Bulambuli Town Council</v>
      </c>
      <c r="F209" s="62">
        <v>197</v>
      </c>
    </row>
    <row r="210" spans="1:6">
      <c r="A210" s="62" t="s">
        <v>1013</v>
      </c>
      <c r="B210" s="62" t="s">
        <v>1009</v>
      </c>
      <c r="C210" s="62" t="s">
        <v>1009</v>
      </c>
      <c r="D210" s="62" t="str">
        <f t="shared" si="3"/>
        <v>Bulegeni</v>
      </c>
      <c r="F210" s="62">
        <v>198</v>
      </c>
    </row>
    <row r="211" spans="1:6">
      <c r="A211" s="62" t="s">
        <v>1014</v>
      </c>
      <c r="B211" s="62" t="s">
        <v>1009</v>
      </c>
      <c r="C211" s="62" t="s">
        <v>1009</v>
      </c>
      <c r="D211" s="62" t="str">
        <f t="shared" si="3"/>
        <v>Bulegeni Town Council</v>
      </c>
      <c r="F211" s="62">
        <v>199</v>
      </c>
    </row>
    <row r="212" spans="1:6">
      <c r="A212" s="62" t="s">
        <v>1015</v>
      </c>
      <c r="B212" s="62" t="s">
        <v>1009</v>
      </c>
      <c r="C212" s="62" t="s">
        <v>1009</v>
      </c>
      <c r="D212" s="62" t="str">
        <f t="shared" si="3"/>
        <v>Buluganya</v>
      </c>
      <c r="F212" s="62">
        <v>200</v>
      </c>
    </row>
    <row r="213" spans="1:6">
      <c r="A213" s="62" t="s">
        <v>1016</v>
      </c>
      <c r="B213" s="62" t="s">
        <v>1009</v>
      </c>
      <c r="C213" s="62" t="s">
        <v>1009</v>
      </c>
      <c r="D213" s="62" t="str">
        <f t="shared" si="3"/>
        <v>Bumasobo</v>
      </c>
      <c r="F213" s="62">
        <v>201</v>
      </c>
    </row>
    <row r="214" spans="1:6">
      <c r="A214" s="62" t="s">
        <v>1017</v>
      </c>
      <c r="B214" s="62" t="s">
        <v>1009</v>
      </c>
      <c r="C214" s="62" t="s">
        <v>1009</v>
      </c>
      <c r="D214" s="62" t="str">
        <f t="shared" si="3"/>
        <v>Bumugibole</v>
      </c>
      <c r="F214" s="62">
        <v>202</v>
      </c>
    </row>
    <row r="215" spans="1:6">
      <c r="A215" s="62" t="s">
        <v>1018</v>
      </c>
      <c r="B215" s="62" t="s">
        <v>1009</v>
      </c>
      <c r="C215" s="62" t="s">
        <v>1009</v>
      </c>
      <c r="D215" s="62" t="str">
        <f t="shared" si="3"/>
        <v>Bunambutye</v>
      </c>
      <c r="F215" s="62">
        <v>203</v>
      </c>
    </row>
    <row r="216" spans="1:6">
      <c r="A216" s="62" t="s">
        <v>1019</v>
      </c>
      <c r="B216" s="62" t="s">
        <v>1009</v>
      </c>
      <c r="C216" s="62" t="s">
        <v>1009</v>
      </c>
      <c r="D216" s="62" t="str">
        <f t="shared" si="3"/>
        <v>Bwikhonge</v>
      </c>
      <c r="F216" s="62">
        <v>204</v>
      </c>
    </row>
    <row r="217" spans="1:6">
      <c r="A217" s="62" t="s">
        <v>1020</v>
      </c>
      <c r="B217" s="62" t="s">
        <v>1009</v>
      </c>
      <c r="C217" s="62" t="s">
        <v>1009</v>
      </c>
      <c r="D217" s="62" t="str">
        <f t="shared" si="3"/>
        <v>Kamu</v>
      </c>
      <c r="F217" s="62">
        <v>205</v>
      </c>
    </row>
    <row r="218" spans="1:6">
      <c r="A218" s="62" t="s">
        <v>1021</v>
      </c>
      <c r="B218" s="62" t="s">
        <v>1009</v>
      </c>
      <c r="C218" s="62" t="s">
        <v>1009</v>
      </c>
      <c r="D218" s="62" t="str">
        <f t="shared" si="3"/>
        <v>Lusha</v>
      </c>
      <c r="F218" s="62">
        <v>206</v>
      </c>
    </row>
    <row r="219" spans="1:6">
      <c r="A219" s="62" t="s">
        <v>1022</v>
      </c>
      <c r="B219" s="62" t="s">
        <v>1009</v>
      </c>
      <c r="C219" s="62" t="s">
        <v>1009</v>
      </c>
      <c r="D219" s="62" t="str">
        <f t="shared" si="3"/>
        <v>Masiira</v>
      </c>
      <c r="F219" s="62">
        <v>207</v>
      </c>
    </row>
    <row r="220" spans="1:6">
      <c r="A220" s="62" t="s">
        <v>1023</v>
      </c>
      <c r="B220" s="62" t="s">
        <v>1009</v>
      </c>
      <c r="C220" s="62" t="s">
        <v>1009</v>
      </c>
      <c r="D220" s="62" t="str">
        <f t="shared" si="3"/>
        <v>Muyembe</v>
      </c>
      <c r="F220" s="62">
        <v>208</v>
      </c>
    </row>
    <row r="221" spans="1:6" ht="15" customHeight="1">
      <c r="A221" s="62" t="s">
        <v>1024</v>
      </c>
      <c r="B221" s="62" t="s">
        <v>1009</v>
      </c>
      <c r="C221" s="62" t="s">
        <v>1009</v>
      </c>
      <c r="D221" s="62" t="str">
        <f t="shared" si="3"/>
        <v>Nabbongo</v>
      </c>
      <c r="F221" s="62">
        <v>209</v>
      </c>
    </row>
    <row r="222" spans="1:6">
      <c r="A222" s="62" t="s">
        <v>1025</v>
      </c>
      <c r="B222" s="62" t="s">
        <v>1009</v>
      </c>
      <c r="C222" s="62" t="s">
        <v>1009</v>
      </c>
      <c r="D222" s="62" t="str">
        <f t="shared" si="3"/>
        <v>Namisuni</v>
      </c>
      <c r="F222" s="62">
        <v>210</v>
      </c>
    </row>
    <row r="223" spans="1:6">
      <c r="A223" s="62" t="s">
        <v>1026</v>
      </c>
      <c r="B223" s="62" t="s">
        <v>1009</v>
      </c>
      <c r="C223" s="62" t="s">
        <v>1009</v>
      </c>
      <c r="D223" s="62" t="str">
        <f t="shared" si="3"/>
        <v>Simu</v>
      </c>
      <c r="F223" s="62">
        <v>211</v>
      </c>
    </row>
    <row r="224" spans="1:6">
      <c r="A224" s="62" t="s">
        <v>1027</v>
      </c>
      <c r="B224" s="62" t="s">
        <v>1009</v>
      </c>
      <c r="C224" s="62" t="s">
        <v>1009</v>
      </c>
      <c r="D224" s="62" t="str">
        <f t="shared" si="3"/>
        <v>Sisiyi</v>
      </c>
      <c r="F224" s="62">
        <v>212</v>
      </c>
    </row>
    <row r="225" spans="1:6">
      <c r="A225" s="62" t="s">
        <v>1028</v>
      </c>
      <c r="B225" s="62" t="s">
        <v>1029</v>
      </c>
      <c r="C225" s="62" t="s">
        <v>1029</v>
      </c>
      <c r="D225" s="62" t="str">
        <f t="shared" si="3"/>
        <v>Biiso</v>
      </c>
      <c r="F225" s="62">
        <v>213</v>
      </c>
    </row>
    <row r="226" spans="1:6">
      <c r="A226" s="62" t="s">
        <v>1029</v>
      </c>
      <c r="B226" s="62" t="s">
        <v>1029</v>
      </c>
      <c r="C226" s="62" t="s">
        <v>1029</v>
      </c>
      <c r="D226" s="62" t="str">
        <f t="shared" si="3"/>
        <v>Buliisa</v>
      </c>
      <c r="F226" s="62">
        <v>214</v>
      </c>
    </row>
    <row r="227" spans="1:6">
      <c r="A227" s="62" t="s">
        <v>1030</v>
      </c>
      <c r="B227" s="62" t="s">
        <v>1029</v>
      </c>
      <c r="C227" s="62" t="s">
        <v>1029</v>
      </c>
      <c r="D227" s="62" t="str">
        <f t="shared" si="3"/>
        <v>Buliisa Town Council</v>
      </c>
      <c r="F227" s="62">
        <v>215</v>
      </c>
    </row>
    <row r="228" spans="1:6">
      <c r="A228" s="62" t="s">
        <v>1031</v>
      </c>
      <c r="B228" s="62" t="s">
        <v>1029</v>
      </c>
      <c r="C228" s="62" t="s">
        <v>1029</v>
      </c>
      <c r="D228" s="62" t="str">
        <f t="shared" si="3"/>
        <v>Butiaba</v>
      </c>
      <c r="F228" s="62">
        <v>216</v>
      </c>
    </row>
    <row r="229" spans="1:6">
      <c r="A229" s="62" t="s">
        <v>1032</v>
      </c>
      <c r="B229" s="62" t="s">
        <v>1029</v>
      </c>
      <c r="C229" s="62" t="s">
        <v>1029</v>
      </c>
      <c r="D229" s="62" t="str">
        <f t="shared" si="3"/>
        <v>Kigwera</v>
      </c>
      <c r="F229" s="62">
        <v>217</v>
      </c>
    </row>
    <row r="230" spans="1:6">
      <c r="A230" s="62" t="s">
        <v>1033</v>
      </c>
      <c r="B230" s="62" t="s">
        <v>1029</v>
      </c>
      <c r="C230" s="62" t="s">
        <v>1029</v>
      </c>
      <c r="D230" s="62" t="str">
        <f t="shared" si="3"/>
        <v>Kihungya</v>
      </c>
      <c r="F230" s="62">
        <v>218</v>
      </c>
    </row>
    <row r="231" spans="1:6">
      <c r="A231" s="62" t="s">
        <v>1034</v>
      </c>
      <c r="B231" s="62" t="s">
        <v>1029</v>
      </c>
      <c r="C231" s="62" t="s">
        <v>1029</v>
      </c>
      <c r="D231" s="62" t="str">
        <f t="shared" si="3"/>
        <v>Ngwedo</v>
      </c>
      <c r="F231" s="62">
        <v>219</v>
      </c>
    </row>
    <row r="232" spans="1:6">
      <c r="A232" s="62" t="s">
        <v>1035</v>
      </c>
      <c r="B232" s="62" t="s">
        <v>1036</v>
      </c>
      <c r="C232" s="62" t="s">
        <v>1037</v>
      </c>
      <c r="D232" s="62" t="str">
        <f t="shared" si="3"/>
        <v>Bubandi</v>
      </c>
      <c r="F232" s="62">
        <v>220</v>
      </c>
    </row>
    <row r="233" spans="1:6">
      <c r="A233" s="62" t="s">
        <v>1038</v>
      </c>
      <c r="B233" s="62" t="s">
        <v>1036</v>
      </c>
      <c r="C233" s="62" t="s">
        <v>1037</v>
      </c>
      <c r="D233" s="62" t="str">
        <f t="shared" si="3"/>
        <v>Bubukwanga</v>
      </c>
      <c r="F233" s="62">
        <v>221</v>
      </c>
    </row>
    <row r="234" spans="1:6">
      <c r="A234" s="62" t="s">
        <v>1039</v>
      </c>
      <c r="B234" s="62" t="s">
        <v>1036</v>
      </c>
      <c r="C234" s="62" t="s">
        <v>1040</v>
      </c>
      <c r="D234" s="62" t="str">
        <f t="shared" si="3"/>
        <v>Bukonzo</v>
      </c>
      <c r="F234" s="62">
        <v>222</v>
      </c>
    </row>
    <row r="235" spans="1:6">
      <c r="A235" s="62" t="s">
        <v>1041</v>
      </c>
      <c r="B235" s="62" t="s">
        <v>1036</v>
      </c>
      <c r="C235" s="62" t="s">
        <v>1037</v>
      </c>
      <c r="D235" s="62" t="str">
        <f t="shared" si="3"/>
        <v>Bundibugyo Town Council</v>
      </c>
      <c r="F235" s="62">
        <v>223</v>
      </c>
    </row>
    <row r="236" spans="1:6">
      <c r="A236" s="62" t="s">
        <v>1042</v>
      </c>
      <c r="B236" s="62" t="s">
        <v>1036</v>
      </c>
      <c r="C236" s="62" t="s">
        <v>1037</v>
      </c>
      <c r="D236" s="62" t="str">
        <f t="shared" si="3"/>
        <v>Bundingoma</v>
      </c>
      <c r="F236" s="62">
        <v>224</v>
      </c>
    </row>
    <row r="237" spans="1:6">
      <c r="A237" s="62" t="s">
        <v>1043</v>
      </c>
      <c r="B237" s="62" t="s">
        <v>1036</v>
      </c>
      <c r="C237" s="62" t="s">
        <v>1040</v>
      </c>
      <c r="D237" s="62" t="str">
        <f t="shared" si="3"/>
        <v>Burondo</v>
      </c>
      <c r="F237" s="62">
        <v>225</v>
      </c>
    </row>
    <row r="238" spans="1:6">
      <c r="A238" s="62" t="s">
        <v>1044</v>
      </c>
      <c r="B238" s="62" t="s">
        <v>1036</v>
      </c>
      <c r="C238" s="62" t="s">
        <v>1037</v>
      </c>
      <c r="D238" s="62" t="str">
        <f t="shared" si="3"/>
        <v>Busaru</v>
      </c>
      <c r="F238" s="62">
        <v>226</v>
      </c>
    </row>
    <row r="239" spans="1:6">
      <c r="A239" s="62" t="s">
        <v>1045</v>
      </c>
      <c r="B239" s="62" t="s">
        <v>1036</v>
      </c>
      <c r="C239" s="62" t="s">
        <v>1040</v>
      </c>
      <c r="D239" s="62" t="str">
        <f t="shared" si="3"/>
        <v>Harugale</v>
      </c>
      <c r="F239" s="62">
        <v>227</v>
      </c>
    </row>
    <row r="240" spans="1:6">
      <c r="A240" s="62" t="s">
        <v>1046</v>
      </c>
      <c r="B240" s="62" t="s">
        <v>1036</v>
      </c>
      <c r="C240" s="62" t="s">
        <v>1040</v>
      </c>
      <c r="D240" s="62" t="str">
        <f t="shared" si="3"/>
        <v>Kagugu</v>
      </c>
      <c r="F240" s="62">
        <v>228</v>
      </c>
    </row>
    <row r="241" spans="1:6">
      <c r="A241" s="62" t="s">
        <v>1047</v>
      </c>
      <c r="B241" s="62" t="s">
        <v>1036</v>
      </c>
      <c r="C241" s="62" t="s">
        <v>1040</v>
      </c>
      <c r="D241" s="62" t="str">
        <f t="shared" si="3"/>
        <v>Kasitu</v>
      </c>
      <c r="F241" s="62">
        <v>229</v>
      </c>
    </row>
    <row r="242" spans="1:6">
      <c r="A242" s="62" t="s">
        <v>1048</v>
      </c>
      <c r="B242" s="62" t="s">
        <v>1036</v>
      </c>
      <c r="C242" s="62" t="s">
        <v>1037</v>
      </c>
      <c r="D242" s="62" t="str">
        <f t="shared" si="3"/>
        <v>Kirumya</v>
      </c>
      <c r="F242" s="62">
        <v>230</v>
      </c>
    </row>
    <row r="243" spans="1:6">
      <c r="A243" s="62" t="s">
        <v>1049</v>
      </c>
      <c r="B243" s="62" t="s">
        <v>1036</v>
      </c>
      <c r="C243" s="62" t="s">
        <v>1037</v>
      </c>
      <c r="D243" s="62" t="str">
        <f t="shared" si="3"/>
        <v>Kisubba</v>
      </c>
      <c r="F243" s="62">
        <v>231</v>
      </c>
    </row>
    <row r="244" spans="1:6">
      <c r="A244" s="62" t="s">
        <v>1050</v>
      </c>
      <c r="B244" s="62" t="s">
        <v>1036</v>
      </c>
      <c r="C244" s="62" t="s">
        <v>1037</v>
      </c>
      <c r="D244" s="62" t="str">
        <f t="shared" si="3"/>
        <v>Mirambi</v>
      </c>
      <c r="F244" s="62">
        <v>232</v>
      </c>
    </row>
    <row r="245" spans="1:6">
      <c r="A245" s="62" t="s">
        <v>1051</v>
      </c>
      <c r="B245" s="62" t="s">
        <v>1036</v>
      </c>
      <c r="C245" s="62" t="s">
        <v>1040</v>
      </c>
      <c r="D245" s="62" t="str">
        <f t="shared" si="3"/>
        <v>Nduguto</v>
      </c>
      <c r="F245" s="62">
        <v>233</v>
      </c>
    </row>
    <row r="246" spans="1:6">
      <c r="A246" s="62" t="s">
        <v>1052</v>
      </c>
      <c r="B246" s="62" t="s">
        <v>1036</v>
      </c>
      <c r="C246" s="62" t="s">
        <v>1040</v>
      </c>
      <c r="D246" s="62" t="str">
        <f t="shared" si="3"/>
        <v>Ngamba</v>
      </c>
      <c r="F246" s="62">
        <v>234</v>
      </c>
    </row>
    <row r="247" spans="1:6">
      <c r="A247" s="62" t="s">
        <v>1053</v>
      </c>
      <c r="B247" s="62" t="s">
        <v>1036</v>
      </c>
      <c r="C247" s="62" t="s">
        <v>1040</v>
      </c>
      <c r="D247" s="62" t="str">
        <f t="shared" si="3"/>
        <v>Ntandi Town Council</v>
      </c>
      <c r="F247" s="62">
        <v>235</v>
      </c>
    </row>
    <row r="248" spans="1:6">
      <c r="A248" s="62" t="s">
        <v>1054</v>
      </c>
      <c r="B248" s="62" t="s">
        <v>1036</v>
      </c>
      <c r="C248" s="62" t="s">
        <v>1040</v>
      </c>
      <c r="D248" s="62" t="str">
        <f t="shared" si="3"/>
        <v>Ntotoro</v>
      </c>
      <c r="F248" s="62">
        <v>236</v>
      </c>
    </row>
    <row r="249" spans="1:6">
      <c r="A249" s="62" t="s">
        <v>1055</v>
      </c>
      <c r="B249" s="62" t="s">
        <v>1036</v>
      </c>
      <c r="C249" s="62" t="s">
        <v>1037</v>
      </c>
      <c r="D249" s="62" t="str">
        <f t="shared" si="3"/>
        <v>Nyahuka Town Council</v>
      </c>
      <c r="F249" s="62">
        <v>237</v>
      </c>
    </row>
    <row r="250" spans="1:6">
      <c r="A250" s="62" t="s">
        <v>1056</v>
      </c>
      <c r="B250" s="62" t="s">
        <v>1036</v>
      </c>
      <c r="C250" s="62" t="s">
        <v>1040</v>
      </c>
      <c r="D250" s="62" t="str">
        <f t="shared" si="3"/>
        <v>Sindila</v>
      </c>
      <c r="F250" s="62">
        <v>238</v>
      </c>
    </row>
    <row r="251" spans="1:6">
      <c r="A251" s="62" t="s">
        <v>1057</v>
      </c>
      <c r="B251" s="62" t="s">
        <v>1036</v>
      </c>
      <c r="C251" s="62" t="s">
        <v>1037</v>
      </c>
      <c r="D251" s="62" t="str">
        <f t="shared" si="3"/>
        <v>Tokwe</v>
      </c>
      <c r="F251" s="62">
        <v>239</v>
      </c>
    </row>
    <row r="252" spans="1:6">
      <c r="A252" s="62" t="s">
        <v>1058</v>
      </c>
      <c r="B252" s="62" t="s">
        <v>1059</v>
      </c>
      <c r="C252" s="62" t="s">
        <v>1059</v>
      </c>
      <c r="D252" s="62" t="str">
        <f t="shared" si="3"/>
        <v>Buheesi</v>
      </c>
      <c r="F252" s="62">
        <v>240</v>
      </c>
    </row>
    <row r="253" spans="1:6">
      <c r="A253" s="62" t="s">
        <v>1060</v>
      </c>
      <c r="B253" s="62" t="s">
        <v>1059</v>
      </c>
      <c r="C253" s="62" t="s">
        <v>1059</v>
      </c>
      <c r="D253" s="62" t="str">
        <f t="shared" si="3"/>
        <v>Buheesi Town Council</v>
      </c>
      <c r="F253" s="62">
        <v>241</v>
      </c>
    </row>
    <row r="254" spans="1:6">
      <c r="A254" s="62" t="s">
        <v>1061</v>
      </c>
      <c r="B254" s="62" t="s">
        <v>1059</v>
      </c>
      <c r="C254" s="62" t="s">
        <v>1059</v>
      </c>
      <c r="D254" s="62" t="str">
        <f t="shared" si="3"/>
        <v>Kabonero</v>
      </c>
      <c r="F254" s="62">
        <v>242</v>
      </c>
    </row>
    <row r="255" spans="1:6">
      <c r="A255" s="62" t="s">
        <v>1062</v>
      </c>
      <c r="B255" s="62" t="s">
        <v>1059</v>
      </c>
      <c r="C255" s="62" t="s">
        <v>1059</v>
      </c>
      <c r="D255" s="62" t="str">
        <f t="shared" si="3"/>
        <v>Katebwa</v>
      </c>
      <c r="F255" s="62">
        <v>243</v>
      </c>
    </row>
    <row r="256" spans="1:6">
      <c r="A256" s="62" t="s">
        <v>1063</v>
      </c>
      <c r="B256" s="62" t="s">
        <v>1059</v>
      </c>
      <c r="C256" s="62" t="s">
        <v>1059</v>
      </c>
      <c r="D256" s="62" t="str">
        <f t="shared" si="3"/>
        <v>Kibiito</v>
      </c>
      <c r="F256" s="62">
        <v>244</v>
      </c>
    </row>
    <row r="257" spans="1:6">
      <c r="A257" s="62" t="s">
        <v>1064</v>
      </c>
      <c r="B257" s="62" t="s">
        <v>1059</v>
      </c>
      <c r="C257" s="62" t="s">
        <v>1059</v>
      </c>
      <c r="D257" s="62" t="str">
        <f t="shared" si="3"/>
        <v>Kibiito Town Council</v>
      </c>
      <c r="F257" s="62">
        <v>245</v>
      </c>
    </row>
    <row r="258" spans="1:6">
      <c r="A258" s="62" t="s">
        <v>1065</v>
      </c>
      <c r="B258" s="62" t="s">
        <v>1059</v>
      </c>
      <c r="C258" s="62" t="s">
        <v>1059</v>
      </c>
      <c r="D258" s="62" t="str">
        <f t="shared" ref="D258:D321" si="4">A258</f>
        <v>Kisomoro</v>
      </c>
      <c r="F258" s="62">
        <v>246</v>
      </c>
    </row>
    <row r="259" spans="1:6">
      <c r="A259" s="62" t="s">
        <v>1066</v>
      </c>
      <c r="B259" s="62" t="s">
        <v>1059</v>
      </c>
      <c r="C259" s="62" t="s">
        <v>1059</v>
      </c>
      <c r="D259" s="62" t="str">
        <f t="shared" si="4"/>
        <v>Kyamukube Town Council</v>
      </c>
      <c r="F259" s="62">
        <v>247</v>
      </c>
    </row>
    <row r="260" spans="1:6">
      <c r="A260" s="62" t="s">
        <v>1067</v>
      </c>
      <c r="B260" s="62" t="s">
        <v>1059</v>
      </c>
      <c r="C260" s="62" t="s">
        <v>1059</v>
      </c>
      <c r="D260" s="62" t="str">
        <f t="shared" si="4"/>
        <v>Rubona Town Council</v>
      </c>
      <c r="F260" s="62">
        <v>248</v>
      </c>
    </row>
    <row r="261" spans="1:6">
      <c r="A261" s="62" t="s">
        <v>1068</v>
      </c>
      <c r="B261" s="62" t="s">
        <v>1059</v>
      </c>
      <c r="C261" s="62" t="s">
        <v>1059</v>
      </c>
      <c r="D261" s="62" t="str">
        <f t="shared" si="4"/>
        <v>Rwimi</v>
      </c>
      <c r="F261" s="62">
        <v>249</v>
      </c>
    </row>
    <row r="262" spans="1:6">
      <c r="A262" s="62" t="s">
        <v>1069</v>
      </c>
      <c r="B262" s="62" t="s">
        <v>1059</v>
      </c>
      <c r="C262" s="62" t="s">
        <v>1059</v>
      </c>
      <c r="D262" s="62" t="str">
        <f t="shared" si="4"/>
        <v>Rwimi Town Council</v>
      </c>
      <c r="F262" s="62">
        <v>250</v>
      </c>
    </row>
    <row r="263" spans="1:6">
      <c r="A263" s="62" t="s">
        <v>1070</v>
      </c>
      <c r="B263" s="62" t="s">
        <v>38</v>
      </c>
      <c r="C263" s="62" t="s">
        <v>1071</v>
      </c>
      <c r="D263" s="62" t="str">
        <f t="shared" si="4"/>
        <v>Bitooma</v>
      </c>
      <c r="F263" s="62">
        <v>251</v>
      </c>
    </row>
    <row r="264" spans="1:6">
      <c r="A264" s="62" t="s">
        <v>1072</v>
      </c>
      <c r="B264" s="62" t="s">
        <v>38</v>
      </c>
      <c r="C264" s="62" t="s">
        <v>1071</v>
      </c>
      <c r="D264" s="62" t="str">
        <f t="shared" si="4"/>
        <v>Bumbaire</v>
      </c>
      <c r="F264" s="62">
        <v>252</v>
      </c>
    </row>
    <row r="265" spans="1:6">
      <c r="A265" s="62" t="s">
        <v>1073</v>
      </c>
      <c r="B265" s="62" t="s">
        <v>38</v>
      </c>
      <c r="C265" s="62" t="s">
        <v>1073</v>
      </c>
      <c r="D265" s="62" t="str">
        <f t="shared" si="4"/>
        <v>Bushenyi-Ishaka Municipality</v>
      </c>
      <c r="F265" s="62">
        <v>253</v>
      </c>
    </row>
    <row r="266" spans="1:6">
      <c r="A266" s="62" t="s">
        <v>1074</v>
      </c>
      <c r="B266" s="62" t="s">
        <v>38</v>
      </c>
      <c r="C266" s="62" t="s">
        <v>1071</v>
      </c>
      <c r="D266" s="62" t="str">
        <f t="shared" si="4"/>
        <v>Ibaare</v>
      </c>
      <c r="F266" s="62">
        <v>254</v>
      </c>
    </row>
    <row r="267" spans="1:6">
      <c r="A267" s="62" t="s">
        <v>1075</v>
      </c>
      <c r="B267" s="62" t="s">
        <v>38</v>
      </c>
      <c r="C267" s="62" t="s">
        <v>1071</v>
      </c>
      <c r="D267" s="62" t="str">
        <f t="shared" si="4"/>
        <v>Kakanju</v>
      </c>
      <c r="F267" s="62">
        <v>255</v>
      </c>
    </row>
    <row r="268" spans="1:6">
      <c r="A268" s="62" t="s">
        <v>1076</v>
      </c>
      <c r="B268" s="62" t="s">
        <v>38</v>
      </c>
      <c r="C268" s="62" t="s">
        <v>1071</v>
      </c>
      <c r="D268" s="62" t="str">
        <f t="shared" si="4"/>
        <v>Kyabugimbi</v>
      </c>
      <c r="F268" s="62">
        <v>256</v>
      </c>
    </row>
    <row r="269" spans="1:6">
      <c r="A269" s="62" t="s">
        <v>50</v>
      </c>
      <c r="B269" s="62" t="s">
        <v>38</v>
      </c>
      <c r="C269" s="62" t="s">
        <v>1071</v>
      </c>
      <c r="D269" s="62" t="str">
        <f t="shared" si="4"/>
        <v>Kyamuhunga</v>
      </c>
      <c r="F269" s="62">
        <v>257</v>
      </c>
    </row>
    <row r="270" spans="1:6">
      <c r="A270" s="62" t="s">
        <v>1077</v>
      </c>
      <c r="B270" s="62" t="s">
        <v>38</v>
      </c>
      <c r="C270" s="62" t="s">
        <v>1071</v>
      </c>
      <c r="D270" s="62" t="str">
        <f t="shared" si="4"/>
        <v>Kyamuhunga Town Council</v>
      </c>
      <c r="F270" s="62">
        <v>258</v>
      </c>
    </row>
    <row r="271" spans="1:6">
      <c r="A271" s="62" t="s">
        <v>1078</v>
      </c>
      <c r="B271" s="62" t="s">
        <v>38</v>
      </c>
      <c r="C271" s="62" t="s">
        <v>1071</v>
      </c>
      <c r="D271" s="62" t="str">
        <f t="shared" si="4"/>
        <v>Kyeizooba</v>
      </c>
      <c r="F271" s="62">
        <v>259</v>
      </c>
    </row>
    <row r="272" spans="1:6">
      <c r="A272" s="62" t="s">
        <v>1079</v>
      </c>
      <c r="B272" s="62" t="s">
        <v>38</v>
      </c>
      <c r="C272" s="62" t="s">
        <v>1071</v>
      </c>
      <c r="D272" s="62" t="str">
        <f t="shared" si="4"/>
        <v>Nyabubare</v>
      </c>
      <c r="F272" s="62">
        <v>260</v>
      </c>
    </row>
    <row r="273" spans="1:6">
      <c r="A273" s="62" t="s">
        <v>1080</v>
      </c>
      <c r="B273" s="62" t="s">
        <v>38</v>
      </c>
      <c r="C273" s="62" t="s">
        <v>1071</v>
      </c>
      <c r="D273" s="62" t="str">
        <f t="shared" si="4"/>
        <v>Ruhumuro</v>
      </c>
      <c r="F273" s="62">
        <v>261</v>
      </c>
    </row>
    <row r="274" spans="1:6">
      <c r="A274" s="62" t="s">
        <v>1081</v>
      </c>
      <c r="B274" s="62" t="s">
        <v>1082</v>
      </c>
      <c r="C274" s="62" t="s">
        <v>1083</v>
      </c>
      <c r="D274" s="62" t="str">
        <f t="shared" si="4"/>
        <v>Buhehe</v>
      </c>
      <c r="F274" s="62">
        <v>262</v>
      </c>
    </row>
    <row r="275" spans="1:6">
      <c r="A275" s="62" t="s">
        <v>1084</v>
      </c>
      <c r="B275" s="62" t="s">
        <v>1082</v>
      </c>
      <c r="C275" s="62" t="s">
        <v>1083</v>
      </c>
      <c r="D275" s="62" t="str">
        <f t="shared" si="4"/>
        <v>Bulumbi</v>
      </c>
      <c r="F275" s="62">
        <v>263</v>
      </c>
    </row>
    <row r="276" spans="1:6">
      <c r="A276" s="65" t="s">
        <v>1085</v>
      </c>
      <c r="B276" s="62" t="s">
        <v>1082</v>
      </c>
      <c r="C276" s="62" t="s">
        <v>1085</v>
      </c>
      <c r="D276" s="62" t="str">
        <f t="shared" si="4"/>
        <v>Busia Municipality</v>
      </c>
      <c r="F276" s="62">
        <v>264</v>
      </c>
    </row>
    <row r="277" spans="1:6">
      <c r="A277" s="62" t="s">
        <v>1086</v>
      </c>
      <c r="B277" s="62" t="s">
        <v>1082</v>
      </c>
      <c r="C277" s="62" t="s">
        <v>1083</v>
      </c>
      <c r="D277" s="62" t="str">
        <f t="shared" si="4"/>
        <v>Busime</v>
      </c>
      <c r="F277" s="62">
        <v>265</v>
      </c>
    </row>
    <row r="278" spans="1:6">
      <c r="A278" s="62" t="s">
        <v>1087</v>
      </c>
      <c r="B278" s="62" t="s">
        <v>1082</v>
      </c>
      <c r="C278" s="62" t="s">
        <v>1083</v>
      </c>
      <c r="D278" s="62" t="str">
        <f t="shared" si="4"/>
        <v>Busitema</v>
      </c>
      <c r="F278" s="62">
        <v>266</v>
      </c>
    </row>
    <row r="279" spans="1:6">
      <c r="A279" s="62" t="s">
        <v>1088</v>
      </c>
      <c r="B279" s="62" t="s">
        <v>1082</v>
      </c>
      <c r="C279" s="62" t="s">
        <v>1083</v>
      </c>
      <c r="D279" s="62" t="str">
        <f t="shared" si="4"/>
        <v>Buteba</v>
      </c>
      <c r="F279" s="62">
        <v>267</v>
      </c>
    </row>
    <row r="280" spans="1:6">
      <c r="A280" s="62" t="s">
        <v>1089</v>
      </c>
      <c r="B280" s="62" t="s">
        <v>1082</v>
      </c>
      <c r="C280" s="62" t="s">
        <v>1083</v>
      </c>
      <c r="D280" s="62" t="str">
        <f t="shared" si="4"/>
        <v>Buyanga-Busia</v>
      </c>
      <c r="F280" s="62">
        <v>268</v>
      </c>
    </row>
    <row r="281" spans="1:6">
      <c r="A281" s="62" t="s">
        <v>1090</v>
      </c>
      <c r="B281" s="62" t="s">
        <v>1082</v>
      </c>
      <c r="C281" s="62" t="s">
        <v>1083</v>
      </c>
      <c r="D281" s="62" t="str">
        <f t="shared" si="4"/>
        <v>Dabani</v>
      </c>
      <c r="F281" s="62">
        <v>269</v>
      </c>
    </row>
    <row r="282" spans="1:6">
      <c r="A282" s="62" t="s">
        <v>1091</v>
      </c>
      <c r="B282" s="62" t="s">
        <v>1082</v>
      </c>
      <c r="C282" s="62" t="s">
        <v>1083</v>
      </c>
      <c r="D282" s="62" t="str">
        <f t="shared" si="4"/>
        <v>Lumino</v>
      </c>
      <c r="F282" s="62">
        <v>270</v>
      </c>
    </row>
    <row r="283" spans="1:6">
      <c r="A283" s="62" t="s">
        <v>1092</v>
      </c>
      <c r="B283" s="62" t="s">
        <v>1082</v>
      </c>
      <c r="C283" s="62" t="s">
        <v>1083</v>
      </c>
      <c r="D283" s="62" t="str">
        <f t="shared" si="4"/>
        <v>Lunyo</v>
      </c>
      <c r="F283" s="62">
        <v>271</v>
      </c>
    </row>
    <row r="284" spans="1:6">
      <c r="A284" s="62" t="s">
        <v>1093</v>
      </c>
      <c r="B284" s="62" t="s">
        <v>1082</v>
      </c>
      <c r="C284" s="62" t="s">
        <v>1083</v>
      </c>
      <c r="D284" s="62" t="str">
        <f t="shared" si="4"/>
        <v>Majanji</v>
      </c>
      <c r="F284" s="62">
        <v>272</v>
      </c>
    </row>
    <row r="285" spans="1:6">
      <c r="A285" s="62" t="s">
        <v>1094</v>
      </c>
      <c r="B285" s="62" t="s">
        <v>1082</v>
      </c>
      <c r="C285" s="62" t="s">
        <v>1083</v>
      </c>
      <c r="D285" s="62" t="str">
        <f t="shared" si="4"/>
        <v>Masaba-Busia</v>
      </c>
      <c r="F285" s="62">
        <v>273</v>
      </c>
    </row>
    <row r="286" spans="1:6">
      <c r="A286" s="62" t="s">
        <v>1095</v>
      </c>
      <c r="B286" s="62" t="s">
        <v>1082</v>
      </c>
      <c r="C286" s="62" t="s">
        <v>1083</v>
      </c>
      <c r="D286" s="62" t="str">
        <f t="shared" si="4"/>
        <v>Masafu</v>
      </c>
      <c r="F286" s="62">
        <v>274</v>
      </c>
    </row>
    <row r="287" spans="1:6">
      <c r="A287" s="62" t="s">
        <v>1096</v>
      </c>
      <c r="B287" s="62" t="s">
        <v>1082</v>
      </c>
      <c r="C287" s="62" t="s">
        <v>1083</v>
      </c>
      <c r="D287" s="62" t="str">
        <f t="shared" si="4"/>
        <v>Masinya</v>
      </c>
      <c r="F287" s="62">
        <v>275</v>
      </c>
    </row>
    <row r="288" spans="1:6">
      <c r="A288" s="62" t="s">
        <v>1097</v>
      </c>
      <c r="B288" s="62" t="s">
        <v>1082</v>
      </c>
      <c r="C288" s="62" t="s">
        <v>1083</v>
      </c>
      <c r="D288" s="62" t="str">
        <f t="shared" si="4"/>
        <v>Sikuda</v>
      </c>
      <c r="F288" s="62">
        <v>276</v>
      </c>
    </row>
    <row r="289" spans="1:6">
      <c r="A289" s="62" t="s">
        <v>1098</v>
      </c>
      <c r="B289" s="62" t="s">
        <v>1099</v>
      </c>
      <c r="C289" s="62" t="s">
        <v>1100</v>
      </c>
      <c r="D289" s="62" t="str">
        <f t="shared" si="4"/>
        <v>Budumba</v>
      </c>
      <c r="F289" s="62">
        <v>277</v>
      </c>
    </row>
    <row r="290" spans="1:6">
      <c r="A290" s="62" t="s">
        <v>1101</v>
      </c>
      <c r="B290" s="62" t="s">
        <v>1099</v>
      </c>
      <c r="C290" s="62" t="s">
        <v>1100</v>
      </c>
      <c r="D290" s="62" t="str">
        <f t="shared" si="4"/>
        <v>Busaba</v>
      </c>
      <c r="F290" s="62">
        <v>278</v>
      </c>
    </row>
    <row r="291" spans="1:6">
      <c r="A291" s="62" t="s">
        <v>1102</v>
      </c>
      <c r="B291" s="62" t="s">
        <v>1099</v>
      </c>
      <c r="C291" s="62" t="s">
        <v>1100</v>
      </c>
      <c r="D291" s="62" t="str">
        <f t="shared" si="4"/>
        <v>Busabi</v>
      </c>
      <c r="F291" s="62">
        <v>279</v>
      </c>
    </row>
    <row r="292" spans="1:6">
      <c r="A292" s="62" t="s">
        <v>1103</v>
      </c>
      <c r="B292" s="62" t="s">
        <v>1099</v>
      </c>
      <c r="C292" s="62" t="s">
        <v>1100</v>
      </c>
      <c r="D292" s="62" t="str">
        <f t="shared" si="4"/>
        <v>Busolwe</v>
      </c>
      <c r="F292" s="62">
        <v>280</v>
      </c>
    </row>
    <row r="293" spans="1:6">
      <c r="A293" s="62" t="s">
        <v>1104</v>
      </c>
      <c r="B293" s="62" t="s">
        <v>1099</v>
      </c>
      <c r="C293" s="62" t="s">
        <v>1100</v>
      </c>
      <c r="D293" s="62" t="str">
        <f t="shared" si="4"/>
        <v>Busolwe Town Council</v>
      </c>
      <c r="F293" s="62">
        <v>281</v>
      </c>
    </row>
    <row r="294" spans="1:6">
      <c r="A294" s="62" t="s">
        <v>1099</v>
      </c>
      <c r="B294" s="62" t="s">
        <v>1099</v>
      </c>
      <c r="C294" s="62" t="s">
        <v>1100</v>
      </c>
      <c r="D294" s="62" t="str">
        <f t="shared" si="4"/>
        <v>Butaleja</v>
      </c>
      <c r="F294" s="62">
        <v>282</v>
      </c>
    </row>
    <row r="295" spans="1:6">
      <c r="A295" s="62" t="s">
        <v>1105</v>
      </c>
      <c r="B295" s="62" t="s">
        <v>1099</v>
      </c>
      <c r="C295" s="62" t="s">
        <v>1100</v>
      </c>
      <c r="D295" s="62" t="str">
        <f t="shared" si="4"/>
        <v>Butaleja Town Council</v>
      </c>
      <c r="F295" s="62">
        <v>283</v>
      </c>
    </row>
    <row r="296" spans="1:6">
      <c r="A296" s="62" t="s">
        <v>1106</v>
      </c>
      <c r="B296" s="62" t="s">
        <v>1099</v>
      </c>
      <c r="C296" s="62" t="s">
        <v>1100</v>
      </c>
      <c r="D296" s="62" t="str">
        <f t="shared" si="4"/>
        <v>Himutu</v>
      </c>
      <c r="F296" s="62">
        <v>284</v>
      </c>
    </row>
    <row r="297" spans="1:6">
      <c r="A297" s="62" t="s">
        <v>1107</v>
      </c>
      <c r="B297" s="62" t="s">
        <v>1099</v>
      </c>
      <c r="C297" s="62" t="s">
        <v>1100</v>
      </c>
      <c r="D297" s="62" t="str">
        <f t="shared" si="4"/>
        <v>Kachonga</v>
      </c>
      <c r="F297" s="62">
        <v>285</v>
      </c>
    </row>
    <row r="298" spans="1:6">
      <c r="A298" s="62" t="s">
        <v>1108</v>
      </c>
      <c r="B298" s="62" t="s">
        <v>1099</v>
      </c>
      <c r="C298" s="62" t="s">
        <v>1100</v>
      </c>
      <c r="D298" s="62" t="str">
        <f t="shared" si="4"/>
        <v>Mazimasa</v>
      </c>
      <c r="F298" s="62">
        <v>286</v>
      </c>
    </row>
    <row r="299" spans="1:6">
      <c r="A299" s="62" t="s">
        <v>1109</v>
      </c>
      <c r="B299" s="62" t="s">
        <v>1099</v>
      </c>
      <c r="C299" s="62" t="s">
        <v>1100</v>
      </c>
      <c r="D299" s="62" t="str">
        <f t="shared" si="4"/>
        <v>Nawanjofu</v>
      </c>
      <c r="F299" s="62">
        <v>287</v>
      </c>
    </row>
    <row r="300" spans="1:6">
      <c r="A300" s="62" t="s">
        <v>1110</v>
      </c>
      <c r="B300" s="62" t="s">
        <v>1099</v>
      </c>
      <c r="C300" s="62" t="s">
        <v>1100</v>
      </c>
      <c r="D300" s="62" t="str">
        <f t="shared" si="4"/>
        <v>Naweyo</v>
      </c>
      <c r="F300" s="62">
        <v>288</v>
      </c>
    </row>
    <row r="301" spans="1:6">
      <c r="A301" s="62" t="s">
        <v>1111</v>
      </c>
      <c r="B301" s="62" t="s">
        <v>1112</v>
      </c>
      <c r="C301" s="62" t="s">
        <v>1112</v>
      </c>
      <c r="D301" s="62" t="str">
        <f t="shared" si="4"/>
        <v>Budde</v>
      </c>
      <c r="F301" s="62">
        <v>289</v>
      </c>
    </row>
    <row r="302" spans="1:6">
      <c r="A302" s="62" t="s">
        <v>1113</v>
      </c>
      <c r="B302" s="62" t="s">
        <v>1112</v>
      </c>
      <c r="C302" s="62" t="s">
        <v>1112</v>
      </c>
      <c r="D302" s="62" t="str">
        <f t="shared" si="4"/>
        <v>Bulo</v>
      </c>
      <c r="F302" s="62">
        <v>290</v>
      </c>
    </row>
    <row r="303" spans="1:6">
      <c r="A303" s="62" t="s">
        <v>1114</v>
      </c>
      <c r="B303" s="62" t="s">
        <v>1112</v>
      </c>
      <c r="C303" s="62" t="s">
        <v>1112</v>
      </c>
      <c r="D303" s="62" t="str">
        <f t="shared" si="4"/>
        <v>Gombe Town Council</v>
      </c>
      <c r="F303" s="62">
        <v>291</v>
      </c>
    </row>
    <row r="304" spans="1:6">
      <c r="A304" s="62" t="s">
        <v>675</v>
      </c>
      <c r="D304" s="62" t="str">
        <f t="shared" si="4"/>
        <v>BUTAMBALA</v>
      </c>
      <c r="F304" s="62">
        <v>291</v>
      </c>
    </row>
    <row r="305" spans="1:6">
      <c r="A305" s="62" t="s">
        <v>1115</v>
      </c>
      <c r="B305" s="62" t="s">
        <v>1112</v>
      </c>
      <c r="C305" s="62" t="s">
        <v>1112</v>
      </c>
      <c r="D305" s="62" t="str">
        <f t="shared" si="4"/>
        <v>Kalamba</v>
      </c>
      <c r="F305" s="62">
        <v>292</v>
      </c>
    </row>
    <row r="306" spans="1:6">
      <c r="A306" s="62" t="s">
        <v>1116</v>
      </c>
      <c r="B306" s="62" t="s">
        <v>1112</v>
      </c>
      <c r="C306" s="62" t="s">
        <v>1112</v>
      </c>
      <c r="D306" s="62" t="str">
        <f t="shared" si="4"/>
        <v>Kibibi</v>
      </c>
      <c r="F306" s="62">
        <v>293</v>
      </c>
    </row>
    <row r="307" spans="1:6">
      <c r="A307" s="62" t="s">
        <v>1117</v>
      </c>
      <c r="B307" s="62" t="s">
        <v>1112</v>
      </c>
      <c r="C307" s="62" t="s">
        <v>1112</v>
      </c>
      <c r="D307" s="62" t="str">
        <f t="shared" si="4"/>
        <v>Ngando</v>
      </c>
      <c r="F307" s="62">
        <v>294</v>
      </c>
    </row>
    <row r="308" spans="1:6">
      <c r="A308" s="62" t="s">
        <v>1118</v>
      </c>
      <c r="B308" s="62" t="s">
        <v>1118</v>
      </c>
      <c r="C308" s="62" t="s">
        <v>1119</v>
      </c>
      <c r="D308" s="62" t="str">
        <f t="shared" si="4"/>
        <v>Butebo</v>
      </c>
      <c r="F308" s="62">
        <v>295</v>
      </c>
    </row>
    <row r="309" spans="1:6">
      <c r="A309" s="62" t="s">
        <v>1120</v>
      </c>
      <c r="B309" s="62" t="s">
        <v>1118</v>
      </c>
      <c r="C309" s="62" t="s">
        <v>1119</v>
      </c>
      <c r="D309" s="62" t="str">
        <f t="shared" si="4"/>
        <v>Kabwangasi</v>
      </c>
      <c r="F309" s="62">
        <v>296</v>
      </c>
    </row>
    <row r="310" spans="1:6">
      <c r="A310" s="62" t="s">
        <v>1121</v>
      </c>
      <c r="B310" s="62" t="s">
        <v>1118</v>
      </c>
      <c r="C310" s="62" t="s">
        <v>1119</v>
      </c>
      <c r="D310" s="62" t="str">
        <f t="shared" si="4"/>
        <v>Kakoro</v>
      </c>
      <c r="F310" s="62">
        <v>297</v>
      </c>
    </row>
    <row r="311" spans="1:6">
      <c r="A311" s="62" t="s">
        <v>1122</v>
      </c>
      <c r="B311" s="62" t="s">
        <v>1118</v>
      </c>
      <c r="C311" s="62" t="s">
        <v>1119</v>
      </c>
      <c r="D311" s="62" t="str">
        <f t="shared" si="4"/>
        <v>Kanginima</v>
      </c>
      <c r="F311" s="62">
        <v>298</v>
      </c>
    </row>
    <row r="312" spans="1:6">
      <c r="A312" s="62" t="s">
        <v>1123</v>
      </c>
      <c r="B312" s="62" t="s">
        <v>1118</v>
      </c>
      <c r="C312" s="62" t="s">
        <v>1119</v>
      </c>
      <c r="D312" s="62" t="str">
        <f t="shared" si="4"/>
        <v>Kibale</v>
      </c>
      <c r="F312" s="62">
        <v>299</v>
      </c>
    </row>
    <row r="313" spans="1:6">
      <c r="A313" s="62" t="s">
        <v>1124</v>
      </c>
      <c r="D313" s="62" t="str">
        <f t="shared" si="4"/>
        <v>KIBALE TOWN</v>
      </c>
      <c r="F313" s="62">
        <v>299</v>
      </c>
    </row>
    <row r="314" spans="1:6">
      <c r="A314" s="62" t="s">
        <v>1125</v>
      </c>
      <c r="B314" s="62" t="s">
        <v>1118</v>
      </c>
      <c r="C314" s="62" t="s">
        <v>1119</v>
      </c>
      <c r="D314" s="62" t="str">
        <f t="shared" si="4"/>
        <v>Opwateta</v>
      </c>
      <c r="F314" s="62">
        <v>300</v>
      </c>
    </row>
    <row r="315" spans="1:6">
      <c r="A315" s="62" t="s">
        <v>1126</v>
      </c>
      <c r="B315" s="62" t="s">
        <v>1118</v>
      </c>
      <c r="C315" s="62" t="s">
        <v>1119</v>
      </c>
      <c r="D315" s="62" t="str">
        <f t="shared" si="4"/>
        <v>Petete</v>
      </c>
      <c r="F315" s="62">
        <v>301</v>
      </c>
    </row>
    <row r="316" spans="1:6">
      <c r="A316" s="62" t="s">
        <v>1127</v>
      </c>
      <c r="B316" s="62" t="s">
        <v>1128</v>
      </c>
      <c r="C316" s="62" t="s">
        <v>1129</v>
      </c>
      <c r="D316" s="62" t="str">
        <f t="shared" si="4"/>
        <v>Bugaya-Buvuma</v>
      </c>
      <c r="F316" s="62">
        <v>302</v>
      </c>
    </row>
    <row r="317" spans="1:6">
      <c r="A317" s="62" t="s">
        <v>1130</v>
      </c>
      <c r="B317" s="62" t="s">
        <v>1128</v>
      </c>
      <c r="C317" s="62" t="s">
        <v>1129</v>
      </c>
      <c r="D317" s="62" t="str">
        <f t="shared" si="4"/>
        <v>Busamuzi</v>
      </c>
      <c r="F317" s="62">
        <v>303</v>
      </c>
    </row>
    <row r="318" spans="1:6">
      <c r="A318" s="62" t="s">
        <v>1131</v>
      </c>
      <c r="B318" s="62" t="s">
        <v>1128</v>
      </c>
      <c r="C318" s="62" t="s">
        <v>1129</v>
      </c>
      <c r="D318" s="62" t="str">
        <f t="shared" si="4"/>
        <v>Buvuma Town Council</v>
      </c>
      <c r="F318" s="62">
        <v>304</v>
      </c>
    </row>
    <row r="319" spans="1:6">
      <c r="A319" s="62" t="s">
        <v>1132</v>
      </c>
      <c r="B319" s="62" t="s">
        <v>1128</v>
      </c>
      <c r="C319" s="62" t="s">
        <v>1129</v>
      </c>
      <c r="D319" s="62" t="str">
        <f t="shared" si="4"/>
        <v>Buwooya</v>
      </c>
      <c r="F319" s="62">
        <v>305</v>
      </c>
    </row>
    <row r="320" spans="1:6">
      <c r="A320" s="62" t="s">
        <v>1133</v>
      </c>
      <c r="B320" s="62" t="s">
        <v>1128</v>
      </c>
      <c r="C320" s="62" t="s">
        <v>1129</v>
      </c>
      <c r="D320" s="62" t="str">
        <f t="shared" si="4"/>
        <v>Bweema</v>
      </c>
      <c r="F320" s="62">
        <v>306</v>
      </c>
    </row>
    <row r="321" spans="1:6">
      <c r="A321" s="62" t="s">
        <v>1134</v>
      </c>
      <c r="B321" s="62" t="s">
        <v>1128</v>
      </c>
      <c r="C321" s="62" t="s">
        <v>1129</v>
      </c>
      <c r="D321" s="62" t="str">
        <f t="shared" si="4"/>
        <v>Lubya</v>
      </c>
      <c r="F321" s="62">
        <v>307</v>
      </c>
    </row>
    <row r="322" spans="1:6">
      <c r="A322" s="62" t="s">
        <v>571</v>
      </c>
      <c r="D322" s="62" t="str">
        <f t="shared" ref="D322:D385" si="5">A322</f>
        <v>LUGALA</v>
      </c>
      <c r="F322" s="62">
        <v>307</v>
      </c>
    </row>
    <row r="323" spans="1:6">
      <c r="A323" s="62" t="s">
        <v>1135</v>
      </c>
      <c r="B323" s="62" t="s">
        <v>1128</v>
      </c>
      <c r="C323" s="62" t="s">
        <v>1129</v>
      </c>
      <c r="D323" s="62" t="str">
        <f t="shared" si="5"/>
        <v>Lwajje</v>
      </c>
      <c r="F323" s="62">
        <v>308</v>
      </c>
    </row>
    <row r="324" spans="1:6">
      <c r="A324" s="62" t="s">
        <v>1136</v>
      </c>
      <c r="B324" s="62" t="s">
        <v>1128</v>
      </c>
      <c r="C324" s="62" t="s">
        <v>1129</v>
      </c>
      <c r="D324" s="62" t="str">
        <f t="shared" si="5"/>
        <v>Lyabaana</v>
      </c>
      <c r="F324" s="62">
        <v>309</v>
      </c>
    </row>
    <row r="325" spans="1:6">
      <c r="A325" s="62" t="s">
        <v>1137</v>
      </c>
      <c r="B325" s="62" t="s">
        <v>1128</v>
      </c>
      <c r="C325" s="62" t="s">
        <v>1129</v>
      </c>
      <c r="D325" s="62" t="str">
        <f t="shared" si="5"/>
        <v>Nairambi</v>
      </c>
      <c r="F325" s="62">
        <v>310</v>
      </c>
    </row>
    <row r="326" spans="1:6">
      <c r="A326" s="62" t="s">
        <v>1138</v>
      </c>
      <c r="B326" s="62" t="s">
        <v>1139</v>
      </c>
      <c r="C326" s="62" t="s">
        <v>1140</v>
      </c>
      <c r="D326" s="62" t="str">
        <f t="shared" si="5"/>
        <v>Bugaya-Buyende</v>
      </c>
      <c r="F326" s="62">
        <v>311</v>
      </c>
    </row>
    <row r="327" spans="1:6">
      <c r="A327" s="62" t="s">
        <v>1139</v>
      </c>
      <c r="B327" s="62" t="s">
        <v>1139</v>
      </c>
      <c r="C327" s="62" t="s">
        <v>1140</v>
      </c>
      <c r="D327" s="62" t="str">
        <f t="shared" si="5"/>
        <v>Buyende</v>
      </c>
      <c r="F327" s="62">
        <v>312</v>
      </c>
    </row>
    <row r="328" spans="1:6">
      <c r="A328" s="62" t="s">
        <v>1141</v>
      </c>
      <c r="B328" s="62" t="s">
        <v>1139</v>
      </c>
      <c r="C328" s="62" t="s">
        <v>1140</v>
      </c>
      <c r="D328" s="62" t="str">
        <f t="shared" si="5"/>
        <v>Buyende Town Council</v>
      </c>
      <c r="F328" s="62">
        <v>313</v>
      </c>
    </row>
    <row r="329" spans="1:6">
      <c r="A329" s="62" t="s">
        <v>1142</v>
      </c>
      <c r="B329" s="62" t="s">
        <v>1139</v>
      </c>
      <c r="C329" s="62" t="s">
        <v>1140</v>
      </c>
      <c r="D329" s="62" t="str">
        <f t="shared" si="5"/>
        <v>Kagulu</v>
      </c>
      <c r="F329" s="62">
        <v>314</v>
      </c>
    </row>
    <row r="330" spans="1:6">
      <c r="A330" s="62" t="s">
        <v>1143</v>
      </c>
      <c r="B330" s="62" t="s">
        <v>1139</v>
      </c>
      <c r="C330" s="62" t="s">
        <v>1140</v>
      </c>
      <c r="D330" s="62" t="str">
        <f t="shared" si="5"/>
        <v>Kidera</v>
      </c>
      <c r="F330" s="62">
        <v>315</v>
      </c>
    </row>
    <row r="331" spans="1:6">
      <c r="A331" s="62" t="s">
        <v>1144</v>
      </c>
      <c r="B331" s="62" t="s">
        <v>1139</v>
      </c>
      <c r="C331" s="62" t="s">
        <v>1140</v>
      </c>
      <c r="D331" s="62" t="str">
        <f t="shared" si="5"/>
        <v>Nkondo</v>
      </c>
      <c r="F331" s="62">
        <v>316</v>
      </c>
    </row>
    <row r="332" spans="1:6">
      <c r="A332" s="62" t="s">
        <v>1145</v>
      </c>
      <c r="B332" s="62" t="s">
        <v>1146</v>
      </c>
      <c r="C332" s="62" t="s">
        <v>1146</v>
      </c>
      <c r="D332" s="62" t="str">
        <f t="shared" si="5"/>
        <v>Adeknino</v>
      </c>
      <c r="F332" s="62">
        <v>317</v>
      </c>
    </row>
    <row r="333" spans="1:6">
      <c r="A333" s="62" t="s">
        <v>1147</v>
      </c>
      <c r="B333" s="62" t="s">
        <v>1146</v>
      </c>
      <c r="C333" s="62" t="s">
        <v>1146</v>
      </c>
      <c r="D333" s="62" t="str">
        <f t="shared" si="5"/>
        <v>Adok</v>
      </c>
      <c r="F333" s="62">
        <v>318</v>
      </c>
    </row>
    <row r="334" spans="1:6">
      <c r="A334" s="62" t="s">
        <v>1148</v>
      </c>
      <c r="B334" s="62" t="s">
        <v>1146</v>
      </c>
      <c r="C334" s="62" t="s">
        <v>1146</v>
      </c>
      <c r="D334" s="62" t="str">
        <f t="shared" si="5"/>
        <v>Agwata</v>
      </c>
      <c r="F334" s="62">
        <v>319</v>
      </c>
    </row>
    <row r="335" spans="1:6">
      <c r="A335" s="62" t="s">
        <v>1149</v>
      </c>
      <c r="B335" s="62" t="s">
        <v>1146</v>
      </c>
      <c r="C335" s="62" t="s">
        <v>1146</v>
      </c>
      <c r="D335" s="62" t="str">
        <f t="shared" si="5"/>
        <v>Amwoma</v>
      </c>
      <c r="F335" s="62">
        <v>320</v>
      </c>
    </row>
    <row r="336" spans="1:6">
      <c r="A336" s="62" t="s">
        <v>1150</v>
      </c>
      <c r="B336" s="62" t="s">
        <v>1146</v>
      </c>
      <c r="C336" s="62" t="s">
        <v>1146</v>
      </c>
      <c r="D336" s="62" t="str">
        <f t="shared" si="5"/>
        <v>Batta</v>
      </c>
      <c r="F336" s="62">
        <v>321</v>
      </c>
    </row>
    <row r="337" spans="1:6">
      <c r="A337" s="62" t="s">
        <v>1146</v>
      </c>
      <c r="B337" s="62" t="s">
        <v>1146</v>
      </c>
      <c r="C337" s="62" t="s">
        <v>1146</v>
      </c>
      <c r="D337" s="62" t="str">
        <f t="shared" si="5"/>
        <v>Dokolo</v>
      </c>
      <c r="F337" s="62">
        <v>322</v>
      </c>
    </row>
    <row r="338" spans="1:6">
      <c r="A338" s="62" t="s">
        <v>1151</v>
      </c>
      <c r="B338" s="62" t="s">
        <v>1146</v>
      </c>
      <c r="C338" s="62" t="s">
        <v>1146</v>
      </c>
      <c r="D338" s="62" t="str">
        <f t="shared" si="5"/>
        <v>Dokolo Tc</v>
      </c>
      <c r="F338" s="62">
        <v>323</v>
      </c>
    </row>
    <row r="339" spans="1:6">
      <c r="A339" s="62" t="s">
        <v>1152</v>
      </c>
      <c r="B339" s="62" t="s">
        <v>1146</v>
      </c>
      <c r="C339" s="62" t="s">
        <v>1146</v>
      </c>
      <c r="D339" s="62" t="str">
        <f t="shared" si="5"/>
        <v>Kangai</v>
      </c>
      <c r="F339" s="62">
        <v>324</v>
      </c>
    </row>
    <row r="340" spans="1:6">
      <c r="A340" s="62" t="s">
        <v>1153</v>
      </c>
      <c r="B340" s="62" t="s">
        <v>1146</v>
      </c>
      <c r="C340" s="62" t="s">
        <v>1146</v>
      </c>
      <c r="D340" s="62" t="str">
        <f t="shared" si="5"/>
        <v>Kwera</v>
      </c>
      <c r="F340" s="62">
        <v>325</v>
      </c>
    </row>
    <row r="341" spans="1:6">
      <c r="A341" s="62" t="s">
        <v>1154</v>
      </c>
      <c r="B341" s="62" t="s">
        <v>1146</v>
      </c>
      <c r="C341" s="62" t="s">
        <v>1146</v>
      </c>
      <c r="D341" s="62" t="str">
        <f t="shared" si="5"/>
        <v>Okwalongwen</v>
      </c>
      <c r="F341" s="62">
        <v>326</v>
      </c>
    </row>
    <row r="342" spans="1:6">
      <c r="A342" s="62" t="s">
        <v>1155</v>
      </c>
      <c r="B342" s="62" t="s">
        <v>1146</v>
      </c>
      <c r="C342" s="62" t="s">
        <v>1146</v>
      </c>
      <c r="D342" s="62" t="str">
        <f t="shared" si="5"/>
        <v>Okwongodul</v>
      </c>
      <c r="F342" s="62">
        <v>327</v>
      </c>
    </row>
    <row r="343" spans="1:6">
      <c r="A343" s="62" t="s">
        <v>1156</v>
      </c>
      <c r="B343" s="62" t="s">
        <v>1157</v>
      </c>
      <c r="C343" s="62" t="s">
        <v>1157</v>
      </c>
      <c r="D343" s="62" t="str">
        <f t="shared" si="5"/>
        <v>Kabulasoke</v>
      </c>
      <c r="F343" s="62">
        <v>328</v>
      </c>
    </row>
    <row r="344" spans="1:6">
      <c r="A344" s="62" t="s">
        <v>201</v>
      </c>
      <c r="D344" s="62" t="str">
        <f t="shared" si="5"/>
        <v>GOMBA</v>
      </c>
      <c r="F344" s="62">
        <v>328</v>
      </c>
    </row>
    <row r="345" spans="1:6">
      <c r="A345" s="62" t="s">
        <v>1158</v>
      </c>
      <c r="B345" s="62" t="s">
        <v>1157</v>
      </c>
      <c r="C345" s="62" t="s">
        <v>1157</v>
      </c>
      <c r="D345" s="62" t="str">
        <f t="shared" si="5"/>
        <v>Kanoni Town Council</v>
      </c>
      <c r="F345" s="62">
        <v>329</v>
      </c>
    </row>
    <row r="346" spans="1:6">
      <c r="A346" s="62" t="s">
        <v>1159</v>
      </c>
      <c r="B346" s="62" t="s">
        <v>1157</v>
      </c>
      <c r="C346" s="62" t="s">
        <v>1157</v>
      </c>
      <c r="D346" s="62" t="str">
        <f t="shared" si="5"/>
        <v>Kyegonza</v>
      </c>
      <c r="F346" s="62">
        <v>330</v>
      </c>
    </row>
    <row r="347" spans="1:6">
      <c r="A347" s="62" t="s">
        <v>1160</v>
      </c>
      <c r="B347" s="62" t="s">
        <v>1157</v>
      </c>
      <c r="C347" s="62" t="s">
        <v>1157</v>
      </c>
      <c r="D347" s="62" t="str">
        <f t="shared" si="5"/>
        <v>Maddu</v>
      </c>
      <c r="F347" s="62">
        <v>331</v>
      </c>
    </row>
    <row r="348" spans="1:6">
      <c r="A348" s="62" t="s">
        <v>1161</v>
      </c>
      <c r="B348" s="62" t="s">
        <v>1157</v>
      </c>
      <c r="C348" s="62" t="s">
        <v>1157</v>
      </c>
      <c r="D348" s="62" t="str">
        <f t="shared" si="5"/>
        <v>Mpenja</v>
      </c>
      <c r="F348" s="62">
        <v>332</v>
      </c>
    </row>
    <row r="349" spans="1:6">
      <c r="A349" s="62" t="s">
        <v>1162</v>
      </c>
      <c r="B349" s="62" t="s">
        <v>1163</v>
      </c>
      <c r="C349" s="62" t="s">
        <v>1164</v>
      </c>
      <c r="D349" s="62" t="str">
        <f t="shared" si="5"/>
        <v>Awach</v>
      </c>
      <c r="F349" s="62">
        <v>333</v>
      </c>
    </row>
    <row r="350" spans="1:6">
      <c r="A350" s="62" t="s">
        <v>1165</v>
      </c>
      <c r="B350" s="62" t="s">
        <v>1163</v>
      </c>
      <c r="C350" s="62" t="s">
        <v>1164</v>
      </c>
      <c r="D350" s="62" t="str">
        <f t="shared" si="5"/>
        <v>Bungatira</v>
      </c>
      <c r="F350" s="62">
        <v>334</v>
      </c>
    </row>
    <row r="351" spans="1:6">
      <c r="A351" s="62" t="s">
        <v>1166</v>
      </c>
      <c r="B351" s="62" t="s">
        <v>1163</v>
      </c>
      <c r="C351" s="62" t="s">
        <v>1166</v>
      </c>
      <c r="D351" s="62" t="str">
        <f t="shared" si="5"/>
        <v>Gulu Municipality</v>
      </c>
      <c r="F351" s="62">
        <v>335</v>
      </c>
    </row>
    <row r="352" spans="1:6">
      <c r="A352" s="62" t="s">
        <v>1167</v>
      </c>
      <c r="D352" s="62" t="str">
        <f t="shared" si="5"/>
        <v>GULU</v>
      </c>
      <c r="F352" s="62">
        <v>335</v>
      </c>
    </row>
    <row r="353" spans="1:6">
      <c r="A353" s="62" t="s">
        <v>1168</v>
      </c>
      <c r="D353" s="62" t="str">
        <f t="shared" si="5"/>
        <v>GULU TOWN</v>
      </c>
      <c r="F353" s="62">
        <v>335</v>
      </c>
    </row>
    <row r="354" spans="1:6">
      <c r="A354" s="62" t="s">
        <v>1169</v>
      </c>
      <c r="B354" s="62" t="s">
        <v>1163</v>
      </c>
      <c r="C354" s="62" t="s">
        <v>1164</v>
      </c>
      <c r="D354" s="62" t="str">
        <f t="shared" si="5"/>
        <v>Paicho</v>
      </c>
      <c r="F354" s="62">
        <v>336</v>
      </c>
    </row>
    <row r="355" spans="1:6">
      <c r="A355" s="62" t="s">
        <v>1170</v>
      </c>
      <c r="B355" s="62" t="s">
        <v>1163</v>
      </c>
      <c r="C355" s="62" t="s">
        <v>1164</v>
      </c>
      <c r="D355" s="62" t="str">
        <f t="shared" si="5"/>
        <v>Unyama</v>
      </c>
      <c r="F355" s="62">
        <v>337</v>
      </c>
    </row>
    <row r="356" spans="1:6">
      <c r="A356" s="62" t="s">
        <v>1171</v>
      </c>
      <c r="B356" s="62" t="s">
        <v>1172</v>
      </c>
      <c r="C356" s="62" t="s">
        <v>1173</v>
      </c>
      <c r="D356" s="62" t="str">
        <f t="shared" si="5"/>
        <v>Bugambe</v>
      </c>
      <c r="F356" s="62">
        <v>338</v>
      </c>
    </row>
    <row r="357" spans="1:6">
      <c r="A357" s="62" t="s">
        <v>1174</v>
      </c>
      <c r="B357" s="62" t="s">
        <v>1172</v>
      </c>
      <c r="C357" s="62" t="s">
        <v>1175</v>
      </c>
      <c r="D357" s="62" t="str">
        <f t="shared" si="5"/>
        <v>Buhanika</v>
      </c>
      <c r="F357" s="62">
        <v>339</v>
      </c>
    </row>
    <row r="358" spans="1:6">
      <c r="A358" s="62" t="s">
        <v>1176</v>
      </c>
      <c r="B358" s="62" t="s">
        <v>1172</v>
      </c>
      <c r="C358" s="62" t="s">
        <v>1173</v>
      </c>
      <c r="D358" s="62" t="str">
        <f t="shared" si="5"/>
        <v>Buhimba</v>
      </c>
      <c r="F358" s="62">
        <v>340</v>
      </c>
    </row>
    <row r="359" spans="1:6">
      <c r="A359" s="62" t="s">
        <v>1177</v>
      </c>
      <c r="B359" s="62" t="s">
        <v>1172</v>
      </c>
      <c r="C359" s="62" t="s">
        <v>1177</v>
      </c>
      <c r="D359" s="62" t="str">
        <f t="shared" si="5"/>
        <v>Hoima Municipality</v>
      </c>
      <c r="F359" s="62">
        <v>341</v>
      </c>
    </row>
    <row r="360" spans="1:6">
      <c r="A360" s="62" t="s">
        <v>1178</v>
      </c>
      <c r="D360" s="62" t="str">
        <f t="shared" si="5"/>
        <v xml:space="preserve">Hoima </v>
      </c>
      <c r="F360" s="62">
        <v>341</v>
      </c>
    </row>
    <row r="361" spans="1:6">
      <c r="A361" s="62" t="s">
        <v>1172</v>
      </c>
      <c r="D361" s="62" t="str">
        <f t="shared" si="5"/>
        <v>Hoima</v>
      </c>
      <c r="F361" s="62">
        <v>341</v>
      </c>
    </row>
    <row r="362" spans="1:6">
      <c r="A362" s="62" t="s">
        <v>1179</v>
      </c>
      <c r="B362" s="62" t="s">
        <v>1172</v>
      </c>
      <c r="C362" s="62" t="s">
        <v>1173</v>
      </c>
      <c r="D362" s="62" t="str">
        <f t="shared" si="5"/>
        <v>Kabwoya</v>
      </c>
      <c r="F362" s="62">
        <v>342</v>
      </c>
    </row>
    <row r="363" spans="1:6">
      <c r="A363" s="62" t="s">
        <v>1180</v>
      </c>
      <c r="B363" s="62" t="s">
        <v>1172</v>
      </c>
      <c r="C363" s="62" t="s">
        <v>1175</v>
      </c>
      <c r="D363" s="62" t="str">
        <f t="shared" si="5"/>
        <v>Kigorobya</v>
      </c>
      <c r="F363" s="62">
        <v>343</v>
      </c>
    </row>
    <row r="364" spans="1:6">
      <c r="A364" s="62" t="s">
        <v>1181</v>
      </c>
      <c r="B364" s="62" t="s">
        <v>1172</v>
      </c>
      <c r="C364" s="62" t="s">
        <v>1175</v>
      </c>
      <c r="D364" s="62" t="str">
        <f t="shared" si="5"/>
        <v>Kigorobya Town Council</v>
      </c>
      <c r="F364" s="62">
        <v>344</v>
      </c>
    </row>
    <row r="365" spans="1:6">
      <c r="A365" s="62" t="s">
        <v>1182</v>
      </c>
      <c r="B365" s="62" t="s">
        <v>1172</v>
      </c>
      <c r="C365" s="62" t="s">
        <v>1175</v>
      </c>
      <c r="D365" s="62" t="str">
        <f t="shared" si="5"/>
        <v>Kitoba</v>
      </c>
      <c r="F365" s="62">
        <v>345</v>
      </c>
    </row>
    <row r="366" spans="1:6">
      <c r="A366" s="62" t="s">
        <v>1183</v>
      </c>
      <c r="B366" s="62" t="s">
        <v>1172</v>
      </c>
      <c r="C366" s="62" t="s">
        <v>1173</v>
      </c>
      <c r="D366" s="62" t="str">
        <f t="shared" si="5"/>
        <v>Kiziranfumbi</v>
      </c>
      <c r="F366" s="62">
        <v>346</v>
      </c>
    </row>
    <row r="367" spans="1:6">
      <c r="A367" s="62" t="s">
        <v>1184</v>
      </c>
      <c r="B367" s="62" t="s">
        <v>1172</v>
      </c>
      <c r="C367" s="62" t="s">
        <v>1175</v>
      </c>
      <c r="D367" s="62" t="str">
        <f t="shared" si="5"/>
        <v>Kyabigambire</v>
      </c>
      <c r="F367" s="62">
        <v>347</v>
      </c>
    </row>
    <row r="368" spans="1:6">
      <c r="A368" s="62" t="s">
        <v>1185</v>
      </c>
      <c r="B368" s="62" t="s">
        <v>1172</v>
      </c>
      <c r="C368" s="62" t="s">
        <v>1173</v>
      </c>
      <c r="D368" s="62" t="str">
        <f t="shared" si="5"/>
        <v>Kyangwali</v>
      </c>
      <c r="F368" s="62">
        <v>348</v>
      </c>
    </row>
    <row r="369" spans="1:6">
      <c r="A369" s="62" t="s">
        <v>1186</v>
      </c>
      <c r="B369" s="62" t="s">
        <v>43</v>
      </c>
      <c r="C369" s="62" t="s">
        <v>1186</v>
      </c>
      <c r="D369" s="62" t="str">
        <f t="shared" si="5"/>
        <v>Ibanda Municipality</v>
      </c>
      <c r="F369" s="62">
        <v>349</v>
      </c>
    </row>
    <row r="370" spans="1:6">
      <c r="A370" s="62" t="s">
        <v>1187</v>
      </c>
      <c r="B370" s="62" t="s">
        <v>43</v>
      </c>
      <c r="C370" s="62" t="s">
        <v>43</v>
      </c>
      <c r="D370" s="62" t="str">
        <f t="shared" si="5"/>
        <v>Igorora Town Council</v>
      </c>
      <c r="F370" s="62">
        <v>350</v>
      </c>
    </row>
    <row r="371" spans="1:6">
      <c r="A371" s="62" t="s">
        <v>1188</v>
      </c>
      <c r="B371" s="62" t="s">
        <v>43</v>
      </c>
      <c r="C371" s="62" t="s">
        <v>43</v>
      </c>
      <c r="D371" s="62" t="str">
        <f t="shared" si="5"/>
        <v>Ishongororo</v>
      </c>
      <c r="F371" s="62">
        <v>351</v>
      </c>
    </row>
    <row r="372" spans="1:6">
      <c r="A372" s="62" t="s">
        <v>1189</v>
      </c>
      <c r="B372" s="62" t="s">
        <v>43</v>
      </c>
      <c r="C372" s="62" t="s">
        <v>43</v>
      </c>
      <c r="D372" s="62" t="str">
        <f t="shared" si="5"/>
        <v>Ishongororo Town Council</v>
      </c>
      <c r="F372" s="62">
        <v>352</v>
      </c>
    </row>
    <row r="373" spans="1:6">
      <c r="A373" s="62" t="s">
        <v>1190</v>
      </c>
      <c r="B373" s="62" t="s">
        <v>43</v>
      </c>
      <c r="C373" s="62" t="s">
        <v>1186</v>
      </c>
      <c r="D373" s="62" t="str">
        <f t="shared" si="5"/>
        <v>Kagango Division-Ibanda</v>
      </c>
      <c r="F373" s="62">
        <v>353</v>
      </c>
    </row>
    <row r="374" spans="1:6">
      <c r="A374" s="62" t="s">
        <v>1191</v>
      </c>
      <c r="B374" s="62" t="s">
        <v>43</v>
      </c>
      <c r="C374" s="62" t="s">
        <v>43</v>
      </c>
      <c r="D374" s="62" t="str">
        <f t="shared" si="5"/>
        <v>Keihangara</v>
      </c>
      <c r="F374" s="62">
        <v>354</v>
      </c>
    </row>
    <row r="375" spans="1:6">
      <c r="A375" s="62" t="s">
        <v>1192</v>
      </c>
      <c r="B375" s="62" t="s">
        <v>43</v>
      </c>
      <c r="C375" s="62" t="s">
        <v>43</v>
      </c>
      <c r="D375" s="62" t="str">
        <f t="shared" si="5"/>
        <v>Kicuzi</v>
      </c>
      <c r="F375" s="62">
        <v>355</v>
      </c>
    </row>
    <row r="376" spans="1:6">
      <c r="A376" s="62" t="s">
        <v>1193</v>
      </c>
      <c r="B376" s="62" t="s">
        <v>43</v>
      </c>
      <c r="C376" s="62" t="s">
        <v>43</v>
      </c>
      <c r="D376" s="62" t="str">
        <f t="shared" si="5"/>
        <v>Kijongo</v>
      </c>
      <c r="F376" s="62">
        <v>356</v>
      </c>
    </row>
    <row r="377" spans="1:6">
      <c r="A377" s="62" t="s">
        <v>1194</v>
      </c>
      <c r="B377" s="62" t="s">
        <v>43</v>
      </c>
      <c r="C377" s="62" t="s">
        <v>43</v>
      </c>
      <c r="D377" s="62" t="str">
        <f t="shared" si="5"/>
        <v>Kikyenkye</v>
      </c>
      <c r="F377" s="62">
        <v>357</v>
      </c>
    </row>
    <row r="378" spans="1:6">
      <c r="A378" s="62" t="s">
        <v>1195</v>
      </c>
      <c r="B378" s="62" t="s">
        <v>43</v>
      </c>
      <c r="C378" s="62" t="s">
        <v>43</v>
      </c>
      <c r="D378" s="62" t="str">
        <f t="shared" si="5"/>
        <v>Nyamarebe</v>
      </c>
      <c r="F378" s="62">
        <v>358</v>
      </c>
    </row>
    <row r="379" spans="1:6">
      <c r="A379" s="62" t="s">
        <v>1196</v>
      </c>
      <c r="B379" s="62" t="s">
        <v>43</v>
      </c>
      <c r="C379" s="62" t="s">
        <v>43</v>
      </c>
      <c r="D379" s="62" t="str">
        <f t="shared" si="5"/>
        <v>Rukiri</v>
      </c>
      <c r="F379" s="62">
        <v>359</v>
      </c>
    </row>
    <row r="380" spans="1:6">
      <c r="A380" s="62" t="s">
        <v>1197</v>
      </c>
      <c r="B380" s="62" t="s">
        <v>43</v>
      </c>
      <c r="C380" s="62" t="s">
        <v>43</v>
      </c>
      <c r="D380" s="62" t="str">
        <f t="shared" si="5"/>
        <v>Rushango Town Council</v>
      </c>
      <c r="F380" s="62">
        <v>360</v>
      </c>
    </row>
    <row r="381" spans="1:6">
      <c r="A381" s="62" t="s">
        <v>1198</v>
      </c>
      <c r="B381" s="62" t="s">
        <v>1199</v>
      </c>
      <c r="C381" s="62" t="s">
        <v>1200</v>
      </c>
      <c r="D381" s="62" t="str">
        <f t="shared" si="5"/>
        <v>Bulamogi</v>
      </c>
      <c r="F381" s="62">
        <v>361</v>
      </c>
    </row>
    <row r="382" spans="1:6">
      <c r="A382" s="62" t="s">
        <v>1201</v>
      </c>
      <c r="B382" s="62" t="s">
        <v>1199</v>
      </c>
      <c r="C382" s="62" t="s">
        <v>1202</v>
      </c>
      <c r="D382" s="62" t="str">
        <f t="shared" si="5"/>
        <v>Busembatia Town Council</v>
      </c>
      <c r="F382" s="62">
        <v>362</v>
      </c>
    </row>
    <row r="383" spans="1:6">
      <c r="A383" s="62" t="s">
        <v>1203</v>
      </c>
      <c r="B383" s="62" t="s">
        <v>1199</v>
      </c>
      <c r="C383" s="62" t="s">
        <v>1202</v>
      </c>
      <c r="D383" s="62" t="str">
        <f t="shared" si="5"/>
        <v>Buyanga-Iganga</v>
      </c>
      <c r="F383" s="62">
        <v>363</v>
      </c>
    </row>
    <row r="384" spans="1:6">
      <c r="A384" s="62" t="s">
        <v>1204</v>
      </c>
      <c r="B384" s="62" t="s">
        <v>1199</v>
      </c>
      <c r="C384" s="62" t="s">
        <v>1202</v>
      </c>
      <c r="D384" s="62" t="str">
        <f t="shared" si="5"/>
        <v>Ibulanku</v>
      </c>
      <c r="F384" s="62">
        <v>364</v>
      </c>
    </row>
    <row r="385" spans="1:6">
      <c r="A385" s="62" t="s">
        <v>1205</v>
      </c>
      <c r="B385" s="62" t="s">
        <v>1199</v>
      </c>
      <c r="C385" s="62" t="s">
        <v>1205</v>
      </c>
      <c r="D385" s="62" t="str">
        <f t="shared" si="5"/>
        <v>Iganga Municipality</v>
      </c>
      <c r="F385" s="62">
        <v>365</v>
      </c>
    </row>
    <row r="386" spans="1:6">
      <c r="A386" s="62" t="s">
        <v>1206</v>
      </c>
      <c r="D386" s="62" t="str">
        <f t="shared" ref="D386:D449" si="6">A386</f>
        <v>YIGANGA</v>
      </c>
      <c r="F386" s="62">
        <v>365</v>
      </c>
    </row>
    <row r="387" spans="1:6">
      <c r="A387" s="62" t="s">
        <v>1207</v>
      </c>
      <c r="D387" s="62" t="str">
        <f t="shared" si="6"/>
        <v>IGANGA</v>
      </c>
      <c r="F387" s="62">
        <v>365</v>
      </c>
    </row>
    <row r="388" spans="1:6">
      <c r="A388" s="62" t="s">
        <v>1208</v>
      </c>
      <c r="D388" s="62" t="str">
        <f t="shared" si="6"/>
        <v>IGANGA TOWN</v>
      </c>
      <c r="F388" s="62">
        <v>365</v>
      </c>
    </row>
    <row r="389" spans="1:6" ht="16.5" customHeight="1">
      <c r="A389" s="62" t="s">
        <v>1209</v>
      </c>
      <c r="B389" s="62" t="s">
        <v>1199</v>
      </c>
      <c r="C389" s="62" t="s">
        <v>1202</v>
      </c>
      <c r="D389" s="62" t="str">
        <f t="shared" si="6"/>
        <v>Igombe</v>
      </c>
      <c r="F389" s="62">
        <v>366</v>
      </c>
    </row>
    <row r="390" spans="1:6">
      <c r="A390" s="62" t="s">
        <v>1210</v>
      </c>
      <c r="B390" s="62" t="s">
        <v>1199</v>
      </c>
      <c r="C390" s="62" t="s">
        <v>1202</v>
      </c>
      <c r="D390" s="62" t="str">
        <f t="shared" si="6"/>
        <v>Makuutu</v>
      </c>
      <c r="F390" s="62">
        <v>367</v>
      </c>
    </row>
    <row r="391" spans="1:6">
      <c r="A391" s="62" t="s">
        <v>1211</v>
      </c>
      <c r="B391" s="62" t="s">
        <v>1199</v>
      </c>
      <c r="C391" s="62" t="s">
        <v>1200</v>
      </c>
      <c r="D391" s="62" t="str">
        <f t="shared" si="6"/>
        <v>Nabitende</v>
      </c>
      <c r="F391" s="62">
        <v>368</v>
      </c>
    </row>
    <row r="392" spans="1:6">
      <c r="A392" s="62" t="s">
        <v>1212</v>
      </c>
      <c r="B392" s="62" t="s">
        <v>1199</v>
      </c>
      <c r="C392" s="62" t="s">
        <v>1200</v>
      </c>
      <c r="D392" s="62" t="str">
        <f t="shared" si="6"/>
        <v>Nakalama</v>
      </c>
      <c r="F392" s="62">
        <v>369</v>
      </c>
    </row>
    <row r="393" spans="1:6">
      <c r="A393" s="62" t="s">
        <v>1213</v>
      </c>
      <c r="B393" s="62" t="s">
        <v>1199</v>
      </c>
      <c r="C393" s="62" t="s">
        <v>1200</v>
      </c>
      <c r="D393" s="62" t="str">
        <f t="shared" si="6"/>
        <v>Nakigo</v>
      </c>
      <c r="F393" s="62">
        <v>370</v>
      </c>
    </row>
    <row r="394" spans="1:6">
      <c r="A394" s="62" t="s">
        <v>1214</v>
      </c>
      <c r="B394" s="62" t="s">
        <v>1199</v>
      </c>
      <c r="C394" s="62" t="s">
        <v>1202</v>
      </c>
      <c r="D394" s="62" t="str">
        <f t="shared" si="6"/>
        <v>Namalemba</v>
      </c>
      <c r="F394" s="62">
        <v>371</v>
      </c>
    </row>
    <row r="395" spans="1:6">
      <c r="A395" s="62" t="s">
        <v>1215</v>
      </c>
      <c r="B395" s="62" t="s">
        <v>1199</v>
      </c>
      <c r="C395" s="62" t="s">
        <v>1200</v>
      </c>
      <c r="D395" s="62" t="str">
        <f t="shared" si="6"/>
        <v>Nambale</v>
      </c>
      <c r="F395" s="62">
        <v>372</v>
      </c>
    </row>
    <row r="396" spans="1:6">
      <c r="A396" s="62" t="s">
        <v>1216</v>
      </c>
      <c r="B396" s="62" t="s">
        <v>1199</v>
      </c>
      <c r="C396" s="62" t="s">
        <v>1200</v>
      </c>
      <c r="D396" s="62" t="str">
        <f t="shared" si="6"/>
        <v>Namungalwe</v>
      </c>
      <c r="F396" s="62">
        <v>373</v>
      </c>
    </row>
    <row r="397" spans="1:6">
      <c r="A397" s="62" t="s">
        <v>1217</v>
      </c>
      <c r="B397" s="62" t="s">
        <v>1199</v>
      </c>
      <c r="C397" s="62" t="s">
        <v>1200</v>
      </c>
      <c r="D397" s="62" t="str">
        <f t="shared" si="6"/>
        <v>Nawandala</v>
      </c>
      <c r="F397" s="62">
        <v>374</v>
      </c>
    </row>
    <row r="398" spans="1:6">
      <c r="A398" s="62" t="s">
        <v>1218</v>
      </c>
      <c r="B398" s="62" t="s">
        <v>1199</v>
      </c>
      <c r="C398" s="62" t="s">
        <v>1200</v>
      </c>
      <c r="D398" s="62" t="str">
        <f t="shared" si="6"/>
        <v>Nawanyingi</v>
      </c>
      <c r="F398" s="62">
        <v>375</v>
      </c>
    </row>
    <row r="399" spans="1:6">
      <c r="A399" s="62" t="s">
        <v>1219</v>
      </c>
      <c r="B399" s="62" t="s">
        <v>47</v>
      </c>
      <c r="C399" s="62" t="s">
        <v>47</v>
      </c>
      <c r="D399" s="62" t="str">
        <f t="shared" si="6"/>
        <v>Birere</v>
      </c>
      <c r="F399" s="62">
        <v>376</v>
      </c>
    </row>
    <row r="400" spans="1:6">
      <c r="A400" s="62" t="s">
        <v>1220</v>
      </c>
      <c r="B400" s="62" t="s">
        <v>47</v>
      </c>
      <c r="C400" s="62" t="s">
        <v>1221</v>
      </c>
      <c r="D400" s="62" t="str">
        <f t="shared" si="6"/>
        <v>Endiinzi</v>
      </c>
      <c r="F400" s="62">
        <v>377</v>
      </c>
    </row>
    <row r="401" spans="1:6">
      <c r="A401" s="62" t="s">
        <v>1222</v>
      </c>
      <c r="B401" s="62" t="s">
        <v>47</v>
      </c>
      <c r="C401" s="62" t="s">
        <v>1221</v>
      </c>
      <c r="D401" s="62" t="str">
        <f t="shared" si="6"/>
        <v>Endiinzi Town Council</v>
      </c>
      <c r="F401" s="62">
        <v>378</v>
      </c>
    </row>
    <row r="402" spans="1:6">
      <c r="A402" s="62" t="s">
        <v>1223</v>
      </c>
      <c r="B402" s="62" t="s">
        <v>47</v>
      </c>
      <c r="C402" s="62" t="s">
        <v>47</v>
      </c>
      <c r="D402" s="62" t="str">
        <f t="shared" si="6"/>
        <v>Isingiro Town Council</v>
      </c>
      <c r="F402" s="62">
        <v>379</v>
      </c>
    </row>
    <row r="403" spans="1:6">
      <c r="A403" s="62" t="s">
        <v>1224</v>
      </c>
      <c r="D403" s="62" t="str">
        <f t="shared" si="6"/>
        <v>ISINGIRO</v>
      </c>
      <c r="F403" s="62">
        <v>379</v>
      </c>
    </row>
    <row r="404" spans="1:6">
      <c r="A404" s="62" t="s">
        <v>1225</v>
      </c>
      <c r="B404" s="62" t="s">
        <v>47</v>
      </c>
      <c r="C404" s="62" t="s">
        <v>47</v>
      </c>
      <c r="D404" s="62" t="str">
        <f t="shared" si="6"/>
        <v>Kaberebere Town Council</v>
      </c>
      <c r="F404" s="62">
        <v>380</v>
      </c>
    </row>
    <row r="405" spans="1:6">
      <c r="A405" s="62" t="s">
        <v>1226</v>
      </c>
      <c r="B405" s="62" t="s">
        <v>47</v>
      </c>
      <c r="C405" s="62" t="s">
        <v>47</v>
      </c>
      <c r="D405" s="62" t="str">
        <f t="shared" si="6"/>
        <v>Kabingo</v>
      </c>
      <c r="F405" s="62">
        <v>381</v>
      </c>
    </row>
    <row r="406" spans="1:6">
      <c r="A406" s="62" t="s">
        <v>1227</v>
      </c>
      <c r="B406" s="62" t="s">
        <v>47</v>
      </c>
      <c r="C406" s="62" t="s">
        <v>47</v>
      </c>
      <c r="D406" s="62" t="str">
        <f t="shared" si="6"/>
        <v>Kabuyanda</v>
      </c>
      <c r="F406" s="62">
        <v>382</v>
      </c>
    </row>
    <row r="407" spans="1:6">
      <c r="A407" s="62" t="s">
        <v>1228</v>
      </c>
      <c r="B407" s="62" t="s">
        <v>47</v>
      </c>
      <c r="C407" s="62" t="s">
        <v>47</v>
      </c>
      <c r="D407" s="62" t="str">
        <f t="shared" si="6"/>
        <v>Kabuyanda Town Council</v>
      </c>
      <c r="F407" s="62">
        <v>383</v>
      </c>
    </row>
    <row r="408" spans="1:6">
      <c r="A408" s="62" t="s">
        <v>1229</v>
      </c>
      <c r="B408" s="62" t="s">
        <v>47</v>
      </c>
      <c r="C408" s="62" t="s">
        <v>1221</v>
      </c>
      <c r="D408" s="62" t="str">
        <f t="shared" si="6"/>
        <v>Kakamba-Isingiro</v>
      </c>
      <c r="F408" s="62">
        <v>384</v>
      </c>
    </row>
    <row r="409" spans="1:6">
      <c r="A409" s="62" t="s">
        <v>1230</v>
      </c>
      <c r="B409" s="62" t="s">
        <v>47</v>
      </c>
      <c r="C409" s="62" t="s">
        <v>47</v>
      </c>
      <c r="D409" s="62" t="str">
        <f t="shared" si="6"/>
        <v>Kikagate</v>
      </c>
      <c r="F409" s="62">
        <v>385</v>
      </c>
    </row>
    <row r="410" spans="1:6">
      <c r="A410" s="62" t="s">
        <v>1231</v>
      </c>
      <c r="B410" s="62" t="s">
        <v>47</v>
      </c>
      <c r="C410" s="62" t="s">
        <v>47</v>
      </c>
      <c r="D410" s="62" t="str">
        <f t="shared" si="6"/>
        <v>Masha</v>
      </c>
      <c r="F410" s="62">
        <v>386</v>
      </c>
    </row>
    <row r="411" spans="1:6">
      <c r="A411" s="62" t="s">
        <v>1232</v>
      </c>
      <c r="B411" s="62" t="s">
        <v>47</v>
      </c>
      <c r="C411" s="62" t="s">
        <v>1221</v>
      </c>
      <c r="D411" s="62" t="str">
        <f t="shared" si="6"/>
        <v>Mbaare</v>
      </c>
      <c r="F411" s="62">
        <v>387</v>
      </c>
    </row>
    <row r="412" spans="1:6">
      <c r="A412" s="62" t="s">
        <v>1233</v>
      </c>
      <c r="B412" s="62" t="s">
        <v>47</v>
      </c>
      <c r="C412" s="62" t="s">
        <v>1221</v>
      </c>
      <c r="D412" s="62" t="str">
        <f t="shared" si="6"/>
        <v>Nakivale Refugee Camp</v>
      </c>
      <c r="F412" s="62">
        <v>388</v>
      </c>
    </row>
    <row r="413" spans="1:6">
      <c r="A413" s="62" t="s">
        <v>1234</v>
      </c>
      <c r="B413" s="62" t="s">
        <v>47</v>
      </c>
      <c r="C413" s="62" t="s">
        <v>1221</v>
      </c>
      <c r="D413" s="62" t="str">
        <f t="shared" si="6"/>
        <v>Ngarama</v>
      </c>
      <c r="F413" s="62">
        <v>389</v>
      </c>
    </row>
    <row r="414" spans="1:6">
      <c r="A414" s="62" t="s">
        <v>1235</v>
      </c>
      <c r="B414" s="62" t="s">
        <v>47</v>
      </c>
      <c r="C414" s="62" t="s">
        <v>47</v>
      </c>
      <c r="D414" s="62" t="str">
        <f t="shared" si="6"/>
        <v>Nyakitunda</v>
      </c>
      <c r="F414" s="62">
        <v>390</v>
      </c>
    </row>
    <row r="415" spans="1:6">
      <c r="A415" s="62" t="s">
        <v>1236</v>
      </c>
      <c r="B415" s="62" t="s">
        <v>47</v>
      </c>
      <c r="C415" s="62" t="s">
        <v>47</v>
      </c>
      <c r="D415" s="62" t="str">
        <f t="shared" si="6"/>
        <v>Nyamuyanja</v>
      </c>
      <c r="F415" s="62">
        <v>391</v>
      </c>
    </row>
    <row r="416" spans="1:6">
      <c r="A416" s="62" t="s">
        <v>1237</v>
      </c>
      <c r="B416" s="62" t="s">
        <v>47</v>
      </c>
      <c r="C416" s="62" t="s">
        <v>47</v>
      </c>
      <c r="D416" s="62" t="str">
        <f t="shared" si="6"/>
        <v>Oruchinga Refugee Camp</v>
      </c>
      <c r="F416" s="62">
        <v>392</v>
      </c>
    </row>
    <row r="417" spans="1:6">
      <c r="A417" s="62" t="s">
        <v>1238</v>
      </c>
      <c r="B417" s="62" t="s">
        <v>47</v>
      </c>
      <c r="C417" s="62" t="s">
        <v>47</v>
      </c>
      <c r="D417" s="62" t="str">
        <f t="shared" si="6"/>
        <v>Ruborogota</v>
      </c>
      <c r="F417" s="62">
        <v>393</v>
      </c>
    </row>
    <row r="418" spans="1:6">
      <c r="A418" s="62" t="s">
        <v>1239</v>
      </c>
      <c r="B418" s="62" t="s">
        <v>47</v>
      </c>
      <c r="C418" s="62" t="s">
        <v>1221</v>
      </c>
      <c r="D418" s="62" t="str">
        <f t="shared" si="6"/>
        <v>Rugaaga</v>
      </c>
      <c r="F418" s="62">
        <v>394</v>
      </c>
    </row>
    <row r="419" spans="1:6">
      <c r="A419" s="62" t="s">
        <v>1240</v>
      </c>
      <c r="B419" s="62" t="s">
        <v>47</v>
      </c>
      <c r="C419" s="62" t="s">
        <v>1221</v>
      </c>
      <c r="D419" s="62" t="str">
        <f t="shared" si="6"/>
        <v>Rushasha</v>
      </c>
      <c r="F419" s="62">
        <v>395</v>
      </c>
    </row>
    <row r="420" spans="1:6">
      <c r="A420" s="62" t="s">
        <v>1241</v>
      </c>
      <c r="B420" s="62" t="s">
        <v>1242</v>
      </c>
      <c r="C420" s="62" t="s">
        <v>1243</v>
      </c>
      <c r="D420" s="62" t="str">
        <f t="shared" si="6"/>
        <v>Budondo</v>
      </c>
      <c r="F420" s="62">
        <v>396</v>
      </c>
    </row>
    <row r="421" spans="1:6">
      <c r="A421" s="62" t="s">
        <v>1244</v>
      </c>
      <c r="D421" s="62" t="str">
        <f t="shared" si="6"/>
        <v>MAGANJO</v>
      </c>
      <c r="F421" s="62">
        <v>396</v>
      </c>
    </row>
    <row r="422" spans="1:6">
      <c r="A422" s="62" t="s">
        <v>1245</v>
      </c>
      <c r="D422" s="62" t="str">
        <f t="shared" si="6"/>
        <v>Maganjjo</v>
      </c>
      <c r="F422" s="62">
        <v>396</v>
      </c>
    </row>
    <row r="423" spans="1:6">
      <c r="A423" s="62" t="s">
        <v>1246</v>
      </c>
      <c r="B423" s="62" t="s">
        <v>1242</v>
      </c>
      <c r="C423" s="62" t="s">
        <v>1247</v>
      </c>
      <c r="D423" s="62" t="str">
        <f t="shared" si="6"/>
        <v>Bugembe Town Council</v>
      </c>
      <c r="F423" s="62">
        <v>397</v>
      </c>
    </row>
    <row r="424" spans="1:6">
      <c r="A424" s="62" t="s">
        <v>1248</v>
      </c>
      <c r="D424" s="62" t="str">
        <f t="shared" si="6"/>
        <v>BUGEMBE</v>
      </c>
      <c r="F424" s="62">
        <v>397</v>
      </c>
    </row>
    <row r="425" spans="1:6">
      <c r="A425" s="62" t="s">
        <v>1249</v>
      </c>
      <c r="B425" s="62" t="s">
        <v>1242</v>
      </c>
      <c r="C425" s="62" t="s">
        <v>1247</v>
      </c>
      <c r="D425" s="62" t="str">
        <f t="shared" si="6"/>
        <v>Busedde</v>
      </c>
      <c r="F425" s="62">
        <v>398</v>
      </c>
    </row>
    <row r="426" spans="1:6">
      <c r="A426" s="62" t="s">
        <v>1250</v>
      </c>
      <c r="B426" s="62" t="s">
        <v>1242</v>
      </c>
      <c r="C426" s="62" t="s">
        <v>1243</v>
      </c>
      <c r="D426" s="62" t="str">
        <f t="shared" si="6"/>
        <v>Butagaya</v>
      </c>
      <c r="F426" s="62">
        <v>399</v>
      </c>
    </row>
    <row r="427" spans="1:6">
      <c r="A427" s="62" t="s">
        <v>1251</v>
      </c>
      <c r="B427" s="62" t="s">
        <v>1242</v>
      </c>
      <c r="C427" s="62" t="s">
        <v>1243</v>
      </c>
      <c r="D427" s="62" t="str">
        <f t="shared" si="6"/>
        <v>Buwenge</v>
      </c>
      <c r="F427" s="62">
        <v>400</v>
      </c>
    </row>
    <row r="428" spans="1:6">
      <c r="A428" s="62" t="s">
        <v>1252</v>
      </c>
      <c r="B428" s="62" t="s">
        <v>1242</v>
      </c>
      <c r="C428" s="62" t="s">
        <v>1243</v>
      </c>
      <c r="D428" s="62" t="str">
        <f t="shared" si="6"/>
        <v>Buwenge Town Council</v>
      </c>
      <c r="F428" s="62">
        <v>401</v>
      </c>
    </row>
    <row r="429" spans="1:6">
      <c r="A429" s="62" t="s">
        <v>1253</v>
      </c>
      <c r="B429" s="62" t="s">
        <v>1242</v>
      </c>
      <c r="C429" s="62" t="s">
        <v>1243</v>
      </c>
      <c r="D429" s="62" t="str">
        <f t="shared" si="6"/>
        <v>Buyengo</v>
      </c>
      <c r="F429" s="62">
        <v>402</v>
      </c>
    </row>
    <row r="430" spans="1:6">
      <c r="A430" s="62" t="s">
        <v>1254</v>
      </c>
      <c r="B430" s="62" t="s">
        <v>1242</v>
      </c>
      <c r="C430" s="62" t="s">
        <v>1254</v>
      </c>
      <c r="D430" s="62" t="str">
        <f t="shared" si="6"/>
        <v>Jinja Municipality</v>
      </c>
      <c r="F430" s="62">
        <v>403</v>
      </c>
    </row>
    <row r="431" spans="1:6">
      <c r="A431" s="62" t="s">
        <v>1255</v>
      </c>
      <c r="D431" s="62" t="str">
        <f t="shared" si="6"/>
        <v>JINJA</v>
      </c>
      <c r="F431" s="62">
        <v>403</v>
      </c>
    </row>
    <row r="432" spans="1:6">
      <c r="A432" s="62" t="s">
        <v>1256</v>
      </c>
      <c r="D432" s="62" t="str">
        <f t="shared" si="6"/>
        <v>JINJA TOWN</v>
      </c>
      <c r="F432" s="62">
        <v>403</v>
      </c>
    </row>
    <row r="433" spans="1:6">
      <c r="A433" s="62" t="s">
        <v>1257</v>
      </c>
      <c r="D433" s="62" t="str">
        <f t="shared" si="6"/>
        <v>NILE BREWERIES</v>
      </c>
      <c r="F433" s="62">
        <v>403</v>
      </c>
    </row>
    <row r="434" spans="1:6">
      <c r="A434" s="62" t="s">
        <v>1258</v>
      </c>
      <c r="B434" s="62" t="s">
        <v>1242</v>
      </c>
      <c r="C434" s="62" t="s">
        <v>1247</v>
      </c>
      <c r="D434" s="62" t="str">
        <f t="shared" si="6"/>
        <v>Kakira Town Council</v>
      </c>
      <c r="F434" s="62">
        <v>404</v>
      </c>
    </row>
    <row r="435" spans="1:6">
      <c r="A435" s="62" t="s">
        <v>1259</v>
      </c>
      <c r="D435" s="62" t="str">
        <f t="shared" si="6"/>
        <v>KAKIRA</v>
      </c>
      <c r="F435" s="62">
        <v>404</v>
      </c>
    </row>
    <row r="436" spans="1:6">
      <c r="A436" s="62" t="s">
        <v>1260</v>
      </c>
      <c r="B436" s="62" t="s">
        <v>1242</v>
      </c>
      <c r="C436" s="62" t="s">
        <v>1247</v>
      </c>
      <c r="D436" s="62" t="str">
        <f t="shared" si="6"/>
        <v>Mafubira</v>
      </c>
      <c r="F436" s="62">
        <v>405</v>
      </c>
    </row>
    <row r="437" spans="1:6">
      <c r="A437" s="62" t="s">
        <v>1261</v>
      </c>
      <c r="B437" s="62" t="s">
        <v>1262</v>
      </c>
      <c r="C437" s="62" t="s">
        <v>1263</v>
      </c>
      <c r="D437" s="62" t="str">
        <f t="shared" si="6"/>
        <v>Kaabong East</v>
      </c>
      <c r="F437" s="62">
        <v>406</v>
      </c>
    </row>
    <row r="438" spans="1:6">
      <c r="A438" s="62" t="s">
        <v>1264</v>
      </c>
      <c r="B438" s="62" t="s">
        <v>1262</v>
      </c>
      <c r="C438" s="62" t="s">
        <v>1263</v>
      </c>
      <c r="D438" s="62" t="str">
        <f t="shared" si="6"/>
        <v>Kaabong Town Council</v>
      </c>
      <c r="F438" s="62">
        <v>407</v>
      </c>
    </row>
    <row r="439" spans="1:6">
      <c r="A439" s="62" t="s">
        <v>1265</v>
      </c>
      <c r="B439" s="62" t="s">
        <v>1262</v>
      </c>
      <c r="C439" s="62" t="s">
        <v>1263</v>
      </c>
      <c r="D439" s="62" t="str">
        <f t="shared" si="6"/>
        <v>Kaabong West</v>
      </c>
      <c r="F439" s="62">
        <v>408</v>
      </c>
    </row>
    <row r="440" spans="1:6">
      <c r="A440" s="62" t="s">
        <v>1266</v>
      </c>
      <c r="B440" s="62" t="s">
        <v>1262</v>
      </c>
      <c r="C440" s="62" t="s">
        <v>1263</v>
      </c>
      <c r="D440" s="62" t="str">
        <f t="shared" si="6"/>
        <v>Kalapata</v>
      </c>
      <c r="F440" s="62">
        <v>409</v>
      </c>
    </row>
    <row r="441" spans="1:6">
      <c r="A441" s="62" t="s">
        <v>1267</v>
      </c>
      <c r="B441" s="62" t="s">
        <v>1262</v>
      </c>
      <c r="C441" s="62" t="s">
        <v>1263</v>
      </c>
      <c r="D441" s="62" t="str">
        <f t="shared" si="6"/>
        <v>Kamion</v>
      </c>
      <c r="F441" s="62">
        <v>410</v>
      </c>
    </row>
    <row r="442" spans="1:6">
      <c r="A442" s="62" t="s">
        <v>1268</v>
      </c>
      <c r="B442" s="62" t="s">
        <v>1262</v>
      </c>
      <c r="C442" s="62" t="s">
        <v>1263</v>
      </c>
      <c r="D442" s="62" t="str">
        <f t="shared" si="6"/>
        <v>Kapedo</v>
      </c>
      <c r="F442" s="62">
        <v>411</v>
      </c>
    </row>
    <row r="443" spans="1:6">
      <c r="A443" s="62" t="s">
        <v>1269</v>
      </c>
      <c r="B443" s="62" t="s">
        <v>1262</v>
      </c>
      <c r="C443" s="62" t="s">
        <v>1263</v>
      </c>
      <c r="D443" s="62" t="str">
        <f t="shared" si="6"/>
        <v>Kathile</v>
      </c>
      <c r="F443" s="62">
        <v>412</v>
      </c>
    </row>
    <row r="444" spans="1:6">
      <c r="A444" s="62" t="s">
        <v>1270</v>
      </c>
      <c r="B444" s="62" t="s">
        <v>1262</v>
      </c>
      <c r="C444" s="62" t="s">
        <v>1263</v>
      </c>
      <c r="D444" s="62" t="str">
        <f t="shared" si="6"/>
        <v>Kawalakol</v>
      </c>
      <c r="F444" s="62">
        <v>413</v>
      </c>
    </row>
    <row r="445" spans="1:6">
      <c r="A445" s="62" t="s">
        <v>1271</v>
      </c>
      <c r="B445" s="62" t="s">
        <v>1262</v>
      </c>
      <c r="C445" s="62" t="s">
        <v>1263</v>
      </c>
      <c r="D445" s="62" t="str">
        <f t="shared" si="6"/>
        <v>Lobalangit</v>
      </c>
      <c r="F445" s="62">
        <v>414</v>
      </c>
    </row>
    <row r="446" spans="1:6">
      <c r="A446" s="62" t="s">
        <v>1272</v>
      </c>
      <c r="B446" s="62" t="s">
        <v>1262</v>
      </c>
      <c r="C446" s="62" t="s">
        <v>1263</v>
      </c>
      <c r="D446" s="62" t="str">
        <f t="shared" si="6"/>
        <v>Lodiko</v>
      </c>
      <c r="F446" s="62">
        <v>415</v>
      </c>
    </row>
    <row r="447" spans="1:6">
      <c r="A447" s="62" t="s">
        <v>1273</v>
      </c>
      <c r="B447" s="62" t="s">
        <v>1262</v>
      </c>
      <c r="C447" s="62" t="s">
        <v>1263</v>
      </c>
      <c r="D447" s="62" t="str">
        <f t="shared" si="6"/>
        <v>Lolelia</v>
      </c>
      <c r="F447" s="62">
        <v>416</v>
      </c>
    </row>
    <row r="448" spans="1:6">
      <c r="A448" s="62" t="s">
        <v>1274</v>
      </c>
      <c r="B448" s="62" t="s">
        <v>1262</v>
      </c>
      <c r="C448" s="62" t="s">
        <v>1263</v>
      </c>
      <c r="D448" s="62" t="str">
        <f t="shared" si="6"/>
        <v>Loyoro</v>
      </c>
      <c r="F448" s="62">
        <v>417</v>
      </c>
    </row>
    <row r="449" spans="1:6">
      <c r="A449" s="62" t="s">
        <v>1275</v>
      </c>
      <c r="B449" s="62" t="s">
        <v>1262</v>
      </c>
      <c r="C449" s="62" t="s">
        <v>1263</v>
      </c>
      <c r="D449" s="62" t="str">
        <f t="shared" si="6"/>
        <v>Napore Karenga</v>
      </c>
      <c r="F449" s="62">
        <v>418</v>
      </c>
    </row>
    <row r="450" spans="1:6">
      <c r="A450" s="62" t="s">
        <v>1276</v>
      </c>
      <c r="B450" s="62" t="s">
        <v>1262</v>
      </c>
      <c r="C450" s="62" t="s">
        <v>1263</v>
      </c>
      <c r="D450" s="62" t="str">
        <f t="shared" ref="D450:D513" si="7">A450</f>
        <v>Sidok</v>
      </c>
      <c r="F450" s="62">
        <v>419</v>
      </c>
    </row>
    <row r="451" spans="1:6">
      <c r="A451" s="62" t="s">
        <v>1277</v>
      </c>
      <c r="B451" s="62" t="s">
        <v>1278</v>
      </c>
      <c r="C451" s="62" t="s">
        <v>1279</v>
      </c>
      <c r="D451" s="62" t="str">
        <f t="shared" si="7"/>
        <v>Buhara</v>
      </c>
      <c r="F451" s="62">
        <v>420</v>
      </c>
    </row>
    <row r="452" spans="1:6">
      <c r="A452" s="62" t="s">
        <v>1280</v>
      </c>
      <c r="B452" s="62" t="s">
        <v>1278</v>
      </c>
      <c r="C452" s="62" t="s">
        <v>1279</v>
      </c>
      <c r="D452" s="62" t="str">
        <f t="shared" si="7"/>
        <v>Butanda</v>
      </c>
      <c r="F452" s="62">
        <v>421</v>
      </c>
    </row>
    <row r="453" spans="1:6">
      <c r="A453" s="62" t="s">
        <v>1281</v>
      </c>
      <c r="B453" s="62" t="s">
        <v>1278</v>
      </c>
      <c r="C453" s="62" t="s">
        <v>1281</v>
      </c>
      <c r="D453" s="62" t="str">
        <f t="shared" si="7"/>
        <v>Kabale Municipality</v>
      </c>
      <c r="F453" s="62">
        <v>422</v>
      </c>
    </row>
    <row r="454" spans="1:6">
      <c r="A454" s="62" t="s">
        <v>1282</v>
      </c>
      <c r="D454" s="62" t="str">
        <f t="shared" si="7"/>
        <v>town</v>
      </c>
      <c r="F454" s="62">
        <v>422</v>
      </c>
    </row>
    <row r="455" spans="1:6">
      <c r="A455" s="62" t="s">
        <v>1283</v>
      </c>
      <c r="D455" s="62" t="str">
        <f t="shared" si="7"/>
        <v>KABALE</v>
      </c>
      <c r="F455" s="62">
        <v>422</v>
      </c>
    </row>
    <row r="456" spans="1:6">
      <c r="A456" s="62" t="s">
        <v>1284</v>
      </c>
      <c r="D456" s="62" t="str">
        <f t="shared" si="7"/>
        <v>KABALE BUGOZI</v>
      </c>
      <c r="F456" s="62">
        <v>422</v>
      </c>
    </row>
    <row r="457" spans="1:6">
      <c r="A457" s="62" t="s">
        <v>1285</v>
      </c>
      <c r="B457" s="62" t="s">
        <v>1278</v>
      </c>
      <c r="C457" s="62" t="s">
        <v>1279</v>
      </c>
      <c r="D457" s="62" t="str">
        <f t="shared" si="7"/>
        <v>Kaharo</v>
      </c>
      <c r="F457" s="62">
        <v>423</v>
      </c>
    </row>
    <row r="458" spans="1:6">
      <c r="A458" s="62" t="s">
        <v>1286</v>
      </c>
      <c r="B458" s="62" t="s">
        <v>1278</v>
      </c>
      <c r="C458" s="62" t="s">
        <v>1279</v>
      </c>
      <c r="D458" s="62" t="str">
        <f t="shared" si="7"/>
        <v>Kamuganguzi</v>
      </c>
      <c r="F458" s="62">
        <v>424</v>
      </c>
    </row>
    <row r="459" spans="1:6">
      <c r="A459" s="62" t="s">
        <v>1287</v>
      </c>
      <c r="B459" s="62" t="s">
        <v>1278</v>
      </c>
      <c r="C459" s="62" t="s">
        <v>1279</v>
      </c>
      <c r="D459" s="62" t="str">
        <f t="shared" si="7"/>
        <v>Katuna Town Council</v>
      </c>
      <c r="F459" s="62">
        <v>425</v>
      </c>
    </row>
    <row r="460" spans="1:6">
      <c r="A460" s="62" t="s">
        <v>1288</v>
      </c>
      <c r="B460" s="62" t="s">
        <v>1278</v>
      </c>
      <c r="C460" s="62" t="s">
        <v>1279</v>
      </c>
      <c r="D460" s="62" t="str">
        <f t="shared" si="7"/>
        <v>Kitumba</v>
      </c>
      <c r="F460" s="62">
        <v>426</v>
      </c>
    </row>
    <row r="461" spans="1:6">
      <c r="A461" s="62" t="s">
        <v>1289</v>
      </c>
      <c r="D461" s="62" t="str">
        <f t="shared" si="7"/>
        <v xml:space="preserve">Kitumba </v>
      </c>
      <c r="F461" s="62">
        <v>426</v>
      </c>
    </row>
    <row r="462" spans="1:6">
      <c r="A462" s="62" t="s">
        <v>1290</v>
      </c>
      <c r="B462" s="62" t="s">
        <v>1278</v>
      </c>
      <c r="C462" s="62" t="s">
        <v>1279</v>
      </c>
      <c r="D462" s="62" t="str">
        <f t="shared" si="7"/>
        <v>Kyanamira</v>
      </c>
      <c r="F462" s="62">
        <v>427</v>
      </c>
    </row>
    <row r="463" spans="1:6">
      <c r="A463" s="62" t="s">
        <v>1291</v>
      </c>
      <c r="B463" s="62" t="s">
        <v>1278</v>
      </c>
      <c r="C463" s="62" t="s">
        <v>1279</v>
      </c>
      <c r="D463" s="62" t="str">
        <f t="shared" si="7"/>
        <v>Maziba</v>
      </c>
      <c r="F463" s="62">
        <v>428</v>
      </c>
    </row>
    <row r="464" spans="1:6">
      <c r="A464" s="62" t="s">
        <v>1292</v>
      </c>
      <c r="B464" s="62" t="s">
        <v>1278</v>
      </c>
      <c r="C464" s="62" t="s">
        <v>1279</v>
      </c>
      <c r="D464" s="62" t="str">
        <f t="shared" si="7"/>
        <v>Rubaya-Kabale</v>
      </c>
      <c r="F464" s="62">
        <v>429</v>
      </c>
    </row>
    <row r="465" spans="1:6">
      <c r="A465" s="62" t="s">
        <v>1293</v>
      </c>
      <c r="B465" s="62" t="s">
        <v>1278</v>
      </c>
      <c r="C465" s="62" t="s">
        <v>1279</v>
      </c>
      <c r="D465" s="62" t="str">
        <f t="shared" si="7"/>
        <v>Ryakirimira Town Council</v>
      </c>
      <c r="F465" s="62">
        <v>430</v>
      </c>
    </row>
    <row r="466" spans="1:6">
      <c r="A466" s="62" t="s">
        <v>1294</v>
      </c>
      <c r="B466" s="62" t="s">
        <v>1295</v>
      </c>
      <c r="C466" s="62" t="s">
        <v>1296</v>
      </c>
      <c r="D466" s="62" t="str">
        <f t="shared" si="7"/>
        <v>Bukuuku</v>
      </c>
      <c r="F466" s="62">
        <v>431</v>
      </c>
    </row>
    <row r="467" spans="1:6">
      <c r="A467" s="62" t="s">
        <v>1297</v>
      </c>
      <c r="B467" s="62" t="s">
        <v>1295</v>
      </c>
      <c r="C467" s="62" t="s">
        <v>1296</v>
      </c>
      <c r="D467" s="62" t="str">
        <f t="shared" si="7"/>
        <v>Busoro</v>
      </c>
      <c r="F467" s="62">
        <v>432</v>
      </c>
    </row>
    <row r="468" spans="1:6">
      <c r="A468" s="62" t="s">
        <v>1298</v>
      </c>
      <c r="B468" s="62" t="s">
        <v>1295</v>
      </c>
      <c r="C468" s="62" t="s">
        <v>1298</v>
      </c>
      <c r="D468" s="62" t="str">
        <f t="shared" si="7"/>
        <v>Fort Portal Municipality</v>
      </c>
      <c r="F468" s="62">
        <v>433</v>
      </c>
    </row>
    <row r="469" spans="1:6">
      <c r="A469" s="62" t="s">
        <v>1299</v>
      </c>
      <c r="D469" s="62" t="str">
        <f t="shared" si="7"/>
        <v>FORTPOTAL</v>
      </c>
      <c r="F469" s="62">
        <v>433</v>
      </c>
    </row>
    <row r="470" spans="1:6">
      <c r="A470" s="62" t="s">
        <v>1300</v>
      </c>
      <c r="D470" s="62" t="str">
        <f t="shared" si="7"/>
        <v>Fortportal</v>
      </c>
      <c r="F470" s="62">
        <v>433</v>
      </c>
    </row>
    <row r="471" spans="1:6">
      <c r="A471" s="62" t="s">
        <v>1301</v>
      </c>
      <c r="B471" s="62" t="s">
        <v>1295</v>
      </c>
      <c r="C471" s="62" t="s">
        <v>1296</v>
      </c>
      <c r="D471" s="62" t="str">
        <f t="shared" si="7"/>
        <v>Hakibaale</v>
      </c>
      <c r="F471" s="62">
        <v>434</v>
      </c>
    </row>
    <row r="472" spans="1:6">
      <c r="A472" s="62" t="s">
        <v>1302</v>
      </c>
      <c r="B472" s="62" t="s">
        <v>1295</v>
      </c>
      <c r="C472" s="62" t="s">
        <v>1296</v>
      </c>
      <c r="D472" s="62" t="str">
        <f t="shared" si="7"/>
        <v>Karago Town Council</v>
      </c>
      <c r="F472" s="62">
        <v>435</v>
      </c>
    </row>
    <row r="473" spans="1:6">
      <c r="A473" s="62" t="s">
        <v>1303</v>
      </c>
      <c r="B473" s="62" t="s">
        <v>1295</v>
      </c>
      <c r="C473" s="62" t="s">
        <v>1296</v>
      </c>
      <c r="D473" s="62" t="str">
        <f t="shared" si="7"/>
        <v>Karambi-Kabarole</v>
      </c>
      <c r="F473" s="62">
        <v>436</v>
      </c>
    </row>
    <row r="474" spans="1:6">
      <c r="A474" s="62" t="s">
        <v>1304</v>
      </c>
      <c r="B474" s="62" t="s">
        <v>1295</v>
      </c>
      <c r="C474" s="62" t="s">
        <v>1296</v>
      </c>
      <c r="D474" s="62" t="str">
        <f t="shared" si="7"/>
        <v>Karangura</v>
      </c>
      <c r="F474" s="62">
        <v>437</v>
      </c>
    </row>
    <row r="475" spans="1:6">
      <c r="A475" s="62" t="s">
        <v>1305</v>
      </c>
      <c r="B475" s="62" t="s">
        <v>1295</v>
      </c>
      <c r="C475" s="62" t="s">
        <v>1296</v>
      </c>
      <c r="D475" s="62" t="str">
        <f t="shared" si="7"/>
        <v>Kasenda</v>
      </c>
      <c r="F475" s="62">
        <v>438</v>
      </c>
    </row>
    <row r="476" spans="1:6">
      <c r="A476" s="62" t="s">
        <v>1306</v>
      </c>
      <c r="B476" s="62" t="s">
        <v>1295</v>
      </c>
      <c r="C476" s="62" t="s">
        <v>1296</v>
      </c>
      <c r="D476" s="62" t="str">
        <f t="shared" si="7"/>
        <v>Kicwamba</v>
      </c>
      <c r="F476" s="62">
        <v>439</v>
      </c>
    </row>
    <row r="477" spans="1:6">
      <c r="A477" s="62" t="s">
        <v>1307</v>
      </c>
      <c r="B477" s="62" t="s">
        <v>1295</v>
      </c>
      <c r="C477" s="62" t="s">
        <v>1296</v>
      </c>
      <c r="D477" s="62" t="str">
        <f t="shared" si="7"/>
        <v>Kijura Town Council</v>
      </c>
      <c r="F477" s="62">
        <v>440</v>
      </c>
    </row>
    <row r="478" spans="1:6">
      <c r="A478" s="62" t="s">
        <v>1308</v>
      </c>
      <c r="B478" s="62" t="s">
        <v>1295</v>
      </c>
      <c r="C478" s="62" t="s">
        <v>1296</v>
      </c>
      <c r="D478" s="62" t="str">
        <f t="shared" si="7"/>
        <v>Kiko Town Council</v>
      </c>
      <c r="F478" s="62">
        <v>441</v>
      </c>
    </row>
    <row r="479" spans="1:6">
      <c r="A479" s="62" t="s">
        <v>1309</v>
      </c>
      <c r="B479" s="62" t="s">
        <v>1295</v>
      </c>
      <c r="C479" s="62" t="s">
        <v>1296</v>
      </c>
      <c r="D479" s="62" t="str">
        <f t="shared" si="7"/>
        <v>Mugusu</v>
      </c>
      <c r="F479" s="62">
        <v>442</v>
      </c>
    </row>
    <row r="480" spans="1:6">
      <c r="A480" s="62" t="s">
        <v>1310</v>
      </c>
      <c r="B480" s="62" t="s">
        <v>1295</v>
      </c>
      <c r="C480" s="62" t="s">
        <v>1296</v>
      </c>
      <c r="D480" s="62" t="str">
        <f t="shared" si="7"/>
        <v>Mugusu Town Council</v>
      </c>
      <c r="F480" s="62">
        <v>443</v>
      </c>
    </row>
    <row r="481" spans="1:6">
      <c r="A481" s="62" t="s">
        <v>1311</v>
      </c>
      <c r="B481" s="62" t="s">
        <v>1295</v>
      </c>
      <c r="C481" s="62" t="s">
        <v>1296</v>
      </c>
      <c r="D481" s="62" t="str">
        <f t="shared" si="7"/>
        <v>Ruteete-Kabarole</v>
      </c>
      <c r="F481" s="62">
        <v>444</v>
      </c>
    </row>
    <row r="482" spans="1:6">
      <c r="A482" s="62" t="s">
        <v>1312</v>
      </c>
      <c r="B482" s="62" t="s">
        <v>1313</v>
      </c>
      <c r="C482" s="62" t="s">
        <v>1313</v>
      </c>
      <c r="D482" s="62" t="str">
        <f t="shared" si="7"/>
        <v>Alwa</v>
      </c>
      <c r="F482" s="62">
        <v>445</v>
      </c>
    </row>
    <row r="483" spans="1:6">
      <c r="A483" s="62" t="s">
        <v>1314</v>
      </c>
      <c r="B483" s="62" t="s">
        <v>1313</v>
      </c>
      <c r="C483" s="62" t="s">
        <v>1315</v>
      </c>
      <c r="D483" s="62" t="str">
        <f t="shared" si="7"/>
        <v>Anyara</v>
      </c>
      <c r="F483" s="62">
        <v>446</v>
      </c>
    </row>
    <row r="484" spans="1:6">
      <c r="A484" s="62" t="s">
        <v>1316</v>
      </c>
      <c r="B484" s="62" t="s">
        <v>1313</v>
      </c>
      <c r="C484" s="62" t="s">
        <v>1315</v>
      </c>
      <c r="D484" s="62" t="str">
        <f t="shared" si="7"/>
        <v>Apapai</v>
      </c>
      <c r="F484" s="62">
        <v>447</v>
      </c>
    </row>
    <row r="485" spans="1:6">
      <c r="A485" s="62" t="s">
        <v>1317</v>
      </c>
      <c r="B485" s="62" t="s">
        <v>1313</v>
      </c>
      <c r="C485" s="62" t="s">
        <v>1313</v>
      </c>
      <c r="D485" s="62" t="str">
        <f t="shared" si="7"/>
        <v>Aperkira</v>
      </c>
      <c r="F485" s="62">
        <v>448</v>
      </c>
    </row>
    <row r="486" spans="1:6">
      <c r="A486" s="62" t="s">
        <v>1318</v>
      </c>
      <c r="B486" s="62" t="s">
        <v>1313</v>
      </c>
      <c r="C486" s="62" t="s">
        <v>1315</v>
      </c>
      <c r="D486" s="62" t="str">
        <f t="shared" si="7"/>
        <v>Bululu</v>
      </c>
      <c r="F486" s="62">
        <v>449</v>
      </c>
    </row>
    <row r="487" spans="1:6">
      <c r="A487" s="62" t="s">
        <v>1313</v>
      </c>
      <c r="B487" s="62" t="s">
        <v>1313</v>
      </c>
      <c r="C487" s="62" t="s">
        <v>1313</v>
      </c>
      <c r="D487" s="62" t="str">
        <f t="shared" si="7"/>
        <v>Kaberamaido</v>
      </c>
      <c r="F487" s="62">
        <v>450</v>
      </c>
    </row>
    <row r="488" spans="1:6">
      <c r="A488" s="62" t="s">
        <v>1319</v>
      </c>
      <c r="B488" s="62" t="s">
        <v>1313</v>
      </c>
      <c r="C488" s="62" t="s">
        <v>1313</v>
      </c>
      <c r="D488" s="62" t="str">
        <f t="shared" si="7"/>
        <v>Kaberamaido Town Council</v>
      </c>
      <c r="F488" s="62">
        <v>451</v>
      </c>
    </row>
    <row r="489" spans="1:6">
      <c r="A489" s="62" t="s">
        <v>1320</v>
      </c>
      <c r="B489" s="62" t="s">
        <v>1313</v>
      </c>
      <c r="C489" s="62" t="s">
        <v>1315</v>
      </c>
      <c r="D489" s="62" t="str">
        <f t="shared" si="7"/>
        <v>Kakure</v>
      </c>
      <c r="F489" s="62">
        <v>452</v>
      </c>
    </row>
    <row r="490" spans="1:6">
      <c r="A490" s="62" t="s">
        <v>1315</v>
      </c>
      <c r="B490" s="62" t="s">
        <v>1313</v>
      </c>
      <c r="C490" s="62" t="s">
        <v>1315</v>
      </c>
      <c r="D490" s="62" t="str">
        <f t="shared" si="7"/>
        <v>Kalaki</v>
      </c>
      <c r="F490" s="62">
        <v>453</v>
      </c>
    </row>
    <row r="491" spans="1:6">
      <c r="A491" s="62" t="s">
        <v>1321</v>
      </c>
      <c r="B491" s="62" t="s">
        <v>1313</v>
      </c>
      <c r="C491" s="62" t="s">
        <v>1313</v>
      </c>
      <c r="D491" s="62" t="str">
        <f t="shared" si="7"/>
        <v>Kobulubulu</v>
      </c>
      <c r="F491" s="62">
        <v>454</v>
      </c>
    </row>
    <row r="492" spans="1:6">
      <c r="A492" s="62" t="s">
        <v>1322</v>
      </c>
      <c r="B492" s="62" t="s">
        <v>1313</v>
      </c>
      <c r="C492" s="62" t="s">
        <v>1313</v>
      </c>
      <c r="D492" s="62" t="str">
        <f t="shared" si="7"/>
        <v>Ochero</v>
      </c>
      <c r="F492" s="62">
        <v>455</v>
      </c>
    </row>
    <row r="493" spans="1:6">
      <c r="A493" s="62" t="s">
        <v>1323</v>
      </c>
      <c r="B493" s="62" t="s">
        <v>1313</v>
      </c>
      <c r="C493" s="62" t="s">
        <v>1315</v>
      </c>
      <c r="D493" s="62" t="str">
        <f t="shared" si="7"/>
        <v>Otuboi</v>
      </c>
      <c r="F493" s="62">
        <v>456</v>
      </c>
    </row>
    <row r="494" spans="1:6">
      <c r="A494" s="62" t="s">
        <v>1324</v>
      </c>
      <c r="B494" s="62" t="s">
        <v>1325</v>
      </c>
      <c r="C494" s="62" t="s">
        <v>1326</v>
      </c>
      <c r="D494" s="62" t="str">
        <f t="shared" si="7"/>
        <v>Burora</v>
      </c>
      <c r="F494" s="62">
        <v>457</v>
      </c>
    </row>
    <row r="495" spans="1:6">
      <c r="A495" s="62" t="s">
        <v>1327</v>
      </c>
      <c r="B495" s="62" t="s">
        <v>1325</v>
      </c>
      <c r="C495" s="62" t="s">
        <v>1326</v>
      </c>
      <c r="D495" s="62" t="str">
        <f t="shared" si="7"/>
        <v>Bwikara</v>
      </c>
      <c r="F495" s="62">
        <v>458</v>
      </c>
    </row>
    <row r="496" spans="1:6">
      <c r="A496" s="62" t="s">
        <v>1328</v>
      </c>
      <c r="B496" s="62" t="s">
        <v>1325</v>
      </c>
      <c r="C496" s="62" t="s">
        <v>1326</v>
      </c>
      <c r="D496" s="62" t="str">
        <f t="shared" si="7"/>
        <v>Kabamba</v>
      </c>
      <c r="F496" s="62">
        <v>459</v>
      </c>
    </row>
    <row r="497" spans="1:6">
      <c r="A497" s="62" t="s">
        <v>1325</v>
      </c>
      <c r="B497" s="62" t="s">
        <v>1325</v>
      </c>
      <c r="C497" s="62" t="s">
        <v>1326</v>
      </c>
      <c r="D497" s="62" t="str">
        <f t="shared" si="7"/>
        <v>Kagadi</v>
      </c>
      <c r="F497" s="62">
        <v>460</v>
      </c>
    </row>
    <row r="498" spans="1:6">
      <c r="A498" s="62" t="s">
        <v>1329</v>
      </c>
      <c r="B498" s="62" t="s">
        <v>1325</v>
      </c>
      <c r="C498" s="62" t="s">
        <v>1326</v>
      </c>
      <c r="D498" s="62" t="str">
        <f t="shared" si="7"/>
        <v>Kagadi Town Council</v>
      </c>
      <c r="F498" s="62">
        <v>461</v>
      </c>
    </row>
    <row r="499" spans="1:6">
      <c r="A499" s="62" t="s">
        <v>1330</v>
      </c>
      <c r="B499" s="62" t="s">
        <v>1325</v>
      </c>
      <c r="C499" s="62" t="s">
        <v>1326</v>
      </c>
      <c r="D499" s="62" t="str">
        <f t="shared" si="7"/>
        <v>Kiryanga</v>
      </c>
      <c r="F499" s="62">
        <v>462</v>
      </c>
    </row>
    <row r="500" spans="1:6">
      <c r="A500" s="62" t="s">
        <v>1331</v>
      </c>
      <c r="B500" s="62" t="s">
        <v>1325</v>
      </c>
      <c r="C500" s="62" t="s">
        <v>1326</v>
      </c>
      <c r="D500" s="62" t="str">
        <f t="shared" si="7"/>
        <v>Kyakabadiima</v>
      </c>
      <c r="F500" s="62">
        <v>463</v>
      </c>
    </row>
    <row r="501" spans="1:6">
      <c r="A501" s="62" t="s">
        <v>1332</v>
      </c>
      <c r="B501" s="62" t="s">
        <v>1325</v>
      </c>
      <c r="C501" s="62" t="s">
        <v>1326</v>
      </c>
      <c r="D501" s="62" t="str">
        <f t="shared" si="7"/>
        <v>Kyanaisoke</v>
      </c>
      <c r="F501" s="62">
        <v>464</v>
      </c>
    </row>
    <row r="502" spans="1:6">
      <c r="A502" s="62" t="s">
        <v>1333</v>
      </c>
      <c r="B502" s="62" t="s">
        <v>1325</v>
      </c>
      <c r="C502" s="62" t="s">
        <v>1326</v>
      </c>
      <c r="D502" s="62" t="str">
        <f t="shared" si="7"/>
        <v>Kyaterekera</v>
      </c>
      <c r="F502" s="62">
        <v>465</v>
      </c>
    </row>
    <row r="503" spans="1:6">
      <c r="A503" s="62" t="s">
        <v>1334</v>
      </c>
      <c r="B503" s="62" t="s">
        <v>1325</v>
      </c>
      <c r="C503" s="62" t="s">
        <v>1326</v>
      </c>
      <c r="D503" s="62" t="str">
        <f t="shared" si="7"/>
        <v>Kyenzige</v>
      </c>
      <c r="F503" s="62">
        <v>466</v>
      </c>
    </row>
    <row r="504" spans="1:6">
      <c r="A504" s="62" t="s">
        <v>1335</v>
      </c>
      <c r="B504" s="62" t="s">
        <v>1325</v>
      </c>
      <c r="C504" s="62" t="s">
        <v>1326</v>
      </c>
      <c r="D504" s="62" t="str">
        <f t="shared" si="7"/>
        <v>Mabaale</v>
      </c>
      <c r="F504" s="62">
        <v>467</v>
      </c>
    </row>
    <row r="505" spans="1:6">
      <c r="A505" s="62" t="s">
        <v>1336</v>
      </c>
      <c r="B505" s="62" t="s">
        <v>1325</v>
      </c>
      <c r="C505" s="62" t="s">
        <v>1326</v>
      </c>
      <c r="D505" s="62" t="str">
        <f t="shared" si="7"/>
        <v>Mpeefu</v>
      </c>
      <c r="F505" s="62">
        <v>468</v>
      </c>
    </row>
    <row r="506" spans="1:6">
      <c r="A506" s="62" t="s">
        <v>1337</v>
      </c>
      <c r="B506" s="62" t="s">
        <v>1325</v>
      </c>
      <c r="C506" s="62" t="s">
        <v>1326</v>
      </c>
      <c r="D506" s="62" t="str">
        <f t="shared" si="7"/>
        <v>Muhorro</v>
      </c>
      <c r="F506" s="62">
        <v>469</v>
      </c>
    </row>
    <row r="507" spans="1:6">
      <c r="A507" s="62" t="s">
        <v>1338</v>
      </c>
      <c r="B507" s="62" t="s">
        <v>1325</v>
      </c>
      <c r="C507" s="62" t="s">
        <v>1326</v>
      </c>
      <c r="D507" s="62" t="str">
        <f t="shared" si="7"/>
        <v>Muhorro Town Council</v>
      </c>
      <c r="F507" s="62">
        <v>470</v>
      </c>
    </row>
    <row r="508" spans="1:6">
      <c r="A508" s="62" t="s">
        <v>1339</v>
      </c>
      <c r="B508" s="62" t="s">
        <v>1325</v>
      </c>
      <c r="C508" s="62" t="s">
        <v>1326</v>
      </c>
      <c r="D508" s="62" t="str">
        <f t="shared" si="7"/>
        <v>Ndaiga</v>
      </c>
      <c r="F508" s="62">
        <v>471</v>
      </c>
    </row>
    <row r="509" spans="1:6">
      <c r="A509" s="62" t="s">
        <v>1340</v>
      </c>
      <c r="B509" s="62" t="s">
        <v>1325</v>
      </c>
      <c r="C509" s="62" t="s">
        <v>1326</v>
      </c>
      <c r="D509" s="62" t="str">
        <f t="shared" si="7"/>
        <v>Paacwa</v>
      </c>
      <c r="F509" s="62">
        <v>472</v>
      </c>
    </row>
    <row r="510" spans="1:6">
      <c r="A510" s="62" t="s">
        <v>1341</v>
      </c>
      <c r="B510" s="62" t="s">
        <v>1325</v>
      </c>
      <c r="C510" s="62" t="s">
        <v>1326</v>
      </c>
      <c r="D510" s="62" t="str">
        <f t="shared" si="7"/>
        <v>Rugashari</v>
      </c>
      <c r="F510" s="62">
        <v>473</v>
      </c>
    </row>
    <row r="511" spans="1:6">
      <c r="A511" s="62" t="s">
        <v>1342</v>
      </c>
      <c r="B511" s="62" t="s">
        <v>1325</v>
      </c>
      <c r="C511" s="62" t="s">
        <v>1326</v>
      </c>
      <c r="D511" s="62" t="str">
        <f t="shared" si="7"/>
        <v>Ruteete-Kagadi</v>
      </c>
      <c r="F511" s="62">
        <v>474</v>
      </c>
    </row>
    <row r="512" spans="1:6">
      <c r="A512" s="62" t="s">
        <v>1343</v>
      </c>
      <c r="B512" s="62" t="s">
        <v>1344</v>
      </c>
      <c r="C512" s="62" t="s">
        <v>1345</v>
      </c>
      <c r="D512" s="62" t="str">
        <f t="shared" si="7"/>
        <v>Birembo</v>
      </c>
      <c r="F512" s="62">
        <v>475</v>
      </c>
    </row>
    <row r="513" spans="1:6">
      <c r="A513" s="62" t="s">
        <v>1346</v>
      </c>
      <c r="B513" s="62" t="s">
        <v>1344</v>
      </c>
      <c r="C513" s="62" t="s">
        <v>1345</v>
      </c>
      <c r="D513" s="62" t="str">
        <f t="shared" si="7"/>
        <v>Bwanswa</v>
      </c>
      <c r="F513" s="62">
        <v>476</v>
      </c>
    </row>
    <row r="514" spans="1:6">
      <c r="A514" s="62" t="s">
        <v>1347</v>
      </c>
      <c r="B514" s="62" t="s">
        <v>1344</v>
      </c>
      <c r="C514" s="62" t="s">
        <v>1345</v>
      </c>
      <c r="D514" s="62" t="str">
        <f t="shared" ref="D514:D577" si="8">A514</f>
        <v>Kakindo</v>
      </c>
      <c r="F514" s="62">
        <v>477</v>
      </c>
    </row>
    <row r="515" spans="1:6">
      <c r="A515" s="62" t="s">
        <v>1348</v>
      </c>
      <c r="B515" s="62" t="s">
        <v>1344</v>
      </c>
      <c r="C515" s="62" t="s">
        <v>1345</v>
      </c>
      <c r="D515" s="62" t="str">
        <f t="shared" si="8"/>
        <v>Kakumiro Town Council</v>
      </c>
      <c r="F515" s="62">
        <v>478</v>
      </c>
    </row>
    <row r="516" spans="1:6">
      <c r="A516" s="62" t="s">
        <v>1349</v>
      </c>
      <c r="D516" s="62" t="str">
        <f t="shared" si="8"/>
        <v>KAKUMIRO</v>
      </c>
      <c r="F516" s="62">
        <v>478</v>
      </c>
    </row>
    <row r="517" spans="1:6">
      <c r="A517" s="62" t="s">
        <v>1350</v>
      </c>
      <c r="B517" s="62" t="s">
        <v>1344</v>
      </c>
      <c r="C517" s="62" t="s">
        <v>1345</v>
      </c>
      <c r="D517" s="62" t="str">
        <f t="shared" si="8"/>
        <v>Kasambya-Kakumiro</v>
      </c>
      <c r="F517" s="62">
        <v>479</v>
      </c>
    </row>
    <row r="518" spans="1:6">
      <c r="A518" s="62" t="s">
        <v>1351</v>
      </c>
      <c r="B518" s="62" t="s">
        <v>1344</v>
      </c>
      <c r="C518" s="62" t="s">
        <v>1345</v>
      </c>
      <c r="D518" s="62" t="str">
        <f t="shared" si="8"/>
        <v>Kikwaya</v>
      </c>
      <c r="F518" s="62">
        <v>480</v>
      </c>
    </row>
    <row r="519" spans="1:6">
      <c r="A519" s="62" t="s">
        <v>1352</v>
      </c>
      <c r="B519" s="62" t="s">
        <v>1344</v>
      </c>
      <c r="C519" s="62" t="s">
        <v>1345</v>
      </c>
      <c r="D519" s="62" t="str">
        <f t="shared" si="8"/>
        <v>Kisiita</v>
      </c>
      <c r="F519" s="62">
        <v>481</v>
      </c>
    </row>
    <row r="520" spans="1:6">
      <c r="A520" s="62" t="s">
        <v>1353</v>
      </c>
      <c r="B520" s="62" t="s">
        <v>1344</v>
      </c>
      <c r="C520" s="62" t="s">
        <v>1345</v>
      </c>
      <c r="D520" s="62" t="str">
        <f t="shared" si="8"/>
        <v>Kitaihuka</v>
      </c>
      <c r="F520" s="62">
        <v>482</v>
      </c>
    </row>
    <row r="521" spans="1:6">
      <c r="A521" s="62" t="s">
        <v>1354</v>
      </c>
      <c r="B521" s="62" t="s">
        <v>1344</v>
      </c>
      <c r="C521" s="62" t="s">
        <v>1345</v>
      </c>
      <c r="D521" s="62" t="str">
        <f t="shared" si="8"/>
        <v>Mpasaana</v>
      </c>
      <c r="F521" s="62">
        <v>483</v>
      </c>
    </row>
    <row r="522" spans="1:6">
      <c r="A522" s="62" t="s">
        <v>1355</v>
      </c>
      <c r="B522" s="62" t="s">
        <v>1344</v>
      </c>
      <c r="C522" s="62" t="s">
        <v>1345</v>
      </c>
      <c r="D522" s="62" t="str">
        <f t="shared" si="8"/>
        <v>Nalweyo</v>
      </c>
      <c r="F522" s="62">
        <v>484</v>
      </c>
    </row>
    <row r="523" spans="1:6">
      <c r="A523" s="62" t="s">
        <v>1356</v>
      </c>
      <c r="B523" s="62" t="s">
        <v>1344</v>
      </c>
      <c r="C523" s="62" t="s">
        <v>1345</v>
      </c>
      <c r="D523" s="62" t="str">
        <f t="shared" si="8"/>
        <v>Nkooko</v>
      </c>
      <c r="F523" s="62">
        <v>485</v>
      </c>
    </row>
    <row r="524" spans="1:6">
      <c r="A524" s="62" t="s">
        <v>1357</v>
      </c>
      <c r="B524" s="62" t="s">
        <v>1358</v>
      </c>
      <c r="C524" s="62" t="s">
        <v>1359</v>
      </c>
      <c r="D524" s="62" t="str">
        <f t="shared" si="8"/>
        <v>Bubeke</v>
      </c>
      <c r="F524" s="62">
        <v>486</v>
      </c>
    </row>
    <row r="525" spans="1:6">
      <c r="A525" s="62" t="s">
        <v>1360</v>
      </c>
      <c r="B525" s="62" t="s">
        <v>1358</v>
      </c>
      <c r="C525" s="62" t="s">
        <v>1359</v>
      </c>
      <c r="D525" s="62" t="str">
        <f t="shared" si="8"/>
        <v>Bufumira</v>
      </c>
      <c r="F525" s="62">
        <v>487</v>
      </c>
    </row>
    <row r="526" spans="1:6">
      <c r="A526" s="62" t="s">
        <v>1361</v>
      </c>
      <c r="B526" s="62" t="s">
        <v>1358</v>
      </c>
      <c r="C526" s="62" t="s">
        <v>1361</v>
      </c>
      <c r="D526" s="62" t="str">
        <f t="shared" si="8"/>
        <v>Bujumba</v>
      </c>
      <c r="F526" s="62">
        <v>488</v>
      </c>
    </row>
    <row r="527" spans="1:6">
      <c r="A527" s="62" t="s">
        <v>1362</v>
      </c>
      <c r="B527" s="62" t="s">
        <v>1358</v>
      </c>
      <c r="C527" s="62" t="s">
        <v>1361</v>
      </c>
      <c r="D527" s="62" t="str">
        <f t="shared" si="8"/>
        <v>Kalangala Town Council</v>
      </c>
      <c r="F527" s="62">
        <v>489</v>
      </c>
    </row>
    <row r="528" spans="1:6">
      <c r="A528" s="62" t="s">
        <v>1359</v>
      </c>
      <c r="B528" s="62" t="s">
        <v>1358</v>
      </c>
      <c r="C528" s="62" t="s">
        <v>1359</v>
      </c>
      <c r="D528" s="62" t="str">
        <f t="shared" si="8"/>
        <v>Kyamuswa</v>
      </c>
      <c r="F528" s="62">
        <v>490</v>
      </c>
    </row>
    <row r="529" spans="1:6">
      <c r="A529" s="62" t="s">
        <v>1363</v>
      </c>
      <c r="B529" s="62" t="s">
        <v>1358</v>
      </c>
      <c r="C529" s="62" t="s">
        <v>1359</v>
      </c>
      <c r="D529" s="62" t="str">
        <f t="shared" si="8"/>
        <v>Mazinga</v>
      </c>
      <c r="F529" s="62">
        <v>491</v>
      </c>
    </row>
    <row r="530" spans="1:6">
      <c r="A530" s="62" t="s">
        <v>1364</v>
      </c>
      <c r="B530" s="62" t="s">
        <v>1358</v>
      </c>
      <c r="C530" s="62" t="s">
        <v>1361</v>
      </c>
      <c r="D530" s="62" t="str">
        <f t="shared" si="8"/>
        <v>Mugoye</v>
      </c>
      <c r="F530" s="62">
        <v>492</v>
      </c>
    </row>
    <row r="531" spans="1:6">
      <c r="A531" s="62" t="s">
        <v>1365</v>
      </c>
      <c r="B531" s="62" t="s">
        <v>1366</v>
      </c>
      <c r="C531" s="62" t="s">
        <v>1198</v>
      </c>
      <c r="D531" s="62" t="str">
        <f t="shared" si="8"/>
        <v>Budomero</v>
      </c>
      <c r="F531" s="62">
        <v>493</v>
      </c>
    </row>
    <row r="532" spans="1:6">
      <c r="A532" s="62" t="s">
        <v>1367</v>
      </c>
      <c r="B532" s="62" t="s">
        <v>1366</v>
      </c>
      <c r="C532" s="62" t="s">
        <v>1198</v>
      </c>
      <c r="D532" s="62" t="str">
        <f t="shared" si="8"/>
        <v>Bukamba</v>
      </c>
      <c r="F532" s="62">
        <v>494</v>
      </c>
    </row>
    <row r="533" spans="1:6">
      <c r="A533" s="62" t="s">
        <v>1368</v>
      </c>
      <c r="B533" s="62" t="s">
        <v>1366</v>
      </c>
      <c r="C533" s="62" t="s">
        <v>1198</v>
      </c>
      <c r="D533" s="62" t="str">
        <f t="shared" si="8"/>
        <v>Bumanya</v>
      </c>
      <c r="F533" s="62">
        <v>495</v>
      </c>
    </row>
    <row r="534" spans="1:6">
      <c r="A534" s="62" t="s">
        <v>1369</v>
      </c>
      <c r="B534" s="62" t="s">
        <v>1366</v>
      </c>
      <c r="C534" s="62" t="s">
        <v>1198</v>
      </c>
      <c r="D534" s="62" t="str">
        <f t="shared" si="8"/>
        <v>Buyinda</v>
      </c>
      <c r="F534" s="62">
        <v>496</v>
      </c>
    </row>
    <row r="535" spans="1:6">
      <c r="A535" s="62" t="s">
        <v>1370</v>
      </c>
      <c r="B535" s="62" t="s">
        <v>1366</v>
      </c>
      <c r="C535" s="62" t="s">
        <v>1198</v>
      </c>
      <c r="D535" s="62" t="str">
        <f t="shared" si="8"/>
        <v>Gadumire</v>
      </c>
      <c r="F535" s="62">
        <v>497</v>
      </c>
    </row>
    <row r="536" spans="1:6">
      <c r="A536" s="62" t="s">
        <v>1371</v>
      </c>
      <c r="B536" s="62" t="s">
        <v>1366</v>
      </c>
      <c r="C536" s="62" t="s">
        <v>1198</v>
      </c>
      <c r="D536" s="62" t="str">
        <f t="shared" si="8"/>
        <v>Kaliro Town Council</v>
      </c>
      <c r="F536" s="62">
        <v>498</v>
      </c>
    </row>
    <row r="537" spans="1:6">
      <c r="A537" s="62" t="s">
        <v>1372</v>
      </c>
      <c r="B537" s="62" t="s">
        <v>1366</v>
      </c>
      <c r="C537" s="62" t="s">
        <v>1198</v>
      </c>
      <c r="D537" s="62" t="str">
        <f t="shared" si="8"/>
        <v>Kasokwe</v>
      </c>
      <c r="F537" s="62">
        <v>499</v>
      </c>
    </row>
    <row r="538" spans="1:6">
      <c r="A538" s="62" t="s">
        <v>1373</v>
      </c>
      <c r="B538" s="62" t="s">
        <v>1366</v>
      </c>
      <c r="C538" s="62" t="s">
        <v>1198</v>
      </c>
      <c r="D538" s="62" t="str">
        <f t="shared" si="8"/>
        <v>Kisinda</v>
      </c>
      <c r="F538" s="62">
        <v>500</v>
      </c>
    </row>
    <row r="539" spans="1:6">
      <c r="A539" s="62" t="s">
        <v>1374</v>
      </c>
      <c r="B539" s="62" t="s">
        <v>1366</v>
      </c>
      <c r="C539" s="62" t="s">
        <v>1198</v>
      </c>
      <c r="D539" s="62" t="str">
        <f t="shared" si="8"/>
        <v>Namugongo-Kaliro</v>
      </c>
      <c r="F539" s="62">
        <v>501</v>
      </c>
    </row>
    <row r="540" spans="1:6">
      <c r="A540" s="62" t="s">
        <v>1375</v>
      </c>
      <c r="B540" s="62" t="s">
        <v>1366</v>
      </c>
      <c r="C540" s="62" t="s">
        <v>1198</v>
      </c>
      <c r="D540" s="62" t="str">
        <f t="shared" si="8"/>
        <v>Namwiwa</v>
      </c>
      <c r="F540" s="62">
        <v>502</v>
      </c>
    </row>
    <row r="541" spans="1:6">
      <c r="A541" s="62" t="s">
        <v>1376</v>
      </c>
      <c r="B541" s="62" t="s">
        <v>1366</v>
      </c>
      <c r="C541" s="62" t="s">
        <v>1198</v>
      </c>
      <c r="D541" s="62" t="str">
        <f t="shared" si="8"/>
        <v>Nansololo</v>
      </c>
      <c r="F541" s="62">
        <v>503</v>
      </c>
    </row>
    <row r="542" spans="1:6">
      <c r="A542" s="62" t="s">
        <v>1377</v>
      </c>
      <c r="B542" s="62" t="s">
        <v>1366</v>
      </c>
      <c r="C542" s="62" t="s">
        <v>1198</v>
      </c>
      <c r="D542" s="62" t="str">
        <f t="shared" si="8"/>
        <v>Nawaikoke</v>
      </c>
      <c r="F542" s="62">
        <v>504</v>
      </c>
    </row>
    <row r="543" spans="1:6">
      <c r="A543" s="62" t="s">
        <v>1378</v>
      </c>
      <c r="B543" s="62" t="s">
        <v>1379</v>
      </c>
      <c r="C543" s="62" t="s">
        <v>1379</v>
      </c>
      <c r="D543" s="62" t="str">
        <f t="shared" si="8"/>
        <v>Bukulula</v>
      </c>
      <c r="F543" s="62">
        <v>505</v>
      </c>
    </row>
    <row r="544" spans="1:6">
      <c r="A544" s="62" t="s">
        <v>1379</v>
      </c>
      <c r="B544" s="62" t="s">
        <v>1379</v>
      </c>
      <c r="C544" s="62" t="s">
        <v>1379</v>
      </c>
      <c r="D544" s="62" t="str">
        <f t="shared" si="8"/>
        <v>Kalungu</v>
      </c>
      <c r="F544" s="62">
        <v>506</v>
      </c>
    </row>
    <row r="545" spans="1:6">
      <c r="A545" s="62" t="s">
        <v>1380</v>
      </c>
      <c r="B545" s="62" t="s">
        <v>1379</v>
      </c>
      <c r="C545" s="62" t="s">
        <v>1379</v>
      </c>
      <c r="D545" s="62" t="str">
        <f t="shared" si="8"/>
        <v>Kalungu Town Council</v>
      </c>
      <c r="F545" s="62">
        <v>507</v>
      </c>
    </row>
    <row r="546" spans="1:6">
      <c r="A546" s="62" t="s">
        <v>1381</v>
      </c>
      <c r="B546" s="62" t="s">
        <v>1379</v>
      </c>
      <c r="C546" s="62" t="s">
        <v>1379</v>
      </c>
      <c r="D546" s="62" t="str">
        <f t="shared" si="8"/>
        <v>Kyamulibwa</v>
      </c>
      <c r="F546" s="62">
        <v>508</v>
      </c>
    </row>
    <row r="547" spans="1:6">
      <c r="A547" s="62" t="s">
        <v>1382</v>
      </c>
      <c r="B547" s="62" t="s">
        <v>1379</v>
      </c>
      <c r="C547" s="62" t="s">
        <v>1379</v>
      </c>
      <c r="D547" s="62" t="str">
        <f t="shared" si="8"/>
        <v>Kyamulibwa Town Council</v>
      </c>
      <c r="F547" s="62">
        <v>509</v>
      </c>
    </row>
    <row r="548" spans="1:6">
      <c r="A548" s="62" t="s">
        <v>1383</v>
      </c>
      <c r="B548" s="62" t="s">
        <v>1379</v>
      </c>
      <c r="C548" s="62" t="s">
        <v>1379</v>
      </c>
      <c r="D548" s="62" t="str">
        <f t="shared" si="8"/>
        <v>Lukaya Town Council</v>
      </c>
      <c r="F548" s="62">
        <v>510</v>
      </c>
    </row>
    <row r="549" spans="1:6">
      <c r="A549" s="62" t="s">
        <v>762</v>
      </c>
      <c r="D549" s="62" t="str">
        <f t="shared" si="8"/>
        <v>LUKAYA</v>
      </c>
      <c r="F549" s="62">
        <v>510</v>
      </c>
    </row>
    <row r="550" spans="1:6">
      <c r="A550" s="62" t="s">
        <v>1384</v>
      </c>
      <c r="D550" s="62" t="str">
        <f t="shared" si="8"/>
        <v>BIRONGO</v>
      </c>
      <c r="F550" s="62">
        <v>510</v>
      </c>
    </row>
    <row r="551" spans="1:6">
      <c r="A551" s="62" t="s">
        <v>1385</v>
      </c>
      <c r="B551" s="62" t="s">
        <v>1379</v>
      </c>
      <c r="C551" s="62" t="s">
        <v>1379</v>
      </c>
      <c r="D551" s="62" t="str">
        <f t="shared" si="8"/>
        <v>Lwabenge</v>
      </c>
      <c r="F551" s="62">
        <v>511</v>
      </c>
    </row>
    <row r="552" spans="1:6">
      <c r="A552" s="65" t="s">
        <v>1386</v>
      </c>
      <c r="B552" s="62" t="s">
        <v>1387</v>
      </c>
      <c r="C552" s="62" t="s">
        <v>1388</v>
      </c>
      <c r="D552" s="62" t="str">
        <f t="shared" si="8"/>
        <v>Banda</v>
      </c>
      <c r="E552" s="62" t="str">
        <f>A552</f>
        <v>Banda</v>
      </c>
      <c r="F552" s="62">
        <v>512</v>
      </c>
    </row>
    <row r="553" spans="1:6">
      <c r="A553" s="65" t="s">
        <v>1389</v>
      </c>
      <c r="B553" s="62" t="s">
        <v>1387</v>
      </c>
      <c r="C553" s="62" t="s">
        <v>1388</v>
      </c>
      <c r="D553" s="62" t="str">
        <f t="shared" si="8"/>
        <v>Bugolobi</v>
      </c>
      <c r="E553" s="62" t="str">
        <f>A553</f>
        <v>Bugolobi</v>
      </c>
      <c r="F553" s="62">
        <v>513</v>
      </c>
    </row>
    <row r="554" spans="1:6">
      <c r="A554" s="65" t="s">
        <v>1390</v>
      </c>
      <c r="D554" s="62" t="str">
        <f t="shared" si="8"/>
        <v>KITINTALE</v>
      </c>
      <c r="F554" s="62">
        <v>513</v>
      </c>
    </row>
    <row r="555" spans="1:6">
      <c r="A555" s="65" t="s">
        <v>1391</v>
      </c>
      <c r="D555" s="62" t="str">
        <f t="shared" si="8"/>
        <v xml:space="preserve"> KINTALE</v>
      </c>
      <c r="F555" s="62">
        <v>513</v>
      </c>
    </row>
    <row r="556" spans="1:6">
      <c r="A556" s="65" t="s">
        <v>1392</v>
      </c>
      <c r="B556" s="62" t="s">
        <v>1387</v>
      </c>
      <c r="C556" s="62" t="s">
        <v>1388</v>
      </c>
      <c r="D556" s="62" t="str">
        <f t="shared" si="8"/>
        <v>Bukasa</v>
      </c>
      <c r="E556" s="62" t="str">
        <f>A556</f>
        <v>Bukasa</v>
      </c>
      <c r="F556" s="62">
        <v>514</v>
      </c>
    </row>
    <row r="557" spans="1:6">
      <c r="A557" s="62" t="s">
        <v>1393</v>
      </c>
      <c r="B557" s="62" t="s">
        <v>1387</v>
      </c>
      <c r="C557" s="62" t="s">
        <v>1388</v>
      </c>
      <c r="D557" s="62" t="str">
        <f t="shared" si="8"/>
        <v>Bukesa</v>
      </c>
      <c r="E557" s="62" t="str">
        <f>A557</f>
        <v>Bukesa</v>
      </c>
      <c r="F557" s="62">
        <v>515</v>
      </c>
    </row>
    <row r="558" spans="1:6">
      <c r="A558" s="65" t="s">
        <v>23</v>
      </c>
      <c r="B558" s="62" t="s">
        <v>1387</v>
      </c>
      <c r="C558" s="62" t="s">
        <v>1388</v>
      </c>
      <c r="D558" s="62" t="str">
        <f t="shared" si="8"/>
        <v>Bukoto</v>
      </c>
      <c r="E558" s="62" t="str">
        <f>A558</f>
        <v>Bukoto</v>
      </c>
      <c r="F558" s="62">
        <v>516</v>
      </c>
    </row>
    <row r="559" spans="1:6">
      <c r="A559" s="65" t="s">
        <v>1394</v>
      </c>
      <c r="B559" s="62" t="s">
        <v>1387</v>
      </c>
      <c r="C559" s="62" t="s">
        <v>1388</v>
      </c>
      <c r="D559" s="62" t="str">
        <f t="shared" si="8"/>
        <v>Busega</v>
      </c>
      <c r="E559" s="62" t="str">
        <f>A559</f>
        <v>Busega</v>
      </c>
      <c r="F559" s="62">
        <v>517</v>
      </c>
    </row>
    <row r="560" spans="1:6">
      <c r="A560" s="65" t="s">
        <v>1395</v>
      </c>
      <c r="D560" s="62" t="str">
        <f t="shared" si="8"/>
        <v xml:space="preserve">BUSEGA </v>
      </c>
      <c r="F560" s="62">
        <v>517</v>
      </c>
    </row>
    <row r="561" spans="1:6">
      <c r="A561" s="65" t="s">
        <v>1396</v>
      </c>
      <c r="D561" s="62" t="str">
        <f t="shared" si="8"/>
        <v xml:space="preserve">MASAKA ROAD </v>
      </c>
      <c r="F561" s="62">
        <v>517</v>
      </c>
    </row>
    <row r="562" spans="1:6">
      <c r="A562" s="65" t="s">
        <v>1397</v>
      </c>
      <c r="B562" s="62" t="s">
        <v>1387</v>
      </c>
      <c r="C562" s="62" t="s">
        <v>1388</v>
      </c>
      <c r="D562" s="62" t="str">
        <f t="shared" si="8"/>
        <v>Butabika</v>
      </c>
      <c r="E562" s="62" t="str">
        <f>A562</f>
        <v>Butabika</v>
      </c>
      <c r="F562" s="62">
        <v>518</v>
      </c>
    </row>
    <row r="563" spans="1:6">
      <c r="A563" s="65" t="s">
        <v>1398</v>
      </c>
      <c r="B563" s="62" t="s">
        <v>1387</v>
      </c>
      <c r="C563" s="62" t="s">
        <v>1388</v>
      </c>
      <c r="D563" s="62" t="str">
        <f t="shared" si="8"/>
        <v>Buziga</v>
      </c>
      <c r="E563" s="62" t="str">
        <f>A563</f>
        <v>Buziga</v>
      </c>
      <c r="F563" s="62">
        <v>519</v>
      </c>
    </row>
    <row r="564" spans="1:6">
      <c r="A564" s="65" t="s">
        <v>1399</v>
      </c>
      <c r="D564" s="62" t="str">
        <f t="shared" si="8"/>
        <v>Buzigga</v>
      </c>
      <c r="F564" s="62">
        <v>519</v>
      </c>
    </row>
    <row r="565" spans="1:6">
      <c r="A565" s="62" t="s">
        <v>1400</v>
      </c>
      <c r="B565" s="62" t="s">
        <v>1387</v>
      </c>
      <c r="C565" s="62" t="s">
        <v>1388</v>
      </c>
      <c r="D565" s="62" t="str">
        <f t="shared" si="8"/>
        <v>Bwaise</v>
      </c>
      <c r="E565" s="62" t="str">
        <f>A565</f>
        <v>Bwaise</v>
      </c>
      <c r="F565" s="62">
        <v>520</v>
      </c>
    </row>
    <row r="566" spans="1:6">
      <c r="A566" s="62" t="s">
        <v>1401</v>
      </c>
      <c r="D566" s="62" t="str">
        <f t="shared" si="8"/>
        <v>BWAISE</v>
      </c>
      <c r="F566" s="62">
        <v>520</v>
      </c>
    </row>
    <row r="567" spans="1:6">
      <c r="A567" s="62" t="s">
        <v>1402</v>
      </c>
      <c r="B567" s="62" t="s">
        <v>1387</v>
      </c>
      <c r="C567" s="62" t="s">
        <v>1388</v>
      </c>
      <c r="D567" s="62" t="str">
        <f t="shared" si="8"/>
        <v>Civic Centre</v>
      </c>
      <c r="E567" s="62" t="str">
        <f>A567</f>
        <v>Civic Centre</v>
      </c>
      <c r="F567" s="62">
        <v>521</v>
      </c>
    </row>
    <row r="568" spans="1:6">
      <c r="A568" s="62" t="s">
        <v>1388</v>
      </c>
      <c r="D568" s="62" t="str">
        <f t="shared" si="8"/>
        <v>KCCA</v>
      </c>
      <c r="F568" s="62">
        <v>521</v>
      </c>
    </row>
    <row r="569" spans="1:6">
      <c r="A569" s="62" t="s">
        <v>1403</v>
      </c>
      <c r="D569" s="62" t="str">
        <f t="shared" si="8"/>
        <v xml:space="preserve">KAMPALA </v>
      </c>
      <c r="F569" s="62">
        <v>521</v>
      </c>
    </row>
    <row r="570" spans="1:6">
      <c r="A570" s="62" t="s">
        <v>1404</v>
      </c>
      <c r="D570" s="62" t="str">
        <f t="shared" si="8"/>
        <v>KAMPALA CITY</v>
      </c>
      <c r="F570" s="62">
        <v>521</v>
      </c>
    </row>
    <row r="571" spans="1:6">
      <c r="A571" s="62" t="s">
        <v>1405</v>
      </c>
      <c r="D571" s="62" t="str">
        <f t="shared" si="8"/>
        <v>TOWN CITY</v>
      </c>
      <c r="F571" s="62">
        <v>521</v>
      </c>
    </row>
    <row r="572" spans="1:6">
      <c r="A572" s="62" t="s">
        <v>1406</v>
      </c>
      <c r="D572" s="62" t="str">
        <f t="shared" si="8"/>
        <v>City Center</v>
      </c>
      <c r="F572" s="62">
        <v>521</v>
      </c>
    </row>
    <row r="573" spans="1:6">
      <c r="A573" s="62" t="s">
        <v>1407</v>
      </c>
      <c r="D573" s="62" t="str">
        <f t="shared" si="8"/>
        <v>KAMPALA TOWN</v>
      </c>
      <c r="F573" s="62">
        <v>521</v>
      </c>
    </row>
    <row r="574" spans="1:6">
      <c r="A574" s="62" t="s">
        <v>1408</v>
      </c>
      <c r="D574" s="62" t="str">
        <f t="shared" si="8"/>
        <v>KAMPALA ROAD</v>
      </c>
      <c r="F574" s="62">
        <v>521</v>
      </c>
    </row>
    <row r="575" spans="1:6">
      <c r="A575" s="62" t="s">
        <v>1409</v>
      </c>
      <c r="D575" s="62" t="str">
        <f t="shared" si="8"/>
        <v>TOWN CENTER</v>
      </c>
      <c r="F575" s="62">
        <v>521</v>
      </c>
    </row>
    <row r="576" spans="1:6">
      <c r="A576" s="62" t="s">
        <v>1410</v>
      </c>
      <c r="D576" s="62" t="str">
        <f t="shared" si="8"/>
        <v>SHERATON HOTEL</v>
      </c>
      <c r="F576" s="62">
        <v>521</v>
      </c>
    </row>
    <row r="577" spans="1:6">
      <c r="A577" s="62" t="s">
        <v>1411</v>
      </c>
      <c r="D577" s="62" t="str">
        <f t="shared" si="8"/>
        <v>SERENA KAMPALA</v>
      </c>
      <c r="F577" s="62">
        <v>521</v>
      </c>
    </row>
    <row r="578" spans="1:6">
      <c r="A578" s="62" t="s">
        <v>1412</v>
      </c>
      <c r="D578" s="62" t="str">
        <f t="shared" ref="D578:D641" si="9">A578</f>
        <v>SERENA</v>
      </c>
      <c r="F578" s="62">
        <v>521</v>
      </c>
    </row>
    <row r="579" spans="1:6">
      <c r="A579" s="62" t="s">
        <v>1413</v>
      </c>
      <c r="D579" s="62" t="str">
        <f t="shared" si="9"/>
        <v>CITY TYRES</v>
      </c>
      <c r="F579" s="62">
        <v>521</v>
      </c>
    </row>
    <row r="580" spans="1:6">
      <c r="A580" s="62" t="s">
        <v>1414</v>
      </c>
      <c r="D580" s="62" t="str">
        <f t="shared" si="9"/>
        <v>KISEKKA MARKET</v>
      </c>
      <c r="F580" s="62">
        <v>521</v>
      </c>
    </row>
    <row r="581" spans="1:6">
      <c r="A581" s="62" t="s">
        <v>1415</v>
      </c>
      <c r="D581" s="62" t="str">
        <f t="shared" si="9"/>
        <v>City centre</v>
      </c>
      <c r="F581" s="62">
        <v>521</v>
      </c>
    </row>
    <row r="582" spans="1:6">
      <c r="A582" s="62" t="s">
        <v>1416</v>
      </c>
      <c r="D582" s="62" t="str">
        <f t="shared" si="9"/>
        <v>Clock tower</v>
      </c>
      <c r="F582" s="62">
        <v>521</v>
      </c>
    </row>
    <row r="583" spans="1:6">
      <c r="A583" s="62" t="s">
        <v>1417</v>
      </c>
      <c r="D583" s="62" t="str">
        <f t="shared" si="9"/>
        <v>CLOCKTOWER</v>
      </c>
      <c r="F583" s="62">
        <v>521</v>
      </c>
    </row>
    <row r="584" spans="1:6">
      <c r="A584" s="62" t="s">
        <v>1418</v>
      </c>
      <c r="D584" s="62" t="str">
        <f t="shared" si="9"/>
        <v>CTYSQUARE</v>
      </c>
      <c r="F584" s="62">
        <v>521</v>
      </c>
    </row>
    <row r="585" spans="1:6">
      <c r="A585" s="62" t="s">
        <v>1419</v>
      </c>
      <c r="D585" s="62" t="str">
        <f t="shared" si="9"/>
        <v>Ultima hospital</v>
      </c>
      <c r="F585" s="62">
        <v>521</v>
      </c>
    </row>
    <row r="586" spans="1:6">
      <c r="A586" s="62" t="s">
        <v>1420</v>
      </c>
      <c r="D586" s="62" t="str">
        <f t="shared" si="9"/>
        <v>NALULE</v>
      </c>
      <c r="F586" s="62">
        <v>521</v>
      </c>
    </row>
    <row r="587" spans="1:6">
      <c r="A587" s="62" t="s">
        <v>1421</v>
      </c>
      <c r="D587" s="62" t="str">
        <f t="shared" si="9"/>
        <v>NAMAYIBA</v>
      </c>
      <c r="F587" s="62">
        <v>521</v>
      </c>
    </row>
    <row r="588" spans="1:6">
      <c r="A588" s="62" t="s">
        <v>1422</v>
      </c>
      <c r="D588" s="62" t="str">
        <f t="shared" si="9"/>
        <v>NAMAYIMBA</v>
      </c>
      <c r="F588" s="62">
        <v>521</v>
      </c>
    </row>
    <row r="589" spans="1:6">
      <c r="A589" s="62" t="s">
        <v>1423</v>
      </c>
      <c r="D589" s="62" t="str">
        <f t="shared" si="9"/>
        <v>NAMAYIBA PARK</v>
      </c>
      <c r="F589" s="62">
        <v>521</v>
      </c>
    </row>
    <row r="590" spans="1:6">
      <c r="A590" s="62" t="s">
        <v>1424</v>
      </c>
      <c r="D590" s="62" t="str">
        <f t="shared" si="9"/>
        <v>WORKERS HOUSE</v>
      </c>
      <c r="F590" s="62">
        <v>521</v>
      </c>
    </row>
    <row r="591" spans="1:6">
      <c r="A591" s="62" t="s">
        <v>1425</v>
      </c>
      <c r="D591" s="62" t="str">
        <f t="shared" si="9"/>
        <v>Shoprite</v>
      </c>
      <c r="F591" s="62">
        <v>521</v>
      </c>
    </row>
    <row r="592" spans="1:6">
      <c r="A592" s="62" t="s">
        <v>1426</v>
      </c>
      <c r="D592" s="62" t="str">
        <f t="shared" si="9"/>
        <v>LUGOGO</v>
      </c>
      <c r="F592" s="62">
        <v>521</v>
      </c>
    </row>
    <row r="593" spans="1:6">
      <c r="A593" s="62" t="s">
        <v>1427</v>
      </c>
      <c r="D593" s="62" t="str">
        <f t="shared" si="9"/>
        <v>KATI KATI</v>
      </c>
      <c r="F593" s="62">
        <v>521</v>
      </c>
    </row>
    <row r="594" spans="1:6">
      <c r="A594" s="62" t="s">
        <v>1428</v>
      </c>
      <c r="D594" s="62" t="str">
        <f t="shared" si="9"/>
        <v>Wava water</v>
      </c>
      <c r="F594" s="62">
        <v>521</v>
      </c>
    </row>
    <row r="595" spans="1:6">
      <c r="A595" s="62" t="s">
        <v>1429</v>
      </c>
      <c r="D595" s="62" t="str">
        <f t="shared" si="9"/>
        <v xml:space="preserve">Mini price </v>
      </c>
      <c r="F595" s="62">
        <v>521</v>
      </c>
    </row>
    <row r="596" spans="1:6">
      <c r="A596" s="62" t="s">
        <v>1430</v>
      </c>
      <c r="D596" s="62" t="str">
        <f t="shared" si="9"/>
        <v>Ben kiwanuka</v>
      </c>
      <c r="F596" s="62">
        <v>521</v>
      </c>
    </row>
    <row r="597" spans="1:6">
      <c r="A597" s="62" t="s">
        <v>1431</v>
      </c>
      <c r="D597" s="62" t="str">
        <f t="shared" si="9"/>
        <v>BENKIWANKA</v>
      </c>
      <c r="F597" s="62">
        <v>521</v>
      </c>
    </row>
    <row r="598" spans="1:6">
      <c r="A598" s="62" t="s">
        <v>1432</v>
      </c>
      <c r="D598" s="62" t="str">
        <f t="shared" si="9"/>
        <v>SAHSEN PLAZA</v>
      </c>
      <c r="F598" s="62">
        <v>521</v>
      </c>
    </row>
    <row r="599" spans="1:6">
      <c r="A599" s="62" t="s">
        <v>1433</v>
      </c>
      <c r="D599" s="62" t="str">
        <f t="shared" si="9"/>
        <v>OWINO</v>
      </c>
      <c r="F599" s="62">
        <v>521</v>
      </c>
    </row>
    <row r="600" spans="1:6">
      <c r="A600" s="62" t="s">
        <v>1434</v>
      </c>
      <c r="D600" s="62" t="str">
        <f t="shared" si="9"/>
        <v>TOWN</v>
      </c>
      <c r="F600" s="62">
        <v>521</v>
      </c>
    </row>
    <row r="601" spans="1:6">
      <c r="A601" s="62" t="s">
        <v>1435</v>
      </c>
      <c r="D601" s="62" t="str">
        <f t="shared" si="9"/>
        <v>PAL.AVENUE</v>
      </c>
      <c r="F601" s="62">
        <v>521</v>
      </c>
    </row>
    <row r="602" spans="1:6">
      <c r="A602" s="62" t="s">
        <v>1436</v>
      </c>
      <c r="D602" s="62" t="str">
        <f t="shared" si="9"/>
        <v>PALIARMENT</v>
      </c>
      <c r="F602" s="62">
        <v>521</v>
      </c>
    </row>
    <row r="603" spans="1:6">
      <c r="A603" s="62" t="s">
        <v>1437</v>
      </c>
      <c r="D603" s="62" t="str">
        <f t="shared" si="9"/>
        <v>PALIAMENT</v>
      </c>
      <c r="F603" s="62">
        <v>521</v>
      </c>
    </row>
    <row r="604" spans="1:6">
      <c r="A604" s="62" t="s">
        <v>1438</v>
      </c>
      <c r="D604" s="62" t="str">
        <f t="shared" si="9"/>
        <v>UGANDA BAATI</v>
      </c>
      <c r="F604" s="62">
        <v>521</v>
      </c>
    </row>
    <row r="605" spans="1:6">
      <c r="A605" s="62" t="s">
        <v>1439</v>
      </c>
      <c r="D605" s="62" t="str">
        <f t="shared" si="9"/>
        <v>Central</v>
      </c>
      <c r="F605" s="62">
        <v>521</v>
      </c>
    </row>
    <row r="606" spans="1:6">
      <c r="A606" s="62" t="s">
        <v>1440</v>
      </c>
      <c r="D606" s="62" t="str">
        <f t="shared" si="9"/>
        <v>ARUA PARK</v>
      </c>
      <c r="F606" s="62">
        <v>521</v>
      </c>
    </row>
    <row r="607" spans="1:6">
      <c r="A607" s="62" t="s">
        <v>1441</v>
      </c>
      <c r="D607" s="62" t="str">
        <f t="shared" si="9"/>
        <v>ARUAPARK</v>
      </c>
      <c r="F607" s="62">
        <v>521</v>
      </c>
    </row>
    <row r="608" spans="1:6">
      <c r="A608" s="62" t="s">
        <v>1442</v>
      </c>
      <c r="D608" s="62" t="str">
        <f t="shared" si="9"/>
        <v>Zai plaza</v>
      </c>
      <c r="F608" s="62">
        <v>521</v>
      </c>
    </row>
    <row r="609" spans="1:6">
      <c r="A609" s="62" t="s">
        <v>1443</v>
      </c>
      <c r="D609" s="62" t="str">
        <f t="shared" si="9"/>
        <v>Old taxi park</v>
      </c>
      <c r="F609" s="62">
        <v>521</v>
      </c>
    </row>
    <row r="610" spans="1:6">
      <c r="A610" s="62" t="s">
        <v>1444</v>
      </c>
      <c r="D610" s="62" t="str">
        <f t="shared" si="9"/>
        <v>OLDPARK</v>
      </c>
      <c r="F610" s="62">
        <v>521</v>
      </c>
    </row>
    <row r="611" spans="1:6">
      <c r="A611" s="62" t="s">
        <v>1445</v>
      </c>
      <c r="D611" s="62" t="str">
        <f t="shared" si="9"/>
        <v>Kikuubo</v>
      </c>
      <c r="F611" s="62">
        <v>521</v>
      </c>
    </row>
    <row r="612" spans="1:6">
      <c r="A612" s="62" t="s">
        <v>1446</v>
      </c>
      <c r="D612" s="62" t="str">
        <f t="shared" si="9"/>
        <v>Commercial plaza</v>
      </c>
      <c r="F612" s="62">
        <v>521</v>
      </c>
    </row>
    <row r="613" spans="1:6">
      <c r="A613" s="62" t="s">
        <v>1447</v>
      </c>
      <c r="D613" s="62" t="str">
        <f t="shared" si="9"/>
        <v>William street</v>
      </c>
      <c r="F613" s="62">
        <v>521</v>
      </c>
    </row>
    <row r="614" spans="1:6">
      <c r="A614" s="62" t="s">
        <v>1448</v>
      </c>
      <c r="D614" s="62" t="str">
        <f t="shared" si="9"/>
        <v>TWIN TOWER</v>
      </c>
      <c r="F614" s="62">
        <v>521</v>
      </c>
    </row>
    <row r="615" spans="1:6">
      <c r="A615" s="62" t="s">
        <v>1449</v>
      </c>
      <c r="D615" s="62" t="str">
        <f t="shared" si="9"/>
        <v>WAKISEKA</v>
      </c>
      <c r="F615" s="62">
        <v>521</v>
      </c>
    </row>
    <row r="616" spans="1:6">
      <c r="A616" s="62" t="s">
        <v>1450</v>
      </c>
      <c r="D616" s="62" t="str">
        <f t="shared" si="9"/>
        <v>KISEKA</v>
      </c>
      <c r="F616" s="62">
        <v>521</v>
      </c>
    </row>
    <row r="617" spans="1:6">
      <c r="A617" s="62" t="s">
        <v>1451</v>
      </c>
      <c r="D617" s="62" t="str">
        <f t="shared" si="9"/>
        <v>MABIRIZI</v>
      </c>
      <c r="F617" s="62">
        <v>521</v>
      </c>
    </row>
    <row r="618" spans="1:6">
      <c r="A618" s="62" t="s">
        <v>1452</v>
      </c>
      <c r="D618" s="62" t="str">
        <f t="shared" si="9"/>
        <v>KISOZI HOUSE</v>
      </c>
      <c r="F618" s="62">
        <v>521</v>
      </c>
    </row>
    <row r="619" spans="1:6">
      <c r="A619" s="62" t="s">
        <v>1453</v>
      </c>
      <c r="D619" s="62" t="str">
        <f t="shared" si="9"/>
        <v>Africana</v>
      </c>
      <c r="F619" s="62">
        <v>521</v>
      </c>
    </row>
    <row r="620" spans="1:6">
      <c r="A620" s="62" t="s">
        <v>1454</v>
      </c>
      <c r="D620" s="62" t="str">
        <f t="shared" si="9"/>
        <v>CONTAINER VILLAGE</v>
      </c>
      <c r="F620" s="62">
        <v>521</v>
      </c>
    </row>
    <row r="621" spans="1:6">
      <c r="A621" s="62" t="s">
        <v>1455</v>
      </c>
      <c r="D621" s="62" t="str">
        <f t="shared" si="9"/>
        <v>City parents</v>
      </c>
      <c r="F621" s="62">
        <v>521</v>
      </c>
    </row>
    <row r="622" spans="1:6">
      <c r="A622" s="62" t="s">
        <v>1456</v>
      </c>
      <c r="D622" s="62" t="str">
        <f t="shared" si="9"/>
        <v>Mega supermarket</v>
      </c>
      <c r="F622" s="62">
        <v>521</v>
      </c>
    </row>
    <row r="623" spans="1:6">
      <c r="A623" s="62" t="s">
        <v>1457</v>
      </c>
      <c r="D623" s="62" t="str">
        <f t="shared" si="9"/>
        <v>Sir Apollo</v>
      </c>
      <c r="F623" s="62">
        <v>521</v>
      </c>
    </row>
    <row r="624" spans="1:6">
      <c r="A624" s="62" t="s">
        <v>1458</v>
      </c>
      <c r="D624" s="62" t="str">
        <f t="shared" si="9"/>
        <v>SIR APPOLO</v>
      </c>
      <c r="F624" s="62">
        <v>521</v>
      </c>
    </row>
    <row r="625" spans="1:6">
      <c r="A625" s="62" t="s">
        <v>1459</v>
      </c>
      <c r="D625" s="62" t="str">
        <f t="shared" si="9"/>
        <v>SIR APOLLO KAGGWA</v>
      </c>
      <c r="F625" s="62">
        <v>521</v>
      </c>
    </row>
    <row r="626" spans="1:6">
      <c r="A626" s="62" t="s">
        <v>1460</v>
      </c>
      <c r="D626" s="62" t="str">
        <f t="shared" si="9"/>
        <v xml:space="preserve">SIR APOLLO KAGGWA ROAD </v>
      </c>
      <c r="F626" s="62">
        <v>521</v>
      </c>
    </row>
    <row r="627" spans="1:6">
      <c r="A627" s="62" t="s">
        <v>1461</v>
      </c>
      <c r="D627" s="62" t="str">
        <f t="shared" si="9"/>
        <v>City square</v>
      </c>
      <c r="F627" s="62">
        <v>521</v>
      </c>
    </row>
    <row r="628" spans="1:6">
      <c r="A628" s="62" t="s">
        <v>1462</v>
      </c>
      <c r="D628" s="62" t="str">
        <f t="shared" si="9"/>
        <v>CITYSQUARE</v>
      </c>
      <c r="F628" s="62">
        <v>521</v>
      </c>
    </row>
    <row r="629" spans="1:6">
      <c r="A629" s="62" t="s">
        <v>1463</v>
      </c>
      <c r="D629" s="62" t="str">
        <f t="shared" si="9"/>
        <v>CITY OIL</v>
      </c>
      <c r="F629" s="62">
        <v>521</v>
      </c>
    </row>
    <row r="630" spans="1:6">
      <c r="A630" s="62" t="s">
        <v>1464</v>
      </c>
      <c r="D630" s="62" t="str">
        <f t="shared" si="9"/>
        <v>POLICE HEADQUATERS</v>
      </c>
      <c r="F630" s="62">
        <v>521</v>
      </c>
    </row>
    <row r="631" spans="1:6">
      <c r="A631" s="62" t="s">
        <v>1465</v>
      </c>
      <c r="D631" s="62" t="str">
        <f t="shared" si="9"/>
        <v>JINJA RD.</v>
      </c>
      <c r="F631" s="62">
        <v>521</v>
      </c>
    </row>
    <row r="632" spans="1:6">
      <c r="A632" s="62" t="s">
        <v>1466</v>
      </c>
      <c r="D632" s="62" t="str">
        <f t="shared" si="9"/>
        <v>YUSUF LULE</v>
      </c>
      <c r="F632" s="62">
        <v>521</v>
      </c>
    </row>
    <row r="633" spans="1:6">
      <c r="A633" s="62" t="s">
        <v>1467</v>
      </c>
      <c r="D633" s="62" t="str">
        <f t="shared" si="9"/>
        <v>Bank of Baroda</v>
      </c>
      <c r="F633" s="62">
        <v>521</v>
      </c>
    </row>
    <row r="634" spans="1:6">
      <c r="A634" s="62" t="s">
        <v>1468</v>
      </c>
      <c r="D634" s="62" t="str">
        <f t="shared" si="9"/>
        <v>Kafumbe road</v>
      </c>
      <c r="F634" s="62">
        <v>521</v>
      </c>
    </row>
    <row r="635" spans="1:6">
      <c r="A635" s="62" t="s">
        <v>1469</v>
      </c>
      <c r="D635" s="62" t="str">
        <f t="shared" si="9"/>
        <v>BUGANDAROAD</v>
      </c>
      <c r="F635" s="62">
        <v>521</v>
      </c>
    </row>
    <row r="636" spans="1:6">
      <c r="A636" s="62" t="s">
        <v>1470</v>
      </c>
      <c r="D636" s="62" t="str">
        <f t="shared" si="9"/>
        <v>BUGANDA ROAD</v>
      </c>
      <c r="F636" s="62">
        <v>521</v>
      </c>
    </row>
    <row r="637" spans="1:6">
      <c r="A637" s="62" t="s">
        <v>1471</v>
      </c>
      <c r="D637" s="62" t="str">
        <f t="shared" si="9"/>
        <v>NORTHERN BYPASS</v>
      </c>
      <c r="F637" s="62">
        <v>521</v>
      </c>
    </row>
    <row r="638" spans="1:6">
      <c r="A638" s="62" t="s">
        <v>1472</v>
      </c>
      <c r="D638" s="62" t="str">
        <f t="shared" si="9"/>
        <v>NORTHERN BY PASS</v>
      </c>
      <c r="F638" s="62">
        <v>521</v>
      </c>
    </row>
    <row r="639" spans="1:6">
      <c r="A639" s="62" t="s">
        <v>1473</v>
      </c>
      <c r="D639" s="62" t="str">
        <f t="shared" si="9"/>
        <v>MUKWANO</v>
      </c>
      <c r="F639" s="62">
        <v>521</v>
      </c>
    </row>
    <row r="640" spans="1:6">
      <c r="A640" s="62" t="s">
        <v>1474</v>
      </c>
      <c r="D640" s="62" t="str">
        <f t="shared" si="9"/>
        <v>Mukwano arcade</v>
      </c>
      <c r="F640" s="62">
        <v>521</v>
      </c>
    </row>
    <row r="641" spans="1:6">
      <c r="A641" s="62" t="s">
        <v>1475</v>
      </c>
      <c r="D641" s="62" t="str">
        <f t="shared" si="9"/>
        <v>QUEENS WAY</v>
      </c>
      <c r="F641" s="62">
        <v>521</v>
      </c>
    </row>
    <row r="642" spans="1:6">
      <c r="A642" s="62" t="s">
        <v>1476</v>
      </c>
      <c r="D642" s="62" t="str">
        <f t="shared" ref="D642:D705" si="10">A642</f>
        <v xml:space="preserve">Speke road </v>
      </c>
      <c r="F642" s="62">
        <v>521</v>
      </c>
    </row>
    <row r="643" spans="1:6">
      <c r="A643" s="62" t="s">
        <v>1477</v>
      </c>
      <c r="D643" s="62" t="str">
        <f t="shared" si="10"/>
        <v>CENTRAL POLICE STATION</v>
      </c>
      <c r="F643" s="62">
        <v>521</v>
      </c>
    </row>
    <row r="644" spans="1:6">
      <c r="A644" s="62" t="s">
        <v>1478</v>
      </c>
      <c r="D644" s="62" t="str">
        <f t="shared" si="10"/>
        <v>KIKUBO</v>
      </c>
      <c r="F644" s="62">
        <v>521</v>
      </c>
    </row>
    <row r="645" spans="1:6">
      <c r="A645" s="62" t="s">
        <v>1479</v>
      </c>
      <c r="D645" s="62" t="str">
        <f t="shared" si="10"/>
        <v>Nakivubo</v>
      </c>
      <c r="F645" s="62">
        <v>521</v>
      </c>
    </row>
    <row r="646" spans="1:6">
      <c r="A646" s="62" t="s">
        <v>1480</v>
      </c>
      <c r="D646" s="62" t="str">
        <f t="shared" si="10"/>
        <v>Nassa</v>
      </c>
      <c r="F646" s="62">
        <v>521</v>
      </c>
    </row>
    <row r="647" spans="1:6">
      <c r="A647" s="62" t="s">
        <v>1481</v>
      </c>
      <c r="D647" s="62" t="str">
        <f t="shared" si="10"/>
        <v>NASHA</v>
      </c>
      <c r="F647" s="62">
        <v>521</v>
      </c>
    </row>
    <row r="648" spans="1:6">
      <c r="A648" s="62" t="s">
        <v>1482</v>
      </c>
      <c r="D648" s="62" t="str">
        <f t="shared" si="10"/>
        <v>Nasser</v>
      </c>
      <c r="F648" s="62">
        <v>521</v>
      </c>
    </row>
    <row r="649" spans="1:6">
      <c r="A649" s="62" t="s">
        <v>1483</v>
      </c>
      <c r="D649" s="62" t="str">
        <f t="shared" si="10"/>
        <v xml:space="preserve">NASSER </v>
      </c>
      <c r="F649" s="62">
        <v>521</v>
      </c>
    </row>
    <row r="650" spans="1:6">
      <c r="A650" s="62" t="s">
        <v>1484</v>
      </c>
      <c r="D650" s="62" t="str">
        <f t="shared" si="10"/>
        <v>HAM PLAZA</v>
      </c>
      <c r="F650" s="62">
        <v>521</v>
      </c>
    </row>
    <row r="651" spans="1:6">
      <c r="A651" s="62" t="s">
        <v>1485</v>
      </c>
      <c r="D651" s="62" t="str">
        <f t="shared" si="10"/>
        <v>GOLF CLUB</v>
      </c>
      <c r="F651" s="62">
        <v>521</v>
      </c>
    </row>
    <row r="652" spans="1:6">
      <c r="A652" s="62" t="s">
        <v>1486</v>
      </c>
      <c r="D652" s="62" t="str">
        <f t="shared" si="10"/>
        <v>NASSER ROAD</v>
      </c>
      <c r="F652" s="62">
        <v>521</v>
      </c>
    </row>
    <row r="653" spans="1:6">
      <c r="A653" s="62" t="s">
        <v>1487</v>
      </c>
      <c r="D653" s="62" t="str">
        <f t="shared" si="10"/>
        <v>BOMBO ROAD</v>
      </c>
      <c r="F653" s="62">
        <v>521</v>
      </c>
    </row>
    <row r="654" spans="1:6">
      <c r="A654" s="62" t="s">
        <v>1488</v>
      </c>
      <c r="D654" s="62" t="str">
        <f t="shared" si="10"/>
        <v>TOWN CITY CENTRE</v>
      </c>
      <c r="F654" s="62">
        <v>521</v>
      </c>
    </row>
    <row r="655" spans="1:6">
      <c r="A655" s="62" t="s">
        <v>1489</v>
      </c>
      <c r="D655" s="62" t="str">
        <f t="shared" si="10"/>
        <v>ENTEBBE ROAD</v>
      </c>
      <c r="F655" s="62">
        <v>521</v>
      </c>
    </row>
    <row r="656" spans="1:6">
      <c r="A656" s="62" t="s">
        <v>1490</v>
      </c>
      <c r="D656" s="62" t="str">
        <f t="shared" si="10"/>
        <v>Entebbe Rd</v>
      </c>
      <c r="F656" s="62">
        <v>521</v>
      </c>
    </row>
    <row r="657" spans="1:6">
      <c r="A657" s="62" t="s">
        <v>1491</v>
      </c>
      <c r="D657" s="62" t="str">
        <f t="shared" si="10"/>
        <v>ENERGY CENTRE</v>
      </c>
      <c r="F657" s="62">
        <v>521</v>
      </c>
    </row>
    <row r="658" spans="1:6">
      <c r="A658" s="62" t="s">
        <v>1492</v>
      </c>
      <c r="D658" s="62" t="str">
        <f t="shared" si="10"/>
        <v>Nkurumah</v>
      </c>
      <c r="F658" s="62">
        <v>521</v>
      </c>
    </row>
    <row r="659" spans="1:6">
      <c r="A659" s="62" t="s">
        <v>1493</v>
      </c>
      <c r="D659" s="62" t="str">
        <f t="shared" si="10"/>
        <v>Lumumba Avenue</v>
      </c>
      <c r="F659" s="62">
        <v>521</v>
      </c>
    </row>
    <row r="660" spans="1:6">
      <c r="A660" s="62" t="s">
        <v>1494</v>
      </c>
      <c r="D660" s="62" t="str">
        <f t="shared" si="10"/>
        <v xml:space="preserve">Lumumba </v>
      </c>
      <c r="F660" s="62">
        <v>521</v>
      </c>
    </row>
    <row r="661" spans="1:6">
      <c r="A661" s="62" t="s">
        <v>1495</v>
      </c>
      <c r="D661" s="62" t="str">
        <f t="shared" si="10"/>
        <v>LUMUMBA</v>
      </c>
      <c r="F661" s="62">
        <v>521</v>
      </c>
    </row>
    <row r="662" spans="1:6">
      <c r="A662" s="62" t="s">
        <v>1496</v>
      </c>
      <c r="D662" s="62" t="str">
        <f t="shared" si="10"/>
        <v>LUWUUM STREET</v>
      </c>
      <c r="F662" s="62">
        <v>521</v>
      </c>
    </row>
    <row r="663" spans="1:6">
      <c r="A663" s="62" t="s">
        <v>1497</v>
      </c>
      <c r="D663" s="62" t="str">
        <f t="shared" si="10"/>
        <v>PARLIAMENT AVENUE</v>
      </c>
      <c r="F663" s="62">
        <v>521</v>
      </c>
    </row>
    <row r="664" spans="1:6">
      <c r="A664" s="62" t="s">
        <v>1498</v>
      </c>
      <c r="D664" s="62" t="str">
        <f t="shared" si="10"/>
        <v>CEMENTERS</v>
      </c>
      <c r="F664" s="62">
        <v>521</v>
      </c>
    </row>
    <row r="665" spans="1:6">
      <c r="A665" s="62" t="s">
        <v>1499</v>
      </c>
      <c r="D665" s="62" t="str">
        <f t="shared" si="10"/>
        <v>Usafi</v>
      </c>
      <c r="F665" s="62">
        <v>521</v>
      </c>
    </row>
    <row r="666" spans="1:6">
      <c r="A666" s="62" t="s">
        <v>1500</v>
      </c>
      <c r="D666" s="62" t="str">
        <f t="shared" si="10"/>
        <v>WATOTO</v>
      </c>
      <c r="F666" s="62">
        <v>521</v>
      </c>
    </row>
    <row r="667" spans="1:6">
      <c r="A667" s="62" t="s">
        <v>1501</v>
      </c>
      <c r="D667" s="62" t="str">
        <f t="shared" si="10"/>
        <v>MAPEERA</v>
      </c>
      <c r="F667" s="62">
        <v>521</v>
      </c>
    </row>
    <row r="668" spans="1:6">
      <c r="A668" s="62" t="s">
        <v>1502</v>
      </c>
      <c r="D668" s="62" t="str">
        <f t="shared" si="10"/>
        <v>HARM TOWER</v>
      </c>
      <c r="F668" s="62">
        <v>521</v>
      </c>
    </row>
    <row r="669" spans="1:6">
      <c r="A669" s="62" t="s">
        <v>1503</v>
      </c>
      <c r="D669" s="62" t="str">
        <f t="shared" si="10"/>
        <v>Galilaya</v>
      </c>
      <c r="F669" s="62">
        <v>521</v>
      </c>
    </row>
    <row r="670" spans="1:6">
      <c r="A670" s="62" t="s">
        <v>1504</v>
      </c>
      <c r="D670" s="62" t="str">
        <f t="shared" si="10"/>
        <v>SIX STREET</v>
      </c>
      <c r="F670" s="62">
        <v>521</v>
      </c>
    </row>
    <row r="671" spans="1:6">
      <c r="A671" s="62" t="s">
        <v>1505</v>
      </c>
      <c r="D671" s="62" t="str">
        <f t="shared" si="10"/>
        <v>GAZALAND</v>
      </c>
      <c r="F671" s="62">
        <v>521</v>
      </c>
    </row>
    <row r="672" spans="1:6">
      <c r="A672" s="62" t="s">
        <v>1506</v>
      </c>
      <c r="D672" s="62" t="str">
        <f t="shared" si="10"/>
        <v>La bonita</v>
      </c>
      <c r="F672" s="62">
        <v>521</v>
      </c>
    </row>
    <row r="673" spans="1:6">
      <c r="A673" s="62" t="s">
        <v>1507</v>
      </c>
      <c r="D673" s="62" t="str">
        <f t="shared" si="10"/>
        <v>NATIONAL THEATRE</v>
      </c>
      <c r="F673" s="62">
        <v>521</v>
      </c>
    </row>
    <row r="674" spans="1:6">
      <c r="A674" s="62" t="s">
        <v>1508</v>
      </c>
      <c r="D674" s="62" t="str">
        <f t="shared" si="10"/>
        <v>RESORT HOTEL</v>
      </c>
      <c r="F674" s="62">
        <v>521</v>
      </c>
    </row>
    <row r="675" spans="1:6">
      <c r="A675" s="62" t="s">
        <v>1509</v>
      </c>
      <c r="D675" s="62" t="str">
        <f t="shared" si="10"/>
        <v>GARDEN CITY</v>
      </c>
      <c r="F675" s="62">
        <v>521</v>
      </c>
    </row>
    <row r="676" spans="1:6">
      <c r="A676" s="62" t="s">
        <v>1510</v>
      </c>
      <c r="D676" s="62" t="str">
        <f t="shared" si="10"/>
        <v>MULWANA</v>
      </c>
      <c r="F676" s="62">
        <v>521</v>
      </c>
    </row>
    <row r="677" spans="1:6">
      <c r="A677" s="62" t="s">
        <v>1511</v>
      </c>
      <c r="D677" s="62" t="str">
        <f t="shared" si="10"/>
        <v>Magistrate court</v>
      </c>
      <c r="F677" s="62">
        <v>521</v>
      </c>
    </row>
    <row r="678" spans="1:6">
      <c r="A678" s="62" t="s">
        <v>1512</v>
      </c>
      <c r="D678" s="62" t="str">
        <f t="shared" si="10"/>
        <v>HANINGTON ROAD</v>
      </c>
      <c r="F678" s="62">
        <v>521</v>
      </c>
    </row>
    <row r="679" spans="1:6">
      <c r="A679" s="62" t="s">
        <v>1513</v>
      </c>
      <c r="D679" s="62" t="str">
        <f t="shared" si="10"/>
        <v>Jinja road</v>
      </c>
      <c r="F679" s="62">
        <v>521</v>
      </c>
    </row>
    <row r="680" spans="1:6">
      <c r="A680" s="62" t="s">
        <v>1514</v>
      </c>
      <c r="D680" s="62" t="str">
        <f t="shared" si="10"/>
        <v>Charm Tower</v>
      </c>
      <c r="F680" s="62">
        <v>521</v>
      </c>
    </row>
    <row r="681" spans="1:6">
      <c r="A681" s="62" t="s">
        <v>1515</v>
      </c>
      <c r="D681" s="62" t="str">
        <f t="shared" si="10"/>
        <v>New taxi park</v>
      </c>
      <c r="F681" s="62">
        <v>521</v>
      </c>
    </row>
    <row r="682" spans="1:6">
      <c r="A682" s="62" t="s">
        <v>1516</v>
      </c>
      <c r="D682" s="62" t="str">
        <f t="shared" si="10"/>
        <v>NEWPARK</v>
      </c>
      <c r="F682" s="62">
        <v>521</v>
      </c>
    </row>
    <row r="683" spans="1:6">
      <c r="A683" s="62" t="s">
        <v>1517</v>
      </c>
      <c r="D683" s="62" t="str">
        <f t="shared" si="10"/>
        <v>NEWTAXI PARK</v>
      </c>
      <c r="F683" s="62">
        <v>521</v>
      </c>
    </row>
    <row r="684" spans="1:6">
      <c r="A684" s="62" t="s">
        <v>1518</v>
      </c>
      <c r="D684" s="62" t="str">
        <f t="shared" si="10"/>
        <v>NEW TAX PARK</v>
      </c>
      <c r="F684" s="62">
        <v>521</v>
      </c>
    </row>
    <row r="685" spans="1:6">
      <c r="A685" s="62" t="s">
        <v>1519</v>
      </c>
      <c r="D685" s="62" t="str">
        <f t="shared" si="10"/>
        <v>TAXI PARK</v>
      </c>
      <c r="F685" s="62">
        <v>521</v>
      </c>
    </row>
    <row r="686" spans="1:6">
      <c r="A686" s="62" t="s">
        <v>1520</v>
      </c>
      <c r="D686" s="62" t="str">
        <f t="shared" si="10"/>
        <v>LUFULA STAGE</v>
      </c>
      <c r="F686" s="62">
        <v>521</v>
      </c>
    </row>
    <row r="687" spans="1:6">
      <c r="A687" s="62" t="s">
        <v>1521</v>
      </c>
      <c r="D687" s="62" t="str">
        <f t="shared" si="10"/>
        <v>EQUITORIAL HOTEL</v>
      </c>
      <c r="F687" s="62">
        <v>521</v>
      </c>
    </row>
    <row r="688" spans="1:6">
      <c r="A688" s="62" t="s">
        <v>1522</v>
      </c>
      <c r="D688" s="62" t="str">
        <f t="shared" si="10"/>
        <v>PARK</v>
      </c>
      <c r="F688" s="62">
        <v>521</v>
      </c>
    </row>
    <row r="689" spans="1:6">
      <c r="A689" s="62" t="s">
        <v>1523</v>
      </c>
      <c r="D689" s="62" t="str">
        <f t="shared" si="10"/>
        <v>DE WITTON</v>
      </c>
      <c r="F689" s="62">
        <v>521</v>
      </c>
    </row>
    <row r="690" spans="1:6">
      <c r="A690" s="62" t="s">
        <v>1524</v>
      </c>
      <c r="D690" s="62" t="str">
        <f t="shared" si="10"/>
        <v>Mini price</v>
      </c>
      <c r="F690" s="62">
        <v>521</v>
      </c>
    </row>
    <row r="691" spans="1:6">
      <c r="A691" s="62" t="s">
        <v>1525</v>
      </c>
      <c r="D691" s="62" t="str">
        <f t="shared" si="10"/>
        <v>MINIPRICE</v>
      </c>
      <c r="F691" s="62">
        <v>521</v>
      </c>
    </row>
    <row r="692" spans="1:6">
      <c r="A692" s="62" t="s">
        <v>1387</v>
      </c>
      <c r="D692" s="62" t="str">
        <f t="shared" si="10"/>
        <v>Kampala</v>
      </c>
      <c r="E692" s="62" t="str">
        <f>A692</f>
        <v>Kampala</v>
      </c>
      <c r="F692" s="62">
        <v>521</v>
      </c>
    </row>
    <row r="693" spans="1:6">
      <c r="A693" s="65" t="s">
        <v>1526</v>
      </c>
      <c r="D693" s="62" t="str">
        <f t="shared" si="10"/>
        <v>Gaba</v>
      </c>
      <c r="E693" s="62" t="str">
        <f>A693</f>
        <v>Gaba</v>
      </c>
      <c r="F693" s="62">
        <v>522</v>
      </c>
    </row>
    <row r="694" spans="1:6">
      <c r="A694" s="65" t="s">
        <v>1527</v>
      </c>
      <c r="D694" s="62" t="str">
        <f t="shared" si="10"/>
        <v xml:space="preserve"> BUZIGA</v>
      </c>
      <c r="F694" s="62">
        <v>522</v>
      </c>
    </row>
    <row r="695" spans="1:6">
      <c r="A695" s="65" t="s">
        <v>1528</v>
      </c>
      <c r="D695" s="62" t="str">
        <f t="shared" si="10"/>
        <v>KASANGA</v>
      </c>
      <c r="F695" s="62">
        <v>522</v>
      </c>
    </row>
    <row r="696" spans="1:6">
      <c r="A696" s="65" t="s">
        <v>1529</v>
      </c>
      <c r="D696" s="62" t="str">
        <f t="shared" si="10"/>
        <v>Munyonyo</v>
      </c>
      <c r="E696" s="62" t="str">
        <f>A696</f>
        <v>Munyonyo</v>
      </c>
      <c r="F696" s="62">
        <v>522</v>
      </c>
    </row>
    <row r="697" spans="1:6">
      <c r="A697" s="65" t="s">
        <v>1530</v>
      </c>
      <c r="D697" s="62" t="str">
        <f t="shared" si="10"/>
        <v>Muyoyo</v>
      </c>
      <c r="F697" s="62">
        <v>522</v>
      </c>
    </row>
    <row r="698" spans="1:6">
      <c r="A698" s="65" t="s">
        <v>1531</v>
      </c>
      <c r="D698" s="62" t="str">
        <f t="shared" si="10"/>
        <v>Busaabala</v>
      </c>
      <c r="F698" s="62">
        <v>522</v>
      </c>
    </row>
    <row r="699" spans="1:6">
      <c r="A699" s="65" t="s">
        <v>1532</v>
      </c>
      <c r="D699" s="62" t="str">
        <f t="shared" si="10"/>
        <v>Busabaala</v>
      </c>
      <c r="F699" s="62">
        <v>522</v>
      </c>
    </row>
    <row r="700" spans="1:6">
      <c r="A700" s="65" t="s">
        <v>1533</v>
      </c>
      <c r="D700" s="62" t="str">
        <f t="shared" si="10"/>
        <v>BUSABALA</v>
      </c>
      <c r="F700" s="62">
        <v>522</v>
      </c>
    </row>
    <row r="701" spans="1:6">
      <c r="A701" s="65" t="s">
        <v>1534</v>
      </c>
      <c r="D701" s="62" t="str">
        <f t="shared" si="10"/>
        <v>GANGU</v>
      </c>
      <c r="F701" s="62">
        <v>522</v>
      </c>
    </row>
    <row r="702" spans="1:6">
      <c r="A702" s="65" t="s">
        <v>1535</v>
      </c>
      <c r="D702" s="62" t="str">
        <f t="shared" si="10"/>
        <v>KIBIRI</v>
      </c>
      <c r="F702" s="62">
        <v>522</v>
      </c>
    </row>
    <row r="703" spans="1:6">
      <c r="A703" s="65" t="s">
        <v>1536</v>
      </c>
      <c r="D703" s="62" t="str">
        <f t="shared" si="10"/>
        <v>Kazi</v>
      </c>
      <c r="F703" s="62">
        <v>522</v>
      </c>
    </row>
    <row r="704" spans="1:6">
      <c r="A704" s="65" t="s">
        <v>1537</v>
      </c>
      <c r="B704" s="62" t="s">
        <v>1387</v>
      </c>
      <c r="C704" s="62" t="s">
        <v>1388</v>
      </c>
      <c r="D704" s="62" t="str">
        <f t="shared" si="10"/>
        <v>Ggaba</v>
      </c>
      <c r="E704" s="62" t="str">
        <f>A704</f>
        <v>Ggaba</v>
      </c>
      <c r="F704" s="62">
        <v>522</v>
      </c>
    </row>
    <row r="705" spans="1:6">
      <c r="A705" s="65" t="s">
        <v>1538</v>
      </c>
      <c r="D705" s="62" t="str">
        <f t="shared" si="10"/>
        <v xml:space="preserve">Bunga  </v>
      </c>
      <c r="F705" s="62">
        <v>522</v>
      </c>
    </row>
    <row r="706" spans="1:6">
      <c r="A706" s="65" t="s">
        <v>1539</v>
      </c>
      <c r="D706" s="62" t="str">
        <f t="shared" ref="D706:D769" si="11">A706</f>
        <v>BUNGA</v>
      </c>
      <c r="F706" s="62">
        <v>522</v>
      </c>
    </row>
    <row r="707" spans="1:6">
      <c r="A707" s="65" t="s">
        <v>1540</v>
      </c>
      <c r="D707" s="62" t="str">
        <f t="shared" si="11"/>
        <v>Kiruddu</v>
      </c>
      <c r="F707" s="62">
        <v>522</v>
      </c>
    </row>
    <row r="708" spans="1:6">
      <c r="A708" s="65" t="s">
        <v>1541</v>
      </c>
      <c r="D708" s="62" t="str">
        <f t="shared" si="11"/>
        <v>KILUDDU</v>
      </c>
      <c r="F708" s="62">
        <v>522</v>
      </c>
    </row>
    <row r="709" spans="1:6">
      <c r="A709" s="65" t="s">
        <v>1542</v>
      </c>
      <c r="D709" s="62" t="str">
        <f t="shared" si="11"/>
        <v>Kirundu</v>
      </c>
      <c r="F709" s="62">
        <v>522</v>
      </c>
    </row>
    <row r="710" spans="1:6">
      <c r="A710" s="65" t="s">
        <v>1543</v>
      </c>
      <c r="D710" s="62" t="str">
        <f t="shared" si="11"/>
        <v>Kirudu</v>
      </c>
      <c r="F710" s="62">
        <v>522</v>
      </c>
    </row>
    <row r="711" spans="1:6">
      <c r="A711" s="65" t="s">
        <v>1544</v>
      </c>
      <c r="D711" s="62" t="str">
        <f t="shared" si="11"/>
        <v>KIRUDU HOSPITAL</v>
      </c>
      <c r="F711" s="62">
        <v>522</v>
      </c>
    </row>
    <row r="712" spans="1:6">
      <c r="A712" s="62" t="s">
        <v>1545</v>
      </c>
      <c r="B712" s="62" t="s">
        <v>1387</v>
      </c>
      <c r="C712" s="62" t="s">
        <v>1388</v>
      </c>
      <c r="D712" s="62" t="str">
        <f t="shared" si="11"/>
        <v>Industrial Area</v>
      </c>
      <c r="E712" s="62" t="str">
        <f>A712</f>
        <v>Industrial Area</v>
      </c>
      <c r="F712" s="62">
        <v>523</v>
      </c>
    </row>
    <row r="713" spans="1:6">
      <c r="A713" s="62" t="s">
        <v>1546</v>
      </c>
      <c r="D713" s="62" t="str">
        <f t="shared" si="11"/>
        <v>INDUSTRIAL AREA</v>
      </c>
      <c r="F713" s="62">
        <v>523</v>
      </c>
    </row>
    <row r="714" spans="1:6">
      <c r="A714" s="62" t="s">
        <v>1547</v>
      </c>
      <c r="D714" s="62" t="str">
        <f t="shared" si="11"/>
        <v>IDUSTRAL AREA</v>
      </c>
      <c r="F714" s="62">
        <v>523</v>
      </c>
    </row>
    <row r="715" spans="1:6">
      <c r="A715" s="62" t="s">
        <v>1548</v>
      </c>
      <c r="D715" s="62" t="str">
        <f t="shared" si="11"/>
        <v>Iindustrial area</v>
      </c>
      <c r="F715" s="62">
        <v>523</v>
      </c>
    </row>
    <row r="716" spans="1:6">
      <c r="A716" s="62" t="s">
        <v>1549</v>
      </c>
      <c r="D716" s="62" t="str">
        <f t="shared" si="11"/>
        <v>Industrial Street</v>
      </c>
      <c r="F716" s="62">
        <v>523</v>
      </c>
    </row>
    <row r="717" spans="1:6">
      <c r="A717" s="62" t="s">
        <v>1550</v>
      </c>
      <c r="D717" s="62" t="str">
        <f t="shared" si="11"/>
        <v xml:space="preserve">SIXTH STEET </v>
      </c>
      <c r="F717" s="62">
        <v>523</v>
      </c>
    </row>
    <row r="718" spans="1:6">
      <c r="A718" s="62" t="s">
        <v>1551</v>
      </c>
      <c r="D718" s="62" t="str">
        <f t="shared" si="11"/>
        <v>SEVENTH STREET</v>
      </c>
      <c r="F718" s="62">
        <v>523</v>
      </c>
    </row>
    <row r="719" spans="1:6">
      <c r="A719" s="62" t="s">
        <v>1552</v>
      </c>
      <c r="D719" s="62" t="str">
        <f t="shared" si="11"/>
        <v>NAMUWONGO</v>
      </c>
      <c r="F719" s="62">
        <v>523</v>
      </c>
    </row>
    <row r="720" spans="1:6">
      <c r="A720" s="62" t="s">
        <v>1553</v>
      </c>
      <c r="D720" s="62" t="str">
        <f t="shared" si="11"/>
        <v>NEW VISSION</v>
      </c>
      <c r="F720" s="62">
        <v>523</v>
      </c>
    </row>
    <row r="721" spans="1:6">
      <c r="A721" s="65" t="s">
        <v>1554</v>
      </c>
      <c r="B721" s="62" t="s">
        <v>1387</v>
      </c>
      <c r="C721" s="62" t="s">
        <v>1388</v>
      </c>
      <c r="D721" s="62" t="str">
        <f t="shared" si="11"/>
        <v>Itek</v>
      </c>
      <c r="E721" s="62" t="str">
        <f>A721</f>
        <v>Itek</v>
      </c>
      <c r="F721" s="62">
        <v>524</v>
      </c>
    </row>
    <row r="722" spans="1:6">
      <c r="A722" s="65" t="s">
        <v>1555</v>
      </c>
      <c r="B722" s="62" t="s">
        <v>1387</v>
      </c>
      <c r="C722" s="62" t="s">
        <v>1388</v>
      </c>
      <c r="D722" s="62" t="str">
        <f t="shared" si="11"/>
        <v>Kabalagala</v>
      </c>
      <c r="E722" s="62" t="str">
        <f>A722</f>
        <v>Kabalagala</v>
      </c>
      <c r="F722" s="62">
        <v>525</v>
      </c>
    </row>
    <row r="723" spans="1:6">
      <c r="A723" s="65" t="s">
        <v>1556</v>
      </c>
      <c r="D723" s="62" t="str">
        <f t="shared" si="11"/>
        <v>Muyenga</v>
      </c>
      <c r="F723" s="62">
        <v>525</v>
      </c>
    </row>
    <row r="724" spans="1:6">
      <c r="A724" s="65" t="s">
        <v>1557</v>
      </c>
      <c r="B724" s="62" t="s">
        <v>1387</v>
      </c>
      <c r="C724" s="62" t="s">
        <v>1388</v>
      </c>
      <c r="D724" s="62" t="str">
        <f t="shared" si="11"/>
        <v>Kabowa</v>
      </c>
      <c r="E724" s="62" t="str">
        <f>A724</f>
        <v>Kabowa</v>
      </c>
      <c r="F724" s="62">
        <v>526</v>
      </c>
    </row>
    <row r="725" spans="1:6">
      <c r="A725" s="65" t="s">
        <v>1558</v>
      </c>
      <c r="D725" s="62" t="str">
        <f t="shared" si="11"/>
        <v>Wankulukuku</v>
      </c>
      <c r="E725" s="62" t="str">
        <f>A725</f>
        <v>Wankulukuku</v>
      </c>
      <c r="F725" s="62">
        <v>526</v>
      </c>
    </row>
    <row r="726" spans="1:6">
      <c r="A726" s="65" t="s">
        <v>430</v>
      </c>
      <c r="D726" s="62" t="str">
        <f t="shared" si="11"/>
        <v>KITEBI</v>
      </c>
      <c r="F726" s="62">
        <v>526</v>
      </c>
    </row>
    <row r="727" spans="1:6">
      <c r="A727" s="62" t="s">
        <v>1559</v>
      </c>
      <c r="B727" s="62" t="s">
        <v>1387</v>
      </c>
      <c r="C727" s="62" t="s">
        <v>1388</v>
      </c>
      <c r="D727" s="62" t="str">
        <f t="shared" si="11"/>
        <v>Kagugube</v>
      </c>
      <c r="E727" s="62" t="str">
        <f>A727</f>
        <v>Kagugube</v>
      </c>
      <c r="F727" s="62">
        <v>527</v>
      </c>
    </row>
    <row r="728" spans="1:6">
      <c r="A728" s="66" t="s">
        <v>1560</v>
      </c>
      <c r="B728" s="62" t="s">
        <v>1387</v>
      </c>
      <c r="C728" s="62" t="s">
        <v>1388</v>
      </c>
      <c r="D728" s="62" t="str">
        <f t="shared" si="11"/>
        <v>Kamwokya</v>
      </c>
      <c r="E728" s="62" t="str">
        <f>A728</f>
        <v>Kamwokya</v>
      </c>
      <c r="F728" s="62">
        <v>528</v>
      </c>
    </row>
    <row r="729" spans="1:6">
      <c r="A729" s="66" t="s">
        <v>1561</v>
      </c>
      <c r="D729" s="62" t="str">
        <f t="shared" si="11"/>
        <v>MUESEUM</v>
      </c>
      <c r="F729" s="62">
        <v>528</v>
      </c>
    </row>
    <row r="730" spans="1:6">
      <c r="A730" s="66" t="s">
        <v>1562</v>
      </c>
      <c r="D730" s="62" t="str">
        <f t="shared" si="11"/>
        <v>MUSEUM</v>
      </c>
      <c r="F730" s="62">
        <v>528</v>
      </c>
    </row>
    <row r="731" spans="1:6">
      <c r="A731" s="66" t="s">
        <v>1563</v>
      </c>
      <c r="D731" s="62" t="str">
        <f t="shared" si="11"/>
        <v>Hillside</v>
      </c>
      <c r="F731" s="62">
        <v>528</v>
      </c>
    </row>
    <row r="732" spans="1:6">
      <c r="A732" s="66" t="s">
        <v>1564</v>
      </c>
      <c r="D732" s="62" t="str">
        <f t="shared" si="11"/>
        <v>British embassy</v>
      </c>
      <c r="F732" s="62">
        <v>528</v>
      </c>
    </row>
    <row r="733" spans="1:6">
      <c r="A733" s="66" t="s">
        <v>746</v>
      </c>
      <c r="D733" s="62" t="str">
        <f t="shared" si="11"/>
        <v>KITANTE</v>
      </c>
      <c r="F733" s="62">
        <v>528</v>
      </c>
    </row>
    <row r="734" spans="1:6">
      <c r="A734" s="66" t="s">
        <v>1565</v>
      </c>
      <c r="D734" s="62" t="str">
        <f t="shared" si="11"/>
        <v>ACACIA</v>
      </c>
      <c r="F734" s="62">
        <v>528</v>
      </c>
    </row>
    <row r="735" spans="1:6">
      <c r="A735" s="66" t="s">
        <v>1566</v>
      </c>
      <c r="D735" s="62" t="str">
        <f t="shared" si="11"/>
        <v>ACCACIA</v>
      </c>
      <c r="F735" s="62">
        <v>528</v>
      </c>
    </row>
    <row r="736" spans="1:6">
      <c r="A736" s="66" t="s">
        <v>1567</v>
      </c>
      <c r="D736" s="62" t="str">
        <f t="shared" si="11"/>
        <v>ACACIA MALL</v>
      </c>
      <c r="F736" s="62">
        <v>528</v>
      </c>
    </row>
    <row r="737" spans="1:6">
      <c r="A737" s="66" t="s">
        <v>1568</v>
      </c>
      <c r="D737" s="62" t="str">
        <f t="shared" si="11"/>
        <v>Kisementi</v>
      </c>
      <c r="F737" s="62">
        <v>528</v>
      </c>
    </row>
    <row r="738" spans="1:6">
      <c r="A738" s="66" t="s">
        <v>1569</v>
      </c>
      <c r="D738" s="62" t="str">
        <f t="shared" si="11"/>
        <v>Lohanna</v>
      </c>
      <c r="F738" s="62">
        <v>528</v>
      </c>
    </row>
    <row r="739" spans="1:6">
      <c r="A739" s="66" t="s">
        <v>1570</v>
      </c>
      <c r="D739" s="62" t="str">
        <f t="shared" si="11"/>
        <v>KAMOKYA</v>
      </c>
      <c r="F739" s="62">
        <v>528</v>
      </c>
    </row>
    <row r="740" spans="1:6">
      <c r="A740" s="66" t="s">
        <v>1571</v>
      </c>
      <c r="D740" s="62" t="str">
        <f t="shared" si="11"/>
        <v>Mawanda</v>
      </c>
      <c r="F740" s="62">
        <v>528</v>
      </c>
    </row>
    <row r="741" spans="1:6">
      <c r="A741" s="66" t="s">
        <v>1572</v>
      </c>
      <c r="D741" s="62" t="str">
        <f t="shared" si="11"/>
        <v>MAWANDA RD</v>
      </c>
      <c r="F741" s="62">
        <v>528</v>
      </c>
    </row>
    <row r="742" spans="1:6">
      <c r="A742" s="65" t="s">
        <v>1573</v>
      </c>
      <c r="B742" s="62" t="s">
        <v>1387</v>
      </c>
      <c r="C742" s="62" t="s">
        <v>1388</v>
      </c>
      <c r="D742" s="62" t="str">
        <f t="shared" si="11"/>
        <v>Kansanga</v>
      </c>
      <c r="E742" s="62" t="str">
        <f>A742</f>
        <v>Kansanga</v>
      </c>
      <c r="F742" s="62">
        <v>529</v>
      </c>
    </row>
    <row r="743" spans="1:6">
      <c r="A743" s="62" t="s">
        <v>1574</v>
      </c>
      <c r="B743" s="62" t="s">
        <v>1387</v>
      </c>
      <c r="C743" s="62" t="s">
        <v>1388</v>
      </c>
      <c r="D743" s="62" t="str">
        <f t="shared" si="11"/>
        <v>Kanyanya</v>
      </c>
      <c r="E743" s="62" t="str">
        <f>A743</f>
        <v>Kanyanya</v>
      </c>
      <c r="F743" s="62">
        <v>530</v>
      </c>
    </row>
    <row r="744" spans="1:6">
      <c r="A744" s="62" t="s">
        <v>1575</v>
      </c>
      <c r="D744" s="62" t="str">
        <f t="shared" si="11"/>
        <v>Kanyaya</v>
      </c>
      <c r="F744" s="62">
        <v>530</v>
      </c>
    </row>
    <row r="745" spans="1:6">
      <c r="A745" s="62" t="s">
        <v>1576</v>
      </c>
      <c r="D745" s="62" t="str">
        <f t="shared" si="11"/>
        <v>Kayaya</v>
      </c>
      <c r="F745" s="62">
        <v>530</v>
      </c>
    </row>
    <row r="746" spans="1:6">
      <c r="A746" s="62" t="s">
        <v>1577</v>
      </c>
      <c r="D746" s="62" t="str">
        <f t="shared" si="11"/>
        <v>TUULA</v>
      </c>
      <c r="F746" s="62">
        <v>530</v>
      </c>
    </row>
    <row r="747" spans="1:6">
      <c r="A747" s="65" t="s">
        <v>1578</v>
      </c>
      <c r="B747" s="62" t="s">
        <v>1387</v>
      </c>
      <c r="C747" s="62" t="s">
        <v>1388</v>
      </c>
      <c r="D747" s="62" t="str">
        <f t="shared" si="11"/>
        <v>Kasubi</v>
      </c>
      <c r="E747" s="62" t="str">
        <f>A747</f>
        <v>Kasubi</v>
      </c>
      <c r="F747" s="62">
        <v>531</v>
      </c>
    </row>
    <row r="748" spans="1:6">
      <c r="A748" s="65" t="s">
        <v>1579</v>
      </c>
      <c r="D748" s="62" t="str">
        <f t="shared" si="11"/>
        <v>KASSUB</v>
      </c>
      <c r="F748" s="62">
        <v>531</v>
      </c>
    </row>
    <row r="749" spans="1:6">
      <c r="A749" s="65" t="s">
        <v>1580</v>
      </c>
      <c r="D749" s="62" t="str">
        <f t="shared" si="11"/>
        <v>KILOKOLE</v>
      </c>
      <c r="F749" s="62">
        <v>531</v>
      </c>
    </row>
    <row r="750" spans="1:6">
      <c r="A750" s="65" t="s">
        <v>1581</v>
      </c>
      <c r="D750" s="62" t="str">
        <f t="shared" si="11"/>
        <v>KIROKORE</v>
      </c>
      <c r="F750" s="62">
        <v>531</v>
      </c>
    </row>
    <row r="751" spans="1:6">
      <c r="A751" s="65" t="s">
        <v>1582</v>
      </c>
      <c r="D751" s="62" t="str">
        <f t="shared" si="11"/>
        <v>Bulanga</v>
      </c>
      <c r="F751" s="62">
        <v>531</v>
      </c>
    </row>
    <row r="752" spans="1:6">
      <c r="A752" s="65" t="s">
        <v>1583</v>
      </c>
      <c r="D752" s="62" t="str">
        <f t="shared" si="11"/>
        <v>NAMUNGONA</v>
      </c>
      <c r="F752" s="62">
        <v>531</v>
      </c>
    </row>
    <row r="753" spans="1:6">
      <c r="A753" s="65" t="s">
        <v>1584</v>
      </c>
      <c r="D753" s="62" t="str">
        <f t="shared" si="11"/>
        <v>NAMUGONA</v>
      </c>
      <c r="F753" s="62">
        <v>531</v>
      </c>
    </row>
    <row r="754" spans="1:6">
      <c r="A754" s="65" t="s">
        <v>1585</v>
      </c>
      <c r="D754" s="62" t="str">
        <f t="shared" si="11"/>
        <v>NAMUNGOONA</v>
      </c>
      <c r="F754" s="62">
        <v>531</v>
      </c>
    </row>
    <row r="755" spans="1:6">
      <c r="A755" s="65" t="s">
        <v>1586</v>
      </c>
      <c r="B755" s="62" t="s">
        <v>1387</v>
      </c>
      <c r="C755" s="62" t="s">
        <v>1388</v>
      </c>
      <c r="D755" s="62" t="str">
        <f t="shared" si="11"/>
        <v>Katwe</v>
      </c>
      <c r="E755" s="62" t="str">
        <f>A755</f>
        <v>Katwe</v>
      </c>
      <c r="F755" s="62">
        <v>532</v>
      </c>
    </row>
    <row r="756" spans="1:6">
      <c r="A756" s="65" t="s">
        <v>1587</v>
      </c>
      <c r="D756" s="62" t="str">
        <f t="shared" si="11"/>
        <v>KABUSU</v>
      </c>
      <c r="F756" s="62">
        <v>532</v>
      </c>
    </row>
    <row r="757" spans="1:6">
      <c r="A757" s="62" t="s">
        <v>1588</v>
      </c>
      <c r="B757" s="62" t="s">
        <v>1387</v>
      </c>
      <c r="C757" s="62" t="s">
        <v>1388</v>
      </c>
      <c r="D757" s="62" t="str">
        <f t="shared" si="11"/>
        <v>Kawempe</v>
      </c>
      <c r="E757" s="62" t="str">
        <f>A757</f>
        <v>Kawempe</v>
      </c>
      <c r="F757" s="62">
        <v>533</v>
      </c>
    </row>
    <row r="758" spans="1:6">
      <c r="A758" s="62" t="s">
        <v>1589</v>
      </c>
      <c r="D758" s="62" t="str">
        <f t="shared" si="11"/>
        <v>KAWEMPE HOSPITAL</v>
      </c>
      <c r="F758" s="62">
        <v>533</v>
      </c>
    </row>
    <row r="759" spans="1:6">
      <c r="A759" s="62" t="s">
        <v>1590</v>
      </c>
      <c r="D759" s="62" t="str">
        <f t="shared" si="11"/>
        <v>TICK HOTEL</v>
      </c>
      <c r="F759" s="62">
        <v>533</v>
      </c>
    </row>
    <row r="760" spans="1:6">
      <c r="A760" s="62" t="s">
        <v>1591</v>
      </c>
      <c r="D760" s="62" t="str">
        <f t="shared" si="11"/>
        <v>TULA</v>
      </c>
      <c r="F760" s="62">
        <v>533</v>
      </c>
    </row>
    <row r="761" spans="1:6">
      <c r="A761" s="62" t="s">
        <v>1592</v>
      </c>
      <c r="D761" s="62" t="str">
        <f t="shared" si="11"/>
        <v>Tula Kawempe</v>
      </c>
      <c r="F761" s="62">
        <v>533</v>
      </c>
    </row>
    <row r="762" spans="1:6">
      <c r="A762" s="62" t="s">
        <v>1593</v>
      </c>
      <c r="D762" s="62" t="str">
        <f t="shared" si="11"/>
        <v xml:space="preserve">TULA ROAD </v>
      </c>
      <c r="F762" s="62">
        <v>533</v>
      </c>
    </row>
    <row r="763" spans="1:6">
      <c r="A763" s="62" t="s">
        <v>1594</v>
      </c>
      <c r="B763" s="62" t="s">
        <v>1387</v>
      </c>
      <c r="C763" s="62" t="s">
        <v>1388</v>
      </c>
      <c r="D763" s="62" t="str">
        <f t="shared" si="11"/>
        <v>Kazo Angola</v>
      </c>
      <c r="E763" s="62" t="str">
        <f>A763</f>
        <v>Kazo Angola</v>
      </c>
      <c r="F763" s="62">
        <v>534</v>
      </c>
    </row>
    <row r="764" spans="1:6">
      <c r="A764" s="62" t="s">
        <v>1595</v>
      </c>
      <c r="D764" s="62" t="str">
        <f t="shared" si="11"/>
        <v>Kazzo</v>
      </c>
      <c r="F764" s="62">
        <v>534</v>
      </c>
    </row>
    <row r="765" spans="1:6">
      <c r="A765" s="62" t="s">
        <v>1596</v>
      </c>
      <c r="D765" s="62" t="str">
        <f t="shared" si="11"/>
        <v>Kaazo</v>
      </c>
      <c r="F765" s="62">
        <v>534</v>
      </c>
    </row>
    <row r="766" spans="1:6">
      <c r="A766" s="62" t="s">
        <v>1597</v>
      </c>
      <c r="D766" s="62" t="str">
        <f t="shared" si="11"/>
        <v>ANGOLA</v>
      </c>
      <c r="F766" s="62">
        <v>534</v>
      </c>
    </row>
    <row r="767" spans="1:6">
      <c r="A767" s="65" t="s">
        <v>1598</v>
      </c>
      <c r="B767" s="62" t="s">
        <v>1387</v>
      </c>
      <c r="C767" s="62" t="s">
        <v>1388</v>
      </c>
      <c r="D767" s="62" t="str">
        <f t="shared" si="11"/>
        <v>Kibuli</v>
      </c>
      <c r="E767" s="62" t="str">
        <f>A767</f>
        <v>Kibuli</v>
      </c>
      <c r="F767" s="62">
        <v>535</v>
      </c>
    </row>
    <row r="768" spans="1:6">
      <c r="A768" s="65" t="s">
        <v>1599</v>
      </c>
      <c r="B768" s="62" t="s">
        <v>1387</v>
      </c>
      <c r="C768" s="62" t="s">
        <v>1388</v>
      </c>
      <c r="D768" s="62" t="str">
        <f t="shared" si="11"/>
        <v>Kibuye</v>
      </c>
      <c r="E768" s="62" t="str">
        <f>A768</f>
        <v>Kibuye</v>
      </c>
      <c r="F768" s="62">
        <v>536</v>
      </c>
    </row>
    <row r="769" spans="1:6">
      <c r="A769" s="65" t="s">
        <v>1600</v>
      </c>
      <c r="D769" s="62" t="str">
        <f t="shared" si="11"/>
        <v xml:space="preserve">KIBUYE </v>
      </c>
      <c r="F769" s="62">
        <v>536</v>
      </c>
    </row>
    <row r="770" spans="1:6">
      <c r="A770" s="65" t="s">
        <v>1601</v>
      </c>
      <c r="D770" s="62" t="str">
        <f t="shared" ref="D770:D833" si="12">A770</f>
        <v>KOBIL</v>
      </c>
      <c r="F770" s="62">
        <v>536</v>
      </c>
    </row>
    <row r="771" spans="1:6">
      <c r="A771" s="62" t="s">
        <v>1602</v>
      </c>
      <c r="B771" s="62" t="s">
        <v>1387</v>
      </c>
      <c r="C771" s="62" t="s">
        <v>1388</v>
      </c>
      <c r="D771" s="62" t="str">
        <f t="shared" si="12"/>
        <v>Kikaaya</v>
      </c>
      <c r="E771" s="62" t="str">
        <f>A771</f>
        <v>Kikaaya</v>
      </c>
      <c r="F771" s="62">
        <v>537</v>
      </c>
    </row>
    <row r="772" spans="1:6">
      <c r="A772" s="66" t="s">
        <v>1603</v>
      </c>
      <c r="B772" s="62" t="s">
        <v>1387</v>
      </c>
      <c r="C772" s="62" t="s">
        <v>1388</v>
      </c>
      <c r="D772" s="62" t="str">
        <f t="shared" si="12"/>
        <v xml:space="preserve">Kisenyi </v>
      </c>
      <c r="E772" s="62" t="str">
        <f>A772</f>
        <v xml:space="preserve">Kisenyi </v>
      </c>
      <c r="F772" s="62">
        <v>538</v>
      </c>
    </row>
    <row r="773" spans="1:6">
      <c r="A773" s="62" t="s">
        <v>53</v>
      </c>
      <c r="D773" s="62" t="str">
        <f t="shared" si="12"/>
        <v>Kisenyi</v>
      </c>
      <c r="F773" s="62">
        <v>538</v>
      </c>
    </row>
    <row r="774" spans="1:6">
      <c r="A774" s="62" t="s">
        <v>1604</v>
      </c>
      <c r="D774" s="62" t="str">
        <f t="shared" si="12"/>
        <v>Kibwa</v>
      </c>
      <c r="F774" s="62">
        <v>538</v>
      </c>
    </row>
    <row r="775" spans="1:6">
      <c r="A775" s="65" t="s">
        <v>1605</v>
      </c>
      <c r="B775" s="62" t="s">
        <v>1387</v>
      </c>
      <c r="C775" s="62" t="s">
        <v>1388</v>
      </c>
      <c r="D775" s="62" t="str">
        <f t="shared" si="12"/>
        <v>Kisugu</v>
      </c>
      <c r="E775" s="62" t="str">
        <f>A775</f>
        <v>Kisugu</v>
      </c>
      <c r="F775" s="62">
        <v>539</v>
      </c>
    </row>
    <row r="776" spans="1:6">
      <c r="A776" s="65" t="s">
        <v>1606</v>
      </c>
      <c r="D776" s="62" t="str">
        <f t="shared" si="12"/>
        <v>KABONA</v>
      </c>
      <c r="F776" s="62">
        <v>539</v>
      </c>
    </row>
    <row r="777" spans="1:6">
      <c r="A777" s="65" t="s">
        <v>1607</v>
      </c>
      <c r="D777" s="62" t="str">
        <f t="shared" si="12"/>
        <v>MBOGO</v>
      </c>
      <c r="F777" s="62">
        <v>539</v>
      </c>
    </row>
    <row r="778" spans="1:6">
      <c r="A778" s="65" t="s">
        <v>1608</v>
      </c>
      <c r="D778" s="62" t="str">
        <f t="shared" si="12"/>
        <v>KAWEMBE MBOGO</v>
      </c>
      <c r="F778" s="62">
        <v>539</v>
      </c>
    </row>
    <row r="779" spans="1:6">
      <c r="A779" s="65" t="s">
        <v>1609</v>
      </c>
      <c r="B779" s="62" t="s">
        <v>1387</v>
      </c>
      <c r="C779" s="62" t="s">
        <v>1388</v>
      </c>
      <c r="D779" s="62" t="str">
        <f t="shared" si="12"/>
        <v>Kiswa</v>
      </c>
      <c r="E779" s="62" t="str">
        <f>A779</f>
        <v>Kiswa</v>
      </c>
      <c r="F779" s="62">
        <v>540</v>
      </c>
    </row>
    <row r="780" spans="1:6">
      <c r="A780" s="65" t="s">
        <v>1610</v>
      </c>
      <c r="B780" s="62" t="s">
        <v>1387</v>
      </c>
      <c r="C780" s="62" t="s">
        <v>1388</v>
      </c>
      <c r="D780" s="62" t="str">
        <f t="shared" si="12"/>
        <v>Kiwatule</v>
      </c>
      <c r="E780" s="62" t="str">
        <f>A780</f>
        <v>Kiwatule</v>
      </c>
      <c r="F780" s="62">
        <v>541</v>
      </c>
    </row>
    <row r="781" spans="1:6">
      <c r="A781" s="66" t="s">
        <v>1611</v>
      </c>
      <c r="B781" s="62" t="s">
        <v>1387</v>
      </c>
      <c r="C781" s="62" t="s">
        <v>1388</v>
      </c>
      <c r="D781" s="62" t="str">
        <f t="shared" si="12"/>
        <v>Kololo</v>
      </c>
      <c r="E781" s="62" t="str">
        <f>A781</f>
        <v>Kololo</v>
      </c>
      <c r="F781" s="62">
        <v>542</v>
      </c>
    </row>
    <row r="782" spans="1:6">
      <c r="A782" s="66" t="s">
        <v>1612</v>
      </c>
      <c r="D782" s="62" t="str">
        <f t="shared" si="12"/>
        <v>WAMPEWO ANVENU</v>
      </c>
      <c r="F782" s="62">
        <v>542</v>
      </c>
    </row>
    <row r="783" spans="1:6">
      <c r="A783" s="66" t="s">
        <v>1613</v>
      </c>
      <c r="D783" s="62" t="str">
        <f t="shared" si="12"/>
        <v>Wampeewo</v>
      </c>
      <c r="F783" s="62">
        <v>542</v>
      </c>
    </row>
    <row r="784" spans="1:6">
      <c r="A784" s="66" t="s">
        <v>1614</v>
      </c>
      <c r="D784" s="62" t="str">
        <f t="shared" si="12"/>
        <v>WAMPEWO</v>
      </c>
      <c r="F784" s="62">
        <v>542</v>
      </c>
    </row>
    <row r="785" spans="1:6">
      <c r="A785" s="62" t="s">
        <v>1615</v>
      </c>
      <c r="B785" s="62" t="s">
        <v>1387</v>
      </c>
      <c r="C785" s="62" t="s">
        <v>1388</v>
      </c>
      <c r="D785" s="62" t="str">
        <f t="shared" si="12"/>
        <v>Komamboga</v>
      </c>
      <c r="E785" s="62" t="str">
        <f>A785</f>
        <v>Komamboga</v>
      </c>
      <c r="F785" s="62">
        <v>543</v>
      </c>
    </row>
    <row r="786" spans="1:6">
      <c r="A786" s="65" t="s">
        <v>1616</v>
      </c>
      <c r="B786" s="62" t="s">
        <v>1387</v>
      </c>
      <c r="C786" s="62" t="s">
        <v>1388</v>
      </c>
      <c r="D786" s="62" t="str">
        <f t="shared" si="12"/>
        <v>Kyambogo</v>
      </c>
      <c r="E786" s="62" t="str">
        <f>A786</f>
        <v>Kyambogo</v>
      </c>
      <c r="F786" s="62">
        <v>544</v>
      </c>
    </row>
    <row r="787" spans="1:6">
      <c r="A787" s="65" t="s">
        <v>1617</v>
      </c>
      <c r="B787" s="62" t="s">
        <v>1387</v>
      </c>
      <c r="C787" s="62" t="s">
        <v>1388</v>
      </c>
      <c r="D787" s="62" t="str">
        <f t="shared" si="12"/>
        <v>Kyanja</v>
      </c>
      <c r="E787" s="62" t="str">
        <f>A787</f>
        <v>Kyanja</v>
      </c>
      <c r="F787" s="62">
        <v>545</v>
      </c>
    </row>
    <row r="788" spans="1:6">
      <c r="A788" s="65" t="s">
        <v>1618</v>
      </c>
      <c r="D788" s="62" t="str">
        <f t="shared" si="12"/>
        <v>KITETIKA</v>
      </c>
      <c r="F788" s="62">
        <v>545</v>
      </c>
    </row>
    <row r="789" spans="1:6">
      <c r="A789" s="65" t="s">
        <v>1619</v>
      </c>
      <c r="D789" s="62" t="str">
        <f t="shared" si="12"/>
        <v>Kumamboga</v>
      </c>
      <c r="F789" s="62">
        <v>545</v>
      </c>
    </row>
    <row r="790" spans="1:6">
      <c r="A790" s="65" t="s">
        <v>1620</v>
      </c>
      <c r="D790" s="62" t="str">
        <f t="shared" si="12"/>
        <v>KISASI</v>
      </c>
      <c r="F790" s="62">
        <v>545</v>
      </c>
    </row>
    <row r="791" spans="1:6">
      <c r="A791" s="65" t="s">
        <v>1621</v>
      </c>
      <c r="D791" s="62" t="str">
        <f t="shared" si="12"/>
        <v>Kisaasi</v>
      </c>
      <c r="F791" s="62">
        <v>545</v>
      </c>
    </row>
    <row r="792" spans="1:6">
      <c r="A792" s="65" t="s">
        <v>1622</v>
      </c>
      <c r="D792" s="62" t="str">
        <f t="shared" si="12"/>
        <v>KULAMBIRO</v>
      </c>
      <c r="F792" s="62">
        <v>545</v>
      </c>
    </row>
    <row r="793" spans="1:6">
      <c r="A793" s="62" t="s">
        <v>1623</v>
      </c>
      <c r="B793" s="62" t="s">
        <v>1387</v>
      </c>
      <c r="C793" s="62" t="s">
        <v>1388</v>
      </c>
      <c r="D793" s="62" t="str">
        <f t="shared" si="12"/>
        <v>Kyebando</v>
      </c>
      <c r="E793" s="62" t="str">
        <f>A793</f>
        <v>Kyebando</v>
      </c>
      <c r="F793" s="62">
        <v>546</v>
      </c>
    </row>
    <row r="794" spans="1:6">
      <c r="A794" s="62" t="s">
        <v>1624</v>
      </c>
      <c r="D794" s="62" t="str">
        <f t="shared" si="12"/>
        <v>DELTA KYEBANDO</v>
      </c>
      <c r="F794" s="62">
        <v>546</v>
      </c>
    </row>
    <row r="795" spans="1:6">
      <c r="A795" s="62" t="s">
        <v>1625</v>
      </c>
      <c r="D795" s="62" t="str">
        <f t="shared" si="12"/>
        <v>NSOOBA KYEBANDO</v>
      </c>
      <c r="F795" s="62">
        <v>546</v>
      </c>
    </row>
    <row r="796" spans="1:6">
      <c r="A796" s="62" t="s">
        <v>1626</v>
      </c>
      <c r="D796" s="62" t="str">
        <f t="shared" si="12"/>
        <v>Nsoba</v>
      </c>
      <c r="F796" s="62">
        <v>546</v>
      </c>
    </row>
    <row r="797" spans="1:6">
      <c r="A797" s="62" t="s">
        <v>1627</v>
      </c>
      <c r="D797" s="62" t="str">
        <f t="shared" si="12"/>
        <v>Nsooba</v>
      </c>
      <c r="F797" s="62">
        <v>546</v>
      </c>
    </row>
    <row r="798" spans="1:6">
      <c r="A798" s="62" t="s">
        <v>1628</v>
      </c>
      <c r="D798" s="62" t="str">
        <f t="shared" si="12"/>
        <v>Kalerwe</v>
      </c>
      <c r="F798" s="62">
        <v>546</v>
      </c>
    </row>
    <row r="799" spans="1:6">
      <c r="A799" s="62" t="s">
        <v>1629</v>
      </c>
      <c r="D799" s="62" t="str">
        <f t="shared" si="12"/>
        <v>Kalewre</v>
      </c>
      <c r="F799" s="62">
        <v>546</v>
      </c>
    </row>
    <row r="800" spans="1:6">
      <c r="A800" s="62" t="s">
        <v>1630</v>
      </c>
      <c r="D800" s="62" t="str">
        <f t="shared" si="12"/>
        <v>Kalerwe market</v>
      </c>
      <c r="F800" s="62">
        <v>546</v>
      </c>
    </row>
    <row r="801" spans="1:6">
      <c r="A801" s="62" t="s">
        <v>1631</v>
      </c>
      <c r="D801" s="62" t="str">
        <f t="shared" si="12"/>
        <v>Mabule</v>
      </c>
      <c r="F801" s="62">
        <v>546</v>
      </c>
    </row>
    <row r="802" spans="1:6">
      <c r="A802" s="62" t="s">
        <v>1632</v>
      </c>
      <c r="D802" s="62" t="str">
        <f t="shared" si="12"/>
        <v>Manbule</v>
      </c>
      <c r="F802" s="62">
        <v>546</v>
      </c>
    </row>
    <row r="803" spans="1:6">
      <c r="A803" s="62" t="s">
        <v>1633</v>
      </c>
      <c r="D803" s="62" t="str">
        <f t="shared" si="12"/>
        <v>Mambure</v>
      </c>
      <c r="F803" s="62">
        <v>546</v>
      </c>
    </row>
    <row r="804" spans="1:6">
      <c r="A804" s="62" t="s">
        <v>1634</v>
      </c>
      <c r="D804" s="62" t="str">
        <f t="shared" si="12"/>
        <v>Mambule</v>
      </c>
      <c r="F804" s="62">
        <v>546</v>
      </c>
    </row>
    <row r="805" spans="1:6">
      <c r="A805" s="65" t="s">
        <v>1635</v>
      </c>
      <c r="B805" s="62" t="s">
        <v>1387</v>
      </c>
      <c r="C805" s="62" t="s">
        <v>1388</v>
      </c>
      <c r="D805" s="62" t="str">
        <f t="shared" si="12"/>
        <v>Lubaga</v>
      </c>
      <c r="E805" s="62" t="str">
        <f>A805</f>
        <v>Lubaga</v>
      </c>
      <c r="F805" s="62">
        <v>547</v>
      </c>
    </row>
    <row r="806" spans="1:6">
      <c r="A806" s="65" t="s">
        <v>1636</v>
      </c>
      <c r="D806" s="62" t="str">
        <f t="shared" si="12"/>
        <v>Rubaga</v>
      </c>
      <c r="E806" s="62" t="str">
        <f>A806</f>
        <v>Rubaga</v>
      </c>
      <c r="F806" s="62">
        <v>547</v>
      </c>
    </row>
    <row r="807" spans="1:6">
      <c r="A807" s="65" t="s">
        <v>1637</v>
      </c>
      <c r="D807" s="62" t="str">
        <f t="shared" si="12"/>
        <v>RUBAGA HOSPITAL</v>
      </c>
      <c r="F807" s="62">
        <v>547</v>
      </c>
    </row>
    <row r="808" spans="1:6">
      <c r="A808" s="65" t="s">
        <v>1134</v>
      </c>
      <c r="B808" s="62" t="s">
        <v>1387</v>
      </c>
      <c r="C808" s="62" t="s">
        <v>1388</v>
      </c>
      <c r="D808" s="62" t="str">
        <f t="shared" si="12"/>
        <v>Lubya</v>
      </c>
      <c r="E808" s="62" t="str">
        <f>A808</f>
        <v>Lubya</v>
      </c>
      <c r="F808" s="62">
        <v>548</v>
      </c>
    </row>
    <row r="809" spans="1:6">
      <c r="A809" s="65" t="s">
        <v>1638</v>
      </c>
      <c r="D809" s="62" t="str">
        <f t="shared" si="12"/>
        <v>MASANAFU</v>
      </c>
      <c r="F809" s="62">
        <v>548</v>
      </c>
    </row>
    <row r="810" spans="1:6">
      <c r="A810" s="65" t="s">
        <v>1639</v>
      </c>
      <c r="B810" s="62" t="s">
        <v>1387</v>
      </c>
      <c r="C810" s="62" t="s">
        <v>1388</v>
      </c>
      <c r="D810" s="62" t="str">
        <f t="shared" si="12"/>
        <v>Lukuli</v>
      </c>
      <c r="E810" s="62" t="str">
        <f>A810</f>
        <v>Lukuli</v>
      </c>
      <c r="F810" s="62">
        <v>549</v>
      </c>
    </row>
    <row r="811" spans="1:6">
      <c r="A811" s="65" t="s">
        <v>1640</v>
      </c>
      <c r="B811" s="62" t="s">
        <v>1387</v>
      </c>
      <c r="C811" s="62" t="s">
        <v>1388</v>
      </c>
      <c r="D811" s="62" t="str">
        <f t="shared" si="12"/>
        <v>Lungujja</v>
      </c>
      <c r="E811" s="62" t="str">
        <f>A811</f>
        <v>Lungujja</v>
      </c>
      <c r="F811" s="62">
        <v>550</v>
      </c>
    </row>
    <row r="812" spans="1:6">
      <c r="A812" s="65" t="s">
        <v>1641</v>
      </c>
      <c r="D812" s="62" t="str">
        <f t="shared" si="12"/>
        <v>LUNGUJA</v>
      </c>
      <c r="F812" s="62">
        <v>550</v>
      </c>
    </row>
    <row r="813" spans="1:6">
      <c r="A813" s="65" t="s">
        <v>1642</v>
      </c>
      <c r="D813" s="62" t="str">
        <f t="shared" si="12"/>
        <v>Wakaliga</v>
      </c>
      <c r="F813" s="62">
        <v>550</v>
      </c>
    </row>
    <row r="814" spans="1:6">
      <c r="A814" s="65" t="s">
        <v>1643</v>
      </c>
      <c r="B814" s="62" t="s">
        <v>1387</v>
      </c>
      <c r="C814" s="62" t="s">
        <v>1388</v>
      </c>
      <c r="D814" s="62" t="str">
        <f t="shared" si="12"/>
        <v>Luwafu</v>
      </c>
      <c r="E814" s="62" t="str">
        <f>A814</f>
        <v>Luwafu</v>
      </c>
      <c r="F814" s="62">
        <v>551</v>
      </c>
    </row>
    <row r="815" spans="1:6">
      <c r="A815" s="65" t="s">
        <v>1644</v>
      </c>
      <c r="D815" s="62" t="str">
        <f t="shared" si="12"/>
        <v>Lyati stage</v>
      </c>
      <c r="F815" s="62">
        <v>551</v>
      </c>
    </row>
    <row r="816" spans="1:6">
      <c r="A816" s="65" t="s">
        <v>1645</v>
      </c>
      <c r="D816" s="62" t="str">
        <f t="shared" si="12"/>
        <v>Lwasa stage</v>
      </c>
      <c r="F816" s="62">
        <v>551</v>
      </c>
    </row>
    <row r="817" spans="1:6">
      <c r="A817" s="65" t="s">
        <v>1646</v>
      </c>
      <c r="D817" s="62" t="str">
        <f t="shared" si="12"/>
        <v>LUWASA</v>
      </c>
      <c r="F817" s="62">
        <v>551</v>
      </c>
    </row>
    <row r="818" spans="1:6">
      <c r="A818" s="65" t="s">
        <v>1647</v>
      </c>
      <c r="D818" s="62" t="str">
        <f t="shared" si="12"/>
        <v>Kulwasa</v>
      </c>
      <c r="F818" s="62">
        <v>551</v>
      </c>
    </row>
    <row r="819" spans="1:6">
      <c r="A819" s="65" t="s">
        <v>1648</v>
      </c>
      <c r="D819" s="62" t="str">
        <f t="shared" si="12"/>
        <v>Katuba stage</v>
      </c>
      <c r="F819" s="62">
        <v>551</v>
      </c>
    </row>
    <row r="820" spans="1:6">
      <c r="A820" s="65" t="s">
        <v>1649</v>
      </c>
      <c r="B820" s="62" t="s">
        <v>1387</v>
      </c>
      <c r="C820" s="62" t="s">
        <v>1388</v>
      </c>
      <c r="D820" s="62" t="str">
        <f t="shared" si="12"/>
        <v>Luzira</v>
      </c>
      <c r="E820" s="62" t="str">
        <f>A820</f>
        <v>Luzira</v>
      </c>
      <c r="F820" s="62">
        <v>552</v>
      </c>
    </row>
    <row r="821" spans="1:6">
      <c r="A821" s="65" t="s">
        <v>1650</v>
      </c>
      <c r="D821" s="62" t="str">
        <f t="shared" si="12"/>
        <v>LUZIRA</v>
      </c>
      <c r="F821" s="62">
        <v>552</v>
      </c>
    </row>
    <row r="822" spans="1:6">
      <c r="A822" s="65" t="s">
        <v>1651</v>
      </c>
      <c r="B822" s="62" t="s">
        <v>1387</v>
      </c>
      <c r="C822" s="62" t="s">
        <v>1388</v>
      </c>
      <c r="D822" s="62" t="str">
        <f t="shared" si="12"/>
        <v>Luzira Prisons</v>
      </c>
      <c r="E822" s="62" t="str">
        <f>A822</f>
        <v>Luzira Prisons</v>
      </c>
      <c r="F822" s="62">
        <v>553</v>
      </c>
    </row>
    <row r="823" spans="1:6">
      <c r="A823" s="65" t="s">
        <v>1652</v>
      </c>
      <c r="D823" s="62" t="str">
        <f t="shared" si="12"/>
        <v xml:space="preserve">LUZIRA </v>
      </c>
      <c r="F823" s="62">
        <v>553</v>
      </c>
    </row>
    <row r="824" spans="1:6">
      <c r="A824" s="65" t="s">
        <v>1653</v>
      </c>
      <c r="D824" s="62" t="str">
        <f t="shared" si="12"/>
        <v>PORT BELL ROAD</v>
      </c>
      <c r="F824" s="62">
        <v>553</v>
      </c>
    </row>
    <row r="825" spans="1:6">
      <c r="A825" s="65" t="s">
        <v>1654</v>
      </c>
      <c r="D825" s="62" t="str">
        <f t="shared" si="12"/>
        <v>KIROMBE</v>
      </c>
      <c r="F825" s="62">
        <v>553</v>
      </c>
    </row>
    <row r="826" spans="1:6">
      <c r="A826" s="65" t="s">
        <v>1655</v>
      </c>
      <c r="D826" s="62" t="str">
        <f t="shared" si="12"/>
        <v>Kunya</v>
      </c>
      <c r="F826" s="62">
        <v>553</v>
      </c>
    </row>
    <row r="827" spans="1:6">
      <c r="A827" s="62" t="s">
        <v>1656</v>
      </c>
      <c r="B827" s="62" t="s">
        <v>1387</v>
      </c>
      <c r="C827" s="62" t="s">
        <v>1388</v>
      </c>
      <c r="D827" s="62" t="str">
        <f t="shared" si="12"/>
        <v>Makerere</v>
      </c>
      <c r="E827" s="62" t="str">
        <f>A827</f>
        <v>Makerere</v>
      </c>
      <c r="F827" s="62">
        <v>554</v>
      </c>
    </row>
    <row r="828" spans="1:6">
      <c r="A828" s="62" t="s">
        <v>1657</v>
      </c>
      <c r="D828" s="62" t="str">
        <f t="shared" si="12"/>
        <v>KIYINDI</v>
      </c>
      <c r="F828" s="62">
        <v>554</v>
      </c>
    </row>
    <row r="829" spans="1:6">
      <c r="A829" s="62" t="s">
        <v>1658</v>
      </c>
      <c r="D829" s="62" t="str">
        <f t="shared" si="12"/>
        <v>BBIRA</v>
      </c>
      <c r="F829" s="62">
        <v>554</v>
      </c>
    </row>
    <row r="830" spans="1:6">
      <c r="A830" s="62" t="s">
        <v>1659</v>
      </c>
      <c r="D830" s="62" t="str">
        <f t="shared" si="12"/>
        <v>Bira</v>
      </c>
      <c r="F830" s="62">
        <v>554</v>
      </c>
    </row>
    <row r="831" spans="1:6">
      <c r="A831" s="62" t="s">
        <v>1660</v>
      </c>
      <c r="D831" s="62" t="str">
        <f t="shared" si="12"/>
        <v>KAVULE</v>
      </c>
      <c r="F831" s="62">
        <v>554</v>
      </c>
    </row>
    <row r="832" spans="1:6">
      <c r="A832" s="62" t="s">
        <v>1661</v>
      </c>
      <c r="D832" s="62" t="str">
        <f t="shared" si="12"/>
        <v>KIKONI</v>
      </c>
      <c r="F832" s="62">
        <v>554</v>
      </c>
    </row>
    <row r="833" spans="1:6">
      <c r="A833" s="62" t="s">
        <v>1662</v>
      </c>
      <c r="D833" s="62" t="str">
        <f t="shared" si="12"/>
        <v>KIKONI MAKERERE</v>
      </c>
      <c r="F833" s="62">
        <v>554</v>
      </c>
    </row>
    <row r="834" spans="1:6">
      <c r="A834" s="62" t="s">
        <v>1663</v>
      </c>
      <c r="D834" s="62" t="str">
        <f t="shared" ref="D834:D897" si="13">A834</f>
        <v>KALULWE</v>
      </c>
      <c r="F834" s="62">
        <v>554</v>
      </c>
    </row>
    <row r="835" spans="1:6">
      <c r="A835" s="62" t="s">
        <v>1664</v>
      </c>
      <c r="B835" s="62" t="s">
        <v>1387</v>
      </c>
      <c r="C835" s="62" t="s">
        <v>1388</v>
      </c>
      <c r="D835" s="62" t="str">
        <f t="shared" si="13"/>
        <v>Makerere University</v>
      </c>
      <c r="E835" s="62" t="str">
        <f>A835</f>
        <v>Makerere University</v>
      </c>
      <c r="F835" s="62">
        <v>555</v>
      </c>
    </row>
    <row r="836" spans="1:6">
      <c r="A836" s="62" t="s">
        <v>1665</v>
      </c>
      <c r="D836" s="62" t="str">
        <f t="shared" si="13"/>
        <v>MAKERERE COLLEGE</v>
      </c>
      <c r="F836" s="62">
        <v>555</v>
      </c>
    </row>
    <row r="837" spans="1:6">
      <c r="A837" s="65" t="s">
        <v>1666</v>
      </c>
      <c r="B837" s="62" t="s">
        <v>1387</v>
      </c>
      <c r="C837" s="62" t="s">
        <v>1388</v>
      </c>
      <c r="D837" s="62" t="str">
        <f t="shared" si="13"/>
        <v>Makindye</v>
      </c>
      <c r="E837" s="62" t="str">
        <f>A837</f>
        <v>Makindye</v>
      </c>
      <c r="F837" s="62">
        <v>556</v>
      </c>
    </row>
    <row r="838" spans="1:6">
      <c r="A838" s="65" t="s">
        <v>1667</v>
      </c>
      <c r="D838" s="62" t="str">
        <f t="shared" si="13"/>
        <v>MAKYINDYE</v>
      </c>
      <c r="F838" s="62">
        <v>556</v>
      </c>
    </row>
    <row r="839" spans="1:6">
      <c r="A839" s="65" t="s">
        <v>1668</v>
      </c>
      <c r="D839" s="62" t="str">
        <f t="shared" si="13"/>
        <v>KIZUNGU</v>
      </c>
      <c r="F839" s="62">
        <v>556</v>
      </c>
    </row>
    <row r="840" spans="1:6">
      <c r="A840" s="65" t="s">
        <v>1669</v>
      </c>
      <c r="B840" s="62" t="s">
        <v>1387</v>
      </c>
      <c r="C840" s="62" t="s">
        <v>1388</v>
      </c>
      <c r="D840" s="62" t="str">
        <f t="shared" si="13"/>
        <v>Mbuya</v>
      </c>
      <c r="E840" s="62" t="str">
        <f>A840</f>
        <v>Mbuya</v>
      </c>
      <c r="F840" s="62">
        <v>557</v>
      </c>
    </row>
    <row r="841" spans="1:6">
      <c r="A841" s="65" t="s">
        <v>1670</v>
      </c>
      <c r="D841" s="62" t="str">
        <f t="shared" si="13"/>
        <v>MBUYA POLICE</v>
      </c>
      <c r="F841" s="62">
        <v>557</v>
      </c>
    </row>
    <row r="842" spans="1:6">
      <c r="A842" s="62" t="s">
        <v>1671</v>
      </c>
      <c r="B842" s="62" t="s">
        <v>1387</v>
      </c>
      <c r="C842" s="62" t="s">
        <v>1388</v>
      </c>
      <c r="D842" s="62" t="str">
        <f t="shared" si="13"/>
        <v>Mengo</v>
      </c>
      <c r="E842" s="62" t="str">
        <f>A842</f>
        <v>Mengo</v>
      </c>
      <c r="F842" s="62">
        <v>558</v>
      </c>
    </row>
    <row r="843" spans="1:6">
      <c r="A843" s="62" t="s">
        <v>1672</v>
      </c>
      <c r="D843" s="62" t="str">
        <f t="shared" si="13"/>
        <v>MENGO HOSPITAL</v>
      </c>
      <c r="F843" s="62">
        <v>558</v>
      </c>
    </row>
    <row r="844" spans="1:6">
      <c r="A844" s="62" t="s">
        <v>1673</v>
      </c>
      <c r="B844" s="62" t="s">
        <v>1387</v>
      </c>
      <c r="C844" s="62" t="s">
        <v>1388</v>
      </c>
      <c r="D844" s="62" t="str">
        <f t="shared" si="13"/>
        <v>Mpererwe</v>
      </c>
      <c r="E844" s="62" t="str">
        <f>A844</f>
        <v>Mpererwe</v>
      </c>
      <c r="F844" s="62">
        <v>559</v>
      </c>
    </row>
    <row r="845" spans="1:6">
      <c r="A845" s="62" t="s">
        <v>1674</v>
      </c>
      <c r="D845" s="62" t="str">
        <f t="shared" si="13"/>
        <v>MPERELWE</v>
      </c>
      <c r="F845" s="62">
        <v>559</v>
      </c>
    </row>
    <row r="846" spans="1:6">
      <c r="A846" s="62" t="s">
        <v>1675</v>
      </c>
      <c r="D846" s="62" t="str">
        <f t="shared" si="13"/>
        <v>MPERWRWE</v>
      </c>
      <c r="F846" s="62">
        <v>559</v>
      </c>
    </row>
    <row r="847" spans="1:6">
      <c r="A847" s="62" t="s">
        <v>1676</v>
      </c>
      <c r="D847" s="62" t="str">
        <f t="shared" si="13"/>
        <v>MPELERWE</v>
      </c>
      <c r="F847" s="62">
        <v>559</v>
      </c>
    </row>
    <row r="848" spans="1:6">
      <c r="A848" s="62" t="s">
        <v>1677</v>
      </c>
      <c r="D848" s="62" t="str">
        <f t="shared" si="13"/>
        <v>Namere</v>
      </c>
      <c r="F848" s="62">
        <v>559</v>
      </c>
    </row>
    <row r="849" spans="1:6">
      <c r="A849" s="62" t="s">
        <v>1678</v>
      </c>
      <c r="D849" s="62" t="str">
        <f t="shared" si="13"/>
        <v>NAMERE MPELERWE</v>
      </c>
      <c r="F849" s="62">
        <v>559</v>
      </c>
    </row>
    <row r="850" spans="1:6">
      <c r="A850" s="62" t="s">
        <v>1679</v>
      </c>
      <c r="D850" s="62" t="str">
        <f t="shared" si="13"/>
        <v>KATALEMWA</v>
      </c>
      <c r="F850" s="62">
        <v>559</v>
      </c>
    </row>
    <row r="851" spans="1:6">
      <c r="A851" s="62" t="s">
        <v>1680</v>
      </c>
      <c r="D851" s="62" t="str">
        <f t="shared" si="13"/>
        <v>KATEMWA</v>
      </c>
      <c r="F851" s="62">
        <v>559</v>
      </c>
    </row>
    <row r="852" spans="1:6">
      <c r="A852" s="62" t="s">
        <v>1681</v>
      </c>
      <c r="B852" s="62" t="s">
        <v>1387</v>
      </c>
      <c r="C852" s="62" t="s">
        <v>1388</v>
      </c>
      <c r="D852" s="62" t="str">
        <f t="shared" si="13"/>
        <v>Mulago</v>
      </c>
      <c r="E852" s="62" t="str">
        <f>A852</f>
        <v>Mulago</v>
      </c>
      <c r="F852" s="62">
        <v>560</v>
      </c>
    </row>
    <row r="853" spans="1:6">
      <c r="A853" s="62" t="s">
        <v>1682</v>
      </c>
      <c r="D853" s="62" t="str">
        <f t="shared" si="13"/>
        <v>KIUBIRI MULAGO</v>
      </c>
      <c r="F853" s="62">
        <v>560</v>
      </c>
    </row>
    <row r="854" spans="1:6">
      <c r="A854" s="65" t="s">
        <v>1683</v>
      </c>
      <c r="B854" s="62" t="s">
        <v>1387</v>
      </c>
      <c r="C854" s="62" t="s">
        <v>1388</v>
      </c>
      <c r="D854" s="62" t="str">
        <f t="shared" si="13"/>
        <v>Mutundwe</v>
      </c>
      <c r="E854" s="62" t="str">
        <f>A854</f>
        <v>Mutundwe</v>
      </c>
      <c r="F854" s="62">
        <v>561</v>
      </c>
    </row>
    <row r="855" spans="1:6">
      <c r="A855" s="65" t="s">
        <v>1684</v>
      </c>
      <c r="D855" s="62" t="str">
        <f t="shared" si="13"/>
        <v>NALUMUNYE</v>
      </c>
      <c r="F855" s="62">
        <v>561</v>
      </c>
    </row>
    <row r="856" spans="1:6">
      <c r="A856" s="65" t="s">
        <v>1685</v>
      </c>
      <c r="D856" s="62" t="str">
        <f t="shared" si="13"/>
        <v>Nyanama</v>
      </c>
      <c r="F856" s="62">
        <v>561</v>
      </c>
    </row>
    <row r="857" spans="1:6">
      <c r="A857" s="65" t="s">
        <v>1686</v>
      </c>
      <c r="D857" s="62" t="str">
        <f t="shared" si="13"/>
        <v>MOVIT (LTD)</v>
      </c>
      <c r="F857" s="62">
        <v>561</v>
      </c>
    </row>
    <row r="858" spans="1:6">
      <c r="A858" s="65" t="s">
        <v>1687</v>
      </c>
      <c r="D858" s="62" t="str">
        <f t="shared" si="13"/>
        <v>NALUKONGO</v>
      </c>
      <c r="F858" s="62">
        <v>561</v>
      </c>
    </row>
    <row r="859" spans="1:6">
      <c r="A859" s="65" t="s">
        <v>485</v>
      </c>
      <c r="D859" s="62" t="str">
        <f t="shared" si="13"/>
        <v>NALUKOLONGO</v>
      </c>
      <c r="F859" s="62">
        <v>561</v>
      </c>
    </row>
    <row r="860" spans="1:6">
      <c r="A860" s="65" t="s">
        <v>1688</v>
      </c>
      <c r="B860" s="62" t="s">
        <v>1387</v>
      </c>
      <c r="C860" s="62" t="s">
        <v>1388</v>
      </c>
      <c r="D860" s="62" t="str">
        <f t="shared" si="13"/>
        <v>Mutungo</v>
      </c>
      <c r="E860" s="62" t="str">
        <f>A860</f>
        <v>Mutungo</v>
      </c>
      <c r="F860" s="62">
        <v>562</v>
      </c>
    </row>
    <row r="861" spans="1:6">
      <c r="A861" s="65" t="s">
        <v>1689</v>
      </c>
      <c r="D861" s="62" t="str">
        <f t="shared" si="13"/>
        <v>Mutungo Binna</v>
      </c>
      <c r="F861" s="62">
        <v>562</v>
      </c>
    </row>
    <row r="862" spans="1:6">
      <c r="A862" s="65" t="s">
        <v>1690</v>
      </c>
      <c r="D862" s="62" t="str">
        <f t="shared" si="13"/>
        <v>KITIKO</v>
      </c>
      <c r="F862" s="62">
        <v>562</v>
      </c>
    </row>
    <row r="863" spans="1:6">
      <c r="A863" s="65" t="s">
        <v>1691</v>
      </c>
      <c r="D863" s="62" t="str">
        <f t="shared" si="13"/>
        <v>MUTUNGA</v>
      </c>
      <c r="F863" s="62">
        <v>562</v>
      </c>
    </row>
    <row r="864" spans="1:6">
      <c r="A864" s="65" t="s">
        <v>1692</v>
      </c>
      <c r="D864" s="62" t="str">
        <f t="shared" si="13"/>
        <v>BINA</v>
      </c>
      <c r="F864" s="62">
        <v>562</v>
      </c>
    </row>
    <row r="865" spans="1:6">
      <c r="A865" s="65" t="s">
        <v>1693</v>
      </c>
      <c r="B865" s="62" t="s">
        <v>1387</v>
      </c>
      <c r="C865" s="62" t="s">
        <v>1388</v>
      </c>
      <c r="D865" s="62" t="str">
        <f t="shared" si="13"/>
        <v>Nabisunsa</v>
      </c>
      <c r="E865" s="62" t="str">
        <f>A865</f>
        <v>Nabisunsa</v>
      </c>
      <c r="F865" s="62">
        <v>563</v>
      </c>
    </row>
    <row r="866" spans="1:6">
      <c r="A866" s="65" t="s">
        <v>1694</v>
      </c>
      <c r="B866" s="62" t="s">
        <v>1387</v>
      </c>
      <c r="C866" s="62" t="s">
        <v>1388</v>
      </c>
      <c r="D866" s="62" t="str">
        <f t="shared" si="13"/>
        <v>Naguru</v>
      </c>
      <c r="E866" s="62" t="str">
        <f>A866</f>
        <v>Naguru</v>
      </c>
      <c r="F866" s="62">
        <v>564</v>
      </c>
    </row>
    <row r="867" spans="1:6">
      <c r="A867" s="65" t="s">
        <v>1695</v>
      </c>
      <c r="D867" s="62" t="str">
        <f t="shared" si="13"/>
        <v>Nagulu</v>
      </c>
      <c r="F867" s="62">
        <v>564</v>
      </c>
    </row>
    <row r="868" spans="1:6">
      <c r="A868" s="65" t="s">
        <v>1696</v>
      </c>
      <c r="B868" s="62" t="s">
        <v>1387</v>
      </c>
      <c r="C868" s="62" t="s">
        <v>1388</v>
      </c>
      <c r="D868" s="62" t="str">
        <f t="shared" si="13"/>
        <v>Najjanankumbi</v>
      </c>
      <c r="E868" s="62" t="str">
        <f>A868</f>
        <v>Najjanankumbi</v>
      </c>
      <c r="F868" s="62">
        <v>565</v>
      </c>
    </row>
    <row r="869" spans="1:6">
      <c r="A869" s="65" t="s">
        <v>1697</v>
      </c>
      <c r="D869" s="62" t="str">
        <f t="shared" si="13"/>
        <v>NAJANANKUBI</v>
      </c>
      <c r="F869" s="62">
        <v>565</v>
      </c>
    </row>
    <row r="870" spans="1:6">
      <c r="A870" s="65" t="s">
        <v>1698</v>
      </c>
      <c r="D870" s="62" t="str">
        <f t="shared" si="13"/>
        <v>NAJJANAKUMBI</v>
      </c>
      <c r="F870" s="62">
        <v>565</v>
      </c>
    </row>
    <row r="871" spans="1:6">
      <c r="A871" s="65" t="s">
        <v>1699</v>
      </c>
      <c r="D871" s="62" t="str">
        <f t="shared" si="13"/>
        <v>NAJANANKUMBI</v>
      </c>
      <c r="F871" s="62">
        <v>565</v>
      </c>
    </row>
    <row r="872" spans="1:6">
      <c r="A872" s="65" t="s">
        <v>1700</v>
      </c>
      <c r="D872" s="62" t="str">
        <f t="shared" si="13"/>
        <v>SITELLA</v>
      </c>
      <c r="F872" s="62">
        <v>565</v>
      </c>
    </row>
    <row r="873" spans="1:6">
      <c r="A873" s="65" t="s">
        <v>1701</v>
      </c>
      <c r="D873" s="62" t="str">
        <f t="shared" si="13"/>
        <v>Freedom city</v>
      </c>
      <c r="F873" s="62">
        <v>565</v>
      </c>
    </row>
    <row r="874" spans="1:6">
      <c r="A874" s="65" t="s">
        <v>1702</v>
      </c>
      <c r="D874" s="62" t="str">
        <f t="shared" si="13"/>
        <v>Zana</v>
      </c>
      <c r="F874" s="62">
        <v>565</v>
      </c>
    </row>
    <row r="875" spans="1:6">
      <c r="A875" s="66" t="s">
        <v>1703</v>
      </c>
      <c r="B875" s="62" t="s">
        <v>1387</v>
      </c>
      <c r="C875" s="62" t="s">
        <v>1388</v>
      </c>
      <c r="D875" s="62" t="str">
        <f t="shared" si="13"/>
        <v>Nakasero</v>
      </c>
      <c r="E875" s="62" t="str">
        <f>A875</f>
        <v>Nakasero</v>
      </c>
      <c r="F875" s="62">
        <v>566</v>
      </c>
    </row>
    <row r="876" spans="1:6">
      <c r="A876" s="66" t="s">
        <v>1704</v>
      </c>
      <c r="D876" s="62" t="str">
        <f t="shared" si="13"/>
        <v>MEAT PACK</v>
      </c>
      <c r="F876" s="62">
        <v>566</v>
      </c>
    </row>
    <row r="877" spans="1:6">
      <c r="A877" s="66" t="s">
        <v>1705</v>
      </c>
      <c r="D877" s="62" t="str">
        <f t="shared" si="13"/>
        <v>RWENZORI COURTS</v>
      </c>
      <c r="F877" s="62">
        <v>566</v>
      </c>
    </row>
    <row r="878" spans="1:6">
      <c r="A878" s="66" t="s">
        <v>1706</v>
      </c>
      <c r="D878" s="62" t="str">
        <f t="shared" si="13"/>
        <v>FAIRWAY</v>
      </c>
      <c r="F878" s="62">
        <v>566</v>
      </c>
    </row>
    <row r="879" spans="1:6">
      <c r="A879" s="65" t="s">
        <v>1707</v>
      </c>
      <c r="B879" s="62" t="s">
        <v>1387</v>
      </c>
      <c r="C879" s="62" t="s">
        <v>1388</v>
      </c>
      <c r="D879" s="62" t="str">
        <f t="shared" si="13"/>
        <v>Nakawa</v>
      </c>
      <c r="E879" s="62" t="str">
        <f>A879</f>
        <v>Nakawa</v>
      </c>
      <c r="F879" s="62">
        <v>567</v>
      </c>
    </row>
    <row r="880" spans="1:6">
      <c r="A880" s="65" t="s">
        <v>1708</v>
      </c>
      <c r="B880" s="62" t="s">
        <v>1387</v>
      </c>
      <c r="C880" s="62" t="s">
        <v>1388</v>
      </c>
      <c r="D880" s="62" t="str">
        <f t="shared" si="13"/>
        <v>Nakawa Institute</v>
      </c>
      <c r="E880" s="62" t="str">
        <f>A880</f>
        <v>Nakawa Institute</v>
      </c>
      <c r="F880" s="62">
        <v>568</v>
      </c>
    </row>
    <row r="881" spans="1:6">
      <c r="A881" s="65" t="s">
        <v>1709</v>
      </c>
      <c r="D881" s="62" t="str">
        <f t="shared" si="13"/>
        <v>Kinawataka</v>
      </c>
      <c r="F881" s="62">
        <v>568</v>
      </c>
    </row>
    <row r="882" spans="1:6">
      <c r="A882" s="62" t="s">
        <v>1710</v>
      </c>
      <c r="B882" s="62" t="s">
        <v>1387</v>
      </c>
      <c r="C882" s="62" t="s">
        <v>1388</v>
      </c>
      <c r="D882" s="62" t="str">
        <f t="shared" si="13"/>
        <v>Nakivubo Shauriyaako</v>
      </c>
      <c r="E882" s="62" t="str">
        <f>A882</f>
        <v>Nakivubo Shauriyaako</v>
      </c>
      <c r="F882" s="62">
        <v>569</v>
      </c>
    </row>
    <row r="883" spans="1:6">
      <c r="A883" s="65" t="s">
        <v>1711</v>
      </c>
      <c r="B883" s="62" t="s">
        <v>1387</v>
      </c>
      <c r="C883" s="62" t="s">
        <v>1388</v>
      </c>
      <c r="D883" s="62" t="str">
        <f t="shared" si="13"/>
        <v>Namirembe</v>
      </c>
      <c r="E883" s="62" t="str">
        <f>A883</f>
        <v>Namirembe</v>
      </c>
      <c r="F883" s="62">
        <v>570</v>
      </c>
    </row>
    <row r="884" spans="1:6">
      <c r="A884" s="65" t="s">
        <v>1712</v>
      </c>
      <c r="D884" s="62" t="str">
        <f t="shared" si="13"/>
        <v>NAMIREMBE ROAD</v>
      </c>
      <c r="F884" s="62">
        <v>570</v>
      </c>
    </row>
    <row r="885" spans="1:6">
      <c r="A885" s="65" t="s">
        <v>1713</v>
      </c>
      <c r="D885" s="62" t="str">
        <f t="shared" si="13"/>
        <v>Bakuli</v>
      </c>
      <c r="E885" s="62" t="str">
        <f>A885</f>
        <v>Bakuli</v>
      </c>
      <c r="F885" s="62">
        <v>570</v>
      </c>
    </row>
    <row r="886" spans="1:6">
      <c r="A886" s="65" t="s">
        <v>1714</v>
      </c>
      <c r="B886" s="62" t="s">
        <v>1387</v>
      </c>
      <c r="C886" s="62" t="s">
        <v>1388</v>
      </c>
      <c r="D886" s="62" t="str">
        <f t="shared" si="13"/>
        <v>Nankulabye</v>
      </c>
      <c r="E886" s="62" t="str">
        <f>A886</f>
        <v>Nankulabye</v>
      </c>
      <c r="F886" s="62">
        <v>571</v>
      </c>
    </row>
    <row r="887" spans="1:6">
      <c r="A887" s="65" t="s">
        <v>1715</v>
      </c>
      <c r="D887" s="62" t="str">
        <f t="shared" si="13"/>
        <v>NAKULABYE</v>
      </c>
      <c r="F887" s="62">
        <v>571</v>
      </c>
    </row>
    <row r="888" spans="1:6">
      <c r="A888" s="65" t="s">
        <v>1716</v>
      </c>
      <c r="B888" s="62" t="s">
        <v>1387</v>
      </c>
      <c r="C888" s="62" t="s">
        <v>1388</v>
      </c>
      <c r="D888" s="62" t="str">
        <f t="shared" si="13"/>
        <v>Nateete</v>
      </c>
      <c r="E888" s="62" t="str">
        <f>A888</f>
        <v>Nateete</v>
      </c>
      <c r="F888" s="62">
        <v>572</v>
      </c>
    </row>
    <row r="889" spans="1:6">
      <c r="A889" s="65" t="s">
        <v>1717</v>
      </c>
      <c r="D889" s="62" t="str">
        <f t="shared" si="13"/>
        <v>NATETEE</v>
      </c>
      <c r="F889" s="62">
        <v>572</v>
      </c>
    </row>
    <row r="890" spans="1:6">
      <c r="A890" s="65" t="s">
        <v>1718</v>
      </c>
      <c r="D890" s="62" t="str">
        <f t="shared" si="13"/>
        <v>Natete</v>
      </c>
      <c r="E890" s="62" t="str">
        <f t="shared" ref="E890:E897" si="14">A890</f>
        <v>Natete</v>
      </c>
      <c r="F890" s="62">
        <v>572</v>
      </c>
    </row>
    <row r="891" spans="1:6">
      <c r="A891" s="65" t="s">
        <v>1719</v>
      </c>
      <c r="B891" s="62" t="s">
        <v>1387</v>
      </c>
      <c r="C891" s="62" t="s">
        <v>1388</v>
      </c>
      <c r="D891" s="62" t="str">
        <f t="shared" si="13"/>
        <v>Ndeeba</v>
      </c>
      <c r="E891" s="62" t="str">
        <f t="shared" si="14"/>
        <v>Ndeeba</v>
      </c>
      <c r="F891" s="62">
        <v>573</v>
      </c>
    </row>
    <row r="892" spans="1:6">
      <c r="A892" s="65" t="s">
        <v>1720</v>
      </c>
      <c r="D892" s="62" t="str">
        <f t="shared" si="13"/>
        <v>Ndeba</v>
      </c>
      <c r="E892" s="62" t="str">
        <f t="shared" si="14"/>
        <v>Ndeba</v>
      </c>
      <c r="F892" s="62">
        <v>573</v>
      </c>
    </row>
    <row r="893" spans="1:6">
      <c r="A893" s="65" t="s">
        <v>1721</v>
      </c>
      <c r="B893" s="62" t="s">
        <v>1387</v>
      </c>
      <c r="C893" s="62" t="s">
        <v>1388</v>
      </c>
      <c r="D893" s="62" t="str">
        <f t="shared" si="13"/>
        <v>Nsambya</v>
      </c>
      <c r="E893" s="62" t="str">
        <f t="shared" si="14"/>
        <v>Nsambya</v>
      </c>
      <c r="F893" s="62">
        <v>574</v>
      </c>
    </row>
    <row r="894" spans="1:6">
      <c r="A894" s="65" t="s">
        <v>1722</v>
      </c>
      <c r="D894" s="62" t="str">
        <f t="shared" si="13"/>
        <v>Nsabya</v>
      </c>
      <c r="E894" s="62" t="str">
        <f t="shared" si="14"/>
        <v>Nsabya</v>
      </c>
      <c r="F894" s="62">
        <v>574</v>
      </c>
    </row>
    <row r="895" spans="1:6">
      <c r="A895" s="65" t="s">
        <v>1723</v>
      </c>
      <c r="B895" s="62" t="s">
        <v>1387</v>
      </c>
      <c r="C895" s="62" t="s">
        <v>1388</v>
      </c>
      <c r="D895" s="62" t="str">
        <f t="shared" si="13"/>
        <v>Nsambya Police Barracks</v>
      </c>
      <c r="E895" s="62" t="str">
        <f t="shared" si="14"/>
        <v>Nsambya Police Barracks</v>
      </c>
      <c r="F895" s="62">
        <v>575</v>
      </c>
    </row>
    <row r="896" spans="1:6">
      <c r="A896" s="65" t="s">
        <v>1724</v>
      </c>
      <c r="B896" s="62" t="s">
        <v>1387</v>
      </c>
      <c r="C896" s="62" t="s">
        <v>1388</v>
      </c>
      <c r="D896" s="62" t="str">
        <f t="shared" si="13"/>
        <v>Nsambya Railway</v>
      </c>
      <c r="E896" s="62" t="str">
        <f t="shared" si="14"/>
        <v>Nsambya Railway</v>
      </c>
      <c r="F896" s="62">
        <v>576</v>
      </c>
    </row>
    <row r="897" spans="1:6">
      <c r="A897" s="65" t="s">
        <v>1725</v>
      </c>
      <c r="B897" s="62" t="s">
        <v>1387</v>
      </c>
      <c r="C897" s="62" t="s">
        <v>1388</v>
      </c>
      <c r="D897" s="62" t="str">
        <f t="shared" si="13"/>
        <v>Ntinda</v>
      </c>
      <c r="E897" s="62" t="str">
        <f t="shared" si="14"/>
        <v>Ntinda</v>
      </c>
      <c r="F897" s="62">
        <v>577</v>
      </c>
    </row>
    <row r="898" spans="1:6">
      <c r="A898" s="65" t="s">
        <v>1726</v>
      </c>
      <c r="D898" s="62" t="str">
        <f t="shared" ref="D898:D961" si="15">A898</f>
        <v>UNEBU</v>
      </c>
      <c r="F898" s="62">
        <v>577</v>
      </c>
    </row>
    <row r="899" spans="1:6">
      <c r="A899" s="65" t="s">
        <v>1727</v>
      </c>
      <c r="D899" s="62" t="str">
        <f t="shared" si="15"/>
        <v>NALYA</v>
      </c>
      <c r="F899" s="62">
        <v>577</v>
      </c>
    </row>
    <row r="900" spans="1:6">
      <c r="A900" s="65" t="s">
        <v>1728</v>
      </c>
      <c r="D900" s="62" t="str">
        <f t="shared" si="15"/>
        <v>Naalya</v>
      </c>
      <c r="F900" s="62">
        <v>577</v>
      </c>
    </row>
    <row r="901" spans="1:6">
      <c r="A901" s="65" t="s">
        <v>1729</v>
      </c>
      <c r="D901" s="62" t="str">
        <f t="shared" si="15"/>
        <v>NALYA ESTATE</v>
      </c>
      <c r="F901" s="62">
        <v>577</v>
      </c>
    </row>
    <row r="902" spans="1:6">
      <c r="A902" s="65" t="s">
        <v>1730</v>
      </c>
      <c r="D902" s="62" t="str">
        <f t="shared" si="15"/>
        <v>Wazalendo</v>
      </c>
      <c r="F902" s="62">
        <v>577</v>
      </c>
    </row>
    <row r="903" spans="1:6">
      <c r="A903" s="62" t="s">
        <v>1731</v>
      </c>
      <c r="B903" s="62" t="s">
        <v>1387</v>
      </c>
      <c r="C903" s="62" t="s">
        <v>1388</v>
      </c>
      <c r="D903" s="62" t="str">
        <f t="shared" si="15"/>
        <v>Old Kampala</v>
      </c>
      <c r="E903" s="62" t="str">
        <f>A903</f>
        <v>Old Kampala</v>
      </c>
      <c r="F903" s="62">
        <v>578</v>
      </c>
    </row>
    <row r="904" spans="1:6">
      <c r="A904" s="62" t="s">
        <v>1732</v>
      </c>
      <c r="D904" s="62" t="str">
        <f t="shared" si="15"/>
        <v>OLDKAMPALA</v>
      </c>
      <c r="F904" s="62">
        <v>578</v>
      </c>
    </row>
    <row r="905" spans="1:6">
      <c r="A905" s="62" t="s">
        <v>1733</v>
      </c>
      <c r="D905" s="62" t="str">
        <f t="shared" si="15"/>
        <v>Old Park</v>
      </c>
      <c r="F905" s="62">
        <v>578</v>
      </c>
    </row>
    <row r="906" spans="1:6">
      <c r="A906" s="62" t="s">
        <v>1734</v>
      </c>
      <c r="D906" s="62" t="str">
        <f t="shared" si="15"/>
        <v>NAMYIBA</v>
      </c>
      <c r="F906" s="62">
        <v>578</v>
      </c>
    </row>
    <row r="907" spans="1:6">
      <c r="A907" s="65" t="s">
        <v>1735</v>
      </c>
      <c r="B907" s="62" t="s">
        <v>1387</v>
      </c>
      <c r="C907" s="62" t="s">
        <v>1388</v>
      </c>
      <c r="D907" s="62" t="str">
        <f t="shared" si="15"/>
        <v>Salaama</v>
      </c>
      <c r="E907" s="62" t="str">
        <f>A907</f>
        <v>Salaama</v>
      </c>
      <c r="F907" s="62">
        <v>579</v>
      </c>
    </row>
    <row r="908" spans="1:6">
      <c r="A908" s="65" t="s">
        <v>1736</v>
      </c>
      <c r="D908" s="62" t="str">
        <f t="shared" si="15"/>
        <v>Salama</v>
      </c>
      <c r="E908" s="62" t="str">
        <f>A908</f>
        <v>Salama</v>
      </c>
      <c r="F908" s="62">
        <v>579</v>
      </c>
    </row>
    <row r="909" spans="1:6">
      <c r="A909" s="65" t="s">
        <v>1737</v>
      </c>
      <c r="D909" s="62" t="str">
        <f t="shared" si="15"/>
        <v>Mayanja</v>
      </c>
      <c r="E909" s="62" t="str">
        <f>A909</f>
        <v>Mayanja</v>
      </c>
      <c r="F909" s="62">
        <v>579</v>
      </c>
    </row>
    <row r="910" spans="1:6">
      <c r="A910" s="65" t="s">
        <v>1738</v>
      </c>
      <c r="D910" s="62" t="str">
        <f t="shared" si="15"/>
        <v>Kyamula</v>
      </c>
      <c r="E910" s="62" t="str">
        <f>A910</f>
        <v>Kyamula</v>
      </c>
      <c r="F910" s="62">
        <v>579</v>
      </c>
    </row>
    <row r="911" spans="1:6">
      <c r="A911" s="65" t="s">
        <v>1739</v>
      </c>
      <c r="D911" s="62" t="str">
        <f t="shared" si="15"/>
        <v>St Ponsiano</v>
      </c>
      <c r="E911" s="62" t="str">
        <f>A911</f>
        <v>St Ponsiano</v>
      </c>
      <c r="F911" s="62">
        <v>579</v>
      </c>
    </row>
    <row r="912" spans="1:6">
      <c r="A912" s="65" t="s">
        <v>1740</v>
      </c>
      <c r="D912" s="62" t="str">
        <f t="shared" si="15"/>
        <v>Muswangali</v>
      </c>
      <c r="F912" s="62">
        <v>579</v>
      </c>
    </row>
    <row r="913" spans="1:6">
      <c r="A913" s="65" t="s">
        <v>1741</v>
      </c>
      <c r="D913" s="62" t="str">
        <f t="shared" si="15"/>
        <v>Kulekana</v>
      </c>
      <c r="F913" s="62">
        <v>579</v>
      </c>
    </row>
    <row r="914" spans="1:6">
      <c r="A914" s="65" t="s">
        <v>1742</v>
      </c>
      <c r="B914" s="62" t="s">
        <v>1387</v>
      </c>
      <c r="C914" s="62" t="s">
        <v>1388</v>
      </c>
      <c r="D914" s="62" t="str">
        <f t="shared" si="15"/>
        <v>Upk</v>
      </c>
      <c r="E914" s="62" t="str">
        <f>A914</f>
        <v>Upk</v>
      </c>
      <c r="F914" s="62">
        <v>580</v>
      </c>
    </row>
    <row r="915" spans="1:6">
      <c r="A915" s="65" t="s">
        <v>1743</v>
      </c>
      <c r="B915" s="62" t="s">
        <v>1387</v>
      </c>
      <c r="C915" s="62" t="s">
        <v>1388</v>
      </c>
      <c r="D915" s="62" t="str">
        <f t="shared" si="15"/>
        <v>Upper Estate</v>
      </c>
      <c r="E915" s="62" t="str">
        <f>A915</f>
        <v>Upper Estate</v>
      </c>
      <c r="F915" s="62">
        <v>581</v>
      </c>
    </row>
    <row r="916" spans="1:6">
      <c r="A916" s="65" t="s">
        <v>1744</v>
      </c>
      <c r="B916" s="62" t="s">
        <v>1387</v>
      </c>
      <c r="C916" s="62" t="s">
        <v>1388</v>
      </c>
      <c r="D916" s="62" t="str">
        <f t="shared" si="15"/>
        <v>Wabigalo</v>
      </c>
      <c r="E916" s="62" t="str">
        <f>A916</f>
        <v>Wabigalo</v>
      </c>
      <c r="F916" s="62">
        <v>582</v>
      </c>
    </row>
    <row r="917" spans="1:6">
      <c r="A917" s="62" t="s">
        <v>1745</v>
      </c>
      <c r="B917" s="62" t="s">
        <v>1387</v>
      </c>
      <c r="C917" s="62" t="s">
        <v>1388</v>
      </c>
      <c r="D917" s="62" t="str">
        <f t="shared" si="15"/>
        <v>Wandegeya</v>
      </c>
      <c r="E917" s="62" t="str">
        <f>A917</f>
        <v>Wandegeya</v>
      </c>
      <c r="F917" s="62">
        <v>583</v>
      </c>
    </row>
    <row r="918" spans="1:6">
      <c r="A918" s="62" t="s">
        <v>1746</v>
      </c>
      <c r="D918" s="62" t="str">
        <f t="shared" si="15"/>
        <v>WANDEKEYA</v>
      </c>
      <c r="F918" s="62">
        <v>583</v>
      </c>
    </row>
    <row r="919" spans="1:6">
      <c r="A919" s="62" t="s">
        <v>1747</v>
      </c>
      <c r="D919" s="62" t="str">
        <f t="shared" si="15"/>
        <v>KIRA ROAD</v>
      </c>
      <c r="F919" s="62">
        <v>583</v>
      </c>
    </row>
    <row r="920" spans="1:6">
      <c r="A920" s="62" t="s">
        <v>1748</v>
      </c>
      <c r="D920" s="62" t="str">
        <f t="shared" si="15"/>
        <v>PUBLIC SERVICE WANDEGEYA</v>
      </c>
      <c r="F920" s="62">
        <v>583</v>
      </c>
    </row>
    <row r="921" spans="1:6">
      <c r="A921" s="62" t="s">
        <v>1749</v>
      </c>
      <c r="D921" s="62" t="str">
        <f t="shared" si="15"/>
        <v>KUBIRI</v>
      </c>
      <c r="F921" s="62">
        <v>583</v>
      </c>
    </row>
    <row r="922" spans="1:6">
      <c r="A922" s="62" t="s">
        <v>1750</v>
      </c>
      <c r="D922" s="62" t="str">
        <f t="shared" si="15"/>
        <v>KUBIIRI</v>
      </c>
      <c r="F922" s="62">
        <v>583</v>
      </c>
    </row>
    <row r="923" spans="1:6">
      <c r="A923" s="62" t="s">
        <v>1751</v>
      </c>
      <c r="B923" s="62" t="s">
        <v>1752</v>
      </c>
      <c r="C923" s="62" t="s">
        <v>1753</v>
      </c>
      <c r="D923" s="62" t="str">
        <f t="shared" si="15"/>
        <v>Balawoli</v>
      </c>
      <c r="F923" s="62">
        <v>584</v>
      </c>
    </row>
    <row r="924" spans="1:6">
      <c r="A924" s="62" t="s">
        <v>1754</v>
      </c>
      <c r="B924" s="62" t="s">
        <v>1752</v>
      </c>
      <c r="C924" s="62" t="s">
        <v>1755</v>
      </c>
      <c r="D924" s="62" t="str">
        <f t="shared" si="15"/>
        <v>Bugulumbya</v>
      </c>
      <c r="F924" s="62">
        <v>585</v>
      </c>
    </row>
    <row r="925" spans="1:6">
      <c r="A925" s="62" t="s">
        <v>1756</v>
      </c>
      <c r="B925" s="62" t="s">
        <v>1752</v>
      </c>
      <c r="C925" s="62" t="s">
        <v>1753</v>
      </c>
      <c r="D925" s="62" t="str">
        <f t="shared" si="15"/>
        <v>Bulopa</v>
      </c>
      <c r="F925" s="62">
        <v>586</v>
      </c>
    </row>
    <row r="926" spans="1:6">
      <c r="A926" s="62" t="s">
        <v>1757</v>
      </c>
      <c r="B926" s="62" t="s">
        <v>1752</v>
      </c>
      <c r="C926" s="62" t="s">
        <v>1753</v>
      </c>
      <c r="D926" s="62" t="str">
        <f t="shared" si="15"/>
        <v>Butansi</v>
      </c>
      <c r="F926" s="62">
        <v>587</v>
      </c>
    </row>
    <row r="927" spans="1:6">
      <c r="A927" s="62" t="s">
        <v>1758</v>
      </c>
      <c r="B927" s="62" t="s">
        <v>1752</v>
      </c>
      <c r="C927" s="62" t="s">
        <v>1758</v>
      </c>
      <c r="D927" s="62" t="str">
        <f t="shared" si="15"/>
        <v>Kamuli Municipality</v>
      </c>
      <c r="F927" s="62">
        <v>588</v>
      </c>
    </row>
    <row r="928" spans="1:6">
      <c r="A928" s="62" t="s">
        <v>1752</v>
      </c>
      <c r="D928" s="62" t="str">
        <f t="shared" si="15"/>
        <v>Kamuli</v>
      </c>
      <c r="F928" s="62">
        <v>588</v>
      </c>
    </row>
    <row r="929" spans="1:6">
      <c r="A929" s="62" t="s">
        <v>1759</v>
      </c>
      <c r="D929" s="62" t="str">
        <f t="shared" si="15"/>
        <v>KAMULI TOWN</v>
      </c>
      <c r="F929" s="62">
        <v>588</v>
      </c>
    </row>
    <row r="930" spans="1:6">
      <c r="A930" s="62" t="s">
        <v>1760</v>
      </c>
      <c r="B930" s="62" t="s">
        <v>1752</v>
      </c>
      <c r="C930" s="62" t="s">
        <v>1755</v>
      </c>
      <c r="D930" s="62" t="str">
        <f t="shared" si="15"/>
        <v>Kisozi</v>
      </c>
      <c r="F930" s="62">
        <v>589</v>
      </c>
    </row>
    <row r="931" spans="1:6">
      <c r="A931" s="62" t="s">
        <v>1761</v>
      </c>
      <c r="B931" s="62" t="s">
        <v>1752</v>
      </c>
      <c r="C931" s="62" t="s">
        <v>1753</v>
      </c>
      <c r="D931" s="62" t="str">
        <f t="shared" si="15"/>
        <v>Kitayunjwa</v>
      </c>
      <c r="F931" s="62">
        <v>590</v>
      </c>
    </row>
    <row r="932" spans="1:6">
      <c r="A932" s="62" t="s">
        <v>1762</v>
      </c>
      <c r="B932" s="62" t="s">
        <v>1752</v>
      </c>
      <c r="C932" s="62" t="s">
        <v>1755</v>
      </c>
      <c r="D932" s="62" t="str">
        <f t="shared" si="15"/>
        <v>Mbulamuti</v>
      </c>
      <c r="F932" s="62">
        <v>591</v>
      </c>
    </row>
    <row r="933" spans="1:6">
      <c r="A933" s="62" t="s">
        <v>1763</v>
      </c>
      <c r="B933" s="62" t="s">
        <v>1752</v>
      </c>
      <c r="C933" s="62" t="s">
        <v>1753</v>
      </c>
      <c r="D933" s="62" t="str">
        <f t="shared" si="15"/>
        <v>Nabwigulu</v>
      </c>
      <c r="F933" s="62">
        <v>592</v>
      </c>
    </row>
    <row r="934" spans="1:6">
      <c r="A934" s="62" t="s">
        <v>1764</v>
      </c>
      <c r="B934" s="62" t="s">
        <v>1752</v>
      </c>
      <c r="C934" s="62" t="s">
        <v>1753</v>
      </c>
      <c r="D934" s="62" t="str">
        <f t="shared" si="15"/>
        <v>Namasagali</v>
      </c>
      <c r="F934" s="62">
        <v>593</v>
      </c>
    </row>
    <row r="935" spans="1:6">
      <c r="A935" s="62" t="s">
        <v>1765</v>
      </c>
      <c r="B935" s="62" t="s">
        <v>1752</v>
      </c>
      <c r="C935" s="62" t="s">
        <v>1753</v>
      </c>
      <c r="D935" s="62" t="str">
        <f t="shared" si="15"/>
        <v>Namwendwa</v>
      </c>
      <c r="F935" s="62">
        <v>594</v>
      </c>
    </row>
    <row r="936" spans="1:6">
      <c r="A936" s="62" t="s">
        <v>1766</v>
      </c>
      <c r="B936" s="62" t="s">
        <v>1752</v>
      </c>
      <c r="C936" s="62" t="s">
        <v>1755</v>
      </c>
      <c r="D936" s="62" t="str">
        <f t="shared" si="15"/>
        <v>Nawanyago</v>
      </c>
      <c r="F936" s="62">
        <v>595</v>
      </c>
    </row>
    <row r="937" spans="1:6">
      <c r="A937" s="62" t="s">
        <v>1767</v>
      </c>
      <c r="D937" s="62" t="str">
        <f t="shared" si="15"/>
        <v>LUMULI</v>
      </c>
      <c r="F937" s="62">
        <v>595</v>
      </c>
    </row>
    <row r="938" spans="1:6">
      <c r="A938" s="62" t="s">
        <v>1768</v>
      </c>
      <c r="D938" s="62" t="str">
        <f t="shared" si="15"/>
        <v>KIRORO</v>
      </c>
      <c r="F938" s="62">
        <v>595</v>
      </c>
    </row>
    <row r="939" spans="1:6">
      <c r="A939" s="62" t="s">
        <v>1769</v>
      </c>
      <c r="B939" s="62" t="s">
        <v>1752</v>
      </c>
      <c r="C939" s="62" t="s">
        <v>1755</v>
      </c>
      <c r="D939" s="62" t="str">
        <f t="shared" si="15"/>
        <v>Wankole</v>
      </c>
      <c r="F939" s="62">
        <v>596</v>
      </c>
    </row>
    <row r="940" spans="1:6">
      <c r="A940" s="62" t="s">
        <v>1770</v>
      </c>
      <c r="B940" s="62" t="s">
        <v>44</v>
      </c>
      <c r="C940" s="62" t="s">
        <v>1123</v>
      </c>
      <c r="D940" s="62" t="str">
        <f t="shared" si="15"/>
        <v>Biguli</v>
      </c>
      <c r="F940" s="62">
        <v>597</v>
      </c>
    </row>
    <row r="941" spans="1:6">
      <c r="A941" s="62" t="s">
        <v>1771</v>
      </c>
      <c r="B941" s="62" t="s">
        <v>44</v>
      </c>
      <c r="C941" s="62" t="s">
        <v>1123</v>
      </c>
      <c r="D941" s="62" t="str">
        <f t="shared" si="15"/>
        <v>Bihanga-Kamwenge</v>
      </c>
      <c r="F941" s="62">
        <v>598</v>
      </c>
    </row>
    <row r="942" spans="1:6">
      <c r="A942" s="62" t="s">
        <v>1772</v>
      </c>
      <c r="B942" s="62" t="s">
        <v>44</v>
      </c>
      <c r="C942" s="62" t="s">
        <v>1773</v>
      </c>
      <c r="D942" s="62" t="str">
        <f t="shared" si="15"/>
        <v>Buhanda</v>
      </c>
      <c r="F942" s="62">
        <v>599</v>
      </c>
    </row>
    <row r="943" spans="1:6">
      <c r="A943" s="62" t="s">
        <v>1774</v>
      </c>
      <c r="B943" s="62" t="s">
        <v>44</v>
      </c>
      <c r="C943" s="62" t="s">
        <v>1123</v>
      </c>
      <c r="D943" s="62" t="str">
        <f t="shared" si="15"/>
        <v>Busiriba</v>
      </c>
      <c r="F943" s="62">
        <v>600</v>
      </c>
    </row>
    <row r="944" spans="1:6">
      <c r="A944" s="62" t="s">
        <v>1775</v>
      </c>
      <c r="B944" s="62" t="s">
        <v>44</v>
      </c>
      <c r="C944" s="62" t="s">
        <v>1123</v>
      </c>
      <c r="D944" s="62" t="str">
        <f t="shared" si="15"/>
        <v>Bwizi</v>
      </c>
      <c r="F944" s="62">
        <v>601</v>
      </c>
    </row>
    <row r="945" spans="1:6">
      <c r="A945" s="62" t="s">
        <v>1776</v>
      </c>
      <c r="B945" s="62" t="s">
        <v>44</v>
      </c>
      <c r="C945" s="62" t="s">
        <v>1123</v>
      </c>
      <c r="D945" s="62" t="str">
        <f t="shared" si="15"/>
        <v>Kabambiro</v>
      </c>
      <c r="F945" s="62">
        <v>602</v>
      </c>
    </row>
    <row r="946" spans="1:6">
      <c r="A946" s="62" t="s">
        <v>1777</v>
      </c>
      <c r="B946" s="62" t="s">
        <v>44</v>
      </c>
      <c r="C946" s="62" t="s">
        <v>1123</v>
      </c>
      <c r="D946" s="62" t="str">
        <f t="shared" si="15"/>
        <v>Kahunge</v>
      </c>
      <c r="F946" s="62">
        <v>603</v>
      </c>
    </row>
    <row r="947" spans="1:6">
      <c r="A947" s="62" t="s">
        <v>44</v>
      </c>
      <c r="B947" s="62" t="s">
        <v>44</v>
      </c>
      <c r="C947" s="62" t="s">
        <v>1123</v>
      </c>
      <c r="D947" s="62" t="str">
        <f t="shared" si="15"/>
        <v>Kamwenge</v>
      </c>
      <c r="F947" s="62">
        <v>604</v>
      </c>
    </row>
    <row r="948" spans="1:6">
      <c r="A948" s="62" t="s">
        <v>1778</v>
      </c>
      <c r="B948" s="62" t="s">
        <v>44</v>
      </c>
      <c r="C948" s="62" t="s">
        <v>1123</v>
      </c>
      <c r="D948" s="62" t="str">
        <f t="shared" si="15"/>
        <v>Kamwenge Town Council</v>
      </c>
      <c r="F948" s="62">
        <v>605</v>
      </c>
    </row>
    <row r="949" spans="1:6">
      <c r="A949" s="62" t="s">
        <v>1779</v>
      </c>
      <c r="B949" s="62" t="s">
        <v>44</v>
      </c>
      <c r="C949" s="62" t="s">
        <v>1773</v>
      </c>
      <c r="D949" s="62" t="str">
        <f t="shared" si="15"/>
        <v>Kanara-Kamwenge</v>
      </c>
      <c r="F949" s="62">
        <v>606</v>
      </c>
    </row>
    <row r="950" spans="1:6">
      <c r="A950" s="62" t="s">
        <v>1780</v>
      </c>
      <c r="B950" s="62" t="s">
        <v>44</v>
      </c>
      <c r="C950" s="62" t="s">
        <v>1773</v>
      </c>
      <c r="D950" s="62" t="str">
        <f t="shared" si="15"/>
        <v>Kicheche</v>
      </c>
      <c r="F950" s="62">
        <v>607</v>
      </c>
    </row>
    <row r="951" spans="1:6">
      <c r="A951" s="62" t="s">
        <v>1781</v>
      </c>
      <c r="B951" s="62" t="s">
        <v>44</v>
      </c>
      <c r="C951" s="62" t="s">
        <v>1773</v>
      </c>
      <c r="D951" s="62" t="str">
        <f t="shared" si="15"/>
        <v>Mahyoro</v>
      </c>
      <c r="F951" s="62">
        <v>608</v>
      </c>
    </row>
    <row r="952" spans="1:6">
      <c r="A952" s="62" t="s">
        <v>1782</v>
      </c>
      <c r="B952" s="62" t="s">
        <v>44</v>
      </c>
      <c r="C952" s="62" t="s">
        <v>1123</v>
      </c>
      <c r="D952" s="62" t="str">
        <f t="shared" si="15"/>
        <v>Nkoma</v>
      </c>
      <c r="F952" s="62">
        <v>609</v>
      </c>
    </row>
    <row r="953" spans="1:6">
      <c r="A953" s="62" t="s">
        <v>1783</v>
      </c>
      <c r="B953" s="62" t="s">
        <v>44</v>
      </c>
      <c r="C953" s="62" t="s">
        <v>1773</v>
      </c>
      <c r="D953" s="62" t="str">
        <f t="shared" si="15"/>
        <v>Ntara</v>
      </c>
      <c r="F953" s="62">
        <v>610</v>
      </c>
    </row>
    <row r="954" spans="1:6">
      <c r="A954" s="62" t="s">
        <v>1784</v>
      </c>
      <c r="B954" s="62" t="s">
        <v>44</v>
      </c>
      <c r="C954" s="62" t="s">
        <v>1773</v>
      </c>
      <c r="D954" s="62" t="str">
        <f t="shared" si="15"/>
        <v>Nyabbani</v>
      </c>
      <c r="F954" s="62">
        <v>611</v>
      </c>
    </row>
    <row r="955" spans="1:6">
      <c r="A955" s="62" t="s">
        <v>1785</v>
      </c>
      <c r="B955" s="62" t="s">
        <v>44</v>
      </c>
      <c r="C955" s="62" t="s">
        <v>1123</v>
      </c>
      <c r="D955" s="62" t="str">
        <f t="shared" si="15"/>
        <v>Rwamwanja Refugee Camp</v>
      </c>
      <c r="F955" s="62">
        <v>612</v>
      </c>
    </row>
    <row r="956" spans="1:6">
      <c r="A956" s="62" t="s">
        <v>1786</v>
      </c>
      <c r="B956" s="62" t="s">
        <v>1787</v>
      </c>
      <c r="C956" s="62" t="s">
        <v>1788</v>
      </c>
      <c r="D956" s="62" t="str">
        <f t="shared" si="15"/>
        <v>Butogota Town Council</v>
      </c>
      <c r="F956" s="62">
        <v>613</v>
      </c>
    </row>
    <row r="957" spans="1:6">
      <c r="A957" s="62" t="s">
        <v>1789</v>
      </c>
      <c r="B957" s="62" t="s">
        <v>1787</v>
      </c>
      <c r="C957" s="62" t="s">
        <v>1788</v>
      </c>
      <c r="D957" s="62" t="str">
        <f t="shared" si="15"/>
        <v>Kambuga</v>
      </c>
      <c r="F957" s="62">
        <v>614</v>
      </c>
    </row>
    <row r="958" spans="1:6">
      <c r="A958" s="62" t="s">
        <v>1790</v>
      </c>
      <c r="B958" s="62" t="s">
        <v>1787</v>
      </c>
      <c r="C958" s="62" t="s">
        <v>1788</v>
      </c>
      <c r="D958" s="62" t="str">
        <f t="shared" si="15"/>
        <v>Kambuga Town Council</v>
      </c>
      <c r="F958" s="62">
        <v>615</v>
      </c>
    </row>
    <row r="959" spans="1:6">
      <c r="A959" s="62" t="s">
        <v>1791</v>
      </c>
      <c r="B959" s="62" t="s">
        <v>1787</v>
      </c>
      <c r="C959" s="62" t="s">
        <v>1788</v>
      </c>
      <c r="D959" s="62" t="str">
        <f t="shared" si="15"/>
        <v>Kanungu Town Council</v>
      </c>
      <c r="F959" s="62">
        <v>616</v>
      </c>
    </row>
    <row r="960" spans="1:6">
      <c r="A960" s="62" t="s">
        <v>1792</v>
      </c>
      <c r="D960" s="62" t="str">
        <f t="shared" si="15"/>
        <v>KANUNGU</v>
      </c>
      <c r="F960" s="62">
        <v>616</v>
      </c>
    </row>
    <row r="961" spans="1:6">
      <c r="A961" s="62" t="s">
        <v>1793</v>
      </c>
      <c r="B961" s="62" t="s">
        <v>1787</v>
      </c>
      <c r="C961" s="62" t="s">
        <v>1788</v>
      </c>
      <c r="D961" s="62" t="str">
        <f t="shared" si="15"/>
        <v>Kanyantorogo</v>
      </c>
      <c r="F961" s="62">
        <v>617</v>
      </c>
    </row>
    <row r="962" spans="1:6">
      <c r="A962" s="62" t="s">
        <v>1794</v>
      </c>
      <c r="B962" s="62" t="s">
        <v>1787</v>
      </c>
      <c r="C962" s="62" t="s">
        <v>1788</v>
      </c>
      <c r="D962" s="62" t="str">
        <f t="shared" ref="D962:D1025" si="16">A962</f>
        <v>Katete</v>
      </c>
      <c r="F962" s="62">
        <v>618</v>
      </c>
    </row>
    <row r="963" spans="1:6">
      <c r="A963" s="62" t="s">
        <v>1795</v>
      </c>
      <c r="B963" s="62" t="s">
        <v>1787</v>
      </c>
      <c r="C963" s="62" t="s">
        <v>1788</v>
      </c>
      <c r="D963" s="62" t="str">
        <f t="shared" si="16"/>
        <v>Kayonza-Kanungu</v>
      </c>
      <c r="F963" s="62">
        <v>619</v>
      </c>
    </row>
    <row r="964" spans="1:6">
      <c r="A964" s="62" t="s">
        <v>1796</v>
      </c>
      <c r="B964" s="62" t="s">
        <v>1787</v>
      </c>
      <c r="C964" s="62" t="s">
        <v>1788</v>
      </c>
      <c r="D964" s="62" t="str">
        <f t="shared" si="16"/>
        <v>Kihihi</v>
      </c>
      <c r="F964" s="62">
        <v>620</v>
      </c>
    </row>
    <row r="965" spans="1:6">
      <c r="A965" s="62" t="s">
        <v>1797</v>
      </c>
      <c r="B965" s="62" t="s">
        <v>1787</v>
      </c>
      <c r="C965" s="62" t="s">
        <v>1788</v>
      </c>
      <c r="D965" s="62" t="str">
        <f t="shared" si="16"/>
        <v>Kihiihi Town Council</v>
      </c>
      <c r="F965" s="62">
        <v>621</v>
      </c>
    </row>
    <row r="966" spans="1:6">
      <c r="A966" s="62" t="s">
        <v>1798</v>
      </c>
      <c r="B966" s="62" t="s">
        <v>1787</v>
      </c>
      <c r="C966" s="62" t="s">
        <v>1788</v>
      </c>
      <c r="D966" s="62" t="str">
        <f t="shared" si="16"/>
        <v>Kinaaba</v>
      </c>
      <c r="F966" s="62">
        <v>622</v>
      </c>
    </row>
    <row r="967" spans="1:6">
      <c r="A967" s="62" t="s">
        <v>1799</v>
      </c>
      <c r="B967" s="62" t="s">
        <v>1787</v>
      </c>
      <c r="C967" s="62" t="s">
        <v>1788</v>
      </c>
      <c r="D967" s="62" t="str">
        <f t="shared" si="16"/>
        <v>Kirima</v>
      </c>
      <c r="F967" s="62">
        <v>623</v>
      </c>
    </row>
    <row r="968" spans="1:6">
      <c r="A968" s="62" t="s">
        <v>1800</v>
      </c>
      <c r="B968" s="62" t="s">
        <v>1787</v>
      </c>
      <c r="C968" s="62" t="s">
        <v>1788</v>
      </c>
      <c r="D968" s="62" t="str">
        <f t="shared" si="16"/>
        <v>Mpungu</v>
      </c>
      <c r="F968" s="62">
        <v>624</v>
      </c>
    </row>
    <row r="969" spans="1:6">
      <c r="A969" s="62" t="s">
        <v>1801</v>
      </c>
      <c r="B969" s="62" t="s">
        <v>1787</v>
      </c>
      <c r="C969" s="62" t="s">
        <v>1788</v>
      </c>
      <c r="D969" s="62" t="str">
        <f t="shared" si="16"/>
        <v>Nyakinoni</v>
      </c>
      <c r="F969" s="62">
        <v>625</v>
      </c>
    </row>
    <row r="970" spans="1:6">
      <c r="A970" s="62" t="s">
        <v>1802</v>
      </c>
      <c r="B970" s="62" t="s">
        <v>1787</v>
      </c>
      <c r="C970" s="62" t="s">
        <v>1788</v>
      </c>
      <c r="D970" s="62" t="str">
        <f t="shared" si="16"/>
        <v>Nyamirama</v>
      </c>
      <c r="F970" s="62">
        <v>626</v>
      </c>
    </row>
    <row r="971" spans="1:6">
      <c r="A971" s="62" t="s">
        <v>1803</v>
      </c>
      <c r="B971" s="62" t="s">
        <v>1787</v>
      </c>
      <c r="C971" s="62" t="s">
        <v>1788</v>
      </c>
      <c r="D971" s="62" t="str">
        <f t="shared" si="16"/>
        <v>Nyanga</v>
      </c>
      <c r="F971" s="62">
        <v>627</v>
      </c>
    </row>
    <row r="972" spans="1:6">
      <c r="A972" s="62" t="s">
        <v>1804</v>
      </c>
      <c r="B972" s="62" t="s">
        <v>1787</v>
      </c>
      <c r="C972" s="62" t="s">
        <v>1788</v>
      </c>
      <c r="D972" s="62" t="str">
        <f t="shared" si="16"/>
        <v>Rugyeyo</v>
      </c>
      <c r="F972" s="62">
        <v>628</v>
      </c>
    </row>
    <row r="973" spans="1:6">
      <c r="A973" s="62" t="s">
        <v>1805</v>
      </c>
      <c r="B973" s="62" t="s">
        <v>1787</v>
      </c>
      <c r="C973" s="62" t="s">
        <v>1788</v>
      </c>
      <c r="D973" s="62" t="str">
        <f t="shared" si="16"/>
        <v>Rutenga</v>
      </c>
      <c r="F973" s="62">
        <v>629</v>
      </c>
    </row>
    <row r="974" spans="1:6">
      <c r="A974" s="62" t="s">
        <v>1806</v>
      </c>
      <c r="B974" s="62" t="s">
        <v>1807</v>
      </c>
      <c r="C974" s="62" t="s">
        <v>1808</v>
      </c>
      <c r="D974" s="62" t="str">
        <f t="shared" si="16"/>
        <v>Amukol</v>
      </c>
      <c r="F974" s="62">
        <v>630</v>
      </c>
    </row>
    <row r="975" spans="1:6">
      <c r="A975" s="62" t="s">
        <v>1809</v>
      </c>
      <c r="B975" s="62" t="s">
        <v>1807</v>
      </c>
      <c r="C975" s="62" t="s">
        <v>1808</v>
      </c>
      <c r="D975" s="62" t="str">
        <f t="shared" si="16"/>
        <v>Chema</v>
      </c>
      <c r="F975" s="62">
        <v>631</v>
      </c>
    </row>
    <row r="976" spans="1:6">
      <c r="A976" s="62" t="s">
        <v>1810</v>
      </c>
      <c r="B976" s="62" t="s">
        <v>1807</v>
      </c>
      <c r="C976" s="62" t="s">
        <v>1808</v>
      </c>
      <c r="D976" s="62" t="str">
        <f t="shared" si="16"/>
        <v>Chepterech</v>
      </c>
      <c r="F976" s="62">
        <v>632</v>
      </c>
    </row>
    <row r="977" spans="1:6">
      <c r="A977" s="62" t="s">
        <v>1811</v>
      </c>
      <c r="B977" s="62" t="s">
        <v>1807</v>
      </c>
      <c r="C977" s="62" t="s">
        <v>1808</v>
      </c>
      <c r="D977" s="62" t="str">
        <f t="shared" si="16"/>
        <v>Gamogo</v>
      </c>
      <c r="F977" s="62">
        <v>633</v>
      </c>
    </row>
    <row r="978" spans="1:6">
      <c r="A978" s="62" t="s">
        <v>1812</v>
      </c>
      <c r="B978" s="62" t="s">
        <v>1807</v>
      </c>
      <c r="C978" s="62" t="s">
        <v>1808</v>
      </c>
      <c r="D978" s="62" t="str">
        <f t="shared" si="16"/>
        <v>Kabeywa</v>
      </c>
      <c r="F978" s="62">
        <v>634</v>
      </c>
    </row>
    <row r="979" spans="1:6">
      <c r="A979" s="62" t="s">
        <v>1813</v>
      </c>
      <c r="B979" s="62" t="s">
        <v>1807</v>
      </c>
      <c r="C979" s="62" t="s">
        <v>1813</v>
      </c>
      <c r="D979" s="62" t="str">
        <f t="shared" si="16"/>
        <v>Kapchorwa Municipality</v>
      </c>
      <c r="F979" s="62">
        <v>635</v>
      </c>
    </row>
    <row r="980" spans="1:6">
      <c r="A980" s="62" t="s">
        <v>1814</v>
      </c>
      <c r="B980" s="62" t="s">
        <v>1807</v>
      </c>
      <c r="C980" s="62" t="s">
        <v>1808</v>
      </c>
      <c r="D980" s="62" t="str">
        <f t="shared" si="16"/>
        <v>Kapsinda</v>
      </c>
      <c r="F980" s="62">
        <v>636</v>
      </c>
    </row>
    <row r="981" spans="1:6">
      <c r="A981" s="62" t="s">
        <v>1815</v>
      </c>
      <c r="B981" s="62" t="s">
        <v>1807</v>
      </c>
      <c r="C981" s="62" t="s">
        <v>1808</v>
      </c>
      <c r="D981" s="62" t="str">
        <f t="shared" si="16"/>
        <v>Kaptanya</v>
      </c>
      <c r="F981" s="62">
        <v>637</v>
      </c>
    </row>
    <row r="982" spans="1:6">
      <c r="A982" s="62" t="s">
        <v>1816</v>
      </c>
      <c r="B982" s="62" t="s">
        <v>1807</v>
      </c>
      <c r="C982" s="62" t="s">
        <v>1808</v>
      </c>
      <c r="D982" s="62" t="str">
        <f t="shared" si="16"/>
        <v>Kaserem</v>
      </c>
      <c r="F982" s="62">
        <v>638</v>
      </c>
    </row>
    <row r="983" spans="1:6">
      <c r="A983" s="62" t="s">
        <v>1817</v>
      </c>
      <c r="B983" s="62" t="s">
        <v>1807</v>
      </c>
      <c r="C983" s="62" t="s">
        <v>1808</v>
      </c>
      <c r="D983" s="62" t="str">
        <f t="shared" si="16"/>
        <v>Kawowo</v>
      </c>
      <c r="F983" s="62">
        <v>639</v>
      </c>
    </row>
    <row r="984" spans="1:6">
      <c r="A984" s="62" t="s">
        <v>1818</v>
      </c>
      <c r="B984" s="62" t="s">
        <v>1807</v>
      </c>
      <c r="C984" s="62" t="s">
        <v>1808</v>
      </c>
      <c r="D984" s="62" t="str">
        <f t="shared" si="16"/>
        <v>Munarya</v>
      </c>
      <c r="F984" s="62">
        <v>640</v>
      </c>
    </row>
    <row r="985" spans="1:6">
      <c r="A985" s="62" t="s">
        <v>1819</v>
      </c>
      <c r="B985" s="62" t="s">
        <v>1807</v>
      </c>
      <c r="C985" s="62" t="s">
        <v>1808</v>
      </c>
      <c r="D985" s="62" t="str">
        <f t="shared" si="16"/>
        <v>Sipi</v>
      </c>
      <c r="F985" s="62">
        <v>641</v>
      </c>
    </row>
    <row r="986" spans="1:6">
      <c r="A986" s="62" t="s">
        <v>1820</v>
      </c>
      <c r="B986" s="62" t="s">
        <v>36</v>
      </c>
      <c r="C986" s="62" t="s">
        <v>1821</v>
      </c>
      <c r="D986" s="62" t="str">
        <f t="shared" si="16"/>
        <v>Bugoye</v>
      </c>
      <c r="F986" s="62">
        <v>642</v>
      </c>
    </row>
    <row r="987" spans="1:6">
      <c r="A987" s="62" t="s">
        <v>1822</v>
      </c>
      <c r="B987" s="62" t="s">
        <v>36</v>
      </c>
      <c r="C987" s="62" t="s">
        <v>1821</v>
      </c>
      <c r="D987" s="62" t="str">
        <f t="shared" si="16"/>
        <v>Buhuhira</v>
      </c>
      <c r="F987" s="62">
        <v>643</v>
      </c>
    </row>
    <row r="988" spans="1:6">
      <c r="A988" s="62" t="s">
        <v>37</v>
      </c>
      <c r="B988" s="62" t="s">
        <v>36</v>
      </c>
      <c r="C988" s="62" t="s">
        <v>1039</v>
      </c>
      <c r="D988" s="62" t="str">
        <f t="shared" si="16"/>
        <v>Bwera</v>
      </c>
      <c r="F988" s="62">
        <v>644</v>
      </c>
    </row>
    <row r="989" spans="1:6">
      <c r="A989" s="62" t="s">
        <v>1823</v>
      </c>
      <c r="B989" s="62" t="s">
        <v>36</v>
      </c>
      <c r="C989" s="62" t="s">
        <v>1821</v>
      </c>
      <c r="D989" s="62" t="str">
        <f t="shared" si="16"/>
        <v>Bwesumbu</v>
      </c>
      <c r="F989" s="62">
        <v>645</v>
      </c>
    </row>
    <row r="990" spans="1:6">
      <c r="A990" s="62" t="s">
        <v>1824</v>
      </c>
      <c r="B990" s="62" t="s">
        <v>36</v>
      </c>
      <c r="C990" s="62" t="s">
        <v>1821</v>
      </c>
      <c r="D990" s="62" t="str">
        <f t="shared" si="16"/>
        <v>Hima Town Council</v>
      </c>
      <c r="F990" s="62">
        <v>646</v>
      </c>
    </row>
    <row r="991" spans="1:6">
      <c r="A991" s="62" t="s">
        <v>1825</v>
      </c>
      <c r="B991" s="62" t="s">
        <v>36</v>
      </c>
      <c r="C991" s="62" t="s">
        <v>1039</v>
      </c>
      <c r="D991" s="62" t="str">
        <f t="shared" si="16"/>
        <v>Ihandiro</v>
      </c>
      <c r="F991" s="62">
        <v>647</v>
      </c>
    </row>
    <row r="992" spans="1:6">
      <c r="A992" s="62" t="s">
        <v>1826</v>
      </c>
      <c r="B992" s="62" t="s">
        <v>36</v>
      </c>
      <c r="C992" s="62" t="s">
        <v>1039</v>
      </c>
      <c r="D992" s="62" t="str">
        <f t="shared" si="16"/>
        <v>Isango</v>
      </c>
      <c r="F992" s="62">
        <v>648</v>
      </c>
    </row>
    <row r="993" spans="1:6">
      <c r="A993" s="62" t="s">
        <v>1827</v>
      </c>
      <c r="B993" s="62" t="s">
        <v>36</v>
      </c>
      <c r="C993" s="62" t="s">
        <v>1039</v>
      </c>
      <c r="D993" s="62" t="str">
        <f t="shared" si="16"/>
        <v>Karambi-Kasese</v>
      </c>
      <c r="F993" s="62">
        <v>649</v>
      </c>
    </row>
    <row r="994" spans="1:6">
      <c r="A994" s="62" t="s">
        <v>1828</v>
      </c>
      <c r="B994" s="62" t="s">
        <v>36</v>
      </c>
      <c r="C994" s="62" t="s">
        <v>1821</v>
      </c>
      <c r="D994" s="62" t="str">
        <f t="shared" si="16"/>
        <v>Karusandara</v>
      </c>
      <c r="F994" s="62">
        <v>650</v>
      </c>
    </row>
    <row r="995" spans="1:6">
      <c r="A995" s="62" t="s">
        <v>1829</v>
      </c>
      <c r="B995" s="62" t="s">
        <v>36</v>
      </c>
      <c r="C995" s="62" t="s">
        <v>1829</v>
      </c>
      <c r="D995" s="62" t="str">
        <f t="shared" si="16"/>
        <v>Kasese Municipality</v>
      </c>
      <c r="F995" s="62">
        <v>651</v>
      </c>
    </row>
    <row r="996" spans="1:6">
      <c r="A996" s="62" t="s">
        <v>1830</v>
      </c>
      <c r="D996" s="62" t="str">
        <f t="shared" si="16"/>
        <v>KASESE</v>
      </c>
      <c r="F996" s="62">
        <v>651</v>
      </c>
    </row>
    <row r="997" spans="1:6">
      <c r="A997" s="62" t="s">
        <v>1831</v>
      </c>
      <c r="D997" s="62" t="str">
        <f t="shared" si="16"/>
        <v>QUEEN ELIZABETH N.PARK</v>
      </c>
      <c r="F997" s="62">
        <v>651</v>
      </c>
    </row>
    <row r="998" spans="1:6">
      <c r="A998" s="62" t="s">
        <v>1832</v>
      </c>
      <c r="B998" s="62" t="s">
        <v>36</v>
      </c>
      <c r="C998" s="62" t="s">
        <v>1821</v>
      </c>
      <c r="D998" s="62" t="str">
        <f t="shared" si="16"/>
        <v>Katwe Kabatoro Town Council</v>
      </c>
      <c r="F998" s="62">
        <v>652</v>
      </c>
    </row>
    <row r="999" spans="1:6">
      <c r="A999" s="62" t="s">
        <v>1833</v>
      </c>
      <c r="B999" s="62" t="s">
        <v>36</v>
      </c>
      <c r="C999" s="62" t="s">
        <v>1821</v>
      </c>
      <c r="D999" s="62" t="str">
        <f t="shared" si="16"/>
        <v>Kilembe</v>
      </c>
      <c r="F999" s="62">
        <v>653</v>
      </c>
    </row>
    <row r="1000" spans="1:6">
      <c r="A1000" s="62" t="s">
        <v>1834</v>
      </c>
      <c r="B1000" s="62" t="s">
        <v>36</v>
      </c>
      <c r="C1000" s="62" t="s">
        <v>1039</v>
      </c>
      <c r="D1000" s="62" t="str">
        <f t="shared" si="16"/>
        <v>Kisinga</v>
      </c>
      <c r="F1000" s="62">
        <v>654</v>
      </c>
    </row>
    <row r="1001" spans="1:6">
      <c r="A1001" s="62" t="s">
        <v>1835</v>
      </c>
      <c r="B1001" s="62" t="s">
        <v>36</v>
      </c>
      <c r="C1001" s="62" t="s">
        <v>1039</v>
      </c>
      <c r="D1001" s="62" t="str">
        <f t="shared" si="16"/>
        <v>Kisinga Town Council</v>
      </c>
      <c r="F1001" s="62">
        <v>655</v>
      </c>
    </row>
    <row r="1002" spans="1:6">
      <c r="A1002" s="62" t="s">
        <v>1836</v>
      </c>
      <c r="B1002" s="62" t="s">
        <v>36</v>
      </c>
      <c r="C1002" s="62" t="s">
        <v>1039</v>
      </c>
      <c r="D1002" s="62" t="str">
        <f t="shared" si="16"/>
        <v>Kitholhu</v>
      </c>
      <c r="F1002" s="62">
        <v>656</v>
      </c>
    </row>
    <row r="1003" spans="1:6">
      <c r="A1003" s="62" t="s">
        <v>1837</v>
      </c>
      <c r="B1003" s="62" t="s">
        <v>36</v>
      </c>
      <c r="C1003" s="62" t="s">
        <v>1821</v>
      </c>
      <c r="D1003" s="62" t="str">
        <f t="shared" si="16"/>
        <v>Kitswamba</v>
      </c>
      <c r="F1003" s="62">
        <v>657</v>
      </c>
    </row>
    <row r="1004" spans="1:6">
      <c r="A1004" s="62" t="s">
        <v>1838</v>
      </c>
      <c r="B1004" s="62" t="s">
        <v>36</v>
      </c>
      <c r="C1004" s="62" t="s">
        <v>1821</v>
      </c>
      <c r="D1004" s="62" t="str">
        <f t="shared" si="16"/>
        <v>Kyabarungira</v>
      </c>
      <c r="F1004" s="62">
        <v>658</v>
      </c>
    </row>
    <row r="1005" spans="1:6">
      <c r="A1005" s="62" t="s">
        <v>1839</v>
      </c>
      <c r="B1005" s="62" t="s">
        <v>36</v>
      </c>
      <c r="C1005" s="62" t="s">
        <v>1039</v>
      </c>
      <c r="D1005" s="62" t="str">
        <f t="shared" si="16"/>
        <v>Kyarumba</v>
      </c>
      <c r="F1005" s="62">
        <v>659</v>
      </c>
    </row>
    <row r="1006" spans="1:6">
      <c r="A1006" s="62" t="s">
        <v>1840</v>
      </c>
      <c r="B1006" s="62" t="s">
        <v>36</v>
      </c>
      <c r="C1006" s="62" t="s">
        <v>1039</v>
      </c>
      <c r="D1006" s="62" t="str">
        <f t="shared" si="16"/>
        <v>Kyondo</v>
      </c>
      <c r="F1006" s="62">
        <v>660</v>
      </c>
    </row>
    <row r="1007" spans="1:6">
      <c r="A1007" s="62" t="s">
        <v>1841</v>
      </c>
      <c r="B1007" s="62" t="s">
        <v>36</v>
      </c>
      <c r="C1007" s="62" t="s">
        <v>1821</v>
      </c>
      <c r="D1007" s="62" t="str">
        <f t="shared" si="16"/>
        <v>Lake Katwe</v>
      </c>
      <c r="F1007" s="62">
        <v>661</v>
      </c>
    </row>
    <row r="1008" spans="1:6">
      <c r="A1008" s="62" t="s">
        <v>1842</v>
      </c>
      <c r="B1008" s="62" t="s">
        <v>36</v>
      </c>
      <c r="C1008" s="62" t="s">
        <v>1039</v>
      </c>
      <c r="D1008" s="62" t="str">
        <f t="shared" si="16"/>
        <v>Mahango</v>
      </c>
      <c r="F1008" s="62">
        <v>662</v>
      </c>
    </row>
    <row r="1009" spans="1:6">
      <c r="A1009" s="62" t="s">
        <v>1843</v>
      </c>
      <c r="B1009" s="62" t="s">
        <v>36</v>
      </c>
      <c r="C1009" s="62" t="s">
        <v>1821</v>
      </c>
      <c r="D1009" s="62" t="str">
        <f t="shared" si="16"/>
        <v>Maliba</v>
      </c>
      <c r="F1009" s="62">
        <v>663</v>
      </c>
    </row>
    <row r="1010" spans="1:6">
      <c r="A1010" s="62" t="s">
        <v>1844</v>
      </c>
      <c r="B1010" s="62" t="s">
        <v>36</v>
      </c>
      <c r="C1010" s="62" t="s">
        <v>1039</v>
      </c>
      <c r="D1010" s="62" t="str">
        <f t="shared" si="16"/>
        <v>Mpondwe-Lhubiriha</v>
      </c>
      <c r="F1010" s="62">
        <v>664</v>
      </c>
    </row>
    <row r="1011" spans="1:6">
      <c r="A1011" s="62" t="s">
        <v>1845</v>
      </c>
      <c r="B1011" s="62" t="s">
        <v>36</v>
      </c>
      <c r="C1011" s="62" t="s">
        <v>1821</v>
      </c>
      <c r="D1011" s="62" t="str">
        <f t="shared" si="16"/>
        <v>Muhokya</v>
      </c>
      <c r="F1011" s="62">
        <v>665</v>
      </c>
    </row>
    <row r="1012" spans="1:6">
      <c r="A1012" s="62" t="s">
        <v>1846</v>
      </c>
      <c r="B1012" s="62" t="s">
        <v>36</v>
      </c>
      <c r="C1012" s="62" t="s">
        <v>1039</v>
      </c>
      <c r="D1012" s="62" t="str">
        <f t="shared" si="16"/>
        <v>Munkunyu</v>
      </c>
      <c r="F1012" s="62">
        <v>666</v>
      </c>
    </row>
    <row r="1013" spans="1:6">
      <c r="A1013" s="62" t="s">
        <v>1847</v>
      </c>
      <c r="B1013" s="62" t="s">
        <v>36</v>
      </c>
      <c r="C1013" s="62" t="s">
        <v>1039</v>
      </c>
      <c r="D1013" s="62" t="str">
        <f t="shared" si="16"/>
        <v>Nyakatonzi</v>
      </c>
      <c r="F1013" s="62">
        <v>667</v>
      </c>
    </row>
    <row r="1014" spans="1:6">
      <c r="A1014" s="62" t="s">
        <v>1848</v>
      </c>
      <c r="B1014" s="62" t="s">
        <v>36</v>
      </c>
      <c r="C1014" s="62" t="s">
        <v>1039</v>
      </c>
      <c r="D1014" s="62" t="str">
        <f t="shared" si="16"/>
        <v>Nyakiyumbu</v>
      </c>
      <c r="F1014" s="62">
        <v>668</v>
      </c>
    </row>
    <row r="1015" spans="1:6">
      <c r="A1015" s="62" t="s">
        <v>1849</v>
      </c>
      <c r="B1015" s="62" t="s">
        <v>36</v>
      </c>
      <c r="C1015" s="62" t="s">
        <v>1821</v>
      </c>
      <c r="D1015" s="62" t="str">
        <f t="shared" si="16"/>
        <v>Rukoki</v>
      </c>
      <c r="F1015" s="62">
        <v>669</v>
      </c>
    </row>
    <row r="1016" spans="1:6">
      <c r="A1016" s="62" t="s">
        <v>1850</v>
      </c>
      <c r="B1016" s="62" t="s">
        <v>1851</v>
      </c>
      <c r="C1016" s="62" t="s">
        <v>1852</v>
      </c>
      <c r="D1016" s="62" t="str">
        <f t="shared" si="16"/>
        <v>Kapujan</v>
      </c>
      <c r="F1016" s="62">
        <v>670</v>
      </c>
    </row>
    <row r="1017" spans="1:6">
      <c r="A1017" s="62" t="s">
        <v>1851</v>
      </c>
      <c r="B1017" s="62" t="s">
        <v>1851</v>
      </c>
      <c r="C1017" s="62" t="s">
        <v>1853</v>
      </c>
      <c r="D1017" s="62" t="str">
        <f t="shared" si="16"/>
        <v>Katakwi</v>
      </c>
      <c r="F1017" s="62">
        <v>671</v>
      </c>
    </row>
    <row r="1018" spans="1:6">
      <c r="A1018" s="62" t="s">
        <v>1854</v>
      </c>
      <c r="B1018" s="62" t="s">
        <v>1851</v>
      </c>
      <c r="C1018" s="62" t="s">
        <v>1853</v>
      </c>
      <c r="D1018" s="62" t="str">
        <f t="shared" si="16"/>
        <v>Katakwi Town Council</v>
      </c>
      <c r="F1018" s="62">
        <v>672</v>
      </c>
    </row>
    <row r="1019" spans="1:6">
      <c r="A1019" s="62" t="s">
        <v>1855</v>
      </c>
      <c r="D1019" s="62" t="str">
        <f t="shared" si="16"/>
        <v>NAKAPIRIPIRITI</v>
      </c>
      <c r="F1019" s="62">
        <v>672</v>
      </c>
    </row>
    <row r="1020" spans="1:6">
      <c r="A1020" s="62" t="s">
        <v>1856</v>
      </c>
      <c r="B1020" s="62" t="s">
        <v>1851</v>
      </c>
      <c r="C1020" s="62" t="s">
        <v>1852</v>
      </c>
      <c r="D1020" s="62" t="str">
        <f t="shared" si="16"/>
        <v>Magoro</v>
      </c>
      <c r="F1020" s="62">
        <v>673</v>
      </c>
    </row>
    <row r="1021" spans="1:6">
      <c r="A1021" s="62" t="s">
        <v>1857</v>
      </c>
      <c r="B1021" s="62" t="s">
        <v>1851</v>
      </c>
      <c r="C1021" s="62" t="s">
        <v>1853</v>
      </c>
      <c r="D1021" s="62" t="str">
        <f t="shared" si="16"/>
        <v>Ngariam</v>
      </c>
      <c r="F1021" s="62">
        <v>674</v>
      </c>
    </row>
    <row r="1022" spans="1:6">
      <c r="A1022" s="62" t="s">
        <v>1858</v>
      </c>
      <c r="B1022" s="62" t="s">
        <v>1851</v>
      </c>
      <c r="C1022" s="62" t="s">
        <v>1852</v>
      </c>
      <c r="D1022" s="62" t="str">
        <f t="shared" si="16"/>
        <v>Omodoi</v>
      </c>
      <c r="F1022" s="62">
        <v>675</v>
      </c>
    </row>
    <row r="1023" spans="1:6">
      <c r="A1023" s="62" t="s">
        <v>1859</v>
      </c>
      <c r="B1023" s="62" t="s">
        <v>1851</v>
      </c>
      <c r="C1023" s="62" t="s">
        <v>1853</v>
      </c>
      <c r="D1023" s="62" t="str">
        <f t="shared" si="16"/>
        <v>Ongongoja</v>
      </c>
      <c r="F1023" s="62">
        <v>676</v>
      </c>
    </row>
    <row r="1024" spans="1:6">
      <c r="A1024" s="62" t="s">
        <v>1860</v>
      </c>
      <c r="B1024" s="62" t="s">
        <v>1851</v>
      </c>
      <c r="C1024" s="62" t="s">
        <v>1853</v>
      </c>
      <c r="D1024" s="62" t="str">
        <f t="shared" si="16"/>
        <v>Palam</v>
      </c>
      <c r="F1024" s="62">
        <v>677</v>
      </c>
    </row>
    <row r="1025" spans="1:6">
      <c r="A1025" s="62" t="s">
        <v>1852</v>
      </c>
      <c r="B1025" s="62" t="s">
        <v>1851</v>
      </c>
      <c r="C1025" s="62" t="s">
        <v>1852</v>
      </c>
      <c r="D1025" s="62" t="str">
        <f t="shared" si="16"/>
        <v>Toroma</v>
      </c>
      <c r="F1025" s="62">
        <v>678</v>
      </c>
    </row>
    <row r="1026" spans="1:6">
      <c r="A1026" s="62" t="s">
        <v>1853</v>
      </c>
      <c r="B1026" s="62" t="s">
        <v>1851</v>
      </c>
      <c r="C1026" s="62" t="s">
        <v>1853</v>
      </c>
      <c r="D1026" s="62" t="str">
        <f t="shared" ref="D1026:D1089" si="17">A1026</f>
        <v>Usuk</v>
      </c>
      <c r="F1026" s="62">
        <v>679</v>
      </c>
    </row>
    <row r="1027" spans="1:6">
      <c r="A1027" s="62" t="s">
        <v>1861</v>
      </c>
      <c r="B1027" s="62" t="s">
        <v>1862</v>
      </c>
      <c r="C1027" s="62" t="s">
        <v>1861</v>
      </c>
      <c r="D1027" s="62" t="str">
        <f t="shared" si="17"/>
        <v>Bbaale</v>
      </c>
      <c r="F1027" s="62">
        <v>680</v>
      </c>
    </row>
    <row r="1028" spans="1:6">
      <c r="A1028" s="62" t="s">
        <v>1863</v>
      </c>
      <c r="B1028" s="62" t="s">
        <v>1862</v>
      </c>
      <c r="C1028" s="62" t="s">
        <v>1864</v>
      </c>
      <c r="D1028" s="62" t="str">
        <f t="shared" si="17"/>
        <v>Busaana</v>
      </c>
      <c r="F1028" s="62">
        <v>681</v>
      </c>
    </row>
    <row r="1029" spans="1:6">
      <c r="A1029" s="62" t="s">
        <v>1865</v>
      </c>
      <c r="B1029" s="62" t="s">
        <v>1862</v>
      </c>
      <c r="C1029" s="62" t="s">
        <v>1861</v>
      </c>
      <c r="D1029" s="62" t="str">
        <f t="shared" si="17"/>
        <v>Galiraya</v>
      </c>
      <c r="F1029" s="62">
        <v>682</v>
      </c>
    </row>
    <row r="1030" spans="1:6">
      <c r="A1030" s="62" t="s">
        <v>1866</v>
      </c>
      <c r="B1030" s="62" t="s">
        <v>1862</v>
      </c>
      <c r="C1030" s="62" t="s">
        <v>1864</v>
      </c>
      <c r="D1030" s="62" t="str">
        <f t="shared" si="17"/>
        <v>Kangulumira</v>
      </c>
      <c r="F1030" s="62">
        <v>683</v>
      </c>
    </row>
    <row r="1031" spans="1:6">
      <c r="A1031" s="62" t="s">
        <v>1867</v>
      </c>
      <c r="B1031" s="62" t="s">
        <v>1862</v>
      </c>
      <c r="C1031" s="62" t="s">
        <v>1861</v>
      </c>
      <c r="D1031" s="62" t="str">
        <f t="shared" si="17"/>
        <v>Kayonza-Kayunga</v>
      </c>
      <c r="F1031" s="62">
        <v>684</v>
      </c>
    </row>
    <row r="1032" spans="1:6">
      <c r="A1032" s="62" t="s">
        <v>1862</v>
      </c>
      <c r="B1032" s="62" t="s">
        <v>1862</v>
      </c>
      <c r="C1032" s="62" t="s">
        <v>1864</v>
      </c>
      <c r="D1032" s="62" t="str">
        <f t="shared" si="17"/>
        <v>Kayunga</v>
      </c>
      <c r="F1032" s="62">
        <v>685</v>
      </c>
    </row>
    <row r="1033" spans="1:6">
      <c r="A1033" s="62" t="s">
        <v>1868</v>
      </c>
      <c r="B1033" s="62" t="s">
        <v>1862</v>
      </c>
      <c r="C1033" s="62" t="s">
        <v>1864</v>
      </c>
      <c r="D1033" s="62" t="str">
        <f t="shared" si="17"/>
        <v>Kayunga Town Council</v>
      </c>
      <c r="F1033" s="62">
        <v>686</v>
      </c>
    </row>
    <row r="1034" spans="1:6">
      <c r="A1034" s="62" t="s">
        <v>1869</v>
      </c>
      <c r="D1034" s="62" t="str">
        <f t="shared" si="17"/>
        <v>KAYUNGA HOSPITAL</v>
      </c>
      <c r="F1034" s="62">
        <v>686</v>
      </c>
    </row>
    <row r="1035" spans="1:6">
      <c r="A1035" s="62" t="s">
        <v>1870</v>
      </c>
      <c r="D1035" s="62" t="str">
        <f t="shared" si="17"/>
        <v>KALAGI</v>
      </c>
      <c r="F1035" s="62">
        <v>686</v>
      </c>
    </row>
    <row r="1036" spans="1:6">
      <c r="A1036" s="62" t="s">
        <v>1871</v>
      </c>
      <c r="D1036" s="62" t="str">
        <f t="shared" si="17"/>
        <v>BUKOLOTO</v>
      </c>
      <c r="F1036" s="62">
        <v>686</v>
      </c>
    </row>
    <row r="1037" spans="1:6">
      <c r="A1037" s="62" t="s">
        <v>1872</v>
      </c>
      <c r="D1037" s="62" t="str">
        <f t="shared" si="17"/>
        <v>Bugerere</v>
      </c>
      <c r="F1037" s="62">
        <v>686</v>
      </c>
    </row>
    <row r="1038" spans="1:6">
      <c r="A1038" s="62" t="s">
        <v>1873</v>
      </c>
      <c r="D1038" s="62" t="str">
        <f t="shared" si="17"/>
        <v>Bugelele</v>
      </c>
      <c r="F1038" s="62">
        <v>686</v>
      </c>
    </row>
    <row r="1039" spans="1:6">
      <c r="A1039" s="62" t="s">
        <v>1874</v>
      </c>
      <c r="B1039" s="62" t="s">
        <v>1862</v>
      </c>
      <c r="C1039" s="62" t="s">
        <v>1861</v>
      </c>
      <c r="D1039" s="62" t="str">
        <f t="shared" si="17"/>
        <v>Kitimbwa</v>
      </c>
      <c r="F1039" s="62">
        <v>687</v>
      </c>
    </row>
    <row r="1040" spans="1:6">
      <c r="A1040" s="62" t="s">
        <v>1875</v>
      </c>
      <c r="B1040" s="62" t="s">
        <v>1862</v>
      </c>
      <c r="C1040" s="62" t="s">
        <v>1864</v>
      </c>
      <c r="D1040" s="62" t="str">
        <f t="shared" si="17"/>
        <v>Nazigo</v>
      </c>
      <c r="F1040" s="62">
        <v>688</v>
      </c>
    </row>
    <row r="1041" spans="1:6">
      <c r="A1041" s="62" t="s">
        <v>1876</v>
      </c>
      <c r="B1041" s="62" t="s">
        <v>1877</v>
      </c>
      <c r="C1041" s="62" t="s">
        <v>1878</v>
      </c>
      <c r="D1041" s="62" t="str">
        <f t="shared" si="17"/>
        <v>Bubango</v>
      </c>
      <c r="F1041" s="62">
        <v>689</v>
      </c>
    </row>
    <row r="1042" spans="1:6">
      <c r="A1042" s="62" t="s">
        <v>1879</v>
      </c>
      <c r="B1042" s="62" t="s">
        <v>1877</v>
      </c>
      <c r="C1042" s="62" t="s">
        <v>1878</v>
      </c>
      <c r="D1042" s="62" t="str">
        <f t="shared" si="17"/>
        <v>Bwamiramira</v>
      </c>
      <c r="F1042" s="62">
        <v>690</v>
      </c>
    </row>
    <row r="1043" spans="1:6">
      <c r="A1043" s="62" t="s">
        <v>1880</v>
      </c>
      <c r="B1043" s="62" t="s">
        <v>1877</v>
      </c>
      <c r="C1043" s="62" t="s">
        <v>1878</v>
      </c>
      <c r="D1043" s="62" t="str">
        <f t="shared" si="17"/>
        <v>Kabasekende</v>
      </c>
      <c r="F1043" s="62">
        <v>691</v>
      </c>
    </row>
    <row r="1044" spans="1:6">
      <c r="A1044" s="62" t="s">
        <v>1881</v>
      </c>
      <c r="B1044" s="62" t="s">
        <v>1877</v>
      </c>
      <c r="C1044" s="62" t="s">
        <v>1878</v>
      </c>
      <c r="D1044" s="62" t="str">
        <f t="shared" si="17"/>
        <v>Kasimbi</v>
      </c>
      <c r="F1044" s="62">
        <v>692</v>
      </c>
    </row>
    <row r="1045" spans="1:6">
      <c r="A1045" s="62" t="s">
        <v>1882</v>
      </c>
      <c r="B1045" s="62" t="s">
        <v>1877</v>
      </c>
      <c r="C1045" s="62" t="s">
        <v>1878</v>
      </c>
      <c r="D1045" s="62" t="str">
        <f t="shared" si="17"/>
        <v>Kibaale Town Council</v>
      </c>
      <c r="F1045" s="62">
        <v>693</v>
      </c>
    </row>
    <row r="1046" spans="1:6">
      <c r="A1046" s="62" t="s">
        <v>1623</v>
      </c>
      <c r="B1046" s="62" t="s">
        <v>1877</v>
      </c>
      <c r="C1046" s="62" t="s">
        <v>1878</v>
      </c>
      <c r="D1046" s="62" t="str">
        <f t="shared" si="17"/>
        <v>Kyebando</v>
      </c>
      <c r="F1046" s="62">
        <v>694</v>
      </c>
    </row>
    <row r="1047" spans="1:6">
      <c r="A1047" s="62" t="s">
        <v>1883</v>
      </c>
      <c r="B1047" s="62" t="s">
        <v>1877</v>
      </c>
      <c r="C1047" s="62" t="s">
        <v>1878</v>
      </c>
      <c r="D1047" s="62" t="str">
        <f t="shared" si="17"/>
        <v>Matale</v>
      </c>
      <c r="F1047" s="62">
        <v>695</v>
      </c>
    </row>
    <row r="1048" spans="1:6">
      <c r="A1048" s="62" t="s">
        <v>1884</v>
      </c>
      <c r="B1048" s="62" t="s">
        <v>1877</v>
      </c>
      <c r="C1048" s="62" t="s">
        <v>1878</v>
      </c>
      <c r="D1048" s="62" t="str">
        <f t="shared" si="17"/>
        <v>Mugarama</v>
      </c>
      <c r="F1048" s="62">
        <v>696</v>
      </c>
    </row>
    <row r="1049" spans="1:6">
      <c r="A1049" s="62" t="s">
        <v>1885</v>
      </c>
      <c r="B1049" s="62" t="s">
        <v>1877</v>
      </c>
      <c r="C1049" s="62" t="s">
        <v>1878</v>
      </c>
      <c r="D1049" s="62" t="str">
        <f t="shared" si="17"/>
        <v>Nyamarunda</v>
      </c>
      <c r="F1049" s="62">
        <v>697</v>
      </c>
    </row>
    <row r="1050" spans="1:6">
      <c r="A1050" s="62" t="s">
        <v>1886</v>
      </c>
      <c r="B1050" s="62" t="s">
        <v>1877</v>
      </c>
      <c r="C1050" s="62" t="s">
        <v>1878</v>
      </c>
      <c r="D1050" s="62" t="str">
        <f t="shared" si="17"/>
        <v>Nyamarwa</v>
      </c>
      <c r="F1050" s="62">
        <v>698</v>
      </c>
    </row>
    <row r="1051" spans="1:6">
      <c r="A1051" s="62" t="s">
        <v>1887</v>
      </c>
      <c r="B1051" s="62" t="s">
        <v>1888</v>
      </c>
      <c r="C1051" s="62" t="s">
        <v>1888</v>
      </c>
      <c r="D1051" s="62" t="str">
        <f t="shared" si="17"/>
        <v>Bukomero</v>
      </c>
      <c r="F1051" s="62">
        <v>699</v>
      </c>
    </row>
    <row r="1052" spans="1:6">
      <c r="A1052" s="62" t="s">
        <v>1889</v>
      </c>
      <c r="B1052" s="62" t="s">
        <v>1888</v>
      </c>
      <c r="C1052" s="62" t="s">
        <v>1888</v>
      </c>
      <c r="D1052" s="62" t="str">
        <f t="shared" si="17"/>
        <v>Bukomero Town Council</v>
      </c>
      <c r="F1052" s="62">
        <v>700</v>
      </c>
    </row>
    <row r="1053" spans="1:6">
      <c r="A1053" s="62" t="s">
        <v>1890</v>
      </c>
      <c r="D1053" s="62" t="str">
        <f t="shared" si="17"/>
        <v>KATERA</v>
      </c>
      <c r="F1053" s="62">
        <v>700</v>
      </c>
    </row>
    <row r="1054" spans="1:6">
      <c r="A1054" s="62" t="s">
        <v>1891</v>
      </c>
      <c r="B1054" s="62" t="s">
        <v>1888</v>
      </c>
      <c r="C1054" s="62" t="s">
        <v>1888</v>
      </c>
      <c r="D1054" s="62" t="str">
        <f t="shared" si="17"/>
        <v>Ddwaniro-Kiboga</v>
      </c>
      <c r="F1054" s="62">
        <v>701</v>
      </c>
    </row>
    <row r="1055" spans="1:6">
      <c r="A1055" s="62" t="s">
        <v>1892</v>
      </c>
      <c r="B1055" s="62" t="s">
        <v>1888</v>
      </c>
      <c r="C1055" s="62" t="s">
        <v>1888</v>
      </c>
      <c r="D1055" s="62" t="str">
        <f t="shared" si="17"/>
        <v>Kapeke</v>
      </c>
      <c r="F1055" s="62">
        <v>702</v>
      </c>
    </row>
    <row r="1056" spans="1:6">
      <c r="A1056" s="62" t="s">
        <v>1893</v>
      </c>
      <c r="B1056" s="62" t="s">
        <v>1888</v>
      </c>
      <c r="C1056" s="62" t="s">
        <v>1888</v>
      </c>
      <c r="D1056" s="62" t="str">
        <f t="shared" si="17"/>
        <v>Kibiga</v>
      </c>
      <c r="F1056" s="62">
        <v>703</v>
      </c>
    </row>
    <row r="1057" spans="1:6">
      <c r="A1057" s="62" t="s">
        <v>1894</v>
      </c>
      <c r="B1057" s="62" t="s">
        <v>1888</v>
      </c>
      <c r="C1057" s="62" t="s">
        <v>1888</v>
      </c>
      <c r="D1057" s="62" t="str">
        <f t="shared" si="17"/>
        <v>Kiboga Town Council</v>
      </c>
      <c r="F1057" s="62">
        <v>704</v>
      </c>
    </row>
    <row r="1058" spans="1:6">
      <c r="A1058" s="62" t="s">
        <v>1895</v>
      </c>
      <c r="B1058" s="62" t="s">
        <v>1888</v>
      </c>
      <c r="C1058" s="62" t="s">
        <v>1888</v>
      </c>
      <c r="D1058" s="62" t="str">
        <f t="shared" si="17"/>
        <v>Lwamata</v>
      </c>
      <c r="F1058" s="62">
        <v>705</v>
      </c>
    </row>
    <row r="1059" spans="1:6">
      <c r="A1059" s="62" t="s">
        <v>1896</v>
      </c>
      <c r="B1059" s="62" t="s">
        <v>1888</v>
      </c>
      <c r="C1059" s="62" t="s">
        <v>1888</v>
      </c>
      <c r="D1059" s="62" t="str">
        <f t="shared" si="17"/>
        <v>Muwanga</v>
      </c>
      <c r="F1059" s="62">
        <v>706</v>
      </c>
    </row>
    <row r="1060" spans="1:6">
      <c r="A1060" s="62" t="s">
        <v>1897</v>
      </c>
      <c r="B1060" s="62" t="s">
        <v>1898</v>
      </c>
      <c r="C1060" s="62" t="s">
        <v>1898</v>
      </c>
      <c r="D1060" s="62" t="str">
        <f t="shared" si="17"/>
        <v>Bulangira</v>
      </c>
      <c r="F1060" s="62">
        <v>707</v>
      </c>
    </row>
    <row r="1061" spans="1:6">
      <c r="A1061" s="62" t="s">
        <v>1899</v>
      </c>
      <c r="B1061" s="62" t="s">
        <v>1898</v>
      </c>
      <c r="C1061" s="62" t="s">
        <v>1898</v>
      </c>
      <c r="D1061" s="62" t="str">
        <f t="shared" si="17"/>
        <v>Buseta</v>
      </c>
      <c r="F1061" s="62">
        <v>708</v>
      </c>
    </row>
    <row r="1062" spans="1:6">
      <c r="A1062" s="62" t="s">
        <v>1900</v>
      </c>
      <c r="B1062" s="62" t="s">
        <v>1898</v>
      </c>
      <c r="C1062" s="62" t="s">
        <v>1898</v>
      </c>
      <c r="D1062" s="62" t="str">
        <f t="shared" si="17"/>
        <v>Kabweri</v>
      </c>
      <c r="F1062" s="62">
        <v>709</v>
      </c>
    </row>
    <row r="1063" spans="1:6">
      <c r="A1063" s="62" t="s">
        <v>1901</v>
      </c>
      <c r="B1063" s="62" t="s">
        <v>1898</v>
      </c>
      <c r="C1063" s="62" t="s">
        <v>1898</v>
      </c>
      <c r="D1063" s="62" t="str">
        <f t="shared" si="17"/>
        <v>Kadama</v>
      </c>
      <c r="F1063" s="62">
        <v>710</v>
      </c>
    </row>
    <row r="1064" spans="1:6">
      <c r="A1064" s="62" t="s">
        <v>1902</v>
      </c>
      <c r="B1064" s="62" t="s">
        <v>1898</v>
      </c>
      <c r="C1064" s="62" t="s">
        <v>1898</v>
      </c>
      <c r="D1064" s="62" t="str">
        <f t="shared" si="17"/>
        <v>Kagumu</v>
      </c>
      <c r="F1064" s="62">
        <v>711</v>
      </c>
    </row>
    <row r="1065" spans="1:6">
      <c r="A1065" s="62" t="s">
        <v>1903</v>
      </c>
      <c r="B1065" s="62" t="s">
        <v>1898</v>
      </c>
      <c r="C1065" s="62" t="s">
        <v>1898</v>
      </c>
      <c r="D1065" s="62" t="str">
        <f t="shared" si="17"/>
        <v>Kasasira</v>
      </c>
      <c r="F1065" s="62">
        <v>712</v>
      </c>
    </row>
    <row r="1066" spans="1:6">
      <c r="A1066" s="62" t="s">
        <v>1898</v>
      </c>
      <c r="B1066" s="62" t="s">
        <v>1898</v>
      </c>
      <c r="C1066" s="62" t="s">
        <v>1898</v>
      </c>
      <c r="D1066" s="62" t="str">
        <f t="shared" si="17"/>
        <v>Kibuku</v>
      </c>
      <c r="F1066" s="62">
        <v>713</v>
      </c>
    </row>
    <row r="1067" spans="1:6">
      <c r="A1067" s="62" t="s">
        <v>1904</v>
      </c>
      <c r="B1067" s="62" t="s">
        <v>1898</v>
      </c>
      <c r="C1067" s="62" t="s">
        <v>1898</v>
      </c>
      <c r="D1067" s="62" t="str">
        <f t="shared" si="17"/>
        <v>Kibuku Town Council</v>
      </c>
      <c r="F1067" s="62">
        <v>714</v>
      </c>
    </row>
    <row r="1068" spans="1:6">
      <c r="A1068" s="62" t="s">
        <v>1905</v>
      </c>
      <c r="B1068" s="62" t="s">
        <v>1898</v>
      </c>
      <c r="C1068" s="62" t="s">
        <v>1898</v>
      </c>
      <c r="D1068" s="62" t="str">
        <f t="shared" si="17"/>
        <v>Kirika</v>
      </c>
      <c r="F1068" s="62">
        <v>715</v>
      </c>
    </row>
    <row r="1069" spans="1:6">
      <c r="A1069" s="62" t="s">
        <v>1906</v>
      </c>
      <c r="B1069" s="62" t="s">
        <v>1898</v>
      </c>
      <c r="C1069" s="62" t="s">
        <v>1898</v>
      </c>
      <c r="D1069" s="62" t="str">
        <f t="shared" si="17"/>
        <v>Tirinyi</v>
      </c>
      <c r="F1069" s="62">
        <v>716</v>
      </c>
    </row>
    <row r="1070" spans="1:6">
      <c r="A1070" s="62" t="s">
        <v>1907</v>
      </c>
      <c r="B1070" s="62" t="s">
        <v>1908</v>
      </c>
      <c r="C1070" s="62" t="s">
        <v>1909</v>
      </c>
      <c r="D1070" s="62" t="str">
        <f t="shared" si="17"/>
        <v>Buremba</v>
      </c>
      <c r="F1070" s="62">
        <v>717</v>
      </c>
    </row>
    <row r="1071" spans="1:6">
      <c r="A1071" s="62" t="s">
        <v>1910</v>
      </c>
      <c r="B1071" s="62" t="s">
        <v>1908</v>
      </c>
      <c r="C1071" s="62" t="s">
        <v>1909</v>
      </c>
      <c r="D1071" s="62" t="str">
        <f t="shared" si="17"/>
        <v>Burunga</v>
      </c>
      <c r="F1071" s="62">
        <v>718</v>
      </c>
    </row>
    <row r="1072" spans="1:6">
      <c r="A1072" s="62" t="s">
        <v>1911</v>
      </c>
      <c r="B1072" s="62" t="s">
        <v>1908</v>
      </c>
      <c r="C1072" s="62" t="s">
        <v>1909</v>
      </c>
      <c r="D1072" s="62" t="str">
        <f t="shared" si="17"/>
        <v>Engari</v>
      </c>
      <c r="F1072" s="62">
        <v>719</v>
      </c>
    </row>
    <row r="1073" spans="1:6">
      <c r="A1073" s="62" t="s">
        <v>1912</v>
      </c>
      <c r="B1073" s="62" t="s">
        <v>1908</v>
      </c>
      <c r="C1073" s="62" t="s">
        <v>1909</v>
      </c>
      <c r="D1073" s="62" t="str">
        <f t="shared" si="17"/>
        <v>Kanoni</v>
      </c>
      <c r="F1073" s="62">
        <v>720</v>
      </c>
    </row>
    <row r="1074" spans="1:6">
      <c r="A1074" s="62" t="s">
        <v>1913</v>
      </c>
      <c r="B1074" s="62" t="s">
        <v>1908</v>
      </c>
      <c r="C1074" s="62" t="s">
        <v>1914</v>
      </c>
      <c r="D1074" s="62" t="str">
        <f t="shared" si="17"/>
        <v>Kanyaryeru</v>
      </c>
      <c r="F1074" s="62">
        <v>721</v>
      </c>
    </row>
    <row r="1075" spans="1:6">
      <c r="A1075" s="62" t="s">
        <v>1915</v>
      </c>
      <c r="B1075" s="62" t="s">
        <v>1908</v>
      </c>
      <c r="C1075" s="62" t="s">
        <v>1914</v>
      </c>
      <c r="D1075" s="62" t="str">
        <f t="shared" si="17"/>
        <v>Kashongi</v>
      </c>
      <c r="F1075" s="62">
        <v>722</v>
      </c>
    </row>
    <row r="1076" spans="1:6">
      <c r="A1076" s="62" t="s">
        <v>1909</v>
      </c>
      <c r="B1076" s="62" t="s">
        <v>1908</v>
      </c>
      <c r="C1076" s="62" t="s">
        <v>1909</v>
      </c>
      <c r="D1076" s="62" t="str">
        <f t="shared" si="17"/>
        <v>Kazo</v>
      </c>
      <c r="F1076" s="62">
        <v>723</v>
      </c>
    </row>
    <row r="1077" spans="1:6">
      <c r="A1077" s="62" t="s">
        <v>1916</v>
      </c>
      <c r="D1077" s="62" t="str">
        <f t="shared" si="17"/>
        <v xml:space="preserve">KAZO </v>
      </c>
      <c r="F1077" s="62">
        <v>723</v>
      </c>
    </row>
    <row r="1078" spans="1:6">
      <c r="A1078" s="62" t="s">
        <v>1917</v>
      </c>
      <c r="D1078" s="62" t="str">
        <f t="shared" si="17"/>
        <v>KAWALA</v>
      </c>
      <c r="F1078" s="62">
        <v>723</v>
      </c>
    </row>
    <row r="1079" spans="1:6">
      <c r="A1079" s="62" t="s">
        <v>1918</v>
      </c>
      <c r="D1079" s="62" t="str">
        <f t="shared" si="17"/>
        <v>KAWAALA</v>
      </c>
      <c r="F1079" s="62">
        <v>723</v>
      </c>
    </row>
    <row r="1080" spans="1:6">
      <c r="A1080" s="62" t="s">
        <v>1919</v>
      </c>
      <c r="B1080" s="62" t="s">
        <v>1908</v>
      </c>
      <c r="C1080" s="62" t="s">
        <v>1909</v>
      </c>
      <c r="D1080" s="62" t="str">
        <f t="shared" si="17"/>
        <v>Kazo Town Council</v>
      </c>
      <c r="F1080" s="62">
        <v>724</v>
      </c>
    </row>
    <row r="1081" spans="1:6">
      <c r="A1081" s="62" t="s">
        <v>1920</v>
      </c>
      <c r="B1081" s="62" t="s">
        <v>1908</v>
      </c>
      <c r="C1081" s="62" t="s">
        <v>1914</v>
      </c>
      <c r="D1081" s="62" t="str">
        <f t="shared" si="17"/>
        <v>Kenshunga</v>
      </c>
      <c r="F1081" s="62">
        <v>725</v>
      </c>
    </row>
    <row r="1082" spans="1:6">
      <c r="A1082" s="62" t="s">
        <v>1921</v>
      </c>
      <c r="B1082" s="62" t="s">
        <v>1908</v>
      </c>
      <c r="C1082" s="62" t="s">
        <v>1914</v>
      </c>
      <c r="D1082" s="62" t="str">
        <f t="shared" si="17"/>
        <v>Kikaatsi</v>
      </c>
      <c r="F1082" s="62">
        <v>726</v>
      </c>
    </row>
    <row r="1083" spans="1:6">
      <c r="A1083" s="62" t="s">
        <v>1922</v>
      </c>
      <c r="B1083" s="62" t="s">
        <v>1908</v>
      </c>
      <c r="C1083" s="62" t="s">
        <v>1914</v>
      </c>
      <c r="D1083" s="62" t="str">
        <f t="shared" si="17"/>
        <v>Kinoni-Kiruhura</v>
      </c>
      <c r="F1083" s="62">
        <v>727</v>
      </c>
    </row>
    <row r="1084" spans="1:6">
      <c r="A1084" s="62" t="s">
        <v>1923</v>
      </c>
      <c r="B1084" s="62" t="s">
        <v>1908</v>
      </c>
      <c r="C1084" s="62" t="s">
        <v>1914</v>
      </c>
      <c r="D1084" s="62" t="str">
        <f t="shared" si="17"/>
        <v>Kiruhura Town Council</v>
      </c>
      <c r="F1084" s="62">
        <v>728</v>
      </c>
    </row>
    <row r="1085" spans="1:6">
      <c r="A1085" s="62" t="s">
        <v>1924</v>
      </c>
      <c r="B1085" s="62" t="s">
        <v>1908</v>
      </c>
      <c r="C1085" s="62" t="s">
        <v>1914</v>
      </c>
      <c r="D1085" s="62" t="str">
        <f t="shared" si="17"/>
        <v>Kitura</v>
      </c>
      <c r="F1085" s="62">
        <v>729</v>
      </c>
    </row>
    <row r="1086" spans="1:6">
      <c r="A1086" s="62" t="s">
        <v>1925</v>
      </c>
      <c r="B1086" s="62" t="s">
        <v>1908</v>
      </c>
      <c r="C1086" s="62" t="s">
        <v>1909</v>
      </c>
      <c r="D1086" s="62" t="str">
        <f t="shared" si="17"/>
        <v>Nkungu</v>
      </c>
      <c r="F1086" s="62">
        <v>730</v>
      </c>
    </row>
    <row r="1087" spans="1:6">
      <c r="A1087" s="62" t="s">
        <v>1926</v>
      </c>
      <c r="B1087" s="62" t="s">
        <v>1908</v>
      </c>
      <c r="C1087" s="62" t="s">
        <v>1914</v>
      </c>
      <c r="D1087" s="62" t="str">
        <f t="shared" si="17"/>
        <v>Nyakashashara</v>
      </c>
      <c r="F1087" s="62">
        <v>731</v>
      </c>
    </row>
    <row r="1088" spans="1:6">
      <c r="A1088" s="62" t="s">
        <v>1927</v>
      </c>
      <c r="B1088" s="62" t="s">
        <v>1908</v>
      </c>
      <c r="C1088" s="62" t="s">
        <v>1909</v>
      </c>
      <c r="D1088" s="62" t="str">
        <f t="shared" si="17"/>
        <v>Rwemikoma</v>
      </c>
      <c r="F1088" s="62">
        <v>732</v>
      </c>
    </row>
    <row r="1089" spans="1:6">
      <c r="A1089" s="62" t="s">
        <v>1928</v>
      </c>
      <c r="B1089" s="62" t="s">
        <v>1908</v>
      </c>
      <c r="C1089" s="62" t="s">
        <v>1914</v>
      </c>
      <c r="D1089" s="62" t="str">
        <f t="shared" si="17"/>
        <v>Sanga</v>
      </c>
      <c r="F1089" s="62">
        <v>733</v>
      </c>
    </row>
    <row r="1090" spans="1:6">
      <c r="A1090" s="62" t="s">
        <v>1929</v>
      </c>
      <c r="B1090" s="62" t="s">
        <v>1908</v>
      </c>
      <c r="C1090" s="62" t="s">
        <v>1914</v>
      </c>
      <c r="D1090" s="62" t="str">
        <f t="shared" ref="D1090:D1153" si="18">A1090</f>
        <v>Sanga Town Council</v>
      </c>
      <c r="F1090" s="62">
        <v>734</v>
      </c>
    </row>
    <row r="1091" spans="1:6">
      <c r="A1091" s="62" t="s">
        <v>1930</v>
      </c>
      <c r="B1091" s="62" t="s">
        <v>1931</v>
      </c>
      <c r="C1091" s="62" t="s">
        <v>1932</v>
      </c>
      <c r="D1091" s="62" t="str">
        <f t="shared" si="18"/>
        <v>Bweyale Town Council</v>
      </c>
      <c r="F1091" s="62">
        <v>735</v>
      </c>
    </row>
    <row r="1092" spans="1:6">
      <c r="A1092" s="62" t="s">
        <v>1933</v>
      </c>
      <c r="B1092" s="62" t="s">
        <v>1931</v>
      </c>
      <c r="C1092" s="62" t="s">
        <v>1932</v>
      </c>
      <c r="D1092" s="62" t="str">
        <f t="shared" si="18"/>
        <v>Kigumba</v>
      </c>
      <c r="F1092" s="62">
        <v>736</v>
      </c>
    </row>
    <row r="1093" spans="1:6">
      <c r="A1093" s="62" t="s">
        <v>1934</v>
      </c>
      <c r="B1093" s="62" t="s">
        <v>1931</v>
      </c>
      <c r="C1093" s="62" t="s">
        <v>1932</v>
      </c>
      <c r="D1093" s="62" t="str">
        <f t="shared" si="18"/>
        <v>Kigumba Town Council</v>
      </c>
      <c r="F1093" s="62">
        <v>737</v>
      </c>
    </row>
    <row r="1094" spans="1:6">
      <c r="A1094" s="62" t="s">
        <v>1931</v>
      </c>
      <c r="B1094" s="62" t="s">
        <v>1931</v>
      </c>
      <c r="C1094" s="62" t="s">
        <v>1932</v>
      </c>
      <c r="D1094" s="62" t="str">
        <f t="shared" si="18"/>
        <v>Kiryandongo</v>
      </c>
      <c r="F1094" s="62">
        <v>738</v>
      </c>
    </row>
    <row r="1095" spans="1:6">
      <c r="A1095" s="62" t="s">
        <v>1935</v>
      </c>
      <c r="B1095" s="62" t="s">
        <v>1931</v>
      </c>
      <c r="C1095" s="62" t="s">
        <v>1932</v>
      </c>
      <c r="D1095" s="62" t="str">
        <f t="shared" si="18"/>
        <v>Kiryandongo Refugee Camp</v>
      </c>
      <c r="F1095" s="62">
        <v>739</v>
      </c>
    </row>
    <row r="1096" spans="1:6">
      <c r="A1096" s="62" t="s">
        <v>1936</v>
      </c>
      <c r="B1096" s="62" t="s">
        <v>1931</v>
      </c>
      <c r="C1096" s="62" t="s">
        <v>1932</v>
      </c>
      <c r="D1096" s="62" t="str">
        <f t="shared" si="18"/>
        <v>Kiryandongo Town Council</v>
      </c>
      <c r="F1096" s="62">
        <v>740</v>
      </c>
    </row>
    <row r="1097" spans="1:6">
      <c r="A1097" s="62" t="s">
        <v>1937</v>
      </c>
      <c r="D1097" s="62" t="str">
        <f t="shared" si="18"/>
        <v>KIRYANDO</v>
      </c>
      <c r="F1097" s="62">
        <v>740</v>
      </c>
    </row>
    <row r="1098" spans="1:6">
      <c r="A1098" s="62" t="s">
        <v>1938</v>
      </c>
      <c r="D1098" s="62" t="str">
        <f t="shared" si="18"/>
        <v>KIRINYABIGO</v>
      </c>
      <c r="F1098" s="62">
        <v>740</v>
      </c>
    </row>
    <row r="1099" spans="1:6">
      <c r="A1099" s="62" t="s">
        <v>1939</v>
      </c>
      <c r="D1099" s="62" t="str">
        <f t="shared" si="18"/>
        <v>KILYADONGO</v>
      </c>
      <c r="F1099" s="62">
        <v>740</v>
      </c>
    </row>
    <row r="1100" spans="1:6">
      <c r="A1100" s="62" t="s">
        <v>1940</v>
      </c>
      <c r="B1100" s="62" t="s">
        <v>1931</v>
      </c>
      <c r="C1100" s="62" t="s">
        <v>1932</v>
      </c>
      <c r="D1100" s="62" t="str">
        <f t="shared" si="18"/>
        <v>Masindi Port</v>
      </c>
      <c r="F1100" s="62">
        <v>741</v>
      </c>
    </row>
    <row r="1101" spans="1:6">
      <c r="A1101" s="62" t="s">
        <v>1941</v>
      </c>
      <c r="D1101" s="62" t="str">
        <f t="shared" si="18"/>
        <v>MASINDI</v>
      </c>
      <c r="F1101" s="62">
        <v>741</v>
      </c>
    </row>
    <row r="1102" spans="1:6">
      <c r="A1102" s="62" t="s">
        <v>1942</v>
      </c>
      <c r="B1102" s="62" t="s">
        <v>1931</v>
      </c>
      <c r="C1102" s="62" t="s">
        <v>1932</v>
      </c>
      <c r="D1102" s="62" t="str">
        <f t="shared" si="18"/>
        <v>Mutunda</v>
      </c>
      <c r="F1102" s="62">
        <v>742</v>
      </c>
    </row>
    <row r="1103" spans="1:6">
      <c r="A1103" s="62" t="s">
        <v>1943</v>
      </c>
      <c r="B1103" s="62" t="s">
        <v>1944</v>
      </c>
      <c r="C1103" s="62" t="s">
        <v>1945</v>
      </c>
      <c r="D1103" s="62" t="str">
        <f t="shared" si="18"/>
        <v>Bukimbiri</v>
      </c>
      <c r="F1103" s="62">
        <v>743</v>
      </c>
    </row>
    <row r="1104" spans="1:6">
      <c r="A1104" s="62" t="s">
        <v>1946</v>
      </c>
      <c r="B1104" s="62" t="s">
        <v>1944</v>
      </c>
      <c r="C1104" s="62" t="s">
        <v>1945</v>
      </c>
      <c r="D1104" s="62" t="str">
        <f t="shared" si="18"/>
        <v>Busanza</v>
      </c>
      <c r="F1104" s="62">
        <v>744</v>
      </c>
    </row>
    <row r="1105" spans="1:6">
      <c r="A1105" s="62" t="s">
        <v>1947</v>
      </c>
      <c r="B1105" s="62" t="s">
        <v>1944</v>
      </c>
      <c r="C1105" s="62" t="s">
        <v>1945</v>
      </c>
      <c r="D1105" s="62" t="str">
        <f t="shared" si="18"/>
        <v>Chahi</v>
      </c>
      <c r="F1105" s="62">
        <v>745</v>
      </c>
    </row>
    <row r="1106" spans="1:6">
      <c r="A1106" s="62" t="s">
        <v>1948</v>
      </c>
      <c r="B1106" s="62" t="s">
        <v>1944</v>
      </c>
      <c r="C1106" s="62" t="s">
        <v>1945</v>
      </c>
      <c r="D1106" s="62" t="str">
        <f t="shared" si="18"/>
        <v>Kanaba</v>
      </c>
      <c r="F1106" s="62">
        <v>746</v>
      </c>
    </row>
    <row r="1107" spans="1:6">
      <c r="A1107" s="62" t="s">
        <v>1949</v>
      </c>
      <c r="B1107" s="62" t="s">
        <v>1944</v>
      </c>
      <c r="C1107" s="62" t="s">
        <v>1945</v>
      </c>
      <c r="D1107" s="62" t="str">
        <f t="shared" si="18"/>
        <v>Kirundo</v>
      </c>
      <c r="F1107" s="62">
        <v>747</v>
      </c>
    </row>
    <row r="1108" spans="1:6">
      <c r="A1108" s="62" t="s">
        <v>1950</v>
      </c>
      <c r="B1108" s="62" t="s">
        <v>1944</v>
      </c>
      <c r="C1108" s="62" t="s">
        <v>1950</v>
      </c>
      <c r="D1108" s="62" t="str">
        <f t="shared" si="18"/>
        <v>Kisoro Municipality</v>
      </c>
      <c r="F1108" s="62">
        <v>748</v>
      </c>
    </row>
    <row r="1109" spans="1:6">
      <c r="A1109" s="62" t="s">
        <v>1944</v>
      </c>
      <c r="D1109" s="62" t="str">
        <f t="shared" si="18"/>
        <v>Kisoro</v>
      </c>
      <c r="F1109" s="62">
        <v>748</v>
      </c>
    </row>
    <row r="1110" spans="1:6">
      <c r="A1110" s="62" t="s">
        <v>1951</v>
      </c>
      <c r="B1110" s="62" t="s">
        <v>1944</v>
      </c>
      <c r="C1110" s="62" t="s">
        <v>1945</v>
      </c>
      <c r="D1110" s="62" t="str">
        <f t="shared" si="18"/>
        <v>Muramba</v>
      </c>
      <c r="F1110" s="62">
        <v>749</v>
      </c>
    </row>
    <row r="1111" spans="1:6">
      <c r="A1111" s="62" t="s">
        <v>1952</v>
      </c>
      <c r="B1111" s="62" t="s">
        <v>1944</v>
      </c>
      <c r="C1111" s="62" t="s">
        <v>1945</v>
      </c>
      <c r="D1111" s="62" t="str">
        <f t="shared" si="18"/>
        <v>Murora</v>
      </c>
      <c r="F1111" s="62">
        <v>750</v>
      </c>
    </row>
    <row r="1112" spans="1:6">
      <c r="A1112" s="62" t="s">
        <v>1953</v>
      </c>
      <c r="B1112" s="62" t="s">
        <v>1944</v>
      </c>
      <c r="C1112" s="62" t="s">
        <v>1945</v>
      </c>
      <c r="D1112" s="62" t="str">
        <f t="shared" si="18"/>
        <v>Nyabwishenya</v>
      </c>
      <c r="F1112" s="62">
        <v>751</v>
      </c>
    </row>
    <row r="1113" spans="1:6">
      <c r="A1113" s="62" t="s">
        <v>1954</v>
      </c>
      <c r="B1113" s="62" t="s">
        <v>1944</v>
      </c>
      <c r="C1113" s="62" t="s">
        <v>1945</v>
      </c>
      <c r="D1113" s="62" t="str">
        <f t="shared" si="18"/>
        <v>Nyakabande</v>
      </c>
      <c r="F1113" s="62">
        <v>752</v>
      </c>
    </row>
    <row r="1114" spans="1:6">
      <c r="A1114" s="62" t="s">
        <v>1955</v>
      </c>
      <c r="B1114" s="62" t="s">
        <v>1944</v>
      </c>
      <c r="C1114" s="62" t="s">
        <v>1945</v>
      </c>
      <c r="D1114" s="62" t="str">
        <f t="shared" si="18"/>
        <v>Nyakinama</v>
      </c>
      <c r="F1114" s="62">
        <v>753</v>
      </c>
    </row>
    <row r="1115" spans="1:6">
      <c r="A1115" s="62" t="s">
        <v>1956</v>
      </c>
      <c r="B1115" s="62" t="s">
        <v>1944</v>
      </c>
      <c r="C1115" s="62" t="s">
        <v>1945</v>
      </c>
      <c r="D1115" s="62" t="str">
        <f t="shared" si="18"/>
        <v>Nyarubuye</v>
      </c>
      <c r="F1115" s="62">
        <v>754</v>
      </c>
    </row>
    <row r="1116" spans="1:6">
      <c r="A1116" s="62" t="s">
        <v>1957</v>
      </c>
      <c r="B1116" s="62" t="s">
        <v>1944</v>
      </c>
      <c r="C1116" s="62" t="s">
        <v>1945</v>
      </c>
      <c r="D1116" s="62" t="str">
        <f t="shared" si="18"/>
        <v>Nyarusiza</v>
      </c>
      <c r="F1116" s="62">
        <v>755</v>
      </c>
    </row>
    <row r="1117" spans="1:6">
      <c r="A1117" s="62" t="s">
        <v>1958</v>
      </c>
      <c r="B1117" s="62" t="s">
        <v>1944</v>
      </c>
      <c r="C1117" s="62" t="s">
        <v>1945</v>
      </c>
      <c r="D1117" s="62" t="str">
        <f t="shared" si="18"/>
        <v>Nyundo</v>
      </c>
      <c r="F1117" s="62">
        <v>756</v>
      </c>
    </row>
    <row r="1118" spans="1:6">
      <c r="A1118" s="62" t="s">
        <v>1959</v>
      </c>
      <c r="B1118" s="62" t="s">
        <v>1944</v>
      </c>
      <c r="C1118" s="62" t="s">
        <v>1945</v>
      </c>
      <c r="D1118" s="62" t="str">
        <f t="shared" si="18"/>
        <v>Rubuguri Town Council</v>
      </c>
      <c r="F1118" s="62">
        <v>757</v>
      </c>
    </row>
    <row r="1119" spans="1:6">
      <c r="A1119" s="62" t="s">
        <v>1960</v>
      </c>
      <c r="B1119" s="62" t="s">
        <v>1961</v>
      </c>
      <c r="C1119" s="62" t="s">
        <v>1962</v>
      </c>
      <c r="D1119" s="62" t="str">
        <f t="shared" si="18"/>
        <v>Kitgum Matidi</v>
      </c>
      <c r="F1119" s="62">
        <v>758</v>
      </c>
    </row>
    <row r="1120" spans="1:6">
      <c r="A1120" s="62" t="s">
        <v>1963</v>
      </c>
      <c r="B1120" s="62" t="s">
        <v>1961</v>
      </c>
      <c r="C1120" s="62" t="s">
        <v>1963</v>
      </c>
      <c r="D1120" s="62" t="str">
        <f t="shared" si="18"/>
        <v>Kitgum Municipality</v>
      </c>
      <c r="F1120" s="62">
        <v>759</v>
      </c>
    </row>
    <row r="1121" spans="1:6">
      <c r="A1121" s="62" t="s">
        <v>1964</v>
      </c>
      <c r="D1121" s="62" t="str">
        <f t="shared" si="18"/>
        <v>KITGUM</v>
      </c>
      <c r="F1121" s="62">
        <v>759</v>
      </c>
    </row>
    <row r="1122" spans="1:6">
      <c r="A1122" s="62" t="s">
        <v>1965</v>
      </c>
      <c r="B1122" s="62" t="s">
        <v>1961</v>
      </c>
      <c r="C1122" s="62" t="s">
        <v>1962</v>
      </c>
      <c r="D1122" s="62" t="str">
        <f t="shared" si="18"/>
        <v>Labongo Akwang</v>
      </c>
      <c r="F1122" s="62">
        <v>760</v>
      </c>
    </row>
    <row r="1123" spans="1:6">
      <c r="A1123" s="62" t="s">
        <v>1966</v>
      </c>
      <c r="B1123" s="62" t="s">
        <v>1961</v>
      </c>
      <c r="C1123" s="62" t="s">
        <v>1962</v>
      </c>
      <c r="D1123" s="62" t="str">
        <f t="shared" si="18"/>
        <v>Labongo Amida</v>
      </c>
      <c r="F1123" s="62">
        <v>761</v>
      </c>
    </row>
    <row r="1124" spans="1:6">
      <c r="A1124" s="62" t="s">
        <v>1967</v>
      </c>
      <c r="B1124" s="62" t="s">
        <v>1961</v>
      </c>
      <c r="C1124" s="62" t="s">
        <v>1962</v>
      </c>
      <c r="D1124" s="62" t="str">
        <f t="shared" si="18"/>
        <v>Labongo Layamo</v>
      </c>
      <c r="F1124" s="62">
        <v>762</v>
      </c>
    </row>
    <row r="1125" spans="1:6">
      <c r="A1125" s="62" t="s">
        <v>1968</v>
      </c>
      <c r="B1125" s="62" t="s">
        <v>1961</v>
      </c>
      <c r="C1125" s="62" t="s">
        <v>1962</v>
      </c>
      <c r="D1125" s="62" t="str">
        <f t="shared" si="18"/>
        <v>Lagoro</v>
      </c>
      <c r="F1125" s="62">
        <v>763</v>
      </c>
    </row>
    <row r="1126" spans="1:6">
      <c r="A1126" s="62" t="s">
        <v>1969</v>
      </c>
      <c r="B1126" s="62" t="s">
        <v>1961</v>
      </c>
      <c r="C1126" s="62" t="s">
        <v>1962</v>
      </c>
      <c r="D1126" s="62" t="str">
        <f t="shared" si="18"/>
        <v>Mucwini</v>
      </c>
      <c r="F1126" s="62">
        <v>764</v>
      </c>
    </row>
    <row r="1127" spans="1:6">
      <c r="A1127" s="62" t="s">
        <v>1970</v>
      </c>
      <c r="B1127" s="62" t="s">
        <v>1961</v>
      </c>
      <c r="C1127" s="62" t="s">
        <v>1962</v>
      </c>
      <c r="D1127" s="62" t="str">
        <f t="shared" si="18"/>
        <v>Namokora</v>
      </c>
      <c r="F1127" s="62">
        <v>765</v>
      </c>
    </row>
    <row r="1128" spans="1:6">
      <c r="A1128" s="62" t="s">
        <v>1971</v>
      </c>
      <c r="B1128" s="62" t="s">
        <v>1961</v>
      </c>
      <c r="C1128" s="62" t="s">
        <v>1962</v>
      </c>
      <c r="D1128" s="62" t="str">
        <f t="shared" si="18"/>
        <v>Omiya Anyima</v>
      </c>
      <c r="F1128" s="62">
        <v>766</v>
      </c>
    </row>
    <row r="1129" spans="1:6">
      <c r="A1129" s="62" t="s">
        <v>1972</v>
      </c>
      <c r="B1129" s="62" t="s">
        <v>1961</v>
      </c>
      <c r="C1129" s="62" t="s">
        <v>1962</v>
      </c>
      <c r="D1129" s="62" t="str">
        <f t="shared" si="18"/>
        <v>Orom</v>
      </c>
      <c r="F1129" s="62">
        <v>767</v>
      </c>
    </row>
    <row r="1130" spans="1:6">
      <c r="A1130" s="62" t="s">
        <v>1973</v>
      </c>
      <c r="B1130" s="62" t="s">
        <v>1974</v>
      </c>
      <c r="C1130" s="62" t="s">
        <v>1974</v>
      </c>
      <c r="D1130" s="62" t="str">
        <f t="shared" si="18"/>
        <v>Abuku</v>
      </c>
      <c r="F1130" s="62">
        <v>768</v>
      </c>
    </row>
    <row r="1131" spans="1:6">
      <c r="A1131" s="62" t="s">
        <v>1975</v>
      </c>
      <c r="B1131" s="62" t="s">
        <v>1974</v>
      </c>
      <c r="C1131" s="62" t="s">
        <v>1974</v>
      </c>
      <c r="D1131" s="62" t="str">
        <f t="shared" si="18"/>
        <v>Dranya</v>
      </c>
      <c r="F1131" s="62">
        <v>769</v>
      </c>
    </row>
    <row r="1132" spans="1:6">
      <c r="A1132" s="62" t="s">
        <v>1976</v>
      </c>
      <c r="B1132" s="62" t="s">
        <v>1974</v>
      </c>
      <c r="C1132" s="62" t="s">
        <v>1976</v>
      </c>
      <c r="D1132" s="62" t="str">
        <f t="shared" si="18"/>
        <v>Koboko Municipality</v>
      </c>
      <c r="F1132" s="62">
        <v>770</v>
      </c>
    </row>
    <row r="1133" spans="1:6">
      <c r="A1133" s="62" t="s">
        <v>1977</v>
      </c>
      <c r="B1133" s="62" t="s">
        <v>1974</v>
      </c>
      <c r="C1133" s="62" t="s">
        <v>1974</v>
      </c>
      <c r="D1133" s="62" t="str">
        <f t="shared" si="18"/>
        <v>Kuluba</v>
      </c>
      <c r="F1133" s="62">
        <v>771</v>
      </c>
    </row>
    <row r="1134" spans="1:6">
      <c r="A1134" s="62" t="s">
        <v>1978</v>
      </c>
      <c r="B1134" s="62" t="s">
        <v>1974</v>
      </c>
      <c r="C1134" s="62" t="s">
        <v>1974</v>
      </c>
      <c r="D1134" s="62" t="str">
        <f t="shared" si="18"/>
        <v>Lobule</v>
      </c>
      <c r="F1134" s="62">
        <v>772</v>
      </c>
    </row>
    <row r="1135" spans="1:6">
      <c r="A1135" s="62" t="s">
        <v>1979</v>
      </c>
      <c r="B1135" s="62" t="s">
        <v>1974</v>
      </c>
      <c r="C1135" s="62" t="s">
        <v>1974</v>
      </c>
      <c r="D1135" s="62" t="str">
        <f t="shared" si="18"/>
        <v>Ludara</v>
      </c>
      <c r="F1135" s="62">
        <v>773</v>
      </c>
    </row>
    <row r="1136" spans="1:6">
      <c r="A1136" s="62" t="s">
        <v>1980</v>
      </c>
      <c r="B1136" s="62" t="s">
        <v>1974</v>
      </c>
      <c r="C1136" s="62" t="s">
        <v>1974</v>
      </c>
      <c r="D1136" s="62" t="str">
        <f t="shared" si="18"/>
        <v>Midia</v>
      </c>
      <c r="F1136" s="62">
        <v>774</v>
      </c>
    </row>
    <row r="1137" spans="1:6">
      <c r="A1137" s="62" t="s">
        <v>1981</v>
      </c>
      <c r="B1137" s="62" t="s">
        <v>1982</v>
      </c>
      <c r="C1137" s="62" t="s">
        <v>1982</v>
      </c>
      <c r="D1137" s="62" t="str">
        <f t="shared" si="18"/>
        <v>Aboke</v>
      </c>
      <c r="F1137" s="62">
        <v>775</v>
      </c>
    </row>
    <row r="1138" spans="1:6">
      <c r="A1138" s="62" t="s">
        <v>1983</v>
      </c>
      <c r="B1138" s="62" t="s">
        <v>1982</v>
      </c>
      <c r="C1138" s="62" t="s">
        <v>1982</v>
      </c>
      <c r="D1138" s="62" t="str">
        <f t="shared" si="18"/>
        <v>Akalo</v>
      </c>
      <c r="F1138" s="62">
        <v>776</v>
      </c>
    </row>
    <row r="1139" spans="1:6">
      <c r="A1139" s="62" t="s">
        <v>1984</v>
      </c>
      <c r="B1139" s="62" t="s">
        <v>1982</v>
      </c>
      <c r="C1139" s="62" t="s">
        <v>1982</v>
      </c>
      <c r="D1139" s="62" t="str">
        <f t="shared" si="18"/>
        <v>Alito</v>
      </c>
      <c r="F1139" s="62">
        <v>777</v>
      </c>
    </row>
    <row r="1140" spans="1:6">
      <c r="A1140" s="62" t="s">
        <v>1985</v>
      </c>
      <c r="B1140" s="62" t="s">
        <v>1982</v>
      </c>
      <c r="C1140" s="62" t="s">
        <v>1982</v>
      </c>
      <c r="D1140" s="62" t="str">
        <f t="shared" si="18"/>
        <v>Ayer</v>
      </c>
      <c r="F1140" s="62">
        <v>778</v>
      </c>
    </row>
    <row r="1141" spans="1:6">
      <c r="A1141" s="62" t="s">
        <v>1986</v>
      </c>
      <c r="B1141" s="62" t="s">
        <v>1982</v>
      </c>
      <c r="C1141" s="62" t="s">
        <v>1982</v>
      </c>
      <c r="D1141" s="62" t="str">
        <f t="shared" si="18"/>
        <v>Bala</v>
      </c>
      <c r="F1141" s="62">
        <v>779</v>
      </c>
    </row>
    <row r="1142" spans="1:6">
      <c r="A1142" s="62" t="s">
        <v>1987</v>
      </c>
      <c r="B1142" s="62" t="s">
        <v>1982</v>
      </c>
      <c r="C1142" s="62" t="s">
        <v>1982</v>
      </c>
      <c r="D1142" s="62" t="str">
        <f t="shared" si="18"/>
        <v>Kole Town Council</v>
      </c>
      <c r="F1142" s="62">
        <v>780</v>
      </c>
    </row>
    <row r="1143" spans="1:6">
      <c r="A1143" s="62" t="s">
        <v>1988</v>
      </c>
      <c r="B1143" s="62" t="s">
        <v>1982</v>
      </c>
      <c r="C1143" s="62" t="s">
        <v>1982</v>
      </c>
      <c r="D1143" s="62" t="str">
        <f t="shared" si="18"/>
        <v>Okwerodot</v>
      </c>
      <c r="F1143" s="62">
        <v>781</v>
      </c>
    </row>
    <row r="1144" spans="1:6">
      <c r="A1144" s="62" t="s">
        <v>1989</v>
      </c>
      <c r="B1144" s="62" t="s">
        <v>1990</v>
      </c>
      <c r="C1144" s="62" t="s">
        <v>1991</v>
      </c>
      <c r="D1144" s="62" t="str">
        <f t="shared" si="18"/>
        <v>Kacheri</v>
      </c>
      <c r="F1144" s="62">
        <v>782</v>
      </c>
    </row>
    <row r="1145" spans="1:6">
      <c r="A1145" s="62" t="s">
        <v>1990</v>
      </c>
      <c r="B1145" s="62" t="s">
        <v>1990</v>
      </c>
      <c r="C1145" s="62" t="s">
        <v>1991</v>
      </c>
      <c r="D1145" s="62" t="str">
        <f t="shared" si="18"/>
        <v>Kotido</v>
      </c>
      <c r="F1145" s="62">
        <v>783</v>
      </c>
    </row>
    <row r="1146" spans="1:6">
      <c r="A1146" s="62" t="s">
        <v>1992</v>
      </c>
      <c r="B1146" s="62" t="s">
        <v>1990</v>
      </c>
      <c r="C1146" s="62" t="s">
        <v>1992</v>
      </c>
      <c r="D1146" s="62" t="str">
        <f t="shared" si="18"/>
        <v>Kotido Municipality</v>
      </c>
      <c r="F1146" s="62">
        <v>784</v>
      </c>
    </row>
    <row r="1147" spans="1:6">
      <c r="A1147" s="62" t="s">
        <v>1993</v>
      </c>
      <c r="B1147" s="62" t="s">
        <v>1990</v>
      </c>
      <c r="C1147" s="62" t="s">
        <v>1991</v>
      </c>
      <c r="D1147" s="62" t="str">
        <f t="shared" si="18"/>
        <v>Nakapelimoru</v>
      </c>
      <c r="F1147" s="62">
        <v>785</v>
      </c>
    </row>
    <row r="1148" spans="1:6">
      <c r="A1148" s="62" t="s">
        <v>1994</v>
      </c>
      <c r="B1148" s="62" t="s">
        <v>1990</v>
      </c>
      <c r="C1148" s="62" t="s">
        <v>1991</v>
      </c>
      <c r="D1148" s="62" t="str">
        <f t="shared" si="18"/>
        <v>Panyangara</v>
      </c>
      <c r="F1148" s="62">
        <v>786</v>
      </c>
    </row>
    <row r="1149" spans="1:6">
      <c r="A1149" s="62" t="s">
        <v>1995</v>
      </c>
      <c r="B1149" s="62" t="s">
        <v>1990</v>
      </c>
      <c r="C1149" s="62" t="s">
        <v>1991</v>
      </c>
      <c r="D1149" s="62" t="str">
        <f t="shared" si="18"/>
        <v>Rengen</v>
      </c>
      <c r="F1149" s="62">
        <v>787</v>
      </c>
    </row>
    <row r="1150" spans="1:6">
      <c r="A1150" s="62" t="s">
        <v>1996</v>
      </c>
      <c r="B1150" s="62" t="s">
        <v>1997</v>
      </c>
      <c r="C1150" s="62" t="s">
        <v>1997</v>
      </c>
      <c r="D1150" s="62" t="str">
        <f t="shared" si="18"/>
        <v>Atutur</v>
      </c>
      <c r="F1150" s="62">
        <v>788</v>
      </c>
    </row>
    <row r="1151" spans="1:6">
      <c r="A1151" s="62" t="s">
        <v>1998</v>
      </c>
      <c r="B1151" s="62" t="s">
        <v>1997</v>
      </c>
      <c r="C1151" s="62" t="s">
        <v>1997</v>
      </c>
      <c r="D1151" s="62" t="str">
        <f t="shared" si="18"/>
        <v>Kanyum</v>
      </c>
      <c r="F1151" s="62">
        <v>789</v>
      </c>
    </row>
    <row r="1152" spans="1:6">
      <c r="A1152" s="62" t="s">
        <v>1997</v>
      </c>
      <c r="B1152" s="62" t="s">
        <v>1997</v>
      </c>
      <c r="C1152" s="62" t="s">
        <v>1997</v>
      </c>
      <c r="D1152" s="62" t="str">
        <f t="shared" si="18"/>
        <v>Kumi</v>
      </c>
      <c r="F1152" s="62">
        <v>790</v>
      </c>
    </row>
    <row r="1153" spans="1:6">
      <c r="A1153" s="62" t="s">
        <v>1999</v>
      </c>
      <c r="B1153" s="62" t="s">
        <v>1997</v>
      </c>
      <c r="C1153" s="62" t="s">
        <v>1999</v>
      </c>
      <c r="D1153" s="62" t="str">
        <f t="shared" si="18"/>
        <v>Kumi Municipality</v>
      </c>
      <c r="F1153" s="62">
        <v>791</v>
      </c>
    </row>
    <row r="1154" spans="1:6">
      <c r="A1154" s="62" t="s">
        <v>2000</v>
      </c>
      <c r="B1154" s="62" t="s">
        <v>1997</v>
      </c>
      <c r="C1154" s="62" t="s">
        <v>1997</v>
      </c>
      <c r="D1154" s="62" t="str">
        <f t="shared" ref="D1154:D1217" si="19">A1154</f>
        <v>Mukongoro</v>
      </c>
      <c r="F1154" s="62">
        <v>792</v>
      </c>
    </row>
    <row r="1155" spans="1:6">
      <c r="A1155" s="62" t="s">
        <v>2001</v>
      </c>
      <c r="B1155" s="62" t="s">
        <v>1997</v>
      </c>
      <c r="C1155" s="62" t="s">
        <v>1997</v>
      </c>
      <c r="D1155" s="62" t="str">
        <f t="shared" si="19"/>
        <v>Nyero</v>
      </c>
      <c r="F1155" s="62">
        <v>793</v>
      </c>
    </row>
    <row r="1156" spans="1:6">
      <c r="A1156" s="62" t="s">
        <v>2002</v>
      </c>
      <c r="B1156" s="62" t="s">
        <v>1997</v>
      </c>
      <c r="C1156" s="62" t="s">
        <v>1997</v>
      </c>
      <c r="D1156" s="62" t="str">
        <f t="shared" si="19"/>
        <v>Ongino</v>
      </c>
      <c r="F1156" s="62">
        <v>794</v>
      </c>
    </row>
    <row r="1157" spans="1:6">
      <c r="A1157" s="62" t="s">
        <v>2003</v>
      </c>
      <c r="B1157" s="62" t="s">
        <v>2004</v>
      </c>
      <c r="C1157" s="62" t="s">
        <v>2004</v>
      </c>
      <c r="D1157" s="62" t="str">
        <f t="shared" si="19"/>
        <v>Benet</v>
      </c>
      <c r="F1157" s="62">
        <v>795</v>
      </c>
    </row>
    <row r="1158" spans="1:6">
      <c r="A1158" s="62" t="s">
        <v>2005</v>
      </c>
      <c r="B1158" s="62" t="s">
        <v>2004</v>
      </c>
      <c r="C1158" s="62" t="s">
        <v>2004</v>
      </c>
      <c r="D1158" s="62" t="str">
        <f t="shared" si="19"/>
        <v>Binyiny</v>
      </c>
      <c r="F1158" s="62">
        <v>796</v>
      </c>
    </row>
    <row r="1159" spans="1:6">
      <c r="A1159" s="62" t="s">
        <v>2006</v>
      </c>
      <c r="B1159" s="62" t="s">
        <v>2004</v>
      </c>
      <c r="C1159" s="62" t="s">
        <v>2004</v>
      </c>
      <c r="D1159" s="62" t="str">
        <f t="shared" si="19"/>
        <v>Binyiny Town Council</v>
      </c>
      <c r="F1159" s="62">
        <v>797</v>
      </c>
    </row>
    <row r="1160" spans="1:6">
      <c r="A1160" s="62" t="s">
        <v>2007</v>
      </c>
      <c r="B1160" s="62" t="s">
        <v>2004</v>
      </c>
      <c r="C1160" s="62" t="s">
        <v>2004</v>
      </c>
      <c r="D1160" s="62" t="str">
        <f t="shared" si="19"/>
        <v>Kaproron</v>
      </c>
      <c r="F1160" s="62">
        <v>798</v>
      </c>
    </row>
    <row r="1161" spans="1:6">
      <c r="A1161" s="62" t="s">
        <v>2008</v>
      </c>
      <c r="B1161" s="62" t="s">
        <v>2004</v>
      </c>
      <c r="C1161" s="62" t="s">
        <v>2004</v>
      </c>
      <c r="D1161" s="62" t="str">
        <f t="shared" si="19"/>
        <v>Kaptoyoy</v>
      </c>
      <c r="F1161" s="62">
        <v>799</v>
      </c>
    </row>
    <row r="1162" spans="1:6">
      <c r="A1162" s="62" t="s">
        <v>2009</v>
      </c>
      <c r="B1162" s="62" t="s">
        <v>2004</v>
      </c>
      <c r="C1162" s="62" t="s">
        <v>2004</v>
      </c>
      <c r="D1162" s="62" t="str">
        <f t="shared" si="19"/>
        <v>Kaptum</v>
      </c>
      <c r="F1162" s="62">
        <v>800</v>
      </c>
    </row>
    <row r="1163" spans="1:6">
      <c r="A1163" s="62" t="s">
        <v>2010</v>
      </c>
      <c r="B1163" s="62" t="s">
        <v>2004</v>
      </c>
      <c r="C1163" s="62" t="s">
        <v>2004</v>
      </c>
      <c r="D1163" s="62" t="str">
        <f t="shared" si="19"/>
        <v>Kiriki</v>
      </c>
      <c r="F1163" s="62">
        <v>801</v>
      </c>
    </row>
    <row r="1164" spans="1:6">
      <c r="A1164" s="62" t="s">
        <v>2011</v>
      </c>
      <c r="B1164" s="62" t="s">
        <v>2004</v>
      </c>
      <c r="C1164" s="62" t="s">
        <v>2004</v>
      </c>
      <c r="D1164" s="62" t="str">
        <f t="shared" si="19"/>
        <v>Kitawoi</v>
      </c>
      <c r="F1164" s="62">
        <v>802</v>
      </c>
    </row>
    <row r="1165" spans="1:6">
      <c r="A1165" s="62" t="s">
        <v>2012</v>
      </c>
      <c r="B1165" s="62" t="s">
        <v>2004</v>
      </c>
      <c r="C1165" s="62" t="s">
        <v>2004</v>
      </c>
      <c r="D1165" s="62" t="str">
        <f t="shared" si="19"/>
        <v>Kwanyiy</v>
      </c>
      <c r="F1165" s="62">
        <v>803</v>
      </c>
    </row>
    <row r="1166" spans="1:6">
      <c r="A1166" s="62" t="s">
        <v>2013</v>
      </c>
      <c r="B1166" s="62" t="s">
        <v>2004</v>
      </c>
      <c r="C1166" s="62" t="s">
        <v>2004</v>
      </c>
      <c r="D1166" s="62" t="str">
        <f t="shared" si="19"/>
        <v>Kwosir</v>
      </c>
      <c r="F1166" s="62">
        <v>804</v>
      </c>
    </row>
    <row r="1167" spans="1:6">
      <c r="A1167" s="62" t="s">
        <v>2014</v>
      </c>
      <c r="B1167" s="62" t="s">
        <v>2004</v>
      </c>
      <c r="C1167" s="62" t="s">
        <v>2004</v>
      </c>
      <c r="D1167" s="62" t="str">
        <f t="shared" si="19"/>
        <v>Moyok</v>
      </c>
      <c r="F1167" s="62">
        <v>805</v>
      </c>
    </row>
    <row r="1168" spans="1:6">
      <c r="A1168" s="62" t="s">
        <v>2015</v>
      </c>
      <c r="B1168" s="62" t="s">
        <v>2004</v>
      </c>
      <c r="C1168" s="62" t="s">
        <v>2004</v>
      </c>
      <c r="D1168" s="62" t="str">
        <f t="shared" si="19"/>
        <v>Ngenge</v>
      </c>
      <c r="F1168" s="62">
        <v>806</v>
      </c>
    </row>
    <row r="1169" spans="1:6">
      <c r="A1169" s="62" t="s">
        <v>2016</v>
      </c>
      <c r="B1169" s="62" t="s">
        <v>2017</v>
      </c>
      <c r="C1169" s="62" t="s">
        <v>1888</v>
      </c>
      <c r="D1169" s="62" t="str">
        <f t="shared" si="19"/>
        <v>Bananywa</v>
      </c>
      <c r="F1169" s="62">
        <v>807</v>
      </c>
    </row>
    <row r="1170" spans="1:6">
      <c r="A1170" s="62" t="s">
        <v>2018</v>
      </c>
      <c r="B1170" s="62" t="s">
        <v>2017</v>
      </c>
      <c r="C1170" s="62" t="s">
        <v>1888</v>
      </c>
      <c r="D1170" s="62" t="str">
        <f t="shared" si="19"/>
        <v>Butemba</v>
      </c>
      <c r="F1170" s="62">
        <v>808</v>
      </c>
    </row>
    <row r="1171" spans="1:6">
      <c r="A1171" s="62" t="s">
        <v>2019</v>
      </c>
      <c r="B1171" s="62" t="s">
        <v>2017</v>
      </c>
      <c r="C1171" s="62" t="s">
        <v>1888</v>
      </c>
      <c r="D1171" s="62" t="str">
        <f t="shared" si="19"/>
        <v>Butemba Town Council</v>
      </c>
      <c r="F1171" s="62">
        <v>809</v>
      </c>
    </row>
    <row r="1172" spans="1:6">
      <c r="A1172" s="62" t="s">
        <v>2020</v>
      </c>
      <c r="B1172" s="62" t="s">
        <v>2017</v>
      </c>
      <c r="C1172" s="62" t="s">
        <v>1888</v>
      </c>
      <c r="D1172" s="62" t="str">
        <f t="shared" si="19"/>
        <v>Byerima</v>
      </c>
      <c r="F1172" s="62">
        <v>810</v>
      </c>
    </row>
    <row r="1173" spans="1:6">
      <c r="A1173" s="62" t="s">
        <v>2021</v>
      </c>
      <c r="B1173" s="62" t="s">
        <v>2017</v>
      </c>
      <c r="C1173" s="62" t="s">
        <v>1888</v>
      </c>
      <c r="D1173" s="62" t="str">
        <f t="shared" si="19"/>
        <v>Gayaza</v>
      </c>
      <c r="F1173" s="62">
        <v>811</v>
      </c>
    </row>
    <row r="1174" spans="1:6">
      <c r="A1174" s="62" t="s">
        <v>2022</v>
      </c>
      <c r="D1174" s="62" t="str">
        <f t="shared" si="19"/>
        <v>KUMBUZI</v>
      </c>
      <c r="F1174" s="62">
        <v>811</v>
      </c>
    </row>
    <row r="1175" spans="1:6">
      <c r="A1175" s="62" t="s">
        <v>2023</v>
      </c>
      <c r="D1175" s="62" t="str">
        <f t="shared" si="19"/>
        <v>Kobil Gayaza Road</v>
      </c>
      <c r="F1175" s="62">
        <v>811</v>
      </c>
    </row>
    <row r="1176" spans="1:6">
      <c r="A1176" s="62" t="s">
        <v>2024</v>
      </c>
      <c r="D1176" s="62" t="str">
        <f t="shared" si="19"/>
        <v>MUKITI GAYAZA ROAD</v>
      </c>
      <c r="F1176" s="62">
        <v>811</v>
      </c>
    </row>
    <row r="1177" spans="1:6">
      <c r="A1177" s="62" t="s">
        <v>186</v>
      </c>
      <c r="D1177" s="62" t="str">
        <f t="shared" si="19"/>
        <v>GAYAZA ROAD</v>
      </c>
      <c r="F1177" s="62">
        <v>811</v>
      </c>
    </row>
    <row r="1178" spans="1:6">
      <c r="A1178" s="62" t="s">
        <v>2025</v>
      </c>
      <c r="D1178" s="62" t="str">
        <f t="shared" si="19"/>
        <v>Manyangwa</v>
      </c>
      <c r="F1178" s="62">
        <v>811</v>
      </c>
    </row>
    <row r="1179" spans="1:6">
      <c r="A1179" s="62" t="s">
        <v>2026</v>
      </c>
      <c r="D1179" s="62" t="str">
        <f t="shared" si="19"/>
        <v>MAYAGWA</v>
      </c>
      <c r="F1179" s="62">
        <v>811</v>
      </c>
    </row>
    <row r="1180" spans="1:6">
      <c r="A1180" s="62" t="s">
        <v>2027</v>
      </c>
      <c r="D1180" s="62" t="str">
        <f t="shared" si="19"/>
        <v>MAYANGWA</v>
      </c>
      <c r="F1180" s="62">
        <v>811</v>
      </c>
    </row>
    <row r="1181" spans="1:6">
      <c r="A1181" s="62" t="s">
        <v>2028</v>
      </c>
      <c r="D1181" s="62" t="str">
        <f t="shared" si="19"/>
        <v>MANYANGWA GAYAZA</v>
      </c>
      <c r="F1181" s="62">
        <v>811</v>
      </c>
    </row>
    <row r="1182" spans="1:6">
      <c r="A1182" s="62" t="s">
        <v>2029</v>
      </c>
      <c r="D1182" s="62" t="str">
        <f t="shared" si="19"/>
        <v>Busika</v>
      </c>
      <c r="F1182" s="62">
        <v>811</v>
      </c>
    </row>
    <row r="1183" spans="1:6">
      <c r="A1183" s="62" t="s">
        <v>2030</v>
      </c>
      <c r="D1183" s="62" t="str">
        <f t="shared" si="19"/>
        <v>Busiika</v>
      </c>
      <c r="F1183" s="62">
        <v>811</v>
      </c>
    </row>
    <row r="1184" spans="1:6">
      <c r="A1184" s="62" t="s">
        <v>2031</v>
      </c>
      <c r="D1184" s="62" t="str">
        <f t="shared" si="19"/>
        <v>Lusanja</v>
      </c>
      <c r="F1184" s="62">
        <v>811</v>
      </c>
    </row>
    <row r="1185" spans="1:6">
      <c r="A1185" s="62" t="s">
        <v>2032</v>
      </c>
      <c r="D1185" s="62" t="str">
        <f t="shared" si="19"/>
        <v>LUSAJA</v>
      </c>
      <c r="F1185" s="62">
        <v>811</v>
      </c>
    </row>
    <row r="1186" spans="1:6">
      <c r="A1186" s="62" t="s">
        <v>2033</v>
      </c>
      <c r="D1186" s="62" t="str">
        <f t="shared" si="19"/>
        <v>Lusanje</v>
      </c>
      <c r="F1186" s="62">
        <v>811</v>
      </c>
    </row>
    <row r="1187" spans="1:6">
      <c r="A1187" s="62" t="s">
        <v>2034</v>
      </c>
      <c r="D1187" s="62" t="str">
        <f t="shared" si="19"/>
        <v>MAGERE</v>
      </c>
      <c r="F1187" s="62">
        <v>811</v>
      </c>
    </row>
    <row r="1188" spans="1:6">
      <c r="A1188" s="62" t="s">
        <v>2035</v>
      </c>
      <c r="D1188" s="62" t="str">
        <f t="shared" si="19"/>
        <v>KIWENDA</v>
      </c>
      <c r="F1188" s="62">
        <v>811</v>
      </c>
    </row>
    <row r="1189" spans="1:6">
      <c r="A1189" s="62" t="s">
        <v>2036</v>
      </c>
      <c r="D1189" s="62" t="str">
        <f t="shared" si="19"/>
        <v>MAGEJE GAYAZA</v>
      </c>
      <c r="F1189" s="62">
        <v>811</v>
      </c>
    </row>
    <row r="1190" spans="1:6">
      <c r="A1190" s="62" t="s">
        <v>2017</v>
      </c>
      <c r="B1190" s="62" t="s">
        <v>2017</v>
      </c>
      <c r="C1190" s="62" t="s">
        <v>1888</v>
      </c>
      <c r="D1190" s="62" t="str">
        <f t="shared" si="19"/>
        <v>Kyankwanzi</v>
      </c>
      <c r="F1190" s="62">
        <v>812</v>
      </c>
    </row>
    <row r="1191" spans="1:6">
      <c r="A1191" s="62" t="s">
        <v>2037</v>
      </c>
      <c r="B1191" s="62" t="s">
        <v>2017</v>
      </c>
      <c r="C1191" s="62" t="s">
        <v>1888</v>
      </c>
      <c r="D1191" s="62" t="str">
        <f t="shared" si="19"/>
        <v>Kyankwanzi Town Council</v>
      </c>
      <c r="F1191" s="62">
        <v>813</v>
      </c>
    </row>
    <row r="1192" spans="1:6">
      <c r="A1192" s="62" t="s">
        <v>2038</v>
      </c>
      <c r="B1192" s="62" t="s">
        <v>2017</v>
      </c>
      <c r="C1192" s="62" t="s">
        <v>1888</v>
      </c>
      <c r="D1192" s="62" t="str">
        <f t="shared" si="19"/>
        <v>Mulagi</v>
      </c>
      <c r="F1192" s="62">
        <v>814</v>
      </c>
    </row>
    <row r="1193" spans="1:6">
      <c r="A1193" s="62" t="s">
        <v>2039</v>
      </c>
      <c r="B1193" s="62" t="s">
        <v>2017</v>
      </c>
      <c r="C1193" s="62" t="s">
        <v>1888</v>
      </c>
      <c r="D1193" s="62" t="str">
        <f t="shared" si="19"/>
        <v>Nkandwa</v>
      </c>
      <c r="F1193" s="62">
        <v>815</v>
      </c>
    </row>
    <row r="1194" spans="1:6">
      <c r="A1194" s="62" t="s">
        <v>1721</v>
      </c>
      <c r="B1194" s="62" t="s">
        <v>2017</v>
      </c>
      <c r="C1194" s="62" t="s">
        <v>1888</v>
      </c>
      <c r="D1194" s="62" t="str">
        <f t="shared" si="19"/>
        <v>Nsambya</v>
      </c>
      <c r="F1194" s="62">
        <v>816</v>
      </c>
    </row>
    <row r="1195" spans="1:6">
      <c r="A1195" s="62" t="s">
        <v>2040</v>
      </c>
      <c r="B1195" s="62" t="s">
        <v>2017</v>
      </c>
      <c r="C1195" s="62" t="s">
        <v>1888</v>
      </c>
      <c r="D1195" s="62" t="str">
        <f t="shared" si="19"/>
        <v>Ntwetwe</v>
      </c>
      <c r="F1195" s="62">
        <v>817</v>
      </c>
    </row>
    <row r="1196" spans="1:6">
      <c r="A1196" s="62" t="s">
        <v>2041</v>
      </c>
      <c r="B1196" s="62" t="s">
        <v>2017</v>
      </c>
      <c r="C1196" s="62" t="s">
        <v>1888</v>
      </c>
      <c r="D1196" s="62" t="str">
        <f t="shared" si="19"/>
        <v>Ntwetwe Town Council</v>
      </c>
      <c r="F1196" s="62">
        <v>818</v>
      </c>
    </row>
    <row r="1197" spans="1:6">
      <c r="A1197" s="62" t="s">
        <v>2042</v>
      </c>
      <c r="B1197" s="62" t="s">
        <v>2017</v>
      </c>
      <c r="C1197" s="62" t="s">
        <v>1888</v>
      </c>
      <c r="D1197" s="62" t="str">
        <f t="shared" si="19"/>
        <v>Wattuba</v>
      </c>
      <c r="F1197" s="62">
        <v>819</v>
      </c>
    </row>
    <row r="1198" spans="1:6">
      <c r="A1198" s="62" t="s">
        <v>2043</v>
      </c>
      <c r="B1198" s="62" t="s">
        <v>2044</v>
      </c>
      <c r="C1198" s="62" t="s">
        <v>2045</v>
      </c>
      <c r="D1198" s="62" t="str">
        <f t="shared" si="19"/>
        <v>Hapuuyo</v>
      </c>
      <c r="F1198" s="62">
        <v>820</v>
      </c>
    </row>
    <row r="1199" spans="1:6">
      <c r="A1199" s="62" t="s">
        <v>2046</v>
      </c>
      <c r="B1199" s="62" t="s">
        <v>2044</v>
      </c>
      <c r="C1199" s="62" t="s">
        <v>2045</v>
      </c>
      <c r="D1199" s="62" t="str">
        <f t="shared" si="19"/>
        <v>Kabweza Kyegegwa</v>
      </c>
      <c r="F1199" s="62">
        <v>821</v>
      </c>
    </row>
    <row r="1200" spans="1:6">
      <c r="A1200" s="62" t="s">
        <v>2047</v>
      </c>
      <c r="B1200" s="62" t="s">
        <v>2044</v>
      </c>
      <c r="C1200" s="62" t="s">
        <v>2045</v>
      </c>
      <c r="D1200" s="62" t="str">
        <f t="shared" si="19"/>
        <v>Kakabara</v>
      </c>
      <c r="F1200" s="62">
        <v>822</v>
      </c>
    </row>
    <row r="1201" spans="1:6">
      <c r="A1201" s="62" t="s">
        <v>2048</v>
      </c>
      <c r="B1201" s="62" t="s">
        <v>2044</v>
      </c>
      <c r="C1201" s="62" t="s">
        <v>2045</v>
      </c>
      <c r="D1201" s="62" t="str">
        <f t="shared" si="19"/>
        <v>Kasule</v>
      </c>
      <c r="F1201" s="62">
        <v>823</v>
      </c>
    </row>
    <row r="1202" spans="1:6">
      <c r="A1202" s="62" t="s">
        <v>2049</v>
      </c>
      <c r="B1202" s="62" t="s">
        <v>2044</v>
      </c>
      <c r="C1202" s="62" t="s">
        <v>2045</v>
      </c>
      <c r="D1202" s="62" t="str">
        <f t="shared" si="19"/>
        <v>Kyaka Ii Refugee Camp</v>
      </c>
      <c r="F1202" s="62">
        <v>824</v>
      </c>
    </row>
    <row r="1203" spans="1:6">
      <c r="A1203" s="62" t="s">
        <v>2050</v>
      </c>
      <c r="B1203" s="62" t="s">
        <v>2044</v>
      </c>
      <c r="C1203" s="62" t="s">
        <v>2045</v>
      </c>
      <c r="D1203" s="62" t="str">
        <f t="shared" si="19"/>
        <v>Kyegegwa Town Council</v>
      </c>
      <c r="F1203" s="62">
        <v>825</v>
      </c>
    </row>
    <row r="1204" spans="1:6">
      <c r="A1204" s="62" t="s">
        <v>2051</v>
      </c>
      <c r="D1204" s="62" t="str">
        <f t="shared" si="19"/>
        <v>KYEGEGWA</v>
      </c>
      <c r="F1204" s="62">
        <v>825</v>
      </c>
    </row>
    <row r="1205" spans="1:6">
      <c r="A1205" s="62" t="s">
        <v>2052</v>
      </c>
      <c r="B1205" s="62" t="s">
        <v>2044</v>
      </c>
      <c r="C1205" s="62" t="s">
        <v>2045</v>
      </c>
      <c r="D1205" s="62" t="str">
        <f t="shared" si="19"/>
        <v>Mpara</v>
      </c>
      <c r="F1205" s="62">
        <v>826</v>
      </c>
    </row>
    <row r="1206" spans="1:6">
      <c r="A1206" s="62" t="s">
        <v>2053</v>
      </c>
      <c r="B1206" s="62" t="s">
        <v>2044</v>
      </c>
      <c r="C1206" s="62" t="s">
        <v>2045</v>
      </c>
      <c r="D1206" s="62" t="str">
        <f t="shared" si="19"/>
        <v>Ruyonza</v>
      </c>
      <c r="F1206" s="62">
        <v>827</v>
      </c>
    </row>
    <row r="1207" spans="1:6">
      <c r="A1207" s="62" t="s">
        <v>2054</v>
      </c>
      <c r="B1207" s="62" t="s">
        <v>2044</v>
      </c>
      <c r="C1207" s="62" t="s">
        <v>2045</v>
      </c>
      <c r="D1207" s="62" t="str">
        <f t="shared" si="19"/>
        <v>Rwentuha</v>
      </c>
      <c r="F1207" s="62">
        <v>828</v>
      </c>
    </row>
    <row r="1208" spans="1:6">
      <c r="A1208" s="62" t="s">
        <v>2055</v>
      </c>
      <c r="B1208" s="62" t="s">
        <v>2056</v>
      </c>
      <c r="C1208" s="62" t="s">
        <v>2057</v>
      </c>
      <c r="D1208" s="62" t="str">
        <f t="shared" si="19"/>
        <v>Bufunjo</v>
      </c>
      <c r="F1208" s="62">
        <v>829</v>
      </c>
    </row>
    <row r="1209" spans="1:6">
      <c r="A1209" s="62" t="s">
        <v>2058</v>
      </c>
      <c r="B1209" s="62" t="s">
        <v>2056</v>
      </c>
      <c r="C1209" s="62" t="s">
        <v>2057</v>
      </c>
      <c r="D1209" s="62" t="str">
        <f t="shared" si="19"/>
        <v>Bugaaki</v>
      </c>
      <c r="F1209" s="62">
        <v>830</v>
      </c>
    </row>
    <row r="1210" spans="1:6">
      <c r="A1210" s="62" t="s">
        <v>2059</v>
      </c>
      <c r="B1210" s="62" t="s">
        <v>2056</v>
      </c>
      <c r="C1210" s="62" t="s">
        <v>2057</v>
      </c>
      <c r="D1210" s="62" t="str">
        <f t="shared" si="19"/>
        <v>Butiiti</v>
      </c>
      <c r="F1210" s="62">
        <v>831</v>
      </c>
    </row>
    <row r="1211" spans="1:6">
      <c r="A1211" s="62" t="s">
        <v>2060</v>
      </c>
      <c r="B1211" s="62" t="s">
        <v>2056</v>
      </c>
      <c r="C1211" s="62" t="s">
        <v>2057</v>
      </c>
      <c r="D1211" s="62" t="str">
        <f t="shared" si="19"/>
        <v>Butunduzi</v>
      </c>
      <c r="F1211" s="62">
        <v>832</v>
      </c>
    </row>
    <row r="1212" spans="1:6">
      <c r="A1212" s="62" t="s">
        <v>2061</v>
      </c>
      <c r="B1212" s="62" t="s">
        <v>2056</v>
      </c>
      <c r="C1212" s="62" t="s">
        <v>2057</v>
      </c>
      <c r="D1212" s="62" t="str">
        <f t="shared" si="19"/>
        <v>Butunduzi Town Council</v>
      </c>
      <c r="F1212" s="62">
        <v>833</v>
      </c>
    </row>
    <row r="1213" spans="1:6">
      <c r="A1213" s="62" t="s">
        <v>2062</v>
      </c>
      <c r="B1213" s="62" t="s">
        <v>2056</v>
      </c>
      <c r="C1213" s="62" t="s">
        <v>2057</v>
      </c>
      <c r="D1213" s="62" t="str">
        <f t="shared" si="19"/>
        <v>Katooke</v>
      </c>
      <c r="F1213" s="62">
        <v>834</v>
      </c>
    </row>
    <row r="1214" spans="1:6">
      <c r="A1214" s="62" t="s">
        <v>2063</v>
      </c>
      <c r="D1214" s="62" t="str">
        <f t="shared" si="19"/>
        <v>KATOKE</v>
      </c>
      <c r="F1214" s="62">
        <v>834</v>
      </c>
    </row>
    <row r="1215" spans="1:6">
      <c r="A1215" s="62" t="s">
        <v>2064</v>
      </c>
      <c r="B1215" s="62" t="s">
        <v>2056</v>
      </c>
      <c r="C1215" s="62" t="s">
        <v>2057</v>
      </c>
      <c r="D1215" s="62" t="str">
        <f t="shared" si="19"/>
        <v>Katooke Town Council</v>
      </c>
      <c r="F1215" s="62">
        <v>835</v>
      </c>
    </row>
    <row r="1216" spans="1:6">
      <c r="A1216" s="62" t="s">
        <v>2065</v>
      </c>
      <c r="B1216" s="62" t="s">
        <v>2056</v>
      </c>
      <c r="C1216" s="62" t="s">
        <v>2057</v>
      </c>
      <c r="D1216" s="62" t="str">
        <f t="shared" si="19"/>
        <v>Kigaraale</v>
      </c>
      <c r="F1216" s="62">
        <v>836</v>
      </c>
    </row>
    <row r="1217" spans="1:6">
      <c r="A1217" s="62" t="s">
        <v>2066</v>
      </c>
      <c r="B1217" s="62" t="s">
        <v>2056</v>
      </c>
      <c r="C1217" s="62" t="s">
        <v>2057</v>
      </c>
      <c r="D1217" s="62" t="str">
        <f t="shared" si="19"/>
        <v>Kihuura</v>
      </c>
      <c r="F1217" s="62">
        <v>837</v>
      </c>
    </row>
    <row r="1218" spans="1:6">
      <c r="A1218" s="62" t="s">
        <v>2067</v>
      </c>
      <c r="B1218" s="62" t="s">
        <v>2056</v>
      </c>
      <c r="C1218" s="62" t="s">
        <v>2057</v>
      </c>
      <c r="D1218" s="62" t="str">
        <f t="shared" ref="D1218:D1281" si="20">A1218</f>
        <v>Kisojo</v>
      </c>
      <c r="F1218" s="62">
        <v>838</v>
      </c>
    </row>
    <row r="1219" spans="1:6">
      <c r="A1219" s="62" t="s">
        <v>2068</v>
      </c>
      <c r="B1219" s="62" t="s">
        <v>2056</v>
      </c>
      <c r="C1219" s="62" t="s">
        <v>2057</v>
      </c>
      <c r="D1219" s="62" t="str">
        <f t="shared" si="20"/>
        <v>Kyarusozi</v>
      </c>
      <c r="F1219" s="62">
        <v>839</v>
      </c>
    </row>
    <row r="1220" spans="1:6">
      <c r="A1220" s="62" t="s">
        <v>2069</v>
      </c>
      <c r="B1220" s="62" t="s">
        <v>2056</v>
      </c>
      <c r="C1220" s="62" t="s">
        <v>2057</v>
      </c>
      <c r="D1220" s="62" t="str">
        <f t="shared" si="20"/>
        <v>Kyarusozi Town Council</v>
      </c>
      <c r="F1220" s="62">
        <v>840</v>
      </c>
    </row>
    <row r="1221" spans="1:6">
      <c r="A1221" s="62" t="s">
        <v>2070</v>
      </c>
      <c r="B1221" s="62" t="s">
        <v>2056</v>
      </c>
      <c r="C1221" s="62" t="s">
        <v>2057</v>
      </c>
      <c r="D1221" s="62" t="str">
        <f t="shared" si="20"/>
        <v>Kyenjojo Town Council</v>
      </c>
      <c r="F1221" s="62">
        <v>841</v>
      </c>
    </row>
    <row r="1222" spans="1:6">
      <c r="A1222" s="62" t="s">
        <v>2071</v>
      </c>
      <c r="B1222" s="62" t="s">
        <v>2056</v>
      </c>
      <c r="C1222" s="62" t="s">
        <v>2057</v>
      </c>
      <c r="D1222" s="62" t="str">
        <f t="shared" si="20"/>
        <v>Nyabuharwa</v>
      </c>
      <c r="F1222" s="62">
        <v>842</v>
      </c>
    </row>
    <row r="1223" spans="1:6">
      <c r="A1223" s="62" t="s">
        <v>2072</v>
      </c>
      <c r="B1223" s="62" t="s">
        <v>2056</v>
      </c>
      <c r="C1223" s="62" t="s">
        <v>2057</v>
      </c>
      <c r="D1223" s="62" t="str">
        <f t="shared" si="20"/>
        <v>Nyankwanzi</v>
      </c>
      <c r="F1223" s="62">
        <v>843</v>
      </c>
    </row>
    <row r="1224" spans="1:6">
      <c r="A1224" s="62" t="s">
        <v>2073</v>
      </c>
      <c r="B1224" s="62" t="s">
        <v>2056</v>
      </c>
      <c r="C1224" s="62" t="s">
        <v>2057</v>
      </c>
      <c r="D1224" s="62" t="str">
        <f t="shared" si="20"/>
        <v>Nyantungo</v>
      </c>
      <c r="F1224" s="62">
        <v>844</v>
      </c>
    </row>
    <row r="1225" spans="1:6">
      <c r="A1225" s="62" t="s">
        <v>2074</v>
      </c>
      <c r="B1225" s="62" t="s">
        <v>2075</v>
      </c>
      <c r="C1225" s="62" t="s">
        <v>2075</v>
      </c>
      <c r="D1225" s="62" t="str">
        <f t="shared" si="20"/>
        <v>Kabira</v>
      </c>
      <c r="F1225" s="62">
        <v>845</v>
      </c>
    </row>
    <row r="1226" spans="1:6">
      <c r="A1226" s="62" t="s">
        <v>2076</v>
      </c>
      <c r="B1226" s="62" t="s">
        <v>2075</v>
      </c>
      <c r="C1226" s="62" t="s">
        <v>2075</v>
      </c>
      <c r="D1226" s="62" t="str">
        <f t="shared" si="20"/>
        <v>Kalisizo</v>
      </c>
      <c r="F1226" s="62">
        <v>846</v>
      </c>
    </row>
    <row r="1227" spans="1:6">
      <c r="A1227" s="62" t="s">
        <v>2077</v>
      </c>
      <c r="B1227" s="62" t="s">
        <v>2075</v>
      </c>
      <c r="C1227" s="62" t="s">
        <v>2075</v>
      </c>
      <c r="D1227" s="62" t="str">
        <f t="shared" si="20"/>
        <v>Kalisizo Town Council</v>
      </c>
      <c r="F1227" s="62">
        <v>847</v>
      </c>
    </row>
    <row r="1228" spans="1:6">
      <c r="A1228" s="62" t="s">
        <v>2078</v>
      </c>
      <c r="B1228" s="62" t="s">
        <v>2075</v>
      </c>
      <c r="C1228" s="62" t="s">
        <v>2079</v>
      </c>
      <c r="D1228" s="62" t="str">
        <f t="shared" si="20"/>
        <v>Kasasa</v>
      </c>
      <c r="F1228" s="62">
        <v>848</v>
      </c>
    </row>
    <row r="1229" spans="1:6">
      <c r="A1229" s="62" t="s">
        <v>1932</v>
      </c>
      <c r="B1229" s="62" t="s">
        <v>2075</v>
      </c>
      <c r="C1229" s="62" t="s">
        <v>2079</v>
      </c>
      <c r="D1229" s="62" t="str">
        <f t="shared" si="20"/>
        <v>Kibanda</v>
      </c>
      <c r="F1229" s="62">
        <v>849</v>
      </c>
    </row>
    <row r="1230" spans="1:6">
      <c r="A1230" s="62" t="s">
        <v>2080</v>
      </c>
      <c r="B1230" s="62" t="s">
        <v>2075</v>
      </c>
      <c r="C1230" s="62" t="s">
        <v>2075</v>
      </c>
      <c r="D1230" s="62" t="str">
        <f t="shared" si="20"/>
        <v>Kirumba</v>
      </c>
      <c r="F1230" s="62">
        <v>850</v>
      </c>
    </row>
    <row r="1231" spans="1:6">
      <c r="A1231" s="62" t="s">
        <v>2081</v>
      </c>
      <c r="B1231" s="62" t="s">
        <v>2075</v>
      </c>
      <c r="C1231" s="62" t="s">
        <v>2079</v>
      </c>
      <c r="D1231" s="62" t="str">
        <f t="shared" si="20"/>
        <v>Kyebe</v>
      </c>
      <c r="F1231" s="62">
        <v>851</v>
      </c>
    </row>
    <row r="1232" spans="1:6">
      <c r="A1232" s="62" t="s">
        <v>2082</v>
      </c>
      <c r="B1232" s="62" t="s">
        <v>2075</v>
      </c>
      <c r="C1232" s="62" t="s">
        <v>2075</v>
      </c>
      <c r="D1232" s="62" t="str">
        <f t="shared" si="20"/>
        <v>Kyotera Town Council</v>
      </c>
      <c r="F1232" s="62">
        <v>852</v>
      </c>
    </row>
    <row r="1233" spans="1:6">
      <c r="A1233" s="62" t="s">
        <v>704</v>
      </c>
      <c r="D1233" s="62" t="str">
        <f t="shared" si="20"/>
        <v>KYOTERA</v>
      </c>
      <c r="F1233" s="62">
        <v>852</v>
      </c>
    </row>
    <row r="1234" spans="1:6">
      <c r="A1234" s="62" t="s">
        <v>2083</v>
      </c>
      <c r="D1234" s="62" t="str">
        <f t="shared" si="20"/>
        <v>Lutete</v>
      </c>
      <c r="F1234" s="62">
        <v>852</v>
      </c>
    </row>
    <row r="1235" spans="1:6">
      <c r="A1235" s="62" t="s">
        <v>2084</v>
      </c>
      <c r="D1235" s="62" t="str">
        <f t="shared" si="20"/>
        <v>Luttete</v>
      </c>
      <c r="F1235" s="62">
        <v>852</v>
      </c>
    </row>
    <row r="1236" spans="1:6">
      <c r="A1236" s="62" t="s">
        <v>2085</v>
      </c>
      <c r="B1236" s="62" t="s">
        <v>2075</v>
      </c>
      <c r="C1236" s="62" t="s">
        <v>2075</v>
      </c>
      <c r="D1236" s="62" t="str">
        <f t="shared" si="20"/>
        <v>Lwankoni</v>
      </c>
      <c r="F1236" s="62">
        <v>853</v>
      </c>
    </row>
    <row r="1237" spans="1:6">
      <c r="A1237" s="62" t="s">
        <v>2086</v>
      </c>
      <c r="B1237" s="62" t="s">
        <v>2075</v>
      </c>
      <c r="C1237" s="62" t="s">
        <v>2075</v>
      </c>
      <c r="D1237" s="62" t="str">
        <f t="shared" si="20"/>
        <v>Nabigasa</v>
      </c>
      <c r="F1237" s="62">
        <v>854</v>
      </c>
    </row>
    <row r="1238" spans="1:6">
      <c r="A1238" s="62" t="s">
        <v>2087</v>
      </c>
      <c r="B1238" s="62" t="s">
        <v>2088</v>
      </c>
      <c r="C1238" s="62" t="s">
        <v>2088</v>
      </c>
      <c r="D1238" s="62" t="str">
        <f t="shared" si="20"/>
        <v>Agoro</v>
      </c>
      <c r="F1238" s="62">
        <v>855</v>
      </c>
    </row>
    <row r="1239" spans="1:6">
      <c r="A1239" s="62" t="s">
        <v>2089</v>
      </c>
      <c r="B1239" s="62" t="s">
        <v>2088</v>
      </c>
      <c r="C1239" s="62" t="s">
        <v>2088</v>
      </c>
      <c r="D1239" s="62" t="str">
        <f t="shared" si="20"/>
        <v>Lamwo Town Council</v>
      </c>
      <c r="F1239" s="62">
        <v>856</v>
      </c>
    </row>
    <row r="1240" spans="1:6">
      <c r="A1240" s="62" t="s">
        <v>2090</v>
      </c>
      <c r="B1240" s="62" t="s">
        <v>2088</v>
      </c>
      <c r="C1240" s="62" t="s">
        <v>2088</v>
      </c>
      <c r="D1240" s="62" t="str">
        <f t="shared" si="20"/>
        <v>Lokung</v>
      </c>
      <c r="F1240" s="62">
        <v>857</v>
      </c>
    </row>
    <row r="1241" spans="1:6">
      <c r="A1241" s="62" t="s">
        <v>2091</v>
      </c>
      <c r="B1241" s="62" t="s">
        <v>2088</v>
      </c>
      <c r="C1241" s="62" t="s">
        <v>2088</v>
      </c>
      <c r="D1241" s="62" t="str">
        <f t="shared" si="20"/>
        <v>Madi Opei</v>
      </c>
      <c r="F1241" s="62">
        <v>858</v>
      </c>
    </row>
    <row r="1242" spans="1:6">
      <c r="A1242" s="65" t="s">
        <v>2092</v>
      </c>
      <c r="B1242" s="62" t="s">
        <v>2088</v>
      </c>
      <c r="C1242" s="62" t="s">
        <v>2088</v>
      </c>
      <c r="D1242" s="62" t="str">
        <f t="shared" si="20"/>
        <v>Padibe</v>
      </c>
      <c r="F1242" s="62">
        <v>859</v>
      </c>
    </row>
    <row r="1243" spans="1:6">
      <c r="A1243" s="65" t="s">
        <v>2093</v>
      </c>
      <c r="B1243" s="62" t="s">
        <v>2088</v>
      </c>
      <c r="C1243" s="62" t="s">
        <v>2088</v>
      </c>
      <c r="D1243" s="62" t="str">
        <f t="shared" si="20"/>
        <v>Palabek</v>
      </c>
      <c r="F1243" s="62">
        <v>860</v>
      </c>
    </row>
    <row r="1244" spans="1:6">
      <c r="A1244" s="62" t="s">
        <v>2094</v>
      </c>
      <c r="B1244" s="62" t="s">
        <v>2088</v>
      </c>
      <c r="C1244" s="62" t="s">
        <v>2088</v>
      </c>
      <c r="D1244" s="62" t="str">
        <f t="shared" si="20"/>
        <v>Paloga</v>
      </c>
      <c r="F1244" s="62">
        <v>861</v>
      </c>
    </row>
    <row r="1245" spans="1:6">
      <c r="A1245" s="62" t="s">
        <v>2095</v>
      </c>
      <c r="B1245" s="62" t="s">
        <v>2096</v>
      </c>
      <c r="C1245" s="62" t="s">
        <v>2097</v>
      </c>
      <c r="D1245" s="62" t="str">
        <f t="shared" si="20"/>
        <v>Adekokwok</v>
      </c>
      <c r="F1245" s="62">
        <v>862</v>
      </c>
    </row>
    <row r="1246" spans="1:6">
      <c r="A1246" s="62" t="s">
        <v>2098</v>
      </c>
      <c r="B1246" s="62" t="s">
        <v>2096</v>
      </c>
      <c r="C1246" s="62" t="s">
        <v>2097</v>
      </c>
      <c r="D1246" s="62" t="str">
        <f t="shared" si="20"/>
        <v>Agali</v>
      </c>
      <c r="F1246" s="62">
        <v>863</v>
      </c>
    </row>
    <row r="1247" spans="1:6">
      <c r="A1247" s="62" t="s">
        <v>2099</v>
      </c>
      <c r="B1247" s="62" t="s">
        <v>2096</v>
      </c>
      <c r="C1247" s="62" t="s">
        <v>2097</v>
      </c>
      <c r="D1247" s="62" t="str">
        <f t="shared" si="20"/>
        <v>Agweng</v>
      </c>
      <c r="F1247" s="62">
        <v>864</v>
      </c>
    </row>
    <row r="1248" spans="1:6">
      <c r="A1248" s="62" t="s">
        <v>2100</v>
      </c>
      <c r="B1248" s="62" t="s">
        <v>2096</v>
      </c>
      <c r="C1248" s="62" t="s">
        <v>2097</v>
      </c>
      <c r="D1248" s="62" t="str">
        <f t="shared" si="20"/>
        <v>Amach</v>
      </c>
      <c r="F1248" s="62">
        <v>865</v>
      </c>
    </row>
    <row r="1249" spans="1:6">
      <c r="A1249" s="62" t="s">
        <v>2101</v>
      </c>
      <c r="B1249" s="62" t="s">
        <v>2096</v>
      </c>
      <c r="C1249" s="62" t="s">
        <v>2097</v>
      </c>
      <c r="D1249" s="62" t="str">
        <f t="shared" si="20"/>
        <v>Aromo</v>
      </c>
      <c r="F1249" s="62">
        <v>866</v>
      </c>
    </row>
    <row r="1250" spans="1:6">
      <c r="A1250" s="62" t="s">
        <v>2102</v>
      </c>
      <c r="B1250" s="62" t="s">
        <v>2096</v>
      </c>
      <c r="C1250" s="62" t="s">
        <v>2097</v>
      </c>
      <c r="D1250" s="62" t="str">
        <f t="shared" si="20"/>
        <v>Barr</v>
      </c>
      <c r="F1250" s="62">
        <v>867</v>
      </c>
    </row>
    <row r="1251" spans="1:6">
      <c r="A1251" s="62" t="s">
        <v>2096</v>
      </c>
      <c r="B1251" s="62" t="s">
        <v>2096</v>
      </c>
      <c r="C1251" s="62" t="s">
        <v>2097</v>
      </c>
      <c r="D1251" s="62" t="str">
        <f t="shared" si="20"/>
        <v>Lira</v>
      </c>
      <c r="F1251" s="62">
        <v>868</v>
      </c>
    </row>
    <row r="1252" spans="1:6">
      <c r="A1252" s="62" t="s">
        <v>2103</v>
      </c>
      <c r="B1252" s="62" t="s">
        <v>2096</v>
      </c>
      <c r="C1252" s="62" t="s">
        <v>2103</v>
      </c>
      <c r="D1252" s="62" t="str">
        <f t="shared" si="20"/>
        <v>Lira Municipality</v>
      </c>
      <c r="F1252" s="62">
        <v>869</v>
      </c>
    </row>
    <row r="1253" spans="1:6">
      <c r="A1253" s="62" t="s">
        <v>2104</v>
      </c>
      <c r="B1253" s="62" t="s">
        <v>2096</v>
      </c>
      <c r="C1253" s="62" t="s">
        <v>2097</v>
      </c>
      <c r="D1253" s="62" t="str">
        <f t="shared" si="20"/>
        <v>Ngetta</v>
      </c>
      <c r="F1253" s="62">
        <v>870</v>
      </c>
    </row>
    <row r="1254" spans="1:6">
      <c r="A1254" s="62" t="s">
        <v>2105</v>
      </c>
      <c r="B1254" s="62" t="s">
        <v>2096</v>
      </c>
      <c r="C1254" s="62" t="s">
        <v>2097</v>
      </c>
      <c r="D1254" s="62" t="str">
        <f t="shared" si="20"/>
        <v>Ogur</v>
      </c>
      <c r="F1254" s="62">
        <v>871</v>
      </c>
    </row>
    <row r="1255" spans="1:6">
      <c r="A1255" s="62" t="s">
        <v>1221</v>
      </c>
      <c r="B1255" s="62" t="s">
        <v>2106</v>
      </c>
      <c r="C1255" s="62" t="s">
        <v>2106</v>
      </c>
      <c r="D1255" s="62" t="str">
        <f t="shared" si="20"/>
        <v>Bukanga</v>
      </c>
      <c r="F1255" s="62">
        <v>872</v>
      </c>
    </row>
    <row r="1256" spans="1:6">
      <c r="A1256" s="62" t="s">
        <v>2107</v>
      </c>
      <c r="B1256" s="62" t="s">
        <v>2106</v>
      </c>
      <c r="C1256" s="62" t="s">
        <v>2106</v>
      </c>
      <c r="D1256" s="62" t="str">
        <f t="shared" si="20"/>
        <v>Bukooma</v>
      </c>
      <c r="F1256" s="62">
        <v>873</v>
      </c>
    </row>
    <row r="1257" spans="1:6">
      <c r="A1257" s="62" t="s">
        <v>2108</v>
      </c>
      <c r="B1257" s="62" t="s">
        <v>2106</v>
      </c>
      <c r="C1257" s="62" t="s">
        <v>2106</v>
      </c>
      <c r="D1257" s="62" t="str">
        <f t="shared" si="20"/>
        <v>Bulongo</v>
      </c>
      <c r="F1257" s="62">
        <v>874</v>
      </c>
    </row>
    <row r="1258" spans="1:6">
      <c r="A1258" s="62" t="s">
        <v>2109</v>
      </c>
      <c r="B1258" s="62" t="s">
        <v>2106</v>
      </c>
      <c r="C1258" s="62" t="s">
        <v>2106</v>
      </c>
      <c r="D1258" s="62" t="str">
        <f t="shared" si="20"/>
        <v>Ikumbya</v>
      </c>
      <c r="F1258" s="62">
        <v>875</v>
      </c>
    </row>
    <row r="1259" spans="1:6">
      <c r="A1259" s="62" t="s">
        <v>2110</v>
      </c>
      <c r="B1259" s="62" t="s">
        <v>2106</v>
      </c>
      <c r="C1259" s="62" t="s">
        <v>2106</v>
      </c>
      <c r="D1259" s="62" t="str">
        <f t="shared" si="20"/>
        <v>Irongo</v>
      </c>
      <c r="F1259" s="62">
        <v>876</v>
      </c>
    </row>
    <row r="1260" spans="1:6">
      <c r="A1260" s="62" t="s">
        <v>2111</v>
      </c>
      <c r="B1260" s="62" t="s">
        <v>2106</v>
      </c>
      <c r="C1260" s="62" t="s">
        <v>2106</v>
      </c>
      <c r="D1260" s="62" t="str">
        <f t="shared" si="20"/>
        <v>Luuka Town Council</v>
      </c>
      <c r="F1260" s="62">
        <v>877</v>
      </c>
    </row>
    <row r="1261" spans="1:6">
      <c r="A1261" s="62" t="s">
        <v>2112</v>
      </c>
      <c r="B1261" s="62" t="s">
        <v>2106</v>
      </c>
      <c r="C1261" s="62" t="s">
        <v>2106</v>
      </c>
      <c r="D1261" s="62" t="str">
        <f t="shared" si="20"/>
        <v>Nawampiti</v>
      </c>
      <c r="F1261" s="62">
        <v>878</v>
      </c>
    </row>
    <row r="1262" spans="1:6">
      <c r="A1262" s="62" t="s">
        <v>2113</v>
      </c>
      <c r="B1262" s="62" t="s">
        <v>2106</v>
      </c>
      <c r="C1262" s="62" t="s">
        <v>2106</v>
      </c>
      <c r="D1262" s="62" t="str">
        <f t="shared" si="20"/>
        <v>Waibuga</v>
      </c>
      <c r="F1262" s="62">
        <v>879</v>
      </c>
    </row>
    <row r="1263" spans="1:6">
      <c r="A1263" s="62" t="s">
        <v>2114</v>
      </c>
      <c r="B1263" s="62" t="s">
        <v>2115</v>
      </c>
      <c r="C1263" s="62" t="s">
        <v>2114</v>
      </c>
      <c r="D1263" s="62" t="str">
        <f t="shared" si="20"/>
        <v>Bamunanika</v>
      </c>
      <c r="F1263" s="62">
        <v>880</v>
      </c>
    </row>
    <row r="1264" spans="1:6">
      <c r="A1264" s="62" t="s">
        <v>2116</v>
      </c>
      <c r="B1264" s="62" t="s">
        <v>2115</v>
      </c>
      <c r="C1264" s="62" t="s">
        <v>2117</v>
      </c>
      <c r="D1264" s="62" t="str">
        <f t="shared" si="20"/>
        <v>Bombo Town Council</v>
      </c>
      <c r="F1264" s="62">
        <v>881</v>
      </c>
    </row>
    <row r="1265" spans="1:6">
      <c r="A1265" s="62" t="s">
        <v>2118</v>
      </c>
      <c r="D1265" s="62" t="str">
        <f t="shared" si="20"/>
        <v>BOMBO</v>
      </c>
      <c r="F1265" s="62">
        <v>881</v>
      </c>
    </row>
    <row r="1266" spans="1:6">
      <c r="A1266" s="62" t="s">
        <v>2119</v>
      </c>
      <c r="D1266" s="62" t="str">
        <f t="shared" si="20"/>
        <v>BOMBO R.D</v>
      </c>
      <c r="F1266" s="62">
        <v>881</v>
      </c>
    </row>
    <row r="1267" spans="1:6">
      <c r="A1267" s="62" t="s">
        <v>2120</v>
      </c>
      <c r="D1267" s="62" t="str">
        <f t="shared" si="20"/>
        <v>BOMBO POLICE</v>
      </c>
      <c r="F1267" s="62">
        <v>881</v>
      </c>
    </row>
    <row r="1268" spans="1:6">
      <c r="A1268" s="62" t="s">
        <v>2121</v>
      </c>
      <c r="D1268" s="62" t="str">
        <f t="shared" si="20"/>
        <v>KETI FALAWO</v>
      </c>
      <c r="F1268" s="62">
        <v>881</v>
      </c>
    </row>
    <row r="1269" spans="1:6">
      <c r="A1269" s="62" t="s">
        <v>2122</v>
      </c>
      <c r="D1269" s="62" t="str">
        <f t="shared" si="20"/>
        <v>BOMBO BARRACKS</v>
      </c>
      <c r="F1269" s="62">
        <v>881</v>
      </c>
    </row>
    <row r="1270" spans="1:6">
      <c r="A1270" s="62" t="s">
        <v>2123</v>
      </c>
      <c r="D1270" s="62" t="str">
        <f t="shared" si="20"/>
        <v>BUWAMBO</v>
      </c>
      <c r="F1270" s="62">
        <v>881</v>
      </c>
    </row>
    <row r="1271" spans="1:6">
      <c r="A1271" s="62" t="s">
        <v>2124</v>
      </c>
      <c r="B1271" s="62" t="s">
        <v>2115</v>
      </c>
      <c r="C1271" s="62" t="s">
        <v>2117</v>
      </c>
      <c r="D1271" s="62" t="str">
        <f t="shared" si="20"/>
        <v>Butuntumula</v>
      </c>
      <c r="F1271" s="62">
        <v>882</v>
      </c>
    </row>
    <row r="1272" spans="1:6">
      <c r="A1272" s="62" t="s">
        <v>2125</v>
      </c>
      <c r="B1272" s="62" t="s">
        <v>2115</v>
      </c>
      <c r="C1272" s="62" t="s">
        <v>2114</v>
      </c>
      <c r="D1272" s="62" t="str">
        <f t="shared" si="20"/>
        <v>Kalagala</v>
      </c>
      <c r="F1272" s="62">
        <v>883</v>
      </c>
    </row>
    <row r="1273" spans="1:6">
      <c r="A1273" s="62" t="s">
        <v>2126</v>
      </c>
      <c r="B1273" s="62" t="s">
        <v>2115</v>
      </c>
      <c r="C1273" s="62" t="s">
        <v>2114</v>
      </c>
      <c r="D1273" s="62" t="str">
        <f t="shared" si="20"/>
        <v>Kamira</v>
      </c>
      <c r="F1273" s="62">
        <v>884</v>
      </c>
    </row>
    <row r="1274" spans="1:6">
      <c r="A1274" s="62" t="s">
        <v>2117</v>
      </c>
      <c r="B1274" s="62" t="s">
        <v>2115</v>
      </c>
      <c r="C1274" s="62" t="s">
        <v>2117</v>
      </c>
      <c r="D1274" s="62" t="str">
        <f t="shared" si="20"/>
        <v>Katikamu</v>
      </c>
      <c r="F1274" s="62">
        <v>885</v>
      </c>
    </row>
    <row r="1275" spans="1:6">
      <c r="A1275" s="62" t="s">
        <v>2127</v>
      </c>
      <c r="B1275" s="62" t="s">
        <v>2115</v>
      </c>
      <c r="C1275" s="62" t="s">
        <v>2114</v>
      </c>
      <c r="D1275" s="62" t="str">
        <f t="shared" si="20"/>
        <v>Kikyusa</v>
      </c>
      <c r="F1275" s="62">
        <v>886</v>
      </c>
    </row>
    <row r="1276" spans="1:6">
      <c r="A1276" s="62" t="s">
        <v>2115</v>
      </c>
      <c r="B1276" s="62" t="s">
        <v>2115</v>
      </c>
      <c r="C1276" s="62" t="s">
        <v>2117</v>
      </c>
      <c r="D1276" s="62" t="str">
        <f t="shared" si="20"/>
        <v>Luwero</v>
      </c>
      <c r="F1276" s="62">
        <v>887</v>
      </c>
    </row>
    <row r="1277" spans="1:6">
      <c r="A1277" s="62" t="s">
        <v>2128</v>
      </c>
      <c r="D1277" s="62" t="str">
        <f t="shared" si="20"/>
        <v>LUWEER0</v>
      </c>
      <c r="F1277" s="62">
        <v>887</v>
      </c>
    </row>
    <row r="1278" spans="1:6">
      <c r="A1278" s="62" t="s">
        <v>2129</v>
      </c>
      <c r="B1278" s="62" t="s">
        <v>2115</v>
      </c>
      <c r="C1278" s="62" t="s">
        <v>2117</v>
      </c>
      <c r="D1278" s="62" t="str">
        <f t="shared" si="20"/>
        <v>Luwero Town Council</v>
      </c>
      <c r="F1278" s="62">
        <v>888</v>
      </c>
    </row>
    <row r="1279" spans="1:6">
      <c r="A1279" s="62" t="s">
        <v>2130</v>
      </c>
      <c r="D1279" s="62" t="str">
        <f t="shared" si="20"/>
        <v>LUWERO TOWN</v>
      </c>
      <c r="F1279" s="62">
        <v>888</v>
      </c>
    </row>
    <row r="1280" spans="1:6">
      <c r="A1280" s="62" t="s">
        <v>2131</v>
      </c>
      <c r="D1280" s="62" t="str">
        <f t="shared" si="20"/>
        <v>Luweero</v>
      </c>
      <c r="F1280" s="62">
        <v>888</v>
      </c>
    </row>
    <row r="1281" spans="1:6">
      <c r="A1281" s="62" t="s">
        <v>2132</v>
      </c>
      <c r="D1281" s="62" t="str">
        <f t="shared" si="20"/>
        <v>LUKOMERA</v>
      </c>
      <c r="F1281" s="62">
        <v>888</v>
      </c>
    </row>
    <row r="1282" spans="1:6">
      <c r="A1282" s="62" t="s">
        <v>2133</v>
      </c>
      <c r="B1282" s="62" t="s">
        <v>2115</v>
      </c>
      <c r="C1282" s="62" t="s">
        <v>2117</v>
      </c>
      <c r="D1282" s="62" t="str">
        <f t="shared" ref="D1282:D1345" si="21">A1282</f>
        <v>Makulubita</v>
      </c>
      <c r="F1282" s="62">
        <v>889</v>
      </c>
    </row>
    <row r="1283" spans="1:6">
      <c r="A1283" s="62" t="s">
        <v>2134</v>
      </c>
      <c r="B1283" s="62" t="s">
        <v>2115</v>
      </c>
      <c r="C1283" s="62" t="s">
        <v>2117</v>
      </c>
      <c r="D1283" s="62" t="str">
        <f t="shared" si="21"/>
        <v>Nyimbwa</v>
      </c>
      <c r="F1283" s="62">
        <v>890</v>
      </c>
    </row>
    <row r="1284" spans="1:6">
      <c r="A1284" s="62" t="s">
        <v>2135</v>
      </c>
      <c r="B1284" s="62" t="s">
        <v>2115</v>
      </c>
      <c r="C1284" s="62" t="s">
        <v>2117</v>
      </c>
      <c r="D1284" s="62" t="str">
        <f t="shared" si="21"/>
        <v>Wobulenzi Town Council</v>
      </c>
      <c r="F1284" s="62">
        <v>891</v>
      </c>
    </row>
    <row r="1285" spans="1:6">
      <c r="A1285" s="62" t="s">
        <v>2136</v>
      </c>
      <c r="D1285" s="62" t="str">
        <f t="shared" si="21"/>
        <v>WOBULEZI</v>
      </c>
      <c r="F1285" s="62">
        <v>891</v>
      </c>
    </row>
    <row r="1286" spans="1:6">
      <c r="A1286" s="62" t="s">
        <v>2137</v>
      </c>
      <c r="D1286" s="62" t="str">
        <f t="shared" si="21"/>
        <v>WOBULENZI</v>
      </c>
      <c r="F1286" s="62">
        <v>891</v>
      </c>
    </row>
    <row r="1287" spans="1:6">
      <c r="A1287" s="62" t="s">
        <v>2138</v>
      </c>
      <c r="D1287" s="62" t="str">
        <f t="shared" si="21"/>
        <v>WOBULENZO</v>
      </c>
      <c r="F1287" s="62">
        <v>891</v>
      </c>
    </row>
    <row r="1288" spans="1:6">
      <c r="A1288" s="62" t="s">
        <v>2139</v>
      </c>
      <c r="B1288" s="62" t="s">
        <v>2115</v>
      </c>
      <c r="C1288" s="62" t="s">
        <v>2114</v>
      </c>
      <c r="D1288" s="62" t="str">
        <f t="shared" si="21"/>
        <v>Zirobwe</v>
      </c>
      <c r="F1288" s="62">
        <v>892</v>
      </c>
    </row>
    <row r="1289" spans="1:6">
      <c r="A1289" s="62" t="s">
        <v>2140</v>
      </c>
      <c r="D1289" s="62" t="str">
        <f t="shared" si="21"/>
        <v>ZILOBWE</v>
      </c>
      <c r="F1289" s="62">
        <v>892</v>
      </c>
    </row>
    <row r="1290" spans="1:6">
      <c r="A1290" s="62" t="s">
        <v>2141</v>
      </c>
      <c r="B1290" s="62" t="s">
        <v>2142</v>
      </c>
      <c r="C1290" s="62" t="s">
        <v>23</v>
      </c>
      <c r="D1290" s="62" t="str">
        <f t="shared" si="21"/>
        <v>Kisekka</v>
      </c>
      <c r="F1290" s="62">
        <v>893</v>
      </c>
    </row>
    <row r="1291" spans="1:6">
      <c r="A1291" s="62" t="s">
        <v>2143</v>
      </c>
      <c r="B1291" s="62" t="s">
        <v>2142</v>
      </c>
      <c r="C1291" s="62" t="s">
        <v>23</v>
      </c>
      <c r="D1291" s="62" t="str">
        <f t="shared" si="21"/>
        <v>Kkingo</v>
      </c>
      <c r="F1291" s="62">
        <v>894</v>
      </c>
    </row>
    <row r="1292" spans="1:6">
      <c r="A1292" s="62" t="s">
        <v>2144</v>
      </c>
      <c r="B1292" s="62" t="s">
        <v>2142</v>
      </c>
      <c r="C1292" s="62" t="s">
        <v>23</v>
      </c>
      <c r="D1292" s="62" t="str">
        <f t="shared" si="21"/>
        <v>Kyazanga</v>
      </c>
      <c r="F1292" s="62">
        <v>895</v>
      </c>
    </row>
    <row r="1293" spans="1:6">
      <c r="A1293" s="62" t="s">
        <v>2145</v>
      </c>
      <c r="B1293" s="62" t="s">
        <v>2142</v>
      </c>
      <c r="C1293" s="62" t="s">
        <v>23</v>
      </c>
      <c r="D1293" s="62" t="str">
        <f t="shared" si="21"/>
        <v>Kyazanga Town Council</v>
      </c>
      <c r="F1293" s="62">
        <v>896</v>
      </c>
    </row>
    <row r="1294" spans="1:6">
      <c r="A1294" s="62" t="s">
        <v>2142</v>
      </c>
      <c r="B1294" s="62" t="s">
        <v>2142</v>
      </c>
      <c r="C1294" s="62" t="s">
        <v>23</v>
      </c>
      <c r="D1294" s="62" t="str">
        <f t="shared" si="21"/>
        <v>Lwengo</v>
      </c>
      <c r="F1294" s="62">
        <v>897</v>
      </c>
    </row>
    <row r="1295" spans="1:6">
      <c r="A1295" s="62" t="s">
        <v>2146</v>
      </c>
      <c r="B1295" s="62" t="s">
        <v>2142</v>
      </c>
      <c r="C1295" s="62" t="s">
        <v>23</v>
      </c>
      <c r="D1295" s="62" t="str">
        <f t="shared" si="21"/>
        <v>Lwengo Town Council</v>
      </c>
      <c r="F1295" s="62">
        <v>898</v>
      </c>
    </row>
    <row r="1296" spans="1:6">
      <c r="A1296" s="62" t="s">
        <v>2147</v>
      </c>
      <c r="B1296" s="62" t="s">
        <v>2142</v>
      </c>
      <c r="C1296" s="62" t="s">
        <v>23</v>
      </c>
      <c r="D1296" s="62" t="str">
        <f t="shared" si="21"/>
        <v>Malongo-Lwengo</v>
      </c>
      <c r="F1296" s="62">
        <v>899</v>
      </c>
    </row>
    <row r="1297" spans="1:6">
      <c r="A1297" s="62" t="s">
        <v>2148</v>
      </c>
      <c r="B1297" s="62" t="s">
        <v>2142</v>
      </c>
      <c r="C1297" s="62" t="s">
        <v>23</v>
      </c>
      <c r="D1297" s="62" t="str">
        <f t="shared" si="21"/>
        <v>Ndagwe</v>
      </c>
      <c r="F1297" s="62">
        <v>900</v>
      </c>
    </row>
    <row r="1298" spans="1:6">
      <c r="A1298" s="62" t="s">
        <v>2149</v>
      </c>
      <c r="B1298" s="62" t="s">
        <v>2150</v>
      </c>
      <c r="C1298" s="62" t="s">
        <v>2151</v>
      </c>
      <c r="D1298" s="62" t="str">
        <f t="shared" si="21"/>
        <v>Kaliiro</v>
      </c>
      <c r="F1298" s="62">
        <v>901</v>
      </c>
    </row>
    <row r="1299" spans="1:6">
      <c r="A1299" s="62" t="s">
        <v>2152</v>
      </c>
      <c r="B1299" s="62" t="s">
        <v>2150</v>
      </c>
      <c r="C1299" s="62" t="s">
        <v>2151</v>
      </c>
      <c r="D1299" s="62" t="str">
        <f t="shared" si="21"/>
        <v>Kasagama</v>
      </c>
      <c r="F1299" s="62">
        <v>902</v>
      </c>
    </row>
    <row r="1300" spans="1:6">
      <c r="A1300" s="62" t="s">
        <v>2153</v>
      </c>
      <c r="B1300" s="62" t="s">
        <v>2150</v>
      </c>
      <c r="C1300" s="62" t="s">
        <v>2151</v>
      </c>
      <c r="D1300" s="62" t="str">
        <f t="shared" si="21"/>
        <v>Kinuuka</v>
      </c>
      <c r="F1300" s="62">
        <v>903</v>
      </c>
    </row>
    <row r="1301" spans="1:6">
      <c r="A1301" s="62" t="s">
        <v>2150</v>
      </c>
      <c r="B1301" s="62" t="s">
        <v>2150</v>
      </c>
      <c r="C1301" s="62" t="s">
        <v>2151</v>
      </c>
      <c r="D1301" s="62" t="str">
        <f t="shared" si="21"/>
        <v>Lyantonde</v>
      </c>
      <c r="F1301" s="62">
        <v>904</v>
      </c>
    </row>
    <row r="1302" spans="1:6">
      <c r="A1302" s="62" t="s">
        <v>2154</v>
      </c>
      <c r="B1302" s="62" t="s">
        <v>2150</v>
      </c>
      <c r="C1302" s="62" t="s">
        <v>2151</v>
      </c>
      <c r="D1302" s="62" t="str">
        <f t="shared" si="21"/>
        <v>Lyantonde Town Council</v>
      </c>
      <c r="F1302" s="62">
        <v>905</v>
      </c>
    </row>
    <row r="1303" spans="1:6">
      <c r="A1303" s="62" t="s">
        <v>179</v>
      </c>
      <c r="D1303" s="62" t="str">
        <f t="shared" si="21"/>
        <v>KIBEJJA</v>
      </c>
      <c r="F1303" s="62">
        <v>905</v>
      </c>
    </row>
    <row r="1304" spans="1:6">
      <c r="A1304" s="62" t="s">
        <v>2155</v>
      </c>
      <c r="D1304" s="62" t="str">
        <f t="shared" si="21"/>
        <v>LAKE MBURO</v>
      </c>
      <c r="F1304" s="62">
        <v>905</v>
      </c>
    </row>
    <row r="1305" spans="1:6">
      <c r="A1305" s="62" t="s">
        <v>2156</v>
      </c>
      <c r="B1305" s="62" t="s">
        <v>2150</v>
      </c>
      <c r="C1305" s="62" t="s">
        <v>2151</v>
      </c>
      <c r="D1305" s="62" t="str">
        <f t="shared" si="21"/>
        <v>Mpumudde-Lyantonde</v>
      </c>
      <c r="F1305" s="62">
        <v>906</v>
      </c>
    </row>
    <row r="1306" spans="1:6">
      <c r="A1306" s="62" t="s">
        <v>2157</v>
      </c>
      <c r="B1306" s="62" t="s">
        <v>2158</v>
      </c>
      <c r="C1306" s="62" t="s">
        <v>2159</v>
      </c>
      <c r="D1306" s="62" t="str">
        <f t="shared" si="21"/>
        <v>Bugobero</v>
      </c>
      <c r="F1306" s="62">
        <v>907</v>
      </c>
    </row>
    <row r="1307" spans="1:6">
      <c r="A1307" s="62" t="s">
        <v>2160</v>
      </c>
      <c r="B1307" s="62" t="s">
        <v>2158</v>
      </c>
      <c r="C1307" s="62" t="s">
        <v>2159</v>
      </c>
      <c r="D1307" s="62" t="str">
        <f t="shared" si="21"/>
        <v>Bukhofu</v>
      </c>
      <c r="F1307" s="62">
        <v>908</v>
      </c>
    </row>
    <row r="1308" spans="1:6">
      <c r="A1308" s="62" t="s">
        <v>2161</v>
      </c>
      <c r="B1308" s="62" t="s">
        <v>2158</v>
      </c>
      <c r="C1308" s="62" t="s">
        <v>2159</v>
      </c>
      <c r="D1308" s="62" t="str">
        <f t="shared" si="21"/>
        <v>Bukusu</v>
      </c>
      <c r="F1308" s="62">
        <v>909</v>
      </c>
    </row>
    <row r="1309" spans="1:6">
      <c r="A1309" s="62" t="s">
        <v>2162</v>
      </c>
      <c r="B1309" s="62" t="s">
        <v>2158</v>
      </c>
      <c r="C1309" s="62" t="s">
        <v>2159</v>
      </c>
      <c r="D1309" s="62" t="str">
        <f t="shared" si="21"/>
        <v>Bunabwana</v>
      </c>
      <c r="F1309" s="62">
        <v>910</v>
      </c>
    </row>
    <row r="1310" spans="1:6">
      <c r="A1310" s="62" t="s">
        <v>2163</v>
      </c>
      <c r="B1310" s="62" t="s">
        <v>2158</v>
      </c>
      <c r="C1310" s="62" t="s">
        <v>2159</v>
      </c>
      <c r="D1310" s="62" t="str">
        <f t="shared" si="21"/>
        <v>Bunyinza Town Council</v>
      </c>
      <c r="F1310" s="62">
        <v>911</v>
      </c>
    </row>
    <row r="1311" spans="1:6">
      <c r="A1311" s="62" t="s">
        <v>2164</v>
      </c>
      <c r="B1311" s="62" t="s">
        <v>2158</v>
      </c>
      <c r="C1311" s="62" t="s">
        <v>2159</v>
      </c>
      <c r="D1311" s="62" t="str">
        <f t="shared" si="21"/>
        <v>Busukuya</v>
      </c>
      <c r="F1311" s="62">
        <v>912</v>
      </c>
    </row>
    <row r="1312" spans="1:6">
      <c r="A1312" s="62" t="s">
        <v>2165</v>
      </c>
      <c r="B1312" s="62" t="s">
        <v>2158</v>
      </c>
      <c r="C1312" s="62" t="s">
        <v>2159</v>
      </c>
      <c r="D1312" s="62" t="str">
        <f t="shared" si="21"/>
        <v>Butiru</v>
      </c>
      <c r="F1312" s="62">
        <v>913</v>
      </c>
    </row>
    <row r="1313" spans="1:6">
      <c r="A1313" s="62" t="s">
        <v>2166</v>
      </c>
      <c r="B1313" s="62" t="s">
        <v>2158</v>
      </c>
      <c r="C1313" s="62" t="s">
        <v>2159</v>
      </c>
      <c r="D1313" s="62" t="str">
        <f t="shared" si="21"/>
        <v>Butta</v>
      </c>
      <c r="F1313" s="62">
        <v>914</v>
      </c>
    </row>
    <row r="1314" spans="1:6">
      <c r="A1314" s="62" t="s">
        <v>2167</v>
      </c>
      <c r="B1314" s="62" t="s">
        <v>2158</v>
      </c>
      <c r="C1314" s="62" t="s">
        <v>2159</v>
      </c>
      <c r="D1314" s="62" t="str">
        <f t="shared" si="21"/>
        <v>Buwagogo</v>
      </c>
      <c r="F1314" s="62">
        <v>915</v>
      </c>
    </row>
    <row r="1315" spans="1:6">
      <c r="A1315" s="62" t="s">
        <v>2168</v>
      </c>
      <c r="B1315" s="62" t="s">
        <v>2158</v>
      </c>
      <c r="C1315" s="62" t="s">
        <v>2159</v>
      </c>
      <c r="D1315" s="62" t="str">
        <f t="shared" si="21"/>
        <v>Buwangani Town Council</v>
      </c>
      <c r="F1315" s="62">
        <v>916</v>
      </c>
    </row>
    <row r="1316" spans="1:6">
      <c r="A1316" s="62" t="s">
        <v>2169</v>
      </c>
      <c r="B1316" s="62" t="s">
        <v>2158</v>
      </c>
      <c r="C1316" s="62" t="s">
        <v>2159</v>
      </c>
      <c r="D1316" s="62" t="str">
        <f t="shared" si="21"/>
        <v>Kaato</v>
      </c>
      <c r="F1316" s="62">
        <v>917</v>
      </c>
    </row>
    <row r="1317" spans="1:6">
      <c r="A1317" s="62" t="s">
        <v>2170</v>
      </c>
      <c r="B1317" s="62" t="s">
        <v>2158</v>
      </c>
      <c r="C1317" s="62" t="s">
        <v>2159</v>
      </c>
      <c r="D1317" s="62" t="str">
        <f t="shared" si="21"/>
        <v>Khabutoola</v>
      </c>
      <c r="F1317" s="62">
        <v>918</v>
      </c>
    </row>
    <row r="1318" spans="1:6">
      <c r="A1318" s="62" t="s">
        <v>2171</v>
      </c>
      <c r="B1318" s="62" t="s">
        <v>2158</v>
      </c>
      <c r="C1318" s="62" t="s">
        <v>2159</v>
      </c>
      <c r="D1318" s="62" t="str">
        <f t="shared" si="21"/>
        <v>Manafwa Town Council</v>
      </c>
      <c r="F1318" s="62">
        <v>919</v>
      </c>
    </row>
    <row r="1319" spans="1:6">
      <c r="A1319" s="62" t="s">
        <v>2172</v>
      </c>
      <c r="B1319" s="62" t="s">
        <v>2158</v>
      </c>
      <c r="C1319" s="62" t="s">
        <v>2159</v>
      </c>
      <c r="D1319" s="62" t="str">
        <f t="shared" si="21"/>
        <v>Nalondo</v>
      </c>
      <c r="F1319" s="62">
        <v>920</v>
      </c>
    </row>
    <row r="1320" spans="1:6">
      <c r="A1320" s="62" t="s">
        <v>2173</v>
      </c>
      <c r="B1320" s="62" t="s">
        <v>2158</v>
      </c>
      <c r="C1320" s="62" t="s">
        <v>2159</v>
      </c>
      <c r="D1320" s="62" t="str">
        <f t="shared" si="21"/>
        <v>Sibanga</v>
      </c>
      <c r="F1320" s="62">
        <v>921</v>
      </c>
    </row>
    <row r="1321" spans="1:6">
      <c r="A1321" s="62" t="s">
        <v>2174</v>
      </c>
      <c r="B1321" s="62" t="s">
        <v>2158</v>
      </c>
      <c r="C1321" s="62" t="s">
        <v>2159</v>
      </c>
      <c r="D1321" s="62" t="str">
        <f t="shared" si="21"/>
        <v>Sisuni</v>
      </c>
      <c r="F1321" s="62">
        <v>922</v>
      </c>
    </row>
    <row r="1322" spans="1:6">
      <c r="A1322" s="62" t="s">
        <v>2175</v>
      </c>
      <c r="B1322" s="62" t="s">
        <v>2158</v>
      </c>
      <c r="C1322" s="62" t="s">
        <v>2159</v>
      </c>
      <c r="D1322" s="62" t="str">
        <f t="shared" si="21"/>
        <v>Weswa</v>
      </c>
      <c r="F1322" s="62">
        <v>923</v>
      </c>
    </row>
    <row r="1323" spans="1:6">
      <c r="A1323" s="62" t="s">
        <v>2176</v>
      </c>
      <c r="B1323" s="62" t="s">
        <v>2177</v>
      </c>
      <c r="C1323" s="62" t="s">
        <v>2177</v>
      </c>
      <c r="D1323" s="62" t="str">
        <f t="shared" si="21"/>
        <v>Kijomoro</v>
      </c>
      <c r="F1323" s="62">
        <v>924</v>
      </c>
    </row>
    <row r="1324" spans="1:6">
      <c r="A1324" s="62" t="s">
        <v>2178</v>
      </c>
      <c r="B1324" s="62" t="s">
        <v>2177</v>
      </c>
      <c r="C1324" s="62" t="s">
        <v>2177</v>
      </c>
      <c r="D1324" s="62" t="str">
        <f t="shared" si="21"/>
        <v>Maracha Town Council</v>
      </c>
      <c r="F1324" s="62">
        <v>925</v>
      </c>
    </row>
    <row r="1325" spans="1:6">
      <c r="A1325" s="62" t="s">
        <v>2179</v>
      </c>
      <c r="B1325" s="62" t="s">
        <v>2177</v>
      </c>
      <c r="C1325" s="62" t="s">
        <v>2177</v>
      </c>
      <c r="D1325" s="62" t="str">
        <f t="shared" si="21"/>
        <v>Nyadri</v>
      </c>
      <c r="F1325" s="62">
        <v>926</v>
      </c>
    </row>
    <row r="1326" spans="1:6">
      <c r="A1326" s="62" t="s">
        <v>2180</v>
      </c>
      <c r="B1326" s="62" t="s">
        <v>2177</v>
      </c>
      <c r="C1326" s="62" t="s">
        <v>2177</v>
      </c>
      <c r="D1326" s="62" t="str">
        <f t="shared" si="21"/>
        <v>Oleba</v>
      </c>
      <c r="F1326" s="62">
        <v>927</v>
      </c>
    </row>
    <row r="1327" spans="1:6">
      <c r="A1327" s="62" t="s">
        <v>2181</v>
      </c>
      <c r="B1327" s="62" t="s">
        <v>2177</v>
      </c>
      <c r="C1327" s="62" t="s">
        <v>2177</v>
      </c>
      <c r="D1327" s="62" t="str">
        <f t="shared" si="21"/>
        <v>Oluffe</v>
      </c>
      <c r="F1327" s="62">
        <v>928</v>
      </c>
    </row>
    <row r="1328" spans="1:6">
      <c r="A1328" s="62" t="s">
        <v>2182</v>
      </c>
      <c r="B1328" s="62" t="s">
        <v>2177</v>
      </c>
      <c r="C1328" s="62" t="s">
        <v>2177</v>
      </c>
      <c r="D1328" s="62" t="str">
        <f t="shared" si="21"/>
        <v>Oluvu</v>
      </c>
      <c r="F1328" s="62">
        <v>929</v>
      </c>
    </row>
    <row r="1329" spans="1:6">
      <c r="A1329" s="62" t="s">
        <v>2183</v>
      </c>
      <c r="B1329" s="62" t="s">
        <v>2177</v>
      </c>
      <c r="C1329" s="62" t="s">
        <v>2177</v>
      </c>
      <c r="D1329" s="62" t="str">
        <f t="shared" si="21"/>
        <v>Tara</v>
      </c>
      <c r="F1329" s="62">
        <v>930</v>
      </c>
    </row>
    <row r="1330" spans="1:6">
      <c r="A1330" s="62" t="s">
        <v>2184</v>
      </c>
      <c r="B1330" s="62" t="s">
        <v>2177</v>
      </c>
      <c r="C1330" s="62" t="s">
        <v>2177</v>
      </c>
      <c r="D1330" s="62" t="str">
        <f t="shared" si="21"/>
        <v>Yivu</v>
      </c>
      <c r="F1330" s="62">
        <v>931</v>
      </c>
    </row>
    <row r="1331" spans="1:6">
      <c r="A1331" s="62" t="s">
        <v>2185</v>
      </c>
      <c r="B1331" s="62" t="s">
        <v>39</v>
      </c>
      <c r="C1331" s="62" t="s">
        <v>23</v>
      </c>
      <c r="D1331" s="62" t="str">
        <f t="shared" si="21"/>
        <v>Bukakata</v>
      </c>
      <c r="F1331" s="62">
        <v>932</v>
      </c>
    </row>
    <row r="1332" spans="1:6">
      <c r="A1332" s="62" t="s">
        <v>2186</v>
      </c>
      <c r="D1332" s="62" t="str">
        <f t="shared" si="21"/>
        <v>NABUGABO</v>
      </c>
      <c r="F1332" s="62">
        <v>932</v>
      </c>
    </row>
    <row r="1333" spans="1:6">
      <c r="A1333" s="62" t="s">
        <v>2187</v>
      </c>
      <c r="B1333" s="62" t="s">
        <v>39</v>
      </c>
      <c r="C1333" s="62" t="s">
        <v>23</v>
      </c>
      <c r="D1333" s="62" t="str">
        <f t="shared" si="21"/>
        <v>Buwunga-Masaka</v>
      </c>
      <c r="F1333" s="62">
        <v>933</v>
      </c>
    </row>
    <row r="1334" spans="1:6">
      <c r="A1334" s="62" t="s">
        <v>2188</v>
      </c>
      <c r="B1334" s="62" t="s">
        <v>39</v>
      </c>
      <c r="C1334" s="62" t="s">
        <v>23</v>
      </c>
      <c r="D1334" s="62" t="str">
        <f t="shared" si="21"/>
        <v>Kabonera</v>
      </c>
      <c r="F1334" s="62">
        <v>934</v>
      </c>
    </row>
    <row r="1335" spans="1:6">
      <c r="A1335" s="62" t="s">
        <v>2189</v>
      </c>
      <c r="B1335" s="62" t="s">
        <v>39</v>
      </c>
      <c r="C1335" s="62" t="s">
        <v>23</v>
      </c>
      <c r="D1335" s="62" t="str">
        <f t="shared" si="21"/>
        <v>Kyanamukaaka</v>
      </c>
      <c r="F1335" s="62">
        <v>935</v>
      </c>
    </row>
    <row r="1336" spans="1:6">
      <c r="A1336" s="62" t="s">
        <v>2190</v>
      </c>
      <c r="B1336" s="62" t="s">
        <v>39</v>
      </c>
      <c r="C1336" s="62" t="s">
        <v>23</v>
      </c>
      <c r="D1336" s="62" t="str">
        <f t="shared" si="21"/>
        <v>Kyesiiga</v>
      </c>
      <c r="F1336" s="62">
        <v>936</v>
      </c>
    </row>
    <row r="1337" spans="1:6">
      <c r="A1337" s="62" t="s">
        <v>2191</v>
      </c>
      <c r="B1337" s="62" t="s">
        <v>39</v>
      </c>
      <c r="C1337" s="62" t="s">
        <v>2191</v>
      </c>
      <c r="D1337" s="62" t="str">
        <f t="shared" si="21"/>
        <v>Masaka Municipality</v>
      </c>
      <c r="F1337" s="62">
        <v>937</v>
      </c>
    </row>
    <row r="1338" spans="1:6">
      <c r="A1338" s="62" t="s">
        <v>39</v>
      </c>
      <c r="D1338" s="62" t="str">
        <f t="shared" si="21"/>
        <v>Masaka</v>
      </c>
      <c r="F1338" s="62">
        <v>937</v>
      </c>
    </row>
    <row r="1339" spans="1:6">
      <c r="A1339" s="62" t="s">
        <v>2192</v>
      </c>
      <c r="D1339" s="62" t="str">
        <f t="shared" si="21"/>
        <v>MASAKA TOWN</v>
      </c>
      <c r="F1339" s="62">
        <v>937</v>
      </c>
    </row>
    <row r="1340" spans="1:6">
      <c r="A1340" s="62" t="s">
        <v>2193</v>
      </c>
      <c r="D1340" s="62" t="str">
        <f t="shared" si="21"/>
        <v>Masaka Road</v>
      </c>
      <c r="F1340" s="62">
        <v>937</v>
      </c>
    </row>
    <row r="1341" spans="1:6">
      <c r="A1341" s="62" t="s">
        <v>684</v>
      </c>
      <c r="D1341" s="62" t="str">
        <f t="shared" si="21"/>
        <v>NYENDO</v>
      </c>
      <c r="F1341" s="62">
        <v>937</v>
      </c>
    </row>
    <row r="1342" spans="1:6">
      <c r="A1342" s="62" t="s">
        <v>2194</v>
      </c>
      <c r="D1342" s="62" t="str">
        <f t="shared" si="21"/>
        <v>MBIRIZI</v>
      </c>
      <c r="F1342" s="62">
        <v>937</v>
      </c>
    </row>
    <row r="1343" spans="1:6">
      <c r="A1343" s="62" t="s">
        <v>2195</v>
      </c>
      <c r="D1343" s="62" t="str">
        <f t="shared" si="21"/>
        <v>RWERA</v>
      </c>
      <c r="F1343" s="62">
        <v>937</v>
      </c>
    </row>
    <row r="1344" spans="1:6">
      <c r="A1344" s="62" t="s">
        <v>691</v>
      </c>
      <c r="D1344" s="62" t="str">
        <f t="shared" si="21"/>
        <v>LWERA</v>
      </c>
      <c r="F1344" s="62">
        <v>937</v>
      </c>
    </row>
    <row r="1345" spans="1:6">
      <c r="A1345" s="62" t="s">
        <v>2196</v>
      </c>
      <c r="D1345" s="62" t="str">
        <f t="shared" si="21"/>
        <v>Luwera</v>
      </c>
      <c r="F1345" s="62">
        <v>937</v>
      </c>
    </row>
    <row r="1346" spans="1:6">
      <c r="A1346" s="62" t="s">
        <v>2197</v>
      </c>
      <c r="B1346" s="62" t="s">
        <v>39</v>
      </c>
      <c r="C1346" s="62" t="s">
        <v>23</v>
      </c>
      <c r="D1346" s="62" t="str">
        <f t="shared" ref="D1346:D1409" si="22">A1346</f>
        <v>Mukungwe</v>
      </c>
      <c r="F1346" s="62">
        <v>938</v>
      </c>
    </row>
    <row r="1347" spans="1:6">
      <c r="A1347" s="62" t="s">
        <v>2198</v>
      </c>
      <c r="B1347" s="62" t="s">
        <v>2199</v>
      </c>
      <c r="C1347" s="62" t="s">
        <v>2200</v>
      </c>
      <c r="D1347" s="62" t="str">
        <f t="shared" si="22"/>
        <v>Budongo</v>
      </c>
      <c r="F1347" s="62">
        <v>939</v>
      </c>
    </row>
    <row r="1348" spans="1:6">
      <c r="A1348" s="62" t="s">
        <v>2201</v>
      </c>
      <c r="B1348" s="62" t="s">
        <v>2199</v>
      </c>
      <c r="C1348" s="62" t="s">
        <v>2200</v>
      </c>
      <c r="D1348" s="62" t="str">
        <f t="shared" si="22"/>
        <v>Bwijanga</v>
      </c>
      <c r="F1348" s="62">
        <v>940</v>
      </c>
    </row>
    <row r="1349" spans="1:6">
      <c r="A1349" s="62" t="s">
        <v>2202</v>
      </c>
      <c r="B1349" s="62" t="s">
        <v>2199</v>
      </c>
      <c r="C1349" s="62" t="s">
        <v>2203</v>
      </c>
      <c r="D1349" s="62" t="str">
        <f t="shared" si="22"/>
        <v>Kimengo</v>
      </c>
      <c r="F1349" s="62">
        <v>941</v>
      </c>
    </row>
    <row r="1350" spans="1:6">
      <c r="A1350" s="62" t="s">
        <v>2204</v>
      </c>
      <c r="B1350" s="62" t="s">
        <v>2199</v>
      </c>
      <c r="C1350" s="62" t="s">
        <v>2204</v>
      </c>
      <c r="D1350" s="62" t="str">
        <f t="shared" si="22"/>
        <v>Masindi Municipality</v>
      </c>
      <c r="F1350" s="62">
        <v>942</v>
      </c>
    </row>
    <row r="1351" spans="1:6">
      <c r="A1351" s="62" t="s">
        <v>2205</v>
      </c>
      <c r="B1351" s="62" t="s">
        <v>2199</v>
      </c>
      <c r="C1351" s="62" t="s">
        <v>2203</v>
      </c>
      <c r="D1351" s="62" t="str">
        <f t="shared" si="22"/>
        <v>Miirya</v>
      </c>
      <c r="F1351" s="62">
        <v>943</v>
      </c>
    </row>
    <row r="1352" spans="1:6">
      <c r="A1352" s="62" t="s">
        <v>2206</v>
      </c>
      <c r="B1352" s="62" t="s">
        <v>2199</v>
      </c>
      <c r="C1352" s="62" t="s">
        <v>2203</v>
      </c>
      <c r="D1352" s="62" t="str">
        <f t="shared" si="22"/>
        <v>Pakanyi</v>
      </c>
      <c r="F1352" s="62">
        <v>944</v>
      </c>
    </row>
    <row r="1353" spans="1:6">
      <c r="A1353" s="62" t="s">
        <v>2207</v>
      </c>
      <c r="B1353" s="62" t="s">
        <v>2208</v>
      </c>
      <c r="C1353" s="62" t="s">
        <v>2209</v>
      </c>
      <c r="D1353" s="62" t="str">
        <f t="shared" si="22"/>
        <v>Baitambogwe</v>
      </c>
      <c r="F1353" s="62">
        <v>945</v>
      </c>
    </row>
    <row r="1354" spans="1:6">
      <c r="A1354" s="62" t="s">
        <v>2210</v>
      </c>
      <c r="B1354" s="62" t="s">
        <v>2208</v>
      </c>
      <c r="C1354" s="62" t="s">
        <v>2209</v>
      </c>
      <c r="D1354" s="62" t="str">
        <f t="shared" si="22"/>
        <v>Bukabooli</v>
      </c>
      <c r="F1354" s="62">
        <v>946</v>
      </c>
    </row>
    <row r="1355" spans="1:6">
      <c r="A1355" s="62" t="s">
        <v>2211</v>
      </c>
      <c r="B1355" s="62" t="s">
        <v>2208</v>
      </c>
      <c r="C1355" s="62" t="s">
        <v>2209</v>
      </c>
      <c r="D1355" s="62" t="str">
        <f t="shared" si="22"/>
        <v>Bukatube</v>
      </c>
      <c r="F1355" s="62">
        <v>947</v>
      </c>
    </row>
    <row r="1356" spans="1:6">
      <c r="A1356" s="62" t="s">
        <v>2212</v>
      </c>
      <c r="B1356" s="62" t="s">
        <v>2208</v>
      </c>
      <c r="C1356" s="62" t="s">
        <v>2209</v>
      </c>
      <c r="D1356" s="62" t="str">
        <f t="shared" si="22"/>
        <v>Busakira</v>
      </c>
      <c r="F1356" s="62">
        <v>948</v>
      </c>
    </row>
    <row r="1357" spans="1:6">
      <c r="A1357" s="62" t="s">
        <v>2213</v>
      </c>
      <c r="B1357" s="62" t="s">
        <v>2208</v>
      </c>
      <c r="C1357" s="62" t="s">
        <v>2209</v>
      </c>
      <c r="D1357" s="62" t="str">
        <f t="shared" si="22"/>
        <v>Buwaaya</v>
      </c>
      <c r="F1357" s="62">
        <v>949</v>
      </c>
    </row>
    <row r="1358" spans="1:6">
      <c r="A1358" s="62" t="s">
        <v>2214</v>
      </c>
      <c r="B1358" s="62" t="s">
        <v>2208</v>
      </c>
      <c r="C1358" s="62" t="s">
        <v>2209</v>
      </c>
      <c r="D1358" s="62" t="str">
        <f t="shared" si="22"/>
        <v>Imanyiro</v>
      </c>
      <c r="F1358" s="62">
        <v>950</v>
      </c>
    </row>
    <row r="1359" spans="1:6">
      <c r="A1359" s="62" t="s">
        <v>2215</v>
      </c>
      <c r="B1359" s="62" t="s">
        <v>2208</v>
      </c>
      <c r="C1359" s="62" t="s">
        <v>2209</v>
      </c>
      <c r="D1359" s="62" t="str">
        <f t="shared" si="22"/>
        <v>Jaguzi</v>
      </c>
      <c r="F1359" s="62">
        <v>951</v>
      </c>
    </row>
    <row r="1360" spans="1:6">
      <c r="A1360" s="62" t="s">
        <v>2216</v>
      </c>
      <c r="B1360" s="62" t="s">
        <v>2208</v>
      </c>
      <c r="C1360" s="62" t="s">
        <v>2209</v>
      </c>
      <c r="D1360" s="62" t="str">
        <f t="shared" si="22"/>
        <v>Kigandalo</v>
      </c>
      <c r="F1360" s="62">
        <v>952</v>
      </c>
    </row>
    <row r="1361" spans="1:6">
      <c r="A1361" s="62" t="s">
        <v>2217</v>
      </c>
      <c r="B1361" s="62" t="s">
        <v>2208</v>
      </c>
      <c r="C1361" s="62" t="s">
        <v>2209</v>
      </c>
      <c r="D1361" s="62" t="str">
        <f t="shared" si="22"/>
        <v>Kityerera</v>
      </c>
      <c r="F1361" s="62">
        <v>953</v>
      </c>
    </row>
    <row r="1362" spans="1:6">
      <c r="A1362" s="62" t="s">
        <v>2218</v>
      </c>
      <c r="B1362" s="62" t="s">
        <v>2208</v>
      </c>
      <c r="C1362" s="62" t="s">
        <v>2209</v>
      </c>
      <c r="D1362" s="62" t="str">
        <f t="shared" si="22"/>
        <v>Magamaga Town Council</v>
      </c>
      <c r="F1362" s="62">
        <v>954</v>
      </c>
    </row>
    <row r="1363" spans="1:6">
      <c r="A1363" s="62" t="s">
        <v>2219</v>
      </c>
      <c r="B1363" s="62" t="s">
        <v>2208</v>
      </c>
      <c r="C1363" s="62" t="s">
        <v>2209</v>
      </c>
      <c r="D1363" s="62" t="str">
        <f t="shared" si="22"/>
        <v>Malongo-Mayuge</v>
      </c>
      <c r="F1363" s="62">
        <v>955</v>
      </c>
    </row>
    <row r="1364" spans="1:6">
      <c r="A1364" s="62" t="s">
        <v>2220</v>
      </c>
      <c r="B1364" s="62" t="s">
        <v>2208</v>
      </c>
      <c r="C1364" s="62" t="s">
        <v>2209</v>
      </c>
      <c r="D1364" s="62" t="str">
        <f t="shared" si="22"/>
        <v>Mayuge Town Council</v>
      </c>
      <c r="F1364" s="62">
        <v>956</v>
      </c>
    </row>
    <row r="1365" spans="1:6">
      <c r="A1365" s="62" t="s">
        <v>2221</v>
      </c>
      <c r="B1365" s="62" t="s">
        <v>2208</v>
      </c>
      <c r="C1365" s="62" t="s">
        <v>2209</v>
      </c>
      <c r="D1365" s="62" t="str">
        <f t="shared" si="22"/>
        <v>Mpungwe</v>
      </c>
      <c r="F1365" s="62">
        <v>957</v>
      </c>
    </row>
    <row r="1366" spans="1:6">
      <c r="A1366" s="62" t="s">
        <v>2222</v>
      </c>
      <c r="B1366" s="62" t="s">
        <v>2208</v>
      </c>
      <c r="C1366" s="62" t="s">
        <v>2209</v>
      </c>
      <c r="D1366" s="62" t="str">
        <f t="shared" si="22"/>
        <v>Wairasa</v>
      </c>
      <c r="F1366" s="62">
        <v>958</v>
      </c>
    </row>
    <row r="1367" spans="1:6">
      <c r="A1367" s="62" t="s">
        <v>2223</v>
      </c>
      <c r="B1367" s="62" t="s">
        <v>2224</v>
      </c>
      <c r="C1367" s="62" t="s">
        <v>2225</v>
      </c>
      <c r="D1367" s="62" t="str">
        <f t="shared" si="22"/>
        <v>Bubyangu</v>
      </c>
      <c r="F1367" s="62">
        <v>959</v>
      </c>
    </row>
    <row r="1368" spans="1:6">
      <c r="A1368" s="62" t="s">
        <v>2226</v>
      </c>
      <c r="B1368" s="62" t="s">
        <v>2224</v>
      </c>
      <c r="C1368" s="62" t="s">
        <v>2225</v>
      </c>
      <c r="D1368" s="62" t="str">
        <f t="shared" si="22"/>
        <v>Budwale</v>
      </c>
      <c r="F1368" s="62">
        <v>960</v>
      </c>
    </row>
    <row r="1369" spans="1:6">
      <c r="A1369" s="62" t="s">
        <v>2227</v>
      </c>
      <c r="B1369" s="62" t="s">
        <v>2224</v>
      </c>
      <c r="C1369" s="62" t="s">
        <v>2225</v>
      </c>
      <c r="D1369" s="62" t="str">
        <f t="shared" si="22"/>
        <v>Bufumbo</v>
      </c>
      <c r="F1369" s="62">
        <v>961</v>
      </c>
    </row>
    <row r="1370" spans="1:6">
      <c r="A1370" s="62" t="s">
        <v>2228</v>
      </c>
      <c r="B1370" s="62" t="s">
        <v>2224</v>
      </c>
      <c r="C1370" s="62" t="s">
        <v>2225</v>
      </c>
      <c r="D1370" s="62" t="str">
        <f t="shared" si="22"/>
        <v>Bukasakya</v>
      </c>
      <c r="F1370" s="62">
        <v>962</v>
      </c>
    </row>
    <row r="1371" spans="1:6">
      <c r="A1371" s="62" t="s">
        <v>2229</v>
      </c>
      <c r="B1371" s="62" t="s">
        <v>2224</v>
      </c>
      <c r="C1371" s="62" t="s">
        <v>2225</v>
      </c>
      <c r="D1371" s="62" t="str">
        <f t="shared" si="22"/>
        <v>Bukiende</v>
      </c>
      <c r="F1371" s="62">
        <v>963</v>
      </c>
    </row>
    <row r="1372" spans="1:6">
      <c r="A1372" s="62" t="s">
        <v>2230</v>
      </c>
      <c r="B1372" s="62" t="s">
        <v>2224</v>
      </c>
      <c r="C1372" s="62" t="s">
        <v>2225</v>
      </c>
      <c r="D1372" s="62" t="str">
        <f t="shared" si="22"/>
        <v>Bukonde</v>
      </c>
      <c r="F1372" s="62">
        <v>964</v>
      </c>
    </row>
    <row r="1373" spans="1:6">
      <c r="A1373" s="62" t="s">
        <v>2231</v>
      </c>
      <c r="B1373" s="62" t="s">
        <v>2224</v>
      </c>
      <c r="C1373" s="62" t="s">
        <v>2225</v>
      </c>
      <c r="D1373" s="62" t="str">
        <f t="shared" si="22"/>
        <v>Bumasikye</v>
      </c>
      <c r="F1373" s="62">
        <v>965</v>
      </c>
    </row>
    <row r="1374" spans="1:6">
      <c r="A1374" s="62" t="s">
        <v>2232</v>
      </c>
      <c r="B1374" s="62" t="s">
        <v>2224</v>
      </c>
      <c r="C1374" s="62" t="s">
        <v>2225</v>
      </c>
      <c r="D1374" s="62" t="str">
        <f t="shared" si="22"/>
        <v>Bumbobi</v>
      </c>
      <c r="F1374" s="62">
        <v>966</v>
      </c>
    </row>
    <row r="1375" spans="1:6">
      <c r="A1375" s="62" t="s">
        <v>2225</v>
      </c>
      <c r="B1375" s="62" t="s">
        <v>2224</v>
      </c>
      <c r="C1375" s="62" t="s">
        <v>2225</v>
      </c>
      <c r="D1375" s="62" t="str">
        <f t="shared" si="22"/>
        <v>Bungokho</v>
      </c>
      <c r="F1375" s="62">
        <v>967</v>
      </c>
    </row>
    <row r="1376" spans="1:6">
      <c r="A1376" s="62" t="s">
        <v>2233</v>
      </c>
      <c r="D1376" s="62" t="str">
        <f t="shared" si="22"/>
        <v>BUGEMA</v>
      </c>
      <c r="F1376" s="62">
        <v>967</v>
      </c>
    </row>
    <row r="1377" spans="1:6">
      <c r="A1377" s="62" t="s">
        <v>2234</v>
      </c>
      <c r="B1377" s="62" t="s">
        <v>2224</v>
      </c>
      <c r="C1377" s="62" t="s">
        <v>2225</v>
      </c>
      <c r="D1377" s="62" t="str">
        <f t="shared" si="22"/>
        <v>Bungokho Mutoto</v>
      </c>
      <c r="F1377" s="62">
        <v>968</v>
      </c>
    </row>
    <row r="1378" spans="1:6">
      <c r="A1378" s="62" t="s">
        <v>2235</v>
      </c>
      <c r="B1378" s="62" t="s">
        <v>2224</v>
      </c>
      <c r="C1378" s="62" t="s">
        <v>2225</v>
      </c>
      <c r="D1378" s="62" t="str">
        <f t="shared" si="22"/>
        <v>Busano</v>
      </c>
      <c r="F1378" s="62">
        <v>969</v>
      </c>
    </row>
    <row r="1379" spans="1:6">
      <c r="A1379" s="62" t="s">
        <v>2236</v>
      </c>
      <c r="B1379" s="62" t="s">
        <v>2224</v>
      </c>
      <c r="C1379" s="62" t="s">
        <v>2225</v>
      </c>
      <c r="D1379" s="62" t="str">
        <f t="shared" si="22"/>
        <v>Busiu</v>
      </c>
      <c r="F1379" s="62">
        <v>970</v>
      </c>
    </row>
    <row r="1380" spans="1:6">
      <c r="A1380" s="62" t="s">
        <v>2237</v>
      </c>
      <c r="B1380" s="62" t="s">
        <v>2224</v>
      </c>
      <c r="C1380" s="62" t="s">
        <v>2225</v>
      </c>
      <c r="D1380" s="62" t="str">
        <f t="shared" si="22"/>
        <v>Busiu Town Council</v>
      </c>
      <c r="F1380" s="62">
        <v>971</v>
      </c>
    </row>
    <row r="1381" spans="1:6">
      <c r="A1381" s="62" t="s">
        <v>2238</v>
      </c>
      <c r="B1381" s="62" t="s">
        <v>2224</v>
      </c>
      <c r="C1381" s="62" t="s">
        <v>2225</v>
      </c>
      <c r="D1381" s="62" t="str">
        <f t="shared" si="22"/>
        <v>Busoba</v>
      </c>
      <c r="F1381" s="62">
        <v>972</v>
      </c>
    </row>
    <row r="1382" spans="1:6">
      <c r="A1382" s="62" t="s">
        <v>2239</v>
      </c>
      <c r="B1382" s="62" t="s">
        <v>2224</v>
      </c>
      <c r="C1382" s="62" t="s">
        <v>2225</v>
      </c>
      <c r="D1382" s="62" t="str">
        <f t="shared" si="22"/>
        <v>Lukhonge</v>
      </c>
      <c r="F1382" s="62">
        <v>973</v>
      </c>
    </row>
    <row r="1383" spans="1:6">
      <c r="A1383" s="62" t="s">
        <v>2240</v>
      </c>
      <c r="B1383" s="62" t="s">
        <v>2224</v>
      </c>
      <c r="C1383" s="62" t="s">
        <v>2225</v>
      </c>
      <c r="D1383" s="62" t="str">
        <f t="shared" si="22"/>
        <v>Lwasso</v>
      </c>
      <c r="F1383" s="62">
        <v>974</v>
      </c>
    </row>
    <row r="1384" spans="1:6">
      <c r="A1384" s="62" t="s">
        <v>2241</v>
      </c>
      <c r="B1384" s="62" t="s">
        <v>2224</v>
      </c>
      <c r="C1384" s="62" t="s">
        <v>2241</v>
      </c>
      <c r="D1384" s="62" t="str">
        <f t="shared" si="22"/>
        <v>Mbale Municipality</v>
      </c>
      <c r="F1384" s="62">
        <v>975</v>
      </c>
    </row>
    <row r="1385" spans="1:6">
      <c r="A1385" s="62" t="s">
        <v>2242</v>
      </c>
      <c r="D1385" s="62" t="str">
        <f t="shared" si="22"/>
        <v>MBALE TOWN</v>
      </c>
      <c r="F1385" s="62">
        <v>975</v>
      </c>
    </row>
    <row r="1386" spans="1:6">
      <c r="A1386" s="62" t="s">
        <v>2243</v>
      </c>
      <c r="D1386" s="62" t="str">
        <f t="shared" si="22"/>
        <v>MBALE</v>
      </c>
      <c r="F1386" s="62">
        <v>975</v>
      </c>
    </row>
    <row r="1387" spans="1:6">
      <c r="A1387" s="62" t="s">
        <v>2244</v>
      </c>
      <c r="B1387" s="62" t="s">
        <v>2224</v>
      </c>
      <c r="C1387" s="62" t="s">
        <v>2225</v>
      </c>
      <c r="D1387" s="62" t="str">
        <f t="shared" si="22"/>
        <v>Nabumali Town Council</v>
      </c>
      <c r="F1387" s="62">
        <v>976</v>
      </c>
    </row>
    <row r="1388" spans="1:6">
      <c r="A1388" s="62" t="s">
        <v>2245</v>
      </c>
      <c r="B1388" s="62" t="s">
        <v>2224</v>
      </c>
      <c r="C1388" s="62" t="s">
        <v>2225</v>
      </c>
      <c r="D1388" s="62" t="str">
        <f t="shared" si="22"/>
        <v>Nakaloke</v>
      </c>
      <c r="F1388" s="62">
        <v>977</v>
      </c>
    </row>
    <row r="1389" spans="1:6">
      <c r="A1389" s="62" t="s">
        <v>2246</v>
      </c>
      <c r="B1389" s="62" t="s">
        <v>2224</v>
      </c>
      <c r="C1389" s="62" t="s">
        <v>2225</v>
      </c>
      <c r="D1389" s="62" t="str">
        <f t="shared" si="22"/>
        <v>Nakaloke Town Council</v>
      </c>
      <c r="F1389" s="62">
        <v>978</v>
      </c>
    </row>
    <row r="1390" spans="1:6">
      <c r="A1390" s="62" t="s">
        <v>2247</v>
      </c>
      <c r="B1390" s="62" t="s">
        <v>2224</v>
      </c>
      <c r="C1390" s="62" t="s">
        <v>2225</v>
      </c>
      <c r="D1390" s="62" t="str">
        <f t="shared" si="22"/>
        <v>Namanyonyi</v>
      </c>
      <c r="F1390" s="62">
        <v>979</v>
      </c>
    </row>
    <row r="1391" spans="1:6">
      <c r="A1391" s="62" t="s">
        <v>2248</v>
      </c>
      <c r="B1391" s="62" t="s">
        <v>2224</v>
      </c>
      <c r="C1391" s="62" t="s">
        <v>2225</v>
      </c>
      <c r="D1391" s="62" t="str">
        <f t="shared" si="22"/>
        <v>Nyondo</v>
      </c>
      <c r="F1391" s="62">
        <v>980</v>
      </c>
    </row>
    <row r="1392" spans="1:6">
      <c r="A1392" s="62" t="s">
        <v>2249</v>
      </c>
      <c r="B1392" s="62" t="s">
        <v>2224</v>
      </c>
      <c r="C1392" s="62" t="s">
        <v>2225</v>
      </c>
      <c r="D1392" s="62" t="str">
        <f t="shared" si="22"/>
        <v>Wanale</v>
      </c>
      <c r="F1392" s="62">
        <v>981</v>
      </c>
    </row>
    <row r="1393" spans="1:6">
      <c r="A1393" s="62" t="s">
        <v>2250</v>
      </c>
      <c r="B1393" s="62" t="s">
        <v>2251</v>
      </c>
      <c r="C1393" s="62" t="s">
        <v>2252</v>
      </c>
      <c r="D1393" s="62" t="str">
        <f t="shared" si="22"/>
        <v>Bubaare-Mbarara</v>
      </c>
      <c r="F1393" s="62">
        <v>982</v>
      </c>
    </row>
    <row r="1394" spans="1:6">
      <c r="A1394" s="62" t="s">
        <v>2253</v>
      </c>
      <c r="B1394" s="62" t="s">
        <v>2251</v>
      </c>
      <c r="C1394" s="62" t="s">
        <v>2254</v>
      </c>
      <c r="D1394" s="62" t="str">
        <f t="shared" si="22"/>
        <v>Bugamba</v>
      </c>
      <c r="F1394" s="62">
        <v>983</v>
      </c>
    </row>
    <row r="1395" spans="1:6">
      <c r="A1395" s="62" t="s">
        <v>2255</v>
      </c>
      <c r="B1395" s="62" t="s">
        <v>2251</v>
      </c>
      <c r="C1395" s="62" t="s">
        <v>2252</v>
      </c>
      <c r="D1395" s="62" t="str">
        <f t="shared" si="22"/>
        <v>Bukiro</v>
      </c>
      <c r="F1395" s="62">
        <v>984</v>
      </c>
    </row>
    <row r="1396" spans="1:6">
      <c r="A1396" s="62" t="s">
        <v>2256</v>
      </c>
      <c r="B1396" s="62" t="s">
        <v>2251</v>
      </c>
      <c r="C1396" s="62" t="s">
        <v>2252</v>
      </c>
      <c r="D1396" s="62" t="str">
        <f t="shared" si="22"/>
        <v>Kagongi</v>
      </c>
      <c r="F1396" s="62">
        <v>985</v>
      </c>
    </row>
    <row r="1397" spans="1:6">
      <c r="A1397" s="62" t="s">
        <v>2257</v>
      </c>
      <c r="B1397" s="62" t="s">
        <v>2251</v>
      </c>
      <c r="C1397" s="62" t="s">
        <v>2252</v>
      </c>
      <c r="D1397" s="62" t="str">
        <f t="shared" si="22"/>
        <v>Kashare</v>
      </c>
      <c r="F1397" s="62">
        <v>986</v>
      </c>
    </row>
    <row r="1398" spans="1:6">
      <c r="A1398" s="62" t="s">
        <v>2258</v>
      </c>
      <c r="B1398" s="62" t="s">
        <v>2251</v>
      </c>
      <c r="C1398" s="62" t="s">
        <v>2258</v>
      </c>
      <c r="D1398" s="62" t="str">
        <f t="shared" si="22"/>
        <v>Mbarara Municipality</v>
      </c>
      <c r="F1398" s="62">
        <v>987</v>
      </c>
    </row>
    <row r="1399" spans="1:6">
      <c r="A1399" s="62" t="s">
        <v>2259</v>
      </c>
      <c r="D1399" s="62" t="str">
        <f t="shared" si="22"/>
        <v xml:space="preserve">Mbarara   </v>
      </c>
      <c r="F1399" s="62">
        <v>987</v>
      </c>
    </row>
    <row r="1400" spans="1:6">
      <c r="A1400" s="62" t="s">
        <v>2260</v>
      </c>
      <c r="D1400" s="62" t="str">
        <f t="shared" si="22"/>
        <v>MBARARA</v>
      </c>
      <c r="F1400" s="62">
        <v>987</v>
      </c>
    </row>
    <row r="1401" spans="1:6">
      <c r="A1401" s="62" t="s">
        <v>2261</v>
      </c>
      <c r="D1401" s="62" t="str">
        <f t="shared" si="22"/>
        <v>MBARARA TOWN</v>
      </c>
      <c r="F1401" s="62">
        <v>987</v>
      </c>
    </row>
    <row r="1402" spans="1:6">
      <c r="A1402" s="62" t="s">
        <v>2262</v>
      </c>
      <c r="B1402" s="62" t="s">
        <v>2251</v>
      </c>
      <c r="C1402" s="62" t="s">
        <v>2254</v>
      </c>
      <c r="D1402" s="62" t="str">
        <f t="shared" si="22"/>
        <v>Mwizi</v>
      </c>
      <c r="F1402" s="62">
        <v>988</v>
      </c>
    </row>
    <row r="1403" spans="1:6">
      <c r="A1403" s="62" t="s">
        <v>2263</v>
      </c>
      <c r="D1403" s="62" t="str">
        <f t="shared" si="22"/>
        <v>RWAMPALA</v>
      </c>
      <c r="F1403" s="62">
        <v>988</v>
      </c>
    </row>
    <row r="1404" spans="1:6">
      <c r="A1404" s="62" t="s">
        <v>2264</v>
      </c>
      <c r="B1404" s="62" t="s">
        <v>2251</v>
      </c>
      <c r="C1404" s="62" t="s">
        <v>2254</v>
      </c>
      <c r="D1404" s="62" t="str">
        <f t="shared" si="22"/>
        <v>Ndeija</v>
      </c>
      <c r="F1404" s="62">
        <v>989</v>
      </c>
    </row>
    <row r="1405" spans="1:6">
      <c r="A1405" s="62" t="s">
        <v>2265</v>
      </c>
      <c r="B1405" s="62" t="s">
        <v>2251</v>
      </c>
      <c r="C1405" s="62" t="s">
        <v>2252</v>
      </c>
      <c r="D1405" s="62" t="str">
        <f t="shared" si="22"/>
        <v>Rubaya-Mbarara</v>
      </c>
      <c r="F1405" s="62">
        <v>990</v>
      </c>
    </row>
    <row r="1406" spans="1:6">
      <c r="A1406" s="62" t="s">
        <v>2266</v>
      </c>
      <c r="B1406" s="62" t="s">
        <v>2251</v>
      </c>
      <c r="C1406" s="62" t="s">
        <v>2252</v>
      </c>
      <c r="D1406" s="62" t="str">
        <f t="shared" si="22"/>
        <v>Rubindi</v>
      </c>
      <c r="F1406" s="62">
        <v>991</v>
      </c>
    </row>
    <row r="1407" spans="1:6">
      <c r="A1407" s="62" t="s">
        <v>2267</v>
      </c>
      <c r="B1407" s="62" t="s">
        <v>2251</v>
      </c>
      <c r="C1407" s="62" t="s">
        <v>2254</v>
      </c>
      <c r="D1407" s="62" t="str">
        <f t="shared" si="22"/>
        <v>Rugando</v>
      </c>
      <c r="F1407" s="62">
        <v>992</v>
      </c>
    </row>
    <row r="1408" spans="1:6">
      <c r="A1408" s="62" t="s">
        <v>2268</v>
      </c>
      <c r="B1408" s="62" t="s">
        <v>2251</v>
      </c>
      <c r="C1408" s="62" t="s">
        <v>2252</v>
      </c>
      <c r="D1408" s="62" t="str">
        <f t="shared" si="22"/>
        <v>Rwanyamahembe</v>
      </c>
      <c r="F1408" s="62">
        <v>993</v>
      </c>
    </row>
    <row r="1409" spans="1:6">
      <c r="A1409" s="62" t="s">
        <v>2269</v>
      </c>
      <c r="B1409" s="62" t="s">
        <v>45</v>
      </c>
      <c r="C1409" s="62" t="s">
        <v>2270</v>
      </c>
      <c r="D1409" s="62" t="str">
        <f t="shared" si="22"/>
        <v>Bitereko</v>
      </c>
      <c r="F1409" s="62">
        <v>994</v>
      </c>
    </row>
    <row r="1410" spans="1:6">
      <c r="A1410" s="62" t="s">
        <v>2074</v>
      </c>
      <c r="B1410" s="62" t="s">
        <v>45</v>
      </c>
      <c r="C1410" s="62" t="s">
        <v>2270</v>
      </c>
      <c r="D1410" s="62" t="str">
        <f t="shared" ref="D1410:D1473" si="23">A1410</f>
        <v>Kabira</v>
      </c>
      <c r="F1410" s="62">
        <v>995</v>
      </c>
    </row>
    <row r="1411" spans="1:6">
      <c r="A1411" s="62" t="s">
        <v>2271</v>
      </c>
      <c r="B1411" s="62" t="s">
        <v>45</v>
      </c>
      <c r="C1411" s="62" t="s">
        <v>2270</v>
      </c>
      <c r="D1411" s="62" t="str">
        <f t="shared" si="23"/>
        <v>Kanyabwanga</v>
      </c>
      <c r="F1411" s="62">
        <v>996</v>
      </c>
    </row>
    <row r="1412" spans="1:6">
      <c r="A1412" s="62" t="s">
        <v>2272</v>
      </c>
      <c r="B1412" s="62" t="s">
        <v>45</v>
      </c>
      <c r="C1412" s="62" t="s">
        <v>2270</v>
      </c>
      <c r="D1412" s="62" t="str">
        <f t="shared" si="23"/>
        <v>Kashenshero</v>
      </c>
      <c r="F1412" s="62">
        <v>997</v>
      </c>
    </row>
    <row r="1413" spans="1:6">
      <c r="A1413" s="62" t="s">
        <v>2273</v>
      </c>
      <c r="B1413" s="62" t="s">
        <v>45</v>
      </c>
      <c r="C1413" s="62" t="s">
        <v>2270</v>
      </c>
      <c r="D1413" s="62" t="str">
        <f t="shared" si="23"/>
        <v>Kashenshero Town Council</v>
      </c>
      <c r="F1413" s="62">
        <v>998</v>
      </c>
    </row>
    <row r="1414" spans="1:6">
      <c r="A1414" s="62" t="s">
        <v>2274</v>
      </c>
      <c r="B1414" s="62" t="s">
        <v>45</v>
      </c>
      <c r="C1414" s="62" t="s">
        <v>2270</v>
      </c>
      <c r="D1414" s="62" t="str">
        <f t="shared" si="23"/>
        <v>Katenga</v>
      </c>
      <c r="F1414" s="62">
        <v>999</v>
      </c>
    </row>
    <row r="1415" spans="1:6">
      <c r="A1415" s="62" t="s">
        <v>2275</v>
      </c>
      <c r="B1415" s="62" t="s">
        <v>45</v>
      </c>
      <c r="C1415" s="62" t="s">
        <v>2270</v>
      </c>
      <c r="D1415" s="62" t="str">
        <f t="shared" si="23"/>
        <v>Kiyanga</v>
      </c>
      <c r="F1415" s="62">
        <v>1000</v>
      </c>
    </row>
    <row r="1416" spans="1:6">
      <c r="A1416" s="62" t="s">
        <v>2276</v>
      </c>
      <c r="B1416" s="62" t="s">
        <v>45</v>
      </c>
      <c r="C1416" s="62" t="s">
        <v>2270</v>
      </c>
      <c r="D1416" s="62" t="str">
        <f t="shared" si="23"/>
        <v>Mayanga</v>
      </c>
      <c r="F1416" s="62">
        <v>1001</v>
      </c>
    </row>
    <row r="1417" spans="1:6">
      <c r="A1417" s="62" t="s">
        <v>45</v>
      </c>
      <c r="B1417" s="62" t="s">
        <v>45</v>
      </c>
      <c r="C1417" s="62" t="s">
        <v>2270</v>
      </c>
      <c r="D1417" s="62" t="str">
        <f t="shared" si="23"/>
        <v>Mitooma</v>
      </c>
      <c r="F1417" s="62">
        <v>1002</v>
      </c>
    </row>
    <row r="1418" spans="1:6">
      <c r="A1418" s="62" t="s">
        <v>2277</v>
      </c>
      <c r="B1418" s="62" t="s">
        <v>45</v>
      </c>
      <c r="C1418" s="62" t="s">
        <v>2270</v>
      </c>
      <c r="D1418" s="62" t="str">
        <f t="shared" si="23"/>
        <v>Mitooma Town Council</v>
      </c>
      <c r="F1418" s="62">
        <v>1003</v>
      </c>
    </row>
    <row r="1419" spans="1:6">
      <c r="A1419" s="62" t="s">
        <v>2278</v>
      </c>
      <c r="B1419" s="62" t="s">
        <v>45</v>
      </c>
      <c r="C1419" s="62" t="s">
        <v>2270</v>
      </c>
      <c r="D1419" s="62" t="str">
        <f t="shared" si="23"/>
        <v>Mutara</v>
      </c>
      <c r="F1419" s="62">
        <v>1004</v>
      </c>
    </row>
    <row r="1420" spans="1:6">
      <c r="A1420" s="62" t="s">
        <v>2279</v>
      </c>
      <c r="B1420" s="62" t="s">
        <v>45</v>
      </c>
      <c r="C1420" s="62" t="s">
        <v>2270</v>
      </c>
      <c r="D1420" s="62" t="str">
        <f t="shared" si="23"/>
        <v>Rurehe</v>
      </c>
      <c r="F1420" s="62">
        <v>1005</v>
      </c>
    </row>
    <row r="1421" spans="1:6">
      <c r="A1421" s="62" t="s">
        <v>2280</v>
      </c>
      <c r="B1421" s="62" t="s">
        <v>2281</v>
      </c>
      <c r="C1421" s="62" t="s">
        <v>2282</v>
      </c>
      <c r="D1421" s="62" t="str">
        <f t="shared" si="23"/>
        <v>Bbanda</v>
      </c>
      <c r="F1421" s="62">
        <v>1006</v>
      </c>
    </row>
    <row r="1422" spans="1:6">
      <c r="A1422" s="62" t="s">
        <v>2283</v>
      </c>
      <c r="B1422" s="62" t="s">
        <v>2281</v>
      </c>
      <c r="C1422" s="62" t="s">
        <v>2281</v>
      </c>
      <c r="D1422" s="62" t="str">
        <f t="shared" si="23"/>
        <v>Bulera</v>
      </c>
      <c r="F1422" s="62">
        <v>1007</v>
      </c>
    </row>
    <row r="1423" spans="1:6">
      <c r="A1423" s="62" t="s">
        <v>2284</v>
      </c>
      <c r="B1423" s="62" t="s">
        <v>2281</v>
      </c>
      <c r="C1423" s="62" t="s">
        <v>2285</v>
      </c>
      <c r="D1423" s="62" t="str">
        <f t="shared" si="23"/>
        <v>Busimbi Division</v>
      </c>
      <c r="F1423" s="62">
        <v>1008</v>
      </c>
    </row>
    <row r="1424" spans="1:6">
      <c r="A1424" s="62" t="s">
        <v>2286</v>
      </c>
      <c r="B1424" s="62" t="s">
        <v>2281</v>
      </c>
      <c r="C1424" s="62" t="s">
        <v>2281</v>
      </c>
      <c r="D1424" s="62" t="str">
        <f t="shared" si="23"/>
        <v>Busunju Town Council</v>
      </c>
      <c r="F1424" s="62">
        <v>1009</v>
      </c>
    </row>
    <row r="1425" spans="1:6">
      <c r="A1425" s="62" t="s">
        <v>2287</v>
      </c>
      <c r="D1425" s="62" t="str">
        <f t="shared" si="23"/>
        <v>BUSUNJU</v>
      </c>
      <c r="F1425" s="62">
        <v>1009</v>
      </c>
    </row>
    <row r="1426" spans="1:6">
      <c r="A1426" s="62" t="s">
        <v>2288</v>
      </c>
      <c r="B1426" s="62" t="s">
        <v>2281</v>
      </c>
      <c r="C1426" s="62" t="s">
        <v>2282</v>
      </c>
      <c r="D1426" s="62" t="str">
        <f t="shared" si="23"/>
        <v>Butayunja</v>
      </c>
      <c r="F1426" s="62">
        <v>1010</v>
      </c>
    </row>
    <row r="1427" spans="1:6">
      <c r="A1427" s="62" t="s">
        <v>2289</v>
      </c>
      <c r="B1427" s="62" t="s">
        <v>2281</v>
      </c>
      <c r="C1427" s="62" t="s">
        <v>2282</v>
      </c>
      <c r="D1427" s="62" t="str">
        <f t="shared" si="23"/>
        <v>Kakindu</v>
      </c>
      <c r="F1427" s="62">
        <v>1011</v>
      </c>
    </row>
    <row r="1428" spans="1:6">
      <c r="A1428" s="62" t="s">
        <v>2290</v>
      </c>
      <c r="B1428" s="62" t="s">
        <v>2281</v>
      </c>
      <c r="C1428" s="62" t="s">
        <v>2281</v>
      </c>
      <c r="D1428" s="62" t="str">
        <f t="shared" si="23"/>
        <v>Kalangaalo</v>
      </c>
      <c r="F1428" s="62">
        <v>1012</v>
      </c>
    </row>
    <row r="1429" spans="1:6">
      <c r="A1429" s="62" t="s">
        <v>2291</v>
      </c>
      <c r="B1429" s="62" t="s">
        <v>2281</v>
      </c>
      <c r="C1429" s="62" t="s">
        <v>2281</v>
      </c>
      <c r="D1429" s="62" t="str">
        <f t="shared" si="23"/>
        <v>Kikandwa</v>
      </c>
      <c r="F1429" s="62">
        <v>1013</v>
      </c>
    </row>
    <row r="1430" spans="1:6">
      <c r="A1430" s="62" t="s">
        <v>2292</v>
      </c>
      <c r="B1430" s="62" t="s">
        <v>2281</v>
      </c>
      <c r="C1430" s="62" t="s">
        <v>2282</v>
      </c>
      <c r="D1430" s="62" t="str">
        <f t="shared" si="23"/>
        <v>Maanyi</v>
      </c>
      <c r="F1430" s="62">
        <v>1014</v>
      </c>
    </row>
    <row r="1431" spans="1:6">
      <c r="A1431" s="62" t="s">
        <v>2293</v>
      </c>
      <c r="B1431" s="62" t="s">
        <v>2281</v>
      </c>
      <c r="C1431" s="62" t="s">
        <v>2282</v>
      </c>
      <c r="D1431" s="62" t="str">
        <f t="shared" si="23"/>
        <v>Malangala</v>
      </c>
      <c r="F1431" s="62">
        <v>1015</v>
      </c>
    </row>
    <row r="1432" spans="1:6">
      <c r="A1432" s="62" t="s">
        <v>2285</v>
      </c>
      <c r="B1432" s="62" t="s">
        <v>2281</v>
      </c>
      <c r="C1432" s="62" t="s">
        <v>2285</v>
      </c>
      <c r="D1432" s="62" t="str">
        <f t="shared" si="23"/>
        <v>Mityana Municipality</v>
      </c>
      <c r="F1432" s="62">
        <v>1016</v>
      </c>
    </row>
    <row r="1433" spans="1:6">
      <c r="A1433" s="62" t="s">
        <v>2294</v>
      </c>
      <c r="D1433" s="62" t="str">
        <f t="shared" si="23"/>
        <v>MIITYANA TOWN</v>
      </c>
      <c r="F1433" s="62">
        <v>1016</v>
      </c>
    </row>
    <row r="1434" spans="1:6">
      <c r="A1434" s="62" t="s">
        <v>2295</v>
      </c>
      <c r="D1434" s="62" t="str">
        <f t="shared" si="23"/>
        <v>MITYANA TOWN</v>
      </c>
      <c r="F1434" s="62">
        <v>1016</v>
      </c>
    </row>
    <row r="1435" spans="1:6">
      <c r="A1435" s="62" t="s">
        <v>2296</v>
      </c>
      <c r="D1435" s="62" t="str">
        <f t="shared" si="23"/>
        <v>MITYANA</v>
      </c>
      <c r="F1435" s="62">
        <v>1016</v>
      </c>
    </row>
    <row r="1436" spans="1:6">
      <c r="A1436" s="62" t="s">
        <v>2297</v>
      </c>
      <c r="D1436" s="62" t="str">
        <f t="shared" si="23"/>
        <v xml:space="preserve">Mityana  </v>
      </c>
      <c r="F1436" s="62">
        <v>1016</v>
      </c>
    </row>
    <row r="1437" spans="1:6">
      <c r="A1437" s="62" t="s">
        <v>2298</v>
      </c>
      <c r="D1437" s="62" t="str">
        <f t="shared" si="23"/>
        <v>BUWALULA</v>
      </c>
      <c r="F1437" s="62">
        <v>1016</v>
      </c>
    </row>
    <row r="1438" spans="1:6">
      <c r="A1438" s="62" t="s">
        <v>2299</v>
      </c>
      <c r="B1438" s="62" t="s">
        <v>2281</v>
      </c>
      <c r="C1438" s="62" t="s">
        <v>2281</v>
      </c>
      <c r="D1438" s="62" t="str">
        <f t="shared" si="23"/>
        <v>Namungo</v>
      </c>
      <c r="F1438" s="62">
        <v>1017</v>
      </c>
    </row>
    <row r="1439" spans="1:6">
      <c r="A1439" s="62" t="s">
        <v>2300</v>
      </c>
      <c r="B1439" s="62" t="s">
        <v>2281</v>
      </c>
      <c r="C1439" s="62" t="s">
        <v>2281</v>
      </c>
      <c r="D1439" s="62" t="str">
        <f t="shared" si="23"/>
        <v>Ssekanyonyi</v>
      </c>
      <c r="F1439" s="62">
        <v>1018</v>
      </c>
    </row>
    <row r="1440" spans="1:6">
      <c r="A1440" s="62" t="s">
        <v>2301</v>
      </c>
      <c r="B1440" s="62" t="s">
        <v>820</v>
      </c>
      <c r="C1440" s="62" t="s">
        <v>2302</v>
      </c>
      <c r="D1440" s="62" t="str">
        <f t="shared" si="23"/>
        <v>Katikekile</v>
      </c>
      <c r="F1440" s="62">
        <v>1019</v>
      </c>
    </row>
    <row r="1441" spans="1:6">
      <c r="A1441" s="62" t="s">
        <v>2303</v>
      </c>
      <c r="B1441" s="62" t="s">
        <v>820</v>
      </c>
      <c r="C1441" s="62" t="s">
        <v>2303</v>
      </c>
      <c r="D1441" s="62" t="str">
        <f t="shared" si="23"/>
        <v>Moroto Municipality</v>
      </c>
      <c r="F1441" s="62">
        <v>1020</v>
      </c>
    </row>
    <row r="1442" spans="1:6">
      <c r="A1442" s="62" t="s">
        <v>2304</v>
      </c>
      <c r="D1442" s="62" t="str">
        <f t="shared" si="23"/>
        <v>MOROTO</v>
      </c>
      <c r="F1442" s="62">
        <v>1020</v>
      </c>
    </row>
    <row r="1443" spans="1:6">
      <c r="A1443" s="62" t="s">
        <v>2305</v>
      </c>
      <c r="B1443" s="62" t="s">
        <v>820</v>
      </c>
      <c r="C1443" s="62" t="s">
        <v>2302</v>
      </c>
      <c r="D1443" s="62" t="str">
        <f t="shared" si="23"/>
        <v>Nadunget</v>
      </c>
      <c r="F1443" s="62">
        <v>1021</v>
      </c>
    </row>
    <row r="1444" spans="1:6">
      <c r="A1444" s="62" t="s">
        <v>2306</v>
      </c>
      <c r="B1444" s="62" t="s">
        <v>820</v>
      </c>
      <c r="C1444" s="62" t="s">
        <v>2302</v>
      </c>
      <c r="D1444" s="62" t="str">
        <f t="shared" si="23"/>
        <v>Rupa</v>
      </c>
      <c r="F1444" s="62">
        <v>1022</v>
      </c>
    </row>
    <row r="1445" spans="1:6">
      <c r="A1445" s="62" t="s">
        <v>2307</v>
      </c>
      <c r="B1445" s="62" t="s">
        <v>820</v>
      </c>
      <c r="C1445" s="62" t="s">
        <v>2302</v>
      </c>
      <c r="D1445" s="62" t="str">
        <f t="shared" si="23"/>
        <v>Tapac</v>
      </c>
      <c r="F1445" s="62">
        <v>1023</v>
      </c>
    </row>
    <row r="1446" spans="1:6">
      <c r="A1446" s="62" t="s">
        <v>2308</v>
      </c>
      <c r="B1446" s="62" t="s">
        <v>2309</v>
      </c>
      <c r="C1446" s="62" t="s">
        <v>2310</v>
      </c>
      <c r="D1446" s="62" t="str">
        <f t="shared" si="23"/>
        <v>Aliba</v>
      </c>
      <c r="F1446" s="62">
        <v>1024</v>
      </c>
    </row>
    <row r="1447" spans="1:6">
      <c r="A1447" s="62" t="s">
        <v>2311</v>
      </c>
      <c r="B1447" s="62" t="s">
        <v>2309</v>
      </c>
      <c r="C1447" s="62" t="s">
        <v>2312</v>
      </c>
      <c r="D1447" s="62" t="str">
        <f t="shared" si="23"/>
        <v>Difule</v>
      </c>
      <c r="F1447" s="62">
        <v>1025</v>
      </c>
    </row>
    <row r="1448" spans="1:6">
      <c r="A1448" s="62" t="s">
        <v>2313</v>
      </c>
      <c r="B1448" s="62" t="s">
        <v>2309</v>
      </c>
      <c r="C1448" s="62" t="s">
        <v>2310</v>
      </c>
      <c r="D1448" s="62" t="str">
        <f t="shared" si="23"/>
        <v>Gimara</v>
      </c>
      <c r="F1448" s="62">
        <v>1026</v>
      </c>
    </row>
    <row r="1449" spans="1:6">
      <c r="A1449" s="62" t="s">
        <v>2314</v>
      </c>
      <c r="B1449" s="62" t="s">
        <v>2309</v>
      </c>
      <c r="C1449" s="62" t="s">
        <v>2310</v>
      </c>
      <c r="D1449" s="62" t="str">
        <f t="shared" si="23"/>
        <v>Itula</v>
      </c>
      <c r="F1449" s="62">
        <v>1027</v>
      </c>
    </row>
    <row r="1450" spans="1:6">
      <c r="A1450" s="62" t="s">
        <v>2315</v>
      </c>
      <c r="B1450" s="62" t="s">
        <v>2309</v>
      </c>
      <c r="C1450" s="62" t="s">
        <v>2312</v>
      </c>
      <c r="D1450" s="62" t="str">
        <f t="shared" si="23"/>
        <v>Laropi</v>
      </c>
      <c r="F1450" s="62">
        <v>1028</v>
      </c>
    </row>
    <row r="1451" spans="1:6">
      <c r="A1451" s="62" t="s">
        <v>2316</v>
      </c>
      <c r="B1451" s="62" t="s">
        <v>2309</v>
      </c>
      <c r="C1451" s="62" t="s">
        <v>2312</v>
      </c>
      <c r="D1451" s="62" t="str">
        <f t="shared" si="23"/>
        <v>Lefori</v>
      </c>
      <c r="F1451" s="62">
        <v>1029</v>
      </c>
    </row>
    <row r="1452" spans="1:6">
      <c r="A1452" s="62" t="s">
        <v>2317</v>
      </c>
      <c r="B1452" s="62" t="s">
        <v>2309</v>
      </c>
      <c r="C1452" s="62" t="s">
        <v>2312</v>
      </c>
      <c r="D1452" s="62" t="str">
        <f t="shared" si="23"/>
        <v>Metu</v>
      </c>
      <c r="F1452" s="62">
        <v>1030</v>
      </c>
    </row>
    <row r="1453" spans="1:6">
      <c r="A1453" s="62" t="s">
        <v>2309</v>
      </c>
      <c r="B1453" s="62" t="s">
        <v>2309</v>
      </c>
      <c r="C1453" s="62" t="s">
        <v>2312</v>
      </c>
      <c r="D1453" s="62" t="str">
        <f t="shared" si="23"/>
        <v>Moyo</v>
      </c>
      <c r="F1453" s="62">
        <v>1031</v>
      </c>
    </row>
    <row r="1454" spans="1:6">
      <c r="A1454" s="62" t="s">
        <v>2318</v>
      </c>
      <c r="B1454" s="62" t="s">
        <v>2309</v>
      </c>
      <c r="C1454" s="62" t="s">
        <v>2312</v>
      </c>
      <c r="D1454" s="62" t="str">
        <f t="shared" si="23"/>
        <v>Moyo Town Council</v>
      </c>
      <c r="F1454" s="62">
        <v>1032</v>
      </c>
    </row>
    <row r="1455" spans="1:6">
      <c r="A1455" s="62" t="s">
        <v>2319</v>
      </c>
      <c r="B1455" s="62" t="s">
        <v>2320</v>
      </c>
      <c r="C1455" s="62" t="s">
        <v>2321</v>
      </c>
      <c r="D1455" s="62" t="str">
        <f t="shared" si="23"/>
        <v>Buwama</v>
      </c>
      <c r="F1455" s="62">
        <v>1033</v>
      </c>
    </row>
    <row r="1456" spans="1:6">
      <c r="A1456" s="62" t="s">
        <v>287</v>
      </c>
      <c r="D1456" s="62" t="str">
        <f t="shared" si="23"/>
        <v>WAWOKOTTA</v>
      </c>
      <c r="F1456" s="62">
        <v>1033</v>
      </c>
    </row>
    <row r="1457" spans="1:6">
      <c r="A1457" s="62" t="s">
        <v>2322</v>
      </c>
      <c r="B1457" s="62" t="s">
        <v>2320</v>
      </c>
      <c r="C1457" s="62" t="s">
        <v>2321</v>
      </c>
      <c r="D1457" s="62" t="str">
        <f t="shared" si="23"/>
        <v>Kammengo</v>
      </c>
      <c r="F1457" s="62">
        <v>1034</v>
      </c>
    </row>
    <row r="1458" spans="1:6">
      <c r="A1458" s="62" t="s">
        <v>344</v>
      </c>
      <c r="D1458" s="62" t="str">
        <f t="shared" si="23"/>
        <v>KAMENGO</v>
      </c>
      <c r="F1458" s="62">
        <v>1034</v>
      </c>
    </row>
    <row r="1459" spans="1:6">
      <c r="A1459" s="62" t="s">
        <v>2323</v>
      </c>
      <c r="B1459" s="62" t="s">
        <v>2320</v>
      </c>
      <c r="C1459" s="62" t="s">
        <v>2321</v>
      </c>
      <c r="D1459" s="62" t="str">
        <f t="shared" si="23"/>
        <v>Kiringente</v>
      </c>
      <c r="F1459" s="62">
        <v>1035</v>
      </c>
    </row>
    <row r="1460" spans="1:6">
      <c r="A1460" s="62" t="s">
        <v>2324</v>
      </c>
      <c r="B1460" s="62" t="s">
        <v>2320</v>
      </c>
      <c r="C1460" s="62" t="s">
        <v>2321</v>
      </c>
      <c r="D1460" s="62" t="str">
        <f t="shared" si="23"/>
        <v>Kituntu</v>
      </c>
      <c r="F1460" s="62">
        <v>1036</v>
      </c>
    </row>
    <row r="1461" spans="1:6">
      <c r="A1461" s="62" t="s">
        <v>2325</v>
      </c>
      <c r="B1461" s="62" t="s">
        <v>2320</v>
      </c>
      <c r="C1461" s="62" t="s">
        <v>2321</v>
      </c>
      <c r="D1461" s="62" t="str">
        <f t="shared" si="23"/>
        <v>Mpigi Town Council</v>
      </c>
      <c r="F1461" s="62">
        <v>1037</v>
      </c>
    </row>
    <row r="1462" spans="1:6">
      <c r="A1462" s="62" t="s">
        <v>2326</v>
      </c>
      <c r="D1462" s="62" t="str">
        <f t="shared" si="23"/>
        <v>MPIGI TOWN</v>
      </c>
      <c r="F1462" s="62">
        <v>1037</v>
      </c>
    </row>
    <row r="1463" spans="1:6">
      <c r="A1463" s="62" t="s">
        <v>224</v>
      </c>
      <c r="D1463" s="62" t="str">
        <f t="shared" si="23"/>
        <v>MPIGI</v>
      </c>
      <c r="F1463" s="62">
        <v>1037</v>
      </c>
    </row>
    <row r="1464" spans="1:6">
      <c r="A1464" s="62" t="s">
        <v>650</v>
      </c>
      <c r="D1464" s="62" t="str">
        <f t="shared" si="23"/>
        <v>KAYABWE</v>
      </c>
      <c r="F1464" s="62">
        <v>1037</v>
      </c>
    </row>
    <row r="1465" spans="1:6">
      <c r="A1465" s="62" t="s">
        <v>2327</v>
      </c>
      <c r="B1465" s="62" t="s">
        <v>2320</v>
      </c>
      <c r="C1465" s="62" t="s">
        <v>2321</v>
      </c>
      <c r="D1465" s="62" t="str">
        <f t="shared" si="23"/>
        <v>Muduuma</v>
      </c>
      <c r="F1465" s="62">
        <v>1038</v>
      </c>
    </row>
    <row r="1466" spans="1:6">
      <c r="A1466" s="62" t="s">
        <v>2328</v>
      </c>
      <c r="B1466" s="62" t="s">
        <v>2320</v>
      </c>
      <c r="C1466" s="62" t="s">
        <v>2321</v>
      </c>
      <c r="D1466" s="62" t="str">
        <f t="shared" si="23"/>
        <v>Nkozi</v>
      </c>
      <c r="F1466" s="62">
        <v>1039</v>
      </c>
    </row>
    <row r="1467" spans="1:6">
      <c r="A1467" s="62" t="s">
        <v>2329</v>
      </c>
      <c r="B1467" s="62" t="s">
        <v>2330</v>
      </c>
      <c r="C1467" s="62" t="s">
        <v>2331</v>
      </c>
      <c r="D1467" s="62" t="str">
        <f t="shared" si="23"/>
        <v>Bagezza</v>
      </c>
      <c r="F1467" s="62">
        <v>1040</v>
      </c>
    </row>
    <row r="1468" spans="1:6">
      <c r="A1468" s="62" t="s">
        <v>2332</v>
      </c>
      <c r="B1468" s="62" t="s">
        <v>2330</v>
      </c>
      <c r="C1468" s="62" t="s">
        <v>2333</v>
      </c>
      <c r="D1468" s="62" t="str">
        <f t="shared" si="23"/>
        <v>Bukuya</v>
      </c>
      <c r="F1468" s="62">
        <v>1041</v>
      </c>
    </row>
    <row r="1469" spans="1:6">
      <c r="A1469" s="62" t="s">
        <v>2334</v>
      </c>
      <c r="B1469" s="62" t="s">
        <v>2330</v>
      </c>
      <c r="C1469" s="62" t="s">
        <v>2335</v>
      </c>
      <c r="D1469" s="62" t="str">
        <f t="shared" si="23"/>
        <v>Butoloogo</v>
      </c>
      <c r="F1469" s="62">
        <v>1042</v>
      </c>
    </row>
    <row r="1470" spans="1:6">
      <c r="A1470" s="62" t="s">
        <v>2336</v>
      </c>
      <c r="B1470" s="62" t="s">
        <v>2330</v>
      </c>
      <c r="C1470" s="62" t="s">
        <v>2333</v>
      </c>
      <c r="D1470" s="62" t="str">
        <f t="shared" si="23"/>
        <v>Kalwana</v>
      </c>
      <c r="F1470" s="62">
        <v>1043</v>
      </c>
    </row>
    <row r="1471" spans="1:6">
      <c r="A1471" s="62" t="s">
        <v>2337</v>
      </c>
      <c r="B1471" s="62" t="s">
        <v>2330</v>
      </c>
      <c r="C1471" s="62" t="s">
        <v>2331</v>
      </c>
      <c r="D1471" s="62" t="str">
        <f t="shared" si="23"/>
        <v>Kasambya-Mubende</v>
      </c>
      <c r="F1471" s="62">
        <v>1044</v>
      </c>
    </row>
    <row r="1472" spans="1:6">
      <c r="A1472" s="62" t="s">
        <v>2333</v>
      </c>
      <c r="B1472" s="62" t="s">
        <v>2330</v>
      </c>
      <c r="C1472" s="62" t="s">
        <v>2333</v>
      </c>
      <c r="D1472" s="62" t="str">
        <f t="shared" si="23"/>
        <v>Kassanda</v>
      </c>
      <c r="F1472" s="62">
        <v>1045</v>
      </c>
    </row>
    <row r="1473" spans="1:6">
      <c r="A1473" s="62" t="s">
        <v>2338</v>
      </c>
      <c r="B1473" s="62" t="s">
        <v>2330</v>
      </c>
      <c r="C1473" s="62" t="s">
        <v>2331</v>
      </c>
      <c r="D1473" s="62" t="str">
        <f t="shared" si="23"/>
        <v>Kibalinga</v>
      </c>
      <c r="F1473" s="62">
        <v>1046</v>
      </c>
    </row>
    <row r="1474" spans="1:6">
      <c r="A1474" s="62" t="s">
        <v>2339</v>
      </c>
      <c r="B1474" s="62" t="s">
        <v>2330</v>
      </c>
      <c r="C1474" s="62" t="s">
        <v>2333</v>
      </c>
      <c r="D1474" s="62" t="str">
        <f t="shared" ref="D1474:D1537" si="24">A1474</f>
        <v>Kiganda</v>
      </c>
      <c r="F1474" s="62">
        <v>1047</v>
      </c>
    </row>
    <row r="1475" spans="1:6">
      <c r="A1475" s="62" t="s">
        <v>2340</v>
      </c>
      <c r="B1475" s="62" t="s">
        <v>2330</v>
      </c>
      <c r="C1475" s="62" t="s">
        <v>2331</v>
      </c>
      <c r="D1475" s="62" t="str">
        <f t="shared" si="24"/>
        <v>Kigando</v>
      </c>
      <c r="F1475" s="62">
        <v>1048</v>
      </c>
    </row>
    <row r="1476" spans="1:6">
      <c r="A1476" s="62" t="s">
        <v>2341</v>
      </c>
      <c r="B1476" s="62" t="s">
        <v>2330</v>
      </c>
      <c r="C1476" s="62" t="s">
        <v>2335</v>
      </c>
      <c r="D1476" s="62" t="str">
        <f t="shared" si="24"/>
        <v>Kitenga</v>
      </c>
      <c r="F1476" s="62">
        <v>1049</v>
      </c>
    </row>
    <row r="1477" spans="1:6">
      <c r="A1477" s="62" t="s">
        <v>2342</v>
      </c>
      <c r="B1477" s="62" t="s">
        <v>2330</v>
      </c>
      <c r="C1477" s="62" t="s">
        <v>2333</v>
      </c>
      <c r="D1477" s="62" t="str">
        <f t="shared" si="24"/>
        <v>Kitumbi</v>
      </c>
      <c r="F1477" s="62">
        <v>1050</v>
      </c>
    </row>
    <row r="1478" spans="1:6">
      <c r="A1478" s="62" t="s">
        <v>2343</v>
      </c>
      <c r="B1478" s="62" t="s">
        <v>2330</v>
      </c>
      <c r="C1478" s="62" t="s">
        <v>2335</v>
      </c>
      <c r="D1478" s="62" t="str">
        <f t="shared" si="24"/>
        <v>Kiyuni</v>
      </c>
      <c r="F1478" s="62">
        <v>1051</v>
      </c>
    </row>
    <row r="1479" spans="1:6">
      <c r="A1479" s="62" t="s">
        <v>2344</v>
      </c>
      <c r="B1479" s="62" t="s">
        <v>2330</v>
      </c>
      <c r="C1479" s="62" t="s">
        <v>2335</v>
      </c>
      <c r="D1479" s="62" t="str">
        <f t="shared" si="24"/>
        <v>Madudu</v>
      </c>
      <c r="F1479" s="62">
        <v>1052</v>
      </c>
    </row>
    <row r="1480" spans="1:6">
      <c r="A1480" s="62" t="s">
        <v>2345</v>
      </c>
      <c r="B1480" s="62" t="s">
        <v>2330</v>
      </c>
      <c r="C1480" s="62" t="s">
        <v>2333</v>
      </c>
      <c r="D1480" s="62" t="str">
        <f t="shared" si="24"/>
        <v>Makokoto</v>
      </c>
      <c r="F1480" s="62">
        <v>1053</v>
      </c>
    </row>
    <row r="1481" spans="1:6">
      <c r="A1481" s="62" t="s">
        <v>2346</v>
      </c>
      <c r="B1481" s="62" t="s">
        <v>2330</v>
      </c>
      <c r="C1481" s="62" t="s">
        <v>2333</v>
      </c>
      <c r="D1481" s="62" t="str">
        <f t="shared" si="24"/>
        <v>Manyogaseka</v>
      </c>
      <c r="F1481" s="62">
        <v>1054</v>
      </c>
    </row>
    <row r="1482" spans="1:6">
      <c r="A1482" s="62" t="s">
        <v>2347</v>
      </c>
      <c r="B1482" s="62" t="s">
        <v>2330</v>
      </c>
      <c r="C1482" s="62" t="s">
        <v>2347</v>
      </c>
      <c r="D1482" s="62" t="str">
        <f t="shared" si="24"/>
        <v>Mubende Municipality</v>
      </c>
      <c r="F1482" s="62">
        <v>1055</v>
      </c>
    </row>
    <row r="1483" spans="1:6">
      <c r="A1483" s="62" t="s">
        <v>2348</v>
      </c>
      <c r="D1483" s="62" t="str">
        <f t="shared" si="24"/>
        <v xml:space="preserve">Mubende  </v>
      </c>
      <c r="F1483" s="62">
        <v>1055</v>
      </c>
    </row>
    <row r="1484" spans="1:6">
      <c r="A1484" s="62" t="s">
        <v>2349</v>
      </c>
      <c r="D1484" s="62" t="str">
        <f t="shared" si="24"/>
        <v>MUBENDE</v>
      </c>
      <c r="F1484" s="62">
        <v>1055</v>
      </c>
    </row>
    <row r="1485" spans="1:6">
      <c r="A1485" s="62" t="s">
        <v>2350</v>
      </c>
      <c r="B1485" s="62" t="s">
        <v>2330</v>
      </c>
      <c r="C1485" s="62" t="s">
        <v>2333</v>
      </c>
      <c r="D1485" s="62" t="str">
        <f t="shared" si="24"/>
        <v>Myanzi</v>
      </c>
      <c r="F1485" s="62">
        <v>1056</v>
      </c>
    </row>
    <row r="1486" spans="1:6">
      <c r="A1486" s="62" t="s">
        <v>2351</v>
      </c>
      <c r="B1486" s="62" t="s">
        <v>2330</v>
      </c>
      <c r="C1486" s="62" t="s">
        <v>2331</v>
      </c>
      <c r="D1486" s="62" t="str">
        <f t="shared" si="24"/>
        <v>Nabingoola</v>
      </c>
      <c r="F1486" s="62">
        <v>1057</v>
      </c>
    </row>
    <row r="1487" spans="1:6">
      <c r="A1487" s="62" t="s">
        <v>2352</v>
      </c>
      <c r="D1487" s="62" t="str">
        <f t="shared" si="24"/>
        <v>KABIMBIRI</v>
      </c>
      <c r="F1487" s="62">
        <v>1057</v>
      </c>
    </row>
    <row r="1488" spans="1:6">
      <c r="A1488" s="62" t="s">
        <v>2353</v>
      </c>
      <c r="B1488" s="62" t="s">
        <v>2354</v>
      </c>
      <c r="C1488" s="62" t="s">
        <v>2355</v>
      </c>
      <c r="D1488" s="62" t="str">
        <f t="shared" si="24"/>
        <v>Kasawo</v>
      </c>
      <c r="F1488" s="62">
        <v>1058</v>
      </c>
    </row>
    <row r="1489" spans="1:6">
      <c r="A1489" s="62" t="s">
        <v>2355</v>
      </c>
      <c r="D1489" s="62" t="str">
        <f t="shared" si="24"/>
        <v>Nakifuma</v>
      </c>
      <c r="F1489" s="62">
        <v>1058</v>
      </c>
    </row>
    <row r="1490" spans="1:6">
      <c r="A1490" s="62" t="s">
        <v>2356</v>
      </c>
      <c r="B1490" s="62" t="s">
        <v>2354</v>
      </c>
      <c r="C1490" s="62" t="s">
        <v>2355</v>
      </c>
      <c r="D1490" s="62" t="str">
        <f t="shared" si="24"/>
        <v>Kimenyedde</v>
      </c>
      <c r="F1490" s="62">
        <v>1059</v>
      </c>
    </row>
    <row r="1491" spans="1:6">
      <c r="A1491" s="62" t="s">
        <v>2357</v>
      </c>
      <c r="B1491" s="62" t="s">
        <v>2354</v>
      </c>
      <c r="C1491" s="62" t="s">
        <v>2354</v>
      </c>
      <c r="D1491" s="62" t="str">
        <f t="shared" si="24"/>
        <v>Koome Island</v>
      </c>
      <c r="F1491" s="62">
        <v>1060</v>
      </c>
    </row>
    <row r="1492" spans="1:6">
      <c r="A1492" s="62" t="s">
        <v>2358</v>
      </c>
      <c r="B1492" s="62" t="s">
        <v>2354</v>
      </c>
      <c r="C1492" s="62" t="s">
        <v>2354</v>
      </c>
      <c r="D1492" s="62" t="str">
        <f t="shared" si="24"/>
        <v>Kyampisi</v>
      </c>
      <c r="F1492" s="62">
        <v>1061</v>
      </c>
    </row>
    <row r="1493" spans="1:6">
      <c r="A1493" s="62" t="s">
        <v>2359</v>
      </c>
      <c r="B1493" s="62" t="s">
        <v>2354</v>
      </c>
      <c r="C1493" s="62" t="s">
        <v>2354</v>
      </c>
      <c r="D1493" s="62" t="str">
        <f t="shared" si="24"/>
        <v>Mpatta</v>
      </c>
      <c r="F1493" s="62">
        <v>1062</v>
      </c>
    </row>
    <row r="1494" spans="1:6">
      <c r="A1494" s="62" t="s">
        <v>2360</v>
      </c>
      <c r="B1494" s="62" t="s">
        <v>2354</v>
      </c>
      <c r="C1494" s="62" t="s">
        <v>2354</v>
      </c>
      <c r="D1494" s="62" t="str">
        <f t="shared" si="24"/>
        <v>Mpunge</v>
      </c>
      <c r="F1494" s="62">
        <v>1063</v>
      </c>
    </row>
    <row r="1495" spans="1:6">
      <c r="A1495" s="62" t="s">
        <v>2361</v>
      </c>
      <c r="B1495" s="62" t="s">
        <v>2354</v>
      </c>
      <c r="C1495" s="62" t="s">
        <v>2361</v>
      </c>
      <c r="D1495" s="62" t="str">
        <f t="shared" si="24"/>
        <v>Mukono Municipality</v>
      </c>
      <c r="F1495" s="62">
        <v>1064</v>
      </c>
    </row>
    <row r="1496" spans="1:6">
      <c r="A1496" s="62" t="s">
        <v>672</v>
      </c>
      <c r="D1496" s="62" t="str">
        <f t="shared" si="24"/>
        <v>MUKONO</v>
      </c>
      <c r="F1496" s="62">
        <v>1064</v>
      </c>
    </row>
    <row r="1497" spans="1:6">
      <c r="A1497" s="62" t="s">
        <v>2362</v>
      </c>
      <c r="D1497" s="62" t="str">
        <f t="shared" si="24"/>
        <v>MUKONO TOWN</v>
      </c>
      <c r="F1497" s="62">
        <v>1064</v>
      </c>
    </row>
    <row r="1498" spans="1:6">
      <c r="A1498" s="62" t="s">
        <v>2363</v>
      </c>
      <c r="D1498" s="62" t="str">
        <f t="shared" si="24"/>
        <v>MUKONO KALAJI</v>
      </c>
      <c r="F1498" s="62">
        <v>1064</v>
      </c>
    </row>
    <row r="1499" spans="1:6">
      <c r="A1499" s="62" t="s">
        <v>2364</v>
      </c>
      <c r="D1499" s="62" t="str">
        <f t="shared" si="24"/>
        <v>MUKONO UCU</v>
      </c>
      <c r="F1499" s="62">
        <v>1064</v>
      </c>
    </row>
    <row r="1500" spans="1:6">
      <c r="A1500" s="62" t="s">
        <v>2365</v>
      </c>
      <c r="D1500" s="62" t="str">
        <f t="shared" si="24"/>
        <v>MPOMA</v>
      </c>
      <c r="F1500" s="62">
        <v>1064</v>
      </c>
    </row>
    <row r="1501" spans="1:6">
      <c r="A1501" s="62" t="s">
        <v>2366</v>
      </c>
      <c r="D1501" s="62" t="str">
        <f t="shared" si="24"/>
        <v>BUKERERE</v>
      </c>
      <c r="F1501" s="62">
        <v>1064</v>
      </c>
    </row>
    <row r="1502" spans="1:6">
      <c r="A1502" s="62" t="s">
        <v>2367</v>
      </c>
      <c r="D1502" s="62" t="str">
        <f t="shared" si="24"/>
        <v>NAGALAMA</v>
      </c>
      <c r="F1502" s="62">
        <v>1064</v>
      </c>
    </row>
    <row r="1503" spans="1:6">
      <c r="A1503" s="62" t="s">
        <v>2368</v>
      </c>
      <c r="D1503" s="62" t="str">
        <f t="shared" si="24"/>
        <v>BIYINZIKA FACTORY</v>
      </c>
      <c r="F1503" s="62">
        <v>1064</v>
      </c>
    </row>
    <row r="1504" spans="1:6">
      <c r="A1504" s="62" t="s">
        <v>2369</v>
      </c>
      <c r="D1504" s="62" t="str">
        <f t="shared" si="24"/>
        <v>Namilyango</v>
      </c>
      <c r="F1504" s="62">
        <v>1064</v>
      </c>
    </row>
    <row r="1505" spans="1:6">
      <c r="A1505" s="62" t="s">
        <v>2370</v>
      </c>
      <c r="D1505" s="62" t="str">
        <f t="shared" si="24"/>
        <v>NAMAGUNGA</v>
      </c>
      <c r="F1505" s="62">
        <v>1064</v>
      </c>
    </row>
    <row r="1506" spans="1:6">
      <c r="A1506" s="62" t="s">
        <v>2371</v>
      </c>
      <c r="D1506" s="62" t="str">
        <f t="shared" si="24"/>
        <v>NAMANVE</v>
      </c>
      <c r="F1506" s="62">
        <v>1064</v>
      </c>
    </row>
    <row r="1507" spans="1:6">
      <c r="A1507" s="62" t="s">
        <v>2372</v>
      </c>
      <c r="D1507" s="62" t="str">
        <f t="shared" si="24"/>
        <v xml:space="preserve">NAMANVE </v>
      </c>
      <c r="F1507" s="62">
        <v>1064</v>
      </c>
    </row>
    <row r="1508" spans="1:6">
      <c r="A1508" s="62" t="s">
        <v>2373</v>
      </c>
      <c r="D1508" s="62" t="str">
        <f t="shared" si="24"/>
        <v>AZAM NAMANVE</v>
      </c>
      <c r="F1508" s="62">
        <v>1064</v>
      </c>
    </row>
    <row r="1509" spans="1:6">
      <c r="A1509" s="62" t="s">
        <v>2374</v>
      </c>
      <c r="D1509" s="62" t="str">
        <f t="shared" si="24"/>
        <v>INDUSTRIAL AREA NAMANVE</v>
      </c>
      <c r="F1509" s="62">
        <v>1064</v>
      </c>
    </row>
    <row r="1510" spans="1:6">
      <c r="A1510" s="62" t="s">
        <v>2375</v>
      </c>
      <c r="D1510" s="62" t="str">
        <f t="shared" si="24"/>
        <v>NAMATABA</v>
      </c>
      <c r="F1510" s="62">
        <v>1064</v>
      </c>
    </row>
    <row r="1511" spans="1:6">
      <c r="A1511" s="62" t="s">
        <v>2376</v>
      </c>
      <c r="D1511" s="62" t="str">
        <f t="shared" si="24"/>
        <v>MBALALA</v>
      </c>
      <c r="F1511" s="62">
        <v>1064</v>
      </c>
    </row>
    <row r="1512" spans="1:6">
      <c r="A1512" s="62" t="s">
        <v>2377</v>
      </c>
      <c r="D1512" s="62" t="str">
        <f t="shared" si="24"/>
        <v>Namawojoro</v>
      </c>
      <c r="F1512" s="62">
        <v>1064</v>
      </c>
    </row>
    <row r="1513" spans="1:6">
      <c r="A1513" s="62" t="s">
        <v>2378</v>
      </c>
      <c r="B1513" s="62" t="s">
        <v>2354</v>
      </c>
      <c r="C1513" s="62" t="s">
        <v>2355</v>
      </c>
      <c r="D1513" s="62" t="str">
        <f t="shared" si="24"/>
        <v>Nabbaale</v>
      </c>
      <c r="F1513" s="62">
        <v>1065</v>
      </c>
    </row>
    <row r="1514" spans="1:6">
      <c r="A1514" s="62" t="s">
        <v>2379</v>
      </c>
      <c r="B1514" s="62" t="s">
        <v>2354</v>
      </c>
      <c r="C1514" s="62" t="s">
        <v>2355</v>
      </c>
      <c r="D1514" s="62" t="str">
        <f t="shared" si="24"/>
        <v>Nagojje</v>
      </c>
      <c r="F1514" s="62">
        <v>1066</v>
      </c>
    </row>
    <row r="1515" spans="1:6">
      <c r="A1515" s="62" t="s">
        <v>2380</v>
      </c>
      <c r="B1515" s="62" t="s">
        <v>2354</v>
      </c>
      <c r="C1515" s="62" t="s">
        <v>2354</v>
      </c>
      <c r="D1515" s="62" t="str">
        <f t="shared" si="24"/>
        <v>Nakisunga</v>
      </c>
      <c r="F1515" s="62">
        <v>1067</v>
      </c>
    </row>
    <row r="1516" spans="1:6">
      <c r="A1516" s="62" t="s">
        <v>2381</v>
      </c>
      <c r="B1516" s="62" t="s">
        <v>2354</v>
      </c>
      <c r="C1516" s="62" t="s">
        <v>2354</v>
      </c>
      <c r="D1516" s="62" t="str">
        <f t="shared" si="24"/>
        <v>Nama</v>
      </c>
      <c r="F1516" s="62">
        <v>1068</v>
      </c>
    </row>
    <row r="1517" spans="1:6">
      <c r="A1517" s="62" t="s">
        <v>1864</v>
      </c>
      <c r="B1517" s="62" t="s">
        <v>2354</v>
      </c>
      <c r="C1517" s="62" t="s">
        <v>2354</v>
      </c>
      <c r="D1517" s="62" t="str">
        <f t="shared" si="24"/>
        <v>Ntenjeru</v>
      </c>
      <c r="F1517" s="62">
        <v>1069</v>
      </c>
    </row>
    <row r="1518" spans="1:6">
      <c r="A1518" s="62" t="s">
        <v>2382</v>
      </c>
      <c r="D1518" s="62" t="str">
        <f t="shared" si="24"/>
        <v>KATOSI</v>
      </c>
      <c r="F1518" s="62">
        <v>1069</v>
      </c>
    </row>
    <row r="1519" spans="1:6">
      <c r="A1519" s="62" t="s">
        <v>2383</v>
      </c>
      <c r="B1519" s="62" t="s">
        <v>2354</v>
      </c>
      <c r="C1519" s="62" t="s">
        <v>2355</v>
      </c>
      <c r="D1519" s="62" t="str">
        <f t="shared" si="24"/>
        <v>Ntunda</v>
      </c>
      <c r="F1519" s="62">
        <v>1070</v>
      </c>
    </row>
    <row r="1520" spans="1:6">
      <c r="A1520" s="62" t="s">
        <v>2384</v>
      </c>
      <c r="B1520" s="62" t="s">
        <v>2354</v>
      </c>
      <c r="C1520" s="62" t="s">
        <v>2355</v>
      </c>
      <c r="D1520" s="62" t="str">
        <f t="shared" si="24"/>
        <v>Seeta Namuganga</v>
      </c>
      <c r="F1520" s="62">
        <v>1071</v>
      </c>
    </row>
    <row r="1521" spans="1:6">
      <c r="A1521" s="62" t="s">
        <v>2385</v>
      </c>
      <c r="D1521" s="62" t="str">
        <f t="shared" si="24"/>
        <v>SEETA</v>
      </c>
      <c r="F1521" s="62">
        <v>1071</v>
      </c>
    </row>
    <row r="1522" spans="1:6">
      <c r="A1522" s="62" t="s">
        <v>2386</v>
      </c>
      <c r="B1522" s="62" t="s">
        <v>2387</v>
      </c>
      <c r="C1522" s="62" t="s">
        <v>2388</v>
      </c>
      <c r="D1522" s="62" t="str">
        <f t="shared" si="24"/>
        <v>Kakomongole</v>
      </c>
      <c r="F1522" s="62">
        <v>1072</v>
      </c>
    </row>
    <row r="1523" spans="1:6">
      <c r="A1523" s="62" t="s">
        <v>2389</v>
      </c>
      <c r="B1523" s="62" t="s">
        <v>2387</v>
      </c>
      <c r="C1523" s="62" t="s">
        <v>2390</v>
      </c>
      <c r="D1523" s="62" t="str">
        <f t="shared" si="24"/>
        <v>Lolachat</v>
      </c>
      <c r="F1523" s="62">
        <v>1073</v>
      </c>
    </row>
    <row r="1524" spans="1:6">
      <c r="A1524" s="62" t="s">
        <v>2391</v>
      </c>
      <c r="B1524" s="62" t="s">
        <v>2387</v>
      </c>
      <c r="C1524" s="62" t="s">
        <v>2388</v>
      </c>
      <c r="D1524" s="62" t="str">
        <f t="shared" si="24"/>
        <v>Loregae</v>
      </c>
      <c r="F1524" s="62">
        <v>1074</v>
      </c>
    </row>
    <row r="1525" spans="1:6">
      <c r="A1525" s="62" t="s">
        <v>2392</v>
      </c>
      <c r="B1525" s="62" t="s">
        <v>2387</v>
      </c>
      <c r="C1525" s="62" t="s">
        <v>2390</v>
      </c>
      <c r="D1525" s="62" t="str">
        <f t="shared" si="24"/>
        <v>Lorengedwat</v>
      </c>
      <c r="F1525" s="62">
        <v>1075</v>
      </c>
    </row>
    <row r="1526" spans="1:6">
      <c r="A1526" s="62" t="s">
        <v>2393</v>
      </c>
      <c r="B1526" s="62" t="s">
        <v>2387</v>
      </c>
      <c r="C1526" s="62" t="s">
        <v>2388</v>
      </c>
      <c r="D1526" s="62" t="str">
        <f t="shared" si="24"/>
        <v>Moruita</v>
      </c>
      <c r="F1526" s="62">
        <v>1076</v>
      </c>
    </row>
    <row r="1527" spans="1:6">
      <c r="A1527" s="62" t="s">
        <v>2394</v>
      </c>
      <c r="B1527" s="62" t="s">
        <v>2387</v>
      </c>
      <c r="C1527" s="62" t="s">
        <v>2390</v>
      </c>
      <c r="D1527" s="62" t="str">
        <f t="shared" si="24"/>
        <v>Nabilatuk</v>
      </c>
      <c r="F1527" s="62">
        <v>1077</v>
      </c>
    </row>
    <row r="1528" spans="1:6">
      <c r="A1528" s="62" t="s">
        <v>2395</v>
      </c>
      <c r="B1528" s="62" t="s">
        <v>2387</v>
      </c>
      <c r="C1528" s="62" t="s">
        <v>2388</v>
      </c>
      <c r="D1528" s="62" t="str">
        <f t="shared" si="24"/>
        <v>Nakapiripirit Town Council</v>
      </c>
      <c r="F1528" s="62">
        <v>1078</v>
      </c>
    </row>
    <row r="1529" spans="1:6">
      <c r="A1529" s="62" t="s">
        <v>2396</v>
      </c>
      <c r="B1529" s="62" t="s">
        <v>2387</v>
      </c>
      <c r="C1529" s="62" t="s">
        <v>2388</v>
      </c>
      <c r="D1529" s="62" t="str">
        <f t="shared" si="24"/>
        <v>Namalu</v>
      </c>
      <c r="F1529" s="62">
        <v>1079</v>
      </c>
    </row>
    <row r="1530" spans="1:6">
      <c r="A1530" s="62" t="s">
        <v>2397</v>
      </c>
      <c r="B1530" s="62" t="s">
        <v>2398</v>
      </c>
      <c r="C1530" s="62" t="s">
        <v>2398</v>
      </c>
      <c r="D1530" s="62" t="str">
        <f t="shared" si="24"/>
        <v>Butalangu Town Council</v>
      </c>
      <c r="F1530" s="62">
        <v>1080</v>
      </c>
    </row>
    <row r="1531" spans="1:6">
      <c r="A1531" s="62" t="s">
        <v>2399</v>
      </c>
      <c r="B1531" s="62" t="s">
        <v>2398</v>
      </c>
      <c r="C1531" s="62" t="s">
        <v>2398</v>
      </c>
      <c r="D1531" s="62" t="str">
        <f t="shared" si="24"/>
        <v>Kapeeka</v>
      </c>
      <c r="F1531" s="62">
        <v>1081</v>
      </c>
    </row>
    <row r="1532" spans="1:6">
      <c r="A1532" s="62" t="s">
        <v>2400</v>
      </c>
      <c r="B1532" s="62" t="s">
        <v>2398</v>
      </c>
      <c r="C1532" s="62" t="s">
        <v>2398</v>
      </c>
      <c r="D1532" s="62" t="str">
        <f t="shared" si="24"/>
        <v>Kasangombe</v>
      </c>
      <c r="F1532" s="62">
        <v>1082</v>
      </c>
    </row>
    <row r="1533" spans="1:6">
      <c r="A1533" s="62" t="s">
        <v>2401</v>
      </c>
      <c r="B1533" s="62" t="s">
        <v>2398</v>
      </c>
      <c r="C1533" s="62" t="s">
        <v>2398</v>
      </c>
      <c r="D1533" s="62" t="str">
        <f t="shared" si="24"/>
        <v>Kikamulo</v>
      </c>
      <c r="F1533" s="62">
        <v>1083</v>
      </c>
    </row>
    <row r="1534" spans="1:6">
      <c r="A1534" s="62" t="s">
        <v>2402</v>
      </c>
      <c r="B1534" s="62" t="s">
        <v>2398</v>
      </c>
      <c r="C1534" s="62" t="s">
        <v>2398</v>
      </c>
      <c r="D1534" s="62" t="str">
        <f t="shared" si="24"/>
        <v>Kinoni-Nakaseke</v>
      </c>
      <c r="F1534" s="62">
        <v>1084</v>
      </c>
    </row>
    <row r="1535" spans="1:6">
      <c r="A1535" s="62" t="s">
        <v>2403</v>
      </c>
      <c r="B1535" s="62" t="s">
        <v>2398</v>
      </c>
      <c r="C1535" s="62" t="s">
        <v>2398</v>
      </c>
      <c r="D1535" s="62" t="str">
        <f t="shared" si="24"/>
        <v>Kinyogoga</v>
      </c>
      <c r="F1535" s="62">
        <v>1085</v>
      </c>
    </row>
    <row r="1536" spans="1:6">
      <c r="A1536" s="62" t="s">
        <v>2404</v>
      </c>
      <c r="B1536" s="62" t="s">
        <v>2398</v>
      </c>
      <c r="C1536" s="62" t="s">
        <v>2398</v>
      </c>
      <c r="D1536" s="62" t="str">
        <f t="shared" si="24"/>
        <v>Kito</v>
      </c>
      <c r="F1536" s="62">
        <v>1086</v>
      </c>
    </row>
    <row r="1537" spans="1:6">
      <c r="A1537" s="62" t="s">
        <v>2405</v>
      </c>
      <c r="B1537" s="62" t="s">
        <v>2398</v>
      </c>
      <c r="C1537" s="62" t="s">
        <v>2398</v>
      </c>
      <c r="D1537" s="62" t="str">
        <f t="shared" si="24"/>
        <v>Kiwoko Town Council</v>
      </c>
      <c r="F1537" s="62">
        <v>1087</v>
      </c>
    </row>
    <row r="1538" spans="1:6">
      <c r="A1538" s="62" t="s">
        <v>2398</v>
      </c>
      <c r="B1538" s="62" t="s">
        <v>2398</v>
      </c>
      <c r="C1538" s="62" t="s">
        <v>2398</v>
      </c>
      <c r="D1538" s="62" t="str">
        <f t="shared" ref="D1538:D1601" si="25">A1538</f>
        <v>Nakaseke</v>
      </c>
      <c r="F1538" s="62">
        <v>1088</v>
      </c>
    </row>
    <row r="1539" spans="1:6">
      <c r="A1539" s="62" t="s">
        <v>2406</v>
      </c>
      <c r="B1539" s="62" t="s">
        <v>2398</v>
      </c>
      <c r="C1539" s="62" t="s">
        <v>2398</v>
      </c>
      <c r="D1539" s="62" t="str">
        <f t="shared" si="25"/>
        <v>Nakaseke Town Council</v>
      </c>
      <c r="F1539" s="62">
        <v>1089</v>
      </c>
    </row>
    <row r="1540" spans="1:6">
      <c r="A1540" s="62" t="s">
        <v>2407</v>
      </c>
      <c r="D1540" s="62" t="str">
        <f t="shared" si="25"/>
        <v>NAKASEKE TOWN</v>
      </c>
      <c r="F1540" s="62">
        <v>1089</v>
      </c>
    </row>
    <row r="1541" spans="1:6">
      <c r="A1541" s="62" t="s">
        <v>2408</v>
      </c>
      <c r="B1541" s="62" t="s">
        <v>2398</v>
      </c>
      <c r="C1541" s="62" t="s">
        <v>2398</v>
      </c>
      <c r="D1541" s="62" t="str">
        <f t="shared" si="25"/>
        <v>Ngoma Town Council</v>
      </c>
      <c r="F1541" s="62">
        <v>1090</v>
      </c>
    </row>
    <row r="1542" spans="1:6">
      <c r="A1542" s="62" t="s">
        <v>2409</v>
      </c>
      <c r="D1542" s="62" t="str">
        <f t="shared" si="25"/>
        <v>NGOMA</v>
      </c>
      <c r="F1542" s="62">
        <v>1090</v>
      </c>
    </row>
    <row r="1543" spans="1:6">
      <c r="A1543" s="62" t="s">
        <v>2410</v>
      </c>
      <c r="D1543" s="62" t="str">
        <f t="shared" si="25"/>
        <v xml:space="preserve">NGOMA </v>
      </c>
      <c r="F1543" s="62">
        <v>1090</v>
      </c>
    </row>
    <row r="1544" spans="1:6">
      <c r="A1544" s="62" t="s">
        <v>2411</v>
      </c>
      <c r="B1544" s="62" t="s">
        <v>2398</v>
      </c>
      <c r="C1544" s="62" t="s">
        <v>2398</v>
      </c>
      <c r="D1544" s="62" t="str">
        <f t="shared" si="25"/>
        <v>Ngoma-Nakaseke</v>
      </c>
      <c r="F1544" s="62">
        <v>1091</v>
      </c>
    </row>
    <row r="1545" spans="1:6">
      <c r="A1545" s="62" t="s">
        <v>2412</v>
      </c>
      <c r="D1545" s="62" t="str">
        <f t="shared" si="25"/>
        <v>KAPEKA</v>
      </c>
      <c r="F1545" s="62">
        <v>1091</v>
      </c>
    </row>
    <row r="1546" spans="1:6">
      <c r="A1546" s="62" t="s">
        <v>2413</v>
      </c>
      <c r="D1546" s="62" t="str">
        <f t="shared" si="25"/>
        <v>SEMUTO KAPEKA</v>
      </c>
      <c r="F1546" s="62">
        <v>1091</v>
      </c>
    </row>
    <row r="1547" spans="1:6">
      <c r="A1547" s="62" t="s">
        <v>2414</v>
      </c>
      <c r="B1547" s="62" t="s">
        <v>2398</v>
      </c>
      <c r="C1547" s="62" t="s">
        <v>2398</v>
      </c>
      <c r="D1547" s="62" t="str">
        <f t="shared" si="25"/>
        <v>Semuto</v>
      </c>
      <c r="F1547" s="62">
        <v>1092</v>
      </c>
    </row>
    <row r="1548" spans="1:6">
      <c r="A1548" s="62" t="s">
        <v>2415</v>
      </c>
      <c r="D1548" s="62" t="str">
        <f t="shared" si="25"/>
        <v>Ssemuto</v>
      </c>
      <c r="F1548" s="62">
        <v>1092</v>
      </c>
    </row>
    <row r="1549" spans="1:6">
      <c r="A1549" s="62" t="s">
        <v>2416</v>
      </c>
      <c r="D1549" s="62" t="str">
        <f t="shared" si="25"/>
        <v>SEMUTO TOWN</v>
      </c>
      <c r="F1549" s="62">
        <v>1092</v>
      </c>
    </row>
    <row r="1550" spans="1:6">
      <c r="A1550" s="62" t="s">
        <v>2417</v>
      </c>
      <c r="B1550" s="62" t="s">
        <v>2398</v>
      </c>
      <c r="C1550" s="62" t="s">
        <v>2398</v>
      </c>
      <c r="D1550" s="62" t="str">
        <f t="shared" si="25"/>
        <v>Semuto Town Council</v>
      </c>
      <c r="F1550" s="62">
        <v>1093</v>
      </c>
    </row>
    <row r="1551" spans="1:6">
      <c r="A1551" s="62" t="s">
        <v>2418</v>
      </c>
      <c r="D1551" s="62" t="str">
        <f t="shared" si="25"/>
        <v>GOBELO</v>
      </c>
      <c r="F1551" s="62">
        <v>1093</v>
      </c>
    </row>
    <row r="1552" spans="1:6">
      <c r="A1552" s="62" t="s">
        <v>2419</v>
      </c>
      <c r="B1552" s="62" t="s">
        <v>2398</v>
      </c>
      <c r="C1552" s="62" t="s">
        <v>2398</v>
      </c>
      <c r="D1552" s="62" t="str">
        <f t="shared" si="25"/>
        <v>Wakyato</v>
      </c>
      <c r="F1552" s="62">
        <v>1094</v>
      </c>
    </row>
    <row r="1553" spans="1:6">
      <c r="A1553" s="62" t="s">
        <v>2420</v>
      </c>
      <c r="B1553" s="62" t="s">
        <v>2421</v>
      </c>
      <c r="C1553" s="62" t="s">
        <v>2203</v>
      </c>
      <c r="D1553" s="62" t="str">
        <f t="shared" si="25"/>
        <v>Kakooge</v>
      </c>
      <c r="F1553" s="62">
        <v>1095</v>
      </c>
    </row>
    <row r="1554" spans="1:6">
      <c r="A1554" s="62" t="s">
        <v>2422</v>
      </c>
      <c r="B1554" s="62" t="s">
        <v>2421</v>
      </c>
      <c r="C1554" s="62" t="s">
        <v>2203</v>
      </c>
      <c r="D1554" s="62" t="str">
        <f t="shared" si="25"/>
        <v>Kakooge Town Council</v>
      </c>
      <c r="F1554" s="62">
        <v>1096</v>
      </c>
    </row>
    <row r="1555" spans="1:6">
      <c r="A1555" s="62" t="s">
        <v>2423</v>
      </c>
      <c r="D1555" s="62" t="str">
        <f t="shared" si="25"/>
        <v>NAKASONGOLA</v>
      </c>
      <c r="F1555" s="62">
        <v>1096</v>
      </c>
    </row>
    <row r="1556" spans="1:6">
      <c r="A1556" s="62" t="s">
        <v>2424</v>
      </c>
      <c r="D1556" s="62" t="str">
        <f t="shared" si="25"/>
        <v>NAKASONGOLA TOWN</v>
      </c>
      <c r="F1556" s="62">
        <v>1096</v>
      </c>
    </row>
    <row r="1557" spans="1:6">
      <c r="A1557" s="62" t="s">
        <v>2425</v>
      </c>
      <c r="B1557" s="62" t="s">
        <v>2421</v>
      </c>
      <c r="C1557" s="62" t="s">
        <v>2203</v>
      </c>
      <c r="D1557" s="62" t="str">
        <f t="shared" si="25"/>
        <v>Kalongo</v>
      </c>
      <c r="F1557" s="62">
        <v>1097</v>
      </c>
    </row>
    <row r="1558" spans="1:6">
      <c r="A1558" s="62" t="s">
        <v>2426</v>
      </c>
      <c r="B1558" s="62" t="s">
        <v>2421</v>
      </c>
      <c r="C1558" s="62" t="s">
        <v>2203</v>
      </c>
      <c r="D1558" s="62" t="str">
        <f t="shared" si="25"/>
        <v>Kalungi</v>
      </c>
      <c r="F1558" s="62">
        <v>1098</v>
      </c>
    </row>
    <row r="1559" spans="1:6">
      <c r="A1559" s="62" t="s">
        <v>2427</v>
      </c>
      <c r="B1559" s="62" t="s">
        <v>2421</v>
      </c>
      <c r="C1559" s="62" t="s">
        <v>2203</v>
      </c>
      <c r="D1559" s="62" t="str">
        <f t="shared" si="25"/>
        <v>Lwabiyata</v>
      </c>
      <c r="F1559" s="62">
        <v>1099</v>
      </c>
    </row>
    <row r="1560" spans="1:6">
      <c r="A1560" s="62" t="s">
        <v>2428</v>
      </c>
      <c r="B1560" s="62" t="s">
        <v>2421</v>
      </c>
      <c r="C1560" s="62" t="s">
        <v>2203</v>
      </c>
      <c r="D1560" s="62" t="str">
        <f t="shared" si="25"/>
        <v>Lwampanga</v>
      </c>
      <c r="F1560" s="62">
        <v>1100</v>
      </c>
    </row>
    <row r="1561" spans="1:6">
      <c r="A1561" s="62" t="s">
        <v>2429</v>
      </c>
      <c r="D1561" s="62" t="str">
        <f t="shared" si="25"/>
        <v>LWAMPAMGA</v>
      </c>
      <c r="F1561" s="62">
        <v>1100</v>
      </c>
    </row>
    <row r="1562" spans="1:6">
      <c r="A1562" s="62" t="s">
        <v>2430</v>
      </c>
      <c r="B1562" s="62" t="s">
        <v>2421</v>
      </c>
      <c r="C1562" s="62" t="s">
        <v>2203</v>
      </c>
      <c r="D1562" s="62" t="str">
        <f t="shared" si="25"/>
        <v>Migeera Town Council</v>
      </c>
      <c r="F1562" s="62">
        <v>1101</v>
      </c>
    </row>
    <row r="1563" spans="1:6">
      <c r="A1563" s="62" t="s">
        <v>2431</v>
      </c>
      <c r="D1563" s="62" t="str">
        <f t="shared" si="25"/>
        <v>MIGERA</v>
      </c>
      <c r="F1563" s="62">
        <v>1101</v>
      </c>
    </row>
    <row r="1564" spans="1:6">
      <c r="A1564" s="62" t="s">
        <v>2432</v>
      </c>
      <c r="B1564" s="62" t="s">
        <v>2421</v>
      </c>
      <c r="C1564" s="62" t="s">
        <v>2203</v>
      </c>
      <c r="D1564" s="62" t="str">
        <f t="shared" si="25"/>
        <v>Nabisweera</v>
      </c>
      <c r="F1564" s="62">
        <v>1102</v>
      </c>
    </row>
    <row r="1565" spans="1:6">
      <c r="A1565" s="62" t="s">
        <v>2433</v>
      </c>
      <c r="B1565" s="62" t="s">
        <v>2421</v>
      </c>
      <c r="C1565" s="62" t="s">
        <v>2203</v>
      </c>
      <c r="D1565" s="62" t="str">
        <f t="shared" si="25"/>
        <v>Nakasongola Town Council</v>
      </c>
      <c r="F1565" s="62">
        <v>1103</v>
      </c>
    </row>
    <row r="1566" spans="1:6">
      <c r="A1566" s="62" t="s">
        <v>2434</v>
      </c>
      <c r="B1566" s="62" t="s">
        <v>2421</v>
      </c>
      <c r="C1566" s="62" t="s">
        <v>2203</v>
      </c>
      <c r="D1566" s="62" t="str">
        <f t="shared" si="25"/>
        <v>Nakitoma</v>
      </c>
      <c r="F1566" s="62">
        <v>1104</v>
      </c>
    </row>
    <row r="1567" spans="1:6">
      <c r="A1567" s="62" t="s">
        <v>2435</v>
      </c>
      <c r="B1567" s="62" t="s">
        <v>2421</v>
      </c>
      <c r="C1567" s="62" t="s">
        <v>2203</v>
      </c>
      <c r="D1567" s="62" t="str">
        <f t="shared" si="25"/>
        <v>Wabinyonyi</v>
      </c>
      <c r="F1567" s="62">
        <v>1105</v>
      </c>
    </row>
    <row r="1568" spans="1:6">
      <c r="A1568" s="62" t="s">
        <v>1386</v>
      </c>
      <c r="B1568" s="62" t="s">
        <v>2436</v>
      </c>
      <c r="C1568" s="62" t="s">
        <v>2437</v>
      </c>
      <c r="D1568" s="62" t="str">
        <f t="shared" si="25"/>
        <v>Banda</v>
      </c>
      <c r="F1568" s="62">
        <v>1106</v>
      </c>
    </row>
    <row r="1569" spans="1:6">
      <c r="A1569" s="62" t="s">
        <v>2438</v>
      </c>
      <c r="B1569" s="62" t="s">
        <v>2436</v>
      </c>
      <c r="C1569" s="62" t="s">
        <v>2437</v>
      </c>
      <c r="D1569" s="62" t="str">
        <f t="shared" si="25"/>
        <v>Buhemba</v>
      </c>
      <c r="F1569" s="62">
        <v>1107</v>
      </c>
    </row>
    <row r="1570" spans="1:6">
      <c r="A1570" s="62" t="s">
        <v>2439</v>
      </c>
      <c r="B1570" s="62" t="s">
        <v>2436</v>
      </c>
      <c r="C1570" s="62" t="s">
        <v>2437</v>
      </c>
      <c r="D1570" s="62" t="str">
        <f t="shared" si="25"/>
        <v>Bukana</v>
      </c>
      <c r="F1570" s="62">
        <v>1108</v>
      </c>
    </row>
    <row r="1571" spans="1:6">
      <c r="A1571" s="62" t="s">
        <v>2440</v>
      </c>
      <c r="B1571" s="62" t="s">
        <v>2436</v>
      </c>
      <c r="C1571" s="62" t="s">
        <v>2437</v>
      </c>
      <c r="D1571" s="62" t="str">
        <f t="shared" si="25"/>
        <v>Buswale</v>
      </c>
      <c r="F1571" s="62">
        <v>1109</v>
      </c>
    </row>
    <row r="1572" spans="1:6">
      <c r="A1572" s="62" t="s">
        <v>2441</v>
      </c>
      <c r="B1572" s="62" t="s">
        <v>2436</v>
      </c>
      <c r="C1572" s="62" t="s">
        <v>2437</v>
      </c>
      <c r="D1572" s="62" t="str">
        <f t="shared" si="25"/>
        <v>Buyinja</v>
      </c>
      <c r="F1572" s="62">
        <v>1110</v>
      </c>
    </row>
    <row r="1573" spans="1:6">
      <c r="A1573" s="62" t="s">
        <v>2442</v>
      </c>
      <c r="B1573" s="62" t="s">
        <v>2436</v>
      </c>
      <c r="C1573" s="62" t="s">
        <v>2437</v>
      </c>
      <c r="D1573" s="62" t="str">
        <f t="shared" si="25"/>
        <v>Lolwe</v>
      </c>
      <c r="F1573" s="62">
        <v>1111</v>
      </c>
    </row>
    <row r="1574" spans="1:6">
      <c r="A1574" s="62" t="s">
        <v>2443</v>
      </c>
      <c r="B1574" s="62" t="s">
        <v>2436</v>
      </c>
      <c r="C1574" s="62" t="s">
        <v>2437</v>
      </c>
      <c r="D1574" s="62" t="str">
        <f t="shared" si="25"/>
        <v>Mutumba</v>
      </c>
      <c r="F1574" s="62">
        <v>1112</v>
      </c>
    </row>
    <row r="1575" spans="1:6">
      <c r="A1575" s="62" t="s">
        <v>2444</v>
      </c>
      <c r="B1575" s="62" t="s">
        <v>2436</v>
      </c>
      <c r="C1575" s="62" t="s">
        <v>2437</v>
      </c>
      <c r="D1575" s="62" t="str">
        <f t="shared" si="25"/>
        <v>Namayingo Town Council</v>
      </c>
      <c r="F1575" s="62">
        <v>1113</v>
      </c>
    </row>
    <row r="1576" spans="1:6">
      <c r="A1576" s="62" t="s">
        <v>2445</v>
      </c>
      <c r="B1576" s="62" t="s">
        <v>2436</v>
      </c>
      <c r="C1576" s="62" t="s">
        <v>2437</v>
      </c>
      <c r="D1576" s="62" t="str">
        <f t="shared" si="25"/>
        <v>Sigulu Island</v>
      </c>
      <c r="F1576" s="62">
        <v>1114</v>
      </c>
    </row>
    <row r="1577" spans="1:6">
      <c r="A1577" s="62" t="s">
        <v>2446</v>
      </c>
      <c r="B1577" s="62" t="s">
        <v>2447</v>
      </c>
      <c r="C1577" s="62" t="s">
        <v>2447</v>
      </c>
      <c r="D1577" s="62" t="str">
        <f t="shared" si="25"/>
        <v>Bubutu</v>
      </c>
      <c r="F1577" s="62">
        <v>1115</v>
      </c>
    </row>
    <row r="1578" spans="1:6">
      <c r="A1578" s="62" t="s">
        <v>2448</v>
      </c>
      <c r="B1578" s="62" t="s">
        <v>2447</v>
      </c>
      <c r="C1578" s="62" t="s">
        <v>2447</v>
      </c>
      <c r="D1578" s="62" t="str">
        <f t="shared" si="25"/>
        <v>Bukhabusi</v>
      </c>
      <c r="F1578" s="62">
        <v>1116</v>
      </c>
    </row>
    <row r="1579" spans="1:6">
      <c r="A1579" s="62" t="s">
        <v>2449</v>
      </c>
      <c r="B1579" s="62" t="s">
        <v>2447</v>
      </c>
      <c r="C1579" s="62" t="s">
        <v>2447</v>
      </c>
      <c r="D1579" s="62" t="str">
        <f t="shared" si="25"/>
        <v>Bukhaweka</v>
      </c>
      <c r="F1579" s="62">
        <v>1117</v>
      </c>
    </row>
    <row r="1580" spans="1:6">
      <c r="A1580" s="62" t="s">
        <v>2450</v>
      </c>
      <c r="B1580" s="62" t="s">
        <v>2447</v>
      </c>
      <c r="C1580" s="62" t="s">
        <v>2447</v>
      </c>
      <c r="D1580" s="62" t="str">
        <f t="shared" si="25"/>
        <v>Bukiabi</v>
      </c>
      <c r="F1580" s="62">
        <v>1118</v>
      </c>
    </row>
    <row r="1581" spans="1:6">
      <c r="A1581" s="62" t="s">
        <v>2451</v>
      </c>
      <c r="B1581" s="62" t="s">
        <v>2447</v>
      </c>
      <c r="C1581" s="62" t="s">
        <v>2447</v>
      </c>
      <c r="D1581" s="62" t="str">
        <f t="shared" si="25"/>
        <v>Bukokho</v>
      </c>
      <c r="F1581" s="62">
        <v>1119</v>
      </c>
    </row>
    <row r="1582" spans="1:6">
      <c r="A1582" s="62" t="s">
        <v>2452</v>
      </c>
      <c r="B1582" s="62" t="s">
        <v>2447</v>
      </c>
      <c r="C1582" s="62" t="s">
        <v>2447</v>
      </c>
      <c r="D1582" s="62" t="str">
        <f t="shared" si="25"/>
        <v>Bumbo</v>
      </c>
      <c r="F1582" s="62">
        <v>1120</v>
      </c>
    </row>
    <row r="1583" spans="1:6">
      <c r="A1583" s="62" t="s">
        <v>2453</v>
      </c>
      <c r="B1583" s="62" t="s">
        <v>2447</v>
      </c>
      <c r="C1583" s="62" t="s">
        <v>2447</v>
      </c>
      <c r="D1583" s="62" t="str">
        <f t="shared" si="25"/>
        <v>Bumwoni</v>
      </c>
      <c r="F1583" s="62">
        <v>1121</v>
      </c>
    </row>
    <row r="1584" spans="1:6">
      <c r="A1584" s="62" t="s">
        <v>2454</v>
      </c>
      <c r="B1584" s="62" t="s">
        <v>2447</v>
      </c>
      <c r="C1584" s="62" t="s">
        <v>2447</v>
      </c>
      <c r="D1584" s="62" t="str">
        <f t="shared" si="25"/>
        <v>Bupoto</v>
      </c>
      <c r="F1584" s="62">
        <v>1122</v>
      </c>
    </row>
    <row r="1585" spans="1:6">
      <c r="A1585" s="62" t="s">
        <v>2455</v>
      </c>
      <c r="B1585" s="62" t="s">
        <v>2447</v>
      </c>
      <c r="C1585" s="62" t="s">
        <v>2447</v>
      </c>
      <c r="D1585" s="62" t="str">
        <f t="shared" si="25"/>
        <v>Buwabwala</v>
      </c>
      <c r="F1585" s="62">
        <v>1123</v>
      </c>
    </row>
    <row r="1586" spans="1:6">
      <c r="A1586" s="62" t="s">
        <v>2456</v>
      </c>
      <c r="B1586" s="62" t="s">
        <v>2447</v>
      </c>
      <c r="C1586" s="62" t="s">
        <v>2447</v>
      </c>
      <c r="D1586" s="62" t="str">
        <f t="shared" si="25"/>
        <v>Lwakhakha Town Council</v>
      </c>
      <c r="F1586" s="62">
        <v>1124</v>
      </c>
    </row>
    <row r="1587" spans="1:6">
      <c r="A1587" s="62" t="s">
        <v>2457</v>
      </c>
      <c r="B1587" s="62" t="s">
        <v>2447</v>
      </c>
      <c r="C1587" s="62" t="s">
        <v>2447</v>
      </c>
      <c r="D1587" s="62" t="str">
        <f t="shared" si="25"/>
        <v>Magale</v>
      </c>
      <c r="F1587" s="62">
        <v>1125</v>
      </c>
    </row>
    <row r="1588" spans="1:6">
      <c r="A1588" s="62" t="s">
        <v>2458</v>
      </c>
      <c r="B1588" s="62" t="s">
        <v>2447</v>
      </c>
      <c r="C1588" s="62" t="s">
        <v>2447</v>
      </c>
      <c r="D1588" s="62" t="str">
        <f t="shared" si="25"/>
        <v>Magale Town Council</v>
      </c>
      <c r="F1588" s="62">
        <v>1126</v>
      </c>
    </row>
    <row r="1589" spans="1:6">
      <c r="A1589" s="62" t="s">
        <v>2459</v>
      </c>
      <c r="B1589" s="62" t="s">
        <v>2447</v>
      </c>
      <c r="C1589" s="62" t="s">
        <v>2447</v>
      </c>
      <c r="D1589" s="62" t="str">
        <f t="shared" si="25"/>
        <v>Mukoto</v>
      </c>
      <c r="F1589" s="62">
        <v>1127</v>
      </c>
    </row>
    <row r="1590" spans="1:6">
      <c r="A1590" s="62" t="s">
        <v>2460</v>
      </c>
      <c r="B1590" s="62" t="s">
        <v>2447</v>
      </c>
      <c r="C1590" s="62" t="s">
        <v>2447</v>
      </c>
      <c r="D1590" s="62" t="str">
        <f t="shared" si="25"/>
        <v>Namabya</v>
      </c>
      <c r="F1590" s="62">
        <v>1128</v>
      </c>
    </row>
    <row r="1591" spans="1:6">
      <c r="A1591" s="62" t="s">
        <v>2461</v>
      </c>
      <c r="B1591" s="62" t="s">
        <v>2447</v>
      </c>
      <c r="C1591" s="62" t="s">
        <v>2447</v>
      </c>
      <c r="D1591" s="62" t="str">
        <f t="shared" si="25"/>
        <v>Namboko</v>
      </c>
      <c r="F1591" s="62">
        <v>1129</v>
      </c>
    </row>
    <row r="1592" spans="1:6">
      <c r="A1592" s="62" t="s">
        <v>2462</v>
      </c>
      <c r="B1592" s="62" t="s">
        <v>2447</v>
      </c>
      <c r="C1592" s="62" t="s">
        <v>2447</v>
      </c>
      <c r="D1592" s="62" t="str">
        <f t="shared" si="25"/>
        <v>Namisindwa Town Council</v>
      </c>
      <c r="F1592" s="62">
        <v>1130</v>
      </c>
    </row>
    <row r="1593" spans="1:6">
      <c r="A1593" s="62" t="s">
        <v>2463</v>
      </c>
      <c r="B1593" s="62" t="s">
        <v>2447</v>
      </c>
      <c r="C1593" s="62" t="s">
        <v>2447</v>
      </c>
      <c r="D1593" s="62" t="str">
        <f t="shared" si="25"/>
        <v>Tsekululu</v>
      </c>
      <c r="F1593" s="62">
        <v>1131</v>
      </c>
    </row>
    <row r="1594" spans="1:6">
      <c r="A1594" s="62" t="s">
        <v>2464</v>
      </c>
      <c r="B1594" s="62" t="s">
        <v>2465</v>
      </c>
      <c r="C1594" s="62" t="s">
        <v>2466</v>
      </c>
      <c r="D1594" s="62" t="str">
        <f t="shared" si="25"/>
        <v>Bulange</v>
      </c>
      <c r="F1594" s="62">
        <v>1132</v>
      </c>
    </row>
    <row r="1595" spans="1:6">
      <c r="A1595" s="62" t="s">
        <v>2467</v>
      </c>
      <c r="B1595" s="62" t="s">
        <v>2465</v>
      </c>
      <c r="C1595" s="62" t="s">
        <v>2466</v>
      </c>
      <c r="D1595" s="62" t="str">
        <f t="shared" si="25"/>
        <v>Ivukula</v>
      </c>
      <c r="F1595" s="62">
        <v>1133</v>
      </c>
    </row>
    <row r="1596" spans="1:6">
      <c r="A1596" s="62" t="s">
        <v>1877</v>
      </c>
      <c r="B1596" s="62" t="s">
        <v>2465</v>
      </c>
      <c r="C1596" s="62" t="s">
        <v>2466</v>
      </c>
      <c r="D1596" s="62" t="str">
        <f t="shared" si="25"/>
        <v>Kibaale</v>
      </c>
      <c r="F1596" s="62">
        <v>1134</v>
      </c>
    </row>
    <row r="1597" spans="1:6">
      <c r="A1597" s="62" t="s">
        <v>2468</v>
      </c>
      <c r="B1597" s="62" t="s">
        <v>2465</v>
      </c>
      <c r="C1597" s="62" t="s">
        <v>2466</v>
      </c>
      <c r="D1597" s="62" t="str">
        <f t="shared" si="25"/>
        <v>Magada</v>
      </c>
      <c r="F1597" s="62">
        <v>1135</v>
      </c>
    </row>
    <row r="1598" spans="1:6">
      <c r="A1598" s="62" t="s">
        <v>2469</v>
      </c>
      <c r="B1598" s="62" t="s">
        <v>2465</v>
      </c>
      <c r="C1598" s="62" t="s">
        <v>2466</v>
      </c>
      <c r="D1598" s="62" t="str">
        <f t="shared" si="25"/>
        <v>Nabweyo</v>
      </c>
      <c r="F1598" s="62">
        <v>1136</v>
      </c>
    </row>
    <row r="1599" spans="1:6">
      <c r="A1599" s="62" t="s">
        <v>2465</v>
      </c>
      <c r="B1599" s="62" t="s">
        <v>2465</v>
      </c>
      <c r="C1599" s="62" t="s">
        <v>2466</v>
      </c>
      <c r="D1599" s="62" t="str">
        <f t="shared" si="25"/>
        <v>Namutumba</v>
      </c>
      <c r="F1599" s="62">
        <v>1137</v>
      </c>
    </row>
    <row r="1600" spans="1:6">
      <c r="A1600" s="62" t="s">
        <v>2470</v>
      </c>
      <c r="B1600" s="62" t="s">
        <v>2465</v>
      </c>
      <c r="C1600" s="62" t="s">
        <v>2466</v>
      </c>
      <c r="D1600" s="62" t="str">
        <f t="shared" si="25"/>
        <v>Namutumba Town Council</v>
      </c>
      <c r="F1600" s="62">
        <v>1138</v>
      </c>
    </row>
    <row r="1601" spans="1:6">
      <c r="A1601" s="62" t="s">
        <v>2471</v>
      </c>
      <c r="D1601" s="62" t="str">
        <f t="shared" si="25"/>
        <v>BUSEMBATYA</v>
      </c>
      <c r="F1601" s="62">
        <v>1138</v>
      </c>
    </row>
    <row r="1602" spans="1:6">
      <c r="A1602" s="62" t="s">
        <v>2472</v>
      </c>
      <c r="B1602" s="62" t="s">
        <v>2465</v>
      </c>
      <c r="C1602" s="62" t="s">
        <v>2466</v>
      </c>
      <c r="D1602" s="62" t="str">
        <f t="shared" ref="D1602:D1665" si="26">A1602</f>
        <v>Nangonde</v>
      </c>
      <c r="F1602" s="62">
        <v>1139</v>
      </c>
    </row>
    <row r="1603" spans="1:6">
      <c r="A1603" s="62" t="s">
        <v>2473</v>
      </c>
      <c r="B1603" s="62" t="s">
        <v>2465</v>
      </c>
      <c r="C1603" s="62" t="s">
        <v>2466</v>
      </c>
      <c r="D1603" s="62" t="str">
        <f t="shared" si="26"/>
        <v>Nsinze</v>
      </c>
      <c r="F1603" s="62">
        <v>1140</v>
      </c>
    </row>
    <row r="1604" spans="1:6">
      <c r="A1604" s="62" t="s">
        <v>2474</v>
      </c>
      <c r="B1604" s="62" t="s">
        <v>2475</v>
      </c>
      <c r="C1604" s="62" t="s">
        <v>2476</v>
      </c>
      <c r="D1604" s="62" t="str">
        <f t="shared" si="26"/>
        <v>Iriiri</v>
      </c>
      <c r="F1604" s="62">
        <v>1141</v>
      </c>
    </row>
    <row r="1605" spans="1:6">
      <c r="A1605" s="62" t="s">
        <v>2477</v>
      </c>
      <c r="B1605" s="62" t="s">
        <v>2475</v>
      </c>
      <c r="C1605" s="62" t="s">
        <v>2476</v>
      </c>
      <c r="D1605" s="62" t="str">
        <f t="shared" si="26"/>
        <v>Lokopo</v>
      </c>
      <c r="F1605" s="62">
        <v>1142</v>
      </c>
    </row>
    <row r="1606" spans="1:6">
      <c r="A1606" s="62" t="s">
        <v>2478</v>
      </c>
      <c r="B1606" s="62" t="s">
        <v>2475</v>
      </c>
      <c r="C1606" s="62" t="s">
        <v>2476</v>
      </c>
      <c r="D1606" s="62" t="str">
        <f t="shared" si="26"/>
        <v>Lopeei</v>
      </c>
      <c r="F1606" s="62">
        <v>1143</v>
      </c>
    </row>
    <row r="1607" spans="1:6">
      <c r="A1607" s="62" t="s">
        <v>2479</v>
      </c>
      <c r="B1607" s="62" t="s">
        <v>2475</v>
      </c>
      <c r="C1607" s="62" t="s">
        <v>2476</v>
      </c>
      <c r="D1607" s="62" t="str">
        <f t="shared" si="26"/>
        <v>Lorengecora</v>
      </c>
      <c r="F1607" s="62">
        <v>1144</v>
      </c>
    </row>
    <row r="1608" spans="1:6">
      <c r="A1608" s="62" t="s">
        <v>2480</v>
      </c>
      <c r="B1608" s="62" t="s">
        <v>2475</v>
      </c>
      <c r="C1608" s="62" t="s">
        <v>2476</v>
      </c>
      <c r="D1608" s="62" t="str">
        <f t="shared" si="26"/>
        <v>Lotome</v>
      </c>
      <c r="F1608" s="62">
        <v>1145</v>
      </c>
    </row>
    <row r="1609" spans="1:6">
      <c r="A1609" s="62" t="s">
        <v>2481</v>
      </c>
      <c r="B1609" s="62" t="s">
        <v>2475</v>
      </c>
      <c r="C1609" s="62" t="s">
        <v>2476</v>
      </c>
      <c r="D1609" s="62" t="str">
        <f t="shared" si="26"/>
        <v>Matany</v>
      </c>
      <c r="F1609" s="62">
        <v>1146</v>
      </c>
    </row>
    <row r="1610" spans="1:6">
      <c r="A1610" s="62" t="s">
        <v>2482</v>
      </c>
      <c r="B1610" s="62" t="s">
        <v>2475</v>
      </c>
      <c r="C1610" s="62" t="s">
        <v>2476</v>
      </c>
      <c r="D1610" s="62" t="str">
        <f t="shared" si="26"/>
        <v>Napak Town Council</v>
      </c>
      <c r="F1610" s="62">
        <v>1147</v>
      </c>
    </row>
    <row r="1611" spans="1:6">
      <c r="A1611" s="62" t="s">
        <v>2483</v>
      </c>
      <c r="B1611" s="62" t="s">
        <v>2475</v>
      </c>
      <c r="C1611" s="62" t="s">
        <v>2476</v>
      </c>
      <c r="D1611" s="62" t="str">
        <f t="shared" si="26"/>
        <v>Ngoleriet</v>
      </c>
      <c r="F1611" s="62">
        <v>1148</v>
      </c>
    </row>
    <row r="1612" spans="1:6">
      <c r="A1612" s="62" t="s">
        <v>2484</v>
      </c>
      <c r="B1612" s="62" t="s">
        <v>2485</v>
      </c>
      <c r="C1612" s="62" t="s">
        <v>2486</v>
      </c>
      <c r="D1612" s="62" t="str">
        <f t="shared" si="26"/>
        <v>Akworo</v>
      </c>
      <c r="F1612" s="62">
        <v>1149</v>
      </c>
    </row>
    <row r="1613" spans="1:6">
      <c r="A1613" s="62" t="s">
        <v>2487</v>
      </c>
      <c r="B1613" s="62" t="s">
        <v>2485</v>
      </c>
      <c r="C1613" s="62" t="s">
        <v>2486</v>
      </c>
      <c r="D1613" s="62" t="str">
        <f t="shared" si="26"/>
        <v>Atego</v>
      </c>
      <c r="F1613" s="62">
        <v>1150</v>
      </c>
    </row>
    <row r="1614" spans="1:6">
      <c r="A1614" s="62" t="s">
        <v>2488</v>
      </c>
      <c r="B1614" s="62" t="s">
        <v>2485</v>
      </c>
      <c r="C1614" s="62" t="s">
        <v>2486</v>
      </c>
      <c r="D1614" s="62" t="str">
        <f t="shared" si="26"/>
        <v>Erussi</v>
      </c>
      <c r="F1614" s="62">
        <v>1151</v>
      </c>
    </row>
    <row r="1615" spans="1:6">
      <c r="A1615" s="62" t="s">
        <v>2489</v>
      </c>
      <c r="B1615" s="62" t="s">
        <v>2485</v>
      </c>
      <c r="C1615" s="62" t="s">
        <v>2486</v>
      </c>
      <c r="D1615" s="62" t="str">
        <f t="shared" si="26"/>
        <v>Kucwiny</v>
      </c>
      <c r="F1615" s="62">
        <v>1152</v>
      </c>
    </row>
    <row r="1616" spans="1:6">
      <c r="A1616" s="62" t="s">
        <v>2490</v>
      </c>
      <c r="B1616" s="62" t="s">
        <v>2485</v>
      </c>
      <c r="C1616" s="62" t="s">
        <v>2486</v>
      </c>
      <c r="D1616" s="62" t="str">
        <f t="shared" si="26"/>
        <v>Ndhew</v>
      </c>
      <c r="F1616" s="62">
        <v>1153</v>
      </c>
    </row>
    <row r="1617" spans="1:6">
      <c r="A1617" s="62" t="s">
        <v>2485</v>
      </c>
      <c r="B1617" s="62" t="s">
        <v>2485</v>
      </c>
      <c r="C1617" s="62" t="s">
        <v>2486</v>
      </c>
      <c r="D1617" s="62" t="str">
        <f t="shared" si="26"/>
        <v>Nebbi</v>
      </c>
      <c r="F1617" s="62">
        <v>1154</v>
      </c>
    </row>
    <row r="1618" spans="1:6">
      <c r="A1618" s="62" t="s">
        <v>2491</v>
      </c>
      <c r="B1618" s="62" t="s">
        <v>2485</v>
      </c>
      <c r="C1618" s="62" t="s">
        <v>2491</v>
      </c>
      <c r="D1618" s="62" t="str">
        <f t="shared" si="26"/>
        <v>Nebbi Municipality</v>
      </c>
      <c r="F1618" s="62">
        <v>1155</v>
      </c>
    </row>
    <row r="1619" spans="1:6">
      <c r="A1619" s="62" t="s">
        <v>2492</v>
      </c>
      <c r="B1619" s="62" t="s">
        <v>2485</v>
      </c>
      <c r="C1619" s="62" t="s">
        <v>2486</v>
      </c>
      <c r="D1619" s="62" t="str">
        <f t="shared" si="26"/>
        <v>Nyaravur</v>
      </c>
      <c r="F1619" s="62">
        <v>1156</v>
      </c>
    </row>
    <row r="1620" spans="1:6">
      <c r="A1620" s="62" t="s">
        <v>2493</v>
      </c>
      <c r="B1620" s="62" t="s">
        <v>2485</v>
      </c>
      <c r="C1620" s="62" t="s">
        <v>2486</v>
      </c>
      <c r="D1620" s="62" t="str">
        <f t="shared" si="26"/>
        <v>Parombo</v>
      </c>
      <c r="F1620" s="62">
        <v>1157</v>
      </c>
    </row>
    <row r="1621" spans="1:6">
      <c r="A1621" s="62" t="s">
        <v>2494</v>
      </c>
      <c r="B1621" s="62" t="s">
        <v>2495</v>
      </c>
      <c r="C1621" s="62" t="s">
        <v>2495</v>
      </c>
      <c r="D1621" s="62" t="str">
        <f t="shared" si="26"/>
        <v>Kapir</v>
      </c>
      <c r="F1621" s="62">
        <v>1158</v>
      </c>
    </row>
    <row r="1622" spans="1:6">
      <c r="A1622" s="62" t="s">
        <v>2496</v>
      </c>
      <c r="B1622" s="62" t="s">
        <v>2495</v>
      </c>
      <c r="C1622" s="62" t="s">
        <v>2495</v>
      </c>
      <c r="D1622" s="62" t="str">
        <f t="shared" si="26"/>
        <v>Kobwin</v>
      </c>
      <c r="F1622" s="62">
        <v>1159</v>
      </c>
    </row>
    <row r="1623" spans="1:6">
      <c r="A1623" s="62" t="s">
        <v>2497</v>
      </c>
      <c r="B1623" s="62" t="s">
        <v>2495</v>
      </c>
      <c r="C1623" s="62" t="s">
        <v>2495</v>
      </c>
      <c r="D1623" s="62" t="str">
        <f t="shared" si="26"/>
        <v>Mukura</v>
      </c>
      <c r="F1623" s="62">
        <v>1160</v>
      </c>
    </row>
    <row r="1624" spans="1:6">
      <c r="A1624" s="62" t="s">
        <v>2495</v>
      </c>
      <c r="B1624" s="62" t="s">
        <v>2495</v>
      </c>
      <c r="C1624" s="62" t="s">
        <v>2495</v>
      </c>
      <c r="D1624" s="62" t="str">
        <f t="shared" si="26"/>
        <v>Ngora</v>
      </c>
      <c r="F1624" s="62">
        <v>1161</v>
      </c>
    </row>
    <row r="1625" spans="1:6">
      <c r="A1625" s="62" t="s">
        <v>2498</v>
      </c>
      <c r="B1625" s="62" t="s">
        <v>2495</v>
      </c>
      <c r="C1625" s="62" t="s">
        <v>2495</v>
      </c>
      <c r="D1625" s="62" t="str">
        <f t="shared" si="26"/>
        <v>Ngora Town Council</v>
      </c>
      <c r="F1625" s="62">
        <v>1162</v>
      </c>
    </row>
    <row r="1626" spans="1:6">
      <c r="A1626" s="62" t="s">
        <v>2499</v>
      </c>
      <c r="B1626" s="62" t="s">
        <v>2500</v>
      </c>
      <c r="C1626" s="62" t="s">
        <v>2500</v>
      </c>
      <c r="D1626" s="62" t="str">
        <f t="shared" si="26"/>
        <v>Butungama</v>
      </c>
      <c r="F1626" s="62">
        <v>1163</v>
      </c>
    </row>
    <row r="1627" spans="1:6">
      <c r="A1627" s="62" t="s">
        <v>2501</v>
      </c>
      <c r="B1627" s="62" t="s">
        <v>2500</v>
      </c>
      <c r="C1627" s="62" t="s">
        <v>2500</v>
      </c>
      <c r="D1627" s="62" t="str">
        <f t="shared" si="26"/>
        <v>Bweramule</v>
      </c>
      <c r="F1627" s="62">
        <v>1164</v>
      </c>
    </row>
    <row r="1628" spans="1:6">
      <c r="A1628" s="62" t="s">
        <v>2502</v>
      </c>
      <c r="B1628" s="62" t="s">
        <v>2500</v>
      </c>
      <c r="C1628" s="62" t="s">
        <v>2500</v>
      </c>
      <c r="D1628" s="62" t="str">
        <f t="shared" si="26"/>
        <v>Kanara Town Council</v>
      </c>
      <c r="F1628" s="62">
        <v>1165</v>
      </c>
    </row>
    <row r="1629" spans="1:6">
      <c r="A1629" s="62" t="s">
        <v>2503</v>
      </c>
      <c r="B1629" s="62" t="s">
        <v>2500</v>
      </c>
      <c r="C1629" s="62" t="s">
        <v>2500</v>
      </c>
      <c r="D1629" s="62" t="str">
        <f t="shared" si="26"/>
        <v>Kanara-Ntoroko</v>
      </c>
      <c r="F1629" s="62">
        <v>1166</v>
      </c>
    </row>
    <row r="1630" spans="1:6">
      <c r="A1630" s="62" t="s">
        <v>2504</v>
      </c>
      <c r="B1630" s="62" t="s">
        <v>2500</v>
      </c>
      <c r="C1630" s="62" t="s">
        <v>2500</v>
      </c>
      <c r="D1630" s="62" t="str">
        <f t="shared" si="26"/>
        <v>Karugutu</v>
      </c>
      <c r="F1630" s="62">
        <v>1167</v>
      </c>
    </row>
    <row r="1631" spans="1:6">
      <c r="A1631" s="62" t="s">
        <v>2505</v>
      </c>
      <c r="B1631" s="62" t="s">
        <v>2500</v>
      </c>
      <c r="C1631" s="62" t="s">
        <v>2500</v>
      </c>
      <c r="D1631" s="62" t="str">
        <f t="shared" si="26"/>
        <v>Karugutu Town Council</v>
      </c>
      <c r="F1631" s="62">
        <v>1168</v>
      </c>
    </row>
    <row r="1632" spans="1:6">
      <c r="A1632" s="62" t="s">
        <v>2506</v>
      </c>
      <c r="B1632" s="62" t="s">
        <v>2500</v>
      </c>
      <c r="C1632" s="62" t="s">
        <v>2500</v>
      </c>
      <c r="D1632" s="62" t="str">
        <f t="shared" si="26"/>
        <v>Kibuuku Town Council</v>
      </c>
      <c r="F1632" s="62">
        <v>1169</v>
      </c>
    </row>
    <row r="1633" spans="1:6">
      <c r="A1633" s="62" t="s">
        <v>2507</v>
      </c>
      <c r="B1633" s="62" t="s">
        <v>2500</v>
      </c>
      <c r="C1633" s="62" t="s">
        <v>2500</v>
      </c>
      <c r="D1633" s="62" t="str">
        <f t="shared" si="26"/>
        <v>Nombe</v>
      </c>
      <c r="F1633" s="62">
        <v>1170</v>
      </c>
    </row>
    <row r="1634" spans="1:6">
      <c r="A1634" s="62" t="s">
        <v>2508</v>
      </c>
      <c r="B1634" s="62" t="s">
        <v>2500</v>
      </c>
      <c r="C1634" s="62" t="s">
        <v>2500</v>
      </c>
      <c r="D1634" s="62" t="str">
        <f t="shared" si="26"/>
        <v>Rwebisengo</v>
      </c>
      <c r="F1634" s="62">
        <v>1171</v>
      </c>
    </row>
    <row r="1635" spans="1:6">
      <c r="A1635" s="62" t="s">
        <v>2509</v>
      </c>
      <c r="B1635" s="62" t="s">
        <v>2500</v>
      </c>
      <c r="C1635" s="62" t="s">
        <v>2500</v>
      </c>
      <c r="D1635" s="62" t="str">
        <f t="shared" si="26"/>
        <v>Rwebisengo Town Council</v>
      </c>
      <c r="F1635" s="62">
        <v>1172</v>
      </c>
    </row>
    <row r="1636" spans="1:6">
      <c r="A1636" s="62" t="s">
        <v>2510</v>
      </c>
      <c r="B1636" s="62" t="s">
        <v>46</v>
      </c>
      <c r="C1636" s="62" t="s">
        <v>2511</v>
      </c>
      <c r="D1636" s="62" t="str">
        <f t="shared" si="26"/>
        <v>Bwongyera</v>
      </c>
      <c r="F1636" s="62">
        <v>1173</v>
      </c>
    </row>
    <row r="1637" spans="1:6">
      <c r="A1637" s="62" t="s">
        <v>2512</v>
      </c>
      <c r="B1637" s="62" t="s">
        <v>46</v>
      </c>
      <c r="C1637" s="62" t="s">
        <v>2511</v>
      </c>
      <c r="D1637" s="62" t="str">
        <f t="shared" si="26"/>
        <v>Ihunga</v>
      </c>
      <c r="F1637" s="62">
        <v>1174</v>
      </c>
    </row>
    <row r="1638" spans="1:6">
      <c r="A1638" s="62" t="s">
        <v>2513</v>
      </c>
      <c r="B1638" s="62" t="s">
        <v>46</v>
      </c>
      <c r="C1638" s="62" t="s">
        <v>2514</v>
      </c>
      <c r="D1638" s="62" t="str">
        <f t="shared" si="26"/>
        <v>Itojo</v>
      </c>
      <c r="F1638" s="62">
        <v>1175</v>
      </c>
    </row>
    <row r="1639" spans="1:6">
      <c r="A1639" s="62" t="s">
        <v>2515</v>
      </c>
      <c r="B1639" s="62" t="s">
        <v>46</v>
      </c>
      <c r="C1639" s="62" t="s">
        <v>2511</v>
      </c>
      <c r="D1639" s="62" t="str">
        <f t="shared" si="26"/>
        <v>Kagarama Town Council</v>
      </c>
      <c r="F1639" s="62">
        <v>1176</v>
      </c>
    </row>
    <row r="1640" spans="1:6">
      <c r="A1640" s="62" t="s">
        <v>2516</v>
      </c>
      <c r="B1640" s="62" t="s">
        <v>46</v>
      </c>
      <c r="C1640" s="62" t="s">
        <v>2517</v>
      </c>
      <c r="D1640" s="62" t="str">
        <f t="shared" si="26"/>
        <v>Kayonza-Ntungamo</v>
      </c>
      <c r="F1640" s="62">
        <v>1177</v>
      </c>
    </row>
    <row r="1641" spans="1:6">
      <c r="A1641" s="62" t="s">
        <v>2518</v>
      </c>
      <c r="B1641" s="62" t="s">
        <v>46</v>
      </c>
      <c r="C1641" s="62" t="s">
        <v>2511</v>
      </c>
      <c r="D1641" s="62" t="str">
        <f t="shared" si="26"/>
        <v>Kibatsi</v>
      </c>
      <c r="F1641" s="62">
        <v>1178</v>
      </c>
    </row>
    <row r="1642" spans="1:6">
      <c r="A1642" s="62" t="s">
        <v>2519</v>
      </c>
      <c r="B1642" s="62" t="s">
        <v>46</v>
      </c>
      <c r="C1642" s="62" t="s">
        <v>2514</v>
      </c>
      <c r="D1642" s="62" t="str">
        <f t="shared" si="26"/>
        <v>Kitwe Town Council</v>
      </c>
      <c r="F1642" s="62">
        <v>1179</v>
      </c>
    </row>
    <row r="1643" spans="1:6">
      <c r="A1643" s="62" t="s">
        <v>2520</v>
      </c>
      <c r="B1643" s="62" t="s">
        <v>46</v>
      </c>
      <c r="C1643" s="62" t="s">
        <v>2517</v>
      </c>
      <c r="D1643" s="62" t="str">
        <f t="shared" si="26"/>
        <v>Ngoma-Ntungamo</v>
      </c>
      <c r="F1643" s="62">
        <v>1180</v>
      </c>
    </row>
    <row r="1644" spans="1:6">
      <c r="A1644" s="62" t="s">
        <v>46</v>
      </c>
      <c r="B1644" s="62" t="s">
        <v>46</v>
      </c>
      <c r="C1644" s="62" t="s">
        <v>2514</v>
      </c>
      <c r="D1644" s="62" t="str">
        <f t="shared" si="26"/>
        <v>Ntungamo</v>
      </c>
      <c r="F1644" s="62">
        <v>1181</v>
      </c>
    </row>
    <row r="1645" spans="1:6">
      <c r="A1645" s="62" t="s">
        <v>2521</v>
      </c>
      <c r="B1645" s="62" t="s">
        <v>46</v>
      </c>
      <c r="C1645" s="62" t="s">
        <v>2521</v>
      </c>
      <c r="D1645" s="62" t="str">
        <f t="shared" si="26"/>
        <v>Ntungamo Municipality</v>
      </c>
      <c r="F1645" s="62">
        <v>1182</v>
      </c>
    </row>
    <row r="1646" spans="1:6">
      <c r="A1646" s="62" t="s">
        <v>2522</v>
      </c>
      <c r="B1646" s="62" t="s">
        <v>46</v>
      </c>
      <c r="C1646" s="62" t="s">
        <v>2511</v>
      </c>
      <c r="D1646" s="62" t="str">
        <f t="shared" si="26"/>
        <v>Nyabihoko</v>
      </c>
      <c r="F1646" s="62">
        <v>1183</v>
      </c>
    </row>
    <row r="1647" spans="1:6">
      <c r="A1647" s="62" t="s">
        <v>2523</v>
      </c>
      <c r="B1647" s="62" t="s">
        <v>46</v>
      </c>
      <c r="C1647" s="62" t="s">
        <v>2514</v>
      </c>
      <c r="D1647" s="62" t="str">
        <f t="shared" si="26"/>
        <v>Nyakyera</v>
      </c>
      <c r="F1647" s="62">
        <v>1184</v>
      </c>
    </row>
    <row r="1648" spans="1:6">
      <c r="A1648" s="62" t="s">
        <v>56</v>
      </c>
      <c r="B1648" s="62" t="s">
        <v>46</v>
      </c>
      <c r="C1648" s="62" t="s">
        <v>2517</v>
      </c>
      <c r="D1648" s="62" t="str">
        <f t="shared" si="26"/>
        <v>Rubaare</v>
      </c>
      <c r="F1648" s="62">
        <v>1185</v>
      </c>
    </row>
    <row r="1649" spans="1:6">
      <c r="A1649" s="62" t="s">
        <v>2524</v>
      </c>
      <c r="B1649" s="62" t="s">
        <v>46</v>
      </c>
      <c r="C1649" s="62" t="s">
        <v>2517</v>
      </c>
      <c r="D1649" s="62" t="str">
        <f t="shared" si="26"/>
        <v>Rubaare Town Council</v>
      </c>
      <c r="F1649" s="62">
        <v>1186</v>
      </c>
    </row>
    <row r="1650" spans="1:6">
      <c r="A1650" s="62" t="s">
        <v>2525</v>
      </c>
      <c r="B1650" s="62" t="s">
        <v>46</v>
      </c>
      <c r="C1650" s="62" t="s">
        <v>2517</v>
      </c>
      <c r="D1650" s="62" t="str">
        <f t="shared" si="26"/>
        <v>Rugarama-Ntungamo</v>
      </c>
      <c r="F1650" s="62">
        <v>1187</v>
      </c>
    </row>
    <row r="1651" spans="1:6">
      <c r="A1651" s="62" t="s">
        <v>2514</v>
      </c>
      <c r="B1651" s="62" t="s">
        <v>46</v>
      </c>
      <c r="C1651" s="62" t="s">
        <v>2514</v>
      </c>
      <c r="D1651" s="62" t="str">
        <f t="shared" si="26"/>
        <v>Ruhaama</v>
      </c>
      <c r="F1651" s="62">
        <v>1188</v>
      </c>
    </row>
    <row r="1652" spans="1:6">
      <c r="A1652" s="62" t="s">
        <v>2526</v>
      </c>
      <c r="B1652" s="62" t="s">
        <v>46</v>
      </c>
      <c r="C1652" s="62" t="s">
        <v>2514</v>
      </c>
      <c r="D1652" s="62" t="str">
        <f t="shared" si="26"/>
        <v>Rukoni East</v>
      </c>
      <c r="F1652" s="62">
        <v>1189</v>
      </c>
    </row>
    <row r="1653" spans="1:6">
      <c r="A1653" s="62" t="s">
        <v>2527</v>
      </c>
      <c r="B1653" s="62" t="s">
        <v>46</v>
      </c>
      <c r="C1653" s="62" t="s">
        <v>2514</v>
      </c>
      <c r="D1653" s="62" t="str">
        <f t="shared" si="26"/>
        <v>Rukoni West</v>
      </c>
      <c r="F1653" s="62">
        <v>1190</v>
      </c>
    </row>
    <row r="1654" spans="1:6">
      <c r="A1654" s="62" t="s">
        <v>2528</v>
      </c>
      <c r="B1654" s="62" t="s">
        <v>46</v>
      </c>
      <c r="C1654" s="62" t="s">
        <v>2511</v>
      </c>
      <c r="D1654" s="62" t="str">
        <f t="shared" si="26"/>
        <v>Rwashamaire Town Council</v>
      </c>
      <c r="F1654" s="62">
        <v>1191</v>
      </c>
    </row>
    <row r="1655" spans="1:6">
      <c r="A1655" s="62" t="s">
        <v>2529</v>
      </c>
      <c r="B1655" s="62" t="s">
        <v>46</v>
      </c>
      <c r="C1655" s="62" t="s">
        <v>2514</v>
      </c>
      <c r="D1655" s="62" t="str">
        <f t="shared" si="26"/>
        <v>Rweikiniro</v>
      </c>
      <c r="F1655" s="62">
        <v>1192</v>
      </c>
    </row>
    <row r="1656" spans="1:6">
      <c r="A1656" s="62" t="s">
        <v>2530</v>
      </c>
      <c r="B1656" s="62" t="s">
        <v>2531</v>
      </c>
      <c r="C1656" s="62" t="s">
        <v>2531</v>
      </c>
      <c r="D1656" s="62" t="str">
        <f t="shared" si="26"/>
        <v>Alero</v>
      </c>
      <c r="F1656" s="62">
        <v>1193</v>
      </c>
    </row>
    <row r="1657" spans="1:6">
      <c r="A1657" s="62" t="s">
        <v>2532</v>
      </c>
      <c r="B1657" s="62" t="s">
        <v>2531</v>
      </c>
      <c r="C1657" s="62" t="s">
        <v>2531</v>
      </c>
      <c r="D1657" s="62" t="str">
        <f t="shared" si="26"/>
        <v>Anaka Payira</v>
      </c>
      <c r="F1657" s="62">
        <v>1194</v>
      </c>
    </row>
    <row r="1658" spans="1:6">
      <c r="A1658" s="62" t="s">
        <v>2533</v>
      </c>
      <c r="B1658" s="62" t="s">
        <v>2531</v>
      </c>
      <c r="C1658" s="62" t="s">
        <v>2531</v>
      </c>
      <c r="D1658" s="62" t="str">
        <f t="shared" si="26"/>
        <v>Anaka Town Council</v>
      </c>
      <c r="F1658" s="62">
        <v>1195</v>
      </c>
    </row>
    <row r="1659" spans="1:6">
      <c r="A1659" s="62" t="s">
        <v>2534</v>
      </c>
      <c r="B1659" s="62" t="s">
        <v>2531</v>
      </c>
      <c r="C1659" s="62" t="s">
        <v>2531</v>
      </c>
      <c r="D1659" s="62" t="str">
        <f t="shared" si="26"/>
        <v>Koch-Goma</v>
      </c>
      <c r="F1659" s="62">
        <v>1196</v>
      </c>
    </row>
    <row r="1660" spans="1:6">
      <c r="A1660" s="62" t="s">
        <v>2535</v>
      </c>
      <c r="B1660" s="62" t="s">
        <v>2531</v>
      </c>
      <c r="C1660" s="62" t="s">
        <v>2531</v>
      </c>
      <c r="D1660" s="62" t="str">
        <f t="shared" si="26"/>
        <v>Purongo</v>
      </c>
      <c r="F1660" s="62">
        <v>1197</v>
      </c>
    </row>
    <row r="1661" spans="1:6">
      <c r="A1661" s="62" t="s">
        <v>2536</v>
      </c>
      <c r="B1661" s="62" t="s">
        <v>828</v>
      </c>
      <c r="C1661" s="62" t="s">
        <v>828</v>
      </c>
      <c r="D1661" s="62" t="str">
        <f t="shared" si="26"/>
        <v>Bobi</v>
      </c>
      <c r="F1661" s="62">
        <v>1198</v>
      </c>
    </row>
    <row r="1662" spans="1:6">
      <c r="A1662" s="62" t="s">
        <v>2537</v>
      </c>
      <c r="B1662" s="62" t="s">
        <v>828</v>
      </c>
      <c r="C1662" s="62" t="s">
        <v>828</v>
      </c>
      <c r="D1662" s="62" t="str">
        <f t="shared" si="26"/>
        <v>Koro</v>
      </c>
      <c r="F1662" s="62">
        <v>1199</v>
      </c>
    </row>
    <row r="1663" spans="1:6">
      <c r="A1663" s="62" t="s">
        <v>2538</v>
      </c>
      <c r="B1663" s="62" t="s">
        <v>828</v>
      </c>
      <c r="C1663" s="62" t="s">
        <v>828</v>
      </c>
      <c r="D1663" s="62" t="str">
        <f t="shared" si="26"/>
        <v>Lakwana</v>
      </c>
      <c r="F1663" s="62">
        <v>1200</v>
      </c>
    </row>
    <row r="1664" spans="1:6">
      <c r="A1664" s="62" t="s">
        <v>2539</v>
      </c>
      <c r="B1664" s="62" t="s">
        <v>828</v>
      </c>
      <c r="C1664" s="62" t="s">
        <v>828</v>
      </c>
      <c r="D1664" s="62" t="str">
        <f t="shared" si="26"/>
        <v>Lalogi</v>
      </c>
      <c r="F1664" s="62">
        <v>1201</v>
      </c>
    </row>
    <row r="1665" spans="1:6">
      <c r="A1665" s="62" t="s">
        <v>2540</v>
      </c>
      <c r="B1665" s="62" t="s">
        <v>828</v>
      </c>
      <c r="C1665" s="62" t="s">
        <v>828</v>
      </c>
      <c r="D1665" s="62" t="str">
        <f t="shared" si="26"/>
        <v>Odek</v>
      </c>
      <c r="F1665" s="62">
        <v>1202</v>
      </c>
    </row>
    <row r="1666" spans="1:6">
      <c r="A1666" s="62" t="s">
        <v>2541</v>
      </c>
      <c r="B1666" s="62" t="s">
        <v>828</v>
      </c>
      <c r="C1666" s="62" t="s">
        <v>828</v>
      </c>
      <c r="D1666" s="62" t="str">
        <f t="shared" ref="D1666:D1729" si="27">A1666</f>
        <v>Omoro Town Council</v>
      </c>
      <c r="F1666" s="62">
        <v>1203</v>
      </c>
    </row>
    <row r="1667" spans="1:6">
      <c r="A1667" s="62" t="s">
        <v>2542</v>
      </c>
      <c r="B1667" s="62" t="s">
        <v>828</v>
      </c>
      <c r="C1667" s="62" t="s">
        <v>828</v>
      </c>
      <c r="D1667" s="62" t="str">
        <f t="shared" si="27"/>
        <v>Ongako</v>
      </c>
      <c r="F1667" s="62">
        <v>1204</v>
      </c>
    </row>
    <row r="1668" spans="1:6">
      <c r="A1668" s="62" t="s">
        <v>2543</v>
      </c>
      <c r="B1668" s="62" t="s">
        <v>2544</v>
      </c>
      <c r="C1668" s="62" t="s">
        <v>2544</v>
      </c>
      <c r="D1668" s="62" t="str">
        <f t="shared" si="27"/>
        <v>Adwari</v>
      </c>
      <c r="F1668" s="62">
        <v>1205</v>
      </c>
    </row>
    <row r="1669" spans="1:6">
      <c r="A1669" s="62" t="s">
        <v>2545</v>
      </c>
      <c r="B1669" s="62" t="s">
        <v>2544</v>
      </c>
      <c r="C1669" s="62" t="s">
        <v>2544</v>
      </c>
      <c r="D1669" s="62" t="str">
        <f t="shared" si="27"/>
        <v>Alango</v>
      </c>
      <c r="F1669" s="62">
        <v>1206</v>
      </c>
    </row>
    <row r="1670" spans="1:6">
      <c r="A1670" s="62" t="s">
        <v>2546</v>
      </c>
      <c r="B1670" s="62" t="s">
        <v>2544</v>
      </c>
      <c r="C1670" s="62" t="s">
        <v>2544</v>
      </c>
      <c r="D1670" s="62" t="str">
        <f t="shared" si="27"/>
        <v>Ogor</v>
      </c>
      <c r="F1670" s="62">
        <v>1207</v>
      </c>
    </row>
    <row r="1671" spans="1:6">
      <c r="A1671" s="62" t="s">
        <v>2547</v>
      </c>
      <c r="B1671" s="62" t="s">
        <v>2544</v>
      </c>
      <c r="C1671" s="62" t="s">
        <v>2544</v>
      </c>
      <c r="D1671" s="62" t="str">
        <f t="shared" si="27"/>
        <v>Ogwette</v>
      </c>
      <c r="F1671" s="62">
        <v>1208</v>
      </c>
    </row>
    <row r="1672" spans="1:6">
      <c r="A1672" s="62" t="s">
        <v>2548</v>
      </c>
      <c r="B1672" s="62" t="s">
        <v>2544</v>
      </c>
      <c r="C1672" s="62" t="s">
        <v>2544</v>
      </c>
      <c r="D1672" s="62" t="str">
        <f t="shared" si="27"/>
        <v>Okwang</v>
      </c>
      <c r="F1672" s="62">
        <v>1209</v>
      </c>
    </row>
    <row r="1673" spans="1:6">
      <c r="A1673" s="62" t="s">
        <v>2549</v>
      </c>
      <c r="B1673" s="62" t="s">
        <v>2544</v>
      </c>
      <c r="C1673" s="62" t="s">
        <v>2544</v>
      </c>
      <c r="D1673" s="62" t="str">
        <f t="shared" si="27"/>
        <v>Olilim</v>
      </c>
      <c r="F1673" s="62">
        <v>1210</v>
      </c>
    </row>
    <row r="1674" spans="1:6">
      <c r="A1674" s="62" t="s">
        <v>2550</v>
      </c>
      <c r="B1674" s="62" t="s">
        <v>2544</v>
      </c>
      <c r="C1674" s="62" t="s">
        <v>2544</v>
      </c>
      <c r="D1674" s="62" t="str">
        <f t="shared" si="27"/>
        <v>Orum</v>
      </c>
      <c r="F1674" s="62">
        <v>1211</v>
      </c>
    </row>
    <row r="1675" spans="1:6">
      <c r="A1675" s="62" t="s">
        <v>2551</v>
      </c>
      <c r="B1675" s="62" t="s">
        <v>2544</v>
      </c>
      <c r="C1675" s="62" t="s">
        <v>2544</v>
      </c>
      <c r="D1675" s="62" t="str">
        <f t="shared" si="27"/>
        <v>Otuke Town Council</v>
      </c>
      <c r="F1675" s="62">
        <v>1212</v>
      </c>
    </row>
    <row r="1676" spans="1:6">
      <c r="A1676" s="62" t="s">
        <v>2552</v>
      </c>
      <c r="B1676" s="62" t="s">
        <v>2553</v>
      </c>
      <c r="C1676" s="62" t="s">
        <v>2553</v>
      </c>
      <c r="D1676" s="62" t="str">
        <f t="shared" si="27"/>
        <v>Aber</v>
      </c>
      <c r="F1676" s="62">
        <v>1213</v>
      </c>
    </row>
    <row r="1677" spans="1:6">
      <c r="A1677" s="62" t="s">
        <v>2554</v>
      </c>
      <c r="B1677" s="62" t="s">
        <v>2553</v>
      </c>
      <c r="C1677" s="62" t="s">
        <v>2553</v>
      </c>
      <c r="D1677" s="62" t="str">
        <f t="shared" si="27"/>
        <v>Abok</v>
      </c>
      <c r="F1677" s="62">
        <v>1214</v>
      </c>
    </row>
    <row r="1678" spans="1:6">
      <c r="A1678" s="62" t="s">
        <v>2555</v>
      </c>
      <c r="B1678" s="62" t="s">
        <v>2553</v>
      </c>
      <c r="C1678" s="62" t="s">
        <v>2553</v>
      </c>
      <c r="D1678" s="62" t="str">
        <f t="shared" si="27"/>
        <v>Acaba</v>
      </c>
      <c r="F1678" s="62">
        <v>1215</v>
      </c>
    </row>
    <row r="1679" spans="1:6">
      <c r="A1679" s="62" t="s">
        <v>2556</v>
      </c>
      <c r="B1679" s="62" t="s">
        <v>2553</v>
      </c>
      <c r="C1679" s="62" t="s">
        <v>2553</v>
      </c>
      <c r="D1679" s="62" t="str">
        <f t="shared" si="27"/>
        <v>Aleka</v>
      </c>
      <c r="F1679" s="62">
        <v>1216</v>
      </c>
    </row>
    <row r="1680" spans="1:6">
      <c r="A1680" s="62" t="s">
        <v>2557</v>
      </c>
      <c r="B1680" s="62" t="s">
        <v>2553</v>
      </c>
      <c r="C1680" s="62" t="s">
        <v>2553</v>
      </c>
      <c r="D1680" s="62" t="str">
        <f t="shared" si="27"/>
        <v>Iceme</v>
      </c>
      <c r="F1680" s="62">
        <v>1217</v>
      </c>
    </row>
    <row r="1681" spans="1:6">
      <c r="A1681" s="62" t="s">
        <v>2558</v>
      </c>
      <c r="B1681" s="62" t="s">
        <v>2553</v>
      </c>
      <c r="C1681" s="62" t="s">
        <v>2553</v>
      </c>
      <c r="D1681" s="62" t="str">
        <f t="shared" si="27"/>
        <v>Kamdini</v>
      </c>
      <c r="F1681" s="62">
        <v>1218</v>
      </c>
    </row>
    <row r="1682" spans="1:6">
      <c r="A1682" s="62" t="s">
        <v>2559</v>
      </c>
      <c r="B1682" s="62" t="s">
        <v>2553</v>
      </c>
      <c r="C1682" s="62" t="s">
        <v>2553</v>
      </c>
      <c r="D1682" s="62" t="str">
        <f t="shared" si="27"/>
        <v>Loro</v>
      </c>
      <c r="F1682" s="62">
        <v>1219</v>
      </c>
    </row>
    <row r="1683" spans="1:6">
      <c r="A1683" s="62" t="s">
        <v>2560</v>
      </c>
      <c r="B1683" s="62" t="s">
        <v>2553</v>
      </c>
      <c r="C1683" s="62" t="s">
        <v>2553</v>
      </c>
      <c r="D1683" s="62" t="str">
        <f t="shared" si="27"/>
        <v>Minakulu</v>
      </c>
      <c r="F1683" s="62">
        <v>1220</v>
      </c>
    </row>
    <row r="1684" spans="1:6">
      <c r="A1684" s="62" t="s">
        <v>2561</v>
      </c>
      <c r="B1684" s="62" t="s">
        <v>2553</v>
      </c>
      <c r="C1684" s="62" t="s">
        <v>2553</v>
      </c>
      <c r="D1684" s="62" t="str">
        <f t="shared" si="27"/>
        <v>Myene</v>
      </c>
      <c r="F1684" s="62">
        <v>1221</v>
      </c>
    </row>
    <row r="1685" spans="1:6">
      <c r="A1685" s="62" t="s">
        <v>2562</v>
      </c>
      <c r="B1685" s="62" t="s">
        <v>2553</v>
      </c>
      <c r="C1685" s="62" t="s">
        <v>2553</v>
      </c>
      <c r="D1685" s="62" t="str">
        <f t="shared" si="27"/>
        <v>Ngai</v>
      </c>
      <c r="F1685" s="62">
        <v>1222</v>
      </c>
    </row>
    <row r="1686" spans="1:6">
      <c r="A1686" s="62" t="s">
        <v>2563</v>
      </c>
      <c r="B1686" s="62" t="s">
        <v>2553</v>
      </c>
      <c r="C1686" s="62" t="s">
        <v>2553</v>
      </c>
      <c r="D1686" s="62" t="str">
        <f t="shared" si="27"/>
        <v>Otwal</v>
      </c>
      <c r="F1686" s="62">
        <v>1223</v>
      </c>
    </row>
    <row r="1687" spans="1:6">
      <c r="A1687" s="62" t="s">
        <v>2564</v>
      </c>
      <c r="B1687" s="62" t="s">
        <v>2553</v>
      </c>
      <c r="C1687" s="62" t="s">
        <v>2553</v>
      </c>
      <c r="D1687" s="62" t="str">
        <f t="shared" si="27"/>
        <v>Oyam Town Council</v>
      </c>
      <c r="F1687" s="62">
        <v>1224</v>
      </c>
    </row>
    <row r="1688" spans="1:6">
      <c r="A1688" s="62" t="s">
        <v>2565</v>
      </c>
      <c r="B1688" s="62" t="s">
        <v>2566</v>
      </c>
      <c r="C1688" s="62" t="s">
        <v>2567</v>
      </c>
      <c r="D1688" s="62" t="str">
        <f t="shared" si="27"/>
        <v>Acholibur</v>
      </c>
      <c r="F1688" s="62">
        <v>1225</v>
      </c>
    </row>
    <row r="1689" spans="1:6">
      <c r="A1689" s="62" t="s">
        <v>2568</v>
      </c>
      <c r="B1689" s="62" t="s">
        <v>2566</v>
      </c>
      <c r="C1689" s="62" t="s">
        <v>2567</v>
      </c>
      <c r="D1689" s="62" t="str">
        <f t="shared" si="27"/>
        <v>Angagura</v>
      </c>
      <c r="F1689" s="62">
        <v>1226</v>
      </c>
    </row>
    <row r="1690" spans="1:6">
      <c r="A1690" s="62" t="s">
        <v>2569</v>
      </c>
      <c r="B1690" s="62" t="s">
        <v>2566</v>
      </c>
      <c r="C1690" s="62" t="s">
        <v>2567</v>
      </c>
      <c r="D1690" s="62" t="str">
        <f t="shared" si="27"/>
        <v>Atanga</v>
      </c>
      <c r="F1690" s="62">
        <v>1227</v>
      </c>
    </row>
    <row r="1691" spans="1:6">
      <c r="A1691" s="62" t="s">
        <v>2570</v>
      </c>
      <c r="B1691" s="62" t="s">
        <v>2566</v>
      </c>
      <c r="C1691" s="62" t="s">
        <v>2567</v>
      </c>
      <c r="D1691" s="62" t="str">
        <f t="shared" si="27"/>
        <v>Awere</v>
      </c>
      <c r="F1691" s="62">
        <v>1228</v>
      </c>
    </row>
    <row r="1692" spans="1:6">
      <c r="A1692" s="62" t="s">
        <v>2571</v>
      </c>
      <c r="B1692" s="62" t="s">
        <v>2566</v>
      </c>
      <c r="C1692" s="62" t="s">
        <v>2567</v>
      </c>
      <c r="D1692" s="62" t="str">
        <f t="shared" si="27"/>
        <v>Laguti</v>
      </c>
      <c r="F1692" s="62">
        <v>1229</v>
      </c>
    </row>
    <row r="1693" spans="1:6">
      <c r="A1693" s="62" t="s">
        <v>2572</v>
      </c>
      <c r="B1693" s="62" t="s">
        <v>2566</v>
      </c>
      <c r="C1693" s="62" t="s">
        <v>2567</v>
      </c>
      <c r="D1693" s="62" t="str">
        <f t="shared" si="27"/>
        <v>Lapul</v>
      </c>
      <c r="F1693" s="62">
        <v>1230</v>
      </c>
    </row>
    <row r="1694" spans="1:6">
      <c r="A1694" s="62" t="s">
        <v>2573</v>
      </c>
      <c r="B1694" s="62" t="s">
        <v>2566</v>
      </c>
      <c r="C1694" s="62" t="s">
        <v>2567</v>
      </c>
      <c r="D1694" s="62" t="str">
        <f t="shared" si="27"/>
        <v>Latanya</v>
      </c>
      <c r="F1694" s="62">
        <v>1231</v>
      </c>
    </row>
    <row r="1695" spans="1:6">
      <c r="A1695" s="62" t="s">
        <v>2574</v>
      </c>
      <c r="B1695" s="62" t="s">
        <v>2566</v>
      </c>
      <c r="C1695" s="62" t="s">
        <v>2567</v>
      </c>
      <c r="D1695" s="62" t="str">
        <f t="shared" si="27"/>
        <v>Ogom</v>
      </c>
      <c r="F1695" s="62">
        <v>1232</v>
      </c>
    </row>
    <row r="1696" spans="1:6">
      <c r="A1696" s="62" t="s">
        <v>2566</v>
      </c>
      <c r="B1696" s="62" t="s">
        <v>2566</v>
      </c>
      <c r="C1696" s="62" t="s">
        <v>2567</v>
      </c>
      <c r="D1696" s="62" t="str">
        <f t="shared" si="27"/>
        <v>Pader</v>
      </c>
      <c r="F1696" s="62">
        <v>1233</v>
      </c>
    </row>
    <row r="1697" spans="1:6">
      <c r="A1697" s="62" t="s">
        <v>2575</v>
      </c>
      <c r="B1697" s="62" t="s">
        <v>2566</v>
      </c>
      <c r="C1697" s="62" t="s">
        <v>2567</v>
      </c>
      <c r="D1697" s="62" t="str">
        <f t="shared" si="27"/>
        <v>Pader Town Council</v>
      </c>
      <c r="F1697" s="62">
        <v>1234</v>
      </c>
    </row>
    <row r="1698" spans="1:6">
      <c r="A1698" s="62" t="s">
        <v>2576</v>
      </c>
      <c r="B1698" s="62" t="s">
        <v>2566</v>
      </c>
      <c r="C1698" s="62" t="s">
        <v>2567</v>
      </c>
      <c r="D1698" s="62" t="str">
        <f t="shared" si="27"/>
        <v>Pajule</v>
      </c>
      <c r="F1698" s="62">
        <v>1235</v>
      </c>
    </row>
    <row r="1699" spans="1:6">
      <c r="A1699" s="62" t="s">
        <v>2577</v>
      </c>
      <c r="B1699" s="62" t="s">
        <v>2566</v>
      </c>
      <c r="C1699" s="62" t="s">
        <v>2567</v>
      </c>
      <c r="D1699" s="62" t="str">
        <f t="shared" si="27"/>
        <v>Puranga</v>
      </c>
      <c r="F1699" s="62">
        <v>1236</v>
      </c>
    </row>
    <row r="1700" spans="1:6">
      <c r="A1700" s="62" t="s">
        <v>2578</v>
      </c>
      <c r="B1700" s="62" t="s">
        <v>2579</v>
      </c>
      <c r="C1700" s="62" t="s">
        <v>2580</v>
      </c>
      <c r="D1700" s="62" t="str">
        <f t="shared" si="27"/>
        <v>Alwi</v>
      </c>
      <c r="F1700" s="62">
        <v>1237</v>
      </c>
    </row>
    <row r="1701" spans="1:6">
      <c r="A1701" s="62" t="s">
        <v>2579</v>
      </c>
      <c r="B1701" s="62" t="s">
        <v>2579</v>
      </c>
      <c r="C1701" s="62" t="s">
        <v>2580</v>
      </c>
      <c r="D1701" s="62" t="str">
        <f t="shared" si="27"/>
        <v>Pakwach</v>
      </c>
      <c r="F1701" s="62">
        <v>1238</v>
      </c>
    </row>
    <row r="1702" spans="1:6">
      <c r="A1702" s="62" t="s">
        <v>2581</v>
      </c>
      <c r="B1702" s="62" t="s">
        <v>2579</v>
      </c>
      <c r="C1702" s="62" t="s">
        <v>2580</v>
      </c>
      <c r="D1702" s="62" t="str">
        <f t="shared" si="27"/>
        <v>Pakwach Town Council</v>
      </c>
      <c r="F1702" s="62">
        <v>1239</v>
      </c>
    </row>
    <row r="1703" spans="1:6">
      <c r="A1703" s="62" t="s">
        <v>2582</v>
      </c>
      <c r="B1703" s="62" t="s">
        <v>2579</v>
      </c>
      <c r="C1703" s="62" t="s">
        <v>2580</v>
      </c>
      <c r="D1703" s="62" t="str">
        <f t="shared" si="27"/>
        <v>Panyango</v>
      </c>
      <c r="F1703" s="62">
        <v>1240</v>
      </c>
    </row>
    <row r="1704" spans="1:6">
      <c r="A1704" s="62" t="s">
        <v>2583</v>
      </c>
      <c r="B1704" s="62" t="s">
        <v>2579</v>
      </c>
      <c r="C1704" s="62" t="s">
        <v>2580</v>
      </c>
      <c r="D1704" s="62" t="str">
        <f t="shared" si="27"/>
        <v>Panyimur</v>
      </c>
      <c r="F1704" s="62">
        <v>1241</v>
      </c>
    </row>
    <row r="1705" spans="1:6">
      <c r="A1705" s="62" t="s">
        <v>2584</v>
      </c>
      <c r="B1705" s="62" t="s">
        <v>2579</v>
      </c>
      <c r="C1705" s="62" t="s">
        <v>2580</v>
      </c>
      <c r="D1705" s="62" t="str">
        <f t="shared" si="27"/>
        <v>Wadelai</v>
      </c>
      <c r="F1705" s="62">
        <v>1242</v>
      </c>
    </row>
    <row r="1706" spans="1:6">
      <c r="A1706" s="62" t="s">
        <v>2585</v>
      </c>
      <c r="B1706" s="62" t="s">
        <v>2586</v>
      </c>
      <c r="C1706" s="62" t="s">
        <v>2585</v>
      </c>
      <c r="D1706" s="62" t="str">
        <f t="shared" si="27"/>
        <v>Agule</v>
      </c>
      <c r="F1706" s="62">
        <v>1243</v>
      </c>
    </row>
    <row r="1707" spans="1:6">
      <c r="A1707" s="62" t="s">
        <v>2587</v>
      </c>
      <c r="B1707" s="62" t="s">
        <v>2586</v>
      </c>
      <c r="C1707" s="62" t="s">
        <v>2585</v>
      </c>
      <c r="D1707" s="62" t="str">
        <f t="shared" si="27"/>
        <v>Akisim</v>
      </c>
      <c r="F1707" s="62">
        <v>1244</v>
      </c>
    </row>
    <row r="1708" spans="1:6">
      <c r="A1708" s="62" t="s">
        <v>2588</v>
      </c>
      <c r="B1708" s="62" t="s">
        <v>2586</v>
      </c>
      <c r="C1708" s="62" t="s">
        <v>2585</v>
      </c>
      <c r="D1708" s="62" t="str">
        <f t="shared" si="27"/>
        <v>Apopong</v>
      </c>
      <c r="F1708" s="62">
        <v>1245</v>
      </c>
    </row>
    <row r="1709" spans="1:6">
      <c r="A1709" s="62" t="s">
        <v>2589</v>
      </c>
      <c r="B1709" s="62" t="s">
        <v>2586</v>
      </c>
      <c r="C1709" s="62" t="s">
        <v>2585</v>
      </c>
      <c r="D1709" s="62" t="str">
        <f t="shared" si="27"/>
        <v>Chelekura</v>
      </c>
      <c r="F1709" s="62">
        <v>1246</v>
      </c>
    </row>
    <row r="1710" spans="1:6">
      <c r="A1710" s="62" t="s">
        <v>2590</v>
      </c>
      <c r="B1710" s="62" t="s">
        <v>2586</v>
      </c>
      <c r="C1710" s="62" t="s">
        <v>2585</v>
      </c>
      <c r="D1710" s="62" t="str">
        <f t="shared" si="27"/>
        <v>Gogonyo</v>
      </c>
      <c r="F1710" s="62">
        <v>1247</v>
      </c>
    </row>
    <row r="1711" spans="1:6">
      <c r="A1711" s="62" t="s">
        <v>2591</v>
      </c>
      <c r="B1711" s="62" t="s">
        <v>2586</v>
      </c>
      <c r="C1711" s="62" t="s">
        <v>2585</v>
      </c>
      <c r="D1711" s="62" t="str">
        <f t="shared" si="27"/>
        <v>Kameke</v>
      </c>
      <c r="F1711" s="62">
        <v>1248</v>
      </c>
    </row>
    <row r="1712" spans="1:6">
      <c r="A1712" s="62" t="s">
        <v>2592</v>
      </c>
      <c r="B1712" s="62" t="s">
        <v>2586</v>
      </c>
      <c r="C1712" s="62" t="s">
        <v>2586</v>
      </c>
      <c r="D1712" s="62" t="str">
        <f t="shared" si="27"/>
        <v>Kamuge</v>
      </c>
      <c r="F1712" s="62">
        <v>1249</v>
      </c>
    </row>
    <row r="1713" spans="1:6">
      <c r="A1713" s="62" t="s">
        <v>2593</v>
      </c>
      <c r="B1713" s="62" t="s">
        <v>2586</v>
      </c>
      <c r="C1713" s="62" t="s">
        <v>2586</v>
      </c>
      <c r="D1713" s="62" t="str">
        <f t="shared" si="27"/>
        <v>Kasodo</v>
      </c>
      <c r="F1713" s="62">
        <v>1250</v>
      </c>
    </row>
    <row r="1714" spans="1:6">
      <c r="A1714" s="62" t="s">
        <v>2594</v>
      </c>
      <c r="B1714" s="62" t="s">
        <v>2586</v>
      </c>
      <c r="C1714" s="62" t="s">
        <v>2586</v>
      </c>
      <c r="D1714" s="62" t="str">
        <f t="shared" si="27"/>
        <v>Olok</v>
      </c>
      <c r="F1714" s="62">
        <v>1251</v>
      </c>
    </row>
    <row r="1715" spans="1:6">
      <c r="A1715" s="62" t="s">
        <v>2586</v>
      </c>
      <c r="B1715" s="62" t="s">
        <v>2586</v>
      </c>
      <c r="C1715" s="62" t="s">
        <v>2586</v>
      </c>
      <c r="D1715" s="62" t="str">
        <f t="shared" si="27"/>
        <v>Pallisa</v>
      </c>
      <c r="F1715" s="62">
        <v>1252</v>
      </c>
    </row>
    <row r="1716" spans="1:6">
      <c r="A1716" s="62" t="s">
        <v>2595</v>
      </c>
      <c r="B1716" s="62" t="s">
        <v>2586</v>
      </c>
      <c r="C1716" s="62" t="s">
        <v>2586</v>
      </c>
      <c r="D1716" s="62" t="str">
        <f t="shared" si="27"/>
        <v>Pallisa Town Council</v>
      </c>
      <c r="F1716" s="62">
        <v>1253</v>
      </c>
    </row>
    <row r="1717" spans="1:6">
      <c r="A1717" s="62" t="s">
        <v>2596</v>
      </c>
      <c r="B1717" s="62" t="s">
        <v>2586</v>
      </c>
      <c r="C1717" s="62" t="s">
        <v>2586</v>
      </c>
      <c r="D1717" s="62" t="str">
        <f t="shared" si="27"/>
        <v>Puti-Puti</v>
      </c>
      <c r="F1717" s="62">
        <v>1254</v>
      </c>
    </row>
    <row r="1718" spans="1:6">
      <c r="A1718" s="62" t="s">
        <v>2597</v>
      </c>
      <c r="B1718" s="62" t="s">
        <v>2598</v>
      </c>
      <c r="C1718" s="62" t="s">
        <v>2079</v>
      </c>
      <c r="D1718" s="62" t="str">
        <f t="shared" si="27"/>
        <v>Byakabanda</v>
      </c>
      <c r="F1718" s="62">
        <v>1255</v>
      </c>
    </row>
    <row r="1719" spans="1:6">
      <c r="A1719" s="62" t="s">
        <v>2599</v>
      </c>
      <c r="B1719" s="62" t="s">
        <v>2598</v>
      </c>
      <c r="C1719" s="62" t="s">
        <v>2079</v>
      </c>
      <c r="D1719" s="62" t="str">
        <f t="shared" si="27"/>
        <v>Ddwaniro-Rakai</v>
      </c>
      <c r="F1719" s="62">
        <v>1256</v>
      </c>
    </row>
    <row r="1720" spans="1:6">
      <c r="A1720" s="62" t="s">
        <v>2600</v>
      </c>
      <c r="B1720" s="62" t="s">
        <v>2598</v>
      </c>
      <c r="C1720" s="62" t="s">
        <v>2079</v>
      </c>
      <c r="D1720" s="62" t="str">
        <f t="shared" si="27"/>
        <v>Kacheera</v>
      </c>
      <c r="F1720" s="62">
        <v>1257</v>
      </c>
    </row>
    <row r="1721" spans="1:6">
      <c r="A1721" s="62" t="s">
        <v>2601</v>
      </c>
      <c r="B1721" s="62" t="s">
        <v>2598</v>
      </c>
      <c r="C1721" s="62" t="s">
        <v>2079</v>
      </c>
      <c r="D1721" s="62" t="str">
        <f t="shared" si="27"/>
        <v>Kagamba</v>
      </c>
      <c r="F1721" s="62">
        <v>1258</v>
      </c>
    </row>
    <row r="1722" spans="1:6">
      <c r="A1722" s="62" t="s">
        <v>2602</v>
      </c>
      <c r="B1722" s="62" t="s">
        <v>2598</v>
      </c>
      <c r="C1722" s="62" t="s">
        <v>2602</v>
      </c>
      <c r="D1722" s="62" t="str">
        <f t="shared" si="27"/>
        <v>Kakuuto</v>
      </c>
      <c r="F1722" s="62">
        <v>1259</v>
      </c>
    </row>
    <row r="1723" spans="1:6">
      <c r="A1723" s="62" t="s">
        <v>2603</v>
      </c>
      <c r="B1723" s="62" t="s">
        <v>2598</v>
      </c>
      <c r="C1723" s="62" t="s">
        <v>2602</v>
      </c>
      <c r="D1723" s="62" t="str">
        <f t="shared" si="27"/>
        <v>Kifamba</v>
      </c>
      <c r="F1723" s="62">
        <v>1260</v>
      </c>
    </row>
    <row r="1724" spans="1:6">
      <c r="A1724" s="62" t="s">
        <v>2604</v>
      </c>
      <c r="B1724" s="62" t="s">
        <v>2598</v>
      </c>
      <c r="C1724" s="62" t="s">
        <v>2079</v>
      </c>
      <c r="D1724" s="62" t="str">
        <f t="shared" si="27"/>
        <v>Kiziba</v>
      </c>
      <c r="F1724" s="62">
        <v>1261</v>
      </c>
    </row>
    <row r="1725" spans="1:6">
      <c r="A1725" s="62" t="s">
        <v>2605</v>
      </c>
      <c r="D1725" s="62" t="str">
        <f t="shared" si="27"/>
        <v>KIKONGE</v>
      </c>
      <c r="F1725" s="62">
        <v>1261</v>
      </c>
    </row>
    <row r="1726" spans="1:6">
      <c r="A1726" s="62" t="s">
        <v>2606</v>
      </c>
      <c r="D1726" s="62" t="str">
        <f t="shared" si="27"/>
        <v>GOBERO</v>
      </c>
      <c r="F1726" s="62">
        <v>1261</v>
      </c>
    </row>
    <row r="1727" spans="1:6">
      <c r="A1727" s="62" t="s">
        <v>2607</v>
      </c>
      <c r="B1727" s="62" t="s">
        <v>2598</v>
      </c>
      <c r="C1727" s="62" t="s">
        <v>2079</v>
      </c>
      <c r="D1727" s="62" t="str">
        <f t="shared" si="27"/>
        <v>Kyalulangira</v>
      </c>
      <c r="F1727" s="62">
        <v>1262</v>
      </c>
    </row>
    <row r="1728" spans="1:6">
      <c r="A1728" s="62" t="s">
        <v>2608</v>
      </c>
      <c r="B1728" s="62" t="s">
        <v>2598</v>
      </c>
      <c r="C1728" s="62" t="s">
        <v>2079</v>
      </c>
      <c r="D1728" s="62" t="str">
        <f t="shared" si="27"/>
        <v>Lwamaggwa</v>
      </c>
      <c r="F1728" s="62">
        <v>1263</v>
      </c>
    </row>
    <row r="1729" spans="1:6">
      <c r="A1729" s="62" t="s">
        <v>2609</v>
      </c>
      <c r="B1729" s="62" t="s">
        <v>2598</v>
      </c>
      <c r="C1729" s="62" t="s">
        <v>2079</v>
      </c>
      <c r="D1729" s="62" t="str">
        <f t="shared" si="27"/>
        <v>Lwanda</v>
      </c>
      <c r="F1729" s="62">
        <v>1264</v>
      </c>
    </row>
    <row r="1730" spans="1:6">
      <c r="A1730" s="62" t="s">
        <v>2610</v>
      </c>
      <c r="B1730" s="62" t="s">
        <v>2598</v>
      </c>
      <c r="C1730" s="62" t="s">
        <v>2079</v>
      </c>
      <c r="D1730" s="62" t="str">
        <f t="shared" ref="D1730:D1793" si="28">A1730</f>
        <v>Rakai Town Council</v>
      </c>
      <c r="F1730" s="62">
        <v>1265</v>
      </c>
    </row>
    <row r="1731" spans="1:6">
      <c r="A1731" s="62" t="s">
        <v>2611</v>
      </c>
      <c r="B1731" s="62" t="s">
        <v>2612</v>
      </c>
      <c r="C1731" s="62" t="s">
        <v>2612</v>
      </c>
      <c r="D1731" s="62" t="str">
        <f t="shared" si="28"/>
        <v>Bubaare-Rubanda</v>
      </c>
      <c r="F1731" s="62">
        <v>1266</v>
      </c>
    </row>
    <row r="1732" spans="1:6">
      <c r="A1732" s="62" t="s">
        <v>2613</v>
      </c>
      <c r="B1732" s="62" t="s">
        <v>2612</v>
      </c>
      <c r="C1732" s="62" t="s">
        <v>2612</v>
      </c>
      <c r="D1732" s="62" t="str">
        <f t="shared" si="28"/>
        <v>Bufundi</v>
      </c>
      <c r="F1732" s="62">
        <v>1267</v>
      </c>
    </row>
    <row r="1733" spans="1:6">
      <c r="A1733" s="62" t="s">
        <v>2614</v>
      </c>
      <c r="B1733" s="62" t="s">
        <v>2612</v>
      </c>
      <c r="C1733" s="62" t="s">
        <v>2612</v>
      </c>
      <c r="D1733" s="62" t="str">
        <f t="shared" si="28"/>
        <v>Hamurwa</v>
      </c>
      <c r="F1733" s="62">
        <v>1268</v>
      </c>
    </row>
    <row r="1734" spans="1:6">
      <c r="A1734" s="62" t="s">
        <v>2615</v>
      </c>
      <c r="B1734" s="62" t="s">
        <v>2612</v>
      </c>
      <c r="C1734" s="62" t="s">
        <v>2612</v>
      </c>
      <c r="D1734" s="62" t="str">
        <f t="shared" si="28"/>
        <v>Hamurwa Town Council</v>
      </c>
      <c r="F1734" s="62">
        <v>1269</v>
      </c>
    </row>
    <row r="1735" spans="1:6">
      <c r="A1735" s="62" t="s">
        <v>2616</v>
      </c>
      <c r="B1735" s="62" t="s">
        <v>2612</v>
      </c>
      <c r="C1735" s="62" t="s">
        <v>2612</v>
      </c>
      <c r="D1735" s="62" t="str">
        <f t="shared" si="28"/>
        <v>Ikumba</v>
      </c>
      <c r="F1735" s="62">
        <v>1270</v>
      </c>
    </row>
    <row r="1736" spans="1:6">
      <c r="A1736" s="62" t="s">
        <v>2617</v>
      </c>
      <c r="B1736" s="62" t="s">
        <v>2612</v>
      </c>
      <c r="C1736" s="62" t="s">
        <v>2612</v>
      </c>
      <c r="D1736" s="62" t="str">
        <f t="shared" si="28"/>
        <v>Muko</v>
      </c>
      <c r="F1736" s="62">
        <v>1271</v>
      </c>
    </row>
    <row r="1737" spans="1:6">
      <c r="A1737" s="62" t="s">
        <v>2618</v>
      </c>
      <c r="B1737" s="62" t="s">
        <v>2612</v>
      </c>
      <c r="C1737" s="62" t="s">
        <v>2612</v>
      </c>
      <c r="D1737" s="62" t="str">
        <f t="shared" si="28"/>
        <v>Nyamweru</v>
      </c>
      <c r="F1737" s="62">
        <v>1272</v>
      </c>
    </row>
    <row r="1738" spans="1:6">
      <c r="A1738" s="62" t="s">
        <v>2619</v>
      </c>
      <c r="B1738" s="62" t="s">
        <v>2612</v>
      </c>
      <c r="C1738" s="62" t="s">
        <v>2612</v>
      </c>
      <c r="D1738" s="62" t="str">
        <f t="shared" si="28"/>
        <v>Rubanda Town Council</v>
      </c>
      <c r="F1738" s="62">
        <v>1273</v>
      </c>
    </row>
    <row r="1739" spans="1:6">
      <c r="A1739" s="62" t="s">
        <v>2620</v>
      </c>
      <c r="B1739" s="62" t="s">
        <v>2612</v>
      </c>
      <c r="C1739" s="62" t="s">
        <v>2612</v>
      </c>
      <c r="D1739" s="62" t="str">
        <f t="shared" si="28"/>
        <v>Ruhija</v>
      </c>
      <c r="F1739" s="62">
        <v>1274</v>
      </c>
    </row>
    <row r="1740" spans="1:6">
      <c r="A1740" s="62" t="s">
        <v>2621</v>
      </c>
      <c r="B1740" s="62" t="s">
        <v>2622</v>
      </c>
      <c r="C1740" s="62" t="s">
        <v>2623</v>
      </c>
      <c r="D1740" s="62" t="str">
        <f t="shared" si="28"/>
        <v>Katanda</v>
      </c>
      <c r="F1740" s="62">
        <v>1275</v>
      </c>
    </row>
    <row r="1741" spans="1:6">
      <c r="A1741" s="62" t="s">
        <v>2623</v>
      </c>
      <c r="B1741" s="62" t="s">
        <v>2622</v>
      </c>
      <c r="C1741" s="62" t="s">
        <v>2623</v>
      </c>
      <c r="D1741" s="62" t="str">
        <f t="shared" si="28"/>
        <v>Katerera</v>
      </c>
      <c r="F1741" s="62">
        <v>1276</v>
      </c>
    </row>
    <row r="1742" spans="1:6">
      <c r="A1742" s="62" t="s">
        <v>2624</v>
      </c>
      <c r="B1742" s="62" t="s">
        <v>2622</v>
      </c>
      <c r="C1742" s="62" t="s">
        <v>2623</v>
      </c>
      <c r="D1742" s="62" t="str">
        <f t="shared" si="28"/>
        <v>Katerera Town Council</v>
      </c>
      <c r="F1742" s="62">
        <v>1277</v>
      </c>
    </row>
    <row r="1743" spans="1:6">
      <c r="A1743" s="62" t="s">
        <v>2625</v>
      </c>
      <c r="B1743" s="62" t="s">
        <v>2622</v>
      </c>
      <c r="C1743" s="62" t="s">
        <v>48</v>
      </c>
      <c r="D1743" s="62" t="str">
        <f t="shared" si="28"/>
        <v>Katunguru</v>
      </c>
      <c r="F1743" s="62">
        <v>1278</v>
      </c>
    </row>
    <row r="1744" spans="1:6">
      <c r="A1744" s="62" t="s">
        <v>51</v>
      </c>
      <c r="B1744" s="62" t="s">
        <v>2622</v>
      </c>
      <c r="C1744" s="62" t="s">
        <v>48</v>
      </c>
      <c r="D1744" s="62" t="str">
        <f t="shared" si="28"/>
        <v>Kichwamba</v>
      </c>
      <c r="F1744" s="62">
        <v>1279</v>
      </c>
    </row>
    <row r="1745" spans="1:6">
      <c r="A1745" s="62" t="s">
        <v>2626</v>
      </c>
      <c r="B1745" s="62" t="s">
        <v>2622</v>
      </c>
      <c r="C1745" s="62" t="s">
        <v>2623</v>
      </c>
      <c r="D1745" s="62" t="str">
        <f t="shared" si="28"/>
        <v>Kirugu</v>
      </c>
      <c r="F1745" s="62">
        <v>1280</v>
      </c>
    </row>
    <row r="1746" spans="1:6">
      <c r="A1746" s="62" t="s">
        <v>2627</v>
      </c>
      <c r="B1746" s="62" t="s">
        <v>2622</v>
      </c>
      <c r="C1746" s="62" t="s">
        <v>2623</v>
      </c>
      <c r="D1746" s="62" t="str">
        <f t="shared" si="28"/>
        <v>Kyabakara</v>
      </c>
      <c r="F1746" s="62">
        <v>1281</v>
      </c>
    </row>
    <row r="1747" spans="1:6">
      <c r="A1747" s="62" t="s">
        <v>2628</v>
      </c>
      <c r="B1747" s="62" t="s">
        <v>2622</v>
      </c>
      <c r="C1747" s="62" t="s">
        <v>48</v>
      </c>
      <c r="D1747" s="62" t="str">
        <f t="shared" si="28"/>
        <v>Magambo</v>
      </c>
      <c r="F1747" s="62">
        <v>1282</v>
      </c>
    </row>
    <row r="1748" spans="1:6">
      <c r="A1748" s="62" t="s">
        <v>2629</v>
      </c>
      <c r="B1748" s="62" t="s">
        <v>2622</v>
      </c>
      <c r="C1748" s="62" t="s">
        <v>48</v>
      </c>
      <c r="D1748" s="62" t="str">
        <f t="shared" si="28"/>
        <v>Rubiriziri Town Council</v>
      </c>
      <c r="F1748" s="62">
        <v>1283</v>
      </c>
    </row>
    <row r="1749" spans="1:6">
      <c r="A1749" s="62" t="s">
        <v>2630</v>
      </c>
      <c r="B1749" s="62" t="s">
        <v>2622</v>
      </c>
      <c r="C1749" s="62" t="s">
        <v>48</v>
      </c>
      <c r="D1749" s="62" t="str">
        <f t="shared" si="28"/>
        <v>Rutoto</v>
      </c>
      <c r="F1749" s="62">
        <v>1284</v>
      </c>
    </row>
    <row r="1750" spans="1:6">
      <c r="A1750" s="62" t="s">
        <v>2631</v>
      </c>
      <c r="B1750" s="62" t="s">
        <v>2622</v>
      </c>
      <c r="C1750" s="62" t="s">
        <v>48</v>
      </c>
      <c r="D1750" s="62" t="str">
        <f t="shared" si="28"/>
        <v>Ryeru</v>
      </c>
      <c r="F1750" s="62">
        <v>1285</v>
      </c>
    </row>
    <row r="1751" spans="1:6">
      <c r="A1751" s="62" t="s">
        <v>2632</v>
      </c>
      <c r="B1751" s="62" t="s">
        <v>2633</v>
      </c>
      <c r="C1751" s="62" t="s">
        <v>2633</v>
      </c>
      <c r="D1751" s="62" t="str">
        <f t="shared" si="28"/>
        <v>Bukinda</v>
      </c>
      <c r="F1751" s="62">
        <v>1286</v>
      </c>
    </row>
    <row r="1752" spans="1:6">
      <c r="A1752" s="62" t="s">
        <v>2634</v>
      </c>
      <c r="B1752" s="62" t="s">
        <v>2633</v>
      </c>
      <c r="C1752" s="62" t="s">
        <v>2633</v>
      </c>
      <c r="D1752" s="62" t="str">
        <f t="shared" si="28"/>
        <v>Kamwezi</v>
      </c>
      <c r="F1752" s="62">
        <v>1287</v>
      </c>
    </row>
    <row r="1753" spans="1:6">
      <c r="A1753" s="62" t="s">
        <v>2635</v>
      </c>
      <c r="B1753" s="62" t="s">
        <v>2633</v>
      </c>
      <c r="C1753" s="62" t="s">
        <v>2633</v>
      </c>
      <c r="D1753" s="62" t="str">
        <f t="shared" si="28"/>
        <v>Kashambya</v>
      </c>
      <c r="F1753" s="62">
        <v>1288</v>
      </c>
    </row>
    <row r="1754" spans="1:6">
      <c r="A1754" s="62" t="s">
        <v>2636</v>
      </c>
      <c r="B1754" s="62" t="s">
        <v>2633</v>
      </c>
      <c r="C1754" s="62" t="s">
        <v>2633</v>
      </c>
      <c r="D1754" s="62" t="str">
        <f t="shared" si="28"/>
        <v>Mparo Town Council</v>
      </c>
      <c r="F1754" s="62">
        <v>1289</v>
      </c>
    </row>
    <row r="1755" spans="1:6">
      <c r="A1755" s="62" t="s">
        <v>2637</v>
      </c>
      <c r="B1755" s="62" t="s">
        <v>2633</v>
      </c>
      <c r="C1755" s="62" t="s">
        <v>2633</v>
      </c>
      <c r="D1755" s="62" t="str">
        <f t="shared" si="28"/>
        <v>Muhanga Town Council</v>
      </c>
      <c r="F1755" s="62">
        <v>1290</v>
      </c>
    </row>
    <row r="1756" spans="1:6">
      <c r="A1756" s="62" t="s">
        <v>2638</v>
      </c>
      <c r="B1756" s="62" t="s">
        <v>2633</v>
      </c>
      <c r="C1756" s="62" t="s">
        <v>2633</v>
      </c>
      <c r="D1756" s="62" t="str">
        <f t="shared" si="28"/>
        <v>Rwamucucu</v>
      </c>
      <c r="F1756" s="62">
        <v>1291</v>
      </c>
    </row>
    <row r="1757" spans="1:6">
      <c r="A1757" s="62" t="s">
        <v>2639</v>
      </c>
      <c r="B1757" s="62" t="s">
        <v>40</v>
      </c>
      <c r="C1757" s="62" t="s">
        <v>2640</v>
      </c>
      <c r="D1757" s="62" t="str">
        <f t="shared" si="28"/>
        <v>Bugangari</v>
      </c>
      <c r="F1757" s="62">
        <v>1292</v>
      </c>
    </row>
    <row r="1758" spans="1:6">
      <c r="A1758" s="62" t="s">
        <v>2641</v>
      </c>
      <c r="B1758" s="62" t="s">
        <v>40</v>
      </c>
      <c r="C1758" s="62" t="s">
        <v>2640</v>
      </c>
      <c r="D1758" s="62" t="str">
        <f t="shared" si="28"/>
        <v>Buhunga</v>
      </c>
      <c r="F1758" s="62">
        <v>1293</v>
      </c>
    </row>
    <row r="1759" spans="1:6">
      <c r="A1759" s="62" t="s">
        <v>1878</v>
      </c>
      <c r="B1759" s="62" t="s">
        <v>40</v>
      </c>
      <c r="C1759" s="62" t="s">
        <v>2642</v>
      </c>
      <c r="D1759" s="62" t="str">
        <f t="shared" si="28"/>
        <v>Buyanja</v>
      </c>
      <c r="F1759" s="62">
        <v>1294</v>
      </c>
    </row>
    <row r="1760" spans="1:6">
      <c r="A1760" s="62" t="s">
        <v>2643</v>
      </c>
      <c r="B1760" s="62" t="s">
        <v>40</v>
      </c>
      <c r="C1760" s="62" t="s">
        <v>2642</v>
      </c>
      <c r="D1760" s="62" t="str">
        <f t="shared" si="28"/>
        <v>Buyanja Town Council</v>
      </c>
      <c r="F1760" s="62">
        <v>1295</v>
      </c>
    </row>
    <row r="1761" spans="1:6">
      <c r="A1761" s="62" t="s">
        <v>2644</v>
      </c>
      <c r="B1761" s="62" t="s">
        <v>40</v>
      </c>
      <c r="C1761" s="62" t="s">
        <v>2640</v>
      </c>
      <c r="D1761" s="62" t="str">
        <f t="shared" si="28"/>
        <v>Bwambara</v>
      </c>
      <c r="F1761" s="62">
        <v>1296</v>
      </c>
    </row>
    <row r="1762" spans="1:6">
      <c r="A1762" s="62" t="s">
        <v>2645</v>
      </c>
      <c r="B1762" s="62" t="s">
        <v>40</v>
      </c>
      <c r="C1762" s="62" t="s">
        <v>2642</v>
      </c>
      <c r="D1762" s="62" t="str">
        <f t="shared" si="28"/>
        <v>Kebisoni</v>
      </c>
      <c r="F1762" s="62">
        <v>1297</v>
      </c>
    </row>
    <row r="1763" spans="1:6">
      <c r="A1763" s="62" t="s">
        <v>2646</v>
      </c>
      <c r="B1763" s="62" t="s">
        <v>40</v>
      </c>
      <c r="C1763" s="62" t="s">
        <v>2642</v>
      </c>
      <c r="D1763" s="62" t="str">
        <f t="shared" si="28"/>
        <v>Kebisoni Town Council</v>
      </c>
      <c r="F1763" s="62">
        <v>1298</v>
      </c>
    </row>
    <row r="1764" spans="1:6">
      <c r="A1764" s="62" t="s">
        <v>2647</v>
      </c>
      <c r="B1764" s="62" t="s">
        <v>40</v>
      </c>
      <c r="C1764" s="62" t="s">
        <v>2640</v>
      </c>
      <c r="D1764" s="62" t="str">
        <f t="shared" si="28"/>
        <v>Nyakagyeme</v>
      </c>
      <c r="F1764" s="62">
        <v>1299</v>
      </c>
    </row>
    <row r="1765" spans="1:6">
      <c r="A1765" s="62" t="s">
        <v>2648</v>
      </c>
      <c r="B1765" s="62" t="s">
        <v>40</v>
      </c>
      <c r="C1765" s="62" t="s">
        <v>2642</v>
      </c>
      <c r="D1765" s="62" t="str">
        <f t="shared" si="28"/>
        <v>Nyakishenyi</v>
      </c>
      <c r="F1765" s="62">
        <v>1300</v>
      </c>
    </row>
    <row r="1766" spans="1:6">
      <c r="A1766" s="62" t="s">
        <v>2649</v>
      </c>
      <c r="B1766" s="62" t="s">
        <v>40</v>
      </c>
      <c r="C1766" s="62" t="s">
        <v>2642</v>
      </c>
      <c r="D1766" s="62" t="str">
        <f t="shared" si="28"/>
        <v>Nyarushanje</v>
      </c>
      <c r="F1766" s="62">
        <v>1301</v>
      </c>
    </row>
    <row r="1767" spans="1:6">
      <c r="A1767" s="62" t="s">
        <v>2270</v>
      </c>
      <c r="B1767" s="62" t="s">
        <v>40</v>
      </c>
      <c r="C1767" s="62" t="s">
        <v>2640</v>
      </c>
      <c r="D1767" s="62" t="str">
        <f t="shared" si="28"/>
        <v>Ruhinda</v>
      </c>
      <c r="F1767" s="62">
        <v>1302</v>
      </c>
    </row>
    <row r="1768" spans="1:6">
      <c r="A1768" s="62" t="s">
        <v>2650</v>
      </c>
      <c r="B1768" s="62" t="s">
        <v>40</v>
      </c>
      <c r="C1768" s="62" t="s">
        <v>2650</v>
      </c>
      <c r="D1768" s="62" t="str">
        <f t="shared" si="28"/>
        <v>Rukungiri Municipality</v>
      </c>
      <c r="F1768" s="62">
        <v>1303</v>
      </c>
    </row>
    <row r="1769" spans="1:6">
      <c r="A1769" s="62" t="s">
        <v>2651</v>
      </c>
      <c r="D1769" s="62" t="str">
        <f t="shared" si="28"/>
        <v xml:space="preserve">Rukungiri </v>
      </c>
      <c r="F1769" s="62">
        <v>1303</v>
      </c>
    </row>
    <row r="1770" spans="1:6">
      <c r="A1770" s="62" t="s">
        <v>2652</v>
      </c>
      <c r="B1770" s="62" t="s">
        <v>2653</v>
      </c>
      <c r="C1770" s="62" t="s">
        <v>2653</v>
      </c>
      <c r="D1770" s="62" t="str">
        <f t="shared" si="28"/>
        <v>Atiira</v>
      </c>
      <c r="F1770" s="62">
        <v>1304</v>
      </c>
    </row>
    <row r="1771" spans="1:6">
      <c r="A1771" s="62" t="s">
        <v>2654</v>
      </c>
      <c r="B1771" s="62" t="s">
        <v>2653</v>
      </c>
      <c r="C1771" s="62" t="s">
        <v>2655</v>
      </c>
      <c r="D1771" s="62" t="str">
        <f t="shared" si="28"/>
        <v>Bugondo</v>
      </c>
      <c r="F1771" s="62">
        <v>1305</v>
      </c>
    </row>
    <row r="1772" spans="1:6">
      <c r="A1772" s="62" t="s">
        <v>2656</v>
      </c>
      <c r="B1772" s="62" t="s">
        <v>2653</v>
      </c>
      <c r="C1772" s="62" t="s">
        <v>2655</v>
      </c>
      <c r="D1772" s="62" t="str">
        <f t="shared" si="28"/>
        <v>Kadungulu</v>
      </c>
      <c r="F1772" s="62">
        <v>1306</v>
      </c>
    </row>
    <row r="1773" spans="1:6">
      <c r="A1773" s="62" t="s">
        <v>2657</v>
      </c>
      <c r="B1773" s="62" t="s">
        <v>2653</v>
      </c>
      <c r="C1773" s="62" t="s">
        <v>2655</v>
      </c>
      <c r="D1773" s="62" t="str">
        <f t="shared" si="28"/>
        <v>Kasilo Town Council</v>
      </c>
      <c r="F1773" s="62">
        <v>1307</v>
      </c>
    </row>
    <row r="1774" spans="1:6">
      <c r="A1774" s="62" t="s">
        <v>2658</v>
      </c>
      <c r="B1774" s="62" t="s">
        <v>2653</v>
      </c>
      <c r="C1774" s="62" t="s">
        <v>2653</v>
      </c>
      <c r="D1774" s="62" t="str">
        <f t="shared" si="28"/>
        <v>Kateta</v>
      </c>
      <c r="F1774" s="62">
        <v>1308</v>
      </c>
    </row>
    <row r="1775" spans="1:6">
      <c r="A1775" s="62" t="s">
        <v>2659</v>
      </c>
      <c r="B1775" s="62" t="s">
        <v>2653</v>
      </c>
      <c r="C1775" s="62" t="s">
        <v>2653</v>
      </c>
      <c r="D1775" s="62" t="str">
        <f t="shared" si="28"/>
        <v>Kyere</v>
      </c>
      <c r="F1775" s="62">
        <v>1309</v>
      </c>
    </row>
    <row r="1776" spans="1:6">
      <c r="A1776" s="62" t="s">
        <v>2660</v>
      </c>
      <c r="B1776" s="62" t="s">
        <v>2653</v>
      </c>
      <c r="C1776" s="62" t="s">
        <v>2655</v>
      </c>
      <c r="D1776" s="62" t="str">
        <f t="shared" si="28"/>
        <v>Labori</v>
      </c>
      <c r="F1776" s="62">
        <v>1310</v>
      </c>
    </row>
    <row r="1777" spans="1:6">
      <c r="A1777" s="62" t="s">
        <v>2661</v>
      </c>
      <c r="B1777" s="62" t="s">
        <v>2653</v>
      </c>
      <c r="C1777" s="62" t="s">
        <v>2653</v>
      </c>
      <c r="D1777" s="62" t="str">
        <f t="shared" si="28"/>
        <v>Olio</v>
      </c>
      <c r="F1777" s="62">
        <v>1311</v>
      </c>
    </row>
    <row r="1778" spans="1:6">
      <c r="A1778" s="62" t="s">
        <v>2662</v>
      </c>
      <c r="B1778" s="62" t="s">
        <v>2653</v>
      </c>
      <c r="C1778" s="62" t="s">
        <v>2655</v>
      </c>
      <c r="D1778" s="62" t="str">
        <f t="shared" si="28"/>
        <v>Pingire</v>
      </c>
      <c r="F1778" s="62">
        <v>1312</v>
      </c>
    </row>
    <row r="1779" spans="1:6">
      <c r="A1779" s="62" t="s">
        <v>2663</v>
      </c>
      <c r="B1779" s="62" t="s">
        <v>2653</v>
      </c>
      <c r="C1779" s="62" t="s">
        <v>2653</v>
      </c>
      <c r="D1779" s="62" t="str">
        <f t="shared" si="28"/>
        <v>Serere Town Council</v>
      </c>
      <c r="F1779" s="62">
        <v>1313</v>
      </c>
    </row>
    <row r="1780" spans="1:6">
      <c r="A1780" s="62" t="s">
        <v>2664</v>
      </c>
      <c r="D1780" s="62" t="str">
        <f t="shared" si="28"/>
        <v>SERERE</v>
      </c>
      <c r="F1780" s="62">
        <v>1313</v>
      </c>
    </row>
    <row r="1781" spans="1:6">
      <c r="A1781" s="62" t="s">
        <v>2665</v>
      </c>
      <c r="B1781" s="62" t="s">
        <v>41</v>
      </c>
      <c r="C1781" s="62" t="s">
        <v>41</v>
      </c>
      <c r="D1781" s="62" t="str">
        <f t="shared" si="28"/>
        <v>Bugongi Town Council</v>
      </c>
      <c r="F1781" s="62">
        <v>1314</v>
      </c>
    </row>
    <row r="1782" spans="1:6">
      <c r="A1782" s="62" t="s">
        <v>2666</v>
      </c>
      <c r="B1782" s="62" t="s">
        <v>41</v>
      </c>
      <c r="C1782" s="62" t="s">
        <v>2667</v>
      </c>
      <c r="D1782" s="62" t="str">
        <f t="shared" si="28"/>
        <v>Kagango Division-Sheema</v>
      </c>
      <c r="F1782" s="62">
        <v>1315</v>
      </c>
    </row>
    <row r="1783" spans="1:6">
      <c r="A1783" s="62" t="s">
        <v>2668</v>
      </c>
      <c r="B1783" s="62" t="s">
        <v>41</v>
      </c>
      <c r="C1783" s="62" t="s">
        <v>41</v>
      </c>
      <c r="D1783" s="62" t="str">
        <f t="shared" si="28"/>
        <v>Kakindo Town Council</v>
      </c>
      <c r="F1783" s="62">
        <v>1316</v>
      </c>
    </row>
    <row r="1784" spans="1:6">
      <c r="A1784" s="62" t="s">
        <v>2669</v>
      </c>
      <c r="B1784" s="62" t="s">
        <v>41</v>
      </c>
      <c r="C1784" s="62" t="s">
        <v>41</v>
      </c>
      <c r="D1784" s="62" t="str">
        <f t="shared" si="28"/>
        <v>Kasaana</v>
      </c>
      <c r="F1784" s="62">
        <v>1317</v>
      </c>
    </row>
    <row r="1785" spans="1:6">
      <c r="A1785" s="62" t="s">
        <v>2670</v>
      </c>
      <c r="D1785" s="62" t="str">
        <f t="shared" si="28"/>
        <v>KASANA</v>
      </c>
      <c r="F1785" s="62">
        <v>1317</v>
      </c>
    </row>
    <row r="1786" spans="1:6">
      <c r="A1786" s="62" t="s">
        <v>2671</v>
      </c>
      <c r="B1786" s="62" t="s">
        <v>41</v>
      </c>
      <c r="C1786" s="62" t="s">
        <v>41</v>
      </c>
      <c r="D1786" s="62" t="str">
        <f t="shared" si="28"/>
        <v>Kigarama</v>
      </c>
      <c r="F1786" s="62">
        <v>1318</v>
      </c>
    </row>
    <row r="1787" spans="1:6">
      <c r="A1787" s="62" t="s">
        <v>2672</v>
      </c>
      <c r="B1787" s="62" t="s">
        <v>41</v>
      </c>
      <c r="C1787" s="62" t="s">
        <v>41</v>
      </c>
      <c r="D1787" s="62" t="str">
        <f t="shared" si="28"/>
        <v>Kitagata</v>
      </c>
      <c r="F1787" s="62">
        <v>1319</v>
      </c>
    </row>
    <row r="1788" spans="1:6">
      <c r="A1788" s="62" t="s">
        <v>2673</v>
      </c>
      <c r="B1788" s="62" t="s">
        <v>41</v>
      </c>
      <c r="C1788" s="62" t="s">
        <v>41</v>
      </c>
      <c r="D1788" s="62" t="str">
        <f t="shared" si="28"/>
        <v>Kyangyenyi</v>
      </c>
      <c r="F1788" s="62">
        <v>1320</v>
      </c>
    </row>
    <row r="1789" spans="1:6">
      <c r="A1789" s="62" t="s">
        <v>2674</v>
      </c>
      <c r="B1789" s="62" t="s">
        <v>41</v>
      </c>
      <c r="C1789" s="62" t="s">
        <v>41</v>
      </c>
      <c r="D1789" s="62" t="str">
        <f t="shared" si="28"/>
        <v>Masheruka</v>
      </c>
      <c r="F1789" s="62">
        <v>1321</v>
      </c>
    </row>
    <row r="1790" spans="1:6">
      <c r="A1790" s="62" t="s">
        <v>2675</v>
      </c>
      <c r="B1790" s="62" t="s">
        <v>41</v>
      </c>
      <c r="C1790" s="62" t="s">
        <v>41</v>
      </c>
      <c r="D1790" s="62" t="str">
        <f t="shared" si="28"/>
        <v>Rugarama-Sheema</v>
      </c>
      <c r="F1790" s="62">
        <v>1322</v>
      </c>
    </row>
    <row r="1791" spans="1:6">
      <c r="A1791" s="62" t="s">
        <v>2667</v>
      </c>
      <c r="B1791" s="62" t="s">
        <v>41</v>
      </c>
      <c r="C1791" s="62" t="s">
        <v>2667</v>
      </c>
      <c r="D1791" s="62" t="str">
        <f t="shared" si="28"/>
        <v>Sheema Municipality</v>
      </c>
      <c r="F1791" s="62">
        <v>1323</v>
      </c>
    </row>
    <row r="1792" spans="1:6">
      <c r="A1792" s="62" t="s">
        <v>2676</v>
      </c>
      <c r="B1792" s="62" t="s">
        <v>41</v>
      </c>
      <c r="C1792" s="62" t="s">
        <v>41</v>
      </c>
      <c r="D1792" s="62" t="str">
        <f t="shared" si="28"/>
        <v>Shuuku</v>
      </c>
      <c r="F1792" s="62">
        <v>1324</v>
      </c>
    </row>
    <row r="1793" spans="1:6">
      <c r="A1793" s="62" t="s">
        <v>2677</v>
      </c>
      <c r="B1793" s="62" t="s">
        <v>41</v>
      </c>
      <c r="C1793" s="62" t="s">
        <v>41</v>
      </c>
      <c r="D1793" s="62" t="str">
        <f t="shared" si="28"/>
        <v>Shuuku Town Council</v>
      </c>
      <c r="F1793" s="62">
        <v>1325</v>
      </c>
    </row>
    <row r="1794" spans="1:6">
      <c r="A1794" s="62" t="s">
        <v>2678</v>
      </c>
      <c r="B1794" s="62" t="s">
        <v>2679</v>
      </c>
      <c r="C1794" s="62" t="s">
        <v>2680</v>
      </c>
      <c r="D1794" s="62" t="str">
        <f t="shared" ref="D1794:D1857" si="29">A1794</f>
        <v>Budadiri Town Council</v>
      </c>
      <c r="F1794" s="62">
        <v>1326</v>
      </c>
    </row>
    <row r="1795" spans="1:6">
      <c r="A1795" s="62" t="s">
        <v>2681</v>
      </c>
      <c r="B1795" s="62" t="s">
        <v>2679</v>
      </c>
      <c r="C1795" s="62" t="s">
        <v>2680</v>
      </c>
      <c r="D1795" s="62" t="str">
        <f t="shared" si="29"/>
        <v>Bugitimwa</v>
      </c>
      <c r="F1795" s="62">
        <v>1327</v>
      </c>
    </row>
    <row r="1796" spans="1:6">
      <c r="A1796" s="62" t="s">
        <v>2682</v>
      </c>
      <c r="B1796" s="62" t="s">
        <v>2679</v>
      </c>
      <c r="C1796" s="62" t="s">
        <v>2680</v>
      </c>
      <c r="D1796" s="62" t="str">
        <f t="shared" si="29"/>
        <v>Buhugu</v>
      </c>
      <c r="F1796" s="62">
        <v>1328</v>
      </c>
    </row>
    <row r="1797" spans="1:6">
      <c r="A1797" s="62" t="s">
        <v>2683</v>
      </c>
      <c r="B1797" s="62" t="s">
        <v>2679</v>
      </c>
      <c r="C1797" s="62" t="s">
        <v>2680</v>
      </c>
      <c r="D1797" s="62" t="str">
        <f t="shared" si="29"/>
        <v>Bukhulo</v>
      </c>
      <c r="F1797" s="62">
        <v>1329</v>
      </c>
    </row>
    <row r="1798" spans="1:6">
      <c r="A1798" s="62" t="s">
        <v>2684</v>
      </c>
      <c r="B1798" s="62" t="s">
        <v>2679</v>
      </c>
      <c r="C1798" s="62" t="s">
        <v>2680</v>
      </c>
      <c r="D1798" s="62" t="str">
        <f t="shared" si="29"/>
        <v>Bukiise</v>
      </c>
      <c r="F1798" s="62">
        <v>1330</v>
      </c>
    </row>
    <row r="1799" spans="1:6">
      <c r="A1799" s="62" t="s">
        <v>2685</v>
      </c>
      <c r="B1799" s="62" t="s">
        <v>2679</v>
      </c>
      <c r="C1799" s="62" t="s">
        <v>2680</v>
      </c>
      <c r="D1799" s="62" t="str">
        <f t="shared" si="29"/>
        <v>Bukiyi</v>
      </c>
      <c r="F1799" s="62">
        <v>1331</v>
      </c>
    </row>
    <row r="1800" spans="1:6">
      <c r="A1800" s="62" t="s">
        <v>2686</v>
      </c>
      <c r="B1800" s="62" t="s">
        <v>2679</v>
      </c>
      <c r="C1800" s="62" t="s">
        <v>2680</v>
      </c>
      <c r="D1800" s="62" t="str">
        <f t="shared" si="29"/>
        <v>Bukyabo</v>
      </c>
      <c r="F1800" s="62">
        <v>1332</v>
      </c>
    </row>
    <row r="1801" spans="1:6">
      <c r="A1801" s="62" t="s">
        <v>2687</v>
      </c>
      <c r="B1801" s="62" t="s">
        <v>2679</v>
      </c>
      <c r="C1801" s="62" t="s">
        <v>2680</v>
      </c>
      <c r="D1801" s="62" t="str">
        <f t="shared" si="29"/>
        <v>Bukyambi</v>
      </c>
      <c r="F1801" s="62">
        <v>1333</v>
      </c>
    </row>
    <row r="1802" spans="1:6">
      <c r="A1802" s="62" t="s">
        <v>2688</v>
      </c>
      <c r="B1802" s="62" t="s">
        <v>2679</v>
      </c>
      <c r="C1802" s="62" t="s">
        <v>2680</v>
      </c>
      <c r="D1802" s="62" t="str">
        <f t="shared" si="29"/>
        <v>Bumalimba</v>
      </c>
      <c r="F1802" s="62">
        <v>1334</v>
      </c>
    </row>
    <row r="1803" spans="1:6">
      <c r="A1803" s="62" t="s">
        <v>2689</v>
      </c>
      <c r="B1803" s="62" t="s">
        <v>2679</v>
      </c>
      <c r="C1803" s="62" t="s">
        <v>2680</v>
      </c>
      <c r="D1803" s="62" t="str">
        <f t="shared" si="29"/>
        <v>Bumasifwa</v>
      </c>
      <c r="F1803" s="62">
        <v>1335</v>
      </c>
    </row>
    <row r="1804" spans="1:6">
      <c r="A1804" s="62" t="s">
        <v>2690</v>
      </c>
      <c r="B1804" s="62" t="s">
        <v>2679</v>
      </c>
      <c r="C1804" s="62" t="s">
        <v>2680</v>
      </c>
      <c r="D1804" s="62" t="str">
        <f t="shared" si="29"/>
        <v>Bunyafa</v>
      </c>
      <c r="F1804" s="62">
        <v>1336</v>
      </c>
    </row>
    <row r="1805" spans="1:6">
      <c r="A1805" s="62" t="s">
        <v>2691</v>
      </c>
      <c r="B1805" s="62" t="s">
        <v>2679</v>
      </c>
      <c r="C1805" s="62" t="s">
        <v>2680</v>
      </c>
      <c r="D1805" s="62" t="str">
        <f t="shared" si="29"/>
        <v>Busulani</v>
      </c>
      <c r="F1805" s="62">
        <v>1337</v>
      </c>
    </row>
    <row r="1806" spans="1:6">
      <c r="A1806" s="62" t="s">
        <v>2692</v>
      </c>
      <c r="B1806" s="62" t="s">
        <v>2679</v>
      </c>
      <c r="C1806" s="62" t="s">
        <v>2680</v>
      </c>
      <c r="D1806" s="62" t="str">
        <f t="shared" si="29"/>
        <v>Butandiga</v>
      </c>
      <c r="F1806" s="62">
        <v>1338</v>
      </c>
    </row>
    <row r="1807" spans="1:6">
      <c r="A1807" s="62" t="s">
        <v>2693</v>
      </c>
      <c r="B1807" s="62" t="s">
        <v>2679</v>
      </c>
      <c r="C1807" s="62" t="s">
        <v>2680</v>
      </c>
      <c r="D1807" s="62" t="str">
        <f t="shared" si="29"/>
        <v>Buteza</v>
      </c>
      <c r="F1807" s="62">
        <v>1339</v>
      </c>
    </row>
    <row r="1808" spans="1:6">
      <c r="A1808" s="62" t="s">
        <v>2694</v>
      </c>
      <c r="B1808" s="62" t="s">
        <v>2679</v>
      </c>
      <c r="C1808" s="62" t="s">
        <v>2680</v>
      </c>
      <c r="D1808" s="62" t="str">
        <f t="shared" si="29"/>
        <v>Buwalasi</v>
      </c>
      <c r="F1808" s="62">
        <v>1340</v>
      </c>
    </row>
    <row r="1809" spans="1:6">
      <c r="A1809" s="62" t="s">
        <v>2695</v>
      </c>
      <c r="B1809" s="62" t="s">
        <v>2679</v>
      </c>
      <c r="C1809" s="62" t="s">
        <v>2680</v>
      </c>
      <c r="D1809" s="62" t="str">
        <f t="shared" si="29"/>
        <v>Buwasa</v>
      </c>
      <c r="F1809" s="62">
        <v>1341</v>
      </c>
    </row>
    <row r="1810" spans="1:6">
      <c r="A1810" s="62" t="s">
        <v>2696</v>
      </c>
      <c r="B1810" s="62" t="s">
        <v>2679</v>
      </c>
      <c r="C1810" s="62" t="s">
        <v>2680</v>
      </c>
      <c r="D1810" s="62" t="str">
        <f t="shared" si="29"/>
        <v>Buyobo</v>
      </c>
      <c r="F1810" s="62">
        <v>1342</v>
      </c>
    </row>
    <row r="1811" spans="1:6">
      <c r="A1811" s="62" t="s">
        <v>2697</v>
      </c>
      <c r="B1811" s="62" t="s">
        <v>2679</v>
      </c>
      <c r="C1811" s="62" t="s">
        <v>2680</v>
      </c>
      <c r="D1811" s="62" t="str">
        <f t="shared" si="29"/>
        <v>Masaba-Sironko</v>
      </c>
      <c r="F1811" s="62">
        <v>1343</v>
      </c>
    </row>
    <row r="1812" spans="1:6">
      <c r="A1812" s="62" t="s">
        <v>2698</v>
      </c>
      <c r="B1812" s="62" t="s">
        <v>2679</v>
      </c>
      <c r="C1812" s="62" t="s">
        <v>2680</v>
      </c>
      <c r="D1812" s="62" t="str">
        <f t="shared" si="29"/>
        <v>Nalusala</v>
      </c>
      <c r="F1812" s="62">
        <v>1344</v>
      </c>
    </row>
    <row r="1813" spans="1:6">
      <c r="A1813" s="62" t="s">
        <v>2699</v>
      </c>
      <c r="B1813" s="62" t="s">
        <v>2679</v>
      </c>
      <c r="C1813" s="62" t="s">
        <v>2680</v>
      </c>
      <c r="D1813" s="62" t="str">
        <f t="shared" si="29"/>
        <v>Sironko Town Council</v>
      </c>
      <c r="F1813" s="62">
        <v>1345</v>
      </c>
    </row>
    <row r="1814" spans="1:6">
      <c r="A1814" s="62" t="s">
        <v>2700</v>
      </c>
      <c r="B1814" s="62" t="s">
        <v>2679</v>
      </c>
      <c r="C1814" s="62" t="s">
        <v>2680</v>
      </c>
      <c r="D1814" s="62" t="str">
        <f t="shared" si="29"/>
        <v>Zesui</v>
      </c>
      <c r="F1814" s="62">
        <v>1346</v>
      </c>
    </row>
    <row r="1815" spans="1:6">
      <c r="A1815" s="62" t="s">
        <v>2701</v>
      </c>
      <c r="B1815" s="62" t="s">
        <v>2702</v>
      </c>
      <c r="C1815" s="62" t="s">
        <v>2702</v>
      </c>
      <c r="D1815" s="62" t="str">
        <f t="shared" si="29"/>
        <v>Arapai</v>
      </c>
      <c r="F1815" s="62">
        <v>1347</v>
      </c>
    </row>
    <row r="1816" spans="1:6">
      <c r="A1816" s="62" t="s">
        <v>2703</v>
      </c>
      <c r="B1816" s="62" t="s">
        <v>2702</v>
      </c>
      <c r="C1816" s="62" t="s">
        <v>2702</v>
      </c>
      <c r="D1816" s="62" t="str">
        <f t="shared" si="29"/>
        <v>Asuret</v>
      </c>
      <c r="F1816" s="62">
        <v>1348</v>
      </c>
    </row>
    <row r="1817" spans="1:6">
      <c r="A1817" s="62" t="s">
        <v>2704</v>
      </c>
      <c r="B1817" s="62" t="s">
        <v>2702</v>
      </c>
      <c r="C1817" s="62" t="s">
        <v>2702</v>
      </c>
      <c r="D1817" s="62" t="str">
        <f t="shared" si="29"/>
        <v>Gweri</v>
      </c>
      <c r="F1817" s="62">
        <v>1349</v>
      </c>
    </row>
    <row r="1818" spans="1:6">
      <c r="A1818" s="62" t="s">
        <v>2705</v>
      </c>
      <c r="B1818" s="62" t="s">
        <v>2702</v>
      </c>
      <c r="C1818" s="62" t="s">
        <v>2702</v>
      </c>
      <c r="D1818" s="62" t="str">
        <f t="shared" si="29"/>
        <v>Kamuda</v>
      </c>
      <c r="F1818" s="62">
        <v>1350</v>
      </c>
    </row>
    <row r="1819" spans="1:6">
      <c r="A1819" s="62" t="s">
        <v>2706</v>
      </c>
      <c r="B1819" s="62" t="s">
        <v>2702</v>
      </c>
      <c r="C1819" s="62" t="s">
        <v>2702</v>
      </c>
      <c r="D1819" s="62" t="str">
        <f t="shared" si="29"/>
        <v>Katine</v>
      </c>
      <c r="F1819" s="62">
        <v>1351</v>
      </c>
    </row>
    <row r="1820" spans="1:6">
      <c r="A1820" s="62" t="s">
        <v>2702</v>
      </c>
      <c r="B1820" s="62" t="s">
        <v>2702</v>
      </c>
      <c r="C1820" s="62" t="s">
        <v>2702</v>
      </c>
      <c r="D1820" s="62" t="str">
        <f t="shared" si="29"/>
        <v>Soroti</v>
      </c>
      <c r="F1820" s="62">
        <v>1352</v>
      </c>
    </row>
    <row r="1821" spans="1:6">
      <c r="A1821" s="62" t="s">
        <v>2707</v>
      </c>
      <c r="D1821" s="62" t="str">
        <f t="shared" si="29"/>
        <v>SOROTI TOWN</v>
      </c>
      <c r="F1821" s="62">
        <v>1352</v>
      </c>
    </row>
    <row r="1822" spans="1:6">
      <c r="A1822" s="62" t="s">
        <v>2708</v>
      </c>
      <c r="B1822" s="62" t="s">
        <v>2702</v>
      </c>
      <c r="C1822" s="62" t="s">
        <v>2708</v>
      </c>
      <c r="D1822" s="62" t="str">
        <f t="shared" si="29"/>
        <v>Soroti Municipality</v>
      </c>
      <c r="F1822" s="62">
        <v>1353</v>
      </c>
    </row>
    <row r="1823" spans="1:6">
      <c r="A1823" s="62" t="s">
        <v>2709</v>
      </c>
      <c r="B1823" s="62" t="s">
        <v>2702</v>
      </c>
      <c r="C1823" s="62" t="s">
        <v>2702</v>
      </c>
      <c r="D1823" s="62" t="str">
        <f t="shared" si="29"/>
        <v>Tubur</v>
      </c>
      <c r="F1823" s="62">
        <v>1354</v>
      </c>
    </row>
    <row r="1824" spans="1:6">
      <c r="A1824" s="62" t="s">
        <v>2710</v>
      </c>
      <c r="B1824" s="62" t="s">
        <v>2711</v>
      </c>
      <c r="C1824" s="62" t="s">
        <v>2712</v>
      </c>
      <c r="D1824" s="62" t="str">
        <f t="shared" si="29"/>
        <v>Lugusulu</v>
      </c>
      <c r="F1824" s="62">
        <v>1355</v>
      </c>
    </row>
    <row r="1825" spans="1:6">
      <c r="A1825" s="62" t="s">
        <v>2713</v>
      </c>
      <c r="B1825" s="62" t="s">
        <v>2711</v>
      </c>
      <c r="C1825" s="62" t="s">
        <v>2712</v>
      </c>
      <c r="D1825" s="62" t="str">
        <f t="shared" si="29"/>
        <v>Lwebitakuli</v>
      </c>
      <c r="F1825" s="62">
        <v>1356</v>
      </c>
    </row>
    <row r="1826" spans="1:6">
      <c r="A1826" s="62" t="s">
        <v>2714</v>
      </c>
      <c r="B1826" s="62" t="s">
        <v>2711</v>
      </c>
      <c r="C1826" s="62" t="s">
        <v>2714</v>
      </c>
      <c r="D1826" s="62" t="str">
        <f t="shared" si="29"/>
        <v>Lwemiyaga</v>
      </c>
      <c r="F1826" s="62">
        <v>1357</v>
      </c>
    </row>
    <row r="1827" spans="1:6">
      <c r="A1827" s="62" t="s">
        <v>2715</v>
      </c>
      <c r="B1827" s="62" t="s">
        <v>2711</v>
      </c>
      <c r="C1827" s="62" t="s">
        <v>2712</v>
      </c>
      <c r="D1827" s="62" t="str">
        <f t="shared" si="29"/>
        <v>Mateete</v>
      </c>
      <c r="F1827" s="62">
        <v>1358</v>
      </c>
    </row>
    <row r="1828" spans="1:6">
      <c r="A1828" s="62" t="s">
        <v>2716</v>
      </c>
      <c r="B1828" s="62" t="s">
        <v>2711</v>
      </c>
      <c r="C1828" s="62" t="s">
        <v>2712</v>
      </c>
      <c r="D1828" s="62" t="str">
        <f t="shared" si="29"/>
        <v>Mateete Town Council</v>
      </c>
      <c r="F1828" s="62">
        <v>1359</v>
      </c>
    </row>
    <row r="1829" spans="1:6">
      <c r="A1829" s="62" t="s">
        <v>2717</v>
      </c>
      <c r="B1829" s="62" t="s">
        <v>2711</v>
      </c>
      <c r="C1829" s="62" t="s">
        <v>2712</v>
      </c>
      <c r="D1829" s="62" t="str">
        <f t="shared" si="29"/>
        <v>Mijwala</v>
      </c>
      <c r="F1829" s="62">
        <v>1360</v>
      </c>
    </row>
    <row r="1830" spans="1:6">
      <c r="A1830" s="62" t="s">
        <v>2718</v>
      </c>
      <c r="B1830" s="62" t="s">
        <v>2711</v>
      </c>
      <c r="C1830" s="62" t="s">
        <v>2714</v>
      </c>
      <c r="D1830" s="62" t="str">
        <f t="shared" si="29"/>
        <v>Ntuusi</v>
      </c>
      <c r="F1830" s="62">
        <v>1361</v>
      </c>
    </row>
    <row r="1831" spans="1:6">
      <c r="A1831" s="62" t="s">
        <v>2719</v>
      </c>
      <c r="B1831" s="62" t="s">
        <v>2711</v>
      </c>
      <c r="C1831" s="62" t="s">
        <v>2712</v>
      </c>
      <c r="D1831" s="62" t="str">
        <f t="shared" si="29"/>
        <v>Sembabule Town Council</v>
      </c>
      <c r="F1831" s="62">
        <v>1362</v>
      </c>
    </row>
    <row r="1832" spans="1:6">
      <c r="A1832" s="62" t="s">
        <v>227</v>
      </c>
      <c r="D1832" s="62" t="str">
        <f t="shared" si="29"/>
        <v>SSEBABULE</v>
      </c>
      <c r="F1832" s="62">
        <v>1362</v>
      </c>
    </row>
    <row r="1833" spans="1:6">
      <c r="A1833" s="62" t="s">
        <v>2720</v>
      </c>
      <c r="B1833" s="62" t="s">
        <v>2721</v>
      </c>
      <c r="C1833" s="62" t="s">
        <v>2722</v>
      </c>
      <c r="D1833" s="62" t="str">
        <f t="shared" si="29"/>
        <v>Iyolwa</v>
      </c>
      <c r="F1833" s="62">
        <v>1363</v>
      </c>
    </row>
    <row r="1834" spans="1:6">
      <c r="A1834" s="62" t="s">
        <v>2723</v>
      </c>
      <c r="B1834" s="62" t="s">
        <v>2721</v>
      </c>
      <c r="C1834" s="62" t="s">
        <v>2722</v>
      </c>
      <c r="D1834" s="62" t="str">
        <f t="shared" si="29"/>
        <v>Kirewa</v>
      </c>
      <c r="F1834" s="62">
        <v>1364</v>
      </c>
    </row>
    <row r="1835" spans="1:6">
      <c r="A1835" s="62" t="s">
        <v>2724</v>
      </c>
      <c r="B1835" s="62" t="s">
        <v>2721</v>
      </c>
      <c r="C1835" s="62" t="s">
        <v>2722</v>
      </c>
      <c r="D1835" s="62" t="str">
        <f t="shared" si="29"/>
        <v>Kisoko</v>
      </c>
      <c r="F1835" s="62">
        <v>1365</v>
      </c>
    </row>
    <row r="1836" spans="1:6">
      <c r="A1836" s="62" t="s">
        <v>2725</v>
      </c>
      <c r="B1836" s="62" t="s">
        <v>2721</v>
      </c>
      <c r="C1836" s="62" t="s">
        <v>2721</v>
      </c>
      <c r="D1836" s="62" t="str">
        <f t="shared" si="29"/>
        <v>Kwapa</v>
      </c>
      <c r="F1836" s="62">
        <v>1366</v>
      </c>
    </row>
    <row r="1837" spans="1:6">
      <c r="A1837" s="62" t="s">
        <v>2726</v>
      </c>
      <c r="B1837" s="62" t="s">
        <v>2721</v>
      </c>
      <c r="C1837" s="62" t="s">
        <v>2722</v>
      </c>
      <c r="D1837" s="62" t="str">
        <f t="shared" si="29"/>
        <v>Magola</v>
      </c>
      <c r="F1837" s="62">
        <v>1367</v>
      </c>
    </row>
    <row r="1838" spans="1:6">
      <c r="A1838" s="62" t="s">
        <v>2727</v>
      </c>
      <c r="B1838" s="62" t="s">
        <v>2721</v>
      </c>
      <c r="C1838" s="62" t="s">
        <v>2721</v>
      </c>
      <c r="D1838" s="62" t="str">
        <f t="shared" si="29"/>
        <v>Malaba Town Council</v>
      </c>
      <c r="F1838" s="62">
        <v>1368</v>
      </c>
    </row>
    <row r="1839" spans="1:6">
      <c r="A1839" s="62" t="s">
        <v>2728</v>
      </c>
      <c r="D1839" s="62" t="str">
        <f t="shared" si="29"/>
        <v>Lubowa</v>
      </c>
      <c r="F1839" s="62">
        <v>1368</v>
      </c>
    </row>
    <row r="1840" spans="1:6">
      <c r="A1840" s="62" t="s">
        <v>2729</v>
      </c>
      <c r="D1840" s="62" t="str">
        <f t="shared" si="29"/>
        <v>LUGOBA</v>
      </c>
      <c r="F1840" s="62">
        <v>1368</v>
      </c>
    </row>
    <row r="1841" spans="1:6">
      <c r="A1841" s="62" t="s">
        <v>2730</v>
      </c>
      <c r="D1841" s="62" t="str">
        <f t="shared" si="29"/>
        <v>LUBOGA</v>
      </c>
      <c r="F1841" s="62">
        <v>1368</v>
      </c>
    </row>
    <row r="1842" spans="1:6">
      <c r="A1842" s="62" t="s">
        <v>2731</v>
      </c>
      <c r="D1842" s="62" t="str">
        <f t="shared" si="29"/>
        <v>Bunamwaya</v>
      </c>
      <c r="F1842" s="62">
        <v>1368</v>
      </c>
    </row>
    <row r="1843" spans="1:6">
      <c r="A1843" s="62" t="s">
        <v>2732</v>
      </c>
      <c r="B1843" s="62" t="s">
        <v>2721</v>
      </c>
      <c r="C1843" s="62" t="s">
        <v>2721</v>
      </c>
      <c r="D1843" s="62" t="str">
        <f t="shared" si="29"/>
        <v>Mella</v>
      </c>
      <c r="F1843" s="62">
        <v>1369</v>
      </c>
    </row>
    <row r="1844" spans="1:6">
      <c r="A1844" s="62" t="s">
        <v>2733</v>
      </c>
      <c r="B1844" s="62" t="s">
        <v>2721</v>
      </c>
      <c r="C1844" s="62" t="s">
        <v>2721</v>
      </c>
      <c r="D1844" s="62" t="str">
        <f t="shared" si="29"/>
        <v>Merikit</v>
      </c>
      <c r="F1844" s="62">
        <v>1370</v>
      </c>
    </row>
    <row r="1845" spans="1:6">
      <c r="A1845" s="62" t="s">
        <v>2734</v>
      </c>
      <c r="B1845" s="62" t="s">
        <v>2721</v>
      </c>
      <c r="C1845" s="62" t="s">
        <v>2721</v>
      </c>
      <c r="D1845" s="62" t="str">
        <f t="shared" si="29"/>
        <v>Molo</v>
      </c>
      <c r="F1845" s="62">
        <v>1371</v>
      </c>
    </row>
    <row r="1846" spans="1:6">
      <c r="A1846" s="62" t="s">
        <v>2735</v>
      </c>
      <c r="B1846" s="62" t="s">
        <v>2721</v>
      </c>
      <c r="C1846" s="62" t="s">
        <v>2721</v>
      </c>
      <c r="D1846" s="62" t="str">
        <f t="shared" si="29"/>
        <v>Mukuju</v>
      </c>
      <c r="F1846" s="62">
        <v>1372</v>
      </c>
    </row>
    <row r="1847" spans="1:6">
      <c r="A1847" s="62" t="s">
        <v>2736</v>
      </c>
      <c r="B1847" s="62" t="s">
        <v>2721</v>
      </c>
      <c r="C1847" s="62" t="s">
        <v>2722</v>
      </c>
      <c r="D1847" s="62" t="str">
        <f t="shared" si="29"/>
        <v>Mulanda</v>
      </c>
      <c r="F1847" s="62">
        <v>1373</v>
      </c>
    </row>
    <row r="1848" spans="1:6">
      <c r="A1848" s="62" t="s">
        <v>2737</v>
      </c>
      <c r="B1848" s="62" t="s">
        <v>2721</v>
      </c>
      <c r="C1848" s="62" t="s">
        <v>2722</v>
      </c>
      <c r="D1848" s="62" t="str">
        <f t="shared" si="29"/>
        <v>Nabuyoga</v>
      </c>
      <c r="F1848" s="62">
        <v>1374</v>
      </c>
    </row>
    <row r="1849" spans="1:6">
      <c r="A1849" s="62" t="s">
        <v>2738</v>
      </c>
      <c r="B1849" s="62" t="s">
        <v>2721</v>
      </c>
      <c r="C1849" s="62" t="s">
        <v>2722</v>
      </c>
      <c r="D1849" s="62" t="str">
        <f t="shared" si="29"/>
        <v>Nagongera</v>
      </c>
      <c r="F1849" s="62">
        <v>1375</v>
      </c>
    </row>
    <row r="1850" spans="1:6">
      <c r="A1850" s="62" t="s">
        <v>2739</v>
      </c>
      <c r="B1850" s="62" t="s">
        <v>2721</v>
      </c>
      <c r="C1850" s="62" t="s">
        <v>2722</v>
      </c>
      <c r="D1850" s="62" t="str">
        <f t="shared" si="29"/>
        <v>Nagongera Town Council</v>
      </c>
      <c r="F1850" s="62">
        <v>1376</v>
      </c>
    </row>
    <row r="1851" spans="1:6">
      <c r="A1851" s="62" t="s">
        <v>2740</v>
      </c>
      <c r="B1851" s="62" t="s">
        <v>2721</v>
      </c>
      <c r="C1851" s="62" t="s">
        <v>2721</v>
      </c>
      <c r="D1851" s="62" t="str">
        <f t="shared" si="29"/>
        <v>Osukuru</v>
      </c>
      <c r="F1851" s="62">
        <v>1377</v>
      </c>
    </row>
    <row r="1852" spans="1:6">
      <c r="A1852" s="62" t="s">
        <v>2741</v>
      </c>
      <c r="B1852" s="62" t="s">
        <v>2721</v>
      </c>
      <c r="C1852" s="62" t="s">
        <v>2722</v>
      </c>
      <c r="D1852" s="62" t="str">
        <f t="shared" si="29"/>
        <v>Paya</v>
      </c>
      <c r="F1852" s="62">
        <v>1378</v>
      </c>
    </row>
    <row r="1853" spans="1:6">
      <c r="A1853" s="62" t="s">
        <v>2742</v>
      </c>
      <c r="B1853" s="62" t="s">
        <v>2721</v>
      </c>
      <c r="C1853" s="62" t="s">
        <v>2722</v>
      </c>
      <c r="D1853" s="62" t="str">
        <f t="shared" si="29"/>
        <v>Petta</v>
      </c>
      <c r="F1853" s="62">
        <v>1379</v>
      </c>
    </row>
    <row r="1854" spans="1:6">
      <c r="A1854" s="62" t="s">
        <v>2743</v>
      </c>
      <c r="B1854" s="62" t="s">
        <v>2721</v>
      </c>
      <c r="C1854" s="62" t="s">
        <v>2722</v>
      </c>
      <c r="D1854" s="62" t="str">
        <f t="shared" si="29"/>
        <v>Rubongi</v>
      </c>
      <c r="F1854" s="62">
        <v>1380</v>
      </c>
    </row>
    <row r="1855" spans="1:6">
      <c r="A1855" s="62" t="s">
        <v>2744</v>
      </c>
      <c r="B1855" s="62" t="s">
        <v>2721</v>
      </c>
      <c r="C1855" s="62" t="s">
        <v>2722</v>
      </c>
      <c r="D1855" s="62" t="str">
        <f t="shared" si="29"/>
        <v>Sop-Sop</v>
      </c>
      <c r="F1855" s="62">
        <v>1381</v>
      </c>
    </row>
    <row r="1856" spans="1:6">
      <c r="A1856" s="62" t="s">
        <v>2745</v>
      </c>
      <c r="B1856" s="62" t="s">
        <v>2721</v>
      </c>
      <c r="C1856" s="62" t="s">
        <v>2745</v>
      </c>
      <c r="D1856" s="62" t="str">
        <f t="shared" si="29"/>
        <v>Tororo Municipality</v>
      </c>
      <c r="F1856" s="62">
        <v>1382</v>
      </c>
    </row>
    <row r="1857" spans="1:6">
      <c r="A1857" s="62" t="s">
        <v>2746</v>
      </c>
      <c r="D1857" s="62" t="str">
        <f t="shared" si="29"/>
        <v>TORORO</v>
      </c>
      <c r="F1857" s="62">
        <v>1382</v>
      </c>
    </row>
    <row r="1858" spans="1:6">
      <c r="A1858" s="62" t="s">
        <v>2747</v>
      </c>
      <c r="D1858" s="62" t="str">
        <f t="shared" ref="D1858:D1921" si="30">A1858</f>
        <v>Tororo cement</v>
      </c>
      <c r="F1858" s="62">
        <v>1382</v>
      </c>
    </row>
    <row r="1859" spans="1:6">
      <c r="A1859" s="62" t="s">
        <v>2731</v>
      </c>
      <c r="B1859" s="62" t="s">
        <v>2748</v>
      </c>
      <c r="C1859" s="62" t="s">
        <v>2749</v>
      </c>
      <c r="D1859" s="62" t="str">
        <f t="shared" si="30"/>
        <v>Bunamwaya</v>
      </c>
      <c r="F1859" s="62">
        <v>1383</v>
      </c>
    </row>
    <row r="1860" spans="1:6">
      <c r="A1860" s="62" t="s">
        <v>2750</v>
      </c>
      <c r="D1860" s="62" t="str">
        <f t="shared" si="30"/>
        <v>Namasuba</v>
      </c>
      <c r="F1860" s="62">
        <v>1383</v>
      </c>
    </row>
    <row r="1861" spans="1:6">
      <c r="A1861" s="62" t="s">
        <v>2751</v>
      </c>
      <c r="D1861" s="62" t="str">
        <f t="shared" si="30"/>
        <v>LIGHT ACADEMY</v>
      </c>
      <c r="F1861" s="62">
        <v>1383</v>
      </c>
    </row>
    <row r="1862" spans="1:6">
      <c r="A1862" s="62" t="s">
        <v>2752</v>
      </c>
      <c r="B1862" s="62" t="s">
        <v>2748</v>
      </c>
      <c r="C1862" s="62" t="s">
        <v>2753</v>
      </c>
      <c r="D1862" s="62" t="str">
        <f t="shared" si="30"/>
        <v>Bussi</v>
      </c>
      <c r="F1862" s="62">
        <v>1384</v>
      </c>
    </row>
    <row r="1863" spans="1:6">
      <c r="A1863" s="62" t="s">
        <v>2754</v>
      </c>
      <c r="B1863" s="62" t="s">
        <v>2748</v>
      </c>
      <c r="C1863" s="62" t="s">
        <v>2755</v>
      </c>
      <c r="D1863" s="62" t="str">
        <f t="shared" si="30"/>
        <v>Busukuma</v>
      </c>
      <c r="F1863" s="62">
        <v>1385</v>
      </c>
    </row>
    <row r="1864" spans="1:6">
      <c r="A1864" s="62" t="s">
        <v>2756</v>
      </c>
      <c r="D1864" s="62" t="str">
        <f t="shared" si="30"/>
        <v>Ganda</v>
      </c>
      <c r="F1864" s="62">
        <v>1385</v>
      </c>
    </row>
    <row r="1865" spans="1:6">
      <c r="A1865" s="62" t="s">
        <v>28</v>
      </c>
      <c r="B1865" s="62" t="s">
        <v>2748</v>
      </c>
      <c r="C1865" s="62" t="s">
        <v>2757</v>
      </c>
      <c r="D1865" s="62" t="str">
        <f t="shared" si="30"/>
        <v>Bweyogerere</v>
      </c>
      <c r="F1865" s="62">
        <v>1386</v>
      </c>
    </row>
    <row r="1866" spans="1:6">
      <c r="A1866" s="62" t="s">
        <v>2758</v>
      </c>
      <c r="D1866" s="62" t="str">
        <f t="shared" si="30"/>
        <v>BWEYOGERE</v>
      </c>
      <c r="F1866" s="62">
        <v>1386</v>
      </c>
    </row>
    <row r="1867" spans="1:6">
      <c r="A1867" s="62" t="s">
        <v>2759</v>
      </c>
      <c r="D1867" s="62" t="str">
        <f t="shared" si="30"/>
        <v>Namboole</v>
      </c>
      <c r="F1867" s="62">
        <v>1386</v>
      </c>
    </row>
    <row r="1868" spans="1:6">
      <c r="A1868" s="62" t="s">
        <v>2760</v>
      </c>
      <c r="D1868" s="62" t="str">
        <f t="shared" si="30"/>
        <v>NAMAMBOLE STAGE</v>
      </c>
      <c r="F1868" s="62">
        <v>1386</v>
      </c>
    </row>
    <row r="1869" spans="1:6">
      <c r="A1869" s="62" t="s">
        <v>2761</v>
      </c>
      <c r="D1869" s="62" t="str">
        <f t="shared" si="30"/>
        <v>Butto</v>
      </c>
      <c r="F1869" s="62">
        <v>1386</v>
      </c>
    </row>
    <row r="1870" spans="1:6">
      <c r="A1870" s="62" t="s">
        <v>2762</v>
      </c>
      <c r="D1870" s="62" t="str">
        <f t="shared" si="30"/>
        <v>KAZINGA</v>
      </c>
      <c r="F1870" s="62">
        <v>1386</v>
      </c>
    </row>
    <row r="1871" spans="1:6">
      <c r="A1871" s="62" t="s">
        <v>2763</v>
      </c>
      <c r="D1871" s="62" t="str">
        <f t="shared" si="30"/>
        <v>KIWANGA</v>
      </c>
      <c r="F1871" s="62">
        <v>1386</v>
      </c>
    </row>
    <row r="1872" spans="1:6">
      <c r="A1872" s="62" t="s">
        <v>2764</v>
      </c>
      <c r="D1872" s="62" t="str">
        <f t="shared" si="30"/>
        <v>KIRINYA</v>
      </c>
      <c r="F1872" s="62">
        <v>1386</v>
      </c>
    </row>
    <row r="1873" spans="1:6">
      <c r="A1873" s="62" t="s">
        <v>2765</v>
      </c>
      <c r="B1873" s="62" t="s">
        <v>2748</v>
      </c>
      <c r="C1873" s="62" t="s">
        <v>2766</v>
      </c>
      <c r="D1873" s="62" t="str">
        <f t="shared" si="30"/>
        <v>Entebbe Airport</v>
      </c>
      <c r="F1873" s="62">
        <v>1387</v>
      </c>
    </row>
    <row r="1874" spans="1:6">
      <c r="A1874" s="62" t="s">
        <v>2767</v>
      </c>
      <c r="D1874" s="62" t="str">
        <f t="shared" si="30"/>
        <v>AIRPORT</v>
      </c>
      <c r="F1874" s="62">
        <v>1387</v>
      </c>
    </row>
    <row r="1875" spans="1:6">
      <c r="A1875" s="62" t="s">
        <v>2766</v>
      </c>
      <c r="B1875" s="62" t="s">
        <v>2748</v>
      </c>
      <c r="C1875" s="62" t="s">
        <v>2766</v>
      </c>
      <c r="D1875" s="62" t="str">
        <f t="shared" si="30"/>
        <v>Entebbe Municipality</v>
      </c>
      <c r="F1875" s="62">
        <v>1388</v>
      </c>
    </row>
    <row r="1876" spans="1:6">
      <c r="A1876" s="62" t="s">
        <v>30</v>
      </c>
      <c r="D1876" s="62" t="str">
        <f t="shared" si="30"/>
        <v>Entebbe</v>
      </c>
      <c r="F1876" s="62">
        <v>1388</v>
      </c>
    </row>
    <row r="1877" spans="1:6">
      <c r="A1877" s="62" t="s">
        <v>2768</v>
      </c>
      <c r="D1877" s="62" t="str">
        <f t="shared" si="30"/>
        <v>MAKIWOGO</v>
      </c>
      <c r="F1877" s="62">
        <v>1388</v>
      </c>
    </row>
    <row r="1878" spans="1:6">
      <c r="A1878" s="62" t="s">
        <v>2769</v>
      </c>
      <c r="D1878" s="62" t="str">
        <f t="shared" si="30"/>
        <v>KIWAFU</v>
      </c>
      <c r="F1878" s="62">
        <v>1388</v>
      </c>
    </row>
    <row r="1879" spans="1:6">
      <c r="A1879" s="62" t="s">
        <v>2770</v>
      </c>
      <c r="D1879" s="62" t="str">
        <f t="shared" si="30"/>
        <v>NSAMIZI</v>
      </c>
      <c r="F1879" s="62">
        <v>1388</v>
      </c>
    </row>
    <row r="1880" spans="1:6">
      <c r="A1880" s="62" t="s">
        <v>2771</v>
      </c>
      <c r="D1880" s="62" t="str">
        <f t="shared" si="30"/>
        <v>BUGONGA</v>
      </c>
      <c r="F1880" s="62">
        <v>1388</v>
      </c>
    </row>
    <row r="1881" spans="1:6">
      <c r="A1881" s="62" t="s">
        <v>2772</v>
      </c>
      <c r="D1881" s="62" t="str">
        <f t="shared" si="30"/>
        <v>BUNONO</v>
      </c>
      <c r="F1881" s="62">
        <v>1388</v>
      </c>
    </row>
    <row r="1882" spans="1:6">
      <c r="A1882" s="62" t="s">
        <v>2773</v>
      </c>
      <c r="D1882" s="62" t="str">
        <f t="shared" si="30"/>
        <v>KITUBULU</v>
      </c>
      <c r="F1882" s="62">
        <v>1388</v>
      </c>
    </row>
    <row r="1883" spans="1:6">
      <c r="A1883" s="62" t="s">
        <v>2774</v>
      </c>
      <c r="D1883" s="62" t="str">
        <f t="shared" si="30"/>
        <v>KIGUNGU</v>
      </c>
      <c r="F1883" s="62">
        <v>1388</v>
      </c>
    </row>
    <row r="1884" spans="1:6">
      <c r="A1884" s="62" t="s">
        <v>2775</v>
      </c>
      <c r="D1884" s="62" t="str">
        <f t="shared" si="30"/>
        <v>NAKIWOGO</v>
      </c>
      <c r="F1884" s="62">
        <v>1388</v>
      </c>
    </row>
    <row r="1885" spans="1:6">
      <c r="A1885" s="62" t="s">
        <v>473</v>
      </c>
      <c r="D1885" s="62" t="str">
        <f t="shared" si="30"/>
        <v>KATABI</v>
      </c>
      <c r="F1885" s="62">
        <v>1388</v>
      </c>
    </row>
    <row r="1886" spans="1:6">
      <c r="A1886" s="62" t="s">
        <v>2776</v>
      </c>
      <c r="D1886" s="62" t="str">
        <f t="shared" si="30"/>
        <v>BAYITA</v>
      </c>
      <c r="F1886" s="62">
        <v>1388</v>
      </c>
    </row>
    <row r="1887" spans="1:6">
      <c r="A1887" s="62" t="s">
        <v>2777</v>
      </c>
      <c r="D1887" s="62" t="str">
        <f t="shared" si="30"/>
        <v>ABAITA ABABIRI</v>
      </c>
      <c r="F1887" s="62">
        <v>1388</v>
      </c>
    </row>
    <row r="1888" spans="1:6">
      <c r="A1888" s="62" t="s">
        <v>2778</v>
      </c>
      <c r="D1888" s="62" t="str">
        <f t="shared" si="30"/>
        <v>LWAMUTUNDWE</v>
      </c>
      <c r="F1888" s="62">
        <v>1388</v>
      </c>
    </row>
    <row r="1889" spans="1:6">
      <c r="A1889" s="62" t="s">
        <v>2779</v>
      </c>
      <c r="D1889" s="62" t="str">
        <f t="shared" si="30"/>
        <v>LUGONJJO</v>
      </c>
      <c r="F1889" s="62">
        <v>1388</v>
      </c>
    </row>
    <row r="1890" spans="1:6">
      <c r="A1890" s="62" t="s">
        <v>2780</v>
      </c>
      <c r="D1890" s="62" t="str">
        <f t="shared" si="30"/>
        <v>BWEYA</v>
      </c>
      <c r="F1890" s="62">
        <v>1388</v>
      </c>
    </row>
    <row r="1891" spans="1:6">
      <c r="A1891" s="62" t="s">
        <v>443</v>
      </c>
      <c r="D1891" s="62" t="str">
        <f t="shared" si="30"/>
        <v>KASENYI</v>
      </c>
      <c r="F1891" s="62">
        <v>1388</v>
      </c>
    </row>
    <row r="1892" spans="1:6">
      <c r="A1892" s="62" t="s">
        <v>2781</v>
      </c>
      <c r="D1892" s="62" t="str">
        <f t="shared" si="30"/>
        <v>NKUMBA</v>
      </c>
      <c r="F1892" s="62">
        <v>1388</v>
      </c>
    </row>
    <row r="1893" spans="1:6">
      <c r="A1893" s="62" t="s">
        <v>2782</v>
      </c>
      <c r="D1893" s="62" t="str">
        <f t="shared" si="30"/>
        <v>GARUGA</v>
      </c>
      <c r="F1893" s="62">
        <v>1388</v>
      </c>
    </row>
    <row r="1894" spans="1:6">
      <c r="A1894" s="62" t="s">
        <v>2783</v>
      </c>
      <c r="D1894" s="62" t="str">
        <f t="shared" si="30"/>
        <v>LUTEMBE</v>
      </c>
      <c r="F1894" s="62">
        <v>1388</v>
      </c>
    </row>
    <row r="1895" spans="1:6">
      <c r="A1895" s="62" t="s">
        <v>2784</v>
      </c>
      <c r="D1895" s="62" t="str">
        <f t="shared" si="30"/>
        <v>KISUBI</v>
      </c>
      <c r="F1895" s="62">
        <v>1388</v>
      </c>
    </row>
    <row r="1896" spans="1:6">
      <c r="A1896" s="62" t="s">
        <v>2785</v>
      </c>
      <c r="D1896" s="62" t="str">
        <f t="shared" si="30"/>
        <v>MPALA</v>
      </c>
      <c r="F1896" s="62">
        <v>1388</v>
      </c>
    </row>
    <row r="1897" spans="1:6">
      <c r="A1897" s="62" t="s">
        <v>250</v>
      </c>
      <c r="D1897" s="62" t="str">
        <f t="shared" si="30"/>
        <v>KASENGE</v>
      </c>
      <c r="F1897" s="62">
        <v>1388</v>
      </c>
    </row>
    <row r="1898" spans="1:6">
      <c r="A1898" s="62" t="s">
        <v>2786</v>
      </c>
      <c r="D1898" s="62" t="str">
        <f t="shared" si="30"/>
        <v>KAWUKU</v>
      </c>
      <c r="F1898" s="62">
        <v>1388</v>
      </c>
    </row>
    <row r="1899" spans="1:6">
      <c r="A1899" s="62" t="s">
        <v>364</v>
      </c>
      <c r="D1899" s="62" t="str">
        <f t="shared" si="30"/>
        <v>NAKAWUKA</v>
      </c>
      <c r="F1899" s="62">
        <v>1388</v>
      </c>
    </row>
    <row r="1900" spans="1:6">
      <c r="A1900" s="62" t="s">
        <v>2787</v>
      </c>
      <c r="D1900" s="62" t="str">
        <f t="shared" si="30"/>
        <v>KITORO</v>
      </c>
      <c r="F1900" s="62">
        <v>1388</v>
      </c>
    </row>
    <row r="1901" spans="1:6">
      <c r="A1901" s="62" t="s">
        <v>2788</v>
      </c>
      <c r="D1901" s="62" t="str">
        <f t="shared" si="30"/>
        <v>NAMULANDA</v>
      </c>
      <c r="F1901" s="62">
        <v>1388</v>
      </c>
    </row>
    <row r="1902" spans="1:6">
      <c r="A1902" s="62" t="s">
        <v>2789</v>
      </c>
      <c r="D1902" s="62" t="str">
        <f t="shared" si="30"/>
        <v>BWEBAJA</v>
      </c>
      <c r="F1902" s="62">
        <v>1388</v>
      </c>
    </row>
    <row r="1903" spans="1:6">
      <c r="A1903" s="62" t="s">
        <v>2790</v>
      </c>
      <c r="B1903" s="62" t="s">
        <v>2748</v>
      </c>
      <c r="C1903" s="62" t="s">
        <v>2755</v>
      </c>
      <c r="D1903" s="62" t="str">
        <f t="shared" si="30"/>
        <v>Gombe</v>
      </c>
      <c r="F1903" s="62">
        <v>1389</v>
      </c>
    </row>
    <row r="1904" spans="1:6">
      <c r="A1904" s="62" t="s">
        <v>2791</v>
      </c>
      <c r="D1904" s="62" t="str">
        <f t="shared" si="30"/>
        <v>Buwambu</v>
      </c>
      <c r="F1904" s="62">
        <v>1389</v>
      </c>
    </row>
    <row r="1905" spans="1:6">
      <c r="A1905" s="62" t="s">
        <v>259</v>
      </c>
      <c r="D1905" s="62" t="str">
        <f t="shared" si="30"/>
        <v>MATUGA</v>
      </c>
      <c r="F1905" s="62">
        <v>1389</v>
      </c>
    </row>
    <row r="1906" spans="1:6">
      <c r="A1906" s="62" t="s">
        <v>2792</v>
      </c>
      <c r="D1906" s="62" t="str">
        <f t="shared" si="30"/>
        <v>MATUGGA</v>
      </c>
      <c r="F1906" s="62">
        <v>1389</v>
      </c>
    </row>
    <row r="1907" spans="1:6">
      <c r="A1907" s="62" t="s">
        <v>2793</v>
      </c>
      <c r="D1907" s="62" t="str">
        <f t="shared" si="30"/>
        <v>Katende</v>
      </c>
      <c r="F1907" s="62">
        <v>1389</v>
      </c>
    </row>
    <row r="1908" spans="1:6">
      <c r="A1908" s="62" t="s">
        <v>2794</v>
      </c>
      <c r="B1908" s="62" t="s">
        <v>2748</v>
      </c>
      <c r="C1908" s="62" t="s">
        <v>2753</v>
      </c>
      <c r="D1908" s="62" t="str">
        <f t="shared" si="30"/>
        <v>Kajjansi Town Council</v>
      </c>
      <c r="F1908" s="62">
        <v>1390</v>
      </c>
    </row>
    <row r="1909" spans="1:6">
      <c r="A1909" s="62" t="s">
        <v>2795</v>
      </c>
      <c r="D1909" s="62" t="str">
        <f t="shared" si="30"/>
        <v>Kajjansi</v>
      </c>
      <c r="F1909" s="62">
        <v>1390</v>
      </c>
    </row>
    <row r="1910" spans="1:6">
      <c r="A1910" s="62" t="s">
        <v>2796</v>
      </c>
      <c r="D1910" s="62" t="str">
        <f t="shared" si="30"/>
        <v>KAJANSI</v>
      </c>
      <c r="F1910" s="62">
        <v>1390</v>
      </c>
    </row>
    <row r="1911" spans="1:6">
      <c r="A1911" s="62" t="s">
        <v>2797</v>
      </c>
      <c r="D1911" s="62" t="str">
        <f t="shared" si="30"/>
        <v>Seguku</v>
      </c>
      <c r="F1911" s="62">
        <v>1390</v>
      </c>
    </row>
    <row r="1912" spans="1:6">
      <c r="A1912" s="62" t="s">
        <v>2798</v>
      </c>
      <c r="D1912" s="62" t="str">
        <f t="shared" si="30"/>
        <v>Lweza</v>
      </c>
      <c r="F1912" s="62">
        <v>1390</v>
      </c>
    </row>
    <row r="1913" spans="1:6">
      <c r="A1913" s="62" t="s">
        <v>220</v>
      </c>
      <c r="D1913" s="62" t="str">
        <f t="shared" si="30"/>
        <v>NICAN RESORT</v>
      </c>
      <c r="F1913" s="62">
        <v>1390</v>
      </c>
    </row>
    <row r="1914" spans="1:6">
      <c r="A1914" s="62" t="s">
        <v>2799</v>
      </c>
      <c r="D1914" s="62" t="str">
        <f t="shared" si="30"/>
        <v>KIGO</v>
      </c>
      <c r="F1914" s="62">
        <v>1390</v>
      </c>
    </row>
    <row r="1915" spans="1:6">
      <c r="A1915" s="62" t="s">
        <v>2800</v>
      </c>
      <c r="D1915" s="62" t="str">
        <f t="shared" si="30"/>
        <v>MIREMBE VILLAS</v>
      </c>
      <c r="F1915" s="62">
        <v>1390</v>
      </c>
    </row>
    <row r="1916" spans="1:6">
      <c r="A1916" s="62" t="s">
        <v>2801</v>
      </c>
      <c r="D1916" s="62" t="str">
        <f t="shared" si="30"/>
        <v>Kitende</v>
      </c>
      <c r="F1916" s="62">
        <v>1390</v>
      </c>
    </row>
    <row r="1917" spans="1:6">
      <c r="A1917" s="62" t="s">
        <v>2802</v>
      </c>
      <c r="D1917" s="62" t="str">
        <f t="shared" si="30"/>
        <v>Katale</v>
      </c>
      <c r="F1917" s="62">
        <v>1390</v>
      </c>
    </row>
    <row r="1918" spans="1:6">
      <c r="A1918" s="62" t="s">
        <v>2803</v>
      </c>
      <c r="D1918" s="62" t="str">
        <f t="shared" si="30"/>
        <v>Kitala</v>
      </c>
      <c r="F1918" s="62">
        <v>1390</v>
      </c>
    </row>
    <row r="1919" spans="1:6">
      <c r="A1919" s="62" t="s">
        <v>222</v>
      </c>
      <c r="D1919" s="62" t="str">
        <f t="shared" si="30"/>
        <v>NAKILEBE</v>
      </c>
      <c r="F1919" s="62">
        <v>1390</v>
      </c>
    </row>
    <row r="1920" spans="1:6">
      <c r="A1920" s="62" t="s">
        <v>2804</v>
      </c>
      <c r="D1920" s="62" t="str">
        <f t="shared" si="30"/>
        <v>BWEBAJJA</v>
      </c>
      <c r="F1920" s="62">
        <v>1390</v>
      </c>
    </row>
    <row r="1921" spans="1:6">
      <c r="A1921" s="62" t="s">
        <v>2805</v>
      </c>
      <c r="D1921" s="62" t="str">
        <f t="shared" si="30"/>
        <v>TAIBA</v>
      </c>
      <c r="F1921" s="62">
        <v>1390</v>
      </c>
    </row>
    <row r="1922" spans="1:6">
      <c r="A1922" s="62" t="s">
        <v>2806</v>
      </c>
      <c r="B1922" s="62" t="s">
        <v>2748</v>
      </c>
      <c r="C1922" s="62" t="s">
        <v>2753</v>
      </c>
      <c r="D1922" s="62" t="str">
        <f t="shared" ref="D1922:D1985" si="31">A1922</f>
        <v>Kakiri</v>
      </c>
      <c r="F1922" s="62">
        <v>1391</v>
      </c>
    </row>
    <row r="1923" spans="1:6">
      <c r="A1923" s="62" t="s">
        <v>2807</v>
      </c>
      <c r="B1923" s="62" t="s">
        <v>2748</v>
      </c>
      <c r="C1923" s="62" t="s">
        <v>2753</v>
      </c>
      <c r="D1923" s="62" t="str">
        <f t="shared" si="31"/>
        <v>Kakiri Town Council</v>
      </c>
      <c r="F1923" s="62">
        <v>1392</v>
      </c>
    </row>
    <row r="1924" spans="1:6">
      <c r="A1924" s="62" t="s">
        <v>2808</v>
      </c>
      <c r="B1924" s="62" t="s">
        <v>2748</v>
      </c>
      <c r="C1924" s="62" t="s">
        <v>2809</v>
      </c>
      <c r="D1924" s="62" t="str">
        <f t="shared" si="31"/>
        <v>Kasangati Town Council</v>
      </c>
      <c r="F1924" s="62">
        <v>1393</v>
      </c>
    </row>
    <row r="1925" spans="1:6">
      <c r="A1925" s="62" t="s">
        <v>2809</v>
      </c>
      <c r="D1925" s="62" t="str">
        <f t="shared" si="31"/>
        <v>Kyadondo</v>
      </c>
      <c r="F1925" s="62">
        <v>1393</v>
      </c>
    </row>
    <row r="1926" spans="1:6">
      <c r="A1926" s="62" t="s">
        <v>2810</v>
      </c>
      <c r="D1926" s="62" t="str">
        <f t="shared" si="31"/>
        <v>Kitezi</v>
      </c>
      <c r="F1926" s="62">
        <v>1393</v>
      </c>
    </row>
    <row r="1927" spans="1:6">
      <c r="A1927" s="62" t="s">
        <v>2811</v>
      </c>
      <c r="D1927" s="62" t="str">
        <f t="shared" si="31"/>
        <v>Kiteezi</v>
      </c>
      <c r="F1927" s="62">
        <v>1393</v>
      </c>
    </row>
    <row r="1928" spans="1:6">
      <c r="A1928" s="62" t="s">
        <v>2812</v>
      </c>
      <c r="D1928" s="62" t="str">
        <f t="shared" si="31"/>
        <v xml:space="preserve">MATUGA </v>
      </c>
      <c r="F1928" s="62">
        <v>1393</v>
      </c>
    </row>
    <row r="1929" spans="1:6">
      <c r="A1929" s="62" t="s">
        <v>2813</v>
      </c>
      <c r="D1929" s="62" t="str">
        <f t="shared" si="31"/>
        <v>Kasangati</v>
      </c>
      <c r="F1929" s="62">
        <v>1393</v>
      </c>
    </row>
    <row r="1930" spans="1:6">
      <c r="A1930" s="62" t="s">
        <v>2814</v>
      </c>
      <c r="D1930" s="62" t="str">
        <f t="shared" si="31"/>
        <v>KAWANDA</v>
      </c>
      <c r="F1930" s="62">
        <v>1393</v>
      </c>
    </row>
    <row r="1931" spans="1:6">
      <c r="A1931" s="62" t="s">
        <v>2815</v>
      </c>
      <c r="D1931" s="62" t="str">
        <f t="shared" si="31"/>
        <v>KILINYABINGO</v>
      </c>
      <c r="F1931" s="62">
        <v>1393</v>
      </c>
    </row>
    <row r="1932" spans="1:6">
      <c r="A1932" s="62" t="s">
        <v>2816</v>
      </c>
      <c r="D1932" s="62" t="str">
        <f t="shared" si="31"/>
        <v>KAGOMA</v>
      </c>
      <c r="F1932" s="62">
        <v>1393</v>
      </c>
    </row>
    <row r="1933" spans="1:6">
      <c r="A1933" s="62" t="s">
        <v>2817</v>
      </c>
      <c r="B1933" s="62" t="s">
        <v>2748</v>
      </c>
      <c r="C1933" s="62" t="s">
        <v>2753</v>
      </c>
      <c r="D1933" s="62" t="str">
        <f t="shared" si="31"/>
        <v>Kasanje</v>
      </c>
      <c r="F1933" s="62">
        <v>1394</v>
      </c>
    </row>
    <row r="1934" spans="1:6">
      <c r="A1934" s="62" t="s">
        <v>2818</v>
      </c>
      <c r="B1934" s="62" t="s">
        <v>2748</v>
      </c>
      <c r="C1934" s="62" t="s">
        <v>2753</v>
      </c>
      <c r="D1934" s="62" t="str">
        <f t="shared" si="31"/>
        <v>Katabi Town Council</v>
      </c>
      <c r="F1934" s="62">
        <v>1395</v>
      </c>
    </row>
    <row r="1935" spans="1:6">
      <c r="A1935" s="62" t="s">
        <v>2819</v>
      </c>
      <c r="B1935" s="62" t="s">
        <v>2748</v>
      </c>
      <c r="C1935" s="62" t="s">
        <v>2757</v>
      </c>
      <c r="D1935" s="62" t="str">
        <f t="shared" si="31"/>
        <v>Kira</v>
      </c>
      <c r="F1935" s="62">
        <v>1396</v>
      </c>
    </row>
    <row r="1936" spans="1:6">
      <c r="A1936" s="62" t="s">
        <v>2820</v>
      </c>
      <c r="D1936" s="62" t="str">
        <f t="shared" si="31"/>
        <v>KIIRA</v>
      </c>
      <c r="F1936" s="62">
        <v>1396</v>
      </c>
    </row>
    <row r="1937" spans="1:6">
      <c r="A1937" s="62" t="s">
        <v>581</v>
      </c>
      <c r="D1937" s="62" t="str">
        <f t="shared" si="31"/>
        <v>KASOZI</v>
      </c>
      <c r="F1937" s="62">
        <v>1396</v>
      </c>
    </row>
    <row r="1938" spans="1:6">
      <c r="A1938" s="62" t="s">
        <v>2821</v>
      </c>
      <c r="D1938" s="62" t="str">
        <f t="shared" si="31"/>
        <v>Bulindo</v>
      </c>
      <c r="F1938" s="62">
        <v>1396</v>
      </c>
    </row>
    <row r="1939" spans="1:6">
      <c r="A1939" s="62" t="s">
        <v>2822</v>
      </c>
      <c r="D1939" s="62" t="str">
        <f t="shared" si="31"/>
        <v xml:space="preserve">BUWATE </v>
      </c>
      <c r="F1939" s="62">
        <v>1396</v>
      </c>
    </row>
    <row r="1940" spans="1:6">
      <c r="A1940" s="62" t="s">
        <v>2823</v>
      </c>
      <c r="D1940" s="62" t="str">
        <f t="shared" si="31"/>
        <v>KYALIWAJALA</v>
      </c>
      <c r="F1940" s="62">
        <v>1396</v>
      </c>
    </row>
    <row r="1941" spans="1:6">
      <c r="A1941" s="62" t="s">
        <v>2824</v>
      </c>
      <c r="D1941" s="62" t="str">
        <f t="shared" si="31"/>
        <v>Kyaliwajjala</v>
      </c>
      <c r="F1941" s="62">
        <v>1396</v>
      </c>
    </row>
    <row r="1942" spans="1:6">
      <c r="A1942" s="62" t="s">
        <v>2825</v>
      </c>
      <c r="D1942" s="62" t="str">
        <f t="shared" si="31"/>
        <v>MBALWA</v>
      </c>
      <c r="F1942" s="62">
        <v>1396</v>
      </c>
    </row>
    <row r="1943" spans="1:6">
      <c r="A1943" s="62" t="s">
        <v>2826</v>
      </c>
      <c r="D1943" s="62" t="str">
        <f t="shared" si="31"/>
        <v>NAJERA</v>
      </c>
      <c r="F1943" s="62">
        <v>1396</v>
      </c>
    </row>
    <row r="1944" spans="1:6">
      <c r="A1944" s="62" t="s">
        <v>2827</v>
      </c>
      <c r="D1944" s="62" t="str">
        <f t="shared" si="31"/>
        <v>NAJJERA</v>
      </c>
      <c r="F1944" s="62">
        <v>1396</v>
      </c>
    </row>
    <row r="1945" spans="1:6">
      <c r="A1945" s="62" t="s">
        <v>2828</v>
      </c>
      <c r="D1945" s="62" t="str">
        <f t="shared" si="31"/>
        <v>Najela</v>
      </c>
      <c r="F1945" s="62">
        <v>1396</v>
      </c>
    </row>
    <row r="1946" spans="1:6">
      <c r="A1946" s="62" t="s">
        <v>2829</v>
      </c>
      <c r="D1946" s="62" t="str">
        <f t="shared" si="31"/>
        <v>WAMALA</v>
      </c>
      <c r="F1946" s="62">
        <v>1396</v>
      </c>
    </row>
    <row r="1947" spans="1:6">
      <c r="A1947" s="62" t="s">
        <v>2830</v>
      </c>
      <c r="D1947" s="62" t="str">
        <f t="shared" si="31"/>
        <v>Kireka</v>
      </c>
      <c r="F1947" s="62">
        <v>1396</v>
      </c>
    </row>
    <row r="1948" spans="1:6">
      <c r="A1948" s="62" t="s">
        <v>2831</v>
      </c>
      <c r="D1948" s="62" t="str">
        <f t="shared" si="31"/>
        <v>KAMULI ROAD</v>
      </c>
      <c r="F1948" s="62">
        <v>1396</v>
      </c>
    </row>
    <row r="1949" spans="1:6">
      <c r="A1949" s="62" t="s">
        <v>2832</v>
      </c>
      <c r="B1949" s="62" t="s">
        <v>2748</v>
      </c>
      <c r="C1949" s="62" t="s">
        <v>2753</v>
      </c>
      <c r="D1949" s="62" t="str">
        <f t="shared" si="31"/>
        <v>Kyengera Town Council</v>
      </c>
      <c r="F1949" s="62">
        <v>1397</v>
      </c>
    </row>
    <row r="1950" spans="1:6">
      <c r="A1950" s="62" t="s">
        <v>2833</v>
      </c>
      <c r="D1950" s="62" t="str">
        <f t="shared" si="31"/>
        <v xml:space="preserve">Kyengera   </v>
      </c>
      <c r="F1950" s="62">
        <v>1397</v>
      </c>
    </row>
    <row r="1951" spans="1:6">
      <c r="A1951" s="62" t="s">
        <v>164</v>
      </c>
      <c r="D1951" s="62" t="str">
        <f t="shared" si="31"/>
        <v>KYENGERA</v>
      </c>
      <c r="F1951" s="62">
        <v>1397</v>
      </c>
    </row>
    <row r="1952" spans="1:6">
      <c r="A1952" s="62" t="s">
        <v>164</v>
      </c>
      <c r="D1952" s="62" t="str">
        <f t="shared" si="31"/>
        <v>KYENGERA</v>
      </c>
      <c r="F1952" s="62">
        <v>1397</v>
      </c>
    </row>
    <row r="1953" spans="1:6">
      <c r="A1953" s="62" t="s">
        <v>2834</v>
      </c>
      <c r="D1953" s="62" t="str">
        <f t="shared" si="31"/>
        <v xml:space="preserve">KINGS COLLEGE BUDDO </v>
      </c>
      <c r="F1953" s="62">
        <v>1397</v>
      </c>
    </row>
    <row r="1954" spans="1:6">
      <c r="A1954" s="62" t="s">
        <v>207</v>
      </c>
      <c r="D1954" s="62" t="str">
        <f t="shared" si="31"/>
        <v>BUDDO</v>
      </c>
      <c r="F1954" s="62">
        <v>1397</v>
      </c>
    </row>
    <row r="1955" spans="1:6">
      <c r="A1955" s="62" t="s">
        <v>2835</v>
      </c>
      <c r="D1955" s="62" t="str">
        <f t="shared" si="31"/>
        <v>BUDO</v>
      </c>
      <c r="F1955" s="62">
        <v>1397</v>
      </c>
    </row>
    <row r="1956" spans="1:6">
      <c r="A1956" s="62" t="s">
        <v>162</v>
      </c>
      <c r="D1956" s="62" t="str">
        <f t="shared" si="31"/>
        <v>NSANGI</v>
      </c>
      <c r="F1956" s="62">
        <v>1397</v>
      </c>
    </row>
    <row r="1957" spans="1:6">
      <c r="A1957" s="62" t="s">
        <v>749</v>
      </c>
      <c r="D1957" s="62" t="str">
        <f t="shared" si="31"/>
        <v>BULWANYI</v>
      </c>
      <c r="F1957" s="62">
        <v>1397</v>
      </c>
    </row>
    <row r="1958" spans="1:6">
      <c r="A1958" s="62" t="s">
        <v>226</v>
      </c>
      <c r="D1958" s="62" t="str">
        <f t="shared" si="31"/>
        <v>NAGALABE</v>
      </c>
      <c r="F1958" s="62">
        <v>1397</v>
      </c>
    </row>
    <row r="1959" spans="1:6">
      <c r="A1959" s="62" t="s">
        <v>150</v>
      </c>
      <c r="D1959" s="62" t="str">
        <f t="shared" si="31"/>
        <v>KITEMU</v>
      </c>
      <c r="F1959" s="62">
        <v>1397</v>
      </c>
    </row>
    <row r="1960" spans="1:6">
      <c r="A1960" s="62" t="s">
        <v>155</v>
      </c>
      <c r="D1960" s="62" t="str">
        <f t="shared" si="31"/>
        <v>KIVU</v>
      </c>
      <c r="F1960" s="62">
        <v>1397</v>
      </c>
    </row>
    <row r="1961" spans="1:6">
      <c r="A1961" s="62" t="s">
        <v>2836</v>
      </c>
      <c r="D1961" s="62" t="str">
        <f t="shared" si="31"/>
        <v>Kabojja</v>
      </c>
      <c r="F1961" s="62">
        <v>1397</v>
      </c>
    </row>
    <row r="1962" spans="1:6">
      <c r="A1962" s="62" t="s">
        <v>308</v>
      </c>
      <c r="D1962" s="62" t="str">
        <f t="shared" si="31"/>
        <v>KINAWA</v>
      </c>
      <c r="F1962" s="62">
        <v>1397</v>
      </c>
    </row>
    <row r="1963" spans="1:6">
      <c r="A1963" s="62" t="s">
        <v>2837</v>
      </c>
      <c r="D1963" s="62" t="str">
        <f t="shared" si="31"/>
        <v>Nabbingo</v>
      </c>
      <c r="F1963" s="62">
        <v>1397</v>
      </c>
    </row>
    <row r="1964" spans="1:6">
      <c r="A1964" s="62" t="s">
        <v>2838</v>
      </c>
      <c r="D1964" s="62" t="str">
        <f t="shared" si="31"/>
        <v>Namagooma</v>
      </c>
      <c r="F1964" s="62">
        <v>1397</v>
      </c>
    </row>
    <row r="1965" spans="1:6">
      <c r="A1965" s="62" t="s">
        <v>216</v>
      </c>
      <c r="D1965" s="62" t="str">
        <f t="shared" si="31"/>
        <v>NAMAGOMA</v>
      </c>
      <c r="F1965" s="62">
        <v>1397</v>
      </c>
    </row>
    <row r="1966" spans="1:6">
      <c r="A1966" s="62" t="s">
        <v>166</v>
      </c>
      <c r="D1966" s="62" t="str">
        <f t="shared" si="31"/>
        <v>MAYA</v>
      </c>
      <c r="F1966" s="62">
        <v>1397</v>
      </c>
    </row>
    <row r="1967" spans="1:6">
      <c r="A1967" s="62" t="s">
        <v>2839</v>
      </c>
      <c r="B1967" s="62" t="s">
        <v>2748</v>
      </c>
      <c r="C1967" s="62" t="s">
        <v>2749</v>
      </c>
      <c r="D1967" s="62" t="str">
        <f t="shared" si="31"/>
        <v>Masajja</v>
      </c>
      <c r="F1967" s="62">
        <v>1398</v>
      </c>
    </row>
    <row r="1968" spans="1:6">
      <c r="A1968" s="62" t="s">
        <v>2840</v>
      </c>
      <c r="B1968" s="62" t="s">
        <v>2748</v>
      </c>
      <c r="C1968" s="62" t="s">
        <v>2753</v>
      </c>
      <c r="D1968" s="62" t="str">
        <f t="shared" si="31"/>
        <v>Masuliita</v>
      </c>
      <c r="F1968" s="62">
        <v>1399</v>
      </c>
    </row>
    <row r="1969" spans="1:6">
      <c r="A1969" s="62" t="s">
        <v>2841</v>
      </c>
      <c r="B1969" s="62" t="s">
        <v>2748</v>
      </c>
      <c r="C1969" s="62" t="s">
        <v>2753</v>
      </c>
      <c r="D1969" s="62" t="str">
        <f t="shared" si="31"/>
        <v>Masulita Town Council</v>
      </c>
      <c r="F1969" s="62">
        <v>1400</v>
      </c>
    </row>
    <row r="1970" spans="1:6">
      <c r="A1970" s="62" t="s">
        <v>2842</v>
      </c>
      <c r="D1970" s="62" t="str">
        <f t="shared" si="31"/>
        <v>MASULITA</v>
      </c>
      <c r="F1970" s="62">
        <v>1400</v>
      </c>
    </row>
    <row r="1971" spans="1:6">
      <c r="A1971" s="62" t="s">
        <v>2843</v>
      </c>
      <c r="B1971" s="62" t="s">
        <v>2748</v>
      </c>
      <c r="C1971" s="62" t="s">
        <v>2753</v>
      </c>
      <c r="D1971" s="62" t="str">
        <f t="shared" si="31"/>
        <v>Mende</v>
      </c>
      <c r="F1971" s="62">
        <v>1401</v>
      </c>
    </row>
    <row r="1972" spans="1:6">
      <c r="A1972" s="62" t="s">
        <v>2844</v>
      </c>
      <c r="B1972" s="62" t="s">
        <v>2748</v>
      </c>
      <c r="C1972" s="62" t="s">
        <v>2755</v>
      </c>
      <c r="D1972" s="62" t="str">
        <f t="shared" si="31"/>
        <v>Nabweru</v>
      </c>
      <c r="F1972" s="62">
        <v>1402</v>
      </c>
    </row>
    <row r="1973" spans="1:6">
      <c r="A1973" s="62" t="s">
        <v>2845</v>
      </c>
      <c r="D1973" s="62" t="str">
        <f t="shared" si="31"/>
        <v>MABWERA</v>
      </c>
      <c r="F1973" s="62">
        <v>1402</v>
      </c>
    </row>
    <row r="1974" spans="1:6">
      <c r="A1974" s="62" t="s">
        <v>2846</v>
      </c>
      <c r="D1974" s="62" t="str">
        <f t="shared" si="31"/>
        <v>NABWERU</v>
      </c>
      <c r="F1974" s="62">
        <v>1402</v>
      </c>
    </row>
    <row r="1975" spans="1:6">
      <c r="A1975" s="62" t="s">
        <v>2847</v>
      </c>
      <c r="D1975" s="62" t="str">
        <f t="shared" si="31"/>
        <v>MAGAJJO</v>
      </c>
      <c r="F1975" s="62">
        <v>1402</v>
      </c>
    </row>
    <row r="1976" spans="1:6">
      <c r="A1976" s="62" t="s">
        <v>2848</v>
      </c>
      <c r="D1976" s="62" t="str">
        <f t="shared" si="31"/>
        <v>LUBIJI</v>
      </c>
      <c r="F1976" s="62">
        <v>1402</v>
      </c>
    </row>
    <row r="1977" spans="1:6">
      <c r="A1977" s="62" t="s">
        <v>2849</v>
      </c>
      <c r="D1977" s="62" t="str">
        <f t="shared" si="31"/>
        <v>LUBIGI</v>
      </c>
      <c r="F1977" s="62">
        <v>1402</v>
      </c>
    </row>
    <row r="1978" spans="1:6">
      <c r="A1978" s="62" t="s">
        <v>2850</v>
      </c>
      <c r="B1978" s="62" t="s">
        <v>2748</v>
      </c>
      <c r="C1978" s="62" t="s">
        <v>2753</v>
      </c>
      <c r="D1978" s="62" t="str">
        <f t="shared" si="31"/>
        <v>Namayumba</v>
      </c>
      <c r="F1978" s="62">
        <v>1403</v>
      </c>
    </row>
    <row r="1979" spans="1:6">
      <c r="A1979" s="62" t="s">
        <v>2851</v>
      </c>
      <c r="B1979" s="62" t="s">
        <v>2748</v>
      </c>
      <c r="C1979" s="62" t="s">
        <v>2753</v>
      </c>
      <c r="D1979" s="62" t="str">
        <f t="shared" si="31"/>
        <v>Namayumba Town Council</v>
      </c>
      <c r="F1979" s="62">
        <v>1404</v>
      </c>
    </row>
    <row r="1980" spans="1:6">
      <c r="A1980" s="62" t="s">
        <v>2852</v>
      </c>
      <c r="B1980" s="62" t="s">
        <v>2748</v>
      </c>
      <c r="C1980" s="62" t="s">
        <v>2757</v>
      </c>
      <c r="D1980" s="62" t="str">
        <f t="shared" si="31"/>
        <v>Namugongo</v>
      </c>
      <c r="F1980" s="62">
        <v>1405</v>
      </c>
    </row>
    <row r="1981" spans="1:6">
      <c r="A1981" s="62" t="s">
        <v>2853</v>
      </c>
      <c r="D1981" s="62" t="str">
        <f t="shared" si="31"/>
        <v>Ssonde</v>
      </c>
      <c r="F1981" s="62">
        <v>1405</v>
      </c>
    </row>
    <row r="1982" spans="1:6">
      <c r="A1982" s="65" t="s">
        <v>2854</v>
      </c>
      <c r="B1982" s="62" t="s">
        <v>2748</v>
      </c>
      <c r="C1982" s="62" t="s">
        <v>2755</v>
      </c>
      <c r="D1982" s="62" t="str">
        <f t="shared" si="31"/>
        <v>Nansana</v>
      </c>
      <c r="F1982" s="62">
        <v>1406</v>
      </c>
    </row>
    <row r="1983" spans="1:6">
      <c r="A1983" s="65" t="s">
        <v>2855</v>
      </c>
      <c r="D1983" s="62" t="str">
        <f t="shared" si="31"/>
        <v>NANSANA</v>
      </c>
      <c r="F1983" s="62">
        <v>1406</v>
      </c>
    </row>
    <row r="1984" spans="1:6">
      <c r="A1984" s="65" t="s">
        <v>2856</v>
      </c>
      <c r="D1984" s="62" t="str">
        <f t="shared" si="31"/>
        <v>YESU AMALA NANSANA</v>
      </c>
      <c r="F1984" s="62">
        <v>1406</v>
      </c>
    </row>
    <row r="1985" spans="1:6">
      <c r="A1985" s="65" t="s">
        <v>2857</v>
      </c>
      <c r="D1985" s="62" t="str">
        <f t="shared" si="31"/>
        <v>NALUVULE</v>
      </c>
      <c r="F1985" s="62">
        <v>1406</v>
      </c>
    </row>
    <row r="1986" spans="1:6">
      <c r="A1986" s="62" t="s">
        <v>2858</v>
      </c>
      <c r="B1986" s="62" t="s">
        <v>2748</v>
      </c>
      <c r="C1986" s="62" t="s">
        <v>2749</v>
      </c>
      <c r="D1986" s="62" t="str">
        <f t="shared" ref="D1986:D2049" si="32">A1986</f>
        <v>Ndejje</v>
      </c>
      <c r="F1986" s="62">
        <v>1407</v>
      </c>
    </row>
    <row r="1987" spans="1:6">
      <c r="A1987" s="62" t="s">
        <v>2859</v>
      </c>
      <c r="D1987" s="62" t="str">
        <f t="shared" si="32"/>
        <v>Ndejja</v>
      </c>
      <c r="F1987" s="62">
        <v>1407</v>
      </c>
    </row>
    <row r="1988" spans="1:6">
      <c r="A1988" s="62" t="s">
        <v>2860</v>
      </c>
      <c r="D1988" s="62" t="str">
        <f t="shared" si="32"/>
        <v>NDEJJE ENTEBBE ROAD</v>
      </c>
      <c r="F1988" s="62">
        <v>1407</v>
      </c>
    </row>
    <row r="1989" spans="1:6">
      <c r="A1989" s="62" t="s">
        <v>2861</v>
      </c>
      <c r="D1989" s="62" t="str">
        <f t="shared" si="32"/>
        <v>LUBUGUMU</v>
      </c>
      <c r="F1989" s="62">
        <v>1407</v>
      </c>
    </row>
    <row r="1990" spans="1:6">
      <c r="A1990" s="62" t="s">
        <v>2862</v>
      </c>
      <c r="D1990" s="62" t="str">
        <f t="shared" si="32"/>
        <v>KANAABA</v>
      </c>
      <c r="F1990" s="62">
        <v>1407</v>
      </c>
    </row>
    <row r="1991" spans="1:6">
      <c r="A1991" s="62" t="s">
        <v>2748</v>
      </c>
      <c r="B1991" s="62" t="s">
        <v>2748</v>
      </c>
      <c r="C1991" s="62" t="s">
        <v>2753</v>
      </c>
      <c r="D1991" s="62" t="str">
        <f t="shared" si="32"/>
        <v>Wakiso</v>
      </c>
      <c r="F1991" s="62">
        <v>1408</v>
      </c>
    </row>
    <row r="1992" spans="1:6">
      <c r="A1992" s="62" t="s">
        <v>2863</v>
      </c>
      <c r="D1992" s="62" t="str">
        <f t="shared" si="32"/>
        <v>WAKISO TOWN</v>
      </c>
      <c r="F1992" s="62">
        <v>1408</v>
      </c>
    </row>
    <row r="1993" spans="1:6">
      <c r="A1993" s="62" t="s">
        <v>2864</v>
      </c>
      <c r="D1993" s="62" t="str">
        <f t="shared" si="32"/>
        <v>waakiso</v>
      </c>
      <c r="F1993" s="62">
        <v>1408</v>
      </c>
    </row>
    <row r="1994" spans="1:6">
      <c r="A1994" s="62" t="s">
        <v>2865</v>
      </c>
      <c r="D1994" s="62" t="str">
        <f t="shared" si="32"/>
        <v>NAMUSERA WAKISO</v>
      </c>
      <c r="F1994" s="62">
        <v>1408</v>
      </c>
    </row>
    <row r="1995" spans="1:6">
      <c r="A1995" s="62" t="s">
        <v>2866</v>
      </c>
      <c r="B1995" s="62" t="s">
        <v>2748</v>
      </c>
      <c r="C1995" s="62" t="s">
        <v>2753</v>
      </c>
      <c r="D1995" s="62" t="str">
        <f t="shared" si="32"/>
        <v>Bulenga</v>
      </c>
      <c r="F1995" s="62">
        <v>1408</v>
      </c>
    </row>
    <row r="1996" spans="1:6">
      <c r="A1996" s="62" t="s">
        <v>2867</v>
      </c>
      <c r="D1996" s="62" t="str">
        <f t="shared" si="32"/>
        <v>KAKOOLA</v>
      </c>
      <c r="F1996" s="62">
        <v>1408</v>
      </c>
    </row>
    <row r="1997" spans="1:6">
      <c r="A1997" s="62" t="s">
        <v>2868</v>
      </c>
      <c r="B1997" s="62" t="s">
        <v>2748</v>
      </c>
      <c r="C1997" s="62" t="s">
        <v>2753</v>
      </c>
      <c r="D1997" s="62" t="str">
        <f t="shared" si="32"/>
        <v>Buloba</v>
      </c>
      <c r="F1997" s="62">
        <v>1408</v>
      </c>
    </row>
    <row r="1998" spans="1:6">
      <c r="A1998" s="62" t="s">
        <v>2869</v>
      </c>
      <c r="D1998" s="62" t="str">
        <f t="shared" si="32"/>
        <v>Sentema</v>
      </c>
      <c r="F1998" s="62">
        <v>1408</v>
      </c>
    </row>
    <row r="1999" spans="1:6">
      <c r="A1999" s="62" t="s">
        <v>2870</v>
      </c>
      <c r="D1999" s="62" t="str">
        <f t="shared" si="32"/>
        <v>NAKUWADDE</v>
      </c>
      <c r="F1999" s="62">
        <v>1408</v>
      </c>
    </row>
    <row r="2000" spans="1:6">
      <c r="A2000" s="62" t="s">
        <v>2871</v>
      </c>
      <c r="D2000" s="62" t="str">
        <f t="shared" si="32"/>
        <v>BUJUKO</v>
      </c>
      <c r="F2000" s="62">
        <v>1408</v>
      </c>
    </row>
    <row r="2001" spans="1:6">
      <c r="A2001" s="62" t="s">
        <v>2872</v>
      </c>
      <c r="D2001" s="62" t="str">
        <f t="shared" si="32"/>
        <v>BUJJUKO</v>
      </c>
      <c r="F2001" s="62">
        <v>1408</v>
      </c>
    </row>
    <row r="2002" spans="1:6">
      <c r="A2002" s="62" t="s">
        <v>2873</v>
      </c>
      <c r="B2002" s="62" t="s">
        <v>2748</v>
      </c>
      <c r="C2002" s="62" t="s">
        <v>2753</v>
      </c>
      <c r="D2002" s="62" t="str">
        <f t="shared" si="32"/>
        <v>Wakiso Town Council</v>
      </c>
      <c r="F2002" s="62">
        <v>1409</v>
      </c>
    </row>
    <row r="2003" spans="1:6">
      <c r="A2003" s="62" t="s">
        <v>2874</v>
      </c>
      <c r="B2003" s="62" t="s">
        <v>2875</v>
      </c>
      <c r="C2003" s="62" t="s">
        <v>2876</v>
      </c>
      <c r="D2003" s="62" t="str">
        <f t="shared" si="32"/>
        <v>Apo</v>
      </c>
      <c r="F2003" s="62">
        <v>1410</v>
      </c>
    </row>
    <row r="2004" spans="1:6">
      <c r="A2004" s="62" t="s">
        <v>2877</v>
      </c>
      <c r="B2004" s="62" t="s">
        <v>2875</v>
      </c>
      <c r="C2004" s="62" t="s">
        <v>2876</v>
      </c>
      <c r="D2004" s="62" t="str">
        <f t="shared" si="32"/>
        <v>Ariwa</v>
      </c>
      <c r="F2004" s="62">
        <v>1411</v>
      </c>
    </row>
    <row r="2005" spans="1:6">
      <c r="A2005" s="62" t="s">
        <v>2878</v>
      </c>
      <c r="B2005" s="62" t="s">
        <v>2875</v>
      </c>
      <c r="C2005" s="62" t="s">
        <v>2876</v>
      </c>
      <c r="D2005" s="62" t="str">
        <f t="shared" si="32"/>
        <v>Drajini</v>
      </c>
      <c r="F2005" s="62">
        <v>1412</v>
      </c>
    </row>
    <row r="2006" spans="1:6">
      <c r="A2006" s="62" t="s">
        <v>2879</v>
      </c>
      <c r="B2006" s="62" t="s">
        <v>2875</v>
      </c>
      <c r="C2006" s="62" t="s">
        <v>2876</v>
      </c>
      <c r="D2006" s="62" t="str">
        <f t="shared" si="32"/>
        <v>Kei</v>
      </c>
      <c r="F2006" s="62">
        <v>1413</v>
      </c>
    </row>
    <row r="2007" spans="1:6">
      <c r="A2007" s="62" t="s">
        <v>2880</v>
      </c>
      <c r="B2007" s="62" t="s">
        <v>2875</v>
      </c>
      <c r="C2007" s="62" t="s">
        <v>2876</v>
      </c>
      <c r="D2007" s="62" t="str">
        <f t="shared" si="32"/>
        <v>Kerwa</v>
      </c>
      <c r="F2007" s="62">
        <v>1414</v>
      </c>
    </row>
    <row r="2008" spans="1:6">
      <c r="A2008" s="62" t="s">
        <v>2881</v>
      </c>
      <c r="B2008" s="62" t="s">
        <v>2875</v>
      </c>
      <c r="C2008" s="62" t="s">
        <v>2876</v>
      </c>
      <c r="D2008" s="62" t="str">
        <f t="shared" si="32"/>
        <v>Kochi</v>
      </c>
      <c r="F2008" s="62">
        <v>1415</v>
      </c>
    </row>
    <row r="2009" spans="1:6">
      <c r="A2009" s="62" t="s">
        <v>2882</v>
      </c>
      <c r="B2009" s="62" t="s">
        <v>2875</v>
      </c>
      <c r="C2009" s="62" t="s">
        <v>2876</v>
      </c>
      <c r="D2009" s="62" t="str">
        <f t="shared" si="32"/>
        <v>Kululu</v>
      </c>
      <c r="F2009" s="62">
        <v>1416</v>
      </c>
    </row>
    <row r="2010" spans="1:6">
      <c r="A2010" s="62" t="s">
        <v>2883</v>
      </c>
      <c r="B2010" s="62" t="s">
        <v>2875</v>
      </c>
      <c r="C2010" s="62" t="s">
        <v>2876</v>
      </c>
      <c r="D2010" s="62" t="str">
        <f t="shared" si="32"/>
        <v>Kuru</v>
      </c>
      <c r="F2010" s="62">
        <v>1417</v>
      </c>
    </row>
    <row r="2011" spans="1:6">
      <c r="A2011" s="62" t="s">
        <v>2884</v>
      </c>
      <c r="B2011" s="62" t="s">
        <v>2875</v>
      </c>
      <c r="C2011" s="62" t="s">
        <v>2876</v>
      </c>
      <c r="D2011" s="62" t="str">
        <f t="shared" si="32"/>
        <v>Lodonga</v>
      </c>
      <c r="F2011" s="62">
        <v>1418</v>
      </c>
    </row>
    <row r="2012" spans="1:6">
      <c r="A2012" s="62" t="s">
        <v>2885</v>
      </c>
      <c r="B2012" s="62" t="s">
        <v>2875</v>
      </c>
      <c r="C2012" s="62" t="s">
        <v>2876</v>
      </c>
      <c r="D2012" s="62" t="str">
        <f t="shared" si="32"/>
        <v>Midigo</v>
      </c>
      <c r="F2012" s="62">
        <v>1419</v>
      </c>
    </row>
    <row r="2013" spans="1:6">
      <c r="A2013" s="62" t="s">
        <v>2886</v>
      </c>
      <c r="B2013" s="62" t="s">
        <v>2875</v>
      </c>
      <c r="C2013" s="62" t="s">
        <v>2876</v>
      </c>
      <c r="D2013" s="62" t="str">
        <f t="shared" si="32"/>
        <v>Odravu</v>
      </c>
      <c r="F2013" s="62">
        <v>1420</v>
      </c>
    </row>
    <row r="2014" spans="1:6">
      <c r="A2014" s="62" t="s">
        <v>2887</v>
      </c>
      <c r="B2014" s="62" t="s">
        <v>2875</v>
      </c>
      <c r="C2014" s="62" t="s">
        <v>2876</v>
      </c>
      <c r="D2014" s="62" t="str">
        <f t="shared" si="32"/>
        <v>Romogi</v>
      </c>
      <c r="F2014" s="62">
        <v>1421</v>
      </c>
    </row>
    <row r="2015" spans="1:6">
      <c r="A2015" s="62" t="s">
        <v>2888</v>
      </c>
      <c r="B2015" s="62" t="s">
        <v>2875</v>
      </c>
      <c r="C2015" s="62" t="s">
        <v>2876</v>
      </c>
      <c r="D2015" s="62" t="str">
        <f t="shared" si="32"/>
        <v>Yumbe Town Council</v>
      </c>
      <c r="F2015" s="62">
        <v>1422</v>
      </c>
    </row>
    <row r="2016" spans="1:6">
      <c r="A2016" s="62" t="s">
        <v>2889</v>
      </c>
      <c r="D2016" s="62" t="str">
        <f t="shared" si="32"/>
        <v>YUMBE</v>
      </c>
      <c r="F2016" s="62">
        <v>1422</v>
      </c>
    </row>
    <row r="2017" spans="1:6">
      <c r="A2017" s="62" t="s">
        <v>2890</v>
      </c>
      <c r="B2017" s="62" t="s">
        <v>2891</v>
      </c>
      <c r="C2017" s="62" t="s">
        <v>2892</v>
      </c>
      <c r="D2017" s="62" t="str">
        <f t="shared" si="32"/>
        <v>Abanga</v>
      </c>
      <c r="F2017" s="62">
        <v>1423</v>
      </c>
    </row>
    <row r="2018" spans="1:6">
      <c r="A2018" s="62" t="s">
        <v>2893</v>
      </c>
      <c r="B2018" s="62" t="s">
        <v>2891</v>
      </c>
      <c r="C2018" s="62" t="s">
        <v>2892</v>
      </c>
      <c r="D2018" s="62" t="str">
        <f t="shared" si="32"/>
        <v>Atyak</v>
      </c>
      <c r="F2018" s="62">
        <v>1424</v>
      </c>
    </row>
    <row r="2019" spans="1:6">
      <c r="A2019" s="62" t="s">
        <v>2894</v>
      </c>
      <c r="B2019" s="62" t="s">
        <v>2891</v>
      </c>
      <c r="C2019" s="62" t="s">
        <v>2892</v>
      </c>
      <c r="D2019" s="62" t="str">
        <f t="shared" si="32"/>
        <v>Jangokoro</v>
      </c>
      <c r="F2019" s="62">
        <v>1425</v>
      </c>
    </row>
    <row r="2020" spans="1:6">
      <c r="A2020" s="62" t="s">
        <v>2895</v>
      </c>
      <c r="B2020" s="62" t="s">
        <v>2891</v>
      </c>
      <c r="C2020" s="62" t="s">
        <v>2892</v>
      </c>
      <c r="D2020" s="62" t="str">
        <f t="shared" si="32"/>
        <v>Kango</v>
      </c>
      <c r="F2020" s="62">
        <v>1426</v>
      </c>
    </row>
    <row r="2021" spans="1:6">
      <c r="A2021" s="62" t="s">
        <v>2896</v>
      </c>
      <c r="B2021" s="62" t="s">
        <v>2891</v>
      </c>
      <c r="C2021" s="62" t="s">
        <v>2892</v>
      </c>
      <c r="D2021" s="62" t="str">
        <f t="shared" si="32"/>
        <v>Nyapea</v>
      </c>
      <c r="F2021" s="62">
        <v>1427</v>
      </c>
    </row>
    <row r="2022" spans="1:6">
      <c r="A2022" s="62" t="s">
        <v>2897</v>
      </c>
      <c r="B2022" s="62" t="s">
        <v>2891</v>
      </c>
      <c r="C2022" s="62" t="s">
        <v>2892</v>
      </c>
      <c r="D2022" s="62" t="str">
        <f t="shared" si="32"/>
        <v>Paidha</v>
      </c>
      <c r="F2022" s="62">
        <v>1428</v>
      </c>
    </row>
    <row r="2023" spans="1:6">
      <c r="A2023" s="62" t="s">
        <v>2898</v>
      </c>
      <c r="D2023" s="62" t="str">
        <f t="shared" si="32"/>
        <v>PANDHA</v>
      </c>
      <c r="F2023" s="62">
        <v>1428</v>
      </c>
    </row>
    <row r="2024" spans="1:6">
      <c r="A2024" s="62" t="s">
        <v>2899</v>
      </c>
      <c r="B2024" s="62" t="s">
        <v>2891</v>
      </c>
      <c r="C2024" s="62" t="s">
        <v>2892</v>
      </c>
      <c r="D2024" s="62" t="str">
        <f t="shared" si="32"/>
        <v>Paidha Town Council</v>
      </c>
      <c r="F2024" s="62">
        <v>1429</v>
      </c>
    </row>
    <row r="2025" spans="1:6">
      <c r="A2025" s="62" t="s">
        <v>2900</v>
      </c>
      <c r="B2025" s="62" t="s">
        <v>2891</v>
      </c>
      <c r="C2025" s="62" t="s">
        <v>2892</v>
      </c>
      <c r="D2025" s="62" t="str">
        <f t="shared" si="32"/>
        <v>Warr</v>
      </c>
      <c r="F2025" s="62">
        <v>1430</v>
      </c>
    </row>
    <row r="2026" spans="1:6">
      <c r="A2026" s="62" t="s">
        <v>2901</v>
      </c>
      <c r="B2026" s="62" t="s">
        <v>2891</v>
      </c>
      <c r="C2026" s="62" t="s">
        <v>2892</v>
      </c>
      <c r="D2026" s="62" t="str">
        <f t="shared" si="32"/>
        <v>Zeu</v>
      </c>
      <c r="F2026" s="62">
        <v>1431</v>
      </c>
    </row>
    <row r="2027" spans="1:6">
      <c r="A2027" s="62" t="s">
        <v>2902</v>
      </c>
      <c r="B2027" s="62" t="s">
        <v>2891</v>
      </c>
      <c r="C2027" s="62" t="s">
        <v>2892</v>
      </c>
      <c r="D2027" s="62" t="str">
        <f t="shared" si="32"/>
        <v>Zombo Town Council</v>
      </c>
      <c r="F2027" s="62">
        <v>1432</v>
      </c>
    </row>
    <row r="2028" spans="1:6">
      <c r="A2028" s="68" t="s">
        <v>2903</v>
      </c>
      <c r="B2028" s="69"/>
      <c r="C2028" s="69"/>
      <c r="D2028" s="70"/>
      <c r="E2028" s="69"/>
      <c r="F2028" s="69"/>
    </row>
    <row r="2029" spans="1:6">
      <c r="A2029" s="62" t="s">
        <v>2904</v>
      </c>
      <c r="B2029" s="62" t="s">
        <v>2721</v>
      </c>
      <c r="C2029" s="62" t="s">
        <v>49</v>
      </c>
      <c r="D2029" s="62" t="str">
        <f t="shared" si="32"/>
        <v xml:space="preserve">Malaba </v>
      </c>
      <c r="F2029" s="62">
        <v>1433</v>
      </c>
    </row>
    <row r="2030" spans="1:6">
      <c r="A2030" s="62" t="s">
        <v>1082</v>
      </c>
      <c r="B2030" s="62" t="s">
        <v>1082</v>
      </c>
      <c r="C2030" s="62" t="s">
        <v>49</v>
      </c>
      <c r="D2030" s="62" t="str">
        <f t="shared" si="32"/>
        <v>Busia</v>
      </c>
      <c r="F2030" s="62">
        <v>1434</v>
      </c>
    </row>
    <row r="2031" spans="1:6">
      <c r="A2031" s="62" t="s">
        <v>2905</v>
      </c>
      <c r="D2031" s="62" t="str">
        <f t="shared" si="32"/>
        <v>NAIROBI</v>
      </c>
      <c r="F2031" s="62">
        <v>1434</v>
      </c>
    </row>
    <row r="2032" spans="1:6">
      <c r="A2032" s="62" t="s">
        <v>2906</v>
      </c>
      <c r="D2032" s="62" t="str">
        <f t="shared" si="32"/>
        <v>NAIROBI CENTER</v>
      </c>
      <c r="F2032" s="62">
        <v>1434</v>
      </c>
    </row>
    <row r="2033" spans="1:6">
      <c r="A2033" s="62" t="s">
        <v>2907</v>
      </c>
      <c r="D2033" s="62" t="str">
        <f t="shared" si="32"/>
        <v>NAKULU</v>
      </c>
      <c r="F2033" s="62">
        <v>1434</v>
      </c>
    </row>
    <row r="2034" spans="1:6">
      <c r="A2034" s="62" t="s">
        <v>49</v>
      </c>
      <c r="D2034" s="62" t="str">
        <f t="shared" si="32"/>
        <v>Kenya</v>
      </c>
      <c r="F2034" s="62">
        <v>1434</v>
      </c>
    </row>
    <row r="2035" spans="1:6">
      <c r="A2035" s="62" t="s">
        <v>2908</v>
      </c>
      <c r="D2035" s="62" t="str">
        <f t="shared" si="32"/>
        <v>KISUMU</v>
      </c>
      <c r="F2035" s="62">
        <v>1434</v>
      </c>
    </row>
    <row r="2036" spans="1:6">
      <c r="A2036" s="62" t="s">
        <v>2909</v>
      </c>
      <c r="D2036" s="62" t="str">
        <f t="shared" si="32"/>
        <v>Mombasa</v>
      </c>
      <c r="F2036" s="62">
        <v>1434</v>
      </c>
    </row>
    <row r="2037" spans="1:6">
      <c r="A2037" s="62" t="s">
        <v>2910</v>
      </c>
      <c r="B2037" s="62" t="s">
        <v>2075</v>
      </c>
      <c r="C2037" s="62" t="s">
        <v>52</v>
      </c>
      <c r="D2037" s="62" t="str">
        <f t="shared" si="32"/>
        <v>Mutukula</v>
      </c>
      <c r="F2037" s="62">
        <v>1435</v>
      </c>
    </row>
    <row r="2038" spans="1:6">
      <c r="A2038" s="62" t="s">
        <v>2911</v>
      </c>
      <c r="D2038" s="62" t="str">
        <f t="shared" si="32"/>
        <v>TANZANIA</v>
      </c>
      <c r="F2038" s="62">
        <v>1435</v>
      </c>
    </row>
    <row r="2039" spans="1:6">
      <c r="A2039" s="62" t="s">
        <v>2912</v>
      </c>
      <c r="B2039" s="62" t="s">
        <v>1278</v>
      </c>
      <c r="C2039" s="62" t="s">
        <v>42</v>
      </c>
      <c r="D2039" s="62" t="str">
        <f t="shared" si="32"/>
        <v>Katuna</v>
      </c>
      <c r="F2039" s="62">
        <v>1436</v>
      </c>
    </row>
    <row r="2040" spans="1:6">
      <c r="A2040" s="62" t="s">
        <v>2913</v>
      </c>
      <c r="D2040" s="62" t="str">
        <f t="shared" si="32"/>
        <v>RWANDA</v>
      </c>
      <c r="F2040" s="62">
        <v>1436</v>
      </c>
    </row>
    <row r="2041" spans="1:6">
      <c r="A2041" s="62" t="s">
        <v>2914</v>
      </c>
      <c r="B2041" s="62" t="s">
        <v>1944</v>
      </c>
      <c r="C2041" s="62" t="s">
        <v>42</v>
      </c>
      <c r="D2041" s="62" t="str">
        <f t="shared" si="32"/>
        <v>Cyanika</v>
      </c>
      <c r="F2041" s="62">
        <v>1437</v>
      </c>
    </row>
    <row r="2042" spans="1:6">
      <c r="A2042" s="62" t="s">
        <v>2915</v>
      </c>
      <c r="D2042" s="62" t="str">
        <f t="shared" si="32"/>
        <v>Kiyumba</v>
      </c>
      <c r="F2042" s="62">
        <v>1437</v>
      </c>
    </row>
    <row r="2043" spans="1:6">
      <c r="A2043" s="62" t="s">
        <v>2916</v>
      </c>
      <c r="B2043" s="62" t="s">
        <v>1944</v>
      </c>
      <c r="C2043" s="62" t="s">
        <v>54</v>
      </c>
      <c r="D2043" s="62" t="str">
        <f t="shared" si="32"/>
        <v>Bunagana</v>
      </c>
      <c r="F2043" s="62">
        <v>1438</v>
      </c>
    </row>
    <row r="2044" spans="1:6">
      <c r="A2044" s="62" t="s">
        <v>55</v>
      </c>
      <c r="B2044" s="62" t="s">
        <v>1787</v>
      </c>
      <c r="C2044" s="62" t="s">
        <v>54</v>
      </c>
      <c r="D2044" s="62" t="str">
        <f t="shared" si="32"/>
        <v>Ishasha</v>
      </c>
      <c r="F2044" s="62">
        <v>1439</v>
      </c>
    </row>
    <row r="2045" spans="1:6">
      <c r="A2045" s="62" t="s">
        <v>2917</v>
      </c>
      <c r="B2045" s="62" t="s">
        <v>36</v>
      </c>
      <c r="C2045" s="62" t="s">
        <v>54</v>
      </c>
      <c r="D2045" s="62" t="str">
        <f t="shared" si="32"/>
        <v>Mpondwe</v>
      </c>
      <c r="F2045" s="62">
        <v>1440</v>
      </c>
    </row>
    <row r="2046" spans="1:6">
      <c r="A2046" s="62" t="s">
        <v>2918</v>
      </c>
      <c r="B2046" s="62" t="s">
        <v>2485</v>
      </c>
      <c r="C2046" s="62" t="s">
        <v>54</v>
      </c>
      <c r="D2046" s="62" t="str">
        <f t="shared" si="32"/>
        <v>Goli</v>
      </c>
      <c r="F2046" s="62">
        <v>1441</v>
      </c>
    </row>
    <row r="2047" spans="1:6">
      <c r="A2047" s="62" t="s">
        <v>1006</v>
      </c>
      <c r="B2047" s="62" t="s">
        <v>995</v>
      </c>
      <c r="C2047" s="62" t="s">
        <v>49</v>
      </c>
      <c r="D2047" s="62" t="str">
        <f t="shared" si="32"/>
        <v>Suam</v>
      </c>
      <c r="F2047" s="62">
        <v>1442</v>
      </c>
    </row>
    <row r="2048" spans="1:6">
      <c r="A2048" s="62" t="s">
        <v>2919</v>
      </c>
      <c r="D2048" s="62" t="str">
        <f t="shared" si="32"/>
        <v>Sauli Mwoyo</v>
      </c>
      <c r="F2048" s="62">
        <v>1442</v>
      </c>
    </row>
    <row r="2049" spans="1:6">
      <c r="A2049" s="62" t="s">
        <v>2920</v>
      </c>
      <c r="B2049" s="62" t="s">
        <v>864</v>
      </c>
      <c r="C2049" s="62" t="s">
        <v>2921</v>
      </c>
      <c r="D2049" s="62" t="str">
        <f t="shared" si="32"/>
        <v>Elegu</v>
      </c>
      <c r="F2049" s="62">
        <v>1443</v>
      </c>
    </row>
    <row r="2050" spans="1:6">
      <c r="A2050" s="62" t="s">
        <v>2922</v>
      </c>
      <c r="B2050" s="62" t="s">
        <v>864</v>
      </c>
      <c r="C2050" s="62" t="s">
        <v>2921</v>
      </c>
      <c r="D2050" s="62" t="str">
        <f t="shared" ref="D2050:D2056" si="33">A2050</f>
        <v>Nimule</v>
      </c>
      <c r="F2050" s="62">
        <v>1443</v>
      </c>
    </row>
    <row r="2051" spans="1:6">
      <c r="A2051" s="62" t="s">
        <v>2923</v>
      </c>
      <c r="D2051" s="62" t="str">
        <f t="shared" si="33"/>
        <v>SUDAN</v>
      </c>
      <c r="F2051" s="62">
        <v>1443</v>
      </c>
    </row>
    <row r="2052" spans="1:6">
      <c r="A2052" s="62" t="s">
        <v>2924</v>
      </c>
      <c r="D2052" s="62" t="str">
        <f t="shared" si="33"/>
        <v>JUBA</v>
      </c>
      <c r="F2052" s="62">
        <v>1443</v>
      </c>
    </row>
    <row r="2053" spans="1:6">
      <c r="A2053" s="62" t="s">
        <v>2925</v>
      </c>
      <c r="B2053" s="62" t="s">
        <v>46</v>
      </c>
      <c r="C2053" s="62" t="s">
        <v>42</v>
      </c>
      <c r="D2053" s="62" t="str">
        <f t="shared" si="33"/>
        <v>Mirama Hills</v>
      </c>
      <c r="F2053" s="62">
        <v>1444</v>
      </c>
    </row>
    <row r="2054" spans="1:6">
      <c r="A2054" s="62" t="s">
        <v>2926</v>
      </c>
      <c r="B2054" s="62" t="s">
        <v>1974</v>
      </c>
      <c r="C2054" s="62" t="s">
        <v>2921</v>
      </c>
      <c r="D2054" s="62" t="str">
        <f t="shared" si="33"/>
        <v>Oraba</v>
      </c>
      <c r="F2054" s="62">
        <v>1445</v>
      </c>
    </row>
    <row r="2055" spans="1:6">
      <c r="A2055" s="62" t="s">
        <v>2927</v>
      </c>
      <c r="B2055" s="62" t="s">
        <v>2891</v>
      </c>
      <c r="C2055" s="62" t="s">
        <v>54</v>
      </c>
      <c r="D2055" s="62" t="str">
        <f t="shared" si="33"/>
        <v>Padea</v>
      </c>
      <c r="F2055" s="62">
        <v>1446</v>
      </c>
    </row>
    <row r="2056" spans="1:6">
      <c r="A2056" s="62" t="s">
        <v>891</v>
      </c>
      <c r="B2056" s="62" t="s">
        <v>886</v>
      </c>
      <c r="C2056" s="62" t="s">
        <v>54</v>
      </c>
      <c r="D2056" s="62" t="str">
        <f t="shared" si="33"/>
        <v>Vurra</v>
      </c>
      <c r="F2056" s="62">
        <v>1447</v>
      </c>
    </row>
    <row r="2067" spans="1:6" s="67" customFormat="1">
      <c r="A2067" s="62"/>
      <c r="B2067" s="62"/>
      <c r="C2067" s="62"/>
      <c r="D2067" s="62"/>
      <c r="E2067" s="62"/>
      <c r="F2067" s="62"/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I140"/>
  <sheetViews>
    <sheetView zoomScale="86" zoomScaleNormal="86" zoomScaleSheetLayoutView="80" workbookViewId="0">
      <selection activeCell="B9" sqref="B9:AB140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7" t="s">
        <v>129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6"/>
      <c r="AD1" s="6"/>
      <c r="AE1" s="6"/>
      <c r="AF1" s="6"/>
      <c r="AG1" s="6"/>
      <c r="AH1" s="6"/>
      <c r="AI1" s="6"/>
    </row>
    <row r="2" spans="2:3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'ALL DATA'!C4</f>
        <v>11.10.19</v>
      </c>
      <c r="E4" s="1" t="s">
        <v>66</v>
      </c>
      <c r="F4" s="134" t="str">
        <f>'ALL DATA'!F4:G4</f>
        <v>BUDO ROAD</v>
      </c>
      <c r="G4" s="135"/>
      <c r="I4" s="27" t="s">
        <v>67</v>
      </c>
      <c r="J4" s="5"/>
      <c r="K4" s="5"/>
      <c r="L4" s="56" t="s">
        <v>150</v>
      </c>
      <c r="M4" s="2"/>
      <c r="N4" s="1" t="s">
        <v>69</v>
      </c>
      <c r="O4" s="119" t="s">
        <v>453</v>
      </c>
      <c r="P4" s="120"/>
      <c r="Q4" s="120"/>
      <c r="R4" s="120"/>
      <c r="S4" s="120"/>
      <c r="T4" s="120"/>
      <c r="V4" s="1" t="s">
        <v>70</v>
      </c>
      <c r="W4" s="59" t="str">
        <f>'ALL DATA'!W4</f>
        <v>FLORENCE</v>
      </c>
      <c r="Y4" s="27" t="s">
        <v>6</v>
      </c>
      <c r="Z4" s="39" t="str">
        <f>'ALL DATA'!Z4</f>
        <v>DAVID</v>
      </c>
      <c r="AA4" s="32" t="s">
        <v>7</v>
      </c>
      <c r="AB4" s="39" t="str">
        <f>'ALL DATA'!AB4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7" t="s">
        <v>207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5" t="s">
        <v>34</v>
      </c>
      <c r="C7" s="110" t="s">
        <v>57</v>
      </c>
      <c r="D7" s="108" t="s">
        <v>9</v>
      </c>
      <c r="E7" s="110" t="s">
        <v>35</v>
      </c>
      <c r="F7" s="121" t="s">
        <v>12</v>
      </c>
      <c r="G7" s="122"/>
      <c r="H7" s="123"/>
      <c r="I7" s="108" t="s">
        <v>60</v>
      </c>
      <c r="J7" s="110" t="s">
        <v>15</v>
      </c>
      <c r="K7" s="110" t="s">
        <v>130</v>
      </c>
      <c r="L7" s="121" t="s">
        <v>17</v>
      </c>
      <c r="M7" s="122"/>
      <c r="N7" s="123"/>
      <c r="O7" s="108" t="s">
        <v>61</v>
      </c>
      <c r="P7" s="110" t="s">
        <v>18</v>
      </c>
      <c r="Q7" s="110" t="s">
        <v>131</v>
      </c>
      <c r="R7" s="110" t="s">
        <v>132</v>
      </c>
      <c r="S7" s="110" t="s">
        <v>134</v>
      </c>
      <c r="T7" s="110" t="s">
        <v>133</v>
      </c>
      <c r="U7" s="110" t="s">
        <v>62</v>
      </c>
      <c r="V7" s="114" t="s">
        <v>65</v>
      </c>
      <c r="W7" s="115"/>
      <c r="X7" s="116"/>
      <c r="Y7" s="110" t="s">
        <v>64</v>
      </c>
      <c r="Z7" s="110" t="s">
        <v>137</v>
      </c>
      <c r="AA7" s="108" t="s">
        <v>20</v>
      </c>
      <c r="AB7" s="112" t="s">
        <v>21</v>
      </c>
      <c r="AD7" s="19"/>
    </row>
    <row r="8" spans="2:35" ht="38.25" customHeight="1">
      <c r="B8" s="126"/>
      <c r="C8" s="111"/>
      <c r="D8" s="109"/>
      <c r="E8" s="124"/>
      <c r="F8" s="23" t="s">
        <v>71</v>
      </c>
      <c r="G8" s="23" t="s">
        <v>58</v>
      </c>
      <c r="H8" s="24" t="s">
        <v>59</v>
      </c>
      <c r="I8" s="109"/>
      <c r="J8" s="111"/>
      <c r="K8" s="111"/>
      <c r="L8" s="23" t="s">
        <v>71</v>
      </c>
      <c r="M8" s="23" t="s">
        <v>58</v>
      </c>
      <c r="N8" s="23" t="s">
        <v>59</v>
      </c>
      <c r="O8" s="109"/>
      <c r="P8" s="111"/>
      <c r="Q8" s="111"/>
      <c r="R8" s="111"/>
      <c r="S8" s="111"/>
      <c r="T8" s="111"/>
      <c r="U8" s="111"/>
      <c r="V8" s="29" t="s">
        <v>63</v>
      </c>
      <c r="W8" s="30" t="s">
        <v>135</v>
      </c>
      <c r="X8" s="30" t="s">
        <v>136</v>
      </c>
      <c r="Y8" s="111"/>
      <c r="Z8" s="111"/>
      <c r="AA8" s="109"/>
      <c r="AB8" s="113"/>
    </row>
    <row r="9" spans="2:35" s="19" customFormat="1">
      <c r="B9" s="40">
        <v>0.33333333333333331</v>
      </c>
      <c r="C9" s="40" t="s">
        <v>329</v>
      </c>
      <c r="D9" s="41">
        <v>1</v>
      </c>
      <c r="E9" s="42">
        <v>1</v>
      </c>
      <c r="F9" s="42" t="s">
        <v>150</v>
      </c>
      <c r="G9" s="43" t="s">
        <v>156</v>
      </c>
      <c r="H9" s="42" t="s">
        <v>157</v>
      </c>
      <c r="I9" s="43">
        <v>11</v>
      </c>
      <c r="J9" s="43">
        <v>6</v>
      </c>
      <c r="K9" s="25" t="str">
        <f>VLOOKUP(J9,Key!$E$2:$F$9,2,FALSE)</f>
        <v>Leisure/Social</v>
      </c>
      <c r="L9" s="42" t="s">
        <v>155</v>
      </c>
      <c r="M9" s="43" t="s">
        <v>156</v>
      </c>
      <c r="N9" s="42" t="s">
        <v>157</v>
      </c>
      <c r="O9" s="43">
        <v>1</v>
      </c>
      <c r="P9" s="43">
        <v>1</v>
      </c>
      <c r="Q9" s="25" t="str">
        <f>VLOOKUP(P9,Key!$E$2:$F$9,2,FALSE)</f>
        <v>Home</v>
      </c>
      <c r="R9" s="25" t="str">
        <f>K9&amp;"-"&amp;Q9</f>
        <v>Leisure/Social-Home</v>
      </c>
      <c r="S9" s="52">
        <v>0.5</v>
      </c>
      <c r="T9" s="52">
        <v>0.1</v>
      </c>
      <c r="U9" s="43">
        <v>2</v>
      </c>
      <c r="V9" s="43"/>
      <c r="W9" s="52"/>
      <c r="X9" s="52"/>
      <c r="Y9" s="53" t="s">
        <v>158</v>
      </c>
      <c r="Z9" s="54">
        <v>0</v>
      </c>
      <c r="AA9" s="25"/>
      <c r="AB9" s="25"/>
    </row>
    <row r="10" spans="2:35">
      <c r="B10" s="40">
        <v>0.35416666666666669</v>
      </c>
      <c r="C10" s="40" t="s">
        <v>330</v>
      </c>
      <c r="D10" s="41">
        <v>1</v>
      </c>
      <c r="E10" s="42">
        <v>1</v>
      </c>
      <c r="F10" s="42" t="s">
        <v>150</v>
      </c>
      <c r="G10" s="43" t="s">
        <v>156</v>
      </c>
      <c r="H10" s="42" t="s">
        <v>157</v>
      </c>
      <c r="I10" s="43">
        <v>11</v>
      </c>
      <c r="J10" s="43">
        <v>6</v>
      </c>
      <c r="K10" s="25" t="str">
        <f>VLOOKUP(J10,Key!$E$2:$F$9,2,FALSE)</f>
        <v>Leisure/Social</v>
      </c>
      <c r="L10" s="42" t="s">
        <v>155</v>
      </c>
      <c r="M10" s="43" t="s">
        <v>156</v>
      </c>
      <c r="N10" s="42" t="s">
        <v>157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Leisure/Social-Home</v>
      </c>
      <c r="S10" s="52">
        <v>1</v>
      </c>
      <c r="T10" s="52">
        <v>0.1</v>
      </c>
      <c r="U10" s="43">
        <v>2</v>
      </c>
      <c r="V10" s="43"/>
      <c r="W10" s="52"/>
      <c r="X10" s="52"/>
      <c r="Y10" s="53" t="s">
        <v>158</v>
      </c>
      <c r="Z10" s="54">
        <v>0</v>
      </c>
      <c r="AA10" s="25"/>
      <c r="AB10" s="25"/>
    </row>
    <row r="11" spans="2:35">
      <c r="B11" s="40">
        <v>0.375</v>
      </c>
      <c r="C11" s="40" t="s">
        <v>331</v>
      </c>
      <c r="D11" s="41">
        <v>1</v>
      </c>
      <c r="E11" s="42">
        <v>1</v>
      </c>
      <c r="F11" s="42" t="s">
        <v>162</v>
      </c>
      <c r="G11" s="43" t="s">
        <v>156</v>
      </c>
      <c r="H11" s="42" t="s">
        <v>157</v>
      </c>
      <c r="I11" s="43">
        <v>2</v>
      </c>
      <c r="J11" s="43">
        <v>2</v>
      </c>
      <c r="K11" s="25" t="str">
        <f>VLOOKUP(J11,Key!$E$2:$F$9,2,FALSE)</f>
        <v>Work</v>
      </c>
      <c r="L11" s="42" t="s">
        <v>204</v>
      </c>
      <c r="M11" s="43" t="s">
        <v>156</v>
      </c>
      <c r="N11" s="42" t="s">
        <v>157</v>
      </c>
      <c r="O11" s="43">
        <v>2</v>
      </c>
      <c r="P11" s="43">
        <v>2</v>
      </c>
      <c r="Q11" s="25" t="str">
        <f>VLOOKUP(P11,Key!$E$2:$F$9,2,FALSE)</f>
        <v>Work</v>
      </c>
      <c r="R11" s="25" t="str">
        <f t="shared" si="0"/>
        <v>Work-Work</v>
      </c>
      <c r="S11" s="52">
        <v>8</v>
      </c>
      <c r="T11" s="52">
        <v>0.3</v>
      </c>
      <c r="U11" s="43">
        <v>2</v>
      </c>
      <c r="V11" s="43"/>
      <c r="W11" s="52"/>
      <c r="X11" s="52"/>
      <c r="Y11" s="53" t="s">
        <v>158</v>
      </c>
      <c r="Z11" s="54">
        <v>1000</v>
      </c>
      <c r="AA11" s="25"/>
      <c r="AB11" s="25"/>
    </row>
    <row r="12" spans="2:35">
      <c r="B12" s="40">
        <v>0.38541666666666669</v>
      </c>
      <c r="C12" s="40" t="s">
        <v>332</v>
      </c>
      <c r="D12" s="41">
        <v>2</v>
      </c>
      <c r="E12" s="42">
        <v>2</v>
      </c>
      <c r="F12" s="42" t="s">
        <v>164</v>
      </c>
      <c r="G12" s="43" t="s">
        <v>156</v>
      </c>
      <c r="H12" s="42" t="s">
        <v>157</v>
      </c>
      <c r="I12" s="43">
        <v>2</v>
      </c>
      <c r="J12" s="43">
        <v>2</v>
      </c>
      <c r="K12" s="25" t="str">
        <f>VLOOKUP(J12,Key!$E$2:$F$9,2,FALSE)</f>
        <v>Work</v>
      </c>
      <c r="L12" s="42" t="s">
        <v>333</v>
      </c>
      <c r="M12" s="43" t="s">
        <v>156</v>
      </c>
      <c r="N12" s="42" t="s">
        <v>157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52">
        <v>6</v>
      </c>
      <c r="T12" s="52">
        <v>0.6</v>
      </c>
      <c r="U12" s="43">
        <v>2</v>
      </c>
      <c r="V12" s="43"/>
      <c r="W12" s="52"/>
      <c r="X12" s="52"/>
      <c r="Y12" s="53" t="s">
        <v>158</v>
      </c>
      <c r="Z12" s="54">
        <v>1000</v>
      </c>
      <c r="AA12" s="25"/>
      <c r="AB12" s="25"/>
    </row>
    <row r="13" spans="2:35">
      <c r="B13" s="40">
        <v>0.3888888888888889</v>
      </c>
      <c r="C13" s="40" t="s">
        <v>334</v>
      </c>
      <c r="D13" s="41">
        <v>1</v>
      </c>
      <c r="E13" s="42">
        <v>1</v>
      </c>
      <c r="F13" s="42" t="s">
        <v>150</v>
      </c>
      <c r="G13" s="43" t="s">
        <v>156</v>
      </c>
      <c r="H13" s="42" t="s">
        <v>157</v>
      </c>
      <c r="I13" s="43">
        <v>1</v>
      </c>
      <c r="J13" s="43">
        <v>1</v>
      </c>
      <c r="K13" s="25" t="str">
        <f>VLOOKUP(J13,Key!$E$2:$F$9,2,FALSE)</f>
        <v>Home</v>
      </c>
      <c r="L13" s="42" t="s">
        <v>155</v>
      </c>
      <c r="M13" s="43" t="s">
        <v>156</v>
      </c>
      <c r="N13" s="42" t="s">
        <v>157</v>
      </c>
      <c r="O13" s="43">
        <v>2</v>
      </c>
      <c r="P13" s="43">
        <v>2</v>
      </c>
      <c r="Q13" s="25" t="str">
        <f>VLOOKUP(P13,Key!$E$2:$F$9,2,FALSE)</f>
        <v>Work</v>
      </c>
      <c r="R13" s="25" t="str">
        <f t="shared" si="0"/>
        <v>Home-Work</v>
      </c>
      <c r="S13" s="52">
        <v>3</v>
      </c>
      <c r="T13" s="52">
        <v>0.5</v>
      </c>
      <c r="U13" s="43">
        <v>2</v>
      </c>
      <c r="V13" s="43"/>
      <c r="W13" s="52"/>
      <c r="X13" s="52"/>
      <c r="Y13" s="53" t="s">
        <v>158</v>
      </c>
      <c r="Z13" s="54">
        <v>1000</v>
      </c>
      <c r="AA13" s="25"/>
      <c r="AB13" s="25"/>
    </row>
    <row r="14" spans="2:35">
      <c r="B14" s="40">
        <v>0.41597222222222219</v>
      </c>
      <c r="C14" s="40" t="s">
        <v>335</v>
      </c>
      <c r="D14" s="41">
        <v>7</v>
      </c>
      <c r="E14" s="42">
        <v>2</v>
      </c>
      <c r="F14" s="42" t="s">
        <v>247</v>
      </c>
      <c r="G14" s="43" t="s">
        <v>187</v>
      </c>
      <c r="H14" s="42" t="s">
        <v>157</v>
      </c>
      <c r="I14" s="43">
        <v>2</v>
      </c>
      <c r="J14" s="43">
        <v>2</v>
      </c>
      <c r="K14" s="25" t="str">
        <f>VLOOKUP(J14,Key!$E$2:$F$9,2,FALSE)</f>
        <v>Work</v>
      </c>
      <c r="L14" s="42" t="s">
        <v>150</v>
      </c>
      <c r="M14" s="43" t="s">
        <v>156</v>
      </c>
      <c r="N14" s="42" t="s">
        <v>157</v>
      </c>
      <c r="O14" s="43">
        <v>12</v>
      </c>
      <c r="P14" s="43">
        <v>4</v>
      </c>
      <c r="Q14" s="25" t="str">
        <f>VLOOKUP(P14,Key!$E$2:$F$9,2,FALSE)</f>
        <v>Commercial</v>
      </c>
      <c r="R14" s="25" t="str">
        <f t="shared" si="0"/>
        <v>Work-Commercial</v>
      </c>
      <c r="S14" s="52">
        <v>8</v>
      </c>
      <c r="T14" s="52">
        <v>1</v>
      </c>
      <c r="U14" s="43">
        <v>4</v>
      </c>
      <c r="V14" s="43">
        <v>11</v>
      </c>
      <c r="W14" s="52"/>
      <c r="X14" s="52"/>
      <c r="Y14" s="53" t="s">
        <v>158</v>
      </c>
      <c r="Z14" s="54">
        <v>1000</v>
      </c>
      <c r="AA14" s="25"/>
      <c r="AB14" s="25"/>
    </row>
    <row r="15" spans="2:35">
      <c r="B15" s="40">
        <v>0.42708333333333331</v>
      </c>
      <c r="C15" s="40" t="s">
        <v>336</v>
      </c>
      <c r="D15" s="41">
        <v>4</v>
      </c>
      <c r="E15" s="42">
        <v>2</v>
      </c>
      <c r="F15" s="42" t="s">
        <v>337</v>
      </c>
      <c r="G15" s="43" t="s">
        <v>197</v>
      </c>
      <c r="H15" s="42" t="s">
        <v>157</v>
      </c>
      <c r="I15" s="43">
        <v>2</v>
      </c>
      <c r="J15" s="43">
        <v>2</v>
      </c>
      <c r="K15" s="25" t="str">
        <f>VLOOKUP(J15,Key!$E$2:$F$9,2,FALSE)</f>
        <v>Work</v>
      </c>
      <c r="L15" s="42" t="s">
        <v>187</v>
      </c>
      <c r="M15" s="43" t="s">
        <v>156</v>
      </c>
      <c r="N15" s="42" t="s">
        <v>157</v>
      </c>
      <c r="O15" s="43">
        <v>2</v>
      </c>
      <c r="P15" s="43">
        <v>2</v>
      </c>
      <c r="Q15" s="25" t="str">
        <f>VLOOKUP(P15,Key!$E$2:$F$9,2,FALSE)</f>
        <v>Work</v>
      </c>
      <c r="R15" s="25" t="str">
        <f t="shared" si="0"/>
        <v>Work-Work</v>
      </c>
      <c r="S15" s="52">
        <v>120</v>
      </c>
      <c r="T15" s="52">
        <v>2</v>
      </c>
      <c r="U15" s="43">
        <v>2</v>
      </c>
      <c r="V15" s="43"/>
      <c r="W15" s="52"/>
      <c r="X15" s="52"/>
      <c r="Y15" s="53" t="s">
        <v>158</v>
      </c>
      <c r="Z15" s="54">
        <v>0</v>
      </c>
      <c r="AA15" s="25"/>
      <c r="AB15" s="25"/>
    </row>
    <row r="16" spans="2:35">
      <c r="B16" s="40">
        <v>0.4375</v>
      </c>
      <c r="C16" s="40" t="s">
        <v>338</v>
      </c>
      <c r="D16" s="41">
        <v>2</v>
      </c>
      <c r="E16" s="42">
        <v>1</v>
      </c>
      <c r="F16" s="42" t="s">
        <v>339</v>
      </c>
      <c r="G16" s="43" t="s">
        <v>187</v>
      </c>
      <c r="H16" s="42" t="s">
        <v>157</v>
      </c>
      <c r="I16" s="43">
        <v>1</v>
      </c>
      <c r="J16" s="43">
        <v>1</v>
      </c>
      <c r="K16" s="25" t="str">
        <f>VLOOKUP(J16,Key!$E$2:$F$9,2,FALSE)</f>
        <v>Home</v>
      </c>
      <c r="L16" s="42" t="s">
        <v>150</v>
      </c>
      <c r="M16" s="43" t="s">
        <v>156</v>
      </c>
      <c r="N16" s="42" t="s">
        <v>157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Home-Home</v>
      </c>
      <c r="S16" s="52">
        <v>10</v>
      </c>
      <c r="T16" s="52">
        <v>0.5</v>
      </c>
      <c r="U16" s="43">
        <v>2</v>
      </c>
      <c r="V16" s="43"/>
      <c r="W16" s="52"/>
      <c r="X16" s="52"/>
      <c r="Y16" s="53" t="s">
        <v>158</v>
      </c>
      <c r="Z16" s="54">
        <v>0</v>
      </c>
      <c r="AA16" s="25"/>
      <c r="AB16" s="25"/>
    </row>
    <row r="17" spans="2:28">
      <c r="B17" s="40">
        <v>0.44097222222222227</v>
      </c>
      <c r="C17" s="40" t="s">
        <v>340</v>
      </c>
      <c r="D17" s="41">
        <v>7</v>
      </c>
      <c r="E17" s="42">
        <v>6</v>
      </c>
      <c r="F17" s="42" t="s">
        <v>150</v>
      </c>
      <c r="G17" s="43" t="s">
        <v>156</v>
      </c>
      <c r="H17" s="42" t="s">
        <v>157</v>
      </c>
      <c r="I17" s="43">
        <v>2</v>
      </c>
      <c r="J17" s="43">
        <v>2</v>
      </c>
      <c r="K17" s="25" t="str">
        <f>VLOOKUP(J17,Key!$E$2:$F$9,2,FALSE)</f>
        <v>Work</v>
      </c>
      <c r="L17" s="42" t="s">
        <v>155</v>
      </c>
      <c r="M17" s="43" t="s">
        <v>156</v>
      </c>
      <c r="N17" s="42" t="s">
        <v>157</v>
      </c>
      <c r="O17" s="43">
        <v>16</v>
      </c>
      <c r="P17" s="43">
        <v>2</v>
      </c>
      <c r="Q17" s="25" t="str">
        <f>VLOOKUP(P17,Key!$E$2:$F$9,2,FALSE)</f>
        <v>Work</v>
      </c>
      <c r="R17" s="25" t="str">
        <f t="shared" si="0"/>
        <v>Work-Work</v>
      </c>
      <c r="S17" s="52">
        <v>1</v>
      </c>
      <c r="T17" s="52">
        <v>0.2</v>
      </c>
      <c r="U17" s="43">
        <v>1</v>
      </c>
      <c r="V17" s="43">
        <v>12</v>
      </c>
      <c r="W17" s="52">
        <v>0.5</v>
      </c>
      <c r="X17" s="52">
        <v>6</v>
      </c>
      <c r="Y17" s="53" t="s">
        <v>158</v>
      </c>
      <c r="Z17" s="54">
        <v>0</v>
      </c>
      <c r="AA17" s="25"/>
      <c r="AB17" s="25"/>
    </row>
    <row r="18" spans="2:28">
      <c r="B18" s="40">
        <v>0.45694444444444443</v>
      </c>
      <c r="C18" s="40" t="s">
        <v>341</v>
      </c>
      <c r="D18" s="41">
        <v>7</v>
      </c>
      <c r="E18" s="42">
        <v>2</v>
      </c>
      <c r="F18" s="42" t="s">
        <v>342</v>
      </c>
      <c r="G18" s="43" t="s">
        <v>187</v>
      </c>
      <c r="H18" s="42" t="s">
        <v>157</v>
      </c>
      <c r="I18" s="43">
        <v>16</v>
      </c>
      <c r="J18" s="43">
        <v>2</v>
      </c>
      <c r="K18" s="25" t="str">
        <f>VLOOKUP(J18,Key!$E$2:$F$9,2,FALSE)</f>
        <v>Work</v>
      </c>
      <c r="L18" s="42" t="s">
        <v>166</v>
      </c>
      <c r="M18" s="43" t="s">
        <v>156</v>
      </c>
      <c r="N18" s="42" t="s">
        <v>157</v>
      </c>
      <c r="O18" s="43">
        <v>16</v>
      </c>
      <c r="P18" s="43">
        <v>2</v>
      </c>
      <c r="Q18" s="25" t="str">
        <f>VLOOKUP(P18,Key!$E$2:$F$9,2,FALSE)</f>
        <v>Work</v>
      </c>
      <c r="R18" s="25" t="str">
        <f t="shared" si="0"/>
        <v>Work-Work</v>
      </c>
      <c r="S18" s="52">
        <v>6</v>
      </c>
      <c r="T18" s="52">
        <v>5</v>
      </c>
      <c r="U18" s="43">
        <v>3</v>
      </c>
      <c r="V18" s="43">
        <v>12</v>
      </c>
      <c r="W18" s="52">
        <v>0.5</v>
      </c>
      <c r="X18" s="52">
        <v>5</v>
      </c>
      <c r="Y18" s="53" t="s">
        <v>158</v>
      </c>
      <c r="Z18" s="54">
        <v>500</v>
      </c>
      <c r="AA18" s="25"/>
      <c r="AB18" s="25"/>
    </row>
    <row r="19" spans="2:28">
      <c r="B19" s="40">
        <v>0.45833333333333331</v>
      </c>
      <c r="C19" s="40" t="s">
        <v>343</v>
      </c>
      <c r="D19" s="41">
        <v>7</v>
      </c>
      <c r="E19" s="42">
        <v>2</v>
      </c>
      <c r="F19" s="42" t="s">
        <v>344</v>
      </c>
      <c r="G19" s="43" t="s">
        <v>345</v>
      </c>
      <c r="H19" s="42" t="s">
        <v>157</v>
      </c>
      <c r="I19" s="43">
        <v>2</v>
      </c>
      <c r="J19" s="43">
        <v>2</v>
      </c>
      <c r="K19" s="25" t="str">
        <f>VLOOKUP(J19,Key!$E$2:$F$9,2,FALSE)</f>
        <v>Work</v>
      </c>
      <c r="L19" s="42" t="s">
        <v>150</v>
      </c>
      <c r="M19" s="43" t="s">
        <v>156</v>
      </c>
      <c r="N19" s="42" t="s">
        <v>157</v>
      </c>
      <c r="O19" s="43">
        <v>2</v>
      </c>
      <c r="P19" s="43">
        <v>2</v>
      </c>
      <c r="Q19" s="25" t="str">
        <f>VLOOKUP(P19,Key!$E$2:$F$9,2,FALSE)</f>
        <v>Work</v>
      </c>
      <c r="R19" s="25" t="str">
        <f t="shared" si="0"/>
        <v>Work-Work</v>
      </c>
      <c r="S19" s="52">
        <v>28</v>
      </c>
      <c r="T19" s="52">
        <v>1</v>
      </c>
      <c r="U19" s="43">
        <v>1</v>
      </c>
      <c r="V19" s="43">
        <v>4</v>
      </c>
      <c r="W19" s="52">
        <v>1</v>
      </c>
      <c r="X19" s="52">
        <v>0.45</v>
      </c>
      <c r="Y19" s="53" t="s">
        <v>158</v>
      </c>
      <c r="Z19" s="54">
        <v>1000</v>
      </c>
      <c r="AA19" s="25"/>
      <c r="AB19" s="25"/>
    </row>
    <row r="20" spans="2:28">
      <c r="B20" s="40">
        <v>0.46180555555555558</v>
      </c>
      <c r="C20" s="40" t="s">
        <v>346</v>
      </c>
      <c r="D20" s="41">
        <v>1</v>
      </c>
      <c r="E20" s="42">
        <v>2</v>
      </c>
      <c r="F20" s="42" t="s">
        <v>150</v>
      </c>
      <c r="G20" s="43" t="s">
        <v>156</v>
      </c>
      <c r="H20" s="42" t="s">
        <v>157</v>
      </c>
      <c r="I20" s="43">
        <v>11</v>
      </c>
      <c r="J20" s="43">
        <v>4</v>
      </c>
      <c r="K20" s="25" t="str">
        <f>VLOOKUP(J20,Key!$E$2:$F$9,2,FALSE)</f>
        <v>Commercial</v>
      </c>
      <c r="L20" s="42" t="s">
        <v>207</v>
      </c>
      <c r="M20" s="43" t="s">
        <v>156</v>
      </c>
      <c r="N20" s="42" t="s">
        <v>157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Commercial-Home</v>
      </c>
      <c r="S20" s="52">
        <v>1.5</v>
      </c>
      <c r="T20" s="52">
        <v>0.5</v>
      </c>
      <c r="U20" s="43">
        <v>1</v>
      </c>
      <c r="V20" s="43"/>
      <c r="W20" s="52"/>
      <c r="X20" s="52"/>
      <c r="Y20" s="53" t="s">
        <v>158</v>
      </c>
      <c r="Z20" s="54">
        <v>1000</v>
      </c>
      <c r="AA20" s="25"/>
      <c r="AB20" s="25"/>
    </row>
    <row r="21" spans="2:28">
      <c r="B21" s="40">
        <v>0.47569444444444442</v>
      </c>
      <c r="C21" s="40" t="s">
        <v>347</v>
      </c>
      <c r="D21" s="41">
        <v>7</v>
      </c>
      <c r="E21" s="42">
        <v>2</v>
      </c>
      <c r="F21" s="42" t="s">
        <v>150</v>
      </c>
      <c r="G21" s="43" t="s">
        <v>156</v>
      </c>
      <c r="H21" s="42" t="s">
        <v>157</v>
      </c>
      <c r="I21" s="43">
        <v>2</v>
      </c>
      <c r="J21" s="43">
        <v>2</v>
      </c>
      <c r="K21" s="25" t="str">
        <f>VLOOKUP(J21,Key!$E$2:$F$9,2,FALSE)</f>
        <v>Work</v>
      </c>
      <c r="L21" s="42" t="s">
        <v>155</v>
      </c>
      <c r="M21" s="43" t="s">
        <v>156</v>
      </c>
      <c r="N21" s="42" t="s">
        <v>157</v>
      </c>
      <c r="O21" s="43">
        <v>16</v>
      </c>
      <c r="P21" s="43">
        <v>2</v>
      </c>
      <c r="Q21" s="25" t="str">
        <f>VLOOKUP(P21,Key!$E$2:$F$9,2,FALSE)</f>
        <v>Work</v>
      </c>
      <c r="R21" s="25" t="str">
        <f t="shared" si="0"/>
        <v>Work-Work</v>
      </c>
      <c r="S21" s="52">
        <v>1</v>
      </c>
      <c r="T21" s="52">
        <v>0.1</v>
      </c>
      <c r="U21" s="43">
        <v>1</v>
      </c>
      <c r="V21" s="43">
        <v>6</v>
      </c>
      <c r="W21" s="52">
        <v>0.5</v>
      </c>
      <c r="X21" s="52">
        <v>3</v>
      </c>
      <c r="Y21" s="53" t="s">
        <v>158</v>
      </c>
      <c r="Z21" s="54">
        <v>0</v>
      </c>
      <c r="AA21" s="25"/>
      <c r="AB21" s="25"/>
    </row>
    <row r="22" spans="2:28">
      <c r="B22" s="40">
        <v>0.48958333333333331</v>
      </c>
      <c r="C22" s="40" t="s">
        <v>348</v>
      </c>
      <c r="D22" s="41">
        <v>1</v>
      </c>
      <c r="E22" s="42">
        <v>1</v>
      </c>
      <c r="F22" s="42" t="s">
        <v>224</v>
      </c>
      <c r="G22" s="43" t="s">
        <v>224</v>
      </c>
      <c r="H22" s="42" t="s">
        <v>157</v>
      </c>
      <c r="I22" s="43">
        <v>2</v>
      </c>
      <c r="J22" s="43">
        <v>2</v>
      </c>
      <c r="K22" s="25" t="str">
        <f>VLOOKUP(J22,Key!$E$2:$F$9,2,FALSE)</f>
        <v>Work</v>
      </c>
      <c r="L22" s="42" t="s">
        <v>155</v>
      </c>
      <c r="M22" s="43" t="s">
        <v>156</v>
      </c>
      <c r="N22" s="42" t="s">
        <v>157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52">
        <v>2</v>
      </c>
      <c r="T22" s="52">
        <v>1</v>
      </c>
      <c r="U22" s="43">
        <v>1</v>
      </c>
      <c r="V22" s="43"/>
      <c r="W22" s="52"/>
      <c r="X22" s="52"/>
      <c r="Y22" s="53" t="s">
        <v>158</v>
      </c>
      <c r="Z22" s="54">
        <v>1000</v>
      </c>
      <c r="AA22" s="25"/>
      <c r="AB22" s="25"/>
    </row>
    <row r="23" spans="2:28">
      <c r="B23" s="40">
        <v>0.49652777777777773</v>
      </c>
      <c r="C23" s="40" t="s">
        <v>349</v>
      </c>
      <c r="D23" s="41">
        <v>7</v>
      </c>
      <c r="E23" s="42">
        <v>3</v>
      </c>
      <c r="F23" s="42" t="s">
        <v>350</v>
      </c>
      <c r="G23" s="43" t="s">
        <v>350</v>
      </c>
      <c r="H23" s="42" t="s">
        <v>157</v>
      </c>
      <c r="I23" s="43">
        <v>16</v>
      </c>
      <c r="J23" s="43">
        <v>2</v>
      </c>
      <c r="K23" s="25" t="str">
        <f>VLOOKUP(J23,Key!$E$2:$F$9,2,FALSE)</f>
        <v>Work</v>
      </c>
      <c r="L23" s="42" t="s">
        <v>160</v>
      </c>
      <c r="M23" s="43" t="s">
        <v>156</v>
      </c>
      <c r="N23" s="42" t="s">
        <v>157</v>
      </c>
      <c r="O23" s="43">
        <v>16</v>
      </c>
      <c r="P23" s="43">
        <v>2</v>
      </c>
      <c r="Q23" s="25" t="str">
        <f>VLOOKUP(P23,Key!$E$2:$F$9,2,FALSE)</f>
        <v>Work</v>
      </c>
      <c r="R23" s="25" t="str">
        <f t="shared" si="0"/>
        <v>Work-Work</v>
      </c>
      <c r="S23" s="52">
        <v>175</v>
      </c>
      <c r="T23" s="52">
        <v>6</v>
      </c>
      <c r="U23" s="43">
        <v>4</v>
      </c>
      <c r="V23" s="43">
        <v>6</v>
      </c>
      <c r="W23" s="52">
        <v>1.5</v>
      </c>
      <c r="X23" s="52">
        <v>0.8</v>
      </c>
      <c r="Y23" s="53" t="s">
        <v>158</v>
      </c>
      <c r="Z23" s="54">
        <v>2000</v>
      </c>
      <c r="AA23" s="25"/>
      <c r="AB23" s="25"/>
    </row>
    <row r="24" spans="2:28">
      <c r="B24" s="40">
        <v>0.50347222222222221</v>
      </c>
      <c r="C24" s="40" t="s">
        <v>351</v>
      </c>
      <c r="D24" s="41">
        <v>4</v>
      </c>
      <c r="E24" s="42">
        <v>14</v>
      </c>
      <c r="F24" s="42" t="s">
        <v>352</v>
      </c>
      <c r="G24" s="43" t="s">
        <v>156</v>
      </c>
      <c r="H24" s="42" t="s">
        <v>157</v>
      </c>
      <c r="I24" s="43">
        <v>4</v>
      </c>
      <c r="J24" s="43">
        <v>2</v>
      </c>
      <c r="K24" s="25" t="str">
        <f>VLOOKUP(J24,Key!$E$2:$F$9,2,FALSE)</f>
        <v>Work</v>
      </c>
      <c r="L24" s="42" t="s">
        <v>207</v>
      </c>
      <c r="M24" s="43" t="s">
        <v>156</v>
      </c>
      <c r="N24" s="42" t="s">
        <v>157</v>
      </c>
      <c r="O24" s="43">
        <v>4</v>
      </c>
      <c r="P24" s="43">
        <v>2</v>
      </c>
      <c r="Q24" s="25" t="str">
        <f>VLOOKUP(P24,Key!$E$2:$F$9,2,FALSE)</f>
        <v>Work</v>
      </c>
      <c r="R24" s="25" t="str">
        <f t="shared" si="0"/>
        <v>Work-Work</v>
      </c>
      <c r="S24" s="52">
        <v>10</v>
      </c>
      <c r="T24" s="52">
        <v>0.7</v>
      </c>
      <c r="U24" s="43">
        <v>1</v>
      </c>
      <c r="V24" s="43"/>
      <c r="W24" s="52"/>
      <c r="X24" s="52"/>
      <c r="Y24" s="53" t="s">
        <v>158</v>
      </c>
      <c r="Z24" s="54">
        <v>0</v>
      </c>
      <c r="AA24" s="25"/>
      <c r="AB24" s="25"/>
    </row>
    <row r="25" spans="2:28">
      <c r="B25" s="40">
        <v>0.51388888888888895</v>
      </c>
      <c r="C25" s="40" t="s">
        <v>353</v>
      </c>
      <c r="D25" s="41">
        <v>2</v>
      </c>
      <c r="E25" s="42">
        <v>2</v>
      </c>
      <c r="F25" s="42" t="s">
        <v>187</v>
      </c>
      <c r="G25" s="43" t="s">
        <v>187</v>
      </c>
      <c r="H25" s="42" t="s">
        <v>157</v>
      </c>
      <c r="I25" s="43">
        <v>2</v>
      </c>
      <c r="J25" s="43">
        <v>2</v>
      </c>
      <c r="K25" s="25" t="str">
        <f>VLOOKUP(J25,Key!$E$2:$F$9,2,FALSE)</f>
        <v>Work</v>
      </c>
      <c r="L25" s="42" t="s">
        <v>155</v>
      </c>
      <c r="M25" s="43" t="s">
        <v>156</v>
      </c>
      <c r="N25" s="42" t="s">
        <v>157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52">
        <v>10</v>
      </c>
      <c r="T25" s="52">
        <v>0.2</v>
      </c>
      <c r="U25" s="43">
        <v>1</v>
      </c>
      <c r="V25" s="43"/>
      <c r="W25" s="52"/>
      <c r="X25" s="52"/>
      <c r="Y25" s="53" t="s">
        <v>158</v>
      </c>
      <c r="Z25" s="54">
        <v>0</v>
      </c>
      <c r="AA25" s="25"/>
      <c r="AB25" s="25"/>
    </row>
    <row r="26" spans="2:28">
      <c r="B26" s="40">
        <v>0.51527777777777783</v>
      </c>
      <c r="C26" s="40" t="s">
        <v>354</v>
      </c>
      <c r="D26" s="41">
        <v>4</v>
      </c>
      <c r="E26" s="42">
        <v>2</v>
      </c>
      <c r="F26" s="42" t="s">
        <v>162</v>
      </c>
      <c r="G26" s="43" t="s">
        <v>156</v>
      </c>
      <c r="H26" s="42" t="s">
        <v>157</v>
      </c>
      <c r="I26" s="43">
        <v>16</v>
      </c>
      <c r="J26" s="43">
        <v>2</v>
      </c>
      <c r="K26" s="25" t="str">
        <f>VLOOKUP(J26,Key!$E$2:$F$9,2,FALSE)</f>
        <v>Work</v>
      </c>
      <c r="L26" s="42" t="s">
        <v>207</v>
      </c>
      <c r="M26" s="43" t="s">
        <v>156</v>
      </c>
      <c r="N26" s="42" t="s">
        <v>157</v>
      </c>
      <c r="O26" s="43">
        <v>6</v>
      </c>
      <c r="P26" s="43">
        <v>2</v>
      </c>
      <c r="Q26" s="25" t="str">
        <f>VLOOKUP(P26,Key!$E$2:$F$9,2,FALSE)</f>
        <v>Work</v>
      </c>
      <c r="R26" s="25" t="str">
        <f t="shared" si="0"/>
        <v>Work-Work</v>
      </c>
      <c r="S26" s="52">
        <v>2</v>
      </c>
      <c r="T26" s="52">
        <v>0.5</v>
      </c>
      <c r="U26" s="43">
        <v>1</v>
      </c>
      <c r="V26" s="43"/>
      <c r="W26" s="52"/>
      <c r="X26" s="52"/>
      <c r="Y26" s="53" t="s">
        <v>158</v>
      </c>
      <c r="Z26" s="54">
        <v>0</v>
      </c>
      <c r="AA26" s="25"/>
      <c r="AB26" s="25"/>
    </row>
    <row r="27" spans="2:28">
      <c r="B27" s="40">
        <v>0.52777777777777779</v>
      </c>
      <c r="C27" s="40" t="s">
        <v>355</v>
      </c>
      <c r="D27" s="41">
        <v>1</v>
      </c>
      <c r="E27" s="42">
        <v>1</v>
      </c>
      <c r="F27" s="42" t="s">
        <v>150</v>
      </c>
      <c r="G27" s="43" t="s">
        <v>156</v>
      </c>
      <c r="H27" s="42" t="s">
        <v>157</v>
      </c>
      <c r="I27" s="43">
        <v>11</v>
      </c>
      <c r="J27" s="43">
        <v>4</v>
      </c>
      <c r="K27" s="25" t="str">
        <f>VLOOKUP(J27,Key!$E$2:$F$9,2,FALSE)</f>
        <v>Commercial</v>
      </c>
      <c r="L27" s="42" t="s">
        <v>155</v>
      </c>
      <c r="M27" s="43" t="s">
        <v>156</v>
      </c>
      <c r="N27" s="42" t="s">
        <v>157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Commercial-Home</v>
      </c>
      <c r="S27" s="52">
        <v>0.5</v>
      </c>
      <c r="T27" s="52">
        <v>0.1</v>
      </c>
      <c r="U27" s="43">
        <v>1</v>
      </c>
      <c r="V27" s="43"/>
      <c r="W27" s="52"/>
      <c r="X27" s="52"/>
      <c r="Y27" s="53" t="s">
        <v>158</v>
      </c>
      <c r="Z27" s="54">
        <v>0</v>
      </c>
      <c r="AA27" s="25"/>
      <c r="AB27" s="25"/>
    </row>
    <row r="28" spans="2:28">
      <c r="B28" s="40">
        <v>0.53125</v>
      </c>
      <c r="C28" s="40" t="s">
        <v>356</v>
      </c>
      <c r="D28" s="41">
        <v>2</v>
      </c>
      <c r="E28" s="42">
        <v>4</v>
      </c>
      <c r="F28" s="42" t="s">
        <v>339</v>
      </c>
      <c r="G28" s="43" t="s">
        <v>187</v>
      </c>
      <c r="H28" s="42" t="s">
        <v>157</v>
      </c>
      <c r="I28" s="43">
        <v>12</v>
      </c>
      <c r="J28" s="43">
        <v>4</v>
      </c>
      <c r="K28" s="25" t="str">
        <f>VLOOKUP(J28,Key!$E$2:$F$9,2,FALSE)</f>
        <v>Commercial</v>
      </c>
      <c r="L28" s="42" t="s">
        <v>155</v>
      </c>
      <c r="M28" s="43" t="s">
        <v>156</v>
      </c>
      <c r="N28" s="42" t="s">
        <v>157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Commercial-Home</v>
      </c>
      <c r="S28" s="52">
        <v>2</v>
      </c>
      <c r="T28" s="52">
        <v>0.7</v>
      </c>
      <c r="U28" s="43">
        <v>1</v>
      </c>
      <c r="V28" s="43"/>
      <c r="W28" s="52"/>
      <c r="X28" s="52"/>
      <c r="Y28" s="53" t="s">
        <v>158</v>
      </c>
      <c r="Z28" s="54">
        <v>1000</v>
      </c>
      <c r="AA28" s="25"/>
      <c r="AB28" s="25"/>
    </row>
    <row r="29" spans="2:28">
      <c r="B29" s="40">
        <v>0.53263888888888888</v>
      </c>
      <c r="C29" s="40" t="s">
        <v>357</v>
      </c>
      <c r="D29" s="41">
        <v>2</v>
      </c>
      <c r="E29" s="42">
        <v>2</v>
      </c>
      <c r="F29" s="42" t="s">
        <v>339</v>
      </c>
      <c r="G29" s="43" t="s">
        <v>187</v>
      </c>
      <c r="H29" s="42" t="s">
        <v>157</v>
      </c>
      <c r="I29" s="43">
        <v>7</v>
      </c>
      <c r="J29" s="43">
        <v>4</v>
      </c>
      <c r="K29" s="25" t="str">
        <f>VLOOKUP(J29,Key!$E$2:$F$9,2,FALSE)</f>
        <v>Commercial</v>
      </c>
      <c r="L29" s="42" t="s">
        <v>150</v>
      </c>
      <c r="M29" s="43" t="s">
        <v>156</v>
      </c>
      <c r="N29" s="42" t="s">
        <v>157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Commercial-Home</v>
      </c>
      <c r="S29" s="52">
        <v>10</v>
      </c>
      <c r="T29" s="52">
        <v>0.7</v>
      </c>
      <c r="U29" s="43">
        <v>1</v>
      </c>
      <c r="V29" s="43"/>
      <c r="W29" s="52"/>
      <c r="X29" s="52"/>
      <c r="Y29" s="53" t="s">
        <v>158</v>
      </c>
      <c r="Z29" s="54">
        <v>1000</v>
      </c>
      <c r="AA29" s="25"/>
      <c r="AB29" s="25"/>
    </row>
    <row r="30" spans="2:28">
      <c r="B30" s="40">
        <v>0.53472222222222221</v>
      </c>
      <c r="C30" s="40" t="s">
        <v>358</v>
      </c>
      <c r="D30" s="41">
        <v>1</v>
      </c>
      <c r="E30" s="42">
        <v>1</v>
      </c>
      <c r="F30" s="42" t="s">
        <v>247</v>
      </c>
      <c r="G30" s="43" t="s">
        <v>187</v>
      </c>
      <c r="H30" s="42" t="s">
        <v>157</v>
      </c>
      <c r="I30" s="43">
        <v>7</v>
      </c>
      <c r="J30" s="43">
        <v>4</v>
      </c>
      <c r="K30" s="25" t="str">
        <f>VLOOKUP(J30,Key!$E$2:$F$9,2,FALSE)</f>
        <v>Commercial</v>
      </c>
      <c r="L30" s="42" t="s">
        <v>150</v>
      </c>
      <c r="M30" s="43" t="s">
        <v>156</v>
      </c>
      <c r="N30" s="42" t="s">
        <v>157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Commercial-Home</v>
      </c>
      <c r="S30" s="52">
        <v>20</v>
      </c>
      <c r="T30" s="52">
        <v>1</v>
      </c>
      <c r="U30" s="43">
        <v>1</v>
      </c>
      <c r="V30" s="43"/>
      <c r="W30" s="52"/>
      <c r="X30" s="52"/>
      <c r="Y30" s="53" t="s">
        <v>158</v>
      </c>
      <c r="Z30" s="54">
        <v>0</v>
      </c>
      <c r="AA30" s="25"/>
      <c r="AB30" s="25"/>
    </row>
    <row r="31" spans="2:28">
      <c r="B31" s="40">
        <v>0.54166666666666663</v>
      </c>
      <c r="C31" s="40" t="s">
        <v>359</v>
      </c>
      <c r="D31" s="41">
        <v>2</v>
      </c>
      <c r="E31" s="42">
        <v>4</v>
      </c>
      <c r="F31" s="42" t="s">
        <v>150</v>
      </c>
      <c r="G31" s="43" t="s">
        <v>156</v>
      </c>
      <c r="H31" s="42" t="s">
        <v>157</v>
      </c>
      <c r="I31" s="43">
        <v>1</v>
      </c>
      <c r="J31" s="43">
        <v>1</v>
      </c>
      <c r="K31" s="25" t="str">
        <f>VLOOKUP(J31,Key!$E$2:$F$9,2,FALSE)</f>
        <v>Home</v>
      </c>
      <c r="L31" s="42" t="s">
        <v>207</v>
      </c>
      <c r="M31" s="43" t="s">
        <v>156</v>
      </c>
      <c r="N31" s="42" t="s">
        <v>157</v>
      </c>
      <c r="O31" s="43">
        <v>2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52">
        <v>10</v>
      </c>
      <c r="T31" s="52">
        <v>0.5</v>
      </c>
      <c r="U31" s="43">
        <v>1</v>
      </c>
      <c r="V31" s="43"/>
      <c r="W31" s="52"/>
      <c r="X31" s="52"/>
      <c r="Y31" s="53" t="s">
        <v>158</v>
      </c>
      <c r="Z31" s="54">
        <v>1000</v>
      </c>
      <c r="AA31" s="25"/>
      <c r="AB31" s="25"/>
    </row>
    <row r="32" spans="2:28">
      <c r="B32" s="40">
        <v>0.53819444444444442</v>
      </c>
      <c r="C32" s="40" t="s">
        <v>360</v>
      </c>
      <c r="D32" s="41">
        <v>1</v>
      </c>
      <c r="E32" s="42">
        <v>2</v>
      </c>
      <c r="F32" s="42" t="s">
        <v>187</v>
      </c>
      <c r="G32" s="43" t="s">
        <v>187</v>
      </c>
      <c r="H32" s="42" t="s">
        <v>157</v>
      </c>
      <c r="I32" s="43">
        <v>2</v>
      </c>
      <c r="J32" s="43">
        <v>2</v>
      </c>
      <c r="K32" s="25" t="str">
        <f>VLOOKUP(J32,Key!$E$2:$F$9,2,FALSE)</f>
        <v>Work</v>
      </c>
      <c r="L32" s="42" t="s">
        <v>160</v>
      </c>
      <c r="M32" s="43" t="s">
        <v>156</v>
      </c>
      <c r="N32" s="42" t="s">
        <v>157</v>
      </c>
      <c r="O32" s="43">
        <v>2</v>
      </c>
      <c r="P32" s="43">
        <v>2</v>
      </c>
      <c r="Q32" s="25" t="str">
        <f>VLOOKUP(P32,Key!$E$2:$F$9,2,FALSE)</f>
        <v>Work</v>
      </c>
      <c r="R32" s="25" t="str">
        <f t="shared" si="0"/>
        <v>Work-Work</v>
      </c>
      <c r="S32" s="52">
        <v>10</v>
      </c>
      <c r="T32" s="52">
        <v>0.1</v>
      </c>
      <c r="U32" s="43">
        <v>3</v>
      </c>
      <c r="V32" s="43"/>
      <c r="W32" s="52"/>
      <c r="X32" s="52"/>
      <c r="Y32" s="53" t="s">
        <v>158</v>
      </c>
      <c r="Z32" s="54">
        <v>0</v>
      </c>
      <c r="AA32" s="25"/>
      <c r="AB32" s="25"/>
    </row>
    <row r="33" spans="2:28">
      <c r="B33" s="40">
        <v>0.54513888888888895</v>
      </c>
      <c r="C33" s="40" t="s">
        <v>361</v>
      </c>
      <c r="D33" s="41">
        <v>7</v>
      </c>
      <c r="E33" s="42">
        <v>3</v>
      </c>
      <c r="F33" s="42" t="s">
        <v>150</v>
      </c>
      <c r="G33" s="43" t="s">
        <v>156</v>
      </c>
      <c r="H33" s="42" t="s">
        <v>157</v>
      </c>
      <c r="I33" s="43">
        <v>12</v>
      </c>
      <c r="J33" s="43">
        <v>2</v>
      </c>
      <c r="K33" s="25" t="str">
        <f>VLOOKUP(J33,Key!$E$2:$F$9,2,FALSE)</f>
        <v>Work</v>
      </c>
      <c r="L33" s="42" t="s">
        <v>155</v>
      </c>
      <c r="M33" s="43" t="s">
        <v>156</v>
      </c>
      <c r="N33" s="42" t="s">
        <v>157</v>
      </c>
      <c r="O33" s="43">
        <v>10</v>
      </c>
      <c r="P33" s="43">
        <v>4</v>
      </c>
      <c r="Q33" s="25" t="str">
        <f>VLOOKUP(P33,Key!$E$2:$F$9,2,FALSE)</f>
        <v>Commercial</v>
      </c>
      <c r="R33" s="25" t="str">
        <f t="shared" si="0"/>
        <v>Work-Commercial</v>
      </c>
      <c r="S33" s="52">
        <v>0.5</v>
      </c>
      <c r="T33" s="52">
        <v>0.1</v>
      </c>
      <c r="U33" s="43">
        <v>3</v>
      </c>
      <c r="V33" s="43">
        <v>4</v>
      </c>
      <c r="W33" s="52">
        <v>1</v>
      </c>
      <c r="X33" s="52">
        <v>8</v>
      </c>
      <c r="Y33" s="53" t="s">
        <v>158</v>
      </c>
      <c r="Z33" s="54">
        <v>1000</v>
      </c>
      <c r="AA33" s="25"/>
      <c r="AB33" s="25"/>
    </row>
    <row r="34" spans="2:28">
      <c r="B34" s="40">
        <v>0.54861111111111105</v>
      </c>
      <c r="C34" s="40" t="s">
        <v>362</v>
      </c>
      <c r="D34" s="41">
        <v>2</v>
      </c>
      <c r="E34" s="42">
        <v>2</v>
      </c>
      <c r="F34" s="42" t="s">
        <v>162</v>
      </c>
      <c r="G34" s="43" t="s">
        <v>156</v>
      </c>
      <c r="H34" s="42" t="s">
        <v>157</v>
      </c>
      <c r="I34" s="43">
        <v>2</v>
      </c>
      <c r="J34" s="43">
        <v>2</v>
      </c>
      <c r="K34" s="25" t="str">
        <f>VLOOKUP(J34,Key!$E$2:$F$9,2,FALSE)</f>
        <v>Work</v>
      </c>
      <c r="L34" s="42" t="s">
        <v>160</v>
      </c>
      <c r="M34" s="43" t="s">
        <v>156</v>
      </c>
      <c r="N34" s="42" t="s">
        <v>157</v>
      </c>
      <c r="O34" s="43">
        <v>2</v>
      </c>
      <c r="P34" s="43">
        <v>2</v>
      </c>
      <c r="Q34" s="25" t="str">
        <f>VLOOKUP(P34,Key!$E$2:$F$9,2,FALSE)</f>
        <v>Work</v>
      </c>
      <c r="R34" s="25" t="str">
        <f t="shared" si="0"/>
        <v>Work-Work</v>
      </c>
      <c r="S34" s="52">
        <v>4</v>
      </c>
      <c r="T34" s="52">
        <v>0.5</v>
      </c>
      <c r="U34" s="43">
        <v>1</v>
      </c>
      <c r="V34" s="43"/>
      <c r="W34" s="52"/>
      <c r="X34" s="52"/>
      <c r="Y34" s="53" t="s">
        <v>158</v>
      </c>
      <c r="Z34" s="54">
        <v>0</v>
      </c>
      <c r="AA34" s="25"/>
      <c r="AB34" s="25"/>
    </row>
    <row r="35" spans="2:28">
      <c r="B35" s="40">
        <v>0.55208333333333337</v>
      </c>
      <c r="C35" s="40" t="s">
        <v>363</v>
      </c>
      <c r="D35" s="41">
        <v>1</v>
      </c>
      <c r="E35" s="42">
        <v>1</v>
      </c>
      <c r="F35" s="42" t="s">
        <v>162</v>
      </c>
      <c r="G35" s="43" t="s">
        <v>156</v>
      </c>
      <c r="H35" s="42" t="s">
        <v>157</v>
      </c>
      <c r="I35" s="43">
        <v>1</v>
      </c>
      <c r="J35" s="43">
        <v>1</v>
      </c>
      <c r="K35" s="25" t="str">
        <f>VLOOKUP(J35,Key!$E$2:$F$9,2,FALSE)</f>
        <v>Home</v>
      </c>
      <c r="L35" s="42" t="s">
        <v>364</v>
      </c>
      <c r="M35" s="43" t="s">
        <v>156</v>
      </c>
      <c r="N35" s="42" t="s">
        <v>157</v>
      </c>
      <c r="O35" s="43">
        <v>2</v>
      </c>
      <c r="P35" s="43">
        <v>2</v>
      </c>
      <c r="Q35" s="25" t="str">
        <f>VLOOKUP(P35,Key!$E$2:$F$9,2,FALSE)</f>
        <v>Work</v>
      </c>
      <c r="R35" s="25" t="str">
        <f t="shared" si="0"/>
        <v>Home-Work</v>
      </c>
      <c r="S35" s="52">
        <v>10</v>
      </c>
      <c r="T35" s="52">
        <v>1</v>
      </c>
      <c r="U35" s="43">
        <v>3</v>
      </c>
      <c r="V35" s="43"/>
      <c r="W35" s="52"/>
      <c r="X35" s="52"/>
      <c r="Y35" s="53" t="s">
        <v>158</v>
      </c>
      <c r="Z35" s="54">
        <v>3000</v>
      </c>
      <c r="AA35" s="25"/>
      <c r="AB35" s="25"/>
    </row>
    <row r="36" spans="2:28">
      <c r="B36" s="40">
        <v>0.54999999999999993</v>
      </c>
      <c r="C36" s="40" t="s">
        <v>365</v>
      </c>
      <c r="D36" s="41">
        <v>4</v>
      </c>
      <c r="E36" s="42">
        <v>2</v>
      </c>
      <c r="F36" s="42" t="s">
        <v>150</v>
      </c>
      <c r="G36" s="43" t="s">
        <v>156</v>
      </c>
      <c r="H36" s="42" t="s">
        <v>157</v>
      </c>
      <c r="I36" s="43">
        <v>16</v>
      </c>
      <c r="J36" s="43">
        <v>2</v>
      </c>
      <c r="K36" s="25" t="str">
        <f>VLOOKUP(J36,Key!$E$2:$F$9,2,FALSE)</f>
        <v>Work</v>
      </c>
      <c r="L36" s="42" t="s">
        <v>207</v>
      </c>
      <c r="M36" s="43" t="s">
        <v>156</v>
      </c>
      <c r="N36" s="42" t="s">
        <v>157</v>
      </c>
      <c r="O36" s="43">
        <v>6</v>
      </c>
      <c r="P36" s="43">
        <v>4</v>
      </c>
      <c r="Q36" s="25" t="str">
        <f>VLOOKUP(P36,Key!$E$2:$F$9,2,FALSE)</f>
        <v>Commercial</v>
      </c>
      <c r="R36" s="25" t="str">
        <f t="shared" si="0"/>
        <v>Work-Commercial</v>
      </c>
      <c r="S36" s="52">
        <v>6</v>
      </c>
      <c r="T36" s="52">
        <v>0.3</v>
      </c>
      <c r="U36" s="43">
        <v>1</v>
      </c>
      <c r="V36" s="43"/>
      <c r="W36" s="52"/>
      <c r="X36" s="52"/>
      <c r="Y36" s="53" t="s">
        <v>158</v>
      </c>
      <c r="Z36" s="54">
        <v>0</v>
      </c>
      <c r="AA36" s="25"/>
      <c r="AB36" s="25"/>
    </row>
    <row r="37" spans="2:28">
      <c r="B37" s="40">
        <v>0.55486111111111114</v>
      </c>
      <c r="C37" s="40" t="s">
        <v>366</v>
      </c>
      <c r="D37" s="41">
        <v>4</v>
      </c>
      <c r="E37" s="42">
        <v>3</v>
      </c>
      <c r="F37" s="42" t="s">
        <v>150</v>
      </c>
      <c r="G37" s="43" t="s">
        <v>156</v>
      </c>
      <c r="H37" s="42" t="s">
        <v>157</v>
      </c>
      <c r="I37" s="43">
        <v>16</v>
      </c>
      <c r="J37" s="43">
        <v>2</v>
      </c>
      <c r="K37" s="25" t="str">
        <f>VLOOKUP(J37,Key!$E$2:$F$9,2,FALSE)</f>
        <v>Work</v>
      </c>
      <c r="L37" s="42" t="s">
        <v>207</v>
      </c>
      <c r="M37" s="43" t="s">
        <v>156</v>
      </c>
      <c r="N37" s="42" t="s">
        <v>157</v>
      </c>
      <c r="O37" s="43">
        <v>6</v>
      </c>
      <c r="P37" s="43">
        <v>2</v>
      </c>
      <c r="Q37" s="25" t="str">
        <f>VLOOKUP(P37,Key!$E$2:$F$9,2,FALSE)</f>
        <v>Work</v>
      </c>
      <c r="R37" s="25" t="str">
        <f t="shared" si="0"/>
        <v>Work-Work</v>
      </c>
      <c r="S37" s="52">
        <v>6</v>
      </c>
      <c r="T37" s="52">
        <v>0.2</v>
      </c>
      <c r="U37" s="52">
        <v>1</v>
      </c>
      <c r="V37" s="43"/>
      <c r="W37" s="52"/>
      <c r="X37" s="52"/>
      <c r="Y37" s="53" t="s">
        <v>158</v>
      </c>
      <c r="Z37" s="54">
        <v>0</v>
      </c>
      <c r="AA37" s="25"/>
      <c r="AB37" s="25"/>
    </row>
    <row r="38" spans="2:28">
      <c r="B38" s="40">
        <v>0.55763888888888891</v>
      </c>
      <c r="C38" s="40" t="s">
        <v>367</v>
      </c>
      <c r="D38" s="44">
        <v>1</v>
      </c>
      <c r="E38" s="42">
        <v>2</v>
      </c>
      <c r="F38" s="42" t="s">
        <v>339</v>
      </c>
      <c r="G38" s="43" t="s">
        <v>187</v>
      </c>
      <c r="H38" s="42" t="s">
        <v>157</v>
      </c>
      <c r="I38" s="43">
        <v>2</v>
      </c>
      <c r="J38" s="43">
        <v>2</v>
      </c>
      <c r="K38" s="25" t="str">
        <f>VLOOKUP(J38,Key!$E$2:$F$9,2,FALSE)</f>
        <v>Work</v>
      </c>
      <c r="L38" s="42" t="s">
        <v>155</v>
      </c>
      <c r="M38" s="43" t="s">
        <v>156</v>
      </c>
      <c r="N38" s="42" t="s">
        <v>157</v>
      </c>
      <c r="O38" s="51">
        <v>2</v>
      </c>
      <c r="P38" s="51">
        <v>2</v>
      </c>
      <c r="Q38" s="25" t="str">
        <f>VLOOKUP(P38,Key!$E$2:$F$9,2,FALSE)</f>
        <v>Work</v>
      </c>
      <c r="R38" s="25" t="str">
        <f t="shared" ref="R38:R101" si="1">K38&amp;"-"&amp;Q38</f>
        <v>Work-Work</v>
      </c>
      <c r="S38" s="52">
        <v>10</v>
      </c>
      <c r="T38" s="52">
        <v>0.7</v>
      </c>
      <c r="U38" s="52">
        <v>3</v>
      </c>
      <c r="V38" s="51"/>
      <c r="W38" s="51"/>
      <c r="X38" s="51"/>
      <c r="Y38" s="53" t="s">
        <v>158</v>
      </c>
      <c r="Z38" s="54">
        <v>2000</v>
      </c>
      <c r="AA38" s="25"/>
      <c r="AB38" s="25"/>
    </row>
    <row r="39" spans="2:28">
      <c r="B39" s="40">
        <v>0.55902777777777779</v>
      </c>
      <c r="C39" s="40" t="s">
        <v>368</v>
      </c>
      <c r="D39" s="45">
        <v>1</v>
      </c>
      <c r="E39" s="42">
        <v>1</v>
      </c>
      <c r="F39" s="42" t="s">
        <v>162</v>
      </c>
      <c r="G39" s="43" t="s">
        <v>156</v>
      </c>
      <c r="H39" s="42" t="s">
        <v>157</v>
      </c>
      <c r="I39" s="43">
        <v>2</v>
      </c>
      <c r="J39" s="43">
        <v>2</v>
      </c>
      <c r="K39" s="25" t="str">
        <f>VLOOKUP(J39,Key!$E$2:$F$9,2,FALSE)</f>
        <v>Work</v>
      </c>
      <c r="L39" s="42" t="s">
        <v>160</v>
      </c>
      <c r="M39" s="43" t="s">
        <v>156</v>
      </c>
      <c r="N39" s="42" t="s">
        <v>157</v>
      </c>
      <c r="O39" s="51">
        <v>4</v>
      </c>
      <c r="P39" s="51">
        <v>4</v>
      </c>
      <c r="Q39" s="25" t="str">
        <f>VLOOKUP(P39,Key!$E$2:$F$9,2,FALSE)</f>
        <v>Commercial</v>
      </c>
      <c r="R39" s="25" t="str">
        <f t="shared" si="1"/>
        <v>Work-Commercial</v>
      </c>
      <c r="S39" s="52">
        <v>3</v>
      </c>
      <c r="T39" s="52">
        <v>1</v>
      </c>
      <c r="U39" s="52">
        <v>1</v>
      </c>
      <c r="V39" s="51"/>
      <c r="W39" s="51"/>
      <c r="X39" s="51"/>
      <c r="Y39" s="53" t="s">
        <v>158</v>
      </c>
      <c r="Z39" s="54">
        <v>0</v>
      </c>
      <c r="AA39" s="25"/>
      <c r="AB39" s="25"/>
    </row>
    <row r="40" spans="2:28">
      <c r="B40" s="40">
        <v>0.5625</v>
      </c>
      <c r="C40" s="40" t="s">
        <v>369</v>
      </c>
      <c r="D40" s="45">
        <v>2</v>
      </c>
      <c r="E40" s="42">
        <v>1</v>
      </c>
      <c r="F40" s="42" t="s">
        <v>162</v>
      </c>
      <c r="G40" s="43" t="s">
        <v>156</v>
      </c>
      <c r="H40" s="42" t="s">
        <v>157</v>
      </c>
      <c r="I40" s="43">
        <v>2</v>
      </c>
      <c r="J40" s="43">
        <v>2</v>
      </c>
      <c r="K40" s="25" t="str">
        <f>VLOOKUP(J40,Key!$E$2:$F$9,2,FALSE)</f>
        <v>Work</v>
      </c>
      <c r="L40" s="42" t="s">
        <v>160</v>
      </c>
      <c r="M40" s="43" t="s">
        <v>156</v>
      </c>
      <c r="N40" s="42" t="s">
        <v>157</v>
      </c>
      <c r="O40" s="51">
        <v>2</v>
      </c>
      <c r="P40" s="51">
        <v>2</v>
      </c>
      <c r="Q40" s="25" t="str">
        <f>VLOOKUP(P40,Key!$E$2:$F$9,2,FALSE)</f>
        <v>Work</v>
      </c>
      <c r="R40" s="25" t="str">
        <f t="shared" si="1"/>
        <v>Work-Work</v>
      </c>
      <c r="S40" s="52">
        <v>4</v>
      </c>
      <c r="T40" s="52">
        <v>1</v>
      </c>
      <c r="U40" s="52">
        <v>1</v>
      </c>
      <c r="V40" s="51"/>
      <c r="W40" s="51"/>
      <c r="X40" s="51"/>
      <c r="Y40" s="53" t="s">
        <v>158</v>
      </c>
      <c r="Z40" s="54">
        <v>2000</v>
      </c>
      <c r="AA40" s="25"/>
      <c r="AB40" s="25"/>
    </row>
    <row r="41" spans="2:28">
      <c r="B41" s="40">
        <v>0.56944444444444442</v>
      </c>
      <c r="C41" s="40" t="s">
        <v>370</v>
      </c>
      <c r="D41" s="44">
        <v>7</v>
      </c>
      <c r="E41" s="45">
        <v>1</v>
      </c>
      <c r="F41" s="42" t="s">
        <v>352</v>
      </c>
      <c r="G41" s="43" t="s">
        <v>156</v>
      </c>
      <c r="H41" s="42" t="s">
        <v>157</v>
      </c>
      <c r="I41" s="43">
        <v>2</v>
      </c>
      <c r="J41" s="43">
        <v>2</v>
      </c>
      <c r="K41" s="25" t="str">
        <f>VLOOKUP(J41,Key!$E$2:$F$9,2,FALSE)</f>
        <v>Work</v>
      </c>
      <c r="L41" s="42" t="s">
        <v>150</v>
      </c>
      <c r="M41" s="43" t="s">
        <v>156</v>
      </c>
      <c r="N41" s="42" t="s">
        <v>157</v>
      </c>
      <c r="O41" s="51">
        <v>16</v>
      </c>
      <c r="P41" s="51">
        <v>6</v>
      </c>
      <c r="Q41" s="25" t="str">
        <f>VLOOKUP(P41,Key!$E$2:$F$9,2,FALSE)</f>
        <v>Leisure/Social</v>
      </c>
      <c r="R41" s="25" t="str">
        <f t="shared" si="1"/>
        <v>Work-Leisure/Social</v>
      </c>
      <c r="S41" s="52">
        <v>3</v>
      </c>
      <c r="T41" s="52">
        <v>0.1</v>
      </c>
      <c r="U41" s="52">
        <v>1</v>
      </c>
      <c r="V41" s="51">
        <v>11</v>
      </c>
      <c r="W41" s="51"/>
      <c r="X41" s="51"/>
      <c r="Y41" s="53" t="s">
        <v>158</v>
      </c>
      <c r="Z41" s="54">
        <v>0</v>
      </c>
      <c r="AA41" s="25"/>
      <c r="AB41" s="25"/>
    </row>
    <row r="42" spans="2:28">
      <c r="B42" s="40">
        <v>0.57291666666666663</v>
      </c>
      <c r="C42" s="40" t="s">
        <v>371</v>
      </c>
      <c r="D42" s="44">
        <v>1</v>
      </c>
      <c r="E42" s="45">
        <v>2</v>
      </c>
      <c r="F42" s="42" t="s">
        <v>150</v>
      </c>
      <c r="G42" s="43" t="s">
        <v>156</v>
      </c>
      <c r="H42" s="42" t="s">
        <v>157</v>
      </c>
      <c r="I42" s="43">
        <v>6</v>
      </c>
      <c r="J42" s="43">
        <v>2</v>
      </c>
      <c r="K42" s="25" t="str">
        <f>VLOOKUP(J42,Key!$E$2:$F$9,2,FALSE)</f>
        <v>Work</v>
      </c>
      <c r="L42" s="42" t="s">
        <v>150</v>
      </c>
      <c r="M42" s="43" t="s">
        <v>156</v>
      </c>
      <c r="N42" s="42" t="s">
        <v>157</v>
      </c>
      <c r="O42" s="51">
        <v>1</v>
      </c>
      <c r="P42" s="51">
        <v>1</v>
      </c>
      <c r="Q42" s="25" t="str">
        <f>VLOOKUP(P42,Key!$E$2:$F$9,2,FALSE)</f>
        <v>Home</v>
      </c>
      <c r="R42" s="25" t="str">
        <f t="shared" si="1"/>
        <v>Work-Home</v>
      </c>
      <c r="S42" s="52">
        <v>0.5</v>
      </c>
      <c r="T42" s="52">
        <v>0.1</v>
      </c>
      <c r="U42" s="52"/>
      <c r="V42" s="51"/>
      <c r="W42" s="51"/>
      <c r="X42" s="51"/>
      <c r="Y42" s="53" t="s">
        <v>158</v>
      </c>
      <c r="Z42" s="54">
        <v>0</v>
      </c>
      <c r="AA42" s="25"/>
      <c r="AB42" s="25"/>
    </row>
    <row r="43" spans="2:28">
      <c r="B43" s="40">
        <v>0.57638888888888895</v>
      </c>
      <c r="C43" s="40" t="s">
        <v>372</v>
      </c>
      <c r="D43" s="45">
        <v>2</v>
      </c>
      <c r="E43" s="45">
        <v>3</v>
      </c>
      <c r="F43" s="42" t="s">
        <v>150</v>
      </c>
      <c r="G43" s="43" t="s">
        <v>156</v>
      </c>
      <c r="H43" s="42" t="s">
        <v>157</v>
      </c>
      <c r="I43" s="43">
        <v>11</v>
      </c>
      <c r="J43" s="43">
        <v>4</v>
      </c>
      <c r="K43" s="25" t="str">
        <f>VLOOKUP(J43,Key!$E$2:$F$9,2,FALSE)</f>
        <v>Commercial</v>
      </c>
      <c r="L43" s="42" t="s">
        <v>155</v>
      </c>
      <c r="M43" s="43" t="s">
        <v>156</v>
      </c>
      <c r="N43" s="42" t="s">
        <v>157</v>
      </c>
      <c r="O43" s="51">
        <v>1</v>
      </c>
      <c r="P43" s="51">
        <v>1</v>
      </c>
      <c r="Q43" s="25" t="str">
        <f>VLOOKUP(P43,Key!$E$2:$F$9,2,FALSE)</f>
        <v>Home</v>
      </c>
      <c r="R43" s="25" t="str">
        <f t="shared" si="1"/>
        <v>Commercial-Home</v>
      </c>
      <c r="S43" s="52">
        <v>1</v>
      </c>
      <c r="T43" s="52">
        <v>0.1</v>
      </c>
      <c r="U43" s="52">
        <v>1</v>
      </c>
      <c r="V43" s="51"/>
      <c r="W43" s="51"/>
      <c r="X43" s="51"/>
      <c r="Y43" s="53" t="s">
        <v>158</v>
      </c>
      <c r="Z43" s="54">
        <v>5000</v>
      </c>
      <c r="AA43" s="25"/>
      <c r="AB43" s="25"/>
    </row>
    <row r="44" spans="2:28">
      <c r="B44" s="40">
        <v>0.57777777777777783</v>
      </c>
      <c r="C44" s="40" t="s">
        <v>373</v>
      </c>
      <c r="D44" s="44">
        <v>7</v>
      </c>
      <c r="E44" s="45">
        <v>2</v>
      </c>
      <c r="F44" s="42" t="s">
        <v>150</v>
      </c>
      <c r="G44" s="43" t="s">
        <v>156</v>
      </c>
      <c r="H44" s="42" t="s">
        <v>157</v>
      </c>
      <c r="I44" s="43">
        <v>2</v>
      </c>
      <c r="J44" s="43">
        <v>2</v>
      </c>
      <c r="K44" s="25" t="str">
        <f>VLOOKUP(J44,Key!$E$2:$F$9,2,FALSE)</f>
        <v>Work</v>
      </c>
      <c r="L44" s="42" t="s">
        <v>155</v>
      </c>
      <c r="M44" s="43" t="s">
        <v>156</v>
      </c>
      <c r="N44" s="42" t="s">
        <v>157</v>
      </c>
      <c r="O44" s="51">
        <v>1</v>
      </c>
      <c r="P44" s="51">
        <v>1</v>
      </c>
      <c r="Q44" s="25" t="str">
        <f>VLOOKUP(P44,Key!$E$2:$F$9,2,FALSE)</f>
        <v>Home</v>
      </c>
      <c r="R44" s="25" t="str">
        <f t="shared" si="1"/>
        <v>Work-Home</v>
      </c>
      <c r="S44" s="52">
        <v>3</v>
      </c>
      <c r="T44" s="52">
        <v>0.5</v>
      </c>
      <c r="U44" s="52">
        <v>1</v>
      </c>
      <c r="V44" s="51">
        <v>11</v>
      </c>
      <c r="W44" s="51"/>
      <c r="X44" s="51"/>
      <c r="Y44" s="53" t="s">
        <v>158</v>
      </c>
      <c r="Z44" s="54">
        <v>0</v>
      </c>
      <c r="AA44" s="25"/>
      <c r="AB44" s="25"/>
    </row>
    <row r="45" spans="2:28">
      <c r="B45" s="40">
        <v>0.6118055555555556</v>
      </c>
      <c r="C45" s="40" t="s">
        <v>374</v>
      </c>
      <c r="D45" s="45">
        <v>1</v>
      </c>
      <c r="E45" s="42">
        <v>1</v>
      </c>
      <c r="F45" s="42" t="s">
        <v>162</v>
      </c>
      <c r="G45" s="43" t="s">
        <v>156</v>
      </c>
      <c r="H45" s="42" t="s">
        <v>157</v>
      </c>
      <c r="I45" s="43">
        <v>2</v>
      </c>
      <c r="J45" s="43">
        <v>2</v>
      </c>
      <c r="K45" s="25" t="str">
        <f>VLOOKUP(J45,Key!$E$2:$F$9,2,FALSE)</f>
        <v>Work</v>
      </c>
      <c r="L45" s="41" t="s">
        <v>364</v>
      </c>
      <c r="M45" s="43" t="s">
        <v>156</v>
      </c>
      <c r="N45" s="42" t="s">
        <v>157</v>
      </c>
      <c r="O45" s="51">
        <v>16</v>
      </c>
      <c r="P45" s="51">
        <v>6</v>
      </c>
      <c r="Q45" s="25" t="str">
        <f>VLOOKUP(P45,Key!$E$2:$F$9,2,FALSE)</f>
        <v>Leisure/Social</v>
      </c>
      <c r="R45" s="25" t="str">
        <f t="shared" si="1"/>
        <v>Work-Leisure/Social</v>
      </c>
      <c r="S45" s="52">
        <v>8</v>
      </c>
      <c r="T45" s="52">
        <v>0.3</v>
      </c>
      <c r="U45" s="52">
        <v>3</v>
      </c>
      <c r="V45" s="51"/>
      <c r="W45" s="51"/>
      <c r="X45" s="51"/>
      <c r="Y45" s="53" t="s">
        <v>158</v>
      </c>
      <c r="Z45" s="54">
        <v>0</v>
      </c>
      <c r="AA45" s="25"/>
      <c r="AB45" s="25"/>
    </row>
    <row r="46" spans="2:28">
      <c r="B46" s="40">
        <v>0.61458333333333337</v>
      </c>
      <c r="C46" s="40" t="s">
        <v>375</v>
      </c>
      <c r="D46" s="44">
        <v>8</v>
      </c>
      <c r="E46" s="45">
        <v>1</v>
      </c>
      <c r="F46" s="42" t="s">
        <v>344</v>
      </c>
      <c r="G46" s="43" t="s">
        <v>345</v>
      </c>
      <c r="H46" s="42" t="s">
        <v>157</v>
      </c>
      <c r="I46" s="43">
        <v>3</v>
      </c>
      <c r="J46" s="43">
        <v>4</v>
      </c>
      <c r="K46" s="25" t="str">
        <f>VLOOKUP(J46,Key!$E$2:$F$9,2,FALSE)</f>
        <v>Commercial</v>
      </c>
      <c r="L46" s="42" t="s">
        <v>207</v>
      </c>
      <c r="M46" s="43" t="s">
        <v>156</v>
      </c>
      <c r="N46" s="42" t="s">
        <v>157</v>
      </c>
      <c r="O46" s="51">
        <v>10</v>
      </c>
      <c r="P46" s="51">
        <v>4</v>
      </c>
      <c r="Q46" s="25" t="str">
        <f>VLOOKUP(P46,Key!$E$2:$F$9,2,FALSE)</f>
        <v>Commercial</v>
      </c>
      <c r="R46" s="25" t="str">
        <f t="shared" si="1"/>
        <v>Commercial-Commercial</v>
      </c>
      <c r="S46" s="52">
        <v>40</v>
      </c>
      <c r="T46" s="52">
        <v>2.5</v>
      </c>
      <c r="U46" s="52">
        <v>1</v>
      </c>
      <c r="V46" s="51">
        <v>4</v>
      </c>
      <c r="W46" s="51">
        <v>12</v>
      </c>
      <c r="X46" s="51">
        <v>0.1</v>
      </c>
      <c r="Y46" s="53" t="s">
        <v>158</v>
      </c>
      <c r="Z46" s="54">
        <v>0</v>
      </c>
      <c r="AA46" s="25"/>
      <c r="AB46" s="25"/>
    </row>
    <row r="47" spans="2:28">
      <c r="B47" s="40">
        <v>0.61736111111111114</v>
      </c>
      <c r="C47" s="40" t="s">
        <v>376</v>
      </c>
      <c r="D47" s="45">
        <v>2</v>
      </c>
      <c r="E47" s="45">
        <v>3</v>
      </c>
      <c r="F47" s="42" t="s">
        <v>247</v>
      </c>
      <c r="G47" s="43" t="s">
        <v>187</v>
      </c>
      <c r="H47" s="42" t="s">
        <v>157</v>
      </c>
      <c r="I47" s="43">
        <v>3</v>
      </c>
      <c r="J47" s="43">
        <v>4</v>
      </c>
      <c r="K47" s="25" t="str">
        <f>VLOOKUP(J47,Key!$E$2:$F$9,2,FALSE)</f>
        <v>Commercial</v>
      </c>
      <c r="L47" s="42" t="s">
        <v>150</v>
      </c>
      <c r="M47" s="43" t="s">
        <v>156</v>
      </c>
      <c r="N47" s="42" t="s">
        <v>157</v>
      </c>
      <c r="O47" s="51">
        <v>10</v>
      </c>
      <c r="P47" s="51">
        <v>4</v>
      </c>
      <c r="Q47" s="25" t="str">
        <f>VLOOKUP(P47,Key!$E$2:$F$9,2,FALSE)</f>
        <v>Commercial</v>
      </c>
      <c r="R47" s="25" t="str">
        <f t="shared" si="1"/>
        <v>Commercial-Commercial</v>
      </c>
      <c r="S47" s="52">
        <v>15</v>
      </c>
      <c r="T47" s="52">
        <v>2</v>
      </c>
      <c r="U47" s="52">
        <v>1</v>
      </c>
      <c r="V47" s="51"/>
      <c r="W47" s="51"/>
      <c r="X47" s="51"/>
      <c r="Y47" s="53" t="s">
        <v>158</v>
      </c>
      <c r="Z47" s="54">
        <v>0</v>
      </c>
      <c r="AA47" s="25"/>
      <c r="AB47" s="25"/>
    </row>
    <row r="48" spans="2:28">
      <c r="B48" s="40">
        <v>0.62152777777777779</v>
      </c>
      <c r="C48" s="40" t="s">
        <v>377</v>
      </c>
      <c r="D48" s="44">
        <v>1</v>
      </c>
      <c r="E48" s="42">
        <v>5</v>
      </c>
      <c r="F48" s="42" t="s">
        <v>238</v>
      </c>
      <c r="G48" s="43" t="s">
        <v>156</v>
      </c>
      <c r="H48" s="42" t="s">
        <v>157</v>
      </c>
      <c r="I48" s="43">
        <v>2</v>
      </c>
      <c r="J48" s="43">
        <v>2</v>
      </c>
      <c r="K48" s="25" t="str">
        <f>VLOOKUP(J48,Key!$E$2:$F$9,2,FALSE)</f>
        <v>Work</v>
      </c>
      <c r="L48" s="42" t="s">
        <v>364</v>
      </c>
      <c r="M48" s="43" t="s">
        <v>156</v>
      </c>
      <c r="N48" s="42" t="s">
        <v>157</v>
      </c>
      <c r="O48" s="51">
        <v>1</v>
      </c>
      <c r="P48" s="51">
        <v>1</v>
      </c>
      <c r="Q48" s="25" t="str">
        <f>VLOOKUP(P48,Key!$E$2:$F$9,2,FALSE)</f>
        <v>Home</v>
      </c>
      <c r="R48" s="25" t="str">
        <f t="shared" si="1"/>
        <v>Work-Home</v>
      </c>
      <c r="S48" s="52">
        <v>20</v>
      </c>
      <c r="T48" s="52">
        <v>1.5</v>
      </c>
      <c r="U48" s="52">
        <v>1</v>
      </c>
      <c r="V48" s="51"/>
      <c r="W48" s="51"/>
      <c r="X48" s="51"/>
      <c r="Y48" s="53" t="s">
        <v>158</v>
      </c>
      <c r="Z48" s="54">
        <v>1000</v>
      </c>
      <c r="AA48" s="25"/>
      <c r="AB48" s="25"/>
    </row>
    <row r="49" spans="2:28">
      <c r="B49" s="40">
        <v>0.625</v>
      </c>
      <c r="C49" s="40" t="s">
        <v>378</v>
      </c>
      <c r="D49" s="45">
        <v>2</v>
      </c>
      <c r="E49" s="45">
        <v>2</v>
      </c>
      <c r="F49" s="42" t="s">
        <v>224</v>
      </c>
      <c r="G49" s="43" t="s">
        <v>224</v>
      </c>
      <c r="H49" s="42" t="s">
        <v>157</v>
      </c>
      <c r="I49" s="43">
        <v>2</v>
      </c>
      <c r="J49" s="43">
        <v>2</v>
      </c>
      <c r="K49" s="25" t="str">
        <f>VLOOKUP(J49,Key!$E$2:$F$9,2,FALSE)</f>
        <v>Work</v>
      </c>
      <c r="L49" s="42" t="s">
        <v>364</v>
      </c>
      <c r="M49" s="43" t="s">
        <v>156</v>
      </c>
      <c r="N49" s="42" t="s">
        <v>157</v>
      </c>
      <c r="O49" s="51">
        <v>1</v>
      </c>
      <c r="P49" s="51">
        <v>1</v>
      </c>
      <c r="Q49" s="25" t="str">
        <f>VLOOKUP(P49,Key!$E$2:$F$9,2,FALSE)</f>
        <v>Home</v>
      </c>
      <c r="R49" s="25" t="str">
        <f t="shared" si="1"/>
        <v>Work-Home</v>
      </c>
      <c r="S49" s="52">
        <v>15</v>
      </c>
      <c r="T49" s="52">
        <v>1</v>
      </c>
      <c r="U49" s="52">
        <v>3</v>
      </c>
      <c r="V49" s="51"/>
      <c r="W49" s="51"/>
      <c r="X49" s="51"/>
      <c r="Y49" s="53" t="s">
        <v>158</v>
      </c>
      <c r="Z49" s="54">
        <v>0</v>
      </c>
      <c r="AA49" s="25"/>
      <c r="AB49" s="25"/>
    </row>
    <row r="50" spans="2:28">
      <c r="B50" s="40">
        <v>0.63541666666666663</v>
      </c>
      <c r="C50" s="40" t="s">
        <v>379</v>
      </c>
      <c r="D50" s="44">
        <v>2</v>
      </c>
      <c r="E50" s="45">
        <v>1</v>
      </c>
      <c r="F50" s="42" t="s">
        <v>380</v>
      </c>
      <c r="G50" s="43" t="s">
        <v>187</v>
      </c>
      <c r="H50" s="42" t="s">
        <v>157</v>
      </c>
      <c r="I50" s="43">
        <v>2</v>
      </c>
      <c r="J50" s="43">
        <v>2</v>
      </c>
      <c r="K50" s="25" t="str">
        <f>VLOOKUP(J50,Key!$E$2:$F$9,2,FALSE)</f>
        <v>Work</v>
      </c>
      <c r="L50" s="42" t="s">
        <v>155</v>
      </c>
      <c r="M50" s="43" t="s">
        <v>156</v>
      </c>
      <c r="N50" s="42" t="s">
        <v>157</v>
      </c>
      <c r="O50" s="51">
        <v>1</v>
      </c>
      <c r="P50" s="51">
        <v>1</v>
      </c>
      <c r="Q50" s="25" t="str">
        <f>VLOOKUP(P50,Key!$E$2:$F$9,2,FALSE)</f>
        <v>Home</v>
      </c>
      <c r="R50" s="25" t="str">
        <f t="shared" si="1"/>
        <v>Work-Home</v>
      </c>
      <c r="S50" s="52">
        <v>8</v>
      </c>
      <c r="T50" s="52">
        <v>1</v>
      </c>
      <c r="U50" s="52">
        <v>1</v>
      </c>
      <c r="V50" s="51"/>
      <c r="W50" s="51"/>
      <c r="X50" s="51"/>
      <c r="Y50" s="53" t="s">
        <v>158</v>
      </c>
      <c r="Z50" s="54">
        <v>4000</v>
      </c>
      <c r="AA50" s="25"/>
      <c r="AB50" s="25"/>
    </row>
    <row r="51" spans="2:28">
      <c r="B51" s="40">
        <v>0.63750000000000007</v>
      </c>
      <c r="C51" s="40" t="s">
        <v>381</v>
      </c>
      <c r="D51" s="45">
        <v>7</v>
      </c>
      <c r="E51" s="45">
        <v>2</v>
      </c>
      <c r="F51" s="42" t="s">
        <v>150</v>
      </c>
      <c r="G51" s="43" t="s">
        <v>156</v>
      </c>
      <c r="H51" s="42" t="s">
        <v>157</v>
      </c>
      <c r="I51" s="43">
        <v>6</v>
      </c>
      <c r="J51" s="43">
        <v>4</v>
      </c>
      <c r="K51" s="25" t="str">
        <f>VLOOKUP(J51,Key!$E$2:$F$9,2,FALSE)</f>
        <v>Commercial</v>
      </c>
      <c r="L51" s="42" t="s">
        <v>207</v>
      </c>
      <c r="M51" s="43" t="s">
        <v>156</v>
      </c>
      <c r="N51" s="42" t="s">
        <v>157</v>
      </c>
      <c r="O51" s="51">
        <v>6</v>
      </c>
      <c r="P51" s="51">
        <v>4</v>
      </c>
      <c r="Q51" s="25" t="str">
        <f>VLOOKUP(P51,Key!$E$2:$F$9,2,FALSE)</f>
        <v>Commercial</v>
      </c>
      <c r="R51" s="25" t="str">
        <f t="shared" si="1"/>
        <v>Commercial-Commercial</v>
      </c>
      <c r="S51" s="52">
        <v>4</v>
      </c>
      <c r="T51" s="52">
        <v>0.7</v>
      </c>
      <c r="U51" s="52">
        <v>1</v>
      </c>
      <c r="V51" s="51">
        <v>11</v>
      </c>
      <c r="W51" s="51"/>
      <c r="X51" s="51"/>
      <c r="Y51" s="53" t="s">
        <v>158</v>
      </c>
      <c r="Z51" s="54">
        <v>1000</v>
      </c>
      <c r="AA51" s="25"/>
      <c r="AB51" s="25"/>
    </row>
    <row r="52" spans="2:28">
      <c r="B52" s="40">
        <v>0.64236111111111105</v>
      </c>
      <c r="C52" s="40" t="s">
        <v>382</v>
      </c>
      <c r="D52" s="45">
        <v>7</v>
      </c>
      <c r="E52" s="45">
        <v>4</v>
      </c>
      <c r="F52" s="42" t="s">
        <v>150</v>
      </c>
      <c r="G52" s="43" t="s">
        <v>156</v>
      </c>
      <c r="H52" s="42" t="s">
        <v>157</v>
      </c>
      <c r="I52" s="43">
        <v>6</v>
      </c>
      <c r="J52" s="43">
        <v>4</v>
      </c>
      <c r="K52" s="25" t="str">
        <f>VLOOKUP(J52,Key!$E$2:$F$9,2,FALSE)</f>
        <v>Commercial</v>
      </c>
      <c r="L52" s="42" t="s">
        <v>155</v>
      </c>
      <c r="M52" s="43" t="s">
        <v>156</v>
      </c>
      <c r="N52" s="42" t="s">
        <v>157</v>
      </c>
      <c r="O52" s="51">
        <v>10</v>
      </c>
      <c r="P52" s="51">
        <v>4</v>
      </c>
      <c r="Q52" s="25" t="str">
        <f>VLOOKUP(P52,Key!$E$2:$F$9,2,FALSE)</f>
        <v>Commercial</v>
      </c>
      <c r="R52" s="25" t="str">
        <f t="shared" si="1"/>
        <v>Commercial-Commercial</v>
      </c>
      <c r="S52" s="52">
        <v>1</v>
      </c>
      <c r="T52" s="52">
        <v>0.1</v>
      </c>
      <c r="U52" s="52">
        <v>1</v>
      </c>
      <c r="V52" s="51">
        <v>11</v>
      </c>
      <c r="W52" s="51"/>
      <c r="X52" s="51"/>
      <c r="Y52" s="53" t="s">
        <v>158</v>
      </c>
      <c r="Z52" s="54">
        <v>1000</v>
      </c>
      <c r="AA52" s="25"/>
      <c r="AB52" s="25"/>
    </row>
    <row r="53" spans="2:28">
      <c r="B53" s="40">
        <v>0.66666666666666663</v>
      </c>
      <c r="C53" s="40" t="s">
        <v>383</v>
      </c>
      <c r="D53" s="45">
        <v>8</v>
      </c>
      <c r="E53" s="45">
        <v>1</v>
      </c>
      <c r="F53" s="42" t="s">
        <v>162</v>
      </c>
      <c r="G53" s="43" t="s">
        <v>224</v>
      </c>
      <c r="H53" s="42" t="s">
        <v>157</v>
      </c>
      <c r="I53" s="43">
        <v>3</v>
      </c>
      <c r="J53" s="43">
        <v>2</v>
      </c>
      <c r="K53" s="25" t="str">
        <f>VLOOKUP(J53,Key!$E$2:$F$9,2,FALSE)</f>
        <v>Work</v>
      </c>
      <c r="L53" s="42" t="s">
        <v>160</v>
      </c>
      <c r="M53" s="43" t="s">
        <v>156</v>
      </c>
      <c r="N53" s="42" t="s">
        <v>157</v>
      </c>
      <c r="O53" s="51">
        <v>10</v>
      </c>
      <c r="P53" s="51">
        <v>2</v>
      </c>
      <c r="Q53" s="25" t="str">
        <f>VLOOKUP(P53,Key!$E$2:$F$9,2,FALSE)</f>
        <v>Work</v>
      </c>
      <c r="R53" s="25" t="str">
        <f t="shared" si="1"/>
        <v>Work-Work</v>
      </c>
      <c r="S53" s="52">
        <v>15</v>
      </c>
      <c r="T53" s="52">
        <v>1.5</v>
      </c>
      <c r="U53" s="52">
        <v>4</v>
      </c>
      <c r="V53" s="51">
        <v>11</v>
      </c>
      <c r="W53" s="51"/>
      <c r="X53" s="51"/>
      <c r="Y53" s="53" t="s">
        <v>158</v>
      </c>
      <c r="Z53" s="54">
        <v>2000</v>
      </c>
      <c r="AA53" s="25"/>
      <c r="AB53" s="25"/>
    </row>
    <row r="54" spans="2:28">
      <c r="B54" s="40">
        <v>0.68402777777777779</v>
      </c>
      <c r="C54" s="40" t="s">
        <v>384</v>
      </c>
      <c r="D54" s="44">
        <v>2</v>
      </c>
      <c r="E54" s="45">
        <v>1</v>
      </c>
      <c r="F54" s="42" t="s">
        <v>187</v>
      </c>
      <c r="G54" s="43" t="s">
        <v>187</v>
      </c>
      <c r="H54" s="42" t="s">
        <v>157</v>
      </c>
      <c r="I54" s="43">
        <v>1</v>
      </c>
      <c r="J54" s="43">
        <v>1</v>
      </c>
      <c r="K54" s="25" t="str">
        <f>VLOOKUP(J54,Key!$E$2:$F$9,2,FALSE)</f>
        <v>Home</v>
      </c>
      <c r="L54" s="42" t="s">
        <v>150</v>
      </c>
      <c r="M54" s="43" t="s">
        <v>156</v>
      </c>
      <c r="N54" s="42" t="s">
        <v>157</v>
      </c>
      <c r="O54" s="51">
        <v>16</v>
      </c>
      <c r="P54" s="51">
        <v>6</v>
      </c>
      <c r="Q54" s="25" t="str">
        <f>VLOOKUP(P54,Key!$E$2:$F$9,2,FALSE)</f>
        <v>Leisure/Social</v>
      </c>
      <c r="R54" s="25" t="str">
        <f t="shared" si="1"/>
        <v>Home-Leisure/Social</v>
      </c>
      <c r="S54" s="52">
        <v>20</v>
      </c>
      <c r="T54" s="52">
        <v>0.7</v>
      </c>
      <c r="U54" s="52">
        <v>4</v>
      </c>
      <c r="V54" s="51"/>
      <c r="W54" s="51"/>
      <c r="X54" s="51"/>
      <c r="Y54" s="53" t="s">
        <v>385</v>
      </c>
      <c r="Z54" s="54">
        <v>0</v>
      </c>
      <c r="AA54" s="25"/>
      <c r="AB54" s="25"/>
    </row>
    <row r="55" spans="2:28">
      <c r="B55" s="40">
        <v>0.70486111111111116</v>
      </c>
      <c r="C55" s="40" t="s">
        <v>386</v>
      </c>
      <c r="D55" s="45">
        <v>1</v>
      </c>
      <c r="E55" s="45">
        <v>2</v>
      </c>
      <c r="F55" s="42" t="s">
        <v>339</v>
      </c>
      <c r="G55" s="43" t="s">
        <v>187</v>
      </c>
      <c r="H55" s="42" t="s">
        <v>157</v>
      </c>
      <c r="I55" s="43">
        <v>2</v>
      </c>
      <c r="J55" s="43">
        <v>2</v>
      </c>
      <c r="K55" s="25" t="str">
        <f>VLOOKUP(J55,Key!$E$2:$F$9,2,FALSE)</f>
        <v>Work</v>
      </c>
      <c r="L55" s="42" t="s">
        <v>364</v>
      </c>
      <c r="M55" s="43" t="s">
        <v>156</v>
      </c>
      <c r="N55" s="42" t="s">
        <v>157</v>
      </c>
      <c r="O55" s="51">
        <v>1</v>
      </c>
      <c r="P55" s="51">
        <v>1</v>
      </c>
      <c r="Q55" s="25" t="str">
        <f>VLOOKUP(P55,Key!$E$2:$F$9,2,FALSE)</f>
        <v>Home</v>
      </c>
      <c r="R55" s="25" t="str">
        <f t="shared" si="1"/>
        <v>Work-Home</v>
      </c>
      <c r="S55" s="52">
        <v>12</v>
      </c>
      <c r="T55" s="52">
        <v>0.7</v>
      </c>
      <c r="U55" s="52">
        <v>1</v>
      </c>
      <c r="V55" s="51"/>
      <c r="W55" s="51"/>
      <c r="X55" s="51"/>
      <c r="Y55" s="53" t="s">
        <v>158</v>
      </c>
      <c r="Z55" s="54">
        <v>2000</v>
      </c>
      <c r="AA55" s="25"/>
      <c r="AB55" s="25"/>
    </row>
    <row r="56" spans="2:28">
      <c r="B56" s="40">
        <v>0.69930555555555562</v>
      </c>
      <c r="C56" s="40" t="s">
        <v>387</v>
      </c>
      <c r="D56" s="45">
        <v>1</v>
      </c>
      <c r="E56" s="45">
        <v>5</v>
      </c>
      <c r="F56" s="42" t="s">
        <v>187</v>
      </c>
      <c r="G56" s="43" t="s">
        <v>187</v>
      </c>
      <c r="H56" s="42" t="s">
        <v>157</v>
      </c>
      <c r="I56" s="43">
        <v>2</v>
      </c>
      <c r="J56" s="43">
        <v>2</v>
      </c>
      <c r="K56" s="25" t="str">
        <f>VLOOKUP(J56,Key!$E$2:$F$9,2,FALSE)</f>
        <v>Work</v>
      </c>
      <c r="L56" s="42" t="s">
        <v>155</v>
      </c>
      <c r="M56" s="43" t="s">
        <v>156</v>
      </c>
      <c r="N56" s="42" t="s">
        <v>157</v>
      </c>
      <c r="O56" s="51">
        <v>1</v>
      </c>
      <c r="P56" s="51">
        <v>1</v>
      </c>
      <c r="Q56" s="25" t="str">
        <f>VLOOKUP(P56,Key!$E$2:$F$9,2,FALSE)</f>
        <v>Home</v>
      </c>
      <c r="R56" s="25" t="str">
        <f t="shared" si="1"/>
        <v>Work-Home</v>
      </c>
      <c r="S56" s="52">
        <v>15</v>
      </c>
      <c r="T56" s="52">
        <v>0.7</v>
      </c>
      <c r="U56" s="52">
        <v>1</v>
      </c>
      <c r="V56" s="51"/>
      <c r="W56" s="51"/>
      <c r="X56" s="51"/>
      <c r="Y56" s="53" t="s">
        <v>158</v>
      </c>
      <c r="Z56" s="54">
        <v>5000</v>
      </c>
      <c r="AA56" s="25"/>
      <c r="AB56" s="25"/>
    </row>
    <row r="57" spans="2:28">
      <c r="B57" s="40">
        <v>0.7104166666666667</v>
      </c>
      <c r="C57" s="40" t="s">
        <v>388</v>
      </c>
      <c r="D57" s="45">
        <v>7</v>
      </c>
      <c r="E57" s="45">
        <v>12</v>
      </c>
      <c r="F57" s="42" t="s">
        <v>150</v>
      </c>
      <c r="G57" s="43" t="s">
        <v>156</v>
      </c>
      <c r="H57" s="42" t="s">
        <v>157</v>
      </c>
      <c r="I57" s="43">
        <v>4</v>
      </c>
      <c r="J57" s="43">
        <v>2</v>
      </c>
      <c r="K57" s="25" t="str">
        <f>VLOOKUP(J57,Key!$E$2:$F$9,2,FALSE)</f>
        <v>Work</v>
      </c>
      <c r="L57" s="42" t="s">
        <v>207</v>
      </c>
      <c r="M57" s="43" t="s">
        <v>156</v>
      </c>
      <c r="N57" s="42" t="s">
        <v>157</v>
      </c>
      <c r="O57" s="51">
        <v>4</v>
      </c>
      <c r="P57" s="51">
        <v>2</v>
      </c>
      <c r="Q57" s="25" t="str">
        <f>VLOOKUP(P57,Key!$E$2:$F$9,2,FALSE)</f>
        <v>Work</v>
      </c>
      <c r="R57" s="25" t="str">
        <f t="shared" si="1"/>
        <v>Work-Work</v>
      </c>
      <c r="S57" s="52">
        <v>5</v>
      </c>
      <c r="T57" s="52">
        <v>0.5</v>
      </c>
      <c r="U57" s="52">
        <v>1</v>
      </c>
      <c r="V57" s="51"/>
      <c r="W57" s="51"/>
      <c r="X57" s="51"/>
      <c r="Y57" s="53" t="s">
        <v>158</v>
      </c>
      <c r="Z57" s="54">
        <v>5000</v>
      </c>
      <c r="AA57" s="25"/>
      <c r="AB57" s="25"/>
    </row>
    <row r="58" spans="2:28">
      <c r="B58" s="40">
        <v>0.71180555555555547</v>
      </c>
      <c r="C58" s="40" t="s">
        <v>389</v>
      </c>
      <c r="D58" s="45">
        <v>4</v>
      </c>
      <c r="E58" s="45">
        <v>14</v>
      </c>
      <c r="F58" s="42" t="s">
        <v>162</v>
      </c>
      <c r="G58" s="43" t="s">
        <v>224</v>
      </c>
      <c r="H58" s="42" t="s">
        <v>157</v>
      </c>
      <c r="I58" s="43">
        <v>4</v>
      </c>
      <c r="J58" s="43">
        <v>2</v>
      </c>
      <c r="K58" s="25" t="str">
        <f>VLOOKUP(J58,Key!$E$2:$F$9,2,FALSE)</f>
        <v>Work</v>
      </c>
      <c r="L58" s="42" t="s">
        <v>155</v>
      </c>
      <c r="M58" s="43" t="s">
        <v>156</v>
      </c>
      <c r="N58" s="42" t="s">
        <v>157</v>
      </c>
      <c r="O58" s="51">
        <v>4</v>
      </c>
      <c r="P58" s="51">
        <v>2</v>
      </c>
      <c r="Q58" s="25" t="str">
        <f>VLOOKUP(P58,Key!$E$2:$F$9,2,FALSE)</f>
        <v>Work</v>
      </c>
      <c r="R58" s="25" t="str">
        <f t="shared" si="1"/>
        <v>Work-Work</v>
      </c>
      <c r="S58" s="52">
        <v>8</v>
      </c>
      <c r="T58" s="52">
        <v>0.5</v>
      </c>
      <c r="U58" s="52">
        <v>1</v>
      </c>
      <c r="V58" s="51"/>
      <c r="W58" s="51"/>
      <c r="X58" s="51"/>
      <c r="Y58" s="53" t="s">
        <v>158</v>
      </c>
      <c r="Z58" s="54">
        <v>5000</v>
      </c>
      <c r="AA58" s="25"/>
      <c r="AB58" s="25"/>
    </row>
    <row r="59" spans="2:28">
      <c r="B59" s="40">
        <v>0.72222222222222221</v>
      </c>
      <c r="C59" s="40" t="s">
        <v>390</v>
      </c>
      <c r="D59" s="44">
        <v>1</v>
      </c>
      <c r="E59" s="45">
        <v>2</v>
      </c>
      <c r="F59" s="42" t="s">
        <v>150</v>
      </c>
      <c r="G59" s="43" t="s">
        <v>156</v>
      </c>
      <c r="H59" s="42" t="s">
        <v>157</v>
      </c>
      <c r="I59" s="43">
        <v>4</v>
      </c>
      <c r="J59" s="43">
        <v>2</v>
      </c>
      <c r="K59" s="25" t="str">
        <f>VLOOKUP(J59,Key!$E$2:$F$9,2,FALSE)</f>
        <v>Work</v>
      </c>
      <c r="L59" s="42" t="s">
        <v>352</v>
      </c>
      <c r="M59" s="43" t="s">
        <v>187</v>
      </c>
      <c r="N59" s="42" t="s">
        <v>157</v>
      </c>
      <c r="O59" s="51">
        <v>4</v>
      </c>
      <c r="P59" s="51">
        <v>2</v>
      </c>
      <c r="Q59" s="25" t="str">
        <f>VLOOKUP(P59,Key!$E$2:$F$9,2,FALSE)</f>
        <v>Work</v>
      </c>
      <c r="R59" s="25" t="str">
        <f t="shared" si="1"/>
        <v>Work-Work</v>
      </c>
      <c r="S59" s="52">
        <v>10</v>
      </c>
      <c r="T59" s="52">
        <v>0.7</v>
      </c>
      <c r="U59" s="52">
        <v>1</v>
      </c>
      <c r="V59" s="51"/>
      <c r="W59" s="51"/>
      <c r="X59" s="51"/>
      <c r="Y59" s="53" t="s">
        <v>158</v>
      </c>
      <c r="Z59" s="54">
        <v>5000</v>
      </c>
      <c r="AA59" s="25"/>
      <c r="AB59" s="25"/>
    </row>
    <row r="60" spans="2:28">
      <c r="B60" s="40">
        <v>0.72986111111111107</v>
      </c>
      <c r="C60" s="40" t="s">
        <v>391</v>
      </c>
      <c r="D60" s="44">
        <v>2</v>
      </c>
      <c r="E60" s="45">
        <v>2</v>
      </c>
      <c r="F60" s="42" t="s">
        <v>187</v>
      </c>
      <c r="G60" s="43" t="s">
        <v>187</v>
      </c>
      <c r="H60" s="42" t="s">
        <v>157</v>
      </c>
      <c r="I60" s="43">
        <v>2</v>
      </c>
      <c r="J60" s="43">
        <v>2</v>
      </c>
      <c r="K60" s="25" t="str">
        <f>VLOOKUP(J60,Key!$E$2:$F$9,2,FALSE)</f>
        <v>Work</v>
      </c>
      <c r="L60" s="42" t="s">
        <v>160</v>
      </c>
      <c r="M60" s="43" t="s">
        <v>156</v>
      </c>
      <c r="N60" s="42" t="s">
        <v>157</v>
      </c>
      <c r="O60" s="51">
        <v>1</v>
      </c>
      <c r="P60" s="51">
        <v>1</v>
      </c>
      <c r="Q60" s="25" t="str">
        <f>VLOOKUP(P60,Key!$E$2:$F$9,2,FALSE)</f>
        <v>Home</v>
      </c>
      <c r="R60" s="25" t="str">
        <f t="shared" si="1"/>
        <v>Work-Home</v>
      </c>
      <c r="S60" s="52">
        <v>20</v>
      </c>
      <c r="T60" s="52">
        <v>1.5</v>
      </c>
      <c r="U60" s="52">
        <v>1</v>
      </c>
      <c r="V60" s="51"/>
      <c r="W60" s="51"/>
      <c r="X60" s="51"/>
      <c r="Y60" s="53" t="s">
        <v>158</v>
      </c>
      <c r="Z60" s="54">
        <v>0</v>
      </c>
      <c r="AA60" s="25"/>
      <c r="AB60" s="25"/>
    </row>
    <row r="61" spans="2:28">
      <c r="B61" s="40">
        <v>0.73333333333333339</v>
      </c>
      <c r="C61" s="40" t="s">
        <v>392</v>
      </c>
      <c r="D61" s="44">
        <v>2</v>
      </c>
      <c r="E61" s="45">
        <v>1</v>
      </c>
      <c r="F61" s="42" t="s">
        <v>339</v>
      </c>
      <c r="G61" s="43" t="s">
        <v>187</v>
      </c>
      <c r="H61" s="42" t="s">
        <v>157</v>
      </c>
      <c r="I61" s="43">
        <v>2</v>
      </c>
      <c r="J61" s="43">
        <v>2</v>
      </c>
      <c r="K61" s="25" t="str">
        <f>VLOOKUP(J61,Key!$E$2:$F$9,2,FALSE)</f>
        <v>Work</v>
      </c>
      <c r="L61" s="42" t="s">
        <v>207</v>
      </c>
      <c r="M61" s="43" t="s">
        <v>156</v>
      </c>
      <c r="N61" s="42" t="s">
        <v>157</v>
      </c>
      <c r="O61" s="51">
        <v>1</v>
      </c>
      <c r="P61" s="51">
        <v>1</v>
      </c>
      <c r="Q61" s="25" t="str">
        <f>VLOOKUP(P61,Key!$E$2:$F$9,2,FALSE)</f>
        <v>Home</v>
      </c>
      <c r="R61" s="25" t="str">
        <f t="shared" si="1"/>
        <v>Work-Home</v>
      </c>
      <c r="S61" s="52">
        <v>8</v>
      </c>
      <c r="T61" s="52">
        <v>0.7</v>
      </c>
      <c r="U61" s="52">
        <v>1</v>
      </c>
      <c r="V61" s="51"/>
      <c r="W61" s="51"/>
      <c r="X61" s="51"/>
      <c r="Y61" s="53" t="s">
        <v>158</v>
      </c>
      <c r="Z61" s="54">
        <v>0</v>
      </c>
      <c r="AA61" s="25"/>
      <c r="AB61" s="25"/>
    </row>
    <row r="62" spans="2:28">
      <c r="B62" s="40">
        <v>0.73611111111111116</v>
      </c>
      <c r="C62" s="40" t="s">
        <v>393</v>
      </c>
      <c r="D62" s="44">
        <v>7</v>
      </c>
      <c r="E62" s="45">
        <v>5</v>
      </c>
      <c r="F62" s="42" t="s">
        <v>162</v>
      </c>
      <c r="G62" s="43" t="s">
        <v>224</v>
      </c>
      <c r="H62" s="42" t="s">
        <v>157</v>
      </c>
      <c r="I62" s="43">
        <v>3</v>
      </c>
      <c r="J62" s="43">
        <v>4</v>
      </c>
      <c r="K62" s="25" t="str">
        <f>VLOOKUP(J62,Key!$E$2:$F$9,2,FALSE)</f>
        <v>Commercial</v>
      </c>
      <c r="L62" s="42" t="s">
        <v>155</v>
      </c>
      <c r="M62" s="43" t="s">
        <v>156</v>
      </c>
      <c r="N62" s="42" t="s">
        <v>157</v>
      </c>
      <c r="O62" s="51">
        <v>10</v>
      </c>
      <c r="P62" s="51">
        <v>4</v>
      </c>
      <c r="Q62" s="25" t="str">
        <f>VLOOKUP(P62,Key!$E$2:$F$9,2,FALSE)</f>
        <v>Commercial</v>
      </c>
      <c r="R62" s="25" t="str">
        <f t="shared" si="1"/>
        <v>Commercial-Commercial</v>
      </c>
      <c r="S62" s="52">
        <v>8</v>
      </c>
      <c r="T62" s="52">
        <v>0.7</v>
      </c>
      <c r="U62" s="52">
        <v>1</v>
      </c>
      <c r="V62" s="51">
        <v>4</v>
      </c>
      <c r="W62" s="51">
        <v>1</v>
      </c>
      <c r="X62" s="51">
        <v>5</v>
      </c>
      <c r="Y62" s="53" t="s">
        <v>158</v>
      </c>
      <c r="Z62" s="54">
        <v>0</v>
      </c>
      <c r="AA62" s="25"/>
      <c r="AB62" s="25"/>
    </row>
    <row r="63" spans="2:28">
      <c r="B63" s="40">
        <v>0.77083333333333337</v>
      </c>
      <c r="C63" s="40" t="s">
        <v>394</v>
      </c>
      <c r="D63" s="44">
        <v>1</v>
      </c>
      <c r="E63" s="42">
        <v>1</v>
      </c>
      <c r="F63" s="42" t="s">
        <v>162</v>
      </c>
      <c r="G63" s="43" t="s">
        <v>224</v>
      </c>
      <c r="H63" s="42" t="s">
        <v>157</v>
      </c>
      <c r="I63" s="43">
        <v>2</v>
      </c>
      <c r="J63" s="43">
        <v>2</v>
      </c>
      <c r="K63" s="25" t="str">
        <f>VLOOKUP(J63,Key!$E$2:$F$9,2,FALSE)</f>
        <v>Work</v>
      </c>
      <c r="L63" s="42" t="s">
        <v>160</v>
      </c>
      <c r="M63" s="43" t="s">
        <v>156</v>
      </c>
      <c r="N63" s="42" t="s">
        <v>157</v>
      </c>
      <c r="O63" s="51">
        <v>1</v>
      </c>
      <c r="P63" s="51">
        <v>1</v>
      </c>
      <c r="Q63" s="25" t="str">
        <f>VLOOKUP(P63,Key!$E$2:$F$9,2,FALSE)</f>
        <v>Home</v>
      </c>
      <c r="R63" s="25" t="str">
        <f t="shared" si="1"/>
        <v>Work-Home</v>
      </c>
      <c r="S63" s="52">
        <v>10</v>
      </c>
      <c r="T63" s="52">
        <v>1</v>
      </c>
      <c r="U63" s="52">
        <v>1</v>
      </c>
      <c r="V63" s="51"/>
      <c r="W63" s="51"/>
      <c r="X63" s="51"/>
      <c r="Y63" s="53" t="s">
        <v>158</v>
      </c>
      <c r="Z63" s="54">
        <v>1000</v>
      </c>
      <c r="AA63" s="25"/>
      <c r="AB63" s="25"/>
    </row>
    <row r="64" spans="2:28">
      <c r="B64" s="40">
        <v>0.76041666666666663</v>
      </c>
      <c r="C64" s="40" t="s">
        <v>395</v>
      </c>
      <c r="D64" s="44">
        <v>8</v>
      </c>
      <c r="E64" s="42">
        <v>3</v>
      </c>
      <c r="F64" s="42" t="s">
        <v>224</v>
      </c>
      <c r="G64" s="43" t="s">
        <v>224</v>
      </c>
      <c r="H64" s="42" t="s">
        <v>157</v>
      </c>
      <c r="I64" s="43">
        <v>14</v>
      </c>
      <c r="J64" s="43">
        <v>4</v>
      </c>
      <c r="K64" s="25" t="str">
        <f>VLOOKUP(J64,Key!$E$2:$F$9,2,FALSE)</f>
        <v>Commercial</v>
      </c>
      <c r="L64" s="42" t="s">
        <v>160</v>
      </c>
      <c r="M64" s="43" t="s">
        <v>156</v>
      </c>
      <c r="N64" s="42" t="s">
        <v>157</v>
      </c>
      <c r="O64" s="51">
        <v>10</v>
      </c>
      <c r="P64" s="51">
        <v>2</v>
      </c>
      <c r="Q64" s="25" t="str">
        <f>VLOOKUP(P64,Key!$E$2:$F$9,2,FALSE)</f>
        <v>Work</v>
      </c>
      <c r="R64" s="25" t="str">
        <f t="shared" si="1"/>
        <v>Commercial-Work</v>
      </c>
      <c r="S64" s="52">
        <v>20</v>
      </c>
      <c r="T64" s="52">
        <v>1.5</v>
      </c>
      <c r="U64" s="52">
        <v>1</v>
      </c>
      <c r="V64" s="51">
        <v>6</v>
      </c>
      <c r="W64" s="51">
        <v>1.5</v>
      </c>
      <c r="X64" s="51">
        <v>2</v>
      </c>
      <c r="Y64" s="53" t="s">
        <v>158</v>
      </c>
      <c r="Z64" s="54">
        <v>1000</v>
      </c>
      <c r="AA64" s="25"/>
      <c r="AB64" s="25"/>
    </row>
    <row r="65" spans="2:28">
      <c r="B65" s="40">
        <v>0.78125</v>
      </c>
      <c r="C65" s="40" t="s">
        <v>396</v>
      </c>
      <c r="D65" s="45">
        <v>1</v>
      </c>
      <c r="E65" s="45">
        <v>2</v>
      </c>
      <c r="F65" s="42" t="s">
        <v>150</v>
      </c>
      <c r="G65" s="43" t="s">
        <v>156</v>
      </c>
      <c r="H65" s="42" t="s">
        <v>157</v>
      </c>
      <c r="I65" s="43">
        <v>2</v>
      </c>
      <c r="J65" s="43">
        <v>2</v>
      </c>
      <c r="K65" s="25" t="str">
        <f>VLOOKUP(J65,Key!$E$2:$F$9,2,FALSE)</f>
        <v>Work</v>
      </c>
      <c r="L65" s="42" t="s">
        <v>160</v>
      </c>
      <c r="M65" s="43" t="s">
        <v>156</v>
      </c>
      <c r="N65" s="42" t="s">
        <v>157</v>
      </c>
      <c r="O65" s="51">
        <v>1</v>
      </c>
      <c r="P65" s="51">
        <v>1</v>
      </c>
      <c r="Q65" s="25" t="str">
        <f>VLOOKUP(P65,Key!$E$2:$F$9,2,FALSE)</f>
        <v>Home</v>
      </c>
      <c r="R65" s="25" t="str">
        <f t="shared" si="1"/>
        <v>Work-Home</v>
      </c>
      <c r="S65" s="52">
        <v>5</v>
      </c>
      <c r="T65" s="52">
        <v>0.1</v>
      </c>
      <c r="U65" s="52">
        <v>1</v>
      </c>
      <c r="V65" s="51"/>
      <c r="W65" s="51"/>
      <c r="X65" s="51"/>
      <c r="Y65" s="53" t="s">
        <v>158</v>
      </c>
      <c r="Z65" s="54">
        <v>1000</v>
      </c>
      <c r="AA65" s="25"/>
      <c r="AB65" s="25"/>
    </row>
    <row r="66" spans="2:28">
      <c r="B66" s="40">
        <v>0.78472222222222221</v>
      </c>
      <c r="C66" s="40" t="s">
        <v>397</v>
      </c>
      <c r="D66" s="45">
        <v>1</v>
      </c>
      <c r="E66" s="45">
        <v>1</v>
      </c>
      <c r="F66" s="42" t="s">
        <v>187</v>
      </c>
      <c r="G66" s="43" t="s">
        <v>187</v>
      </c>
      <c r="H66" s="42" t="s">
        <v>157</v>
      </c>
      <c r="I66" s="43">
        <v>2</v>
      </c>
      <c r="J66" s="43">
        <v>2</v>
      </c>
      <c r="K66" s="25" t="str">
        <f>VLOOKUP(J66,Key!$E$2:$F$9,2,FALSE)</f>
        <v>Work</v>
      </c>
      <c r="L66" s="42" t="s">
        <v>207</v>
      </c>
      <c r="M66" s="43" t="s">
        <v>156</v>
      </c>
      <c r="N66" s="42" t="s">
        <v>157</v>
      </c>
      <c r="O66" s="51">
        <v>1</v>
      </c>
      <c r="P66" s="51">
        <v>1</v>
      </c>
      <c r="Q66" s="25" t="str">
        <f>VLOOKUP(P66,Key!$E$2:$F$9,2,FALSE)</f>
        <v>Home</v>
      </c>
      <c r="R66" s="25" t="str">
        <f t="shared" si="1"/>
        <v>Work-Home</v>
      </c>
      <c r="S66" s="52">
        <v>15</v>
      </c>
      <c r="T66" s="52">
        <v>1.5</v>
      </c>
      <c r="U66" s="52"/>
      <c r="V66" s="51"/>
      <c r="W66" s="51"/>
      <c r="X66" s="51"/>
      <c r="Y66" s="53" t="s">
        <v>158</v>
      </c>
      <c r="Z66" s="54">
        <v>0</v>
      </c>
      <c r="AA66" s="25"/>
      <c r="AB66" s="25"/>
    </row>
    <row r="67" spans="2:28">
      <c r="B67" s="40">
        <v>0.32083333333333336</v>
      </c>
      <c r="C67" s="40" t="s">
        <v>398</v>
      </c>
      <c r="D67" s="45">
        <v>1</v>
      </c>
      <c r="E67" s="45">
        <v>3</v>
      </c>
      <c r="F67" s="42" t="s">
        <v>150</v>
      </c>
      <c r="G67" s="43" t="s">
        <v>156</v>
      </c>
      <c r="H67" s="42" t="s">
        <v>157</v>
      </c>
      <c r="I67" s="43">
        <v>1</v>
      </c>
      <c r="J67" s="43">
        <v>1</v>
      </c>
      <c r="K67" s="25" t="str">
        <f>VLOOKUP(J67,Key!$E$2:$F$9,2,FALSE)</f>
        <v>Home</v>
      </c>
      <c r="L67" s="42" t="s">
        <v>155</v>
      </c>
      <c r="M67" s="43" t="s">
        <v>156</v>
      </c>
      <c r="N67" s="42" t="s">
        <v>157</v>
      </c>
      <c r="O67" s="51">
        <v>2</v>
      </c>
      <c r="P67" s="51">
        <v>2</v>
      </c>
      <c r="Q67" s="25" t="str">
        <f>VLOOKUP(P67,Key!$E$2:$F$9,2,FALSE)</f>
        <v>Work</v>
      </c>
      <c r="R67" s="25" t="str">
        <f t="shared" si="1"/>
        <v>Home-Work</v>
      </c>
      <c r="S67" s="52">
        <v>1.5</v>
      </c>
      <c r="T67" s="52">
        <v>0.1</v>
      </c>
      <c r="U67" s="52">
        <v>1</v>
      </c>
      <c r="V67" s="51"/>
      <c r="W67" s="51"/>
      <c r="X67" s="51"/>
      <c r="Y67" s="53" t="s">
        <v>158</v>
      </c>
      <c r="Z67" s="54">
        <v>1000</v>
      </c>
      <c r="AA67" s="25"/>
      <c r="AB67" s="25"/>
    </row>
    <row r="68" spans="2:28">
      <c r="B68" s="40">
        <v>0.3125</v>
      </c>
      <c r="C68" s="40" t="s">
        <v>399</v>
      </c>
      <c r="D68" s="44">
        <v>4</v>
      </c>
      <c r="E68" s="45">
        <v>2</v>
      </c>
      <c r="F68" s="42" t="s">
        <v>162</v>
      </c>
      <c r="G68" s="43" t="s">
        <v>156</v>
      </c>
      <c r="H68" s="42" t="s">
        <v>157</v>
      </c>
      <c r="I68" s="43">
        <v>6</v>
      </c>
      <c r="J68" s="43">
        <v>2</v>
      </c>
      <c r="K68" s="25" t="str">
        <f>VLOOKUP(J68,Key!$E$2:$F$9,2,FALSE)</f>
        <v>Work</v>
      </c>
      <c r="L68" s="42" t="s">
        <v>207</v>
      </c>
      <c r="M68" s="43" t="s">
        <v>156</v>
      </c>
      <c r="N68" s="42" t="s">
        <v>157</v>
      </c>
      <c r="O68" s="51">
        <v>6</v>
      </c>
      <c r="P68" s="51">
        <v>2</v>
      </c>
      <c r="Q68" s="25" t="str">
        <f>VLOOKUP(P68,Key!$E$2:$F$9,2,FALSE)</f>
        <v>Work</v>
      </c>
      <c r="R68" s="25" t="str">
        <f t="shared" si="1"/>
        <v>Work-Work</v>
      </c>
      <c r="S68" s="52">
        <v>15</v>
      </c>
      <c r="T68" s="52">
        <v>1.5</v>
      </c>
      <c r="U68" s="52">
        <v>4</v>
      </c>
      <c r="V68" s="51"/>
      <c r="W68" s="51"/>
      <c r="X68" s="51"/>
      <c r="Y68" s="53" t="s">
        <v>158</v>
      </c>
      <c r="Z68" s="54">
        <v>0</v>
      </c>
      <c r="AA68" s="25"/>
      <c r="AB68" s="25"/>
    </row>
    <row r="69" spans="2:28">
      <c r="B69" s="40">
        <v>0.78888888888888886</v>
      </c>
      <c r="C69" s="40" t="s">
        <v>328</v>
      </c>
      <c r="D69" s="44">
        <v>1</v>
      </c>
      <c r="E69" s="45">
        <v>1</v>
      </c>
      <c r="F69" s="42" t="s">
        <v>150</v>
      </c>
      <c r="G69" s="43" t="s">
        <v>156</v>
      </c>
      <c r="H69" s="42" t="s">
        <v>157</v>
      </c>
      <c r="I69" s="43">
        <v>2</v>
      </c>
      <c r="J69" s="43">
        <v>2</v>
      </c>
      <c r="K69" s="25" t="str">
        <f>VLOOKUP(J69,Key!$E$2:$F$9,2,FALSE)</f>
        <v>Work</v>
      </c>
      <c r="L69" s="42" t="s">
        <v>155</v>
      </c>
      <c r="M69" s="43" t="s">
        <v>156</v>
      </c>
      <c r="N69" s="42" t="s">
        <v>157</v>
      </c>
      <c r="O69" s="51">
        <v>1</v>
      </c>
      <c r="P69" s="51">
        <v>1</v>
      </c>
      <c r="Q69" s="25" t="str">
        <f>VLOOKUP(P69,Key!$E$2:$F$9,2,FALSE)</f>
        <v>Home</v>
      </c>
      <c r="R69" s="25" t="str">
        <f t="shared" si="1"/>
        <v>Work-Home</v>
      </c>
      <c r="S69" s="52">
        <v>1</v>
      </c>
      <c r="T69" s="52">
        <v>0.3</v>
      </c>
      <c r="U69" s="52">
        <v>1</v>
      </c>
      <c r="V69" s="51"/>
      <c r="W69" s="51"/>
      <c r="X69" s="51"/>
      <c r="Y69" s="53" t="s">
        <v>158</v>
      </c>
      <c r="Z69" s="54">
        <v>1000</v>
      </c>
      <c r="AA69" s="25"/>
      <c r="AB69" s="25"/>
    </row>
    <row r="70" spans="2:28">
      <c r="B70" s="40">
        <v>0.27708333333333335</v>
      </c>
      <c r="C70" s="40" t="s">
        <v>400</v>
      </c>
      <c r="D70" s="45">
        <v>4</v>
      </c>
      <c r="E70" s="42">
        <v>7</v>
      </c>
      <c r="F70" s="42" t="s">
        <v>339</v>
      </c>
      <c r="G70" s="43" t="s">
        <v>187</v>
      </c>
      <c r="H70" s="42" t="s">
        <v>157</v>
      </c>
      <c r="I70" s="43">
        <v>6</v>
      </c>
      <c r="J70" s="43">
        <v>4</v>
      </c>
      <c r="K70" s="25" t="str">
        <f>VLOOKUP(J70,Key!$E$2:$F$9,2,FALSE)</f>
        <v>Commercial</v>
      </c>
      <c r="L70" s="42" t="s">
        <v>155</v>
      </c>
      <c r="M70" s="43" t="s">
        <v>156</v>
      </c>
      <c r="N70" s="42" t="s">
        <v>157</v>
      </c>
      <c r="O70" s="51">
        <v>6</v>
      </c>
      <c r="P70" s="51">
        <v>4</v>
      </c>
      <c r="Q70" s="25" t="str">
        <f>VLOOKUP(P70,Key!$E$2:$F$9,2,FALSE)</f>
        <v>Commercial</v>
      </c>
      <c r="R70" s="25" t="str">
        <f t="shared" si="1"/>
        <v>Commercial-Commercial</v>
      </c>
      <c r="S70" s="52">
        <v>120</v>
      </c>
      <c r="T70" s="52">
        <v>2</v>
      </c>
      <c r="U70" s="52">
        <v>2</v>
      </c>
      <c r="V70" s="51"/>
      <c r="W70" s="51"/>
      <c r="X70" s="51"/>
      <c r="Y70" s="53" t="s">
        <v>158</v>
      </c>
      <c r="Z70" s="54">
        <v>5000</v>
      </c>
      <c r="AA70" s="25"/>
      <c r="AB70" s="25"/>
    </row>
    <row r="71" spans="2:28">
      <c r="B71" s="40">
        <v>0.76041666666666663</v>
      </c>
      <c r="C71" s="40" t="s">
        <v>401</v>
      </c>
      <c r="D71" s="45">
        <v>1</v>
      </c>
      <c r="E71" s="45">
        <v>1</v>
      </c>
      <c r="F71" s="42" t="s">
        <v>150</v>
      </c>
      <c r="G71" s="43" t="s">
        <v>156</v>
      </c>
      <c r="H71" s="42" t="s">
        <v>157</v>
      </c>
      <c r="I71" s="43">
        <v>2</v>
      </c>
      <c r="J71" s="43">
        <v>2</v>
      </c>
      <c r="K71" s="25" t="str">
        <f>VLOOKUP(J71,Key!$E$2:$F$9,2,FALSE)</f>
        <v>Work</v>
      </c>
      <c r="L71" s="42" t="s">
        <v>155</v>
      </c>
      <c r="M71" s="43" t="s">
        <v>156</v>
      </c>
      <c r="N71" s="42" t="s">
        <v>157</v>
      </c>
      <c r="O71" s="51">
        <v>1</v>
      </c>
      <c r="P71" s="51">
        <v>1</v>
      </c>
      <c r="Q71" s="25" t="str">
        <f>VLOOKUP(P71,Key!$E$2:$F$9,2,FALSE)</f>
        <v>Home</v>
      </c>
      <c r="R71" s="25" t="str">
        <f t="shared" si="1"/>
        <v>Work-Home</v>
      </c>
      <c r="S71" s="52">
        <v>1</v>
      </c>
      <c r="T71" s="52">
        <v>0.3</v>
      </c>
      <c r="U71" s="52">
        <v>1</v>
      </c>
      <c r="V71" s="51"/>
      <c r="W71" s="51"/>
      <c r="X71" s="51"/>
      <c r="Y71" s="53" t="s">
        <v>158</v>
      </c>
      <c r="Z71" s="54">
        <v>1000</v>
      </c>
      <c r="AA71" s="25"/>
      <c r="AB71" s="25"/>
    </row>
    <row r="72" spans="2:28">
      <c r="B72" s="40">
        <v>0.73402777777777783</v>
      </c>
      <c r="C72" s="40" t="s">
        <v>402</v>
      </c>
      <c r="D72" s="45">
        <v>1</v>
      </c>
      <c r="E72" s="45">
        <v>1</v>
      </c>
      <c r="F72" s="42" t="s">
        <v>150</v>
      </c>
      <c r="G72" s="43" t="s">
        <v>156</v>
      </c>
      <c r="H72" s="42" t="s">
        <v>157</v>
      </c>
      <c r="I72" s="43">
        <v>2</v>
      </c>
      <c r="J72" s="43">
        <v>2</v>
      </c>
      <c r="K72" s="25" t="str">
        <f>VLOOKUP(J72,Key!$E$2:$F$9,2,FALSE)</f>
        <v>Work</v>
      </c>
      <c r="L72" s="42" t="s">
        <v>150</v>
      </c>
      <c r="M72" s="43" t="s">
        <v>156</v>
      </c>
      <c r="N72" s="42" t="s">
        <v>157</v>
      </c>
      <c r="O72" s="51">
        <v>1</v>
      </c>
      <c r="P72" s="51">
        <v>1</v>
      </c>
      <c r="Q72" s="25" t="str">
        <f>VLOOKUP(P72,Key!$E$2:$F$9,2,FALSE)</f>
        <v>Home</v>
      </c>
      <c r="R72" s="25" t="str">
        <f t="shared" si="1"/>
        <v>Work-Home</v>
      </c>
      <c r="S72" s="52">
        <v>1</v>
      </c>
      <c r="T72" s="52">
        <v>0.3</v>
      </c>
      <c r="U72" s="52">
        <v>1</v>
      </c>
      <c r="V72" s="51"/>
      <c r="W72" s="51"/>
      <c r="X72" s="51"/>
      <c r="Y72" s="53" t="s">
        <v>158</v>
      </c>
      <c r="Z72" s="54">
        <v>1000</v>
      </c>
      <c r="AA72" s="25"/>
      <c r="AB72" s="25"/>
    </row>
    <row r="73" spans="2:28">
      <c r="B73" s="40">
        <v>0.72638888888888886</v>
      </c>
      <c r="C73" s="40" t="s">
        <v>403</v>
      </c>
      <c r="D73" s="45">
        <v>4</v>
      </c>
      <c r="E73" s="45">
        <v>1</v>
      </c>
      <c r="F73" s="42" t="s">
        <v>339</v>
      </c>
      <c r="G73" s="43" t="s">
        <v>187</v>
      </c>
      <c r="H73" s="42" t="s">
        <v>157</v>
      </c>
      <c r="I73" s="43">
        <v>6</v>
      </c>
      <c r="J73" s="43">
        <v>4</v>
      </c>
      <c r="K73" s="25" t="str">
        <f>VLOOKUP(J73,Key!$E$2:$F$9,2,FALSE)</f>
        <v>Commercial</v>
      </c>
      <c r="L73" s="42" t="s">
        <v>155</v>
      </c>
      <c r="M73" s="43" t="s">
        <v>156</v>
      </c>
      <c r="N73" s="42" t="s">
        <v>157</v>
      </c>
      <c r="O73" s="51">
        <v>6</v>
      </c>
      <c r="P73" s="51">
        <v>4</v>
      </c>
      <c r="Q73" s="25" t="str">
        <f>VLOOKUP(P73,Key!$E$2:$F$9,2,FALSE)</f>
        <v>Commercial</v>
      </c>
      <c r="R73" s="25" t="str">
        <f t="shared" si="1"/>
        <v>Commercial-Commercial</v>
      </c>
      <c r="S73" s="52">
        <v>20</v>
      </c>
      <c r="T73" s="52">
        <v>0.5</v>
      </c>
      <c r="U73" s="52">
        <v>2</v>
      </c>
      <c r="V73" s="51"/>
      <c r="W73" s="51"/>
      <c r="X73" s="51"/>
      <c r="Y73" s="53" t="s">
        <v>158</v>
      </c>
      <c r="Z73" s="54">
        <v>1000</v>
      </c>
      <c r="AA73" s="25"/>
      <c r="AB73" s="25"/>
    </row>
    <row r="74" spans="2:28">
      <c r="B74" s="40">
        <v>0.71458333333333324</v>
      </c>
      <c r="C74" s="40" t="s">
        <v>174</v>
      </c>
      <c r="D74" s="45">
        <v>1</v>
      </c>
      <c r="E74" s="45">
        <v>1</v>
      </c>
      <c r="F74" s="42" t="s">
        <v>404</v>
      </c>
      <c r="G74" s="43" t="s">
        <v>156</v>
      </c>
      <c r="H74" s="42" t="s">
        <v>157</v>
      </c>
      <c r="I74" s="43">
        <v>6</v>
      </c>
      <c r="J74" s="43">
        <v>4</v>
      </c>
      <c r="K74" s="25" t="str">
        <f>VLOOKUP(J74,Key!$E$2:$F$9,2,FALSE)</f>
        <v>Commercial</v>
      </c>
      <c r="L74" s="42" t="s">
        <v>155</v>
      </c>
      <c r="M74" s="43" t="s">
        <v>156</v>
      </c>
      <c r="N74" s="42" t="s">
        <v>157</v>
      </c>
      <c r="O74" s="51">
        <v>6</v>
      </c>
      <c r="P74" s="51">
        <v>4</v>
      </c>
      <c r="Q74" s="25" t="str">
        <f>VLOOKUP(P74,Key!$E$2:$F$9,2,FALSE)</f>
        <v>Commercial</v>
      </c>
      <c r="R74" s="25" t="str">
        <f t="shared" si="1"/>
        <v>Commercial-Commercial</v>
      </c>
      <c r="S74" s="52">
        <v>20</v>
      </c>
      <c r="T74" s="52">
        <v>0.7</v>
      </c>
      <c r="U74" s="52">
        <v>2</v>
      </c>
      <c r="V74" s="51"/>
      <c r="W74" s="51"/>
      <c r="X74" s="51"/>
      <c r="Y74" s="53" t="s">
        <v>158</v>
      </c>
      <c r="Z74" s="54">
        <v>1000</v>
      </c>
      <c r="AA74" s="25"/>
      <c r="AB74" s="25"/>
    </row>
    <row r="75" spans="2:28">
      <c r="B75" s="40">
        <v>0.72291666666666676</v>
      </c>
      <c r="C75" s="40" t="s">
        <v>405</v>
      </c>
      <c r="D75" s="45">
        <v>1</v>
      </c>
      <c r="E75" s="45">
        <v>3</v>
      </c>
      <c r="F75" s="42" t="s">
        <v>201</v>
      </c>
      <c r="G75" s="43" t="s">
        <v>201</v>
      </c>
      <c r="H75" s="42" t="s">
        <v>157</v>
      </c>
      <c r="I75" s="43">
        <v>6</v>
      </c>
      <c r="J75" s="43">
        <v>4</v>
      </c>
      <c r="K75" s="25" t="str">
        <f>VLOOKUP(J75,Key!$E$2:$F$9,2,FALSE)</f>
        <v>Commercial</v>
      </c>
      <c r="L75" s="42" t="s">
        <v>162</v>
      </c>
      <c r="M75" s="43" t="s">
        <v>156</v>
      </c>
      <c r="N75" s="42" t="s">
        <v>157</v>
      </c>
      <c r="O75" s="51">
        <v>6</v>
      </c>
      <c r="P75" s="51">
        <v>4</v>
      </c>
      <c r="Q75" s="25" t="str">
        <f>VLOOKUP(P75,Key!$E$2:$F$9,2,FALSE)</f>
        <v>Commercial</v>
      </c>
      <c r="R75" s="25" t="str">
        <f t="shared" si="1"/>
        <v>Commercial-Commercial</v>
      </c>
      <c r="S75" s="52">
        <v>1</v>
      </c>
      <c r="T75" s="52">
        <v>0.3</v>
      </c>
      <c r="U75" s="52">
        <v>2</v>
      </c>
      <c r="V75" s="51"/>
      <c r="W75" s="51"/>
      <c r="X75" s="51"/>
      <c r="Y75" s="53" t="s">
        <v>158</v>
      </c>
      <c r="Z75" s="54">
        <v>5000</v>
      </c>
      <c r="AA75" s="25"/>
      <c r="AB75" s="25"/>
    </row>
    <row r="76" spans="2:28">
      <c r="B76" s="40">
        <v>0.7055555555555556</v>
      </c>
      <c r="C76" s="40" t="s">
        <v>406</v>
      </c>
      <c r="D76" s="44">
        <v>1</v>
      </c>
      <c r="E76" s="45">
        <v>2</v>
      </c>
      <c r="F76" s="42" t="s">
        <v>150</v>
      </c>
      <c r="G76" s="43" t="s">
        <v>156</v>
      </c>
      <c r="H76" s="42" t="s">
        <v>157</v>
      </c>
      <c r="I76" s="43">
        <v>2</v>
      </c>
      <c r="J76" s="43">
        <v>2</v>
      </c>
      <c r="K76" s="25" t="str">
        <f>VLOOKUP(J76,Key!$E$2:$F$9,2,FALSE)</f>
        <v>Work</v>
      </c>
      <c r="L76" s="42" t="s">
        <v>162</v>
      </c>
      <c r="M76" s="43" t="s">
        <v>156</v>
      </c>
      <c r="N76" s="42" t="s">
        <v>157</v>
      </c>
      <c r="O76" s="51">
        <v>1</v>
      </c>
      <c r="P76" s="51">
        <v>1</v>
      </c>
      <c r="Q76" s="25" t="str">
        <f>VLOOKUP(P76,Key!$E$2:$F$9,2,FALSE)</f>
        <v>Home</v>
      </c>
      <c r="R76" s="25" t="str">
        <f t="shared" si="1"/>
        <v>Work-Home</v>
      </c>
      <c r="S76" s="52">
        <v>1</v>
      </c>
      <c r="T76" s="52">
        <v>0.3</v>
      </c>
      <c r="U76" s="52">
        <v>1</v>
      </c>
      <c r="V76" s="51"/>
      <c r="W76" s="51"/>
      <c r="X76" s="51"/>
      <c r="Y76" s="53" t="s">
        <v>158</v>
      </c>
      <c r="Z76" s="54">
        <v>2000</v>
      </c>
      <c r="AA76" s="25"/>
      <c r="AB76" s="25"/>
    </row>
    <row r="77" spans="2:28">
      <c r="B77" s="40">
        <v>0.68958333333333333</v>
      </c>
      <c r="C77" s="40" t="s">
        <v>407</v>
      </c>
      <c r="D77" s="45">
        <v>4</v>
      </c>
      <c r="E77" s="42">
        <v>3</v>
      </c>
      <c r="F77" s="42" t="s">
        <v>150</v>
      </c>
      <c r="G77" s="43" t="s">
        <v>156</v>
      </c>
      <c r="H77" s="42" t="s">
        <v>157</v>
      </c>
      <c r="I77" s="43">
        <v>6</v>
      </c>
      <c r="J77" s="43">
        <v>4</v>
      </c>
      <c r="K77" s="25" t="str">
        <f>VLOOKUP(J77,Key!$E$2:$F$9,2,FALSE)</f>
        <v>Commercial</v>
      </c>
      <c r="L77" s="42" t="s">
        <v>155</v>
      </c>
      <c r="M77" s="43" t="s">
        <v>156</v>
      </c>
      <c r="N77" s="42" t="s">
        <v>157</v>
      </c>
      <c r="O77" s="51">
        <v>6</v>
      </c>
      <c r="P77" s="51">
        <v>4</v>
      </c>
      <c r="Q77" s="25" t="str">
        <f>VLOOKUP(P77,Key!$E$2:$F$9,2,FALSE)</f>
        <v>Commercial</v>
      </c>
      <c r="R77" s="25" t="str">
        <f t="shared" si="1"/>
        <v>Commercial-Commercial</v>
      </c>
      <c r="S77" s="52">
        <v>1</v>
      </c>
      <c r="T77" s="52">
        <v>0.3</v>
      </c>
      <c r="U77" s="52">
        <v>2</v>
      </c>
      <c r="V77" s="51"/>
      <c r="W77" s="51"/>
      <c r="X77" s="51"/>
      <c r="Y77" s="53" t="s">
        <v>158</v>
      </c>
      <c r="Z77" s="54">
        <v>1000</v>
      </c>
      <c r="AA77" s="25"/>
      <c r="AB77" s="25"/>
    </row>
    <row r="78" spans="2:28">
      <c r="B78" s="40">
        <v>0.68125000000000002</v>
      </c>
      <c r="C78" s="40" t="s">
        <v>408</v>
      </c>
      <c r="D78" s="45">
        <v>4</v>
      </c>
      <c r="E78" s="45">
        <v>4</v>
      </c>
      <c r="F78" s="42" t="s">
        <v>150</v>
      </c>
      <c r="G78" s="43" t="s">
        <v>156</v>
      </c>
      <c r="H78" s="42" t="s">
        <v>157</v>
      </c>
      <c r="I78" s="43">
        <v>6</v>
      </c>
      <c r="J78" s="43">
        <v>4</v>
      </c>
      <c r="K78" s="25" t="str">
        <f>VLOOKUP(J78,Key!$E$2:$F$9,2,FALSE)</f>
        <v>Commercial</v>
      </c>
      <c r="L78" s="42" t="s">
        <v>162</v>
      </c>
      <c r="M78" s="43" t="s">
        <v>156</v>
      </c>
      <c r="N78" s="42" t="s">
        <v>157</v>
      </c>
      <c r="O78" s="51">
        <v>6</v>
      </c>
      <c r="P78" s="51">
        <v>4</v>
      </c>
      <c r="Q78" s="25" t="str">
        <f>VLOOKUP(P78,Key!$E$2:$F$9,2,FALSE)</f>
        <v>Commercial</v>
      </c>
      <c r="R78" s="25" t="str">
        <f t="shared" si="1"/>
        <v>Commercial-Commercial</v>
      </c>
      <c r="S78" s="52">
        <v>1</v>
      </c>
      <c r="T78" s="52">
        <v>0.3</v>
      </c>
      <c r="U78" s="52">
        <v>2</v>
      </c>
      <c r="V78" s="51"/>
      <c r="W78" s="51"/>
      <c r="X78" s="51"/>
      <c r="Y78" s="53" t="s">
        <v>158</v>
      </c>
      <c r="Z78" s="54">
        <v>1000</v>
      </c>
      <c r="AA78" s="25"/>
      <c r="AB78" s="25"/>
    </row>
    <row r="79" spans="2:28">
      <c r="B79" s="40">
        <v>0.6743055555555556</v>
      </c>
      <c r="C79" s="40" t="s">
        <v>409</v>
      </c>
      <c r="D79" s="45">
        <v>1</v>
      </c>
      <c r="E79" s="45">
        <v>2</v>
      </c>
      <c r="F79" s="42" t="s">
        <v>162</v>
      </c>
      <c r="G79" s="43" t="s">
        <v>156</v>
      </c>
      <c r="H79" s="42" t="s">
        <v>157</v>
      </c>
      <c r="I79" s="43">
        <v>2</v>
      </c>
      <c r="J79" s="43">
        <v>2</v>
      </c>
      <c r="K79" s="25" t="str">
        <f>VLOOKUP(J79,Key!$E$2:$F$9,2,FALSE)</f>
        <v>Work</v>
      </c>
      <c r="L79" s="42" t="s">
        <v>160</v>
      </c>
      <c r="M79" s="43" t="s">
        <v>156</v>
      </c>
      <c r="N79" s="42" t="s">
        <v>157</v>
      </c>
      <c r="O79" s="51">
        <v>1</v>
      </c>
      <c r="P79" s="51">
        <v>1</v>
      </c>
      <c r="Q79" s="25" t="str">
        <f>VLOOKUP(P79,Key!$E$2:$F$9,2,FALSE)</f>
        <v>Home</v>
      </c>
      <c r="R79" s="25" t="str">
        <f t="shared" si="1"/>
        <v>Work-Home</v>
      </c>
      <c r="S79" s="52">
        <v>2</v>
      </c>
      <c r="T79" s="52">
        <v>0.5</v>
      </c>
      <c r="U79" s="52">
        <v>1</v>
      </c>
      <c r="V79" s="51"/>
      <c r="W79" s="51"/>
      <c r="X79" s="51"/>
      <c r="Y79" s="53" t="s">
        <v>158</v>
      </c>
      <c r="Z79" s="54">
        <v>1000</v>
      </c>
      <c r="AA79" s="25"/>
      <c r="AB79" s="25"/>
    </row>
    <row r="80" spans="2:28">
      <c r="B80" s="40">
        <v>0.66666666666666663</v>
      </c>
      <c r="C80" s="40" t="s">
        <v>410</v>
      </c>
      <c r="D80" s="45">
        <v>1</v>
      </c>
      <c r="E80" s="45">
        <v>1</v>
      </c>
      <c r="F80" s="42" t="s">
        <v>150</v>
      </c>
      <c r="G80" s="43" t="s">
        <v>156</v>
      </c>
      <c r="H80" s="42" t="s">
        <v>157</v>
      </c>
      <c r="I80" s="43">
        <v>2</v>
      </c>
      <c r="J80" s="43">
        <v>2</v>
      </c>
      <c r="K80" s="25" t="str">
        <f>VLOOKUP(J80,Key!$E$2:$F$9,2,FALSE)</f>
        <v>Work</v>
      </c>
      <c r="L80" s="42" t="s">
        <v>162</v>
      </c>
      <c r="M80" s="43" t="s">
        <v>156</v>
      </c>
      <c r="N80" s="42" t="s">
        <v>157</v>
      </c>
      <c r="O80" s="51">
        <v>1</v>
      </c>
      <c r="P80" s="51">
        <v>1</v>
      </c>
      <c r="Q80" s="25" t="str">
        <f>VLOOKUP(P80,Key!$E$2:$F$9,2,FALSE)</f>
        <v>Home</v>
      </c>
      <c r="R80" s="25" t="str">
        <f t="shared" si="1"/>
        <v>Work-Home</v>
      </c>
      <c r="S80" s="52">
        <v>1</v>
      </c>
      <c r="T80" s="52">
        <v>0.1</v>
      </c>
      <c r="U80" s="52">
        <v>1</v>
      </c>
      <c r="V80" s="51"/>
      <c r="W80" s="51"/>
      <c r="X80" s="51"/>
      <c r="Y80" s="53" t="s">
        <v>158</v>
      </c>
      <c r="Z80" s="54">
        <v>0</v>
      </c>
      <c r="AA80" s="25"/>
      <c r="AB80" s="25"/>
    </row>
    <row r="81" spans="2:28">
      <c r="B81" s="40">
        <v>0.65</v>
      </c>
      <c r="C81" s="40" t="s">
        <v>411</v>
      </c>
      <c r="D81" s="45">
        <v>1</v>
      </c>
      <c r="E81" s="45">
        <v>1</v>
      </c>
      <c r="F81" s="42" t="s">
        <v>150</v>
      </c>
      <c r="G81" s="43" t="s">
        <v>156</v>
      </c>
      <c r="H81" s="42" t="s">
        <v>157</v>
      </c>
      <c r="I81" s="43">
        <v>1</v>
      </c>
      <c r="J81" s="43">
        <v>1</v>
      </c>
      <c r="K81" s="25" t="str">
        <f>VLOOKUP(J81,Key!$E$2:$F$9,2,FALSE)</f>
        <v>Home</v>
      </c>
      <c r="L81" s="42" t="s">
        <v>155</v>
      </c>
      <c r="M81" s="43" t="s">
        <v>156</v>
      </c>
      <c r="N81" s="42" t="s">
        <v>157</v>
      </c>
      <c r="O81" s="51">
        <v>9</v>
      </c>
      <c r="P81" s="51">
        <v>4</v>
      </c>
      <c r="Q81" s="25" t="str">
        <f>VLOOKUP(P81,Key!$E$2:$F$9,2,FALSE)</f>
        <v>Commercial</v>
      </c>
      <c r="R81" s="25" t="str">
        <f t="shared" si="1"/>
        <v>Home-Commercial</v>
      </c>
      <c r="S81" s="52">
        <v>2</v>
      </c>
      <c r="T81" s="52">
        <v>0.3</v>
      </c>
      <c r="U81" s="52">
        <v>4</v>
      </c>
      <c r="V81" s="51"/>
      <c r="W81" s="51"/>
      <c r="X81" s="51"/>
      <c r="Y81" s="53" t="s">
        <v>158</v>
      </c>
      <c r="Z81" s="54">
        <v>1000</v>
      </c>
      <c r="AA81" s="25"/>
      <c r="AB81" s="25"/>
    </row>
    <row r="82" spans="2:28">
      <c r="B82" s="40">
        <v>0.65763888888888888</v>
      </c>
      <c r="C82" s="40" t="s">
        <v>412</v>
      </c>
      <c r="D82" s="45">
        <v>1</v>
      </c>
      <c r="E82" s="45">
        <v>1</v>
      </c>
      <c r="F82" s="42" t="s">
        <v>201</v>
      </c>
      <c r="G82" s="43" t="s">
        <v>201</v>
      </c>
      <c r="H82" s="42" t="s">
        <v>157</v>
      </c>
      <c r="I82" s="43">
        <v>1</v>
      </c>
      <c r="J82" s="43">
        <v>1</v>
      </c>
      <c r="K82" s="25" t="str">
        <f>VLOOKUP(J82,Key!$E$2:$F$9,2,FALSE)</f>
        <v>Home</v>
      </c>
      <c r="L82" s="42" t="s">
        <v>207</v>
      </c>
      <c r="M82" s="43" t="s">
        <v>156</v>
      </c>
      <c r="N82" s="42" t="s">
        <v>157</v>
      </c>
      <c r="O82" s="51">
        <v>16</v>
      </c>
      <c r="P82" s="51">
        <v>8</v>
      </c>
      <c r="Q82" s="25" t="str">
        <f>VLOOKUP(P82,Key!$E$2:$F$9,2,FALSE)</f>
        <v>Others</v>
      </c>
      <c r="R82" s="25" t="str">
        <f t="shared" si="1"/>
        <v>Home-Others</v>
      </c>
      <c r="S82" s="52">
        <v>2</v>
      </c>
      <c r="T82" s="52">
        <v>1</v>
      </c>
      <c r="U82" s="52">
        <v>4</v>
      </c>
      <c r="V82" s="51"/>
      <c r="W82" s="51"/>
      <c r="X82" s="51"/>
      <c r="Y82" s="53" t="s">
        <v>158</v>
      </c>
      <c r="Z82" s="54">
        <v>1000</v>
      </c>
      <c r="AA82" s="25"/>
      <c r="AB82" s="25"/>
    </row>
    <row r="83" spans="2:28">
      <c r="B83" s="40">
        <v>0.62152777777777779</v>
      </c>
      <c r="C83" s="40" t="s">
        <v>413</v>
      </c>
      <c r="D83" s="45">
        <v>1</v>
      </c>
      <c r="E83" s="45">
        <v>1</v>
      </c>
      <c r="F83" s="42" t="s">
        <v>226</v>
      </c>
      <c r="G83" s="43" t="s">
        <v>156</v>
      </c>
      <c r="H83" s="42" t="s">
        <v>157</v>
      </c>
      <c r="I83" s="43">
        <v>9</v>
      </c>
      <c r="J83" s="43">
        <v>2</v>
      </c>
      <c r="K83" s="25" t="str">
        <f>VLOOKUP(J83,Key!$E$2:$F$9,2,FALSE)</f>
        <v>Work</v>
      </c>
      <c r="L83" s="42" t="s">
        <v>155</v>
      </c>
      <c r="M83" s="43" t="s">
        <v>156</v>
      </c>
      <c r="N83" s="42" t="s">
        <v>157</v>
      </c>
      <c r="O83" s="51">
        <v>1</v>
      </c>
      <c r="P83" s="51">
        <v>1</v>
      </c>
      <c r="Q83" s="25" t="str">
        <f>VLOOKUP(P83,Key!$E$2:$F$9,2,FALSE)</f>
        <v>Home</v>
      </c>
      <c r="R83" s="25" t="str">
        <f t="shared" si="1"/>
        <v>Work-Home</v>
      </c>
      <c r="S83" s="52">
        <v>2</v>
      </c>
      <c r="T83" s="52">
        <v>0.3</v>
      </c>
      <c r="U83" s="52">
        <v>4</v>
      </c>
      <c r="V83" s="51"/>
      <c r="W83" s="51"/>
      <c r="X83" s="51"/>
      <c r="Y83" s="53" t="s">
        <v>158</v>
      </c>
      <c r="Z83" s="54">
        <v>1000</v>
      </c>
      <c r="AA83" s="25"/>
      <c r="AB83" s="25"/>
    </row>
    <row r="84" spans="2:28">
      <c r="B84" s="40">
        <v>0.6118055555555556</v>
      </c>
      <c r="C84" s="40" t="s">
        <v>414</v>
      </c>
      <c r="D84" s="44">
        <v>4</v>
      </c>
      <c r="E84" s="42">
        <v>2</v>
      </c>
      <c r="F84" s="42" t="s">
        <v>404</v>
      </c>
      <c r="G84" s="43" t="s">
        <v>156</v>
      </c>
      <c r="H84" s="42" t="s">
        <v>157</v>
      </c>
      <c r="I84" s="43">
        <v>6</v>
      </c>
      <c r="J84" s="43">
        <v>4</v>
      </c>
      <c r="K84" s="25" t="str">
        <f>VLOOKUP(J84,Key!$E$2:$F$9,2,FALSE)</f>
        <v>Commercial</v>
      </c>
      <c r="L84" s="42" t="s">
        <v>155</v>
      </c>
      <c r="M84" s="43" t="s">
        <v>156</v>
      </c>
      <c r="N84" s="42" t="s">
        <v>157</v>
      </c>
      <c r="O84" s="51">
        <v>6</v>
      </c>
      <c r="P84" s="51">
        <v>4</v>
      </c>
      <c r="Q84" s="25" t="str">
        <f>VLOOKUP(P84,Key!$E$2:$F$9,2,FALSE)</f>
        <v>Commercial</v>
      </c>
      <c r="R84" s="25" t="str">
        <f t="shared" si="1"/>
        <v>Commercial-Commercial</v>
      </c>
      <c r="S84" s="52">
        <v>2</v>
      </c>
      <c r="T84" s="52">
        <v>1</v>
      </c>
      <c r="U84" s="52">
        <v>2</v>
      </c>
      <c r="V84" s="51"/>
      <c r="W84" s="51"/>
      <c r="X84" s="51"/>
      <c r="Y84" s="53" t="s">
        <v>158</v>
      </c>
      <c r="Z84" s="54">
        <v>2000</v>
      </c>
      <c r="AA84" s="25"/>
      <c r="AB84" s="25"/>
    </row>
    <row r="85" spans="2:28">
      <c r="B85" s="40">
        <v>0.60486111111111118</v>
      </c>
      <c r="C85" s="40" t="s">
        <v>415</v>
      </c>
      <c r="D85" s="45">
        <v>4</v>
      </c>
      <c r="E85" s="45">
        <v>2</v>
      </c>
      <c r="F85" s="42" t="s">
        <v>150</v>
      </c>
      <c r="G85" s="43" t="s">
        <v>156</v>
      </c>
      <c r="H85" s="42" t="s">
        <v>157</v>
      </c>
      <c r="I85" s="43">
        <v>6</v>
      </c>
      <c r="J85" s="43">
        <v>4</v>
      </c>
      <c r="K85" s="25" t="str">
        <f>VLOOKUP(J85,Key!$E$2:$F$9,2,FALSE)</f>
        <v>Commercial</v>
      </c>
      <c r="L85" s="42" t="s">
        <v>207</v>
      </c>
      <c r="M85" s="43" t="s">
        <v>156</v>
      </c>
      <c r="N85" s="42" t="s">
        <v>157</v>
      </c>
      <c r="O85" s="51">
        <v>6</v>
      </c>
      <c r="P85" s="51">
        <v>4</v>
      </c>
      <c r="Q85" s="25" t="str">
        <f>VLOOKUP(P85,Key!$E$2:$F$9,2,FALSE)</f>
        <v>Commercial</v>
      </c>
      <c r="R85" s="25" t="str">
        <f t="shared" si="1"/>
        <v>Commercial-Commercial</v>
      </c>
      <c r="S85" s="52">
        <v>1</v>
      </c>
      <c r="T85" s="52">
        <v>0.1</v>
      </c>
      <c r="U85" s="52">
        <v>2</v>
      </c>
      <c r="V85" s="51"/>
      <c r="W85" s="51"/>
      <c r="X85" s="51"/>
      <c r="Y85" s="53" t="s">
        <v>158</v>
      </c>
      <c r="Z85" s="54">
        <v>3000</v>
      </c>
      <c r="AA85" s="25"/>
      <c r="AB85" s="25"/>
    </row>
    <row r="86" spans="2:28">
      <c r="B86" s="40">
        <v>0.58333333333333337</v>
      </c>
      <c r="C86" s="40" t="s">
        <v>416</v>
      </c>
      <c r="D86" s="44">
        <v>6</v>
      </c>
      <c r="E86" s="45">
        <v>60</v>
      </c>
      <c r="F86" s="42" t="s">
        <v>150</v>
      </c>
      <c r="G86" s="43" t="s">
        <v>156</v>
      </c>
      <c r="H86" s="42" t="s">
        <v>157</v>
      </c>
      <c r="I86" s="43">
        <v>6</v>
      </c>
      <c r="J86" s="43">
        <v>4</v>
      </c>
      <c r="K86" s="25" t="str">
        <f>VLOOKUP(J86,Key!$E$2:$F$9,2,FALSE)</f>
        <v>Commercial</v>
      </c>
      <c r="L86" s="42" t="s">
        <v>155</v>
      </c>
      <c r="M86" s="43" t="s">
        <v>156</v>
      </c>
      <c r="N86" s="42" t="s">
        <v>157</v>
      </c>
      <c r="O86" s="51">
        <v>9</v>
      </c>
      <c r="P86" s="51">
        <v>4</v>
      </c>
      <c r="Q86" s="25" t="str">
        <f>VLOOKUP(P86,Key!$E$2:$F$9,2,FALSE)</f>
        <v>Commercial</v>
      </c>
      <c r="R86" s="25" t="str">
        <f t="shared" si="1"/>
        <v>Commercial-Commercial</v>
      </c>
      <c r="S86" s="52">
        <v>1</v>
      </c>
      <c r="T86" s="52">
        <v>0.3</v>
      </c>
      <c r="U86" s="52">
        <v>3</v>
      </c>
      <c r="V86" s="51"/>
      <c r="W86" s="51"/>
      <c r="X86" s="51"/>
      <c r="Y86" s="53" t="s">
        <v>158</v>
      </c>
      <c r="Z86" s="54">
        <v>5000</v>
      </c>
      <c r="AA86" s="25"/>
      <c r="AB86" s="25"/>
    </row>
    <row r="87" spans="2:28">
      <c r="B87" s="40">
        <v>0.5756944444444444</v>
      </c>
      <c r="C87" s="40" t="s">
        <v>417</v>
      </c>
      <c r="D87" s="45">
        <v>1</v>
      </c>
      <c r="E87" s="42">
        <v>2</v>
      </c>
      <c r="F87" s="42" t="s">
        <v>224</v>
      </c>
      <c r="G87" s="43" t="s">
        <v>224</v>
      </c>
      <c r="H87" s="42" t="s">
        <v>157</v>
      </c>
      <c r="I87" s="43">
        <v>1</v>
      </c>
      <c r="J87" s="43">
        <v>1</v>
      </c>
      <c r="K87" s="25" t="str">
        <f>VLOOKUP(J87,Key!$E$2:$F$9,2,FALSE)</f>
        <v>Home</v>
      </c>
      <c r="L87" s="42" t="s">
        <v>207</v>
      </c>
      <c r="M87" s="43" t="s">
        <v>156</v>
      </c>
      <c r="N87" s="42" t="s">
        <v>157</v>
      </c>
      <c r="O87" s="51">
        <v>11</v>
      </c>
      <c r="P87" s="51">
        <v>4</v>
      </c>
      <c r="Q87" s="25" t="str">
        <f>VLOOKUP(P87,Key!$E$2:$F$9,2,FALSE)</f>
        <v>Commercial</v>
      </c>
      <c r="R87" s="25" t="str">
        <f t="shared" si="1"/>
        <v>Home-Commercial</v>
      </c>
      <c r="S87" s="52">
        <v>20</v>
      </c>
      <c r="T87" s="52">
        <v>1</v>
      </c>
      <c r="U87" s="52">
        <v>4</v>
      </c>
      <c r="V87" s="51"/>
      <c r="W87" s="51"/>
      <c r="X87" s="51"/>
      <c r="Y87" s="53" t="s">
        <v>158</v>
      </c>
      <c r="Z87" s="54">
        <v>2000</v>
      </c>
      <c r="AA87" s="25"/>
      <c r="AB87" s="25"/>
    </row>
    <row r="88" spans="2:28">
      <c r="B88" s="40">
        <v>0.57013888888888886</v>
      </c>
      <c r="C88" s="40" t="s">
        <v>418</v>
      </c>
      <c r="D88" s="45">
        <v>3</v>
      </c>
      <c r="E88" s="45">
        <v>3</v>
      </c>
      <c r="F88" s="42" t="s">
        <v>419</v>
      </c>
      <c r="G88" s="43" t="s">
        <v>187</v>
      </c>
      <c r="H88" s="42" t="s">
        <v>157</v>
      </c>
      <c r="I88" s="43">
        <v>11</v>
      </c>
      <c r="J88" s="43">
        <v>4</v>
      </c>
      <c r="K88" s="25" t="str">
        <f>VLOOKUP(J88,Key!$E$2:$F$9,2,FALSE)</f>
        <v>Commercial</v>
      </c>
      <c r="L88" s="42" t="s">
        <v>155</v>
      </c>
      <c r="M88" s="43" t="s">
        <v>156</v>
      </c>
      <c r="N88" s="42" t="s">
        <v>157</v>
      </c>
      <c r="O88" s="51">
        <v>1</v>
      </c>
      <c r="P88" s="51">
        <v>1</v>
      </c>
      <c r="Q88" s="25" t="str">
        <f>VLOOKUP(P88,Key!$E$2:$F$9,2,FALSE)</f>
        <v>Home</v>
      </c>
      <c r="R88" s="25" t="str">
        <f t="shared" si="1"/>
        <v>Commercial-Home</v>
      </c>
      <c r="S88" s="52">
        <v>35</v>
      </c>
      <c r="T88" s="52">
        <v>1.5</v>
      </c>
      <c r="U88" s="52">
        <v>5</v>
      </c>
      <c r="V88" s="51"/>
      <c r="W88" s="51"/>
      <c r="X88" s="51"/>
      <c r="Y88" s="53" t="s">
        <v>158</v>
      </c>
      <c r="Z88" s="54">
        <v>1000</v>
      </c>
      <c r="AA88" s="25"/>
      <c r="AB88" s="25"/>
    </row>
    <row r="89" spans="2:28">
      <c r="B89" s="40">
        <v>0.56319444444444444</v>
      </c>
      <c r="C89" s="40" t="s">
        <v>420</v>
      </c>
      <c r="D89" s="45">
        <v>4</v>
      </c>
      <c r="E89" s="45">
        <v>2</v>
      </c>
      <c r="F89" s="42" t="s">
        <v>196</v>
      </c>
      <c r="G89" s="43" t="s">
        <v>156</v>
      </c>
      <c r="H89" s="42" t="s">
        <v>157</v>
      </c>
      <c r="I89" s="43">
        <v>6</v>
      </c>
      <c r="J89" s="43">
        <v>4</v>
      </c>
      <c r="K89" s="25" t="str">
        <f>VLOOKUP(J89,Key!$E$2:$F$9,2,FALSE)</f>
        <v>Commercial</v>
      </c>
      <c r="L89" s="42" t="s">
        <v>155</v>
      </c>
      <c r="M89" s="43" t="s">
        <v>156</v>
      </c>
      <c r="N89" s="42" t="s">
        <v>157</v>
      </c>
      <c r="O89" s="51">
        <v>6</v>
      </c>
      <c r="P89" s="51">
        <v>4</v>
      </c>
      <c r="Q89" s="25" t="str">
        <f>VLOOKUP(P89,Key!$E$2:$F$9,2,FALSE)</f>
        <v>Commercial</v>
      </c>
      <c r="R89" s="25" t="str">
        <f t="shared" si="1"/>
        <v>Commercial-Commercial</v>
      </c>
      <c r="S89" s="52">
        <v>2</v>
      </c>
      <c r="T89" s="52">
        <v>0.5</v>
      </c>
      <c r="U89" s="52">
        <v>2</v>
      </c>
      <c r="V89" s="51"/>
      <c r="W89" s="51"/>
      <c r="X89" s="51"/>
      <c r="Y89" s="53" t="s">
        <v>158</v>
      </c>
      <c r="Z89" s="54">
        <v>1000</v>
      </c>
      <c r="AA89" s="25"/>
      <c r="AB89" s="25"/>
    </row>
    <row r="90" spans="2:28">
      <c r="B90" s="40">
        <v>0.55972222222222223</v>
      </c>
      <c r="C90" s="40" t="s">
        <v>421</v>
      </c>
      <c r="D90" s="45">
        <v>4</v>
      </c>
      <c r="E90" s="45">
        <v>2</v>
      </c>
      <c r="F90" s="42" t="s">
        <v>162</v>
      </c>
      <c r="G90" s="43" t="s">
        <v>156</v>
      </c>
      <c r="H90" s="42" t="s">
        <v>157</v>
      </c>
      <c r="I90" s="43">
        <v>6</v>
      </c>
      <c r="J90" s="43">
        <v>4</v>
      </c>
      <c r="K90" s="25" t="str">
        <f>VLOOKUP(J90,Key!$E$2:$F$9,2,FALSE)</f>
        <v>Commercial</v>
      </c>
      <c r="L90" s="42" t="s">
        <v>164</v>
      </c>
      <c r="M90" s="43" t="s">
        <v>156</v>
      </c>
      <c r="N90" s="42" t="s">
        <v>157</v>
      </c>
      <c r="O90" s="51">
        <v>6</v>
      </c>
      <c r="P90" s="51">
        <v>4</v>
      </c>
      <c r="Q90" s="25" t="str">
        <f>VLOOKUP(P90,Key!$E$2:$F$9,2,FALSE)</f>
        <v>Commercial</v>
      </c>
      <c r="R90" s="25" t="str">
        <f t="shared" si="1"/>
        <v>Commercial-Commercial</v>
      </c>
      <c r="S90" s="52">
        <v>2</v>
      </c>
      <c r="T90" s="52">
        <v>0.1</v>
      </c>
      <c r="U90" s="52">
        <v>2</v>
      </c>
      <c r="V90" s="51"/>
      <c r="W90" s="51"/>
      <c r="X90" s="51"/>
      <c r="Y90" s="53" t="s">
        <v>158</v>
      </c>
      <c r="Z90" s="54">
        <v>1000</v>
      </c>
      <c r="AA90" s="25"/>
      <c r="AB90" s="25"/>
    </row>
    <row r="91" spans="2:28">
      <c r="B91" s="40">
        <v>0.54791666666666672</v>
      </c>
      <c r="C91" s="40" t="s">
        <v>362</v>
      </c>
      <c r="D91" s="44">
        <v>2</v>
      </c>
      <c r="E91" s="45">
        <v>1</v>
      </c>
      <c r="F91" s="42" t="s">
        <v>162</v>
      </c>
      <c r="G91" s="43" t="s">
        <v>156</v>
      </c>
      <c r="H91" s="42" t="s">
        <v>157</v>
      </c>
      <c r="I91" s="43">
        <v>9</v>
      </c>
      <c r="J91" s="43">
        <v>8</v>
      </c>
      <c r="K91" s="25" t="str">
        <f>VLOOKUP(J91,Key!$E$2:$F$9,2,FALSE)</f>
        <v>Others</v>
      </c>
      <c r="L91" s="42" t="s">
        <v>155</v>
      </c>
      <c r="M91" s="43" t="s">
        <v>156</v>
      </c>
      <c r="N91" s="42" t="s">
        <v>157</v>
      </c>
      <c r="O91" s="51">
        <v>1</v>
      </c>
      <c r="P91" s="51">
        <v>1</v>
      </c>
      <c r="Q91" s="25" t="str">
        <f>VLOOKUP(P91,Key!$E$2:$F$9,2,FALSE)</f>
        <v>Home</v>
      </c>
      <c r="R91" s="25" t="str">
        <f t="shared" si="1"/>
        <v>Others-Home</v>
      </c>
      <c r="S91" s="52">
        <v>2</v>
      </c>
      <c r="T91" s="52">
        <v>0.3</v>
      </c>
      <c r="U91" s="52">
        <v>4</v>
      </c>
      <c r="V91" s="51"/>
      <c r="W91" s="51"/>
      <c r="X91" s="51"/>
      <c r="Y91" s="53" t="s">
        <v>158</v>
      </c>
      <c r="Z91" s="54">
        <v>2000</v>
      </c>
      <c r="AA91" s="25"/>
      <c r="AB91" s="25"/>
    </row>
    <row r="92" spans="2:28">
      <c r="B92" s="40">
        <v>0.54166666666666663</v>
      </c>
      <c r="C92" s="40" t="s">
        <v>366</v>
      </c>
      <c r="D92" s="44">
        <v>1</v>
      </c>
      <c r="E92" s="45">
        <v>1</v>
      </c>
      <c r="F92" s="42" t="s">
        <v>162</v>
      </c>
      <c r="G92" s="43" t="s">
        <v>156</v>
      </c>
      <c r="H92" s="42" t="s">
        <v>157</v>
      </c>
      <c r="I92" s="43">
        <v>2</v>
      </c>
      <c r="J92" s="43">
        <v>2</v>
      </c>
      <c r="K92" s="25" t="str">
        <f>VLOOKUP(J92,Key!$E$2:$F$9,2,FALSE)</f>
        <v>Work</v>
      </c>
      <c r="L92" s="42" t="s">
        <v>160</v>
      </c>
      <c r="M92" s="43" t="s">
        <v>156</v>
      </c>
      <c r="N92" s="42" t="s">
        <v>157</v>
      </c>
      <c r="O92" s="51">
        <v>1</v>
      </c>
      <c r="P92" s="51">
        <v>1</v>
      </c>
      <c r="Q92" s="25" t="str">
        <f>VLOOKUP(P92,Key!$E$2:$F$9,2,FALSE)</f>
        <v>Home</v>
      </c>
      <c r="R92" s="25" t="str">
        <f t="shared" si="1"/>
        <v>Work-Home</v>
      </c>
      <c r="S92" s="52">
        <v>1</v>
      </c>
      <c r="T92" s="52">
        <v>0.3</v>
      </c>
      <c r="U92" s="52">
        <v>2</v>
      </c>
      <c r="V92" s="51"/>
      <c r="W92" s="51"/>
      <c r="X92" s="51"/>
      <c r="Y92" s="53" t="s">
        <v>158</v>
      </c>
      <c r="Z92" s="54">
        <v>4000</v>
      </c>
      <c r="AA92" s="25"/>
      <c r="AB92" s="25"/>
    </row>
    <row r="93" spans="2:28">
      <c r="B93" s="40">
        <v>4.027777777777778E-2</v>
      </c>
      <c r="C93" s="40" t="s">
        <v>422</v>
      </c>
      <c r="D93" s="44">
        <v>6</v>
      </c>
      <c r="E93" s="42">
        <v>4</v>
      </c>
      <c r="F93" s="42" t="s">
        <v>216</v>
      </c>
      <c r="G93" s="43" t="s">
        <v>156</v>
      </c>
      <c r="H93" s="42" t="s">
        <v>157</v>
      </c>
      <c r="I93" s="43">
        <v>16</v>
      </c>
      <c r="J93" s="43">
        <v>8</v>
      </c>
      <c r="K93" s="25" t="str">
        <f>VLOOKUP(J93,Key!$E$2:$F$9,2,FALSE)</f>
        <v>Others</v>
      </c>
      <c r="L93" s="42" t="s">
        <v>160</v>
      </c>
      <c r="M93" s="43" t="s">
        <v>156</v>
      </c>
      <c r="N93" s="42" t="s">
        <v>157</v>
      </c>
      <c r="O93" s="51">
        <v>1</v>
      </c>
      <c r="P93" s="51">
        <v>1</v>
      </c>
      <c r="Q93" s="25" t="str">
        <f>VLOOKUP(P93,Key!$E$2:$F$9,2,FALSE)</f>
        <v>Home</v>
      </c>
      <c r="R93" s="25" t="str">
        <f t="shared" si="1"/>
        <v>Others-Home</v>
      </c>
      <c r="S93" s="52">
        <v>1</v>
      </c>
      <c r="T93" s="52">
        <v>0.3</v>
      </c>
      <c r="U93" s="52"/>
      <c r="V93" s="51"/>
      <c r="W93" s="51"/>
      <c r="X93" s="51"/>
      <c r="Y93" s="53"/>
      <c r="Z93" s="54"/>
      <c r="AA93" s="25"/>
      <c r="AB93" s="25"/>
    </row>
    <row r="94" spans="2:28">
      <c r="B94" s="40">
        <v>3.0555555555555555E-2</v>
      </c>
      <c r="C94" s="40" t="s">
        <v>271</v>
      </c>
      <c r="D94" s="44">
        <v>2</v>
      </c>
      <c r="E94" s="42">
        <v>2</v>
      </c>
      <c r="F94" s="42" t="s">
        <v>224</v>
      </c>
      <c r="G94" s="43" t="s">
        <v>224</v>
      </c>
      <c r="H94" s="42" t="s">
        <v>157</v>
      </c>
      <c r="I94" s="43">
        <v>1</v>
      </c>
      <c r="J94" s="43">
        <v>1</v>
      </c>
      <c r="K94" s="25" t="str">
        <f>VLOOKUP(J94,Key!$E$2:$F$9,2,FALSE)</f>
        <v>Home</v>
      </c>
      <c r="L94" s="42" t="s">
        <v>207</v>
      </c>
      <c r="M94" s="43" t="s">
        <v>156</v>
      </c>
      <c r="N94" s="42" t="s">
        <v>157</v>
      </c>
      <c r="O94" s="51">
        <v>4</v>
      </c>
      <c r="P94" s="51">
        <v>6</v>
      </c>
      <c r="Q94" s="25" t="str">
        <f>VLOOKUP(P94,Key!$E$2:$F$9,2,FALSE)</f>
        <v>Leisure/Social</v>
      </c>
      <c r="R94" s="25" t="str">
        <f t="shared" si="1"/>
        <v>Home-Leisure/Social</v>
      </c>
      <c r="S94" s="52">
        <v>60</v>
      </c>
      <c r="T94" s="52">
        <v>2</v>
      </c>
      <c r="U94" s="52">
        <v>5</v>
      </c>
      <c r="V94" s="51"/>
      <c r="W94" s="51"/>
      <c r="X94" s="51"/>
      <c r="Y94" s="53" t="s">
        <v>158</v>
      </c>
      <c r="Z94" s="54">
        <v>3000</v>
      </c>
      <c r="AA94" s="25"/>
      <c r="AB94" s="25"/>
    </row>
    <row r="95" spans="2:28">
      <c r="B95" s="40">
        <v>2.4999999999999998E-2</v>
      </c>
      <c r="C95" s="40" t="s">
        <v>210</v>
      </c>
      <c r="D95" s="45">
        <v>1</v>
      </c>
      <c r="E95" s="45">
        <v>1</v>
      </c>
      <c r="F95" s="42" t="s">
        <v>232</v>
      </c>
      <c r="G95" s="43" t="s">
        <v>187</v>
      </c>
      <c r="H95" s="42" t="s">
        <v>157</v>
      </c>
      <c r="I95" s="43">
        <v>2</v>
      </c>
      <c r="J95" s="43">
        <v>2</v>
      </c>
      <c r="K95" s="25" t="str">
        <f>VLOOKUP(J95,Key!$E$2:$F$9,2,FALSE)</f>
        <v>Work</v>
      </c>
      <c r="L95" s="42" t="s">
        <v>333</v>
      </c>
      <c r="M95" s="43" t="s">
        <v>156</v>
      </c>
      <c r="N95" s="42" t="s">
        <v>157</v>
      </c>
      <c r="O95" s="51">
        <v>1</v>
      </c>
      <c r="P95" s="51">
        <v>1</v>
      </c>
      <c r="Q95" s="25" t="str">
        <f>VLOOKUP(P95,Key!$E$2:$F$9,2,FALSE)</f>
        <v>Home</v>
      </c>
      <c r="R95" s="25" t="str">
        <f t="shared" si="1"/>
        <v>Work-Home</v>
      </c>
      <c r="S95" s="52">
        <v>2</v>
      </c>
      <c r="T95" s="52">
        <v>0.3</v>
      </c>
      <c r="U95" s="52">
        <v>4</v>
      </c>
      <c r="V95" s="51"/>
      <c r="W95" s="51"/>
      <c r="X95" s="51"/>
      <c r="Y95" s="53" t="s">
        <v>158</v>
      </c>
      <c r="Z95" s="54">
        <v>1000</v>
      </c>
      <c r="AA95" s="25"/>
      <c r="AB95" s="25"/>
    </row>
    <row r="96" spans="2:28">
      <c r="B96" s="40">
        <v>1.3888888888888888E-2</v>
      </c>
      <c r="C96" s="40" t="s">
        <v>423</v>
      </c>
      <c r="D96" s="44">
        <v>1</v>
      </c>
      <c r="E96" s="45">
        <v>1</v>
      </c>
      <c r="F96" s="42" t="s">
        <v>162</v>
      </c>
      <c r="G96" s="43" t="s">
        <v>156</v>
      </c>
      <c r="H96" s="42" t="s">
        <v>157</v>
      </c>
      <c r="I96" s="43">
        <v>1</v>
      </c>
      <c r="J96" s="43">
        <v>1</v>
      </c>
      <c r="K96" s="25" t="str">
        <f>VLOOKUP(J96,Key!$E$2:$F$9,2,FALSE)</f>
        <v>Home</v>
      </c>
      <c r="L96" s="42" t="s">
        <v>207</v>
      </c>
      <c r="M96" s="43" t="s">
        <v>156</v>
      </c>
      <c r="N96" s="42" t="s">
        <v>157</v>
      </c>
      <c r="O96" s="51">
        <v>2</v>
      </c>
      <c r="P96" s="51">
        <v>2</v>
      </c>
      <c r="Q96" s="25" t="str">
        <f>VLOOKUP(P96,Key!$E$2:$F$9,2,FALSE)</f>
        <v>Work</v>
      </c>
      <c r="R96" s="25" t="str">
        <f t="shared" si="1"/>
        <v>Home-Work</v>
      </c>
      <c r="S96" s="52">
        <v>0.5</v>
      </c>
      <c r="T96" s="52">
        <v>0.1</v>
      </c>
      <c r="U96" s="52">
        <v>1</v>
      </c>
      <c r="V96" s="51"/>
      <c r="W96" s="51"/>
      <c r="X96" s="51"/>
      <c r="Y96" s="53" t="s">
        <v>158</v>
      </c>
      <c r="Z96" s="54">
        <v>1000</v>
      </c>
      <c r="AA96" s="25"/>
      <c r="AB96" s="25"/>
    </row>
    <row r="97" spans="2:28">
      <c r="B97" s="40">
        <v>7.6388888888888886E-3</v>
      </c>
      <c r="C97" s="40" t="s">
        <v>424</v>
      </c>
      <c r="D97" s="45">
        <v>4</v>
      </c>
      <c r="E97" s="45">
        <v>2</v>
      </c>
      <c r="F97" s="42" t="s">
        <v>150</v>
      </c>
      <c r="G97" s="43" t="s">
        <v>156</v>
      </c>
      <c r="H97" s="42" t="s">
        <v>157</v>
      </c>
      <c r="I97" s="43">
        <v>6</v>
      </c>
      <c r="J97" s="43">
        <v>4</v>
      </c>
      <c r="K97" s="25" t="str">
        <f>VLOOKUP(J97,Key!$E$2:$F$9,2,FALSE)</f>
        <v>Commercial</v>
      </c>
      <c r="L97" s="42" t="s">
        <v>207</v>
      </c>
      <c r="M97" s="43" t="s">
        <v>156</v>
      </c>
      <c r="N97" s="42" t="s">
        <v>157</v>
      </c>
      <c r="O97" s="51">
        <v>6</v>
      </c>
      <c r="P97" s="51">
        <v>4</v>
      </c>
      <c r="Q97" s="25" t="str">
        <f>VLOOKUP(P97,Key!$E$2:$F$9,2,FALSE)</f>
        <v>Commercial</v>
      </c>
      <c r="R97" s="25" t="str">
        <f t="shared" si="1"/>
        <v>Commercial-Commercial</v>
      </c>
      <c r="S97" s="52">
        <v>2</v>
      </c>
      <c r="T97" s="52">
        <v>0.5</v>
      </c>
      <c r="U97" s="52">
        <v>2</v>
      </c>
      <c r="V97" s="51"/>
      <c r="W97" s="51"/>
      <c r="X97" s="51"/>
      <c r="Y97" s="53" t="s">
        <v>158</v>
      </c>
      <c r="Z97" s="54">
        <v>5000</v>
      </c>
      <c r="AA97" s="25"/>
      <c r="AB97" s="25"/>
    </row>
    <row r="98" spans="2:28">
      <c r="B98" s="40">
        <v>1.3194444444444444E-2</v>
      </c>
      <c r="C98" s="40" t="s">
        <v>425</v>
      </c>
      <c r="D98" s="45">
        <v>1</v>
      </c>
      <c r="E98" s="45">
        <v>3</v>
      </c>
      <c r="F98" s="42" t="s">
        <v>150</v>
      </c>
      <c r="G98" s="43" t="s">
        <v>156</v>
      </c>
      <c r="H98" s="42" t="s">
        <v>157</v>
      </c>
      <c r="I98" s="43">
        <v>1</v>
      </c>
      <c r="J98" s="43">
        <v>1</v>
      </c>
      <c r="K98" s="25" t="str">
        <f>VLOOKUP(J98,Key!$E$2:$F$9,2,FALSE)</f>
        <v>Home</v>
      </c>
      <c r="L98" s="42" t="s">
        <v>207</v>
      </c>
      <c r="M98" s="43" t="s">
        <v>156</v>
      </c>
      <c r="N98" s="42" t="s">
        <v>157</v>
      </c>
      <c r="O98" s="51">
        <v>5</v>
      </c>
      <c r="P98" s="51">
        <v>7</v>
      </c>
      <c r="Q98" s="25" t="str">
        <f>VLOOKUP(P98,Key!$E$2:$F$9,2,FALSE)</f>
        <v>Hospital</v>
      </c>
      <c r="R98" s="25" t="str">
        <f t="shared" si="1"/>
        <v>Home-Hospital</v>
      </c>
      <c r="S98" s="52">
        <v>0.5</v>
      </c>
      <c r="T98" s="52">
        <v>0.3</v>
      </c>
      <c r="U98" s="52">
        <v>5</v>
      </c>
      <c r="V98" s="51"/>
      <c r="W98" s="51"/>
      <c r="X98" s="51"/>
      <c r="Y98" s="53" t="s">
        <v>158</v>
      </c>
      <c r="Z98" s="54">
        <v>4000</v>
      </c>
      <c r="AA98" s="25"/>
      <c r="AB98" s="25"/>
    </row>
    <row r="99" spans="2:28">
      <c r="B99" s="40">
        <v>4.8611111111111112E-3</v>
      </c>
      <c r="C99" s="40" t="s">
        <v>426</v>
      </c>
      <c r="D99" s="44">
        <v>2</v>
      </c>
      <c r="E99" s="45">
        <v>2</v>
      </c>
      <c r="F99" s="42" t="s">
        <v>247</v>
      </c>
      <c r="G99" s="43" t="s">
        <v>187</v>
      </c>
      <c r="H99" s="42" t="s">
        <v>157</v>
      </c>
      <c r="I99" s="43">
        <v>4</v>
      </c>
      <c r="J99" s="43">
        <v>4</v>
      </c>
      <c r="K99" s="25" t="str">
        <f>VLOOKUP(J99,Key!$E$2:$F$9,2,FALSE)</f>
        <v>Commercial</v>
      </c>
      <c r="L99" s="42" t="s">
        <v>155</v>
      </c>
      <c r="M99" s="43" t="s">
        <v>156</v>
      </c>
      <c r="N99" s="42" t="s">
        <v>157</v>
      </c>
      <c r="O99" s="51">
        <v>4</v>
      </c>
      <c r="P99" s="51">
        <v>4</v>
      </c>
      <c r="Q99" s="25" t="str">
        <f>VLOOKUP(P99,Key!$E$2:$F$9,2,FALSE)</f>
        <v>Commercial</v>
      </c>
      <c r="R99" s="25" t="str">
        <f t="shared" si="1"/>
        <v>Commercial-Commercial</v>
      </c>
      <c r="S99" s="52">
        <v>40</v>
      </c>
      <c r="T99" s="52">
        <v>1.5</v>
      </c>
      <c r="U99" s="52">
        <v>6</v>
      </c>
      <c r="V99" s="51"/>
      <c r="W99" s="51"/>
      <c r="X99" s="51"/>
      <c r="Y99" s="53" t="s">
        <v>385</v>
      </c>
      <c r="Z99" s="54">
        <v>0</v>
      </c>
      <c r="AA99" s="25"/>
      <c r="AB99" s="25"/>
    </row>
    <row r="100" spans="2:28">
      <c r="B100" s="40">
        <v>0</v>
      </c>
      <c r="C100" s="40" t="s">
        <v>427</v>
      </c>
      <c r="D100" s="45">
        <v>1</v>
      </c>
      <c r="E100" s="45">
        <v>1</v>
      </c>
      <c r="F100" s="42" t="s">
        <v>162</v>
      </c>
      <c r="G100" s="43" t="s">
        <v>156</v>
      </c>
      <c r="H100" s="42" t="s">
        <v>157</v>
      </c>
      <c r="I100" s="43">
        <v>1</v>
      </c>
      <c r="J100" s="43">
        <v>1</v>
      </c>
      <c r="K100" s="25" t="str">
        <f>VLOOKUP(J100,Key!$E$2:$F$9,2,FALSE)</f>
        <v>Home</v>
      </c>
      <c r="L100" s="42" t="s">
        <v>155</v>
      </c>
      <c r="M100" s="43" t="s">
        <v>156</v>
      </c>
      <c r="N100" s="42" t="s">
        <v>157</v>
      </c>
      <c r="O100" s="51">
        <v>2</v>
      </c>
      <c r="P100" s="51">
        <v>2</v>
      </c>
      <c r="Q100" s="25" t="str">
        <f>VLOOKUP(P100,Key!$E$2:$F$9,2,FALSE)</f>
        <v>Work</v>
      </c>
      <c r="R100" s="25" t="str">
        <f t="shared" si="1"/>
        <v>Home-Work</v>
      </c>
      <c r="S100" s="52">
        <v>1</v>
      </c>
      <c r="T100" s="52">
        <v>0.3</v>
      </c>
      <c r="U100" s="52">
        <v>2</v>
      </c>
      <c r="V100" s="51"/>
      <c r="W100" s="51"/>
      <c r="X100" s="51"/>
      <c r="Y100" s="53" t="s">
        <v>158</v>
      </c>
      <c r="Z100" s="54">
        <v>1000</v>
      </c>
      <c r="AA100" s="25"/>
      <c r="AB100" s="25"/>
    </row>
    <row r="101" spans="2:28">
      <c r="B101" s="40">
        <v>0.49236111111111108</v>
      </c>
      <c r="C101" s="40" t="s">
        <v>428</v>
      </c>
      <c r="D101" s="45">
        <v>1</v>
      </c>
      <c r="E101" s="45">
        <v>3</v>
      </c>
      <c r="F101" s="42" t="s">
        <v>339</v>
      </c>
      <c r="G101" s="43" t="s">
        <v>187</v>
      </c>
      <c r="H101" s="42" t="s">
        <v>157</v>
      </c>
      <c r="I101" s="43">
        <v>5</v>
      </c>
      <c r="J101" s="43">
        <v>7</v>
      </c>
      <c r="K101" s="25" t="str">
        <f>VLOOKUP(J101,Key!$E$2:$F$9,2,FALSE)</f>
        <v>Hospital</v>
      </c>
      <c r="L101" s="42" t="s">
        <v>162</v>
      </c>
      <c r="M101" s="43" t="s">
        <v>156</v>
      </c>
      <c r="N101" s="42" t="s">
        <v>157</v>
      </c>
      <c r="O101" s="51">
        <v>1</v>
      </c>
      <c r="P101" s="51">
        <v>1</v>
      </c>
      <c r="Q101" s="25" t="str">
        <f>VLOOKUP(P101,Key!$E$2:$F$9,2,FALSE)</f>
        <v>Home</v>
      </c>
      <c r="R101" s="25" t="str">
        <f t="shared" si="1"/>
        <v>Hospital-Home</v>
      </c>
      <c r="S101" s="52">
        <v>30</v>
      </c>
      <c r="T101" s="52">
        <v>1</v>
      </c>
      <c r="U101" s="52">
        <v>5</v>
      </c>
      <c r="V101" s="51"/>
      <c r="W101" s="51"/>
      <c r="X101" s="51"/>
      <c r="Y101" s="53" t="s">
        <v>158</v>
      </c>
      <c r="Z101" s="54">
        <v>3000</v>
      </c>
      <c r="AA101" s="25"/>
      <c r="AB101" s="25"/>
    </row>
    <row r="102" spans="2:28">
      <c r="B102" s="40">
        <v>0.48541666666666666</v>
      </c>
      <c r="C102" s="40" t="s">
        <v>429</v>
      </c>
      <c r="D102" s="45">
        <v>1</v>
      </c>
      <c r="E102" s="45">
        <v>2</v>
      </c>
      <c r="F102" s="42" t="s">
        <v>247</v>
      </c>
      <c r="G102" s="43" t="s">
        <v>187</v>
      </c>
      <c r="H102" s="42" t="s">
        <v>157</v>
      </c>
      <c r="I102" s="43">
        <v>12</v>
      </c>
      <c r="J102" s="43">
        <v>4</v>
      </c>
      <c r="K102" s="25" t="str">
        <f>VLOOKUP(J102,Key!$E$2:$F$9,2,FALSE)</f>
        <v>Commercial</v>
      </c>
      <c r="L102" s="42" t="s">
        <v>155</v>
      </c>
      <c r="M102" s="43" t="s">
        <v>156</v>
      </c>
      <c r="N102" s="42" t="s">
        <v>157</v>
      </c>
      <c r="O102" s="51">
        <v>1</v>
      </c>
      <c r="P102" s="51">
        <v>1</v>
      </c>
      <c r="Q102" s="25" t="str">
        <f>VLOOKUP(P102,Key!$E$2:$F$9,2,FALSE)</f>
        <v>Home</v>
      </c>
      <c r="R102" s="25" t="str">
        <f t="shared" ref="R102:R140" si="2">K102&amp;"-"&amp;Q102</f>
        <v>Commercial-Home</v>
      </c>
      <c r="S102" s="52">
        <v>45</v>
      </c>
      <c r="T102" s="52">
        <v>1.5</v>
      </c>
      <c r="U102" s="52">
        <v>5</v>
      </c>
      <c r="V102" s="51"/>
      <c r="W102" s="51"/>
      <c r="X102" s="51"/>
      <c r="Y102" s="53" t="s">
        <v>158</v>
      </c>
      <c r="Z102" s="54">
        <v>5000</v>
      </c>
      <c r="AA102" s="25"/>
      <c r="AB102" s="25"/>
    </row>
    <row r="103" spans="2:28">
      <c r="B103" s="40">
        <v>0.47986111111111113</v>
      </c>
      <c r="C103" s="40" t="s">
        <v>277</v>
      </c>
      <c r="D103" s="45">
        <v>6</v>
      </c>
      <c r="E103" s="45">
        <v>64</v>
      </c>
      <c r="F103" s="42" t="s">
        <v>430</v>
      </c>
      <c r="G103" s="43" t="s">
        <v>156</v>
      </c>
      <c r="H103" s="42" t="s">
        <v>157</v>
      </c>
      <c r="I103" s="43">
        <v>10</v>
      </c>
      <c r="J103" s="43">
        <v>2</v>
      </c>
      <c r="K103" s="25" t="str">
        <f>VLOOKUP(J103,Key!$E$2:$F$9,2,FALSE)</f>
        <v>Work</v>
      </c>
      <c r="L103" s="42" t="s">
        <v>155</v>
      </c>
      <c r="M103" s="43" t="s">
        <v>156</v>
      </c>
      <c r="N103" s="42" t="s">
        <v>157</v>
      </c>
      <c r="O103" s="51">
        <v>3</v>
      </c>
      <c r="P103" s="51">
        <v>2</v>
      </c>
      <c r="Q103" s="25" t="str">
        <f>VLOOKUP(P103,Key!$E$2:$F$9,2,FALSE)</f>
        <v>Work</v>
      </c>
      <c r="R103" s="25" t="str">
        <f t="shared" si="2"/>
        <v>Work-Work</v>
      </c>
      <c r="S103" s="52">
        <v>1</v>
      </c>
      <c r="T103" s="52">
        <v>0.3</v>
      </c>
      <c r="U103" s="52">
        <v>3</v>
      </c>
      <c r="V103" s="51"/>
      <c r="W103" s="51"/>
      <c r="X103" s="51"/>
      <c r="Y103" s="53" t="s">
        <v>158</v>
      </c>
      <c r="Z103" s="54">
        <v>1000</v>
      </c>
      <c r="AA103" s="25"/>
      <c r="AB103" s="25"/>
    </row>
    <row r="104" spans="2:28">
      <c r="B104" s="40">
        <v>0.47430555555555554</v>
      </c>
      <c r="C104" s="40" t="s">
        <v>431</v>
      </c>
      <c r="D104" s="45">
        <v>3</v>
      </c>
      <c r="E104" s="45">
        <v>1</v>
      </c>
      <c r="F104" s="42" t="s">
        <v>150</v>
      </c>
      <c r="G104" s="43" t="s">
        <v>156</v>
      </c>
      <c r="H104" s="42" t="s">
        <v>157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155</v>
      </c>
      <c r="M104" s="43" t="s">
        <v>156</v>
      </c>
      <c r="N104" s="42" t="s">
        <v>157</v>
      </c>
      <c r="O104" s="51">
        <v>2</v>
      </c>
      <c r="P104" s="51">
        <v>2</v>
      </c>
      <c r="Q104" s="25" t="str">
        <f>VLOOKUP(P104,Key!$E$2:$F$9,2,FALSE)</f>
        <v>Work</v>
      </c>
      <c r="R104" s="25" t="str">
        <f t="shared" si="2"/>
        <v>Home-Work</v>
      </c>
      <c r="S104" s="52">
        <v>2</v>
      </c>
      <c r="T104" s="52">
        <v>0.2</v>
      </c>
      <c r="U104" s="52">
        <v>1</v>
      </c>
      <c r="V104" s="51"/>
      <c r="W104" s="51"/>
      <c r="X104" s="51"/>
      <c r="Y104" s="53" t="s">
        <v>158</v>
      </c>
      <c r="Z104" s="54">
        <v>1000</v>
      </c>
      <c r="AA104" s="25"/>
      <c r="AB104" s="25"/>
    </row>
    <row r="105" spans="2:28" ht="12" customHeight="1">
      <c r="B105" s="40">
        <v>0.47013888888888888</v>
      </c>
      <c r="C105" s="40" t="s">
        <v>432</v>
      </c>
      <c r="D105" s="44">
        <v>4</v>
      </c>
      <c r="E105" s="45">
        <v>5</v>
      </c>
      <c r="F105" s="46" t="s">
        <v>150</v>
      </c>
      <c r="G105" s="43" t="s">
        <v>156</v>
      </c>
      <c r="H105" s="42" t="s">
        <v>157</v>
      </c>
      <c r="I105" s="43">
        <v>6</v>
      </c>
      <c r="J105" s="43">
        <v>2</v>
      </c>
      <c r="K105" s="25" t="str">
        <f>VLOOKUP(J105,Key!$E$2:$F$9,2,FALSE)</f>
        <v>Work</v>
      </c>
      <c r="L105" s="42" t="s">
        <v>160</v>
      </c>
      <c r="M105" s="43" t="s">
        <v>156</v>
      </c>
      <c r="N105" s="42" t="s">
        <v>157</v>
      </c>
      <c r="O105" s="51">
        <v>6</v>
      </c>
      <c r="P105" s="51">
        <v>2</v>
      </c>
      <c r="Q105" s="25" t="str">
        <f>VLOOKUP(P105,Key!$E$2:$F$9,2,FALSE)</f>
        <v>Work</v>
      </c>
      <c r="R105" s="25" t="str">
        <f t="shared" si="2"/>
        <v>Work-Work</v>
      </c>
      <c r="S105" s="52">
        <v>20</v>
      </c>
      <c r="T105" s="52">
        <v>0.1</v>
      </c>
      <c r="U105" s="52">
        <v>2</v>
      </c>
      <c r="V105" s="51"/>
      <c r="W105" s="51"/>
      <c r="X105" s="51"/>
      <c r="Y105" s="53" t="s">
        <v>158</v>
      </c>
      <c r="Z105" s="54">
        <v>3000</v>
      </c>
      <c r="AA105" s="25"/>
      <c r="AB105" s="25"/>
    </row>
    <row r="106" spans="2:28">
      <c r="B106" s="40">
        <v>0.45833333333333331</v>
      </c>
      <c r="C106" s="40" t="s">
        <v>433</v>
      </c>
      <c r="D106" s="44">
        <v>4</v>
      </c>
      <c r="E106" s="45">
        <v>5</v>
      </c>
      <c r="F106" s="42" t="s">
        <v>162</v>
      </c>
      <c r="G106" s="43" t="s">
        <v>156</v>
      </c>
      <c r="H106" s="42" t="s">
        <v>157</v>
      </c>
      <c r="I106" s="43">
        <v>6</v>
      </c>
      <c r="J106" s="43">
        <v>2</v>
      </c>
      <c r="K106" s="25" t="str">
        <f>VLOOKUP(J106,Key!$E$2:$F$9,2,FALSE)</f>
        <v>Work</v>
      </c>
      <c r="L106" s="42" t="s">
        <v>155</v>
      </c>
      <c r="M106" s="43" t="s">
        <v>156</v>
      </c>
      <c r="N106" s="42" t="s">
        <v>157</v>
      </c>
      <c r="O106" s="51">
        <v>6</v>
      </c>
      <c r="P106" s="51">
        <v>2</v>
      </c>
      <c r="Q106" s="25" t="str">
        <f>VLOOKUP(P106,Key!$E$2:$F$9,2,FALSE)</f>
        <v>Work</v>
      </c>
      <c r="R106" s="25" t="str">
        <f t="shared" si="2"/>
        <v>Work-Work</v>
      </c>
      <c r="S106" s="52">
        <v>2</v>
      </c>
      <c r="T106" s="52">
        <v>0.3</v>
      </c>
      <c r="U106" s="52">
        <v>2</v>
      </c>
      <c r="V106" s="51"/>
      <c r="W106" s="51"/>
      <c r="X106" s="51"/>
      <c r="Y106" s="53" t="s">
        <v>158</v>
      </c>
      <c r="Z106" s="54">
        <v>2000</v>
      </c>
      <c r="AA106" s="25"/>
      <c r="AB106" s="25"/>
    </row>
    <row r="107" spans="2:28">
      <c r="B107" s="40">
        <v>0.45624999999999999</v>
      </c>
      <c r="C107" s="40" t="s">
        <v>434</v>
      </c>
      <c r="D107" s="44">
        <v>9</v>
      </c>
      <c r="E107" s="45">
        <v>1</v>
      </c>
      <c r="F107" s="42" t="s">
        <v>164</v>
      </c>
      <c r="G107" s="43" t="s">
        <v>156</v>
      </c>
      <c r="H107" s="42" t="s">
        <v>157</v>
      </c>
      <c r="I107" s="43">
        <v>3</v>
      </c>
      <c r="J107" s="43">
        <v>2</v>
      </c>
      <c r="K107" s="25" t="str">
        <f>VLOOKUP(J107,Key!$E$2:$F$9,2,FALSE)</f>
        <v>Work</v>
      </c>
      <c r="L107" s="42" t="s">
        <v>155</v>
      </c>
      <c r="M107" s="43" t="s">
        <v>156</v>
      </c>
      <c r="N107" s="42" t="s">
        <v>157</v>
      </c>
      <c r="O107" s="51">
        <v>1</v>
      </c>
      <c r="P107" s="51">
        <v>1</v>
      </c>
      <c r="Q107" s="25" t="str">
        <f>VLOOKUP(P107,Key!$E$2:$F$9,2,FALSE)</f>
        <v>Home</v>
      </c>
      <c r="R107" s="25" t="str">
        <f t="shared" si="2"/>
        <v>Work-Home</v>
      </c>
      <c r="S107" s="52">
        <v>20</v>
      </c>
      <c r="T107" s="52">
        <v>0.3</v>
      </c>
      <c r="U107" s="52">
        <v>1</v>
      </c>
      <c r="V107" s="51"/>
      <c r="W107" s="51"/>
      <c r="X107" s="51"/>
      <c r="Y107" s="53" t="s">
        <v>158</v>
      </c>
      <c r="Z107" s="54">
        <v>2000</v>
      </c>
      <c r="AA107" s="25"/>
      <c r="AB107" s="25"/>
    </row>
    <row r="108" spans="2:28">
      <c r="B108" s="40">
        <v>0.44861111111111113</v>
      </c>
      <c r="C108" s="40" t="s">
        <v>435</v>
      </c>
      <c r="D108" s="44">
        <v>1</v>
      </c>
      <c r="E108" s="45">
        <v>1</v>
      </c>
      <c r="F108" s="42" t="s">
        <v>150</v>
      </c>
      <c r="G108" s="43" t="s">
        <v>156</v>
      </c>
      <c r="H108" s="42" t="s">
        <v>157</v>
      </c>
      <c r="I108" s="43">
        <v>11</v>
      </c>
      <c r="J108" s="43">
        <v>4</v>
      </c>
      <c r="K108" s="25" t="str">
        <f>VLOOKUP(J108,Key!$E$2:$F$9,2,FALSE)</f>
        <v>Commercial</v>
      </c>
      <c r="L108" s="42" t="s">
        <v>207</v>
      </c>
      <c r="M108" s="43" t="s">
        <v>156</v>
      </c>
      <c r="N108" s="42" t="s">
        <v>157</v>
      </c>
      <c r="O108" s="51">
        <v>1</v>
      </c>
      <c r="P108" s="51">
        <v>1</v>
      </c>
      <c r="Q108" s="25" t="str">
        <f>VLOOKUP(P108,Key!$E$2:$F$9,2,FALSE)</f>
        <v>Home</v>
      </c>
      <c r="R108" s="25" t="str">
        <f t="shared" si="2"/>
        <v>Commercial-Home</v>
      </c>
      <c r="S108" s="52">
        <v>20</v>
      </c>
      <c r="T108" s="52">
        <v>0.3</v>
      </c>
      <c r="U108" s="52">
        <v>4</v>
      </c>
      <c r="V108" s="51"/>
      <c r="W108" s="51"/>
      <c r="X108" s="51"/>
      <c r="Y108" s="53" t="s">
        <v>158</v>
      </c>
      <c r="Z108" s="54">
        <v>3000</v>
      </c>
      <c r="AA108" s="25"/>
      <c r="AB108" s="25"/>
    </row>
    <row r="109" spans="2:28">
      <c r="B109" s="40">
        <v>0.44236111111111115</v>
      </c>
      <c r="C109" s="40" t="s">
        <v>436</v>
      </c>
      <c r="D109" s="44">
        <v>1</v>
      </c>
      <c r="E109" s="45">
        <v>1</v>
      </c>
      <c r="F109" s="42" t="s">
        <v>187</v>
      </c>
      <c r="G109" s="43" t="s">
        <v>187</v>
      </c>
      <c r="H109" s="42" t="s">
        <v>157</v>
      </c>
      <c r="I109" s="43">
        <v>11</v>
      </c>
      <c r="J109" s="43">
        <v>4</v>
      </c>
      <c r="K109" s="25" t="str">
        <f>VLOOKUP(J109,Key!$E$2:$F$9,2,FALSE)</f>
        <v>Commercial</v>
      </c>
      <c r="L109" s="42" t="s">
        <v>162</v>
      </c>
      <c r="M109" s="43" t="s">
        <v>156</v>
      </c>
      <c r="N109" s="42" t="s">
        <v>157</v>
      </c>
      <c r="O109" s="51">
        <v>7</v>
      </c>
      <c r="P109" s="51">
        <v>4</v>
      </c>
      <c r="Q109" s="25" t="str">
        <f>VLOOKUP(P109,Key!$E$2:$F$9,2,FALSE)</f>
        <v>Commercial</v>
      </c>
      <c r="R109" s="25" t="str">
        <f t="shared" si="2"/>
        <v>Commercial-Commercial</v>
      </c>
      <c r="S109" s="52">
        <v>60</v>
      </c>
      <c r="T109" s="52">
        <v>1</v>
      </c>
      <c r="U109" s="52">
        <v>4</v>
      </c>
      <c r="V109" s="51"/>
      <c r="W109" s="51"/>
      <c r="X109" s="51"/>
      <c r="Y109" s="53" t="s">
        <v>158</v>
      </c>
      <c r="Z109" s="54">
        <v>5000</v>
      </c>
      <c r="AA109" s="25"/>
      <c r="AB109" s="25"/>
    </row>
    <row r="110" spans="2:28">
      <c r="B110" s="40">
        <v>0.43541666666666662</v>
      </c>
      <c r="C110" s="40" t="s">
        <v>185</v>
      </c>
      <c r="D110" s="44">
        <v>4</v>
      </c>
      <c r="E110" s="42">
        <v>1</v>
      </c>
      <c r="F110" s="42" t="s">
        <v>150</v>
      </c>
      <c r="G110" s="43" t="s">
        <v>156</v>
      </c>
      <c r="H110" s="42" t="s">
        <v>157</v>
      </c>
      <c r="I110" s="43">
        <v>2</v>
      </c>
      <c r="J110" s="43">
        <v>2</v>
      </c>
      <c r="K110" s="25" t="str">
        <f>VLOOKUP(J110,Key!$E$2:$F$9,2,FALSE)</f>
        <v>Work</v>
      </c>
      <c r="L110" s="42" t="s">
        <v>162</v>
      </c>
      <c r="M110" s="43" t="s">
        <v>156</v>
      </c>
      <c r="N110" s="42" t="s">
        <v>157</v>
      </c>
      <c r="O110" s="51">
        <v>4</v>
      </c>
      <c r="P110" s="51">
        <v>8</v>
      </c>
      <c r="Q110" s="25" t="str">
        <f>VLOOKUP(P110,Key!$E$2:$F$9,2,FALSE)</f>
        <v>Others</v>
      </c>
      <c r="R110" s="25" t="str">
        <f t="shared" si="2"/>
        <v>Work-Others</v>
      </c>
      <c r="S110" s="52">
        <v>1</v>
      </c>
      <c r="T110" s="52">
        <v>0.3</v>
      </c>
      <c r="U110" s="52">
        <v>3</v>
      </c>
      <c r="V110" s="51"/>
      <c r="W110" s="51"/>
      <c r="X110" s="51"/>
      <c r="Y110" s="53" t="s">
        <v>158</v>
      </c>
      <c r="Z110" s="54">
        <v>2000</v>
      </c>
      <c r="AA110" s="25"/>
      <c r="AB110" s="25"/>
    </row>
    <row r="111" spans="2:28">
      <c r="B111" s="40">
        <v>0.42708333333333331</v>
      </c>
      <c r="C111" s="40" t="s">
        <v>437</v>
      </c>
      <c r="D111" s="44">
        <v>6</v>
      </c>
      <c r="E111" s="45">
        <v>2</v>
      </c>
      <c r="F111" s="42" t="s">
        <v>150</v>
      </c>
      <c r="G111" s="43" t="s">
        <v>156</v>
      </c>
      <c r="H111" s="42" t="s">
        <v>157</v>
      </c>
      <c r="I111" s="43">
        <v>3</v>
      </c>
      <c r="J111" s="43">
        <v>4</v>
      </c>
      <c r="K111" s="25" t="str">
        <f>VLOOKUP(J111,Key!$E$2:$F$9,2,FALSE)</f>
        <v>Commercial</v>
      </c>
      <c r="L111" s="42" t="s">
        <v>162</v>
      </c>
      <c r="M111" s="43" t="s">
        <v>156</v>
      </c>
      <c r="N111" s="42" t="s">
        <v>157</v>
      </c>
      <c r="O111" s="51">
        <v>3</v>
      </c>
      <c r="P111" s="51">
        <v>4</v>
      </c>
      <c r="Q111" s="25" t="str">
        <f>VLOOKUP(P111,Key!$E$2:$F$9,2,FALSE)</f>
        <v>Commercial</v>
      </c>
      <c r="R111" s="25" t="str">
        <f t="shared" si="2"/>
        <v>Commercial-Commercial</v>
      </c>
      <c r="S111" s="52">
        <v>20</v>
      </c>
      <c r="T111" s="52">
        <v>0.1</v>
      </c>
      <c r="U111" s="52">
        <v>2</v>
      </c>
      <c r="V111" s="51"/>
      <c r="W111" s="51"/>
      <c r="X111" s="51"/>
      <c r="Y111" s="53" t="s">
        <v>158</v>
      </c>
      <c r="Z111" s="54">
        <v>2000</v>
      </c>
      <c r="AA111" s="25"/>
      <c r="AB111" s="25"/>
    </row>
    <row r="112" spans="2:28">
      <c r="B112" s="40">
        <v>0.41666666666666669</v>
      </c>
      <c r="C112" s="40" t="s">
        <v>193</v>
      </c>
      <c r="D112" s="44">
        <v>8</v>
      </c>
      <c r="E112" s="45">
        <v>2</v>
      </c>
      <c r="F112" s="42" t="s">
        <v>162</v>
      </c>
      <c r="G112" s="43" t="s">
        <v>156</v>
      </c>
      <c r="H112" s="42" t="s">
        <v>157</v>
      </c>
      <c r="I112" s="43">
        <v>3</v>
      </c>
      <c r="J112" s="43">
        <v>4</v>
      </c>
      <c r="K112" s="25" t="str">
        <f>VLOOKUP(J112,Key!$E$2:$F$9,2,FALSE)</f>
        <v>Commercial</v>
      </c>
      <c r="L112" s="42" t="s">
        <v>155</v>
      </c>
      <c r="M112" s="43" t="s">
        <v>156</v>
      </c>
      <c r="N112" s="42" t="s">
        <v>157</v>
      </c>
      <c r="O112" s="51">
        <v>10</v>
      </c>
      <c r="P112" s="51">
        <v>2</v>
      </c>
      <c r="Q112" s="25" t="str">
        <f>VLOOKUP(P112,Key!$E$2:$F$9,2,FALSE)</f>
        <v>Work</v>
      </c>
      <c r="R112" s="25" t="str">
        <f t="shared" si="2"/>
        <v>Commercial-Work</v>
      </c>
      <c r="S112" s="52">
        <v>0.5</v>
      </c>
      <c r="T112" s="52">
        <v>0.3</v>
      </c>
      <c r="U112" s="52">
        <v>4</v>
      </c>
      <c r="V112" s="51">
        <v>4</v>
      </c>
      <c r="W112" s="51">
        <v>2</v>
      </c>
      <c r="X112" s="51">
        <v>0.5</v>
      </c>
      <c r="Y112" s="53" t="s">
        <v>158</v>
      </c>
      <c r="Z112" s="54">
        <v>3000</v>
      </c>
      <c r="AA112" s="25"/>
      <c r="AB112" s="25"/>
    </row>
    <row r="113" spans="2:28">
      <c r="B113" s="40">
        <v>0.40763888888888888</v>
      </c>
      <c r="C113" s="40" t="s">
        <v>438</v>
      </c>
      <c r="D113" s="44">
        <v>1</v>
      </c>
      <c r="E113" s="45">
        <v>1</v>
      </c>
      <c r="F113" s="42" t="s">
        <v>166</v>
      </c>
      <c r="G113" s="43" t="s">
        <v>156</v>
      </c>
      <c r="H113" s="42" t="s">
        <v>157</v>
      </c>
      <c r="I113" s="43">
        <v>4</v>
      </c>
      <c r="J113" s="43">
        <v>4</v>
      </c>
      <c r="K113" s="25" t="str">
        <f>VLOOKUP(J113,Key!$E$2:$F$9,2,FALSE)</f>
        <v>Commercial</v>
      </c>
      <c r="L113" s="42" t="s">
        <v>155</v>
      </c>
      <c r="M113" s="43" t="s">
        <v>156</v>
      </c>
      <c r="N113" s="42" t="s">
        <v>157</v>
      </c>
      <c r="O113" s="51">
        <v>4</v>
      </c>
      <c r="P113" s="51">
        <v>4</v>
      </c>
      <c r="Q113" s="25" t="str">
        <f>VLOOKUP(P113,Key!$E$2:$F$9,2,FALSE)</f>
        <v>Commercial</v>
      </c>
      <c r="R113" s="25" t="str">
        <f t="shared" si="2"/>
        <v>Commercial-Commercial</v>
      </c>
      <c r="S113" s="52">
        <v>3</v>
      </c>
      <c r="T113" s="52">
        <v>0.6</v>
      </c>
      <c r="U113" s="52">
        <v>1</v>
      </c>
      <c r="V113" s="51"/>
      <c r="W113" s="51"/>
      <c r="X113" s="51"/>
      <c r="Y113" s="53" t="s">
        <v>158</v>
      </c>
      <c r="Z113" s="54">
        <v>5000</v>
      </c>
      <c r="AA113" s="25"/>
      <c r="AB113" s="25"/>
    </row>
    <row r="114" spans="2:28">
      <c r="B114" s="40">
        <v>0.40069444444444446</v>
      </c>
      <c r="C114" s="40" t="s">
        <v>439</v>
      </c>
      <c r="D114" s="44">
        <v>3</v>
      </c>
      <c r="E114" s="45">
        <v>2</v>
      </c>
      <c r="F114" s="42" t="s">
        <v>162</v>
      </c>
      <c r="G114" s="43" t="s">
        <v>156</v>
      </c>
      <c r="H114" s="42" t="s">
        <v>157</v>
      </c>
      <c r="I114" s="43">
        <v>6</v>
      </c>
      <c r="J114" s="43">
        <v>2</v>
      </c>
      <c r="K114" s="25" t="str">
        <f>VLOOKUP(J114,Key!$E$2:$F$9,2,FALSE)</f>
        <v>Work</v>
      </c>
      <c r="L114" s="42" t="s">
        <v>160</v>
      </c>
      <c r="M114" s="43" t="s">
        <v>156</v>
      </c>
      <c r="N114" s="42" t="s">
        <v>157</v>
      </c>
      <c r="O114" s="51">
        <v>6</v>
      </c>
      <c r="P114" s="51">
        <v>2</v>
      </c>
      <c r="Q114" s="25" t="str">
        <f>VLOOKUP(P114,Key!$E$2:$F$9,2,FALSE)</f>
        <v>Work</v>
      </c>
      <c r="R114" s="25" t="str">
        <f t="shared" si="2"/>
        <v>Work-Work</v>
      </c>
      <c r="S114" s="52">
        <v>2</v>
      </c>
      <c r="T114" s="52">
        <v>0.3</v>
      </c>
      <c r="U114" s="52">
        <v>2</v>
      </c>
      <c r="V114" s="51"/>
      <c r="W114" s="51"/>
      <c r="X114" s="51"/>
      <c r="Y114" s="53" t="s">
        <v>158</v>
      </c>
      <c r="Z114" s="54">
        <v>5000</v>
      </c>
      <c r="AA114" s="25"/>
      <c r="AB114" s="25"/>
    </row>
    <row r="115" spans="2:28">
      <c r="B115" s="40">
        <v>0.38680555555555557</v>
      </c>
      <c r="C115" s="40" t="s">
        <v>440</v>
      </c>
      <c r="D115" s="44">
        <v>1</v>
      </c>
      <c r="E115" s="45">
        <v>1</v>
      </c>
      <c r="F115" s="42" t="s">
        <v>197</v>
      </c>
      <c r="G115" s="43" t="s">
        <v>197</v>
      </c>
      <c r="H115" s="42" t="s">
        <v>157</v>
      </c>
      <c r="I115" s="43">
        <v>7</v>
      </c>
      <c r="J115" s="43">
        <v>4</v>
      </c>
      <c r="K115" s="25" t="str">
        <f>VLOOKUP(J115,Key!$E$2:$F$9,2,FALSE)</f>
        <v>Commercial</v>
      </c>
      <c r="L115" s="42" t="s">
        <v>162</v>
      </c>
      <c r="M115" s="43" t="s">
        <v>156</v>
      </c>
      <c r="N115" s="42" t="s">
        <v>157</v>
      </c>
      <c r="O115" s="51">
        <v>11</v>
      </c>
      <c r="P115" s="51">
        <v>4</v>
      </c>
      <c r="Q115" s="25" t="str">
        <f>VLOOKUP(P115,Key!$E$2:$F$9,2,FALSE)</f>
        <v>Commercial</v>
      </c>
      <c r="R115" s="25" t="str">
        <f t="shared" si="2"/>
        <v>Commercial-Commercial</v>
      </c>
      <c r="S115" s="52">
        <v>120</v>
      </c>
      <c r="T115" s="52">
        <v>3</v>
      </c>
      <c r="U115" s="52">
        <v>4</v>
      </c>
      <c r="V115" s="51"/>
      <c r="W115" s="51"/>
      <c r="X115" s="51"/>
      <c r="Y115" s="53" t="s">
        <v>158</v>
      </c>
      <c r="Z115" s="54">
        <v>5000</v>
      </c>
      <c r="AA115" s="25"/>
      <c r="AB115" s="25"/>
    </row>
    <row r="116" spans="2:28">
      <c r="B116" s="40">
        <v>0.38194444444444442</v>
      </c>
      <c r="C116" s="40" t="s">
        <v>441</v>
      </c>
      <c r="D116" s="44">
        <v>1</v>
      </c>
      <c r="E116" s="45">
        <v>1</v>
      </c>
      <c r="F116" s="42" t="s">
        <v>150</v>
      </c>
      <c r="G116" s="43" t="s">
        <v>156</v>
      </c>
      <c r="H116" s="42" t="s">
        <v>157</v>
      </c>
      <c r="I116" s="43">
        <v>1</v>
      </c>
      <c r="J116" s="43">
        <v>1</v>
      </c>
      <c r="K116" s="25" t="str">
        <f>VLOOKUP(J116,Key!$E$2:$F$9,2,FALSE)</f>
        <v>Home</v>
      </c>
      <c r="L116" s="42" t="s">
        <v>162</v>
      </c>
      <c r="M116" s="43" t="s">
        <v>156</v>
      </c>
      <c r="N116" s="42" t="s">
        <v>157</v>
      </c>
      <c r="O116" s="51">
        <v>2</v>
      </c>
      <c r="P116" s="51">
        <v>2</v>
      </c>
      <c r="Q116" s="25" t="str">
        <f>VLOOKUP(P116,Key!$E$2:$F$9,2,FALSE)</f>
        <v>Work</v>
      </c>
      <c r="R116" s="25" t="str">
        <f t="shared" si="2"/>
        <v>Home-Work</v>
      </c>
      <c r="S116" s="52">
        <v>1</v>
      </c>
      <c r="T116" s="52">
        <v>0.3</v>
      </c>
      <c r="U116" s="52">
        <v>1</v>
      </c>
      <c r="V116" s="51"/>
      <c r="W116" s="51"/>
      <c r="X116" s="51"/>
      <c r="Y116" s="53" t="s">
        <v>158</v>
      </c>
      <c r="Z116" s="54">
        <v>0</v>
      </c>
      <c r="AA116" s="25"/>
      <c r="AB116" s="25"/>
    </row>
    <row r="117" spans="2:28">
      <c r="B117" s="40">
        <v>0.36527777777777781</v>
      </c>
      <c r="C117" s="40" t="s">
        <v>423</v>
      </c>
      <c r="D117" s="44">
        <v>1</v>
      </c>
      <c r="E117" s="45">
        <v>1</v>
      </c>
      <c r="F117" s="42" t="s">
        <v>442</v>
      </c>
      <c r="G117" s="43" t="s">
        <v>156</v>
      </c>
      <c r="H117" s="42" t="s">
        <v>157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443</v>
      </c>
      <c r="M117" s="43" t="s">
        <v>187</v>
      </c>
      <c r="N117" s="42" t="s">
        <v>157</v>
      </c>
      <c r="O117" s="51">
        <v>2</v>
      </c>
      <c r="P117" s="51">
        <v>2</v>
      </c>
      <c r="Q117" s="25" t="str">
        <f>VLOOKUP(P117,Key!$E$2:$F$9,2,FALSE)</f>
        <v>Work</v>
      </c>
      <c r="R117" s="25" t="str">
        <f t="shared" si="2"/>
        <v>Home-Work</v>
      </c>
      <c r="S117" s="52">
        <v>1</v>
      </c>
      <c r="T117" s="52">
        <v>0.3</v>
      </c>
      <c r="U117" s="52">
        <v>2</v>
      </c>
      <c r="V117" s="51"/>
      <c r="W117" s="51"/>
      <c r="X117" s="51"/>
      <c r="Y117" s="53" t="s">
        <v>158</v>
      </c>
      <c r="Z117" s="54">
        <v>1000</v>
      </c>
      <c r="AA117" s="25"/>
      <c r="AB117" s="25"/>
    </row>
    <row r="118" spans="2:28">
      <c r="B118" s="40">
        <v>0.36458333333333331</v>
      </c>
      <c r="C118" s="40" t="s">
        <v>444</v>
      </c>
      <c r="D118" s="44">
        <v>1</v>
      </c>
      <c r="E118" s="45">
        <v>1</v>
      </c>
      <c r="F118" s="42" t="s">
        <v>339</v>
      </c>
      <c r="G118" s="43" t="s">
        <v>187</v>
      </c>
      <c r="H118" s="42" t="s">
        <v>157</v>
      </c>
      <c r="I118" s="43">
        <v>5</v>
      </c>
      <c r="J118" s="43">
        <v>7</v>
      </c>
      <c r="K118" s="25" t="str">
        <f>VLOOKUP(J118,Key!$E$2:$F$9,2,FALSE)</f>
        <v>Hospital</v>
      </c>
      <c r="L118" s="42" t="s">
        <v>162</v>
      </c>
      <c r="M118" s="43" t="s">
        <v>156</v>
      </c>
      <c r="N118" s="42" t="s">
        <v>157</v>
      </c>
      <c r="O118" s="51">
        <v>1</v>
      </c>
      <c r="P118" s="51">
        <v>1</v>
      </c>
      <c r="Q118" s="25" t="str">
        <f>VLOOKUP(P118,Key!$E$2:$F$9,2,FALSE)</f>
        <v>Home</v>
      </c>
      <c r="R118" s="25" t="str">
        <f t="shared" si="2"/>
        <v>Hospital-Home</v>
      </c>
      <c r="S118" s="52">
        <v>30</v>
      </c>
      <c r="T118" s="52">
        <v>1</v>
      </c>
      <c r="U118" s="52">
        <v>5</v>
      </c>
      <c r="V118" s="51"/>
      <c r="W118" s="51"/>
      <c r="X118" s="51"/>
      <c r="Y118" s="53" t="s">
        <v>158</v>
      </c>
      <c r="Z118" s="54">
        <v>5000</v>
      </c>
      <c r="AA118" s="25"/>
      <c r="AB118" s="25"/>
    </row>
    <row r="119" spans="2:28">
      <c r="B119" s="40">
        <v>0.35486111111111113</v>
      </c>
      <c r="C119" s="40" t="s">
        <v>445</v>
      </c>
      <c r="D119" s="44">
        <v>2</v>
      </c>
      <c r="E119" s="45">
        <v>1</v>
      </c>
      <c r="F119" s="42" t="s">
        <v>150</v>
      </c>
      <c r="G119" s="43" t="s">
        <v>156</v>
      </c>
      <c r="H119" s="42" t="s">
        <v>157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162</v>
      </c>
      <c r="M119" s="43" t="s">
        <v>156</v>
      </c>
      <c r="N119" s="42" t="s">
        <v>157</v>
      </c>
      <c r="O119" s="51">
        <v>2</v>
      </c>
      <c r="P119" s="51">
        <v>2</v>
      </c>
      <c r="Q119" s="25" t="str">
        <f>VLOOKUP(P119,Key!$E$2:$F$9,2,FALSE)</f>
        <v>Work</v>
      </c>
      <c r="R119" s="25" t="str">
        <f t="shared" si="2"/>
        <v>Home-Work</v>
      </c>
      <c r="S119" s="52">
        <v>2</v>
      </c>
      <c r="T119" s="52">
        <v>0.3</v>
      </c>
      <c r="U119" s="52">
        <v>2</v>
      </c>
      <c r="V119" s="51"/>
      <c r="W119" s="51"/>
      <c r="X119" s="51"/>
      <c r="Y119" s="53" t="s">
        <v>158</v>
      </c>
      <c r="Z119" s="54">
        <v>3000</v>
      </c>
      <c r="AA119" s="25"/>
      <c r="AB119" s="25"/>
    </row>
    <row r="120" spans="2:28">
      <c r="B120" s="40">
        <v>0.34375</v>
      </c>
      <c r="C120" s="40" t="s">
        <v>446</v>
      </c>
      <c r="D120" s="44">
        <v>7</v>
      </c>
      <c r="E120" s="42">
        <v>2</v>
      </c>
      <c r="F120" s="42" t="s">
        <v>430</v>
      </c>
      <c r="G120" s="43" t="s">
        <v>156</v>
      </c>
      <c r="H120" s="42" t="s">
        <v>157</v>
      </c>
      <c r="I120" s="43">
        <v>3</v>
      </c>
      <c r="J120" s="43">
        <v>2</v>
      </c>
      <c r="K120" s="25" t="str">
        <f>VLOOKUP(J120,Key!$E$2:$F$9,2,FALSE)</f>
        <v>Work</v>
      </c>
      <c r="L120" s="42" t="s">
        <v>364</v>
      </c>
      <c r="M120" s="43" t="s">
        <v>156</v>
      </c>
      <c r="N120" s="42" t="s">
        <v>157</v>
      </c>
      <c r="O120" s="51">
        <v>2</v>
      </c>
      <c r="P120" s="51">
        <v>2</v>
      </c>
      <c r="Q120" s="25" t="str">
        <f>VLOOKUP(P120,Key!$E$2:$F$9,2,FALSE)</f>
        <v>Work</v>
      </c>
      <c r="R120" s="25" t="str">
        <f t="shared" si="2"/>
        <v>Work-Work</v>
      </c>
      <c r="S120" s="52">
        <v>12</v>
      </c>
      <c r="T120" s="52">
        <v>1</v>
      </c>
      <c r="U120" s="52">
        <v>3</v>
      </c>
      <c r="V120" s="51"/>
      <c r="W120" s="51"/>
      <c r="X120" s="51"/>
      <c r="Y120" s="53" t="s">
        <v>158</v>
      </c>
      <c r="Z120" s="54">
        <v>2000</v>
      </c>
      <c r="AA120" s="25"/>
      <c r="AB120" s="25"/>
    </row>
    <row r="121" spans="2:28">
      <c r="B121" s="40">
        <v>0.33055555555555555</v>
      </c>
      <c r="C121" s="40" t="s">
        <v>447</v>
      </c>
      <c r="D121" s="44">
        <v>1</v>
      </c>
      <c r="E121" s="45">
        <v>1</v>
      </c>
      <c r="F121" s="42" t="s">
        <v>150</v>
      </c>
      <c r="G121" s="43" t="s">
        <v>156</v>
      </c>
      <c r="H121" s="42" t="s">
        <v>157</v>
      </c>
      <c r="I121" s="43">
        <v>1</v>
      </c>
      <c r="J121" s="43">
        <v>1</v>
      </c>
      <c r="K121" s="25" t="str">
        <f>VLOOKUP(J121,Key!$E$2:$F$9,2,FALSE)</f>
        <v>Home</v>
      </c>
      <c r="L121" s="42" t="s">
        <v>162</v>
      </c>
      <c r="M121" s="43" t="s">
        <v>156</v>
      </c>
      <c r="N121" s="42" t="s">
        <v>157</v>
      </c>
      <c r="O121" s="51">
        <v>4</v>
      </c>
      <c r="P121" s="51">
        <v>2</v>
      </c>
      <c r="Q121" s="25" t="str">
        <f>VLOOKUP(P121,Key!$E$2:$F$9,2,FALSE)</f>
        <v>Work</v>
      </c>
      <c r="R121" s="25" t="str">
        <f t="shared" si="2"/>
        <v>Home-Work</v>
      </c>
      <c r="S121" s="52">
        <v>2</v>
      </c>
      <c r="T121" s="52">
        <v>0.3</v>
      </c>
      <c r="U121" s="52">
        <v>2</v>
      </c>
      <c r="V121" s="51"/>
      <c r="W121" s="51"/>
      <c r="X121" s="51"/>
      <c r="Y121" s="53" t="s">
        <v>158</v>
      </c>
      <c r="Z121" s="54">
        <v>3000</v>
      </c>
      <c r="AA121" s="25"/>
      <c r="AB121" s="25"/>
    </row>
    <row r="122" spans="2:28">
      <c r="B122" s="40">
        <v>0.32083333333333336</v>
      </c>
      <c r="C122" s="40" t="s">
        <v>448</v>
      </c>
      <c r="D122" s="44">
        <v>7</v>
      </c>
      <c r="E122" s="45">
        <v>2</v>
      </c>
      <c r="F122" s="42" t="s">
        <v>150</v>
      </c>
      <c r="G122" s="43" t="s">
        <v>156</v>
      </c>
      <c r="H122" s="42" t="s">
        <v>157</v>
      </c>
      <c r="I122" s="43">
        <v>3</v>
      </c>
      <c r="J122" s="43">
        <v>2</v>
      </c>
      <c r="K122" s="25" t="str">
        <f>VLOOKUP(J122,Key!$E$2:$F$9,2,FALSE)</f>
        <v>Work</v>
      </c>
      <c r="L122" s="42" t="s">
        <v>226</v>
      </c>
      <c r="M122" s="43" t="s">
        <v>156</v>
      </c>
      <c r="N122" s="42" t="s">
        <v>157</v>
      </c>
      <c r="O122" s="51">
        <v>3</v>
      </c>
      <c r="P122" s="51">
        <v>2</v>
      </c>
      <c r="Q122" s="25" t="str">
        <f>VLOOKUP(P122,Key!$E$2:$F$9,2,FALSE)</f>
        <v>Work</v>
      </c>
      <c r="R122" s="25" t="str">
        <f t="shared" si="2"/>
        <v>Work-Work</v>
      </c>
      <c r="S122" s="52">
        <v>2</v>
      </c>
      <c r="T122" s="52">
        <v>0.3</v>
      </c>
      <c r="U122" s="52">
        <v>1</v>
      </c>
      <c r="V122" s="51">
        <v>10</v>
      </c>
      <c r="W122" s="51">
        <v>6</v>
      </c>
      <c r="X122" s="51">
        <v>0.95</v>
      </c>
      <c r="Y122" s="53" t="s">
        <v>158</v>
      </c>
      <c r="Z122" s="54">
        <v>1000</v>
      </c>
      <c r="AA122" s="25"/>
      <c r="AB122" s="25"/>
    </row>
    <row r="123" spans="2:28">
      <c r="B123" s="40">
        <v>0.31597222222222221</v>
      </c>
      <c r="C123" s="40" t="s">
        <v>185</v>
      </c>
      <c r="D123" s="44">
        <v>1</v>
      </c>
      <c r="E123" s="45">
        <v>1</v>
      </c>
      <c r="F123" s="42" t="s">
        <v>430</v>
      </c>
      <c r="G123" s="43" t="s">
        <v>156</v>
      </c>
      <c r="H123" s="42" t="s">
        <v>157</v>
      </c>
      <c r="I123" s="43">
        <v>2</v>
      </c>
      <c r="J123" s="43">
        <v>2</v>
      </c>
      <c r="K123" s="25" t="str">
        <f>VLOOKUP(J123,Key!$E$2:$F$9,2,FALSE)</f>
        <v>Work</v>
      </c>
      <c r="L123" s="42" t="s">
        <v>449</v>
      </c>
      <c r="M123" s="43" t="s">
        <v>156</v>
      </c>
      <c r="N123" s="42" t="s">
        <v>157</v>
      </c>
      <c r="O123" s="51">
        <v>1</v>
      </c>
      <c r="P123" s="51">
        <v>1</v>
      </c>
      <c r="Q123" s="25" t="str">
        <f>VLOOKUP(P123,Key!$E$2:$F$9,2,FALSE)</f>
        <v>Home</v>
      </c>
      <c r="R123" s="25" t="str">
        <f t="shared" si="2"/>
        <v>Work-Home</v>
      </c>
      <c r="S123" s="52">
        <v>3</v>
      </c>
      <c r="T123" s="52">
        <v>2</v>
      </c>
      <c r="U123" s="52">
        <v>2</v>
      </c>
      <c r="V123" s="51"/>
      <c r="W123" s="51"/>
      <c r="X123" s="51"/>
      <c r="Y123" s="53" t="s">
        <v>158</v>
      </c>
      <c r="Z123" s="54">
        <v>1000</v>
      </c>
      <c r="AA123" s="25"/>
      <c r="AB123" s="25"/>
    </row>
    <row r="124" spans="2:28">
      <c r="B124" s="40">
        <v>0.30624999999999997</v>
      </c>
      <c r="C124" s="40" t="s">
        <v>450</v>
      </c>
      <c r="D124" s="44">
        <v>4</v>
      </c>
      <c r="E124" s="45">
        <v>2</v>
      </c>
      <c r="F124" s="42" t="s">
        <v>430</v>
      </c>
      <c r="G124" s="43" t="s">
        <v>156</v>
      </c>
      <c r="H124" s="42" t="s">
        <v>157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451</v>
      </c>
      <c r="M124" s="43" t="s">
        <v>156</v>
      </c>
      <c r="N124" s="42" t="s">
        <v>157</v>
      </c>
      <c r="O124" s="51">
        <v>3</v>
      </c>
      <c r="P124" s="51">
        <v>2</v>
      </c>
      <c r="Q124" s="25" t="str">
        <f>VLOOKUP(P124,Key!$E$2:$F$9,2,FALSE)</f>
        <v>Work</v>
      </c>
      <c r="R124" s="25" t="str">
        <f t="shared" si="2"/>
        <v>Home-Work</v>
      </c>
      <c r="S124" s="52">
        <v>2</v>
      </c>
      <c r="T124" s="52">
        <v>0.1</v>
      </c>
      <c r="U124" s="52">
        <v>2</v>
      </c>
      <c r="V124" s="51"/>
      <c r="W124" s="51"/>
      <c r="X124" s="51"/>
      <c r="Y124" s="53" t="s">
        <v>158</v>
      </c>
      <c r="Z124" s="54">
        <v>3000</v>
      </c>
      <c r="AA124" s="25"/>
      <c r="AB124" s="25"/>
    </row>
    <row r="125" spans="2:28">
      <c r="B125" s="40">
        <v>0.30208333333333331</v>
      </c>
      <c r="C125" s="40" t="s">
        <v>330</v>
      </c>
      <c r="D125" s="44">
        <v>3</v>
      </c>
      <c r="E125" s="42">
        <v>1</v>
      </c>
      <c r="F125" s="42" t="s">
        <v>430</v>
      </c>
      <c r="G125" s="43" t="s">
        <v>156</v>
      </c>
      <c r="H125" s="42" t="s">
        <v>157</v>
      </c>
      <c r="I125" s="43">
        <v>1</v>
      </c>
      <c r="J125" s="43">
        <v>1</v>
      </c>
      <c r="K125" s="25" t="str">
        <f>VLOOKUP(J125,Key!$E$2:$F$9,2,FALSE)</f>
        <v>Home</v>
      </c>
      <c r="L125" s="42" t="s">
        <v>155</v>
      </c>
      <c r="M125" s="43" t="s">
        <v>156</v>
      </c>
      <c r="N125" s="42" t="s">
        <v>157</v>
      </c>
      <c r="O125" s="51">
        <v>12</v>
      </c>
      <c r="P125" s="51">
        <v>2</v>
      </c>
      <c r="Q125" s="25" t="str">
        <f>VLOOKUP(P125,Key!$E$2:$F$9,2,FALSE)</f>
        <v>Work</v>
      </c>
      <c r="R125" s="25" t="str">
        <f t="shared" si="2"/>
        <v>Home-Work</v>
      </c>
      <c r="S125" s="52">
        <v>2</v>
      </c>
      <c r="T125" s="52">
        <v>0.3</v>
      </c>
      <c r="U125" s="52">
        <v>2</v>
      </c>
      <c r="V125" s="51">
        <v>5</v>
      </c>
      <c r="W125" s="51"/>
      <c r="X125" s="51">
        <v>0.9</v>
      </c>
      <c r="Y125" s="53" t="s">
        <v>158</v>
      </c>
      <c r="Z125" s="54">
        <v>2000</v>
      </c>
      <c r="AA125" s="25"/>
      <c r="AB125" s="25"/>
    </row>
    <row r="126" spans="2:28">
      <c r="B126" s="40">
        <v>0.29166666666666669</v>
      </c>
      <c r="C126" s="40" t="s">
        <v>452</v>
      </c>
      <c r="D126" s="44">
        <v>1</v>
      </c>
      <c r="E126" s="45">
        <v>1</v>
      </c>
      <c r="F126" s="42" t="s">
        <v>162</v>
      </c>
      <c r="G126" s="43" t="s">
        <v>156</v>
      </c>
      <c r="H126" s="42" t="s">
        <v>157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207</v>
      </c>
      <c r="M126" s="43" t="s">
        <v>156</v>
      </c>
      <c r="N126" s="42" t="s">
        <v>157</v>
      </c>
      <c r="O126" s="51">
        <v>3</v>
      </c>
      <c r="P126" s="51">
        <v>2</v>
      </c>
      <c r="Q126" s="25" t="str">
        <f>VLOOKUP(P126,Key!$E$2:$F$9,2,FALSE)</f>
        <v>Work</v>
      </c>
      <c r="R126" s="25" t="str">
        <f t="shared" si="2"/>
        <v>Home-Work</v>
      </c>
      <c r="S126" s="52">
        <v>3</v>
      </c>
      <c r="T126" s="52">
        <v>1</v>
      </c>
      <c r="U126" s="52">
        <v>2</v>
      </c>
      <c r="V126" s="51"/>
      <c r="W126" s="51"/>
      <c r="X126" s="51"/>
      <c r="Y126" s="53" t="s">
        <v>158</v>
      </c>
      <c r="Z126" s="54">
        <v>2000</v>
      </c>
      <c r="AA126" s="25"/>
      <c r="AB126" s="25"/>
    </row>
    <row r="127" spans="2:28">
      <c r="B127" s="40">
        <v>0.80972222222222223</v>
      </c>
      <c r="C127" s="40" t="s">
        <v>757</v>
      </c>
      <c r="D127" s="44">
        <v>4</v>
      </c>
      <c r="E127" s="45">
        <v>2</v>
      </c>
      <c r="F127" s="42" t="s">
        <v>339</v>
      </c>
      <c r="G127" s="43" t="s">
        <v>187</v>
      </c>
      <c r="H127" s="42" t="s">
        <v>157</v>
      </c>
      <c r="I127" s="43">
        <v>6</v>
      </c>
      <c r="J127" s="43">
        <v>4</v>
      </c>
      <c r="K127" s="25" t="str">
        <f>VLOOKUP(J127,Key!$E$2:$F$9,2,FALSE)</f>
        <v>Commercial</v>
      </c>
      <c r="L127" s="42" t="s">
        <v>207</v>
      </c>
      <c r="M127" s="43" t="s">
        <v>156</v>
      </c>
      <c r="N127" s="42" t="s">
        <v>157</v>
      </c>
      <c r="O127" s="51">
        <v>6</v>
      </c>
      <c r="P127" s="51">
        <v>4</v>
      </c>
      <c r="Q127" s="25" t="str">
        <f>VLOOKUP(P127,Key!$E$2:$F$9,2,FALSE)</f>
        <v>Commercial</v>
      </c>
      <c r="R127" s="25" t="str">
        <f t="shared" si="2"/>
        <v>Commercial-Commercial</v>
      </c>
      <c r="S127" s="52">
        <v>20</v>
      </c>
      <c r="T127" s="52">
        <v>1</v>
      </c>
      <c r="U127" s="52">
        <v>2</v>
      </c>
      <c r="V127" s="51"/>
      <c r="W127" s="51"/>
      <c r="X127" s="51"/>
      <c r="Y127" s="53" t="s">
        <v>158</v>
      </c>
      <c r="Z127" s="54">
        <v>2000</v>
      </c>
      <c r="AA127" s="25"/>
      <c r="AB127" s="25"/>
    </row>
    <row r="128" spans="2:28">
      <c r="B128" s="40">
        <v>0.81736111111111109</v>
      </c>
      <c r="C128" s="40" t="s">
        <v>758</v>
      </c>
      <c r="D128" s="44">
        <v>4</v>
      </c>
      <c r="E128" s="45">
        <v>1</v>
      </c>
      <c r="F128" s="42" t="s">
        <v>162</v>
      </c>
      <c r="G128" s="43" t="s">
        <v>156</v>
      </c>
      <c r="H128" s="42" t="s">
        <v>157</v>
      </c>
      <c r="I128" s="43">
        <v>6</v>
      </c>
      <c r="J128" s="43">
        <v>4</v>
      </c>
      <c r="K128" s="25" t="str">
        <f>VLOOKUP(J128,Key!$E$2:$F$9,2,FALSE)</f>
        <v>Commercial</v>
      </c>
      <c r="L128" s="42" t="s">
        <v>207</v>
      </c>
      <c r="M128" s="43" t="s">
        <v>156</v>
      </c>
      <c r="N128" s="42" t="s">
        <v>157</v>
      </c>
      <c r="O128" s="51">
        <v>6</v>
      </c>
      <c r="P128" s="51">
        <v>4</v>
      </c>
      <c r="Q128" s="25" t="str">
        <f>VLOOKUP(P128,Key!$E$2:$F$9,2,FALSE)</f>
        <v>Commercial</v>
      </c>
      <c r="R128" s="25" t="str">
        <f t="shared" si="2"/>
        <v>Commercial-Commercial</v>
      </c>
      <c r="S128" s="52">
        <v>1</v>
      </c>
      <c r="T128" s="52">
        <v>0.1</v>
      </c>
      <c r="U128" s="52">
        <v>2</v>
      </c>
      <c r="V128" s="51"/>
      <c r="W128" s="51"/>
      <c r="X128" s="51"/>
      <c r="Y128" s="53" t="s">
        <v>158</v>
      </c>
      <c r="Z128" s="54">
        <v>1000</v>
      </c>
      <c r="AA128" s="25"/>
      <c r="AB128" s="25"/>
    </row>
    <row r="129" spans="2:28">
      <c r="B129" s="40">
        <v>0.8208333333333333</v>
      </c>
      <c r="C129" s="40" t="s">
        <v>759</v>
      </c>
      <c r="D129" s="44">
        <v>4</v>
      </c>
      <c r="E129" s="45">
        <v>2</v>
      </c>
      <c r="F129" s="42" t="s">
        <v>760</v>
      </c>
      <c r="G129" s="43" t="s">
        <v>187</v>
      </c>
      <c r="H129" s="42" t="s">
        <v>157</v>
      </c>
      <c r="I129" s="43">
        <v>2</v>
      </c>
      <c r="J129" s="43">
        <v>2</v>
      </c>
      <c r="K129" s="25" t="str">
        <f>VLOOKUP(J129,Key!$E$2:$F$9,2,FALSE)</f>
        <v>Work</v>
      </c>
      <c r="L129" s="42" t="s">
        <v>155</v>
      </c>
      <c r="M129" s="43" t="s">
        <v>156</v>
      </c>
      <c r="N129" s="42" t="s">
        <v>157</v>
      </c>
      <c r="O129" s="51">
        <v>1</v>
      </c>
      <c r="P129" s="51">
        <v>1</v>
      </c>
      <c r="Q129" s="25" t="str">
        <f>VLOOKUP(P129,Key!$E$2:$F$9,2,FALSE)</f>
        <v>Home</v>
      </c>
      <c r="R129" s="25" t="str">
        <f t="shared" si="2"/>
        <v>Work-Home</v>
      </c>
      <c r="S129" s="52">
        <v>40</v>
      </c>
      <c r="T129" s="52">
        <v>2.5</v>
      </c>
      <c r="U129" s="52">
        <v>4</v>
      </c>
      <c r="V129" s="51"/>
      <c r="W129" s="51"/>
      <c r="X129" s="51"/>
      <c r="Y129" s="53" t="s">
        <v>158</v>
      </c>
      <c r="Z129" s="54">
        <v>1000</v>
      </c>
      <c r="AA129" s="25"/>
      <c r="AB129" s="25"/>
    </row>
    <row r="130" spans="2:28">
      <c r="B130" s="40">
        <v>0.82777777777777783</v>
      </c>
      <c r="C130" s="40" t="s">
        <v>761</v>
      </c>
      <c r="D130" s="44">
        <v>1</v>
      </c>
      <c r="E130" s="45">
        <v>1</v>
      </c>
      <c r="F130" s="42" t="s">
        <v>762</v>
      </c>
      <c r="G130" s="43" t="s">
        <v>197</v>
      </c>
      <c r="H130" s="42" t="s">
        <v>157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155</v>
      </c>
      <c r="M130" s="43" t="s">
        <v>156</v>
      </c>
      <c r="N130" s="42" t="s">
        <v>157</v>
      </c>
      <c r="O130" s="51">
        <v>11</v>
      </c>
      <c r="P130" s="51">
        <v>4</v>
      </c>
      <c r="Q130" s="25" t="str">
        <f>VLOOKUP(P130,Key!$E$2:$F$9,2,FALSE)</f>
        <v>Commercial</v>
      </c>
      <c r="R130" s="25" t="str">
        <f t="shared" si="2"/>
        <v>Home-Commercial</v>
      </c>
      <c r="S130" s="52">
        <v>120</v>
      </c>
      <c r="T130" s="52"/>
      <c r="U130" s="52">
        <v>1</v>
      </c>
      <c r="V130" s="51"/>
      <c r="W130" s="51"/>
      <c r="X130" s="51"/>
      <c r="Y130" s="53" t="s">
        <v>158</v>
      </c>
      <c r="Z130" s="54">
        <v>1000</v>
      </c>
      <c r="AA130" s="25"/>
      <c r="AB130" s="25"/>
    </row>
    <row r="131" spans="2:28">
      <c r="B131" s="40">
        <v>0.84097222222222223</v>
      </c>
      <c r="C131" s="40" t="s">
        <v>763</v>
      </c>
      <c r="D131" s="44">
        <v>1</v>
      </c>
      <c r="E131" s="45">
        <v>2</v>
      </c>
      <c r="F131" s="42" t="s">
        <v>224</v>
      </c>
      <c r="G131" s="43" t="s">
        <v>224</v>
      </c>
      <c r="H131" s="42" t="s">
        <v>157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155</v>
      </c>
      <c r="M131" s="43" t="s">
        <v>156</v>
      </c>
      <c r="N131" s="42" t="s">
        <v>157</v>
      </c>
      <c r="O131" s="51">
        <v>10</v>
      </c>
      <c r="P131" s="51">
        <v>2</v>
      </c>
      <c r="Q131" s="25" t="str">
        <f>VLOOKUP(P131,Key!$E$2:$F$9,2,FALSE)</f>
        <v>Work</v>
      </c>
      <c r="R131" s="25" t="str">
        <f t="shared" si="2"/>
        <v>Home-Work</v>
      </c>
      <c r="S131" s="52">
        <v>130</v>
      </c>
      <c r="T131" s="52">
        <v>2</v>
      </c>
      <c r="U131" s="52">
        <v>1</v>
      </c>
      <c r="V131" s="51"/>
      <c r="W131" s="51"/>
      <c r="X131" s="51"/>
      <c r="Y131" s="53" t="s">
        <v>158</v>
      </c>
      <c r="Z131" s="54">
        <v>2000</v>
      </c>
      <c r="AA131" s="25"/>
      <c r="AB131" s="25"/>
    </row>
    <row r="132" spans="2:28">
      <c r="B132" s="40">
        <v>0.84930555555555554</v>
      </c>
      <c r="C132" s="40" t="s">
        <v>764</v>
      </c>
      <c r="D132" s="44">
        <v>1</v>
      </c>
      <c r="E132" s="42">
        <v>1</v>
      </c>
      <c r="F132" s="42" t="s">
        <v>177</v>
      </c>
      <c r="G132" s="43" t="s">
        <v>224</v>
      </c>
      <c r="H132" s="42" t="s">
        <v>157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207</v>
      </c>
      <c r="M132" s="43" t="s">
        <v>156</v>
      </c>
      <c r="N132" s="42" t="s">
        <v>157</v>
      </c>
      <c r="O132" s="51">
        <v>1</v>
      </c>
      <c r="P132" s="51">
        <v>1</v>
      </c>
      <c r="Q132" s="25" t="str">
        <f>VLOOKUP(P132,Key!$E$2:$F$9,2,FALSE)</f>
        <v>Home</v>
      </c>
      <c r="R132" s="25" t="str">
        <f t="shared" si="2"/>
        <v>Home-Home</v>
      </c>
      <c r="S132" s="52">
        <v>10</v>
      </c>
      <c r="T132" s="52">
        <v>0.5</v>
      </c>
      <c r="U132" s="52">
        <v>3</v>
      </c>
      <c r="V132" s="51"/>
      <c r="W132" s="51"/>
      <c r="X132" s="51"/>
      <c r="Y132" s="53" t="s">
        <v>158</v>
      </c>
      <c r="Z132" s="54">
        <v>1000</v>
      </c>
      <c r="AA132" s="25"/>
      <c r="AB132" s="25"/>
    </row>
    <row r="133" spans="2:28">
      <c r="B133" s="48">
        <v>0.87430555555555556</v>
      </c>
      <c r="C133" s="48" t="s">
        <v>765</v>
      </c>
      <c r="D133" s="44">
        <v>1</v>
      </c>
      <c r="E133" s="45">
        <v>1</v>
      </c>
      <c r="F133" s="42" t="s">
        <v>150</v>
      </c>
      <c r="G133" s="43" t="s">
        <v>156</v>
      </c>
      <c r="H133" s="42" t="s">
        <v>157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658</v>
      </c>
      <c r="M133" s="43" t="s">
        <v>156</v>
      </c>
      <c r="N133" s="42" t="s">
        <v>157</v>
      </c>
      <c r="O133" s="51">
        <v>1</v>
      </c>
      <c r="P133" s="51">
        <v>1</v>
      </c>
      <c r="Q133" s="25" t="str">
        <f>VLOOKUP(P133,Key!$E$2:$F$9,2,FALSE)</f>
        <v>Home</v>
      </c>
      <c r="R133" s="25" t="str">
        <f t="shared" si="2"/>
        <v>Home-Home</v>
      </c>
      <c r="S133" s="52">
        <v>1</v>
      </c>
      <c r="T133" s="52">
        <v>0.3</v>
      </c>
      <c r="U133" s="52">
        <v>1</v>
      </c>
      <c r="V133" s="51"/>
      <c r="W133" s="51"/>
      <c r="X133" s="51"/>
      <c r="Y133" s="53" t="s">
        <v>158</v>
      </c>
      <c r="Z133" s="54">
        <v>1000</v>
      </c>
      <c r="AA133" s="25"/>
      <c r="AB133" s="25"/>
    </row>
    <row r="134" spans="2:28">
      <c r="B134" s="48">
        <v>0.88680555555555562</v>
      </c>
      <c r="C134" s="48" t="s">
        <v>766</v>
      </c>
      <c r="D134" s="44">
        <v>4</v>
      </c>
      <c r="E134" s="45">
        <v>1</v>
      </c>
      <c r="F134" s="42" t="s">
        <v>150</v>
      </c>
      <c r="G134" s="43" t="s">
        <v>156</v>
      </c>
      <c r="H134" s="42" t="s">
        <v>157</v>
      </c>
      <c r="I134" s="43">
        <v>6</v>
      </c>
      <c r="J134" s="43">
        <v>4</v>
      </c>
      <c r="K134" s="25" t="str">
        <f>VLOOKUP(J134,Key!$E$2:$F$9,2,FALSE)</f>
        <v>Commercial</v>
      </c>
      <c r="L134" s="42" t="s">
        <v>162</v>
      </c>
      <c r="M134" s="43" t="s">
        <v>156</v>
      </c>
      <c r="N134" s="42" t="s">
        <v>157</v>
      </c>
      <c r="O134" s="51">
        <v>6</v>
      </c>
      <c r="P134" s="51">
        <v>4</v>
      </c>
      <c r="Q134" s="25" t="str">
        <f>VLOOKUP(P134,Key!$E$2:$F$9,2,FALSE)</f>
        <v>Commercial</v>
      </c>
      <c r="R134" s="25" t="str">
        <f t="shared" si="2"/>
        <v>Commercial-Commercial</v>
      </c>
      <c r="S134" s="52">
        <v>12</v>
      </c>
      <c r="T134" s="52">
        <v>0.3</v>
      </c>
      <c r="U134" s="52">
        <v>2</v>
      </c>
      <c r="V134" s="51"/>
      <c r="W134" s="51"/>
      <c r="X134" s="51"/>
      <c r="Y134" s="53" t="s">
        <v>158</v>
      </c>
      <c r="Z134" s="54">
        <v>0</v>
      </c>
      <c r="AA134" s="25"/>
      <c r="AB134" s="25"/>
    </row>
    <row r="135" spans="2:28">
      <c r="B135" s="48">
        <v>0.8930555555555556</v>
      </c>
      <c r="C135" s="48" t="s">
        <v>767</v>
      </c>
      <c r="D135" s="44">
        <v>1</v>
      </c>
      <c r="E135" s="47">
        <v>1</v>
      </c>
      <c r="F135" s="42" t="s">
        <v>150</v>
      </c>
      <c r="G135" s="43" t="s">
        <v>156</v>
      </c>
      <c r="H135" s="42" t="s">
        <v>157</v>
      </c>
      <c r="I135" s="43">
        <v>1</v>
      </c>
      <c r="J135" s="43">
        <v>1</v>
      </c>
      <c r="K135" s="25" t="str">
        <f>VLOOKUP(J135,Key!$E$2:$F$9,2,FALSE)</f>
        <v>Home</v>
      </c>
      <c r="L135" s="42" t="s">
        <v>155</v>
      </c>
      <c r="M135" s="43" t="s">
        <v>156</v>
      </c>
      <c r="N135" s="42" t="s">
        <v>157</v>
      </c>
      <c r="O135" s="51">
        <v>1</v>
      </c>
      <c r="P135" s="51">
        <v>1</v>
      </c>
      <c r="Q135" s="25" t="str">
        <f>VLOOKUP(P135,Key!$E$2:$F$9,2,FALSE)</f>
        <v>Home</v>
      </c>
      <c r="R135" s="25" t="str">
        <f t="shared" si="2"/>
        <v>Home-Home</v>
      </c>
      <c r="S135" s="52">
        <v>1</v>
      </c>
      <c r="T135" s="52">
        <v>0.1</v>
      </c>
      <c r="U135" s="52">
        <v>1</v>
      </c>
      <c r="V135" s="51"/>
      <c r="W135" s="51"/>
      <c r="X135" s="51"/>
      <c r="Y135" s="53" t="s">
        <v>158</v>
      </c>
      <c r="Z135" s="54">
        <v>2000</v>
      </c>
      <c r="AA135" s="25"/>
      <c r="AB135" s="25"/>
    </row>
    <row r="136" spans="2:28">
      <c r="B136" s="48">
        <v>0.8965277777777777</v>
      </c>
      <c r="C136" s="48" t="s">
        <v>768</v>
      </c>
      <c r="D136" s="44">
        <v>4</v>
      </c>
      <c r="E136" s="46">
        <v>1</v>
      </c>
      <c r="F136" s="42" t="s">
        <v>150</v>
      </c>
      <c r="G136" s="43" t="s">
        <v>156</v>
      </c>
      <c r="H136" s="42" t="s">
        <v>157</v>
      </c>
      <c r="I136" s="43">
        <v>2</v>
      </c>
      <c r="J136" s="43">
        <v>2</v>
      </c>
      <c r="K136" s="25" t="str">
        <f>VLOOKUP(J136,Key!$E$2:$F$9,2,FALSE)</f>
        <v>Work</v>
      </c>
      <c r="L136" s="42" t="s">
        <v>155</v>
      </c>
      <c r="M136" s="43" t="s">
        <v>156</v>
      </c>
      <c r="N136" s="42" t="s">
        <v>157</v>
      </c>
      <c r="O136" s="51">
        <v>6</v>
      </c>
      <c r="P136" s="51">
        <v>4</v>
      </c>
      <c r="Q136" s="25" t="str">
        <f>VLOOKUP(P136,Key!$E$2:$F$9,2,FALSE)</f>
        <v>Commercial</v>
      </c>
      <c r="R136" s="25" t="str">
        <f t="shared" si="2"/>
        <v>Work-Commercial</v>
      </c>
      <c r="S136" s="52">
        <v>1</v>
      </c>
      <c r="T136" s="52">
        <v>0.1</v>
      </c>
      <c r="U136" s="52">
        <v>2</v>
      </c>
      <c r="V136" s="51"/>
      <c r="W136" s="51"/>
      <c r="X136" s="51"/>
      <c r="Y136" s="53" t="s">
        <v>158</v>
      </c>
      <c r="Z136" s="54">
        <v>1000</v>
      </c>
      <c r="AA136" s="25"/>
      <c r="AB136" s="25"/>
    </row>
    <row r="137" spans="2:28">
      <c r="B137" s="48">
        <v>0.90138888888888891</v>
      </c>
      <c r="C137" s="49" t="s">
        <v>769</v>
      </c>
      <c r="D137" s="50">
        <v>1</v>
      </c>
      <c r="E137" s="47">
        <v>1</v>
      </c>
      <c r="F137" s="42" t="s">
        <v>150</v>
      </c>
      <c r="G137" s="43" t="s">
        <v>156</v>
      </c>
      <c r="H137" s="42" t="s">
        <v>157</v>
      </c>
      <c r="I137" s="43">
        <v>2</v>
      </c>
      <c r="J137" s="43">
        <v>2</v>
      </c>
      <c r="K137" s="25" t="str">
        <f>VLOOKUP(J137,Key!$E$2:$F$9,2,FALSE)</f>
        <v>Work</v>
      </c>
      <c r="L137" s="42" t="s">
        <v>162</v>
      </c>
      <c r="M137" s="43" t="s">
        <v>156</v>
      </c>
      <c r="N137" s="42" t="s">
        <v>157</v>
      </c>
      <c r="O137" s="51">
        <v>1</v>
      </c>
      <c r="P137" s="51">
        <v>1</v>
      </c>
      <c r="Q137" s="25" t="str">
        <f>VLOOKUP(P137,Key!$E$2:$F$9,2,FALSE)</f>
        <v>Home</v>
      </c>
      <c r="R137" s="25" t="str">
        <f t="shared" si="2"/>
        <v>Work-Home</v>
      </c>
      <c r="S137" s="52">
        <v>2</v>
      </c>
      <c r="T137" s="52">
        <v>0.3</v>
      </c>
      <c r="U137" s="52">
        <v>2</v>
      </c>
      <c r="V137" s="51"/>
      <c r="W137" s="51"/>
      <c r="X137" s="51"/>
      <c r="Y137" s="53" t="s">
        <v>158</v>
      </c>
      <c r="Z137" s="54">
        <v>10000</v>
      </c>
      <c r="AA137" s="25"/>
      <c r="AB137" s="25"/>
    </row>
    <row r="138" spans="2:28">
      <c r="B138" s="48">
        <v>0.90277777777777779</v>
      </c>
      <c r="C138" s="49" t="s">
        <v>770</v>
      </c>
      <c r="D138" s="50">
        <v>1</v>
      </c>
      <c r="E138" s="47">
        <v>5</v>
      </c>
      <c r="F138" s="42" t="s">
        <v>197</v>
      </c>
      <c r="G138" s="43" t="s">
        <v>197</v>
      </c>
      <c r="H138" s="42" t="s">
        <v>157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771</v>
      </c>
      <c r="M138" s="43" t="s">
        <v>156</v>
      </c>
      <c r="N138" s="42" t="s">
        <v>157</v>
      </c>
      <c r="O138" s="51">
        <v>1</v>
      </c>
      <c r="P138" s="51">
        <v>1</v>
      </c>
      <c r="Q138" s="25" t="str">
        <f>VLOOKUP(P138,Key!$E$2:$F$9,2,FALSE)</f>
        <v>Home</v>
      </c>
      <c r="R138" s="25" t="str">
        <f t="shared" si="2"/>
        <v>Home-Home</v>
      </c>
      <c r="S138" s="52">
        <v>138</v>
      </c>
      <c r="T138" s="52">
        <v>2</v>
      </c>
      <c r="U138" s="52">
        <v>1</v>
      </c>
      <c r="V138" s="51"/>
      <c r="W138" s="51"/>
      <c r="X138" s="51"/>
      <c r="Y138" s="53" t="s">
        <v>158</v>
      </c>
      <c r="Z138" s="54">
        <v>1000</v>
      </c>
      <c r="AA138" s="25"/>
      <c r="AB138" s="25"/>
    </row>
    <row r="139" spans="2:28">
      <c r="B139" s="48">
        <v>0.24791666666666667</v>
      </c>
      <c r="C139" s="49" t="s">
        <v>676</v>
      </c>
      <c r="D139" s="50">
        <v>1</v>
      </c>
      <c r="E139" s="47">
        <v>1</v>
      </c>
      <c r="F139" s="42" t="s">
        <v>760</v>
      </c>
      <c r="G139" s="43" t="s">
        <v>187</v>
      </c>
      <c r="H139" s="42" t="s">
        <v>157</v>
      </c>
      <c r="I139" s="43">
        <v>2</v>
      </c>
      <c r="J139" s="43">
        <v>2</v>
      </c>
      <c r="K139" s="25" t="str">
        <f>VLOOKUP(J139,Key!$E$2:$F$9,2,FALSE)</f>
        <v>Work</v>
      </c>
      <c r="L139" s="42" t="s">
        <v>155</v>
      </c>
      <c r="M139" s="43" t="s">
        <v>156</v>
      </c>
      <c r="N139" s="42" t="s">
        <v>157</v>
      </c>
      <c r="O139" s="51">
        <v>1</v>
      </c>
      <c r="P139" s="51">
        <v>1</v>
      </c>
      <c r="Q139" s="25" t="str">
        <f>VLOOKUP(P139,Key!$E$2:$F$9,2,FALSE)</f>
        <v>Home</v>
      </c>
      <c r="R139" s="25" t="str">
        <f t="shared" si="2"/>
        <v>Work-Home</v>
      </c>
      <c r="S139" s="52">
        <v>120</v>
      </c>
      <c r="T139" s="52">
        <v>2</v>
      </c>
      <c r="U139" s="52">
        <v>3</v>
      </c>
      <c r="V139" s="51"/>
      <c r="W139" s="51"/>
      <c r="X139" s="51"/>
      <c r="Y139" s="53" t="s">
        <v>158</v>
      </c>
      <c r="Z139" s="54">
        <v>1000</v>
      </c>
      <c r="AA139" s="25"/>
      <c r="AB139" s="25"/>
    </row>
    <row r="140" spans="2:28">
      <c r="B140" s="48">
        <v>0.24166666666666667</v>
      </c>
      <c r="C140" s="48" t="s">
        <v>772</v>
      </c>
      <c r="D140" s="44">
        <v>4</v>
      </c>
      <c r="E140" s="47">
        <v>3</v>
      </c>
      <c r="F140" s="42" t="s">
        <v>224</v>
      </c>
      <c r="G140" s="43" t="s">
        <v>224</v>
      </c>
      <c r="H140" s="42" t="s">
        <v>157</v>
      </c>
      <c r="I140" s="43">
        <v>6</v>
      </c>
      <c r="J140" s="43">
        <v>4</v>
      </c>
      <c r="K140" s="25" t="str">
        <f>VLOOKUP(J140,Key!$E$2:$F$9,2,FALSE)</f>
        <v>Commercial</v>
      </c>
      <c r="L140" s="42" t="s">
        <v>207</v>
      </c>
      <c r="M140" s="43" t="s">
        <v>156</v>
      </c>
      <c r="N140" s="42" t="s">
        <v>157</v>
      </c>
      <c r="O140" s="51">
        <v>6</v>
      </c>
      <c r="P140" s="51">
        <v>4</v>
      </c>
      <c r="Q140" s="25" t="str">
        <f>VLOOKUP(P140,Key!$E$2:$F$9,2,FALSE)</f>
        <v>Commercial</v>
      </c>
      <c r="R140" s="25" t="str">
        <f t="shared" si="2"/>
        <v>Commercial-Commercial</v>
      </c>
      <c r="S140" s="52">
        <v>45</v>
      </c>
      <c r="T140" s="52">
        <v>1</v>
      </c>
      <c r="U140" s="52">
        <v>2</v>
      </c>
      <c r="V140" s="51"/>
      <c r="W140" s="51"/>
      <c r="X140" s="51"/>
      <c r="Y140" s="53" t="s">
        <v>158</v>
      </c>
      <c r="Z140" s="54">
        <v>500</v>
      </c>
      <c r="AA140" s="25"/>
      <c r="AB140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53"/>
  <sheetViews>
    <sheetView zoomScale="84" zoomScaleNormal="84" zoomScaleSheetLayoutView="80" workbookViewId="0">
      <selection activeCell="B9" sqref="B9:AB153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9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7" t="s">
        <v>129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6"/>
      <c r="AD1" s="6"/>
      <c r="AE1" s="6"/>
      <c r="AF1" s="6"/>
      <c r="AG1" s="6"/>
      <c r="AH1" s="6"/>
      <c r="AI1" s="6"/>
    </row>
    <row r="2" spans="2:3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1" t="s">
        <v>454</v>
      </c>
      <c r="E4" s="1" t="s">
        <v>66</v>
      </c>
      <c r="F4" s="134" t="str">
        <f>'ALL DATA'!F4:G4</f>
        <v>BUDO ROAD</v>
      </c>
      <c r="G4" s="135"/>
      <c r="I4" s="27" t="s">
        <v>67</v>
      </c>
      <c r="J4" s="5"/>
      <c r="K4" s="5"/>
      <c r="L4" s="56" t="s">
        <v>207</v>
      </c>
      <c r="M4" s="2"/>
      <c r="N4" s="1" t="s">
        <v>69</v>
      </c>
      <c r="O4" s="119" t="s">
        <v>151</v>
      </c>
      <c r="P4" s="120"/>
      <c r="Q4" s="120"/>
      <c r="R4" s="120"/>
      <c r="S4" s="120"/>
      <c r="T4" s="120"/>
      <c r="V4" s="1" t="s">
        <v>70</v>
      </c>
      <c r="W4" s="59" t="str">
        <f>'ALL DATA'!W4</f>
        <v>FLORENCE</v>
      </c>
      <c r="Y4" s="27" t="s">
        <v>6</v>
      </c>
      <c r="Z4" s="39" t="str">
        <f>'ALL DATA'!Z4</f>
        <v>DAVID</v>
      </c>
      <c r="AA4" s="32" t="s">
        <v>7</v>
      </c>
      <c r="AB4" s="39" t="str">
        <f>'ALL DATA'!AB4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7" t="s">
        <v>150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5" t="s">
        <v>34</v>
      </c>
      <c r="C7" s="110" t="s">
        <v>57</v>
      </c>
      <c r="D7" s="108" t="s">
        <v>9</v>
      </c>
      <c r="E7" s="110" t="s">
        <v>35</v>
      </c>
      <c r="F7" s="121" t="s">
        <v>12</v>
      </c>
      <c r="G7" s="122"/>
      <c r="H7" s="123"/>
      <c r="I7" s="108" t="s">
        <v>60</v>
      </c>
      <c r="J7" s="110" t="s">
        <v>15</v>
      </c>
      <c r="K7" s="110" t="s">
        <v>130</v>
      </c>
      <c r="L7" s="121" t="s">
        <v>17</v>
      </c>
      <c r="M7" s="122"/>
      <c r="N7" s="123"/>
      <c r="O7" s="108" t="s">
        <v>61</v>
      </c>
      <c r="P7" s="110" t="s">
        <v>18</v>
      </c>
      <c r="Q7" s="110" t="s">
        <v>131</v>
      </c>
      <c r="R7" s="110" t="s">
        <v>132</v>
      </c>
      <c r="S7" s="110" t="s">
        <v>134</v>
      </c>
      <c r="T7" s="110" t="s">
        <v>133</v>
      </c>
      <c r="U7" s="110" t="s">
        <v>62</v>
      </c>
      <c r="V7" s="114" t="s">
        <v>65</v>
      </c>
      <c r="W7" s="115"/>
      <c r="X7" s="116"/>
      <c r="Y7" s="110" t="s">
        <v>64</v>
      </c>
      <c r="Z7" s="110" t="s">
        <v>137</v>
      </c>
      <c r="AA7" s="108" t="s">
        <v>20</v>
      </c>
      <c r="AB7" s="112" t="s">
        <v>21</v>
      </c>
      <c r="AD7" s="19"/>
    </row>
    <row r="8" spans="2:35" ht="38.25" customHeight="1">
      <c r="B8" s="126"/>
      <c r="C8" s="111"/>
      <c r="D8" s="109"/>
      <c r="E8" s="124"/>
      <c r="F8" s="23" t="s">
        <v>71</v>
      </c>
      <c r="G8" s="23" t="s">
        <v>58</v>
      </c>
      <c r="H8" s="24" t="s">
        <v>59</v>
      </c>
      <c r="I8" s="109"/>
      <c r="J8" s="111"/>
      <c r="K8" s="111"/>
      <c r="L8" s="23" t="s">
        <v>71</v>
      </c>
      <c r="M8" s="23" t="s">
        <v>58</v>
      </c>
      <c r="N8" s="23" t="s">
        <v>59</v>
      </c>
      <c r="O8" s="109"/>
      <c r="P8" s="111"/>
      <c r="Q8" s="111"/>
      <c r="R8" s="111"/>
      <c r="S8" s="111"/>
      <c r="T8" s="111"/>
      <c r="U8" s="111"/>
      <c r="V8" s="29" t="s">
        <v>63</v>
      </c>
      <c r="W8" s="30" t="s">
        <v>135</v>
      </c>
      <c r="X8" s="30" t="s">
        <v>136</v>
      </c>
      <c r="Y8" s="111"/>
      <c r="Z8" s="111"/>
      <c r="AA8" s="109"/>
      <c r="AB8" s="113"/>
    </row>
    <row r="9" spans="2:35" s="19" customFormat="1">
      <c r="B9" s="40">
        <v>0.7284722222222223</v>
      </c>
      <c r="C9" s="40" t="s">
        <v>497</v>
      </c>
      <c r="D9" s="41">
        <v>4</v>
      </c>
      <c r="E9" s="41">
        <v>14</v>
      </c>
      <c r="F9" s="42" t="s">
        <v>179</v>
      </c>
      <c r="G9" s="43" t="s">
        <v>156</v>
      </c>
      <c r="H9" s="42" t="s">
        <v>157</v>
      </c>
      <c r="I9" s="43">
        <v>6</v>
      </c>
      <c r="J9" s="43">
        <v>2</v>
      </c>
      <c r="K9" s="25" t="str">
        <f>VLOOKUP(J9,Key!$E$2:$F$9,2,FALSE)</f>
        <v>Work</v>
      </c>
      <c r="L9" s="42" t="s">
        <v>187</v>
      </c>
      <c r="M9" s="43" t="s">
        <v>187</v>
      </c>
      <c r="N9" s="42" t="s">
        <v>157</v>
      </c>
      <c r="O9" s="43">
        <v>6</v>
      </c>
      <c r="P9" s="43">
        <v>2</v>
      </c>
      <c r="Q9" s="25" t="str">
        <f>VLOOKUP(P9,Key!$E$2:$F$9,2,FALSE)</f>
        <v>Work</v>
      </c>
      <c r="R9" s="25" t="str">
        <f t="shared" ref="R9:R72" si="0">K9&amp;"-"&amp;Q9</f>
        <v>Work-Work</v>
      </c>
      <c r="S9" s="52">
        <v>20</v>
      </c>
      <c r="T9" s="52">
        <v>2.5</v>
      </c>
      <c r="U9" s="52">
        <v>2</v>
      </c>
      <c r="V9" s="43"/>
      <c r="W9" s="52"/>
      <c r="X9" s="52"/>
      <c r="Y9" s="53" t="s">
        <v>158</v>
      </c>
      <c r="Z9" s="54">
        <v>2000</v>
      </c>
      <c r="AA9" s="25"/>
      <c r="AB9" s="25"/>
    </row>
    <row r="10" spans="2:35">
      <c r="B10" s="40">
        <v>0.73263888888888884</v>
      </c>
      <c r="C10" s="40" t="s">
        <v>498</v>
      </c>
      <c r="D10" s="41">
        <v>1</v>
      </c>
      <c r="E10" s="41">
        <v>2</v>
      </c>
      <c r="F10" s="42" t="s">
        <v>160</v>
      </c>
      <c r="G10" s="43" t="s">
        <v>156</v>
      </c>
      <c r="H10" s="42" t="s">
        <v>157</v>
      </c>
      <c r="I10" s="43">
        <v>1</v>
      </c>
      <c r="J10" s="43">
        <v>1</v>
      </c>
      <c r="K10" s="25" t="str">
        <f>VLOOKUP(J10,Key!$E$2:$F$9,2,FALSE)</f>
        <v>Home</v>
      </c>
      <c r="L10" s="42" t="s">
        <v>339</v>
      </c>
      <c r="M10" s="43" t="s">
        <v>187</v>
      </c>
      <c r="N10" s="42" t="s">
        <v>157</v>
      </c>
      <c r="O10" s="43">
        <v>2</v>
      </c>
      <c r="P10" s="43">
        <v>2</v>
      </c>
      <c r="Q10" s="25" t="str">
        <f>VLOOKUP(P10,Key!$E$2:$F$9,2,FALSE)</f>
        <v>Work</v>
      </c>
      <c r="R10" s="25" t="str">
        <f t="shared" si="0"/>
        <v>Home-Work</v>
      </c>
      <c r="S10" s="52">
        <v>10</v>
      </c>
      <c r="T10" s="52">
        <v>2</v>
      </c>
      <c r="U10" s="52">
        <v>2</v>
      </c>
      <c r="V10" s="43"/>
      <c r="W10" s="52"/>
      <c r="X10" s="52"/>
      <c r="Y10" s="53" t="s">
        <v>158</v>
      </c>
      <c r="Z10" s="54">
        <v>2000</v>
      </c>
      <c r="AA10" s="25"/>
      <c r="AB10" s="25"/>
    </row>
    <row r="11" spans="2:35">
      <c r="B11" s="40">
        <v>0.29166666666666669</v>
      </c>
      <c r="C11" s="40" t="s">
        <v>493</v>
      </c>
      <c r="D11" s="41">
        <v>1</v>
      </c>
      <c r="E11" s="41">
        <v>3</v>
      </c>
      <c r="F11" s="42" t="s">
        <v>160</v>
      </c>
      <c r="G11" s="43" t="s">
        <v>156</v>
      </c>
      <c r="H11" s="42" t="s">
        <v>157</v>
      </c>
      <c r="I11" s="43">
        <v>3</v>
      </c>
      <c r="J11" s="43">
        <v>2</v>
      </c>
      <c r="K11" s="25" t="str">
        <f>VLOOKUP(J11,Key!$E$2:$F$9,2,FALSE)</f>
        <v>Work</v>
      </c>
      <c r="L11" s="42" t="s">
        <v>150</v>
      </c>
      <c r="M11" s="43" t="s">
        <v>156</v>
      </c>
      <c r="N11" s="42" t="s">
        <v>157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52">
        <v>1.5</v>
      </c>
      <c r="T11" s="52">
        <v>0.4</v>
      </c>
      <c r="U11" s="52">
        <v>2</v>
      </c>
      <c r="V11" s="43"/>
      <c r="W11" s="52"/>
      <c r="X11" s="52"/>
      <c r="Y11" s="53" t="s">
        <v>158</v>
      </c>
      <c r="Z11" s="54">
        <v>5000</v>
      </c>
      <c r="AA11" s="25"/>
      <c r="AB11" s="25"/>
    </row>
    <row r="12" spans="2:35">
      <c r="B12" s="40">
        <v>0.7909722222222223</v>
      </c>
      <c r="C12" s="40" t="s">
        <v>499</v>
      </c>
      <c r="D12" s="41">
        <v>1</v>
      </c>
      <c r="E12" s="41">
        <v>1</v>
      </c>
      <c r="F12" s="42" t="s">
        <v>155</v>
      </c>
      <c r="G12" s="43" t="s">
        <v>156</v>
      </c>
      <c r="H12" s="42" t="s">
        <v>157</v>
      </c>
      <c r="I12" s="43">
        <v>2</v>
      </c>
      <c r="J12" s="43">
        <v>2</v>
      </c>
      <c r="K12" s="25" t="str">
        <f>VLOOKUP(J12,Key!$E$2:$F$9,2,FALSE)</f>
        <v>Work</v>
      </c>
      <c r="L12" s="42" t="s">
        <v>164</v>
      </c>
      <c r="M12" s="43" t="s">
        <v>156</v>
      </c>
      <c r="N12" s="42" t="s">
        <v>157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52">
        <v>5</v>
      </c>
      <c r="T12" s="52">
        <v>0.6</v>
      </c>
      <c r="U12" s="52">
        <v>2</v>
      </c>
      <c r="V12" s="43"/>
      <c r="W12" s="52"/>
      <c r="X12" s="52"/>
      <c r="Y12" s="53" t="s">
        <v>158</v>
      </c>
      <c r="Z12" s="54">
        <v>1000</v>
      </c>
      <c r="AA12" s="25"/>
      <c r="AB12" s="25"/>
    </row>
    <row r="13" spans="2:35">
      <c r="B13" s="40">
        <v>0.78472222222222221</v>
      </c>
      <c r="C13" s="40" t="s">
        <v>500</v>
      </c>
      <c r="D13" s="41">
        <v>1</v>
      </c>
      <c r="E13" s="41">
        <v>1</v>
      </c>
      <c r="F13" s="42" t="s">
        <v>160</v>
      </c>
      <c r="G13" s="43" t="s">
        <v>156</v>
      </c>
      <c r="H13" s="42" t="s">
        <v>157</v>
      </c>
      <c r="I13" s="43">
        <v>2</v>
      </c>
      <c r="J13" s="43">
        <v>2</v>
      </c>
      <c r="K13" s="25" t="str">
        <f>VLOOKUP(J13,Key!$E$2:$F$9,2,FALSE)</f>
        <v>Work</v>
      </c>
      <c r="L13" s="42" t="s">
        <v>150</v>
      </c>
      <c r="M13" s="43" t="s">
        <v>156</v>
      </c>
      <c r="N13" s="42" t="s">
        <v>157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52">
        <v>0.5</v>
      </c>
      <c r="T13" s="52">
        <v>0.1</v>
      </c>
      <c r="U13" s="52">
        <v>2</v>
      </c>
      <c r="V13" s="43"/>
      <c r="W13" s="52"/>
      <c r="X13" s="52"/>
      <c r="Y13" s="53" t="s">
        <v>158</v>
      </c>
      <c r="Z13" s="54">
        <v>500</v>
      </c>
      <c r="AA13" s="25"/>
      <c r="AB13" s="25"/>
    </row>
    <row r="14" spans="2:35">
      <c r="B14" s="40">
        <v>0.78125</v>
      </c>
      <c r="C14" s="40" t="s">
        <v>501</v>
      </c>
      <c r="D14" s="41">
        <v>1</v>
      </c>
      <c r="E14" s="41">
        <v>4</v>
      </c>
      <c r="F14" s="42" t="s">
        <v>179</v>
      </c>
      <c r="G14" s="43" t="s">
        <v>156</v>
      </c>
      <c r="H14" s="42" t="s">
        <v>157</v>
      </c>
      <c r="I14" s="43">
        <v>2</v>
      </c>
      <c r="J14" s="43">
        <v>2</v>
      </c>
      <c r="K14" s="25" t="str">
        <f>VLOOKUP(J14,Key!$E$2:$F$9,2,FALSE)</f>
        <v>Work</v>
      </c>
      <c r="L14" s="42" t="s">
        <v>162</v>
      </c>
      <c r="M14" s="43" t="s">
        <v>187</v>
      </c>
      <c r="N14" s="42" t="s">
        <v>157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52">
        <v>5</v>
      </c>
      <c r="T14" s="52">
        <v>1</v>
      </c>
      <c r="U14" s="52">
        <v>2</v>
      </c>
      <c r="V14" s="43"/>
      <c r="W14" s="52"/>
      <c r="X14" s="52"/>
      <c r="Y14" s="53" t="s">
        <v>158</v>
      </c>
      <c r="Z14" s="54">
        <v>1000</v>
      </c>
      <c r="AA14" s="25"/>
      <c r="AB14" s="25"/>
    </row>
    <row r="15" spans="2:35">
      <c r="B15" s="40">
        <v>0.77083333333333337</v>
      </c>
      <c r="C15" s="40" t="s">
        <v>502</v>
      </c>
      <c r="D15" s="41">
        <v>3</v>
      </c>
      <c r="E15" s="41">
        <v>1</v>
      </c>
      <c r="F15" s="42" t="s">
        <v>155</v>
      </c>
      <c r="G15" s="43" t="s">
        <v>156</v>
      </c>
      <c r="H15" s="42" t="s">
        <v>157</v>
      </c>
      <c r="I15" s="43">
        <v>2</v>
      </c>
      <c r="J15" s="43">
        <v>2</v>
      </c>
      <c r="K15" s="25" t="str">
        <f>VLOOKUP(J15,Key!$E$2:$F$9,2,FALSE)</f>
        <v>Work</v>
      </c>
      <c r="L15" s="42" t="s">
        <v>150</v>
      </c>
      <c r="M15" s="43" t="s">
        <v>156</v>
      </c>
      <c r="N15" s="42" t="s">
        <v>157</v>
      </c>
      <c r="O15" s="43">
        <v>1</v>
      </c>
      <c r="P15" s="43">
        <v>1</v>
      </c>
      <c r="Q15" s="25" t="str">
        <f>VLOOKUP(P15,Key!$E$2:$F$9,2,FALSE)</f>
        <v>Home</v>
      </c>
      <c r="R15" s="25" t="str">
        <f t="shared" si="0"/>
        <v>Work-Home</v>
      </c>
      <c r="S15" s="52">
        <v>0.5</v>
      </c>
      <c r="T15" s="52">
        <v>0.1</v>
      </c>
      <c r="U15" s="52">
        <v>2</v>
      </c>
      <c r="V15" s="43"/>
      <c r="W15" s="52"/>
      <c r="X15" s="52"/>
      <c r="Y15" s="53" t="s">
        <v>158</v>
      </c>
      <c r="Z15" s="54">
        <v>500</v>
      </c>
      <c r="AA15" s="25"/>
      <c r="AB15" s="25"/>
    </row>
    <row r="16" spans="2:35">
      <c r="B16" s="40">
        <v>0.76736111111111116</v>
      </c>
      <c r="C16" s="40" t="s">
        <v>503</v>
      </c>
      <c r="D16" s="41">
        <v>1</v>
      </c>
      <c r="E16" s="41">
        <v>1</v>
      </c>
      <c r="F16" s="42" t="s">
        <v>160</v>
      </c>
      <c r="G16" s="43" t="s">
        <v>156</v>
      </c>
      <c r="H16" s="42" t="s">
        <v>157</v>
      </c>
      <c r="I16" s="43">
        <v>2</v>
      </c>
      <c r="J16" s="43">
        <v>2</v>
      </c>
      <c r="K16" s="25" t="str">
        <f>VLOOKUP(J16,Key!$E$2:$F$9,2,FALSE)</f>
        <v>Work</v>
      </c>
      <c r="L16" s="42" t="s">
        <v>164</v>
      </c>
      <c r="M16" s="43" t="s">
        <v>156</v>
      </c>
      <c r="N16" s="42" t="s">
        <v>157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52">
        <v>3</v>
      </c>
      <c r="T16" s="52">
        <v>1</v>
      </c>
      <c r="U16" s="52">
        <v>2</v>
      </c>
      <c r="V16" s="43"/>
      <c r="W16" s="52"/>
      <c r="X16" s="52"/>
      <c r="Y16" s="53" t="s">
        <v>158</v>
      </c>
      <c r="Z16" s="54">
        <v>1000</v>
      </c>
      <c r="AA16" s="25"/>
      <c r="AB16" s="25"/>
    </row>
    <row r="17" spans="2:28">
      <c r="B17" s="40">
        <v>0.75694444444444453</v>
      </c>
      <c r="C17" s="40" t="s">
        <v>504</v>
      </c>
      <c r="D17" s="41">
        <v>1</v>
      </c>
      <c r="E17" s="41">
        <v>2</v>
      </c>
      <c r="F17" s="42" t="s">
        <v>160</v>
      </c>
      <c r="G17" s="43" t="s">
        <v>156</v>
      </c>
      <c r="H17" s="42" t="s">
        <v>157</v>
      </c>
      <c r="I17" s="43">
        <v>2</v>
      </c>
      <c r="J17" s="43">
        <v>2</v>
      </c>
      <c r="K17" s="25" t="str">
        <f>VLOOKUP(J17,Key!$E$2:$F$9,2,FALSE)</f>
        <v>Work</v>
      </c>
      <c r="L17" s="42" t="s">
        <v>162</v>
      </c>
      <c r="M17" s="43" t="s">
        <v>156</v>
      </c>
      <c r="N17" s="42" t="s">
        <v>157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2">
        <v>5</v>
      </c>
      <c r="T17" s="52">
        <v>1</v>
      </c>
      <c r="U17" s="52">
        <v>2</v>
      </c>
      <c r="V17" s="43"/>
      <c r="W17" s="52"/>
      <c r="X17" s="52"/>
      <c r="Y17" s="53" t="s">
        <v>158</v>
      </c>
      <c r="Z17" s="54">
        <v>5000</v>
      </c>
      <c r="AA17" s="25"/>
      <c r="AB17" s="25"/>
    </row>
    <row r="18" spans="2:28">
      <c r="B18" s="40">
        <v>0.74930555555555556</v>
      </c>
      <c r="C18" s="40" t="s">
        <v>505</v>
      </c>
      <c r="D18" s="41">
        <v>7</v>
      </c>
      <c r="E18" s="41">
        <v>4</v>
      </c>
      <c r="F18" s="42" t="s">
        <v>155</v>
      </c>
      <c r="G18" s="43" t="s">
        <v>156</v>
      </c>
      <c r="H18" s="42" t="s">
        <v>157</v>
      </c>
      <c r="I18" s="43">
        <v>3</v>
      </c>
      <c r="J18" s="43">
        <v>2</v>
      </c>
      <c r="K18" s="25" t="str">
        <f>VLOOKUP(J18,Key!$E$2:$F$9,2,FALSE)</f>
        <v>Work</v>
      </c>
      <c r="L18" s="42" t="s">
        <v>187</v>
      </c>
      <c r="M18" s="43" t="s">
        <v>187</v>
      </c>
      <c r="N18" s="42" t="s">
        <v>157</v>
      </c>
      <c r="O18" s="43">
        <v>7</v>
      </c>
      <c r="P18" s="43">
        <v>4</v>
      </c>
      <c r="Q18" s="25" t="str">
        <f>VLOOKUP(P18,Key!$E$2:$F$9,2,FALSE)</f>
        <v>Commercial</v>
      </c>
      <c r="R18" s="25" t="str">
        <f t="shared" si="0"/>
        <v>Work-Commercial</v>
      </c>
      <c r="S18" s="52">
        <v>20</v>
      </c>
      <c r="T18" s="52">
        <v>2</v>
      </c>
      <c r="U18" s="52">
        <v>3</v>
      </c>
      <c r="V18" s="43"/>
      <c r="W18" s="52"/>
      <c r="X18" s="52"/>
      <c r="Y18" s="53" t="s">
        <v>158</v>
      </c>
      <c r="Z18" s="54">
        <v>1000</v>
      </c>
      <c r="AA18" s="25"/>
      <c r="AB18" s="25"/>
    </row>
    <row r="19" spans="2:28">
      <c r="B19" s="40">
        <v>0.73958333333333337</v>
      </c>
      <c r="C19" s="40" t="s">
        <v>506</v>
      </c>
      <c r="D19" s="41">
        <v>1</v>
      </c>
      <c r="E19" s="41">
        <v>3</v>
      </c>
      <c r="F19" s="42" t="s">
        <v>160</v>
      </c>
      <c r="G19" s="43" t="s">
        <v>156</v>
      </c>
      <c r="H19" s="42" t="s">
        <v>157</v>
      </c>
      <c r="I19" s="43">
        <v>2</v>
      </c>
      <c r="J19" s="43">
        <v>2</v>
      </c>
      <c r="K19" s="25" t="str">
        <f>VLOOKUP(J19,Key!$E$2:$F$9,2,FALSE)</f>
        <v>Work</v>
      </c>
      <c r="L19" s="42" t="s">
        <v>247</v>
      </c>
      <c r="M19" s="43" t="s">
        <v>187</v>
      </c>
      <c r="N19" s="42" t="s">
        <v>157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52">
        <v>15</v>
      </c>
      <c r="T19" s="52">
        <v>1.5</v>
      </c>
      <c r="U19" s="52">
        <v>2</v>
      </c>
      <c r="V19" s="43"/>
      <c r="W19" s="52"/>
      <c r="X19" s="52"/>
      <c r="Y19" s="53" t="s">
        <v>158</v>
      </c>
      <c r="Z19" s="54">
        <v>0</v>
      </c>
      <c r="AA19" s="25"/>
      <c r="AB19" s="25"/>
    </row>
    <row r="20" spans="2:28">
      <c r="B20" s="40">
        <v>0.73541666666666661</v>
      </c>
      <c r="C20" s="40" t="s">
        <v>507</v>
      </c>
      <c r="D20" s="41">
        <v>4</v>
      </c>
      <c r="E20" s="41">
        <v>14</v>
      </c>
      <c r="F20" s="42" t="s">
        <v>179</v>
      </c>
      <c r="G20" s="43" t="s">
        <v>156</v>
      </c>
      <c r="H20" s="42" t="s">
        <v>157</v>
      </c>
      <c r="I20" s="43">
        <v>6</v>
      </c>
      <c r="J20" s="43">
        <v>2</v>
      </c>
      <c r="K20" s="25" t="str">
        <f>VLOOKUP(J20,Key!$E$2:$F$9,2,FALSE)</f>
        <v>Work</v>
      </c>
      <c r="L20" s="42" t="s">
        <v>194</v>
      </c>
      <c r="M20" s="43" t="s">
        <v>156</v>
      </c>
      <c r="N20" s="42" t="s">
        <v>157</v>
      </c>
      <c r="O20" s="43">
        <v>6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52">
        <v>10</v>
      </c>
      <c r="T20" s="52">
        <v>1</v>
      </c>
      <c r="U20" s="52">
        <v>2</v>
      </c>
      <c r="V20" s="43"/>
      <c r="W20" s="52"/>
      <c r="X20" s="52"/>
      <c r="Y20" s="53" t="s">
        <v>158</v>
      </c>
      <c r="Z20" s="54">
        <v>500</v>
      </c>
      <c r="AA20" s="25"/>
      <c r="AB20" s="25"/>
    </row>
    <row r="21" spans="2:28">
      <c r="B21" s="40">
        <v>0.72916666666666663</v>
      </c>
      <c r="C21" s="40" t="s">
        <v>508</v>
      </c>
      <c r="D21" s="41">
        <v>1</v>
      </c>
      <c r="E21" s="41">
        <v>6</v>
      </c>
      <c r="F21" s="42" t="s">
        <v>155</v>
      </c>
      <c r="G21" s="43" t="s">
        <v>156</v>
      </c>
      <c r="H21" s="42" t="s">
        <v>157</v>
      </c>
      <c r="I21" s="43">
        <v>2</v>
      </c>
      <c r="J21" s="43">
        <v>2</v>
      </c>
      <c r="K21" s="25" t="str">
        <f>VLOOKUP(J21,Key!$E$2:$F$9,2,FALSE)</f>
        <v>Work</v>
      </c>
      <c r="L21" s="42" t="s">
        <v>166</v>
      </c>
      <c r="M21" s="43" t="s">
        <v>156</v>
      </c>
      <c r="N21" s="42" t="s">
        <v>157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52">
        <v>9</v>
      </c>
      <c r="T21" s="52">
        <v>1</v>
      </c>
      <c r="U21" s="52">
        <v>2</v>
      </c>
      <c r="V21" s="43"/>
      <c r="W21" s="52"/>
      <c r="X21" s="52"/>
      <c r="Y21" s="53" t="s">
        <v>158</v>
      </c>
      <c r="Z21" s="54">
        <v>5000</v>
      </c>
      <c r="AA21" s="25"/>
      <c r="AB21" s="25"/>
    </row>
    <row r="22" spans="2:28">
      <c r="B22" s="40">
        <v>0.72569444444444453</v>
      </c>
      <c r="C22" s="40" t="s">
        <v>509</v>
      </c>
      <c r="D22" s="41">
        <v>1</v>
      </c>
      <c r="E22" s="41">
        <v>4</v>
      </c>
      <c r="F22" s="42" t="s">
        <v>510</v>
      </c>
      <c r="G22" s="43" t="s">
        <v>156</v>
      </c>
      <c r="H22" s="42" t="s">
        <v>157</v>
      </c>
      <c r="I22" s="43">
        <v>2</v>
      </c>
      <c r="J22" s="43">
        <v>2</v>
      </c>
      <c r="K22" s="25" t="str">
        <f>VLOOKUP(J22,Key!$E$2:$F$9,2,FALSE)</f>
        <v>Work</v>
      </c>
      <c r="L22" s="42" t="s">
        <v>150</v>
      </c>
      <c r="M22" s="43" t="s">
        <v>156</v>
      </c>
      <c r="N22" s="42" t="s">
        <v>157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52">
        <v>12</v>
      </c>
      <c r="T22" s="52">
        <v>0.8</v>
      </c>
      <c r="U22" s="52">
        <v>3</v>
      </c>
      <c r="V22" s="43"/>
      <c r="W22" s="52"/>
      <c r="X22" s="52"/>
      <c r="Y22" s="53" t="s">
        <v>158</v>
      </c>
      <c r="Z22" s="54">
        <v>1000</v>
      </c>
      <c r="AA22" s="25"/>
      <c r="AB22" s="25"/>
    </row>
    <row r="23" spans="2:28">
      <c r="B23" s="40">
        <v>0.71180555555555547</v>
      </c>
      <c r="C23" s="40" t="s">
        <v>511</v>
      </c>
      <c r="D23" s="41">
        <v>2</v>
      </c>
      <c r="E23" s="41">
        <v>6</v>
      </c>
      <c r="F23" s="42" t="s">
        <v>155</v>
      </c>
      <c r="G23" s="43" t="s">
        <v>156</v>
      </c>
      <c r="H23" s="42" t="s">
        <v>157</v>
      </c>
      <c r="I23" s="43">
        <v>1</v>
      </c>
      <c r="J23" s="43">
        <v>1</v>
      </c>
      <c r="K23" s="25" t="str">
        <f>VLOOKUP(J23,Key!$E$2:$F$9,2,FALSE)</f>
        <v>Home</v>
      </c>
      <c r="L23" s="42" t="s">
        <v>164</v>
      </c>
      <c r="M23" s="43" t="s">
        <v>156</v>
      </c>
      <c r="N23" s="42" t="s">
        <v>157</v>
      </c>
      <c r="O23" s="43">
        <v>3</v>
      </c>
      <c r="P23" s="43">
        <v>2</v>
      </c>
      <c r="Q23" s="25" t="str">
        <f>VLOOKUP(P23,Key!$E$2:$F$9,2,FALSE)</f>
        <v>Work</v>
      </c>
      <c r="R23" s="25" t="str">
        <f t="shared" si="0"/>
        <v>Home-Work</v>
      </c>
      <c r="S23" s="52">
        <v>5</v>
      </c>
      <c r="T23" s="52">
        <v>0.7</v>
      </c>
      <c r="U23" s="52">
        <v>3</v>
      </c>
      <c r="V23" s="43"/>
      <c r="W23" s="52"/>
      <c r="X23" s="52"/>
      <c r="Y23" s="53" t="s">
        <v>158</v>
      </c>
      <c r="Z23" s="54">
        <v>1000</v>
      </c>
      <c r="AA23" s="25"/>
      <c r="AB23" s="25"/>
    </row>
    <row r="24" spans="2:28">
      <c r="B24" s="40">
        <v>0.70763888888888893</v>
      </c>
      <c r="C24" s="40" t="s">
        <v>512</v>
      </c>
      <c r="D24" s="41">
        <v>1</v>
      </c>
      <c r="E24" s="41">
        <v>5</v>
      </c>
      <c r="F24" s="42" t="s">
        <v>466</v>
      </c>
      <c r="G24" s="43" t="s">
        <v>156</v>
      </c>
      <c r="H24" s="42" t="s">
        <v>157</v>
      </c>
      <c r="I24" s="43">
        <v>1</v>
      </c>
      <c r="J24" s="43">
        <v>1</v>
      </c>
      <c r="K24" s="25" t="str">
        <f>VLOOKUP(J24,Key!$E$2:$F$9,2,FALSE)</f>
        <v>Home</v>
      </c>
      <c r="L24" s="42" t="s">
        <v>197</v>
      </c>
      <c r="M24" s="43" t="s">
        <v>197</v>
      </c>
      <c r="N24" s="42" t="s">
        <v>157</v>
      </c>
      <c r="O24" s="43">
        <v>9</v>
      </c>
      <c r="P24" s="43">
        <v>2</v>
      </c>
      <c r="Q24" s="25" t="str">
        <f>VLOOKUP(P24,Key!$E$2:$F$9,2,FALSE)</f>
        <v>Work</v>
      </c>
      <c r="R24" s="25" t="str">
        <f t="shared" si="0"/>
        <v>Home-Work</v>
      </c>
      <c r="S24" s="52">
        <v>130</v>
      </c>
      <c r="T24" s="52">
        <v>3</v>
      </c>
      <c r="U24" s="52">
        <v>3</v>
      </c>
      <c r="V24" s="43"/>
      <c r="W24" s="52"/>
      <c r="X24" s="52"/>
      <c r="Y24" s="53" t="s">
        <v>158</v>
      </c>
      <c r="Z24" s="54">
        <v>500</v>
      </c>
      <c r="AA24" s="25"/>
      <c r="AB24" s="25"/>
    </row>
    <row r="25" spans="2:28">
      <c r="B25" s="40">
        <v>0.69444444444444453</v>
      </c>
      <c r="C25" s="40" t="s">
        <v>513</v>
      </c>
      <c r="D25" s="41">
        <v>1</v>
      </c>
      <c r="E25" s="41">
        <v>4</v>
      </c>
      <c r="F25" s="42" t="s">
        <v>155</v>
      </c>
      <c r="G25" s="43" t="s">
        <v>156</v>
      </c>
      <c r="H25" s="42" t="s">
        <v>157</v>
      </c>
      <c r="I25" s="43">
        <v>2</v>
      </c>
      <c r="J25" s="43">
        <v>2</v>
      </c>
      <c r="K25" s="25" t="str">
        <f>VLOOKUP(J25,Key!$E$2:$F$9,2,FALSE)</f>
        <v>Work</v>
      </c>
      <c r="L25" s="42" t="s">
        <v>162</v>
      </c>
      <c r="M25" s="43" t="s">
        <v>156</v>
      </c>
      <c r="N25" s="42" t="s">
        <v>157</v>
      </c>
      <c r="O25" s="43">
        <v>1</v>
      </c>
      <c r="P25" s="43">
        <v>1</v>
      </c>
      <c r="Q25" s="25" t="str">
        <f>VLOOKUP(P25,Key!$E$2:$F$9,2,FALSE)</f>
        <v>Home</v>
      </c>
      <c r="R25" s="25" t="str">
        <f t="shared" si="0"/>
        <v>Work-Home</v>
      </c>
      <c r="S25" s="52">
        <v>5</v>
      </c>
      <c r="T25" s="52">
        <v>0.7</v>
      </c>
      <c r="U25" s="52">
        <v>2</v>
      </c>
      <c r="V25" s="43"/>
      <c r="W25" s="52"/>
      <c r="X25" s="52"/>
      <c r="Y25" s="53" t="s">
        <v>158</v>
      </c>
      <c r="Z25" s="54">
        <v>1000</v>
      </c>
      <c r="AA25" s="25"/>
      <c r="AB25" s="25"/>
    </row>
    <row r="26" spans="2:28">
      <c r="B26" s="40">
        <v>0.68402777777777779</v>
      </c>
      <c r="C26" s="40" t="s">
        <v>514</v>
      </c>
      <c r="D26" s="41">
        <v>1</v>
      </c>
      <c r="E26" s="41">
        <v>2</v>
      </c>
      <c r="F26" s="42" t="s">
        <v>160</v>
      </c>
      <c r="G26" s="43" t="s">
        <v>156</v>
      </c>
      <c r="H26" s="42" t="s">
        <v>157</v>
      </c>
      <c r="I26" s="43">
        <v>1</v>
      </c>
      <c r="J26" s="43">
        <v>1</v>
      </c>
      <c r="K26" s="25" t="str">
        <f>VLOOKUP(J26,Key!$E$2:$F$9,2,FALSE)</f>
        <v>Home</v>
      </c>
      <c r="L26" s="42" t="s">
        <v>164</v>
      </c>
      <c r="M26" s="43" t="s">
        <v>156</v>
      </c>
      <c r="N26" s="42" t="s">
        <v>157</v>
      </c>
      <c r="O26" s="43">
        <v>2</v>
      </c>
      <c r="P26" s="43">
        <v>2</v>
      </c>
      <c r="Q26" s="25" t="str">
        <f>VLOOKUP(P26,Key!$E$2:$F$9,2,FALSE)</f>
        <v>Work</v>
      </c>
      <c r="R26" s="25" t="str">
        <f t="shared" si="0"/>
        <v>Home-Work</v>
      </c>
      <c r="S26" s="52">
        <v>5</v>
      </c>
      <c r="T26" s="52">
        <v>0.5</v>
      </c>
      <c r="U26" s="52">
        <v>2</v>
      </c>
      <c r="V26" s="43"/>
      <c r="W26" s="52"/>
      <c r="X26" s="52"/>
      <c r="Y26" s="53" t="s">
        <v>158</v>
      </c>
      <c r="Z26" s="54">
        <v>1000</v>
      </c>
      <c r="AA26" s="25"/>
      <c r="AB26" s="25"/>
    </row>
    <row r="27" spans="2:28">
      <c r="B27" s="40">
        <v>0.66666666666666663</v>
      </c>
      <c r="C27" s="40" t="s">
        <v>515</v>
      </c>
      <c r="D27" s="41">
        <v>2</v>
      </c>
      <c r="E27" s="41">
        <v>2</v>
      </c>
      <c r="F27" s="42" t="s">
        <v>155</v>
      </c>
      <c r="G27" s="43" t="s">
        <v>156</v>
      </c>
      <c r="H27" s="42" t="s">
        <v>157</v>
      </c>
      <c r="I27" s="43">
        <v>1</v>
      </c>
      <c r="J27" s="43">
        <v>1</v>
      </c>
      <c r="K27" s="25" t="str">
        <f>VLOOKUP(J27,Key!$E$2:$F$9,2,FALSE)</f>
        <v>Home</v>
      </c>
      <c r="L27" s="42" t="s">
        <v>162</v>
      </c>
      <c r="M27" s="43" t="s">
        <v>156</v>
      </c>
      <c r="N27" s="42" t="s">
        <v>157</v>
      </c>
      <c r="O27" s="43">
        <v>2</v>
      </c>
      <c r="P27" s="43">
        <v>2</v>
      </c>
      <c r="Q27" s="25" t="str">
        <f>VLOOKUP(P27,Key!$E$2:$F$9,2,FALSE)</f>
        <v>Work</v>
      </c>
      <c r="R27" s="25" t="str">
        <f t="shared" si="0"/>
        <v>Home-Work</v>
      </c>
      <c r="S27" s="52">
        <v>5</v>
      </c>
      <c r="T27" s="52">
        <v>1</v>
      </c>
      <c r="U27" s="52">
        <v>2</v>
      </c>
      <c r="V27" s="43"/>
      <c r="W27" s="52"/>
      <c r="X27" s="52"/>
      <c r="Y27" s="53" t="s">
        <v>158</v>
      </c>
      <c r="Z27" s="54">
        <v>500</v>
      </c>
      <c r="AA27" s="25"/>
      <c r="AB27" s="25"/>
    </row>
    <row r="28" spans="2:28">
      <c r="B28" s="40">
        <v>0.67361111111111116</v>
      </c>
      <c r="C28" s="40" t="s">
        <v>516</v>
      </c>
      <c r="D28" s="41">
        <v>1</v>
      </c>
      <c r="E28" s="41">
        <v>2</v>
      </c>
      <c r="F28" s="42" t="s">
        <v>204</v>
      </c>
      <c r="G28" s="43" t="s">
        <v>156</v>
      </c>
      <c r="H28" s="42" t="s">
        <v>157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150</v>
      </c>
      <c r="M28" s="43" t="s">
        <v>156</v>
      </c>
      <c r="N28" s="42" t="s">
        <v>157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52">
        <v>15</v>
      </c>
      <c r="T28" s="52">
        <v>1.5</v>
      </c>
      <c r="U28" s="52">
        <v>3</v>
      </c>
      <c r="V28" s="43"/>
      <c r="W28" s="52"/>
      <c r="X28" s="52"/>
      <c r="Y28" s="53" t="s">
        <v>158</v>
      </c>
      <c r="Z28" s="54">
        <v>0</v>
      </c>
      <c r="AA28" s="25"/>
      <c r="AB28" s="25"/>
    </row>
    <row r="29" spans="2:28">
      <c r="B29" s="40">
        <v>0.66597222222222219</v>
      </c>
      <c r="C29" s="40" t="s">
        <v>517</v>
      </c>
      <c r="D29" s="41">
        <v>1</v>
      </c>
      <c r="E29" s="41">
        <v>3</v>
      </c>
      <c r="F29" s="42" t="s">
        <v>155</v>
      </c>
      <c r="G29" s="43" t="s">
        <v>156</v>
      </c>
      <c r="H29" s="42" t="s">
        <v>157</v>
      </c>
      <c r="I29" s="43">
        <v>2</v>
      </c>
      <c r="J29" s="43">
        <v>2</v>
      </c>
      <c r="K29" s="25" t="str">
        <f>VLOOKUP(J29,Key!$E$2:$F$9,2,FALSE)</f>
        <v>Work</v>
      </c>
      <c r="L29" s="42" t="s">
        <v>162</v>
      </c>
      <c r="M29" s="43" t="s">
        <v>197</v>
      </c>
      <c r="N29" s="42" t="s">
        <v>157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Work-Home</v>
      </c>
      <c r="S29" s="52">
        <v>5</v>
      </c>
      <c r="T29" s="52">
        <v>0.7</v>
      </c>
      <c r="U29" s="52">
        <v>2</v>
      </c>
      <c r="V29" s="43"/>
      <c r="W29" s="52"/>
      <c r="X29" s="52"/>
      <c r="Y29" s="53" t="s">
        <v>158</v>
      </c>
      <c r="Z29" s="54">
        <v>2000</v>
      </c>
      <c r="AA29" s="25"/>
      <c r="AB29" s="25"/>
    </row>
    <row r="30" spans="2:28">
      <c r="B30" s="40">
        <v>0.66319444444444442</v>
      </c>
      <c r="C30" s="40" t="s">
        <v>518</v>
      </c>
      <c r="D30" s="41">
        <v>7</v>
      </c>
      <c r="E30" s="41">
        <v>3</v>
      </c>
      <c r="F30" s="42" t="s">
        <v>155</v>
      </c>
      <c r="G30" s="43" t="s">
        <v>156</v>
      </c>
      <c r="H30" s="42" t="s">
        <v>157</v>
      </c>
      <c r="I30" s="43">
        <v>1</v>
      </c>
      <c r="J30" s="43">
        <v>1</v>
      </c>
      <c r="K30" s="25" t="str">
        <f>VLOOKUP(J30,Key!$E$2:$F$9,2,FALSE)</f>
        <v>Home</v>
      </c>
      <c r="L30" s="42" t="s">
        <v>166</v>
      </c>
      <c r="M30" s="43" t="s">
        <v>156</v>
      </c>
      <c r="N30" s="42" t="s">
        <v>157</v>
      </c>
      <c r="O30" s="43">
        <v>3</v>
      </c>
      <c r="P30" s="43">
        <v>2</v>
      </c>
      <c r="Q30" s="25" t="str">
        <f>VLOOKUP(P30,Key!$E$2:$F$9,2,FALSE)</f>
        <v>Work</v>
      </c>
      <c r="R30" s="25" t="str">
        <f t="shared" si="0"/>
        <v>Home-Work</v>
      </c>
      <c r="S30" s="52">
        <v>10</v>
      </c>
      <c r="T30" s="52">
        <v>1</v>
      </c>
      <c r="U30" s="52">
        <v>3</v>
      </c>
      <c r="V30" s="43"/>
      <c r="W30" s="52"/>
      <c r="X30" s="52"/>
      <c r="Y30" s="53" t="s">
        <v>158</v>
      </c>
      <c r="Z30" s="54">
        <v>3000</v>
      </c>
      <c r="AA30" s="25"/>
      <c r="AB30" s="25"/>
    </row>
    <row r="31" spans="2:28">
      <c r="B31" s="40">
        <v>0.65625</v>
      </c>
      <c r="C31" s="40" t="s">
        <v>519</v>
      </c>
      <c r="D31" s="41">
        <v>3</v>
      </c>
      <c r="E31" s="41">
        <v>4</v>
      </c>
      <c r="F31" s="42" t="s">
        <v>226</v>
      </c>
      <c r="G31" s="43" t="s">
        <v>156</v>
      </c>
      <c r="H31" s="42" t="s">
        <v>157</v>
      </c>
      <c r="I31" s="43">
        <v>1</v>
      </c>
      <c r="J31" s="43">
        <v>1</v>
      </c>
      <c r="K31" s="25" t="str">
        <f>VLOOKUP(J31,Key!$E$2:$F$9,2,FALSE)</f>
        <v>Home</v>
      </c>
      <c r="L31" s="42" t="s">
        <v>150</v>
      </c>
      <c r="M31" s="43" t="s">
        <v>156</v>
      </c>
      <c r="N31" s="42" t="s">
        <v>157</v>
      </c>
      <c r="O31" s="43">
        <v>3</v>
      </c>
      <c r="P31" s="43">
        <v>2</v>
      </c>
      <c r="Q31" s="25" t="str">
        <f>VLOOKUP(P31,Key!$E$2:$F$9,2,FALSE)</f>
        <v>Work</v>
      </c>
      <c r="R31" s="25" t="str">
        <f t="shared" si="0"/>
        <v>Home-Work</v>
      </c>
      <c r="S31" s="52">
        <v>2</v>
      </c>
      <c r="T31" s="52">
        <v>0.4</v>
      </c>
      <c r="U31" s="52">
        <v>2</v>
      </c>
      <c r="V31" s="43"/>
      <c r="W31" s="52"/>
      <c r="X31" s="52"/>
      <c r="Y31" s="53" t="s">
        <v>158</v>
      </c>
      <c r="Z31" s="54">
        <v>2000</v>
      </c>
      <c r="AA31" s="25"/>
      <c r="AB31" s="25"/>
    </row>
    <row r="32" spans="2:28">
      <c r="B32" s="40">
        <v>0.64583333333333337</v>
      </c>
      <c r="C32" s="40" t="s">
        <v>520</v>
      </c>
      <c r="D32" s="41">
        <v>1</v>
      </c>
      <c r="E32" s="41">
        <v>4</v>
      </c>
      <c r="F32" s="42" t="s">
        <v>160</v>
      </c>
      <c r="G32" s="43" t="s">
        <v>156</v>
      </c>
      <c r="H32" s="42" t="s">
        <v>157</v>
      </c>
      <c r="I32" s="43">
        <v>1</v>
      </c>
      <c r="J32" s="43">
        <v>1</v>
      </c>
      <c r="K32" s="25" t="str">
        <f>VLOOKUP(J32,Key!$E$2:$F$9,2,FALSE)</f>
        <v>Home</v>
      </c>
      <c r="L32" s="42" t="s">
        <v>197</v>
      </c>
      <c r="M32" s="43" t="s">
        <v>197</v>
      </c>
      <c r="N32" s="42" t="s">
        <v>157</v>
      </c>
      <c r="O32" s="43">
        <v>9</v>
      </c>
      <c r="P32" s="43">
        <v>2</v>
      </c>
      <c r="Q32" s="25" t="str">
        <f>VLOOKUP(P32,Key!$E$2:$F$9,2,FALSE)</f>
        <v>Work</v>
      </c>
      <c r="R32" s="25" t="str">
        <f t="shared" si="0"/>
        <v>Home-Work</v>
      </c>
      <c r="S32" s="52">
        <v>120</v>
      </c>
      <c r="T32" s="52">
        <v>2.5</v>
      </c>
      <c r="U32" s="52">
        <v>6</v>
      </c>
      <c r="V32" s="43"/>
      <c r="W32" s="52"/>
      <c r="X32" s="52"/>
      <c r="Y32" s="53" t="s">
        <v>158</v>
      </c>
      <c r="Z32" s="54">
        <v>1000</v>
      </c>
      <c r="AA32" s="25"/>
      <c r="AB32" s="25"/>
    </row>
    <row r="33" spans="2:28">
      <c r="B33" s="40">
        <v>0.63194444444444442</v>
      </c>
      <c r="C33" s="40" t="s">
        <v>521</v>
      </c>
      <c r="D33" s="41">
        <v>1</v>
      </c>
      <c r="E33" s="41">
        <v>4</v>
      </c>
      <c r="F33" s="42" t="s">
        <v>160</v>
      </c>
      <c r="G33" s="43" t="s">
        <v>156</v>
      </c>
      <c r="H33" s="42" t="s">
        <v>157</v>
      </c>
      <c r="I33" s="43">
        <v>2</v>
      </c>
      <c r="J33" s="43">
        <v>2</v>
      </c>
      <c r="K33" s="25" t="str">
        <f>VLOOKUP(J33,Key!$E$2:$F$9,2,FALSE)</f>
        <v>Work</v>
      </c>
      <c r="L33" s="42" t="s">
        <v>164</v>
      </c>
      <c r="M33" s="43" t="s">
        <v>156</v>
      </c>
      <c r="N33" s="42" t="s">
        <v>157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52">
        <v>5</v>
      </c>
      <c r="T33" s="52">
        <v>0.8</v>
      </c>
      <c r="U33" s="52">
        <v>2</v>
      </c>
      <c r="V33" s="43"/>
      <c r="W33" s="52"/>
      <c r="X33" s="52"/>
      <c r="Y33" s="53" t="s">
        <v>158</v>
      </c>
      <c r="Z33" s="54">
        <v>1000</v>
      </c>
      <c r="AA33" s="25"/>
      <c r="AB33" s="25"/>
    </row>
    <row r="34" spans="2:28">
      <c r="B34" s="40">
        <v>0.625</v>
      </c>
      <c r="C34" s="40" t="s">
        <v>522</v>
      </c>
      <c r="D34" s="41">
        <v>3</v>
      </c>
      <c r="E34" s="41">
        <v>4</v>
      </c>
      <c r="F34" s="42" t="s">
        <v>160</v>
      </c>
      <c r="G34" s="43" t="s">
        <v>156</v>
      </c>
      <c r="H34" s="42" t="s">
        <v>157</v>
      </c>
      <c r="I34" s="43">
        <v>3</v>
      </c>
      <c r="J34" s="43">
        <v>2</v>
      </c>
      <c r="K34" s="25" t="str">
        <f>VLOOKUP(J34,Key!$E$2:$F$9,2,FALSE)</f>
        <v>Work</v>
      </c>
      <c r="L34" s="42" t="s">
        <v>187</v>
      </c>
      <c r="M34" s="43" t="s">
        <v>187</v>
      </c>
      <c r="N34" s="42" t="s">
        <v>157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Work-Home</v>
      </c>
      <c r="S34" s="52">
        <v>15</v>
      </c>
      <c r="T34" s="52">
        <v>2</v>
      </c>
      <c r="U34" s="52">
        <v>2</v>
      </c>
      <c r="V34" s="43"/>
      <c r="W34" s="52"/>
      <c r="X34" s="52"/>
      <c r="Y34" s="53" t="s">
        <v>158</v>
      </c>
      <c r="Z34" s="54">
        <v>1000</v>
      </c>
      <c r="AA34" s="25"/>
      <c r="AB34" s="25"/>
    </row>
    <row r="35" spans="2:28">
      <c r="B35" s="40">
        <v>0.61805555555555558</v>
      </c>
      <c r="C35" s="40" t="s">
        <v>523</v>
      </c>
      <c r="D35" s="41">
        <v>1</v>
      </c>
      <c r="E35" s="41">
        <v>2</v>
      </c>
      <c r="F35" s="42" t="s">
        <v>160</v>
      </c>
      <c r="G35" s="43" t="s">
        <v>156</v>
      </c>
      <c r="H35" s="42" t="s">
        <v>157</v>
      </c>
      <c r="I35" s="43">
        <v>2</v>
      </c>
      <c r="J35" s="43">
        <v>2</v>
      </c>
      <c r="K35" s="25" t="str">
        <f>VLOOKUP(J35,Key!$E$2:$F$9,2,FALSE)</f>
        <v>Work</v>
      </c>
      <c r="L35" s="42" t="s">
        <v>162</v>
      </c>
      <c r="M35" s="43" t="s">
        <v>156</v>
      </c>
      <c r="N35" s="42" t="s">
        <v>157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52">
        <v>3</v>
      </c>
      <c r="T35" s="52">
        <v>0.5</v>
      </c>
      <c r="U35" s="52">
        <v>2</v>
      </c>
      <c r="V35" s="43"/>
      <c r="W35" s="52"/>
      <c r="X35" s="52"/>
      <c r="Y35" s="53" t="s">
        <v>158</v>
      </c>
      <c r="Z35" s="54">
        <v>500</v>
      </c>
      <c r="AA35" s="25"/>
      <c r="AB35" s="25"/>
    </row>
    <row r="36" spans="2:28">
      <c r="B36" s="40">
        <v>0.61041666666666672</v>
      </c>
      <c r="C36" s="40" t="s">
        <v>524</v>
      </c>
      <c r="D36" s="41">
        <v>1</v>
      </c>
      <c r="E36" s="41">
        <v>1</v>
      </c>
      <c r="F36" s="42" t="s">
        <v>179</v>
      </c>
      <c r="G36" s="43" t="s">
        <v>156</v>
      </c>
      <c r="H36" s="42" t="s">
        <v>157</v>
      </c>
      <c r="I36" s="43">
        <v>1</v>
      </c>
      <c r="J36" s="43">
        <v>1</v>
      </c>
      <c r="K36" s="25" t="str">
        <f>VLOOKUP(J36,Key!$E$2:$F$9,2,FALSE)</f>
        <v>Home</v>
      </c>
      <c r="L36" s="42" t="s">
        <v>150</v>
      </c>
      <c r="M36" s="43" t="s">
        <v>156</v>
      </c>
      <c r="N36" s="42" t="s">
        <v>157</v>
      </c>
      <c r="O36" s="43">
        <v>2</v>
      </c>
      <c r="P36" s="43">
        <v>2</v>
      </c>
      <c r="Q36" s="25" t="str">
        <f>VLOOKUP(P36,Key!$E$2:$F$9,2,FALSE)</f>
        <v>Work</v>
      </c>
      <c r="R36" s="25" t="str">
        <f t="shared" si="0"/>
        <v>Home-Work</v>
      </c>
      <c r="S36" s="52">
        <v>1</v>
      </c>
      <c r="T36" s="52">
        <v>0.2</v>
      </c>
      <c r="U36" s="52">
        <v>2</v>
      </c>
      <c r="V36" s="43"/>
      <c r="W36" s="52"/>
      <c r="X36" s="52"/>
      <c r="Y36" s="53" t="s">
        <v>158</v>
      </c>
      <c r="Z36" s="54">
        <v>500</v>
      </c>
      <c r="AA36" s="25"/>
      <c r="AB36" s="25"/>
    </row>
    <row r="37" spans="2:28">
      <c r="B37" s="40">
        <v>0.60555555555555551</v>
      </c>
      <c r="C37" s="40" t="s">
        <v>525</v>
      </c>
      <c r="D37" s="41">
        <v>3</v>
      </c>
      <c r="E37" s="41">
        <v>5</v>
      </c>
      <c r="F37" s="42" t="s">
        <v>160</v>
      </c>
      <c r="G37" s="43" t="s">
        <v>156</v>
      </c>
      <c r="H37" s="42" t="s">
        <v>157</v>
      </c>
      <c r="I37" s="43">
        <v>9</v>
      </c>
      <c r="J37" s="43">
        <v>2</v>
      </c>
      <c r="K37" s="25" t="str">
        <f>VLOOKUP(J37,Key!$E$2:$F$9,2,FALSE)</f>
        <v>Work</v>
      </c>
      <c r="L37" s="42" t="s">
        <v>164</v>
      </c>
      <c r="M37" s="43" t="s">
        <v>156</v>
      </c>
      <c r="N37" s="42" t="s">
        <v>157</v>
      </c>
      <c r="O37" s="43">
        <v>1</v>
      </c>
      <c r="P37" s="43">
        <v>1</v>
      </c>
      <c r="Q37" s="25" t="str">
        <f>VLOOKUP(P37,Key!$E$2:$F$9,2,FALSE)</f>
        <v>Home</v>
      </c>
      <c r="R37" s="25" t="str">
        <f t="shared" si="0"/>
        <v>Work-Home</v>
      </c>
      <c r="S37" s="52">
        <v>5</v>
      </c>
      <c r="T37" s="52">
        <v>1</v>
      </c>
      <c r="U37" s="52">
        <v>2</v>
      </c>
      <c r="V37" s="43"/>
      <c r="W37" s="52"/>
      <c r="X37" s="52"/>
      <c r="Y37" s="53" t="s">
        <v>158</v>
      </c>
      <c r="Z37" s="54">
        <v>500</v>
      </c>
      <c r="AA37" s="25"/>
      <c r="AB37" s="25"/>
    </row>
    <row r="38" spans="2:28">
      <c r="B38" s="40">
        <v>0.60069444444444442</v>
      </c>
      <c r="C38" s="40" t="s">
        <v>526</v>
      </c>
      <c r="D38" s="41">
        <v>1</v>
      </c>
      <c r="E38" s="41">
        <v>2</v>
      </c>
      <c r="F38" s="42" t="s">
        <v>155</v>
      </c>
      <c r="G38" s="43" t="s">
        <v>156</v>
      </c>
      <c r="H38" s="42" t="s">
        <v>157</v>
      </c>
      <c r="I38" s="43">
        <v>2</v>
      </c>
      <c r="J38" s="43">
        <v>2</v>
      </c>
      <c r="K38" s="25" t="str">
        <f>VLOOKUP(J38,Key!$E$2:$F$9,2,FALSE)</f>
        <v>Work</v>
      </c>
      <c r="L38" s="42" t="s">
        <v>527</v>
      </c>
      <c r="M38" s="43" t="s">
        <v>197</v>
      </c>
      <c r="N38" s="42" t="s">
        <v>157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si="0"/>
        <v>Work-Home</v>
      </c>
      <c r="S38" s="52">
        <v>100</v>
      </c>
      <c r="T38" s="52">
        <v>2.5</v>
      </c>
      <c r="U38" s="52">
        <v>6</v>
      </c>
      <c r="V38" s="43"/>
      <c r="W38" s="52"/>
      <c r="X38" s="52"/>
      <c r="Y38" s="53" t="s">
        <v>158</v>
      </c>
      <c r="Z38" s="54">
        <v>5000</v>
      </c>
      <c r="AA38" s="25"/>
      <c r="AB38" s="25"/>
    </row>
    <row r="39" spans="2:28">
      <c r="B39" s="40">
        <v>0.59583333333333333</v>
      </c>
      <c r="C39" s="40" t="s">
        <v>528</v>
      </c>
      <c r="D39" s="41">
        <v>1</v>
      </c>
      <c r="E39" s="41">
        <v>2</v>
      </c>
      <c r="F39" s="42" t="s">
        <v>179</v>
      </c>
      <c r="G39" s="43" t="s">
        <v>156</v>
      </c>
      <c r="H39" s="42" t="s">
        <v>157</v>
      </c>
      <c r="I39" s="43">
        <v>2</v>
      </c>
      <c r="J39" s="43">
        <v>2</v>
      </c>
      <c r="K39" s="25" t="str">
        <f>VLOOKUP(J39,Key!$E$2:$F$9,2,FALSE)</f>
        <v>Work</v>
      </c>
      <c r="L39" s="42" t="s">
        <v>162</v>
      </c>
      <c r="M39" s="43" t="s">
        <v>156</v>
      </c>
      <c r="N39" s="42" t="s">
        <v>157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0"/>
        <v>Work-Home</v>
      </c>
      <c r="S39" s="52">
        <v>3</v>
      </c>
      <c r="T39" s="52">
        <v>0.6</v>
      </c>
      <c r="U39" s="52">
        <v>2</v>
      </c>
      <c r="V39" s="43"/>
      <c r="W39" s="52"/>
      <c r="X39" s="52"/>
      <c r="Y39" s="53" t="s">
        <v>158</v>
      </c>
      <c r="Z39" s="54">
        <v>1000</v>
      </c>
      <c r="AA39" s="25"/>
      <c r="AB39" s="25"/>
    </row>
    <row r="40" spans="2:28">
      <c r="B40" s="40">
        <v>9.0277777777777776E-2</v>
      </c>
      <c r="C40" s="40" t="s">
        <v>206</v>
      </c>
      <c r="D40" s="41">
        <v>3</v>
      </c>
      <c r="E40" s="41">
        <v>4</v>
      </c>
      <c r="F40" s="42" t="s">
        <v>160</v>
      </c>
      <c r="G40" s="43" t="s">
        <v>156</v>
      </c>
      <c r="H40" s="42" t="s">
        <v>157</v>
      </c>
      <c r="I40" s="43">
        <v>3</v>
      </c>
      <c r="J40" s="43">
        <v>2</v>
      </c>
      <c r="K40" s="25" t="str">
        <f>VLOOKUP(J40,Key!$E$2:$F$9,2,FALSE)</f>
        <v>Work</v>
      </c>
      <c r="L40" s="42" t="s">
        <v>162</v>
      </c>
      <c r="M40" s="43" t="s">
        <v>156</v>
      </c>
      <c r="N40" s="42" t="s">
        <v>157</v>
      </c>
      <c r="O40" s="43">
        <v>1</v>
      </c>
      <c r="P40" s="43">
        <v>1</v>
      </c>
      <c r="Q40" s="25" t="str">
        <f>VLOOKUP(P40,Key!$E$2:$F$9,2,FALSE)</f>
        <v>Home</v>
      </c>
      <c r="R40" s="25" t="str">
        <f t="shared" si="0"/>
        <v>Work-Home</v>
      </c>
      <c r="S40" s="52">
        <v>3</v>
      </c>
      <c r="T40" s="52">
        <v>0.5</v>
      </c>
      <c r="U40" s="52">
        <v>6</v>
      </c>
      <c r="V40" s="43"/>
      <c r="W40" s="52"/>
      <c r="X40" s="52"/>
      <c r="Y40" s="53" t="s">
        <v>158</v>
      </c>
      <c r="Z40" s="54">
        <v>1000</v>
      </c>
      <c r="AA40" s="25"/>
      <c r="AB40" s="25"/>
    </row>
    <row r="41" spans="2:28">
      <c r="B41" s="40">
        <v>0.58263888888888882</v>
      </c>
      <c r="C41" s="40" t="s">
        <v>529</v>
      </c>
      <c r="D41" s="41">
        <v>1</v>
      </c>
      <c r="E41" s="41">
        <v>2</v>
      </c>
      <c r="F41" s="42" t="s">
        <v>155</v>
      </c>
      <c r="G41" s="43" t="s">
        <v>156</v>
      </c>
      <c r="H41" s="42" t="s">
        <v>157</v>
      </c>
      <c r="I41" s="43">
        <v>1</v>
      </c>
      <c r="J41" s="43">
        <v>1</v>
      </c>
      <c r="K41" s="25" t="str">
        <f>VLOOKUP(J41,Key!$E$2:$F$9,2,FALSE)</f>
        <v>Home</v>
      </c>
      <c r="L41" s="42" t="s">
        <v>187</v>
      </c>
      <c r="M41" s="43" t="s">
        <v>187</v>
      </c>
      <c r="N41" s="42" t="s">
        <v>157</v>
      </c>
      <c r="O41" s="43">
        <v>2</v>
      </c>
      <c r="P41" s="43">
        <v>2</v>
      </c>
      <c r="Q41" s="25" t="str">
        <f>VLOOKUP(P41,Key!$E$2:$F$9,2,FALSE)</f>
        <v>Work</v>
      </c>
      <c r="R41" s="25" t="str">
        <f t="shared" si="0"/>
        <v>Home-Work</v>
      </c>
      <c r="S41" s="52">
        <v>15</v>
      </c>
      <c r="T41" s="52">
        <v>1</v>
      </c>
      <c r="U41" s="52">
        <v>3</v>
      </c>
      <c r="V41" s="43"/>
      <c r="W41" s="52"/>
      <c r="X41" s="52"/>
      <c r="Y41" s="53" t="s">
        <v>158</v>
      </c>
      <c r="Z41" s="54">
        <v>1000</v>
      </c>
      <c r="AA41" s="25"/>
      <c r="AB41" s="25"/>
    </row>
    <row r="42" spans="2:28">
      <c r="B42" s="40">
        <v>0.57777777777777783</v>
      </c>
      <c r="C42" s="40" t="s">
        <v>530</v>
      </c>
      <c r="D42" s="41">
        <v>1</v>
      </c>
      <c r="E42" s="41">
        <v>4</v>
      </c>
      <c r="F42" s="42" t="s">
        <v>179</v>
      </c>
      <c r="G42" s="43" t="s">
        <v>156</v>
      </c>
      <c r="H42" s="42" t="s">
        <v>157</v>
      </c>
      <c r="I42" s="43">
        <v>3</v>
      </c>
      <c r="J42" s="43">
        <v>2</v>
      </c>
      <c r="K42" s="25" t="str">
        <f>VLOOKUP(J42,Key!$E$2:$F$9,2,FALSE)</f>
        <v>Work</v>
      </c>
      <c r="L42" s="42" t="s">
        <v>162</v>
      </c>
      <c r="M42" s="43" t="s">
        <v>156</v>
      </c>
      <c r="N42" s="42" t="s">
        <v>157</v>
      </c>
      <c r="O42" s="43">
        <v>1</v>
      </c>
      <c r="P42" s="43">
        <v>1</v>
      </c>
      <c r="Q42" s="25" t="str">
        <f>VLOOKUP(P42,Key!$E$2:$F$9,2,FALSE)</f>
        <v>Home</v>
      </c>
      <c r="R42" s="25" t="str">
        <f t="shared" si="0"/>
        <v>Work-Home</v>
      </c>
      <c r="S42" s="52">
        <v>3</v>
      </c>
      <c r="T42" s="52">
        <v>0.5</v>
      </c>
      <c r="U42" s="52">
        <v>6</v>
      </c>
      <c r="V42" s="43"/>
      <c r="W42" s="52"/>
      <c r="X42" s="52"/>
      <c r="Y42" s="53" t="s">
        <v>158</v>
      </c>
      <c r="Z42" s="54">
        <v>500</v>
      </c>
      <c r="AA42" s="25"/>
      <c r="AB42" s="25"/>
    </row>
    <row r="43" spans="2:28">
      <c r="B43" s="40">
        <v>0.75069444444444444</v>
      </c>
      <c r="C43" s="40" t="s">
        <v>531</v>
      </c>
      <c r="D43" s="41">
        <v>7</v>
      </c>
      <c r="E43" s="41">
        <v>2</v>
      </c>
      <c r="F43" s="42" t="s">
        <v>207</v>
      </c>
      <c r="G43" s="43" t="s">
        <v>156</v>
      </c>
      <c r="H43" s="42" t="s">
        <v>157</v>
      </c>
      <c r="I43" s="43">
        <v>10</v>
      </c>
      <c r="J43" s="43">
        <v>2</v>
      </c>
      <c r="K43" s="25" t="str">
        <f>VLOOKUP(J43,Key!$E$2:$F$9,2,FALSE)</f>
        <v>Work</v>
      </c>
      <c r="L43" s="42" t="s">
        <v>164</v>
      </c>
      <c r="M43" s="43" t="s">
        <v>156</v>
      </c>
      <c r="N43" s="42" t="s">
        <v>157</v>
      </c>
      <c r="O43" s="43">
        <v>1</v>
      </c>
      <c r="P43" s="43">
        <v>1</v>
      </c>
      <c r="Q43" s="25" t="str">
        <f>VLOOKUP(P43,Key!$E$2:$F$9,2,FALSE)</f>
        <v>Home</v>
      </c>
      <c r="R43" s="25" t="str">
        <f t="shared" si="0"/>
        <v>Work-Home</v>
      </c>
      <c r="S43" s="52">
        <v>15</v>
      </c>
      <c r="T43" s="52">
        <v>0.3</v>
      </c>
      <c r="U43" s="52">
        <v>1</v>
      </c>
      <c r="V43" s="43"/>
      <c r="W43" s="52"/>
      <c r="X43" s="52"/>
      <c r="Y43" s="53" t="s">
        <v>158</v>
      </c>
      <c r="Z43" s="54">
        <v>1000</v>
      </c>
      <c r="AA43" s="25"/>
      <c r="AB43" s="25"/>
    </row>
    <row r="44" spans="2:28">
      <c r="B44" s="40">
        <v>0.74444444444444446</v>
      </c>
      <c r="C44" s="40" t="s">
        <v>532</v>
      </c>
      <c r="D44" s="41">
        <v>2</v>
      </c>
      <c r="E44" s="41">
        <v>1</v>
      </c>
      <c r="F44" s="42" t="s">
        <v>215</v>
      </c>
      <c r="G44" s="43" t="s">
        <v>156</v>
      </c>
      <c r="H44" s="42" t="s">
        <v>157</v>
      </c>
      <c r="I44" s="43">
        <v>2</v>
      </c>
      <c r="J44" s="43">
        <v>2</v>
      </c>
      <c r="K44" s="25" t="str">
        <f>VLOOKUP(J44,Key!$E$2:$F$9,2,FALSE)</f>
        <v>Work</v>
      </c>
      <c r="L44" s="42" t="s">
        <v>162</v>
      </c>
      <c r="M44" s="43" t="s">
        <v>156</v>
      </c>
      <c r="N44" s="42" t="s">
        <v>157</v>
      </c>
      <c r="O44" s="43">
        <v>1</v>
      </c>
      <c r="P44" s="43">
        <v>1</v>
      </c>
      <c r="Q44" s="25" t="str">
        <f>VLOOKUP(P44,Key!$E$2:$F$9,2,FALSE)</f>
        <v>Home</v>
      </c>
      <c r="R44" s="25" t="str">
        <f t="shared" si="0"/>
        <v>Work-Home</v>
      </c>
      <c r="S44" s="52">
        <v>35</v>
      </c>
      <c r="T44" s="52">
        <v>2</v>
      </c>
      <c r="U44" s="52">
        <v>2</v>
      </c>
      <c r="V44" s="43"/>
      <c r="W44" s="52"/>
      <c r="X44" s="52"/>
      <c r="Y44" s="53" t="s">
        <v>158</v>
      </c>
      <c r="Z44" s="54">
        <v>10000</v>
      </c>
      <c r="AA44" s="25"/>
      <c r="AB44" s="25"/>
    </row>
    <row r="45" spans="2:28">
      <c r="B45" s="40">
        <v>0.69236111111111109</v>
      </c>
      <c r="C45" s="40" t="s">
        <v>533</v>
      </c>
      <c r="D45" s="41">
        <v>11</v>
      </c>
      <c r="E45" s="41">
        <v>2</v>
      </c>
      <c r="F45" s="42" t="s">
        <v>150</v>
      </c>
      <c r="G45" s="43" t="s">
        <v>156</v>
      </c>
      <c r="H45" s="42" t="s">
        <v>157</v>
      </c>
      <c r="I45" s="43">
        <v>1</v>
      </c>
      <c r="J45" s="43">
        <v>1</v>
      </c>
      <c r="K45" s="25" t="str">
        <f>VLOOKUP(J45,Key!$E$2:$F$9,2,FALSE)</f>
        <v>Home</v>
      </c>
      <c r="L45" s="42" t="s">
        <v>150</v>
      </c>
      <c r="M45" s="43" t="s">
        <v>156</v>
      </c>
      <c r="N45" s="42" t="s">
        <v>157</v>
      </c>
      <c r="O45" s="43">
        <v>8</v>
      </c>
      <c r="P45" s="43">
        <v>2</v>
      </c>
      <c r="Q45" s="25" t="str">
        <f>VLOOKUP(P45,Key!$E$2:$F$9,2,FALSE)</f>
        <v>Work</v>
      </c>
      <c r="R45" s="25" t="str">
        <f t="shared" si="0"/>
        <v>Home-Work</v>
      </c>
      <c r="S45" s="52">
        <v>0.5</v>
      </c>
      <c r="T45" s="52">
        <v>0.1</v>
      </c>
      <c r="U45" s="52">
        <v>1</v>
      </c>
      <c r="V45" s="43"/>
      <c r="W45" s="52"/>
      <c r="X45" s="52"/>
      <c r="Y45" s="53" t="s">
        <v>158</v>
      </c>
      <c r="Z45" s="54">
        <v>10000</v>
      </c>
      <c r="AA45" s="25"/>
      <c r="AB45" s="25"/>
    </row>
    <row r="46" spans="2:28">
      <c r="B46" s="40">
        <v>0.68402777777777779</v>
      </c>
      <c r="C46" s="40" t="s">
        <v>534</v>
      </c>
      <c r="D46" s="41">
        <v>11</v>
      </c>
      <c r="E46" s="41">
        <v>2</v>
      </c>
      <c r="F46" s="42" t="s">
        <v>155</v>
      </c>
      <c r="G46" s="43" t="s">
        <v>156</v>
      </c>
      <c r="H46" s="42" t="s">
        <v>157</v>
      </c>
      <c r="I46" s="43">
        <v>8</v>
      </c>
      <c r="J46" s="43">
        <v>2</v>
      </c>
      <c r="K46" s="25" t="str">
        <f>VLOOKUP(J46,Key!$E$2:$F$9,2,FALSE)</f>
        <v>Work</v>
      </c>
      <c r="L46" s="42" t="s">
        <v>164</v>
      </c>
      <c r="M46" s="43" t="s">
        <v>156</v>
      </c>
      <c r="N46" s="42" t="s">
        <v>157</v>
      </c>
      <c r="O46" s="43">
        <v>8</v>
      </c>
      <c r="P46" s="43">
        <v>2</v>
      </c>
      <c r="Q46" s="25" t="str">
        <f>VLOOKUP(P46,Key!$E$2:$F$9,2,FALSE)</f>
        <v>Work</v>
      </c>
      <c r="R46" s="25" t="str">
        <f t="shared" si="0"/>
        <v>Work-Work</v>
      </c>
      <c r="S46" s="52">
        <v>15</v>
      </c>
      <c r="T46" s="52">
        <v>0.3</v>
      </c>
      <c r="U46" s="52">
        <v>1</v>
      </c>
      <c r="V46" s="43"/>
      <c r="W46" s="52"/>
      <c r="X46" s="52"/>
      <c r="Y46" s="53" t="s">
        <v>158</v>
      </c>
      <c r="Z46" s="54">
        <v>1000</v>
      </c>
      <c r="AA46" s="25"/>
      <c r="AB46" s="25"/>
    </row>
    <row r="47" spans="2:28">
      <c r="B47" s="40">
        <v>0.67013888888888884</v>
      </c>
      <c r="C47" s="40" t="s">
        <v>535</v>
      </c>
      <c r="D47" s="41">
        <v>7</v>
      </c>
      <c r="E47" s="41">
        <v>2</v>
      </c>
      <c r="F47" s="42" t="s">
        <v>155</v>
      </c>
      <c r="G47" s="43" t="s">
        <v>156</v>
      </c>
      <c r="H47" s="42" t="s">
        <v>157</v>
      </c>
      <c r="I47" s="43">
        <v>10</v>
      </c>
      <c r="J47" s="43">
        <v>2</v>
      </c>
      <c r="K47" s="25" t="str">
        <f>VLOOKUP(J47,Key!$E$2:$F$9,2,FALSE)</f>
        <v>Work</v>
      </c>
      <c r="L47" s="42" t="s">
        <v>162</v>
      </c>
      <c r="M47" s="43" t="s">
        <v>156</v>
      </c>
      <c r="N47" s="42" t="s">
        <v>157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0"/>
        <v>Work-Home</v>
      </c>
      <c r="S47" s="52">
        <v>10</v>
      </c>
      <c r="T47" s="52">
        <v>0.3</v>
      </c>
      <c r="U47" s="52">
        <v>1</v>
      </c>
      <c r="V47" s="43"/>
      <c r="W47" s="52"/>
      <c r="X47" s="52"/>
      <c r="Y47" s="53" t="s">
        <v>158</v>
      </c>
      <c r="Z47" s="54">
        <v>500</v>
      </c>
      <c r="AA47" s="25"/>
      <c r="AB47" s="25"/>
    </row>
    <row r="48" spans="2:28">
      <c r="B48" s="40">
        <v>0.6777777777777777</v>
      </c>
      <c r="C48" s="40" t="s">
        <v>536</v>
      </c>
      <c r="D48" s="41">
        <v>11</v>
      </c>
      <c r="E48" s="41">
        <v>1</v>
      </c>
      <c r="F48" s="42" t="s">
        <v>207</v>
      </c>
      <c r="G48" s="43" t="s">
        <v>156</v>
      </c>
      <c r="H48" s="42" t="s">
        <v>157</v>
      </c>
      <c r="I48" s="43">
        <v>1</v>
      </c>
      <c r="J48" s="43">
        <v>1</v>
      </c>
      <c r="K48" s="25" t="str">
        <f>VLOOKUP(J48,Key!$E$2:$F$9,2,FALSE)</f>
        <v>Home</v>
      </c>
      <c r="L48" s="42" t="s">
        <v>150</v>
      </c>
      <c r="M48" s="43" t="s">
        <v>156</v>
      </c>
      <c r="N48" s="42" t="s">
        <v>157</v>
      </c>
      <c r="O48" s="43">
        <v>11</v>
      </c>
      <c r="P48" s="43">
        <v>4</v>
      </c>
      <c r="Q48" s="25" t="str">
        <f>VLOOKUP(P48,Key!$E$2:$F$9,2,FALSE)</f>
        <v>Commercial</v>
      </c>
      <c r="R48" s="25" t="str">
        <f t="shared" si="0"/>
        <v>Home-Commercial</v>
      </c>
      <c r="S48" s="52">
        <v>10</v>
      </c>
      <c r="T48" s="52">
        <v>0.3</v>
      </c>
      <c r="U48" s="52">
        <v>1</v>
      </c>
      <c r="V48" s="43"/>
      <c r="W48" s="52"/>
      <c r="X48" s="52"/>
      <c r="Y48" s="53" t="s">
        <v>158</v>
      </c>
      <c r="Z48" s="54">
        <v>1000</v>
      </c>
      <c r="AA48" s="25"/>
      <c r="AB48" s="25"/>
    </row>
    <row r="49" spans="2:28">
      <c r="B49" s="40">
        <v>0.65277777777777779</v>
      </c>
      <c r="C49" s="40" t="s">
        <v>537</v>
      </c>
      <c r="D49" s="41">
        <v>11</v>
      </c>
      <c r="E49" s="42">
        <v>2</v>
      </c>
      <c r="F49" s="42" t="s">
        <v>160</v>
      </c>
      <c r="G49" s="43" t="s">
        <v>156</v>
      </c>
      <c r="H49" s="42" t="s">
        <v>157</v>
      </c>
      <c r="I49" s="43">
        <v>8</v>
      </c>
      <c r="J49" s="43">
        <v>2</v>
      </c>
      <c r="K49" s="25" t="str">
        <f>VLOOKUP(J49,Key!$E$2:$F$9,2,FALSE)</f>
        <v>Work</v>
      </c>
      <c r="L49" s="42" t="s">
        <v>150</v>
      </c>
      <c r="M49" s="43" t="s">
        <v>156</v>
      </c>
      <c r="N49" s="42" t="s">
        <v>157</v>
      </c>
      <c r="O49" s="43">
        <v>8</v>
      </c>
      <c r="P49" s="43">
        <v>2</v>
      </c>
      <c r="Q49" s="25" t="str">
        <f>VLOOKUP(P49,Key!$E$2:$F$9,2,FALSE)</f>
        <v>Work</v>
      </c>
      <c r="R49" s="25" t="str">
        <f t="shared" si="0"/>
        <v>Work-Work</v>
      </c>
      <c r="S49" s="52">
        <v>5</v>
      </c>
      <c r="T49" s="52">
        <v>0.1</v>
      </c>
      <c r="U49" s="43">
        <v>1</v>
      </c>
      <c r="V49" s="43"/>
      <c r="W49" s="52"/>
      <c r="X49" s="52"/>
      <c r="Y49" s="53" t="s">
        <v>158</v>
      </c>
      <c r="Z49" s="54">
        <v>500</v>
      </c>
      <c r="AA49" s="25"/>
      <c r="AB49" s="25"/>
    </row>
    <row r="50" spans="2:28">
      <c r="B50" s="40">
        <v>0.65</v>
      </c>
      <c r="C50" s="40" t="s">
        <v>538</v>
      </c>
      <c r="D50" s="41">
        <v>2</v>
      </c>
      <c r="E50" s="42">
        <v>4</v>
      </c>
      <c r="F50" s="42" t="s">
        <v>215</v>
      </c>
      <c r="G50" s="43" t="s">
        <v>156</v>
      </c>
      <c r="H50" s="42" t="s">
        <v>157</v>
      </c>
      <c r="I50" s="43">
        <v>1</v>
      </c>
      <c r="J50" s="43">
        <v>1</v>
      </c>
      <c r="K50" s="25" t="str">
        <f>VLOOKUP(J50,Key!$E$2:$F$9,2,FALSE)</f>
        <v>Home</v>
      </c>
      <c r="L50" s="42" t="s">
        <v>197</v>
      </c>
      <c r="M50" s="43" t="s">
        <v>197</v>
      </c>
      <c r="N50" s="42" t="s">
        <v>157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0"/>
        <v>Home-Home</v>
      </c>
      <c r="S50" s="52">
        <v>180</v>
      </c>
      <c r="T50" s="52">
        <v>4</v>
      </c>
      <c r="U50" s="43">
        <v>6</v>
      </c>
      <c r="V50" s="43"/>
      <c r="W50" s="52"/>
      <c r="X50" s="52"/>
      <c r="Y50" s="53" t="s">
        <v>158</v>
      </c>
      <c r="Z50" s="54">
        <v>10000</v>
      </c>
      <c r="AA50" s="25"/>
      <c r="AB50" s="25"/>
    </row>
    <row r="51" spans="2:28">
      <c r="B51" s="40">
        <v>0.99652777777777779</v>
      </c>
      <c r="C51" s="40" t="s">
        <v>539</v>
      </c>
      <c r="D51" s="41">
        <v>2</v>
      </c>
      <c r="E51" s="42">
        <v>2</v>
      </c>
      <c r="F51" s="42" t="s">
        <v>160</v>
      </c>
      <c r="G51" s="43" t="s">
        <v>156</v>
      </c>
      <c r="H51" s="42" t="s">
        <v>157</v>
      </c>
      <c r="I51" s="43">
        <v>1</v>
      </c>
      <c r="J51" s="43">
        <v>1</v>
      </c>
      <c r="K51" s="25" t="str">
        <f>VLOOKUP(J51,Key!$E$2:$F$9,2,FALSE)</f>
        <v>Home</v>
      </c>
      <c r="L51" s="42" t="s">
        <v>187</v>
      </c>
      <c r="M51" s="43" t="s">
        <v>187</v>
      </c>
      <c r="N51" s="42" t="s">
        <v>157</v>
      </c>
      <c r="O51" s="43">
        <v>5</v>
      </c>
      <c r="P51" s="43">
        <v>7</v>
      </c>
      <c r="Q51" s="25" t="str">
        <f>VLOOKUP(P51,Key!$E$2:$F$9,2,FALSE)</f>
        <v>Hospital</v>
      </c>
      <c r="R51" s="25" t="str">
        <f t="shared" si="0"/>
        <v>Home-Hospital</v>
      </c>
      <c r="S51" s="52">
        <v>30</v>
      </c>
      <c r="T51" s="52">
        <v>2</v>
      </c>
      <c r="U51" s="43">
        <v>6</v>
      </c>
      <c r="V51" s="43"/>
      <c r="W51" s="52"/>
      <c r="X51" s="52"/>
      <c r="Y51" s="53" t="s">
        <v>158</v>
      </c>
      <c r="Z51" s="54">
        <v>3000</v>
      </c>
      <c r="AA51" s="25"/>
      <c r="AB51" s="25"/>
    </row>
    <row r="52" spans="2:28">
      <c r="B52" s="40">
        <v>0.5</v>
      </c>
      <c r="C52" s="40" t="s">
        <v>540</v>
      </c>
      <c r="D52" s="41">
        <v>7</v>
      </c>
      <c r="E52" s="42">
        <v>5</v>
      </c>
      <c r="F52" s="42" t="s">
        <v>160</v>
      </c>
      <c r="G52" s="43" t="s">
        <v>156</v>
      </c>
      <c r="H52" s="42" t="s">
        <v>157</v>
      </c>
      <c r="I52" s="43">
        <v>11</v>
      </c>
      <c r="J52" s="43">
        <v>2</v>
      </c>
      <c r="K52" s="25" t="str">
        <f>VLOOKUP(J52,Key!$E$2:$F$9,2,FALSE)</f>
        <v>Work</v>
      </c>
      <c r="L52" s="42" t="s">
        <v>150</v>
      </c>
      <c r="M52" s="43" t="s">
        <v>156</v>
      </c>
      <c r="N52" s="42" t="s">
        <v>157</v>
      </c>
      <c r="O52" s="43">
        <v>11</v>
      </c>
      <c r="P52" s="43">
        <v>2</v>
      </c>
      <c r="Q52" s="25" t="str">
        <f>VLOOKUP(P52,Key!$E$2:$F$9,2,FALSE)</f>
        <v>Work</v>
      </c>
      <c r="R52" s="25" t="str">
        <f t="shared" si="0"/>
        <v>Work-Work</v>
      </c>
      <c r="S52" s="52">
        <v>10</v>
      </c>
      <c r="T52" s="52">
        <v>0.4</v>
      </c>
      <c r="U52" s="43">
        <v>3</v>
      </c>
      <c r="V52" s="43">
        <v>6</v>
      </c>
      <c r="W52" s="52">
        <v>5</v>
      </c>
      <c r="X52" s="52">
        <v>0.08</v>
      </c>
      <c r="Y52" s="53" t="s">
        <v>158</v>
      </c>
      <c r="Z52" s="54">
        <v>500</v>
      </c>
      <c r="AA52" s="25"/>
      <c r="AB52" s="25"/>
    </row>
    <row r="53" spans="2:28">
      <c r="B53" s="40">
        <v>0.99513888888888891</v>
      </c>
      <c r="C53" s="40" t="s">
        <v>264</v>
      </c>
      <c r="D53" s="41">
        <v>2</v>
      </c>
      <c r="E53" s="42">
        <v>2</v>
      </c>
      <c r="F53" s="42" t="s">
        <v>160</v>
      </c>
      <c r="G53" s="43" t="s">
        <v>156</v>
      </c>
      <c r="H53" s="42" t="s">
        <v>157</v>
      </c>
      <c r="I53" s="43">
        <v>1</v>
      </c>
      <c r="J53" s="43">
        <v>1</v>
      </c>
      <c r="K53" s="25" t="str">
        <f>VLOOKUP(J53,Key!$E$2:$F$9,2,FALSE)</f>
        <v>Home</v>
      </c>
      <c r="L53" s="42" t="s">
        <v>187</v>
      </c>
      <c r="M53" s="43" t="s">
        <v>187</v>
      </c>
      <c r="N53" s="42" t="s">
        <v>157</v>
      </c>
      <c r="O53" s="43">
        <v>5</v>
      </c>
      <c r="P53" s="43">
        <v>7</v>
      </c>
      <c r="Q53" s="25" t="str">
        <f>VLOOKUP(P53,Key!$E$2:$F$9,2,FALSE)</f>
        <v>Hospital</v>
      </c>
      <c r="R53" s="25" t="str">
        <f t="shared" si="0"/>
        <v>Home-Hospital</v>
      </c>
      <c r="S53" s="52">
        <v>30</v>
      </c>
      <c r="T53" s="52">
        <v>2</v>
      </c>
      <c r="U53" s="43">
        <v>6</v>
      </c>
      <c r="V53" s="43"/>
      <c r="W53" s="52"/>
      <c r="X53" s="52"/>
      <c r="Y53" s="53" t="s">
        <v>158</v>
      </c>
      <c r="Z53" s="54">
        <v>3000</v>
      </c>
      <c r="AA53" s="25"/>
      <c r="AB53" s="25"/>
    </row>
    <row r="54" spans="2:28">
      <c r="B54" s="40">
        <v>0.51388888888888895</v>
      </c>
      <c r="C54" s="40" t="s">
        <v>519</v>
      </c>
      <c r="D54" s="41">
        <v>1</v>
      </c>
      <c r="E54" s="42">
        <v>1</v>
      </c>
      <c r="F54" s="42" t="s">
        <v>160</v>
      </c>
      <c r="G54" s="43" t="s">
        <v>156</v>
      </c>
      <c r="H54" s="42" t="s">
        <v>157</v>
      </c>
      <c r="I54" s="43">
        <v>1</v>
      </c>
      <c r="J54" s="43">
        <v>1</v>
      </c>
      <c r="K54" s="25" t="str">
        <f>VLOOKUP(J54,Key!$E$2:$F$9,2,FALSE)</f>
        <v>Home</v>
      </c>
      <c r="L54" s="42" t="s">
        <v>150</v>
      </c>
      <c r="M54" s="43" t="s">
        <v>156</v>
      </c>
      <c r="N54" s="42" t="s">
        <v>157</v>
      </c>
      <c r="O54" s="43">
        <v>6</v>
      </c>
      <c r="P54" s="43">
        <v>2</v>
      </c>
      <c r="Q54" s="25" t="str">
        <f>VLOOKUP(P54,Key!$E$2:$F$9,2,FALSE)</f>
        <v>Work</v>
      </c>
      <c r="R54" s="25" t="str">
        <f t="shared" si="0"/>
        <v>Home-Work</v>
      </c>
      <c r="S54" s="52">
        <v>4</v>
      </c>
      <c r="T54" s="52">
        <v>0.2</v>
      </c>
      <c r="U54" s="43">
        <v>1</v>
      </c>
      <c r="V54" s="43"/>
      <c r="W54" s="52"/>
      <c r="X54" s="52"/>
      <c r="Y54" s="53" t="s">
        <v>158</v>
      </c>
      <c r="Z54" s="54">
        <v>5000</v>
      </c>
      <c r="AA54" s="25"/>
      <c r="AB54" s="25"/>
    </row>
    <row r="55" spans="2:28">
      <c r="B55" s="40">
        <v>0.50694444444444442</v>
      </c>
      <c r="C55" s="40" t="s">
        <v>541</v>
      </c>
      <c r="D55" s="41">
        <v>2</v>
      </c>
      <c r="E55" s="42">
        <v>1</v>
      </c>
      <c r="F55" s="42" t="s">
        <v>207</v>
      </c>
      <c r="G55" s="43" t="s">
        <v>156</v>
      </c>
      <c r="H55" s="42" t="s">
        <v>157</v>
      </c>
      <c r="I55" s="43">
        <v>1</v>
      </c>
      <c r="J55" s="43">
        <v>1</v>
      </c>
      <c r="K55" s="25" t="str">
        <f>VLOOKUP(J55,Key!$E$2:$F$9,2,FALSE)</f>
        <v>Home</v>
      </c>
      <c r="L55" s="42" t="s">
        <v>162</v>
      </c>
      <c r="M55" s="43" t="s">
        <v>156</v>
      </c>
      <c r="N55" s="42" t="s">
        <v>157</v>
      </c>
      <c r="O55" s="43">
        <v>16</v>
      </c>
      <c r="P55" s="43">
        <v>8</v>
      </c>
      <c r="Q55" s="25" t="str">
        <f>VLOOKUP(P55,Key!$E$2:$F$9,2,FALSE)</f>
        <v>Others</v>
      </c>
      <c r="R55" s="25" t="str">
        <f t="shared" si="0"/>
        <v>Home-Others</v>
      </c>
      <c r="S55" s="52">
        <v>3</v>
      </c>
      <c r="T55" s="52">
        <v>0.3</v>
      </c>
      <c r="U55" s="43">
        <v>6</v>
      </c>
      <c r="V55" s="43"/>
      <c r="W55" s="52"/>
      <c r="X55" s="52"/>
      <c r="Y55" s="53" t="s">
        <v>158</v>
      </c>
      <c r="Z55" s="54">
        <v>10000</v>
      </c>
      <c r="AA55" s="25"/>
      <c r="AB55" s="25"/>
    </row>
    <row r="56" spans="2:28">
      <c r="B56" s="40">
        <v>0.98611111111111116</v>
      </c>
      <c r="C56" s="40" t="s">
        <v>542</v>
      </c>
      <c r="D56" s="41">
        <v>1</v>
      </c>
      <c r="E56" s="42">
        <v>3</v>
      </c>
      <c r="F56" s="42" t="s">
        <v>160</v>
      </c>
      <c r="G56" s="43" t="s">
        <v>156</v>
      </c>
      <c r="H56" s="42" t="s">
        <v>157</v>
      </c>
      <c r="I56" s="43">
        <v>1</v>
      </c>
      <c r="J56" s="43">
        <v>1</v>
      </c>
      <c r="K56" s="25" t="str">
        <f>VLOOKUP(J56,Key!$E$2:$F$9,2,FALSE)</f>
        <v>Home</v>
      </c>
      <c r="L56" s="42" t="s">
        <v>162</v>
      </c>
      <c r="M56" s="43" t="s">
        <v>156</v>
      </c>
      <c r="N56" s="42" t="s">
        <v>157</v>
      </c>
      <c r="O56" s="43">
        <v>16</v>
      </c>
      <c r="P56" s="43">
        <v>6</v>
      </c>
      <c r="Q56" s="25" t="str">
        <f>VLOOKUP(P56,Key!$E$2:$F$9,2,FALSE)</f>
        <v>Leisure/Social</v>
      </c>
      <c r="R56" s="25" t="str">
        <f t="shared" si="0"/>
        <v>Home-Leisure/Social</v>
      </c>
      <c r="S56" s="52">
        <v>25</v>
      </c>
      <c r="T56" s="52">
        <v>1</v>
      </c>
      <c r="U56" s="43">
        <v>6</v>
      </c>
      <c r="V56" s="43"/>
      <c r="W56" s="52"/>
      <c r="X56" s="52"/>
      <c r="Y56" s="53" t="s">
        <v>158</v>
      </c>
      <c r="Z56" s="54">
        <v>2000</v>
      </c>
      <c r="AA56" s="25"/>
      <c r="AB56" s="25"/>
    </row>
    <row r="57" spans="2:28">
      <c r="B57" s="40">
        <v>0.99236111111111114</v>
      </c>
      <c r="C57" s="40" t="s">
        <v>543</v>
      </c>
      <c r="D57" s="41">
        <v>4</v>
      </c>
      <c r="E57" s="42">
        <v>10</v>
      </c>
      <c r="F57" s="42" t="s">
        <v>247</v>
      </c>
      <c r="G57" s="43" t="s">
        <v>187</v>
      </c>
      <c r="H57" s="42" t="s">
        <v>157</v>
      </c>
      <c r="I57" s="43">
        <v>6</v>
      </c>
      <c r="J57" s="43">
        <v>2</v>
      </c>
      <c r="K57" s="25" t="str">
        <f>VLOOKUP(J57,Key!$E$2:$F$9,2,FALSE)</f>
        <v>Work</v>
      </c>
      <c r="L57" s="42" t="s">
        <v>166</v>
      </c>
      <c r="M57" s="43" t="s">
        <v>156</v>
      </c>
      <c r="N57" s="42" t="s">
        <v>157</v>
      </c>
      <c r="O57" s="43">
        <v>6</v>
      </c>
      <c r="P57" s="43">
        <v>2</v>
      </c>
      <c r="Q57" s="25" t="str">
        <f>VLOOKUP(P57,Key!$E$2:$F$9,2,FALSE)</f>
        <v>Work</v>
      </c>
      <c r="R57" s="25" t="str">
        <f t="shared" si="0"/>
        <v>Work-Work</v>
      </c>
      <c r="S57" s="52">
        <v>20</v>
      </c>
      <c r="T57" s="52">
        <v>0.5</v>
      </c>
      <c r="U57" s="43">
        <v>1</v>
      </c>
      <c r="V57" s="43"/>
      <c r="W57" s="52"/>
      <c r="X57" s="52"/>
      <c r="Y57" s="53" t="s">
        <v>158</v>
      </c>
      <c r="Z57" s="54">
        <v>1000</v>
      </c>
      <c r="AA57" s="25"/>
      <c r="AB57" s="25"/>
    </row>
    <row r="58" spans="2:28">
      <c r="B58" s="40">
        <v>0.98402777777777783</v>
      </c>
      <c r="C58" s="40" t="s">
        <v>544</v>
      </c>
      <c r="D58" s="41">
        <v>1</v>
      </c>
      <c r="E58" s="42">
        <v>2</v>
      </c>
      <c r="F58" s="42" t="s">
        <v>545</v>
      </c>
      <c r="G58" s="43" t="s">
        <v>187</v>
      </c>
      <c r="H58" s="42" t="s">
        <v>157</v>
      </c>
      <c r="I58" s="43">
        <v>2</v>
      </c>
      <c r="J58" s="43">
        <v>2</v>
      </c>
      <c r="K58" s="25" t="str">
        <f>VLOOKUP(J58,Key!$E$2:$F$9,2,FALSE)</f>
        <v>Work</v>
      </c>
      <c r="L58" s="42" t="s">
        <v>150</v>
      </c>
      <c r="M58" s="43" t="s">
        <v>156</v>
      </c>
      <c r="N58" s="42" t="s">
        <v>157</v>
      </c>
      <c r="O58" s="43">
        <v>1</v>
      </c>
      <c r="P58" s="43">
        <v>1</v>
      </c>
      <c r="Q58" s="25" t="str">
        <f>VLOOKUP(P58,Key!$E$2:$F$9,2,FALSE)</f>
        <v>Home</v>
      </c>
      <c r="R58" s="25" t="str">
        <f t="shared" si="0"/>
        <v>Work-Home</v>
      </c>
      <c r="S58" s="52">
        <v>27</v>
      </c>
      <c r="T58" s="52">
        <v>0.2</v>
      </c>
      <c r="U58" s="43"/>
      <c r="V58" s="43"/>
      <c r="W58" s="52"/>
      <c r="X58" s="52"/>
      <c r="Y58" s="53" t="s">
        <v>385</v>
      </c>
      <c r="Z58" s="54"/>
      <c r="AA58" s="25"/>
      <c r="AB58" s="25"/>
    </row>
    <row r="59" spans="2:28">
      <c r="B59" s="40">
        <v>0.97916666666666663</v>
      </c>
      <c r="C59" s="40" t="s">
        <v>546</v>
      </c>
      <c r="D59" s="41">
        <v>1</v>
      </c>
      <c r="E59" s="42">
        <v>2</v>
      </c>
      <c r="F59" s="42" t="s">
        <v>197</v>
      </c>
      <c r="G59" s="43" t="s">
        <v>156</v>
      </c>
      <c r="H59" s="42" t="s">
        <v>157</v>
      </c>
      <c r="I59" s="43">
        <v>2</v>
      </c>
      <c r="J59" s="43">
        <v>2</v>
      </c>
      <c r="K59" s="25" t="str">
        <f>VLOOKUP(J59,Key!$E$2:$F$9,2,FALSE)</f>
        <v>Work</v>
      </c>
      <c r="L59" s="42" t="s">
        <v>150</v>
      </c>
      <c r="M59" s="43" t="s">
        <v>156</v>
      </c>
      <c r="N59" s="42" t="s">
        <v>157</v>
      </c>
      <c r="O59" s="43">
        <v>2</v>
      </c>
      <c r="P59" s="43">
        <v>2</v>
      </c>
      <c r="Q59" s="25" t="str">
        <f>VLOOKUP(P59,Key!$E$2:$F$9,2,FALSE)</f>
        <v>Work</v>
      </c>
      <c r="R59" s="25" t="str">
        <f t="shared" si="0"/>
        <v>Work-Work</v>
      </c>
      <c r="S59" s="52">
        <v>78</v>
      </c>
      <c r="T59" s="52">
        <v>1.5</v>
      </c>
      <c r="U59" s="43">
        <v>1</v>
      </c>
      <c r="V59" s="43"/>
      <c r="W59" s="52"/>
      <c r="X59" s="52"/>
      <c r="Y59" s="53" t="s">
        <v>158</v>
      </c>
      <c r="Z59" s="54">
        <v>10000</v>
      </c>
      <c r="AA59" s="25"/>
      <c r="AB59" s="25"/>
    </row>
    <row r="60" spans="2:28">
      <c r="B60" s="40">
        <v>0.97083333333333333</v>
      </c>
      <c r="C60" s="40" t="s">
        <v>547</v>
      </c>
      <c r="D60" s="41">
        <v>8</v>
      </c>
      <c r="E60" s="42">
        <v>4</v>
      </c>
      <c r="F60" s="42" t="s">
        <v>204</v>
      </c>
      <c r="G60" s="43" t="s">
        <v>156</v>
      </c>
      <c r="H60" s="42" t="s">
        <v>157</v>
      </c>
      <c r="I60" s="43">
        <v>11</v>
      </c>
      <c r="J60" s="43">
        <v>2</v>
      </c>
      <c r="K60" s="25" t="str">
        <f>VLOOKUP(J60,Key!$E$2:$F$9,2,FALSE)</f>
        <v>Work</v>
      </c>
      <c r="L60" s="42" t="s">
        <v>150</v>
      </c>
      <c r="M60" s="43" t="s">
        <v>156</v>
      </c>
      <c r="N60" s="42" t="s">
        <v>157</v>
      </c>
      <c r="O60" s="43">
        <v>11</v>
      </c>
      <c r="P60" s="43">
        <v>2</v>
      </c>
      <c r="Q60" s="25" t="str">
        <f>VLOOKUP(P60,Key!$E$2:$F$9,2,FALSE)</f>
        <v>Work</v>
      </c>
      <c r="R60" s="25" t="str">
        <f t="shared" si="0"/>
        <v>Work-Work</v>
      </c>
      <c r="S60" s="52"/>
      <c r="T60" s="52"/>
      <c r="U60" s="43"/>
      <c r="V60" s="43">
        <v>6</v>
      </c>
      <c r="W60" s="52">
        <v>1</v>
      </c>
      <c r="X60" s="52">
        <v>6</v>
      </c>
      <c r="Y60" s="53" t="s">
        <v>158</v>
      </c>
      <c r="Z60" s="54">
        <v>2000</v>
      </c>
      <c r="AA60" s="25"/>
      <c r="AB60" s="25"/>
    </row>
    <row r="61" spans="2:28">
      <c r="B61" s="40">
        <v>0.97499999999999998</v>
      </c>
      <c r="C61" s="40" t="s">
        <v>171</v>
      </c>
      <c r="D61" s="41">
        <v>1</v>
      </c>
      <c r="E61" s="42">
        <v>2</v>
      </c>
      <c r="F61" s="42" t="s">
        <v>548</v>
      </c>
      <c r="G61" s="43" t="s">
        <v>156</v>
      </c>
      <c r="H61" s="42" t="s">
        <v>157</v>
      </c>
      <c r="I61" s="43">
        <v>1</v>
      </c>
      <c r="J61" s="43">
        <v>1</v>
      </c>
      <c r="K61" s="25" t="str">
        <f>VLOOKUP(J61,Key!$E$2:$F$9,2,FALSE)</f>
        <v>Home</v>
      </c>
      <c r="L61" s="42" t="s">
        <v>224</v>
      </c>
      <c r="M61" s="43" t="s">
        <v>224</v>
      </c>
      <c r="N61" s="42" t="s">
        <v>157</v>
      </c>
      <c r="O61" s="43">
        <v>16</v>
      </c>
      <c r="P61" s="43">
        <v>8</v>
      </c>
      <c r="Q61" s="25" t="str">
        <f>VLOOKUP(P61,Key!$E$2:$F$9,2,FALSE)</f>
        <v>Others</v>
      </c>
      <c r="R61" s="25" t="str">
        <f t="shared" si="0"/>
        <v>Home-Others</v>
      </c>
      <c r="S61" s="52">
        <v>10</v>
      </c>
      <c r="T61" s="52">
        <v>1.5</v>
      </c>
      <c r="U61" s="43">
        <v>6</v>
      </c>
      <c r="V61" s="43"/>
      <c r="W61" s="52"/>
      <c r="X61" s="52"/>
      <c r="Y61" s="53" t="s">
        <v>158</v>
      </c>
      <c r="Z61" s="54">
        <v>3000</v>
      </c>
      <c r="AA61" s="25"/>
      <c r="AB61" s="25"/>
    </row>
    <row r="62" spans="2:28">
      <c r="B62" s="40">
        <v>0.95833333333333337</v>
      </c>
      <c r="C62" s="40" t="s">
        <v>549</v>
      </c>
      <c r="D62" s="41">
        <v>11</v>
      </c>
      <c r="E62" s="42">
        <v>3</v>
      </c>
      <c r="F62" s="42" t="s">
        <v>150</v>
      </c>
      <c r="G62" s="43" t="s">
        <v>156</v>
      </c>
      <c r="H62" s="42" t="s">
        <v>157</v>
      </c>
      <c r="I62" s="43">
        <v>9</v>
      </c>
      <c r="J62" s="43">
        <v>2</v>
      </c>
      <c r="K62" s="25" t="str">
        <f>VLOOKUP(J62,Key!$E$2:$F$9,2,FALSE)</f>
        <v>Work</v>
      </c>
      <c r="L62" s="42" t="s">
        <v>155</v>
      </c>
      <c r="M62" s="43" t="s">
        <v>156</v>
      </c>
      <c r="N62" s="42" t="s">
        <v>157</v>
      </c>
      <c r="O62" s="43">
        <v>11</v>
      </c>
      <c r="P62" s="43">
        <v>2</v>
      </c>
      <c r="Q62" s="25" t="str">
        <f>VLOOKUP(P62,Key!$E$2:$F$9,2,FALSE)</f>
        <v>Work</v>
      </c>
      <c r="R62" s="25" t="str">
        <f t="shared" si="0"/>
        <v>Work-Work</v>
      </c>
      <c r="S62" s="52">
        <v>3</v>
      </c>
      <c r="T62" s="52">
        <v>0.1</v>
      </c>
      <c r="U62" s="43">
        <v>1</v>
      </c>
      <c r="V62" s="43">
        <v>12</v>
      </c>
      <c r="W62" s="52">
        <v>2</v>
      </c>
      <c r="X62" s="52">
        <v>0.2</v>
      </c>
      <c r="Y62" s="53" t="s">
        <v>158</v>
      </c>
      <c r="Z62" s="54">
        <v>1000</v>
      </c>
      <c r="AA62" s="25"/>
      <c r="AB62" s="25"/>
    </row>
    <row r="63" spans="2:28">
      <c r="B63" s="40">
        <v>0.96666666666666667</v>
      </c>
      <c r="C63" s="40" t="s">
        <v>550</v>
      </c>
      <c r="D63" s="41">
        <v>1</v>
      </c>
      <c r="E63" s="42">
        <v>1</v>
      </c>
      <c r="F63" s="42" t="s">
        <v>215</v>
      </c>
      <c r="G63" s="43" t="s">
        <v>156</v>
      </c>
      <c r="H63" s="42" t="s">
        <v>157</v>
      </c>
      <c r="I63" s="43">
        <v>1</v>
      </c>
      <c r="J63" s="43">
        <v>1</v>
      </c>
      <c r="K63" s="25" t="str">
        <f>VLOOKUP(J63,Key!$E$2:$F$9,2,FALSE)</f>
        <v>Home</v>
      </c>
      <c r="L63" s="42" t="s">
        <v>187</v>
      </c>
      <c r="M63" s="43" t="s">
        <v>187</v>
      </c>
      <c r="N63" s="42" t="s">
        <v>157</v>
      </c>
      <c r="O63" s="43">
        <v>11</v>
      </c>
      <c r="P63" s="43">
        <v>2</v>
      </c>
      <c r="Q63" s="25" t="str">
        <f>VLOOKUP(P63,Key!$E$2:$F$9,2,FALSE)</f>
        <v>Work</v>
      </c>
      <c r="R63" s="25" t="str">
        <f t="shared" si="0"/>
        <v>Home-Work</v>
      </c>
      <c r="S63" s="52">
        <v>45</v>
      </c>
      <c r="T63" s="52">
        <v>3</v>
      </c>
      <c r="U63" s="43">
        <v>2</v>
      </c>
      <c r="V63" s="43"/>
      <c r="W63" s="52"/>
      <c r="X63" s="52"/>
      <c r="Y63" s="53" t="s">
        <v>158</v>
      </c>
      <c r="Z63" s="54">
        <v>10000</v>
      </c>
      <c r="AA63" s="25"/>
      <c r="AB63" s="25"/>
    </row>
    <row r="64" spans="2:28">
      <c r="B64" s="40">
        <v>0.59305555555555556</v>
      </c>
      <c r="C64" s="40" t="s">
        <v>551</v>
      </c>
      <c r="D64" s="41">
        <v>11</v>
      </c>
      <c r="E64" s="42">
        <v>2</v>
      </c>
      <c r="F64" s="42" t="s">
        <v>155</v>
      </c>
      <c r="G64" s="43" t="s">
        <v>156</v>
      </c>
      <c r="H64" s="42" t="s">
        <v>157</v>
      </c>
      <c r="I64" s="43">
        <v>8</v>
      </c>
      <c r="J64" s="43">
        <v>2</v>
      </c>
      <c r="K64" s="25" t="str">
        <f>VLOOKUP(J64,Key!$E$2:$F$9,2,FALSE)</f>
        <v>Work</v>
      </c>
      <c r="L64" s="42" t="s">
        <v>166</v>
      </c>
      <c r="M64" s="43" t="s">
        <v>156</v>
      </c>
      <c r="N64" s="42" t="s">
        <v>157</v>
      </c>
      <c r="O64" s="43">
        <v>8</v>
      </c>
      <c r="P64" s="43">
        <v>2</v>
      </c>
      <c r="Q64" s="25" t="str">
        <f>VLOOKUP(P64,Key!$E$2:$F$9,2,FALSE)</f>
        <v>Work</v>
      </c>
      <c r="R64" s="25" t="str">
        <f t="shared" si="0"/>
        <v>Work-Work</v>
      </c>
      <c r="S64" s="52">
        <v>10</v>
      </c>
      <c r="T64" s="52">
        <v>0.4</v>
      </c>
      <c r="U64" s="43">
        <v>1</v>
      </c>
      <c r="V64" s="43"/>
      <c r="W64" s="52"/>
      <c r="X64" s="52"/>
      <c r="Y64" s="53" t="s">
        <v>158</v>
      </c>
      <c r="Z64" s="54">
        <v>1000</v>
      </c>
      <c r="AA64" s="25"/>
      <c r="AB64" s="25"/>
    </row>
    <row r="65" spans="2:28">
      <c r="B65" s="40">
        <v>0.59861111111111109</v>
      </c>
      <c r="C65" s="40" t="s">
        <v>552</v>
      </c>
      <c r="D65" s="41">
        <v>1</v>
      </c>
      <c r="E65" s="42">
        <v>1</v>
      </c>
      <c r="F65" s="42" t="s">
        <v>305</v>
      </c>
      <c r="G65" s="43" t="s">
        <v>156</v>
      </c>
      <c r="H65" s="42" t="s">
        <v>157</v>
      </c>
      <c r="I65" s="43">
        <v>1</v>
      </c>
      <c r="J65" s="43">
        <v>1</v>
      </c>
      <c r="K65" s="25" t="str">
        <f>VLOOKUP(J65,Key!$E$2:$F$9,2,FALSE)</f>
        <v>Home</v>
      </c>
      <c r="L65" s="42" t="s">
        <v>162</v>
      </c>
      <c r="M65" s="43" t="s">
        <v>156</v>
      </c>
      <c r="N65" s="42" t="s">
        <v>157</v>
      </c>
      <c r="O65" s="43">
        <v>1</v>
      </c>
      <c r="P65" s="43">
        <v>1</v>
      </c>
      <c r="Q65" s="25" t="str">
        <f>VLOOKUP(P65,Key!$E$2:$F$9,2,FALSE)</f>
        <v>Home</v>
      </c>
      <c r="R65" s="25" t="str">
        <f t="shared" si="0"/>
        <v>Home-Home</v>
      </c>
      <c r="S65" s="52">
        <v>25</v>
      </c>
      <c r="T65" s="52">
        <v>1</v>
      </c>
      <c r="U65" s="43">
        <v>6</v>
      </c>
      <c r="V65" s="43"/>
      <c r="W65" s="52"/>
      <c r="X65" s="52"/>
      <c r="Y65" s="53" t="s">
        <v>158</v>
      </c>
      <c r="Z65" s="54">
        <v>10000</v>
      </c>
      <c r="AA65" s="25"/>
      <c r="AB65" s="25"/>
    </row>
    <row r="66" spans="2:28">
      <c r="B66" s="40">
        <v>0.55555555555555558</v>
      </c>
      <c r="C66" s="40" t="s">
        <v>553</v>
      </c>
      <c r="D66" s="41">
        <v>2</v>
      </c>
      <c r="E66" s="42">
        <v>3</v>
      </c>
      <c r="F66" s="42" t="s">
        <v>215</v>
      </c>
      <c r="G66" s="43" t="s">
        <v>156</v>
      </c>
      <c r="H66" s="42" t="s">
        <v>157</v>
      </c>
      <c r="I66" s="43">
        <v>2</v>
      </c>
      <c r="J66" s="43">
        <v>2</v>
      </c>
      <c r="K66" s="25" t="str">
        <f>VLOOKUP(J66,Key!$E$2:$F$9,2,FALSE)</f>
        <v>Work</v>
      </c>
      <c r="L66" s="42" t="s">
        <v>187</v>
      </c>
      <c r="M66" s="43" t="s">
        <v>187</v>
      </c>
      <c r="N66" s="42" t="s">
        <v>157</v>
      </c>
      <c r="O66" s="43">
        <v>2</v>
      </c>
      <c r="P66" s="43">
        <v>2</v>
      </c>
      <c r="Q66" s="25" t="str">
        <f>VLOOKUP(P66,Key!$E$2:$F$9,2,FALSE)</f>
        <v>Work</v>
      </c>
      <c r="R66" s="25" t="str">
        <f t="shared" si="0"/>
        <v>Work-Work</v>
      </c>
      <c r="S66" s="52">
        <v>35</v>
      </c>
      <c r="T66" s="52">
        <v>3</v>
      </c>
      <c r="U66" s="43">
        <v>1</v>
      </c>
      <c r="V66" s="43"/>
      <c r="W66" s="52"/>
      <c r="X66" s="52"/>
      <c r="Y66" s="53" t="s">
        <v>158</v>
      </c>
      <c r="Z66" s="54">
        <v>10000</v>
      </c>
      <c r="AA66" s="25"/>
      <c r="AB66" s="25"/>
    </row>
    <row r="67" spans="2:28">
      <c r="B67" s="40">
        <v>0.56180555555555556</v>
      </c>
      <c r="C67" s="40" t="s">
        <v>554</v>
      </c>
      <c r="D67" s="41">
        <v>11</v>
      </c>
      <c r="E67" s="42">
        <v>1</v>
      </c>
      <c r="F67" s="42" t="s">
        <v>155</v>
      </c>
      <c r="G67" s="43" t="s">
        <v>156</v>
      </c>
      <c r="H67" s="42" t="s">
        <v>157</v>
      </c>
      <c r="I67" s="43">
        <v>8</v>
      </c>
      <c r="J67" s="43">
        <v>2</v>
      </c>
      <c r="K67" s="25" t="str">
        <f>VLOOKUP(J67,Key!$E$2:$F$9,2,FALSE)</f>
        <v>Work</v>
      </c>
      <c r="L67" s="42" t="s">
        <v>150</v>
      </c>
      <c r="M67" s="43" t="s">
        <v>156</v>
      </c>
      <c r="N67" s="42" t="s">
        <v>157</v>
      </c>
      <c r="O67" s="43">
        <v>8</v>
      </c>
      <c r="P67" s="43">
        <v>2</v>
      </c>
      <c r="Q67" s="25" t="str">
        <f>VLOOKUP(P67,Key!$E$2:$F$9,2,FALSE)</f>
        <v>Work</v>
      </c>
      <c r="R67" s="25" t="str">
        <f t="shared" si="0"/>
        <v>Work-Work</v>
      </c>
      <c r="S67" s="52">
        <v>3</v>
      </c>
      <c r="T67" s="52">
        <v>0.1</v>
      </c>
      <c r="U67" s="43">
        <v>1</v>
      </c>
      <c r="V67" s="43"/>
      <c r="W67" s="52"/>
      <c r="X67" s="52"/>
      <c r="Y67" s="53" t="s">
        <v>158</v>
      </c>
      <c r="Z67" s="54">
        <v>5000</v>
      </c>
      <c r="AA67" s="25"/>
      <c r="AB67" s="25"/>
    </row>
    <row r="68" spans="2:28">
      <c r="B68" s="40">
        <v>0.58472222222222225</v>
      </c>
      <c r="C68" s="40" t="s">
        <v>555</v>
      </c>
      <c r="D68" s="41">
        <v>11</v>
      </c>
      <c r="E68" s="42">
        <v>1</v>
      </c>
      <c r="F68" s="42" t="s">
        <v>160</v>
      </c>
      <c r="G68" s="43" t="s">
        <v>156</v>
      </c>
      <c r="H68" s="42" t="s">
        <v>157</v>
      </c>
      <c r="I68" s="43">
        <v>8</v>
      </c>
      <c r="J68" s="43">
        <v>2</v>
      </c>
      <c r="K68" s="25" t="str">
        <f>VLOOKUP(J68,Key!$E$2:$F$9,2,FALSE)</f>
        <v>Work</v>
      </c>
      <c r="L68" s="42" t="s">
        <v>150</v>
      </c>
      <c r="M68" s="43" t="s">
        <v>156</v>
      </c>
      <c r="N68" s="42" t="s">
        <v>157</v>
      </c>
      <c r="O68" s="43">
        <v>8</v>
      </c>
      <c r="P68" s="43">
        <v>2</v>
      </c>
      <c r="Q68" s="25" t="str">
        <f>VLOOKUP(P68,Key!$E$2:$F$9,2,FALSE)</f>
        <v>Work</v>
      </c>
      <c r="R68" s="25" t="str">
        <f t="shared" si="0"/>
        <v>Work-Work</v>
      </c>
      <c r="S68" s="52">
        <v>10</v>
      </c>
      <c r="T68" s="52">
        <v>0.2</v>
      </c>
      <c r="U68" s="43">
        <v>1</v>
      </c>
      <c r="V68" s="43"/>
      <c r="W68" s="52"/>
      <c r="X68" s="52"/>
      <c r="Y68" s="53" t="s">
        <v>158</v>
      </c>
      <c r="Z68" s="54">
        <v>1000</v>
      </c>
      <c r="AA68" s="25"/>
      <c r="AB68" s="25"/>
    </row>
    <row r="69" spans="2:28">
      <c r="B69" s="40">
        <v>0.58888888888888891</v>
      </c>
      <c r="C69" s="40" t="s">
        <v>556</v>
      </c>
      <c r="D69" s="41">
        <v>11</v>
      </c>
      <c r="E69" s="42">
        <v>1</v>
      </c>
      <c r="F69" s="42" t="s">
        <v>207</v>
      </c>
      <c r="G69" s="43" t="s">
        <v>156</v>
      </c>
      <c r="H69" s="42" t="s">
        <v>157</v>
      </c>
      <c r="I69" s="43">
        <v>8</v>
      </c>
      <c r="J69" s="43">
        <v>2</v>
      </c>
      <c r="K69" s="25" t="str">
        <f>VLOOKUP(J69,Key!$E$2:$F$9,2,FALSE)</f>
        <v>Work</v>
      </c>
      <c r="L69" s="42" t="s">
        <v>150</v>
      </c>
      <c r="M69" s="43" t="s">
        <v>156</v>
      </c>
      <c r="N69" s="42" t="s">
        <v>157</v>
      </c>
      <c r="O69" s="43">
        <v>8</v>
      </c>
      <c r="P69" s="43">
        <v>2</v>
      </c>
      <c r="Q69" s="25" t="str">
        <f>VLOOKUP(P69,Key!$E$2:$F$9,2,FALSE)</f>
        <v>Work</v>
      </c>
      <c r="R69" s="25" t="str">
        <f t="shared" si="0"/>
        <v>Work-Work</v>
      </c>
      <c r="S69" s="52">
        <v>6</v>
      </c>
      <c r="T69" s="52">
        <v>0.1</v>
      </c>
      <c r="U69" s="43">
        <v>1</v>
      </c>
      <c r="V69" s="43"/>
      <c r="W69" s="52"/>
      <c r="X69" s="52"/>
      <c r="Y69" s="53" t="s">
        <v>158</v>
      </c>
      <c r="Z69" s="54">
        <v>2000</v>
      </c>
      <c r="AA69" s="25"/>
      <c r="AB69" s="25"/>
    </row>
    <row r="70" spans="2:28">
      <c r="B70" s="40">
        <v>0.40069444444444446</v>
      </c>
      <c r="C70" s="40" t="s">
        <v>557</v>
      </c>
      <c r="D70" s="41">
        <v>2</v>
      </c>
      <c r="E70" s="42">
        <v>1</v>
      </c>
      <c r="F70" s="42" t="s">
        <v>155</v>
      </c>
      <c r="G70" s="43" t="s">
        <v>156</v>
      </c>
      <c r="H70" s="42" t="s">
        <v>157</v>
      </c>
      <c r="I70" s="43">
        <v>1</v>
      </c>
      <c r="J70" s="43">
        <v>1</v>
      </c>
      <c r="K70" s="25" t="str">
        <f>VLOOKUP(J70,Key!$E$2:$F$9,2,FALSE)</f>
        <v>Home</v>
      </c>
      <c r="L70" s="42" t="s">
        <v>485</v>
      </c>
      <c r="M70" s="43" t="s">
        <v>187</v>
      </c>
      <c r="N70" s="42" t="s">
        <v>157</v>
      </c>
      <c r="O70" s="43">
        <v>11</v>
      </c>
      <c r="P70" s="43">
        <v>2</v>
      </c>
      <c r="Q70" s="25" t="str">
        <f>VLOOKUP(P70,Key!$E$2:$F$9,2,FALSE)</f>
        <v>Work</v>
      </c>
      <c r="R70" s="25" t="str">
        <f t="shared" si="0"/>
        <v>Home-Work</v>
      </c>
      <c r="S70" s="52">
        <v>7</v>
      </c>
      <c r="T70" s="52">
        <v>2</v>
      </c>
      <c r="U70" s="43">
        <v>2</v>
      </c>
      <c r="V70" s="43"/>
      <c r="W70" s="52"/>
      <c r="X70" s="52"/>
      <c r="Y70" s="53" t="s">
        <v>158</v>
      </c>
      <c r="Z70" s="54">
        <v>10000</v>
      </c>
      <c r="AA70" s="25"/>
      <c r="AB70" s="25"/>
    </row>
    <row r="71" spans="2:28">
      <c r="B71" s="40">
        <v>0.40277777777777773</v>
      </c>
      <c r="C71" s="40" t="s">
        <v>199</v>
      </c>
      <c r="D71" s="41">
        <v>1</v>
      </c>
      <c r="E71" s="42">
        <v>2</v>
      </c>
      <c r="F71" s="42" t="s">
        <v>155</v>
      </c>
      <c r="G71" s="43" t="s">
        <v>156</v>
      </c>
      <c r="H71" s="42" t="s">
        <v>157</v>
      </c>
      <c r="I71" s="43">
        <v>1</v>
      </c>
      <c r="J71" s="43">
        <v>1</v>
      </c>
      <c r="K71" s="25" t="str">
        <f>VLOOKUP(J71,Key!$E$2:$F$9,2,FALSE)</f>
        <v>Home</v>
      </c>
      <c r="L71" s="42" t="s">
        <v>187</v>
      </c>
      <c r="M71" s="43" t="s">
        <v>187</v>
      </c>
      <c r="N71" s="42" t="s">
        <v>157</v>
      </c>
      <c r="O71" s="43">
        <v>2</v>
      </c>
      <c r="P71" s="43">
        <v>2</v>
      </c>
      <c r="Q71" s="25" t="str">
        <f>VLOOKUP(P71,Key!$E$2:$F$9,2,FALSE)</f>
        <v>Work</v>
      </c>
      <c r="R71" s="25" t="str">
        <f t="shared" si="0"/>
        <v>Home-Work</v>
      </c>
      <c r="S71" s="52">
        <v>30</v>
      </c>
      <c r="T71" s="52">
        <v>2</v>
      </c>
      <c r="U71" s="43">
        <v>2</v>
      </c>
      <c r="V71" s="43"/>
      <c r="W71" s="52"/>
      <c r="X71" s="52"/>
      <c r="Y71" s="53" t="s">
        <v>158</v>
      </c>
      <c r="Z71" s="54">
        <v>2000</v>
      </c>
      <c r="AA71" s="25"/>
      <c r="AB71" s="25"/>
    </row>
    <row r="72" spans="2:28">
      <c r="B72" s="40">
        <v>0.42986111111111108</v>
      </c>
      <c r="C72" s="40" t="s">
        <v>558</v>
      </c>
      <c r="D72" s="41">
        <v>11</v>
      </c>
      <c r="E72" s="42">
        <v>2</v>
      </c>
      <c r="F72" s="42" t="s">
        <v>207</v>
      </c>
      <c r="G72" s="43" t="s">
        <v>156</v>
      </c>
      <c r="H72" s="42" t="s">
        <v>157</v>
      </c>
      <c r="I72" s="43">
        <v>8</v>
      </c>
      <c r="J72" s="43">
        <v>2</v>
      </c>
      <c r="K72" s="25" t="str">
        <f>VLOOKUP(J72,Key!$E$2:$F$9,2,FALSE)</f>
        <v>Work</v>
      </c>
      <c r="L72" s="42" t="s">
        <v>150</v>
      </c>
      <c r="M72" s="43" t="s">
        <v>156</v>
      </c>
      <c r="N72" s="42" t="s">
        <v>157</v>
      </c>
      <c r="O72" s="43">
        <v>8</v>
      </c>
      <c r="P72" s="43">
        <v>2</v>
      </c>
      <c r="Q72" s="25" t="str">
        <f>VLOOKUP(P72,Key!$E$2:$F$9,2,FALSE)</f>
        <v>Work</v>
      </c>
      <c r="R72" s="25" t="str">
        <f t="shared" si="0"/>
        <v>Work-Work</v>
      </c>
      <c r="S72" s="52">
        <v>5</v>
      </c>
      <c r="T72" s="52">
        <v>0.2</v>
      </c>
      <c r="U72" s="43">
        <v>1</v>
      </c>
      <c r="V72" s="43"/>
      <c r="W72" s="52"/>
      <c r="X72" s="52"/>
      <c r="Y72" s="53" t="s">
        <v>158</v>
      </c>
      <c r="Z72" s="54">
        <v>1000</v>
      </c>
      <c r="AA72" s="25"/>
      <c r="AB72" s="25"/>
    </row>
    <row r="73" spans="2:28">
      <c r="B73" s="40">
        <v>0.4284722222222222</v>
      </c>
      <c r="C73" s="40" t="s">
        <v>559</v>
      </c>
      <c r="D73" s="41">
        <v>1</v>
      </c>
      <c r="E73" s="42">
        <v>1</v>
      </c>
      <c r="F73" s="42" t="s">
        <v>155</v>
      </c>
      <c r="G73" s="43" t="s">
        <v>156</v>
      </c>
      <c r="H73" s="42" t="s">
        <v>157</v>
      </c>
      <c r="I73" s="43">
        <v>1</v>
      </c>
      <c r="J73" s="43">
        <v>1</v>
      </c>
      <c r="K73" s="25" t="str">
        <f>VLOOKUP(J73,Key!$E$2:$F$9,2,FALSE)</f>
        <v>Home</v>
      </c>
      <c r="L73" s="42" t="s">
        <v>247</v>
      </c>
      <c r="M73" s="43" t="s">
        <v>187</v>
      </c>
      <c r="N73" s="42" t="s">
        <v>157</v>
      </c>
      <c r="O73" s="43">
        <v>2</v>
      </c>
      <c r="P73" s="43">
        <v>2</v>
      </c>
      <c r="Q73" s="25" t="str">
        <f>VLOOKUP(P73,Key!$E$2:$F$9,2,FALSE)</f>
        <v>Work</v>
      </c>
      <c r="R73" s="25" t="str">
        <f t="shared" ref="R73:R136" si="1">K73&amp;"-"&amp;Q73</f>
        <v>Home-Work</v>
      </c>
      <c r="S73" s="52">
        <v>20</v>
      </c>
      <c r="T73" s="52">
        <v>1</v>
      </c>
      <c r="U73" s="43">
        <v>2</v>
      </c>
      <c r="V73" s="43"/>
      <c r="W73" s="52"/>
      <c r="X73" s="52"/>
      <c r="Y73" s="53" t="s">
        <v>158</v>
      </c>
      <c r="Z73" s="54">
        <v>2000</v>
      </c>
      <c r="AA73" s="25"/>
      <c r="AB73" s="25"/>
    </row>
    <row r="74" spans="2:28">
      <c r="B74" s="40">
        <v>0.42291666666666666</v>
      </c>
      <c r="C74" s="40" t="s">
        <v>560</v>
      </c>
      <c r="D74" s="41">
        <v>2</v>
      </c>
      <c r="E74" s="42">
        <v>4</v>
      </c>
      <c r="F74" s="42" t="s">
        <v>561</v>
      </c>
      <c r="G74" s="43" t="s">
        <v>156</v>
      </c>
      <c r="H74" s="42" t="s">
        <v>157</v>
      </c>
      <c r="I74" s="43">
        <v>1</v>
      </c>
      <c r="J74" s="43">
        <v>1</v>
      </c>
      <c r="K74" s="25" t="str">
        <f>VLOOKUP(J74,Key!$E$2:$F$9,2,FALSE)</f>
        <v>Home</v>
      </c>
      <c r="L74" s="42" t="s">
        <v>150</v>
      </c>
      <c r="M74" s="43" t="s">
        <v>156</v>
      </c>
      <c r="N74" s="42" t="s">
        <v>157</v>
      </c>
      <c r="O74" s="43">
        <v>16</v>
      </c>
      <c r="P74" s="43">
        <v>8</v>
      </c>
      <c r="Q74" s="25" t="str">
        <f>VLOOKUP(P74,Key!$E$2:$F$9,2,FALSE)</f>
        <v>Others</v>
      </c>
      <c r="R74" s="25" t="str">
        <f t="shared" si="1"/>
        <v>Home-Others</v>
      </c>
      <c r="S74" s="52">
        <v>5</v>
      </c>
      <c r="T74" s="52">
        <v>0.7</v>
      </c>
      <c r="U74" s="43">
        <v>6</v>
      </c>
      <c r="V74" s="43"/>
      <c r="W74" s="52"/>
      <c r="X74" s="52"/>
      <c r="Y74" s="53" t="s">
        <v>158</v>
      </c>
      <c r="Z74" s="54">
        <v>3000</v>
      </c>
      <c r="AA74" s="25"/>
      <c r="AB74" s="25"/>
    </row>
    <row r="75" spans="2:28">
      <c r="B75" s="40">
        <v>0.42499999999999999</v>
      </c>
      <c r="C75" s="40" t="s">
        <v>562</v>
      </c>
      <c r="D75" s="41">
        <v>1</v>
      </c>
      <c r="E75" s="42">
        <v>1</v>
      </c>
      <c r="F75" s="42" t="s">
        <v>155</v>
      </c>
      <c r="G75" s="43" t="s">
        <v>156</v>
      </c>
      <c r="H75" s="42" t="s">
        <v>157</v>
      </c>
      <c r="I75" s="43">
        <v>1</v>
      </c>
      <c r="J75" s="43">
        <v>1</v>
      </c>
      <c r="K75" s="25" t="str">
        <f>VLOOKUP(J75,Key!$E$2:$F$9,2,FALSE)</f>
        <v>Home</v>
      </c>
      <c r="L75" s="42" t="s">
        <v>187</v>
      </c>
      <c r="M75" s="43" t="s">
        <v>187</v>
      </c>
      <c r="N75" s="42" t="s">
        <v>157</v>
      </c>
      <c r="O75" s="43">
        <v>2</v>
      </c>
      <c r="P75" s="43">
        <v>2</v>
      </c>
      <c r="Q75" s="25" t="str">
        <f>VLOOKUP(P75,Key!$E$2:$F$9,2,FALSE)</f>
        <v>Work</v>
      </c>
      <c r="R75" s="25" t="str">
        <f t="shared" si="1"/>
        <v>Home-Work</v>
      </c>
      <c r="S75" s="52">
        <v>15</v>
      </c>
      <c r="T75" s="52">
        <v>1.5</v>
      </c>
      <c r="U75" s="43">
        <v>2</v>
      </c>
      <c r="V75" s="43"/>
      <c r="W75" s="52"/>
      <c r="X75" s="52"/>
      <c r="Y75" s="53" t="s">
        <v>158</v>
      </c>
      <c r="Z75" s="54">
        <v>500</v>
      </c>
      <c r="AA75" s="25"/>
      <c r="AB75" s="25"/>
    </row>
    <row r="76" spans="2:28">
      <c r="B76" s="40">
        <v>0.41666666666666669</v>
      </c>
      <c r="C76" s="40" t="s">
        <v>563</v>
      </c>
      <c r="D76" s="41">
        <v>8</v>
      </c>
      <c r="E76" s="42">
        <v>3</v>
      </c>
      <c r="F76" s="42" t="s">
        <v>204</v>
      </c>
      <c r="G76" s="43" t="s">
        <v>156</v>
      </c>
      <c r="H76" s="42" t="s">
        <v>157</v>
      </c>
      <c r="I76" s="43">
        <v>10</v>
      </c>
      <c r="J76" s="43">
        <v>2</v>
      </c>
      <c r="K76" s="25" t="str">
        <f>VLOOKUP(J76,Key!$E$2:$F$9,2,FALSE)</f>
        <v>Work</v>
      </c>
      <c r="L76" s="42" t="s">
        <v>564</v>
      </c>
      <c r="M76" s="43" t="s">
        <v>156</v>
      </c>
      <c r="N76" s="42" t="s">
        <v>157</v>
      </c>
      <c r="O76" s="43">
        <v>15</v>
      </c>
      <c r="P76" s="43">
        <v>2</v>
      </c>
      <c r="Q76" s="25" t="str">
        <f>VLOOKUP(P76,Key!$E$2:$F$9,2,FALSE)</f>
        <v>Work</v>
      </c>
      <c r="R76" s="25" t="str">
        <f t="shared" si="1"/>
        <v>Work-Work</v>
      </c>
      <c r="S76" s="52">
        <v>20</v>
      </c>
      <c r="T76" s="52">
        <v>0.7</v>
      </c>
      <c r="U76" s="43">
        <v>1</v>
      </c>
      <c r="V76" s="43"/>
      <c r="W76" s="52"/>
      <c r="X76" s="52"/>
      <c r="Y76" s="53" t="s">
        <v>158</v>
      </c>
      <c r="Z76" s="54">
        <v>2000</v>
      </c>
      <c r="AA76" s="25"/>
      <c r="AB76" s="25"/>
    </row>
    <row r="77" spans="2:28">
      <c r="B77" s="40">
        <v>0.41041666666666665</v>
      </c>
      <c r="C77" s="40" t="s">
        <v>565</v>
      </c>
      <c r="D77" s="41">
        <v>3</v>
      </c>
      <c r="E77" s="42">
        <v>1</v>
      </c>
      <c r="F77" s="42" t="s">
        <v>566</v>
      </c>
      <c r="G77" s="43" t="s">
        <v>156</v>
      </c>
      <c r="H77" s="42" t="s">
        <v>157</v>
      </c>
      <c r="I77" s="43">
        <v>1</v>
      </c>
      <c r="J77" s="43">
        <v>1</v>
      </c>
      <c r="K77" s="25" t="str">
        <f>VLOOKUP(J77,Key!$E$2:$F$9,2,FALSE)</f>
        <v>Home</v>
      </c>
      <c r="L77" s="42" t="s">
        <v>224</v>
      </c>
      <c r="M77" s="43" t="s">
        <v>224</v>
      </c>
      <c r="N77" s="42" t="s">
        <v>157</v>
      </c>
      <c r="O77" s="43">
        <v>9</v>
      </c>
      <c r="P77" s="43">
        <v>8</v>
      </c>
      <c r="Q77" s="25" t="str">
        <f>VLOOKUP(P77,Key!$E$2:$F$9,2,FALSE)</f>
        <v>Others</v>
      </c>
      <c r="R77" s="25" t="str">
        <f t="shared" si="1"/>
        <v>Home-Others</v>
      </c>
      <c r="S77" s="52">
        <v>32</v>
      </c>
      <c r="T77" s="52">
        <v>1.3</v>
      </c>
      <c r="U77" s="43">
        <v>6</v>
      </c>
      <c r="V77" s="43"/>
      <c r="W77" s="52"/>
      <c r="X77" s="52"/>
      <c r="Y77" s="53" t="s">
        <v>158</v>
      </c>
      <c r="Z77" s="54">
        <v>10000</v>
      </c>
      <c r="AA77" s="25"/>
      <c r="AB77" s="25"/>
    </row>
    <row r="78" spans="2:28">
      <c r="B78" s="40">
        <v>0.43541666666666662</v>
      </c>
      <c r="C78" s="40" t="s">
        <v>567</v>
      </c>
      <c r="D78" s="41">
        <v>2</v>
      </c>
      <c r="E78" s="42">
        <v>1</v>
      </c>
      <c r="F78" s="42" t="s">
        <v>215</v>
      </c>
      <c r="G78" s="43" t="s">
        <v>156</v>
      </c>
      <c r="H78" s="42" t="s">
        <v>157</v>
      </c>
      <c r="I78" s="43">
        <v>1</v>
      </c>
      <c r="J78" s="43">
        <v>1</v>
      </c>
      <c r="K78" s="25" t="str">
        <f>VLOOKUP(J78,Key!$E$2:$F$9,2,FALSE)</f>
        <v>Home</v>
      </c>
      <c r="L78" s="42" t="s">
        <v>187</v>
      </c>
      <c r="M78" s="43" t="s">
        <v>187</v>
      </c>
      <c r="N78" s="42" t="s">
        <v>157</v>
      </c>
      <c r="O78" s="43">
        <v>2</v>
      </c>
      <c r="P78" s="43">
        <v>2</v>
      </c>
      <c r="Q78" s="25" t="str">
        <f>VLOOKUP(P78,Key!$E$2:$F$9,2,FALSE)</f>
        <v>Work</v>
      </c>
      <c r="R78" s="25" t="str">
        <f t="shared" si="1"/>
        <v>Home-Work</v>
      </c>
      <c r="S78" s="52">
        <v>35</v>
      </c>
      <c r="T78" s="52">
        <v>2.5</v>
      </c>
      <c r="U78" s="43">
        <v>2</v>
      </c>
      <c r="V78" s="43"/>
      <c r="W78" s="52"/>
      <c r="X78" s="52"/>
      <c r="Y78" s="53" t="s">
        <v>158</v>
      </c>
      <c r="Z78" s="54">
        <v>10000</v>
      </c>
      <c r="AA78" s="25"/>
      <c r="AB78" s="25"/>
    </row>
    <row r="79" spans="2:28">
      <c r="B79" s="40">
        <v>0.43194444444444446</v>
      </c>
      <c r="C79" s="40" t="s">
        <v>568</v>
      </c>
      <c r="D79" s="41">
        <v>7</v>
      </c>
      <c r="E79" s="42">
        <v>3</v>
      </c>
      <c r="F79" s="42" t="s">
        <v>155</v>
      </c>
      <c r="G79" s="43" t="s">
        <v>156</v>
      </c>
      <c r="H79" s="42" t="s">
        <v>157</v>
      </c>
      <c r="I79" s="43">
        <v>1</v>
      </c>
      <c r="J79" s="43">
        <v>1</v>
      </c>
      <c r="K79" s="25" t="str">
        <f>VLOOKUP(J79,Key!$E$2:$F$9,2,FALSE)</f>
        <v>Home</v>
      </c>
      <c r="L79" s="42" t="s">
        <v>164</v>
      </c>
      <c r="M79" s="43" t="s">
        <v>156</v>
      </c>
      <c r="N79" s="42" t="s">
        <v>157</v>
      </c>
      <c r="O79" s="43">
        <v>10</v>
      </c>
      <c r="P79" s="43">
        <v>2</v>
      </c>
      <c r="Q79" s="25" t="str">
        <f>VLOOKUP(P79,Key!$E$2:$F$9,2,FALSE)</f>
        <v>Work</v>
      </c>
      <c r="R79" s="25" t="str">
        <f t="shared" si="1"/>
        <v>Home-Work</v>
      </c>
      <c r="S79" s="52">
        <v>10</v>
      </c>
      <c r="T79" s="52">
        <v>0.3</v>
      </c>
      <c r="U79" s="43">
        <v>1</v>
      </c>
      <c r="V79" s="43"/>
      <c r="W79" s="52"/>
      <c r="X79" s="52"/>
      <c r="Y79" s="53" t="s">
        <v>158</v>
      </c>
      <c r="Z79" s="54">
        <v>500</v>
      </c>
      <c r="AA79" s="25"/>
      <c r="AB79" s="25"/>
    </row>
    <row r="80" spans="2:28">
      <c r="B80" s="40">
        <v>0.40486111111111112</v>
      </c>
      <c r="C80" s="40" t="s">
        <v>569</v>
      </c>
      <c r="D80" s="41">
        <v>2</v>
      </c>
      <c r="E80" s="42">
        <v>2</v>
      </c>
      <c r="F80" s="42" t="s">
        <v>155</v>
      </c>
      <c r="G80" s="43" t="s">
        <v>156</v>
      </c>
      <c r="H80" s="42" t="s">
        <v>157</v>
      </c>
      <c r="I80" s="43">
        <v>1</v>
      </c>
      <c r="J80" s="43">
        <v>1</v>
      </c>
      <c r="K80" s="25" t="str">
        <f>VLOOKUP(J80,Key!$E$2:$F$9,2,FALSE)</f>
        <v>Home</v>
      </c>
      <c r="L80" s="42" t="s">
        <v>187</v>
      </c>
      <c r="M80" s="43" t="s">
        <v>187</v>
      </c>
      <c r="N80" s="42" t="s">
        <v>157</v>
      </c>
      <c r="O80" s="43">
        <v>2</v>
      </c>
      <c r="P80" s="43">
        <v>2</v>
      </c>
      <c r="Q80" s="25" t="str">
        <f>VLOOKUP(P80,Key!$E$2:$F$9,2,FALSE)</f>
        <v>Work</v>
      </c>
      <c r="R80" s="25" t="str">
        <f t="shared" si="1"/>
        <v>Home-Work</v>
      </c>
      <c r="S80" s="52">
        <v>30</v>
      </c>
      <c r="T80" s="52">
        <v>2.5</v>
      </c>
      <c r="U80" s="43"/>
      <c r="V80" s="43"/>
      <c r="W80" s="52"/>
      <c r="X80" s="52"/>
      <c r="Y80" s="53"/>
      <c r="Z80" s="54"/>
      <c r="AA80" s="25"/>
      <c r="AB80" s="25"/>
    </row>
    <row r="81" spans="2:28">
      <c r="B81" s="40">
        <v>0.4069444444444445</v>
      </c>
      <c r="C81" s="40" t="s">
        <v>570</v>
      </c>
      <c r="D81" s="41">
        <v>1</v>
      </c>
      <c r="E81" s="42">
        <v>2</v>
      </c>
      <c r="F81" s="42" t="s">
        <v>215</v>
      </c>
      <c r="G81" s="43" t="s">
        <v>156</v>
      </c>
      <c r="H81" s="42" t="s">
        <v>157</v>
      </c>
      <c r="I81" s="43">
        <v>1</v>
      </c>
      <c r="J81" s="43">
        <v>1</v>
      </c>
      <c r="K81" s="25" t="str">
        <f>VLOOKUP(J81,Key!$E$2:$F$9,2,FALSE)</f>
        <v>Home</v>
      </c>
      <c r="L81" s="42" t="s">
        <v>571</v>
      </c>
      <c r="M81" s="43" t="s">
        <v>156</v>
      </c>
      <c r="N81" s="42" t="s">
        <v>157</v>
      </c>
      <c r="O81" s="43">
        <v>2</v>
      </c>
      <c r="P81" s="43">
        <v>2</v>
      </c>
      <c r="Q81" s="25" t="str">
        <f>VLOOKUP(P81,Key!$E$2:$F$9,2,FALSE)</f>
        <v>Work</v>
      </c>
      <c r="R81" s="25" t="str">
        <f t="shared" si="1"/>
        <v>Home-Work</v>
      </c>
      <c r="S81" s="52">
        <v>35</v>
      </c>
      <c r="T81" s="52">
        <v>2.5</v>
      </c>
      <c r="U81" s="43">
        <v>2</v>
      </c>
      <c r="V81" s="43"/>
      <c r="W81" s="52"/>
      <c r="X81" s="52"/>
      <c r="Y81" s="53" t="s">
        <v>158</v>
      </c>
      <c r="Z81" s="54"/>
      <c r="AA81" s="25"/>
      <c r="AB81" s="25"/>
    </row>
    <row r="82" spans="2:28">
      <c r="B82" s="40">
        <v>0.54999999999999993</v>
      </c>
      <c r="C82" s="40" t="s">
        <v>572</v>
      </c>
      <c r="D82" s="41">
        <v>2</v>
      </c>
      <c r="E82" s="42">
        <v>3</v>
      </c>
      <c r="F82" s="42" t="s">
        <v>160</v>
      </c>
      <c r="G82" s="43" t="s">
        <v>156</v>
      </c>
      <c r="H82" s="42" t="s">
        <v>157</v>
      </c>
      <c r="I82" s="43">
        <v>1</v>
      </c>
      <c r="J82" s="43">
        <v>1</v>
      </c>
      <c r="K82" s="25" t="str">
        <f>VLOOKUP(J82,Key!$E$2:$F$9,2,FALSE)</f>
        <v>Home</v>
      </c>
      <c r="L82" s="42" t="s">
        <v>150</v>
      </c>
      <c r="M82" s="43" t="s">
        <v>156</v>
      </c>
      <c r="N82" s="42" t="s">
        <v>157</v>
      </c>
      <c r="O82" s="43">
        <v>11</v>
      </c>
      <c r="P82" s="43">
        <v>4</v>
      </c>
      <c r="Q82" s="25" t="str">
        <f>VLOOKUP(P82,Key!$E$2:$F$9,2,FALSE)</f>
        <v>Commercial</v>
      </c>
      <c r="R82" s="25" t="str">
        <f t="shared" si="1"/>
        <v>Home-Commercial</v>
      </c>
      <c r="S82" s="52">
        <v>5</v>
      </c>
      <c r="T82" s="52">
        <v>0.1</v>
      </c>
      <c r="U82" s="43">
        <v>1</v>
      </c>
      <c r="V82" s="43"/>
      <c r="W82" s="52"/>
      <c r="X82" s="52"/>
      <c r="Y82" s="53" t="s">
        <v>158</v>
      </c>
      <c r="Z82" s="54">
        <v>5000</v>
      </c>
      <c r="AA82" s="25"/>
      <c r="AB82" s="25"/>
    </row>
    <row r="83" spans="2:28">
      <c r="B83" s="40">
        <v>0.54166666666666663</v>
      </c>
      <c r="C83" s="40" t="s">
        <v>573</v>
      </c>
      <c r="D83" s="41">
        <v>1</v>
      </c>
      <c r="E83" s="42">
        <v>1</v>
      </c>
      <c r="F83" s="42" t="s">
        <v>207</v>
      </c>
      <c r="G83" s="43" t="s">
        <v>156</v>
      </c>
      <c r="H83" s="42" t="s">
        <v>157</v>
      </c>
      <c r="I83" s="43">
        <v>1</v>
      </c>
      <c r="J83" s="43">
        <v>1</v>
      </c>
      <c r="K83" s="25" t="str">
        <f>VLOOKUP(J83,Key!$E$2:$F$9,2,FALSE)</f>
        <v>Home</v>
      </c>
      <c r="L83" s="42" t="s">
        <v>162</v>
      </c>
      <c r="M83" s="43" t="s">
        <v>156</v>
      </c>
      <c r="N83" s="42" t="s">
        <v>157</v>
      </c>
      <c r="O83" s="43">
        <v>4</v>
      </c>
      <c r="P83" s="43">
        <v>3</v>
      </c>
      <c r="Q83" s="25" t="str">
        <f>VLOOKUP(P83,Key!$E$2:$F$9,2,FALSE)</f>
        <v>Study</v>
      </c>
      <c r="R83" s="25" t="str">
        <f t="shared" si="1"/>
        <v>Home-Study</v>
      </c>
      <c r="S83" s="52">
        <v>10</v>
      </c>
      <c r="T83" s="52">
        <v>0.5</v>
      </c>
      <c r="U83" s="43">
        <v>2</v>
      </c>
      <c r="V83" s="43"/>
      <c r="W83" s="52"/>
      <c r="X83" s="52"/>
      <c r="Y83" s="53" t="s">
        <v>158</v>
      </c>
      <c r="Z83" s="54">
        <v>2000</v>
      </c>
      <c r="AA83" s="25"/>
      <c r="AB83" s="25"/>
    </row>
    <row r="84" spans="2:28">
      <c r="B84" s="40">
        <v>0.4375</v>
      </c>
      <c r="C84" s="40" t="s">
        <v>574</v>
      </c>
      <c r="D84" s="41">
        <v>2</v>
      </c>
      <c r="E84" s="42">
        <v>4</v>
      </c>
      <c r="F84" s="42" t="s">
        <v>215</v>
      </c>
      <c r="G84" s="43" t="s">
        <v>156</v>
      </c>
      <c r="H84" s="42" t="s">
        <v>157</v>
      </c>
      <c r="I84" s="43">
        <v>2</v>
      </c>
      <c r="J84" s="43">
        <v>2</v>
      </c>
      <c r="K84" s="25" t="str">
        <f>VLOOKUP(J84,Key!$E$2:$F$9,2,FALSE)</f>
        <v>Work</v>
      </c>
      <c r="L84" s="42" t="s">
        <v>187</v>
      </c>
      <c r="M84" s="43" t="s">
        <v>187</v>
      </c>
      <c r="N84" s="42" t="s">
        <v>157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Work-Work</v>
      </c>
      <c r="S84" s="52">
        <v>36</v>
      </c>
      <c r="T84" s="52">
        <v>2</v>
      </c>
      <c r="U84" s="43">
        <v>1</v>
      </c>
      <c r="V84" s="43"/>
      <c r="W84" s="52"/>
      <c r="X84" s="52"/>
      <c r="Y84" s="53" t="s">
        <v>158</v>
      </c>
      <c r="Z84" s="54">
        <v>1000</v>
      </c>
      <c r="AA84" s="25"/>
      <c r="AB84" s="25"/>
    </row>
    <row r="85" spans="2:28">
      <c r="B85" s="40">
        <v>0.44166666666666665</v>
      </c>
      <c r="C85" s="40" t="s">
        <v>575</v>
      </c>
      <c r="D85" s="41">
        <v>7</v>
      </c>
      <c r="E85" s="42">
        <v>2</v>
      </c>
      <c r="F85" s="42" t="s">
        <v>204</v>
      </c>
      <c r="G85" s="43" t="s">
        <v>156</v>
      </c>
      <c r="H85" s="42" t="s">
        <v>157</v>
      </c>
      <c r="I85" s="43">
        <v>1</v>
      </c>
      <c r="J85" s="43">
        <v>1</v>
      </c>
      <c r="K85" s="25" t="str">
        <f>VLOOKUP(J85,Key!$E$2:$F$9,2,FALSE)</f>
        <v>Home</v>
      </c>
      <c r="L85" s="42" t="s">
        <v>162</v>
      </c>
      <c r="M85" s="43" t="s">
        <v>156</v>
      </c>
      <c r="N85" s="42" t="s">
        <v>157</v>
      </c>
      <c r="O85" s="43">
        <v>9</v>
      </c>
      <c r="P85" s="43">
        <v>2</v>
      </c>
      <c r="Q85" s="25" t="str">
        <f>VLOOKUP(P85,Key!$E$2:$F$9,2,FALSE)</f>
        <v>Work</v>
      </c>
      <c r="R85" s="25" t="str">
        <f t="shared" si="1"/>
        <v>Home-Work</v>
      </c>
      <c r="S85" s="52">
        <v>25</v>
      </c>
      <c r="T85" s="52">
        <v>1</v>
      </c>
      <c r="U85" s="43"/>
      <c r="V85" s="43"/>
      <c r="W85" s="52"/>
      <c r="X85" s="52"/>
      <c r="Y85" s="53" t="s">
        <v>158</v>
      </c>
      <c r="Z85" s="54">
        <v>10000</v>
      </c>
      <c r="AA85" s="25"/>
      <c r="AB85" s="25"/>
    </row>
    <row r="86" spans="2:28">
      <c r="B86" s="40">
        <v>0.625</v>
      </c>
      <c r="C86" s="40" t="s">
        <v>576</v>
      </c>
      <c r="D86" s="41">
        <v>4</v>
      </c>
      <c r="E86" s="42">
        <v>11</v>
      </c>
      <c r="F86" s="42" t="s">
        <v>187</v>
      </c>
      <c r="G86" s="43" t="s">
        <v>187</v>
      </c>
      <c r="H86" s="42" t="s">
        <v>157</v>
      </c>
      <c r="I86" s="43">
        <v>6</v>
      </c>
      <c r="J86" s="43">
        <v>2</v>
      </c>
      <c r="K86" s="25" t="str">
        <f>VLOOKUP(J86,Key!$E$2:$F$9,2,FALSE)</f>
        <v>Work</v>
      </c>
      <c r="L86" s="42" t="s">
        <v>162</v>
      </c>
      <c r="M86" s="43" t="s">
        <v>156</v>
      </c>
      <c r="N86" s="42" t="s">
        <v>157</v>
      </c>
      <c r="O86" s="43">
        <v>6</v>
      </c>
      <c r="P86" s="43">
        <v>2</v>
      </c>
      <c r="Q86" s="25" t="str">
        <f>VLOOKUP(P86,Key!$E$2:$F$9,2,FALSE)</f>
        <v>Work</v>
      </c>
      <c r="R86" s="25" t="str">
        <f t="shared" si="1"/>
        <v>Work-Work</v>
      </c>
      <c r="S86" s="52">
        <v>30</v>
      </c>
      <c r="T86" s="52">
        <v>1.5</v>
      </c>
      <c r="U86" s="43">
        <v>1</v>
      </c>
      <c r="V86" s="43"/>
      <c r="W86" s="52"/>
      <c r="X86" s="52"/>
      <c r="Y86" s="53" t="s">
        <v>158</v>
      </c>
      <c r="Z86" s="54">
        <v>10000</v>
      </c>
      <c r="AA86" s="25"/>
      <c r="AB86" s="25"/>
    </row>
    <row r="87" spans="2:28">
      <c r="B87" s="40">
        <v>0.62083333333333335</v>
      </c>
      <c r="C87" s="40" t="s">
        <v>577</v>
      </c>
      <c r="D87" s="41">
        <v>1</v>
      </c>
      <c r="E87" s="42">
        <v>1</v>
      </c>
      <c r="F87" s="42" t="s">
        <v>207</v>
      </c>
      <c r="G87" s="43" t="s">
        <v>156</v>
      </c>
      <c r="H87" s="42" t="s">
        <v>157</v>
      </c>
      <c r="I87" s="43">
        <v>1</v>
      </c>
      <c r="J87" s="43">
        <v>1</v>
      </c>
      <c r="K87" s="25" t="str">
        <f>VLOOKUP(J87,Key!$E$2:$F$9,2,FALSE)</f>
        <v>Home</v>
      </c>
      <c r="L87" s="42" t="s">
        <v>150</v>
      </c>
      <c r="M87" s="43" t="s">
        <v>156</v>
      </c>
      <c r="N87" s="42" t="s">
        <v>157</v>
      </c>
      <c r="O87" s="43">
        <v>11</v>
      </c>
      <c r="P87" s="43">
        <v>6</v>
      </c>
      <c r="Q87" s="25" t="str">
        <f>VLOOKUP(P87,Key!$E$2:$F$9,2,FALSE)</f>
        <v>Leisure/Social</v>
      </c>
      <c r="R87" s="25" t="str">
        <f t="shared" si="1"/>
        <v>Home-Leisure/Social</v>
      </c>
      <c r="S87" s="52">
        <v>9</v>
      </c>
      <c r="T87" s="52">
        <v>0.2</v>
      </c>
      <c r="U87" s="43">
        <v>1</v>
      </c>
      <c r="V87" s="43"/>
      <c r="W87" s="52"/>
      <c r="X87" s="52"/>
      <c r="Y87" s="53" t="s">
        <v>158</v>
      </c>
      <c r="Z87" s="54">
        <v>2000</v>
      </c>
      <c r="AA87" s="25"/>
      <c r="AB87" s="25"/>
    </row>
    <row r="88" spans="2:28">
      <c r="B88" s="40">
        <v>0.44444444444444442</v>
      </c>
      <c r="C88" s="40" t="s">
        <v>578</v>
      </c>
      <c r="D88" s="41">
        <v>1</v>
      </c>
      <c r="E88" s="42">
        <v>2</v>
      </c>
      <c r="F88" s="42" t="s">
        <v>305</v>
      </c>
      <c r="G88" s="43" t="s">
        <v>187</v>
      </c>
      <c r="H88" s="42" t="s">
        <v>157</v>
      </c>
      <c r="I88" s="43">
        <v>1</v>
      </c>
      <c r="J88" s="43">
        <v>1</v>
      </c>
      <c r="K88" s="25" t="str">
        <f>VLOOKUP(J88,Key!$E$2:$F$9,2,FALSE)</f>
        <v>Home</v>
      </c>
      <c r="L88" s="42" t="s">
        <v>150</v>
      </c>
      <c r="M88" s="43" t="s">
        <v>156</v>
      </c>
      <c r="N88" s="42" t="s">
        <v>157</v>
      </c>
      <c r="O88" s="43">
        <v>11</v>
      </c>
      <c r="P88" s="43">
        <v>2</v>
      </c>
      <c r="Q88" s="25" t="str">
        <f>VLOOKUP(P88,Key!$E$2:$F$9,2,FALSE)</f>
        <v>Work</v>
      </c>
      <c r="R88" s="25" t="str">
        <f t="shared" si="1"/>
        <v>Home-Work</v>
      </c>
      <c r="S88" s="52">
        <v>25</v>
      </c>
      <c r="T88" s="52">
        <v>1.5</v>
      </c>
      <c r="U88" s="43">
        <v>2</v>
      </c>
      <c r="V88" s="43"/>
      <c r="W88" s="52"/>
      <c r="X88" s="52"/>
      <c r="Y88" s="53" t="s">
        <v>158</v>
      </c>
      <c r="Z88" s="54">
        <v>5000</v>
      </c>
      <c r="AA88" s="25"/>
      <c r="AB88" s="25"/>
    </row>
    <row r="89" spans="2:28">
      <c r="B89" s="40">
        <v>0.44791666666666669</v>
      </c>
      <c r="C89" s="40" t="s">
        <v>579</v>
      </c>
      <c r="D89" s="41">
        <v>3</v>
      </c>
      <c r="E89" s="42">
        <v>4</v>
      </c>
      <c r="F89" s="42" t="s">
        <v>215</v>
      </c>
      <c r="G89" s="43" t="s">
        <v>156</v>
      </c>
      <c r="H89" s="42" t="s">
        <v>157</v>
      </c>
      <c r="I89" s="43">
        <v>1</v>
      </c>
      <c r="J89" s="43">
        <v>1</v>
      </c>
      <c r="K89" s="25" t="str">
        <f>VLOOKUP(J89,Key!$E$2:$F$9,2,FALSE)</f>
        <v>Home</v>
      </c>
      <c r="L89" s="42" t="s">
        <v>197</v>
      </c>
      <c r="M89" s="43" t="s">
        <v>197</v>
      </c>
      <c r="N89" s="42" t="s">
        <v>157</v>
      </c>
      <c r="O89" s="43">
        <v>16</v>
      </c>
      <c r="P89" s="43">
        <v>8</v>
      </c>
      <c r="Q89" s="25" t="str">
        <f>VLOOKUP(P89,Key!$E$2:$F$9,2,FALSE)</f>
        <v>Others</v>
      </c>
      <c r="R89" s="25" t="str">
        <f t="shared" si="1"/>
        <v>Home-Others</v>
      </c>
      <c r="S89" s="52">
        <v>205</v>
      </c>
      <c r="T89" s="52">
        <v>4</v>
      </c>
      <c r="U89" s="43">
        <v>6</v>
      </c>
      <c r="V89" s="43"/>
      <c r="W89" s="52"/>
      <c r="X89" s="52"/>
      <c r="Y89" s="53" t="s">
        <v>158</v>
      </c>
      <c r="Z89" s="54">
        <v>10000</v>
      </c>
      <c r="AA89" s="25"/>
      <c r="AB89" s="25"/>
    </row>
    <row r="90" spans="2:28">
      <c r="B90" s="40">
        <v>0.6069444444444444</v>
      </c>
      <c r="C90" s="40" t="s">
        <v>580</v>
      </c>
      <c r="D90" s="41">
        <v>7</v>
      </c>
      <c r="E90" s="42">
        <v>3</v>
      </c>
      <c r="F90" s="42" t="s">
        <v>581</v>
      </c>
      <c r="G90" s="43" t="s">
        <v>156</v>
      </c>
      <c r="H90" s="42" t="s">
        <v>157</v>
      </c>
      <c r="I90" s="43">
        <v>11</v>
      </c>
      <c r="J90" s="43">
        <v>2</v>
      </c>
      <c r="K90" s="25" t="str">
        <f>VLOOKUP(J90,Key!$E$2:$F$9,2,FALSE)</f>
        <v>Work</v>
      </c>
      <c r="L90" s="42" t="s">
        <v>162</v>
      </c>
      <c r="M90" s="43" t="s">
        <v>156</v>
      </c>
      <c r="N90" s="42" t="s">
        <v>157</v>
      </c>
      <c r="O90" s="43">
        <v>12</v>
      </c>
      <c r="P90" s="43">
        <v>2</v>
      </c>
      <c r="Q90" s="25" t="str">
        <f>VLOOKUP(P90,Key!$E$2:$F$9,2,FALSE)</f>
        <v>Work</v>
      </c>
      <c r="R90" s="25" t="str">
        <f t="shared" si="1"/>
        <v>Work-Work</v>
      </c>
      <c r="S90" s="52"/>
      <c r="T90" s="52"/>
      <c r="U90" s="43">
        <v>1</v>
      </c>
      <c r="V90" s="43">
        <v>11</v>
      </c>
      <c r="W90" s="52"/>
      <c r="X90" s="52"/>
      <c r="Y90" s="53" t="s">
        <v>158</v>
      </c>
      <c r="Z90" s="54">
        <v>2000</v>
      </c>
      <c r="AA90" s="25"/>
      <c r="AB90" s="25"/>
    </row>
    <row r="91" spans="2:28">
      <c r="B91" s="40">
        <v>0.61597222222222225</v>
      </c>
      <c r="C91" s="40" t="s">
        <v>582</v>
      </c>
      <c r="D91" s="41">
        <v>7</v>
      </c>
      <c r="E91" s="42">
        <v>2</v>
      </c>
      <c r="F91" s="42" t="s">
        <v>207</v>
      </c>
      <c r="G91" s="43" t="s">
        <v>156</v>
      </c>
      <c r="H91" s="42" t="s">
        <v>157</v>
      </c>
      <c r="I91" s="43">
        <v>11</v>
      </c>
      <c r="J91" s="43">
        <v>2</v>
      </c>
      <c r="K91" s="25" t="str">
        <f>VLOOKUP(J91,Key!$E$2:$F$9,2,FALSE)</f>
        <v>Work</v>
      </c>
      <c r="L91" s="42" t="s">
        <v>162</v>
      </c>
      <c r="M91" s="43" t="s">
        <v>156</v>
      </c>
      <c r="N91" s="42" t="s">
        <v>157</v>
      </c>
      <c r="O91" s="43">
        <v>11</v>
      </c>
      <c r="P91" s="43">
        <v>2</v>
      </c>
      <c r="Q91" s="25" t="str">
        <f>VLOOKUP(P91,Key!$E$2:$F$9,2,FALSE)</f>
        <v>Work</v>
      </c>
      <c r="R91" s="25" t="str">
        <f t="shared" si="1"/>
        <v>Work-Work</v>
      </c>
      <c r="S91" s="52">
        <v>7</v>
      </c>
      <c r="T91" s="52">
        <v>0.3</v>
      </c>
      <c r="U91" s="43">
        <v>1</v>
      </c>
      <c r="V91" s="43">
        <v>12</v>
      </c>
      <c r="W91" s="52">
        <v>10</v>
      </c>
      <c r="X91" s="52">
        <v>4</v>
      </c>
      <c r="Y91" s="53" t="s">
        <v>158</v>
      </c>
      <c r="Z91" s="54">
        <v>2000</v>
      </c>
      <c r="AA91" s="25"/>
      <c r="AB91" s="25"/>
    </row>
    <row r="92" spans="2:28">
      <c r="B92" s="40">
        <v>0.63680555555555551</v>
      </c>
      <c r="C92" s="40" t="s">
        <v>583</v>
      </c>
      <c r="D92" s="41">
        <v>7</v>
      </c>
      <c r="E92" s="42">
        <v>3</v>
      </c>
      <c r="F92" s="42" t="s">
        <v>160</v>
      </c>
      <c r="G92" s="43" t="s">
        <v>156</v>
      </c>
      <c r="H92" s="42" t="s">
        <v>157</v>
      </c>
      <c r="I92" s="43">
        <v>10</v>
      </c>
      <c r="J92" s="43">
        <v>2</v>
      </c>
      <c r="K92" s="25" t="str">
        <f>VLOOKUP(J92,Key!$E$2:$F$9,2,FALSE)</f>
        <v>Work</v>
      </c>
      <c r="L92" s="42" t="s">
        <v>150</v>
      </c>
      <c r="M92" s="43" t="s">
        <v>156</v>
      </c>
      <c r="N92" s="42" t="s">
        <v>157</v>
      </c>
      <c r="O92" s="43">
        <v>1</v>
      </c>
      <c r="P92" s="43">
        <v>1</v>
      </c>
      <c r="Q92" s="25" t="str">
        <f>VLOOKUP(P92,Key!$E$2:$F$9,2,FALSE)</f>
        <v>Home</v>
      </c>
      <c r="R92" s="25" t="str">
        <f t="shared" si="1"/>
        <v>Work-Home</v>
      </c>
      <c r="S92" s="52">
        <v>7</v>
      </c>
      <c r="T92" s="52">
        <v>0.1</v>
      </c>
      <c r="U92" s="43">
        <v>1</v>
      </c>
      <c r="V92" s="43">
        <v>11</v>
      </c>
      <c r="W92" s="52"/>
      <c r="X92" s="52"/>
      <c r="Y92" s="53" t="s">
        <v>158</v>
      </c>
      <c r="Z92" s="54">
        <v>1000</v>
      </c>
      <c r="AA92" s="25"/>
      <c r="AB92" s="25"/>
    </row>
    <row r="93" spans="2:28">
      <c r="B93" s="40">
        <v>0.64236111111111105</v>
      </c>
      <c r="C93" s="40" t="s">
        <v>584</v>
      </c>
      <c r="D93" s="41">
        <v>7</v>
      </c>
      <c r="E93" s="42">
        <v>2</v>
      </c>
      <c r="F93" s="42" t="s">
        <v>160</v>
      </c>
      <c r="G93" s="43" t="s">
        <v>156</v>
      </c>
      <c r="H93" s="42" t="s">
        <v>157</v>
      </c>
      <c r="I93" s="43">
        <v>10</v>
      </c>
      <c r="J93" s="43">
        <v>2</v>
      </c>
      <c r="K93" s="25" t="str">
        <f>VLOOKUP(J93,Key!$E$2:$F$9,2,FALSE)</f>
        <v>Work</v>
      </c>
      <c r="L93" s="42" t="s">
        <v>150</v>
      </c>
      <c r="M93" s="43" t="s">
        <v>156</v>
      </c>
      <c r="N93" s="42" t="s">
        <v>157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Work-Home</v>
      </c>
      <c r="S93" s="52">
        <v>5</v>
      </c>
      <c r="T93" s="52">
        <v>0.3</v>
      </c>
      <c r="U93" s="43">
        <v>1</v>
      </c>
      <c r="V93" s="43"/>
      <c r="W93" s="52"/>
      <c r="X93" s="52"/>
      <c r="Y93" s="53" t="s">
        <v>158</v>
      </c>
      <c r="Z93" s="54">
        <v>3000</v>
      </c>
      <c r="AA93" s="25"/>
      <c r="AB93" s="25"/>
    </row>
    <row r="94" spans="2:28">
      <c r="B94" s="40">
        <v>0.63194444444444442</v>
      </c>
      <c r="C94" s="40" t="s">
        <v>585</v>
      </c>
      <c r="D94" s="41">
        <v>4</v>
      </c>
      <c r="E94" s="42">
        <v>14</v>
      </c>
      <c r="F94" s="42" t="s">
        <v>204</v>
      </c>
      <c r="G94" s="43" t="s">
        <v>156</v>
      </c>
      <c r="H94" s="42" t="s">
        <v>157</v>
      </c>
      <c r="I94" s="43">
        <v>6</v>
      </c>
      <c r="J94" s="43">
        <v>2</v>
      </c>
      <c r="K94" s="25" t="str">
        <f>VLOOKUP(J94,Key!$E$2:$F$9,2,FALSE)</f>
        <v>Work</v>
      </c>
      <c r="L94" s="42" t="s">
        <v>162</v>
      </c>
      <c r="M94" s="43" t="s">
        <v>156</v>
      </c>
      <c r="N94" s="42" t="s">
        <v>157</v>
      </c>
      <c r="O94" s="43">
        <v>6</v>
      </c>
      <c r="P94" s="43">
        <v>2</v>
      </c>
      <c r="Q94" s="25" t="str">
        <f>VLOOKUP(P94,Key!$E$2:$F$9,2,FALSE)</f>
        <v>Work</v>
      </c>
      <c r="R94" s="25" t="str">
        <f t="shared" si="1"/>
        <v>Work-Work</v>
      </c>
      <c r="S94" s="52">
        <v>30</v>
      </c>
      <c r="T94" s="52">
        <v>2</v>
      </c>
      <c r="U94" s="43">
        <v>1</v>
      </c>
      <c r="V94" s="43"/>
      <c r="W94" s="52"/>
      <c r="X94" s="52"/>
      <c r="Y94" s="53" t="s">
        <v>158</v>
      </c>
      <c r="Z94" s="54">
        <v>1000</v>
      </c>
      <c r="AA94" s="25"/>
      <c r="AB94" s="25"/>
    </row>
    <row r="95" spans="2:28">
      <c r="B95" s="40">
        <v>0.63472222222222219</v>
      </c>
      <c r="C95" s="40" t="s">
        <v>586</v>
      </c>
      <c r="D95" s="41">
        <v>2</v>
      </c>
      <c r="E95" s="42">
        <v>1</v>
      </c>
      <c r="F95" s="42" t="s">
        <v>155</v>
      </c>
      <c r="G95" s="43" t="s">
        <v>156</v>
      </c>
      <c r="H95" s="42" t="s">
        <v>157</v>
      </c>
      <c r="I95" s="43">
        <v>1</v>
      </c>
      <c r="J95" s="43">
        <v>1</v>
      </c>
      <c r="K95" s="25" t="str">
        <f>VLOOKUP(J95,Key!$E$2:$F$9,2,FALSE)</f>
        <v>Home</v>
      </c>
      <c r="L95" s="42" t="s">
        <v>162</v>
      </c>
      <c r="M95" s="43" t="s">
        <v>156</v>
      </c>
      <c r="N95" s="42" t="s">
        <v>157</v>
      </c>
      <c r="O95" s="43">
        <v>1</v>
      </c>
      <c r="P95" s="43">
        <v>1</v>
      </c>
      <c r="Q95" s="25" t="str">
        <f>VLOOKUP(P95,Key!$E$2:$F$9,2,FALSE)</f>
        <v>Home</v>
      </c>
      <c r="R95" s="25" t="str">
        <f t="shared" si="1"/>
        <v>Home-Home</v>
      </c>
      <c r="S95" s="52">
        <v>10</v>
      </c>
      <c r="T95" s="52">
        <v>0.3</v>
      </c>
      <c r="U95" s="43">
        <v>1</v>
      </c>
      <c r="V95" s="43"/>
      <c r="W95" s="52"/>
      <c r="X95" s="52"/>
      <c r="Y95" s="53" t="s">
        <v>158</v>
      </c>
      <c r="Z95" s="54">
        <v>2000</v>
      </c>
      <c r="AA95" s="25"/>
      <c r="AB95" s="25"/>
    </row>
    <row r="96" spans="2:28">
      <c r="B96" s="40">
        <v>0.74097222222222225</v>
      </c>
      <c r="C96" s="40" t="s">
        <v>587</v>
      </c>
      <c r="D96" s="41">
        <v>1</v>
      </c>
      <c r="E96" s="42">
        <v>3</v>
      </c>
      <c r="F96" s="42" t="s">
        <v>207</v>
      </c>
      <c r="G96" s="43" t="s">
        <v>156</v>
      </c>
      <c r="H96" s="42" t="s">
        <v>157</v>
      </c>
      <c r="I96" s="43">
        <v>4</v>
      </c>
      <c r="J96" s="43">
        <v>2</v>
      </c>
      <c r="K96" s="25" t="str">
        <f>VLOOKUP(J96,Key!$E$2:$F$9,2,FALSE)</f>
        <v>Work</v>
      </c>
      <c r="L96" s="42" t="s">
        <v>162</v>
      </c>
      <c r="M96" s="43" t="s">
        <v>156</v>
      </c>
      <c r="N96" s="42" t="s">
        <v>157</v>
      </c>
      <c r="O96" s="43">
        <v>1</v>
      </c>
      <c r="P96" s="43">
        <v>1</v>
      </c>
      <c r="Q96" s="25" t="str">
        <f>VLOOKUP(P96,Key!$E$2:$F$9,2,FALSE)</f>
        <v>Home</v>
      </c>
      <c r="R96" s="25" t="str">
        <f t="shared" si="1"/>
        <v>Work-Home</v>
      </c>
      <c r="S96" s="52">
        <v>7</v>
      </c>
      <c r="T96" s="52"/>
      <c r="U96" s="43">
        <v>2</v>
      </c>
      <c r="V96" s="43"/>
      <c r="W96" s="52"/>
      <c r="X96" s="52"/>
      <c r="Y96" s="53" t="s">
        <v>158</v>
      </c>
      <c r="Z96" s="54">
        <v>10000</v>
      </c>
      <c r="AA96" s="25"/>
      <c r="AB96" s="25"/>
    </row>
    <row r="97" spans="2:28">
      <c r="B97" s="40">
        <v>0.72777777777777775</v>
      </c>
      <c r="C97" s="40" t="s">
        <v>588</v>
      </c>
      <c r="D97" s="41">
        <v>11</v>
      </c>
      <c r="E97" s="42">
        <v>1</v>
      </c>
      <c r="F97" s="42" t="s">
        <v>160</v>
      </c>
      <c r="G97" s="43" t="s">
        <v>156</v>
      </c>
      <c r="H97" s="42" t="s">
        <v>157</v>
      </c>
      <c r="I97" s="43">
        <v>8</v>
      </c>
      <c r="J97" s="43">
        <v>2</v>
      </c>
      <c r="K97" s="25" t="str">
        <f>VLOOKUP(J97,Key!$E$2:$F$9,2,FALSE)</f>
        <v>Work</v>
      </c>
      <c r="L97" s="42" t="s">
        <v>150</v>
      </c>
      <c r="M97" s="43" t="s">
        <v>156</v>
      </c>
      <c r="N97" s="42" t="s">
        <v>157</v>
      </c>
      <c r="O97" s="43">
        <v>8</v>
      </c>
      <c r="P97" s="43">
        <v>2</v>
      </c>
      <c r="Q97" s="25" t="str">
        <f>VLOOKUP(P97,Key!$E$2:$F$9,2,FALSE)</f>
        <v>Work</v>
      </c>
      <c r="R97" s="25" t="str">
        <f t="shared" si="1"/>
        <v>Work-Work</v>
      </c>
      <c r="S97" s="52">
        <v>10</v>
      </c>
      <c r="T97" s="52">
        <v>0.2</v>
      </c>
      <c r="U97" s="43">
        <v>1</v>
      </c>
      <c r="V97" s="43"/>
      <c r="W97" s="52"/>
      <c r="X97" s="52"/>
      <c r="Y97" s="53" t="s">
        <v>158</v>
      </c>
      <c r="Z97" s="54">
        <v>500</v>
      </c>
      <c r="AA97" s="25"/>
      <c r="AB97" s="25"/>
    </row>
    <row r="98" spans="2:28">
      <c r="B98" s="40">
        <v>0.72222222222222221</v>
      </c>
      <c r="C98" s="40" t="s">
        <v>589</v>
      </c>
      <c r="D98" s="41">
        <v>11</v>
      </c>
      <c r="E98" s="42">
        <v>2</v>
      </c>
      <c r="F98" s="42" t="s">
        <v>155</v>
      </c>
      <c r="G98" s="43" t="s">
        <v>156</v>
      </c>
      <c r="H98" s="42" t="s">
        <v>157</v>
      </c>
      <c r="I98" s="43">
        <v>8</v>
      </c>
      <c r="J98" s="43">
        <v>2</v>
      </c>
      <c r="K98" s="25" t="str">
        <f>VLOOKUP(J98,Key!$E$2:$F$9,2,FALSE)</f>
        <v>Work</v>
      </c>
      <c r="L98" s="42" t="s">
        <v>164</v>
      </c>
      <c r="M98" s="43" t="s">
        <v>156</v>
      </c>
      <c r="N98" s="42" t="s">
        <v>157</v>
      </c>
      <c r="O98" s="43">
        <v>8</v>
      </c>
      <c r="P98" s="43">
        <v>2</v>
      </c>
      <c r="Q98" s="25" t="str">
        <f>VLOOKUP(P98,Key!$E$2:$F$9,2,FALSE)</f>
        <v>Work</v>
      </c>
      <c r="R98" s="25" t="str">
        <f t="shared" si="1"/>
        <v>Work-Work</v>
      </c>
      <c r="S98" s="52">
        <v>15</v>
      </c>
      <c r="T98" s="52">
        <v>0.3</v>
      </c>
      <c r="U98" s="43">
        <v>1</v>
      </c>
      <c r="V98" s="43"/>
      <c r="W98" s="52"/>
      <c r="X98" s="52"/>
      <c r="Y98" s="53" t="s">
        <v>158</v>
      </c>
      <c r="Z98" s="54">
        <v>0</v>
      </c>
      <c r="AA98" s="25"/>
      <c r="AB98" s="25"/>
    </row>
    <row r="99" spans="2:28">
      <c r="B99" s="40">
        <v>0.71388888888888891</v>
      </c>
      <c r="C99" s="40" t="s">
        <v>590</v>
      </c>
      <c r="D99" s="41">
        <v>4</v>
      </c>
      <c r="E99" s="42">
        <v>14</v>
      </c>
      <c r="F99" s="42" t="s">
        <v>301</v>
      </c>
      <c r="G99" s="43" t="s">
        <v>187</v>
      </c>
      <c r="H99" s="42" t="s">
        <v>157</v>
      </c>
      <c r="I99" s="43">
        <v>6</v>
      </c>
      <c r="J99" s="43">
        <v>2</v>
      </c>
      <c r="K99" s="25" t="str">
        <f>VLOOKUP(J99,Key!$E$2:$F$9,2,FALSE)</f>
        <v>Work</v>
      </c>
      <c r="L99" s="42" t="s">
        <v>162</v>
      </c>
      <c r="M99" s="43" t="s">
        <v>156</v>
      </c>
      <c r="N99" s="42" t="s">
        <v>157</v>
      </c>
      <c r="O99" s="43">
        <v>6</v>
      </c>
      <c r="P99" s="43">
        <v>2</v>
      </c>
      <c r="Q99" s="25" t="str">
        <f>VLOOKUP(P99,Key!$E$2:$F$9,2,FALSE)</f>
        <v>Work</v>
      </c>
      <c r="R99" s="25" t="str">
        <f t="shared" si="1"/>
        <v>Work-Work</v>
      </c>
      <c r="S99" s="52">
        <v>30</v>
      </c>
      <c r="T99" s="52">
        <v>2</v>
      </c>
      <c r="U99" s="43">
        <v>1</v>
      </c>
      <c r="V99" s="43"/>
      <c r="W99" s="52"/>
      <c r="X99" s="52"/>
      <c r="Y99" s="53" t="s">
        <v>158</v>
      </c>
      <c r="Z99" s="54">
        <v>2000</v>
      </c>
      <c r="AA99" s="25"/>
      <c r="AB99" s="25"/>
    </row>
    <row r="100" spans="2:28">
      <c r="B100" s="40">
        <v>0.7631944444444444</v>
      </c>
      <c r="C100" s="40" t="s">
        <v>591</v>
      </c>
      <c r="D100" s="41">
        <v>11</v>
      </c>
      <c r="E100" s="42">
        <v>2</v>
      </c>
      <c r="F100" s="42" t="s">
        <v>155</v>
      </c>
      <c r="G100" s="43" t="s">
        <v>156</v>
      </c>
      <c r="H100" s="42" t="s">
        <v>157</v>
      </c>
      <c r="I100" s="43">
        <v>8</v>
      </c>
      <c r="J100" s="43">
        <v>2</v>
      </c>
      <c r="K100" s="25" t="str">
        <f>VLOOKUP(J100,Key!$E$2:$F$9,2,FALSE)</f>
        <v>Work</v>
      </c>
      <c r="L100" s="42" t="s">
        <v>150</v>
      </c>
      <c r="M100" s="43" t="s">
        <v>156</v>
      </c>
      <c r="N100" s="42" t="s">
        <v>157</v>
      </c>
      <c r="O100" s="43">
        <v>8</v>
      </c>
      <c r="P100" s="43">
        <v>2</v>
      </c>
      <c r="Q100" s="25" t="str">
        <f>VLOOKUP(P100,Key!$E$2:$F$9,2,FALSE)</f>
        <v>Work</v>
      </c>
      <c r="R100" s="25" t="str">
        <f t="shared" si="1"/>
        <v>Work-Work</v>
      </c>
      <c r="S100" s="52">
        <v>3</v>
      </c>
      <c r="T100" s="52">
        <v>0.1</v>
      </c>
      <c r="U100" s="43">
        <v>1</v>
      </c>
      <c r="V100" s="43"/>
      <c r="W100" s="52"/>
      <c r="X100" s="52"/>
      <c r="Y100" s="53" t="s">
        <v>158</v>
      </c>
      <c r="Z100" s="54">
        <v>1000</v>
      </c>
      <c r="AA100" s="25"/>
      <c r="AB100" s="25"/>
    </row>
    <row r="101" spans="2:28">
      <c r="B101" s="40">
        <v>0.75694444444444453</v>
      </c>
      <c r="C101" s="40" t="s">
        <v>592</v>
      </c>
      <c r="D101" s="41">
        <v>11</v>
      </c>
      <c r="E101" s="42">
        <v>1</v>
      </c>
      <c r="F101" s="42" t="s">
        <v>160</v>
      </c>
      <c r="G101" s="43" t="s">
        <v>156</v>
      </c>
      <c r="H101" s="42" t="s">
        <v>157</v>
      </c>
      <c r="I101" s="43">
        <v>8</v>
      </c>
      <c r="J101" s="43">
        <v>2</v>
      </c>
      <c r="K101" s="25" t="str">
        <f>VLOOKUP(J101,Key!$E$2:$F$9,2,FALSE)</f>
        <v>Work</v>
      </c>
      <c r="L101" s="42" t="s">
        <v>150</v>
      </c>
      <c r="M101" s="43" t="s">
        <v>156</v>
      </c>
      <c r="N101" s="42" t="s">
        <v>157</v>
      </c>
      <c r="O101" s="43">
        <v>8</v>
      </c>
      <c r="P101" s="43">
        <v>2</v>
      </c>
      <c r="Q101" s="25" t="str">
        <f>VLOOKUP(P101,Key!$E$2:$F$9,2,FALSE)</f>
        <v>Work</v>
      </c>
      <c r="R101" s="25" t="str">
        <f t="shared" si="1"/>
        <v>Work-Work</v>
      </c>
      <c r="S101" s="52">
        <v>6</v>
      </c>
      <c r="T101" s="52">
        <v>0.1</v>
      </c>
      <c r="U101" s="43">
        <v>1</v>
      </c>
      <c r="V101" s="43"/>
      <c r="W101" s="52"/>
      <c r="X101" s="52"/>
      <c r="Y101" s="53" t="s">
        <v>158</v>
      </c>
      <c r="Z101" s="54">
        <v>0</v>
      </c>
      <c r="AA101" s="25"/>
      <c r="AB101" s="25"/>
    </row>
    <row r="102" spans="2:28">
      <c r="B102" s="40">
        <v>0.76666666666666661</v>
      </c>
      <c r="C102" s="40" t="s">
        <v>593</v>
      </c>
      <c r="D102" s="41">
        <v>7</v>
      </c>
      <c r="E102" s="42">
        <v>3</v>
      </c>
      <c r="F102" s="42" t="s">
        <v>204</v>
      </c>
      <c r="G102" s="43" t="s">
        <v>156</v>
      </c>
      <c r="H102" s="42" t="s">
        <v>157</v>
      </c>
      <c r="I102" s="43">
        <v>10</v>
      </c>
      <c r="J102" s="43">
        <v>2</v>
      </c>
      <c r="K102" s="25" t="str">
        <f>VLOOKUP(J102,Key!$E$2:$F$9,2,FALSE)</f>
        <v>Work</v>
      </c>
      <c r="L102" s="42" t="s">
        <v>150</v>
      </c>
      <c r="M102" s="43" t="s">
        <v>156</v>
      </c>
      <c r="N102" s="42" t="s">
        <v>157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si="1"/>
        <v>Work-Home</v>
      </c>
      <c r="S102" s="52">
        <v>25</v>
      </c>
      <c r="T102" s="52">
        <v>1</v>
      </c>
      <c r="U102" s="43">
        <v>1</v>
      </c>
      <c r="V102" s="43"/>
      <c r="W102" s="52"/>
      <c r="X102" s="52"/>
      <c r="Y102" s="53" t="s">
        <v>158</v>
      </c>
      <c r="Z102" s="54">
        <v>0</v>
      </c>
      <c r="AA102" s="25"/>
      <c r="AB102" s="25"/>
    </row>
    <row r="103" spans="2:28">
      <c r="B103" s="40">
        <v>0.76527777777777783</v>
      </c>
      <c r="C103" s="40" t="s">
        <v>594</v>
      </c>
      <c r="D103" s="41">
        <v>1</v>
      </c>
      <c r="E103" s="42">
        <v>1</v>
      </c>
      <c r="F103" s="42" t="s">
        <v>215</v>
      </c>
      <c r="G103" s="43" t="s">
        <v>156</v>
      </c>
      <c r="H103" s="42" t="s">
        <v>157</v>
      </c>
      <c r="I103" s="43">
        <v>1</v>
      </c>
      <c r="J103" s="43">
        <v>1</v>
      </c>
      <c r="K103" s="25" t="str">
        <f>VLOOKUP(J103,Key!$E$2:$F$9,2,FALSE)</f>
        <v>Home</v>
      </c>
      <c r="L103" s="42" t="s">
        <v>197</v>
      </c>
      <c r="M103" s="43" t="s">
        <v>197</v>
      </c>
      <c r="N103" s="42" t="s">
        <v>157</v>
      </c>
      <c r="O103" s="43">
        <v>1</v>
      </c>
      <c r="P103" s="43">
        <v>1</v>
      </c>
      <c r="Q103" s="25" t="str">
        <f>VLOOKUP(P103,Key!$E$2:$F$9,2,FALSE)</f>
        <v>Home</v>
      </c>
      <c r="R103" s="25" t="str">
        <f t="shared" si="1"/>
        <v>Home-Home</v>
      </c>
      <c r="S103" s="52">
        <v>200</v>
      </c>
      <c r="T103" s="52">
        <v>4</v>
      </c>
      <c r="U103" s="43">
        <v>6</v>
      </c>
      <c r="V103" s="43"/>
      <c r="W103" s="52"/>
      <c r="X103" s="52"/>
      <c r="Y103" s="53" t="s">
        <v>158</v>
      </c>
      <c r="Z103" s="54">
        <v>10000</v>
      </c>
      <c r="AA103" s="25"/>
      <c r="AB103" s="25"/>
    </row>
    <row r="104" spans="2:28">
      <c r="B104" s="40">
        <v>0.78125</v>
      </c>
      <c r="C104" s="40" t="s">
        <v>595</v>
      </c>
      <c r="D104" s="41">
        <v>2</v>
      </c>
      <c r="E104" s="42">
        <v>1</v>
      </c>
      <c r="F104" s="42" t="s">
        <v>215</v>
      </c>
      <c r="G104" s="43" t="s">
        <v>156</v>
      </c>
      <c r="H104" s="42" t="s">
        <v>157</v>
      </c>
      <c r="I104" s="43">
        <v>2</v>
      </c>
      <c r="J104" s="43">
        <v>2</v>
      </c>
      <c r="K104" s="25" t="str">
        <f>VLOOKUP(J104,Key!$E$2:$F$9,2,FALSE)</f>
        <v>Work</v>
      </c>
      <c r="L104" s="42" t="s">
        <v>162</v>
      </c>
      <c r="M104" s="43" t="s">
        <v>156</v>
      </c>
      <c r="N104" s="42" t="s">
        <v>157</v>
      </c>
      <c r="O104" s="43">
        <v>1</v>
      </c>
      <c r="P104" s="43">
        <v>1</v>
      </c>
      <c r="Q104" s="25" t="str">
        <f>VLOOKUP(P104,Key!$E$2:$F$9,2,FALSE)</f>
        <v>Home</v>
      </c>
      <c r="R104" s="25" t="str">
        <f t="shared" si="1"/>
        <v>Work-Home</v>
      </c>
      <c r="S104" s="52">
        <v>28</v>
      </c>
      <c r="T104" s="52">
        <v>1.5</v>
      </c>
      <c r="U104" s="43">
        <v>2</v>
      </c>
      <c r="V104" s="43"/>
      <c r="W104" s="52"/>
      <c r="X104" s="52"/>
      <c r="Y104" s="53" t="s">
        <v>158</v>
      </c>
      <c r="Z104" s="54">
        <v>10000</v>
      </c>
      <c r="AA104" s="25"/>
      <c r="AB104" s="25"/>
    </row>
    <row r="105" spans="2:28" ht="12" customHeight="1">
      <c r="B105" s="40">
        <v>0.78680555555555554</v>
      </c>
      <c r="C105" s="40" t="s">
        <v>596</v>
      </c>
      <c r="D105" s="41">
        <v>11</v>
      </c>
      <c r="E105" s="42">
        <v>2</v>
      </c>
      <c r="F105" s="42" t="s">
        <v>160</v>
      </c>
      <c r="G105" s="43" t="s">
        <v>156</v>
      </c>
      <c r="H105" s="42" t="s">
        <v>157</v>
      </c>
      <c r="I105" s="43">
        <v>8</v>
      </c>
      <c r="J105" s="43">
        <v>2</v>
      </c>
      <c r="K105" s="25" t="str">
        <f>VLOOKUP(J105,Key!$E$2:$F$9,2,FALSE)</f>
        <v>Work</v>
      </c>
      <c r="L105" s="42" t="s">
        <v>150</v>
      </c>
      <c r="M105" s="43" t="s">
        <v>156</v>
      </c>
      <c r="N105" s="42" t="s">
        <v>157</v>
      </c>
      <c r="O105" s="43">
        <v>8</v>
      </c>
      <c r="P105" s="43">
        <v>2</v>
      </c>
      <c r="Q105" s="25" t="str">
        <f>VLOOKUP(P105,Key!$E$2:$F$9,2,FALSE)</f>
        <v>Work</v>
      </c>
      <c r="R105" s="25" t="str">
        <f t="shared" si="1"/>
        <v>Work-Work</v>
      </c>
      <c r="S105" s="52">
        <v>7</v>
      </c>
      <c r="T105" s="52">
        <v>0.2</v>
      </c>
      <c r="U105" s="43">
        <v>1</v>
      </c>
      <c r="V105" s="43"/>
      <c r="W105" s="52"/>
      <c r="X105" s="52"/>
      <c r="Y105" s="53" t="s">
        <v>158</v>
      </c>
      <c r="Z105" s="54">
        <v>500</v>
      </c>
      <c r="AA105" s="25"/>
      <c r="AB105" s="25"/>
    </row>
    <row r="106" spans="2:28">
      <c r="B106" s="40">
        <v>0.52083333333333337</v>
      </c>
      <c r="C106" s="40" t="s">
        <v>597</v>
      </c>
      <c r="D106" s="41">
        <v>8</v>
      </c>
      <c r="E106" s="42">
        <v>3</v>
      </c>
      <c r="F106" s="42" t="s">
        <v>155</v>
      </c>
      <c r="G106" s="43" t="s">
        <v>156</v>
      </c>
      <c r="H106" s="42" t="s">
        <v>157</v>
      </c>
      <c r="I106" s="43">
        <v>11</v>
      </c>
      <c r="J106" s="43">
        <v>2</v>
      </c>
      <c r="K106" s="25" t="str">
        <f>VLOOKUP(J106,Key!$E$2:$F$9,2,FALSE)</f>
        <v>Work</v>
      </c>
      <c r="L106" s="42" t="s">
        <v>598</v>
      </c>
      <c r="M106" s="43" t="s">
        <v>156</v>
      </c>
      <c r="N106" s="42" t="s">
        <v>157</v>
      </c>
      <c r="O106" s="43">
        <v>11</v>
      </c>
      <c r="P106" s="43">
        <v>2</v>
      </c>
      <c r="Q106" s="25" t="str">
        <f>VLOOKUP(P106,Key!$E$2:$F$9,2,FALSE)</f>
        <v>Work</v>
      </c>
      <c r="R106" s="25" t="str">
        <f t="shared" si="1"/>
        <v>Work-Work</v>
      </c>
      <c r="S106" s="52">
        <v>6</v>
      </c>
      <c r="T106" s="52"/>
      <c r="U106" s="43">
        <v>1</v>
      </c>
      <c r="V106" s="43">
        <v>6</v>
      </c>
      <c r="W106" s="52">
        <v>1</v>
      </c>
      <c r="X106" s="52"/>
      <c r="Y106" s="53" t="s">
        <v>158</v>
      </c>
      <c r="Z106" s="54">
        <v>5000</v>
      </c>
      <c r="AA106" s="25"/>
      <c r="AB106" s="25"/>
    </row>
    <row r="107" spans="2:28">
      <c r="B107" s="40">
        <v>0.53333333333333333</v>
      </c>
      <c r="C107" s="40" t="s">
        <v>174</v>
      </c>
      <c r="D107" s="41">
        <v>1</v>
      </c>
      <c r="E107" s="42">
        <v>1</v>
      </c>
      <c r="F107" s="42" t="s">
        <v>599</v>
      </c>
      <c r="G107" s="43" t="s">
        <v>156</v>
      </c>
      <c r="H107" s="42" t="s">
        <v>157</v>
      </c>
      <c r="I107" s="43">
        <v>1</v>
      </c>
      <c r="J107" s="43">
        <v>1</v>
      </c>
      <c r="K107" s="25" t="str">
        <f>VLOOKUP(J107,Key!$E$2:$F$9,2,FALSE)</f>
        <v>Home</v>
      </c>
      <c r="L107" s="42" t="s">
        <v>162</v>
      </c>
      <c r="M107" s="43" t="s">
        <v>156</v>
      </c>
      <c r="N107" s="42" t="s">
        <v>157</v>
      </c>
      <c r="O107" s="43">
        <v>1</v>
      </c>
      <c r="P107" s="43">
        <v>1</v>
      </c>
      <c r="Q107" s="25" t="str">
        <f>VLOOKUP(P107,Key!$E$2:$F$9,2,FALSE)</f>
        <v>Home</v>
      </c>
      <c r="R107" s="25" t="str">
        <f t="shared" si="1"/>
        <v>Home-Home</v>
      </c>
      <c r="S107" s="52">
        <v>5</v>
      </c>
      <c r="T107" s="52">
        <v>1</v>
      </c>
      <c r="U107" s="43">
        <v>1</v>
      </c>
      <c r="V107" s="43"/>
      <c r="W107" s="52"/>
      <c r="X107" s="52"/>
      <c r="Y107" s="53" t="s">
        <v>158</v>
      </c>
      <c r="Z107" s="54">
        <v>0</v>
      </c>
      <c r="AA107" s="25"/>
      <c r="AB107" s="25"/>
    </row>
    <row r="108" spans="2:28">
      <c r="B108" s="40">
        <v>0.5756944444444444</v>
      </c>
      <c r="C108" s="40" t="s">
        <v>600</v>
      </c>
      <c r="D108" s="41">
        <v>1</v>
      </c>
      <c r="E108" s="42">
        <v>2</v>
      </c>
      <c r="F108" s="42" t="s">
        <v>155</v>
      </c>
      <c r="G108" s="43" t="s">
        <v>156</v>
      </c>
      <c r="H108" s="42" t="s">
        <v>157</v>
      </c>
      <c r="I108" s="43">
        <v>2</v>
      </c>
      <c r="J108" s="43">
        <v>2</v>
      </c>
      <c r="K108" s="25" t="str">
        <f>VLOOKUP(J108,Key!$E$2:$F$9,2,FALSE)</f>
        <v>Work</v>
      </c>
      <c r="L108" s="42" t="s">
        <v>166</v>
      </c>
      <c r="M108" s="43" t="s">
        <v>156</v>
      </c>
      <c r="N108" s="42" t="s">
        <v>157</v>
      </c>
      <c r="O108" s="43">
        <v>1</v>
      </c>
      <c r="P108" s="43">
        <v>1</v>
      </c>
      <c r="Q108" s="25" t="str">
        <f>VLOOKUP(P108,Key!$E$2:$F$9,2,FALSE)</f>
        <v>Home</v>
      </c>
      <c r="R108" s="25" t="str">
        <f t="shared" si="1"/>
        <v>Work-Home</v>
      </c>
      <c r="S108" s="52">
        <v>5</v>
      </c>
      <c r="T108" s="52">
        <v>1</v>
      </c>
      <c r="U108" s="43"/>
      <c r="V108" s="43"/>
      <c r="W108" s="52"/>
      <c r="X108" s="52"/>
      <c r="Y108" s="53" t="s">
        <v>158</v>
      </c>
      <c r="Z108" s="54">
        <v>1000</v>
      </c>
      <c r="AA108" s="25"/>
      <c r="AB108" s="25"/>
    </row>
    <row r="109" spans="2:28">
      <c r="B109" s="40">
        <v>0.57361111111111118</v>
      </c>
      <c r="C109" s="40" t="s">
        <v>355</v>
      </c>
      <c r="D109" s="41">
        <v>1</v>
      </c>
      <c r="E109" s="42">
        <v>4</v>
      </c>
      <c r="F109" s="42" t="s">
        <v>245</v>
      </c>
      <c r="G109" s="43" t="s">
        <v>187</v>
      </c>
      <c r="H109" s="42" t="s">
        <v>157</v>
      </c>
      <c r="I109" s="43">
        <v>2</v>
      </c>
      <c r="J109" s="43">
        <v>2</v>
      </c>
      <c r="K109" s="25" t="str">
        <f>VLOOKUP(J109,Key!$E$2:$F$9,2,FALSE)</f>
        <v>Work</v>
      </c>
      <c r="L109" s="42" t="s">
        <v>150</v>
      </c>
      <c r="M109" s="43" t="s">
        <v>156</v>
      </c>
      <c r="N109" s="42" t="s">
        <v>157</v>
      </c>
      <c r="O109" s="43">
        <v>1</v>
      </c>
      <c r="P109" s="43">
        <v>1</v>
      </c>
      <c r="Q109" s="25" t="str">
        <f>VLOOKUP(P109,Key!$E$2:$F$9,2,FALSE)</f>
        <v>Home</v>
      </c>
      <c r="R109" s="25" t="str">
        <f t="shared" si="1"/>
        <v>Work-Home</v>
      </c>
      <c r="S109" s="52">
        <v>15</v>
      </c>
      <c r="T109" s="52">
        <v>1.5</v>
      </c>
      <c r="U109" s="43">
        <v>3</v>
      </c>
      <c r="V109" s="43"/>
      <c r="W109" s="52"/>
      <c r="X109" s="52"/>
      <c r="Y109" s="53" t="s">
        <v>158</v>
      </c>
      <c r="Z109" s="54">
        <v>1000</v>
      </c>
      <c r="AA109" s="25"/>
      <c r="AB109" s="25"/>
    </row>
    <row r="110" spans="2:28">
      <c r="B110" s="40">
        <v>0.55694444444444446</v>
      </c>
      <c r="C110" s="40" t="s">
        <v>601</v>
      </c>
      <c r="D110" s="41">
        <v>1</v>
      </c>
      <c r="E110" s="42">
        <v>4</v>
      </c>
      <c r="F110" s="42" t="s">
        <v>179</v>
      </c>
      <c r="G110" s="43" t="s">
        <v>156</v>
      </c>
      <c r="H110" s="42" t="s">
        <v>157</v>
      </c>
      <c r="I110" s="43">
        <v>2</v>
      </c>
      <c r="J110" s="43">
        <v>2</v>
      </c>
      <c r="K110" s="25" t="str">
        <f>VLOOKUP(J110,Key!$E$2:$F$9,2,FALSE)</f>
        <v>Work</v>
      </c>
      <c r="L110" s="42" t="s">
        <v>164</v>
      </c>
      <c r="M110" s="43" t="s">
        <v>156</v>
      </c>
      <c r="N110" s="42" t="s">
        <v>157</v>
      </c>
      <c r="O110" s="43">
        <v>1</v>
      </c>
      <c r="P110" s="43">
        <v>1</v>
      </c>
      <c r="Q110" s="25" t="str">
        <f>VLOOKUP(P110,Key!$E$2:$F$9,2,FALSE)</f>
        <v>Home</v>
      </c>
      <c r="R110" s="25" t="str">
        <f t="shared" si="1"/>
        <v>Work-Home</v>
      </c>
      <c r="S110" s="52">
        <v>5</v>
      </c>
      <c r="T110" s="52">
        <v>1</v>
      </c>
      <c r="U110" s="43">
        <v>1</v>
      </c>
      <c r="V110" s="43"/>
      <c r="W110" s="52"/>
      <c r="X110" s="52"/>
      <c r="Y110" s="53" t="s">
        <v>158</v>
      </c>
      <c r="Z110" s="54">
        <v>500</v>
      </c>
      <c r="AA110" s="25"/>
      <c r="AB110" s="25"/>
    </row>
    <row r="111" spans="2:28">
      <c r="B111" s="40">
        <v>0.56180555555555556</v>
      </c>
      <c r="C111" s="40" t="s">
        <v>602</v>
      </c>
      <c r="D111" s="41">
        <v>4</v>
      </c>
      <c r="E111" s="42">
        <v>14</v>
      </c>
      <c r="F111" s="42" t="s">
        <v>155</v>
      </c>
      <c r="G111" s="43" t="s">
        <v>156</v>
      </c>
      <c r="H111" s="42" t="s">
        <v>157</v>
      </c>
      <c r="I111" s="43">
        <v>6</v>
      </c>
      <c r="J111" s="43">
        <v>2</v>
      </c>
      <c r="K111" s="25" t="str">
        <f>VLOOKUP(J111,Key!$E$2:$F$9,2,FALSE)</f>
        <v>Work</v>
      </c>
      <c r="L111" s="42" t="s">
        <v>162</v>
      </c>
      <c r="M111" s="43" t="s">
        <v>156</v>
      </c>
      <c r="N111" s="42" t="s">
        <v>157</v>
      </c>
      <c r="O111" s="43">
        <v>6</v>
      </c>
      <c r="P111" s="43">
        <v>2</v>
      </c>
      <c r="Q111" s="25" t="str">
        <f>VLOOKUP(P111,Key!$E$2:$F$9,2,FALSE)</f>
        <v>Work</v>
      </c>
      <c r="R111" s="25" t="str">
        <f t="shared" si="1"/>
        <v>Work-Work</v>
      </c>
      <c r="S111" s="52">
        <v>5</v>
      </c>
      <c r="T111" s="52">
        <v>1.5</v>
      </c>
      <c r="U111" s="43">
        <v>1</v>
      </c>
      <c r="V111" s="43"/>
      <c r="W111" s="52"/>
      <c r="X111" s="52"/>
      <c r="Y111" s="53" t="s">
        <v>158</v>
      </c>
      <c r="Z111" s="54">
        <v>500</v>
      </c>
      <c r="AA111" s="25"/>
      <c r="AB111" s="25"/>
    </row>
    <row r="112" spans="2:28">
      <c r="B112" s="40">
        <v>0.56319444444444444</v>
      </c>
      <c r="C112" s="40" t="s">
        <v>603</v>
      </c>
      <c r="D112" s="41">
        <v>3</v>
      </c>
      <c r="E112" s="42">
        <v>4</v>
      </c>
      <c r="F112" s="42" t="s">
        <v>155</v>
      </c>
      <c r="G112" s="43" t="s">
        <v>156</v>
      </c>
      <c r="H112" s="42" t="s">
        <v>157</v>
      </c>
      <c r="I112" s="43">
        <v>3</v>
      </c>
      <c r="J112" s="43">
        <v>2</v>
      </c>
      <c r="K112" s="25" t="str">
        <f>VLOOKUP(J112,Key!$E$2:$F$9,2,FALSE)</f>
        <v>Work</v>
      </c>
      <c r="L112" s="42" t="s">
        <v>150</v>
      </c>
      <c r="M112" s="43" t="s">
        <v>156</v>
      </c>
      <c r="N112" s="42" t="s">
        <v>157</v>
      </c>
      <c r="O112" s="43">
        <v>1</v>
      </c>
      <c r="P112" s="43">
        <v>1</v>
      </c>
      <c r="Q112" s="25" t="str">
        <f>VLOOKUP(P112,Key!$E$2:$F$9,2,FALSE)</f>
        <v>Home</v>
      </c>
      <c r="R112" s="25" t="str">
        <f t="shared" si="1"/>
        <v>Work-Home</v>
      </c>
      <c r="S112" s="52">
        <v>0.5</v>
      </c>
      <c r="T112" s="52">
        <v>0.1</v>
      </c>
      <c r="U112" s="43">
        <v>1</v>
      </c>
      <c r="V112" s="43"/>
      <c r="W112" s="52"/>
      <c r="X112" s="52"/>
      <c r="Y112" s="53" t="s">
        <v>158</v>
      </c>
      <c r="Z112" s="54">
        <v>0</v>
      </c>
      <c r="AA112" s="25"/>
      <c r="AB112" s="25"/>
    </row>
    <row r="113" spans="2:28">
      <c r="B113" s="40">
        <v>0.56874999999999998</v>
      </c>
      <c r="C113" s="40" t="s">
        <v>604</v>
      </c>
      <c r="D113" s="41">
        <v>1</v>
      </c>
      <c r="E113" s="42">
        <v>3</v>
      </c>
      <c r="F113" s="42" t="s">
        <v>160</v>
      </c>
      <c r="G113" s="43" t="s">
        <v>156</v>
      </c>
      <c r="H113" s="42" t="s">
        <v>157</v>
      </c>
      <c r="I113" s="43">
        <v>2</v>
      </c>
      <c r="J113" s="43">
        <v>2</v>
      </c>
      <c r="K113" s="25" t="str">
        <f>VLOOKUP(J113,Key!$E$2:$F$9,2,FALSE)</f>
        <v>Work</v>
      </c>
      <c r="L113" s="42" t="s">
        <v>164</v>
      </c>
      <c r="M113" s="43" t="s">
        <v>156</v>
      </c>
      <c r="N113" s="42" t="s">
        <v>157</v>
      </c>
      <c r="O113" s="43">
        <v>1</v>
      </c>
      <c r="P113" s="43">
        <v>1</v>
      </c>
      <c r="Q113" s="25" t="str">
        <f>VLOOKUP(P113,Key!$E$2:$F$9,2,FALSE)</f>
        <v>Home</v>
      </c>
      <c r="R113" s="25" t="str">
        <f t="shared" si="1"/>
        <v>Work-Home</v>
      </c>
      <c r="S113" s="52">
        <v>5</v>
      </c>
      <c r="T113" s="52">
        <v>0.7</v>
      </c>
      <c r="U113" s="43">
        <v>2</v>
      </c>
      <c r="V113" s="43"/>
      <c r="W113" s="52"/>
      <c r="X113" s="52"/>
      <c r="Y113" s="53" t="s">
        <v>158</v>
      </c>
      <c r="Z113" s="54">
        <v>500</v>
      </c>
      <c r="AA113" s="25"/>
      <c r="AB113" s="25"/>
    </row>
    <row r="114" spans="2:28">
      <c r="B114" s="40">
        <v>0.21875</v>
      </c>
      <c r="C114" s="40" t="s">
        <v>455</v>
      </c>
      <c r="D114" s="41">
        <v>1</v>
      </c>
      <c r="E114" s="42">
        <v>4</v>
      </c>
      <c r="F114" s="42" t="s">
        <v>179</v>
      </c>
      <c r="G114" s="43" t="s">
        <v>156</v>
      </c>
      <c r="H114" s="42" t="s">
        <v>157</v>
      </c>
      <c r="I114" s="43">
        <v>1</v>
      </c>
      <c r="J114" s="43">
        <v>1</v>
      </c>
      <c r="K114" s="25" t="str">
        <f>VLOOKUP(J114,Key!$E$2:$F$9,2,FALSE)</f>
        <v>Home</v>
      </c>
      <c r="L114" s="42" t="s">
        <v>150</v>
      </c>
      <c r="M114" s="43" t="s">
        <v>156</v>
      </c>
      <c r="N114" s="42" t="s">
        <v>157</v>
      </c>
      <c r="O114" s="43">
        <v>2</v>
      </c>
      <c r="P114" s="43">
        <v>2</v>
      </c>
      <c r="Q114" s="25" t="str">
        <f>VLOOKUP(P114,Key!$E$2:$F$9,2,FALSE)</f>
        <v>Work</v>
      </c>
      <c r="R114" s="25" t="str">
        <f t="shared" si="1"/>
        <v>Home-Work</v>
      </c>
      <c r="S114" s="52">
        <v>3</v>
      </c>
      <c r="T114" s="52">
        <v>0.5</v>
      </c>
      <c r="U114" s="43">
        <v>3</v>
      </c>
      <c r="V114" s="43"/>
      <c r="W114" s="52"/>
      <c r="X114" s="52"/>
      <c r="Y114" s="53" t="s">
        <v>158</v>
      </c>
      <c r="Z114" s="54">
        <v>500</v>
      </c>
      <c r="AA114" s="25"/>
      <c r="AB114" s="25"/>
    </row>
    <row r="115" spans="2:28">
      <c r="B115" s="40">
        <v>0.22361111111111109</v>
      </c>
      <c r="C115" s="40" t="s">
        <v>605</v>
      </c>
      <c r="D115" s="41">
        <v>1</v>
      </c>
      <c r="E115" s="42">
        <v>4</v>
      </c>
      <c r="F115" s="42" t="s">
        <v>155</v>
      </c>
      <c r="G115" s="43" t="s">
        <v>156</v>
      </c>
      <c r="H115" s="42" t="s">
        <v>157</v>
      </c>
      <c r="I115" s="43">
        <v>1</v>
      </c>
      <c r="J115" s="43">
        <v>1</v>
      </c>
      <c r="K115" s="25" t="str">
        <f>VLOOKUP(J115,Key!$E$2:$F$9,2,FALSE)</f>
        <v>Home</v>
      </c>
      <c r="L115" s="42" t="s">
        <v>187</v>
      </c>
      <c r="M115" s="43" t="s">
        <v>187</v>
      </c>
      <c r="N115" s="42" t="s">
        <v>157</v>
      </c>
      <c r="O115" s="43">
        <v>2</v>
      </c>
      <c r="P115" s="43">
        <v>2</v>
      </c>
      <c r="Q115" s="25" t="str">
        <f>VLOOKUP(P115,Key!$E$2:$F$9,2,FALSE)</f>
        <v>Work</v>
      </c>
      <c r="R115" s="25" t="str">
        <f t="shared" si="1"/>
        <v>Home-Work</v>
      </c>
      <c r="S115" s="52">
        <v>15</v>
      </c>
      <c r="T115" s="52">
        <v>2</v>
      </c>
      <c r="U115" s="43">
        <v>2</v>
      </c>
      <c r="V115" s="43"/>
      <c r="W115" s="52"/>
      <c r="X115" s="52"/>
      <c r="Y115" s="53" t="s">
        <v>158</v>
      </c>
      <c r="Z115" s="54">
        <v>1000</v>
      </c>
      <c r="AA115" s="25"/>
      <c r="AB115" s="25"/>
    </row>
    <row r="116" spans="2:28">
      <c r="B116" s="40">
        <v>0.20833333333333334</v>
      </c>
      <c r="C116" s="40" t="s">
        <v>606</v>
      </c>
      <c r="D116" s="41">
        <v>1</v>
      </c>
      <c r="E116" s="42">
        <v>2</v>
      </c>
      <c r="F116" s="42" t="s">
        <v>155</v>
      </c>
      <c r="G116" s="43" t="s">
        <v>156</v>
      </c>
      <c r="H116" s="42" t="s">
        <v>157</v>
      </c>
      <c r="I116" s="43">
        <v>2</v>
      </c>
      <c r="J116" s="43">
        <v>2</v>
      </c>
      <c r="K116" s="25" t="str">
        <f>VLOOKUP(J116,Key!$E$2:$F$9,2,FALSE)</f>
        <v>Work</v>
      </c>
      <c r="L116" s="42" t="s">
        <v>232</v>
      </c>
      <c r="M116" s="43" t="s">
        <v>187</v>
      </c>
      <c r="N116" s="42" t="s">
        <v>157</v>
      </c>
      <c r="O116" s="43">
        <v>2</v>
      </c>
      <c r="P116" s="43">
        <v>2</v>
      </c>
      <c r="Q116" s="25" t="str">
        <f>VLOOKUP(P116,Key!$E$2:$F$9,2,FALSE)</f>
        <v>Work</v>
      </c>
      <c r="R116" s="25" t="str">
        <f t="shared" si="1"/>
        <v>Work-Work</v>
      </c>
      <c r="S116" s="52">
        <v>18</v>
      </c>
      <c r="T116" s="52">
        <v>2</v>
      </c>
      <c r="U116" s="43">
        <v>2</v>
      </c>
      <c r="V116" s="43"/>
      <c r="W116" s="52"/>
      <c r="X116" s="52"/>
      <c r="Y116" s="53" t="s">
        <v>158</v>
      </c>
      <c r="Z116" s="54">
        <v>1000</v>
      </c>
      <c r="AA116" s="25"/>
      <c r="AB116" s="25"/>
    </row>
    <row r="117" spans="2:28">
      <c r="B117" s="40">
        <v>0.21180555555555555</v>
      </c>
      <c r="C117" s="40" t="s">
        <v>607</v>
      </c>
      <c r="D117" s="41">
        <v>1</v>
      </c>
      <c r="E117" s="42">
        <v>3</v>
      </c>
      <c r="F117" s="42" t="s">
        <v>160</v>
      </c>
      <c r="G117" s="43" t="s">
        <v>156</v>
      </c>
      <c r="H117" s="42" t="s">
        <v>157</v>
      </c>
      <c r="I117" s="43">
        <v>1</v>
      </c>
      <c r="J117" s="43">
        <v>1</v>
      </c>
      <c r="K117" s="25" t="str">
        <f>VLOOKUP(J117,Key!$E$2:$F$9,2,FALSE)</f>
        <v>Home</v>
      </c>
      <c r="L117" s="42" t="s">
        <v>164</v>
      </c>
      <c r="M117" s="43" t="s">
        <v>156</v>
      </c>
      <c r="N117" s="42" t="s">
        <v>157</v>
      </c>
      <c r="O117" s="43">
        <v>2</v>
      </c>
      <c r="P117" s="43">
        <v>2</v>
      </c>
      <c r="Q117" s="25" t="str">
        <f>VLOOKUP(P117,Key!$E$2:$F$9,2,FALSE)</f>
        <v>Work</v>
      </c>
      <c r="R117" s="25" t="str">
        <f t="shared" si="1"/>
        <v>Home-Work</v>
      </c>
      <c r="S117" s="52">
        <v>5</v>
      </c>
      <c r="T117" s="52">
        <v>1</v>
      </c>
      <c r="U117" s="43">
        <v>2</v>
      </c>
      <c r="V117" s="43"/>
      <c r="W117" s="52"/>
      <c r="X117" s="52"/>
      <c r="Y117" s="53" t="s">
        <v>158</v>
      </c>
      <c r="Z117" s="54">
        <v>5000</v>
      </c>
      <c r="AA117" s="25"/>
      <c r="AB117" s="25"/>
    </row>
    <row r="118" spans="2:28">
      <c r="B118" s="40">
        <v>0.55486111111111114</v>
      </c>
      <c r="C118" s="40" t="s">
        <v>608</v>
      </c>
      <c r="D118" s="41">
        <v>1</v>
      </c>
      <c r="E118" s="42">
        <v>2</v>
      </c>
      <c r="F118" s="42" t="s">
        <v>160</v>
      </c>
      <c r="G118" s="43" t="s">
        <v>156</v>
      </c>
      <c r="H118" s="42" t="s">
        <v>157</v>
      </c>
      <c r="I118" s="43">
        <v>2</v>
      </c>
      <c r="J118" s="43">
        <v>2</v>
      </c>
      <c r="K118" s="25" t="str">
        <f>VLOOKUP(J118,Key!$E$2:$F$9,2,FALSE)</f>
        <v>Work</v>
      </c>
      <c r="L118" s="42" t="s">
        <v>162</v>
      </c>
      <c r="M118" s="43" t="s">
        <v>156</v>
      </c>
      <c r="N118" s="42" t="s">
        <v>157</v>
      </c>
      <c r="O118" s="43">
        <v>1</v>
      </c>
      <c r="P118" s="43">
        <v>1</v>
      </c>
      <c r="Q118" s="25" t="str">
        <f>VLOOKUP(P118,Key!$E$2:$F$9,2,FALSE)</f>
        <v>Home</v>
      </c>
      <c r="R118" s="25" t="str">
        <f t="shared" si="1"/>
        <v>Work-Home</v>
      </c>
      <c r="S118" s="52">
        <v>5</v>
      </c>
      <c r="T118" s="52">
        <v>0.5</v>
      </c>
      <c r="U118" s="43">
        <v>6</v>
      </c>
      <c r="V118" s="43"/>
      <c r="W118" s="52"/>
      <c r="X118" s="52"/>
      <c r="Y118" s="53" t="s">
        <v>158</v>
      </c>
      <c r="Z118" s="54">
        <v>500</v>
      </c>
      <c r="AA118" s="25"/>
      <c r="AB118" s="25"/>
    </row>
    <row r="119" spans="2:28">
      <c r="B119" s="40">
        <v>0.54513888888888895</v>
      </c>
      <c r="C119" s="40" t="s">
        <v>609</v>
      </c>
      <c r="D119" s="41">
        <v>3</v>
      </c>
      <c r="E119" s="42">
        <v>4</v>
      </c>
      <c r="F119" s="42" t="s">
        <v>179</v>
      </c>
      <c r="G119" s="43" t="s">
        <v>156</v>
      </c>
      <c r="H119" s="42" t="s">
        <v>157</v>
      </c>
      <c r="I119" s="43">
        <v>1</v>
      </c>
      <c r="J119" s="43">
        <v>1</v>
      </c>
      <c r="K119" s="25" t="str">
        <f>VLOOKUP(J119,Key!$E$2:$F$9,2,FALSE)</f>
        <v>Home</v>
      </c>
      <c r="L119" s="42" t="s">
        <v>162</v>
      </c>
      <c r="M119" s="43" t="s">
        <v>156</v>
      </c>
      <c r="N119" s="42" t="s">
        <v>157</v>
      </c>
      <c r="O119" s="43">
        <v>1</v>
      </c>
      <c r="P119" s="43">
        <v>1</v>
      </c>
      <c r="Q119" s="25" t="str">
        <f>VLOOKUP(P119,Key!$E$2:$F$9,2,FALSE)</f>
        <v>Home</v>
      </c>
      <c r="R119" s="25" t="str">
        <f t="shared" si="1"/>
        <v>Home-Home</v>
      </c>
      <c r="S119" s="52">
        <v>5</v>
      </c>
      <c r="T119" s="52">
        <v>0.1</v>
      </c>
      <c r="U119" s="43">
        <v>2</v>
      </c>
      <c r="V119" s="43"/>
      <c r="W119" s="52"/>
      <c r="X119" s="52"/>
      <c r="Y119" s="53" t="s">
        <v>158</v>
      </c>
      <c r="Z119" s="54">
        <v>500</v>
      </c>
      <c r="AA119" s="25"/>
      <c r="AB119" s="25"/>
    </row>
    <row r="120" spans="2:28">
      <c r="B120" s="40">
        <v>0.54166666666666663</v>
      </c>
      <c r="C120" s="40" t="s">
        <v>610</v>
      </c>
      <c r="D120" s="41">
        <v>1</v>
      </c>
      <c r="E120" s="42">
        <v>3</v>
      </c>
      <c r="F120" s="42" t="s">
        <v>160</v>
      </c>
      <c r="G120" s="43" t="s">
        <v>156</v>
      </c>
      <c r="H120" s="42" t="s">
        <v>157</v>
      </c>
      <c r="I120" s="43">
        <v>2</v>
      </c>
      <c r="J120" s="43">
        <v>2</v>
      </c>
      <c r="K120" s="25" t="str">
        <f>VLOOKUP(J120,Key!$E$2:$F$9,2,FALSE)</f>
        <v>Work</v>
      </c>
      <c r="L120" s="42" t="s">
        <v>162</v>
      </c>
      <c r="M120" s="43" t="s">
        <v>156</v>
      </c>
      <c r="N120" s="42" t="s">
        <v>157</v>
      </c>
      <c r="O120" s="43">
        <v>1</v>
      </c>
      <c r="P120" s="43">
        <v>1</v>
      </c>
      <c r="Q120" s="25" t="str">
        <f>VLOOKUP(P120,Key!$E$2:$F$9,2,FALSE)</f>
        <v>Home</v>
      </c>
      <c r="R120" s="25" t="str">
        <f t="shared" si="1"/>
        <v>Work-Home</v>
      </c>
      <c r="S120" s="52">
        <v>3</v>
      </c>
      <c r="T120" s="52">
        <v>0.5</v>
      </c>
      <c r="U120" s="43">
        <v>2</v>
      </c>
      <c r="V120" s="43"/>
      <c r="W120" s="52"/>
      <c r="X120" s="52"/>
      <c r="Y120" s="53" t="s">
        <v>158</v>
      </c>
      <c r="Z120" s="54">
        <v>0</v>
      </c>
      <c r="AA120" s="25"/>
      <c r="AB120" s="25"/>
    </row>
    <row r="121" spans="2:28">
      <c r="B121" s="40">
        <v>0.54097222222222219</v>
      </c>
      <c r="C121" s="40" t="s">
        <v>611</v>
      </c>
      <c r="D121" s="41">
        <v>1</v>
      </c>
      <c r="E121" s="42">
        <v>2</v>
      </c>
      <c r="F121" s="42" t="s">
        <v>155</v>
      </c>
      <c r="G121" s="43" t="s">
        <v>156</v>
      </c>
      <c r="H121" s="42" t="s">
        <v>157</v>
      </c>
      <c r="I121" s="43">
        <v>2</v>
      </c>
      <c r="J121" s="43">
        <v>2</v>
      </c>
      <c r="K121" s="25" t="str">
        <f>VLOOKUP(J121,Key!$E$2:$F$9,2,FALSE)</f>
        <v>Work</v>
      </c>
      <c r="L121" s="42" t="s">
        <v>164</v>
      </c>
      <c r="M121" s="43" t="s">
        <v>156</v>
      </c>
      <c r="N121" s="42" t="s">
        <v>157</v>
      </c>
      <c r="O121" s="43">
        <v>1</v>
      </c>
      <c r="P121" s="43">
        <v>1</v>
      </c>
      <c r="Q121" s="25" t="str">
        <f>VLOOKUP(P121,Key!$E$2:$F$9,2,FALSE)</f>
        <v>Home</v>
      </c>
      <c r="R121" s="25" t="str">
        <f t="shared" si="1"/>
        <v>Work-Home</v>
      </c>
      <c r="S121" s="52">
        <v>5</v>
      </c>
      <c r="T121" s="52">
        <v>1</v>
      </c>
      <c r="U121" s="43">
        <v>2</v>
      </c>
      <c r="V121" s="43"/>
      <c r="W121" s="52"/>
      <c r="X121" s="52"/>
      <c r="Y121" s="53" t="s">
        <v>158</v>
      </c>
      <c r="Z121" s="54">
        <v>1000</v>
      </c>
      <c r="AA121" s="25"/>
      <c r="AB121" s="25"/>
    </row>
    <row r="122" spans="2:28">
      <c r="B122" s="40">
        <v>0.53611111111111109</v>
      </c>
      <c r="C122" s="40" t="s">
        <v>612</v>
      </c>
      <c r="D122" s="41">
        <v>1</v>
      </c>
      <c r="E122" s="42">
        <v>3</v>
      </c>
      <c r="F122" s="42" t="s">
        <v>155</v>
      </c>
      <c r="G122" s="43" t="s">
        <v>156</v>
      </c>
      <c r="H122" s="42" t="s">
        <v>157</v>
      </c>
      <c r="I122" s="43">
        <v>1</v>
      </c>
      <c r="J122" s="43">
        <v>1</v>
      </c>
      <c r="K122" s="25" t="str">
        <f>VLOOKUP(J122,Key!$E$2:$F$9,2,FALSE)</f>
        <v>Home</v>
      </c>
      <c r="L122" s="42" t="s">
        <v>166</v>
      </c>
      <c r="M122" s="43" t="s">
        <v>156</v>
      </c>
      <c r="N122" s="42" t="s">
        <v>157</v>
      </c>
      <c r="O122" s="43">
        <v>3</v>
      </c>
      <c r="P122" s="43">
        <v>2</v>
      </c>
      <c r="Q122" s="25" t="str">
        <f>VLOOKUP(P122,Key!$E$2:$F$9,2,FALSE)</f>
        <v>Work</v>
      </c>
      <c r="R122" s="25" t="str">
        <f t="shared" si="1"/>
        <v>Home-Work</v>
      </c>
      <c r="S122" s="52">
        <v>9</v>
      </c>
      <c r="T122" s="52">
        <v>1</v>
      </c>
      <c r="U122" s="43">
        <v>2</v>
      </c>
      <c r="V122" s="43"/>
      <c r="W122" s="52"/>
      <c r="X122" s="52"/>
      <c r="Y122" s="53" t="s">
        <v>158</v>
      </c>
      <c r="Z122" s="54">
        <v>2000</v>
      </c>
      <c r="AA122" s="25"/>
      <c r="AB122" s="25"/>
    </row>
    <row r="123" spans="2:28">
      <c r="B123" s="40">
        <v>0.53125</v>
      </c>
      <c r="C123" s="40" t="s">
        <v>613</v>
      </c>
      <c r="D123" s="41">
        <v>2</v>
      </c>
      <c r="E123" s="42">
        <v>3</v>
      </c>
      <c r="F123" s="42" t="s">
        <v>614</v>
      </c>
      <c r="G123" s="43" t="s">
        <v>156</v>
      </c>
      <c r="H123" s="42" t="s">
        <v>157</v>
      </c>
      <c r="I123" s="43">
        <v>2</v>
      </c>
      <c r="J123" s="43">
        <v>2</v>
      </c>
      <c r="K123" s="25" t="str">
        <f>VLOOKUP(J123,Key!$E$2:$F$9,2,FALSE)</f>
        <v>Work</v>
      </c>
      <c r="L123" s="42" t="s">
        <v>150</v>
      </c>
      <c r="M123" s="43" t="s">
        <v>156</v>
      </c>
      <c r="N123" s="42" t="s">
        <v>157</v>
      </c>
      <c r="O123" s="43">
        <v>1</v>
      </c>
      <c r="P123" s="43">
        <v>1</v>
      </c>
      <c r="Q123" s="25" t="str">
        <f>VLOOKUP(P123,Key!$E$2:$F$9,2,FALSE)</f>
        <v>Home</v>
      </c>
      <c r="R123" s="25" t="str">
        <f t="shared" si="1"/>
        <v>Work-Home</v>
      </c>
      <c r="S123" s="52">
        <v>50</v>
      </c>
      <c r="T123" s="52">
        <v>2</v>
      </c>
      <c r="U123" s="43">
        <v>2</v>
      </c>
      <c r="V123" s="43"/>
      <c r="W123" s="52"/>
      <c r="X123" s="52"/>
      <c r="Y123" s="53" t="s">
        <v>158</v>
      </c>
      <c r="Z123" s="54">
        <v>500</v>
      </c>
      <c r="AA123" s="25"/>
      <c r="AB123" s="25"/>
    </row>
    <row r="124" spans="2:28">
      <c r="B124" s="40">
        <v>0.52777777777777779</v>
      </c>
      <c r="C124" s="40" t="s">
        <v>615</v>
      </c>
      <c r="D124" s="41">
        <v>1</v>
      </c>
      <c r="E124" s="42">
        <v>2</v>
      </c>
      <c r="F124" s="42" t="s">
        <v>155</v>
      </c>
      <c r="G124" s="43" t="s">
        <v>156</v>
      </c>
      <c r="H124" s="42" t="s">
        <v>157</v>
      </c>
      <c r="I124" s="43">
        <v>1</v>
      </c>
      <c r="J124" s="43">
        <v>1</v>
      </c>
      <c r="K124" s="25" t="str">
        <f>VLOOKUP(J124,Key!$E$2:$F$9,2,FALSE)</f>
        <v>Home</v>
      </c>
      <c r="L124" s="42" t="s">
        <v>150</v>
      </c>
      <c r="M124" s="43" t="s">
        <v>156</v>
      </c>
      <c r="N124" s="42" t="s">
        <v>157</v>
      </c>
      <c r="O124" s="43">
        <v>2</v>
      </c>
      <c r="P124" s="43">
        <v>2</v>
      </c>
      <c r="Q124" s="25" t="str">
        <f>VLOOKUP(P124,Key!$E$2:$F$9,2,FALSE)</f>
        <v>Work</v>
      </c>
      <c r="R124" s="25" t="str">
        <f t="shared" si="1"/>
        <v>Home-Work</v>
      </c>
      <c r="S124" s="52">
        <v>0.5</v>
      </c>
      <c r="T124" s="52">
        <v>0.2</v>
      </c>
      <c r="U124" s="43">
        <v>2</v>
      </c>
      <c r="V124" s="43"/>
      <c r="W124" s="52"/>
      <c r="X124" s="52"/>
      <c r="Y124" s="53" t="s">
        <v>158</v>
      </c>
      <c r="Z124" s="54">
        <v>1000</v>
      </c>
      <c r="AA124" s="25"/>
      <c r="AB124" s="25"/>
    </row>
    <row r="125" spans="2:28">
      <c r="B125" s="40">
        <v>0.51597222222222217</v>
      </c>
      <c r="C125" s="40" t="s">
        <v>616</v>
      </c>
      <c r="D125" s="41">
        <v>1</v>
      </c>
      <c r="E125" s="42">
        <v>2</v>
      </c>
      <c r="F125" s="42" t="s">
        <v>155</v>
      </c>
      <c r="G125" s="43" t="s">
        <v>156</v>
      </c>
      <c r="H125" s="42" t="s">
        <v>157</v>
      </c>
      <c r="I125" s="43">
        <v>2</v>
      </c>
      <c r="J125" s="43">
        <v>2</v>
      </c>
      <c r="K125" s="25" t="str">
        <f>VLOOKUP(J125,Key!$E$2:$F$9,2,FALSE)</f>
        <v>Work</v>
      </c>
      <c r="L125" s="42" t="s">
        <v>150</v>
      </c>
      <c r="M125" s="43" t="s">
        <v>156</v>
      </c>
      <c r="N125" s="42" t="s">
        <v>157</v>
      </c>
      <c r="O125" s="43">
        <v>1</v>
      </c>
      <c r="P125" s="43">
        <v>1</v>
      </c>
      <c r="Q125" s="25" t="str">
        <f>VLOOKUP(P125,Key!$E$2:$F$9,2,FALSE)</f>
        <v>Home</v>
      </c>
      <c r="R125" s="25" t="str">
        <f t="shared" si="1"/>
        <v>Work-Home</v>
      </c>
      <c r="S125" s="52">
        <v>0.5</v>
      </c>
      <c r="T125" s="52">
        <v>0.2</v>
      </c>
      <c r="U125" s="43">
        <v>6</v>
      </c>
      <c r="V125" s="43"/>
      <c r="W125" s="52"/>
      <c r="X125" s="52"/>
      <c r="Y125" s="53" t="s">
        <v>158</v>
      </c>
      <c r="Z125" s="54">
        <v>1000</v>
      </c>
      <c r="AA125" s="25"/>
      <c r="AB125" s="25"/>
    </row>
    <row r="126" spans="2:28">
      <c r="B126" s="40">
        <v>0.51041666666666663</v>
      </c>
      <c r="C126" s="40" t="s">
        <v>617</v>
      </c>
      <c r="D126" s="41">
        <v>1</v>
      </c>
      <c r="E126" s="42">
        <v>1</v>
      </c>
      <c r="F126" s="42" t="s">
        <v>160</v>
      </c>
      <c r="G126" s="43" t="s">
        <v>156</v>
      </c>
      <c r="H126" s="42" t="s">
        <v>157</v>
      </c>
      <c r="I126" s="43">
        <v>1</v>
      </c>
      <c r="J126" s="43">
        <v>1</v>
      </c>
      <c r="K126" s="25" t="str">
        <f>VLOOKUP(J126,Key!$E$2:$F$9,2,FALSE)</f>
        <v>Home</v>
      </c>
      <c r="L126" s="42" t="s">
        <v>150</v>
      </c>
      <c r="M126" s="43" t="s">
        <v>156</v>
      </c>
      <c r="N126" s="42" t="s">
        <v>157</v>
      </c>
      <c r="O126" s="43">
        <v>2</v>
      </c>
      <c r="P126" s="43">
        <v>2</v>
      </c>
      <c r="Q126" s="25" t="str">
        <f>VLOOKUP(P126,Key!$E$2:$F$9,2,FALSE)</f>
        <v>Work</v>
      </c>
      <c r="R126" s="25" t="str">
        <f t="shared" si="1"/>
        <v>Home-Work</v>
      </c>
      <c r="S126" s="52">
        <v>1</v>
      </c>
      <c r="T126" s="52">
        <v>0.4</v>
      </c>
      <c r="U126" s="43">
        <v>2</v>
      </c>
      <c r="V126" s="43"/>
      <c r="W126" s="52"/>
      <c r="X126" s="52"/>
      <c r="Y126" s="53" t="s">
        <v>158</v>
      </c>
      <c r="Z126" s="54">
        <v>1000</v>
      </c>
      <c r="AA126" s="25"/>
      <c r="AB126" s="25"/>
    </row>
    <row r="127" spans="2:28">
      <c r="B127" s="40">
        <v>0.50694444444444442</v>
      </c>
      <c r="C127" s="40" t="s">
        <v>618</v>
      </c>
      <c r="D127" s="41">
        <v>3</v>
      </c>
      <c r="E127" s="42">
        <v>4</v>
      </c>
      <c r="F127" s="42" t="s">
        <v>155</v>
      </c>
      <c r="G127" s="43" t="s">
        <v>156</v>
      </c>
      <c r="H127" s="42" t="s">
        <v>157</v>
      </c>
      <c r="I127" s="43">
        <v>1</v>
      </c>
      <c r="J127" s="43">
        <v>1</v>
      </c>
      <c r="K127" s="25" t="str">
        <f>VLOOKUP(J127,Key!$E$2:$F$9,2,FALSE)</f>
        <v>Home</v>
      </c>
      <c r="L127" s="42" t="s">
        <v>187</v>
      </c>
      <c r="M127" s="43" t="s">
        <v>187</v>
      </c>
      <c r="N127" s="42" t="s">
        <v>157</v>
      </c>
      <c r="O127" s="43">
        <v>3</v>
      </c>
      <c r="P127" s="43">
        <v>2</v>
      </c>
      <c r="Q127" s="25" t="str">
        <f>VLOOKUP(P127,Key!$E$2:$F$9,2,FALSE)</f>
        <v>Work</v>
      </c>
      <c r="R127" s="25" t="str">
        <f t="shared" si="1"/>
        <v>Home-Work</v>
      </c>
      <c r="S127" s="52">
        <v>18</v>
      </c>
      <c r="T127" s="52">
        <v>1</v>
      </c>
      <c r="U127" s="43">
        <v>2</v>
      </c>
      <c r="V127" s="43"/>
      <c r="W127" s="52"/>
      <c r="X127" s="52"/>
      <c r="Y127" s="53" t="s">
        <v>158</v>
      </c>
      <c r="Z127" s="54">
        <v>1000</v>
      </c>
      <c r="AA127" s="25"/>
      <c r="AB127" s="25"/>
    </row>
    <row r="128" spans="2:28">
      <c r="B128" s="40">
        <v>0.50208333333333333</v>
      </c>
      <c r="C128" s="40" t="s">
        <v>619</v>
      </c>
      <c r="D128" s="41">
        <v>1</v>
      </c>
      <c r="E128" s="42">
        <v>1</v>
      </c>
      <c r="F128" s="42" t="s">
        <v>155</v>
      </c>
      <c r="G128" s="43" t="s">
        <v>156</v>
      </c>
      <c r="H128" s="42" t="s">
        <v>157</v>
      </c>
      <c r="I128" s="43">
        <v>1</v>
      </c>
      <c r="J128" s="43">
        <v>1</v>
      </c>
      <c r="K128" s="25" t="str">
        <f>VLOOKUP(J128,Key!$E$2:$F$9,2,FALSE)</f>
        <v>Home</v>
      </c>
      <c r="L128" s="42" t="s">
        <v>150</v>
      </c>
      <c r="M128" s="43" t="s">
        <v>156</v>
      </c>
      <c r="N128" s="42" t="s">
        <v>157</v>
      </c>
      <c r="O128" s="43">
        <v>2</v>
      </c>
      <c r="P128" s="43">
        <v>2</v>
      </c>
      <c r="Q128" s="25" t="str">
        <f>VLOOKUP(P128,Key!$E$2:$F$9,2,FALSE)</f>
        <v>Work</v>
      </c>
      <c r="R128" s="25" t="str">
        <f t="shared" si="1"/>
        <v>Home-Work</v>
      </c>
      <c r="S128" s="52">
        <v>1</v>
      </c>
      <c r="T128" s="52">
        <v>0.1</v>
      </c>
      <c r="U128" s="43">
        <v>2</v>
      </c>
      <c r="V128" s="43"/>
      <c r="W128" s="52"/>
      <c r="X128" s="52"/>
      <c r="Y128" s="53" t="s">
        <v>158</v>
      </c>
      <c r="Z128" s="54">
        <v>500</v>
      </c>
      <c r="AA128" s="25"/>
      <c r="AB128" s="25"/>
    </row>
    <row r="129" spans="1:28">
      <c r="B129" s="40">
        <v>0.5</v>
      </c>
      <c r="C129" s="40" t="s">
        <v>620</v>
      </c>
      <c r="D129" s="41">
        <v>1</v>
      </c>
      <c r="E129" s="42">
        <v>1</v>
      </c>
      <c r="F129" s="42" t="s">
        <v>207</v>
      </c>
      <c r="G129" s="43" t="s">
        <v>156</v>
      </c>
      <c r="H129" s="42" t="s">
        <v>157</v>
      </c>
      <c r="I129" s="43">
        <v>1</v>
      </c>
      <c r="J129" s="43">
        <v>1</v>
      </c>
      <c r="K129" s="25" t="str">
        <f>VLOOKUP(J129,Key!$E$2:$F$9,2,FALSE)</f>
        <v>Home</v>
      </c>
      <c r="L129" s="42" t="s">
        <v>150</v>
      </c>
      <c r="M129" s="43" t="s">
        <v>156</v>
      </c>
      <c r="N129" s="42" t="s">
        <v>157</v>
      </c>
      <c r="O129" s="43">
        <v>2</v>
      </c>
      <c r="P129" s="43">
        <v>2</v>
      </c>
      <c r="Q129" s="25" t="str">
        <f>VLOOKUP(P129,Key!$E$2:$F$9,2,FALSE)</f>
        <v>Work</v>
      </c>
      <c r="R129" s="25" t="str">
        <f t="shared" si="1"/>
        <v>Home-Work</v>
      </c>
      <c r="S129" s="52">
        <v>4</v>
      </c>
      <c r="T129" s="52">
        <v>0.1</v>
      </c>
      <c r="U129" s="43">
        <v>3</v>
      </c>
      <c r="V129" s="43"/>
      <c r="W129" s="52"/>
      <c r="X129" s="52"/>
      <c r="Y129" s="53" t="s">
        <v>158</v>
      </c>
      <c r="Z129" s="54">
        <v>1000</v>
      </c>
      <c r="AA129" s="25"/>
      <c r="AB129" s="25"/>
    </row>
    <row r="130" spans="1:28">
      <c r="B130" s="40">
        <v>0.4993055555555555</v>
      </c>
      <c r="C130" s="40" t="s">
        <v>621</v>
      </c>
      <c r="D130" s="41">
        <v>1</v>
      </c>
      <c r="E130" s="42">
        <v>1</v>
      </c>
      <c r="F130" s="42" t="s">
        <v>155</v>
      </c>
      <c r="G130" s="43" t="s">
        <v>156</v>
      </c>
      <c r="H130" s="42" t="s">
        <v>157</v>
      </c>
      <c r="I130" s="43">
        <v>1</v>
      </c>
      <c r="J130" s="43">
        <v>1</v>
      </c>
      <c r="K130" s="25" t="str">
        <f>VLOOKUP(J130,Key!$E$2:$F$9,2,FALSE)</f>
        <v>Home</v>
      </c>
      <c r="L130" s="42" t="s">
        <v>166</v>
      </c>
      <c r="M130" s="43" t="s">
        <v>156</v>
      </c>
      <c r="N130" s="42" t="s">
        <v>157</v>
      </c>
      <c r="O130" s="43">
        <v>9</v>
      </c>
      <c r="P130" s="43">
        <v>2</v>
      </c>
      <c r="Q130" s="25" t="str">
        <f>VLOOKUP(P130,Key!$E$2:$F$9,2,FALSE)</f>
        <v>Work</v>
      </c>
      <c r="R130" s="25" t="str">
        <f t="shared" si="1"/>
        <v>Home-Work</v>
      </c>
      <c r="S130" s="52">
        <v>5</v>
      </c>
      <c r="T130" s="52">
        <v>0.5</v>
      </c>
      <c r="U130" s="43">
        <v>2</v>
      </c>
      <c r="V130" s="43"/>
      <c r="W130" s="52"/>
      <c r="X130" s="52"/>
      <c r="Y130" s="53" t="s">
        <v>158</v>
      </c>
      <c r="Z130" s="54">
        <v>500</v>
      </c>
      <c r="AA130" s="25"/>
      <c r="AB130" s="25"/>
    </row>
    <row r="131" spans="1:28">
      <c r="B131" s="40">
        <v>0.49652777777777773</v>
      </c>
      <c r="C131" s="40" t="s">
        <v>622</v>
      </c>
      <c r="D131" s="41">
        <v>1</v>
      </c>
      <c r="E131" s="42">
        <v>1</v>
      </c>
      <c r="F131" s="42" t="s">
        <v>207</v>
      </c>
      <c r="G131" s="43" t="s">
        <v>156</v>
      </c>
      <c r="H131" s="42" t="s">
        <v>157</v>
      </c>
      <c r="I131" s="43">
        <v>1</v>
      </c>
      <c r="J131" s="43">
        <v>1</v>
      </c>
      <c r="K131" s="25" t="str">
        <f>VLOOKUP(J131,Key!$E$2:$F$9,2,FALSE)</f>
        <v>Home</v>
      </c>
      <c r="L131" s="42" t="s">
        <v>162</v>
      </c>
      <c r="M131" s="43" t="s">
        <v>156</v>
      </c>
      <c r="N131" s="42" t="s">
        <v>157</v>
      </c>
      <c r="O131" s="43">
        <v>4</v>
      </c>
      <c r="P131" s="43">
        <v>3</v>
      </c>
      <c r="Q131" s="25" t="str">
        <f>VLOOKUP(P131,Key!$E$2:$F$9,2,FALSE)</f>
        <v>Study</v>
      </c>
      <c r="R131" s="25" t="str">
        <f t="shared" si="1"/>
        <v>Home-Study</v>
      </c>
      <c r="S131" s="52">
        <v>5</v>
      </c>
      <c r="T131" s="52">
        <v>0.5</v>
      </c>
      <c r="U131" s="43">
        <v>2</v>
      </c>
      <c r="V131" s="43"/>
      <c r="W131" s="52"/>
      <c r="X131" s="52"/>
      <c r="Y131" s="53" t="s">
        <v>158</v>
      </c>
      <c r="Z131" s="54">
        <v>5000</v>
      </c>
      <c r="AA131" s="25"/>
      <c r="AB131" s="25"/>
    </row>
    <row r="132" spans="1:28">
      <c r="B132" s="40">
        <v>0.49305555555555558</v>
      </c>
      <c r="C132" s="40" t="s">
        <v>623</v>
      </c>
      <c r="D132" s="41">
        <v>3</v>
      </c>
      <c r="E132" s="42">
        <v>1</v>
      </c>
      <c r="F132" s="42" t="s">
        <v>160</v>
      </c>
      <c r="G132" s="43" t="s">
        <v>156</v>
      </c>
      <c r="H132" s="42" t="s">
        <v>157</v>
      </c>
      <c r="I132" s="43">
        <v>1</v>
      </c>
      <c r="J132" s="43">
        <v>1</v>
      </c>
      <c r="K132" s="25" t="str">
        <f>VLOOKUP(J132,Key!$E$2:$F$9,2,FALSE)</f>
        <v>Home</v>
      </c>
      <c r="L132" s="42" t="s">
        <v>162</v>
      </c>
      <c r="M132" s="43" t="s">
        <v>156</v>
      </c>
      <c r="N132" s="42" t="s">
        <v>157</v>
      </c>
      <c r="O132" s="43">
        <v>3</v>
      </c>
      <c r="P132" s="43">
        <v>2</v>
      </c>
      <c r="Q132" s="25" t="str">
        <f>VLOOKUP(P132,Key!$E$2:$F$9,2,FALSE)</f>
        <v>Work</v>
      </c>
      <c r="R132" s="25" t="str">
        <f t="shared" si="1"/>
        <v>Home-Work</v>
      </c>
      <c r="S132" s="52">
        <v>5</v>
      </c>
      <c r="T132" s="52">
        <v>0.3</v>
      </c>
      <c r="U132" s="43">
        <v>6</v>
      </c>
      <c r="V132" s="43"/>
      <c r="W132" s="52"/>
      <c r="X132" s="52"/>
      <c r="Y132" s="53" t="s">
        <v>158</v>
      </c>
      <c r="Z132" s="54">
        <v>0</v>
      </c>
      <c r="AA132" s="25"/>
      <c r="AB132" s="25"/>
    </row>
    <row r="133" spans="1:28">
      <c r="B133" s="40">
        <v>0.48958333333333331</v>
      </c>
      <c r="C133" s="40" t="s">
        <v>624</v>
      </c>
      <c r="D133" s="41">
        <v>1</v>
      </c>
      <c r="E133" s="42">
        <v>2</v>
      </c>
      <c r="F133" s="42" t="s">
        <v>247</v>
      </c>
      <c r="G133" s="43" t="s">
        <v>187</v>
      </c>
      <c r="H133" s="42" t="s">
        <v>157</v>
      </c>
      <c r="I133" s="43">
        <v>1</v>
      </c>
      <c r="J133" s="43">
        <v>1</v>
      </c>
      <c r="K133" s="25" t="str">
        <f>VLOOKUP(J133,Key!$E$2:$F$9,2,FALSE)</f>
        <v>Home</v>
      </c>
      <c r="L133" s="42" t="s">
        <v>197</v>
      </c>
      <c r="M133" s="43" t="s">
        <v>197</v>
      </c>
      <c r="N133" s="42" t="s">
        <v>157</v>
      </c>
      <c r="O133" s="43">
        <v>2</v>
      </c>
      <c r="P133" s="43">
        <v>2</v>
      </c>
      <c r="Q133" s="25" t="str">
        <f>VLOOKUP(P133,Key!$E$2:$F$9,2,FALSE)</f>
        <v>Work</v>
      </c>
      <c r="R133" s="25" t="str">
        <f t="shared" si="1"/>
        <v>Home-Work</v>
      </c>
      <c r="S133" s="52">
        <v>100</v>
      </c>
      <c r="T133" s="52">
        <v>3</v>
      </c>
      <c r="U133" s="43">
        <v>2</v>
      </c>
      <c r="V133" s="43"/>
      <c r="W133" s="52"/>
      <c r="X133" s="52"/>
      <c r="Y133" s="53" t="s">
        <v>158</v>
      </c>
      <c r="Z133" s="54">
        <v>1000</v>
      </c>
      <c r="AA133" s="25"/>
      <c r="AB133" s="25"/>
    </row>
    <row r="134" spans="1:28">
      <c r="B134" s="40">
        <v>0.4826388888888889</v>
      </c>
      <c r="C134" s="40" t="s">
        <v>625</v>
      </c>
      <c r="D134" s="41">
        <v>1</v>
      </c>
      <c r="E134" s="42">
        <v>1</v>
      </c>
      <c r="F134" s="42" t="s">
        <v>155</v>
      </c>
      <c r="G134" s="43" t="s">
        <v>156</v>
      </c>
      <c r="H134" s="42" t="s">
        <v>157</v>
      </c>
      <c r="I134" s="43">
        <v>2</v>
      </c>
      <c r="J134" s="43">
        <v>2</v>
      </c>
      <c r="K134" s="25" t="str">
        <f>VLOOKUP(J134,Key!$E$2:$F$9,2,FALSE)</f>
        <v>Work</v>
      </c>
      <c r="L134" s="42" t="s">
        <v>626</v>
      </c>
      <c r="M134" s="43" t="s">
        <v>224</v>
      </c>
      <c r="N134" s="42" t="s">
        <v>157</v>
      </c>
      <c r="O134" s="43">
        <v>1</v>
      </c>
      <c r="P134" s="43">
        <v>1</v>
      </c>
      <c r="Q134" s="25" t="str">
        <f>VLOOKUP(P134,Key!$E$2:$F$9,2,FALSE)</f>
        <v>Home</v>
      </c>
      <c r="R134" s="25" t="str">
        <f t="shared" si="1"/>
        <v>Work-Home</v>
      </c>
      <c r="S134" s="52">
        <v>30</v>
      </c>
      <c r="T134" s="52">
        <v>2</v>
      </c>
      <c r="U134" s="43">
        <v>3</v>
      </c>
      <c r="V134" s="43"/>
      <c r="W134" s="52"/>
      <c r="X134" s="52"/>
      <c r="Y134" s="53" t="s">
        <v>158</v>
      </c>
      <c r="Z134" s="54">
        <v>500</v>
      </c>
      <c r="AA134" s="25"/>
      <c r="AB134" s="25"/>
    </row>
    <row r="135" spans="1:28">
      <c r="B135" s="40">
        <v>0.47361111111111115</v>
      </c>
      <c r="C135" s="40" t="s">
        <v>627</v>
      </c>
      <c r="D135" s="41">
        <v>4</v>
      </c>
      <c r="E135" s="42">
        <v>5</v>
      </c>
      <c r="F135" s="42" t="s">
        <v>250</v>
      </c>
      <c r="G135" s="43" t="s">
        <v>156</v>
      </c>
      <c r="H135" s="42" t="s">
        <v>157</v>
      </c>
      <c r="I135" s="43">
        <v>2</v>
      </c>
      <c r="J135" s="43">
        <v>2</v>
      </c>
      <c r="K135" s="25" t="str">
        <f>VLOOKUP(J135,Key!$E$2:$F$9,2,FALSE)</f>
        <v>Work</v>
      </c>
      <c r="L135" s="42" t="s">
        <v>628</v>
      </c>
      <c r="M135" s="43" t="s">
        <v>197</v>
      </c>
      <c r="N135" s="42" t="s">
        <v>157</v>
      </c>
      <c r="O135" s="43">
        <v>1</v>
      </c>
      <c r="P135" s="43">
        <v>1</v>
      </c>
      <c r="Q135" s="25" t="str">
        <f>VLOOKUP(P135,Key!$E$2:$F$9,2,FALSE)</f>
        <v>Home</v>
      </c>
      <c r="R135" s="25" t="str">
        <f t="shared" si="1"/>
        <v>Work-Home</v>
      </c>
      <c r="S135" s="52">
        <v>20</v>
      </c>
      <c r="T135" s="52">
        <v>0.5</v>
      </c>
      <c r="U135" s="43">
        <v>2</v>
      </c>
      <c r="V135" s="43"/>
      <c r="W135" s="52"/>
      <c r="X135" s="52"/>
      <c r="Y135" s="53" t="s">
        <v>158</v>
      </c>
      <c r="Z135" s="54">
        <v>1000</v>
      </c>
      <c r="AA135" s="25"/>
      <c r="AB135" s="25"/>
    </row>
    <row r="136" spans="1:28">
      <c r="B136" s="40">
        <v>0.46875</v>
      </c>
      <c r="C136" s="40" t="s">
        <v>629</v>
      </c>
      <c r="D136" s="41">
        <v>1</v>
      </c>
      <c r="E136" s="42">
        <v>4</v>
      </c>
      <c r="F136" s="42" t="s">
        <v>155</v>
      </c>
      <c r="G136" s="43" t="s">
        <v>156</v>
      </c>
      <c r="H136" s="42" t="s">
        <v>157</v>
      </c>
      <c r="I136" s="43">
        <v>1</v>
      </c>
      <c r="J136" s="43">
        <v>1</v>
      </c>
      <c r="K136" s="25" t="str">
        <f>VLOOKUP(J136,Key!$E$2:$F$9,2,FALSE)</f>
        <v>Home</v>
      </c>
      <c r="L136" s="42" t="s">
        <v>197</v>
      </c>
      <c r="M136" s="43" t="s">
        <v>197</v>
      </c>
      <c r="N136" s="42" t="s">
        <v>157</v>
      </c>
      <c r="O136" s="43">
        <v>2</v>
      </c>
      <c r="P136" s="43">
        <v>2</v>
      </c>
      <c r="Q136" s="25" t="str">
        <f>VLOOKUP(P136,Key!$E$2:$F$9,2,FALSE)</f>
        <v>Work</v>
      </c>
      <c r="R136" s="25" t="str">
        <f t="shared" si="1"/>
        <v>Home-Work</v>
      </c>
      <c r="S136" s="52">
        <v>100</v>
      </c>
      <c r="T136" s="52">
        <v>2</v>
      </c>
      <c r="U136" s="43">
        <v>2</v>
      </c>
      <c r="V136" s="43"/>
      <c r="W136" s="52"/>
      <c r="X136" s="52"/>
      <c r="Y136" s="53" t="s">
        <v>158</v>
      </c>
      <c r="Z136" s="54">
        <v>2000</v>
      </c>
      <c r="AA136" s="25"/>
      <c r="AB136" s="25"/>
    </row>
    <row r="137" spans="1:28">
      <c r="B137" s="40">
        <v>0.4604166666666667</v>
      </c>
      <c r="C137" s="40" t="s">
        <v>630</v>
      </c>
      <c r="D137" s="41">
        <v>1</v>
      </c>
      <c r="E137" s="42">
        <v>3</v>
      </c>
      <c r="F137" s="42" t="s">
        <v>179</v>
      </c>
      <c r="G137" s="43" t="s">
        <v>156</v>
      </c>
      <c r="H137" s="42" t="s">
        <v>157</v>
      </c>
      <c r="I137" s="43">
        <v>1</v>
      </c>
      <c r="J137" s="43">
        <v>1</v>
      </c>
      <c r="K137" s="25" t="str">
        <f>VLOOKUP(J137,Key!$E$2:$F$9,2,FALSE)</f>
        <v>Home</v>
      </c>
      <c r="L137" s="42" t="s">
        <v>166</v>
      </c>
      <c r="M137" s="43" t="s">
        <v>156</v>
      </c>
      <c r="N137" s="42" t="s">
        <v>157</v>
      </c>
      <c r="O137" s="43">
        <v>2</v>
      </c>
      <c r="P137" s="43">
        <v>2</v>
      </c>
      <c r="Q137" s="25" t="str">
        <f>VLOOKUP(P137,Key!$E$2:$F$9,2,FALSE)</f>
        <v>Work</v>
      </c>
      <c r="R137" s="25" t="str">
        <f t="shared" ref="R137:R153" si="2">K137&amp;"-"&amp;Q137</f>
        <v>Home-Work</v>
      </c>
      <c r="S137" s="52">
        <v>18</v>
      </c>
      <c r="T137" s="52">
        <v>1</v>
      </c>
      <c r="U137" s="43">
        <v>2</v>
      </c>
      <c r="V137" s="43"/>
      <c r="W137" s="52"/>
      <c r="X137" s="52"/>
      <c r="Y137" s="53" t="s">
        <v>158</v>
      </c>
      <c r="Z137" s="54">
        <v>1000</v>
      </c>
      <c r="AA137" s="25"/>
      <c r="AB137" s="25"/>
    </row>
    <row r="138" spans="1:28">
      <c r="B138" s="40">
        <v>0.47847222222222219</v>
      </c>
      <c r="C138" s="40" t="s">
        <v>631</v>
      </c>
      <c r="D138" s="41">
        <v>1</v>
      </c>
      <c r="E138" s="42">
        <v>2</v>
      </c>
      <c r="F138" s="42" t="s">
        <v>155</v>
      </c>
      <c r="G138" s="43" t="s">
        <v>156</v>
      </c>
      <c r="H138" s="42" t="s">
        <v>157</v>
      </c>
      <c r="I138" s="43">
        <v>1</v>
      </c>
      <c r="J138" s="43">
        <v>1</v>
      </c>
      <c r="K138" s="25" t="str">
        <f>VLOOKUP(J138,Key!$E$2:$F$9,2,FALSE)</f>
        <v>Home</v>
      </c>
      <c r="L138" s="42" t="s">
        <v>164</v>
      </c>
      <c r="M138" s="43" t="s">
        <v>156</v>
      </c>
      <c r="N138" s="42" t="s">
        <v>157</v>
      </c>
      <c r="O138" s="43">
        <v>2</v>
      </c>
      <c r="P138" s="43">
        <v>2</v>
      </c>
      <c r="Q138" s="25" t="str">
        <f>VLOOKUP(P138,Key!$E$2:$F$9,2,FALSE)</f>
        <v>Work</v>
      </c>
      <c r="R138" s="25" t="str">
        <f t="shared" si="2"/>
        <v>Home-Work</v>
      </c>
      <c r="S138" s="52">
        <v>8</v>
      </c>
      <c r="T138" s="52">
        <v>0.7</v>
      </c>
      <c r="U138" s="43">
        <v>2</v>
      </c>
      <c r="V138" s="43"/>
      <c r="W138" s="52"/>
      <c r="X138" s="52"/>
      <c r="Y138" s="53" t="s">
        <v>158</v>
      </c>
      <c r="Z138" s="54">
        <v>5000</v>
      </c>
      <c r="AA138" s="25"/>
      <c r="AB138" s="25"/>
    </row>
    <row r="139" spans="1:28">
      <c r="B139" s="40">
        <v>0.47222222222222227</v>
      </c>
      <c r="C139" s="40" t="s">
        <v>632</v>
      </c>
      <c r="D139" s="41">
        <v>1</v>
      </c>
      <c r="E139" s="42">
        <v>2</v>
      </c>
      <c r="F139" s="42" t="s">
        <v>160</v>
      </c>
      <c r="G139" s="43" t="s">
        <v>156</v>
      </c>
      <c r="H139" s="42" t="s">
        <v>157</v>
      </c>
      <c r="I139" s="43">
        <v>1</v>
      </c>
      <c r="J139" s="43">
        <v>1</v>
      </c>
      <c r="K139" s="25" t="str">
        <f>VLOOKUP(J139,Key!$E$2:$F$9,2,FALSE)</f>
        <v>Home</v>
      </c>
      <c r="L139" s="42" t="s">
        <v>162</v>
      </c>
      <c r="M139" s="43" t="s">
        <v>156</v>
      </c>
      <c r="N139" s="42" t="s">
        <v>157</v>
      </c>
      <c r="O139" s="43">
        <v>2</v>
      </c>
      <c r="P139" s="43">
        <v>2</v>
      </c>
      <c r="Q139" s="25" t="str">
        <f>VLOOKUP(P139,Key!$E$2:$F$9,2,FALSE)</f>
        <v>Work</v>
      </c>
      <c r="R139" s="25" t="str">
        <f t="shared" si="2"/>
        <v>Home-Work</v>
      </c>
      <c r="S139" s="52">
        <v>5</v>
      </c>
      <c r="T139" s="52">
        <v>0.6</v>
      </c>
      <c r="U139" s="43">
        <v>2</v>
      </c>
      <c r="V139" s="43"/>
      <c r="W139" s="52"/>
      <c r="X139" s="52"/>
      <c r="Y139" s="53" t="s">
        <v>158</v>
      </c>
      <c r="Z139" s="54">
        <v>1000</v>
      </c>
      <c r="AA139" s="25"/>
      <c r="AB139" s="25"/>
    </row>
    <row r="140" spans="1:28">
      <c r="B140" s="40">
        <v>0.45763888888888887</v>
      </c>
      <c r="C140" s="40" t="s">
        <v>633</v>
      </c>
      <c r="D140" s="41">
        <v>3</v>
      </c>
      <c r="E140" s="42">
        <v>3</v>
      </c>
      <c r="F140" s="42" t="s">
        <v>305</v>
      </c>
      <c r="G140" s="43" t="s">
        <v>187</v>
      </c>
      <c r="H140" s="42" t="s">
        <v>157</v>
      </c>
      <c r="I140" s="43">
        <v>1</v>
      </c>
      <c r="J140" s="43">
        <v>1</v>
      </c>
      <c r="K140" s="25" t="str">
        <f>VLOOKUP(J140,Key!$E$2:$F$9,2,FALSE)</f>
        <v>Home</v>
      </c>
      <c r="L140" s="42" t="s">
        <v>150</v>
      </c>
      <c r="M140" s="43" t="s">
        <v>156</v>
      </c>
      <c r="N140" s="42" t="s">
        <v>157</v>
      </c>
      <c r="O140" s="43">
        <v>2</v>
      </c>
      <c r="P140" s="43">
        <v>2</v>
      </c>
      <c r="Q140" s="25" t="str">
        <f>VLOOKUP(P140,Key!$E$2:$F$9,2,FALSE)</f>
        <v>Work</v>
      </c>
      <c r="R140" s="25" t="str">
        <f t="shared" si="2"/>
        <v>Home-Work</v>
      </c>
      <c r="S140" s="52">
        <v>15</v>
      </c>
      <c r="T140" s="52">
        <v>1</v>
      </c>
      <c r="U140" s="43">
        <v>2</v>
      </c>
      <c r="V140" s="43"/>
      <c r="W140" s="52"/>
      <c r="X140" s="52"/>
      <c r="Y140" s="53" t="s">
        <v>158</v>
      </c>
      <c r="Z140" s="54">
        <v>500</v>
      </c>
      <c r="AA140" s="25"/>
      <c r="AB140" s="25"/>
    </row>
    <row r="141" spans="1:28">
      <c r="B141" s="40">
        <v>0.45208333333333334</v>
      </c>
      <c r="C141" s="40" t="s">
        <v>634</v>
      </c>
      <c r="D141" s="41">
        <v>1</v>
      </c>
      <c r="E141" s="42">
        <v>2</v>
      </c>
      <c r="F141" s="42" t="s">
        <v>155</v>
      </c>
      <c r="G141" s="43" t="s">
        <v>156</v>
      </c>
      <c r="H141" s="42" t="s">
        <v>157</v>
      </c>
      <c r="I141" s="43">
        <v>1</v>
      </c>
      <c r="J141" s="43">
        <v>1</v>
      </c>
      <c r="K141" s="25" t="str">
        <f>VLOOKUP(J141,Key!$E$2:$F$9,2,FALSE)</f>
        <v>Home</v>
      </c>
      <c r="L141" s="42" t="s">
        <v>164</v>
      </c>
      <c r="M141" s="43" t="s">
        <v>156</v>
      </c>
      <c r="N141" s="42" t="s">
        <v>157</v>
      </c>
      <c r="O141" s="43">
        <v>2</v>
      </c>
      <c r="P141" s="43">
        <v>2</v>
      </c>
      <c r="Q141" s="25" t="str">
        <f>VLOOKUP(P141,Key!$E$2:$F$9,2,FALSE)</f>
        <v>Work</v>
      </c>
      <c r="R141" s="25" t="str">
        <f t="shared" si="2"/>
        <v>Home-Work</v>
      </c>
      <c r="S141" s="52">
        <v>5</v>
      </c>
      <c r="T141" s="52">
        <v>1.5</v>
      </c>
      <c r="U141" s="43">
        <v>2</v>
      </c>
      <c r="V141" s="43"/>
      <c r="W141" s="52"/>
      <c r="X141" s="52"/>
      <c r="Y141" s="53" t="s">
        <v>158</v>
      </c>
      <c r="Z141" s="54">
        <v>1000</v>
      </c>
      <c r="AA141" s="25"/>
      <c r="AB141" s="25"/>
    </row>
    <row r="142" spans="1:28">
      <c r="B142" s="40">
        <v>0.44791666666666669</v>
      </c>
      <c r="C142" s="40" t="s">
        <v>421</v>
      </c>
      <c r="D142" s="41">
        <v>1</v>
      </c>
      <c r="E142" s="42">
        <v>5</v>
      </c>
      <c r="F142" s="42" t="s">
        <v>160</v>
      </c>
      <c r="G142" s="43" t="s">
        <v>156</v>
      </c>
      <c r="H142" s="42" t="s">
        <v>157</v>
      </c>
      <c r="I142" s="43">
        <v>1</v>
      </c>
      <c r="J142" s="43">
        <v>1</v>
      </c>
      <c r="K142" s="25" t="str">
        <f>VLOOKUP(J142,Key!$E$2:$F$9,2,FALSE)</f>
        <v>Home</v>
      </c>
      <c r="L142" s="42" t="s">
        <v>166</v>
      </c>
      <c r="M142" s="43" t="s">
        <v>156</v>
      </c>
      <c r="N142" s="42" t="s">
        <v>157</v>
      </c>
      <c r="O142" s="43">
        <v>2</v>
      </c>
      <c r="P142" s="43">
        <v>2</v>
      </c>
      <c r="Q142" s="25" t="str">
        <f>VLOOKUP(P142,Key!$E$2:$F$9,2,FALSE)</f>
        <v>Work</v>
      </c>
      <c r="R142" s="25" t="str">
        <f t="shared" si="2"/>
        <v>Home-Work</v>
      </c>
      <c r="S142" s="52">
        <v>15</v>
      </c>
      <c r="T142" s="52">
        <v>2</v>
      </c>
      <c r="U142" s="43">
        <v>2</v>
      </c>
      <c r="V142" s="43"/>
      <c r="W142" s="52"/>
      <c r="X142" s="52"/>
      <c r="Y142" s="53" t="s">
        <v>158</v>
      </c>
      <c r="Z142" s="54">
        <v>2000</v>
      </c>
      <c r="AA142" s="25"/>
      <c r="AB142" s="25"/>
    </row>
    <row r="143" spans="1:28">
      <c r="A143" s="14"/>
      <c r="B143" s="40">
        <v>0.4381944444444445</v>
      </c>
      <c r="C143" s="40" t="s">
        <v>635</v>
      </c>
      <c r="D143" s="41">
        <v>1</v>
      </c>
      <c r="E143" s="42">
        <v>4</v>
      </c>
      <c r="F143" s="42" t="s">
        <v>179</v>
      </c>
      <c r="G143" s="43" t="s">
        <v>156</v>
      </c>
      <c r="H143" s="42" t="s">
        <v>157</v>
      </c>
      <c r="I143" s="43">
        <v>1</v>
      </c>
      <c r="J143" s="43">
        <v>1</v>
      </c>
      <c r="K143" s="25" t="str">
        <f>VLOOKUP(J143,Key!$E$2:$F$9,2,FALSE)</f>
        <v>Home</v>
      </c>
      <c r="L143" s="42" t="s">
        <v>164</v>
      </c>
      <c r="M143" s="43" t="s">
        <v>156</v>
      </c>
      <c r="N143" s="42" t="s">
        <v>157</v>
      </c>
      <c r="O143" s="43">
        <v>2</v>
      </c>
      <c r="P143" s="43">
        <v>2</v>
      </c>
      <c r="Q143" s="25" t="str">
        <f>VLOOKUP(P143,Key!$E$2:$F$9,2,FALSE)</f>
        <v>Work</v>
      </c>
      <c r="R143" s="25" t="str">
        <f t="shared" si="2"/>
        <v>Home-Work</v>
      </c>
      <c r="S143" s="52">
        <v>4</v>
      </c>
      <c r="T143" s="52">
        <v>10</v>
      </c>
      <c r="U143" s="43">
        <v>2</v>
      </c>
      <c r="V143" s="43"/>
      <c r="W143" s="52"/>
      <c r="X143" s="52"/>
      <c r="Y143" s="53" t="s">
        <v>158</v>
      </c>
      <c r="Z143" s="54">
        <v>1000</v>
      </c>
      <c r="AA143" s="25"/>
      <c r="AB143" s="25"/>
    </row>
    <row r="144" spans="1:28">
      <c r="A144" s="14"/>
      <c r="B144" s="40">
        <v>0.43402777777777773</v>
      </c>
      <c r="C144" s="40" t="s">
        <v>391</v>
      </c>
      <c r="D144" s="41">
        <v>3</v>
      </c>
      <c r="E144" s="42">
        <v>2</v>
      </c>
      <c r="F144" s="42" t="s">
        <v>155</v>
      </c>
      <c r="G144" s="43" t="s">
        <v>156</v>
      </c>
      <c r="H144" s="42" t="s">
        <v>157</v>
      </c>
      <c r="I144" s="43">
        <v>1</v>
      </c>
      <c r="J144" s="43">
        <v>1</v>
      </c>
      <c r="K144" s="25" t="str">
        <f>VLOOKUP(J144,Key!$E$2:$F$9,2,FALSE)</f>
        <v>Home</v>
      </c>
      <c r="L144" s="42" t="s">
        <v>150</v>
      </c>
      <c r="M144" s="43" t="s">
        <v>156</v>
      </c>
      <c r="N144" s="42" t="s">
        <v>157</v>
      </c>
      <c r="O144" s="43">
        <v>3</v>
      </c>
      <c r="P144" s="43">
        <v>2</v>
      </c>
      <c r="Q144" s="25" t="str">
        <f>VLOOKUP(P144,Key!$E$2:$F$9,2,FALSE)</f>
        <v>Work</v>
      </c>
      <c r="R144" s="25" t="str">
        <f t="shared" si="2"/>
        <v>Home-Work</v>
      </c>
      <c r="S144" s="52">
        <v>0.5</v>
      </c>
      <c r="T144" s="52">
        <v>0.1</v>
      </c>
      <c r="U144" s="43">
        <v>2</v>
      </c>
      <c r="V144" s="43"/>
      <c r="W144" s="52"/>
      <c r="X144" s="52"/>
      <c r="Y144" s="53" t="s">
        <v>158</v>
      </c>
      <c r="Z144" s="54">
        <v>1000</v>
      </c>
      <c r="AA144" s="25"/>
      <c r="AB144" s="25"/>
    </row>
    <row r="145" spans="1:28">
      <c r="A145" s="14"/>
      <c r="B145" s="40">
        <v>0.43055555555555558</v>
      </c>
      <c r="C145" s="40" t="s">
        <v>636</v>
      </c>
      <c r="D145" s="41">
        <v>1</v>
      </c>
      <c r="E145" s="42">
        <v>2</v>
      </c>
      <c r="F145" s="42" t="s">
        <v>179</v>
      </c>
      <c r="G145" s="43" t="s">
        <v>156</v>
      </c>
      <c r="H145" s="42" t="s">
        <v>157</v>
      </c>
      <c r="I145" s="43">
        <v>1</v>
      </c>
      <c r="J145" s="43">
        <v>1</v>
      </c>
      <c r="K145" s="25" t="str">
        <f>VLOOKUP(J145,Key!$E$2:$F$9,2,FALSE)</f>
        <v>Home</v>
      </c>
      <c r="L145" s="42" t="s">
        <v>162</v>
      </c>
      <c r="M145" s="43" t="s">
        <v>156</v>
      </c>
      <c r="N145" s="42" t="s">
        <v>157</v>
      </c>
      <c r="O145" s="43">
        <v>2</v>
      </c>
      <c r="P145" s="43">
        <v>2</v>
      </c>
      <c r="Q145" s="25" t="str">
        <f>VLOOKUP(P145,Key!$E$2:$F$9,2,FALSE)</f>
        <v>Work</v>
      </c>
      <c r="R145" s="25" t="str">
        <f t="shared" si="2"/>
        <v>Home-Work</v>
      </c>
      <c r="S145" s="52">
        <v>5</v>
      </c>
      <c r="T145" s="52">
        <v>0.2</v>
      </c>
      <c r="U145" s="43">
        <v>2</v>
      </c>
      <c r="V145" s="43"/>
      <c r="W145" s="52"/>
      <c r="X145" s="52"/>
      <c r="Y145" s="53" t="s">
        <v>158</v>
      </c>
      <c r="Z145" s="54">
        <v>500</v>
      </c>
      <c r="AA145" s="25"/>
      <c r="AB145" s="25"/>
    </row>
    <row r="146" spans="1:28">
      <c r="B146" s="40">
        <v>0.42499999999999999</v>
      </c>
      <c r="C146" s="40" t="s">
        <v>637</v>
      </c>
      <c r="D146" s="41">
        <v>4</v>
      </c>
      <c r="E146" s="42">
        <v>12</v>
      </c>
      <c r="F146" s="42" t="s">
        <v>160</v>
      </c>
      <c r="G146" s="43" t="s">
        <v>156</v>
      </c>
      <c r="H146" s="42" t="s">
        <v>157</v>
      </c>
      <c r="I146" s="43">
        <v>3</v>
      </c>
      <c r="J146" s="43">
        <v>2</v>
      </c>
      <c r="K146" s="25" t="str">
        <f>VLOOKUP(J146,Key!$E$2:$F$9,2,FALSE)</f>
        <v>Work</v>
      </c>
      <c r="L146" s="42" t="s">
        <v>187</v>
      </c>
      <c r="M146" s="43" t="s">
        <v>187</v>
      </c>
      <c r="N146" s="42" t="s">
        <v>157</v>
      </c>
      <c r="O146" s="43">
        <v>3</v>
      </c>
      <c r="P146" s="43">
        <v>2</v>
      </c>
      <c r="Q146" s="25" t="str">
        <f>VLOOKUP(P146,Key!$E$2:$F$9,2,FALSE)</f>
        <v>Work</v>
      </c>
      <c r="R146" s="25" t="str">
        <f t="shared" si="2"/>
        <v>Work-Work</v>
      </c>
      <c r="S146" s="52">
        <v>12</v>
      </c>
      <c r="T146" s="52">
        <v>1</v>
      </c>
      <c r="U146" s="43">
        <v>2</v>
      </c>
      <c r="V146" s="43"/>
      <c r="W146" s="52"/>
      <c r="X146" s="52"/>
      <c r="Y146" s="53" t="s">
        <v>158</v>
      </c>
      <c r="Z146" s="54">
        <v>2000</v>
      </c>
      <c r="AA146" s="25"/>
      <c r="AB146" s="25"/>
    </row>
    <row r="147" spans="1:28">
      <c r="B147" s="40">
        <v>0.4201388888888889</v>
      </c>
      <c r="C147" s="40" t="s">
        <v>638</v>
      </c>
      <c r="D147" s="41">
        <v>1</v>
      </c>
      <c r="E147" s="42">
        <v>1</v>
      </c>
      <c r="F147" s="42" t="s">
        <v>155</v>
      </c>
      <c r="G147" s="43" t="s">
        <v>156</v>
      </c>
      <c r="H147" s="42" t="s">
        <v>157</v>
      </c>
      <c r="I147" s="43">
        <v>1</v>
      </c>
      <c r="J147" s="43">
        <v>1</v>
      </c>
      <c r="K147" s="25" t="str">
        <f>VLOOKUP(J147,Key!$E$2:$F$9,2,FALSE)</f>
        <v>Home</v>
      </c>
      <c r="L147" s="42" t="s">
        <v>150</v>
      </c>
      <c r="M147" s="43" t="s">
        <v>156</v>
      </c>
      <c r="N147" s="42" t="s">
        <v>157</v>
      </c>
      <c r="O147" s="43">
        <v>2</v>
      </c>
      <c r="P147" s="43">
        <v>2</v>
      </c>
      <c r="Q147" s="25" t="str">
        <f>VLOOKUP(P147,Key!$E$2:$F$9,2,FALSE)</f>
        <v>Work</v>
      </c>
      <c r="R147" s="25" t="str">
        <f t="shared" si="2"/>
        <v>Home-Work</v>
      </c>
      <c r="S147" s="52">
        <v>0.5</v>
      </c>
      <c r="T147" s="52">
        <v>0.2</v>
      </c>
      <c r="U147" s="43">
        <v>2</v>
      </c>
      <c r="V147" s="43"/>
      <c r="W147" s="52"/>
      <c r="X147" s="52"/>
      <c r="Y147" s="53" t="s">
        <v>158</v>
      </c>
      <c r="Z147" s="54">
        <v>1000</v>
      </c>
      <c r="AA147" s="25"/>
      <c r="AB147" s="25"/>
    </row>
    <row r="148" spans="1:28">
      <c r="B148" s="40">
        <v>0.41597222222222219</v>
      </c>
      <c r="C148" s="40" t="s">
        <v>639</v>
      </c>
      <c r="D148" s="41">
        <v>1</v>
      </c>
      <c r="E148" s="42">
        <v>2</v>
      </c>
      <c r="F148" s="42" t="s">
        <v>155</v>
      </c>
      <c r="G148" s="43" t="s">
        <v>156</v>
      </c>
      <c r="H148" s="42" t="s">
        <v>157</v>
      </c>
      <c r="I148" s="43">
        <v>1</v>
      </c>
      <c r="J148" s="43">
        <v>1</v>
      </c>
      <c r="K148" s="25" t="str">
        <f>VLOOKUP(J148,Key!$E$2:$F$9,2,FALSE)</f>
        <v>Home</v>
      </c>
      <c r="L148" s="42" t="s">
        <v>150</v>
      </c>
      <c r="M148" s="43" t="s">
        <v>156</v>
      </c>
      <c r="N148" s="42" t="s">
        <v>157</v>
      </c>
      <c r="O148" s="43">
        <v>2</v>
      </c>
      <c r="P148" s="43">
        <v>2</v>
      </c>
      <c r="Q148" s="25" t="str">
        <f>VLOOKUP(P148,Key!$E$2:$F$9,2,FALSE)</f>
        <v>Work</v>
      </c>
      <c r="R148" s="25" t="str">
        <f t="shared" si="2"/>
        <v>Home-Work</v>
      </c>
      <c r="S148" s="52">
        <v>1.5</v>
      </c>
      <c r="T148" s="52">
        <v>0.1</v>
      </c>
      <c r="U148" s="43">
        <v>2</v>
      </c>
      <c r="V148" s="43"/>
      <c r="W148" s="52"/>
      <c r="X148" s="52"/>
      <c r="Y148" s="53" t="s">
        <v>158</v>
      </c>
      <c r="Z148" s="54">
        <v>3000</v>
      </c>
      <c r="AA148" s="25"/>
      <c r="AB148" s="25"/>
    </row>
    <row r="149" spans="1:28">
      <c r="B149" s="40">
        <v>0.41319444444444442</v>
      </c>
      <c r="C149" s="40" t="s">
        <v>640</v>
      </c>
      <c r="D149" s="41">
        <v>1</v>
      </c>
      <c r="E149" s="42">
        <v>1</v>
      </c>
      <c r="F149" s="42" t="s">
        <v>204</v>
      </c>
      <c r="G149" s="43" t="s">
        <v>156</v>
      </c>
      <c r="H149" s="42" t="s">
        <v>157</v>
      </c>
      <c r="I149" s="43">
        <v>1</v>
      </c>
      <c r="J149" s="43">
        <v>1</v>
      </c>
      <c r="K149" s="25" t="str">
        <f>VLOOKUP(J149,Key!$E$2:$F$9,2,FALSE)</f>
        <v>Home</v>
      </c>
      <c r="L149" s="42" t="s">
        <v>162</v>
      </c>
      <c r="M149" s="43" t="s">
        <v>156</v>
      </c>
      <c r="N149" s="42" t="s">
        <v>157</v>
      </c>
      <c r="O149" s="43">
        <v>2</v>
      </c>
      <c r="P149" s="43">
        <v>2</v>
      </c>
      <c r="Q149" s="25" t="str">
        <f>VLOOKUP(P149,Key!$E$2:$F$9,2,FALSE)</f>
        <v>Work</v>
      </c>
      <c r="R149" s="25" t="str">
        <f t="shared" si="2"/>
        <v>Home-Work</v>
      </c>
      <c r="S149" s="52">
        <v>8</v>
      </c>
      <c r="T149" s="52">
        <v>0.3</v>
      </c>
      <c r="U149" s="43">
        <v>2</v>
      </c>
      <c r="V149" s="43"/>
      <c r="W149" s="52"/>
      <c r="X149" s="52"/>
      <c r="Y149" s="53" t="s">
        <v>158</v>
      </c>
      <c r="Z149" s="54">
        <v>3000</v>
      </c>
      <c r="AA149" s="25"/>
      <c r="AB149" s="25"/>
    </row>
    <row r="150" spans="1:28">
      <c r="B150" s="40">
        <v>0.40625</v>
      </c>
      <c r="C150" s="40" t="s">
        <v>641</v>
      </c>
      <c r="D150" s="41">
        <v>1</v>
      </c>
      <c r="E150" s="42">
        <v>2</v>
      </c>
      <c r="F150" s="42" t="s">
        <v>226</v>
      </c>
      <c r="G150" s="43" t="s">
        <v>156</v>
      </c>
      <c r="H150" s="42" t="s">
        <v>157</v>
      </c>
      <c r="I150" s="43">
        <v>1</v>
      </c>
      <c r="J150" s="43">
        <v>1</v>
      </c>
      <c r="K150" s="25" t="str">
        <f>VLOOKUP(J150,Key!$E$2:$F$9,2,FALSE)</f>
        <v>Home</v>
      </c>
      <c r="L150" s="42" t="s">
        <v>197</v>
      </c>
      <c r="M150" s="43" t="s">
        <v>197</v>
      </c>
      <c r="N150" s="42" t="s">
        <v>157</v>
      </c>
      <c r="O150" s="43">
        <v>2</v>
      </c>
      <c r="P150" s="43">
        <v>2</v>
      </c>
      <c r="Q150" s="25" t="str">
        <f>VLOOKUP(P150,Key!$E$2:$F$9,2,FALSE)</f>
        <v>Work</v>
      </c>
      <c r="R150" s="25" t="str">
        <f t="shared" si="2"/>
        <v>Home-Work</v>
      </c>
      <c r="S150" s="52">
        <v>100</v>
      </c>
      <c r="T150" s="52">
        <v>2</v>
      </c>
      <c r="U150" s="43">
        <v>2</v>
      </c>
      <c r="V150" s="43"/>
      <c r="W150" s="52"/>
      <c r="X150" s="52"/>
      <c r="Y150" s="53" t="s">
        <v>158</v>
      </c>
      <c r="Z150" s="54">
        <v>5000</v>
      </c>
      <c r="AA150" s="25"/>
      <c r="AB150" s="25"/>
    </row>
    <row r="151" spans="1:28">
      <c r="B151" s="40">
        <v>0.40972222222222227</v>
      </c>
      <c r="C151" s="40" t="s">
        <v>642</v>
      </c>
      <c r="D151" s="41">
        <v>7</v>
      </c>
      <c r="E151" s="42">
        <v>5</v>
      </c>
      <c r="F151" s="42" t="s">
        <v>160</v>
      </c>
      <c r="G151" s="43" t="s">
        <v>156</v>
      </c>
      <c r="H151" s="42" t="s">
        <v>157</v>
      </c>
      <c r="I151" s="43">
        <v>1</v>
      </c>
      <c r="J151" s="43">
        <v>1</v>
      </c>
      <c r="K151" s="25" t="str">
        <f>VLOOKUP(J151,Key!$E$2:$F$9,2,FALSE)</f>
        <v>Home</v>
      </c>
      <c r="L151" s="42" t="s">
        <v>164</v>
      </c>
      <c r="M151" s="43" t="s">
        <v>156</v>
      </c>
      <c r="N151" s="42" t="s">
        <v>157</v>
      </c>
      <c r="O151" s="43">
        <v>3</v>
      </c>
      <c r="P151" s="43">
        <v>2</v>
      </c>
      <c r="Q151" s="25" t="str">
        <f>VLOOKUP(P151,Key!$E$2:$F$9,2,FALSE)</f>
        <v>Work</v>
      </c>
      <c r="R151" s="25" t="str">
        <f t="shared" si="2"/>
        <v>Home-Work</v>
      </c>
      <c r="S151" s="52">
        <v>6</v>
      </c>
      <c r="T151" s="52">
        <v>0.2</v>
      </c>
      <c r="U151" s="43">
        <v>2</v>
      </c>
      <c r="V151" s="43"/>
      <c r="W151" s="52"/>
      <c r="X151" s="52"/>
      <c r="Y151" s="53" t="s">
        <v>158</v>
      </c>
      <c r="Z151" s="54">
        <v>1000</v>
      </c>
      <c r="AA151" s="25"/>
      <c r="AB151" s="25"/>
    </row>
    <row r="152" spans="1:28">
      <c r="B152" s="40">
        <v>0.40277777777777773</v>
      </c>
      <c r="C152" s="40" t="s">
        <v>643</v>
      </c>
      <c r="D152" s="41">
        <v>2</v>
      </c>
      <c r="E152" s="42">
        <v>2</v>
      </c>
      <c r="F152" s="42" t="s">
        <v>155</v>
      </c>
      <c r="G152" s="43" t="s">
        <v>156</v>
      </c>
      <c r="H152" s="42" t="s">
        <v>157</v>
      </c>
      <c r="I152" s="43">
        <v>1</v>
      </c>
      <c r="J152" s="43">
        <v>1</v>
      </c>
      <c r="K152" s="25" t="str">
        <f>VLOOKUP(J152,Key!$E$2:$F$9,2,FALSE)</f>
        <v>Home</v>
      </c>
      <c r="L152" s="42" t="s">
        <v>164</v>
      </c>
      <c r="M152" s="43" t="s">
        <v>156</v>
      </c>
      <c r="N152" s="42" t="s">
        <v>157</v>
      </c>
      <c r="O152" s="43">
        <v>2</v>
      </c>
      <c r="P152" s="43">
        <v>2</v>
      </c>
      <c r="Q152" s="25" t="str">
        <f>VLOOKUP(P152,Key!$E$2:$F$9,2,FALSE)</f>
        <v>Work</v>
      </c>
      <c r="R152" s="25" t="str">
        <f t="shared" si="2"/>
        <v>Home-Work</v>
      </c>
      <c r="S152" s="52">
        <v>3.5</v>
      </c>
      <c r="T152" s="52">
        <v>0.1</v>
      </c>
      <c r="U152" s="43">
        <v>2</v>
      </c>
      <c r="V152" s="43"/>
      <c r="W152" s="52"/>
      <c r="X152" s="52"/>
      <c r="Y152" s="53" t="s">
        <v>158</v>
      </c>
      <c r="Z152" s="54">
        <v>1000</v>
      </c>
      <c r="AA152" s="25"/>
      <c r="AB152" s="25"/>
    </row>
    <row r="153" spans="1:28">
      <c r="B153" s="40">
        <v>0.39583333333333331</v>
      </c>
      <c r="C153" s="40" t="s">
        <v>644</v>
      </c>
      <c r="D153" s="41">
        <v>3</v>
      </c>
      <c r="E153" s="42">
        <v>2</v>
      </c>
      <c r="F153" s="42" t="s">
        <v>155</v>
      </c>
      <c r="G153" s="43" t="s">
        <v>156</v>
      </c>
      <c r="H153" s="42" t="s">
        <v>157</v>
      </c>
      <c r="I153" s="43">
        <v>1</v>
      </c>
      <c r="J153" s="43">
        <v>1</v>
      </c>
      <c r="K153" s="25" t="str">
        <f>VLOOKUP(J153,Key!$E$2:$F$9,2,FALSE)</f>
        <v>Home</v>
      </c>
      <c r="L153" s="42" t="s">
        <v>150</v>
      </c>
      <c r="M153" s="43" t="s">
        <v>156</v>
      </c>
      <c r="N153" s="42" t="s">
        <v>157</v>
      </c>
      <c r="O153" s="43">
        <v>3</v>
      </c>
      <c r="P153" s="43">
        <v>2</v>
      </c>
      <c r="Q153" s="25" t="str">
        <f>VLOOKUP(P153,Key!$E$2:$F$9,2,FALSE)</f>
        <v>Work</v>
      </c>
      <c r="R153" s="25" t="str">
        <f t="shared" si="2"/>
        <v>Home-Work</v>
      </c>
      <c r="S153" s="52">
        <v>0.5</v>
      </c>
      <c r="T153" s="52">
        <v>0.1</v>
      </c>
      <c r="U153" s="43">
        <v>2</v>
      </c>
      <c r="V153" s="43"/>
      <c r="W153" s="52"/>
      <c r="X153" s="52"/>
      <c r="Y153" s="53" t="s">
        <v>158</v>
      </c>
      <c r="Z153" s="54">
        <v>1000</v>
      </c>
      <c r="AA153" s="25"/>
      <c r="AB153" s="25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145"/>
  <sheetViews>
    <sheetView zoomScale="91" zoomScaleNormal="91" zoomScaleSheetLayoutView="80" workbookViewId="0">
      <selection activeCell="B9" sqref="B9:AB105"/>
    </sheetView>
  </sheetViews>
  <sheetFormatPr defaultRowHeight="12.75"/>
  <cols>
    <col min="1" max="1" width="2.7109375" customWidth="1"/>
    <col min="2" max="2" width="7.28515625" customWidth="1"/>
    <col min="3" max="3" width="10.28515625" customWidth="1"/>
    <col min="4" max="4" width="9.7109375" customWidth="1"/>
    <col min="5" max="5" width="11.5703125" customWidth="1"/>
    <col min="6" max="6" width="15.28515625" customWidth="1"/>
    <col min="7" max="7" width="11.7109375" customWidth="1"/>
    <col min="8" max="8" width="9" customWidth="1"/>
    <col min="9" max="9" width="8.85546875" customWidth="1"/>
    <col min="10" max="10" width="8.42578125" customWidth="1"/>
    <col min="11" max="11" width="10" customWidth="1"/>
    <col min="12" max="12" width="15.7109375" customWidth="1"/>
    <col min="13" max="13" width="11.7109375" customWidth="1"/>
    <col min="14" max="14" width="12.140625" customWidth="1"/>
    <col min="15" max="16" width="9.28515625" customWidth="1"/>
    <col min="17" max="17" width="12.7109375" customWidth="1"/>
    <col min="18" max="18" width="15.140625" customWidth="1"/>
    <col min="19" max="21" width="9.28515625" customWidth="1"/>
    <col min="22" max="22" width="11.140625" customWidth="1"/>
    <col min="23" max="23" width="11" customWidth="1"/>
    <col min="24" max="24" width="10.7109375" customWidth="1"/>
    <col min="25" max="25" width="10.5703125" customWidth="1"/>
    <col min="26" max="26" width="10.7109375" customWidth="1"/>
    <col min="27" max="27" width="8.42578125" customWidth="1"/>
    <col min="28" max="28" width="8" customWidth="1"/>
  </cols>
  <sheetData>
    <row r="1" spans="2:35" s="1" customFormat="1" ht="15.75">
      <c r="B1" s="107" t="s">
        <v>129</v>
      </c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6"/>
      <c r="AD1" s="6"/>
      <c r="AE1" s="6"/>
      <c r="AF1" s="6"/>
      <c r="AG1" s="6"/>
      <c r="AH1" s="6"/>
      <c r="AI1" s="6"/>
    </row>
    <row r="2" spans="2:35" ht="15">
      <c r="B2" s="107" t="s">
        <v>1</v>
      </c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7"/>
      <c r="AD2" s="7"/>
      <c r="AE2" s="7"/>
      <c r="AF2" s="7"/>
      <c r="AG2" s="7"/>
      <c r="AH2" s="7"/>
      <c r="AI2" s="7"/>
    </row>
    <row r="3" spans="2:35" ht="15"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2:35" ht="15" customHeight="1">
      <c r="B4" s="26" t="s">
        <v>2</v>
      </c>
      <c r="C4" s="38" t="str">
        <f>'12.10 BUDDO-KITEMU'!C4</f>
        <v>12.10.19</v>
      </c>
      <c r="E4" s="1" t="s">
        <v>66</v>
      </c>
      <c r="F4" s="134" t="str">
        <f>'12.10 BUDDO-KITEMU'!F4:G4</f>
        <v>BUDO ROAD</v>
      </c>
      <c r="G4" s="135"/>
      <c r="I4" s="27" t="s">
        <v>67</v>
      </c>
      <c r="J4" s="5"/>
      <c r="K4" s="5"/>
      <c r="L4" s="56" t="s">
        <v>150</v>
      </c>
      <c r="M4" s="2"/>
      <c r="N4" s="1" t="s">
        <v>69</v>
      </c>
      <c r="O4" s="119" t="s">
        <v>645</v>
      </c>
      <c r="P4" s="120"/>
      <c r="Q4" s="120"/>
      <c r="R4" s="120"/>
      <c r="S4" s="120"/>
      <c r="T4" s="120"/>
      <c r="V4" s="1" t="s">
        <v>70</v>
      </c>
      <c r="W4" s="59" t="str">
        <f>'12.10 BUDDO-KITEMU'!W4</f>
        <v>FLORENCE</v>
      </c>
      <c r="Y4" s="27" t="s">
        <v>6</v>
      </c>
      <c r="Z4" s="39" t="str">
        <f>'12.10 BUDDO-KITEMU'!Z4</f>
        <v>DAVID</v>
      </c>
      <c r="AA4" s="32" t="s">
        <v>7</v>
      </c>
      <c r="AB4" s="39" t="str">
        <f>'12.10 BUDDO-KITEMU'!AB4</f>
        <v>Bakole Deo</v>
      </c>
      <c r="AE4" s="10"/>
      <c r="AF4" s="5"/>
    </row>
    <row r="5" spans="2:35" ht="15" customHeight="1">
      <c r="B5" s="2"/>
      <c r="C5" s="2"/>
      <c r="D5" s="2"/>
      <c r="E5" s="22"/>
      <c r="F5" s="2"/>
      <c r="G5" s="2"/>
      <c r="I5" s="28" t="s">
        <v>68</v>
      </c>
      <c r="J5" s="2"/>
      <c r="K5" s="2"/>
      <c r="L5" s="57" t="s">
        <v>207</v>
      </c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2:35" ht="13.5" thickBot="1"/>
    <row r="7" spans="2:35" ht="30.75" customHeight="1">
      <c r="B7" s="125" t="s">
        <v>34</v>
      </c>
      <c r="C7" s="110" t="s">
        <v>57</v>
      </c>
      <c r="D7" s="108" t="s">
        <v>9</v>
      </c>
      <c r="E7" s="110" t="s">
        <v>35</v>
      </c>
      <c r="F7" s="121" t="s">
        <v>12</v>
      </c>
      <c r="G7" s="122"/>
      <c r="H7" s="123"/>
      <c r="I7" s="108" t="s">
        <v>60</v>
      </c>
      <c r="J7" s="110" t="s">
        <v>15</v>
      </c>
      <c r="K7" s="110" t="s">
        <v>130</v>
      </c>
      <c r="L7" s="121" t="s">
        <v>17</v>
      </c>
      <c r="M7" s="122"/>
      <c r="N7" s="123"/>
      <c r="O7" s="108" t="s">
        <v>61</v>
      </c>
      <c r="P7" s="110" t="s">
        <v>18</v>
      </c>
      <c r="Q7" s="110" t="s">
        <v>131</v>
      </c>
      <c r="R7" s="110" t="s">
        <v>132</v>
      </c>
      <c r="S7" s="110" t="s">
        <v>134</v>
      </c>
      <c r="T7" s="110" t="s">
        <v>133</v>
      </c>
      <c r="U7" s="110" t="s">
        <v>62</v>
      </c>
      <c r="V7" s="114" t="s">
        <v>65</v>
      </c>
      <c r="W7" s="115"/>
      <c r="X7" s="116"/>
      <c r="Y7" s="110" t="s">
        <v>64</v>
      </c>
      <c r="Z7" s="110" t="s">
        <v>137</v>
      </c>
      <c r="AA7" s="108" t="s">
        <v>20</v>
      </c>
      <c r="AB7" s="112" t="s">
        <v>21</v>
      </c>
      <c r="AD7" s="19"/>
    </row>
    <row r="8" spans="2:35" ht="38.25" customHeight="1">
      <c r="B8" s="126"/>
      <c r="C8" s="111"/>
      <c r="D8" s="109"/>
      <c r="E8" s="124"/>
      <c r="F8" s="23" t="s">
        <v>71</v>
      </c>
      <c r="G8" s="23" t="s">
        <v>58</v>
      </c>
      <c r="H8" s="24" t="s">
        <v>59</v>
      </c>
      <c r="I8" s="109"/>
      <c r="J8" s="111"/>
      <c r="K8" s="111"/>
      <c r="L8" s="23" t="s">
        <v>71</v>
      </c>
      <c r="M8" s="23" t="s">
        <v>58</v>
      </c>
      <c r="N8" s="23" t="s">
        <v>59</v>
      </c>
      <c r="O8" s="109"/>
      <c r="P8" s="111"/>
      <c r="Q8" s="111"/>
      <c r="R8" s="111"/>
      <c r="S8" s="111"/>
      <c r="T8" s="111"/>
      <c r="U8" s="111"/>
      <c r="V8" s="29" t="s">
        <v>63</v>
      </c>
      <c r="W8" s="30" t="s">
        <v>135</v>
      </c>
      <c r="X8" s="30" t="s">
        <v>136</v>
      </c>
      <c r="Y8" s="111"/>
      <c r="Z8" s="111"/>
      <c r="AA8" s="109"/>
      <c r="AB8" s="113"/>
    </row>
    <row r="9" spans="2:35" s="19" customFormat="1">
      <c r="B9" s="40">
        <v>0.20902777777777778</v>
      </c>
      <c r="C9" s="40" t="s">
        <v>281</v>
      </c>
      <c r="D9" s="41">
        <v>1</v>
      </c>
      <c r="E9" s="42">
        <v>1</v>
      </c>
      <c r="F9" s="42" t="s">
        <v>150</v>
      </c>
      <c r="G9" s="43" t="s">
        <v>156</v>
      </c>
      <c r="H9" s="42" t="s">
        <v>157</v>
      </c>
      <c r="I9" s="43">
        <v>1</v>
      </c>
      <c r="J9" s="43">
        <v>1</v>
      </c>
      <c r="K9" s="25" t="str">
        <f>VLOOKUP(J9,Key!$E$2:$F$9,2,FALSE)</f>
        <v>Home</v>
      </c>
      <c r="L9" s="42" t="s">
        <v>207</v>
      </c>
      <c r="M9" s="43" t="s">
        <v>156</v>
      </c>
      <c r="N9" s="42" t="s">
        <v>157</v>
      </c>
      <c r="O9" s="43">
        <v>11</v>
      </c>
      <c r="P9" s="43">
        <v>2</v>
      </c>
      <c r="Q9" s="25" t="str">
        <f>VLOOKUP(P9,Key!$E$2:$F$9,2,FALSE)</f>
        <v>Work</v>
      </c>
      <c r="R9" s="25" t="str">
        <f>K9&amp;"-"&amp;Q9</f>
        <v>Home-Work</v>
      </c>
      <c r="S9" s="52">
        <v>20</v>
      </c>
      <c r="T9" s="52">
        <v>1</v>
      </c>
      <c r="U9" s="43">
        <v>2</v>
      </c>
      <c r="V9" s="43"/>
      <c r="W9" s="52"/>
      <c r="X9" s="52"/>
      <c r="Y9" s="53" t="s">
        <v>158</v>
      </c>
      <c r="Z9" s="54">
        <v>1000</v>
      </c>
      <c r="AA9" s="25"/>
      <c r="AB9" s="25"/>
    </row>
    <row r="10" spans="2:35">
      <c r="B10" s="40">
        <v>0.22500000000000001</v>
      </c>
      <c r="C10" s="40" t="s">
        <v>280</v>
      </c>
      <c r="D10" s="41">
        <v>3</v>
      </c>
      <c r="E10" s="42">
        <v>2</v>
      </c>
      <c r="F10" s="42" t="s">
        <v>187</v>
      </c>
      <c r="G10" s="43" t="s">
        <v>187</v>
      </c>
      <c r="H10" s="42" t="s">
        <v>157</v>
      </c>
      <c r="I10" s="43">
        <v>2</v>
      </c>
      <c r="J10" s="43">
        <v>2</v>
      </c>
      <c r="K10" s="25" t="str">
        <f>VLOOKUP(J10,Key!$E$2:$F$9,2,FALSE)</f>
        <v>Work</v>
      </c>
      <c r="L10" s="42" t="s">
        <v>207</v>
      </c>
      <c r="M10" s="43" t="s">
        <v>156</v>
      </c>
      <c r="N10" s="42" t="s">
        <v>157</v>
      </c>
      <c r="O10" s="43">
        <v>1</v>
      </c>
      <c r="P10" s="43">
        <v>1</v>
      </c>
      <c r="Q10" s="25" t="str">
        <f>VLOOKUP(P10,Key!$E$2:$F$9,2,FALSE)</f>
        <v>Home</v>
      </c>
      <c r="R10" s="25" t="str">
        <f t="shared" ref="R10:R37" si="0">K10&amp;"-"&amp;Q10</f>
        <v>Work-Home</v>
      </c>
      <c r="S10" s="52">
        <v>20</v>
      </c>
      <c r="T10" s="52">
        <v>2</v>
      </c>
      <c r="U10" s="43">
        <v>3</v>
      </c>
      <c r="V10" s="43"/>
      <c r="W10" s="52"/>
      <c r="X10" s="52"/>
      <c r="Y10" s="53" t="s">
        <v>158</v>
      </c>
      <c r="Z10" s="54">
        <v>0</v>
      </c>
      <c r="AA10" s="25"/>
      <c r="AB10" s="25"/>
    </row>
    <row r="11" spans="2:35">
      <c r="B11" s="40">
        <v>0.96388888888888891</v>
      </c>
      <c r="C11" s="40" t="s">
        <v>646</v>
      </c>
      <c r="D11" s="41">
        <v>1</v>
      </c>
      <c r="E11" s="42">
        <v>1</v>
      </c>
      <c r="F11" s="42" t="s">
        <v>207</v>
      </c>
      <c r="G11" s="43" t="s">
        <v>156</v>
      </c>
      <c r="H11" s="42" t="s">
        <v>157</v>
      </c>
      <c r="I11" s="43">
        <v>2</v>
      </c>
      <c r="J11" s="43">
        <v>2</v>
      </c>
      <c r="K11" s="25" t="str">
        <f>VLOOKUP(J11,Key!$E$2:$F$9,2,FALSE)</f>
        <v>Work</v>
      </c>
      <c r="L11" s="42" t="s">
        <v>160</v>
      </c>
      <c r="M11" s="43" t="s">
        <v>156</v>
      </c>
      <c r="N11" s="42" t="s">
        <v>157</v>
      </c>
      <c r="O11" s="43">
        <v>1</v>
      </c>
      <c r="P11" s="43">
        <v>1</v>
      </c>
      <c r="Q11" s="25" t="str">
        <f>VLOOKUP(P11,Key!$E$2:$F$9,2,FALSE)</f>
        <v>Home</v>
      </c>
      <c r="R11" s="25" t="str">
        <f t="shared" si="0"/>
        <v>Work-Home</v>
      </c>
      <c r="S11" s="52">
        <v>15</v>
      </c>
      <c r="T11" s="52">
        <v>1</v>
      </c>
      <c r="U11" s="43"/>
      <c r="V11" s="43"/>
      <c r="W11" s="52"/>
      <c r="X11" s="52"/>
      <c r="Y11" s="53" t="s">
        <v>158</v>
      </c>
      <c r="Z11" s="54">
        <v>2000</v>
      </c>
      <c r="AA11" s="25"/>
      <c r="AB11" s="25"/>
    </row>
    <row r="12" spans="2:35">
      <c r="B12" s="40">
        <v>0.8125</v>
      </c>
      <c r="C12" s="40" t="s">
        <v>647</v>
      </c>
      <c r="D12" s="41">
        <v>1</v>
      </c>
      <c r="E12" s="42">
        <v>1</v>
      </c>
      <c r="F12" s="42" t="s">
        <v>162</v>
      </c>
      <c r="G12" s="43" t="s">
        <v>156</v>
      </c>
      <c r="H12" s="42" t="s">
        <v>157</v>
      </c>
      <c r="I12" s="43">
        <v>2</v>
      </c>
      <c r="J12" s="43">
        <v>2</v>
      </c>
      <c r="K12" s="25" t="str">
        <f>VLOOKUP(J12,Key!$E$2:$F$9,2,FALSE)</f>
        <v>Work</v>
      </c>
      <c r="L12" s="42" t="s">
        <v>155</v>
      </c>
      <c r="M12" s="43" t="s">
        <v>156</v>
      </c>
      <c r="N12" s="42" t="s">
        <v>157</v>
      </c>
      <c r="O12" s="43">
        <v>1</v>
      </c>
      <c r="P12" s="43">
        <v>1</v>
      </c>
      <c r="Q12" s="25" t="str">
        <f>VLOOKUP(P12,Key!$E$2:$F$9,2,FALSE)</f>
        <v>Home</v>
      </c>
      <c r="R12" s="25" t="str">
        <f t="shared" si="0"/>
        <v>Work-Home</v>
      </c>
      <c r="S12" s="52">
        <v>8</v>
      </c>
      <c r="T12" s="52">
        <v>1</v>
      </c>
      <c r="U12" s="43">
        <v>1</v>
      </c>
      <c r="V12" s="43"/>
      <c r="W12" s="52"/>
      <c r="X12" s="52"/>
      <c r="Y12" s="53" t="s">
        <v>158</v>
      </c>
      <c r="Z12" s="54">
        <v>1000</v>
      </c>
      <c r="AA12" s="25"/>
      <c r="AB12" s="25"/>
    </row>
    <row r="13" spans="2:35">
      <c r="B13" s="40">
        <v>0.7944444444444444</v>
      </c>
      <c r="C13" s="40" t="s">
        <v>648</v>
      </c>
      <c r="D13" s="41">
        <v>1</v>
      </c>
      <c r="E13" s="42">
        <v>2</v>
      </c>
      <c r="F13" s="42" t="s">
        <v>339</v>
      </c>
      <c r="G13" s="43" t="s">
        <v>187</v>
      </c>
      <c r="H13" s="42" t="s">
        <v>157</v>
      </c>
      <c r="I13" s="43">
        <v>2</v>
      </c>
      <c r="J13" s="43">
        <v>2</v>
      </c>
      <c r="K13" s="25" t="str">
        <f>VLOOKUP(J13,Key!$E$2:$F$9,2,FALSE)</f>
        <v>Work</v>
      </c>
      <c r="L13" s="42" t="s">
        <v>160</v>
      </c>
      <c r="M13" s="43" t="s">
        <v>156</v>
      </c>
      <c r="N13" s="42" t="s">
        <v>157</v>
      </c>
      <c r="O13" s="43">
        <v>1</v>
      </c>
      <c r="P13" s="43">
        <v>1</v>
      </c>
      <c r="Q13" s="25" t="str">
        <f>VLOOKUP(P13,Key!$E$2:$F$9,2,FALSE)</f>
        <v>Home</v>
      </c>
      <c r="R13" s="25" t="str">
        <f t="shared" si="0"/>
        <v>Work-Home</v>
      </c>
      <c r="S13" s="52">
        <v>8</v>
      </c>
      <c r="T13" s="52">
        <v>1</v>
      </c>
      <c r="U13" s="43">
        <v>1</v>
      </c>
      <c r="V13" s="43"/>
      <c r="W13" s="52"/>
      <c r="X13" s="52"/>
      <c r="Y13" s="53" t="s">
        <v>158</v>
      </c>
      <c r="Z13" s="54">
        <v>2000</v>
      </c>
      <c r="AA13" s="25"/>
      <c r="AB13" s="25"/>
    </row>
    <row r="14" spans="2:35">
      <c r="B14" s="40">
        <v>0.81666666666666676</v>
      </c>
      <c r="C14" s="40" t="s">
        <v>649</v>
      </c>
      <c r="D14" s="41">
        <v>1</v>
      </c>
      <c r="E14" s="42">
        <v>2</v>
      </c>
      <c r="F14" s="42" t="s">
        <v>650</v>
      </c>
      <c r="G14" s="43" t="s">
        <v>345</v>
      </c>
      <c r="H14" s="42" t="s">
        <v>157</v>
      </c>
      <c r="I14" s="43">
        <v>11</v>
      </c>
      <c r="J14" s="43">
        <v>2</v>
      </c>
      <c r="K14" s="25" t="str">
        <f>VLOOKUP(J14,Key!$E$2:$F$9,2,FALSE)</f>
        <v>Work</v>
      </c>
      <c r="L14" s="42" t="s">
        <v>155</v>
      </c>
      <c r="M14" s="43" t="s">
        <v>156</v>
      </c>
      <c r="N14" s="42" t="s">
        <v>157</v>
      </c>
      <c r="O14" s="43">
        <v>1</v>
      </c>
      <c r="P14" s="43">
        <v>1</v>
      </c>
      <c r="Q14" s="25" t="str">
        <f>VLOOKUP(P14,Key!$E$2:$F$9,2,FALSE)</f>
        <v>Home</v>
      </c>
      <c r="R14" s="25" t="str">
        <f t="shared" si="0"/>
        <v>Work-Home</v>
      </c>
      <c r="S14" s="52">
        <v>25</v>
      </c>
      <c r="T14" s="52">
        <v>1.5</v>
      </c>
      <c r="U14" s="43"/>
      <c r="V14" s="43"/>
      <c r="W14" s="52"/>
      <c r="X14" s="52"/>
      <c r="Y14" s="53" t="s">
        <v>158</v>
      </c>
      <c r="Z14" s="54">
        <v>0</v>
      </c>
      <c r="AA14" s="25"/>
      <c r="AB14" s="25"/>
    </row>
    <row r="15" spans="2:35">
      <c r="B15" s="40">
        <v>0.81388888888888899</v>
      </c>
      <c r="C15" s="40" t="s">
        <v>651</v>
      </c>
      <c r="D15" s="41">
        <v>8</v>
      </c>
      <c r="E15" s="42">
        <v>2</v>
      </c>
      <c r="F15" s="42" t="s">
        <v>197</v>
      </c>
      <c r="G15" s="43" t="s">
        <v>197</v>
      </c>
      <c r="H15" s="42" t="s">
        <v>157</v>
      </c>
      <c r="I15" s="43">
        <v>7</v>
      </c>
      <c r="J15" s="43">
        <v>4</v>
      </c>
      <c r="K15" s="25" t="str">
        <f>VLOOKUP(J15,Key!$E$2:$F$9,2,FALSE)</f>
        <v>Commercial</v>
      </c>
      <c r="L15" s="42" t="s">
        <v>150</v>
      </c>
      <c r="M15" s="43" t="s">
        <v>156</v>
      </c>
      <c r="N15" s="42" t="s">
        <v>157</v>
      </c>
      <c r="O15" s="43">
        <v>10</v>
      </c>
      <c r="P15" s="43">
        <v>4</v>
      </c>
      <c r="Q15" s="25" t="str">
        <f>VLOOKUP(P15,Key!$E$2:$F$9,2,FALSE)</f>
        <v>Commercial</v>
      </c>
      <c r="R15" s="25" t="str">
        <f t="shared" si="0"/>
        <v>Commercial-Commercial</v>
      </c>
      <c r="S15" s="52">
        <v>138</v>
      </c>
      <c r="T15" s="52">
        <v>3</v>
      </c>
      <c r="U15" s="43">
        <v>1</v>
      </c>
      <c r="V15" s="43">
        <v>4</v>
      </c>
      <c r="W15" s="52">
        <v>2</v>
      </c>
      <c r="X15" s="52">
        <v>7</v>
      </c>
      <c r="Y15" s="53" t="s">
        <v>158</v>
      </c>
      <c r="Z15" s="54">
        <v>0</v>
      </c>
      <c r="AA15" s="25"/>
      <c r="AB15" s="25"/>
    </row>
    <row r="16" spans="2:35">
      <c r="B16" s="40">
        <v>0.82291666666666663</v>
      </c>
      <c r="C16" s="40" t="s">
        <v>652</v>
      </c>
      <c r="D16" s="41">
        <v>1</v>
      </c>
      <c r="E16" s="42">
        <v>2</v>
      </c>
      <c r="F16" s="42" t="s">
        <v>339</v>
      </c>
      <c r="G16" s="43" t="s">
        <v>187</v>
      </c>
      <c r="H16" s="42" t="s">
        <v>157</v>
      </c>
      <c r="I16" s="43">
        <v>2</v>
      </c>
      <c r="J16" s="43">
        <v>2</v>
      </c>
      <c r="K16" s="25" t="str">
        <f>VLOOKUP(J16,Key!$E$2:$F$9,2,FALSE)</f>
        <v>Work</v>
      </c>
      <c r="L16" s="42" t="s">
        <v>150</v>
      </c>
      <c r="M16" s="43" t="s">
        <v>156</v>
      </c>
      <c r="N16" s="42" t="s">
        <v>157</v>
      </c>
      <c r="O16" s="43">
        <v>1</v>
      </c>
      <c r="P16" s="43">
        <v>1</v>
      </c>
      <c r="Q16" s="25" t="str">
        <f>VLOOKUP(P16,Key!$E$2:$F$9,2,FALSE)</f>
        <v>Home</v>
      </c>
      <c r="R16" s="25" t="str">
        <f t="shared" si="0"/>
        <v>Work-Home</v>
      </c>
      <c r="S16" s="52">
        <v>8</v>
      </c>
      <c r="T16" s="52">
        <v>1</v>
      </c>
      <c r="U16" s="43">
        <v>1</v>
      </c>
      <c r="V16" s="43"/>
      <c r="W16" s="52"/>
      <c r="X16" s="52"/>
      <c r="Y16" s="53" t="s">
        <v>385</v>
      </c>
      <c r="Z16" s="54">
        <v>0</v>
      </c>
      <c r="AA16" s="25"/>
      <c r="AB16" s="25"/>
    </row>
    <row r="17" spans="2:28">
      <c r="B17" s="40">
        <v>0.82638888888888884</v>
      </c>
      <c r="C17" s="40" t="s">
        <v>653</v>
      </c>
      <c r="D17" s="41">
        <v>1</v>
      </c>
      <c r="E17" s="42">
        <v>3</v>
      </c>
      <c r="F17" s="42" t="s">
        <v>247</v>
      </c>
      <c r="G17" s="43" t="s">
        <v>187</v>
      </c>
      <c r="H17" s="42" t="s">
        <v>157</v>
      </c>
      <c r="I17" s="43">
        <v>2</v>
      </c>
      <c r="J17" s="43">
        <v>2</v>
      </c>
      <c r="K17" s="25" t="str">
        <f>VLOOKUP(J17,Key!$E$2:$F$9,2,FALSE)</f>
        <v>Work</v>
      </c>
      <c r="L17" s="42" t="s">
        <v>207</v>
      </c>
      <c r="M17" s="43" t="s">
        <v>187</v>
      </c>
      <c r="N17" s="42" t="s">
        <v>157</v>
      </c>
      <c r="O17" s="43">
        <v>1</v>
      </c>
      <c r="P17" s="43">
        <v>1</v>
      </c>
      <c r="Q17" s="25" t="str">
        <f>VLOOKUP(P17,Key!$E$2:$F$9,2,FALSE)</f>
        <v>Home</v>
      </c>
      <c r="R17" s="25" t="str">
        <f t="shared" si="0"/>
        <v>Work-Home</v>
      </c>
      <c r="S17" s="52">
        <v>10</v>
      </c>
      <c r="T17" s="52">
        <v>1</v>
      </c>
      <c r="U17" s="43">
        <v>1</v>
      </c>
      <c r="V17" s="43"/>
      <c r="W17" s="52"/>
      <c r="X17" s="52"/>
      <c r="Y17" s="53" t="s">
        <v>158</v>
      </c>
      <c r="Z17" s="54">
        <v>0</v>
      </c>
      <c r="AA17" s="25"/>
      <c r="AB17" s="25"/>
    </row>
    <row r="18" spans="2:28">
      <c r="B18" s="40">
        <v>0.84166666666666667</v>
      </c>
      <c r="C18" s="40" t="s">
        <v>493</v>
      </c>
      <c r="D18" s="41">
        <v>2</v>
      </c>
      <c r="E18" s="42">
        <v>1</v>
      </c>
      <c r="F18" s="42" t="s">
        <v>224</v>
      </c>
      <c r="G18" s="43" t="s">
        <v>224</v>
      </c>
      <c r="H18" s="42" t="s">
        <v>157</v>
      </c>
      <c r="I18" s="43">
        <v>2</v>
      </c>
      <c r="J18" s="43">
        <v>2</v>
      </c>
      <c r="K18" s="25" t="str">
        <f>VLOOKUP(J18,Key!$E$2:$F$9,2,FALSE)</f>
        <v>Work</v>
      </c>
      <c r="L18" s="42" t="s">
        <v>654</v>
      </c>
      <c r="M18" s="43" t="s">
        <v>156</v>
      </c>
      <c r="N18" s="42" t="s">
        <v>157</v>
      </c>
      <c r="O18" s="43">
        <v>1</v>
      </c>
      <c r="P18" s="43">
        <v>1</v>
      </c>
      <c r="Q18" s="25" t="str">
        <f>VLOOKUP(P18,Key!$E$2:$F$9,2,FALSE)</f>
        <v>Home</v>
      </c>
      <c r="R18" s="25" t="str">
        <f t="shared" si="0"/>
        <v>Work-Home</v>
      </c>
      <c r="S18" s="52">
        <v>40</v>
      </c>
      <c r="T18" s="52">
        <v>1</v>
      </c>
      <c r="U18" s="43">
        <v>1</v>
      </c>
      <c r="V18" s="43"/>
      <c r="W18" s="52"/>
      <c r="X18" s="52"/>
      <c r="Y18" s="53" t="s">
        <v>158</v>
      </c>
      <c r="Z18" s="54">
        <v>3000</v>
      </c>
      <c r="AA18" s="25"/>
      <c r="AB18" s="25"/>
    </row>
    <row r="19" spans="2:28">
      <c r="B19" s="40">
        <v>0.84305555555555556</v>
      </c>
      <c r="C19" s="40" t="s">
        <v>655</v>
      </c>
      <c r="D19" s="41">
        <v>2</v>
      </c>
      <c r="E19" s="42">
        <v>2</v>
      </c>
      <c r="F19" s="42" t="s">
        <v>197</v>
      </c>
      <c r="G19" s="43" t="s">
        <v>197</v>
      </c>
      <c r="H19" s="42" t="s">
        <v>157</v>
      </c>
      <c r="I19" s="43">
        <v>2</v>
      </c>
      <c r="J19" s="43">
        <v>2</v>
      </c>
      <c r="K19" s="25" t="str">
        <f>VLOOKUP(J19,Key!$E$2:$F$9,2,FALSE)</f>
        <v>Work</v>
      </c>
      <c r="L19" s="42" t="s">
        <v>207</v>
      </c>
      <c r="M19" s="43" t="s">
        <v>156</v>
      </c>
      <c r="N19" s="42" t="s">
        <v>157</v>
      </c>
      <c r="O19" s="43">
        <v>1</v>
      </c>
      <c r="P19" s="43">
        <v>1</v>
      </c>
      <c r="Q19" s="25" t="str">
        <f>VLOOKUP(P19,Key!$E$2:$F$9,2,FALSE)</f>
        <v>Home</v>
      </c>
      <c r="R19" s="25" t="str">
        <f t="shared" si="0"/>
        <v>Work-Home</v>
      </c>
      <c r="S19" s="52">
        <v>138</v>
      </c>
      <c r="T19" s="52">
        <v>2</v>
      </c>
      <c r="U19" s="43">
        <v>1</v>
      </c>
      <c r="V19" s="43"/>
      <c r="W19" s="52"/>
      <c r="X19" s="52"/>
      <c r="Y19" s="53" t="s">
        <v>158</v>
      </c>
      <c r="Z19" s="54">
        <v>0</v>
      </c>
      <c r="AA19" s="25"/>
      <c r="AB19" s="25"/>
    </row>
    <row r="20" spans="2:28">
      <c r="B20" s="40">
        <v>0.84722222222222221</v>
      </c>
      <c r="C20" s="40" t="s">
        <v>656</v>
      </c>
      <c r="D20" s="41">
        <v>2</v>
      </c>
      <c r="E20" s="42">
        <v>2</v>
      </c>
      <c r="F20" s="42" t="s">
        <v>150</v>
      </c>
      <c r="G20" s="43" t="s">
        <v>156</v>
      </c>
      <c r="H20" s="42" t="s">
        <v>157</v>
      </c>
      <c r="I20" s="43">
        <v>11</v>
      </c>
      <c r="J20" s="43">
        <v>2</v>
      </c>
      <c r="K20" s="25" t="str">
        <f>VLOOKUP(J20,Key!$E$2:$F$9,2,FALSE)</f>
        <v>Work</v>
      </c>
      <c r="L20" s="42" t="s">
        <v>207</v>
      </c>
      <c r="M20" s="43" t="s">
        <v>156</v>
      </c>
      <c r="N20" s="42" t="s">
        <v>157</v>
      </c>
      <c r="O20" s="43">
        <v>1</v>
      </c>
      <c r="P20" s="43">
        <v>1</v>
      </c>
      <c r="Q20" s="25" t="str">
        <f>VLOOKUP(P20,Key!$E$2:$F$9,2,FALSE)</f>
        <v>Home</v>
      </c>
      <c r="R20" s="25" t="str">
        <f t="shared" si="0"/>
        <v>Work-Home</v>
      </c>
      <c r="S20" s="52">
        <v>3</v>
      </c>
      <c r="T20" s="52">
        <v>0.2</v>
      </c>
      <c r="U20" s="43">
        <v>1</v>
      </c>
      <c r="V20" s="43"/>
      <c r="W20" s="52"/>
      <c r="X20" s="52"/>
      <c r="Y20" s="53" t="s">
        <v>158</v>
      </c>
      <c r="Z20" s="54">
        <v>0</v>
      </c>
      <c r="AA20" s="25"/>
      <c r="AB20" s="25"/>
    </row>
    <row r="21" spans="2:28">
      <c r="B21" s="40">
        <v>0.85069444444444453</v>
      </c>
      <c r="C21" s="40" t="s">
        <v>657</v>
      </c>
      <c r="D21" s="41">
        <v>1</v>
      </c>
      <c r="E21" s="42">
        <v>1</v>
      </c>
      <c r="F21" s="42" t="s">
        <v>187</v>
      </c>
      <c r="G21" s="43" t="s">
        <v>187</v>
      </c>
      <c r="H21" s="42" t="s">
        <v>157</v>
      </c>
      <c r="I21" s="43">
        <v>2</v>
      </c>
      <c r="J21" s="43">
        <v>2</v>
      </c>
      <c r="K21" s="25" t="str">
        <f>VLOOKUP(J21,Key!$E$2:$F$9,2,FALSE)</f>
        <v>Work</v>
      </c>
      <c r="L21" s="42" t="s">
        <v>658</v>
      </c>
      <c r="M21" s="43" t="s">
        <v>156</v>
      </c>
      <c r="N21" s="42" t="s">
        <v>157</v>
      </c>
      <c r="O21" s="43">
        <v>1</v>
      </c>
      <c r="P21" s="43">
        <v>1</v>
      </c>
      <c r="Q21" s="25" t="str">
        <f>VLOOKUP(P21,Key!$E$2:$F$9,2,FALSE)</f>
        <v>Home</v>
      </c>
      <c r="R21" s="25" t="str">
        <f t="shared" si="0"/>
        <v>Work-Home</v>
      </c>
      <c r="S21" s="52">
        <v>9</v>
      </c>
      <c r="T21" s="52">
        <v>1</v>
      </c>
      <c r="U21" s="43">
        <v>1</v>
      </c>
      <c r="V21" s="43"/>
      <c r="W21" s="52"/>
      <c r="X21" s="52"/>
      <c r="Y21" s="53" t="s">
        <v>158</v>
      </c>
      <c r="Z21" s="54">
        <v>2000</v>
      </c>
      <c r="AA21" s="25"/>
      <c r="AB21" s="25"/>
    </row>
    <row r="22" spans="2:28">
      <c r="B22" s="40">
        <v>0.8534722222222223</v>
      </c>
      <c r="C22" s="40" t="s">
        <v>659</v>
      </c>
      <c r="D22" s="41">
        <v>1</v>
      </c>
      <c r="E22" s="42">
        <v>2</v>
      </c>
      <c r="F22" s="42" t="s">
        <v>187</v>
      </c>
      <c r="G22" s="43" t="s">
        <v>187</v>
      </c>
      <c r="H22" s="42" t="s">
        <v>157</v>
      </c>
      <c r="I22" s="43">
        <v>2</v>
      </c>
      <c r="J22" s="43">
        <v>2</v>
      </c>
      <c r="K22" s="25" t="str">
        <f>VLOOKUP(J22,Key!$E$2:$F$9,2,FALSE)</f>
        <v>Work</v>
      </c>
      <c r="L22" s="42" t="s">
        <v>226</v>
      </c>
      <c r="M22" s="43" t="s">
        <v>156</v>
      </c>
      <c r="N22" s="42" t="s">
        <v>157</v>
      </c>
      <c r="O22" s="43">
        <v>1</v>
      </c>
      <c r="P22" s="43">
        <v>1</v>
      </c>
      <c r="Q22" s="25" t="str">
        <f>VLOOKUP(P22,Key!$E$2:$F$9,2,FALSE)</f>
        <v>Home</v>
      </c>
      <c r="R22" s="25" t="str">
        <f t="shared" si="0"/>
        <v>Work-Home</v>
      </c>
      <c r="S22" s="52">
        <v>20</v>
      </c>
      <c r="T22" s="52">
        <v>1</v>
      </c>
      <c r="U22" s="43">
        <v>1</v>
      </c>
      <c r="V22" s="43"/>
      <c r="W22" s="52"/>
      <c r="X22" s="52"/>
      <c r="Y22" s="53" t="s">
        <v>158</v>
      </c>
      <c r="Z22" s="54">
        <v>1000</v>
      </c>
      <c r="AA22" s="25"/>
      <c r="AB22" s="25"/>
    </row>
    <row r="23" spans="2:28">
      <c r="B23" s="40">
        <v>0.86041666666666661</v>
      </c>
      <c r="C23" s="40" t="s">
        <v>660</v>
      </c>
      <c r="D23" s="41">
        <v>1</v>
      </c>
      <c r="E23" s="42">
        <v>1</v>
      </c>
      <c r="F23" s="42" t="s">
        <v>650</v>
      </c>
      <c r="G23" s="43" t="s">
        <v>224</v>
      </c>
      <c r="H23" s="42" t="s">
        <v>157</v>
      </c>
      <c r="I23" s="43">
        <v>16</v>
      </c>
      <c r="J23" s="43">
        <v>2</v>
      </c>
      <c r="K23" s="25" t="str">
        <f>VLOOKUP(J23,Key!$E$2:$F$9,2,FALSE)</f>
        <v>Work</v>
      </c>
      <c r="L23" s="42" t="s">
        <v>226</v>
      </c>
      <c r="M23" s="43" t="s">
        <v>156</v>
      </c>
      <c r="N23" s="42" t="s">
        <v>157</v>
      </c>
      <c r="O23" s="43">
        <v>1</v>
      </c>
      <c r="P23" s="43">
        <v>1</v>
      </c>
      <c r="Q23" s="25" t="str">
        <f>VLOOKUP(P23,Key!$E$2:$F$9,2,FALSE)</f>
        <v>Home</v>
      </c>
      <c r="R23" s="25" t="str">
        <f t="shared" si="0"/>
        <v>Work-Home</v>
      </c>
      <c r="S23" s="52">
        <v>85</v>
      </c>
      <c r="T23" s="52">
        <v>0.7</v>
      </c>
      <c r="U23" s="43">
        <v>1</v>
      </c>
      <c r="V23" s="43"/>
      <c r="W23" s="52"/>
      <c r="X23" s="52"/>
      <c r="Y23" s="53" t="s">
        <v>158</v>
      </c>
      <c r="Z23" s="54">
        <v>0</v>
      </c>
      <c r="AA23" s="25"/>
      <c r="AB23" s="25"/>
    </row>
    <row r="24" spans="2:28">
      <c r="B24" s="40">
        <v>0.86111111111111116</v>
      </c>
      <c r="C24" s="40" t="s">
        <v>661</v>
      </c>
      <c r="D24" s="41">
        <v>1</v>
      </c>
      <c r="E24" s="42">
        <v>1</v>
      </c>
      <c r="F24" s="42" t="s">
        <v>187</v>
      </c>
      <c r="G24" s="43" t="s">
        <v>187</v>
      </c>
      <c r="H24" s="42" t="s">
        <v>157</v>
      </c>
      <c r="I24" s="43">
        <v>2</v>
      </c>
      <c r="J24" s="43">
        <v>2</v>
      </c>
      <c r="K24" s="25" t="str">
        <f>VLOOKUP(J24,Key!$E$2:$F$9,2,FALSE)</f>
        <v>Work</v>
      </c>
      <c r="L24" s="42" t="s">
        <v>160</v>
      </c>
      <c r="M24" s="43" t="s">
        <v>156</v>
      </c>
      <c r="N24" s="42" t="s">
        <v>157</v>
      </c>
      <c r="O24" s="43">
        <v>1</v>
      </c>
      <c r="P24" s="43">
        <v>1</v>
      </c>
      <c r="Q24" s="25" t="str">
        <f>VLOOKUP(P24,Key!$E$2:$F$9,2,FALSE)</f>
        <v>Home</v>
      </c>
      <c r="R24" s="25" t="str">
        <f t="shared" si="0"/>
        <v>Work-Home</v>
      </c>
      <c r="S24" s="52">
        <v>22</v>
      </c>
      <c r="T24" s="52">
        <v>1</v>
      </c>
      <c r="U24" s="43">
        <v>1</v>
      </c>
      <c r="V24" s="43"/>
      <c r="W24" s="52"/>
      <c r="X24" s="52"/>
      <c r="Y24" s="53" t="s">
        <v>158</v>
      </c>
      <c r="Z24" s="54">
        <v>0</v>
      </c>
      <c r="AA24" s="25"/>
      <c r="AB24" s="25"/>
    </row>
    <row r="25" spans="2:28">
      <c r="B25" s="40">
        <v>0.86458333333333337</v>
      </c>
      <c r="C25" s="40" t="s">
        <v>662</v>
      </c>
      <c r="D25" s="41">
        <v>2</v>
      </c>
      <c r="E25" s="42">
        <v>5</v>
      </c>
      <c r="F25" s="42" t="s">
        <v>197</v>
      </c>
      <c r="G25" s="43" t="s">
        <v>197</v>
      </c>
      <c r="H25" s="42" t="s">
        <v>157</v>
      </c>
      <c r="I25" s="43">
        <v>16</v>
      </c>
      <c r="J25" s="43">
        <v>6</v>
      </c>
      <c r="K25" s="25" t="str">
        <f>VLOOKUP(J25,Key!$E$2:$F$9,2,FALSE)</f>
        <v>Leisure/Social</v>
      </c>
      <c r="L25" s="42" t="s">
        <v>215</v>
      </c>
      <c r="M25" s="43" t="s">
        <v>156</v>
      </c>
      <c r="N25" s="42" t="s">
        <v>157</v>
      </c>
      <c r="O25" s="43">
        <v>16</v>
      </c>
      <c r="P25" s="43">
        <v>1</v>
      </c>
      <c r="Q25" s="25" t="str">
        <f>VLOOKUP(P25,Key!$E$2:$F$9,2,FALSE)</f>
        <v>Home</v>
      </c>
      <c r="R25" s="25" t="str">
        <f t="shared" si="0"/>
        <v>Leisure/Social-Home</v>
      </c>
      <c r="S25" s="52">
        <v>250</v>
      </c>
      <c r="T25" s="52">
        <v>5</v>
      </c>
      <c r="U25" s="43">
        <v>6</v>
      </c>
      <c r="V25" s="43"/>
      <c r="W25" s="52"/>
      <c r="X25" s="52"/>
      <c r="Y25" s="53" t="s">
        <v>158</v>
      </c>
      <c r="Z25" s="54">
        <v>0</v>
      </c>
      <c r="AA25" s="25"/>
      <c r="AB25" s="25"/>
    </row>
    <row r="26" spans="2:28">
      <c r="B26" s="40">
        <v>0.875</v>
      </c>
      <c r="C26" s="40" t="s">
        <v>569</v>
      </c>
      <c r="D26" s="41">
        <v>2</v>
      </c>
      <c r="E26" s="42">
        <v>2</v>
      </c>
      <c r="F26" s="42" t="s">
        <v>187</v>
      </c>
      <c r="G26" s="43" t="s">
        <v>187</v>
      </c>
      <c r="H26" s="42" t="s">
        <v>157</v>
      </c>
      <c r="I26" s="43">
        <v>2</v>
      </c>
      <c r="J26" s="43">
        <v>2</v>
      </c>
      <c r="K26" s="25" t="str">
        <f>VLOOKUP(J26,Key!$E$2:$F$9,2,FALSE)</f>
        <v>Work</v>
      </c>
      <c r="L26" s="42" t="s">
        <v>155</v>
      </c>
      <c r="M26" s="43" t="s">
        <v>156</v>
      </c>
      <c r="N26" s="42" t="s">
        <v>157</v>
      </c>
      <c r="O26" s="43">
        <v>1</v>
      </c>
      <c r="P26" s="43">
        <v>1</v>
      </c>
      <c r="Q26" s="25" t="str">
        <f>VLOOKUP(P26,Key!$E$2:$F$9,2,FALSE)</f>
        <v>Home</v>
      </c>
      <c r="R26" s="25" t="str">
        <f t="shared" si="0"/>
        <v>Work-Home</v>
      </c>
      <c r="S26" s="52">
        <v>9</v>
      </c>
      <c r="T26" s="52">
        <v>1</v>
      </c>
      <c r="U26" s="43">
        <v>1</v>
      </c>
      <c r="V26" s="43"/>
      <c r="W26" s="52"/>
      <c r="X26" s="52"/>
      <c r="Y26" s="53" t="s">
        <v>158</v>
      </c>
      <c r="Z26" s="54">
        <v>0</v>
      </c>
      <c r="AA26" s="25"/>
      <c r="AB26" s="25"/>
    </row>
    <row r="27" spans="2:28">
      <c r="B27" s="40">
        <v>0.88888888888888884</v>
      </c>
      <c r="C27" s="40" t="s">
        <v>663</v>
      </c>
      <c r="D27" s="41">
        <v>1</v>
      </c>
      <c r="E27" s="42">
        <v>3</v>
      </c>
      <c r="F27" s="42" t="s">
        <v>187</v>
      </c>
      <c r="G27" s="43" t="s">
        <v>187</v>
      </c>
      <c r="H27" s="42" t="s">
        <v>157</v>
      </c>
      <c r="I27" s="43">
        <v>2</v>
      </c>
      <c r="J27" s="43">
        <v>2</v>
      </c>
      <c r="K27" s="25" t="str">
        <f>VLOOKUP(J27,Key!$E$2:$F$9,2,FALSE)</f>
        <v>Work</v>
      </c>
      <c r="L27" s="42" t="s">
        <v>150</v>
      </c>
      <c r="M27" s="43" t="s">
        <v>156</v>
      </c>
      <c r="N27" s="42" t="s">
        <v>157</v>
      </c>
      <c r="O27" s="43">
        <v>1</v>
      </c>
      <c r="P27" s="43">
        <v>1</v>
      </c>
      <c r="Q27" s="25" t="str">
        <f>VLOOKUP(P27,Key!$E$2:$F$9,2,FALSE)</f>
        <v>Home</v>
      </c>
      <c r="R27" s="25" t="str">
        <f t="shared" si="0"/>
        <v>Work-Home</v>
      </c>
      <c r="S27" s="52">
        <v>10</v>
      </c>
      <c r="T27" s="52">
        <v>1</v>
      </c>
      <c r="U27" s="43">
        <v>1</v>
      </c>
      <c r="V27" s="43">
        <v>12</v>
      </c>
      <c r="W27" s="52">
        <v>5</v>
      </c>
      <c r="X27" s="52"/>
      <c r="Y27" s="53" t="s">
        <v>158</v>
      </c>
      <c r="Z27" s="54">
        <v>0</v>
      </c>
      <c r="AA27" s="25"/>
      <c r="AB27" s="25"/>
    </row>
    <row r="28" spans="2:28">
      <c r="B28" s="40">
        <v>0.82986111111111116</v>
      </c>
      <c r="C28" s="40" t="s">
        <v>664</v>
      </c>
      <c r="D28" s="41">
        <v>1</v>
      </c>
      <c r="E28" s="42">
        <v>1</v>
      </c>
      <c r="F28" s="42" t="s">
        <v>164</v>
      </c>
      <c r="G28" s="43" t="s">
        <v>156</v>
      </c>
      <c r="H28" s="42" t="s">
        <v>157</v>
      </c>
      <c r="I28" s="43">
        <v>2</v>
      </c>
      <c r="J28" s="43">
        <v>2</v>
      </c>
      <c r="K28" s="25" t="str">
        <f>VLOOKUP(J28,Key!$E$2:$F$9,2,FALSE)</f>
        <v>Work</v>
      </c>
      <c r="L28" s="42" t="s">
        <v>155</v>
      </c>
      <c r="M28" s="43" t="s">
        <v>156</v>
      </c>
      <c r="N28" s="42" t="s">
        <v>157</v>
      </c>
      <c r="O28" s="43">
        <v>1</v>
      </c>
      <c r="P28" s="43">
        <v>1</v>
      </c>
      <c r="Q28" s="25" t="str">
        <f>VLOOKUP(P28,Key!$E$2:$F$9,2,FALSE)</f>
        <v>Home</v>
      </c>
      <c r="R28" s="25" t="str">
        <f t="shared" si="0"/>
        <v>Work-Home</v>
      </c>
      <c r="S28" s="52">
        <v>120</v>
      </c>
      <c r="T28" s="52">
        <v>7</v>
      </c>
      <c r="U28" s="43">
        <v>1</v>
      </c>
      <c r="V28" s="43"/>
      <c r="W28" s="52"/>
      <c r="X28" s="52"/>
      <c r="Y28" s="53" t="s">
        <v>158</v>
      </c>
      <c r="Z28" s="54">
        <v>0</v>
      </c>
      <c r="AA28" s="25"/>
      <c r="AB28" s="25"/>
    </row>
    <row r="29" spans="2:28">
      <c r="B29" s="40">
        <v>0.84166666666666667</v>
      </c>
      <c r="C29" s="40" t="s">
        <v>665</v>
      </c>
      <c r="D29" s="41">
        <v>1</v>
      </c>
      <c r="E29" s="42">
        <v>1</v>
      </c>
      <c r="F29" s="42" t="s">
        <v>216</v>
      </c>
      <c r="G29" s="43" t="s">
        <v>224</v>
      </c>
      <c r="H29" s="42" t="s">
        <v>157</v>
      </c>
      <c r="I29" s="43">
        <v>1</v>
      </c>
      <c r="J29" s="43">
        <v>1</v>
      </c>
      <c r="K29" s="25" t="str">
        <f>VLOOKUP(J29,Key!$E$2:$F$9,2,FALSE)</f>
        <v>Home</v>
      </c>
      <c r="L29" s="42" t="s">
        <v>160</v>
      </c>
      <c r="M29" s="43" t="s">
        <v>156</v>
      </c>
      <c r="N29" s="42" t="s">
        <v>157</v>
      </c>
      <c r="O29" s="43">
        <v>1</v>
      </c>
      <c r="P29" s="43">
        <v>1</v>
      </c>
      <c r="Q29" s="25" t="str">
        <f>VLOOKUP(P29,Key!$E$2:$F$9,2,FALSE)</f>
        <v>Home</v>
      </c>
      <c r="R29" s="25" t="str">
        <f t="shared" si="0"/>
        <v>Home-Home</v>
      </c>
      <c r="S29" s="52">
        <v>20</v>
      </c>
      <c r="T29" s="52">
        <v>1</v>
      </c>
      <c r="U29" s="43">
        <v>1</v>
      </c>
      <c r="V29" s="43"/>
      <c r="W29" s="52"/>
      <c r="X29" s="52"/>
      <c r="Y29" s="53" t="s">
        <v>158</v>
      </c>
      <c r="Z29" s="54">
        <v>1000</v>
      </c>
      <c r="AA29" s="25"/>
      <c r="AB29" s="25"/>
    </row>
    <row r="30" spans="2:28">
      <c r="B30" s="40">
        <v>0.89583333333333337</v>
      </c>
      <c r="C30" s="40" t="s">
        <v>666</v>
      </c>
      <c r="D30" s="41">
        <v>1</v>
      </c>
      <c r="E30" s="42">
        <v>2</v>
      </c>
      <c r="F30" s="42" t="s">
        <v>187</v>
      </c>
      <c r="G30" s="43" t="s">
        <v>187</v>
      </c>
      <c r="H30" s="42" t="s">
        <v>157</v>
      </c>
      <c r="I30" s="43">
        <v>2</v>
      </c>
      <c r="J30" s="43">
        <v>2</v>
      </c>
      <c r="K30" s="25" t="str">
        <f>VLOOKUP(J30,Key!$E$2:$F$9,2,FALSE)</f>
        <v>Work</v>
      </c>
      <c r="L30" s="42" t="s">
        <v>150</v>
      </c>
      <c r="M30" s="43" t="s">
        <v>156</v>
      </c>
      <c r="N30" s="42" t="s">
        <v>157</v>
      </c>
      <c r="O30" s="43">
        <v>1</v>
      </c>
      <c r="P30" s="43">
        <v>1</v>
      </c>
      <c r="Q30" s="25" t="str">
        <f>VLOOKUP(P30,Key!$E$2:$F$9,2,FALSE)</f>
        <v>Home</v>
      </c>
      <c r="R30" s="25" t="str">
        <f t="shared" si="0"/>
        <v>Work-Home</v>
      </c>
      <c r="S30" s="52">
        <v>10</v>
      </c>
      <c r="T30" s="52">
        <v>1</v>
      </c>
      <c r="U30" s="43">
        <v>1</v>
      </c>
      <c r="V30" s="43"/>
      <c r="W30" s="52"/>
      <c r="X30" s="52"/>
      <c r="Y30" s="53" t="s">
        <v>158</v>
      </c>
      <c r="Z30" s="54">
        <v>0</v>
      </c>
      <c r="AA30" s="25"/>
      <c r="AB30" s="25"/>
    </row>
    <row r="31" spans="2:28">
      <c r="B31" s="40">
        <v>0.89930555555555547</v>
      </c>
      <c r="C31" s="40" t="s">
        <v>667</v>
      </c>
      <c r="D31" s="41">
        <v>1</v>
      </c>
      <c r="E31" s="42">
        <v>2</v>
      </c>
      <c r="F31" s="42" t="s">
        <v>150</v>
      </c>
      <c r="G31" s="43" t="s">
        <v>156</v>
      </c>
      <c r="H31" s="42" t="s">
        <v>157</v>
      </c>
      <c r="I31" s="43">
        <v>2</v>
      </c>
      <c r="J31" s="43">
        <v>2</v>
      </c>
      <c r="K31" s="25" t="str">
        <f>VLOOKUP(J31,Key!$E$2:$F$9,2,FALSE)</f>
        <v>Work</v>
      </c>
      <c r="L31" s="42" t="s">
        <v>155</v>
      </c>
      <c r="M31" s="43" t="s">
        <v>156</v>
      </c>
      <c r="N31" s="42" t="s">
        <v>157</v>
      </c>
      <c r="O31" s="43">
        <v>1</v>
      </c>
      <c r="P31" s="43">
        <v>1</v>
      </c>
      <c r="Q31" s="25" t="str">
        <f>VLOOKUP(P31,Key!$E$2:$F$9,2,FALSE)</f>
        <v>Home</v>
      </c>
      <c r="R31" s="25" t="str">
        <f t="shared" si="0"/>
        <v>Work-Home</v>
      </c>
      <c r="S31" s="52">
        <v>3</v>
      </c>
      <c r="T31" s="52">
        <v>1</v>
      </c>
      <c r="U31" s="43">
        <v>1</v>
      </c>
      <c r="V31" s="43"/>
      <c r="W31" s="52"/>
      <c r="X31" s="52"/>
      <c r="Y31" s="53" t="s">
        <v>158</v>
      </c>
      <c r="Z31" s="54">
        <v>1000</v>
      </c>
      <c r="AA31" s="25"/>
      <c r="AB31" s="25"/>
    </row>
    <row r="32" spans="2:28">
      <c r="B32" s="40">
        <v>0.90625</v>
      </c>
      <c r="C32" s="40" t="s">
        <v>284</v>
      </c>
      <c r="D32" s="41">
        <v>2</v>
      </c>
      <c r="E32" s="42">
        <v>4</v>
      </c>
      <c r="F32" s="42" t="s">
        <v>216</v>
      </c>
      <c r="G32" s="43" t="s">
        <v>156</v>
      </c>
      <c r="H32" s="42" t="s">
        <v>157</v>
      </c>
      <c r="I32" s="43">
        <v>2</v>
      </c>
      <c r="J32" s="43">
        <v>2</v>
      </c>
      <c r="K32" s="25" t="str">
        <f>VLOOKUP(J32,Key!$E$2:$F$9,2,FALSE)</f>
        <v>Work</v>
      </c>
      <c r="L32" s="42" t="s">
        <v>155</v>
      </c>
      <c r="M32" s="43" t="s">
        <v>156</v>
      </c>
      <c r="N32" s="42" t="s">
        <v>157</v>
      </c>
      <c r="O32" s="43">
        <v>1</v>
      </c>
      <c r="P32" s="43">
        <v>1</v>
      </c>
      <c r="Q32" s="25" t="str">
        <f>VLOOKUP(P32,Key!$E$2:$F$9,2,FALSE)</f>
        <v>Home</v>
      </c>
      <c r="R32" s="25" t="str">
        <f t="shared" si="0"/>
        <v>Work-Home</v>
      </c>
      <c r="S32" s="52">
        <v>8</v>
      </c>
      <c r="T32" s="52">
        <v>1</v>
      </c>
      <c r="U32" s="43">
        <v>1</v>
      </c>
      <c r="V32" s="43"/>
      <c r="W32" s="52"/>
      <c r="X32" s="52"/>
      <c r="Y32" s="53" t="s">
        <v>158</v>
      </c>
      <c r="Z32" s="54">
        <v>2000</v>
      </c>
      <c r="AA32" s="25"/>
      <c r="AB32" s="25"/>
    </row>
    <row r="33" spans="2:28">
      <c r="B33" s="40">
        <v>0.90972222222222221</v>
      </c>
      <c r="C33" s="40" t="s">
        <v>668</v>
      </c>
      <c r="D33" s="41">
        <v>1</v>
      </c>
      <c r="E33" s="42">
        <v>2</v>
      </c>
      <c r="F33" s="42" t="s">
        <v>187</v>
      </c>
      <c r="G33" s="43" t="s">
        <v>187</v>
      </c>
      <c r="H33" s="42" t="s">
        <v>157</v>
      </c>
      <c r="I33" s="43">
        <v>2</v>
      </c>
      <c r="J33" s="43">
        <v>2</v>
      </c>
      <c r="K33" s="25" t="str">
        <f>VLOOKUP(J33,Key!$E$2:$F$9,2,FALSE)</f>
        <v>Work</v>
      </c>
      <c r="L33" s="42" t="s">
        <v>658</v>
      </c>
      <c r="M33" s="43" t="s">
        <v>156</v>
      </c>
      <c r="N33" s="42" t="s">
        <v>157</v>
      </c>
      <c r="O33" s="43">
        <v>1</v>
      </c>
      <c r="P33" s="43">
        <v>1</v>
      </c>
      <c r="Q33" s="25" t="str">
        <f>VLOOKUP(P33,Key!$E$2:$F$9,2,FALSE)</f>
        <v>Home</v>
      </c>
      <c r="R33" s="25" t="str">
        <f t="shared" si="0"/>
        <v>Work-Home</v>
      </c>
      <c r="S33" s="52">
        <v>10</v>
      </c>
      <c r="T33" s="52">
        <v>1</v>
      </c>
      <c r="U33" s="43">
        <v>1</v>
      </c>
      <c r="V33" s="43"/>
      <c r="W33" s="52"/>
      <c r="X33" s="52"/>
      <c r="Y33" s="53" t="s">
        <v>158</v>
      </c>
      <c r="Z33" s="54">
        <v>0</v>
      </c>
      <c r="AA33" s="25"/>
      <c r="AB33" s="25"/>
    </row>
    <row r="34" spans="2:28">
      <c r="B34" s="40">
        <v>0.91319444444444453</v>
      </c>
      <c r="C34" s="40" t="s">
        <v>669</v>
      </c>
      <c r="D34" s="41">
        <v>1</v>
      </c>
      <c r="E34" s="42">
        <v>1</v>
      </c>
      <c r="F34" s="42" t="s">
        <v>187</v>
      </c>
      <c r="G34" s="43" t="s">
        <v>187</v>
      </c>
      <c r="H34" s="42" t="s">
        <v>157</v>
      </c>
      <c r="I34" s="43">
        <v>2</v>
      </c>
      <c r="J34" s="43">
        <v>2</v>
      </c>
      <c r="K34" s="25" t="str">
        <f>VLOOKUP(J34,Key!$E$2:$F$9,2,FALSE)</f>
        <v>Work</v>
      </c>
      <c r="L34" s="42" t="s">
        <v>207</v>
      </c>
      <c r="M34" s="43" t="s">
        <v>156</v>
      </c>
      <c r="N34" s="42" t="s">
        <v>157</v>
      </c>
      <c r="O34" s="43">
        <v>1</v>
      </c>
      <c r="P34" s="43">
        <v>1</v>
      </c>
      <c r="Q34" s="25" t="str">
        <f>VLOOKUP(P34,Key!$E$2:$F$9,2,FALSE)</f>
        <v>Home</v>
      </c>
      <c r="R34" s="25" t="str">
        <f t="shared" si="0"/>
        <v>Work-Home</v>
      </c>
      <c r="S34" s="52">
        <v>10</v>
      </c>
      <c r="T34" s="52">
        <v>3</v>
      </c>
      <c r="U34" s="43">
        <v>1</v>
      </c>
      <c r="V34" s="43"/>
      <c r="W34" s="52"/>
      <c r="X34" s="52"/>
      <c r="Y34" s="53" t="s">
        <v>158</v>
      </c>
      <c r="Z34" s="54">
        <v>0</v>
      </c>
      <c r="AA34" s="25"/>
      <c r="AB34" s="25"/>
    </row>
    <row r="35" spans="2:28">
      <c r="B35" s="40">
        <v>0.92708333333333337</v>
      </c>
      <c r="C35" s="40" t="s">
        <v>670</v>
      </c>
      <c r="D35" s="41">
        <v>2</v>
      </c>
      <c r="E35" s="42">
        <v>1</v>
      </c>
      <c r="F35" s="42" t="s">
        <v>187</v>
      </c>
      <c r="G35" s="43" t="s">
        <v>187</v>
      </c>
      <c r="H35" s="42" t="s">
        <v>157</v>
      </c>
      <c r="I35" s="43">
        <v>2</v>
      </c>
      <c r="J35" s="43">
        <v>2</v>
      </c>
      <c r="K35" s="25" t="str">
        <f>VLOOKUP(J35,Key!$E$2:$F$9,2,FALSE)</f>
        <v>Work</v>
      </c>
      <c r="L35" s="42" t="s">
        <v>155</v>
      </c>
      <c r="M35" s="43" t="s">
        <v>156</v>
      </c>
      <c r="N35" s="42" t="s">
        <v>157</v>
      </c>
      <c r="O35" s="43">
        <v>1</v>
      </c>
      <c r="P35" s="43">
        <v>1</v>
      </c>
      <c r="Q35" s="25" t="str">
        <f>VLOOKUP(P35,Key!$E$2:$F$9,2,FALSE)</f>
        <v>Home</v>
      </c>
      <c r="R35" s="25" t="str">
        <f t="shared" si="0"/>
        <v>Work-Home</v>
      </c>
      <c r="S35" s="52">
        <v>8</v>
      </c>
      <c r="T35" s="52">
        <v>2</v>
      </c>
      <c r="U35" s="43">
        <v>1</v>
      </c>
      <c r="V35" s="43"/>
      <c r="W35" s="52"/>
      <c r="X35" s="52"/>
      <c r="Y35" s="53" t="s">
        <v>158</v>
      </c>
      <c r="Z35" s="54">
        <v>0</v>
      </c>
      <c r="AA35" s="25"/>
      <c r="AB35" s="25"/>
    </row>
    <row r="36" spans="2:28">
      <c r="B36" s="40">
        <v>0.93055555555555547</v>
      </c>
      <c r="C36" s="40" t="s">
        <v>671</v>
      </c>
      <c r="D36" s="41">
        <v>2</v>
      </c>
      <c r="E36" s="42">
        <v>1</v>
      </c>
      <c r="F36" s="42" t="s">
        <v>672</v>
      </c>
      <c r="G36" s="43" t="s">
        <v>673</v>
      </c>
      <c r="H36" s="42" t="s">
        <v>157</v>
      </c>
      <c r="I36" s="43">
        <v>16</v>
      </c>
      <c r="J36" s="43">
        <v>2</v>
      </c>
      <c r="K36" s="25" t="str">
        <f>VLOOKUP(J36,Key!$E$2:$F$9,2,FALSE)</f>
        <v>Work</v>
      </c>
      <c r="L36" s="42" t="s">
        <v>160</v>
      </c>
      <c r="M36" s="43" t="s">
        <v>156</v>
      </c>
      <c r="N36" s="42" t="s">
        <v>157</v>
      </c>
      <c r="O36" s="43">
        <v>1</v>
      </c>
      <c r="P36" s="43">
        <v>1</v>
      </c>
      <c r="Q36" s="25" t="str">
        <f>VLOOKUP(P36,Key!$E$2:$F$9,2,FALSE)</f>
        <v>Home</v>
      </c>
      <c r="R36" s="25" t="str">
        <f t="shared" si="0"/>
        <v>Work-Home</v>
      </c>
      <c r="S36" s="52">
        <v>150</v>
      </c>
      <c r="T36" s="52">
        <v>3</v>
      </c>
      <c r="U36" s="43">
        <v>1</v>
      </c>
      <c r="V36" s="43"/>
      <c r="W36" s="52"/>
      <c r="X36" s="52"/>
      <c r="Y36" s="53" t="s">
        <v>158</v>
      </c>
      <c r="Z36" s="54">
        <v>0</v>
      </c>
      <c r="AA36" s="25"/>
      <c r="AB36" s="25"/>
    </row>
    <row r="37" spans="2:28">
      <c r="B37" s="40">
        <v>0.93402777777777779</v>
      </c>
      <c r="C37" s="40" t="s">
        <v>674</v>
      </c>
      <c r="D37" s="41">
        <v>2</v>
      </c>
      <c r="E37" s="42">
        <v>2</v>
      </c>
      <c r="F37" s="42" t="s">
        <v>675</v>
      </c>
      <c r="G37" s="43" t="s">
        <v>675</v>
      </c>
      <c r="H37" s="42" t="s">
        <v>157</v>
      </c>
      <c r="I37" s="43">
        <v>16</v>
      </c>
      <c r="J37" s="43">
        <v>4</v>
      </c>
      <c r="K37" s="25" t="str">
        <f>VLOOKUP(J37,Key!$E$2:$F$9,2,FALSE)</f>
        <v>Commercial</v>
      </c>
      <c r="L37" s="42" t="s">
        <v>226</v>
      </c>
      <c r="M37" s="43" t="s">
        <v>156</v>
      </c>
      <c r="N37" s="42" t="s">
        <v>157</v>
      </c>
      <c r="O37" s="43">
        <v>16</v>
      </c>
      <c r="P37" s="43">
        <v>6</v>
      </c>
      <c r="Q37" s="25" t="str">
        <f>VLOOKUP(P37,Key!$E$2:$F$9,2,FALSE)</f>
        <v>Leisure/Social</v>
      </c>
      <c r="R37" s="25" t="str">
        <f t="shared" si="0"/>
        <v>Commercial-Leisure/Social</v>
      </c>
      <c r="S37" s="52">
        <v>88</v>
      </c>
      <c r="T37" s="52">
        <v>1</v>
      </c>
      <c r="U37" s="43">
        <v>1</v>
      </c>
      <c r="V37" s="43"/>
      <c r="W37" s="52"/>
      <c r="X37" s="52"/>
      <c r="Y37" s="53" t="s">
        <v>158</v>
      </c>
      <c r="Z37" s="54">
        <v>1000</v>
      </c>
      <c r="AA37" s="25"/>
      <c r="AB37" s="25"/>
    </row>
    <row r="38" spans="2:28">
      <c r="B38" s="40">
        <v>0.9375</v>
      </c>
      <c r="C38" s="40" t="s">
        <v>676</v>
      </c>
      <c r="D38" s="41">
        <v>2</v>
      </c>
      <c r="E38" s="42">
        <v>2</v>
      </c>
      <c r="F38" s="42" t="s">
        <v>164</v>
      </c>
      <c r="G38" s="43" t="s">
        <v>156</v>
      </c>
      <c r="H38" s="42" t="s">
        <v>157</v>
      </c>
      <c r="I38" s="43">
        <v>2</v>
      </c>
      <c r="J38" s="43">
        <v>2</v>
      </c>
      <c r="K38" s="25" t="str">
        <f>VLOOKUP(J38,Key!$E$2:$F$9,2,FALSE)</f>
        <v>Work</v>
      </c>
      <c r="L38" s="42" t="s">
        <v>155</v>
      </c>
      <c r="M38" s="43" t="s">
        <v>156</v>
      </c>
      <c r="N38" s="42" t="s">
        <v>157</v>
      </c>
      <c r="O38" s="43">
        <v>1</v>
      </c>
      <c r="P38" s="43">
        <v>1</v>
      </c>
      <c r="Q38" s="25" t="str">
        <f>VLOOKUP(P38,Key!$E$2:$F$9,2,FALSE)</f>
        <v>Home</v>
      </c>
      <c r="R38" s="25" t="str">
        <f t="shared" ref="R38:R101" si="1">K38&amp;"-"&amp;Q38</f>
        <v>Work-Home</v>
      </c>
      <c r="S38" s="52">
        <v>3</v>
      </c>
      <c r="T38" s="52">
        <v>1</v>
      </c>
      <c r="U38" s="43">
        <v>1</v>
      </c>
      <c r="V38" s="43"/>
      <c r="W38" s="52"/>
      <c r="X38" s="52"/>
      <c r="Y38" s="53" t="s">
        <v>158</v>
      </c>
      <c r="Z38" s="54">
        <v>0</v>
      </c>
      <c r="AA38" s="25"/>
      <c r="AB38" s="25"/>
    </row>
    <row r="39" spans="2:28">
      <c r="B39" s="40">
        <v>0.94791666666666663</v>
      </c>
      <c r="C39" s="40" t="s">
        <v>677</v>
      </c>
      <c r="D39" s="41">
        <v>4</v>
      </c>
      <c r="E39" s="42">
        <v>4</v>
      </c>
      <c r="F39" s="42" t="s">
        <v>207</v>
      </c>
      <c r="G39" s="43" t="s">
        <v>156</v>
      </c>
      <c r="H39" s="42" t="s">
        <v>157</v>
      </c>
      <c r="I39" s="43">
        <v>2</v>
      </c>
      <c r="J39" s="43">
        <v>2</v>
      </c>
      <c r="K39" s="25" t="str">
        <f>VLOOKUP(J39,Key!$E$2:$F$9,2,FALSE)</f>
        <v>Work</v>
      </c>
      <c r="L39" s="42" t="s">
        <v>155</v>
      </c>
      <c r="M39" s="43" t="s">
        <v>156</v>
      </c>
      <c r="N39" s="42" t="s">
        <v>157</v>
      </c>
      <c r="O39" s="43">
        <v>1</v>
      </c>
      <c r="P39" s="43">
        <v>1</v>
      </c>
      <c r="Q39" s="25" t="str">
        <f>VLOOKUP(P39,Key!$E$2:$F$9,2,FALSE)</f>
        <v>Home</v>
      </c>
      <c r="R39" s="25" t="str">
        <f t="shared" si="1"/>
        <v>Work-Home</v>
      </c>
      <c r="S39" s="52">
        <v>6</v>
      </c>
      <c r="T39" s="52">
        <v>0.5</v>
      </c>
      <c r="U39" s="43">
        <v>1</v>
      </c>
      <c r="V39" s="43"/>
      <c r="W39" s="52"/>
      <c r="X39" s="52"/>
      <c r="Y39" s="53" t="s">
        <v>158</v>
      </c>
      <c r="Z39" s="54">
        <v>5000</v>
      </c>
      <c r="AA39" s="25"/>
      <c r="AB39" s="25"/>
    </row>
    <row r="40" spans="2:28">
      <c r="B40" s="40">
        <v>0.24097222222222223</v>
      </c>
      <c r="C40" s="40" t="s">
        <v>678</v>
      </c>
      <c r="D40" s="41">
        <v>7</v>
      </c>
      <c r="E40" s="42">
        <v>2</v>
      </c>
      <c r="F40" s="42" t="s">
        <v>150</v>
      </c>
      <c r="G40" s="43" t="s">
        <v>156</v>
      </c>
      <c r="H40" s="42" t="s">
        <v>157</v>
      </c>
      <c r="I40" s="43">
        <v>10</v>
      </c>
      <c r="J40" s="43">
        <v>2</v>
      </c>
      <c r="K40" s="25" t="str">
        <f>VLOOKUP(J40,Key!$E$2:$F$9,2,FALSE)</f>
        <v>Work</v>
      </c>
      <c r="L40" s="42" t="s">
        <v>155</v>
      </c>
      <c r="M40" s="43" t="s">
        <v>156</v>
      </c>
      <c r="N40" s="42" t="s">
        <v>157</v>
      </c>
      <c r="O40" s="43">
        <v>3</v>
      </c>
      <c r="P40" s="43">
        <v>2</v>
      </c>
      <c r="Q40" s="25" t="str">
        <f>VLOOKUP(P40,Key!$E$2:$F$9,2,FALSE)</f>
        <v>Work</v>
      </c>
      <c r="R40" s="25" t="str">
        <f t="shared" si="1"/>
        <v>Work-Work</v>
      </c>
      <c r="S40" s="52">
        <v>0.5</v>
      </c>
      <c r="T40" s="52">
        <v>0.1</v>
      </c>
      <c r="U40" s="43">
        <v>2</v>
      </c>
      <c r="V40" s="43"/>
      <c r="W40" s="52"/>
      <c r="X40" s="52"/>
      <c r="Y40" s="53" t="s">
        <v>158</v>
      </c>
      <c r="Z40" s="54">
        <v>1000</v>
      </c>
      <c r="AA40" s="25"/>
      <c r="AB40" s="25"/>
    </row>
    <row r="41" spans="2:28">
      <c r="B41" s="40">
        <v>0.2298611111111111</v>
      </c>
      <c r="C41" s="40" t="s">
        <v>679</v>
      </c>
      <c r="D41" s="41">
        <v>4</v>
      </c>
      <c r="E41" s="42">
        <v>1</v>
      </c>
      <c r="F41" s="42" t="s">
        <v>150</v>
      </c>
      <c r="G41" s="43" t="s">
        <v>156</v>
      </c>
      <c r="H41" s="42" t="s">
        <v>157</v>
      </c>
      <c r="I41" s="43">
        <v>6</v>
      </c>
      <c r="J41" s="43">
        <v>4</v>
      </c>
      <c r="K41" s="25" t="str">
        <f>VLOOKUP(J41,Key!$E$2:$F$9,2,FALSE)</f>
        <v>Commercial</v>
      </c>
      <c r="L41" s="42" t="s">
        <v>155</v>
      </c>
      <c r="M41" s="43" t="s">
        <v>156</v>
      </c>
      <c r="N41" s="42" t="s">
        <v>157</v>
      </c>
      <c r="O41" s="43">
        <v>6</v>
      </c>
      <c r="P41" s="43">
        <v>4</v>
      </c>
      <c r="Q41" s="25" t="str">
        <f>VLOOKUP(P41,Key!$E$2:$F$9,2,FALSE)</f>
        <v>Commercial</v>
      </c>
      <c r="R41" s="25" t="str">
        <f t="shared" si="1"/>
        <v>Commercial-Commercial</v>
      </c>
      <c r="S41" s="52">
        <v>20</v>
      </c>
      <c r="T41" s="52">
        <v>0.5</v>
      </c>
      <c r="U41" s="43">
        <v>2</v>
      </c>
      <c r="V41" s="43"/>
      <c r="W41" s="52"/>
      <c r="X41" s="52"/>
      <c r="Y41" s="53" t="s">
        <v>158</v>
      </c>
      <c r="Z41" s="54">
        <v>1000</v>
      </c>
      <c r="AA41" s="25"/>
      <c r="AB41" s="25"/>
    </row>
    <row r="42" spans="2:28">
      <c r="B42" s="40">
        <v>0.23680555555555557</v>
      </c>
      <c r="C42" s="40" t="s">
        <v>680</v>
      </c>
      <c r="D42" s="41">
        <v>4</v>
      </c>
      <c r="E42" s="42">
        <v>3</v>
      </c>
      <c r="F42" s="42" t="s">
        <v>150</v>
      </c>
      <c r="G42" s="43" t="s">
        <v>156</v>
      </c>
      <c r="H42" s="42" t="s">
        <v>157</v>
      </c>
      <c r="I42" s="43">
        <v>6</v>
      </c>
      <c r="J42" s="43">
        <v>2</v>
      </c>
      <c r="K42" s="25" t="str">
        <f>VLOOKUP(J42,Key!$E$2:$F$9,2,FALSE)</f>
        <v>Work</v>
      </c>
      <c r="L42" s="42" t="s">
        <v>155</v>
      </c>
      <c r="M42" s="43" t="s">
        <v>156</v>
      </c>
      <c r="N42" s="42" t="s">
        <v>157</v>
      </c>
      <c r="O42" s="43">
        <v>6</v>
      </c>
      <c r="P42" s="43">
        <v>4</v>
      </c>
      <c r="Q42" s="25" t="str">
        <f>VLOOKUP(P42,Key!$E$2:$F$9,2,FALSE)</f>
        <v>Commercial</v>
      </c>
      <c r="R42" s="25" t="str">
        <f t="shared" si="1"/>
        <v>Work-Commercial</v>
      </c>
      <c r="S42" s="52">
        <v>0.5</v>
      </c>
      <c r="T42" s="52">
        <v>0.1</v>
      </c>
      <c r="U42" s="43">
        <v>2</v>
      </c>
      <c r="V42" s="43"/>
      <c r="W42" s="52"/>
      <c r="X42" s="52"/>
      <c r="Y42" s="53" t="s">
        <v>158</v>
      </c>
      <c r="Z42" s="54">
        <v>1000</v>
      </c>
      <c r="AA42" s="25"/>
      <c r="AB42" s="25"/>
    </row>
    <row r="43" spans="2:28">
      <c r="B43" s="40">
        <v>0.23541666666666669</v>
      </c>
      <c r="C43" s="40" t="s">
        <v>681</v>
      </c>
      <c r="D43" s="41">
        <v>2</v>
      </c>
      <c r="E43" s="42">
        <v>2</v>
      </c>
      <c r="F43" s="42" t="s">
        <v>150</v>
      </c>
      <c r="G43" s="43" t="s">
        <v>156</v>
      </c>
      <c r="H43" s="42" t="s">
        <v>157</v>
      </c>
      <c r="I43" s="43">
        <v>10</v>
      </c>
      <c r="J43" s="43">
        <v>2</v>
      </c>
      <c r="K43" s="25" t="str">
        <f>VLOOKUP(J43,Key!$E$2:$F$9,2,FALSE)</f>
        <v>Work</v>
      </c>
      <c r="L43" s="42" t="s">
        <v>155</v>
      </c>
      <c r="M43" s="43" t="s">
        <v>156</v>
      </c>
      <c r="N43" s="42" t="s">
        <v>157</v>
      </c>
      <c r="O43" s="43">
        <v>3</v>
      </c>
      <c r="P43" s="43">
        <v>2</v>
      </c>
      <c r="Q43" s="25" t="str">
        <f>VLOOKUP(P43,Key!$E$2:$F$9,2,FALSE)</f>
        <v>Work</v>
      </c>
      <c r="R43" s="25" t="str">
        <f t="shared" si="1"/>
        <v>Work-Work</v>
      </c>
      <c r="S43" s="52">
        <v>1</v>
      </c>
      <c r="T43" s="52">
        <v>0.3</v>
      </c>
      <c r="U43" s="43">
        <v>2</v>
      </c>
      <c r="V43" s="43"/>
      <c r="W43" s="52"/>
      <c r="X43" s="52"/>
      <c r="Y43" s="53" t="s">
        <v>158</v>
      </c>
      <c r="Z43" s="54">
        <v>1000</v>
      </c>
      <c r="AA43" s="25"/>
      <c r="AB43" s="25"/>
    </row>
    <row r="44" spans="2:28">
      <c r="B44" s="40">
        <v>0.22291666666666665</v>
      </c>
      <c r="C44" s="40" t="s">
        <v>682</v>
      </c>
      <c r="D44" s="41">
        <v>4</v>
      </c>
      <c r="E44" s="42">
        <v>4</v>
      </c>
      <c r="F44" s="42" t="s">
        <v>683</v>
      </c>
      <c r="G44" s="43" t="s">
        <v>197</v>
      </c>
      <c r="H44" s="42" t="s">
        <v>157</v>
      </c>
      <c r="I44" s="43">
        <v>6</v>
      </c>
      <c r="J44" s="43">
        <v>4</v>
      </c>
      <c r="K44" s="25" t="str">
        <f>VLOOKUP(J44,Key!$E$2:$F$9,2,FALSE)</f>
        <v>Commercial</v>
      </c>
      <c r="L44" s="42" t="s">
        <v>187</v>
      </c>
      <c r="M44" s="43" t="s">
        <v>187</v>
      </c>
      <c r="N44" s="42" t="s">
        <v>157</v>
      </c>
      <c r="O44" s="43">
        <v>6</v>
      </c>
      <c r="P44" s="43">
        <v>4</v>
      </c>
      <c r="Q44" s="25" t="str">
        <f>VLOOKUP(P44,Key!$E$2:$F$9,2,FALSE)</f>
        <v>Commercial</v>
      </c>
      <c r="R44" s="25" t="str">
        <f t="shared" si="1"/>
        <v>Commercial-Commercial</v>
      </c>
      <c r="S44" s="52">
        <v>100</v>
      </c>
      <c r="T44" s="52">
        <v>2</v>
      </c>
      <c r="U44" s="43">
        <v>1</v>
      </c>
      <c r="V44" s="43"/>
      <c r="W44" s="52"/>
      <c r="X44" s="52"/>
      <c r="Y44" s="53" t="s">
        <v>158</v>
      </c>
      <c r="Z44" s="54">
        <v>1000</v>
      </c>
      <c r="AA44" s="25"/>
      <c r="AB44" s="25"/>
    </row>
    <row r="45" spans="2:28">
      <c r="B45" s="40">
        <v>0.21597222222222223</v>
      </c>
      <c r="C45" s="40" t="s">
        <v>678</v>
      </c>
      <c r="D45" s="41">
        <v>4</v>
      </c>
      <c r="E45" s="42">
        <v>10</v>
      </c>
      <c r="F45" s="42" t="s">
        <v>684</v>
      </c>
      <c r="G45" s="43" t="s">
        <v>197</v>
      </c>
      <c r="H45" s="42" t="s">
        <v>157</v>
      </c>
      <c r="I45" s="43">
        <v>6</v>
      </c>
      <c r="J45" s="43">
        <v>4</v>
      </c>
      <c r="K45" s="25" t="str">
        <f>VLOOKUP(J45,Key!$E$2:$F$9,2,FALSE)</f>
        <v>Commercial</v>
      </c>
      <c r="L45" s="42" t="s">
        <v>187</v>
      </c>
      <c r="M45" s="43" t="s">
        <v>187</v>
      </c>
      <c r="N45" s="42" t="s">
        <v>157</v>
      </c>
      <c r="O45" s="43">
        <v>6</v>
      </c>
      <c r="P45" s="43">
        <v>4</v>
      </c>
      <c r="Q45" s="25" t="str">
        <f>VLOOKUP(P45,Key!$E$2:$F$9,2,FALSE)</f>
        <v>Commercial</v>
      </c>
      <c r="R45" s="25" t="str">
        <f t="shared" si="1"/>
        <v>Commercial-Commercial</v>
      </c>
      <c r="S45" s="52">
        <v>137</v>
      </c>
      <c r="T45" s="52">
        <v>2</v>
      </c>
      <c r="U45" s="43">
        <v>1</v>
      </c>
      <c r="V45" s="43"/>
      <c r="W45" s="52"/>
      <c r="X45" s="52"/>
      <c r="Y45" s="53" t="s">
        <v>158</v>
      </c>
      <c r="Z45" s="54">
        <v>1000</v>
      </c>
      <c r="AA45" s="25"/>
      <c r="AB45" s="25"/>
    </row>
    <row r="46" spans="2:28">
      <c r="B46" s="40">
        <v>0.94930555555555562</v>
      </c>
      <c r="C46" s="40" t="s">
        <v>685</v>
      </c>
      <c r="D46" s="41">
        <v>9</v>
      </c>
      <c r="E46" s="42">
        <v>1</v>
      </c>
      <c r="F46" s="42" t="s">
        <v>305</v>
      </c>
      <c r="G46" s="43" t="s">
        <v>187</v>
      </c>
      <c r="H46" s="42" t="s">
        <v>157</v>
      </c>
      <c r="I46" s="43">
        <v>2</v>
      </c>
      <c r="J46" s="43">
        <v>2</v>
      </c>
      <c r="K46" s="25" t="str">
        <f>VLOOKUP(J46,Key!$E$2:$F$9,2,FALSE)</f>
        <v>Work</v>
      </c>
      <c r="L46" s="42" t="s">
        <v>686</v>
      </c>
      <c r="M46" s="43" t="s">
        <v>156</v>
      </c>
      <c r="N46" s="42" t="s">
        <v>157</v>
      </c>
      <c r="O46" s="43">
        <v>1</v>
      </c>
      <c r="P46" s="43">
        <v>1</v>
      </c>
      <c r="Q46" s="25" t="str">
        <f>VLOOKUP(P46,Key!$E$2:$F$9,2,FALSE)</f>
        <v>Home</v>
      </c>
      <c r="R46" s="25" t="str">
        <f t="shared" si="1"/>
        <v>Work-Home</v>
      </c>
      <c r="S46" s="52">
        <v>12</v>
      </c>
      <c r="T46" s="52">
        <v>0.5</v>
      </c>
      <c r="U46" s="43">
        <v>1</v>
      </c>
      <c r="V46" s="43"/>
      <c r="W46" s="52"/>
      <c r="X46" s="52"/>
      <c r="Y46" s="53" t="s">
        <v>158</v>
      </c>
      <c r="Z46" s="54">
        <v>1000</v>
      </c>
      <c r="AA46" s="25"/>
      <c r="AB46" s="25"/>
    </row>
    <row r="47" spans="2:28">
      <c r="B47" s="40">
        <v>0.93888888888888899</v>
      </c>
      <c r="C47" s="40" t="s">
        <v>687</v>
      </c>
      <c r="D47" s="41">
        <v>1</v>
      </c>
      <c r="E47" s="42">
        <v>2</v>
      </c>
      <c r="F47" s="42" t="s">
        <v>150</v>
      </c>
      <c r="G47" s="43" t="s">
        <v>156</v>
      </c>
      <c r="H47" s="42" t="s">
        <v>157</v>
      </c>
      <c r="I47" s="43">
        <v>1</v>
      </c>
      <c r="J47" s="43">
        <v>1</v>
      </c>
      <c r="K47" s="25" t="str">
        <f>VLOOKUP(J47,Key!$E$2:$F$9,2,FALSE)</f>
        <v>Home</v>
      </c>
      <c r="L47" s="42" t="s">
        <v>155</v>
      </c>
      <c r="M47" s="43" t="s">
        <v>156</v>
      </c>
      <c r="N47" s="42" t="s">
        <v>157</v>
      </c>
      <c r="O47" s="43">
        <v>1</v>
      </c>
      <c r="P47" s="43">
        <v>1</v>
      </c>
      <c r="Q47" s="25" t="str">
        <f>VLOOKUP(P47,Key!$E$2:$F$9,2,FALSE)</f>
        <v>Home</v>
      </c>
      <c r="R47" s="25" t="str">
        <f t="shared" si="1"/>
        <v>Home-Home</v>
      </c>
      <c r="S47" s="52">
        <v>2</v>
      </c>
      <c r="T47" s="52">
        <v>0.5</v>
      </c>
      <c r="U47" s="43">
        <v>1</v>
      </c>
      <c r="V47" s="43"/>
      <c r="W47" s="52"/>
      <c r="X47" s="52"/>
      <c r="Y47" s="53" t="s">
        <v>158</v>
      </c>
      <c r="Z47" s="54">
        <v>1000</v>
      </c>
      <c r="AA47" s="25"/>
      <c r="AB47" s="25"/>
    </row>
    <row r="48" spans="2:28">
      <c r="B48" s="40">
        <v>0.93472222222222223</v>
      </c>
      <c r="C48" s="40" t="s">
        <v>688</v>
      </c>
      <c r="D48" s="41">
        <v>1</v>
      </c>
      <c r="E48" s="42">
        <v>3</v>
      </c>
      <c r="F48" s="42" t="s">
        <v>689</v>
      </c>
      <c r="G48" s="43" t="s">
        <v>187</v>
      </c>
      <c r="H48" s="42" t="s">
        <v>157</v>
      </c>
      <c r="I48" s="43">
        <v>16</v>
      </c>
      <c r="J48" s="43">
        <v>2</v>
      </c>
      <c r="K48" s="25" t="str">
        <f>VLOOKUP(J48,Key!$E$2:$F$9,2,FALSE)</f>
        <v>Work</v>
      </c>
      <c r="L48" s="42" t="s">
        <v>155</v>
      </c>
      <c r="M48" s="43" t="s">
        <v>156</v>
      </c>
      <c r="N48" s="42" t="s">
        <v>157</v>
      </c>
      <c r="O48" s="43">
        <v>1</v>
      </c>
      <c r="P48" s="43">
        <v>1</v>
      </c>
      <c r="Q48" s="25" t="str">
        <f>VLOOKUP(P48,Key!$E$2:$F$9,2,FALSE)</f>
        <v>Home</v>
      </c>
      <c r="R48" s="25" t="str">
        <f t="shared" si="1"/>
        <v>Work-Home</v>
      </c>
      <c r="S48" s="52">
        <v>0.5</v>
      </c>
      <c r="T48" s="52">
        <v>0.3</v>
      </c>
      <c r="U48" s="43">
        <v>2</v>
      </c>
      <c r="V48" s="43"/>
      <c r="W48" s="52"/>
      <c r="X48" s="52"/>
      <c r="Y48" s="53" t="s">
        <v>158</v>
      </c>
      <c r="Z48" s="54">
        <v>2000</v>
      </c>
      <c r="AA48" s="25"/>
      <c r="AB48" s="25"/>
    </row>
    <row r="49" spans="2:28">
      <c r="B49" s="40">
        <v>0.92986111111111114</v>
      </c>
      <c r="C49" s="40" t="s">
        <v>690</v>
      </c>
      <c r="D49" s="41">
        <v>1</v>
      </c>
      <c r="E49" s="42">
        <v>1</v>
      </c>
      <c r="F49" s="42" t="s">
        <v>150</v>
      </c>
      <c r="G49" s="43" t="s">
        <v>156</v>
      </c>
      <c r="H49" s="42" t="s">
        <v>157</v>
      </c>
      <c r="I49" s="43">
        <v>2</v>
      </c>
      <c r="J49" s="43">
        <v>2</v>
      </c>
      <c r="K49" s="25" t="str">
        <f>VLOOKUP(J49,Key!$E$2:$F$9,2,FALSE)</f>
        <v>Work</v>
      </c>
      <c r="L49" s="42" t="s">
        <v>162</v>
      </c>
      <c r="M49" s="43" t="s">
        <v>156</v>
      </c>
      <c r="N49" s="42" t="s">
        <v>157</v>
      </c>
      <c r="O49" s="43">
        <v>1</v>
      </c>
      <c r="P49" s="43">
        <v>1</v>
      </c>
      <c r="Q49" s="25" t="str">
        <f>VLOOKUP(P49,Key!$E$2:$F$9,2,FALSE)</f>
        <v>Home</v>
      </c>
      <c r="R49" s="25" t="str">
        <f t="shared" si="1"/>
        <v>Work-Home</v>
      </c>
      <c r="S49" s="52">
        <v>1</v>
      </c>
      <c r="T49" s="52">
        <v>0.3</v>
      </c>
      <c r="U49" s="43">
        <v>1</v>
      </c>
      <c r="V49" s="43"/>
      <c r="W49" s="52"/>
      <c r="X49" s="52"/>
      <c r="Y49" s="53" t="s">
        <v>158</v>
      </c>
      <c r="Z49" s="54">
        <v>3000</v>
      </c>
      <c r="AA49" s="25"/>
      <c r="AB49" s="25"/>
    </row>
    <row r="50" spans="2:28">
      <c r="B50" s="40">
        <v>0.9277777777777777</v>
      </c>
      <c r="C50" s="40" t="s">
        <v>482</v>
      </c>
      <c r="D50" s="41">
        <v>1</v>
      </c>
      <c r="E50" s="42">
        <v>1</v>
      </c>
      <c r="F50" s="42" t="s">
        <v>691</v>
      </c>
      <c r="G50" s="43" t="s">
        <v>197</v>
      </c>
      <c r="H50" s="42" t="s">
        <v>157</v>
      </c>
      <c r="I50" s="43">
        <v>11</v>
      </c>
      <c r="J50" s="43">
        <v>4</v>
      </c>
      <c r="K50" s="25" t="str">
        <f>VLOOKUP(J50,Key!$E$2:$F$9,2,FALSE)</f>
        <v>Commercial</v>
      </c>
      <c r="L50" s="42" t="s">
        <v>155</v>
      </c>
      <c r="M50" s="43" t="s">
        <v>156</v>
      </c>
      <c r="N50" s="42" t="s">
        <v>157</v>
      </c>
      <c r="O50" s="43">
        <v>1</v>
      </c>
      <c r="P50" s="43">
        <v>1</v>
      </c>
      <c r="Q50" s="25" t="str">
        <f>VLOOKUP(P50,Key!$E$2:$F$9,2,FALSE)</f>
        <v>Home</v>
      </c>
      <c r="R50" s="25" t="str">
        <f t="shared" si="1"/>
        <v>Commercial-Home</v>
      </c>
      <c r="S50" s="52">
        <v>180</v>
      </c>
      <c r="T50" s="52">
        <v>2</v>
      </c>
      <c r="U50" s="43">
        <v>1</v>
      </c>
      <c r="V50" s="43"/>
      <c r="W50" s="52"/>
      <c r="X50" s="52"/>
      <c r="Y50" s="53" t="s">
        <v>158</v>
      </c>
      <c r="Z50" s="54">
        <v>1000</v>
      </c>
      <c r="AA50" s="25"/>
      <c r="AB50" s="25"/>
    </row>
    <row r="51" spans="2:28">
      <c r="B51" s="40">
        <v>0.42430555555555555</v>
      </c>
      <c r="C51" s="40" t="s">
        <v>692</v>
      </c>
      <c r="D51" s="41">
        <v>1</v>
      </c>
      <c r="E51" s="42">
        <v>1</v>
      </c>
      <c r="F51" s="42" t="s">
        <v>150</v>
      </c>
      <c r="G51" s="43" t="s">
        <v>156</v>
      </c>
      <c r="H51" s="42" t="s">
        <v>157</v>
      </c>
      <c r="I51" s="43">
        <v>1</v>
      </c>
      <c r="J51" s="43">
        <v>1</v>
      </c>
      <c r="K51" s="25" t="str">
        <f>VLOOKUP(J51,Key!$E$2:$F$9,2,FALSE)</f>
        <v>Home</v>
      </c>
      <c r="L51" s="42" t="s">
        <v>164</v>
      </c>
      <c r="M51" s="43" t="s">
        <v>156</v>
      </c>
      <c r="N51" s="42" t="s">
        <v>157</v>
      </c>
      <c r="O51" s="43">
        <v>1</v>
      </c>
      <c r="P51" s="43">
        <v>1</v>
      </c>
      <c r="Q51" s="25" t="str">
        <f>VLOOKUP(P51,Key!$E$2:$F$9,2,FALSE)</f>
        <v>Home</v>
      </c>
      <c r="R51" s="25" t="str">
        <f t="shared" si="1"/>
        <v>Home-Home</v>
      </c>
      <c r="S51" s="52">
        <v>1</v>
      </c>
      <c r="T51" s="52">
        <v>0.3</v>
      </c>
      <c r="U51" s="43">
        <v>4</v>
      </c>
      <c r="V51" s="43"/>
      <c r="W51" s="52"/>
      <c r="X51" s="52"/>
      <c r="Y51" s="53" t="s">
        <v>158</v>
      </c>
      <c r="Z51" s="54">
        <v>5000</v>
      </c>
      <c r="AA51" s="25"/>
      <c r="AB51" s="25"/>
    </row>
    <row r="52" spans="2:28">
      <c r="B52" s="40">
        <v>0.92013888888888884</v>
      </c>
      <c r="C52" s="40" t="s">
        <v>693</v>
      </c>
      <c r="D52" s="41">
        <v>2</v>
      </c>
      <c r="E52" s="42">
        <v>3</v>
      </c>
      <c r="F52" s="42" t="s">
        <v>684</v>
      </c>
      <c r="G52" s="43" t="s">
        <v>156</v>
      </c>
      <c r="H52" s="42" t="s">
        <v>157</v>
      </c>
      <c r="I52" s="43">
        <v>7</v>
      </c>
      <c r="J52" s="43">
        <v>4</v>
      </c>
      <c r="K52" s="25" t="str">
        <f>VLOOKUP(J52,Key!$E$2:$F$9,2,FALSE)</f>
        <v>Commercial</v>
      </c>
      <c r="L52" s="42" t="s">
        <v>187</v>
      </c>
      <c r="M52" s="43" t="s">
        <v>187</v>
      </c>
      <c r="N52" s="42" t="s">
        <v>157</v>
      </c>
      <c r="O52" s="43">
        <v>3</v>
      </c>
      <c r="P52" s="43">
        <v>2</v>
      </c>
      <c r="Q52" s="25" t="str">
        <f>VLOOKUP(P52,Key!$E$2:$F$9,2,FALSE)</f>
        <v>Work</v>
      </c>
      <c r="R52" s="25" t="str">
        <f t="shared" si="1"/>
        <v>Commercial-Work</v>
      </c>
      <c r="S52" s="52">
        <v>180</v>
      </c>
      <c r="T52" s="52">
        <v>2</v>
      </c>
      <c r="U52" s="43"/>
      <c r="V52" s="43">
        <v>1</v>
      </c>
      <c r="W52" s="52">
        <v>1</v>
      </c>
      <c r="X52" s="52">
        <v>0.6</v>
      </c>
      <c r="Y52" s="53" t="s">
        <v>158</v>
      </c>
      <c r="Z52" s="54">
        <v>5000</v>
      </c>
      <c r="AA52" s="25"/>
      <c r="AB52" s="25"/>
    </row>
    <row r="53" spans="2:28">
      <c r="B53" s="40">
        <v>0.9375</v>
      </c>
      <c r="C53" s="40" t="s">
        <v>694</v>
      </c>
      <c r="D53" s="41">
        <v>1</v>
      </c>
      <c r="E53" s="42">
        <v>1</v>
      </c>
      <c r="F53" s="42" t="s">
        <v>187</v>
      </c>
      <c r="G53" s="43" t="s">
        <v>187</v>
      </c>
      <c r="H53" s="42" t="s">
        <v>157</v>
      </c>
      <c r="I53" s="43">
        <v>5</v>
      </c>
      <c r="J53" s="43">
        <v>7</v>
      </c>
      <c r="K53" s="25" t="str">
        <f>VLOOKUP(J53,Key!$E$2:$F$9,2,FALSE)</f>
        <v>Hospital</v>
      </c>
      <c r="L53" s="42" t="s">
        <v>155</v>
      </c>
      <c r="M53" s="43" t="s">
        <v>156</v>
      </c>
      <c r="N53" s="42" t="s">
        <v>157</v>
      </c>
      <c r="O53" s="43">
        <v>1</v>
      </c>
      <c r="P53" s="43">
        <v>1</v>
      </c>
      <c r="Q53" s="25" t="str">
        <f>VLOOKUP(P53,Key!$E$2:$F$9,2,FALSE)</f>
        <v>Home</v>
      </c>
      <c r="R53" s="25" t="str">
        <f t="shared" si="1"/>
        <v>Hospital-Home</v>
      </c>
      <c r="S53" s="52">
        <v>30</v>
      </c>
      <c r="T53" s="52">
        <v>1</v>
      </c>
      <c r="U53" s="43">
        <v>5</v>
      </c>
      <c r="V53" s="43"/>
      <c r="W53" s="52"/>
      <c r="X53" s="52"/>
      <c r="Y53" s="53" t="s">
        <v>158</v>
      </c>
      <c r="Z53" s="54">
        <v>1000</v>
      </c>
      <c r="AA53" s="25"/>
      <c r="AB53" s="25"/>
    </row>
    <row r="54" spans="2:28">
      <c r="B54" s="40">
        <v>0.87222222222222223</v>
      </c>
      <c r="C54" s="40" t="s">
        <v>695</v>
      </c>
      <c r="D54" s="41">
        <v>1</v>
      </c>
      <c r="E54" s="42">
        <v>1</v>
      </c>
      <c r="F54" s="42" t="s">
        <v>696</v>
      </c>
      <c r="G54" s="43" t="s">
        <v>156</v>
      </c>
      <c r="H54" s="42" t="s">
        <v>157</v>
      </c>
      <c r="I54" s="43">
        <v>1</v>
      </c>
      <c r="J54" s="43">
        <v>1</v>
      </c>
      <c r="K54" s="25" t="str">
        <f>VLOOKUP(J54,Key!$E$2:$F$9,2,FALSE)</f>
        <v>Home</v>
      </c>
      <c r="L54" s="42" t="s">
        <v>247</v>
      </c>
      <c r="M54" s="43" t="s">
        <v>187</v>
      </c>
      <c r="N54" s="42" t="s">
        <v>157</v>
      </c>
      <c r="O54" s="43">
        <v>2</v>
      </c>
      <c r="P54" s="43">
        <v>2</v>
      </c>
      <c r="Q54" s="25" t="str">
        <f>VLOOKUP(P54,Key!$E$2:$F$9,2,FALSE)</f>
        <v>Work</v>
      </c>
      <c r="R54" s="25" t="str">
        <f t="shared" si="1"/>
        <v>Home-Work</v>
      </c>
      <c r="S54" s="52">
        <v>62</v>
      </c>
      <c r="T54" s="52">
        <v>2</v>
      </c>
      <c r="U54" s="43">
        <v>5</v>
      </c>
      <c r="V54" s="43"/>
      <c r="W54" s="52"/>
      <c r="X54" s="52"/>
      <c r="Y54" s="53" t="s">
        <v>385</v>
      </c>
      <c r="Z54" s="54">
        <v>0</v>
      </c>
      <c r="AA54" s="25"/>
      <c r="AB54" s="25"/>
    </row>
    <row r="55" spans="2:28">
      <c r="B55" s="40">
        <v>0.8652777777777777</v>
      </c>
      <c r="C55" s="40" t="s">
        <v>697</v>
      </c>
      <c r="D55" s="41">
        <v>1</v>
      </c>
      <c r="E55" s="42">
        <v>1</v>
      </c>
      <c r="F55" s="42" t="s">
        <v>187</v>
      </c>
      <c r="G55" s="43" t="s">
        <v>187</v>
      </c>
      <c r="H55" s="42" t="s">
        <v>157</v>
      </c>
      <c r="I55" s="43">
        <v>16</v>
      </c>
      <c r="J55" s="43">
        <v>6</v>
      </c>
      <c r="K55" s="25" t="str">
        <f>VLOOKUP(J55,Key!$E$2:$F$9,2,FALSE)</f>
        <v>Leisure/Social</v>
      </c>
      <c r="L55" s="42" t="s">
        <v>155</v>
      </c>
      <c r="M55" s="43" t="s">
        <v>156</v>
      </c>
      <c r="N55" s="42" t="s">
        <v>157</v>
      </c>
      <c r="O55" s="43">
        <v>1</v>
      </c>
      <c r="P55" s="43">
        <v>1</v>
      </c>
      <c r="Q55" s="25" t="str">
        <f>VLOOKUP(P55,Key!$E$2:$F$9,2,FALSE)</f>
        <v>Home</v>
      </c>
      <c r="R55" s="25" t="str">
        <f t="shared" si="1"/>
        <v>Leisure/Social-Home</v>
      </c>
      <c r="S55" s="52">
        <v>40</v>
      </c>
      <c r="T55" s="52">
        <v>2</v>
      </c>
      <c r="U55" s="43">
        <v>4</v>
      </c>
      <c r="V55" s="43"/>
      <c r="W55" s="52"/>
      <c r="X55" s="52"/>
      <c r="Y55" s="53" t="s">
        <v>158</v>
      </c>
      <c r="Z55" s="54">
        <v>1000</v>
      </c>
      <c r="AA55" s="25"/>
      <c r="AB55" s="25"/>
    </row>
    <row r="56" spans="2:28">
      <c r="B56" s="40">
        <v>0.91736111111111107</v>
      </c>
      <c r="C56" s="40" t="s">
        <v>698</v>
      </c>
      <c r="D56" s="41">
        <v>1</v>
      </c>
      <c r="E56" s="42">
        <v>1</v>
      </c>
      <c r="F56" s="42" t="s">
        <v>232</v>
      </c>
      <c r="G56" s="43" t="s">
        <v>187</v>
      </c>
      <c r="H56" s="42" t="s">
        <v>157</v>
      </c>
      <c r="I56" s="43">
        <v>2</v>
      </c>
      <c r="J56" s="43">
        <v>2</v>
      </c>
      <c r="K56" s="25" t="str">
        <f>VLOOKUP(J56,Key!$E$2:$F$9,2,FALSE)</f>
        <v>Work</v>
      </c>
      <c r="L56" s="42" t="s">
        <v>150</v>
      </c>
      <c r="M56" s="43" t="s">
        <v>156</v>
      </c>
      <c r="N56" s="42" t="s">
        <v>157</v>
      </c>
      <c r="O56" s="43">
        <v>1</v>
      </c>
      <c r="P56" s="43">
        <v>1</v>
      </c>
      <c r="Q56" s="25" t="str">
        <f>VLOOKUP(P56,Key!$E$2:$F$9,2,FALSE)</f>
        <v>Home</v>
      </c>
      <c r="R56" s="25" t="str">
        <f t="shared" si="1"/>
        <v>Work-Home</v>
      </c>
      <c r="S56" s="52">
        <v>40</v>
      </c>
      <c r="T56" s="52">
        <v>1</v>
      </c>
      <c r="U56" s="43">
        <v>1</v>
      </c>
      <c r="V56" s="43"/>
      <c r="W56" s="52"/>
      <c r="X56" s="52"/>
      <c r="Y56" s="53" t="s">
        <v>158</v>
      </c>
      <c r="Z56" s="54">
        <v>2000</v>
      </c>
      <c r="AA56" s="25"/>
      <c r="AB56" s="25"/>
    </row>
    <row r="57" spans="2:28">
      <c r="B57" s="40">
        <v>0.9145833333333333</v>
      </c>
      <c r="C57" s="40" t="s">
        <v>699</v>
      </c>
      <c r="D57" s="41">
        <v>1</v>
      </c>
      <c r="E57" s="42">
        <v>2</v>
      </c>
      <c r="F57" s="42" t="s">
        <v>684</v>
      </c>
      <c r="G57" s="43" t="s">
        <v>156</v>
      </c>
      <c r="H57" s="42" t="s">
        <v>157</v>
      </c>
      <c r="I57" s="43">
        <v>16</v>
      </c>
      <c r="J57" s="43">
        <v>6</v>
      </c>
      <c r="K57" s="25" t="str">
        <f>VLOOKUP(J57,Key!$E$2:$F$9,2,FALSE)</f>
        <v>Leisure/Social</v>
      </c>
      <c r="L57" s="42" t="s">
        <v>155</v>
      </c>
      <c r="M57" s="43" t="s">
        <v>156</v>
      </c>
      <c r="N57" s="42" t="s">
        <v>157</v>
      </c>
      <c r="O57" s="43">
        <v>1</v>
      </c>
      <c r="P57" s="43">
        <v>1</v>
      </c>
      <c r="Q57" s="25" t="str">
        <f>VLOOKUP(P57,Key!$E$2:$F$9,2,FALSE)</f>
        <v>Home</v>
      </c>
      <c r="R57" s="25" t="str">
        <f t="shared" si="1"/>
        <v>Leisure/Social-Home</v>
      </c>
      <c r="S57" s="52">
        <v>137</v>
      </c>
      <c r="T57" s="52">
        <v>2</v>
      </c>
      <c r="U57" s="43"/>
      <c r="V57" s="43"/>
      <c r="W57" s="52"/>
      <c r="X57" s="52"/>
      <c r="Y57" s="53" t="s">
        <v>158</v>
      </c>
      <c r="Z57" s="54">
        <v>2000</v>
      </c>
      <c r="AA57" s="25"/>
      <c r="AB57" s="25"/>
    </row>
    <row r="58" spans="2:28">
      <c r="B58" s="40">
        <v>0.90694444444444444</v>
      </c>
      <c r="C58" s="40" t="s">
        <v>700</v>
      </c>
      <c r="D58" s="41">
        <v>4</v>
      </c>
      <c r="E58" s="42">
        <v>7</v>
      </c>
      <c r="F58" s="42" t="s">
        <v>684</v>
      </c>
      <c r="G58" s="43" t="s">
        <v>156</v>
      </c>
      <c r="H58" s="42" t="s">
        <v>157</v>
      </c>
      <c r="I58" s="43">
        <v>6</v>
      </c>
      <c r="J58" s="43">
        <v>4</v>
      </c>
      <c r="K58" s="25" t="str">
        <f>VLOOKUP(J58,Key!$E$2:$F$9,2,FALSE)</f>
        <v>Commercial</v>
      </c>
      <c r="L58" s="42" t="s">
        <v>187</v>
      </c>
      <c r="M58" s="43" t="s">
        <v>187</v>
      </c>
      <c r="N58" s="42" t="s">
        <v>157</v>
      </c>
      <c r="O58" s="43">
        <v>6</v>
      </c>
      <c r="P58" s="43">
        <v>4</v>
      </c>
      <c r="Q58" s="25" t="str">
        <f>VLOOKUP(P58,Key!$E$2:$F$9,2,FALSE)</f>
        <v>Commercial</v>
      </c>
      <c r="R58" s="25" t="str">
        <f t="shared" si="1"/>
        <v>Commercial-Commercial</v>
      </c>
      <c r="S58" s="52">
        <v>137</v>
      </c>
      <c r="T58" s="52">
        <v>2</v>
      </c>
      <c r="U58" s="43">
        <v>2</v>
      </c>
      <c r="V58" s="43"/>
      <c r="W58" s="52"/>
      <c r="X58" s="52"/>
      <c r="Y58" s="53" t="s">
        <v>158</v>
      </c>
      <c r="Z58" s="54">
        <v>2000</v>
      </c>
      <c r="AA58" s="25"/>
      <c r="AB58" s="25"/>
    </row>
    <row r="59" spans="2:28">
      <c r="B59" s="40">
        <v>0.90347222222222223</v>
      </c>
      <c r="C59" s="40" t="s">
        <v>701</v>
      </c>
      <c r="D59" s="41">
        <v>1</v>
      </c>
      <c r="E59" s="42">
        <v>2</v>
      </c>
      <c r="F59" s="42" t="s">
        <v>194</v>
      </c>
      <c r="G59" s="43" t="s">
        <v>156</v>
      </c>
      <c r="H59" s="42" t="s">
        <v>157</v>
      </c>
      <c r="I59" s="43">
        <v>1</v>
      </c>
      <c r="J59" s="43">
        <v>1</v>
      </c>
      <c r="K59" s="25" t="str">
        <f>VLOOKUP(J59,Key!$E$2:$F$9,2,FALSE)</f>
        <v>Home</v>
      </c>
      <c r="L59" s="42" t="s">
        <v>155</v>
      </c>
      <c r="M59" s="43" t="s">
        <v>156</v>
      </c>
      <c r="N59" s="42" t="s">
        <v>157</v>
      </c>
      <c r="O59" s="43">
        <v>1</v>
      </c>
      <c r="P59" s="43">
        <v>1</v>
      </c>
      <c r="Q59" s="25" t="str">
        <f>VLOOKUP(P59,Key!$E$2:$F$9,2,FALSE)</f>
        <v>Home</v>
      </c>
      <c r="R59" s="25" t="str">
        <f t="shared" si="1"/>
        <v>Home-Home</v>
      </c>
      <c r="S59" s="52">
        <v>2</v>
      </c>
      <c r="T59" s="52">
        <v>0.1</v>
      </c>
      <c r="U59" s="43">
        <v>2</v>
      </c>
      <c r="V59" s="43"/>
      <c r="W59" s="52"/>
      <c r="X59" s="52"/>
      <c r="Y59" s="53" t="s">
        <v>158</v>
      </c>
      <c r="Z59" s="54">
        <v>500</v>
      </c>
      <c r="AA59" s="25"/>
      <c r="AB59" s="25"/>
    </row>
    <row r="60" spans="2:28">
      <c r="B60" s="40">
        <v>0.8652777777777777</v>
      </c>
      <c r="C60" s="40" t="s">
        <v>702</v>
      </c>
      <c r="D60" s="41">
        <v>1</v>
      </c>
      <c r="E60" s="42">
        <v>1</v>
      </c>
      <c r="F60" s="42" t="s">
        <v>187</v>
      </c>
      <c r="G60" s="43" t="s">
        <v>187</v>
      </c>
      <c r="H60" s="42" t="s">
        <v>157</v>
      </c>
      <c r="I60" s="43">
        <v>16</v>
      </c>
      <c r="J60" s="43">
        <v>8</v>
      </c>
      <c r="K60" s="25" t="str">
        <f>VLOOKUP(J60,Key!$E$2:$F$9,2,FALSE)</f>
        <v>Others</v>
      </c>
      <c r="L60" s="42" t="s">
        <v>150</v>
      </c>
      <c r="M60" s="43" t="s">
        <v>156</v>
      </c>
      <c r="N60" s="42" t="s">
        <v>157</v>
      </c>
      <c r="O60" s="43">
        <v>1</v>
      </c>
      <c r="P60" s="43">
        <v>1</v>
      </c>
      <c r="Q60" s="25" t="str">
        <f>VLOOKUP(P60,Key!$E$2:$F$9,2,FALSE)</f>
        <v>Home</v>
      </c>
      <c r="R60" s="25" t="str">
        <f t="shared" si="1"/>
        <v>Others-Home</v>
      </c>
      <c r="S60" s="52">
        <v>1</v>
      </c>
      <c r="T60" s="52">
        <v>1</v>
      </c>
      <c r="U60" s="43">
        <v>1</v>
      </c>
      <c r="V60" s="43"/>
      <c r="W60" s="52"/>
      <c r="X60" s="52"/>
      <c r="Y60" s="53" t="s">
        <v>158</v>
      </c>
      <c r="Z60" s="54">
        <v>1000</v>
      </c>
      <c r="AA60" s="25"/>
      <c r="AB60" s="25"/>
    </row>
    <row r="61" spans="2:28">
      <c r="B61" s="40">
        <v>0.86805555555555547</v>
      </c>
      <c r="C61" s="40" t="s">
        <v>703</v>
      </c>
      <c r="D61" s="41">
        <v>1</v>
      </c>
      <c r="E61" s="42">
        <v>1</v>
      </c>
      <c r="F61" s="42" t="s">
        <v>704</v>
      </c>
      <c r="G61" s="43" t="s">
        <v>187</v>
      </c>
      <c r="H61" s="42" t="s">
        <v>157</v>
      </c>
      <c r="I61" s="43">
        <v>16</v>
      </c>
      <c r="J61" s="43">
        <v>2</v>
      </c>
      <c r="K61" s="25" t="str">
        <f>VLOOKUP(J61,Key!$E$2:$F$9,2,FALSE)</f>
        <v>Work</v>
      </c>
      <c r="L61" s="42" t="s">
        <v>160</v>
      </c>
      <c r="M61" s="43" t="s">
        <v>156</v>
      </c>
      <c r="N61" s="42" t="s">
        <v>157</v>
      </c>
      <c r="O61" s="43">
        <v>1</v>
      </c>
      <c r="P61" s="43">
        <v>1</v>
      </c>
      <c r="Q61" s="25" t="str">
        <f>VLOOKUP(P61,Key!$E$2:$F$9,2,FALSE)</f>
        <v>Home</v>
      </c>
      <c r="R61" s="25" t="str">
        <f t="shared" si="1"/>
        <v>Work-Home</v>
      </c>
      <c r="S61" s="52">
        <v>20</v>
      </c>
      <c r="T61" s="52">
        <v>0.7</v>
      </c>
      <c r="U61" s="43">
        <v>1</v>
      </c>
      <c r="V61" s="43"/>
      <c r="W61" s="52"/>
      <c r="X61" s="52"/>
      <c r="Y61" s="53" t="s">
        <v>158</v>
      </c>
      <c r="Z61" s="54">
        <v>2000</v>
      </c>
      <c r="AA61" s="25"/>
      <c r="AB61" s="25"/>
    </row>
    <row r="62" spans="2:28">
      <c r="B62" s="40">
        <v>0.79375000000000007</v>
      </c>
      <c r="C62" s="40" t="s">
        <v>705</v>
      </c>
      <c r="D62" s="41">
        <v>1</v>
      </c>
      <c r="E62" s="42">
        <v>1</v>
      </c>
      <c r="F62" s="42" t="s">
        <v>150</v>
      </c>
      <c r="G62" s="43" t="s">
        <v>156</v>
      </c>
      <c r="H62" s="42" t="s">
        <v>157</v>
      </c>
      <c r="I62" s="43">
        <v>2</v>
      </c>
      <c r="J62" s="43">
        <v>2</v>
      </c>
      <c r="K62" s="25" t="str">
        <f>VLOOKUP(J62,Key!$E$2:$F$9,2,FALSE)</f>
        <v>Work</v>
      </c>
      <c r="L62" s="42" t="s">
        <v>162</v>
      </c>
      <c r="M62" s="43" t="s">
        <v>156</v>
      </c>
      <c r="N62" s="42" t="s">
        <v>157</v>
      </c>
      <c r="O62" s="43">
        <v>1</v>
      </c>
      <c r="P62" s="43">
        <v>1</v>
      </c>
      <c r="Q62" s="25" t="str">
        <f>VLOOKUP(P62,Key!$E$2:$F$9,2,FALSE)</f>
        <v>Home</v>
      </c>
      <c r="R62" s="25" t="str">
        <f t="shared" si="1"/>
        <v>Work-Home</v>
      </c>
      <c r="S62" s="52">
        <v>1</v>
      </c>
      <c r="T62" s="52">
        <v>0.3</v>
      </c>
      <c r="U62" s="43">
        <v>1</v>
      </c>
      <c r="V62" s="43"/>
      <c r="W62" s="52"/>
      <c r="X62" s="52"/>
      <c r="Y62" s="53" t="s">
        <v>158</v>
      </c>
      <c r="Z62" s="54">
        <v>5000</v>
      </c>
      <c r="AA62" s="25"/>
      <c r="AB62" s="25"/>
    </row>
    <row r="63" spans="2:28">
      <c r="B63" s="40">
        <v>0.7993055555555556</v>
      </c>
      <c r="C63" s="40" t="s">
        <v>706</v>
      </c>
      <c r="D63" s="41">
        <v>1</v>
      </c>
      <c r="E63" s="42">
        <v>1</v>
      </c>
      <c r="F63" s="42" t="s">
        <v>162</v>
      </c>
      <c r="G63" s="43" t="s">
        <v>156</v>
      </c>
      <c r="H63" s="42" t="s">
        <v>157</v>
      </c>
      <c r="I63" s="43">
        <v>2</v>
      </c>
      <c r="J63" s="43">
        <v>2</v>
      </c>
      <c r="K63" s="25" t="str">
        <f>VLOOKUP(J63,Key!$E$2:$F$9,2,FALSE)</f>
        <v>Work</v>
      </c>
      <c r="L63" s="42" t="s">
        <v>155</v>
      </c>
      <c r="M63" s="43" t="s">
        <v>156</v>
      </c>
      <c r="N63" s="42" t="s">
        <v>157</v>
      </c>
      <c r="O63" s="43">
        <v>1</v>
      </c>
      <c r="P63" s="43">
        <v>1</v>
      </c>
      <c r="Q63" s="25" t="str">
        <f>VLOOKUP(P63,Key!$E$2:$F$9,2,FALSE)</f>
        <v>Home</v>
      </c>
      <c r="R63" s="25" t="str">
        <f t="shared" si="1"/>
        <v>Work-Home</v>
      </c>
      <c r="S63" s="52">
        <v>2</v>
      </c>
      <c r="T63" s="52">
        <v>0.3</v>
      </c>
      <c r="U63" s="43">
        <v>1</v>
      </c>
      <c r="V63" s="43"/>
      <c r="W63" s="52"/>
      <c r="X63" s="52"/>
      <c r="Y63" s="53" t="s">
        <v>158</v>
      </c>
      <c r="Z63" s="54">
        <v>1000</v>
      </c>
      <c r="AA63" s="25"/>
      <c r="AB63" s="25"/>
    </row>
    <row r="64" spans="2:28">
      <c r="B64" s="40">
        <v>0.77430555555555547</v>
      </c>
      <c r="C64" s="40" t="s">
        <v>707</v>
      </c>
      <c r="D64" s="41">
        <v>2</v>
      </c>
      <c r="E64" s="42">
        <v>3</v>
      </c>
      <c r="F64" s="42" t="s">
        <v>162</v>
      </c>
      <c r="G64" s="43" t="s">
        <v>156</v>
      </c>
      <c r="H64" s="42" t="s">
        <v>157</v>
      </c>
      <c r="I64" s="43">
        <v>1</v>
      </c>
      <c r="J64" s="43">
        <v>1</v>
      </c>
      <c r="K64" s="25" t="str">
        <f>VLOOKUP(J64,Key!$E$2:$F$9,2,FALSE)</f>
        <v>Home</v>
      </c>
      <c r="L64" s="42" t="s">
        <v>155</v>
      </c>
      <c r="M64" s="43" t="s">
        <v>156</v>
      </c>
      <c r="N64" s="42" t="s">
        <v>157</v>
      </c>
      <c r="O64" s="43">
        <v>9</v>
      </c>
      <c r="P64" s="43">
        <v>2</v>
      </c>
      <c r="Q64" s="25" t="str">
        <f>VLOOKUP(P64,Key!$E$2:$F$9,2,FALSE)</f>
        <v>Work</v>
      </c>
      <c r="R64" s="25" t="str">
        <f t="shared" si="1"/>
        <v>Home-Work</v>
      </c>
      <c r="S64" s="52">
        <v>2</v>
      </c>
      <c r="T64" s="52">
        <v>0.3</v>
      </c>
      <c r="U64" s="43"/>
      <c r="V64" s="43">
        <v>1</v>
      </c>
      <c r="W64" s="52">
        <v>1</v>
      </c>
      <c r="X64" s="52">
        <v>0.1</v>
      </c>
      <c r="Y64" s="53" t="s">
        <v>158</v>
      </c>
      <c r="Z64" s="54">
        <v>5000</v>
      </c>
      <c r="AA64" s="25"/>
      <c r="AB64" s="25"/>
    </row>
    <row r="65" spans="2:28">
      <c r="B65" s="40">
        <v>0.76250000000000007</v>
      </c>
      <c r="C65" s="40" t="s">
        <v>708</v>
      </c>
      <c r="D65" s="41">
        <v>4</v>
      </c>
      <c r="E65" s="42">
        <v>2</v>
      </c>
      <c r="F65" s="42" t="s">
        <v>150</v>
      </c>
      <c r="G65" s="43" t="s">
        <v>156</v>
      </c>
      <c r="H65" s="42" t="s">
        <v>157</v>
      </c>
      <c r="I65" s="43">
        <v>6</v>
      </c>
      <c r="J65" s="43">
        <v>2</v>
      </c>
      <c r="K65" s="25" t="str">
        <f>VLOOKUP(J65,Key!$E$2:$F$9,2,FALSE)</f>
        <v>Work</v>
      </c>
      <c r="L65" s="42" t="s">
        <v>207</v>
      </c>
      <c r="M65" s="43" t="s">
        <v>156</v>
      </c>
      <c r="N65" s="42" t="s">
        <v>157</v>
      </c>
      <c r="O65" s="43">
        <v>16</v>
      </c>
      <c r="P65" s="43">
        <v>4</v>
      </c>
      <c r="Q65" s="25" t="str">
        <f>VLOOKUP(P65,Key!$E$2:$F$9,2,FALSE)</f>
        <v>Commercial</v>
      </c>
      <c r="R65" s="25" t="str">
        <f t="shared" si="1"/>
        <v>Work-Commercial</v>
      </c>
      <c r="S65" s="52">
        <v>1.4</v>
      </c>
      <c r="T65" s="52">
        <v>0.1</v>
      </c>
      <c r="U65" s="43">
        <v>2</v>
      </c>
      <c r="V65" s="43"/>
      <c r="W65" s="52"/>
      <c r="X65" s="52"/>
      <c r="Y65" s="53" t="s">
        <v>158</v>
      </c>
      <c r="Z65" s="54">
        <v>1000</v>
      </c>
      <c r="AA65" s="25"/>
      <c r="AB65" s="25"/>
    </row>
    <row r="66" spans="2:28">
      <c r="B66" s="40">
        <v>0.75555555555555554</v>
      </c>
      <c r="C66" s="40" t="s">
        <v>709</v>
      </c>
      <c r="D66" s="41">
        <v>1</v>
      </c>
      <c r="E66" s="42">
        <v>2</v>
      </c>
      <c r="F66" s="42" t="s">
        <v>150</v>
      </c>
      <c r="G66" s="43" t="s">
        <v>156</v>
      </c>
      <c r="H66" s="42" t="s">
        <v>157</v>
      </c>
      <c r="I66" s="43">
        <v>1</v>
      </c>
      <c r="J66" s="43">
        <v>1</v>
      </c>
      <c r="K66" s="25" t="str">
        <f>VLOOKUP(J66,Key!$E$2:$F$9,2,FALSE)</f>
        <v>Home</v>
      </c>
      <c r="L66" s="42" t="s">
        <v>155</v>
      </c>
      <c r="M66" s="43" t="s">
        <v>156</v>
      </c>
      <c r="N66" s="42" t="s">
        <v>157</v>
      </c>
      <c r="O66" s="43">
        <v>9</v>
      </c>
      <c r="P66" s="43">
        <v>2</v>
      </c>
      <c r="Q66" s="25" t="str">
        <f>VLOOKUP(P66,Key!$E$2:$F$9,2,FALSE)</f>
        <v>Work</v>
      </c>
      <c r="R66" s="25" t="str">
        <f t="shared" si="1"/>
        <v>Home-Work</v>
      </c>
      <c r="S66" s="52">
        <v>8</v>
      </c>
      <c r="T66" s="52">
        <v>0.1</v>
      </c>
      <c r="U66" s="43">
        <v>4</v>
      </c>
      <c r="V66" s="43"/>
      <c r="W66" s="52"/>
      <c r="X66" s="52"/>
      <c r="Y66" s="53" t="s">
        <v>158</v>
      </c>
      <c r="Z66" s="54">
        <v>5000</v>
      </c>
      <c r="AA66" s="25"/>
      <c r="AB66" s="25"/>
    </row>
    <row r="67" spans="2:28">
      <c r="B67" s="40">
        <v>0.73263888888888884</v>
      </c>
      <c r="C67" s="40" t="s">
        <v>710</v>
      </c>
      <c r="D67" s="41">
        <v>3</v>
      </c>
      <c r="E67" s="42">
        <v>2</v>
      </c>
      <c r="F67" s="42" t="s">
        <v>160</v>
      </c>
      <c r="G67" s="43" t="s">
        <v>156</v>
      </c>
      <c r="H67" s="42" t="s">
        <v>157</v>
      </c>
      <c r="I67" s="43">
        <v>14</v>
      </c>
      <c r="J67" s="43">
        <v>4</v>
      </c>
      <c r="K67" s="25" t="str">
        <f>VLOOKUP(J67,Key!$E$2:$F$9,2,FALSE)</f>
        <v>Commercial</v>
      </c>
      <c r="L67" s="42" t="s">
        <v>339</v>
      </c>
      <c r="M67" s="43" t="s">
        <v>187</v>
      </c>
      <c r="N67" s="42" t="s">
        <v>157</v>
      </c>
      <c r="O67" s="43">
        <v>3</v>
      </c>
      <c r="P67" s="43">
        <v>4</v>
      </c>
      <c r="Q67" s="25" t="str">
        <f>VLOOKUP(P67,Key!$E$2:$F$9,2,FALSE)</f>
        <v>Commercial</v>
      </c>
      <c r="R67" s="25" t="str">
        <f t="shared" si="1"/>
        <v>Commercial-Commercial</v>
      </c>
      <c r="S67" s="52">
        <v>3</v>
      </c>
      <c r="T67" s="52">
        <v>1</v>
      </c>
      <c r="U67" s="43">
        <v>3</v>
      </c>
      <c r="V67" s="43">
        <v>6</v>
      </c>
      <c r="W67" s="52">
        <v>2</v>
      </c>
      <c r="X67" s="52">
        <v>5</v>
      </c>
      <c r="Y67" s="53" t="s">
        <v>158</v>
      </c>
      <c r="Z67" s="54">
        <v>2000</v>
      </c>
      <c r="AA67" s="25"/>
      <c r="AB67" s="25"/>
    </row>
    <row r="68" spans="2:28">
      <c r="B68" s="40">
        <v>0.7368055555555556</v>
      </c>
      <c r="C68" s="40" t="s">
        <v>711</v>
      </c>
      <c r="D68" s="41">
        <v>1</v>
      </c>
      <c r="E68" s="42">
        <v>2</v>
      </c>
      <c r="F68" s="42" t="s">
        <v>160</v>
      </c>
      <c r="G68" s="43" t="s">
        <v>156</v>
      </c>
      <c r="H68" s="42" t="s">
        <v>157</v>
      </c>
      <c r="I68" s="43">
        <v>1</v>
      </c>
      <c r="J68" s="43">
        <v>1</v>
      </c>
      <c r="K68" s="25" t="str">
        <f>VLOOKUP(J68,Key!$E$2:$F$9,2,FALSE)</f>
        <v>Home</v>
      </c>
      <c r="L68" s="42" t="s">
        <v>155</v>
      </c>
      <c r="M68" s="43" t="s">
        <v>156</v>
      </c>
      <c r="N68" s="42" t="s">
        <v>157</v>
      </c>
      <c r="O68" s="43">
        <v>11</v>
      </c>
      <c r="P68" s="43">
        <v>4</v>
      </c>
      <c r="Q68" s="25" t="str">
        <f>VLOOKUP(P68,Key!$E$2:$F$9,2,FALSE)</f>
        <v>Commercial</v>
      </c>
      <c r="R68" s="25" t="str">
        <f t="shared" si="1"/>
        <v>Home-Commercial</v>
      </c>
      <c r="S68" s="52">
        <v>2</v>
      </c>
      <c r="T68" s="52">
        <v>0.3</v>
      </c>
      <c r="U68" s="43">
        <v>2</v>
      </c>
      <c r="V68" s="43"/>
      <c r="W68" s="52"/>
      <c r="X68" s="52"/>
      <c r="Y68" s="53" t="s">
        <v>158</v>
      </c>
      <c r="Z68" s="54">
        <v>100</v>
      </c>
      <c r="AA68" s="25"/>
      <c r="AB68" s="25"/>
    </row>
    <row r="69" spans="2:28">
      <c r="B69" s="40">
        <v>0.73402777777777783</v>
      </c>
      <c r="C69" s="40" t="s">
        <v>712</v>
      </c>
      <c r="D69" s="41">
        <v>1</v>
      </c>
      <c r="E69" s="42">
        <v>2</v>
      </c>
      <c r="F69" s="42" t="s">
        <v>339</v>
      </c>
      <c r="G69" s="43" t="s">
        <v>187</v>
      </c>
      <c r="H69" s="42" t="s">
        <v>157</v>
      </c>
      <c r="I69" s="43">
        <v>16</v>
      </c>
      <c r="J69" s="43">
        <v>6</v>
      </c>
      <c r="K69" s="25" t="str">
        <f>VLOOKUP(J69,Key!$E$2:$F$9,2,FALSE)</f>
        <v>Leisure/Social</v>
      </c>
      <c r="L69" s="42" t="s">
        <v>155</v>
      </c>
      <c r="M69" s="43" t="s">
        <v>156</v>
      </c>
      <c r="N69" s="42" t="s">
        <v>157</v>
      </c>
      <c r="O69" s="43">
        <v>16</v>
      </c>
      <c r="P69" s="43">
        <v>6</v>
      </c>
      <c r="Q69" s="25" t="str">
        <f>VLOOKUP(P69,Key!$E$2:$F$9,2,FALSE)</f>
        <v>Leisure/Social</v>
      </c>
      <c r="R69" s="25" t="str">
        <f t="shared" si="1"/>
        <v>Leisure/Social-Leisure/Social</v>
      </c>
      <c r="S69" s="52">
        <v>22</v>
      </c>
      <c r="T69" s="52">
        <v>1</v>
      </c>
      <c r="U69" s="43">
        <v>2</v>
      </c>
      <c r="V69" s="43"/>
      <c r="W69" s="52"/>
      <c r="X69" s="52"/>
      <c r="Y69" s="53" t="s">
        <v>158</v>
      </c>
      <c r="Z69" s="54">
        <v>1000</v>
      </c>
      <c r="AA69" s="25"/>
      <c r="AB69" s="25"/>
    </row>
    <row r="70" spans="2:28">
      <c r="B70" s="40">
        <v>0.69861111111111107</v>
      </c>
      <c r="C70" s="40" t="s">
        <v>713</v>
      </c>
      <c r="D70" s="41">
        <v>1</v>
      </c>
      <c r="E70" s="42">
        <v>1</v>
      </c>
      <c r="F70" s="42" t="s">
        <v>150</v>
      </c>
      <c r="G70" s="43" t="s">
        <v>156</v>
      </c>
      <c r="H70" s="42" t="s">
        <v>157</v>
      </c>
      <c r="I70" s="43">
        <v>1</v>
      </c>
      <c r="J70" s="43">
        <v>1</v>
      </c>
      <c r="K70" s="25" t="str">
        <f>VLOOKUP(J70,Key!$E$2:$F$9,2,FALSE)</f>
        <v>Home</v>
      </c>
      <c r="L70" s="42" t="s">
        <v>150</v>
      </c>
      <c r="M70" s="43" t="s">
        <v>156</v>
      </c>
      <c r="N70" s="42" t="s">
        <v>157</v>
      </c>
      <c r="O70" s="43">
        <v>16</v>
      </c>
      <c r="P70" s="43">
        <v>6</v>
      </c>
      <c r="Q70" s="25" t="str">
        <f>VLOOKUP(P70,Key!$E$2:$F$9,2,FALSE)</f>
        <v>Leisure/Social</v>
      </c>
      <c r="R70" s="25" t="str">
        <f t="shared" si="1"/>
        <v>Home-Leisure/Social</v>
      </c>
      <c r="S70" s="52">
        <v>16</v>
      </c>
      <c r="T70" s="52">
        <v>0.1</v>
      </c>
      <c r="U70" s="43">
        <v>2</v>
      </c>
      <c r="V70" s="43"/>
      <c r="W70" s="52"/>
      <c r="X70" s="52"/>
      <c r="Y70" s="53" t="s">
        <v>158</v>
      </c>
      <c r="Z70" s="54">
        <v>0</v>
      </c>
      <c r="AA70" s="25"/>
      <c r="AB70" s="25"/>
    </row>
    <row r="71" spans="2:28">
      <c r="B71" s="40">
        <v>0.69305555555555554</v>
      </c>
      <c r="C71" s="40" t="s">
        <v>714</v>
      </c>
      <c r="D71" s="41">
        <v>9</v>
      </c>
      <c r="E71" s="42">
        <v>2</v>
      </c>
      <c r="F71" s="42" t="s">
        <v>683</v>
      </c>
      <c r="G71" s="43" t="s">
        <v>197</v>
      </c>
      <c r="H71" s="42" t="s">
        <v>157</v>
      </c>
      <c r="I71" s="43">
        <v>11</v>
      </c>
      <c r="J71" s="43">
        <v>4</v>
      </c>
      <c r="K71" s="25" t="str">
        <f>VLOOKUP(J71,Key!$E$2:$F$9,2,FALSE)</f>
        <v>Commercial</v>
      </c>
      <c r="L71" s="42" t="s">
        <v>207</v>
      </c>
      <c r="M71" s="43" t="s">
        <v>156</v>
      </c>
      <c r="N71" s="42" t="s">
        <v>157</v>
      </c>
      <c r="O71" s="43">
        <v>3</v>
      </c>
      <c r="P71" s="43">
        <v>4</v>
      </c>
      <c r="Q71" s="25" t="str">
        <f>VLOOKUP(P71,Key!$E$2:$F$9,2,FALSE)</f>
        <v>Commercial</v>
      </c>
      <c r="R71" s="25" t="str">
        <f t="shared" si="1"/>
        <v>Commercial-Commercial</v>
      </c>
      <c r="S71" s="52">
        <v>34</v>
      </c>
      <c r="T71" s="52">
        <v>3</v>
      </c>
      <c r="U71" s="43">
        <v>4</v>
      </c>
      <c r="V71" s="43">
        <v>1</v>
      </c>
      <c r="W71" s="52">
        <v>4</v>
      </c>
      <c r="X71" s="52">
        <v>3</v>
      </c>
      <c r="Y71" s="53" t="s">
        <v>158</v>
      </c>
      <c r="Z71" s="54">
        <v>2000</v>
      </c>
      <c r="AA71" s="25"/>
      <c r="AB71" s="25"/>
    </row>
    <row r="72" spans="2:28">
      <c r="B72" s="40">
        <v>0.68611111111111101</v>
      </c>
      <c r="C72" s="40" t="s">
        <v>715</v>
      </c>
      <c r="D72" s="41">
        <v>1</v>
      </c>
      <c r="E72" s="42">
        <v>1</v>
      </c>
      <c r="F72" s="42" t="s">
        <v>150</v>
      </c>
      <c r="G72" s="43" t="s">
        <v>156</v>
      </c>
      <c r="H72" s="42" t="s">
        <v>157</v>
      </c>
      <c r="I72" s="43">
        <v>1</v>
      </c>
      <c r="J72" s="43">
        <v>1</v>
      </c>
      <c r="K72" s="25" t="str">
        <f>VLOOKUP(J72,Key!$E$2:$F$9,2,FALSE)</f>
        <v>Home</v>
      </c>
      <c r="L72" s="42" t="s">
        <v>162</v>
      </c>
      <c r="M72" s="43" t="s">
        <v>156</v>
      </c>
      <c r="N72" s="42" t="s">
        <v>157</v>
      </c>
      <c r="O72" s="43">
        <v>1</v>
      </c>
      <c r="P72" s="43">
        <v>1</v>
      </c>
      <c r="Q72" s="25" t="str">
        <f>VLOOKUP(P72,Key!$E$2:$F$9,2,FALSE)</f>
        <v>Home</v>
      </c>
      <c r="R72" s="25" t="str">
        <f t="shared" si="1"/>
        <v>Home-Home</v>
      </c>
      <c r="S72" s="52">
        <v>36</v>
      </c>
      <c r="T72" s="52">
        <v>0.4</v>
      </c>
      <c r="U72" s="43">
        <v>1</v>
      </c>
      <c r="V72" s="43"/>
      <c r="W72" s="52"/>
      <c r="X72" s="52"/>
      <c r="Y72" s="53" t="s">
        <v>158</v>
      </c>
      <c r="Z72" s="54">
        <v>2000</v>
      </c>
      <c r="AA72" s="25"/>
      <c r="AB72" s="25"/>
    </row>
    <row r="73" spans="2:28">
      <c r="B73" s="40">
        <v>0.68194444444444446</v>
      </c>
      <c r="C73" s="40" t="s">
        <v>716</v>
      </c>
      <c r="D73" s="41">
        <v>4</v>
      </c>
      <c r="E73" s="42">
        <v>10</v>
      </c>
      <c r="F73" s="42" t="s">
        <v>197</v>
      </c>
      <c r="G73" s="43" t="s">
        <v>197</v>
      </c>
      <c r="H73" s="42" t="s">
        <v>157</v>
      </c>
      <c r="I73" s="43">
        <v>6</v>
      </c>
      <c r="J73" s="43">
        <v>2</v>
      </c>
      <c r="K73" s="25" t="str">
        <f>VLOOKUP(J73,Key!$E$2:$F$9,2,FALSE)</f>
        <v>Work</v>
      </c>
      <c r="L73" s="42" t="s">
        <v>207</v>
      </c>
      <c r="M73" s="43" t="s">
        <v>156</v>
      </c>
      <c r="N73" s="42" t="s">
        <v>157</v>
      </c>
      <c r="O73" s="43">
        <v>6</v>
      </c>
      <c r="P73" s="43">
        <v>4</v>
      </c>
      <c r="Q73" s="25" t="str">
        <f>VLOOKUP(P73,Key!$E$2:$F$9,2,FALSE)</f>
        <v>Commercial</v>
      </c>
      <c r="R73" s="25" t="str">
        <f t="shared" si="1"/>
        <v>Work-Commercial</v>
      </c>
      <c r="S73" s="52">
        <v>130</v>
      </c>
      <c r="T73" s="52">
        <v>2</v>
      </c>
      <c r="U73" s="43">
        <v>2</v>
      </c>
      <c r="V73" s="43"/>
      <c r="W73" s="52"/>
      <c r="X73" s="52"/>
      <c r="Y73" s="53" t="s">
        <v>158</v>
      </c>
      <c r="Z73" s="54">
        <v>0</v>
      </c>
      <c r="AA73" s="25"/>
      <c r="AB73" s="25"/>
    </row>
    <row r="74" spans="2:28">
      <c r="B74" s="40">
        <v>0.64722222222222225</v>
      </c>
      <c r="C74" s="40" t="s">
        <v>717</v>
      </c>
      <c r="D74" s="41">
        <v>9</v>
      </c>
      <c r="E74" s="42">
        <v>2</v>
      </c>
      <c r="F74" s="42" t="s">
        <v>164</v>
      </c>
      <c r="G74" s="43" t="s">
        <v>156</v>
      </c>
      <c r="H74" s="42" t="s">
        <v>157</v>
      </c>
      <c r="I74" s="43">
        <v>11</v>
      </c>
      <c r="J74" s="43">
        <v>2</v>
      </c>
      <c r="K74" s="25" t="str">
        <f>VLOOKUP(J74,Key!$E$2:$F$9,2,FALSE)</f>
        <v>Work</v>
      </c>
      <c r="L74" s="42" t="s">
        <v>155</v>
      </c>
      <c r="M74" s="43" t="s">
        <v>156</v>
      </c>
      <c r="N74" s="42" t="s">
        <v>157</v>
      </c>
      <c r="O74" s="43">
        <v>1</v>
      </c>
      <c r="P74" s="43">
        <v>1</v>
      </c>
      <c r="Q74" s="25" t="str">
        <f>VLOOKUP(P74,Key!$E$2:$F$9,2,FALSE)</f>
        <v>Home</v>
      </c>
      <c r="R74" s="25" t="str">
        <f t="shared" si="1"/>
        <v>Work-Home</v>
      </c>
      <c r="S74" s="52">
        <v>120</v>
      </c>
      <c r="T74" s="52">
        <v>0.3</v>
      </c>
      <c r="U74" s="43">
        <v>2</v>
      </c>
      <c r="V74" s="43"/>
      <c r="W74" s="52"/>
      <c r="X74" s="52"/>
      <c r="Y74" s="53" t="s">
        <v>158</v>
      </c>
      <c r="Z74" s="54">
        <v>2000</v>
      </c>
      <c r="AA74" s="25"/>
      <c r="AB74" s="25"/>
    </row>
    <row r="75" spans="2:28">
      <c r="B75" s="40">
        <v>0.6479166666666667</v>
      </c>
      <c r="C75" s="40" t="s">
        <v>718</v>
      </c>
      <c r="D75" s="41">
        <v>3</v>
      </c>
      <c r="E75" s="42">
        <v>2</v>
      </c>
      <c r="F75" s="42" t="s">
        <v>719</v>
      </c>
      <c r="G75" s="43" t="s">
        <v>187</v>
      </c>
      <c r="H75" s="42" t="s">
        <v>157</v>
      </c>
      <c r="I75" s="43">
        <v>7</v>
      </c>
      <c r="J75" s="43">
        <v>4</v>
      </c>
      <c r="K75" s="25" t="str">
        <f>VLOOKUP(J75,Key!$E$2:$F$9,2,FALSE)</f>
        <v>Commercial</v>
      </c>
      <c r="L75" s="42" t="s">
        <v>155</v>
      </c>
      <c r="M75" s="43" t="s">
        <v>156</v>
      </c>
      <c r="N75" s="42" t="s">
        <v>157</v>
      </c>
      <c r="O75" s="43">
        <v>16</v>
      </c>
      <c r="P75" s="43">
        <v>6</v>
      </c>
      <c r="Q75" s="25" t="str">
        <f>VLOOKUP(P75,Key!$E$2:$F$9,2,FALSE)</f>
        <v>Leisure/Social</v>
      </c>
      <c r="R75" s="25" t="str">
        <f t="shared" si="1"/>
        <v>Commercial-Leisure/Social</v>
      </c>
      <c r="S75" s="52">
        <v>100</v>
      </c>
      <c r="T75" s="52">
        <v>2</v>
      </c>
      <c r="U75" s="43">
        <v>5</v>
      </c>
      <c r="V75" s="43"/>
      <c r="W75" s="52"/>
      <c r="X75" s="52"/>
      <c r="Y75" s="53" t="s">
        <v>158</v>
      </c>
      <c r="Z75" s="54">
        <v>1000</v>
      </c>
      <c r="AA75" s="25"/>
      <c r="AB75" s="25"/>
    </row>
    <row r="76" spans="2:28">
      <c r="B76" s="40">
        <v>0.62291666666666667</v>
      </c>
      <c r="C76" s="40" t="s">
        <v>720</v>
      </c>
      <c r="D76" s="41">
        <v>1</v>
      </c>
      <c r="E76" s="42">
        <v>2</v>
      </c>
      <c r="F76" s="42" t="s">
        <v>684</v>
      </c>
      <c r="G76" s="43" t="s">
        <v>197</v>
      </c>
      <c r="H76" s="42" t="s">
        <v>157</v>
      </c>
      <c r="I76" s="43">
        <v>1</v>
      </c>
      <c r="J76" s="43">
        <v>1</v>
      </c>
      <c r="K76" s="25" t="str">
        <f>VLOOKUP(J76,Key!$E$2:$F$9,2,FALSE)</f>
        <v>Home</v>
      </c>
      <c r="L76" s="42" t="s">
        <v>155</v>
      </c>
      <c r="M76" s="43" t="s">
        <v>156</v>
      </c>
      <c r="N76" s="42" t="s">
        <v>157</v>
      </c>
      <c r="O76" s="43">
        <v>10</v>
      </c>
      <c r="P76" s="43">
        <v>4</v>
      </c>
      <c r="Q76" s="25" t="str">
        <f>VLOOKUP(P76,Key!$E$2:$F$9,2,FALSE)</f>
        <v>Commercial</v>
      </c>
      <c r="R76" s="25" t="str">
        <f t="shared" si="1"/>
        <v>Home-Commercial</v>
      </c>
      <c r="S76" s="52">
        <v>130</v>
      </c>
      <c r="T76" s="52">
        <v>2</v>
      </c>
      <c r="U76" s="43">
        <v>5</v>
      </c>
      <c r="V76" s="43"/>
      <c r="W76" s="52"/>
      <c r="X76" s="52"/>
      <c r="Y76" s="53" t="s">
        <v>158</v>
      </c>
      <c r="Z76" s="54">
        <v>1000</v>
      </c>
      <c r="AA76" s="25"/>
      <c r="AB76" s="25"/>
    </row>
    <row r="77" spans="2:28">
      <c r="B77" s="40">
        <v>0.6118055555555556</v>
      </c>
      <c r="C77" s="40" t="s">
        <v>721</v>
      </c>
      <c r="D77" s="41">
        <v>1</v>
      </c>
      <c r="E77" s="42">
        <v>4</v>
      </c>
      <c r="F77" s="42" t="s">
        <v>339</v>
      </c>
      <c r="G77" s="43" t="s">
        <v>187</v>
      </c>
      <c r="H77" s="42" t="s">
        <v>157</v>
      </c>
      <c r="I77" s="43">
        <v>16</v>
      </c>
      <c r="J77" s="43">
        <v>6</v>
      </c>
      <c r="K77" s="25" t="str">
        <f>VLOOKUP(J77,Key!$E$2:$F$9,2,FALSE)</f>
        <v>Leisure/Social</v>
      </c>
      <c r="L77" s="42" t="s">
        <v>155</v>
      </c>
      <c r="M77" s="43" t="s">
        <v>156</v>
      </c>
      <c r="N77" s="42" t="s">
        <v>157</v>
      </c>
      <c r="O77" s="43">
        <v>1</v>
      </c>
      <c r="P77" s="43">
        <v>1</v>
      </c>
      <c r="Q77" s="25" t="str">
        <f>VLOOKUP(P77,Key!$E$2:$F$9,2,FALSE)</f>
        <v>Home</v>
      </c>
      <c r="R77" s="25" t="str">
        <f t="shared" si="1"/>
        <v>Leisure/Social-Home</v>
      </c>
      <c r="S77" s="52">
        <v>127</v>
      </c>
      <c r="T77" s="52">
        <v>2</v>
      </c>
      <c r="U77" s="43">
        <v>3</v>
      </c>
      <c r="V77" s="43"/>
      <c r="W77" s="52"/>
      <c r="X77" s="52"/>
      <c r="Y77" s="53" t="s">
        <v>158</v>
      </c>
      <c r="Z77" s="54">
        <v>1000</v>
      </c>
      <c r="AA77" s="25"/>
      <c r="AB77" s="25"/>
    </row>
    <row r="78" spans="2:28">
      <c r="B78" s="40">
        <v>0.60555555555555551</v>
      </c>
      <c r="C78" s="40" t="s">
        <v>722</v>
      </c>
      <c r="D78" s="41">
        <v>1</v>
      </c>
      <c r="E78" s="42">
        <v>4</v>
      </c>
      <c r="F78" s="42" t="s">
        <v>150</v>
      </c>
      <c r="G78" s="43" t="s">
        <v>156</v>
      </c>
      <c r="H78" s="42" t="s">
        <v>157</v>
      </c>
      <c r="I78" s="43">
        <v>1</v>
      </c>
      <c r="J78" s="43">
        <v>1</v>
      </c>
      <c r="K78" s="25" t="str">
        <f>VLOOKUP(J78,Key!$E$2:$F$9,2,FALSE)</f>
        <v>Home</v>
      </c>
      <c r="L78" s="42" t="s">
        <v>207</v>
      </c>
      <c r="M78" s="43" t="s">
        <v>156</v>
      </c>
      <c r="N78" s="42" t="s">
        <v>157</v>
      </c>
      <c r="O78" s="43">
        <v>11</v>
      </c>
      <c r="P78" s="43">
        <v>4</v>
      </c>
      <c r="Q78" s="25" t="str">
        <f>VLOOKUP(P78,Key!$E$2:$F$9,2,FALSE)</f>
        <v>Commercial</v>
      </c>
      <c r="R78" s="25" t="str">
        <f t="shared" si="1"/>
        <v>Home-Commercial</v>
      </c>
      <c r="S78" s="52">
        <v>2</v>
      </c>
      <c r="T78" s="52">
        <v>0.7</v>
      </c>
      <c r="U78" s="43">
        <v>4</v>
      </c>
      <c r="V78" s="43"/>
      <c r="W78" s="52"/>
      <c r="X78" s="52"/>
      <c r="Y78" s="53" t="s">
        <v>158</v>
      </c>
      <c r="Z78" s="54">
        <v>1000</v>
      </c>
      <c r="AA78" s="25"/>
      <c r="AB78" s="25"/>
    </row>
    <row r="79" spans="2:28">
      <c r="B79" s="40">
        <v>0.59375</v>
      </c>
      <c r="C79" s="40" t="s">
        <v>723</v>
      </c>
      <c r="D79" s="41">
        <v>1</v>
      </c>
      <c r="E79" s="42">
        <v>2</v>
      </c>
      <c r="F79" s="42" t="s">
        <v>150</v>
      </c>
      <c r="G79" s="43" t="s">
        <v>156</v>
      </c>
      <c r="H79" s="42" t="s">
        <v>157</v>
      </c>
      <c r="I79" s="43">
        <v>1</v>
      </c>
      <c r="J79" s="43">
        <v>1</v>
      </c>
      <c r="K79" s="25" t="str">
        <f>VLOOKUP(J79,Key!$E$2:$F$9,2,FALSE)</f>
        <v>Home</v>
      </c>
      <c r="L79" s="42" t="s">
        <v>204</v>
      </c>
      <c r="M79" s="43" t="s">
        <v>156</v>
      </c>
      <c r="N79" s="42" t="s">
        <v>157</v>
      </c>
      <c r="O79" s="43">
        <v>16</v>
      </c>
      <c r="P79" s="43">
        <v>6</v>
      </c>
      <c r="Q79" s="25" t="str">
        <f>VLOOKUP(P79,Key!$E$2:$F$9,2,FALSE)</f>
        <v>Leisure/Social</v>
      </c>
      <c r="R79" s="25" t="str">
        <f t="shared" si="1"/>
        <v>Home-Leisure/Social</v>
      </c>
      <c r="S79" s="52">
        <v>120</v>
      </c>
      <c r="T79" s="52">
        <v>2</v>
      </c>
      <c r="U79" s="43">
        <v>4</v>
      </c>
      <c r="V79" s="43"/>
      <c r="W79" s="52"/>
      <c r="X79" s="52"/>
      <c r="Y79" s="53" t="s">
        <v>158</v>
      </c>
      <c r="Z79" s="54">
        <v>0</v>
      </c>
      <c r="AA79" s="25"/>
      <c r="AB79" s="25"/>
    </row>
    <row r="80" spans="2:28">
      <c r="B80" s="40">
        <v>0.58333333333333337</v>
      </c>
      <c r="C80" s="40" t="s">
        <v>724</v>
      </c>
      <c r="D80" s="41">
        <v>7</v>
      </c>
      <c r="E80" s="42">
        <v>3</v>
      </c>
      <c r="F80" s="42" t="s">
        <v>150</v>
      </c>
      <c r="G80" s="43" t="s">
        <v>156</v>
      </c>
      <c r="H80" s="42" t="s">
        <v>157</v>
      </c>
      <c r="I80" s="43">
        <v>15</v>
      </c>
      <c r="J80" s="43">
        <v>4</v>
      </c>
      <c r="K80" s="25" t="str">
        <f>VLOOKUP(J80,Key!$E$2:$F$9,2,FALSE)</f>
        <v>Commercial</v>
      </c>
      <c r="L80" s="42" t="s">
        <v>155</v>
      </c>
      <c r="M80" s="43" t="s">
        <v>156</v>
      </c>
      <c r="N80" s="42" t="s">
        <v>157</v>
      </c>
      <c r="O80" s="43">
        <v>16</v>
      </c>
      <c r="P80" s="43">
        <v>4</v>
      </c>
      <c r="Q80" s="25" t="str">
        <f>VLOOKUP(P80,Key!$E$2:$F$9,2,FALSE)</f>
        <v>Commercial</v>
      </c>
      <c r="R80" s="25" t="str">
        <f t="shared" si="1"/>
        <v>Commercial-Commercial</v>
      </c>
      <c r="S80" s="52">
        <v>26</v>
      </c>
      <c r="T80" s="52">
        <v>0.3</v>
      </c>
      <c r="U80" s="43">
        <v>3</v>
      </c>
      <c r="V80" s="43">
        <v>4</v>
      </c>
      <c r="W80" s="52">
        <v>3</v>
      </c>
      <c r="X80" s="52">
        <v>3</v>
      </c>
      <c r="Y80" s="53" t="s">
        <v>158</v>
      </c>
      <c r="Z80" s="54">
        <v>2000</v>
      </c>
      <c r="AA80" s="25"/>
      <c r="AB80" s="25"/>
    </row>
    <row r="81" spans="2:28">
      <c r="B81" s="40">
        <v>0.57222222222222219</v>
      </c>
      <c r="C81" s="40" t="s">
        <v>725</v>
      </c>
      <c r="D81" s="41">
        <v>3</v>
      </c>
      <c r="E81" s="42">
        <v>4</v>
      </c>
      <c r="F81" s="42" t="s">
        <v>726</v>
      </c>
      <c r="G81" s="43" t="s">
        <v>156</v>
      </c>
      <c r="H81" s="42" t="s">
        <v>157</v>
      </c>
      <c r="I81" s="43">
        <v>9</v>
      </c>
      <c r="J81" s="43">
        <v>2</v>
      </c>
      <c r="K81" s="25" t="str">
        <f>VLOOKUP(J81,Key!$E$2:$F$9,2,FALSE)</f>
        <v>Work</v>
      </c>
      <c r="L81" s="42" t="s">
        <v>155</v>
      </c>
      <c r="M81" s="43" t="s">
        <v>156</v>
      </c>
      <c r="N81" s="42" t="s">
        <v>157</v>
      </c>
      <c r="O81" s="43">
        <v>1</v>
      </c>
      <c r="P81" s="43">
        <v>1</v>
      </c>
      <c r="Q81" s="25" t="str">
        <f>VLOOKUP(P81,Key!$E$2:$F$9,2,FALSE)</f>
        <v>Home</v>
      </c>
      <c r="R81" s="25" t="str">
        <f t="shared" si="1"/>
        <v>Work-Home</v>
      </c>
      <c r="S81" s="52">
        <v>0.5</v>
      </c>
      <c r="T81" s="52">
        <v>0.3</v>
      </c>
      <c r="U81" s="43">
        <v>4</v>
      </c>
      <c r="V81" s="43"/>
      <c r="W81" s="52"/>
      <c r="X81" s="52"/>
      <c r="Y81" s="53" t="s">
        <v>158</v>
      </c>
      <c r="Z81" s="54">
        <v>2000</v>
      </c>
      <c r="AA81" s="25"/>
      <c r="AB81" s="25"/>
    </row>
    <row r="82" spans="2:28">
      <c r="B82" s="40">
        <v>0.56736111111111109</v>
      </c>
      <c r="C82" s="40" t="s">
        <v>727</v>
      </c>
      <c r="D82" s="41">
        <v>1</v>
      </c>
      <c r="E82" s="42">
        <v>2</v>
      </c>
      <c r="F82" s="42" t="s">
        <v>187</v>
      </c>
      <c r="G82" s="43" t="s">
        <v>187</v>
      </c>
      <c r="H82" s="42" t="s">
        <v>157</v>
      </c>
      <c r="I82" s="43">
        <v>16</v>
      </c>
      <c r="J82" s="43">
        <v>6</v>
      </c>
      <c r="K82" s="25" t="str">
        <f>VLOOKUP(J82,Key!$E$2:$F$9,2,FALSE)</f>
        <v>Leisure/Social</v>
      </c>
      <c r="L82" s="42" t="s">
        <v>155</v>
      </c>
      <c r="M82" s="43" t="s">
        <v>156</v>
      </c>
      <c r="N82" s="42" t="s">
        <v>157</v>
      </c>
      <c r="O82" s="43">
        <v>1</v>
      </c>
      <c r="P82" s="43">
        <v>1</v>
      </c>
      <c r="Q82" s="25" t="str">
        <f>VLOOKUP(P82,Key!$E$2:$F$9,2,FALSE)</f>
        <v>Home</v>
      </c>
      <c r="R82" s="25" t="str">
        <f t="shared" si="1"/>
        <v>Leisure/Social-Home</v>
      </c>
      <c r="S82" s="52">
        <v>120</v>
      </c>
      <c r="T82" s="52">
        <v>2</v>
      </c>
      <c r="U82" s="43">
        <v>4</v>
      </c>
      <c r="V82" s="43"/>
      <c r="W82" s="52"/>
      <c r="X82" s="52"/>
      <c r="Y82" s="53" t="s">
        <v>158</v>
      </c>
      <c r="Z82" s="54">
        <v>500</v>
      </c>
      <c r="AA82" s="25"/>
      <c r="AB82" s="25"/>
    </row>
    <row r="83" spans="2:28">
      <c r="B83" s="40">
        <v>0.55902777777777779</v>
      </c>
      <c r="C83" s="40" t="s">
        <v>728</v>
      </c>
      <c r="D83" s="41">
        <v>1</v>
      </c>
      <c r="E83" s="42">
        <v>1</v>
      </c>
      <c r="F83" s="42" t="s">
        <v>729</v>
      </c>
      <c r="G83" s="43" t="s">
        <v>156</v>
      </c>
      <c r="H83" s="42" t="s">
        <v>157</v>
      </c>
      <c r="I83" s="43">
        <v>1</v>
      </c>
      <c r="J83" s="43">
        <v>1</v>
      </c>
      <c r="K83" s="25" t="str">
        <f>VLOOKUP(J83,Key!$E$2:$F$9,2,FALSE)</f>
        <v>Home</v>
      </c>
      <c r="L83" s="42" t="s">
        <v>155</v>
      </c>
      <c r="M83" s="43" t="s">
        <v>156</v>
      </c>
      <c r="N83" s="42" t="s">
        <v>157</v>
      </c>
      <c r="O83" s="43">
        <v>9</v>
      </c>
      <c r="P83" s="43">
        <v>2</v>
      </c>
      <c r="Q83" s="25" t="str">
        <f>VLOOKUP(P83,Key!$E$2:$F$9,2,FALSE)</f>
        <v>Work</v>
      </c>
      <c r="R83" s="25" t="str">
        <f t="shared" si="1"/>
        <v>Home-Work</v>
      </c>
      <c r="S83" s="52">
        <v>2</v>
      </c>
      <c r="T83" s="52">
        <v>0.3</v>
      </c>
      <c r="U83" s="43">
        <v>1</v>
      </c>
      <c r="V83" s="43"/>
      <c r="W83" s="52"/>
      <c r="X83" s="52"/>
      <c r="Y83" s="53" t="s">
        <v>158</v>
      </c>
      <c r="Z83" s="54">
        <v>1000</v>
      </c>
      <c r="AA83" s="25"/>
      <c r="AB83" s="25"/>
    </row>
    <row r="84" spans="2:28">
      <c r="B84" s="40">
        <v>0.51527777777777783</v>
      </c>
      <c r="C84" s="40" t="s">
        <v>730</v>
      </c>
      <c r="D84" s="41">
        <v>1</v>
      </c>
      <c r="E84" s="42">
        <v>1</v>
      </c>
      <c r="F84" s="42" t="s">
        <v>684</v>
      </c>
      <c r="G84" s="43" t="s">
        <v>156</v>
      </c>
      <c r="H84" s="42" t="s">
        <v>157</v>
      </c>
      <c r="I84" s="43">
        <v>1</v>
      </c>
      <c r="J84" s="43">
        <v>1</v>
      </c>
      <c r="K84" s="25" t="str">
        <f>VLOOKUP(J84,Key!$E$2:$F$9,2,FALSE)</f>
        <v>Home</v>
      </c>
      <c r="L84" s="42" t="s">
        <v>155</v>
      </c>
      <c r="M84" s="43" t="s">
        <v>156</v>
      </c>
      <c r="N84" s="42" t="s">
        <v>157</v>
      </c>
      <c r="O84" s="43">
        <v>2</v>
      </c>
      <c r="P84" s="43">
        <v>2</v>
      </c>
      <c r="Q84" s="25" t="str">
        <f>VLOOKUP(P84,Key!$E$2:$F$9,2,FALSE)</f>
        <v>Work</v>
      </c>
      <c r="R84" s="25" t="str">
        <f t="shared" si="1"/>
        <v>Home-Work</v>
      </c>
      <c r="S84" s="52">
        <v>137</v>
      </c>
      <c r="T84" s="52">
        <v>2</v>
      </c>
      <c r="U84" s="43">
        <v>4</v>
      </c>
      <c r="V84" s="43"/>
      <c r="W84" s="52"/>
      <c r="X84" s="52"/>
      <c r="Y84" s="53" t="s">
        <v>158</v>
      </c>
      <c r="Z84" s="54">
        <v>5000</v>
      </c>
      <c r="AA84" s="25"/>
      <c r="AB84" s="25"/>
    </row>
    <row r="85" spans="2:28">
      <c r="B85" s="40">
        <v>0.51250000000000007</v>
      </c>
      <c r="C85" s="40" t="s">
        <v>731</v>
      </c>
      <c r="D85" s="41">
        <v>4</v>
      </c>
      <c r="E85" s="42">
        <v>1</v>
      </c>
      <c r="F85" s="42" t="s">
        <v>162</v>
      </c>
      <c r="G85" s="43" t="s">
        <v>156</v>
      </c>
      <c r="H85" s="42" t="s">
        <v>157</v>
      </c>
      <c r="I85" s="43">
        <v>16</v>
      </c>
      <c r="J85" s="43">
        <v>4</v>
      </c>
      <c r="K85" s="25" t="str">
        <f>VLOOKUP(J85,Key!$E$2:$F$9,2,FALSE)</f>
        <v>Commercial</v>
      </c>
      <c r="L85" s="42" t="s">
        <v>207</v>
      </c>
      <c r="M85" s="43" t="s">
        <v>156</v>
      </c>
      <c r="N85" s="42" t="s">
        <v>157</v>
      </c>
      <c r="O85" s="43">
        <v>16</v>
      </c>
      <c r="P85" s="43">
        <v>4</v>
      </c>
      <c r="Q85" s="25" t="str">
        <f>VLOOKUP(P85,Key!$E$2:$F$9,2,FALSE)</f>
        <v>Commercial</v>
      </c>
      <c r="R85" s="25" t="str">
        <f t="shared" si="1"/>
        <v>Commercial-Commercial</v>
      </c>
      <c r="S85" s="52">
        <v>2</v>
      </c>
      <c r="T85" s="52">
        <v>0.1</v>
      </c>
      <c r="U85" s="43">
        <v>2</v>
      </c>
      <c r="V85" s="43"/>
      <c r="W85" s="52"/>
      <c r="X85" s="52"/>
      <c r="Y85" s="53" t="s">
        <v>158</v>
      </c>
      <c r="Z85" s="54">
        <v>10000</v>
      </c>
      <c r="AA85" s="25"/>
      <c r="AB85" s="25"/>
    </row>
    <row r="86" spans="2:28">
      <c r="B86" s="40">
        <v>0.53402777777777777</v>
      </c>
      <c r="C86" s="40" t="s">
        <v>732</v>
      </c>
      <c r="D86" s="41">
        <v>1</v>
      </c>
      <c r="E86" s="42">
        <v>1</v>
      </c>
      <c r="F86" s="42" t="s">
        <v>150</v>
      </c>
      <c r="G86" s="43" t="s">
        <v>156</v>
      </c>
      <c r="H86" s="42" t="s">
        <v>157</v>
      </c>
      <c r="I86" s="43">
        <v>1</v>
      </c>
      <c r="J86" s="43">
        <v>1</v>
      </c>
      <c r="K86" s="25" t="str">
        <f>VLOOKUP(J86,Key!$E$2:$F$9,2,FALSE)</f>
        <v>Home</v>
      </c>
      <c r="L86" s="42" t="s">
        <v>155</v>
      </c>
      <c r="M86" s="43" t="s">
        <v>156</v>
      </c>
      <c r="N86" s="42" t="s">
        <v>157</v>
      </c>
      <c r="O86" s="43">
        <v>9</v>
      </c>
      <c r="P86" s="43">
        <v>2</v>
      </c>
      <c r="Q86" s="25" t="str">
        <f>VLOOKUP(P86,Key!$E$2:$F$9,2,FALSE)</f>
        <v>Work</v>
      </c>
      <c r="R86" s="25" t="str">
        <f t="shared" si="1"/>
        <v>Home-Work</v>
      </c>
      <c r="S86" s="52">
        <v>32</v>
      </c>
      <c r="T86" s="52">
        <v>0.3</v>
      </c>
      <c r="U86" s="43">
        <v>1</v>
      </c>
      <c r="V86" s="43"/>
      <c r="W86" s="52"/>
      <c r="X86" s="52"/>
      <c r="Y86" s="53" t="s">
        <v>158</v>
      </c>
      <c r="Z86" s="54">
        <v>1000</v>
      </c>
      <c r="AA86" s="25"/>
      <c r="AB86" s="25"/>
    </row>
    <row r="87" spans="2:28">
      <c r="B87" s="40">
        <v>0.52152777777777781</v>
      </c>
      <c r="C87" s="40" t="s">
        <v>733</v>
      </c>
      <c r="D87" s="41">
        <v>1</v>
      </c>
      <c r="E87" s="42">
        <v>3</v>
      </c>
      <c r="F87" s="42" t="s">
        <v>150</v>
      </c>
      <c r="G87" s="43" t="s">
        <v>156</v>
      </c>
      <c r="H87" s="42" t="s">
        <v>157</v>
      </c>
      <c r="I87" s="43">
        <v>6</v>
      </c>
      <c r="J87" s="43">
        <v>4</v>
      </c>
      <c r="K87" s="25" t="str">
        <f>VLOOKUP(J87,Key!$E$2:$F$9,2,FALSE)</f>
        <v>Commercial</v>
      </c>
      <c r="L87" s="42" t="s">
        <v>207</v>
      </c>
      <c r="M87" s="43" t="s">
        <v>156</v>
      </c>
      <c r="N87" s="42" t="s">
        <v>157</v>
      </c>
      <c r="O87" s="43">
        <v>16</v>
      </c>
      <c r="P87" s="43">
        <v>4</v>
      </c>
      <c r="Q87" s="25" t="str">
        <f>VLOOKUP(P87,Key!$E$2:$F$9,2,FALSE)</f>
        <v>Commercial</v>
      </c>
      <c r="R87" s="25" t="str">
        <f t="shared" si="1"/>
        <v>Commercial-Commercial</v>
      </c>
      <c r="S87" s="52">
        <v>22</v>
      </c>
      <c r="T87" s="52">
        <v>0.3</v>
      </c>
      <c r="U87" s="43">
        <v>2</v>
      </c>
      <c r="V87" s="43"/>
      <c r="W87" s="52"/>
      <c r="X87" s="52"/>
      <c r="Y87" s="53" t="s">
        <v>158</v>
      </c>
      <c r="Z87" s="54">
        <v>1000</v>
      </c>
      <c r="AA87" s="25"/>
      <c r="AB87" s="25"/>
    </row>
    <row r="88" spans="2:28">
      <c r="B88" s="40">
        <v>0.4993055555555555</v>
      </c>
      <c r="C88" s="40" t="s">
        <v>734</v>
      </c>
      <c r="D88" s="41">
        <v>1</v>
      </c>
      <c r="E88" s="42">
        <v>2</v>
      </c>
      <c r="F88" s="42" t="s">
        <v>339</v>
      </c>
      <c r="G88" s="43" t="s">
        <v>156</v>
      </c>
      <c r="H88" s="42" t="s">
        <v>157</v>
      </c>
      <c r="I88" s="43">
        <v>4</v>
      </c>
      <c r="J88" s="43">
        <v>6</v>
      </c>
      <c r="K88" s="25" t="str">
        <f>VLOOKUP(J88,Key!$E$2:$F$9,2,FALSE)</f>
        <v>Leisure/Social</v>
      </c>
      <c r="L88" s="42" t="s">
        <v>155</v>
      </c>
      <c r="M88" s="43" t="s">
        <v>156</v>
      </c>
      <c r="N88" s="42" t="s">
        <v>157</v>
      </c>
      <c r="O88" s="43">
        <v>4</v>
      </c>
      <c r="P88" s="43">
        <v>6</v>
      </c>
      <c r="Q88" s="25" t="str">
        <f>VLOOKUP(P88,Key!$E$2:$F$9,2,FALSE)</f>
        <v>Leisure/Social</v>
      </c>
      <c r="R88" s="25" t="str">
        <f t="shared" si="1"/>
        <v>Leisure/Social-Leisure/Social</v>
      </c>
      <c r="S88" s="52">
        <v>2</v>
      </c>
      <c r="T88" s="52">
        <v>0.1</v>
      </c>
      <c r="U88" s="43">
        <v>4</v>
      </c>
      <c r="V88" s="43"/>
      <c r="W88" s="52"/>
      <c r="X88" s="52"/>
      <c r="Y88" s="53" t="s">
        <v>158</v>
      </c>
      <c r="Z88" s="54">
        <v>3000</v>
      </c>
      <c r="AA88" s="25"/>
      <c r="AB88" s="25"/>
    </row>
    <row r="89" spans="2:28">
      <c r="B89" s="40">
        <v>0.49652777777777773</v>
      </c>
      <c r="C89" s="40" t="s">
        <v>735</v>
      </c>
      <c r="D89" s="41">
        <v>1</v>
      </c>
      <c r="E89" s="42">
        <v>1</v>
      </c>
      <c r="F89" s="42" t="s">
        <v>736</v>
      </c>
      <c r="G89" s="43" t="s">
        <v>187</v>
      </c>
      <c r="H89" s="42" t="s">
        <v>157</v>
      </c>
      <c r="I89" s="43">
        <v>1</v>
      </c>
      <c r="J89" s="43">
        <v>1</v>
      </c>
      <c r="K89" s="25" t="str">
        <f>VLOOKUP(J89,Key!$E$2:$F$9,2,FALSE)</f>
        <v>Home</v>
      </c>
      <c r="L89" s="42" t="s">
        <v>155</v>
      </c>
      <c r="M89" s="43" t="s">
        <v>156</v>
      </c>
      <c r="N89" s="42" t="s">
        <v>157</v>
      </c>
      <c r="O89" s="43">
        <v>1</v>
      </c>
      <c r="P89" s="43">
        <v>1</v>
      </c>
      <c r="Q89" s="25" t="str">
        <f>VLOOKUP(P89,Key!$E$2:$F$9,2,FALSE)</f>
        <v>Home</v>
      </c>
      <c r="R89" s="25" t="str">
        <f t="shared" si="1"/>
        <v>Home-Home</v>
      </c>
      <c r="S89" s="52">
        <v>120</v>
      </c>
      <c r="T89" s="52">
        <v>3</v>
      </c>
      <c r="U89" s="43">
        <v>4</v>
      </c>
      <c r="V89" s="43"/>
      <c r="W89" s="52"/>
      <c r="X89" s="52"/>
      <c r="Y89" s="53" t="s">
        <v>158</v>
      </c>
      <c r="Z89" s="54">
        <v>1000</v>
      </c>
      <c r="AA89" s="25"/>
      <c r="AB89" s="25"/>
    </row>
    <row r="90" spans="2:28">
      <c r="B90" s="40">
        <v>0.49374999999999997</v>
      </c>
      <c r="C90" s="40" t="s">
        <v>737</v>
      </c>
      <c r="D90" s="41">
        <v>1</v>
      </c>
      <c r="E90" s="42">
        <v>1</v>
      </c>
      <c r="F90" s="42" t="s">
        <v>150</v>
      </c>
      <c r="G90" s="43" t="s">
        <v>156</v>
      </c>
      <c r="H90" s="42" t="s">
        <v>157</v>
      </c>
      <c r="I90" s="43">
        <v>1</v>
      </c>
      <c r="J90" s="43">
        <v>1</v>
      </c>
      <c r="K90" s="25" t="str">
        <f>VLOOKUP(J90,Key!$E$2:$F$9,2,FALSE)</f>
        <v>Home</v>
      </c>
      <c r="L90" s="42" t="s">
        <v>155</v>
      </c>
      <c r="M90" s="43" t="s">
        <v>156</v>
      </c>
      <c r="N90" s="42" t="s">
        <v>157</v>
      </c>
      <c r="O90" s="43">
        <v>16</v>
      </c>
      <c r="P90" s="43">
        <v>6</v>
      </c>
      <c r="Q90" s="25" t="str">
        <f>VLOOKUP(P90,Key!$E$2:$F$9,2,FALSE)</f>
        <v>Leisure/Social</v>
      </c>
      <c r="R90" s="25" t="str">
        <f t="shared" si="1"/>
        <v>Home-Leisure/Social</v>
      </c>
      <c r="S90" s="52">
        <v>8</v>
      </c>
      <c r="T90" s="52">
        <v>0.1</v>
      </c>
      <c r="U90" s="43">
        <v>2</v>
      </c>
      <c r="V90" s="43"/>
      <c r="W90" s="52"/>
      <c r="X90" s="52"/>
      <c r="Y90" s="53" t="s">
        <v>158</v>
      </c>
      <c r="Z90" s="54">
        <v>3000</v>
      </c>
      <c r="AA90" s="25"/>
      <c r="AB90" s="25"/>
    </row>
    <row r="91" spans="2:28">
      <c r="B91" s="40">
        <v>0.4861111111111111</v>
      </c>
      <c r="C91" s="40" t="s">
        <v>738</v>
      </c>
      <c r="D91" s="41">
        <v>9</v>
      </c>
      <c r="E91" s="42">
        <v>2</v>
      </c>
      <c r="F91" s="42" t="s">
        <v>194</v>
      </c>
      <c r="G91" s="43" t="s">
        <v>156</v>
      </c>
      <c r="H91" s="42" t="s">
        <v>157</v>
      </c>
      <c r="I91" s="43">
        <v>16</v>
      </c>
      <c r="J91" s="43">
        <v>8</v>
      </c>
      <c r="K91" s="25" t="str">
        <f>VLOOKUP(J91,Key!$E$2:$F$9,2,FALSE)</f>
        <v>Others</v>
      </c>
      <c r="L91" s="42" t="s">
        <v>739</v>
      </c>
      <c r="M91" s="43" t="s">
        <v>156</v>
      </c>
      <c r="N91" s="42" t="s">
        <v>157</v>
      </c>
      <c r="O91" s="43">
        <v>2</v>
      </c>
      <c r="P91" s="43">
        <v>2</v>
      </c>
      <c r="Q91" s="25" t="str">
        <f>VLOOKUP(P91,Key!$E$2:$F$9,2,FALSE)</f>
        <v>Work</v>
      </c>
      <c r="R91" s="25" t="str">
        <f t="shared" si="1"/>
        <v>Others-Work</v>
      </c>
      <c r="S91" s="52">
        <v>120</v>
      </c>
      <c r="T91" s="52">
        <v>3</v>
      </c>
      <c r="U91" s="43">
        <v>1</v>
      </c>
      <c r="V91" s="43"/>
      <c r="W91" s="52"/>
      <c r="X91" s="52"/>
      <c r="Y91" s="53" t="s">
        <v>158</v>
      </c>
      <c r="Z91" s="54">
        <v>2000</v>
      </c>
      <c r="AA91" s="25"/>
      <c r="AB91" s="25"/>
    </row>
    <row r="92" spans="2:28">
      <c r="B92" s="40">
        <v>0.4597222222222222</v>
      </c>
      <c r="C92" s="40" t="s">
        <v>740</v>
      </c>
      <c r="D92" s="41">
        <v>1</v>
      </c>
      <c r="E92" s="42">
        <v>1</v>
      </c>
      <c r="F92" s="42" t="s">
        <v>150</v>
      </c>
      <c r="G92" s="43" t="s">
        <v>156</v>
      </c>
      <c r="H92" s="42" t="s">
        <v>157</v>
      </c>
      <c r="I92" s="43">
        <v>1</v>
      </c>
      <c r="J92" s="43">
        <v>1</v>
      </c>
      <c r="K92" s="25" t="str">
        <f>VLOOKUP(J92,Key!$E$2:$F$9,2,FALSE)</f>
        <v>Home</v>
      </c>
      <c r="L92" s="42" t="s">
        <v>155</v>
      </c>
      <c r="M92" s="43" t="s">
        <v>156</v>
      </c>
      <c r="N92" s="42" t="s">
        <v>157</v>
      </c>
      <c r="O92" s="43">
        <v>9</v>
      </c>
      <c r="P92" s="43">
        <v>2</v>
      </c>
      <c r="Q92" s="25" t="str">
        <f>VLOOKUP(P92,Key!$E$2:$F$9,2,FALSE)</f>
        <v>Work</v>
      </c>
      <c r="R92" s="25" t="str">
        <f t="shared" si="1"/>
        <v>Home-Work</v>
      </c>
      <c r="S92" s="52">
        <v>8</v>
      </c>
      <c r="T92" s="52">
        <v>0.1</v>
      </c>
      <c r="U92" s="43">
        <v>1</v>
      </c>
      <c r="V92" s="43"/>
      <c r="W92" s="52"/>
      <c r="X92" s="52"/>
      <c r="Y92" s="53" t="s">
        <v>158</v>
      </c>
      <c r="Z92" s="54">
        <v>0</v>
      </c>
      <c r="AA92" s="25"/>
      <c r="AB92" s="25"/>
    </row>
    <row r="93" spans="2:28">
      <c r="B93" s="40">
        <v>0.4548611111111111</v>
      </c>
      <c r="C93" s="40" t="s">
        <v>741</v>
      </c>
      <c r="D93" s="41">
        <v>1</v>
      </c>
      <c r="E93" s="42">
        <v>2</v>
      </c>
      <c r="F93" s="42" t="s">
        <v>150</v>
      </c>
      <c r="G93" s="43" t="s">
        <v>156</v>
      </c>
      <c r="H93" s="42" t="s">
        <v>157</v>
      </c>
      <c r="I93" s="43">
        <v>16</v>
      </c>
      <c r="J93" s="43">
        <v>2</v>
      </c>
      <c r="K93" s="25" t="str">
        <f>VLOOKUP(J93,Key!$E$2:$F$9,2,FALSE)</f>
        <v>Work</v>
      </c>
      <c r="L93" s="42" t="s">
        <v>150</v>
      </c>
      <c r="M93" s="43" t="s">
        <v>156</v>
      </c>
      <c r="N93" s="42" t="s">
        <v>157</v>
      </c>
      <c r="O93" s="43">
        <v>1</v>
      </c>
      <c r="P93" s="43">
        <v>1</v>
      </c>
      <c r="Q93" s="25" t="str">
        <f>VLOOKUP(P93,Key!$E$2:$F$9,2,FALSE)</f>
        <v>Home</v>
      </c>
      <c r="R93" s="25" t="str">
        <f t="shared" si="1"/>
        <v>Work-Home</v>
      </c>
      <c r="S93" s="52">
        <v>1.4</v>
      </c>
      <c r="T93" s="52">
        <v>0.1</v>
      </c>
      <c r="U93" s="43">
        <v>1</v>
      </c>
      <c r="V93" s="43"/>
      <c r="W93" s="52"/>
      <c r="X93" s="52"/>
      <c r="Y93" s="53" t="s">
        <v>158</v>
      </c>
      <c r="Z93" s="54">
        <v>2000</v>
      </c>
      <c r="AA93" s="25"/>
      <c r="AB93" s="25"/>
    </row>
    <row r="94" spans="2:28">
      <c r="B94" s="40">
        <v>0.44930555555555557</v>
      </c>
      <c r="C94" s="40" t="s">
        <v>742</v>
      </c>
      <c r="D94" s="41">
        <v>1</v>
      </c>
      <c r="E94" s="42">
        <v>3</v>
      </c>
      <c r="F94" s="42" t="s">
        <v>743</v>
      </c>
      <c r="G94" s="43" t="s">
        <v>156</v>
      </c>
      <c r="H94" s="42" t="s">
        <v>157</v>
      </c>
      <c r="I94" s="43">
        <v>1</v>
      </c>
      <c r="J94" s="43">
        <v>1</v>
      </c>
      <c r="K94" s="25" t="str">
        <f>VLOOKUP(J94,Key!$E$2:$F$9,2,FALSE)</f>
        <v>Home</v>
      </c>
      <c r="L94" s="42" t="s">
        <v>155</v>
      </c>
      <c r="M94" s="43" t="s">
        <v>156</v>
      </c>
      <c r="N94" s="42" t="s">
        <v>157</v>
      </c>
      <c r="O94" s="43">
        <v>1</v>
      </c>
      <c r="P94" s="43">
        <v>1</v>
      </c>
      <c r="Q94" s="25" t="str">
        <f>VLOOKUP(P94,Key!$E$2:$F$9,2,FALSE)</f>
        <v>Home</v>
      </c>
      <c r="R94" s="25" t="str">
        <f t="shared" si="1"/>
        <v>Home-Home</v>
      </c>
      <c r="S94" s="52">
        <v>120</v>
      </c>
      <c r="T94" s="52">
        <v>2</v>
      </c>
      <c r="U94" s="43">
        <v>1</v>
      </c>
      <c r="V94" s="43"/>
      <c r="W94" s="52"/>
      <c r="X94" s="52"/>
      <c r="Y94" s="53" t="s">
        <v>158</v>
      </c>
      <c r="Z94" s="54">
        <v>1000</v>
      </c>
      <c r="AA94" s="25"/>
      <c r="AB94" s="25"/>
    </row>
    <row r="95" spans="2:28">
      <c r="B95" s="40">
        <v>0.4381944444444445</v>
      </c>
      <c r="C95" s="40" t="s">
        <v>744</v>
      </c>
      <c r="D95" s="41">
        <v>7</v>
      </c>
      <c r="E95" s="42">
        <v>1</v>
      </c>
      <c r="F95" s="42" t="s">
        <v>150</v>
      </c>
      <c r="G95" s="43" t="s">
        <v>156</v>
      </c>
      <c r="H95" s="42" t="s">
        <v>157</v>
      </c>
      <c r="I95" s="43">
        <v>16</v>
      </c>
      <c r="J95" s="43">
        <v>4</v>
      </c>
      <c r="K95" s="25" t="str">
        <f>VLOOKUP(J95,Key!$E$2:$F$9,2,FALSE)</f>
        <v>Commercial</v>
      </c>
      <c r="L95" s="42" t="s">
        <v>162</v>
      </c>
      <c r="M95" s="43" t="s">
        <v>156</v>
      </c>
      <c r="N95" s="42" t="s">
        <v>157</v>
      </c>
      <c r="O95" s="43">
        <v>16</v>
      </c>
      <c r="P95" s="43">
        <v>4</v>
      </c>
      <c r="Q95" s="25" t="str">
        <f>VLOOKUP(P95,Key!$E$2:$F$9,2,FALSE)</f>
        <v>Commercial</v>
      </c>
      <c r="R95" s="25" t="str">
        <f t="shared" si="1"/>
        <v>Commercial-Commercial</v>
      </c>
      <c r="S95" s="52">
        <v>10</v>
      </c>
      <c r="T95" s="52">
        <v>0.7</v>
      </c>
      <c r="U95" s="43">
        <v>3</v>
      </c>
      <c r="V95" s="43">
        <v>1</v>
      </c>
      <c r="W95" s="52">
        <v>4</v>
      </c>
      <c r="X95" s="52">
        <v>3</v>
      </c>
      <c r="Y95" s="53" t="s">
        <v>158</v>
      </c>
      <c r="Z95" s="54">
        <v>1000</v>
      </c>
      <c r="AA95" s="25"/>
      <c r="AB95" s="25"/>
    </row>
    <row r="96" spans="2:28">
      <c r="B96" s="40">
        <v>0.5180555555555556</v>
      </c>
      <c r="C96" s="40" t="s">
        <v>745</v>
      </c>
      <c r="D96" s="41">
        <v>1</v>
      </c>
      <c r="E96" s="42">
        <v>1</v>
      </c>
      <c r="F96" s="42" t="s">
        <v>150</v>
      </c>
      <c r="G96" s="43" t="s">
        <v>156</v>
      </c>
      <c r="H96" s="42" t="s">
        <v>157</v>
      </c>
      <c r="I96" s="43">
        <v>1</v>
      </c>
      <c r="J96" s="43">
        <v>1</v>
      </c>
      <c r="K96" s="25" t="str">
        <f>VLOOKUP(J96,Key!$E$2:$F$9,2,FALSE)</f>
        <v>Home</v>
      </c>
      <c r="L96" s="42" t="s">
        <v>207</v>
      </c>
      <c r="M96" s="43" t="s">
        <v>156</v>
      </c>
      <c r="N96" s="42" t="s">
        <v>157</v>
      </c>
      <c r="O96" s="43">
        <v>4</v>
      </c>
      <c r="P96" s="43">
        <v>6</v>
      </c>
      <c r="Q96" s="25" t="str">
        <f>VLOOKUP(P96,Key!$E$2:$F$9,2,FALSE)</f>
        <v>Leisure/Social</v>
      </c>
      <c r="R96" s="25" t="str">
        <f t="shared" si="1"/>
        <v>Home-Leisure/Social</v>
      </c>
      <c r="S96" s="52">
        <v>3</v>
      </c>
      <c r="T96" s="52">
        <v>0.3</v>
      </c>
      <c r="U96" s="43">
        <v>1</v>
      </c>
      <c r="V96" s="43"/>
      <c r="W96" s="52"/>
      <c r="X96" s="52"/>
      <c r="Y96" s="53" t="s">
        <v>158</v>
      </c>
      <c r="Z96" s="54">
        <v>1000</v>
      </c>
      <c r="AA96" s="25"/>
      <c r="AB96" s="25"/>
    </row>
    <row r="97" spans="2:28">
      <c r="B97" s="40">
        <v>0.5</v>
      </c>
      <c r="C97" s="40" t="s">
        <v>483</v>
      </c>
      <c r="D97" s="41">
        <v>1</v>
      </c>
      <c r="E97" s="42">
        <v>1</v>
      </c>
      <c r="F97" s="42" t="s">
        <v>746</v>
      </c>
      <c r="G97" s="43" t="s">
        <v>187</v>
      </c>
      <c r="H97" s="42" t="s">
        <v>157</v>
      </c>
      <c r="I97" s="43">
        <v>1</v>
      </c>
      <c r="J97" s="43">
        <v>1</v>
      </c>
      <c r="K97" s="25" t="str">
        <f>VLOOKUP(J97,Key!$E$2:$F$9,2,FALSE)</f>
        <v>Home</v>
      </c>
      <c r="L97" s="42" t="s">
        <v>155</v>
      </c>
      <c r="M97" s="43" t="s">
        <v>156</v>
      </c>
      <c r="N97" s="42" t="s">
        <v>157</v>
      </c>
      <c r="O97" s="43">
        <v>9</v>
      </c>
      <c r="P97" s="43">
        <v>2</v>
      </c>
      <c r="Q97" s="25" t="str">
        <f>VLOOKUP(P97,Key!$E$2:$F$9,2,FALSE)</f>
        <v>Work</v>
      </c>
      <c r="R97" s="25" t="str">
        <f t="shared" si="1"/>
        <v>Home-Work</v>
      </c>
      <c r="S97" s="52">
        <v>18</v>
      </c>
      <c r="T97" s="52">
        <v>0.1</v>
      </c>
      <c r="U97" s="43">
        <v>4</v>
      </c>
      <c r="V97" s="43"/>
      <c r="W97" s="52"/>
      <c r="X97" s="52"/>
      <c r="Y97" s="53" t="s">
        <v>158</v>
      </c>
      <c r="Z97" s="54">
        <v>1000</v>
      </c>
      <c r="AA97" s="25"/>
      <c r="AB97" s="25"/>
    </row>
    <row r="98" spans="2:28">
      <c r="B98" s="40">
        <v>0.43472222222222223</v>
      </c>
      <c r="C98" s="40" t="s">
        <v>747</v>
      </c>
      <c r="D98" s="41">
        <v>1</v>
      </c>
      <c r="E98" s="42">
        <v>2</v>
      </c>
      <c r="F98" s="42" t="s">
        <v>150</v>
      </c>
      <c r="G98" s="43" t="s">
        <v>156</v>
      </c>
      <c r="H98" s="42" t="s">
        <v>157</v>
      </c>
      <c r="I98" s="43">
        <v>1</v>
      </c>
      <c r="J98" s="43">
        <v>1</v>
      </c>
      <c r="K98" s="25" t="str">
        <f>VLOOKUP(J98,Key!$E$2:$F$9,2,FALSE)</f>
        <v>Home</v>
      </c>
      <c r="L98" s="42" t="s">
        <v>155</v>
      </c>
      <c r="M98" s="43" t="s">
        <v>156</v>
      </c>
      <c r="N98" s="42" t="s">
        <v>157</v>
      </c>
      <c r="O98" s="43">
        <v>12</v>
      </c>
      <c r="P98" s="43">
        <v>4</v>
      </c>
      <c r="Q98" s="25" t="str">
        <f>VLOOKUP(P98,Key!$E$2:$F$9,2,FALSE)</f>
        <v>Commercial</v>
      </c>
      <c r="R98" s="25" t="str">
        <f t="shared" si="1"/>
        <v>Home-Commercial</v>
      </c>
      <c r="S98" s="52">
        <v>22</v>
      </c>
      <c r="T98" s="52">
        <v>0.3</v>
      </c>
      <c r="U98" s="43">
        <v>4</v>
      </c>
      <c r="V98" s="43"/>
      <c r="W98" s="52"/>
      <c r="X98" s="52"/>
      <c r="Y98" s="53" t="s">
        <v>158</v>
      </c>
      <c r="Z98" s="54">
        <v>1000</v>
      </c>
      <c r="AA98" s="25"/>
      <c r="AB98" s="25"/>
    </row>
    <row r="99" spans="2:28">
      <c r="B99" s="40">
        <v>0.4291666666666667</v>
      </c>
      <c r="C99" s="40" t="s">
        <v>748</v>
      </c>
      <c r="D99" s="41">
        <v>1</v>
      </c>
      <c r="E99" s="42">
        <v>2</v>
      </c>
      <c r="F99" s="42" t="s">
        <v>749</v>
      </c>
      <c r="G99" s="43" t="s">
        <v>156</v>
      </c>
      <c r="H99" s="42" t="s">
        <v>157</v>
      </c>
      <c r="I99" s="43">
        <v>1</v>
      </c>
      <c r="J99" s="43">
        <v>1</v>
      </c>
      <c r="K99" s="25" t="str">
        <f>VLOOKUP(J99,Key!$E$2:$F$9,2,FALSE)</f>
        <v>Home</v>
      </c>
      <c r="L99" s="42" t="s">
        <v>750</v>
      </c>
      <c r="M99" s="43" t="s">
        <v>156</v>
      </c>
      <c r="N99" s="42" t="s">
        <v>157</v>
      </c>
      <c r="O99" s="43">
        <v>16</v>
      </c>
      <c r="P99" s="43">
        <v>6</v>
      </c>
      <c r="Q99" s="25" t="str">
        <f>VLOOKUP(P99,Key!$E$2:$F$9,2,FALSE)</f>
        <v>Leisure/Social</v>
      </c>
      <c r="R99" s="25" t="str">
        <f t="shared" si="1"/>
        <v>Home-Leisure/Social</v>
      </c>
      <c r="S99" s="52">
        <v>4</v>
      </c>
      <c r="T99" s="52">
        <v>1</v>
      </c>
      <c r="U99" s="43">
        <v>4</v>
      </c>
      <c r="V99" s="43"/>
      <c r="W99" s="52"/>
      <c r="X99" s="52"/>
      <c r="Y99" s="53" t="s">
        <v>158</v>
      </c>
      <c r="Z99" s="54">
        <v>1000</v>
      </c>
      <c r="AA99" s="25"/>
      <c r="AB99" s="25"/>
    </row>
    <row r="100" spans="2:28">
      <c r="B100" s="40">
        <v>0.42499999999999999</v>
      </c>
      <c r="C100" s="40" t="s">
        <v>751</v>
      </c>
      <c r="D100" s="41">
        <v>7</v>
      </c>
      <c r="E100" s="42">
        <v>2</v>
      </c>
      <c r="F100" s="42" t="s">
        <v>164</v>
      </c>
      <c r="G100" s="43" t="s">
        <v>156</v>
      </c>
      <c r="H100" s="42" t="s">
        <v>157</v>
      </c>
      <c r="I100" s="43">
        <v>3</v>
      </c>
      <c r="J100" s="43">
        <v>4</v>
      </c>
      <c r="K100" s="25" t="str">
        <f>VLOOKUP(J100,Key!$E$2:$F$9,2,FALSE)</f>
        <v>Commercial</v>
      </c>
      <c r="L100" s="42" t="s">
        <v>155</v>
      </c>
      <c r="M100" s="43" t="s">
        <v>156</v>
      </c>
      <c r="N100" s="42" t="s">
        <v>157</v>
      </c>
      <c r="O100" s="43">
        <v>11</v>
      </c>
      <c r="P100" s="43">
        <v>4</v>
      </c>
      <c r="Q100" s="25" t="str">
        <f>VLOOKUP(P100,Key!$E$2:$F$9,2,FALSE)</f>
        <v>Commercial</v>
      </c>
      <c r="R100" s="25" t="str">
        <f t="shared" si="1"/>
        <v>Commercial-Commercial</v>
      </c>
      <c r="S100" s="52">
        <v>24</v>
      </c>
      <c r="T100" s="52">
        <v>0.3</v>
      </c>
      <c r="U100" s="43">
        <v>1</v>
      </c>
      <c r="V100" s="43"/>
      <c r="W100" s="52">
        <v>2</v>
      </c>
      <c r="X100" s="52">
        <v>0.4</v>
      </c>
      <c r="Y100" s="53" t="s">
        <v>158</v>
      </c>
      <c r="Z100" s="54">
        <v>1000</v>
      </c>
      <c r="AA100" s="25"/>
      <c r="AB100" s="25"/>
    </row>
    <row r="101" spans="2:28">
      <c r="B101" s="40">
        <v>0.42083333333333334</v>
      </c>
      <c r="C101" s="40" t="s">
        <v>752</v>
      </c>
      <c r="D101" s="41">
        <v>7</v>
      </c>
      <c r="E101" s="42">
        <v>3</v>
      </c>
      <c r="F101" s="42" t="s">
        <v>164</v>
      </c>
      <c r="G101" s="43" t="s">
        <v>156</v>
      </c>
      <c r="H101" s="42" t="s">
        <v>157</v>
      </c>
      <c r="I101" s="43">
        <v>11</v>
      </c>
      <c r="J101" s="43">
        <v>4</v>
      </c>
      <c r="K101" s="25" t="str">
        <f>VLOOKUP(J101,Key!$E$2:$F$9,2,FALSE)</f>
        <v>Commercial</v>
      </c>
      <c r="L101" s="42" t="s">
        <v>155</v>
      </c>
      <c r="M101" s="43" t="s">
        <v>156</v>
      </c>
      <c r="N101" s="42" t="s">
        <v>157</v>
      </c>
      <c r="O101" s="43">
        <v>2</v>
      </c>
      <c r="P101" s="43">
        <v>4</v>
      </c>
      <c r="Q101" s="25" t="str">
        <f>VLOOKUP(P101,Key!$E$2:$F$9,2,FALSE)</f>
        <v>Commercial</v>
      </c>
      <c r="R101" s="25" t="str">
        <f t="shared" si="1"/>
        <v>Commercial-Commercial</v>
      </c>
      <c r="S101" s="52">
        <v>24</v>
      </c>
      <c r="T101" s="52">
        <v>0.3</v>
      </c>
      <c r="U101" s="43">
        <v>1</v>
      </c>
      <c r="V101" s="43">
        <v>4</v>
      </c>
      <c r="W101" s="52">
        <v>2</v>
      </c>
      <c r="X101" s="52">
        <v>2</v>
      </c>
      <c r="Y101" s="53" t="s">
        <v>158</v>
      </c>
      <c r="Z101" s="54">
        <v>2000</v>
      </c>
      <c r="AA101" s="25"/>
      <c r="AB101" s="25"/>
    </row>
    <row r="102" spans="2:28">
      <c r="B102" s="40">
        <v>0.41597222222222219</v>
      </c>
      <c r="C102" s="40" t="s">
        <v>753</v>
      </c>
      <c r="D102" s="41">
        <v>1</v>
      </c>
      <c r="E102" s="42">
        <v>3</v>
      </c>
      <c r="F102" s="42" t="s">
        <v>743</v>
      </c>
      <c r="G102" s="43" t="s">
        <v>187</v>
      </c>
      <c r="H102" s="42" t="s">
        <v>157</v>
      </c>
      <c r="I102" s="43">
        <v>1</v>
      </c>
      <c r="J102" s="43">
        <v>1</v>
      </c>
      <c r="K102" s="25" t="str">
        <f>VLOOKUP(J102,Key!$E$2:$F$9,2,FALSE)</f>
        <v>Home</v>
      </c>
      <c r="L102" s="42" t="s">
        <v>754</v>
      </c>
      <c r="M102" s="43" t="s">
        <v>156</v>
      </c>
      <c r="N102" s="42" t="s">
        <v>157</v>
      </c>
      <c r="O102" s="43">
        <v>1</v>
      </c>
      <c r="P102" s="43">
        <v>1</v>
      </c>
      <c r="Q102" s="25" t="str">
        <f>VLOOKUP(P102,Key!$E$2:$F$9,2,FALSE)</f>
        <v>Home</v>
      </c>
      <c r="R102" s="25" t="str">
        <f t="shared" ref="R102:R105" si="2">K102&amp;"-"&amp;Q102</f>
        <v>Home-Home</v>
      </c>
      <c r="S102" s="52">
        <v>120</v>
      </c>
      <c r="T102" s="52">
        <v>3</v>
      </c>
      <c r="U102" s="43">
        <v>4</v>
      </c>
      <c r="V102" s="43"/>
      <c r="W102" s="52"/>
      <c r="X102" s="52"/>
      <c r="Y102" s="53" t="s">
        <v>158</v>
      </c>
      <c r="Z102" s="54">
        <v>1000</v>
      </c>
      <c r="AA102" s="25"/>
      <c r="AB102" s="25"/>
    </row>
    <row r="103" spans="2:28">
      <c r="B103" s="40">
        <v>0.41041666666666665</v>
      </c>
      <c r="C103" s="40" t="s">
        <v>755</v>
      </c>
      <c r="D103" s="41">
        <v>1</v>
      </c>
      <c r="E103" s="42">
        <v>1</v>
      </c>
      <c r="F103" s="42" t="s">
        <v>194</v>
      </c>
      <c r="G103" s="43" t="s">
        <v>156</v>
      </c>
      <c r="H103" s="42" t="s">
        <v>157</v>
      </c>
      <c r="I103" s="43">
        <v>16</v>
      </c>
      <c r="J103" s="43">
        <v>8</v>
      </c>
      <c r="K103" s="25" t="str">
        <f>VLOOKUP(J103,Key!$E$2:$F$9,2,FALSE)</f>
        <v>Others</v>
      </c>
      <c r="L103" s="42" t="s">
        <v>155</v>
      </c>
      <c r="M103" s="43" t="s">
        <v>156</v>
      </c>
      <c r="N103" s="42" t="s">
        <v>157</v>
      </c>
      <c r="O103" s="43">
        <v>1</v>
      </c>
      <c r="P103" s="43">
        <v>1</v>
      </c>
      <c r="Q103" s="25" t="str">
        <f>VLOOKUP(P103,Key!$E$2:$F$9,2,FALSE)</f>
        <v>Home</v>
      </c>
      <c r="R103" s="25" t="str">
        <f t="shared" si="2"/>
        <v>Others-Home</v>
      </c>
      <c r="S103" s="52">
        <v>1</v>
      </c>
      <c r="T103" s="52">
        <v>0.2</v>
      </c>
      <c r="U103" s="43">
        <v>5</v>
      </c>
      <c r="V103" s="43"/>
      <c r="W103" s="52"/>
      <c r="X103" s="52"/>
      <c r="Y103" s="53" t="s">
        <v>158</v>
      </c>
      <c r="Z103" s="54">
        <v>2000</v>
      </c>
      <c r="AA103" s="25"/>
      <c r="AB103" s="25"/>
    </row>
    <row r="104" spans="2:28">
      <c r="B104" s="40">
        <v>0.40625</v>
      </c>
      <c r="C104" s="40" t="s">
        <v>379</v>
      </c>
      <c r="D104" s="41">
        <v>1</v>
      </c>
      <c r="E104" s="42">
        <v>2</v>
      </c>
      <c r="F104" s="42" t="s">
        <v>150</v>
      </c>
      <c r="G104" s="43" t="s">
        <v>156</v>
      </c>
      <c r="H104" s="42" t="s">
        <v>157</v>
      </c>
      <c r="I104" s="43">
        <v>1</v>
      </c>
      <c r="J104" s="43">
        <v>1</v>
      </c>
      <c r="K104" s="25" t="str">
        <f>VLOOKUP(J104,Key!$E$2:$F$9,2,FALSE)</f>
        <v>Home</v>
      </c>
      <c r="L104" s="42" t="s">
        <v>155</v>
      </c>
      <c r="M104" s="43" t="s">
        <v>156</v>
      </c>
      <c r="N104" s="42" t="s">
        <v>157</v>
      </c>
      <c r="O104" s="43">
        <v>11</v>
      </c>
      <c r="P104" s="43">
        <v>2</v>
      </c>
      <c r="Q104" s="25" t="str">
        <f>VLOOKUP(P104,Key!$E$2:$F$9,2,FALSE)</f>
        <v>Work</v>
      </c>
      <c r="R104" s="25" t="str">
        <f t="shared" si="2"/>
        <v>Home-Work</v>
      </c>
      <c r="S104" s="52">
        <v>1</v>
      </c>
      <c r="T104" s="52">
        <v>0.3</v>
      </c>
      <c r="U104" s="43">
        <v>1</v>
      </c>
      <c r="V104" s="43"/>
      <c r="W104" s="52"/>
      <c r="X104" s="52"/>
      <c r="Y104" s="53" t="s">
        <v>158</v>
      </c>
      <c r="Z104" s="54">
        <v>5000</v>
      </c>
      <c r="AA104" s="25"/>
      <c r="AB104" s="25"/>
    </row>
    <row r="105" spans="2:28" ht="12" customHeight="1">
      <c r="B105" s="40">
        <v>0.40347222222222223</v>
      </c>
      <c r="C105" s="40" t="s">
        <v>756</v>
      </c>
      <c r="D105" s="41">
        <v>1</v>
      </c>
      <c r="E105" s="42">
        <v>1</v>
      </c>
      <c r="F105" s="42" t="s">
        <v>150</v>
      </c>
      <c r="G105" s="43" t="s">
        <v>156</v>
      </c>
      <c r="H105" s="42" t="s">
        <v>157</v>
      </c>
      <c r="I105" s="43">
        <v>1</v>
      </c>
      <c r="J105" s="43">
        <v>1</v>
      </c>
      <c r="K105" s="25" t="str">
        <f>VLOOKUP(J105,Key!$E$2:$F$9,2,FALSE)</f>
        <v>Home</v>
      </c>
      <c r="L105" s="42" t="s">
        <v>155</v>
      </c>
      <c r="M105" s="43" t="s">
        <v>156</v>
      </c>
      <c r="N105" s="42" t="s">
        <v>157</v>
      </c>
      <c r="O105" s="43">
        <v>2</v>
      </c>
      <c r="P105" s="43">
        <v>2</v>
      </c>
      <c r="Q105" s="25" t="str">
        <f>VLOOKUP(P105,Key!$E$2:$F$9,2,FALSE)</f>
        <v>Work</v>
      </c>
      <c r="R105" s="25" t="str">
        <f t="shared" si="2"/>
        <v>Home-Work</v>
      </c>
      <c r="S105" s="52">
        <v>1</v>
      </c>
      <c r="T105" s="52">
        <v>0.3</v>
      </c>
      <c r="U105" s="43">
        <v>1</v>
      </c>
      <c r="V105" s="43"/>
      <c r="W105" s="52"/>
      <c r="X105" s="52"/>
      <c r="Y105" s="53" t="s">
        <v>158</v>
      </c>
      <c r="Z105" s="54">
        <v>1000</v>
      </c>
      <c r="AA105" s="25"/>
      <c r="AB105" s="25"/>
    </row>
    <row r="143" spans="1:1">
      <c r="A143" s="14"/>
    </row>
    <row r="144" spans="1:1">
      <c r="A144" s="14"/>
    </row>
    <row r="145" spans="1:1">
      <c r="A145" s="14"/>
    </row>
  </sheetData>
  <mergeCells count="25">
    <mergeCell ref="Q7:Q8"/>
    <mergeCell ref="B1:AB1"/>
    <mergeCell ref="B2:AB2"/>
    <mergeCell ref="F4:G4"/>
    <mergeCell ref="O4:T4"/>
    <mergeCell ref="B7:B8"/>
    <mergeCell ref="C7:C8"/>
    <mergeCell ref="D7:D8"/>
    <mergeCell ref="E7:E8"/>
    <mergeCell ref="F7:H7"/>
    <mergeCell ref="I7:I8"/>
    <mergeCell ref="J7:J8"/>
    <mergeCell ref="K7:K8"/>
    <mergeCell ref="L7:N7"/>
    <mergeCell ref="O7:O8"/>
    <mergeCell ref="P7:P8"/>
    <mergeCell ref="Z7:Z8"/>
    <mergeCell ref="AA7:AA8"/>
    <mergeCell ref="AB7:AB8"/>
    <mergeCell ref="R7:R8"/>
    <mergeCell ref="S7:S8"/>
    <mergeCell ref="T7:T8"/>
    <mergeCell ref="U7:U8"/>
    <mergeCell ref="V7:X7"/>
    <mergeCell ref="Y7:Y8"/>
  </mergeCells>
  <pageMargins left="0.2" right="0.2" top="0.15" bottom="0.15" header="0.05" footer="0.05"/>
  <pageSetup paperSize="9" scale="5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7"/>
  <sheetViews>
    <sheetView workbookViewId="0">
      <selection activeCell="F7" sqref="F7"/>
    </sheetView>
  </sheetViews>
  <sheetFormatPr defaultRowHeight="12.75"/>
  <cols>
    <col min="1" max="1" width="4.28515625" customWidth="1"/>
    <col min="2" max="2" width="25.5703125" bestFit="1" customWidth="1"/>
    <col min="3" max="3" width="4.5703125" customWidth="1"/>
    <col min="4" max="4" width="23.28515625" bestFit="1" customWidth="1"/>
    <col min="5" max="5" width="4.5703125" customWidth="1"/>
    <col min="6" max="6" width="18.42578125" customWidth="1"/>
    <col min="7" max="7" width="4.85546875" customWidth="1"/>
    <col min="8" max="8" width="24.28515625" customWidth="1"/>
    <col min="9" max="9" width="5.140625" customWidth="1"/>
    <col min="10" max="10" width="47.85546875" customWidth="1"/>
  </cols>
  <sheetData>
    <row r="1" spans="1:15" ht="30.75" customHeight="1">
      <c r="A1" s="36"/>
      <c r="B1" s="34" t="s">
        <v>33</v>
      </c>
      <c r="C1" s="34"/>
      <c r="D1" s="34" t="s">
        <v>84</v>
      </c>
      <c r="E1" s="34"/>
      <c r="F1" s="35" t="s">
        <v>101</v>
      </c>
      <c r="G1" s="36"/>
      <c r="H1" s="36" t="s">
        <v>109</v>
      </c>
      <c r="I1" s="36"/>
      <c r="J1" s="36" t="s">
        <v>116</v>
      </c>
      <c r="K1" s="36"/>
      <c r="L1" s="36"/>
      <c r="M1" s="36"/>
      <c r="N1" s="36"/>
      <c r="O1" s="36"/>
    </row>
    <row r="2" spans="1:15">
      <c r="A2">
        <v>1</v>
      </c>
      <c r="B2" s="33" t="s">
        <v>72</v>
      </c>
      <c r="C2" s="10">
        <v>1</v>
      </c>
      <c r="D2" s="33" t="s">
        <v>85</v>
      </c>
      <c r="E2" s="10">
        <v>1</v>
      </c>
      <c r="F2" t="s">
        <v>102</v>
      </c>
      <c r="G2">
        <v>1</v>
      </c>
      <c r="H2" s="19" t="s">
        <v>110</v>
      </c>
      <c r="I2">
        <v>1</v>
      </c>
      <c r="J2" s="19" t="s">
        <v>117</v>
      </c>
    </row>
    <row r="3" spans="1:15">
      <c r="A3">
        <v>2</v>
      </c>
      <c r="B3" s="33" t="s">
        <v>73</v>
      </c>
      <c r="C3" s="10">
        <v>2</v>
      </c>
      <c r="D3" s="33" t="s">
        <v>86</v>
      </c>
      <c r="E3" s="10">
        <v>2</v>
      </c>
      <c r="F3" t="s">
        <v>103</v>
      </c>
      <c r="G3">
        <v>2</v>
      </c>
      <c r="H3" s="19" t="s">
        <v>111</v>
      </c>
      <c r="I3">
        <v>2</v>
      </c>
      <c r="J3" s="19" t="s">
        <v>118</v>
      </c>
    </row>
    <row r="4" spans="1:15">
      <c r="A4">
        <v>3</v>
      </c>
      <c r="B4" s="33" t="s">
        <v>74</v>
      </c>
      <c r="C4" s="10">
        <v>3</v>
      </c>
      <c r="D4" s="33" t="s">
        <v>87</v>
      </c>
      <c r="E4" s="10">
        <v>3</v>
      </c>
      <c r="F4" t="s">
        <v>104</v>
      </c>
      <c r="G4">
        <v>3</v>
      </c>
      <c r="H4" s="19" t="s">
        <v>112</v>
      </c>
      <c r="I4">
        <v>3</v>
      </c>
      <c r="J4" s="19" t="s">
        <v>119</v>
      </c>
    </row>
    <row r="5" spans="1:15">
      <c r="A5">
        <v>4</v>
      </c>
      <c r="B5" s="33" t="s">
        <v>75</v>
      </c>
      <c r="C5" s="10">
        <v>4</v>
      </c>
      <c r="D5" s="33" t="s">
        <v>88</v>
      </c>
      <c r="E5" s="10">
        <v>4</v>
      </c>
      <c r="F5" t="s">
        <v>105</v>
      </c>
      <c r="G5">
        <v>4</v>
      </c>
      <c r="H5" s="19" t="s">
        <v>113</v>
      </c>
      <c r="I5">
        <v>4</v>
      </c>
      <c r="J5" s="37" t="s">
        <v>120</v>
      </c>
    </row>
    <row r="6" spans="1:15">
      <c r="A6">
        <v>5</v>
      </c>
      <c r="B6" s="33" t="s">
        <v>76</v>
      </c>
      <c r="C6" s="10">
        <v>5</v>
      </c>
      <c r="D6" s="33" t="s">
        <v>89</v>
      </c>
      <c r="E6" s="10">
        <v>5</v>
      </c>
      <c r="F6" t="s">
        <v>106</v>
      </c>
      <c r="G6">
        <v>5</v>
      </c>
      <c r="H6" s="19" t="s">
        <v>114</v>
      </c>
      <c r="I6">
        <v>5</v>
      </c>
      <c r="J6" s="19" t="s">
        <v>121</v>
      </c>
    </row>
    <row r="7" spans="1:15">
      <c r="A7">
        <v>6</v>
      </c>
      <c r="B7" s="33" t="s">
        <v>77</v>
      </c>
      <c r="C7" s="10">
        <v>6</v>
      </c>
      <c r="D7" s="33" t="s">
        <v>90</v>
      </c>
      <c r="E7" s="10">
        <v>6</v>
      </c>
      <c r="F7" t="s">
        <v>107</v>
      </c>
      <c r="G7">
        <v>6</v>
      </c>
      <c r="H7" s="19" t="s">
        <v>115</v>
      </c>
      <c r="I7">
        <v>6</v>
      </c>
      <c r="J7" s="19" t="s">
        <v>122</v>
      </c>
    </row>
    <row r="8" spans="1:15">
      <c r="A8">
        <v>7</v>
      </c>
      <c r="B8" s="33" t="s">
        <v>78</v>
      </c>
      <c r="C8" s="10">
        <v>7</v>
      </c>
      <c r="D8" s="33" t="s">
        <v>91</v>
      </c>
      <c r="E8" s="10">
        <v>7</v>
      </c>
      <c r="F8" t="s">
        <v>89</v>
      </c>
      <c r="I8">
        <v>7</v>
      </c>
      <c r="J8" s="19" t="s">
        <v>123</v>
      </c>
    </row>
    <row r="9" spans="1:15">
      <c r="A9">
        <v>8</v>
      </c>
      <c r="B9" s="33" t="s">
        <v>79</v>
      </c>
      <c r="C9" s="10">
        <v>8</v>
      </c>
      <c r="D9" s="33" t="s">
        <v>92</v>
      </c>
      <c r="E9" s="10">
        <v>8</v>
      </c>
      <c r="F9" t="s">
        <v>108</v>
      </c>
      <c r="I9">
        <v>8</v>
      </c>
      <c r="J9" s="19" t="s">
        <v>124</v>
      </c>
    </row>
    <row r="10" spans="1:15">
      <c r="A10">
        <v>9</v>
      </c>
      <c r="B10" s="33" t="s">
        <v>80</v>
      </c>
      <c r="C10" s="10">
        <v>9</v>
      </c>
      <c r="D10" s="33" t="s">
        <v>93</v>
      </c>
      <c r="E10" s="10"/>
      <c r="I10">
        <v>9</v>
      </c>
      <c r="J10" s="19" t="s">
        <v>125</v>
      </c>
    </row>
    <row r="11" spans="1:15">
      <c r="A11">
        <v>10</v>
      </c>
      <c r="B11" s="33" t="s">
        <v>81</v>
      </c>
      <c r="C11" s="10">
        <v>10</v>
      </c>
      <c r="D11" s="33" t="s">
        <v>94</v>
      </c>
      <c r="E11" s="10"/>
      <c r="I11">
        <v>10</v>
      </c>
      <c r="J11" s="37" t="s">
        <v>126</v>
      </c>
    </row>
    <row r="12" spans="1:15">
      <c r="A12">
        <v>11</v>
      </c>
      <c r="B12" s="33" t="s">
        <v>83</v>
      </c>
      <c r="C12" s="10">
        <v>11</v>
      </c>
      <c r="D12" s="33" t="s">
        <v>95</v>
      </c>
      <c r="E12" s="10"/>
      <c r="I12">
        <v>11</v>
      </c>
      <c r="J12" s="19" t="s">
        <v>127</v>
      </c>
    </row>
    <row r="13" spans="1:15">
      <c r="A13">
        <v>12</v>
      </c>
      <c r="B13" s="33" t="s">
        <v>82</v>
      </c>
      <c r="C13" s="10">
        <v>12</v>
      </c>
      <c r="D13" s="33" t="s">
        <v>96</v>
      </c>
      <c r="E13" s="10"/>
      <c r="I13">
        <v>12</v>
      </c>
      <c r="J13" s="19" t="s">
        <v>128</v>
      </c>
    </row>
    <row r="14" spans="1:15">
      <c r="C14" s="10">
        <v>13</v>
      </c>
      <c r="D14" s="19" t="s">
        <v>97</v>
      </c>
    </row>
    <row r="15" spans="1:15">
      <c r="B15" s="1"/>
      <c r="C15" s="10">
        <v>14</v>
      </c>
      <c r="D15" s="19" t="s">
        <v>98</v>
      </c>
    </row>
    <row r="16" spans="1:15">
      <c r="C16" s="10">
        <v>15</v>
      </c>
      <c r="D16" s="19" t="s">
        <v>99</v>
      </c>
    </row>
    <row r="17" spans="3:4">
      <c r="C17" s="10">
        <v>16</v>
      </c>
      <c r="D17" s="19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Analysis</vt:lpstr>
      <vt:lpstr>ALL DATA</vt:lpstr>
      <vt:lpstr>RSI FORM</vt:lpstr>
      <vt:lpstr>Zones </vt:lpstr>
      <vt:lpstr>11.10 KITEMU-BUDDO</vt:lpstr>
      <vt:lpstr>12.10 BUDDO-KITEMU</vt:lpstr>
      <vt:lpstr>12.10 KITEMU-BUDDO</vt:lpstr>
      <vt:lpstr>Key</vt:lpstr>
      <vt:lpstr>Dist</vt:lpstr>
      <vt:lpstr>Jtime</vt:lpstr>
      <vt:lpstr>Tripfreq</vt:lpstr>
      <vt:lpstr>Veh</vt:lpstr>
      <vt:lpstr>'11.10 KITEMU-BUDDO'!Veh_Type</vt:lpstr>
      <vt:lpstr>'12.10 KITEMU-BUDDO'!Veh_Type</vt:lpstr>
      <vt:lpstr>Veh_Type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MR.O</cp:lastModifiedBy>
  <cp:lastPrinted>2019-07-30T09:53:06Z</cp:lastPrinted>
  <dcterms:created xsi:type="dcterms:W3CDTF">2010-10-20T14:55:17Z</dcterms:created>
  <dcterms:modified xsi:type="dcterms:W3CDTF">2020-04-09T23:10:14Z</dcterms:modified>
</cp:coreProperties>
</file>